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14" codeName="{296A6A55-71EF-3FAC-97E6-161027D96622}"/>
  <workbookPr codeName="ThisWorkbook"/>
  <mc:AlternateContent xmlns:mc="http://schemas.openxmlformats.org/markup-compatibility/2006">
    <mc:Choice Requires="x15">
      <x15ac:absPath xmlns:x15ac="http://schemas.microsoft.com/office/spreadsheetml/2010/11/ac" url="/Users/markmukherjee/Desktop/Trading_Excel_Files/01_Lagging_Coincident_Indicators/"/>
    </mc:Choice>
  </mc:AlternateContent>
  <xr:revisionPtr revIDLastSave="0" documentId="13_ncr:1_{405EDA3B-8CD1-C649-8A25-0439145BB4AB}" xr6:coauthVersionLast="47" xr6:coauthVersionMax="47" xr10:uidLastSave="{00000000-0000-0000-0000-000000000000}"/>
  <bookViews>
    <workbookView xWindow="-40940" yWindow="-320" windowWidth="40340" windowHeight="27980" activeTab="5" xr2:uid="{00000000-000D-0000-FFFF-FFFF00000000}"/>
  </bookViews>
  <sheets>
    <sheet name="Notes" sheetId="21" r:id="rId1"/>
    <sheet name="Data" sheetId="5" r:id="rId2"/>
    <sheet name="Data Core CPI" sheetId="16" r:id="rId3"/>
    <sheet name="Recap CPI yoy" sheetId="18" r:id="rId4"/>
    <sheet name="Recap Core CPI yoy" sheetId="19" r:id="rId5"/>
    <sheet name="Country" sheetId="15" r:id="rId6"/>
  </sheets>
  <definedNames>
    <definedName name="_xlnm._FilterDatabase" localSheetId="0" hidden="1">Notes!$O$12:$P$12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3" i="15" l="1"/>
  <c r="F4" i="15"/>
  <c r="F5" i="15"/>
  <c r="F6" i="15"/>
  <c r="F7" i="15"/>
  <c r="F8" i="15"/>
  <c r="F9" i="15"/>
  <c r="F10" i="15"/>
  <c r="F11" i="15"/>
  <c r="F12" i="15"/>
  <c r="F13" i="15"/>
  <c r="F14" i="15"/>
  <c r="F15" i="15"/>
  <c r="F16" i="15"/>
  <c r="F17" i="15"/>
  <c r="F18" i="15"/>
  <c r="F19" i="15"/>
  <c r="F20" i="15"/>
  <c r="F21" i="15"/>
  <c r="F22" i="15"/>
  <c r="F23" i="15"/>
  <c r="F24" i="15"/>
  <c r="F25" i="15"/>
  <c r="F26" i="15"/>
  <c r="F27" i="15"/>
  <c r="F28" i="15"/>
  <c r="F29" i="15"/>
  <c r="F30" i="15"/>
  <c r="F31" i="15"/>
  <c r="F32" i="15"/>
  <c r="F33" i="15"/>
  <c r="F34" i="15"/>
  <c r="F35" i="15"/>
  <c r="F36" i="15"/>
  <c r="F37" i="15"/>
  <c r="F38" i="15"/>
  <c r="F39" i="15"/>
  <c r="F40" i="15"/>
  <c r="F41" i="15"/>
  <c r="F42" i="15"/>
  <c r="F43" i="15"/>
  <c r="F44" i="15"/>
  <c r="F45" i="15"/>
  <c r="F46" i="15"/>
  <c r="F47" i="15"/>
  <c r="F48" i="15"/>
  <c r="F49" i="15"/>
  <c r="F50" i="15"/>
  <c r="F51" i="15"/>
  <c r="F52" i="15"/>
  <c r="F53" i="15"/>
  <c r="F54" i="15"/>
  <c r="F55" i="15"/>
  <c r="F56" i="15"/>
  <c r="F57" i="15"/>
  <c r="F58" i="15"/>
  <c r="F59" i="15"/>
  <c r="F60" i="15"/>
  <c r="F61" i="15"/>
  <c r="F62" i="15"/>
  <c r="F63" i="15"/>
  <c r="F64" i="15"/>
  <c r="F65" i="15"/>
  <c r="F66" i="15"/>
  <c r="F67" i="15"/>
  <c r="F68" i="15"/>
  <c r="F69" i="15"/>
  <c r="F70" i="15"/>
  <c r="F71" i="15"/>
  <c r="F72" i="15"/>
  <c r="F73" i="15"/>
  <c r="F74" i="15"/>
  <c r="F75" i="15"/>
  <c r="F76" i="15"/>
  <c r="F77" i="15"/>
  <c r="F78" i="15"/>
  <c r="F79" i="15"/>
  <c r="F80" i="15"/>
  <c r="F81" i="15"/>
  <c r="F82" i="15"/>
  <c r="F83" i="15"/>
  <c r="F84" i="15"/>
  <c r="F85" i="15"/>
  <c r="F86" i="15"/>
  <c r="F87" i="15"/>
  <c r="F88" i="15"/>
  <c r="F89" i="15"/>
  <c r="F90" i="15"/>
  <c r="F91" i="15"/>
  <c r="F92" i="15"/>
  <c r="F93" i="15"/>
  <c r="F94" i="15"/>
  <c r="F95" i="15"/>
  <c r="F96" i="15"/>
  <c r="F97" i="15"/>
  <c r="F98" i="15"/>
  <c r="F99" i="15"/>
  <c r="F100" i="15"/>
  <c r="F101" i="15"/>
  <c r="F102" i="15"/>
  <c r="F103" i="15"/>
  <c r="F104" i="15"/>
  <c r="F105" i="15"/>
  <c r="F106" i="15"/>
  <c r="F107" i="15"/>
  <c r="F108" i="15"/>
  <c r="F109" i="15"/>
  <c r="F110" i="15"/>
  <c r="F111" i="15"/>
  <c r="F112" i="15"/>
  <c r="F113" i="15"/>
  <c r="F114" i="15"/>
  <c r="F115" i="15"/>
  <c r="F116" i="15"/>
  <c r="F117" i="15"/>
  <c r="F118" i="15"/>
  <c r="F119" i="15"/>
  <c r="F120" i="15"/>
  <c r="F121" i="15"/>
  <c r="F122" i="15"/>
  <c r="F123" i="15"/>
  <c r="F124" i="15"/>
  <c r="F125" i="15"/>
  <c r="F126" i="15"/>
  <c r="F127" i="15"/>
  <c r="F128" i="15"/>
  <c r="F129" i="15"/>
  <c r="F130" i="15"/>
  <c r="F131" i="15"/>
  <c r="F132" i="15"/>
  <c r="F133" i="15"/>
  <c r="F134" i="15"/>
  <c r="F135" i="15"/>
  <c r="F136" i="15"/>
  <c r="F137" i="15"/>
  <c r="F138" i="15"/>
  <c r="F139" i="15"/>
  <c r="F140" i="15"/>
  <c r="F141" i="15"/>
  <c r="F142" i="15"/>
  <c r="F143" i="15"/>
  <c r="F144" i="15"/>
  <c r="F145" i="15"/>
  <c r="F146" i="15"/>
  <c r="F147" i="15"/>
  <c r="F148" i="15"/>
  <c r="F149" i="15"/>
  <c r="F150" i="15"/>
  <c r="F151" i="15"/>
  <c r="F152" i="15"/>
  <c r="F153" i="15"/>
  <c r="F154" i="15"/>
  <c r="F155" i="15"/>
  <c r="F156" i="15"/>
  <c r="F157" i="15"/>
  <c r="F158" i="15"/>
  <c r="F159" i="15"/>
  <c r="F160" i="15"/>
  <c r="F161" i="15"/>
  <c r="F162" i="15"/>
  <c r="F163" i="15"/>
  <c r="F164" i="15"/>
  <c r="F165" i="15"/>
  <c r="F166" i="15"/>
  <c r="F167" i="15"/>
  <c r="F168" i="15"/>
  <c r="F169" i="15"/>
  <c r="F170" i="15"/>
  <c r="F171" i="15"/>
  <c r="F172" i="15"/>
  <c r="F173" i="15"/>
  <c r="F174" i="15"/>
  <c r="F175" i="15"/>
  <c r="F176" i="15"/>
  <c r="F177" i="15"/>
  <c r="F178" i="15"/>
  <c r="F179" i="15"/>
  <c r="F180" i="15"/>
  <c r="F181" i="15"/>
  <c r="F182" i="15"/>
  <c r="F183" i="15"/>
  <c r="F184" i="15"/>
  <c r="F185" i="15"/>
  <c r="F186" i="15"/>
  <c r="F187" i="15"/>
  <c r="F188" i="15"/>
  <c r="F189" i="15"/>
  <c r="F190" i="15"/>
  <c r="F191" i="15"/>
  <c r="F192" i="15"/>
  <c r="F193" i="15"/>
  <c r="F194" i="15"/>
  <c r="F195" i="15"/>
  <c r="F196" i="15"/>
  <c r="F197" i="15"/>
  <c r="F198" i="15"/>
  <c r="F199" i="15"/>
  <c r="F200" i="15"/>
  <c r="F201" i="15"/>
  <c r="F202" i="15"/>
  <c r="F203" i="15"/>
  <c r="F204" i="15"/>
  <c r="F205" i="15"/>
  <c r="F206" i="15"/>
  <c r="F207" i="15"/>
  <c r="F208" i="15"/>
  <c r="F209" i="15"/>
  <c r="F210" i="15"/>
  <c r="F211" i="15"/>
  <c r="F212" i="15"/>
  <c r="F213" i="15"/>
  <c r="F214" i="15"/>
  <c r="F215" i="15"/>
  <c r="F216" i="15"/>
  <c r="F217" i="15"/>
  <c r="F218" i="15"/>
  <c r="F219" i="15"/>
  <c r="F220" i="15"/>
  <c r="F221" i="15"/>
  <c r="F222" i="15"/>
  <c r="F223" i="15"/>
  <c r="F224" i="15"/>
  <c r="F225" i="15"/>
  <c r="F226" i="15"/>
  <c r="F227" i="15"/>
  <c r="F228" i="15"/>
  <c r="F229" i="15"/>
  <c r="F230" i="15"/>
  <c r="F231" i="15"/>
  <c r="F232" i="15"/>
  <c r="F233" i="15"/>
  <c r="F234" i="15"/>
  <c r="F235" i="15"/>
  <c r="F236" i="15"/>
  <c r="F237" i="15"/>
  <c r="F238" i="15"/>
  <c r="F239" i="15"/>
  <c r="F240" i="15"/>
  <c r="F241" i="15"/>
  <c r="F242" i="15"/>
  <c r="F243" i="15"/>
  <c r="F244" i="15"/>
  <c r="F245" i="15"/>
  <c r="F246" i="15"/>
  <c r="F247" i="15"/>
  <c r="F248" i="15"/>
  <c r="F249" i="15"/>
  <c r="F250" i="15"/>
  <c r="F251" i="15"/>
  <c r="F252" i="15"/>
  <c r="F253" i="15"/>
  <c r="F254" i="15"/>
  <c r="F255" i="15"/>
  <c r="F256" i="15"/>
  <c r="F257" i="15"/>
  <c r="F258" i="15"/>
  <c r="F259" i="15"/>
  <c r="F260" i="15"/>
  <c r="F261" i="15"/>
  <c r="F262" i="15"/>
  <c r="F263" i="15"/>
  <c r="F264" i="15"/>
  <c r="F265" i="15"/>
  <c r="F266" i="15"/>
  <c r="F267" i="15"/>
  <c r="F268" i="15"/>
  <c r="F269" i="15"/>
  <c r="F270" i="15"/>
  <c r="F271" i="15"/>
  <c r="F272" i="15"/>
  <c r="F273" i="15"/>
  <c r="F274" i="15"/>
  <c r="F275" i="15"/>
  <c r="F276" i="15"/>
  <c r="F277" i="15"/>
  <c r="F278" i="15"/>
  <c r="F279" i="15"/>
  <c r="F280" i="15"/>
  <c r="F281" i="15"/>
  <c r="F282" i="15"/>
  <c r="F283" i="15"/>
  <c r="F284" i="15"/>
  <c r="F285" i="15"/>
  <c r="F286" i="15"/>
  <c r="F287" i="15"/>
  <c r="F288" i="15"/>
  <c r="F289" i="15"/>
  <c r="F290" i="15"/>
  <c r="F291" i="15"/>
  <c r="F292" i="15"/>
  <c r="F293" i="15"/>
  <c r="F294" i="15"/>
  <c r="F295" i="15"/>
  <c r="F296" i="15"/>
  <c r="F297" i="15"/>
  <c r="F298" i="15"/>
  <c r="F299" i="15"/>
  <c r="F300" i="15"/>
  <c r="F301" i="15"/>
  <c r="F302" i="15"/>
  <c r="F303" i="15"/>
  <c r="F304" i="15"/>
  <c r="F305" i="15"/>
  <c r="F306" i="15"/>
  <c r="F307" i="15"/>
  <c r="F308" i="15"/>
  <c r="F309" i="15"/>
  <c r="F310" i="15"/>
  <c r="F311" i="15"/>
  <c r="F312" i="15"/>
  <c r="F313" i="15"/>
  <c r="F314" i="15"/>
  <c r="F315" i="15"/>
  <c r="F316" i="15"/>
  <c r="F317" i="15"/>
  <c r="F318" i="15"/>
  <c r="F319" i="15"/>
  <c r="F320" i="15"/>
  <c r="F321" i="15"/>
  <c r="F322" i="15"/>
  <c r="F323" i="15"/>
  <c r="F324" i="15"/>
  <c r="F325" i="15"/>
  <c r="F326" i="15"/>
  <c r="F327" i="15"/>
  <c r="F328" i="15"/>
  <c r="F329" i="15"/>
  <c r="F330" i="15"/>
  <c r="F331" i="15"/>
  <c r="F332" i="15"/>
  <c r="F333" i="15"/>
  <c r="F334" i="15"/>
  <c r="F335" i="15"/>
  <c r="F336" i="15"/>
  <c r="F337" i="15"/>
  <c r="F338" i="15"/>
  <c r="F339" i="15"/>
  <c r="F340" i="15"/>
  <c r="F341" i="15"/>
  <c r="F342" i="15"/>
  <c r="F343" i="15"/>
  <c r="F344" i="15"/>
  <c r="F345" i="15"/>
  <c r="F346" i="15"/>
  <c r="F347" i="15"/>
  <c r="F348" i="15"/>
  <c r="F349" i="15"/>
  <c r="F350" i="15"/>
  <c r="F351" i="15"/>
  <c r="F352" i="15"/>
  <c r="F353" i="15"/>
  <c r="F354" i="15"/>
  <c r="F355" i="15"/>
  <c r="F356" i="15"/>
  <c r="F357" i="15"/>
  <c r="F358" i="15"/>
  <c r="F359" i="15"/>
  <c r="F360" i="15"/>
  <c r="F361" i="15"/>
  <c r="F362" i="15"/>
  <c r="F363" i="15"/>
  <c r="F364" i="15"/>
  <c r="F365" i="15"/>
  <c r="F366" i="15"/>
  <c r="F367" i="15"/>
  <c r="F368" i="15"/>
  <c r="F369" i="15"/>
  <c r="F370" i="15"/>
  <c r="F371" i="15"/>
  <c r="F372" i="15"/>
  <c r="F373" i="15"/>
  <c r="F374" i="15"/>
  <c r="F375" i="15"/>
  <c r="F376" i="15"/>
  <c r="F377" i="15"/>
  <c r="F378" i="15"/>
  <c r="F379" i="15"/>
  <c r="F380" i="15"/>
  <c r="F381" i="15"/>
  <c r="F382" i="15"/>
  <c r="F383" i="15"/>
  <c r="F384" i="15"/>
  <c r="F385" i="15"/>
  <c r="F386" i="15"/>
  <c r="F387" i="15"/>
  <c r="F388" i="15"/>
  <c r="F389" i="15"/>
  <c r="F390" i="15"/>
  <c r="F391" i="15"/>
  <c r="F392" i="15"/>
  <c r="F393" i="15"/>
  <c r="F394" i="15"/>
  <c r="F395" i="15"/>
  <c r="F396" i="15"/>
  <c r="F397" i="15"/>
  <c r="F398" i="15"/>
  <c r="F399" i="15"/>
  <c r="F400" i="15"/>
  <c r="F401" i="15"/>
  <c r="F402" i="15"/>
  <c r="F403" i="15"/>
  <c r="F404" i="15"/>
  <c r="F405" i="15"/>
  <c r="F406" i="15"/>
  <c r="F407" i="15"/>
  <c r="F408" i="15"/>
  <c r="F409" i="15"/>
  <c r="F410" i="15"/>
  <c r="F411" i="15"/>
  <c r="F412" i="15"/>
  <c r="F413" i="15"/>
  <c r="F414" i="15"/>
  <c r="F415" i="15"/>
  <c r="F416" i="15"/>
  <c r="F417" i="15"/>
  <c r="F418" i="15"/>
  <c r="F419" i="15"/>
  <c r="F420" i="15"/>
  <c r="F421" i="15"/>
  <c r="F422" i="15"/>
  <c r="F423" i="15"/>
  <c r="F424" i="15"/>
  <c r="F425" i="15"/>
  <c r="F426" i="15"/>
  <c r="F427" i="15"/>
  <c r="F428" i="15"/>
  <c r="F429" i="15"/>
  <c r="F430" i="15"/>
  <c r="F431" i="15"/>
  <c r="F432" i="15"/>
  <c r="F433" i="15"/>
  <c r="F434" i="15"/>
  <c r="F435" i="15"/>
  <c r="F436" i="15"/>
  <c r="F437" i="15"/>
  <c r="F438" i="15"/>
  <c r="F439" i="15"/>
  <c r="F440" i="15"/>
  <c r="F441" i="15"/>
  <c r="F442" i="15"/>
  <c r="F443" i="15"/>
  <c r="F444" i="15"/>
  <c r="F445" i="15"/>
  <c r="F446" i="15"/>
  <c r="F447" i="15"/>
  <c r="F448" i="15"/>
  <c r="F449" i="15"/>
  <c r="F450" i="15"/>
  <c r="F451" i="15"/>
  <c r="F452" i="15"/>
  <c r="F453" i="15"/>
  <c r="F454" i="15"/>
  <c r="F455" i="15"/>
  <c r="F456" i="15"/>
  <c r="F457" i="15"/>
  <c r="F458" i="15"/>
  <c r="F459" i="15"/>
  <c r="F460" i="15"/>
  <c r="F461" i="15"/>
  <c r="F462" i="15"/>
  <c r="F463" i="15"/>
  <c r="F464" i="15"/>
  <c r="F465" i="15"/>
  <c r="F466" i="15"/>
  <c r="F467" i="15"/>
  <c r="F468" i="15"/>
  <c r="F469" i="15"/>
  <c r="F470" i="15"/>
  <c r="F471" i="15"/>
  <c r="F472" i="15"/>
  <c r="F473" i="15"/>
  <c r="F474" i="15"/>
  <c r="F475" i="15"/>
  <c r="F476" i="15"/>
  <c r="F477" i="15"/>
  <c r="F478" i="15"/>
  <c r="F479" i="15"/>
  <c r="F480" i="15"/>
  <c r="F481" i="15"/>
  <c r="F482" i="15"/>
  <c r="F483" i="15"/>
  <c r="F484" i="15"/>
  <c r="F485" i="15"/>
  <c r="F486" i="15"/>
  <c r="F487" i="15"/>
  <c r="F488" i="15"/>
  <c r="F489" i="15"/>
  <c r="F490" i="15"/>
  <c r="F491" i="15"/>
  <c r="F492" i="15"/>
  <c r="F493" i="15"/>
  <c r="F494" i="15"/>
  <c r="F495" i="15"/>
  <c r="F496" i="15"/>
  <c r="F497" i="15"/>
  <c r="F498" i="15"/>
  <c r="F499" i="15"/>
  <c r="F500" i="15"/>
  <c r="F501" i="15"/>
  <c r="F502" i="15"/>
  <c r="F503" i="15"/>
  <c r="F504" i="15"/>
  <c r="F505" i="15"/>
  <c r="F506" i="15"/>
  <c r="F507" i="15"/>
  <c r="F508" i="15"/>
  <c r="F509" i="15"/>
  <c r="F510" i="15"/>
  <c r="F511" i="15"/>
  <c r="F512" i="15"/>
  <c r="F513" i="15"/>
  <c r="F514" i="15"/>
  <c r="F515" i="15"/>
  <c r="F516" i="15"/>
  <c r="F517" i="15"/>
  <c r="F518" i="15"/>
  <c r="F519" i="15"/>
  <c r="F520" i="15"/>
  <c r="F521" i="15"/>
  <c r="F522" i="15"/>
  <c r="F523" i="15"/>
  <c r="F524" i="15"/>
  <c r="F525" i="15"/>
  <c r="F526" i="15"/>
  <c r="F527" i="15"/>
  <c r="F528" i="15"/>
  <c r="F529" i="15"/>
  <c r="F530" i="15"/>
  <c r="F531" i="15"/>
  <c r="F532" i="15"/>
  <c r="F533" i="15"/>
  <c r="F534" i="15"/>
  <c r="F535" i="15"/>
  <c r="F536" i="15"/>
  <c r="F537" i="15"/>
  <c r="F538" i="15"/>
  <c r="F539" i="15"/>
  <c r="F540" i="15"/>
  <c r="F541" i="15"/>
  <c r="F542" i="15"/>
  <c r="F543" i="15"/>
  <c r="F544" i="15"/>
  <c r="F545" i="15"/>
  <c r="F546" i="15"/>
  <c r="F547" i="15"/>
  <c r="F548" i="15"/>
  <c r="F549" i="15"/>
  <c r="F550" i="15"/>
  <c r="F551" i="15"/>
  <c r="F552" i="15"/>
  <c r="F553" i="15"/>
  <c r="F554" i="15"/>
  <c r="F555" i="15"/>
  <c r="F556" i="15"/>
  <c r="F557" i="15"/>
  <c r="F558" i="15"/>
  <c r="F559" i="15"/>
  <c r="F560" i="15"/>
  <c r="F561" i="15"/>
  <c r="F562" i="15"/>
  <c r="F563" i="15"/>
  <c r="F564" i="15"/>
  <c r="F565" i="15"/>
  <c r="F566" i="15"/>
  <c r="F567" i="15"/>
  <c r="F568" i="15"/>
  <c r="F569" i="15"/>
  <c r="F570" i="15"/>
  <c r="F571" i="15"/>
  <c r="F572" i="15"/>
  <c r="F573" i="15"/>
  <c r="F574" i="15"/>
  <c r="F575" i="15"/>
  <c r="F576" i="15"/>
  <c r="F577" i="15"/>
  <c r="F578" i="15"/>
  <c r="F579" i="15"/>
  <c r="F580" i="15"/>
  <c r="F581" i="15"/>
  <c r="F582" i="15"/>
  <c r="F583" i="15"/>
  <c r="F584" i="15"/>
  <c r="F585" i="15"/>
  <c r="F586" i="15"/>
  <c r="F587" i="15"/>
  <c r="F588" i="15"/>
  <c r="F589" i="15"/>
  <c r="F590" i="15"/>
  <c r="F591" i="15"/>
  <c r="F592" i="15"/>
  <c r="F593" i="15"/>
  <c r="F594" i="15"/>
  <c r="F595" i="15"/>
  <c r="F596" i="15"/>
  <c r="F597" i="15"/>
  <c r="F598" i="15"/>
  <c r="F599" i="15"/>
  <c r="F600" i="15"/>
  <c r="F601" i="15"/>
  <c r="F602" i="15"/>
  <c r="F603" i="15"/>
  <c r="F604" i="15"/>
  <c r="F605" i="15"/>
  <c r="F606" i="15"/>
  <c r="F607" i="15"/>
  <c r="F608" i="15"/>
  <c r="F609" i="15"/>
  <c r="F610" i="15"/>
  <c r="F611" i="15"/>
  <c r="F612" i="15"/>
  <c r="F613" i="15"/>
  <c r="F614" i="15"/>
  <c r="F615" i="15"/>
  <c r="F616" i="15"/>
  <c r="F617" i="15"/>
  <c r="F618" i="15"/>
  <c r="F619" i="15"/>
  <c r="F620" i="15"/>
  <c r="F621" i="15"/>
  <c r="F622" i="15"/>
  <c r="F623" i="15"/>
  <c r="F624" i="15"/>
  <c r="F625" i="15"/>
  <c r="F626" i="15"/>
  <c r="F627" i="15"/>
  <c r="F628" i="15"/>
  <c r="F629" i="15"/>
  <c r="F630" i="15"/>
  <c r="F631" i="15"/>
  <c r="F632" i="15"/>
  <c r="F633" i="15"/>
  <c r="F634" i="15"/>
  <c r="F635" i="15"/>
  <c r="F636" i="15"/>
  <c r="F637" i="15"/>
  <c r="F638" i="15"/>
  <c r="F639" i="15"/>
  <c r="F640" i="15"/>
  <c r="F641" i="15"/>
  <c r="F642" i="15"/>
  <c r="F643" i="15"/>
  <c r="F644" i="15"/>
  <c r="F645" i="15"/>
  <c r="F646" i="15"/>
  <c r="F647" i="15"/>
  <c r="F648" i="15"/>
  <c r="F649" i="15"/>
  <c r="F650" i="15"/>
  <c r="F651" i="15"/>
  <c r="F652" i="15"/>
  <c r="F653" i="15"/>
  <c r="F654" i="15"/>
  <c r="F655" i="15"/>
  <c r="F656" i="15"/>
  <c r="F657" i="15"/>
  <c r="F658" i="15"/>
  <c r="F659" i="15"/>
  <c r="F660" i="15"/>
  <c r="F661" i="15"/>
  <c r="F662" i="15"/>
  <c r="F663" i="15"/>
  <c r="F664" i="15"/>
  <c r="F665" i="15"/>
  <c r="F666" i="15"/>
  <c r="F667" i="15"/>
  <c r="F668" i="15"/>
  <c r="F669" i="15"/>
  <c r="F670" i="15"/>
  <c r="F671" i="15"/>
  <c r="F672" i="15"/>
  <c r="F673" i="15"/>
  <c r="F674" i="15"/>
  <c r="F675" i="15"/>
  <c r="F676" i="15"/>
  <c r="F677" i="15"/>
  <c r="F678" i="15"/>
  <c r="F679" i="15"/>
  <c r="F680" i="15"/>
  <c r="F681" i="15"/>
  <c r="F682" i="15"/>
  <c r="F683" i="15"/>
  <c r="F684" i="15"/>
  <c r="F685" i="15"/>
  <c r="F686" i="15"/>
  <c r="F687" i="15"/>
  <c r="F688" i="15"/>
  <c r="F689" i="15"/>
  <c r="F690" i="15"/>
  <c r="F691" i="15"/>
  <c r="F692" i="15"/>
  <c r="F693" i="15"/>
  <c r="F694" i="15"/>
  <c r="F695" i="15"/>
  <c r="F696" i="15"/>
  <c r="F697" i="15"/>
  <c r="F698" i="15"/>
  <c r="F699" i="15"/>
  <c r="F700" i="15"/>
  <c r="F701" i="15"/>
  <c r="F702" i="15"/>
  <c r="F703" i="15"/>
  <c r="F704" i="15"/>
  <c r="F705" i="15"/>
  <c r="F706" i="15"/>
  <c r="F707" i="15"/>
  <c r="F708" i="15"/>
  <c r="F709" i="15"/>
  <c r="F710" i="15"/>
  <c r="F711" i="15"/>
  <c r="F712" i="15"/>
  <c r="F713" i="15"/>
  <c r="F714" i="15"/>
  <c r="F715" i="15"/>
  <c r="F716" i="15"/>
  <c r="F717" i="15"/>
  <c r="F718" i="15"/>
  <c r="F719" i="15"/>
  <c r="F720" i="15"/>
  <c r="F721" i="15"/>
  <c r="F722" i="15"/>
  <c r="F723" i="15"/>
  <c r="F724" i="15"/>
  <c r="F725" i="15"/>
  <c r="F726" i="15"/>
  <c r="F727" i="15"/>
  <c r="F728" i="15"/>
  <c r="F729" i="15"/>
  <c r="F730" i="15"/>
  <c r="F731" i="15"/>
  <c r="F732" i="15"/>
  <c r="F733" i="15"/>
  <c r="F734" i="15"/>
  <c r="F735" i="15"/>
  <c r="F736" i="15"/>
  <c r="F737" i="15"/>
  <c r="F738" i="15"/>
  <c r="F739" i="15"/>
  <c r="F740" i="15"/>
  <c r="F741" i="15"/>
  <c r="F742" i="15"/>
  <c r="F743" i="15"/>
  <c r="F744" i="15"/>
  <c r="F745" i="15"/>
  <c r="F746" i="15"/>
  <c r="F747" i="15"/>
  <c r="F748" i="15"/>
  <c r="F749" i="15"/>
  <c r="F750" i="15"/>
  <c r="F751" i="15"/>
  <c r="F752" i="15"/>
  <c r="F753" i="15"/>
  <c r="F754" i="15"/>
  <c r="F755" i="15"/>
  <c r="F756" i="15"/>
  <c r="F757" i="15"/>
  <c r="F758" i="15"/>
  <c r="F759" i="15"/>
  <c r="F760" i="15"/>
  <c r="F761" i="15"/>
  <c r="F762" i="15"/>
  <c r="F763" i="15"/>
  <c r="F764" i="15"/>
  <c r="F765" i="15"/>
  <c r="F766" i="15"/>
  <c r="F767" i="15"/>
  <c r="F768" i="15"/>
  <c r="F769" i="15"/>
  <c r="F770" i="15"/>
  <c r="F771" i="15"/>
  <c r="F772" i="15"/>
  <c r="F773" i="15"/>
  <c r="F774" i="15"/>
  <c r="F775" i="15"/>
  <c r="F776" i="15"/>
  <c r="F777" i="15"/>
  <c r="F778" i="15"/>
  <c r="F779" i="15"/>
  <c r="F780" i="15"/>
  <c r="F781" i="15"/>
  <c r="F782" i="15"/>
  <c r="F783" i="15"/>
  <c r="F784" i="15"/>
  <c r="F785" i="15"/>
  <c r="F786" i="15"/>
  <c r="F787" i="15"/>
  <c r="F788" i="15"/>
  <c r="F789" i="15"/>
  <c r="F790" i="15"/>
  <c r="F791" i="15"/>
  <c r="F792" i="15"/>
  <c r="F793" i="15"/>
  <c r="F794" i="15"/>
  <c r="F795" i="15"/>
  <c r="F796" i="15"/>
  <c r="F797" i="15"/>
  <c r="F798" i="15"/>
  <c r="F799" i="15"/>
  <c r="F800" i="15"/>
  <c r="F801" i="15"/>
  <c r="F802" i="15"/>
  <c r="F803" i="15"/>
  <c r="F804" i="15"/>
  <c r="F805" i="15"/>
  <c r="F806" i="15"/>
  <c r="F807" i="15"/>
  <c r="F808" i="15"/>
  <c r="F809" i="15"/>
  <c r="F810" i="15"/>
  <c r="F811" i="15"/>
  <c r="F812" i="15"/>
  <c r="F813" i="15"/>
  <c r="F814" i="15"/>
  <c r="F815" i="15"/>
  <c r="F816" i="15"/>
  <c r="F817" i="15"/>
  <c r="F818" i="15"/>
  <c r="F819" i="15"/>
  <c r="F820" i="15"/>
  <c r="F821" i="15"/>
  <c r="F822" i="15"/>
  <c r="F823" i="15"/>
  <c r="F824" i="15"/>
  <c r="F825" i="15"/>
  <c r="F826" i="15"/>
  <c r="F827" i="15"/>
  <c r="F828" i="15"/>
  <c r="F829" i="15"/>
  <c r="F830" i="15"/>
  <c r="B3" i="15"/>
  <c r="B4" i="15"/>
  <c r="B5" i="15"/>
  <c r="B6" i="15"/>
  <c r="B7" i="15"/>
  <c r="B8" i="15"/>
  <c r="B9" i="15"/>
  <c r="B10" i="15"/>
  <c r="B11" i="15"/>
  <c r="B12" i="15"/>
  <c r="B13" i="15"/>
  <c r="B14"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36" i="15"/>
  <c r="B137" i="15"/>
  <c r="B138" i="15"/>
  <c r="B139" i="15"/>
  <c r="B140" i="15"/>
  <c r="B141" i="15"/>
  <c r="B142" i="15"/>
  <c r="B143" i="15"/>
  <c r="B144" i="15"/>
  <c r="B145" i="15"/>
  <c r="B146" i="15"/>
  <c r="B147" i="15"/>
  <c r="B148" i="15"/>
  <c r="B149" i="15"/>
  <c r="B150" i="15"/>
  <c r="B151" i="15"/>
  <c r="B152" i="15"/>
  <c r="B153" i="15"/>
  <c r="B154" i="15"/>
  <c r="B155" i="15"/>
  <c r="B156" i="15"/>
  <c r="B157" i="15"/>
  <c r="B158" i="15"/>
  <c r="B159" i="15"/>
  <c r="B160" i="15"/>
  <c r="B161" i="15"/>
  <c r="B162" i="15"/>
  <c r="B163" i="15"/>
  <c r="B164" i="15"/>
  <c r="B165" i="15"/>
  <c r="B166" i="15"/>
  <c r="B167" i="15"/>
  <c r="B168" i="15"/>
  <c r="B169" i="15"/>
  <c r="B170" i="15"/>
  <c r="B171" i="15"/>
  <c r="B172" i="15"/>
  <c r="B173" i="15"/>
  <c r="B174" i="15"/>
  <c r="B175" i="15"/>
  <c r="B176" i="15"/>
  <c r="B177" i="15"/>
  <c r="B178" i="15"/>
  <c r="B179" i="15"/>
  <c r="B180" i="15"/>
  <c r="B181" i="15"/>
  <c r="B182" i="15"/>
  <c r="B183" i="15"/>
  <c r="B184" i="15"/>
  <c r="B185" i="15"/>
  <c r="B186" i="15"/>
  <c r="B187" i="15"/>
  <c r="B188" i="15"/>
  <c r="B189" i="15"/>
  <c r="B190" i="15"/>
  <c r="B191" i="15"/>
  <c r="B192" i="15"/>
  <c r="B193" i="15"/>
  <c r="B194" i="15"/>
  <c r="B195" i="15"/>
  <c r="B196" i="15"/>
  <c r="B197" i="15"/>
  <c r="B198" i="15"/>
  <c r="B199" i="15"/>
  <c r="B200" i="15"/>
  <c r="B201" i="15"/>
  <c r="B202" i="15"/>
  <c r="B203" i="15"/>
  <c r="B204" i="15"/>
  <c r="B205" i="15"/>
  <c r="B206" i="15"/>
  <c r="B207" i="15"/>
  <c r="B208" i="15"/>
  <c r="B209" i="15"/>
  <c r="B210" i="15"/>
  <c r="B211" i="15"/>
  <c r="B212" i="15"/>
  <c r="B213" i="15"/>
  <c r="B214" i="15"/>
  <c r="B215" i="15"/>
  <c r="B216" i="15"/>
  <c r="B217" i="15"/>
  <c r="B218" i="15"/>
  <c r="B219" i="15"/>
  <c r="B220" i="15"/>
  <c r="B221" i="15"/>
  <c r="B222" i="15"/>
  <c r="B223" i="15"/>
  <c r="B224" i="15"/>
  <c r="B225" i="15"/>
  <c r="B226" i="15"/>
  <c r="B227" i="15"/>
  <c r="B228" i="15"/>
  <c r="B229" i="15"/>
  <c r="B230" i="15"/>
  <c r="B231" i="15"/>
  <c r="B232" i="15"/>
  <c r="B233" i="15"/>
  <c r="B234" i="15"/>
  <c r="B235" i="15"/>
  <c r="B236" i="15"/>
  <c r="B237" i="15"/>
  <c r="B238" i="15"/>
  <c r="B239" i="15"/>
  <c r="B240" i="15"/>
  <c r="B241" i="15"/>
  <c r="B242" i="15"/>
  <c r="B243" i="15"/>
  <c r="B244" i="15"/>
  <c r="B245" i="15"/>
  <c r="B246" i="15"/>
  <c r="B247" i="15"/>
  <c r="B248" i="15"/>
  <c r="B249" i="15"/>
  <c r="B250" i="15"/>
  <c r="B251" i="15"/>
  <c r="B252" i="15"/>
  <c r="B253" i="15"/>
  <c r="B254" i="15"/>
  <c r="B255" i="15"/>
  <c r="B256" i="15"/>
  <c r="B257" i="15"/>
  <c r="B258" i="15"/>
  <c r="B259" i="15"/>
  <c r="B260" i="15"/>
  <c r="B261" i="15"/>
  <c r="B262" i="15"/>
  <c r="B263" i="15"/>
  <c r="B264" i="15"/>
  <c r="B265" i="15"/>
  <c r="B266" i="15"/>
  <c r="B267" i="15"/>
  <c r="B268" i="15"/>
  <c r="B269" i="15"/>
  <c r="B270" i="15"/>
  <c r="B271" i="15"/>
  <c r="B272" i="15"/>
  <c r="B273" i="15"/>
  <c r="B274" i="15"/>
  <c r="B275" i="15"/>
  <c r="B276" i="15"/>
  <c r="B277" i="15"/>
  <c r="B278" i="15"/>
  <c r="B279" i="15"/>
  <c r="B280" i="15"/>
  <c r="B281" i="15"/>
  <c r="B282" i="15"/>
  <c r="B283" i="15"/>
  <c r="B284" i="15"/>
  <c r="B285" i="15"/>
  <c r="B286" i="15"/>
  <c r="B287" i="15"/>
  <c r="B288" i="15"/>
  <c r="B289" i="15"/>
  <c r="B290" i="15"/>
  <c r="B291" i="15"/>
  <c r="B292" i="15"/>
  <c r="B293" i="15"/>
  <c r="B294" i="15"/>
  <c r="B295" i="15"/>
  <c r="B296" i="15"/>
  <c r="B297" i="15"/>
  <c r="B298" i="15"/>
  <c r="B299" i="15"/>
  <c r="B300" i="15"/>
  <c r="B301" i="15"/>
  <c r="B302" i="15"/>
  <c r="B303" i="15"/>
  <c r="B304" i="15"/>
  <c r="B305" i="15"/>
  <c r="B306" i="15"/>
  <c r="B307" i="15"/>
  <c r="B308" i="15"/>
  <c r="B309" i="15"/>
  <c r="B310" i="15"/>
  <c r="B311" i="15"/>
  <c r="B312" i="15"/>
  <c r="B313" i="15"/>
  <c r="B314" i="15"/>
  <c r="B315" i="15"/>
  <c r="B316" i="15"/>
  <c r="B317" i="15"/>
  <c r="B318" i="15"/>
  <c r="B319" i="15"/>
  <c r="B320" i="15"/>
  <c r="B321" i="15"/>
  <c r="B322" i="15"/>
  <c r="B323" i="15"/>
  <c r="B324" i="15"/>
  <c r="B325" i="15"/>
  <c r="B326" i="15"/>
  <c r="B327" i="15"/>
  <c r="B328" i="15"/>
  <c r="B329" i="15"/>
  <c r="B330" i="15"/>
  <c r="B331" i="15"/>
  <c r="B332" i="15"/>
  <c r="B333" i="15"/>
  <c r="B334" i="15"/>
  <c r="B335" i="15"/>
  <c r="B336" i="15"/>
  <c r="B337" i="15"/>
  <c r="B338" i="15"/>
  <c r="B339" i="15"/>
  <c r="B340" i="15"/>
  <c r="B341" i="15"/>
  <c r="B342" i="15"/>
  <c r="B343" i="15"/>
  <c r="B344" i="15"/>
  <c r="B345" i="15"/>
  <c r="B346" i="15"/>
  <c r="B347" i="15"/>
  <c r="B348" i="15"/>
  <c r="B349" i="15"/>
  <c r="B350" i="15"/>
  <c r="B351" i="15"/>
  <c r="B352" i="15"/>
  <c r="B353" i="15"/>
  <c r="B354" i="15"/>
  <c r="B355" i="15"/>
  <c r="B356" i="15"/>
  <c r="B357" i="15"/>
  <c r="B358" i="15"/>
  <c r="B359" i="15"/>
  <c r="B360" i="15"/>
  <c r="B361" i="15"/>
  <c r="B362" i="15"/>
  <c r="B363" i="15"/>
  <c r="B364" i="15"/>
  <c r="B365" i="15"/>
  <c r="B366" i="15"/>
  <c r="B367" i="15"/>
  <c r="B368" i="15"/>
  <c r="B369" i="15"/>
  <c r="B370" i="15"/>
  <c r="B371" i="15"/>
  <c r="B372" i="15"/>
  <c r="B373" i="15"/>
  <c r="B374" i="15"/>
  <c r="B375" i="15"/>
  <c r="B376" i="15"/>
  <c r="B377" i="15"/>
  <c r="B378" i="15"/>
  <c r="B379" i="15"/>
  <c r="B380" i="15"/>
  <c r="B381" i="15"/>
  <c r="B382" i="15"/>
  <c r="B383" i="15"/>
  <c r="B384" i="15"/>
  <c r="B385" i="15"/>
  <c r="B386" i="15"/>
  <c r="B387" i="15"/>
  <c r="B388" i="15"/>
  <c r="B389" i="15"/>
  <c r="B390" i="15"/>
  <c r="B391" i="15"/>
  <c r="B392" i="15"/>
  <c r="B393" i="15"/>
  <c r="B394" i="15"/>
  <c r="B395" i="15"/>
  <c r="B396" i="15"/>
  <c r="B397" i="15"/>
  <c r="B398" i="15"/>
  <c r="B399" i="15"/>
  <c r="B400" i="15"/>
  <c r="B401" i="15"/>
  <c r="B402" i="15"/>
  <c r="B403" i="15"/>
  <c r="B404" i="15"/>
  <c r="B405" i="15"/>
  <c r="B406" i="15"/>
  <c r="B407" i="15"/>
  <c r="B408" i="15"/>
  <c r="B409" i="15"/>
  <c r="B410" i="15"/>
  <c r="B411" i="15"/>
  <c r="B412" i="15"/>
  <c r="B413" i="15"/>
  <c r="B414" i="15"/>
  <c r="B415" i="15"/>
  <c r="B416" i="15"/>
  <c r="B417" i="15"/>
  <c r="B418" i="15"/>
  <c r="B419" i="15"/>
  <c r="B420" i="15"/>
  <c r="B421" i="15"/>
  <c r="B422" i="15"/>
  <c r="B423" i="15"/>
  <c r="B424" i="15"/>
  <c r="B425" i="15"/>
  <c r="B426" i="15"/>
  <c r="B427" i="15"/>
  <c r="B428" i="15"/>
  <c r="B429" i="15"/>
  <c r="B430" i="15"/>
  <c r="B431" i="15"/>
  <c r="B432" i="15"/>
  <c r="B433" i="15"/>
  <c r="B434" i="15"/>
  <c r="B435" i="15"/>
  <c r="B436" i="15"/>
  <c r="B437" i="15"/>
  <c r="B438" i="15"/>
  <c r="B439" i="15"/>
  <c r="B440" i="15"/>
  <c r="B441" i="15"/>
  <c r="B442" i="15"/>
  <c r="B443" i="15"/>
  <c r="B444" i="15"/>
  <c r="B445" i="15"/>
  <c r="B446" i="15"/>
  <c r="B447" i="15"/>
  <c r="B448" i="15"/>
  <c r="B449" i="15"/>
  <c r="B450" i="15"/>
  <c r="B451" i="15"/>
  <c r="B452" i="15"/>
  <c r="B453" i="15"/>
  <c r="B454" i="15"/>
  <c r="B455" i="15"/>
  <c r="B456" i="15"/>
  <c r="B457" i="15"/>
  <c r="B458" i="15"/>
  <c r="B459" i="15"/>
  <c r="B460" i="15"/>
  <c r="B461" i="15"/>
  <c r="B462" i="15"/>
  <c r="B463" i="15"/>
  <c r="B464" i="15"/>
  <c r="B465" i="15"/>
  <c r="B466" i="15"/>
  <c r="B467" i="15"/>
  <c r="B468" i="15"/>
  <c r="B469" i="15"/>
  <c r="B470" i="15"/>
  <c r="B471" i="15"/>
  <c r="B472" i="15"/>
  <c r="B473" i="15"/>
  <c r="B474" i="15"/>
  <c r="B475" i="15"/>
  <c r="B476" i="15"/>
  <c r="B477" i="15"/>
  <c r="B478" i="15"/>
  <c r="B479" i="15"/>
  <c r="B480" i="15"/>
  <c r="B481" i="15"/>
  <c r="B482" i="15"/>
  <c r="B483" i="15"/>
  <c r="B484" i="15"/>
  <c r="B485" i="15"/>
  <c r="B486" i="15"/>
  <c r="B487" i="15"/>
  <c r="B488" i="15"/>
  <c r="B489" i="15"/>
  <c r="B490" i="15"/>
  <c r="B491" i="15"/>
  <c r="B492" i="15"/>
  <c r="B493" i="15"/>
  <c r="B494" i="15"/>
  <c r="B495" i="15"/>
  <c r="B496" i="15"/>
  <c r="B497" i="15"/>
  <c r="B498" i="15"/>
  <c r="B499" i="15"/>
  <c r="B500" i="15"/>
  <c r="B501" i="15"/>
  <c r="B502" i="15"/>
  <c r="B503" i="15"/>
  <c r="B504" i="15"/>
  <c r="B505" i="15"/>
  <c r="B506" i="15"/>
  <c r="B507" i="15"/>
  <c r="B508" i="15"/>
  <c r="B509" i="15"/>
  <c r="B510" i="15"/>
  <c r="B511" i="15"/>
  <c r="B512" i="15"/>
  <c r="B513" i="15"/>
  <c r="B514" i="15"/>
  <c r="B515" i="15"/>
  <c r="B516" i="15"/>
  <c r="B517" i="15"/>
  <c r="B518" i="15"/>
  <c r="B519" i="15"/>
  <c r="B520" i="15"/>
  <c r="B521" i="15"/>
  <c r="B522" i="15"/>
  <c r="B523" i="15"/>
  <c r="B524" i="15"/>
  <c r="B525" i="15"/>
  <c r="B526" i="15"/>
  <c r="B527" i="15"/>
  <c r="B528" i="15"/>
  <c r="B529" i="15"/>
  <c r="B530" i="15"/>
  <c r="B531" i="15"/>
  <c r="B532" i="15"/>
  <c r="B533" i="15"/>
  <c r="B534" i="15"/>
  <c r="B535" i="15"/>
  <c r="B536" i="15"/>
  <c r="B537" i="15"/>
  <c r="B538" i="15"/>
  <c r="B539" i="15"/>
  <c r="B540" i="15"/>
  <c r="B541" i="15"/>
  <c r="B542" i="15"/>
  <c r="B543" i="15"/>
  <c r="B544" i="15"/>
  <c r="B545" i="15"/>
  <c r="B546" i="15"/>
  <c r="B547" i="15"/>
  <c r="B548" i="15"/>
  <c r="B549" i="15"/>
  <c r="B550" i="15"/>
  <c r="B551" i="15"/>
  <c r="B552" i="15"/>
  <c r="B553" i="15"/>
  <c r="B554" i="15"/>
  <c r="B555" i="15"/>
  <c r="B556" i="15"/>
  <c r="B557" i="15"/>
  <c r="B558" i="15"/>
  <c r="B559" i="15"/>
  <c r="B560" i="15"/>
  <c r="B561" i="15"/>
  <c r="B562" i="15"/>
  <c r="B563" i="15"/>
  <c r="B564" i="15"/>
  <c r="B565" i="15"/>
  <c r="B566" i="15"/>
  <c r="B567" i="15"/>
  <c r="B568" i="15"/>
  <c r="B569" i="15"/>
  <c r="B570" i="15"/>
  <c r="B571" i="15"/>
  <c r="B572" i="15"/>
  <c r="B573" i="15"/>
  <c r="B574" i="15"/>
  <c r="B575" i="15"/>
  <c r="B576" i="15"/>
  <c r="B577" i="15"/>
  <c r="B578" i="15"/>
  <c r="B579" i="15"/>
  <c r="B580" i="15"/>
  <c r="B581" i="15"/>
  <c r="B582" i="15"/>
  <c r="B583" i="15"/>
  <c r="B584" i="15"/>
  <c r="B585" i="15"/>
  <c r="B586" i="15"/>
  <c r="B587" i="15"/>
  <c r="B588" i="15"/>
  <c r="B589" i="15"/>
  <c r="B590" i="15"/>
  <c r="B591" i="15"/>
  <c r="B592" i="15"/>
  <c r="B593" i="15"/>
  <c r="B594" i="15"/>
  <c r="B595" i="15"/>
  <c r="B596" i="15"/>
  <c r="B597" i="15"/>
  <c r="B598" i="15"/>
  <c r="B599" i="15"/>
  <c r="B600" i="15"/>
  <c r="B601" i="15"/>
  <c r="B602" i="15"/>
  <c r="B603" i="15"/>
  <c r="B604" i="15"/>
  <c r="B605" i="15"/>
  <c r="B606" i="15"/>
  <c r="B607" i="15"/>
  <c r="B608" i="15"/>
  <c r="B609" i="15"/>
  <c r="B610" i="15"/>
  <c r="B611" i="15"/>
  <c r="B612" i="15"/>
  <c r="B613" i="15"/>
  <c r="B614" i="15"/>
  <c r="B615" i="15"/>
  <c r="B616" i="15"/>
  <c r="B617" i="15"/>
  <c r="B618" i="15"/>
  <c r="B619" i="15"/>
  <c r="B620" i="15"/>
  <c r="B621" i="15"/>
  <c r="B622" i="15"/>
  <c r="B623" i="15"/>
  <c r="B624" i="15"/>
  <c r="B625" i="15"/>
  <c r="B626" i="15"/>
  <c r="B627" i="15"/>
  <c r="B628" i="15"/>
  <c r="B629" i="15"/>
  <c r="B630" i="15"/>
  <c r="B631" i="15"/>
  <c r="B632" i="15"/>
  <c r="B633" i="15"/>
  <c r="B634" i="15"/>
  <c r="B635" i="15"/>
  <c r="B636" i="15"/>
  <c r="B637" i="15"/>
  <c r="B638" i="15"/>
  <c r="B639" i="15"/>
  <c r="B640" i="15"/>
  <c r="B641" i="15"/>
  <c r="B642" i="15"/>
  <c r="B643" i="15"/>
  <c r="B644" i="15"/>
  <c r="B645" i="15"/>
  <c r="B646" i="15"/>
  <c r="B647" i="15"/>
  <c r="B648" i="15"/>
  <c r="B649" i="15"/>
  <c r="B650" i="15"/>
  <c r="B651" i="15"/>
  <c r="B652" i="15"/>
  <c r="B653" i="15"/>
  <c r="B654" i="15"/>
  <c r="B655" i="15"/>
  <c r="B656" i="15"/>
  <c r="B657" i="15"/>
  <c r="B658" i="15"/>
  <c r="B659" i="15"/>
  <c r="B660" i="15"/>
  <c r="B661" i="15"/>
  <c r="B662" i="15"/>
  <c r="B663" i="15"/>
  <c r="B664" i="15"/>
  <c r="B665" i="15"/>
  <c r="B666" i="15"/>
  <c r="B667" i="15"/>
  <c r="B668" i="15"/>
  <c r="B669" i="15"/>
  <c r="B670" i="15"/>
  <c r="B671" i="15"/>
  <c r="B672" i="15"/>
  <c r="B673" i="15"/>
  <c r="B674" i="15"/>
  <c r="B675" i="15"/>
  <c r="B676" i="15"/>
  <c r="B677" i="15"/>
  <c r="B678" i="15"/>
  <c r="B679" i="15"/>
  <c r="B680" i="15"/>
  <c r="B681" i="15"/>
  <c r="B682" i="15"/>
  <c r="B683" i="15"/>
  <c r="B684" i="15"/>
  <c r="B685" i="15"/>
  <c r="B686" i="15"/>
  <c r="B687" i="15"/>
  <c r="B688" i="15"/>
  <c r="B689" i="15"/>
  <c r="B690" i="15"/>
  <c r="B691" i="15"/>
  <c r="B692" i="15"/>
  <c r="B693" i="15"/>
  <c r="B694" i="15"/>
  <c r="B695" i="15"/>
  <c r="B696" i="15"/>
  <c r="B697" i="15"/>
  <c r="B698" i="15"/>
  <c r="B699" i="15"/>
  <c r="B700" i="15"/>
  <c r="B701" i="15"/>
  <c r="B702" i="15"/>
  <c r="B703" i="15"/>
  <c r="B704" i="15"/>
  <c r="B705" i="15"/>
  <c r="B706" i="15"/>
  <c r="B707" i="15"/>
  <c r="B708" i="15"/>
  <c r="B709" i="15"/>
  <c r="B710" i="15"/>
  <c r="B711" i="15"/>
  <c r="B712" i="15"/>
  <c r="B713" i="15"/>
  <c r="B714" i="15"/>
  <c r="B715" i="15"/>
  <c r="B716" i="15"/>
  <c r="B717" i="15"/>
  <c r="B718" i="15"/>
  <c r="B719" i="15"/>
  <c r="B720" i="15"/>
  <c r="B721" i="15"/>
  <c r="B722" i="15"/>
  <c r="B723" i="15"/>
  <c r="B724" i="15"/>
  <c r="B725" i="15"/>
  <c r="B726" i="15"/>
  <c r="B727" i="15"/>
  <c r="B728" i="15"/>
  <c r="B729" i="15"/>
  <c r="B730" i="15"/>
  <c r="B731" i="15"/>
  <c r="B732" i="15"/>
  <c r="B733" i="15"/>
  <c r="B734" i="15"/>
  <c r="B735" i="15"/>
  <c r="B736" i="15"/>
  <c r="B737" i="15"/>
  <c r="B738" i="15"/>
  <c r="B739" i="15"/>
  <c r="B740" i="15"/>
  <c r="B741" i="15"/>
  <c r="B742" i="15"/>
  <c r="B743" i="15"/>
  <c r="B744" i="15"/>
  <c r="B745" i="15"/>
  <c r="B746" i="15"/>
  <c r="B747" i="15"/>
  <c r="B748" i="15"/>
  <c r="B749" i="15"/>
  <c r="B750" i="15"/>
  <c r="B751" i="15"/>
  <c r="B752" i="15"/>
  <c r="B753" i="15"/>
  <c r="B754" i="15"/>
  <c r="B755" i="15"/>
  <c r="B756" i="15"/>
  <c r="B757" i="15"/>
  <c r="B758" i="15"/>
  <c r="B759" i="15"/>
  <c r="B760" i="15"/>
  <c r="B761" i="15"/>
  <c r="B762" i="15"/>
  <c r="B763" i="15"/>
  <c r="B764" i="15"/>
  <c r="B765" i="15"/>
  <c r="B766" i="15"/>
  <c r="B767" i="15"/>
  <c r="B768" i="15"/>
  <c r="B769" i="15"/>
  <c r="B770" i="15"/>
  <c r="B771" i="15"/>
  <c r="B772" i="15"/>
  <c r="B773" i="15"/>
  <c r="B774" i="15"/>
  <c r="B775" i="15"/>
  <c r="B776" i="15"/>
  <c r="B777" i="15"/>
  <c r="B778" i="15"/>
  <c r="B779" i="15"/>
  <c r="B780" i="15"/>
  <c r="B781" i="15"/>
  <c r="B782" i="15"/>
  <c r="B783" i="15"/>
  <c r="B784" i="15"/>
  <c r="B785" i="15"/>
  <c r="B786" i="15"/>
  <c r="B787" i="15"/>
  <c r="B788" i="15"/>
  <c r="B789" i="15"/>
  <c r="B790" i="15"/>
  <c r="B791" i="15"/>
  <c r="B792" i="15"/>
  <c r="B793" i="15"/>
  <c r="B794" i="15"/>
  <c r="B795" i="15"/>
  <c r="B796" i="15"/>
  <c r="B797" i="15"/>
  <c r="B798" i="15"/>
  <c r="B799" i="15"/>
  <c r="B800" i="15"/>
  <c r="B801" i="15"/>
  <c r="B802" i="15"/>
  <c r="B803" i="15"/>
  <c r="B804" i="15"/>
  <c r="B805" i="15"/>
  <c r="B806" i="15"/>
  <c r="B807" i="15"/>
  <c r="B808" i="15"/>
  <c r="B809" i="15"/>
  <c r="B810" i="15"/>
  <c r="B811" i="15"/>
  <c r="B812" i="15"/>
  <c r="B813" i="15"/>
  <c r="B814" i="15"/>
  <c r="B815" i="15"/>
  <c r="B816" i="15"/>
  <c r="B817" i="15"/>
  <c r="B818" i="15"/>
  <c r="B819" i="15"/>
  <c r="B820" i="15"/>
  <c r="B821" i="15"/>
  <c r="B822" i="15"/>
  <c r="B823" i="15"/>
  <c r="B824" i="15"/>
  <c r="B825" i="15"/>
  <c r="B826" i="15"/>
  <c r="B827" i="15"/>
  <c r="B828" i="15"/>
  <c r="B829" i="15"/>
  <c r="B830" i="15"/>
  <c r="A829" i="15" l="1"/>
  <c r="A830" i="15"/>
  <c r="A822" i="15"/>
  <c r="A823" i="15"/>
  <c r="A824" i="15"/>
  <c r="A825" i="15"/>
  <c r="A826" i="15"/>
  <c r="A827" i="15"/>
  <c r="A828" i="15"/>
  <c r="C123" i="19"/>
  <c r="D123" i="19"/>
  <c r="L123" i="19"/>
  <c r="M123" i="19"/>
  <c r="N123" i="19"/>
  <c r="O123" i="19"/>
  <c r="Q123" i="19"/>
  <c r="R123" i="19"/>
  <c r="S123" i="19"/>
  <c r="T123" i="19"/>
  <c r="U123" i="19"/>
  <c r="V123" i="19"/>
  <c r="C119" i="19"/>
  <c r="D119" i="19"/>
  <c r="E119" i="19"/>
  <c r="F119" i="19"/>
  <c r="G119" i="19"/>
  <c r="H119" i="19"/>
  <c r="I119" i="19"/>
  <c r="J119" i="19"/>
  <c r="K119" i="19"/>
  <c r="L119" i="19"/>
  <c r="M119" i="19"/>
  <c r="N119" i="19"/>
  <c r="O119" i="19"/>
  <c r="P119" i="19"/>
  <c r="Q119" i="19"/>
  <c r="R119" i="19"/>
  <c r="S119" i="19"/>
  <c r="T119" i="19"/>
  <c r="U119" i="19"/>
  <c r="V119" i="19"/>
  <c r="W119" i="19"/>
  <c r="X119" i="19"/>
  <c r="Y119" i="19"/>
  <c r="C120" i="19"/>
  <c r="D120" i="19"/>
  <c r="E120" i="19"/>
  <c r="F120" i="19"/>
  <c r="G120" i="19"/>
  <c r="H120" i="19"/>
  <c r="I120" i="19"/>
  <c r="J120" i="19"/>
  <c r="K120" i="19"/>
  <c r="L120" i="19"/>
  <c r="M120" i="19"/>
  <c r="N120" i="19"/>
  <c r="O120" i="19"/>
  <c r="P120" i="19"/>
  <c r="Q120" i="19"/>
  <c r="R120" i="19"/>
  <c r="S120" i="19"/>
  <c r="T120" i="19"/>
  <c r="U120" i="19"/>
  <c r="V120" i="19"/>
  <c r="W120" i="19"/>
  <c r="X120" i="19"/>
  <c r="Y120" i="19"/>
  <c r="C121" i="19"/>
  <c r="D121" i="19"/>
  <c r="E121" i="19"/>
  <c r="F121" i="19"/>
  <c r="G121" i="19"/>
  <c r="H121" i="19"/>
  <c r="I121" i="19"/>
  <c r="J121" i="19"/>
  <c r="K121" i="19"/>
  <c r="L121" i="19"/>
  <c r="M121" i="19"/>
  <c r="N121" i="19"/>
  <c r="O121" i="19"/>
  <c r="P121" i="19"/>
  <c r="Q121" i="19"/>
  <c r="R121" i="19"/>
  <c r="S121" i="19"/>
  <c r="T121" i="19"/>
  <c r="U121" i="19"/>
  <c r="V121" i="19"/>
  <c r="W121" i="19"/>
  <c r="X121" i="19"/>
  <c r="Y121" i="19"/>
  <c r="C122" i="19"/>
  <c r="D122" i="19"/>
  <c r="E122" i="19"/>
  <c r="F122" i="19"/>
  <c r="G122" i="19"/>
  <c r="H122" i="19"/>
  <c r="I122" i="19"/>
  <c r="J122" i="19"/>
  <c r="K122" i="19"/>
  <c r="L122" i="19"/>
  <c r="M122" i="19"/>
  <c r="N122" i="19"/>
  <c r="O122" i="19"/>
  <c r="P122" i="19"/>
  <c r="Q122" i="19"/>
  <c r="R122" i="19"/>
  <c r="S122" i="19"/>
  <c r="T122" i="19"/>
  <c r="U122" i="19"/>
  <c r="V122" i="19"/>
  <c r="X122" i="19"/>
  <c r="Y122" i="19"/>
  <c r="O117" i="18"/>
  <c r="O118" i="18"/>
  <c r="O119" i="18"/>
  <c r="O120" i="18"/>
  <c r="O121" i="18"/>
  <c r="O122" i="18"/>
  <c r="C122" i="18"/>
  <c r="D122" i="18"/>
  <c r="E122" i="18"/>
  <c r="F122" i="18"/>
  <c r="G122" i="18"/>
  <c r="H122" i="18"/>
  <c r="I122" i="18"/>
  <c r="J122" i="18"/>
  <c r="K122" i="18"/>
  <c r="L122" i="18"/>
  <c r="M122" i="18"/>
  <c r="N122" i="18"/>
  <c r="P122" i="18"/>
  <c r="Q122" i="18"/>
  <c r="R122" i="18"/>
  <c r="S122" i="18"/>
  <c r="T122" i="18"/>
  <c r="U122" i="18"/>
  <c r="V122" i="18"/>
  <c r="W122" i="18"/>
  <c r="X122" i="18"/>
  <c r="Y122" i="18"/>
  <c r="C123" i="18"/>
  <c r="L123" i="18"/>
  <c r="M123" i="18"/>
  <c r="N123" i="18"/>
  <c r="Q123" i="18"/>
  <c r="R123" i="18"/>
  <c r="S123" i="18"/>
  <c r="U123" i="18"/>
  <c r="V123" i="18"/>
  <c r="W123" i="18"/>
  <c r="C119" i="18"/>
  <c r="D119" i="18"/>
  <c r="E119" i="18"/>
  <c r="F119" i="18"/>
  <c r="G119" i="18"/>
  <c r="H119" i="18"/>
  <c r="I119" i="18"/>
  <c r="J119" i="18"/>
  <c r="K119" i="18"/>
  <c r="L119" i="18"/>
  <c r="M119" i="18"/>
  <c r="N119" i="18"/>
  <c r="P119" i="18"/>
  <c r="Q119" i="18"/>
  <c r="R119" i="18"/>
  <c r="S119" i="18"/>
  <c r="T119" i="18"/>
  <c r="U119" i="18"/>
  <c r="V119" i="18"/>
  <c r="W119" i="18"/>
  <c r="X119" i="18"/>
  <c r="Y119" i="18"/>
  <c r="C120" i="18"/>
  <c r="D120" i="18"/>
  <c r="E120" i="18"/>
  <c r="F120" i="18"/>
  <c r="G120" i="18"/>
  <c r="H120" i="18"/>
  <c r="I120" i="18"/>
  <c r="J120" i="18"/>
  <c r="K120" i="18"/>
  <c r="L120" i="18"/>
  <c r="M120" i="18"/>
  <c r="N120" i="18"/>
  <c r="P120" i="18"/>
  <c r="Q120" i="18"/>
  <c r="R120" i="18"/>
  <c r="S120" i="18"/>
  <c r="T120" i="18"/>
  <c r="U120" i="18"/>
  <c r="V120" i="18"/>
  <c r="W120" i="18"/>
  <c r="X120" i="18"/>
  <c r="Y120" i="18"/>
  <c r="C121" i="18"/>
  <c r="D121" i="18"/>
  <c r="E121" i="18"/>
  <c r="F121" i="18"/>
  <c r="G121" i="18"/>
  <c r="H121" i="18"/>
  <c r="I121" i="18"/>
  <c r="J121" i="18"/>
  <c r="K121" i="18"/>
  <c r="L121" i="18"/>
  <c r="M121" i="18"/>
  <c r="N121" i="18"/>
  <c r="P121" i="18"/>
  <c r="Q121" i="18"/>
  <c r="R121" i="18"/>
  <c r="S121" i="18"/>
  <c r="T121" i="18"/>
  <c r="U121" i="18"/>
  <c r="V121" i="18"/>
  <c r="W121" i="18"/>
  <c r="X121" i="18"/>
  <c r="Y121" i="18"/>
  <c r="C823" i="15" l="1"/>
  <c r="D823" i="15" s="1"/>
  <c r="G828" i="15"/>
  <c r="H828" i="15" s="1"/>
  <c r="G825" i="15"/>
  <c r="H825" i="15" s="1"/>
  <c r="G823" i="15"/>
  <c r="H823" i="15" s="1"/>
  <c r="G826" i="15"/>
  <c r="H826" i="15" s="1"/>
  <c r="C825" i="15"/>
  <c r="D825" i="15" s="1"/>
  <c r="C828" i="15"/>
  <c r="D828" i="15" s="1"/>
  <c r="C826" i="15"/>
  <c r="D826" i="15" s="1"/>
  <c r="G824" i="15"/>
  <c r="H824" i="15" s="1"/>
  <c r="C829" i="15"/>
  <c r="D829" i="15" s="1"/>
  <c r="C830" i="15"/>
  <c r="D830" i="15" s="1"/>
  <c r="C827" i="15"/>
  <c r="D827" i="15" s="1"/>
  <c r="C824" i="15" l="1"/>
  <c r="D824" i="15" s="1"/>
  <c r="G829" i="15"/>
  <c r="H829" i="15" s="1"/>
  <c r="G830" i="15"/>
  <c r="H830" i="15" s="1"/>
  <c r="G827" i="15"/>
  <c r="H827" i="15" s="1"/>
  <c r="C118" i="19"/>
  <c r="D118" i="19"/>
  <c r="E118" i="19"/>
  <c r="F118" i="19"/>
  <c r="G118" i="19"/>
  <c r="H118" i="19"/>
  <c r="I118" i="19"/>
  <c r="J118" i="19"/>
  <c r="K118" i="19"/>
  <c r="L118" i="19"/>
  <c r="M118" i="19"/>
  <c r="N118" i="19"/>
  <c r="O118" i="19"/>
  <c r="P118" i="19"/>
  <c r="Q118" i="19"/>
  <c r="R118" i="19"/>
  <c r="S118" i="19"/>
  <c r="T118" i="19"/>
  <c r="U118" i="19"/>
  <c r="V118" i="19"/>
  <c r="W118" i="19"/>
  <c r="X118" i="19"/>
  <c r="Y118" i="19"/>
  <c r="C114" i="19"/>
  <c r="D114" i="19"/>
  <c r="E114" i="19"/>
  <c r="F114" i="19"/>
  <c r="G114" i="19"/>
  <c r="H114" i="19"/>
  <c r="I114" i="19"/>
  <c r="J114" i="19"/>
  <c r="K114" i="19"/>
  <c r="L114" i="19"/>
  <c r="M114" i="19"/>
  <c r="N114" i="19"/>
  <c r="O114" i="19"/>
  <c r="P114" i="19"/>
  <c r="Q114" i="19"/>
  <c r="R114" i="19"/>
  <c r="S114" i="19"/>
  <c r="T114" i="19"/>
  <c r="U114" i="19"/>
  <c r="V114" i="19"/>
  <c r="W114" i="19"/>
  <c r="X114" i="19"/>
  <c r="Y114" i="19"/>
  <c r="C115" i="19"/>
  <c r="D115" i="19"/>
  <c r="E115" i="19"/>
  <c r="F115" i="19"/>
  <c r="G115" i="19"/>
  <c r="H115" i="19"/>
  <c r="I115" i="19"/>
  <c r="J115" i="19"/>
  <c r="K115" i="19"/>
  <c r="L115" i="19"/>
  <c r="M115" i="19"/>
  <c r="N115" i="19"/>
  <c r="O115" i="19"/>
  <c r="P115" i="19"/>
  <c r="Q115" i="19"/>
  <c r="R115" i="19"/>
  <c r="S115" i="19"/>
  <c r="T115" i="19"/>
  <c r="U115" i="19"/>
  <c r="V115" i="19"/>
  <c r="W115" i="19"/>
  <c r="X115" i="19"/>
  <c r="Y115" i="19"/>
  <c r="C116" i="19"/>
  <c r="D116" i="19"/>
  <c r="E116" i="19"/>
  <c r="F116" i="19"/>
  <c r="G116" i="19"/>
  <c r="H116" i="19"/>
  <c r="I116" i="19"/>
  <c r="J116" i="19"/>
  <c r="K116" i="19"/>
  <c r="L116" i="19"/>
  <c r="M116" i="19"/>
  <c r="N116" i="19"/>
  <c r="O116" i="19"/>
  <c r="P116" i="19"/>
  <c r="Q116" i="19"/>
  <c r="R116" i="19"/>
  <c r="S116" i="19"/>
  <c r="T116" i="19"/>
  <c r="U116" i="19"/>
  <c r="V116" i="19"/>
  <c r="W116" i="19"/>
  <c r="X116" i="19"/>
  <c r="Y116" i="19"/>
  <c r="C117" i="19"/>
  <c r="D117" i="19"/>
  <c r="E117" i="19"/>
  <c r="F117" i="19"/>
  <c r="G117" i="19"/>
  <c r="H117" i="19"/>
  <c r="I117" i="19"/>
  <c r="J117" i="19"/>
  <c r="K117" i="19"/>
  <c r="L117" i="19"/>
  <c r="M117" i="19"/>
  <c r="N117" i="19"/>
  <c r="O117" i="19"/>
  <c r="P117" i="19"/>
  <c r="Q117" i="19"/>
  <c r="R117" i="19"/>
  <c r="S117" i="19"/>
  <c r="T117" i="19"/>
  <c r="U117" i="19"/>
  <c r="V117" i="19"/>
  <c r="W117" i="19"/>
  <c r="X117" i="19"/>
  <c r="Y117" i="19"/>
  <c r="C114" i="18"/>
  <c r="D114" i="18"/>
  <c r="E114" i="18"/>
  <c r="F114" i="18"/>
  <c r="G114" i="18"/>
  <c r="H114" i="18"/>
  <c r="I114" i="18"/>
  <c r="J114" i="18"/>
  <c r="K114" i="18"/>
  <c r="L114" i="18"/>
  <c r="M114" i="18"/>
  <c r="N114" i="18"/>
  <c r="O114" i="18"/>
  <c r="P114" i="18"/>
  <c r="Q114" i="18"/>
  <c r="R114" i="18"/>
  <c r="S114" i="18"/>
  <c r="T114" i="18"/>
  <c r="U114" i="18"/>
  <c r="V114" i="18"/>
  <c r="W114" i="18"/>
  <c r="X114" i="18"/>
  <c r="Y114" i="18"/>
  <c r="C115" i="18"/>
  <c r="D115" i="18"/>
  <c r="E115" i="18"/>
  <c r="F115" i="18"/>
  <c r="G115" i="18"/>
  <c r="H115" i="18"/>
  <c r="I115" i="18"/>
  <c r="J115" i="18"/>
  <c r="K115" i="18"/>
  <c r="L115" i="18"/>
  <c r="M115" i="18"/>
  <c r="N115" i="18"/>
  <c r="O115" i="18"/>
  <c r="P115" i="18"/>
  <c r="Q115" i="18"/>
  <c r="R115" i="18"/>
  <c r="S115" i="18"/>
  <c r="T115" i="18"/>
  <c r="U115" i="18"/>
  <c r="V115" i="18"/>
  <c r="W115" i="18"/>
  <c r="X115" i="18"/>
  <c r="Y115" i="18"/>
  <c r="C116" i="18"/>
  <c r="D116" i="18"/>
  <c r="E116" i="18"/>
  <c r="F116" i="18"/>
  <c r="G116" i="18"/>
  <c r="H116" i="18"/>
  <c r="I116" i="18"/>
  <c r="J116" i="18"/>
  <c r="K116" i="18"/>
  <c r="L116" i="18"/>
  <c r="M116" i="18"/>
  <c r="N116" i="18"/>
  <c r="O116" i="18"/>
  <c r="P116" i="18"/>
  <c r="Q116" i="18"/>
  <c r="R116" i="18"/>
  <c r="S116" i="18"/>
  <c r="T116" i="18"/>
  <c r="U116" i="18"/>
  <c r="V116" i="18"/>
  <c r="W116" i="18"/>
  <c r="X116" i="18"/>
  <c r="Y116" i="18"/>
  <c r="C117" i="18"/>
  <c r="D117" i="18"/>
  <c r="E117" i="18"/>
  <c r="F117" i="18"/>
  <c r="G117" i="18"/>
  <c r="H117" i="18"/>
  <c r="I117" i="18"/>
  <c r="J117" i="18"/>
  <c r="K117" i="18"/>
  <c r="L117" i="18"/>
  <c r="M117" i="18"/>
  <c r="N117" i="18"/>
  <c r="P117" i="18"/>
  <c r="Q117" i="18"/>
  <c r="R117" i="18"/>
  <c r="S117" i="18"/>
  <c r="T117" i="18"/>
  <c r="U117" i="18"/>
  <c r="V117" i="18"/>
  <c r="W117" i="18"/>
  <c r="X117" i="18"/>
  <c r="Y117" i="18"/>
  <c r="C118" i="18"/>
  <c r="D118" i="18"/>
  <c r="E118" i="18"/>
  <c r="F118" i="18"/>
  <c r="G118" i="18"/>
  <c r="H118" i="18"/>
  <c r="I118" i="18"/>
  <c r="J118" i="18"/>
  <c r="K118" i="18"/>
  <c r="L118" i="18"/>
  <c r="M118" i="18"/>
  <c r="N118" i="18"/>
  <c r="P118" i="18"/>
  <c r="Q118" i="18"/>
  <c r="R118" i="18"/>
  <c r="S118" i="18"/>
  <c r="T118" i="18"/>
  <c r="U118" i="18"/>
  <c r="V118" i="18"/>
  <c r="W118" i="18"/>
  <c r="X118" i="18"/>
  <c r="Y118" i="18"/>
  <c r="K2" i="15" l="1"/>
  <c r="A821" i="15"/>
  <c r="A818" i="15"/>
  <c r="A819" i="15"/>
  <c r="A820" i="15"/>
  <c r="A814" i="15"/>
  <c r="A815" i="15"/>
  <c r="A816" i="15"/>
  <c r="A817" i="15"/>
  <c r="C113" i="18"/>
  <c r="D113" i="18"/>
  <c r="E113" i="18"/>
  <c r="F113" i="18"/>
  <c r="G113" i="18"/>
  <c r="H113" i="18"/>
  <c r="I113" i="18"/>
  <c r="J113" i="18"/>
  <c r="K113" i="18"/>
  <c r="L113" i="18"/>
  <c r="M113" i="18"/>
  <c r="N113" i="18"/>
  <c r="O113" i="18"/>
  <c r="P113" i="18"/>
  <c r="Q113" i="18"/>
  <c r="R113" i="18"/>
  <c r="S113" i="18"/>
  <c r="T113" i="18"/>
  <c r="U113" i="18"/>
  <c r="V113" i="18"/>
  <c r="W113" i="18"/>
  <c r="X113" i="18"/>
  <c r="Y113" i="18"/>
  <c r="C112" i="18"/>
  <c r="D112" i="18"/>
  <c r="E112" i="18"/>
  <c r="F112" i="18"/>
  <c r="G112" i="18"/>
  <c r="H112" i="18"/>
  <c r="I112" i="18"/>
  <c r="J112" i="18"/>
  <c r="K112" i="18"/>
  <c r="L112" i="18"/>
  <c r="M112" i="18"/>
  <c r="N112" i="18"/>
  <c r="O112" i="18"/>
  <c r="P112" i="18"/>
  <c r="Q112" i="18"/>
  <c r="R112" i="18"/>
  <c r="S112" i="18"/>
  <c r="T112" i="18"/>
  <c r="U112" i="18"/>
  <c r="V112" i="18"/>
  <c r="W112" i="18"/>
  <c r="X112" i="18"/>
  <c r="Y112" i="18"/>
  <c r="L2" i="15" l="1"/>
  <c r="M2" i="15" s="1"/>
  <c r="N2" i="15" l="1"/>
  <c r="C113" i="19"/>
  <c r="D113" i="19"/>
  <c r="E113" i="19"/>
  <c r="F113" i="19"/>
  <c r="G113" i="19"/>
  <c r="H113" i="19"/>
  <c r="I113" i="19"/>
  <c r="J113" i="19"/>
  <c r="K113" i="19"/>
  <c r="L113" i="19"/>
  <c r="M113" i="19"/>
  <c r="N113" i="19"/>
  <c r="O113" i="19"/>
  <c r="P113" i="19"/>
  <c r="Q113" i="19"/>
  <c r="R113" i="19"/>
  <c r="S113" i="19"/>
  <c r="T113" i="19"/>
  <c r="U113" i="19"/>
  <c r="V113" i="19"/>
  <c r="W113" i="19"/>
  <c r="X113" i="19"/>
  <c r="Y113" i="19"/>
  <c r="C111" i="19"/>
  <c r="D111" i="19"/>
  <c r="E111" i="19"/>
  <c r="F111" i="19"/>
  <c r="G111" i="19"/>
  <c r="H111" i="19"/>
  <c r="I111" i="19"/>
  <c r="J111" i="19"/>
  <c r="K111" i="19"/>
  <c r="L111" i="19"/>
  <c r="M111" i="19"/>
  <c r="N111" i="19"/>
  <c r="O111" i="19"/>
  <c r="P111" i="19"/>
  <c r="Q111" i="19"/>
  <c r="R111" i="19"/>
  <c r="S111" i="19"/>
  <c r="T111" i="19"/>
  <c r="U111" i="19"/>
  <c r="V111" i="19"/>
  <c r="W111" i="19"/>
  <c r="X111" i="19"/>
  <c r="Y111" i="19"/>
  <c r="C112" i="19"/>
  <c r="D112" i="19"/>
  <c r="E112" i="19"/>
  <c r="F112" i="19"/>
  <c r="G112" i="19"/>
  <c r="H112" i="19"/>
  <c r="I112" i="19"/>
  <c r="J112" i="19"/>
  <c r="K112" i="19"/>
  <c r="L112" i="19"/>
  <c r="M112" i="19"/>
  <c r="N112" i="19"/>
  <c r="O112" i="19"/>
  <c r="P112" i="19"/>
  <c r="Q112" i="19"/>
  <c r="R112" i="19"/>
  <c r="S112" i="19"/>
  <c r="T112" i="19"/>
  <c r="U112" i="19"/>
  <c r="V112" i="19"/>
  <c r="W112" i="19"/>
  <c r="X112" i="19"/>
  <c r="Y112" i="19"/>
  <c r="C106" i="19" l="1"/>
  <c r="D106" i="19"/>
  <c r="E106" i="19"/>
  <c r="F106" i="19"/>
  <c r="G106" i="19"/>
  <c r="H106" i="19"/>
  <c r="I106" i="19"/>
  <c r="J106" i="19"/>
  <c r="K106" i="19"/>
  <c r="L106" i="19"/>
  <c r="M106" i="19"/>
  <c r="N106" i="19"/>
  <c r="O106" i="19"/>
  <c r="P106" i="19"/>
  <c r="Q106" i="19"/>
  <c r="R106" i="19"/>
  <c r="S106" i="19"/>
  <c r="T106" i="19"/>
  <c r="U106" i="19"/>
  <c r="V106" i="19"/>
  <c r="W106" i="19"/>
  <c r="X106" i="19"/>
  <c r="Y106" i="19"/>
  <c r="C107" i="19"/>
  <c r="D107" i="19"/>
  <c r="E107" i="19"/>
  <c r="F107" i="19"/>
  <c r="G107" i="19"/>
  <c r="H107" i="19"/>
  <c r="I107" i="19"/>
  <c r="J107" i="19"/>
  <c r="K107" i="19"/>
  <c r="L107" i="19"/>
  <c r="M107" i="19"/>
  <c r="N107" i="19"/>
  <c r="O107" i="19"/>
  <c r="P107" i="19"/>
  <c r="Q107" i="19"/>
  <c r="R107" i="19"/>
  <c r="S107" i="19"/>
  <c r="T107" i="19"/>
  <c r="U107" i="19"/>
  <c r="V107" i="19"/>
  <c r="W107" i="19"/>
  <c r="X107" i="19"/>
  <c r="Y107" i="19"/>
  <c r="C108" i="19"/>
  <c r="D108" i="19"/>
  <c r="E108" i="19"/>
  <c r="F108" i="19"/>
  <c r="G108" i="19"/>
  <c r="H108" i="19"/>
  <c r="I108" i="19"/>
  <c r="J108" i="19"/>
  <c r="K108" i="19"/>
  <c r="L108" i="19"/>
  <c r="M108" i="19"/>
  <c r="N108" i="19"/>
  <c r="O108" i="19"/>
  <c r="P108" i="19"/>
  <c r="Q108" i="19"/>
  <c r="R108" i="19"/>
  <c r="S108" i="19"/>
  <c r="T108" i="19"/>
  <c r="U108" i="19"/>
  <c r="V108" i="19"/>
  <c r="W108" i="19"/>
  <c r="X108" i="19"/>
  <c r="Y108" i="19"/>
  <c r="C109" i="19"/>
  <c r="D109" i="19"/>
  <c r="E109" i="19"/>
  <c r="F109" i="19"/>
  <c r="G109" i="19"/>
  <c r="H109" i="19"/>
  <c r="I109" i="19"/>
  <c r="J109" i="19"/>
  <c r="K109" i="19"/>
  <c r="L109" i="19"/>
  <c r="M109" i="19"/>
  <c r="N109" i="19"/>
  <c r="O109" i="19"/>
  <c r="P109" i="19"/>
  <c r="Q109" i="19"/>
  <c r="R109" i="19"/>
  <c r="S109" i="19"/>
  <c r="T109" i="19"/>
  <c r="U109" i="19"/>
  <c r="V109" i="19"/>
  <c r="W109" i="19"/>
  <c r="X109" i="19"/>
  <c r="Y109" i="19"/>
  <c r="C110" i="19"/>
  <c r="D110" i="19"/>
  <c r="E110" i="19"/>
  <c r="F110" i="19"/>
  <c r="G110" i="19"/>
  <c r="H110" i="19"/>
  <c r="I110" i="19"/>
  <c r="J110" i="19"/>
  <c r="K110" i="19"/>
  <c r="L110" i="19"/>
  <c r="M110" i="19"/>
  <c r="N110" i="19"/>
  <c r="O110" i="19"/>
  <c r="P110" i="19"/>
  <c r="Q110" i="19"/>
  <c r="R110" i="19"/>
  <c r="S110" i="19"/>
  <c r="T110" i="19"/>
  <c r="U110" i="19"/>
  <c r="V110" i="19"/>
  <c r="W110" i="19"/>
  <c r="X110" i="19"/>
  <c r="Y110" i="19"/>
  <c r="C111" i="18"/>
  <c r="D111" i="18"/>
  <c r="E111" i="18"/>
  <c r="F111" i="18"/>
  <c r="G111" i="18"/>
  <c r="H111" i="18"/>
  <c r="I111" i="18"/>
  <c r="J111" i="18"/>
  <c r="K111" i="18"/>
  <c r="L111" i="18"/>
  <c r="M111" i="18"/>
  <c r="N111" i="18"/>
  <c r="O111" i="18"/>
  <c r="P111" i="18"/>
  <c r="Q111" i="18"/>
  <c r="R111" i="18"/>
  <c r="S111" i="18"/>
  <c r="T111" i="18"/>
  <c r="U111" i="18"/>
  <c r="V111" i="18"/>
  <c r="W111" i="18"/>
  <c r="X111" i="18"/>
  <c r="Y111" i="18"/>
  <c r="C106" i="18"/>
  <c r="D106" i="18"/>
  <c r="E106" i="18"/>
  <c r="F106" i="18"/>
  <c r="G106" i="18"/>
  <c r="H106" i="18"/>
  <c r="I106" i="18"/>
  <c r="J106" i="18"/>
  <c r="K106" i="18"/>
  <c r="L106" i="18"/>
  <c r="M106" i="18"/>
  <c r="N106" i="18"/>
  <c r="O106" i="18"/>
  <c r="P106" i="18"/>
  <c r="Q106" i="18"/>
  <c r="R106" i="18"/>
  <c r="S106" i="18"/>
  <c r="T106" i="18"/>
  <c r="U106" i="18"/>
  <c r="V106" i="18"/>
  <c r="W106" i="18"/>
  <c r="X106" i="18"/>
  <c r="Y106" i="18"/>
  <c r="C107" i="18"/>
  <c r="D107" i="18"/>
  <c r="E107" i="18"/>
  <c r="F107" i="18"/>
  <c r="G107" i="18"/>
  <c r="H107" i="18"/>
  <c r="I107" i="18"/>
  <c r="J107" i="18"/>
  <c r="K107" i="18"/>
  <c r="L107" i="18"/>
  <c r="M107" i="18"/>
  <c r="N107" i="18"/>
  <c r="O107" i="18"/>
  <c r="P107" i="18"/>
  <c r="Q107" i="18"/>
  <c r="R107" i="18"/>
  <c r="S107" i="18"/>
  <c r="T107" i="18"/>
  <c r="U107" i="18"/>
  <c r="V107" i="18"/>
  <c r="W107" i="18"/>
  <c r="X107" i="18"/>
  <c r="Y107" i="18"/>
  <c r="C108" i="18"/>
  <c r="D108" i="18"/>
  <c r="E108" i="18"/>
  <c r="F108" i="18"/>
  <c r="G108" i="18"/>
  <c r="H108" i="18"/>
  <c r="I108" i="18"/>
  <c r="J108" i="18"/>
  <c r="K108" i="18"/>
  <c r="L108" i="18"/>
  <c r="M108" i="18"/>
  <c r="N108" i="18"/>
  <c r="O108" i="18"/>
  <c r="P108" i="18"/>
  <c r="Q108" i="18"/>
  <c r="R108" i="18"/>
  <c r="S108" i="18"/>
  <c r="T108" i="18"/>
  <c r="U108" i="18"/>
  <c r="V108" i="18"/>
  <c r="W108" i="18"/>
  <c r="X108" i="18"/>
  <c r="Y108" i="18"/>
  <c r="C109" i="18"/>
  <c r="D109" i="18"/>
  <c r="E109" i="18"/>
  <c r="F109" i="18"/>
  <c r="G109" i="18"/>
  <c r="H109" i="18"/>
  <c r="I109" i="18"/>
  <c r="J109" i="18"/>
  <c r="K109" i="18"/>
  <c r="L109" i="18"/>
  <c r="M109" i="18"/>
  <c r="N109" i="18"/>
  <c r="O109" i="18"/>
  <c r="P109" i="18"/>
  <c r="Q109" i="18"/>
  <c r="R109" i="18"/>
  <c r="S109" i="18"/>
  <c r="T109" i="18"/>
  <c r="U109" i="18"/>
  <c r="V109" i="18"/>
  <c r="W109" i="18"/>
  <c r="X109" i="18"/>
  <c r="Y109" i="18"/>
  <c r="C110" i="18"/>
  <c r="D110" i="18"/>
  <c r="E110" i="18"/>
  <c r="F110" i="18"/>
  <c r="G110" i="18"/>
  <c r="H110" i="18"/>
  <c r="I110" i="18"/>
  <c r="J110" i="18"/>
  <c r="K110" i="18"/>
  <c r="L110" i="18"/>
  <c r="M110" i="18"/>
  <c r="N110" i="18"/>
  <c r="O110" i="18"/>
  <c r="P110" i="18"/>
  <c r="Q110" i="18"/>
  <c r="R110" i="18"/>
  <c r="S110" i="18"/>
  <c r="T110" i="18"/>
  <c r="U110" i="18"/>
  <c r="V110" i="18"/>
  <c r="W110" i="18"/>
  <c r="X110" i="18"/>
  <c r="Y110" i="18"/>
  <c r="M5" i="18" l="1"/>
  <c r="M6" i="18"/>
  <c r="M4" i="18"/>
  <c r="W6" i="18"/>
  <c r="W4" i="18"/>
  <c r="W5" i="18"/>
  <c r="O6" i="18"/>
  <c r="O4" i="18"/>
  <c r="O5" i="18"/>
  <c r="G6" i="18"/>
  <c r="G4" i="18"/>
  <c r="G5" i="18"/>
  <c r="V5" i="18"/>
  <c r="V6" i="18"/>
  <c r="V4" i="18"/>
  <c r="N5" i="18"/>
  <c r="N6" i="18"/>
  <c r="N4" i="18"/>
  <c r="F5" i="18"/>
  <c r="F6" i="18"/>
  <c r="F4" i="18"/>
  <c r="E5" i="18"/>
  <c r="E6" i="18"/>
  <c r="E4" i="18"/>
  <c r="T4" i="18"/>
  <c r="T5" i="18"/>
  <c r="T6" i="18"/>
  <c r="L4" i="18"/>
  <c r="L5" i="18"/>
  <c r="L6" i="18"/>
  <c r="D4" i="18"/>
  <c r="D5" i="18"/>
  <c r="D6" i="18"/>
  <c r="S4" i="18"/>
  <c r="S5" i="18"/>
  <c r="S6" i="18"/>
  <c r="K4" i="18"/>
  <c r="K5" i="18"/>
  <c r="K6" i="18"/>
  <c r="C6" i="18"/>
  <c r="C5" i="18"/>
  <c r="C4" i="18"/>
  <c r="U5" i="18"/>
  <c r="U6" i="18"/>
  <c r="U4" i="18"/>
  <c r="R4" i="18"/>
  <c r="R5" i="18"/>
  <c r="R6" i="18"/>
  <c r="J4" i="18"/>
  <c r="J5" i="18"/>
  <c r="J6" i="18"/>
  <c r="Y4" i="18"/>
  <c r="Y5" i="18"/>
  <c r="Y6" i="18"/>
  <c r="Q4" i="18"/>
  <c r="Q5" i="18"/>
  <c r="Q6" i="18"/>
  <c r="I4" i="18"/>
  <c r="I5" i="18"/>
  <c r="I6" i="18"/>
  <c r="X6" i="18"/>
  <c r="X4" i="18"/>
  <c r="X5" i="18"/>
  <c r="P6" i="18"/>
  <c r="P4" i="18"/>
  <c r="P5" i="18"/>
  <c r="H6" i="18"/>
  <c r="H4" i="18"/>
  <c r="H5" i="18"/>
  <c r="N4" i="19"/>
  <c r="N5" i="19"/>
  <c r="N6" i="19"/>
  <c r="O4" i="19"/>
  <c r="O5" i="19"/>
  <c r="O6" i="19"/>
  <c r="C6" i="19"/>
  <c r="C5" i="19"/>
  <c r="C4" i="19"/>
  <c r="Y6" i="19"/>
  <c r="Y4" i="19"/>
  <c r="Y5" i="19"/>
  <c r="X6" i="19"/>
  <c r="X4" i="19"/>
  <c r="X5" i="19"/>
  <c r="L6" i="19"/>
  <c r="L4" i="19"/>
  <c r="L5" i="19"/>
  <c r="M6" i="19"/>
  <c r="M4" i="19"/>
  <c r="M5" i="19"/>
  <c r="W6" i="19"/>
  <c r="W4" i="19"/>
  <c r="W5" i="19"/>
  <c r="K6" i="19"/>
  <c r="K4" i="19"/>
  <c r="K5" i="19"/>
  <c r="V5" i="19"/>
  <c r="V6" i="19"/>
  <c r="V4" i="19"/>
  <c r="J5" i="19"/>
  <c r="J6" i="19"/>
  <c r="J4" i="19"/>
  <c r="U5" i="19"/>
  <c r="U6" i="19"/>
  <c r="U4" i="19"/>
  <c r="I5" i="19"/>
  <c r="I6" i="19"/>
  <c r="I4" i="19"/>
  <c r="T5" i="19"/>
  <c r="T6" i="19"/>
  <c r="T4" i="19"/>
  <c r="H5" i="19"/>
  <c r="H6" i="19"/>
  <c r="H4" i="19"/>
  <c r="S4" i="19"/>
  <c r="S5" i="19"/>
  <c r="S6" i="19"/>
  <c r="G4" i="19"/>
  <c r="G5" i="19"/>
  <c r="G6" i="19"/>
  <c r="F4" i="19"/>
  <c r="F5" i="19"/>
  <c r="F6" i="19"/>
  <c r="R4" i="19"/>
  <c r="R5" i="19"/>
  <c r="R6" i="19"/>
  <c r="Q4" i="19"/>
  <c r="Q5" i="19"/>
  <c r="Q6" i="19"/>
  <c r="E4" i="19"/>
  <c r="E5" i="19"/>
  <c r="E6" i="19"/>
  <c r="P4" i="19"/>
  <c r="P5" i="19"/>
  <c r="P6" i="19"/>
  <c r="V8" i="19"/>
  <c r="U8" i="19"/>
  <c r="S8" i="19"/>
  <c r="Q8" i="19"/>
  <c r="N9" i="19"/>
  <c r="M9" i="19"/>
  <c r="L9" i="19"/>
  <c r="K9" i="19"/>
  <c r="H8" i="19"/>
  <c r="Y105" i="19"/>
  <c r="X105" i="19"/>
  <c r="W105" i="19"/>
  <c r="V105" i="19"/>
  <c r="U105" i="19"/>
  <c r="T105" i="19"/>
  <c r="S105" i="19"/>
  <c r="R105" i="19"/>
  <c r="Q105" i="19"/>
  <c r="P105" i="19"/>
  <c r="O105" i="19"/>
  <c r="N105" i="19"/>
  <c r="M105" i="19"/>
  <c r="L105" i="19"/>
  <c r="K105" i="19"/>
  <c r="J105" i="19"/>
  <c r="I105" i="19"/>
  <c r="H105" i="19"/>
  <c r="G105" i="19"/>
  <c r="F105" i="19"/>
  <c r="E105" i="19"/>
  <c r="D105" i="19"/>
  <c r="C105" i="19"/>
  <c r="Y104" i="19"/>
  <c r="X104" i="19"/>
  <c r="W104" i="19"/>
  <c r="V104" i="19"/>
  <c r="U104" i="19"/>
  <c r="T104" i="19"/>
  <c r="S104" i="19"/>
  <c r="R104" i="19"/>
  <c r="Q104" i="19"/>
  <c r="P104" i="19"/>
  <c r="O104" i="19"/>
  <c r="N104" i="19"/>
  <c r="M104" i="19"/>
  <c r="L104" i="19"/>
  <c r="K104" i="19"/>
  <c r="J104" i="19"/>
  <c r="I104" i="19"/>
  <c r="H104" i="19"/>
  <c r="G104" i="19"/>
  <c r="F104" i="19"/>
  <c r="E104" i="19"/>
  <c r="D104" i="19"/>
  <c r="C104" i="19"/>
  <c r="Y103" i="19"/>
  <c r="X103" i="19"/>
  <c r="W103" i="19"/>
  <c r="V103" i="19"/>
  <c r="U103" i="19"/>
  <c r="T103" i="19"/>
  <c r="S103" i="19"/>
  <c r="R103" i="19"/>
  <c r="Q103" i="19"/>
  <c r="P103" i="19"/>
  <c r="O103" i="19"/>
  <c r="N103" i="19"/>
  <c r="M103" i="19"/>
  <c r="L103" i="19"/>
  <c r="K103" i="19"/>
  <c r="J103" i="19"/>
  <c r="I103" i="19"/>
  <c r="H103" i="19"/>
  <c r="G103" i="19"/>
  <c r="F103" i="19"/>
  <c r="E103" i="19"/>
  <c r="D103" i="19"/>
  <c r="C103" i="19"/>
  <c r="Y102" i="19"/>
  <c r="X102" i="19"/>
  <c r="W102" i="19"/>
  <c r="V102" i="19"/>
  <c r="U102" i="19"/>
  <c r="T102" i="19"/>
  <c r="S102" i="19"/>
  <c r="R102" i="19"/>
  <c r="Q102" i="19"/>
  <c r="P102" i="19"/>
  <c r="O102" i="19"/>
  <c r="N102" i="19"/>
  <c r="M102" i="19"/>
  <c r="L102" i="19"/>
  <c r="K102" i="19"/>
  <c r="J102" i="19"/>
  <c r="I102" i="19"/>
  <c r="H102" i="19"/>
  <c r="G102" i="19"/>
  <c r="F102" i="19"/>
  <c r="E102" i="19"/>
  <c r="D102" i="19"/>
  <c r="C102" i="19"/>
  <c r="Y101" i="19"/>
  <c r="X101" i="19"/>
  <c r="W101" i="19"/>
  <c r="V101" i="19"/>
  <c r="U101" i="19"/>
  <c r="T101" i="19"/>
  <c r="S101" i="19"/>
  <c r="R101" i="19"/>
  <c r="Q101" i="19"/>
  <c r="P101" i="19"/>
  <c r="O101" i="19"/>
  <c r="N101" i="19"/>
  <c r="M101" i="19"/>
  <c r="L101" i="19"/>
  <c r="K101" i="19"/>
  <c r="J101" i="19"/>
  <c r="I101" i="19"/>
  <c r="H101" i="19"/>
  <c r="G101" i="19"/>
  <c r="F101" i="19"/>
  <c r="E101" i="19"/>
  <c r="D101" i="19"/>
  <c r="C101" i="19"/>
  <c r="Y100" i="19"/>
  <c r="X100" i="19"/>
  <c r="W100" i="19"/>
  <c r="V100" i="19"/>
  <c r="U100" i="19"/>
  <c r="T100" i="19"/>
  <c r="S100" i="19"/>
  <c r="R100" i="19"/>
  <c r="Q100" i="19"/>
  <c r="P100" i="19"/>
  <c r="O100" i="19"/>
  <c r="N100" i="19"/>
  <c r="M100" i="19"/>
  <c r="L100" i="19"/>
  <c r="K100" i="19"/>
  <c r="J100" i="19"/>
  <c r="I100" i="19"/>
  <c r="H100" i="19"/>
  <c r="G100" i="19"/>
  <c r="F100" i="19"/>
  <c r="E100" i="19"/>
  <c r="D100" i="19"/>
  <c r="C100" i="19"/>
  <c r="Y99" i="19"/>
  <c r="X99" i="19"/>
  <c r="W99" i="19"/>
  <c r="V99" i="19"/>
  <c r="U99" i="19"/>
  <c r="T99" i="19"/>
  <c r="S99" i="19"/>
  <c r="R99" i="19"/>
  <c r="Q99" i="19"/>
  <c r="P99" i="19"/>
  <c r="O99" i="19"/>
  <c r="N99" i="19"/>
  <c r="M99" i="19"/>
  <c r="L99" i="19"/>
  <c r="K99" i="19"/>
  <c r="J99" i="19"/>
  <c r="I99" i="19"/>
  <c r="H99" i="19"/>
  <c r="G99" i="19"/>
  <c r="F99" i="19"/>
  <c r="E99" i="19"/>
  <c r="D99" i="19"/>
  <c r="C99" i="19"/>
  <c r="Y98" i="19"/>
  <c r="X98" i="19"/>
  <c r="W98" i="19"/>
  <c r="V98" i="19"/>
  <c r="U98" i="19"/>
  <c r="T98" i="19"/>
  <c r="S98" i="19"/>
  <c r="R98" i="19"/>
  <c r="Q98" i="19"/>
  <c r="P98" i="19"/>
  <c r="O98" i="19"/>
  <c r="N98" i="19"/>
  <c r="M98" i="19"/>
  <c r="L98" i="19"/>
  <c r="K98" i="19"/>
  <c r="J98" i="19"/>
  <c r="I98" i="19"/>
  <c r="H98" i="19"/>
  <c r="G98" i="19"/>
  <c r="F98" i="19"/>
  <c r="E98" i="19"/>
  <c r="D98" i="19"/>
  <c r="C98" i="19"/>
  <c r="Y97" i="19"/>
  <c r="X97" i="19"/>
  <c r="W97" i="19"/>
  <c r="V97" i="19"/>
  <c r="U97" i="19"/>
  <c r="T97" i="19"/>
  <c r="S97" i="19"/>
  <c r="R97" i="19"/>
  <c r="Q97" i="19"/>
  <c r="P97" i="19"/>
  <c r="O97" i="19"/>
  <c r="N97" i="19"/>
  <c r="M97" i="19"/>
  <c r="L97" i="19"/>
  <c r="K97" i="19"/>
  <c r="J97" i="19"/>
  <c r="I97" i="19"/>
  <c r="H97" i="19"/>
  <c r="G97" i="19"/>
  <c r="F97" i="19"/>
  <c r="E97" i="19"/>
  <c r="D97" i="19"/>
  <c r="C97" i="19"/>
  <c r="Y96" i="19"/>
  <c r="X96" i="19"/>
  <c r="W96" i="19"/>
  <c r="V96" i="19"/>
  <c r="U96" i="19"/>
  <c r="T96" i="19"/>
  <c r="S96" i="19"/>
  <c r="R96" i="19"/>
  <c r="Q96" i="19"/>
  <c r="P96" i="19"/>
  <c r="O96" i="19"/>
  <c r="N96" i="19"/>
  <c r="M96" i="19"/>
  <c r="L96" i="19"/>
  <c r="K96" i="19"/>
  <c r="J96" i="19"/>
  <c r="I96" i="19"/>
  <c r="H96" i="19"/>
  <c r="G96" i="19"/>
  <c r="F96" i="19"/>
  <c r="E96" i="19"/>
  <c r="D96" i="19"/>
  <c r="C96" i="19"/>
  <c r="Y95" i="19"/>
  <c r="X95" i="19"/>
  <c r="W95" i="19"/>
  <c r="V95" i="19"/>
  <c r="U95" i="19"/>
  <c r="T95" i="19"/>
  <c r="S95" i="19"/>
  <c r="R95" i="19"/>
  <c r="Q95" i="19"/>
  <c r="P95" i="19"/>
  <c r="O95" i="19"/>
  <c r="N95" i="19"/>
  <c r="M95" i="19"/>
  <c r="L95" i="19"/>
  <c r="K95" i="19"/>
  <c r="J95" i="19"/>
  <c r="I95" i="19"/>
  <c r="H95" i="19"/>
  <c r="G95" i="19"/>
  <c r="F95" i="19"/>
  <c r="E95" i="19"/>
  <c r="D95" i="19"/>
  <c r="C95" i="19"/>
  <c r="Y94" i="19"/>
  <c r="X94" i="19"/>
  <c r="W94" i="19"/>
  <c r="V94" i="19"/>
  <c r="U94" i="19"/>
  <c r="T94" i="19"/>
  <c r="S94" i="19"/>
  <c r="R94" i="19"/>
  <c r="Q94" i="19"/>
  <c r="P94" i="19"/>
  <c r="O94" i="19"/>
  <c r="N94" i="19"/>
  <c r="M94" i="19"/>
  <c r="L94" i="19"/>
  <c r="K94" i="19"/>
  <c r="J94" i="19"/>
  <c r="I94" i="19"/>
  <c r="H94" i="19"/>
  <c r="G94" i="19"/>
  <c r="F94" i="19"/>
  <c r="E94" i="19"/>
  <c r="D94" i="19"/>
  <c r="C94" i="19"/>
  <c r="Y93" i="19"/>
  <c r="X93" i="19"/>
  <c r="W93" i="19"/>
  <c r="V93" i="19"/>
  <c r="U93" i="19"/>
  <c r="T93" i="19"/>
  <c r="S93" i="19"/>
  <c r="R93" i="19"/>
  <c r="Q93" i="19"/>
  <c r="P93" i="19"/>
  <c r="O93" i="19"/>
  <c r="N93" i="19"/>
  <c r="M93" i="19"/>
  <c r="L93" i="19"/>
  <c r="K93" i="19"/>
  <c r="J93" i="19"/>
  <c r="I93" i="19"/>
  <c r="H93" i="19"/>
  <c r="G93" i="19"/>
  <c r="F93" i="19"/>
  <c r="E93" i="19"/>
  <c r="D93" i="19"/>
  <c r="C93" i="19"/>
  <c r="Y92" i="19"/>
  <c r="X92" i="19"/>
  <c r="W92" i="19"/>
  <c r="V92" i="19"/>
  <c r="U92" i="19"/>
  <c r="T92" i="19"/>
  <c r="S92" i="19"/>
  <c r="R92" i="19"/>
  <c r="Q92" i="19"/>
  <c r="P92" i="19"/>
  <c r="O92" i="19"/>
  <c r="N92" i="19"/>
  <c r="M92" i="19"/>
  <c r="L92" i="19"/>
  <c r="K92" i="19"/>
  <c r="J92" i="19"/>
  <c r="I92" i="19"/>
  <c r="H92" i="19"/>
  <c r="G92" i="19"/>
  <c r="F92" i="19"/>
  <c r="E92" i="19"/>
  <c r="D92" i="19"/>
  <c r="C92" i="19"/>
  <c r="Y91" i="19"/>
  <c r="X91" i="19"/>
  <c r="W91" i="19"/>
  <c r="V91" i="19"/>
  <c r="U91" i="19"/>
  <c r="T91" i="19"/>
  <c r="S91" i="19"/>
  <c r="R91" i="19"/>
  <c r="Q91" i="19"/>
  <c r="P91" i="19"/>
  <c r="O91" i="19"/>
  <c r="N91" i="19"/>
  <c r="M91" i="19"/>
  <c r="L91" i="19"/>
  <c r="K91" i="19"/>
  <c r="J91" i="19"/>
  <c r="I91" i="19"/>
  <c r="H91" i="19"/>
  <c r="G91" i="19"/>
  <c r="F91" i="19"/>
  <c r="E91" i="19"/>
  <c r="D91" i="19"/>
  <c r="C91" i="19"/>
  <c r="Y90" i="19"/>
  <c r="X90" i="19"/>
  <c r="W90" i="19"/>
  <c r="V90" i="19"/>
  <c r="U90" i="19"/>
  <c r="T90" i="19"/>
  <c r="S90" i="19"/>
  <c r="R90" i="19"/>
  <c r="Q90" i="19"/>
  <c r="P90" i="19"/>
  <c r="O90" i="19"/>
  <c r="N90" i="19"/>
  <c r="M90" i="19"/>
  <c r="L90" i="19"/>
  <c r="K90" i="19"/>
  <c r="J90" i="19"/>
  <c r="I90" i="19"/>
  <c r="H90" i="19"/>
  <c r="G90" i="19"/>
  <c r="F90" i="19"/>
  <c r="E90" i="19"/>
  <c r="D90" i="19"/>
  <c r="C90" i="19"/>
  <c r="Y89" i="19"/>
  <c r="X89" i="19"/>
  <c r="W89" i="19"/>
  <c r="V89" i="19"/>
  <c r="U89" i="19"/>
  <c r="T89" i="19"/>
  <c r="S89" i="19"/>
  <c r="R89" i="19"/>
  <c r="Q89" i="19"/>
  <c r="P89" i="19"/>
  <c r="O89" i="19"/>
  <c r="N89" i="19"/>
  <c r="M89" i="19"/>
  <c r="L89" i="19"/>
  <c r="K89" i="19"/>
  <c r="J89" i="19"/>
  <c r="I89" i="19"/>
  <c r="H89" i="19"/>
  <c r="G89" i="19"/>
  <c r="F89" i="19"/>
  <c r="E89" i="19"/>
  <c r="D89" i="19"/>
  <c r="C89" i="19"/>
  <c r="Y88" i="19"/>
  <c r="X88" i="19"/>
  <c r="W88" i="19"/>
  <c r="V88" i="19"/>
  <c r="U88" i="19"/>
  <c r="T88" i="19"/>
  <c r="S88" i="19"/>
  <c r="R88" i="19"/>
  <c r="Q88" i="19"/>
  <c r="P88" i="19"/>
  <c r="O88" i="19"/>
  <c r="N88" i="19"/>
  <c r="M88" i="19"/>
  <c r="L88" i="19"/>
  <c r="K88" i="19"/>
  <c r="J88" i="19"/>
  <c r="I88" i="19"/>
  <c r="H88" i="19"/>
  <c r="G88" i="19"/>
  <c r="F88" i="19"/>
  <c r="E88" i="19"/>
  <c r="D88" i="19"/>
  <c r="C88" i="19"/>
  <c r="Y87" i="19"/>
  <c r="X87" i="19"/>
  <c r="W87" i="19"/>
  <c r="V87" i="19"/>
  <c r="U87" i="19"/>
  <c r="T87" i="19"/>
  <c r="S87" i="19"/>
  <c r="R87" i="19"/>
  <c r="Q87" i="19"/>
  <c r="P87" i="19"/>
  <c r="O87" i="19"/>
  <c r="N87" i="19"/>
  <c r="M87" i="19"/>
  <c r="L87" i="19"/>
  <c r="K87" i="19"/>
  <c r="J87" i="19"/>
  <c r="I87" i="19"/>
  <c r="H87" i="19"/>
  <c r="G87" i="19"/>
  <c r="F87" i="19"/>
  <c r="E87" i="19"/>
  <c r="D87" i="19"/>
  <c r="C87" i="19"/>
  <c r="Y86" i="19"/>
  <c r="X86" i="19"/>
  <c r="W86" i="19"/>
  <c r="V86" i="19"/>
  <c r="U86" i="19"/>
  <c r="T86" i="19"/>
  <c r="S86" i="19"/>
  <c r="R86" i="19"/>
  <c r="Q86" i="19"/>
  <c r="P86" i="19"/>
  <c r="O86" i="19"/>
  <c r="N86" i="19"/>
  <c r="M86" i="19"/>
  <c r="L86" i="19"/>
  <c r="K86" i="19"/>
  <c r="J86" i="19"/>
  <c r="I86" i="19"/>
  <c r="H86" i="19"/>
  <c r="G86" i="19"/>
  <c r="F86" i="19"/>
  <c r="E86" i="19"/>
  <c r="D86" i="19"/>
  <c r="C86" i="19"/>
  <c r="Y85" i="19"/>
  <c r="X85" i="19"/>
  <c r="W85" i="19"/>
  <c r="V85" i="19"/>
  <c r="U85" i="19"/>
  <c r="T85" i="19"/>
  <c r="S85" i="19"/>
  <c r="R85" i="19"/>
  <c r="Q85" i="19"/>
  <c r="P85" i="19"/>
  <c r="O85" i="19"/>
  <c r="N85" i="19"/>
  <c r="M85" i="19"/>
  <c r="L85" i="19"/>
  <c r="K85" i="19"/>
  <c r="J85" i="19"/>
  <c r="I85" i="19"/>
  <c r="H85" i="19"/>
  <c r="G85" i="19"/>
  <c r="F85" i="19"/>
  <c r="E85" i="19"/>
  <c r="D85" i="19"/>
  <c r="C85" i="19"/>
  <c r="Y84" i="19"/>
  <c r="X84" i="19"/>
  <c r="W84" i="19"/>
  <c r="V84" i="19"/>
  <c r="U84" i="19"/>
  <c r="T84" i="19"/>
  <c r="S84" i="19"/>
  <c r="R84" i="19"/>
  <c r="Q84" i="19"/>
  <c r="P84" i="19"/>
  <c r="O84" i="19"/>
  <c r="N84" i="19"/>
  <c r="M84" i="19"/>
  <c r="L84" i="19"/>
  <c r="K84" i="19"/>
  <c r="J84" i="19"/>
  <c r="I84" i="19"/>
  <c r="H84" i="19"/>
  <c r="G84" i="19"/>
  <c r="F84" i="19"/>
  <c r="E84" i="19"/>
  <c r="D84" i="19"/>
  <c r="C84" i="19"/>
  <c r="Y83" i="19"/>
  <c r="X83" i="19"/>
  <c r="W83" i="19"/>
  <c r="V83" i="19"/>
  <c r="U83" i="19"/>
  <c r="T83" i="19"/>
  <c r="S83" i="19"/>
  <c r="R83" i="19"/>
  <c r="Q83" i="19"/>
  <c r="P83" i="19"/>
  <c r="O83" i="19"/>
  <c r="N83" i="19"/>
  <c r="M83" i="19"/>
  <c r="L83" i="19"/>
  <c r="K83" i="19"/>
  <c r="J83" i="19"/>
  <c r="I83" i="19"/>
  <c r="H83" i="19"/>
  <c r="G83" i="19"/>
  <c r="F83" i="19"/>
  <c r="E83" i="19"/>
  <c r="D83" i="19"/>
  <c r="C83" i="19"/>
  <c r="Y82" i="19"/>
  <c r="X82" i="19"/>
  <c r="W82" i="19"/>
  <c r="V82" i="19"/>
  <c r="U82" i="19"/>
  <c r="T82" i="19"/>
  <c r="S82" i="19"/>
  <c r="R82" i="19"/>
  <c r="Q82" i="19"/>
  <c r="P82" i="19"/>
  <c r="O82" i="19"/>
  <c r="N82" i="19"/>
  <c r="M82" i="19"/>
  <c r="L82" i="19"/>
  <c r="K82" i="19"/>
  <c r="J82" i="19"/>
  <c r="I82" i="19"/>
  <c r="H82" i="19"/>
  <c r="G82" i="19"/>
  <c r="F82" i="19"/>
  <c r="E82" i="19"/>
  <c r="D82" i="19"/>
  <c r="C82" i="19"/>
  <c r="Y81" i="19"/>
  <c r="X81" i="19"/>
  <c r="W81" i="19"/>
  <c r="V81" i="19"/>
  <c r="U81" i="19"/>
  <c r="T81" i="19"/>
  <c r="S81" i="19"/>
  <c r="R81" i="19"/>
  <c r="Q81" i="19"/>
  <c r="P81" i="19"/>
  <c r="O81" i="19"/>
  <c r="N81" i="19"/>
  <c r="M81" i="19"/>
  <c r="L81" i="19"/>
  <c r="K81" i="19"/>
  <c r="J81" i="19"/>
  <c r="I81" i="19"/>
  <c r="H81" i="19"/>
  <c r="G81" i="19"/>
  <c r="F81" i="19"/>
  <c r="E81" i="19"/>
  <c r="D81" i="19"/>
  <c r="C81" i="19"/>
  <c r="Y80" i="19"/>
  <c r="X80" i="19"/>
  <c r="W80" i="19"/>
  <c r="V80" i="19"/>
  <c r="U80" i="19"/>
  <c r="T80" i="19"/>
  <c r="S80" i="19"/>
  <c r="R80" i="19"/>
  <c r="Q80" i="19"/>
  <c r="P80" i="19"/>
  <c r="O80" i="19"/>
  <c r="N80" i="19"/>
  <c r="M80" i="19"/>
  <c r="L80" i="19"/>
  <c r="K80" i="19"/>
  <c r="J80" i="19"/>
  <c r="I80" i="19"/>
  <c r="H80" i="19"/>
  <c r="G80" i="19"/>
  <c r="F80" i="19"/>
  <c r="E80" i="19"/>
  <c r="D80" i="19"/>
  <c r="C80" i="19"/>
  <c r="Y79" i="19"/>
  <c r="X79" i="19"/>
  <c r="W79" i="19"/>
  <c r="V79" i="19"/>
  <c r="U79" i="19"/>
  <c r="T79" i="19"/>
  <c r="S79" i="19"/>
  <c r="R79" i="19"/>
  <c r="Q79" i="19"/>
  <c r="P79" i="19"/>
  <c r="O79" i="19"/>
  <c r="N79" i="19"/>
  <c r="M79" i="19"/>
  <c r="L79" i="19"/>
  <c r="K79" i="19"/>
  <c r="J79" i="19"/>
  <c r="I79" i="19"/>
  <c r="H79" i="19"/>
  <c r="G79" i="19"/>
  <c r="F79" i="19"/>
  <c r="E79" i="19"/>
  <c r="D79" i="19"/>
  <c r="C79" i="19"/>
  <c r="Y78" i="19"/>
  <c r="X78" i="19"/>
  <c r="W78" i="19"/>
  <c r="V78" i="19"/>
  <c r="U78" i="19"/>
  <c r="T78" i="19"/>
  <c r="S78" i="19"/>
  <c r="R78" i="19"/>
  <c r="Q78" i="19"/>
  <c r="P78" i="19"/>
  <c r="O78" i="19"/>
  <c r="N78" i="19"/>
  <c r="M78" i="19"/>
  <c r="L78" i="19"/>
  <c r="K78" i="19"/>
  <c r="J78" i="19"/>
  <c r="I78" i="19"/>
  <c r="H78" i="19"/>
  <c r="G78" i="19"/>
  <c r="F78" i="19"/>
  <c r="E78" i="19"/>
  <c r="D78" i="19"/>
  <c r="C78" i="19"/>
  <c r="Y77" i="19"/>
  <c r="X77" i="19"/>
  <c r="W77" i="19"/>
  <c r="V77" i="19"/>
  <c r="U77" i="19"/>
  <c r="T77" i="19"/>
  <c r="S77" i="19"/>
  <c r="R77" i="19"/>
  <c r="Q77" i="19"/>
  <c r="P77" i="19"/>
  <c r="O77" i="19"/>
  <c r="N77" i="19"/>
  <c r="M77" i="19"/>
  <c r="L77" i="19"/>
  <c r="K77" i="19"/>
  <c r="J77" i="19"/>
  <c r="I77" i="19"/>
  <c r="H77" i="19"/>
  <c r="G77" i="19"/>
  <c r="F77" i="19"/>
  <c r="E77" i="19"/>
  <c r="D77" i="19"/>
  <c r="C77" i="19"/>
  <c r="Y76" i="19"/>
  <c r="X76" i="19"/>
  <c r="W76" i="19"/>
  <c r="V76" i="19"/>
  <c r="U76" i="19"/>
  <c r="T76" i="19"/>
  <c r="S76" i="19"/>
  <c r="R76" i="19"/>
  <c r="Q76" i="19"/>
  <c r="P76" i="19"/>
  <c r="O76" i="19"/>
  <c r="N76" i="19"/>
  <c r="M76" i="19"/>
  <c r="L76" i="19"/>
  <c r="K76" i="19"/>
  <c r="J76" i="19"/>
  <c r="I76" i="19"/>
  <c r="H76" i="19"/>
  <c r="G76" i="19"/>
  <c r="F76" i="19"/>
  <c r="E76" i="19"/>
  <c r="D76" i="19"/>
  <c r="C76" i="19"/>
  <c r="Y75" i="19"/>
  <c r="X75" i="19"/>
  <c r="W75" i="19"/>
  <c r="V75" i="19"/>
  <c r="U75" i="19"/>
  <c r="T75" i="19"/>
  <c r="S75" i="19"/>
  <c r="R75" i="19"/>
  <c r="Q75" i="19"/>
  <c r="P75" i="19"/>
  <c r="O75" i="19"/>
  <c r="N75" i="19"/>
  <c r="M75" i="19"/>
  <c r="L75" i="19"/>
  <c r="K75" i="19"/>
  <c r="J75" i="19"/>
  <c r="I75" i="19"/>
  <c r="H75" i="19"/>
  <c r="G75" i="19"/>
  <c r="F75" i="19"/>
  <c r="E75" i="19"/>
  <c r="D75" i="19"/>
  <c r="C75" i="19"/>
  <c r="Y74" i="19"/>
  <c r="X74" i="19"/>
  <c r="W74" i="19"/>
  <c r="V74" i="19"/>
  <c r="U74" i="19"/>
  <c r="T74" i="19"/>
  <c r="S74" i="19"/>
  <c r="R74" i="19"/>
  <c r="Q74" i="19"/>
  <c r="P74" i="19"/>
  <c r="O74" i="19"/>
  <c r="N74" i="19"/>
  <c r="M74" i="19"/>
  <c r="L74" i="19"/>
  <c r="K74" i="19"/>
  <c r="J74" i="19"/>
  <c r="I74" i="19"/>
  <c r="H74" i="19"/>
  <c r="G74" i="19"/>
  <c r="F74" i="19"/>
  <c r="E74" i="19"/>
  <c r="D74" i="19"/>
  <c r="C74" i="19"/>
  <c r="Y73" i="19"/>
  <c r="X73" i="19"/>
  <c r="W73" i="19"/>
  <c r="V73" i="19"/>
  <c r="U73" i="19"/>
  <c r="T73" i="19"/>
  <c r="S73" i="19"/>
  <c r="R73" i="19"/>
  <c r="Q73" i="19"/>
  <c r="P73" i="19"/>
  <c r="O73" i="19"/>
  <c r="N73" i="19"/>
  <c r="M73" i="19"/>
  <c r="L73" i="19"/>
  <c r="K73" i="19"/>
  <c r="J73" i="19"/>
  <c r="I73" i="19"/>
  <c r="H73" i="19"/>
  <c r="G73" i="19"/>
  <c r="F73" i="19"/>
  <c r="E73" i="19"/>
  <c r="D73" i="19"/>
  <c r="C73" i="19"/>
  <c r="Y72" i="19"/>
  <c r="X72" i="19"/>
  <c r="W72" i="19"/>
  <c r="V72" i="19"/>
  <c r="U72" i="19"/>
  <c r="T72" i="19"/>
  <c r="S72" i="19"/>
  <c r="R72" i="19"/>
  <c r="Q72" i="19"/>
  <c r="P72" i="19"/>
  <c r="O72" i="19"/>
  <c r="N72" i="19"/>
  <c r="M72" i="19"/>
  <c r="L72" i="19"/>
  <c r="K72" i="19"/>
  <c r="J72" i="19"/>
  <c r="I72" i="19"/>
  <c r="H72" i="19"/>
  <c r="G72" i="19"/>
  <c r="F72" i="19"/>
  <c r="E72" i="19"/>
  <c r="D72" i="19"/>
  <c r="C72" i="19"/>
  <c r="Y71" i="19"/>
  <c r="X71" i="19"/>
  <c r="W71" i="19"/>
  <c r="V71" i="19"/>
  <c r="U71" i="19"/>
  <c r="T71" i="19"/>
  <c r="S71" i="19"/>
  <c r="R71" i="19"/>
  <c r="Q71" i="19"/>
  <c r="P71" i="19"/>
  <c r="O71" i="19"/>
  <c r="N71" i="19"/>
  <c r="M71" i="19"/>
  <c r="L71" i="19"/>
  <c r="K71" i="19"/>
  <c r="J71" i="19"/>
  <c r="I71" i="19"/>
  <c r="H71" i="19"/>
  <c r="G71" i="19"/>
  <c r="F71" i="19"/>
  <c r="E71" i="19"/>
  <c r="D71" i="19"/>
  <c r="C71" i="19"/>
  <c r="Y70" i="19"/>
  <c r="X70" i="19"/>
  <c r="W70" i="19"/>
  <c r="V70" i="19"/>
  <c r="U70" i="19"/>
  <c r="T70" i="19"/>
  <c r="S70" i="19"/>
  <c r="R70" i="19"/>
  <c r="Q70" i="19"/>
  <c r="P70" i="19"/>
  <c r="O70" i="19"/>
  <c r="N70" i="19"/>
  <c r="M70" i="19"/>
  <c r="L70" i="19"/>
  <c r="K70" i="19"/>
  <c r="J70" i="19"/>
  <c r="I70" i="19"/>
  <c r="H70" i="19"/>
  <c r="G70" i="19"/>
  <c r="F70" i="19"/>
  <c r="E70" i="19"/>
  <c r="D70" i="19"/>
  <c r="C70" i="19"/>
  <c r="Y69" i="19"/>
  <c r="X69" i="19"/>
  <c r="W69" i="19"/>
  <c r="V69" i="19"/>
  <c r="U69" i="19"/>
  <c r="T69" i="19"/>
  <c r="S69" i="19"/>
  <c r="R69" i="19"/>
  <c r="Q69" i="19"/>
  <c r="P69" i="19"/>
  <c r="O69" i="19"/>
  <c r="N69" i="19"/>
  <c r="M69" i="19"/>
  <c r="L69" i="19"/>
  <c r="K69" i="19"/>
  <c r="J69" i="19"/>
  <c r="I69" i="19"/>
  <c r="H69" i="19"/>
  <c r="G69" i="19"/>
  <c r="F69" i="19"/>
  <c r="E69" i="19"/>
  <c r="D69" i="19"/>
  <c r="C69" i="19"/>
  <c r="Y68" i="19"/>
  <c r="X68" i="19"/>
  <c r="W68" i="19"/>
  <c r="V68" i="19"/>
  <c r="U68" i="19"/>
  <c r="T68" i="19"/>
  <c r="S68" i="19"/>
  <c r="R68" i="19"/>
  <c r="Q68" i="19"/>
  <c r="P68" i="19"/>
  <c r="O68" i="19"/>
  <c r="N68" i="19"/>
  <c r="M68" i="19"/>
  <c r="L68" i="19"/>
  <c r="K68" i="19"/>
  <c r="J68" i="19"/>
  <c r="I68" i="19"/>
  <c r="H68" i="19"/>
  <c r="G68" i="19"/>
  <c r="F68" i="19"/>
  <c r="E68" i="19"/>
  <c r="D68" i="19"/>
  <c r="C68" i="19"/>
  <c r="Y67" i="19"/>
  <c r="X67" i="19"/>
  <c r="W67" i="19"/>
  <c r="V67" i="19"/>
  <c r="U67" i="19"/>
  <c r="T67" i="19"/>
  <c r="S67" i="19"/>
  <c r="R67" i="19"/>
  <c r="Q67" i="19"/>
  <c r="P67" i="19"/>
  <c r="O67" i="19"/>
  <c r="N67" i="19"/>
  <c r="M67" i="19"/>
  <c r="L67" i="19"/>
  <c r="K67" i="19"/>
  <c r="J67" i="19"/>
  <c r="I67" i="19"/>
  <c r="H67" i="19"/>
  <c r="G67" i="19"/>
  <c r="F67" i="19"/>
  <c r="E67" i="19"/>
  <c r="D67" i="19"/>
  <c r="C67" i="19"/>
  <c r="Y66" i="19"/>
  <c r="X66" i="19"/>
  <c r="W66" i="19"/>
  <c r="V66" i="19"/>
  <c r="U66" i="19"/>
  <c r="T66" i="19"/>
  <c r="S66" i="19"/>
  <c r="R66" i="19"/>
  <c r="Q66" i="19"/>
  <c r="P66" i="19"/>
  <c r="O66" i="19"/>
  <c r="N66" i="19"/>
  <c r="M66" i="19"/>
  <c r="L66" i="19"/>
  <c r="K66" i="19"/>
  <c r="J66" i="19"/>
  <c r="I66" i="19"/>
  <c r="H66" i="19"/>
  <c r="G66" i="19"/>
  <c r="F66" i="19"/>
  <c r="E66" i="19"/>
  <c r="D66" i="19"/>
  <c r="C66" i="19"/>
  <c r="Y65" i="19"/>
  <c r="X65" i="19"/>
  <c r="W65" i="19"/>
  <c r="V65" i="19"/>
  <c r="U65" i="19"/>
  <c r="T65" i="19"/>
  <c r="S65" i="19"/>
  <c r="R65" i="19"/>
  <c r="Q65" i="19"/>
  <c r="P65" i="19"/>
  <c r="O65" i="19"/>
  <c r="N65" i="19"/>
  <c r="M65" i="19"/>
  <c r="L65" i="19"/>
  <c r="K65" i="19"/>
  <c r="J65" i="19"/>
  <c r="I65" i="19"/>
  <c r="H65" i="19"/>
  <c r="G65" i="19"/>
  <c r="F65" i="19"/>
  <c r="E65" i="19"/>
  <c r="D65" i="19"/>
  <c r="C65" i="19"/>
  <c r="Y64" i="19"/>
  <c r="X64" i="19"/>
  <c r="W64" i="19"/>
  <c r="V64" i="19"/>
  <c r="U64" i="19"/>
  <c r="T64" i="19"/>
  <c r="S64" i="19"/>
  <c r="R64" i="19"/>
  <c r="Q64" i="19"/>
  <c r="P64" i="19"/>
  <c r="O64" i="19"/>
  <c r="N64" i="19"/>
  <c r="M64" i="19"/>
  <c r="L64" i="19"/>
  <c r="K64" i="19"/>
  <c r="J64" i="19"/>
  <c r="I64" i="19"/>
  <c r="H64" i="19"/>
  <c r="G64" i="19"/>
  <c r="F64" i="19"/>
  <c r="E64" i="19"/>
  <c r="D64" i="19"/>
  <c r="C64" i="19"/>
  <c r="Y63" i="19"/>
  <c r="X63" i="19"/>
  <c r="W63" i="19"/>
  <c r="V63" i="19"/>
  <c r="U63" i="19"/>
  <c r="T63" i="19"/>
  <c r="S63" i="19"/>
  <c r="R63" i="19"/>
  <c r="Q63" i="19"/>
  <c r="P63" i="19"/>
  <c r="O63" i="19"/>
  <c r="N63" i="19"/>
  <c r="M63" i="19"/>
  <c r="L63" i="19"/>
  <c r="K63" i="19"/>
  <c r="J63" i="19"/>
  <c r="I63" i="19"/>
  <c r="H63" i="19"/>
  <c r="G63" i="19"/>
  <c r="F63" i="19"/>
  <c r="E63" i="19"/>
  <c r="D63" i="19"/>
  <c r="C63" i="19"/>
  <c r="Y62" i="19"/>
  <c r="X62" i="19"/>
  <c r="W62" i="19"/>
  <c r="V62" i="19"/>
  <c r="U62" i="19"/>
  <c r="T62" i="19"/>
  <c r="S62" i="19"/>
  <c r="R62" i="19"/>
  <c r="Q62" i="19"/>
  <c r="P62" i="19"/>
  <c r="O62" i="19"/>
  <c r="N62" i="19"/>
  <c r="M62" i="19"/>
  <c r="L62" i="19"/>
  <c r="K62" i="19"/>
  <c r="J62" i="19"/>
  <c r="I62" i="19"/>
  <c r="H62" i="19"/>
  <c r="G62" i="19"/>
  <c r="F62" i="19"/>
  <c r="E62" i="19"/>
  <c r="D62" i="19"/>
  <c r="C62" i="19"/>
  <c r="Y61" i="19"/>
  <c r="X61" i="19"/>
  <c r="W61" i="19"/>
  <c r="V61" i="19"/>
  <c r="U61" i="19"/>
  <c r="T61" i="19"/>
  <c r="S61" i="19"/>
  <c r="R61" i="19"/>
  <c r="Q61" i="19"/>
  <c r="P61" i="19"/>
  <c r="O61" i="19"/>
  <c r="N61" i="19"/>
  <c r="M61" i="19"/>
  <c r="L61" i="19"/>
  <c r="K61" i="19"/>
  <c r="J61" i="19"/>
  <c r="I61" i="19"/>
  <c r="H61" i="19"/>
  <c r="G61" i="19"/>
  <c r="F61" i="19"/>
  <c r="E61" i="19"/>
  <c r="D61" i="19"/>
  <c r="C61" i="19"/>
  <c r="Y60" i="19"/>
  <c r="X60" i="19"/>
  <c r="W60" i="19"/>
  <c r="V60" i="19"/>
  <c r="U60" i="19"/>
  <c r="T60" i="19"/>
  <c r="S60" i="19"/>
  <c r="R60" i="19"/>
  <c r="Q60" i="19"/>
  <c r="P60" i="19"/>
  <c r="O60" i="19"/>
  <c r="N60" i="19"/>
  <c r="M60" i="19"/>
  <c r="L60" i="19"/>
  <c r="K60" i="19"/>
  <c r="J60" i="19"/>
  <c r="I60" i="19"/>
  <c r="H60" i="19"/>
  <c r="G60" i="19"/>
  <c r="F60" i="19"/>
  <c r="E60" i="19"/>
  <c r="D60" i="19"/>
  <c r="C60" i="19"/>
  <c r="Y59" i="19"/>
  <c r="X59" i="19"/>
  <c r="W59" i="19"/>
  <c r="V59" i="19"/>
  <c r="U59" i="19"/>
  <c r="T59" i="19"/>
  <c r="S59" i="19"/>
  <c r="R59" i="19"/>
  <c r="Q59" i="19"/>
  <c r="P59" i="19"/>
  <c r="O59" i="19"/>
  <c r="N59" i="19"/>
  <c r="M59" i="19"/>
  <c r="L59" i="19"/>
  <c r="K59" i="19"/>
  <c r="J59" i="19"/>
  <c r="I59" i="19"/>
  <c r="H59" i="19"/>
  <c r="G59" i="19"/>
  <c r="F59" i="19"/>
  <c r="E59" i="19"/>
  <c r="D59" i="19"/>
  <c r="C59" i="19"/>
  <c r="AA106" i="19"/>
  <c r="AA9" i="19" s="1"/>
  <c r="Z106" i="19"/>
  <c r="Z8" i="19" s="1"/>
  <c r="AA105" i="19"/>
  <c r="Z105" i="19"/>
  <c r="AA104" i="19"/>
  <c r="Z104" i="19"/>
  <c r="AA103" i="19"/>
  <c r="Z103" i="19"/>
  <c r="AA102" i="19"/>
  <c r="Z102" i="19"/>
  <c r="AA101" i="19"/>
  <c r="Z101" i="19"/>
  <c r="AA100" i="19"/>
  <c r="Z100" i="19"/>
  <c r="AA99" i="19"/>
  <c r="Z99" i="19"/>
  <c r="AA98" i="19"/>
  <c r="Z98" i="19"/>
  <c r="AA97" i="19"/>
  <c r="Z97" i="19"/>
  <c r="AA96" i="19"/>
  <c r="Z96" i="19"/>
  <c r="AA95" i="19"/>
  <c r="Z95" i="19"/>
  <c r="AA94" i="19"/>
  <c r="AA4" i="19" s="1"/>
  <c r="Z94" i="19"/>
  <c r="Z4" i="19" s="1"/>
  <c r="AA93" i="19"/>
  <c r="Z93" i="19"/>
  <c r="AA92" i="19"/>
  <c r="Z92" i="19"/>
  <c r="AA91" i="19"/>
  <c r="Z91" i="19"/>
  <c r="AA90" i="19"/>
  <c r="Z90" i="19"/>
  <c r="AA89" i="19"/>
  <c r="Z89" i="19"/>
  <c r="AA88" i="19"/>
  <c r="Z88" i="19"/>
  <c r="AA87" i="19"/>
  <c r="Z87" i="19"/>
  <c r="AA86" i="19"/>
  <c r="Z86" i="19"/>
  <c r="AA85" i="19"/>
  <c r="Z85" i="19"/>
  <c r="AA84" i="19"/>
  <c r="Z84" i="19"/>
  <c r="AA83" i="19"/>
  <c r="Z83" i="19"/>
  <c r="AA82" i="19"/>
  <c r="Z82" i="19"/>
  <c r="AA81" i="19"/>
  <c r="Z81" i="19"/>
  <c r="AA80" i="19"/>
  <c r="Z80" i="19"/>
  <c r="AA79" i="19"/>
  <c r="Z79" i="19"/>
  <c r="AA78" i="19"/>
  <c r="Z78" i="19"/>
  <c r="AA77" i="19"/>
  <c r="Z77" i="19"/>
  <c r="AA76" i="19"/>
  <c r="Z76" i="19"/>
  <c r="AA75" i="19"/>
  <c r="Z75" i="19"/>
  <c r="AA74" i="19"/>
  <c r="Z74" i="19"/>
  <c r="AA73" i="19"/>
  <c r="Z73" i="19"/>
  <c r="AA72" i="19"/>
  <c r="Z72" i="19"/>
  <c r="AA71" i="19"/>
  <c r="Z71" i="19"/>
  <c r="AA70" i="19"/>
  <c r="Z70" i="19"/>
  <c r="AA69" i="19"/>
  <c r="Z69" i="19"/>
  <c r="AA68" i="19"/>
  <c r="Z68" i="19"/>
  <c r="AA67" i="19"/>
  <c r="Z67" i="19"/>
  <c r="AA66" i="19"/>
  <c r="Z66" i="19"/>
  <c r="AA65" i="19"/>
  <c r="Z65" i="19"/>
  <c r="AA64" i="19"/>
  <c r="Z64" i="19"/>
  <c r="AA63" i="19"/>
  <c r="Z63" i="19"/>
  <c r="AA62" i="19"/>
  <c r="Z62" i="19"/>
  <c r="AA61" i="19"/>
  <c r="Z61" i="19"/>
  <c r="AA60" i="19"/>
  <c r="Z60" i="19"/>
  <c r="AA59" i="19"/>
  <c r="Z59" i="19"/>
  <c r="Y9" i="19"/>
  <c r="X9" i="19"/>
  <c r="W9" i="19"/>
  <c r="T9" i="19"/>
  <c r="R9" i="19"/>
  <c r="Q9" i="19"/>
  <c r="P9" i="19"/>
  <c r="O9" i="19"/>
  <c r="J9" i="19"/>
  <c r="I9" i="19"/>
  <c r="G9" i="19"/>
  <c r="F9" i="19"/>
  <c r="E9" i="19"/>
  <c r="D9" i="19"/>
  <c r="C9" i="19"/>
  <c r="Y8" i="19"/>
  <c r="X8" i="19"/>
  <c r="W8" i="19"/>
  <c r="T8" i="19"/>
  <c r="R8" i="19"/>
  <c r="P8" i="19"/>
  <c r="O8" i="19"/>
  <c r="J8" i="19"/>
  <c r="I8" i="19"/>
  <c r="G8" i="19"/>
  <c r="F8" i="19"/>
  <c r="E8" i="19"/>
  <c r="D8" i="19"/>
  <c r="C8" i="19"/>
  <c r="J60" i="18"/>
  <c r="K60" i="18"/>
  <c r="L60" i="18"/>
  <c r="M60" i="18"/>
  <c r="N60" i="18"/>
  <c r="O60" i="18"/>
  <c r="P60" i="18"/>
  <c r="Q60" i="18"/>
  <c r="R60" i="18"/>
  <c r="S60" i="18"/>
  <c r="T60" i="18"/>
  <c r="U60" i="18"/>
  <c r="V60" i="18"/>
  <c r="W60" i="18"/>
  <c r="X60" i="18"/>
  <c r="Y60" i="18"/>
  <c r="Z60" i="18"/>
  <c r="AA60" i="18"/>
  <c r="J61" i="18"/>
  <c r="K61" i="18"/>
  <c r="L61" i="18"/>
  <c r="M61" i="18"/>
  <c r="N61" i="18"/>
  <c r="O61" i="18"/>
  <c r="P61" i="18"/>
  <c r="Q61" i="18"/>
  <c r="R61" i="18"/>
  <c r="S61" i="18"/>
  <c r="T61" i="18"/>
  <c r="U61" i="18"/>
  <c r="V61" i="18"/>
  <c r="W61" i="18"/>
  <c r="X61" i="18"/>
  <c r="Y61" i="18"/>
  <c r="Z61" i="18"/>
  <c r="AA61" i="18"/>
  <c r="J62" i="18"/>
  <c r="K62" i="18"/>
  <c r="L62" i="18"/>
  <c r="M62" i="18"/>
  <c r="N62" i="18"/>
  <c r="O62" i="18"/>
  <c r="P62" i="18"/>
  <c r="Q62" i="18"/>
  <c r="R62" i="18"/>
  <c r="S62" i="18"/>
  <c r="T62" i="18"/>
  <c r="U62" i="18"/>
  <c r="V62" i="18"/>
  <c r="W62" i="18"/>
  <c r="X62" i="18"/>
  <c r="Y62" i="18"/>
  <c r="Z62" i="18"/>
  <c r="AA62" i="18"/>
  <c r="J63" i="18"/>
  <c r="K63" i="18"/>
  <c r="L63" i="18"/>
  <c r="M63" i="18"/>
  <c r="N63" i="18"/>
  <c r="O63" i="18"/>
  <c r="P63" i="18"/>
  <c r="Q63" i="18"/>
  <c r="R63" i="18"/>
  <c r="S63" i="18"/>
  <c r="T63" i="18"/>
  <c r="U63" i="18"/>
  <c r="V63" i="18"/>
  <c r="W63" i="18"/>
  <c r="X63" i="18"/>
  <c r="Y63" i="18"/>
  <c r="Z63" i="18"/>
  <c r="AA63" i="18"/>
  <c r="J64" i="18"/>
  <c r="K64" i="18"/>
  <c r="L64" i="18"/>
  <c r="M64" i="18"/>
  <c r="N64" i="18"/>
  <c r="O64" i="18"/>
  <c r="P64" i="18"/>
  <c r="Q64" i="18"/>
  <c r="R64" i="18"/>
  <c r="S64" i="18"/>
  <c r="T64" i="18"/>
  <c r="U64" i="18"/>
  <c r="V64" i="18"/>
  <c r="W64" i="18"/>
  <c r="X64" i="18"/>
  <c r="Y64" i="18"/>
  <c r="Z64" i="18"/>
  <c r="AA64" i="18"/>
  <c r="J65" i="18"/>
  <c r="K65" i="18"/>
  <c r="L65" i="18"/>
  <c r="M65" i="18"/>
  <c r="N65" i="18"/>
  <c r="O65" i="18"/>
  <c r="P65" i="18"/>
  <c r="Q65" i="18"/>
  <c r="R65" i="18"/>
  <c r="S65" i="18"/>
  <c r="T65" i="18"/>
  <c r="U65" i="18"/>
  <c r="V65" i="18"/>
  <c r="W65" i="18"/>
  <c r="X65" i="18"/>
  <c r="Y65" i="18"/>
  <c r="Z65" i="18"/>
  <c r="AA65" i="18"/>
  <c r="J66" i="18"/>
  <c r="K66" i="18"/>
  <c r="L66" i="18"/>
  <c r="M66" i="18"/>
  <c r="N66" i="18"/>
  <c r="O66" i="18"/>
  <c r="P66" i="18"/>
  <c r="Q66" i="18"/>
  <c r="R66" i="18"/>
  <c r="S66" i="18"/>
  <c r="T66" i="18"/>
  <c r="U66" i="18"/>
  <c r="V66" i="18"/>
  <c r="W66" i="18"/>
  <c r="X66" i="18"/>
  <c r="Y66" i="18"/>
  <c r="Z66" i="18"/>
  <c r="AA66" i="18"/>
  <c r="J67" i="18"/>
  <c r="K67" i="18"/>
  <c r="L67" i="18"/>
  <c r="M67" i="18"/>
  <c r="N67" i="18"/>
  <c r="O67" i="18"/>
  <c r="P67" i="18"/>
  <c r="Q67" i="18"/>
  <c r="R67" i="18"/>
  <c r="S67" i="18"/>
  <c r="T67" i="18"/>
  <c r="U67" i="18"/>
  <c r="V67" i="18"/>
  <c r="W67" i="18"/>
  <c r="X67" i="18"/>
  <c r="Y67" i="18"/>
  <c r="Z67" i="18"/>
  <c r="AA67" i="18"/>
  <c r="J68" i="18"/>
  <c r="K68" i="18"/>
  <c r="L68" i="18"/>
  <c r="M68" i="18"/>
  <c r="N68" i="18"/>
  <c r="O68" i="18"/>
  <c r="P68" i="18"/>
  <c r="Q68" i="18"/>
  <c r="R68" i="18"/>
  <c r="S68" i="18"/>
  <c r="T68" i="18"/>
  <c r="U68" i="18"/>
  <c r="V68" i="18"/>
  <c r="W68" i="18"/>
  <c r="X68" i="18"/>
  <c r="Y68" i="18"/>
  <c r="Z68" i="18"/>
  <c r="AA68" i="18"/>
  <c r="J69" i="18"/>
  <c r="K69" i="18"/>
  <c r="L69" i="18"/>
  <c r="M69" i="18"/>
  <c r="N69" i="18"/>
  <c r="O69" i="18"/>
  <c r="P69" i="18"/>
  <c r="Q69" i="18"/>
  <c r="R69" i="18"/>
  <c r="S69" i="18"/>
  <c r="T69" i="18"/>
  <c r="U69" i="18"/>
  <c r="V69" i="18"/>
  <c r="W69" i="18"/>
  <c r="X69" i="18"/>
  <c r="Y69" i="18"/>
  <c r="Z69" i="18"/>
  <c r="AA69" i="18"/>
  <c r="J70" i="18"/>
  <c r="K70" i="18"/>
  <c r="L70" i="18"/>
  <c r="M70" i="18"/>
  <c r="N70" i="18"/>
  <c r="O70" i="18"/>
  <c r="P70" i="18"/>
  <c r="Q70" i="18"/>
  <c r="R70" i="18"/>
  <c r="S70" i="18"/>
  <c r="T70" i="18"/>
  <c r="U70" i="18"/>
  <c r="V70" i="18"/>
  <c r="W70" i="18"/>
  <c r="X70" i="18"/>
  <c r="Y70" i="18"/>
  <c r="Z70" i="18"/>
  <c r="AA70" i="18"/>
  <c r="J71" i="18"/>
  <c r="K71" i="18"/>
  <c r="L71" i="18"/>
  <c r="M71" i="18"/>
  <c r="N71" i="18"/>
  <c r="O71" i="18"/>
  <c r="P71" i="18"/>
  <c r="Q71" i="18"/>
  <c r="R71" i="18"/>
  <c r="S71" i="18"/>
  <c r="T71" i="18"/>
  <c r="U71" i="18"/>
  <c r="V71" i="18"/>
  <c r="W71" i="18"/>
  <c r="X71" i="18"/>
  <c r="Y71" i="18"/>
  <c r="Z71" i="18"/>
  <c r="AA71" i="18"/>
  <c r="J72" i="18"/>
  <c r="K72" i="18"/>
  <c r="L72" i="18"/>
  <c r="M72" i="18"/>
  <c r="N72" i="18"/>
  <c r="O72" i="18"/>
  <c r="P72" i="18"/>
  <c r="Q72" i="18"/>
  <c r="R72" i="18"/>
  <c r="S72" i="18"/>
  <c r="T72" i="18"/>
  <c r="U72" i="18"/>
  <c r="V72" i="18"/>
  <c r="W72" i="18"/>
  <c r="X72" i="18"/>
  <c r="Y72" i="18"/>
  <c r="Z72" i="18"/>
  <c r="AA72" i="18"/>
  <c r="J73" i="18"/>
  <c r="K73" i="18"/>
  <c r="L73" i="18"/>
  <c r="M73" i="18"/>
  <c r="N73" i="18"/>
  <c r="O73" i="18"/>
  <c r="P73" i="18"/>
  <c r="Q73" i="18"/>
  <c r="R73" i="18"/>
  <c r="S73" i="18"/>
  <c r="T73" i="18"/>
  <c r="U73" i="18"/>
  <c r="V73" i="18"/>
  <c r="W73" i="18"/>
  <c r="X73" i="18"/>
  <c r="Y73" i="18"/>
  <c r="Z73" i="18"/>
  <c r="AA73" i="18"/>
  <c r="J74" i="18"/>
  <c r="K74" i="18"/>
  <c r="L74" i="18"/>
  <c r="M74" i="18"/>
  <c r="N74" i="18"/>
  <c r="O74" i="18"/>
  <c r="P74" i="18"/>
  <c r="Q74" i="18"/>
  <c r="R74" i="18"/>
  <c r="S74" i="18"/>
  <c r="T74" i="18"/>
  <c r="U74" i="18"/>
  <c r="V74" i="18"/>
  <c r="W74" i="18"/>
  <c r="X74" i="18"/>
  <c r="Y74" i="18"/>
  <c r="Z74" i="18"/>
  <c r="AA74" i="18"/>
  <c r="J75" i="18"/>
  <c r="K75" i="18"/>
  <c r="L75" i="18"/>
  <c r="M75" i="18"/>
  <c r="N75" i="18"/>
  <c r="O75" i="18"/>
  <c r="P75" i="18"/>
  <c r="Q75" i="18"/>
  <c r="R75" i="18"/>
  <c r="S75" i="18"/>
  <c r="T75" i="18"/>
  <c r="U75" i="18"/>
  <c r="V75" i="18"/>
  <c r="W75" i="18"/>
  <c r="X75" i="18"/>
  <c r="Y75" i="18"/>
  <c r="Z75" i="18"/>
  <c r="AA75" i="18"/>
  <c r="J76" i="18"/>
  <c r="K76" i="18"/>
  <c r="L76" i="18"/>
  <c r="M76" i="18"/>
  <c r="N76" i="18"/>
  <c r="O76" i="18"/>
  <c r="P76" i="18"/>
  <c r="Q76" i="18"/>
  <c r="R76" i="18"/>
  <c r="S76" i="18"/>
  <c r="T76" i="18"/>
  <c r="U76" i="18"/>
  <c r="V76" i="18"/>
  <c r="W76" i="18"/>
  <c r="X76" i="18"/>
  <c r="Y76" i="18"/>
  <c r="Z76" i="18"/>
  <c r="AA76" i="18"/>
  <c r="J77" i="18"/>
  <c r="K77" i="18"/>
  <c r="L77" i="18"/>
  <c r="M77" i="18"/>
  <c r="N77" i="18"/>
  <c r="O77" i="18"/>
  <c r="P77" i="18"/>
  <c r="Q77" i="18"/>
  <c r="R77" i="18"/>
  <c r="S77" i="18"/>
  <c r="T77" i="18"/>
  <c r="U77" i="18"/>
  <c r="V77" i="18"/>
  <c r="W77" i="18"/>
  <c r="X77" i="18"/>
  <c r="Y77" i="18"/>
  <c r="Z77" i="18"/>
  <c r="AA77" i="18"/>
  <c r="J78" i="18"/>
  <c r="K78" i="18"/>
  <c r="L78" i="18"/>
  <c r="M78" i="18"/>
  <c r="N78" i="18"/>
  <c r="O78" i="18"/>
  <c r="P78" i="18"/>
  <c r="Q78" i="18"/>
  <c r="R78" i="18"/>
  <c r="S78" i="18"/>
  <c r="T78" i="18"/>
  <c r="U78" i="18"/>
  <c r="V78" i="18"/>
  <c r="W78" i="18"/>
  <c r="X78" i="18"/>
  <c r="Y78" i="18"/>
  <c r="Z78" i="18"/>
  <c r="AA78" i="18"/>
  <c r="J79" i="18"/>
  <c r="K79" i="18"/>
  <c r="L79" i="18"/>
  <c r="M79" i="18"/>
  <c r="N79" i="18"/>
  <c r="O79" i="18"/>
  <c r="P79" i="18"/>
  <c r="Q79" i="18"/>
  <c r="R79" i="18"/>
  <c r="S79" i="18"/>
  <c r="T79" i="18"/>
  <c r="U79" i="18"/>
  <c r="V79" i="18"/>
  <c r="W79" i="18"/>
  <c r="X79" i="18"/>
  <c r="Y79" i="18"/>
  <c r="Z79" i="18"/>
  <c r="AA79" i="18"/>
  <c r="J80" i="18"/>
  <c r="K80" i="18"/>
  <c r="L80" i="18"/>
  <c r="M80" i="18"/>
  <c r="N80" i="18"/>
  <c r="O80" i="18"/>
  <c r="P80" i="18"/>
  <c r="Q80" i="18"/>
  <c r="R80" i="18"/>
  <c r="S80" i="18"/>
  <c r="T80" i="18"/>
  <c r="U80" i="18"/>
  <c r="V80" i="18"/>
  <c r="W80" i="18"/>
  <c r="X80" i="18"/>
  <c r="Y80" i="18"/>
  <c r="Z80" i="18"/>
  <c r="AA80" i="18"/>
  <c r="J81" i="18"/>
  <c r="K81" i="18"/>
  <c r="L81" i="18"/>
  <c r="M81" i="18"/>
  <c r="N81" i="18"/>
  <c r="O81" i="18"/>
  <c r="P81" i="18"/>
  <c r="Q81" i="18"/>
  <c r="R81" i="18"/>
  <c r="S81" i="18"/>
  <c r="T81" i="18"/>
  <c r="U81" i="18"/>
  <c r="V81" i="18"/>
  <c r="W81" i="18"/>
  <c r="X81" i="18"/>
  <c r="Y81" i="18"/>
  <c r="Z81" i="18"/>
  <c r="AA81" i="18"/>
  <c r="J82" i="18"/>
  <c r="K82" i="18"/>
  <c r="L82" i="18"/>
  <c r="M82" i="18"/>
  <c r="N82" i="18"/>
  <c r="O82" i="18"/>
  <c r="P82" i="18"/>
  <c r="Q82" i="18"/>
  <c r="R82" i="18"/>
  <c r="S82" i="18"/>
  <c r="T82" i="18"/>
  <c r="U82" i="18"/>
  <c r="V82" i="18"/>
  <c r="W82" i="18"/>
  <c r="X82" i="18"/>
  <c r="Y82" i="18"/>
  <c r="Z82" i="18"/>
  <c r="AA82" i="18"/>
  <c r="J83" i="18"/>
  <c r="K83" i="18"/>
  <c r="L83" i="18"/>
  <c r="M83" i="18"/>
  <c r="N83" i="18"/>
  <c r="O83" i="18"/>
  <c r="P83" i="18"/>
  <c r="Q83" i="18"/>
  <c r="R83" i="18"/>
  <c r="S83" i="18"/>
  <c r="T83" i="18"/>
  <c r="U83" i="18"/>
  <c r="V83" i="18"/>
  <c r="W83" i="18"/>
  <c r="X83" i="18"/>
  <c r="Y83" i="18"/>
  <c r="Z83" i="18"/>
  <c r="AA83" i="18"/>
  <c r="J84" i="18"/>
  <c r="K84" i="18"/>
  <c r="L84" i="18"/>
  <c r="M84" i="18"/>
  <c r="N84" i="18"/>
  <c r="O84" i="18"/>
  <c r="P84" i="18"/>
  <c r="Q84" i="18"/>
  <c r="R84" i="18"/>
  <c r="S84" i="18"/>
  <c r="T84" i="18"/>
  <c r="U84" i="18"/>
  <c r="V84" i="18"/>
  <c r="W84" i="18"/>
  <c r="X84" i="18"/>
  <c r="Y84" i="18"/>
  <c r="Z84" i="18"/>
  <c r="AA84" i="18"/>
  <c r="J85" i="18"/>
  <c r="K85" i="18"/>
  <c r="L85" i="18"/>
  <c r="M85" i="18"/>
  <c r="N85" i="18"/>
  <c r="O85" i="18"/>
  <c r="P85" i="18"/>
  <c r="Q85" i="18"/>
  <c r="R85" i="18"/>
  <c r="S85" i="18"/>
  <c r="T85" i="18"/>
  <c r="U85" i="18"/>
  <c r="V85" i="18"/>
  <c r="W85" i="18"/>
  <c r="X85" i="18"/>
  <c r="Y85" i="18"/>
  <c r="Z85" i="18"/>
  <c r="AA85" i="18"/>
  <c r="J86" i="18"/>
  <c r="K86" i="18"/>
  <c r="L86" i="18"/>
  <c r="M86" i="18"/>
  <c r="N86" i="18"/>
  <c r="O86" i="18"/>
  <c r="P86" i="18"/>
  <c r="Q86" i="18"/>
  <c r="R86" i="18"/>
  <c r="S86" i="18"/>
  <c r="T86" i="18"/>
  <c r="U86" i="18"/>
  <c r="V86" i="18"/>
  <c r="W86" i="18"/>
  <c r="X86" i="18"/>
  <c r="Y86" i="18"/>
  <c r="Z86" i="18"/>
  <c r="AA86" i="18"/>
  <c r="J87" i="18"/>
  <c r="K87" i="18"/>
  <c r="L87" i="18"/>
  <c r="M87" i="18"/>
  <c r="N87" i="18"/>
  <c r="O87" i="18"/>
  <c r="P87" i="18"/>
  <c r="Q87" i="18"/>
  <c r="R87" i="18"/>
  <c r="S87" i="18"/>
  <c r="T87" i="18"/>
  <c r="U87" i="18"/>
  <c r="V87" i="18"/>
  <c r="W87" i="18"/>
  <c r="X87" i="18"/>
  <c r="Y87" i="18"/>
  <c r="Z87" i="18"/>
  <c r="AA87" i="18"/>
  <c r="J88" i="18"/>
  <c r="K88" i="18"/>
  <c r="L88" i="18"/>
  <c r="M88" i="18"/>
  <c r="N88" i="18"/>
  <c r="O88" i="18"/>
  <c r="P88" i="18"/>
  <c r="Q88" i="18"/>
  <c r="R88" i="18"/>
  <c r="S88" i="18"/>
  <c r="T88" i="18"/>
  <c r="U88" i="18"/>
  <c r="V88" i="18"/>
  <c r="W88" i="18"/>
  <c r="X88" i="18"/>
  <c r="Y88" i="18"/>
  <c r="Z88" i="18"/>
  <c r="AA88" i="18"/>
  <c r="J89" i="18"/>
  <c r="K89" i="18"/>
  <c r="L89" i="18"/>
  <c r="M89" i="18"/>
  <c r="N89" i="18"/>
  <c r="O89" i="18"/>
  <c r="P89" i="18"/>
  <c r="Q89" i="18"/>
  <c r="R89" i="18"/>
  <c r="S89" i="18"/>
  <c r="T89" i="18"/>
  <c r="U89" i="18"/>
  <c r="V89" i="18"/>
  <c r="W89" i="18"/>
  <c r="X89" i="18"/>
  <c r="Y89" i="18"/>
  <c r="Z89" i="18"/>
  <c r="AA89" i="18"/>
  <c r="J90" i="18"/>
  <c r="K90" i="18"/>
  <c r="L90" i="18"/>
  <c r="M90" i="18"/>
  <c r="N90" i="18"/>
  <c r="O90" i="18"/>
  <c r="P90" i="18"/>
  <c r="Q90" i="18"/>
  <c r="R90" i="18"/>
  <c r="S90" i="18"/>
  <c r="T90" i="18"/>
  <c r="U90" i="18"/>
  <c r="V90" i="18"/>
  <c r="W90" i="18"/>
  <c r="X90" i="18"/>
  <c r="Y90" i="18"/>
  <c r="Z90" i="18"/>
  <c r="AA90" i="18"/>
  <c r="J91" i="18"/>
  <c r="K91" i="18"/>
  <c r="L91" i="18"/>
  <c r="M91" i="18"/>
  <c r="N91" i="18"/>
  <c r="O91" i="18"/>
  <c r="P91" i="18"/>
  <c r="Q91" i="18"/>
  <c r="R91" i="18"/>
  <c r="S91" i="18"/>
  <c r="T91" i="18"/>
  <c r="U91" i="18"/>
  <c r="V91" i="18"/>
  <c r="W91" i="18"/>
  <c r="X91" i="18"/>
  <c r="Y91" i="18"/>
  <c r="Z91" i="18"/>
  <c r="AA91" i="18"/>
  <c r="J92" i="18"/>
  <c r="K92" i="18"/>
  <c r="L92" i="18"/>
  <c r="M92" i="18"/>
  <c r="N92" i="18"/>
  <c r="O92" i="18"/>
  <c r="P92" i="18"/>
  <c r="Q92" i="18"/>
  <c r="R92" i="18"/>
  <c r="S92" i="18"/>
  <c r="T92" i="18"/>
  <c r="U92" i="18"/>
  <c r="V92" i="18"/>
  <c r="W92" i="18"/>
  <c r="X92" i="18"/>
  <c r="Y92" i="18"/>
  <c r="Z92" i="18"/>
  <c r="AA92" i="18"/>
  <c r="J93" i="18"/>
  <c r="K93" i="18"/>
  <c r="L93" i="18"/>
  <c r="M93" i="18"/>
  <c r="N93" i="18"/>
  <c r="O93" i="18"/>
  <c r="P93" i="18"/>
  <c r="Q93" i="18"/>
  <c r="R93" i="18"/>
  <c r="S93" i="18"/>
  <c r="T93" i="18"/>
  <c r="U93" i="18"/>
  <c r="V93" i="18"/>
  <c r="W93" i="18"/>
  <c r="X93" i="18"/>
  <c r="Y93" i="18"/>
  <c r="Z93" i="18"/>
  <c r="AA93" i="18"/>
  <c r="J94" i="18"/>
  <c r="K94" i="18"/>
  <c r="L94" i="18"/>
  <c r="M94" i="18"/>
  <c r="N94" i="18"/>
  <c r="O94" i="18"/>
  <c r="P94" i="18"/>
  <c r="Q94" i="18"/>
  <c r="R94" i="18"/>
  <c r="S94" i="18"/>
  <c r="T94" i="18"/>
  <c r="U94" i="18"/>
  <c r="V94" i="18"/>
  <c r="W94" i="18"/>
  <c r="X94" i="18"/>
  <c r="Y94" i="18"/>
  <c r="Z94" i="18"/>
  <c r="Z5" i="18" s="1"/>
  <c r="AA94" i="18"/>
  <c r="AA4" i="18" s="1"/>
  <c r="J95" i="18"/>
  <c r="K95" i="18"/>
  <c r="L95" i="18"/>
  <c r="M95" i="18"/>
  <c r="N95" i="18"/>
  <c r="O95" i="18"/>
  <c r="P95" i="18"/>
  <c r="Q95" i="18"/>
  <c r="R95" i="18"/>
  <c r="S95" i="18"/>
  <c r="T95" i="18"/>
  <c r="U95" i="18"/>
  <c r="V95" i="18"/>
  <c r="W95" i="18"/>
  <c r="X95" i="18"/>
  <c r="Y95" i="18"/>
  <c r="Z95" i="18"/>
  <c r="AA95" i="18"/>
  <c r="J96" i="18"/>
  <c r="K96" i="18"/>
  <c r="L96" i="18"/>
  <c r="M96" i="18"/>
  <c r="N96" i="18"/>
  <c r="O96" i="18"/>
  <c r="P96" i="18"/>
  <c r="Q96" i="18"/>
  <c r="R96" i="18"/>
  <c r="S96" i="18"/>
  <c r="T96" i="18"/>
  <c r="U96" i="18"/>
  <c r="V96" i="18"/>
  <c r="W96" i="18"/>
  <c r="X96" i="18"/>
  <c r="Y96" i="18"/>
  <c r="Z96" i="18"/>
  <c r="AA96" i="18"/>
  <c r="J97" i="18"/>
  <c r="K97" i="18"/>
  <c r="L97" i="18"/>
  <c r="M97" i="18"/>
  <c r="N97" i="18"/>
  <c r="O97" i="18"/>
  <c r="P97" i="18"/>
  <c r="Q97" i="18"/>
  <c r="R97" i="18"/>
  <c r="S97" i="18"/>
  <c r="T97" i="18"/>
  <c r="U97" i="18"/>
  <c r="V97" i="18"/>
  <c r="W97" i="18"/>
  <c r="X97" i="18"/>
  <c r="Y97" i="18"/>
  <c r="Z97" i="18"/>
  <c r="AA97" i="18"/>
  <c r="J98" i="18"/>
  <c r="K98" i="18"/>
  <c r="L98" i="18"/>
  <c r="M98" i="18"/>
  <c r="N98" i="18"/>
  <c r="O98" i="18"/>
  <c r="P98" i="18"/>
  <c r="Q98" i="18"/>
  <c r="R98" i="18"/>
  <c r="S98" i="18"/>
  <c r="T98" i="18"/>
  <c r="U98" i="18"/>
  <c r="V98" i="18"/>
  <c r="W98" i="18"/>
  <c r="X98" i="18"/>
  <c r="Y98" i="18"/>
  <c r="Z98" i="18"/>
  <c r="AA98" i="18"/>
  <c r="J99" i="18"/>
  <c r="K99" i="18"/>
  <c r="L99" i="18"/>
  <c r="M99" i="18"/>
  <c r="N99" i="18"/>
  <c r="O99" i="18"/>
  <c r="P99" i="18"/>
  <c r="Q99" i="18"/>
  <c r="R99" i="18"/>
  <c r="S99" i="18"/>
  <c r="T99" i="18"/>
  <c r="U99" i="18"/>
  <c r="V99" i="18"/>
  <c r="W99" i="18"/>
  <c r="X99" i="18"/>
  <c r="Y99" i="18"/>
  <c r="Z99" i="18"/>
  <c r="AA99" i="18"/>
  <c r="J100" i="18"/>
  <c r="K100" i="18"/>
  <c r="L100" i="18"/>
  <c r="M100" i="18"/>
  <c r="N100" i="18"/>
  <c r="O100" i="18"/>
  <c r="P100" i="18"/>
  <c r="Q100" i="18"/>
  <c r="R100" i="18"/>
  <c r="S100" i="18"/>
  <c r="T100" i="18"/>
  <c r="U100" i="18"/>
  <c r="V100" i="18"/>
  <c r="W100" i="18"/>
  <c r="X100" i="18"/>
  <c r="Y100" i="18"/>
  <c r="Z100" i="18"/>
  <c r="AA100" i="18"/>
  <c r="J101" i="18"/>
  <c r="K101" i="18"/>
  <c r="L101" i="18"/>
  <c r="M101" i="18"/>
  <c r="N101" i="18"/>
  <c r="O101" i="18"/>
  <c r="P101" i="18"/>
  <c r="Q101" i="18"/>
  <c r="R101" i="18"/>
  <c r="S101" i="18"/>
  <c r="T101" i="18"/>
  <c r="U101" i="18"/>
  <c r="V101" i="18"/>
  <c r="W101" i="18"/>
  <c r="X101" i="18"/>
  <c r="Y101" i="18"/>
  <c r="Z101" i="18"/>
  <c r="AA101" i="18"/>
  <c r="J102" i="18"/>
  <c r="K102" i="18"/>
  <c r="L102" i="18"/>
  <c r="M102" i="18"/>
  <c r="N102" i="18"/>
  <c r="O102" i="18"/>
  <c r="P102" i="18"/>
  <c r="Q102" i="18"/>
  <c r="R102" i="18"/>
  <c r="S102" i="18"/>
  <c r="T102" i="18"/>
  <c r="U102" i="18"/>
  <c r="V102" i="18"/>
  <c r="W102" i="18"/>
  <c r="X102" i="18"/>
  <c r="Y102" i="18"/>
  <c r="Z102" i="18"/>
  <c r="AA102" i="18"/>
  <c r="J103" i="18"/>
  <c r="K103" i="18"/>
  <c r="L103" i="18"/>
  <c r="M103" i="18"/>
  <c r="N103" i="18"/>
  <c r="O103" i="18"/>
  <c r="P103" i="18"/>
  <c r="Q103" i="18"/>
  <c r="R103" i="18"/>
  <c r="S103" i="18"/>
  <c r="T103" i="18"/>
  <c r="U103" i="18"/>
  <c r="V103" i="18"/>
  <c r="W103" i="18"/>
  <c r="X103" i="18"/>
  <c r="Y103" i="18"/>
  <c r="Z103" i="18"/>
  <c r="AA103" i="18"/>
  <c r="J104" i="18"/>
  <c r="K104" i="18"/>
  <c r="L104" i="18"/>
  <c r="M104" i="18"/>
  <c r="N104" i="18"/>
  <c r="O104" i="18"/>
  <c r="P104" i="18"/>
  <c r="Q104" i="18"/>
  <c r="R104" i="18"/>
  <c r="S104" i="18"/>
  <c r="T104" i="18"/>
  <c r="U104" i="18"/>
  <c r="V104" i="18"/>
  <c r="W104" i="18"/>
  <c r="X104" i="18"/>
  <c r="Y104" i="18"/>
  <c r="Z104" i="18"/>
  <c r="AA104" i="18"/>
  <c r="J105" i="18"/>
  <c r="K105" i="18"/>
  <c r="L105" i="18"/>
  <c r="M105" i="18"/>
  <c r="N105" i="18"/>
  <c r="O105" i="18"/>
  <c r="P105" i="18"/>
  <c r="Q105" i="18"/>
  <c r="R105" i="18"/>
  <c r="S105" i="18"/>
  <c r="T105" i="18"/>
  <c r="U105" i="18"/>
  <c r="V105" i="18"/>
  <c r="W105" i="18"/>
  <c r="X105" i="18"/>
  <c r="Y105" i="18"/>
  <c r="Z105" i="18"/>
  <c r="AA105" i="18"/>
  <c r="Z106" i="18"/>
  <c r="AA106" i="18"/>
  <c r="AA59" i="18"/>
  <c r="Z59" i="18"/>
  <c r="Y59" i="18"/>
  <c r="X59" i="18"/>
  <c r="W59" i="18"/>
  <c r="V59" i="18"/>
  <c r="U59" i="18"/>
  <c r="T59" i="18"/>
  <c r="S59" i="18"/>
  <c r="R59" i="18"/>
  <c r="Q59" i="18"/>
  <c r="P59" i="18"/>
  <c r="O59" i="18"/>
  <c r="N59" i="18"/>
  <c r="M59" i="18"/>
  <c r="L59" i="18"/>
  <c r="K59" i="18"/>
  <c r="J59" i="18"/>
  <c r="F60" i="18"/>
  <c r="G60" i="18"/>
  <c r="H60" i="18"/>
  <c r="I60" i="18"/>
  <c r="F61" i="18"/>
  <c r="G61" i="18"/>
  <c r="H61" i="18"/>
  <c r="I61" i="18"/>
  <c r="F62" i="18"/>
  <c r="G62" i="18"/>
  <c r="H62" i="18"/>
  <c r="I62" i="18"/>
  <c r="F63" i="18"/>
  <c r="G63" i="18"/>
  <c r="H63" i="18"/>
  <c r="I63" i="18"/>
  <c r="F64" i="18"/>
  <c r="G64" i="18"/>
  <c r="H64" i="18"/>
  <c r="I64" i="18"/>
  <c r="F65" i="18"/>
  <c r="G65" i="18"/>
  <c r="H65" i="18"/>
  <c r="I65" i="18"/>
  <c r="F66" i="18"/>
  <c r="G66" i="18"/>
  <c r="H66" i="18"/>
  <c r="I66" i="18"/>
  <c r="F67" i="18"/>
  <c r="G67" i="18"/>
  <c r="H67" i="18"/>
  <c r="I67" i="18"/>
  <c r="F68" i="18"/>
  <c r="G68" i="18"/>
  <c r="H68" i="18"/>
  <c r="I68" i="18"/>
  <c r="F69" i="18"/>
  <c r="G69" i="18"/>
  <c r="H69" i="18"/>
  <c r="I69" i="18"/>
  <c r="F70" i="18"/>
  <c r="G70" i="18"/>
  <c r="H70" i="18"/>
  <c r="I70" i="18"/>
  <c r="F71" i="18"/>
  <c r="G71" i="18"/>
  <c r="H71" i="18"/>
  <c r="I71" i="18"/>
  <c r="F72" i="18"/>
  <c r="G72" i="18"/>
  <c r="H72" i="18"/>
  <c r="I72" i="18"/>
  <c r="F73" i="18"/>
  <c r="G73" i="18"/>
  <c r="H73" i="18"/>
  <c r="I73" i="18"/>
  <c r="F74" i="18"/>
  <c r="G74" i="18"/>
  <c r="H74" i="18"/>
  <c r="I74" i="18"/>
  <c r="F75" i="18"/>
  <c r="G75" i="18"/>
  <c r="H75" i="18"/>
  <c r="I75" i="18"/>
  <c r="F76" i="18"/>
  <c r="G76" i="18"/>
  <c r="H76" i="18"/>
  <c r="I76" i="18"/>
  <c r="F77" i="18"/>
  <c r="G77" i="18"/>
  <c r="H77" i="18"/>
  <c r="I77" i="18"/>
  <c r="F78" i="18"/>
  <c r="G78" i="18"/>
  <c r="H78" i="18"/>
  <c r="I78" i="18"/>
  <c r="F79" i="18"/>
  <c r="G79" i="18"/>
  <c r="H79" i="18"/>
  <c r="I79" i="18"/>
  <c r="F80" i="18"/>
  <c r="G80" i="18"/>
  <c r="H80" i="18"/>
  <c r="I80" i="18"/>
  <c r="F81" i="18"/>
  <c r="G81" i="18"/>
  <c r="H81" i="18"/>
  <c r="I81" i="18"/>
  <c r="F82" i="18"/>
  <c r="G82" i="18"/>
  <c r="H82" i="18"/>
  <c r="I82" i="18"/>
  <c r="F83" i="18"/>
  <c r="G83" i="18"/>
  <c r="H83" i="18"/>
  <c r="I83" i="18"/>
  <c r="F84" i="18"/>
  <c r="G84" i="18"/>
  <c r="H84" i="18"/>
  <c r="I84" i="18"/>
  <c r="F85" i="18"/>
  <c r="G85" i="18"/>
  <c r="H85" i="18"/>
  <c r="I85" i="18"/>
  <c r="F86" i="18"/>
  <c r="G86" i="18"/>
  <c r="H86" i="18"/>
  <c r="I86" i="18"/>
  <c r="F87" i="18"/>
  <c r="G87" i="18"/>
  <c r="H87" i="18"/>
  <c r="I87" i="18"/>
  <c r="F88" i="18"/>
  <c r="G88" i="18"/>
  <c r="H88" i="18"/>
  <c r="I88" i="18"/>
  <c r="F89" i="18"/>
  <c r="G89" i="18"/>
  <c r="H89" i="18"/>
  <c r="I89" i="18"/>
  <c r="F90" i="18"/>
  <c r="G90" i="18"/>
  <c r="H90" i="18"/>
  <c r="I90" i="18"/>
  <c r="F91" i="18"/>
  <c r="G91" i="18"/>
  <c r="H91" i="18"/>
  <c r="I91" i="18"/>
  <c r="F92" i="18"/>
  <c r="G92" i="18"/>
  <c r="H92" i="18"/>
  <c r="I92" i="18"/>
  <c r="F93" i="18"/>
  <c r="G93" i="18"/>
  <c r="H93" i="18"/>
  <c r="I93" i="18"/>
  <c r="F94" i="18"/>
  <c r="G94" i="18"/>
  <c r="H94" i="18"/>
  <c r="I94" i="18"/>
  <c r="F95" i="18"/>
  <c r="G95" i="18"/>
  <c r="H95" i="18"/>
  <c r="I95" i="18"/>
  <c r="F96" i="18"/>
  <c r="G96" i="18"/>
  <c r="H96" i="18"/>
  <c r="I96" i="18"/>
  <c r="F97" i="18"/>
  <c r="G97" i="18"/>
  <c r="H97" i="18"/>
  <c r="I97" i="18"/>
  <c r="F98" i="18"/>
  <c r="G98" i="18"/>
  <c r="H98" i="18"/>
  <c r="I98" i="18"/>
  <c r="F99" i="18"/>
  <c r="G99" i="18"/>
  <c r="H99" i="18"/>
  <c r="I99" i="18"/>
  <c r="F100" i="18"/>
  <c r="G100" i="18"/>
  <c r="H100" i="18"/>
  <c r="I100" i="18"/>
  <c r="F101" i="18"/>
  <c r="G101" i="18"/>
  <c r="H101" i="18"/>
  <c r="I101" i="18"/>
  <c r="F102" i="18"/>
  <c r="G102" i="18"/>
  <c r="H102" i="18"/>
  <c r="I102" i="18"/>
  <c r="F103" i="18"/>
  <c r="G103" i="18"/>
  <c r="H103" i="18"/>
  <c r="I103" i="18"/>
  <c r="F104" i="18"/>
  <c r="G104" i="18"/>
  <c r="H104" i="18"/>
  <c r="I104" i="18"/>
  <c r="F105" i="18"/>
  <c r="G105" i="18"/>
  <c r="H105" i="18"/>
  <c r="I105" i="18"/>
  <c r="I59" i="18"/>
  <c r="H59" i="18"/>
  <c r="G59" i="18"/>
  <c r="F59" i="18"/>
  <c r="E59" i="18"/>
  <c r="E74" i="18"/>
  <c r="E75" i="18"/>
  <c r="E76" i="18"/>
  <c r="E77" i="18"/>
  <c r="E78" i="18"/>
  <c r="E79" i="18"/>
  <c r="E80" i="18"/>
  <c r="E81" i="18"/>
  <c r="E82" i="18"/>
  <c r="E83" i="18"/>
  <c r="E84" i="18"/>
  <c r="E85" i="18"/>
  <c r="E86" i="18"/>
  <c r="E87" i="18"/>
  <c r="E88" i="18"/>
  <c r="E89" i="18"/>
  <c r="E90" i="18"/>
  <c r="E91" i="18"/>
  <c r="E92" i="18"/>
  <c r="E93" i="18"/>
  <c r="E94" i="18"/>
  <c r="E95" i="18"/>
  <c r="E96" i="18"/>
  <c r="E97" i="18"/>
  <c r="E98" i="18"/>
  <c r="E99" i="18"/>
  <c r="E100" i="18"/>
  <c r="E101" i="18"/>
  <c r="E102" i="18"/>
  <c r="E103" i="18"/>
  <c r="E104" i="18"/>
  <c r="E105" i="18"/>
  <c r="E60" i="18"/>
  <c r="E61" i="18"/>
  <c r="E62" i="18"/>
  <c r="E63" i="18"/>
  <c r="E64" i="18"/>
  <c r="E65" i="18"/>
  <c r="E66" i="18"/>
  <c r="E67" i="18"/>
  <c r="E68" i="18"/>
  <c r="E69" i="18"/>
  <c r="E70" i="18"/>
  <c r="E71" i="18"/>
  <c r="E72" i="18"/>
  <c r="E73" i="18"/>
  <c r="D69" i="18"/>
  <c r="D70" i="18"/>
  <c r="D71" i="18"/>
  <c r="D72" i="18"/>
  <c r="D73" i="18"/>
  <c r="D74" i="18"/>
  <c r="D75" i="18"/>
  <c r="D76" i="18"/>
  <c r="D77" i="18"/>
  <c r="D78" i="18"/>
  <c r="D79" i="18"/>
  <c r="D80" i="18"/>
  <c r="D81" i="18"/>
  <c r="D82" i="18"/>
  <c r="D83" i="18"/>
  <c r="D84" i="18"/>
  <c r="D85" i="18"/>
  <c r="D86" i="18"/>
  <c r="D87" i="18"/>
  <c r="D88" i="18"/>
  <c r="D89" i="18"/>
  <c r="D90" i="18"/>
  <c r="D91" i="18"/>
  <c r="D92" i="18"/>
  <c r="D93" i="18"/>
  <c r="D94" i="18"/>
  <c r="D95" i="18"/>
  <c r="D96" i="18"/>
  <c r="D97" i="18"/>
  <c r="D98" i="18"/>
  <c r="D99" i="18"/>
  <c r="D100" i="18"/>
  <c r="D101" i="18"/>
  <c r="D102" i="18"/>
  <c r="D103" i="18"/>
  <c r="D104" i="18"/>
  <c r="D105" i="18"/>
  <c r="D60" i="18"/>
  <c r="D61" i="18"/>
  <c r="D62" i="18"/>
  <c r="D63" i="18"/>
  <c r="D64" i="18"/>
  <c r="D65" i="18"/>
  <c r="D66" i="18"/>
  <c r="D67" i="18"/>
  <c r="D68" i="18"/>
  <c r="D59" i="18"/>
  <c r="C74" i="18"/>
  <c r="C75" i="18"/>
  <c r="C76" i="18"/>
  <c r="C77" i="18"/>
  <c r="C78" i="18"/>
  <c r="C79" i="18"/>
  <c r="C80" i="18"/>
  <c r="C81" i="18"/>
  <c r="C82" i="18"/>
  <c r="C83" i="18"/>
  <c r="C84" i="18"/>
  <c r="C85" i="18"/>
  <c r="C86" i="18"/>
  <c r="C87" i="18"/>
  <c r="C88" i="18"/>
  <c r="C89" i="18"/>
  <c r="C90" i="18"/>
  <c r="C91" i="18"/>
  <c r="C92" i="18"/>
  <c r="C93" i="18"/>
  <c r="C94" i="18"/>
  <c r="C95" i="18"/>
  <c r="C96" i="18"/>
  <c r="C97" i="18"/>
  <c r="C98" i="18"/>
  <c r="C99" i="18"/>
  <c r="C100" i="18"/>
  <c r="C101" i="18"/>
  <c r="C102" i="18"/>
  <c r="C103" i="18"/>
  <c r="C104" i="18"/>
  <c r="C105" i="18"/>
  <c r="C60" i="18"/>
  <c r="C61" i="18"/>
  <c r="C62" i="18"/>
  <c r="C63" i="18"/>
  <c r="C64" i="18"/>
  <c r="C65" i="18"/>
  <c r="C66" i="18"/>
  <c r="C67" i="18"/>
  <c r="C68" i="18"/>
  <c r="C69" i="18"/>
  <c r="C70" i="18"/>
  <c r="C71" i="18"/>
  <c r="C72" i="18"/>
  <c r="C73" i="18"/>
  <c r="C59" i="18"/>
  <c r="Q7" i="18" l="1"/>
  <c r="P7" i="18"/>
  <c r="Y7" i="18"/>
  <c r="T7" i="18"/>
  <c r="S7" i="18"/>
  <c r="G7" i="18"/>
  <c r="E7" i="19"/>
  <c r="Q7" i="19"/>
  <c r="F7" i="19"/>
  <c r="R7" i="19"/>
  <c r="H7" i="19"/>
  <c r="T7" i="19"/>
  <c r="G7" i="19"/>
  <c r="I7" i="19"/>
  <c r="U7" i="19"/>
  <c r="J7" i="19"/>
  <c r="V7" i="19"/>
  <c r="S7" i="19"/>
  <c r="K7" i="19"/>
  <c r="W7" i="19"/>
  <c r="L7" i="19"/>
  <c r="X7" i="19"/>
  <c r="M7" i="19"/>
  <c r="Y7" i="19"/>
  <c r="N7" i="19"/>
  <c r="C7" i="19"/>
  <c r="O7" i="19"/>
  <c r="D4" i="19"/>
  <c r="D6" i="19"/>
  <c r="D7" i="19" s="1"/>
  <c r="D5" i="19"/>
  <c r="P7" i="19"/>
  <c r="U9" i="19"/>
  <c r="N8" i="19"/>
  <c r="V9" i="19"/>
  <c r="M8" i="19"/>
  <c r="S9" i="19"/>
  <c r="H9" i="19"/>
  <c r="L8" i="19"/>
  <c r="Z9" i="19"/>
  <c r="Z6" i="19"/>
  <c r="Z7" i="19" s="1"/>
  <c r="AA6" i="19"/>
  <c r="AA7" i="19" s="1"/>
  <c r="AA8" i="19"/>
  <c r="AA5" i="19"/>
  <c r="Z5" i="19"/>
  <c r="Z4" i="18"/>
  <c r="Z6" i="18"/>
  <c r="Z7" i="18" s="1"/>
  <c r="N7" i="18"/>
  <c r="C7" i="18"/>
  <c r="AA6" i="18"/>
  <c r="AA7" i="18" s="1"/>
  <c r="O7" i="18"/>
  <c r="AA5" i="18"/>
  <c r="M7" i="18"/>
  <c r="X7" i="18"/>
  <c r="L7" i="18"/>
  <c r="V7" i="18"/>
  <c r="U7" i="18"/>
  <c r="I7" i="18"/>
  <c r="H7" i="18"/>
  <c r="E7" i="18"/>
  <c r="K8" i="19"/>
  <c r="R9" i="18"/>
  <c r="F8" i="18"/>
  <c r="Z8" i="18"/>
  <c r="N8" i="18"/>
  <c r="AA9" i="18"/>
  <c r="Z9" i="18"/>
  <c r="Y9" i="18"/>
  <c r="X9" i="18"/>
  <c r="V9" i="18"/>
  <c r="U9" i="18"/>
  <c r="T9" i="18"/>
  <c r="S9" i="18"/>
  <c r="Q9" i="18"/>
  <c r="P9" i="18"/>
  <c r="O9" i="18"/>
  <c r="N9" i="18"/>
  <c r="M9" i="18"/>
  <c r="L9" i="18"/>
  <c r="J9" i="18"/>
  <c r="I9" i="18"/>
  <c r="H9" i="18"/>
  <c r="G9" i="18"/>
  <c r="E9" i="18"/>
  <c r="D9" i="18"/>
  <c r="C9" i="18"/>
  <c r="AA8" i="18"/>
  <c r="Y8" i="18"/>
  <c r="X8" i="18"/>
  <c r="W8" i="18"/>
  <c r="V8" i="18"/>
  <c r="U8" i="18"/>
  <c r="T8" i="18"/>
  <c r="S8" i="18"/>
  <c r="Q8" i="18"/>
  <c r="P8" i="18"/>
  <c r="O8" i="18"/>
  <c r="M8" i="18"/>
  <c r="L8" i="18"/>
  <c r="K8" i="18"/>
  <c r="J8" i="18"/>
  <c r="I8" i="18"/>
  <c r="H8" i="18"/>
  <c r="G8" i="18"/>
  <c r="E8" i="18"/>
  <c r="D8" i="18"/>
  <c r="C8" i="18"/>
  <c r="J7" i="18" l="1"/>
  <c r="K9" i="18"/>
  <c r="W9" i="18"/>
  <c r="D7" i="18"/>
  <c r="F7" i="18"/>
  <c r="R7" i="18"/>
  <c r="R8" i="18"/>
  <c r="F9" i="18"/>
  <c r="K7" i="18"/>
  <c r="W7" i="18"/>
  <c r="A813" i="15" l="1"/>
  <c r="A812" i="15"/>
  <c r="A811" i="15"/>
  <c r="A810" i="15"/>
  <c r="A809" i="15"/>
  <c r="A808" i="15"/>
  <c r="A807" i="15"/>
  <c r="A806" i="15"/>
  <c r="A805" i="15"/>
  <c r="A804" i="15"/>
  <c r="A803" i="15"/>
  <c r="A802" i="15"/>
  <c r="A801" i="15"/>
  <c r="A800" i="15"/>
  <c r="A799" i="15"/>
  <c r="A798" i="15"/>
  <c r="A797" i="15"/>
  <c r="A796" i="15"/>
  <c r="A795" i="15"/>
  <c r="A794" i="15"/>
  <c r="A793" i="15"/>
  <c r="A792" i="15"/>
  <c r="A791" i="15"/>
  <c r="A790" i="15"/>
  <c r="A789" i="15"/>
  <c r="A788" i="15"/>
  <c r="A787" i="15"/>
  <c r="A786" i="15"/>
  <c r="A785" i="15"/>
  <c r="A784" i="15"/>
  <c r="A783" i="15"/>
  <c r="A782" i="15"/>
  <c r="A781" i="15"/>
  <c r="A780" i="15"/>
  <c r="A779" i="15"/>
  <c r="A778" i="15"/>
  <c r="A777" i="15"/>
  <c r="A776" i="15"/>
  <c r="A775" i="15"/>
  <c r="A774" i="15"/>
  <c r="A773" i="15"/>
  <c r="A772" i="15"/>
  <c r="A771" i="15"/>
  <c r="A770" i="15"/>
  <c r="A769" i="15"/>
  <c r="A768" i="15"/>
  <c r="A767" i="15"/>
  <c r="A766" i="15"/>
  <c r="A765" i="15"/>
  <c r="A764" i="15"/>
  <c r="A763" i="15"/>
  <c r="A762" i="15"/>
  <c r="A761" i="15"/>
  <c r="A760" i="15"/>
  <c r="A759" i="15"/>
  <c r="A758" i="15"/>
  <c r="A757" i="15"/>
  <c r="A756" i="15"/>
  <c r="A755" i="15"/>
  <c r="A754" i="15"/>
  <c r="A753" i="15"/>
  <c r="A752" i="15"/>
  <c r="A751" i="15"/>
  <c r="A750" i="15"/>
  <c r="A749" i="15"/>
  <c r="A748" i="15"/>
  <c r="A747" i="15"/>
  <c r="A746" i="15"/>
  <c r="A745" i="15"/>
  <c r="A744" i="15"/>
  <c r="A743" i="15"/>
  <c r="A742" i="15"/>
  <c r="A741" i="15"/>
  <c r="A740" i="15"/>
  <c r="A739" i="15"/>
  <c r="A738" i="15"/>
  <c r="A737" i="15"/>
  <c r="A736" i="15"/>
  <c r="A735" i="15"/>
  <c r="A734" i="15"/>
  <c r="A733" i="15"/>
  <c r="A732" i="15"/>
  <c r="A731" i="15"/>
  <c r="A730" i="15"/>
  <c r="A729" i="15"/>
  <c r="A728" i="15"/>
  <c r="A727" i="15"/>
  <c r="A726" i="15"/>
  <c r="A725" i="15"/>
  <c r="A724" i="15"/>
  <c r="A723" i="15"/>
  <c r="A722" i="15"/>
  <c r="A721" i="15"/>
  <c r="A720" i="15"/>
  <c r="A719" i="15"/>
  <c r="A718" i="15"/>
  <c r="A717" i="15"/>
  <c r="A716" i="15"/>
  <c r="A715" i="15"/>
  <c r="A714" i="15"/>
  <c r="A713" i="15"/>
  <c r="A712" i="15"/>
  <c r="A711" i="15"/>
  <c r="A710" i="15"/>
  <c r="A709" i="15"/>
  <c r="A708" i="15"/>
  <c r="A707" i="15"/>
  <c r="A706" i="15"/>
  <c r="A705" i="15"/>
  <c r="A704" i="15"/>
  <c r="A703" i="15"/>
  <c r="A702" i="15"/>
  <c r="A701" i="15"/>
  <c r="A700" i="15"/>
  <c r="A699" i="15"/>
  <c r="A698" i="15"/>
  <c r="A697" i="15"/>
  <c r="A696" i="15"/>
  <c r="A695" i="15"/>
  <c r="A694" i="15"/>
  <c r="A693" i="15"/>
  <c r="A692" i="15"/>
  <c r="A691" i="15"/>
  <c r="A690" i="15"/>
  <c r="A689" i="15"/>
  <c r="A688" i="15"/>
  <c r="A687" i="15"/>
  <c r="A686" i="15"/>
  <c r="A685" i="15"/>
  <c r="A684" i="15"/>
  <c r="A683" i="15"/>
  <c r="A682" i="15"/>
  <c r="A681" i="15"/>
  <c r="A680" i="15"/>
  <c r="A679" i="15"/>
  <c r="A678" i="15"/>
  <c r="A677" i="15"/>
  <c r="A676" i="15"/>
  <c r="A675" i="15"/>
  <c r="A674" i="15"/>
  <c r="A673" i="15"/>
  <c r="A672" i="15"/>
  <c r="A671" i="15"/>
  <c r="A670" i="15"/>
  <c r="A669" i="15"/>
  <c r="A668" i="15"/>
  <c r="A667" i="15"/>
  <c r="A666" i="15"/>
  <c r="A665" i="15"/>
  <c r="A664" i="15"/>
  <c r="A663" i="15"/>
  <c r="A662" i="15"/>
  <c r="A661" i="15"/>
  <c r="A660" i="15"/>
  <c r="A659" i="15"/>
  <c r="A658" i="15"/>
  <c r="A657" i="15"/>
  <c r="A656" i="15"/>
  <c r="A655" i="15"/>
  <c r="A654" i="15"/>
  <c r="A653" i="15"/>
  <c r="A652" i="15"/>
  <c r="A651" i="15"/>
  <c r="A650" i="15"/>
  <c r="A649" i="15"/>
  <c r="A648" i="15"/>
  <c r="A647" i="15"/>
  <c r="A646" i="15"/>
  <c r="A645" i="15"/>
  <c r="A644" i="15"/>
  <c r="A643" i="15"/>
  <c r="A642" i="15"/>
  <c r="A641" i="15"/>
  <c r="A640" i="15"/>
  <c r="A639" i="15"/>
  <c r="A638" i="15"/>
  <c r="A637" i="15"/>
  <c r="A636" i="15"/>
  <c r="A635" i="15"/>
  <c r="A634" i="15"/>
  <c r="A633" i="15"/>
  <c r="A632" i="15"/>
  <c r="A631" i="15"/>
  <c r="A630" i="15"/>
  <c r="A629" i="15"/>
  <c r="A628" i="15"/>
  <c r="A627" i="15"/>
  <c r="A626" i="15"/>
  <c r="A625" i="15"/>
  <c r="A624" i="15"/>
  <c r="A623" i="15"/>
  <c r="A622" i="15"/>
  <c r="A621" i="15"/>
  <c r="A620" i="15"/>
  <c r="A619" i="15"/>
  <c r="A618" i="15"/>
  <c r="A617" i="15"/>
  <c r="A616" i="15"/>
  <c r="A615" i="15"/>
  <c r="A614" i="15"/>
  <c r="A613" i="15"/>
  <c r="A612" i="15"/>
  <c r="A611" i="15"/>
  <c r="A610" i="15"/>
  <c r="A609" i="15"/>
  <c r="A608" i="15"/>
  <c r="A607" i="15"/>
  <c r="A606" i="15"/>
  <c r="A605" i="15"/>
  <c r="A604" i="15"/>
  <c r="A603" i="15"/>
  <c r="A602" i="15"/>
  <c r="A601" i="15"/>
  <c r="A600" i="15"/>
  <c r="A599" i="15"/>
  <c r="A598" i="15"/>
  <c r="A597" i="15"/>
  <c r="A596" i="15"/>
  <c r="A595" i="15"/>
  <c r="A594" i="15"/>
  <c r="A593" i="15"/>
  <c r="A592" i="15"/>
  <c r="A591" i="15"/>
  <c r="A590" i="15"/>
  <c r="A589" i="15"/>
  <c r="A588" i="15"/>
  <c r="A587" i="15"/>
  <c r="A586" i="15"/>
  <c r="A585" i="15"/>
  <c r="A584" i="15"/>
  <c r="A583" i="15"/>
  <c r="A582" i="15"/>
  <c r="A581" i="15"/>
  <c r="A580" i="15"/>
  <c r="A579" i="15"/>
  <c r="A578" i="15"/>
  <c r="A577" i="15"/>
  <c r="A576" i="15"/>
  <c r="A575" i="15"/>
  <c r="A574" i="15"/>
  <c r="A573" i="15"/>
  <c r="A572" i="15"/>
  <c r="A571" i="15"/>
  <c r="A570" i="15"/>
  <c r="A569" i="15"/>
  <c r="A568" i="15"/>
  <c r="A567" i="15"/>
  <c r="A566" i="15"/>
  <c r="A565" i="15"/>
  <c r="A564" i="15"/>
  <c r="A563" i="15"/>
  <c r="A562" i="15"/>
  <c r="A561" i="15"/>
  <c r="A560" i="15"/>
  <c r="A559" i="15"/>
  <c r="A558" i="15"/>
  <c r="A557" i="15"/>
  <c r="A556" i="15"/>
  <c r="A555" i="15"/>
  <c r="A554" i="15"/>
  <c r="A553" i="15"/>
  <c r="A552" i="15"/>
  <c r="A551" i="15"/>
  <c r="A550" i="15"/>
  <c r="A549" i="15"/>
  <c r="A548" i="15"/>
  <c r="A547" i="15"/>
  <c r="A546" i="15"/>
  <c r="A545" i="15"/>
  <c r="A544" i="15"/>
  <c r="A543" i="15"/>
  <c r="A542" i="15"/>
  <c r="A541" i="15"/>
  <c r="A540" i="15"/>
  <c r="A539" i="15"/>
  <c r="A538" i="15"/>
  <c r="A537" i="15"/>
  <c r="A536" i="15"/>
  <c r="A535" i="15"/>
  <c r="A534" i="15"/>
  <c r="A533" i="15"/>
  <c r="A532" i="15"/>
  <c r="A531" i="15"/>
  <c r="A530" i="15"/>
  <c r="A529" i="15"/>
  <c r="A528" i="15"/>
  <c r="A527" i="15"/>
  <c r="A526" i="15"/>
  <c r="A525" i="15"/>
  <c r="A524" i="15"/>
  <c r="A523" i="15"/>
  <c r="A522" i="15"/>
  <c r="A521" i="15"/>
  <c r="A520" i="15"/>
  <c r="A519" i="15"/>
  <c r="A518" i="15"/>
  <c r="A517" i="15"/>
  <c r="A516" i="15"/>
  <c r="A515" i="15"/>
  <c r="A514" i="15"/>
  <c r="A513" i="15"/>
  <c r="A512" i="15"/>
  <c r="A511" i="15"/>
  <c r="A510" i="15"/>
  <c r="A509" i="15"/>
  <c r="A508" i="15"/>
  <c r="A507" i="15"/>
  <c r="A506" i="15"/>
  <c r="A505" i="15"/>
  <c r="A504" i="15"/>
  <c r="A503" i="15"/>
  <c r="A502" i="15"/>
  <c r="A501" i="15"/>
  <c r="A500" i="15"/>
  <c r="A499" i="15"/>
  <c r="A498" i="15"/>
  <c r="A497" i="15"/>
  <c r="A496" i="15"/>
  <c r="A495" i="15"/>
  <c r="A494" i="15"/>
  <c r="A493" i="15"/>
  <c r="A492" i="15"/>
  <c r="A491" i="15"/>
  <c r="A490" i="15"/>
  <c r="A489" i="15"/>
  <c r="A488" i="15"/>
  <c r="A487" i="15"/>
  <c r="A486" i="15"/>
  <c r="A485" i="15"/>
  <c r="A484" i="15"/>
  <c r="A483" i="15"/>
  <c r="A482" i="15"/>
  <c r="A481" i="15"/>
  <c r="A480" i="15"/>
  <c r="A479" i="15"/>
  <c r="A478" i="15"/>
  <c r="A477" i="15"/>
  <c r="A476" i="15"/>
  <c r="A475" i="15"/>
  <c r="A474" i="15"/>
  <c r="A473" i="15"/>
  <c r="A472" i="15"/>
  <c r="A471" i="15"/>
  <c r="A470" i="15"/>
  <c r="A469" i="15"/>
  <c r="A468" i="15"/>
  <c r="A467" i="15"/>
  <c r="A466" i="15"/>
  <c r="A465" i="15"/>
  <c r="A464" i="15"/>
  <c r="A463" i="15"/>
  <c r="A462" i="15"/>
  <c r="A461" i="15"/>
  <c r="A460" i="15"/>
  <c r="A459" i="15"/>
  <c r="A458" i="15"/>
  <c r="A457" i="15"/>
  <c r="A456" i="15"/>
  <c r="A455" i="15"/>
  <c r="A454" i="15"/>
  <c r="A453" i="15"/>
  <c r="A452" i="15"/>
  <c r="A451" i="15"/>
  <c r="A450" i="15"/>
  <c r="A449" i="15"/>
  <c r="A448" i="15"/>
  <c r="A447" i="15"/>
  <c r="A446" i="15"/>
  <c r="A445" i="15"/>
  <c r="A444" i="15"/>
  <c r="A443" i="15"/>
  <c r="A442" i="15"/>
  <c r="A441" i="15"/>
  <c r="A440" i="15"/>
  <c r="A439" i="15"/>
  <c r="A438" i="15"/>
  <c r="A437" i="15"/>
  <c r="A436" i="15"/>
  <c r="A435" i="15"/>
  <c r="A434" i="15"/>
  <c r="A433" i="15"/>
  <c r="A432" i="15"/>
  <c r="A431" i="15"/>
  <c r="A430" i="15"/>
  <c r="A429" i="15"/>
  <c r="A428" i="15"/>
  <c r="A427" i="15"/>
  <c r="A426" i="15"/>
  <c r="A425" i="15"/>
  <c r="A424" i="15"/>
  <c r="A423" i="15"/>
  <c r="A422" i="15"/>
  <c r="A421" i="15"/>
  <c r="A420" i="15"/>
  <c r="A419" i="15"/>
  <c r="A418" i="15"/>
  <c r="A417" i="15"/>
  <c r="A416" i="15"/>
  <c r="A415" i="15"/>
  <c r="A414" i="15"/>
  <c r="A413" i="15"/>
  <c r="A412" i="15"/>
  <c r="A411" i="15"/>
  <c r="A410" i="15"/>
  <c r="A409" i="15"/>
  <c r="A408" i="15"/>
  <c r="A407" i="15"/>
  <c r="A406" i="15"/>
  <c r="A405" i="15"/>
  <c r="A404" i="15"/>
  <c r="A403" i="15"/>
  <c r="A402" i="15"/>
  <c r="A401" i="15"/>
  <c r="A400" i="15"/>
  <c r="A399" i="15"/>
  <c r="A398" i="15"/>
  <c r="A397" i="15"/>
  <c r="A396" i="15"/>
  <c r="A395" i="15"/>
  <c r="A394" i="15"/>
  <c r="A393" i="15"/>
  <c r="A392" i="15"/>
  <c r="A391" i="15"/>
  <c r="A390" i="15"/>
  <c r="A389" i="15"/>
  <c r="A388" i="15"/>
  <c r="A387" i="15"/>
  <c r="A386" i="15"/>
  <c r="A385" i="15"/>
  <c r="A384" i="15"/>
  <c r="A383" i="15"/>
  <c r="A382" i="15"/>
  <c r="A381" i="15"/>
  <c r="A380" i="15"/>
  <c r="A379" i="15"/>
  <c r="A378" i="15"/>
  <c r="A377" i="15"/>
  <c r="A376" i="15"/>
  <c r="A375" i="15"/>
  <c r="A374" i="15"/>
  <c r="A373" i="15"/>
  <c r="A372" i="15"/>
  <c r="A371" i="15"/>
  <c r="A370" i="15"/>
  <c r="A369" i="15"/>
  <c r="A368" i="15"/>
  <c r="A367" i="15"/>
  <c r="A366" i="15"/>
  <c r="A365" i="15"/>
  <c r="A364" i="15"/>
  <c r="A363" i="15"/>
  <c r="A362" i="15"/>
  <c r="A361" i="15"/>
  <c r="A360" i="15"/>
  <c r="A359" i="15"/>
  <c r="A358" i="15"/>
  <c r="A357" i="15"/>
  <c r="A356" i="15"/>
  <c r="A355" i="15"/>
  <c r="A354" i="15"/>
  <c r="A353" i="15"/>
  <c r="A352" i="15"/>
  <c r="A351" i="15"/>
  <c r="A350" i="15"/>
  <c r="A349" i="15"/>
  <c r="A348" i="15"/>
  <c r="A347" i="15"/>
  <c r="A346" i="15"/>
  <c r="A345" i="15"/>
  <c r="A344" i="15"/>
  <c r="A343" i="15"/>
  <c r="A342" i="15"/>
  <c r="A341" i="15"/>
  <c r="A340" i="15"/>
  <c r="A339" i="15"/>
  <c r="A338" i="15"/>
  <c r="A337" i="15"/>
  <c r="A336" i="15"/>
  <c r="A335" i="15"/>
  <c r="A334" i="15"/>
  <c r="A333" i="15"/>
  <c r="A332" i="15"/>
  <c r="A331" i="15"/>
  <c r="A330" i="15"/>
  <c r="A329" i="15"/>
  <c r="A328" i="15"/>
  <c r="A327" i="15"/>
  <c r="A326" i="15"/>
  <c r="A325" i="15"/>
  <c r="A324" i="15"/>
  <c r="A323" i="15"/>
  <c r="A322" i="15"/>
  <c r="A321" i="15"/>
  <c r="A320" i="15"/>
  <c r="A319" i="15"/>
  <c r="A318" i="15"/>
  <c r="A317" i="15"/>
  <c r="A316" i="15"/>
  <c r="A315" i="15"/>
  <c r="A314" i="15"/>
  <c r="A313" i="15"/>
  <c r="A312" i="15"/>
  <c r="A311" i="15"/>
  <c r="A310" i="15"/>
  <c r="A309" i="15"/>
  <c r="A308" i="15"/>
  <c r="A307" i="15"/>
  <c r="A306" i="15"/>
  <c r="A305" i="15"/>
  <c r="A304" i="15"/>
  <c r="A303" i="15"/>
  <c r="A302" i="15"/>
  <c r="A301" i="15"/>
  <c r="A300" i="15"/>
  <c r="A299" i="15"/>
  <c r="A298" i="15"/>
  <c r="A297" i="15"/>
  <c r="A296" i="15"/>
  <c r="A295" i="15"/>
  <c r="A294" i="15"/>
  <c r="A293" i="15"/>
  <c r="A292" i="15"/>
  <c r="A291" i="15"/>
  <c r="A290" i="15"/>
  <c r="A289" i="15"/>
  <c r="A288" i="15"/>
  <c r="A287" i="15"/>
  <c r="A286" i="15"/>
  <c r="A285" i="15"/>
  <c r="A284" i="15"/>
  <c r="A283" i="15"/>
  <c r="A282" i="15"/>
  <c r="A281" i="15"/>
  <c r="A280" i="15"/>
  <c r="A279" i="15"/>
  <c r="A278" i="15"/>
  <c r="A277" i="15"/>
  <c r="A276" i="15"/>
  <c r="A275" i="15"/>
  <c r="A274" i="15"/>
  <c r="A273" i="15"/>
  <c r="A272" i="15"/>
  <c r="A271" i="15"/>
  <c r="A270" i="15"/>
  <c r="A269" i="15"/>
  <c r="A268" i="15"/>
  <c r="A267" i="15"/>
  <c r="A266" i="15"/>
  <c r="A265" i="15"/>
  <c r="A264" i="15"/>
  <c r="A263" i="15"/>
  <c r="A262" i="15"/>
  <c r="A261" i="15"/>
  <c r="A260" i="15"/>
  <c r="A259" i="15"/>
  <c r="A258" i="15"/>
  <c r="A257" i="15"/>
  <c r="A256" i="15"/>
  <c r="A255" i="15"/>
  <c r="A254" i="15"/>
  <c r="A253" i="15"/>
  <c r="A252" i="15"/>
  <c r="A251" i="15"/>
  <c r="A250" i="15"/>
  <c r="A249" i="15"/>
  <c r="A248" i="15"/>
  <c r="A247" i="15"/>
  <c r="A246" i="15"/>
  <c r="A245" i="15"/>
  <c r="A244" i="15"/>
  <c r="A243" i="15"/>
  <c r="A242" i="15"/>
  <c r="A241" i="15"/>
  <c r="A240" i="15"/>
  <c r="A239" i="15"/>
  <c r="A238" i="15"/>
  <c r="A237" i="15"/>
  <c r="A236" i="15"/>
  <c r="A235" i="15"/>
  <c r="A234" i="15"/>
  <c r="A233" i="15"/>
  <c r="A232" i="15"/>
  <c r="A231" i="15"/>
  <c r="A230" i="15"/>
  <c r="A229" i="15"/>
  <c r="A228" i="15"/>
  <c r="A227" i="15"/>
  <c r="A226" i="15"/>
  <c r="A225" i="15"/>
  <c r="A224" i="15"/>
  <c r="A223" i="15"/>
  <c r="A222" i="15"/>
  <c r="A221" i="15"/>
  <c r="A220" i="15"/>
  <c r="A219" i="15"/>
  <c r="A218" i="15"/>
  <c r="A217" i="15"/>
  <c r="A216" i="15"/>
  <c r="A215" i="15"/>
  <c r="A214" i="15"/>
  <c r="A213" i="15"/>
  <c r="A212" i="15"/>
  <c r="A211" i="15"/>
  <c r="A210" i="15"/>
  <c r="A209" i="15"/>
  <c r="A208" i="15"/>
  <c r="A207" i="15"/>
  <c r="A206" i="15"/>
  <c r="A205" i="15"/>
  <c r="A204" i="15"/>
  <c r="A203" i="15"/>
  <c r="A202" i="15"/>
  <c r="A201" i="15"/>
  <c r="A200" i="15"/>
  <c r="A199" i="15"/>
  <c r="A198" i="15"/>
  <c r="A197" i="15"/>
  <c r="A196" i="15"/>
  <c r="A195" i="15"/>
  <c r="A194" i="15"/>
  <c r="A193" i="15"/>
  <c r="A192" i="15"/>
  <c r="A191" i="15"/>
  <c r="A190" i="15"/>
  <c r="A189" i="15"/>
  <c r="A188" i="15"/>
  <c r="A187" i="15"/>
  <c r="A186" i="15"/>
  <c r="A185" i="15"/>
  <c r="A184" i="15"/>
  <c r="A183" i="15"/>
  <c r="A182" i="15"/>
  <c r="A181" i="15"/>
  <c r="A180" i="15"/>
  <c r="A179" i="15"/>
  <c r="A178" i="15"/>
  <c r="A177" i="15"/>
  <c r="A176" i="15"/>
  <c r="A175" i="15"/>
  <c r="A174" i="15"/>
  <c r="A173" i="15"/>
  <c r="A172" i="15"/>
  <c r="A171" i="15"/>
  <c r="A170" i="15"/>
  <c r="A169" i="15"/>
  <c r="A168" i="15"/>
  <c r="A167" i="15"/>
  <c r="A166" i="15"/>
  <c r="A165" i="15"/>
  <c r="A164" i="15"/>
  <c r="A163" i="15"/>
  <c r="A162" i="15"/>
  <c r="A161" i="15"/>
  <c r="A160" i="15"/>
  <c r="A159" i="15"/>
  <c r="A158" i="15"/>
  <c r="A157" i="15"/>
  <c r="A156" i="15"/>
  <c r="A155" i="15"/>
  <c r="A154" i="15"/>
  <c r="A153" i="15"/>
  <c r="A152" i="15"/>
  <c r="A151" i="15"/>
  <c r="A150" i="15"/>
  <c r="A149" i="15"/>
  <c r="A148" i="15"/>
  <c r="A147" i="15"/>
  <c r="A146" i="15"/>
  <c r="A145" i="15"/>
  <c r="A144" i="15"/>
  <c r="A143" i="15"/>
  <c r="A142" i="15"/>
  <c r="A141" i="15"/>
  <c r="A140" i="15"/>
  <c r="A139" i="15"/>
  <c r="A138" i="15"/>
  <c r="A137" i="15"/>
  <c r="A136" i="15"/>
  <c r="A135" i="15"/>
  <c r="A134" i="15"/>
  <c r="A133" i="15"/>
  <c r="A132" i="15"/>
  <c r="A131" i="15"/>
  <c r="A130" i="15"/>
  <c r="A129" i="15"/>
  <c r="A128" i="15"/>
  <c r="A127" i="15"/>
  <c r="A126" i="15"/>
  <c r="A125" i="15"/>
  <c r="A124" i="15"/>
  <c r="A123" i="15"/>
  <c r="A122" i="15"/>
  <c r="A121" i="15"/>
  <c r="A120" i="15"/>
  <c r="A119" i="15"/>
  <c r="A118" i="15"/>
  <c r="A117" i="15"/>
  <c r="A116" i="15"/>
  <c r="A115" i="15"/>
  <c r="A114" i="15"/>
  <c r="A113" i="15"/>
  <c r="A112" i="15"/>
  <c r="A111" i="15"/>
  <c r="A110" i="15"/>
  <c r="A109" i="15"/>
  <c r="A108" i="15"/>
  <c r="A107" i="15"/>
  <c r="A106" i="15"/>
  <c r="A105" i="15"/>
  <c r="A104" i="15"/>
  <c r="A103" i="15"/>
  <c r="A102" i="15"/>
  <c r="A101" i="15"/>
  <c r="A100" i="15"/>
  <c r="A99" i="15"/>
  <c r="A98" i="15"/>
  <c r="A97" i="15"/>
  <c r="A96" i="15"/>
  <c r="A95" i="15"/>
  <c r="A94" i="15"/>
  <c r="A93" i="15"/>
  <c r="A92" i="15"/>
  <c r="A91" i="15"/>
  <c r="A90" i="15"/>
  <c r="A89" i="15"/>
  <c r="A88" i="15"/>
  <c r="A87" i="15"/>
  <c r="A86" i="15"/>
  <c r="A85" i="15"/>
  <c r="A84" i="15"/>
  <c r="A83" i="15"/>
  <c r="A82" i="15"/>
  <c r="A81" i="15"/>
  <c r="A80" i="15"/>
  <c r="A79" i="15"/>
  <c r="A78" i="15"/>
  <c r="A77" i="15"/>
  <c r="A76" i="15"/>
  <c r="A75" i="15"/>
  <c r="A74" i="15"/>
  <c r="A73" i="15"/>
  <c r="A72" i="15"/>
  <c r="A71" i="15"/>
  <c r="A70" i="15"/>
  <c r="A69" i="15"/>
  <c r="A68" i="15"/>
  <c r="A67" i="15"/>
  <c r="A66" i="15"/>
  <c r="A65" i="15"/>
  <c r="A64" i="15"/>
  <c r="A63" i="15"/>
  <c r="A62" i="15"/>
  <c r="A61" i="15"/>
  <c r="A60" i="15"/>
  <c r="A59" i="15"/>
  <c r="A58" i="15"/>
  <c r="A57" i="15"/>
  <c r="A56" i="15"/>
  <c r="A55" i="15"/>
  <c r="A54" i="15"/>
  <c r="A53" i="15"/>
  <c r="A52" i="15"/>
  <c r="A51" i="15"/>
  <c r="A50" i="15"/>
  <c r="A49" i="15"/>
  <c r="A48" i="15"/>
  <c r="A47" i="15"/>
  <c r="A46" i="15"/>
  <c r="A45" i="15"/>
  <c r="A44" i="15"/>
  <c r="A43" i="15"/>
  <c r="A42" i="15"/>
  <c r="A41" i="15"/>
  <c r="A40" i="15"/>
  <c r="A39" i="15"/>
  <c r="A38" i="15"/>
  <c r="A37" i="15"/>
  <c r="A36" i="15"/>
  <c r="A35" i="15"/>
  <c r="A34" i="15"/>
  <c r="A33" i="15"/>
  <c r="A32" i="15"/>
  <c r="A31" i="15"/>
  <c r="A30" i="15"/>
  <c r="A29" i="15"/>
  <c r="A28" i="15"/>
  <c r="A27" i="15"/>
  <c r="A26" i="15"/>
  <c r="A25" i="15"/>
  <c r="A24" i="15"/>
  <c r="A23" i="15"/>
  <c r="A22" i="15"/>
  <c r="A21" i="15"/>
  <c r="A20" i="15"/>
  <c r="A19" i="15"/>
  <c r="A18" i="15"/>
  <c r="A17" i="15"/>
  <c r="A16" i="15"/>
  <c r="A15" i="15"/>
  <c r="A14" i="15"/>
  <c r="A13" i="15"/>
  <c r="A12" i="15"/>
  <c r="A11" i="15"/>
  <c r="A10" i="15"/>
  <c r="A9" i="15"/>
  <c r="A8" i="15"/>
  <c r="A7" i="15"/>
  <c r="A6" i="15"/>
  <c r="A5" i="15"/>
  <c r="A4" i="15"/>
  <c r="A3" i="15"/>
  <c r="G247" i="15" l="1"/>
  <c r="H247" i="15" s="1"/>
  <c r="G561" i="15"/>
  <c r="H561" i="15" s="1"/>
  <c r="I674" i="15"/>
  <c r="I750" i="15"/>
  <c r="I33" i="15"/>
  <c r="I125" i="15"/>
  <c r="G164" i="15"/>
  <c r="H164" i="15" s="1"/>
  <c r="G191" i="15"/>
  <c r="H191" i="15" s="1"/>
  <c r="I227" i="15"/>
  <c r="I348" i="15"/>
  <c r="I553" i="15"/>
  <c r="G657" i="15"/>
  <c r="H657" i="15" s="1"/>
  <c r="I35" i="15"/>
  <c r="G35" i="15"/>
  <c r="H35" i="15" s="1"/>
  <c r="G155" i="15"/>
  <c r="H155" i="15" s="1"/>
  <c r="G238" i="15"/>
  <c r="H238" i="15" s="1"/>
  <c r="G326" i="15"/>
  <c r="H326" i="15" s="1"/>
  <c r="G386" i="15"/>
  <c r="H386" i="15" s="1"/>
  <c r="I412" i="15"/>
  <c r="I432" i="15"/>
  <c r="I472" i="15"/>
  <c r="G536" i="15"/>
  <c r="H536" i="15" s="1"/>
  <c r="I676" i="15"/>
  <c r="I685" i="15"/>
  <c r="G705" i="15"/>
  <c r="H705" i="15" s="1"/>
  <c r="I13" i="15"/>
  <c r="I43" i="15"/>
  <c r="I828" i="15"/>
  <c r="I827" i="15"/>
  <c r="G822" i="15"/>
  <c r="H822" i="15" s="1"/>
  <c r="I830" i="15"/>
  <c r="I826" i="15"/>
  <c r="G3" i="15"/>
  <c r="H3" i="15" s="1"/>
  <c r="I25" i="15"/>
  <c r="I184" i="15"/>
  <c r="G251" i="15"/>
  <c r="H251" i="15" s="1"/>
  <c r="I320" i="15"/>
  <c r="G350" i="15"/>
  <c r="H350" i="15" s="1"/>
  <c r="G444" i="15"/>
  <c r="H444" i="15" s="1"/>
  <c r="I462" i="15"/>
  <c r="G604" i="15"/>
  <c r="H604" i="15" s="1"/>
  <c r="I648" i="15"/>
  <c r="G763" i="15"/>
  <c r="H763" i="15" s="1"/>
  <c r="G231" i="15"/>
  <c r="H231" i="15" s="1"/>
  <c r="I446" i="15"/>
  <c r="G506" i="15"/>
  <c r="H506" i="15" s="1"/>
  <c r="G627" i="15"/>
  <c r="H627" i="15" s="1"/>
  <c r="I680" i="15"/>
  <c r="I785" i="15"/>
  <c r="I5" i="15"/>
  <c r="I17" i="15"/>
  <c r="G27" i="15"/>
  <c r="H27" i="15" s="1"/>
  <c r="I67" i="15"/>
  <c r="G185" i="15"/>
  <c r="H185" i="15" s="1"/>
  <c r="I214" i="15"/>
  <c r="G214" i="15"/>
  <c r="H214" i="15" s="1"/>
  <c r="G221" i="15"/>
  <c r="H221" i="15" s="1"/>
  <c r="I281" i="15"/>
  <c r="I560" i="15"/>
  <c r="G677" i="15"/>
  <c r="H677" i="15" s="1"/>
  <c r="I786" i="15"/>
  <c r="I198" i="15"/>
  <c r="I215" i="15"/>
  <c r="I263" i="15"/>
  <c r="I294" i="15"/>
  <c r="I292" i="15"/>
  <c r="I389" i="15"/>
  <c r="G406" i="15"/>
  <c r="H406" i="15" s="1"/>
  <c r="I459" i="15"/>
  <c r="G474" i="15"/>
  <c r="H474" i="15" s="1"/>
  <c r="G496" i="15"/>
  <c r="H496" i="15" s="1"/>
  <c r="I519" i="15"/>
  <c r="G595" i="15"/>
  <c r="H595" i="15" s="1"/>
  <c r="I640" i="15"/>
  <c r="I798" i="15"/>
  <c r="G809" i="15"/>
  <c r="H809" i="15" s="1"/>
  <c r="I19" i="15"/>
  <c r="G252" i="15"/>
  <c r="H252" i="15" s="1"/>
  <c r="I541" i="15"/>
  <c r="I567" i="15"/>
  <c r="I664" i="15"/>
  <c r="G689" i="15"/>
  <c r="H689" i="15" s="1"/>
  <c r="I699" i="15"/>
  <c r="G787" i="15"/>
  <c r="H787" i="15" s="1"/>
  <c r="I822" i="15"/>
  <c r="G89" i="15"/>
  <c r="H89" i="15" s="1"/>
  <c r="G59" i="15"/>
  <c r="H59" i="15" s="1"/>
  <c r="I93" i="15"/>
  <c r="I133" i="15"/>
  <c r="G223" i="15"/>
  <c r="H223" i="15" s="1"/>
  <c r="I332" i="15"/>
  <c r="I460" i="15"/>
  <c r="I498" i="15"/>
  <c r="I550" i="15"/>
  <c r="G608" i="15"/>
  <c r="H608" i="15" s="1"/>
  <c r="I700" i="15"/>
  <c r="G777" i="15"/>
  <c r="H777" i="15" s="1"/>
  <c r="I788" i="15"/>
  <c r="I9" i="15"/>
  <c r="I39" i="15"/>
  <c r="I83" i="15"/>
  <c r="I192" i="15"/>
  <c r="G189" i="15"/>
  <c r="H189" i="15" s="1"/>
  <c r="G196" i="15"/>
  <c r="H196" i="15" s="1"/>
  <c r="I246" i="15"/>
  <c r="I256" i="15"/>
  <c r="I401" i="15"/>
  <c r="I501" i="15"/>
  <c r="I571" i="15"/>
  <c r="G598" i="15"/>
  <c r="H598" i="15" s="1"/>
  <c r="I681" i="15"/>
  <c r="G701" i="15"/>
  <c r="H701" i="15" s="1"/>
  <c r="I824" i="15"/>
  <c r="G10" i="15"/>
  <c r="H10" i="15" s="1"/>
  <c r="G101" i="15"/>
  <c r="H101" i="15" s="1"/>
  <c r="G113" i="15"/>
  <c r="H113" i="15" s="1"/>
  <c r="I153" i="15"/>
  <c r="G172" i="15"/>
  <c r="H172" i="15" s="1"/>
  <c r="G224" i="15"/>
  <c r="H224" i="15" s="1"/>
  <c r="G246" i="15"/>
  <c r="H246" i="15" s="1"/>
  <c r="I308" i="15"/>
  <c r="I306" i="15"/>
  <c r="I328" i="15"/>
  <c r="I346" i="15"/>
  <c r="G393" i="15"/>
  <c r="H393" i="15" s="1"/>
  <c r="G409" i="15"/>
  <c r="H409" i="15" s="1"/>
  <c r="I469" i="15"/>
  <c r="I633" i="15"/>
  <c r="G633" i="15"/>
  <c r="H633" i="15" s="1"/>
  <c r="I654" i="15"/>
  <c r="G683" i="15"/>
  <c r="H683" i="15" s="1"/>
  <c r="G714" i="15"/>
  <c r="H714" i="15" s="1"/>
  <c r="I771" i="15"/>
  <c r="G771" i="15"/>
  <c r="H771" i="15" s="1"/>
  <c r="G542" i="15"/>
  <c r="H542" i="15" s="1"/>
  <c r="G85" i="15"/>
  <c r="H85" i="15" s="1"/>
  <c r="G390" i="15"/>
  <c r="H390" i="15" s="1"/>
  <c r="G420" i="15"/>
  <c r="H420" i="15" s="1"/>
  <c r="I450" i="15"/>
  <c r="G103" i="15"/>
  <c r="H103" i="15" s="1"/>
  <c r="G134" i="15"/>
  <c r="H134" i="15" s="1"/>
  <c r="I636" i="15"/>
  <c r="I409" i="15"/>
  <c r="G195" i="15"/>
  <c r="H195" i="15" s="1"/>
  <c r="I379" i="15"/>
  <c r="I662" i="15"/>
  <c r="I803" i="15"/>
  <c r="G446" i="15"/>
  <c r="H446" i="15" s="1"/>
  <c r="I470" i="15"/>
  <c r="G205" i="15"/>
  <c r="H205" i="15" s="1"/>
  <c r="G404" i="15"/>
  <c r="H404" i="15" s="1"/>
  <c r="I416" i="15"/>
  <c r="I487" i="15"/>
  <c r="G662" i="15"/>
  <c r="H662" i="15" s="1"/>
  <c r="G198" i="15"/>
  <c r="H198" i="15" s="1"/>
  <c r="G215" i="15"/>
  <c r="H215" i="15" s="1"/>
  <c r="G545" i="15"/>
  <c r="H545" i="15" s="1"/>
  <c r="I704" i="15"/>
  <c r="G704" i="15"/>
  <c r="H704" i="15" s="1"/>
  <c r="I154" i="15"/>
  <c r="G94" i="15"/>
  <c r="H94" i="15" s="1"/>
  <c r="G167" i="15"/>
  <c r="H167" i="15" s="1"/>
  <c r="I6" i="15"/>
  <c r="G216" i="15"/>
  <c r="H216" i="15" s="1"/>
  <c r="G271" i="15"/>
  <c r="H271" i="15" s="1"/>
  <c r="G157" i="15"/>
  <c r="H157" i="15" s="1"/>
  <c r="I378" i="15"/>
  <c r="G691" i="15"/>
  <c r="H691" i="15" s="1"/>
  <c r="I70" i="15"/>
  <c r="G257" i="15"/>
  <c r="H257" i="15" s="1"/>
  <c r="G23" i="15"/>
  <c r="H23" i="15" s="1"/>
  <c r="G260" i="15"/>
  <c r="H260" i="15" s="1"/>
  <c r="G268" i="15"/>
  <c r="H268" i="15" s="1"/>
  <c r="G309" i="15"/>
  <c r="H309" i="15" s="1"/>
  <c r="I358" i="15"/>
  <c r="I656" i="15"/>
  <c r="I58" i="15"/>
  <c r="I221" i="15"/>
  <c r="I268" i="15"/>
  <c r="I716" i="15"/>
  <c r="G450" i="15"/>
  <c r="H450" i="15" s="1"/>
  <c r="I505" i="15"/>
  <c r="I499" i="15"/>
  <c r="I518" i="15"/>
  <c r="G646" i="15"/>
  <c r="H646" i="15" s="1"/>
  <c r="I718" i="15"/>
  <c r="I601" i="15"/>
  <c r="G520" i="15"/>
  <c r="H520" i="15" s="1"/>
  <c r="G163" i="15"/>
  <c r="H163" i="15" s="1"/>
  <c r="G592" i="15"/>
  <c r="H592" i="15" s="1"/>
  <c r="G405" i="15"/>
  <c r="H405" i="15" s="1"/>
  <c r="I31" i="15"/>
  <c r="G83" i="15"/>
  <c r="H83" i="15" s="1"/>
  <c r="I206" i="15"/>
  <c r="I692" i="15"/>
  <c r="G61" i="15"/>
  <c r="H61" i="15" s="1"/>
  <c r="G128" i="15"/>
  <c r="H128" i="15" s="1"/>
  <c r="I23" i="15"/>
  <c r="I11" i="15"/>
  <c r="G58" i="15"/>
  <c r="H58" i="15" s="1"/>
  <c r="G154" i="15"/>
  <c r="H154" i="15" s="1"/>
  <c r="G31" i="15"/>
  <c r="H31" i="15" s="1"/>
  <c r="I360" i="15"/>
  <c r="I10" i="15"/>
  <c r="I73" i="15"/>
  <c r="G236" i="15"/>
  <c r="H236" i="15" s="1"/>
  <c r="G269" i="15"/>
  <c r="H269" i="15" s="1"/>
  <c r="G19" i="15"/>
  <c r="H19" i="15" s="1"/>
  <c r="I47" i="15"/>
  <c r="G84" i="15"/>
  <c r="H84" i="15" s="1"/>
  <c r="G173" i="15"/>
  <c r="H173" i="15" s="1"/>
  <c r="G190" i="15"/>
  <c r="H190" i="15" s="1"/>
  <c r="I113" i="15"/>
  <c r="I101" i="15"/>
  <c r="G90" i="15"/>
  <c r="H90" i="15" s="1"/>
  <c r="I115" i="15"/>
  <c r="G368" i="15"/>
  <c r="H368" i="15" s="1"/>
  <c r="G377" i="15"/>
  <c r="H377" i="15" s="1"/>
  <c r="I248" i="15"/>
  <c r="G270" i="15"/>
  <c r="H270" i="15" s="1"/>
  <c r="I139" i="15"/>
  <c r="I249" i="15"/>
  <c r="G259" i="15"/>
  <c r="H259" i="15" s="1"/>
  <c r="I280" i="15"/>
  <c r="I405" i="15"/>
  <c r="I258" i="15"/>
  <c r="G336" i="15"/>
  <c r="H336" i="15" s="1"/>
  <c r="I513" i="15"/>
  <c r="I547" i="15"/>
  <c r="I634" i="15"/>
  <c r="I127" i="15"/>
  <c r="I270" i="15"/>
  <c r="G91" i="15"/>
  <c r="H91" i="15" s="1"/>
  <c r="I103" i="15"/>
  <c r="G237" i="15"/>
  <c r="H237" i="15" s="1"/>
  <c r="G460" i="15"/>
  <c r="H460" i="15" s="1"/>
  <c r="G273" i="15"/>
  <c r="H273" i="15" s="1"/>
  <c r="G256" i="15"/>
  <c r="H256" i="15" s="1"/>
  <c r="G726" i="15"/>
  <c r="H726" i="15" s="1"/>
  <c r="G521" i="15"/>
  <c r="H521" i="15" s="1"/>
  <c r="I603" i="15"/>
  <c r="G443" i="15"/>
  <c r="H443" i="15" s="1"/>
  <c r="G308" i="15"/>
  <c r="H308" i="15" s="1"/>
  <c r="G378" i="15"/>
  <c r="H378" i="15" s="1"/>
  <c r="I441" i="15"/>
  <c r="I613" i="15"/>
  <c r="G541" i="15"/>
  <c r="H541" i="15" s="1"/>
  <c r="G510" i="15"/>
  <c r="H510" i="15" s="1"/>
  <c r="I741" i="15"/>
  <c r="G602" i="15"/>
  <c r="H602" i="15" s="1"/>
  <c r="G673" i="15"/>
  <c r="H673" i="15" s="1"/>
  <c r="G719" i="15"/>
  <c r="H719" i="15" s="1"/>
  <c r="I615" i="15"/>
  <c r="G664" i="15"/>
  <c r="H664" i="15" s="1"/>
  <c r="G684" i="15"/>
  <c r="H684" i="15" s="1"/>
  <c r="I684" i="15"/>
  <c r="I726" i="15"/>
  <c r="I730" i="15"/>
  <c r="I762" i="15"/>
  <c r="I668" i="15" l="1"/>
  <c r="G643" i="15"/>
  <c r="H643" i="15" s="1"/>
  <c r="I164" i="15"/>
  <c r="I507" i="15"/>
  <c r="I740" i="15"/>
  <c r="I250" i="15"/>
  <c r="G775" i="15"/>
  <c r="H775" i="15" s="1"/>
  <c r="I208" i="15"/>
  <c r="I512" i="15"/>
  <c r="I671" i="15"/>
  <c r="I7" i="15"/>
  <c r="I187" i="15"/>
  <c r="G659" i="15"/>
  <c r="H659" i="15" s="1"/>
  <c r="G508" i="15"/>
  <c r="H508" i="15" s="1"/>
  <c r="I129" i="15"/>
  <c r="I721" i="15"/>
  <c r="I96" i="15"/>
  <c r="G808" i="15"/>
  <c r="H808" i="15" s="1"/>
  <c r="G565" i="15"/>
  <c r="H565" i="15" s="1"/>
  <c r="I300" i="15"/>
  <c r="G289" i="15"/>
  <c r="H289" i="15" s="1"/>
  <c r="G146" i="15"/>
  <c r="H146" i="15" s="1"/>
  <c r="I352" i="15"/>
  <c r="I117" i="15"/>
  <c r="G340" i="15"/>
  <c r="H340" i="15" s="1"/>
  <c r="G400" i="15"/>
  <c r="H400" i="15" s="1"/>
  <c r="G498" i="15"/>
  <c r="H498" i="15" s="1"/>
  <c r="G204" i="15"/>
  <c r="H204" i="15" s="1"/>
  <c r="G33" i="15"/>
  <c r="H33" i="15" s="1"/>
  <c r="G767" i="15"/>
  <c r="H767" i="15" s="1"/>
  <c r="G617" i="15"/>
  <c r="H617" i="15" s="1"/>
  <c r="I604" i="15"/>
  <c r="I262" i="15"/>
  <c r="I666" i="15"/>
  <c r="I517" i="15"/>
  <c r="I686" i="15"/>
  <c r="I510" i="15"/>
  <c r="G674" i="15"/>
  <c r="H674" i="15" s="1"/>
  <c r="I774" i="15"/>
  <c r="G679" i="15"/>
  <c r="H679" i="15" s="1"/>
  <c r="G631" i="15"/>
  <c r="H631" i="15" s="1"/>
  <c r="G118" i="15"/>
  <c r="H118" i="15" s="1"/>
  <c r="G239" i="15"/>
  <c r="H239" i="15" s="1"/>
  <c r="I481" i="15"/>
  <c r="G81" i="15"/>
  <c r="H81" i="15" s="1"/>
  <c r="I158" i="15"/>
  <c r="G457" i="15"/>
  <c r="H457" i="15" s="1"/>
  <c r="G197" i="15"/>
  <c r="H197" i="15" s="1"/>
  <c r="G34" i="15"/>
  <c r="H34" i="15" s="1"/>
  <c r="G11" i="15"/>
  <c r="H11" i="15" s="1"/>
  <c r="G668" i="15"/>
  <c r="H668" i="15" s="1"/>
  <c r="G588" i="15"/>
  <c r="H588" i="15" s="1"/>
  <c r="I687" i="15"/>
  <c r="I599" i="15"/>
  <c r="G414" i="15"/>
  <c r="H414" i="15" s="1"/>
  <c r="G82" i="15"/>
  <c r="H82" i="15" s="1"/>
  <c r="G278" i="15"/>
  <c r="H278" i="15" s="1"/>
  <c r="G93" i="15"/>
  <c r="H93" i="15" s="1"/>
  <c r="I278" i="15"/>
  <c r="G630" i="15"/>
  <c r="H630" i="15" s="1"/>
  <c r="G806" i="15"/>
  <c r="H806" i="15" s="1"/>
  <c r="I738" i="15"/>
  <c r="G281" i="15"/>
  <c r="H281" i="15" s="1"/>
  <c r="G92" i="15"/>
  <c r="H92" i="15" s="1"/>
  <c r="I89" i="15"/>
  <c r="G603" i="15"/>
  <c r="H603" i="15" s="1"/>
  <c r="G348" i="15"/>
  <c r="H348" i="15" s="1"/>
  <c r="I642" i="15"/>
  <c r="G738" i="15"/>
  <c r="H738" i="15" s="1"/>
  <c r="I92" i="15"/>
  <c r="I660" i="15"/>
  <c r="G606" i="15"/>
  <c r="H606" i="15" s="1"/>
  <c r="G789" i="15"/>
  <c r="H789" i="15" s="1"/>
  <c r="G179" i="15"/>
  <c r="H179" i="15" s="1"/>
  <c r="I743" i="15"/>
  <c r="G585" i="15"/>
  <c r="H585" i="15" s="1"/>
  <c r="I496" i="15"/>
  <c r="I800" i="15"/>
  <c r="G584" i="15"/>
  <c r="H584" i="15" s="1"/>
  <c r="G495" i="15"/>
  <c r="H495" i="15" s="1"/>
  <c r="G333" i="15"/>
  <c r="H333" i="15" s="1"/>
  <c r="I814" i="15"/>
  <c r="I769" i="15"/>
  <c r="G329" i="15"/>
  <c r="H329" i="15" s="1"/>
  <c r="I252" i="15"/>
  <c r="I805" i="15"/>
  <c r="I200" i="15"/>
  <c r="I222" i="15"/>
  <c r="G641" i="15"/>
  <c r="H641" i="15" s="1"/>
  <c r="I448" i="15"/>
  <c r="I105" i="15"/>
  <c r="G743" i="15"/>
  <c r="H743" i="15" s="1"/>
  <c r="I669" i="15"/>
  <c r="I290" i="15"/>
  <c r="I605" i="15"/>
  <c r="G222" i="15"/>
  <c r="H222" i="15" s="1"/>
  <c r="G470" i="15"/>
  <c r="H470" i="15" s="1"/>
  <c r="I434" i="15"/>
  <c r="G422" i="15"/>
  <c r="H422" i="15" s="1"/>
  <c r="I596" i="15"/>
  <c r="G352" i="15"/>
  <c r="H352" i="15" s="1"/>
  <c r="G105" i="15"/>
  <c r="H105" i="15" s="1"/>
  <c r="I422" i="15"/>
  <c r="I770" i="15"/>
  <c r="I529" i="15"/>
  <c r="I755" i="15"/>
  <c r="G213" i="15"/>
  <c r="H213" i="15" s="1"/>
  <c r="I38" i="15"/>
  <c r="I536" i="15"/>
  <c r="G434" i="15"/>
  <c r="H434" i="15" s="1"/>
  <c r="I554" i="15"/>
  <c r="I688" i="15"/>
  <c r="I635" i="15"/>
  <c r="G636" i="15"/>
  <c r="H636" i="15" s="1"/>
  <c r="I145" i="15"/>
  <c r="G159" i="15"/>
  <c r="H159" i="15" s="1"/>
  <c r="G688" i="15"/>
  <c r="H688" i="15" s="1"/>
  <c r="I420" i="15"/>
  <c r="G484" i="15"/>
  <c r="H484" i="15" s="1"/>
  <c r="I312" i="15"/>
  <c r="I3" i="15"/>
  <c r="I524" i="15"/>
  <c r="I508" i="15"/>
  <c r="I647" i="15"/>
  <c r="G548" i="15"/>
  <c r="H548" i="15" s="1"/>
  <c r="I386" i="15"/>
  <c r="I565" i="15"/>
  <c r="I548" i="15"/>
  <c r="I55" i="15"/>
  <c r="I731" i="15"/>
  <c r="I602" i="15"/>
  <c r="G320" i="15"/>
  <c r="H320" i="15" s="1"/>
  <c r="I390" i="15"/>
  <c r="G13" i="15"/>
  <c r="H13" i="15" s="1"/>
  <c r="I124" i="15"/>
  <c r="I301" i="15"/>
  <c r="G230" i="15"/>
  <c r="H230" i="15" s="1"/>
  <c r="I242" i="15"/>
  <c r="I326" i="15"/>
  <c r="G549" i="15"/>
  <c r="H549" i="15" s="1"/>
  <c r="I424" i="15"/>
  <c r="G593" i="15"/>
  <c r="H593" i="15" s="1"/>
  <c r="I670" i="15"/>
  <c r="I344" i="15"/>
  <c r="G527" i="15"/>
  <c r="H527" i="15" s="1"/>
  <c r="I812" i="15"/>
  <c r="G798" i="15"/>
  <c r="H798" i="15" s="1"/>
  <c r="I197" i="15"/>
  <c r="I819" i="15"/>
  <c r="G212" i="15"/>
  <c r="H212" i="15" s="1"/>
  <c r="G658" i="15"/>
  <c r="H658" i="15" s="1"/>
  <c r="I593" i="15"/>
  <c r="G245" i="15"/>
  <c r="H245" i="15" s="1"/>
  <c r="I245" i="15"/>
  <c r="I744" i="15"/>
  <c r="G805" i="15"/>
  <c r="H805" i="15" s="1"/>
  <c r="I758" i="15"/>
  <c r="I616" i="15"/>
  <c r="G174" i="15"/>
  <c r="H174" i="15" s="1"/>
  <c r="I746" i="15"/>
  <c r="I590" i="15"/>
  <c r="I782" i="15"/>
  <c r="I282" i="15"/>
  <c r="I275" i="15"/>
  <c r="I720" i="15"/>
  <c r="G708" i="15"/>
  <c r="H708" i="15" s="1"/>
  <c r="G758" i="15"/>
  <c r="H758" i="15" s="1"/>
  <c r="I807" i="15"/>
  <c r="G327" i="15"/>
  <c r="H327" i="15" s="1"/>
  <c r="G96" i="15"/>
  <c r="H96" i="15" s="1"/>
  <c r="I658" i="15"/>
  <c r="G560" i="15"/>
  <c r="H560" i="15" s="1"/>
  <c r="I112" i="15"/>
  <c r="G102" i="15"/>
  <c r="H102" i="15" s="1"/>
  <c r="G605" i="15"/>
  <c r="H605" i="15" s="1"/>
  <c r="G654" i="15"/>
  <c r="H654" i="15" s="1"/>
  <c r="I396" i="15"/>
  <c r="G770" i="15"/>
  <c r="H770" i="15" s="1"/>
  <c r="I404" i="15"/>
  <c r="G349" i="15"/>
  <c r="H349" i="15" s="1"/>
  <c r="G753" i="15"/>
  <c r="H753" i="15" s="1"/>
  <c r="G769" i="15"/>
  <c r="H769" i="15" s="1"/>
  <c r="G578" i="15"/>
  <c r="H578" i="15" s="1"/>
  <c r="I185" i="15"/>
  <c r="I708" i="15"/>
  <c r="G193" i="15"/>
  <c r="H193" i="15" s="1"/>
  <c r="G620" i="15"/>
  <c r="H620" i="15" s="1"/>
  <c r="I577" i="15"/>
  <c r="G425" i="15"/>
  <c r="H425" i="15" s="1"/>
  <c r="I398" i="15"/>
  <c r="I638" i="15"/>
  <c r="I211" i="15"/>
  <c r="I297" i="15"/>
  <c r="G611" i="15"/>
  <c r="H611" i="15" s="1"/>
  <c r="G610" i="15"/>
  <c r="H610" i="15" s="1"/>
  <c r="G732" i="15"/>
  <c r="H732" i="15" s="1"/>
  <c r="I453" i="15"/>
  <c r="G133" i="15"/>
  <c r="H133" i="15" s="1"/>
  <c r="G75" i="15"/>
  <c r="H75" i="15" s="1"/>
  <c r="G225" i="15"/>
  <c r="H225" i="15" s="1"/>
  <c r="G497" i="15"/>
  <c r="H497" i="15" s="1"/>
  <c r="G296" i="15"/>
  <c r="H296" i="15" s="1"/>
  <c r="I391" i="15"/>
  <c r="G203" i="15"/>
  <c r="H203" i="15" s="1"/>
  <c r="G713" i="15"/>
  <c r="H713" i="15" s="1"/>
  <c r="I734" i="15"/>
  <c r="I570" i="15"/>
  <c r="G149" i="15"/>
  <c r="H149" i="15" s="1"/>
  <c r="I318" i="15"/>
  <c r="I375" i="15"/>
  <c r="I356" i="15"/>
  <c r="G690" i="15"/>
  <c r="H690" i="15" s="1"/>
  <c r="I204" i="15"/>
  <c r="G709" i="15"/>
  <c r="H709" i="15" s="1"/>
  <c r="I528" i="15"/>
  <c r="G507" i="15"/>
  <c r="H507" i="15" s="1"/>
  <c r="G274" i="15"/>
  <c r="H274" i="15" s="1"/>
  <c r="G87" i="15"/>
  <c r="H87" i="15" s="1"/>
  <c r="I559" i="15"/>
  <c r="G774" i="15"/>
  <c r="H774" i="15" s="1"/>
  <c r="I138" i="15"/>
  <c r="I349" i="15"/>
  <c r="G727" i="15"/>
  <c r="H727" i="15" s="1"/>
  <c r="G746" i="15"/>
  <c r="H746" i="15" s="1"/>
  <c r="G344" i="15"/>
  <c r="H344" i="15" s="1"/>
  <c r="G447" i="15"/>
  <c r="H447" i="15" s="1"/>
  <c r="G285" i="15"/>
  <c r="H285" i="15" s="1"/>
  <c r="G591" i="15"/>
  <c r="H591" i="15" s="1"/>
  <c r="G145" i="15"/>
  <c r="H145" i="15" s="1"/>
  <c r="G566" i="15"/>
  <c r="H566" i="15" s="1"/>
  <c r="G286" i="15"/>
  <c r="H286" i="15" s="1"/>
  <c r="G345" i="15"/>
  <c r="H345" i="15" s="1"/>
  <c r="I29" i="15"/>
  <c r="I628" i="15"/>
  <c r="G78" i="15"/>
  <c r="H78" i="15" s="1"/>
  <c r="G445" i="15"/>
  <c r="H445" i="15" s="1"/>
  <c r="G734" i="15"/>
  <c r="H734" i="15" s="1"/>
  <c r="G516" i="15"/>
  <c r="H516" i="15" s="1"/>
  <c r="I456" i="15"/>
  <c r="I161" i="15"/>
  <c r="I361" i="15"/>
  <c r="G138" i="15"/>
  <c r="H138" i="15" s="1"/>
  <c r="I485" i="15"/>
  <c r="G537" i="15"/>
  <c r="H537" i="15" s="1"/>
  <c r="G338" i="15"/>
  <c r="H338" i="15" s="1"/>
  <c r="I132" i="15"/>
  <c r="G607" i="15"/>
  <c r="H607" i="15" s="1"/>
  <c r="G363" i="15"/>
  <c r="H363" i="15" s="1"/>
  <c r="G389" i="15"/>
  <c r="H389" i="15" s="1"/>
  <c r="G505" i="15"/>
  <c r="H505" i="15" s="1"/>
  <c r="I230" i="15"/>
  <c r="G762" i="15"/>
  <c r="H762" i="15" s="1"/>
  <c r="G453" i="15"/>
  <c r="H453" i="15" s="1"/>
  <c r="I182" i="15"/>
  <c r="G793" i="15"/>
  <c r="H793" i="15" s="1"/>
  <c r="I522" i="15"/>
  <c r="G43" i="15"/>
  <c r="H43" i="15" s="1"/>
  <c r="G601" i="15"/>
  <c r="H601" i="15" s="1"/>
  <c r="G568" i="15"/>
  <c r="H568" i="15" s="1"/>
  <c r="I285" i="15"/>
  <c r="G788" i="15"/>
  <c r="H788" i="15" s="1"/>
  <c r="G132" i="15"/>
  <c r="H132" i="15" s="1"/>
  <c r="I609" i="15"/>
  <c r="I362" i="15"/>
  <c r="G180" i="15"/>
  <c r="H180" i="15" s="1"/>
  <c r="G817" i="15"/>
  <c r="H817" i="15" s="1"/>
  <c r="I829" i="15"/>
  <c r="I650" i="15"/>
  <c r="I273" i="15"/>
  <c r="G759" i="15"/>
  <c r="H759" i="15" s="1"/>
  <c r="G529" i="15"/>
  <c r="H529" i="15" s="1"/>
  <c r="G192" i="15"/>
  <c r="H192" i="15" s="1"/>
  <c r="I196" i="15"/>
  <c r="G528" i="15"/>
  <c r="H528" i="15" s="1"/>
  <c r="I324" i="15"/>
  <c r="G127" i="15"/>
  <c r="H127" i="15" s="1"/>
  <c r="G126" i="15"/>
  <c r="H126" i="15" s="1"/>
  <c r="I126" i="15"/>
  <c r="G312" i="15"/>
  <c r="H312" i="15" s="1"/>
  <c r="I810" i="15"/>
  <c r="G678" i="15"/>
  <c r="H678" i="15" s="1"/>
  <c r="G810" i="15"/>
  <c r="H810" i="15" s="1"/>
  <c r="I130" i="15"/>
  <c r="I71" i="15"/>
  <c r="I337" i="15"/>
  <c r="I190" i="15"/>
  <c r="G715" i="15"/>
  <c r="H715" i="15" s="1"/>
  <c r="G125" i="15"/>
  <c r="H125" i="15" s="1"/>
  <c r="G441" i="15"/>
  <c r="H441" i="15" s="1"/>
  <c r="G551" i="15"/>
  <c r="H551" i="15" s="1"/>
  <c r="G487" i="15"/>
  <c r="H487" i="15" s="1"/>
  <c r="I486" i="15"/>
  <c r="I244" i="15"/>
  <c r="I202" i="15"/>
  <c r="I178" i="15"/>
  <c r="I584" i="15"/>
  <c r="G760" i="15"/>
  <c r="H760" i="15" s="1"/>
  <c r="G318" i="15"/>
  <c r="H318" i="15" s="1"/>
  <c r="G642" i="15"/>
  <c r="H642" i="15" s="1"/>
  <c r="G337" i="15"/>
  <c r="H337" i="15" s="1"/>
  <c r="G129" i="15"/>
  <c r="H129" i="15" s="1"/>
  <c r="I561" i="15"/>
  <c r="G550" i="15"/>
  <c r="H550" i="15" s="1"/>
  <c r="I234" i="15"/>
  <c r="I796" i="15"/>
  <c r="I237" i="15"/>
  <c r="G26" i="15"/>
  <c r="H26" i="15" s="1"/>
  <c r="I563" i="15"/>
  <c r="G572" i="15"/>
  <c r="H572" i="15" s="1"/>
  <c r="I682" i="15"/>
  <c r="G814" i="15"/>
  <c r="H814" i="15" s="1"/>
  <c r="I825" i="15"/>
  <c r="G401" i="15"/>
  <c r="H401" i="15" s="1"/>
  <c r="G119" i="15"/>
  <c r="H119" i="15" s="1"/>
  <c r="I506" i="15"/>
  <c r="G492" i="15"/>
  <c r="H492" i="15" s="1"/>
  <c r="G98" i="15"/>
  <c r="H98" i="15" s="1"/>
  <c r="I195" i="15"/>
  <c r="G811" i="15"/>
  <c r="H811" i="15" s="1"/>
  <c r="I823" i="15"/>
  <c r="I436" i="15"/>
  <c r="G785" i="15"/>
  <c r="H785" i="15" s="1"/>
  <c r="I789" i="15"/>
  <c r="G729" i="15"/>
  <c r="H729" i="15" s="1"/>
  <c r="G186" i="15"/>
  <c r="H186" i="15" s="1"/>
  <c r="I572" i="15"/>
  <c r="G728" i="15"/>
  <c r="H728" i="15" s="1"/>
  <c r="G783" i="15"/>
  <c r="H783" i="15" s="1"/>
  <c r="I709" i="15"/>
  <c r="I37" i="15"/>
  <c r="G200" i="15"/>
  <c r="H200" i="15" s="1"/>
  <c r="G169" i="15"/>
  <c r="H169" i="15" s="1"/>
  <c r="I86" i="15"/>
  <c r="I207" i="15"/>
  <c r="G436" i="15"/>
  <c r="H436" i="15" s="1"/>
  <c r="G199" i="15"/>
  <c r="H199" i="15" s="1"/>
  <c r="I224" i="15"/>
  <c r="G556" i="15"/>
  <c r="H556" i="15" s="1"/>
  <c r="I251" i="15"/>
  <c r="I199" i="15"/>
  <c r="G233" i="15"/>
  <c r="H233" i="15" s="1"/>
  <c r="I617" i="15"/>
  <c r="I382" i="15"/>
  <c r="G232" i="15"/>
  <c r="H232" i="15" s="1"/>
  <c r="I236" i="15"/>
  <c r="I166" i="15"/>
  <c r="I690" i="15"/>
  <c r="G638" i="15"/>
  <c r="H638" i="15" s="1"/>
  <c r="G51" i="15"/>
  <c r="H51" i="15" s="1"/>
  <c r="I715" i="15"/>
  <c r="I767" i="15"/>
  <c r="G298" i="15"/>
  <c r="H298" i="15" s="1"/>
  <c r="I232" i="15"/>
  <c r="I186" i="15"/>
  <c r="G619" i="15"/>
  <c r="H619" i="15" s="1"/>
  <c r="G710" i="15"/>
  <c r="H710" i="15" s="1"/>
  <c r="G297" i="15"/>
  <c r="H297" i="15" s="1"/>
  <c r="I457" i="15"/>
  <c r="G552" i="15"/>
  <c r="H552" i="15" s="1"/>
  <c r="G290" i="15"/>
  <c r="H290" i="15" s="1"/>
  <c r="G240" i="15"/>
  <c r="H240" i="15" s="1"/>
  <c r="I110" i="15"/>
  <c r="I203" i="15"/>
  <c r="I302" i="15"/>
  <c r="I673" i="15"/>
  <c r="G424" i="15"/>
  <c r="H424" i="15" s="1"/>
  <c r="G786" i="15"/>
  <c r="H786" i="15" s="1"/>
  <c r="I63" i="15"/>
  <c r="I239" i="15"/>
  <c r="I702" i="15"/>
  <c r="I225" i="15"/>
  <c r="G187" i="15"/>
  <c r="H187" i="15" s="1"/>
  <c r="G426" i="15"/>
  <c r="H426" i="15" s="1"/>
  <c r="I118" i="15"/>
  <c r="G25" i="15"/>
  <c r="H25" i="15" s="1"/>
  <c r="G644" i="15"/>
  <c r="H644" i="15" s="1"/>
  <c r="I191" i="15"/>
  <c r="G382" i="15"/>
  <c r="H382" i="15" s="1"/>
  <c r="G621" i="15"/>
  <c r="H621" i="15" s="1"/>
  <c r="I119" i="15"/>
  <c r="G29" i="15"/>
  <c r="H29" i="15" s="1"/>
  <c r="I341" i="15"/>
  <c r="G385" i="15"/>
  <c r="H385" i="15" s="1"/>
  <c r="I713" i="15"/>
  <c r="G469" i="15"/>
  <c r="H469" i="15" s="1"/>
  <c r="I51" i="15"/>
  <c r="I90" i="15"/>
  <c r="G807" i="15"/>
  <c r="H807" i="15" s="1"/>
  <c r="I100" i="15"/>
  <c r="I597" i="15"/>
  <c r="G597" i="15"/>
  <c r="H597" i="15" s="1"/>
  <c r="I223" i="15"/>
  <c r="G282" i="15"/>
  <c r="H282" i="15" s="1"/>
  <c r="G346" i="15"/>
  <c r="H346" i="15" s="1"/>
  <c r="I621" i="15"/>
  <c r="I322" i="15"/>
  <c r="I504" i="15"/>
  <c r="G188" i="15"/>
  <c r="H188" i="15" s="1"/>
  <c r="G622" i="15"/>
  <c r="H622" i="15" s="1"/>
  <c r="I217" i="15"/>
  <c r="G234" i="15"/>
  <c r="H234" i="15" s="1"/>
  <c r="G131" i="15"/>
  <c r="H131" i="15" s="1"/>
  <c r="I304" i="15"/>
  <c r="I694" i="15"/>
  <c r="I653" i="15"/>
  <c r="G803" i="15"/>
  <c r="H803" i="15" s="1"/>
  <c r="I143" i="15"/>
  <c r="G353" i="15"/>
  <c r="H353" i="15" s="1"/>
  <c r="G313" i="15"/>
  <c r="H313" i="15" s="1"/>
  <c r="I815" i="15"/>
  <c r="G523" i="15"/>
  <c r="H523" i="15" s="1"/>
  <c r="G62" i="15"/>
  <c r="H62" i="15" s="1"/>
  <c r="G653" i="15"/>
  <c r="H653" i="15" s="1"/>
  <c r="I81" i="15"/>
  <c r="G577" i="15"/>
  <c r="H577" i="15" s="1"/>
  <c r="G153" i="15"/>
  <c r="H153" i="15" s="1"/>
  <c r="I748" i="15"/>
  <c r="G489" i="15"/>
  <c r="H489" i="15" s="1"/>
  <c r="I689" i="15"/>
  <c r="G790" i="15"/>
  <c r="H790" i="15" s="1"/>
  <c r="I610" i="15"/>
  <c r="G122" i="15"/>
  <c r="H122" i="15" s="1"/>
  <c r="I643" i="15"/>
  <c r="I588" i="15"/>
  <c r="I243" i="15"/>
  <c r="G264" i="15"/>
  <c r="H264" i="15" s="1"/>
  <c r="G558" i="15"/>
  <c r="H558" i="15" s="1"/>
  <c r="G108" i="15"/>
  <c r="H108" i="15" s="1"/>
  <c r="G291" i="15"/>
  <c r="H291" i="15" s="1"/>
  <c r="G594" i="15"/>
  <c r="H594" i="15" s="1"/>
  <c r="I340" i="15"/>
  <c r="I474" i="15"/>
  <c r="G676" i="15"/>
  <c r="H676" i="15" s="1"/>
  <c r="I492" i="15"/>
  <c r="I696" i="15"/>
  <c r="G669" i="15"/>
  <c r="H669" i="15" s="1"/>
  <c r="G609" i="15"/>
  <c r="H609" i="15" s="1"/>
  <c r="I542" i="15"/>
  <c r="I439" i="15"/>
  <c r="G88" i="15"/>
  <c r="H88" i="15" s="1"/>
  <c r="I701" i="15"/>
  <c r="G475" i="15"/>
  <c r="H475" i="15" s="1"/>
  <c r="G396" i="15"/>
  <c r="H396" i="15" s="1"/>
  <c r="G724" i="15"/>
  <c r="H724" i="15" s="1"/>
  <c r="G458" i="15"/>
  <c r="H458" i="15" s="1"/>
  <c r="G700" i="15"/>
  <c r="H700" i="15" s="1"/>
  <c r="G448" i="15"/>
  <c r="H448" i="15" s="1"/>
  <c r="I160" i="15"/>
  <c r="G697" i="15"/>
  <c r="H697" i="15" s="1"/>
  <c r="I534" i="15"/>
  <c r="G438" i="15"/>
  <c r="H438" i="15" s="1"/>
  <c r="I183" i="15"/>
  <c r="G804" i="15"/>
  <c r="H804" i="15" s="1"/>
  <c r="G130" i="15"/>
  <c r="H130" i="15" s="1"/>
  <c r="I792" i="15"/>
  <c r="I632" i="15"/>
  <c r="I607" i="15"/>
  <c r="G670" i="15"/>
  <c r="H670" i="15" s="1"/>
  <c r="G681" i="15"/>
  <c r="H681" i="15" s="1"/>
  <c r="G628" i="15"/>
  <c r="H628" i="15" s="1"/>
  <c r="G356" i="15"/>
  <c r="H356" i="15" s="1"/>
  <c r="G184" i="15"/>
  <c r="H184" i="15" s="1"/>
  <c r="I180" i="15"/>
  <c r="G183" i="15"/>
  <c r="H183" i="15" s="1"/>
  <c r="G86" i="15"/>
  <c r="H86" i="15" s="1"/>
  <c r="G504" i="15"/>
  <c r="H504" i="15" s="1"/>
  <c r="I370" i="15"/>
  <c r="I773" i="15"/>
  <c r="I97" i="15"/>
  <c r="G97" i="15"/>
  <c r="H97" i="15" s="1"/>
  <c r="G398" i="15"/>
  <c r="H398" i="15" s="1"/>
  <c r="G596" i="15"/>
  <c r="H596" i="15" s="1"/>
  <c r="G440" i="15"/>
  <c r="H440" i="15" s="1"/>
  <c r="I368" i="15"/>
  <c r="G397" i="15"/>
  <c r="H397" i="15" s="1"/>
  <c r="I619" i="15"/>
  <c r="I464" i="15"/>
  <c r="G416" i="15"/>
  <c r="H416" i="15" s="1"/>
  <c r="G207" i="15"/>
  <c r="H207" i="15" s="1"/>
  <c r="I608" i="15"/>
  <c r="I452" i="15"/>
  <c r="I397" i="15"/>
  <c r="I821" i="15"/>
  <c r="I168" i="15"/>
  <c r="G439" i="15"/>
  <c r="H439" i="15" s="1"/>
  <c r="G42" i="15"/>
  <c r="H42" i="15" s="1"/>
  <c r="I400" i="15"/>
  <c r="G219" i="15"/>
  <c r="H219" i="15" s="1"/>
  <c r="I194" i="15"/>
  <c r="I644" i="15"/>
  <c r="G682" i="15"/>
  <c r="H682" i="15" s="1"/>
  <c r="G792" i="15"/>
  <c r="H792" i="15" s="1"/>
  <c r="I693" i="15"/>
  <c r="G473" i="15"/>
  <c r="H473" i="15" s="1"/>
  <c r="G148" i="15"/>
  <c r="H148" i="15" s="1"/>
  <c r="I87" i="15"/>
  <c r="I600" i="15"/>
  <c r="I406" i="15"/>
  <c r="G357" i="15"/>
  <c r="H357" i="15" s="1"/>
  <c r="I259" i="15"/>
  <c r="G40" i="15"/>
  <c r="H40" i="15" s="1"/>
  <c r="I171" i="15"/>
  <c r="G407" i="15"/>
  <c r="H407" i="15" s="1"/>
  <c r="I99" i="15"/>
  <c r="G364" i="15"/>
  <c r="H364" i="15" s="1"/>
  <c r="I516" i="15"/>
  <c r="G370" i="15"/>
  <c r="H370" i="15" s="1"/>
  <c r="I804" i="15"/>
  <c r="I484" i="15"/>
  <c r="I639" i="15"/>
  <c r="I109" i="15"/>
  <c r="I54" i="15"/>
  <c r="I98" i="15"/>
  <c r="I218" i="15"/>
  <c r="I131" i="15"/>
  <c r="I408" i="15"/>
  <c r="I468" i="15"/>
  <c r="I631" i="15"/>
  <c r="I264" i="15"/>
  <c r="I697" i="15"/>
  <c r="I444" i="15"/>
  <c r="G156" i="15"/>
  <c r="H156" i="15" s="1"/>
  <c r="I238" i="15"/>
  <c r="G761" i="15"/>
  <c r="H761" i="15" s="1"/>
  <c r="G522" i="15"/>
  <c r="H522" i="15" s="1"/>
  <c r="I174" i="15"/>
  <c r="I334" i="15"/>
  <c r="I540" i="15"/>
  <c r="G171" i="15"/>
  <c r="H171" i="15" s="1"/>
  <c r="I520" i="15"/>
  <c r="G703" i="15"/>
  <c r="H703" i="15" s="1"/>
  <c r="I108" i="15"/>
  <c r="G227" i="15"/>
  <c r="H227" i="15" s="1"/>
  <c r="G675" i="15"/>
  <c r="H675" i="15" s="1"/>
  <c r="I155" i="15"/>
  <c r="I226" i="15"/>
  <c r="G67" i="15"/>
  <c r="H67" i="15" s="1"/>
  <c r="I170" i="15"/>
  <c r="G152" i="15"/>
  <c r="H152" i="15" s="1"/>
  <c r="G784" i="15"/>
  <c r="H784" i="15" s="1"/>
  <c r="G791" i="15"/>
  <c r="H791" i="15" s="1"/>
  <c r="G632" i="15"/>
  <c r="H632" i="15" s="1"/>
  <c r="I622" i="15"/>
  <c r="G685" i="15"/>
  <c r="H685" i="15" s="1"/>
  <c r="I458" i="15"/>
  <c r="G165" i="15"/>
  <c r="H165" i="15" s="1"/>
  <c r="I760" i="15"/>
  <c r="I345" i="15"/>
  <c r="I818" i="15"/>
  <c r="I727" i="15"/>
  <c r="G702" i="15"/>
  <c r="H702" i="15" s="1"/>
  <c r="I410" i="15"/>
  <c r="G559" i="15"/>
  <c r="H559" i="15" s="1"/>
  <c r="G334" i="15"/>
  <c r="H334" i="15" s="1"/>
  <c r="G206" i="15"/>
  <c r="H206" i="15" s="1"/>
  <c r="I333" i="15"/>
  <c r="I233" i="15"/>
  <c r="I620" i="15"/>
  <c r="G459" i="15"/>
  <c r="H459" i="15" s="1"/>
  <c r="I790" i="15"/>
  <c r="I213" i="15"/>
  <c r="I606" i="15"/>
  <c r="G375" i="15"/>
  <c r="H375" i="15" s="1"/>
  <c r="I557" i="15"/>
  <c r="G411" i="15"/>
  <c r="H411" i="15" s="1"/>
  <c r="I714" i="15"/>
  <c r="I802" i="15"/>
  <c r="G410" i="15"/>
  <c r="H410" i="15" s="1"/>
  <c r="G244" i="15"/>
  <c r="H244" i="15" s="1"/>
  <c r="I364" i="15"/>
  <c r="G226" i="15"/>
  <c r="H226" i="15" s="1"/>
  <c r="G292" i="15"/>
  <c r="H292" i="15" s="1"/>
  <c r="I480" i="15"/>
  <c r="G587" i="15"/>
  <c r="H587" i="15" s="1"/>
  <c r="I783" i="15"/>
  <c r="G517" i="15"/>
  <c r="H517" i="15" s="1"/>
  <c r="I323" i="15"/>
  <c r="I102" i="15"/>
  <c r="G170" i="15"/>
  <c r="H170" i="15" s="1"/>
  <c r="I212" i="15"/>
  <c r="I766" i="15"/>
  <c r="I655" i="15"/>
  <c r="I451" i="15"/>
  <c r="I739" i="15"/>
  <c r="I79" i="15"/>
  <c r="I289" i="15"/>
  <c r="G194" i="15"/>
  <c r="H194" i="15" s="1"/>
  <c r="G478" i="15"/>
  <c r="H478" i="15" s="1"/>
  <c r="I21" i="15"/>
  <c r="G476" i="15"/>
  <c r="H476" i="15" s="1"/>
  <c r="G511" i="15"/>
  <c r="H511" i="15" s="1"/>
  <c r="G471" i="15"/>
  <c r="H471" i="15" s="1"/>
  <c r="G419" i="15"/>
  <c r="H419" i="15" s="1"/>
  <c r="I374" i="15"/>
  <c r="G821" i="15"/>
  <c r="H821" i="15" s="1"/>
  <c r="I820" i="15"/>
  <c r="G294" i="15"/>
  <c r="H294" i="15" s="1"/>
  <c r="I661" i="15"/>
  <c r="I576" i="15"/>
  <c r="G374" i="15"/>
  <c r="H374" i="15" s="1"/>
  <c r="I141" i="15"/>
  <c r="G306" i="15"/>
  <c r="H306" i="15" s="1"/>
  <c r="G403" i="15"/>
  <c r="H403" i="15" s="1"/>
  <c r="I431" i="15"/>
  <c r="G735" i="15"/>
  <c r="H735" i="15" s="1"/>
  <c r="G813" i="15"/>
  <c r="H813" i="15" s="1"/>
  <c r="G816" i="15"/>
  <c r="H816" i="15" s="1"/>
  <c r="I482" i="15"/>
  <c r="I478" i="15"/>
  <c r="I134" i="15"/>
  <c r="G379" i="15"/>
  <c r="H379" i="15" s="1"/>
  <c r="G579" i="15"/>
  <c r="H579" i="15" s="1"/>
  <c r="I652" i="15"/>
  <c r="E826" i="15"/>
  <c r="E828" i="15"/>
  <c r="E829" i="15"/>
  <c r="C822" i="15"/>
  <c r="D822" i="15" s="1"/>
  <c r="E827" i="15"/>
  <c r="E830" i="15"/>
  <c r="C448" i="15"/>
  <c r="D448" i="15" s="1"/>
  <c r="E628" i="15"/>
  <c r="E824" i="15"/>
  <c r="E617" i="15"/>
  <c r="C91" i="15"/>
  <c r="D91" i="15" s="1"/>
  <c r="C268" i="15"/>
  <c r="D268" i="15" s="1"/>
  <c r="C790" i="15"/>
  <c r="D790" i="15" s="1"/>
  <c r="E674" i="15"/>
  <c r="E14" i="15"/>
  <c r="E445" i="15"/>
  <c r="E424" i="15"/>
  <c r="C171" i="15"/>
  <c r="D171" i="15" s="1"/>
  <c r="C148" i="15"/>
  <c r="D148" i="15" s="1"/>
  <c r="C390" i="15"/>
  <c r="D390" i="15" s="1"/>
  <c r="C83" i="15"/>
  <c r="D83" i="15" s="1"/>
  <c r="C460" i="15"/>
  <c r="D460" i="15" s="1"/>
  <c r="E90" i="15"/>
  <c r="C136" i="15"/>
  <c r="D136" i="15" s="1"/>
  <c r="C775" i="15"/>
  <c r="D775" i="15" s="1"/>
  <c r="E609" i="15"/>
  <c r="D35" i="15"/>
  <c r="E423" i="15"/>
  <c r="C275" i="15"/>
  <c r="D275" i="15" s="1"/>
  <c r="C432" i="15"/>
  <c r="D432" i="15" s="1"/>
  <c r="E328" i="15"/>
  <c r="E142" i="15"/>
  <c r="C208" i="15"/>
  <c r="D208" i="15" s="1"/>
  <c r="E817" i="15"/>
  <c r="C312" i="15"/>
  <c r="D312" i="15" s="1"/>
  <c r="C242" i="15"/>
  <c r="D242" i="15" s="1"/>
  <c r="C722" i="15"/>
  <c r="D722" i="15" s="1"/>
  <c r="E819" i="15"/>
  <c r="C10" i="15"/>
  <c r="C452" i="15"/>
  <c r="D452" i="15" s="1"/>
  <c r="E541" i="15"/>
  <c r="C183" i="15"/>
  <c r="D183" i="15" s="1"/>
  <c r="C399" i="15"/>
  <c r="D399" i="15" s="1"/>
  <c r="C90" i="15"/>
  <c r="D90" i="15" s="1"/>
  <c r="E670" i="15"/>
  <c r="E662" i="15"/>
  <c r="E121" i="15"/>
  <c r="C417" i="15"/>
  <c r="D417" i="15" s="1"/>
  <c r="E822" i="15"/>
  <c r="E7" i="15"/>
  <c r="C214" i="15"/>
  <c r="D214" i="15" s="1"/>
  <c r="E667" i="15"/>
  <c r="E358" i="15"/>
  <c r="E774" i="15"/>
  <c r="E501" i="15"/>
  <c r="E292" i="15"/>
  <c r="E430" i="15"/>
  <c r="C359" i="15"/>
  <c r="D359" i="15" s="1"/>
  <c r="C178" i="15"/>
  <c r="D178" i="15" s="1"/>
  <c r="C475" i="15"/>
  <c r="D475" i="15" s="1"/>
  <c r="C8" i="15"/>
  <c r="E450" i="15"/>
  <c r="E461" i="15"/>
  <c r="E352" i="15"/>
  <c r="E202" i="15"/>
  <c r="C596" i="15"/>
  <c r="D596" i="15" s="1"/>
  <c r="D5" i="15"/>
  <c r="E624" i="15"/>
  <c r="E223" i="15"/>
  <c r="C571" i="15"/>
  <c r="D571" i="15" s="1"/>
  <c r="E464" i="15"/>
  <c r="E215" i="15"/>
  <c r="C185" i="15"/>
  <c r="D185" i="15" s="1"/>
  <c r="E688" i="15"/>
  <c r="C549" i="15"/>
  <c r="D549" i="15" s="1"/>
  <c r="E489" i="15"/>
  <c r="E13" i="15"/>
  <c r="E52" i="15"/>
  <c r="C68" i="15"/>
  <c r="D68" i="15" s="1"/>
  <c r="E404" i="15"/>
  <c r="E771" i="15"/>
  <c r="E408" i="15"/>
  <c r="C677" i="15"/>
  <c r="D677" i="15" s="1"/>
  <c r="E363" i="15"/>
  <c r="E814" i="15"/>
  <c r="C122" i="15"/>
  <c r="D122" i="15" s="1"/>
  <c r="C353" i="15"/>
  <c r="D353" i="15" s="1"/>
  <c r="C616" i="15"/>
  <c r="D616" i="15" s="1"/>
  <c r="C18" i="15"/>
  <c r="E469" i="15"/>
  <c r="E43" i="15"/>
  <c r="C777" i="15"/>
  <c r="D777" i="15" s="1"/>
  <c r="C146" i="15"/>
  <c r="D146" i="15" s="1"/>
  <c r="C550" i="15"/>
  <c r="D550" i="15" s="1"/>
  <c r="C341" i="15"/>
  <c r="D341" i="15" s="1"/>
  <c r="E186" i="15"/>
  <c r="E262" i="15"/>
  <c r="C580" i="15"/>
  <c r="D580" i="15" s="1"/>
  <c r="E488" i="15"/>
  <c r="C350" i="15"/>
  <c r="D350" i="15" s="1"/>
  <c r="C164" i="15"/>
  <c r="D164" i="15" s="1"/>
  <c r="C287" i="15"/>
  <c r="D287" i="15" s="1"/>
  <c r="C218" i="15"/>
  <c r="D218" i="15" s="1"/>
  <c r="E205" i="15"/>
  <c r="C281" i="15"/>
  <c r="D281" i="15" s="1"/>
  <c r="E721" i="15"/>
  <c r="C401" i="15"/>
  <c r="D401" i="15" s="1"/>
  <c r="C692" i="15"/>
  <c r="D692" i="15" s="1"/>
  <c r="C386" i="15"/>
  <c r="D386" i="15" s="1"/>
  <c r="E523" i="15"/>
  <c r="E226" i="15"/>
  <c r="E701" i="15"/>
  <c r="E356" i="15"/>
  <c r="E618" i="15"/>
  <c r="C61" i="15"/>
  <c r="D61" i="15" s="1"/>
  <c r="C425" i="15"/>
  <c r="D425" i="15" s="1"/>
  <c r="C542" i="15"/>
  <c r="D542" i="15" s="1"/>
  <c r="E374" i="15"/>
  <c r="C759" i="15"/>
  <c r="D759" i="15" s="1"/>
  <c r="C206" i="15"/>
  <c r="D206" i="15" s="1"/>
  <c r="E385" i="15"/>
  <c r="E126" i="15"/>
  <c r="E3" i="15"/>
  <c r="E234" i="15"/>
  <c r="C156" i="15"/>
  <c r="D156" i="15" s="1"/>
  <c r="E246" i="15"/>
  <c r="E640" i="15"/>
  <c r="E731" i="15"/>
  <c r="C572" i="15"/>
  <c r="D572" i="15" s="1"/>
  <c r="C77" i="15"/>
  <c r="D77" i="15" s="1"/>
  <c r="D26" i="15"/>
  <c r="E88" i="15"/>
  <c r="E82" i="15"/>
  <c r="C195" i="15"/>
  <c r="D195" i="15" s="1"/>
  <c r="E520" i="15"/>
  <c r="E564" i="15"/>
  <c r="E377" i="15"/>
  <c r="E433" i="15"/>
  <c r="C624" i="15"/>
  <c r="D624" i="15" s="1"/>
  <c r="E112" i="15"/>
  <c r="C737" i="15"/>
  <c r="D737" i="15" s="1"/>
  <c r="C585" i="15"/>
  <c r="D585" i="15" s="1"/>
  <c r="C785" i="15"/>
  <c r="D785" i="15" s="1"/>
  <c r="C709" i="15"/>
  <c r="D709" i="15" s="1"/>
  <c r="E268" i="15"/>
  <c r="C420" i="15"/>
  <c r="D420" i="15" s="1"/>
  <c r="C720" i="15"/>
  <c r="D720" i="15" s="1"/>
  <c r="C237" i="15"/>
  <c r="D237" i="15" s="1"/>
  <c r="C375" i="15"/>
  <c r="D375" i="15" s="1"/>
  <c r="E636" i="15"/>
  <c r="C285" i="15"/>
  <c r="D285" i="15" s="1"/>
  <c r="C35" i="15"/>
  <c r="C201" i="15"/>
  <c r="D201" i="15" s="1"/>
  <c r="C774" i="15"/>
  <c r="D774" i="15" s="1"/>
  <c r="C679" i="15"/>
  <c r="D679" i="15" s="1"/>
  <c r="C779" i="15"/>
  <c r="D779" i="15" s="1"/>
  <c r="C505" i="15"/>
  <c r="D505" i="15" s="1"/>
  <c r="E562" i="15"/>
  <c r="C490" i="15"/>
  <c r="D490" i="15" s="1"/>
  <c r="C463" i="15"/>
  <c r="D463" i="15" s="1"/>
  <c r="D47" i="15"/>
  <c r="E724" i="15"/>
  <c r="E786" i="15"/>
  <c r="E801" i="15"/>
  <c r="E272" i="15"/>
  <c r="E589" i="15"/>
  <c r="C749" i="15"/>
  <c r="D749" i="15" s="1"/>
  <c r="E606" i="15"/>
  <c r="C612" i="15"/>
  <c r="D612" i="15" s="1"/>
  <c r="E629" i="15"/>
  <c r="C409" i="15"/>
  <c r="D409" i="15" s="1"/>
  <c r="E71" i="15"/>
  <c r="E159" i="15"/>
  <c r="D55" i="15"/>
  <c r="C554" i="15"/>
  <c r="D554" i="15" s="1"/>
  <c r="C538" i="15"/>
  <c r="D538" i="15" s="1"/>
  <c r="C245" i="15"/>
  <c r="D245" i="15" s="1"/>
  <c r="C367" i="15"/>
  <c r="D367" i="15" s="1"/>
  <c r="E241" i="15"/>
  <c r="C69" i="15"/>
  <c r="D69" i="15" s="1"/>
  <c r="C717" i="15"/>
  <c r="D717" i="15" s="1"/>
  <c r="C745" i="15"/>
  <c r="D745" i="15" s="1"/>
  <c r="E821" i="15"/>
  <c r="C416" i="15"/>
  <c r="D416" i="15" s="1"/>
  <c r="E267" i="15"/>
  <c r="C731" i="15"/>
  <c r="D731" i="15" s="1"/>
  <c r="E707" i="15"/>
  <c r="E332" i="15"/>
  <c r="E381" i="15"/>
  <c r="C808" i="15"/>
  <c r="D808" i="15" s="1"/>
  <c r="C796" i="15"/>
  <c r="D796" i="15" s="1"/>
  <c r="E693" i="15"/>
  <c r="C444" i="15"/>
  <c r="D444" i="15" s="1"/>
  <c r="E639" i="15"/>
  <c r="E532" i="15"/>
  <c r="C58" i="15"/>
  <c r="C512" i="15"/>
  <c r="D512" i="15" s="1"/>
  <c r="E717" i="15"/>
  <c r="C551" i="15"/>
  <c r="D551" i="15" s="1"/>
  <c r="E455" i="15"/>
  <c r="E155" i="15"/>
  <c r="E347" i="15"/>
  <c r="C789" i="15"/>
  <c r="D789" i="15" s="1"/>
  <c r="C537" i="15"/>
  <c r="D537" i="15" s="1"/>
  <c r="C625" i="15"/>
  <c r="D625" i="15" s="1"/>
  <c r="C607" i="15"/>
  <c r="D607" i="15" s="1"/>
  <c r="E813" i="15"/>
  <c r="C469" i="15"/>
  <c r="D469" i="15" s="1"/>
  <c r="E45" i="15"/>
  <c r="E285" i="15"/>
  <c r="D28" i="15"/>
  <c r="E663" i="15"/>
  <c r="E682" i="15"/>
  <c r="E799" i="15"/>
  <c r="C546" i="15"/>
  <c r="D546" i="15" s="1"/>
  <c r="E436" i="15"/>
  <c r="C263" i="15"/>
  <c r="D263" i="15" s="1"/>
  <c r="C795" i="15"/>
  <c r="D795" i="15" s="1"/>
  <c r="C667" i="15"/>
  <c r="D667" i="15" s="1"/>
  <c r="C329" i="15"/>
  <c r="D329" i="15" s="1"/>
  <c r="C260" i="15"/>
  <c r="D260" i="15" s="1"/>
  <c r="G815" i="15"/>
  <c r="H815" i="15" s="1"/>
  <c r="G820" i="15"/>
  <c r="H820" i="15" s="1"/>
  <c r="I816" i="15"/>
  <c r="I564" i="15"/>
  <c r="G819" i="15"/>
  <c r="H819" i="15" s="1"/>
  <c r="G479" i="15"/>
  <c r="H479" i="15" s="1"/>
  <c r="I817" i="15"/>
  <c r="G540" i="15"/>
  <c r="H540" i="15" s="1"/>
  <c r="G818" i="15"/>
  <c r="H818" i="15" s="1"/>
  <c r="I266" i="15"/>
  <c r="I475" i="15"/>
  <c r="I428" i="15"/>
  <c r="G417" i="15"/>
  <c r="H417" i="15" s="1"/>
  <c r="G553" i="15"/>
  <c r="H553" i="15" s="1"/>
  <c r="I552" i="15"/>
  <c r="G115" i="15"/>
  <c r="H115" i="15" s="1"/>
  <c r="E484" i="15"/>
  <c r="G463" i="15"/>
  <c r="H463" i="15" s="1"/>
  <c r="G254" i="15"/>
  <c r="H254" i="15" s="1"/>
  <c r="I205" i="15"/>
  <c r="E364" i="15"/>
  <c r="I286" i="15"/>
  <c r="I146" i="15"/>
  <c r="I114" i="15"/>
  <c r="G538" i="15"/>
  <c r="H538" i="15" s="1"/>
  <c r="I549" i="15"/>
  <c r="G512" i="15"/>
  <c r="H512" i="15" s="1"/>
  <c r="I163" i="15"/>
  <c r="I314" i="15"/>
  <c r="G303" i="15"/>
  <c r="H303" i="15" s="1"/>
  <c r="G135" i="15"/>
  <c r="H135" i="15" s="1"/>
  <c r="G151" i="15"/>
  <c r="H151" i="15" s="1"/>
  <c r="I494" i="15"/>
  <c r="I298" i="15"/>
  <c r="G114" i="15"/>
  <c r="H114" i="15" s="1"/>
  <c r="G756" i="15"/>
  <c r="H756" i="15" s="1"/>
  <c r="I624" i="15"/>
  <c r="E818" i="15"/>
  <c r="I787" i="15"/>
  <c r="I775" i="15"/>
  <c r="I443" i="15"/>
  <c r="G776" i="15"/>
  <c r="H776" i="15" s="1"/>
  <c r="G120" i="15"/>
  <c r="H120" i="15" s="1"/>
  <c r="I780" i="15"/>
  <c r="G428" i="15"/>
  <c r="H428" i="15" s="1"/>
  <c r="G432" i="15"/>
  <c r="H432" i="15" s="1"/>
  <c r="I747" i="15"/>
  <c r="I271" i="15"/>
  <c r="I735" i="15"/>
  <c r="G80" i="15"/>
  <c r="H80" i="15" s="1"/>
  <c r="I156" i="15"/>
  <c r="I82" i="15"/>
  <c r="G175" i="15"/>
  <c r="H175" i="15" s="1"/>
  <c r="I535" i="15"/>
  <c r="I144" i="15"/>
  <c r="I167" i="15"/>
  <c r="G712" i="15"/>
  <c r="H712" i="15" s="1"/>
  <c r="I429" i="15"/>
  <c r="I91" i="15"/>
  <c r="G452" i="15"/>
  <c r="H452" i="15" s="1"/>
  <c r="G79" i="15"/>
  <c r="H79" i="15" s="1"/>
  <c r="G55" i="15"/>
  <c r="H55" i="15" s="1"/>
  <c r="I657" i="15"/>
  <c r="I645" i="15"/>
  <c r="G645" i="15"/>
  <c r="H645" i="15" s="1"/>
  <c r="I142" i="15"/>
  <c r="G482" i="15"/>
  <c r="H482" i="15" s="1"/>
  <c r="I95" i="15"/>
  <c r="G427" i="15"/>
  <c r="H427" i="15" s="1"/>
  <c r="I438" i="15"/>
  <c r="I376" i="15"/>
  <c r="G208" i="15"/>
  <c r="H208" i="15" s="1"/>
  <c r="G755" i="15"/>
  <c r="H755" i="15" s="1"/>
  <c r="G202" i="15"/>
  <c r="H202" i="15" s="1"/>
  <c r="G144" i="15"/>
  <c r="H144" i="15" s="1"/>
  <c r="G71" i="15"/>
  <c r="H71" i="15" s="1"/>
  <c r="G660" i="15"/>
  <c r="H660" i="15" s="1"/>
  <c r="G412" i="15"/>
  <c r="H412" i="15" s="1"/>
  <c r="G54" i="15"/>
  <c r="H54" i="15" s="1"/>
  <c r="I579" i="15"/>
  <c r="G24" i="15"/>
  <c r="H24" i="15" s="1"/>
  <c r="I150" i="15"/>
  <c r="G580" i="15"/>
  <c r="H580" i="15" s="1"/>
  <c r="G311" i="15"/>
  <c r="H311" i="15" s="1"/>
  <c r="I175" i="15"/>
  <c r="G778" i="15"/>
  <c r="H778" i="15" s="1"/>
  <c r="G301" i="15"/>
  <c r="H301" i="15" s="1"/>
  <c r="G480" i="15"/>
  <c r="H480" i="15" s="1"/>
  <c r="I169" i="15"/>
  <c r="I778" i="15"/>
  <c r="I589" i="15"/>
  <c r="G302" i="15"/>
  <c r="H302" i="15" s="1"/>
  <c r="I575" i="15"/>
  <c r="G564" i="15"/>
  <c r="H564" i="15" s="1"/>
  <c r="I417" i="15"/>
  <c r="I568" i="15"/>
  <c r="I309" i="15"/>
  <c r="I768" i="15"/>
  <c r="I732" i="15"/>
  <c r="G500" i="15"/>
  <c r="H500" i="15" s="1"/>
  <c r="I440" i="15"/>
  <c r="I493" i="15"/>
  <c r="G305" i="15"/>
  <c r="H305" i="15" s="1"/>
  <c r="G162" i="15"/>
  <c r="H162" i="15" s="1"/>
  <c r="I316" i="15"/>
  <c r="I149" i="15"/>
  <c r="I795" i="15"/>
  <c r="G310" i="15"/>
  <c r="H310" i="15" s="1"/>
  <c r="G99" i="15"/>
  <c r="H99" i="15" s="1"/>
  <c r="G655" i="15"/>
  <c r="H655" i="15" s="1"/>
  <c r="I137" i="15"/>
  <c r="G429" i="15"/>
  <c r="H429" i="15" s="1"/>
  <c r="G328" i="15"/>
  <c r="H328" i="15" s="1"/>
  <c r="G650" i="15"/>
  <c r="H650" i="15" s="1"/>
  <c r="I165" i="15"/>
  <c r="I393" i="15"/>
  <c r="G557" i="15"/>
  <c r="H557" i="15" s="1"/>
  <c r="I523" i="15"/>
  <c r="G142" i="15"/>
  <c r="H142" i="15" s="1"/>
  <c r="I78" i="15"/>
  <c r="G121" i="15"/>
  <c r="H121" i="15" s="1"/>
  <c r="G354" i="15"/>
  <c r="H354" i="15" s="1"/>
  <c r="G795" i="15"/>
  <c r="H795" i="15" s="1"/>
  <c r="G501" i="15"/>
  <c r="H501" i="15" s="1"/>
  <c r="G38" i="15"/>
  <c r="H38" i="15" s="1"/>
  <c r="G624" i="15"/>
  <c r="H624" i="15" s="1"/>
  <c r="G567" i="15"/>
  <c r="H567" i="15" s="1"/>
  <c r="I515" i="15"/>
  <c r="I216" i="15"/>
  <c r="I414" i="15"/>
  <c r="I402" i="15"/>
  <c r="G321" i="15"/>
  <c r="H321" i="15" s="1"/>
  <c r="G680" i="15"/>
  <c r="H680" i="15" s="1"/>
  <c r="G322" i="15"/>
  <c r="H322" i="15" s="1"/>
  <c r="G366" i="15"/>
  <c r="H366" i="15" s="1"/>
  <c r="G530" i="15"/>
  <c r="H530" i="15" s="1"/>
  <c r="I623" i="15"/>
  <c r="G661" i="15"/>
  <c r="H661" i="15" s="1"/>
  <c r="I321" i="15"/>
  <c r="I672" i="15"/>
  <c r="G757" i="15"/>
  <c r="H757" i="15" s="1"/>
  <c r="G586" i="15"/>
  <c r="H586" i="15" s="1"/>
  <c r="I578" i="15"/>
  <c r="I488" i="15"/>
  <c r="G341" i="15"/>
  <c r="H341" i="15" s="1"/>
  <c r="I315" i="15"/>
  <c r="G381" i="15"/>
  <c r="H381" i="15" s="1"/>
  <c r="I116" i="15"/>
  <c r="G7" i="15"/>
  <c r="H7" i="15" s="1"/>
  <c r="G158" i="15"/>
  <c r="H158" i="15" s="1"/>
  <c r="G243" i="15"/>
  <c r="H243" i="15" s="1"/>
  <c r="G464" i="15"/>
  <c r="H464" i="15" s="1"/>
  <c r="I76" i="15"/>
  <c r="G623" i="15"/>
  <c r="H623" i="15" s="1"/>
  <c r="I476" i="15"/>
  <c r="I385" i="15"/>
  <c r="I220" i="15"/>
  <c r="I157" i="15"/>
  <c r="G104" i="15"/>
  <c r="H104" i="15" s="1"/>
  <c r="G263" i="15"/>
  <c r="H263" i="15" s="1"/>
  <c r="G649" i="15"/>
  <c r="H649" i="15" s="1"/>
  <c r="I530" i="15"/>
  <c r="I219" i="15"/>
  <c r="G64" i="15"/>
  <c r="H64" i="15" s="1"/>
  <c r="I365" i="15"/>
  <c r="I491" i="15"/>
  <c r="G494" i="15"/>
  <c r="H494" i="15" s="1"/>
  <c r="G716" i="15"/>
  <c r="H716" i="15" s="1"/>
  <c r="G648" i="15"/>
  <c r="H648" i="15" s="1"/>
  <c r="I598" i="15"/>
  <c r="G493" i="15"/>
  <c r="H493" i="15" s="1"/>
  <c r="I104" i="15"/>
  <c r="G267" i="15"/>
  <c r="H267" i="15" s="1"/>
  <c r="I419" i="15"/>
  <c r="I377" i="15"/>
  <c r="G342" i="15"/>
  <c r="H342" i="15" s="1"/>
  <c r="G737" i="15"/>
  <c r="H737" i="15" s="1"/>
  <c r="G107" i="15"/>
  <c r="H107" i="15" s="1"/>
  <c r="I22" i="15"/>
  <c r="G590" i="15"/>
  <c r="H590" i="15" s="1"/>
  <c r="G686" i="15"/>
  <c r="H686" i="15" s="1"/>
  <c r="I736" i="15"/>
  <c r="G576" i="15"/>
  <c r="H576" i="15" s="1"/>
  <c r="I728" i="15"/>
  <c r="G418" i="15"/>
  <c r="H418" i="15" s="1"/>
  <c r="I366" i="15"/>
  <c r="G166" i="15"/>
  <c r="H166" i="15" s="1"/>
  <c r="I254" i="15"/>
  <c r="I418" i="15"/>
  <c r="I162" i="15"/>
  <c r="G449" i="15"/>
  <c r="H449" i="15" s="1"/>
  <c r="I120" i="15"/>
  <c r="G367" i="15"/>
  <c r="H367" i="15" s="1"/>
  <c r="G150" i="15"/>
  <c r="H150" i="15" s="1"/>
  <c r="I122" i="15"/>
  <c r="I421" i="15"/>
  <c r="G736" i="15"/>
  <c r="H736" i="15" s="1"/>
  <c r="I752" i="15"/>
  <c r="G687" i="15"/>
  <c r="H687" i="15" s="1"/>
  <c r="I719" i="15"/>
  <c r="I461" i="15"/>
  <c r="G571" i="15"/>
  <c r="H571" i="15" s="1"/>
  <c r="G544" i="15"/>
  <c r="H544" i="15" s="1"/>
  <c r="G220" i="15"/>
  <c r="H220" i="15" s="1"/>
  <c r="I279" i="15"/>
  <c r="G22" i="15"/>
  <c r="H22" i="15" s="1"/>
  <c r="G740" i="15"/>
  <c r="H740" i="15" s="1"/>
  <c r="G563" i="15"/>
  <c r="H563" i="15" s="1"/>
  <c r="G408" i="15"/>
  <c r="H408" i="15" s="1"/>
  <c r="G472" i="15"/>
  <c r="H472" i="15" s="1"/>
  <c r="G100" i="15"/>
  <c r="H100" i="15" s="1"/>
  <c r="I303" i="15"/>
  <c r="I111" i="15"/>
  <c r="I34" i="15"/>
  <c r="I580" i="15"/>
  <c r="G481" i="15"/>
  <c r="H481" i="15" s="1"/>
  <c r="I592" i="15"/>
  <c r="G744" i="15"/>
  <c r="H744" i="15" s="1"/>
  <c r="G431" i="15"/>
  <c r="H431" i="15" s="1"/>
  <c r="I179" i="15"/>
  <c r="G136" i="15"/>
  <c r="H136" i="15" s="1"/>
  <c r="I511" i="15"/>
  <c r="I269" i="15"/>
  <c r="G168" i="15"/>
  <c r="H168" i="15" s="1"/>
  <c r="G581" i="15"/>
  <c r="H581" i="15" s="1"/>
  <c r="G742" i="15"/>
  <c r="H742" i="15" s="1"/>
  <c r="G258" i="15"/>
  <c r="H258" i="15" s="1"/>
  <c r="G720" i="15"/>
  <c r="H720" i="15" s="1"/>
  <c r="G647" i="15"/>
  <c r="H647" i="15" s="1"/>
  <c r="G570" i="15"/>
  <c r="H570" i="15" s="1"/>
  <c r="G524" i="15"/>
  <c r="H524" i="15" s="1"/>
  <c r="G365" i="15"/>
  <c r="H365" i="15" s="1"/>
  <c r="I136" i="15"/>
  <c r="I209" i="15"/>
  <c r="G394" i="15"/>
  <c r="H394" i="15" s="1"/>
  <c r="G293" i="15"/>
  <c r="H293" i="15" s="1"/>
  <c r="I107" i="15"/>
  <c r="I74" i="15"/>
  <c r="I463" i="15"/>
  <c r="G752" i="15"/>
  <c r="H752" i="15" s="1"/>
  <c r="G209" i="15"/>
  <c r="H209" i="15" s="1"/>
  <c r="G768" i="15"/>
  <c r="H768" i="15" s="1"/>
  <c r="I618" i="15"/>
  <c r="I659" i="15"/>
  <c r="I497" i="15"/>
  <c r="G304" i="15"/>
  <c r="H304" i="15" s="1"/>
  <c r="I556" i="15"/>
  <c r="I582" i="15"/>
  <c r="G491" i="15"/>
  <c r="H491" i="15" s="1"/>
  <c r="G261" i="15"/>
  <c r="H261" i="15" s="1"/>
  <c r="G95" i="15"/>
  <c r="H95" i="15" s="1"/>
  <c r="G70" i="15"/>
  <c r="H70" i="15" s="1"/>
  <c r="G143" i="15"/>
  <c r="H143" i="15" s="1"/>
  <c r="G451" i="15"/>
  <c r="H451" i="15" s="1"/>
  <c r="I257" i="15"/>
  <c r="I612" i="15"/>
  <c r="G612" i="15"/>
  <c r="H612" i="15" s="1"/>
  <c r="G421" i="15"/>
  <c r="H421" i="15" s="1"/>
  <c r="G488" i="15"/>
  <c r="H488" i="15" s="1"/>
  <c r="G499" i="15"/>
  <c r="H499" i="15" s="1"/>
  <c r="G201" i="15"/>
  <c r="H201" i="15" s="1"/>
  <c r="I471" i="15"/>
  <c r="G74" i="15"/>
  <c r="H74" i="15" s="1"/>
  <c r="G46" i="15"/>
  <c r="H46" i="15" s="1"/>
  <c r="I201" i="15"/>
  <c r="G137" i="15"/>
  <c r="H137" i="15" s="1"/>
  <c r="I62" i="15"/>
  <c r="G519" i="15"/>
  <c r="H519" i="15" s="1"/>
  <c r="I342" i="15"/>
  <c r="G373" i="15"/>
  <c r="H373" i="15" s="1"/>
  <c r="I293" i="15"/>
  <c r="I722" i="15"/>
  <c r="I751" i="15"/>
  <c r="G739" i="15"/>
  <c r="H739" i="15" s="1"/>
  <c r="I500" i="15"/>
  <c r="I503" i="15"/>
  <c r="I369" i="15"/>
  <c r="G486" i="15"/>
  <c r="H486" i="15" s="1"/>
  <c r="G106" i="15"/>
  <c r="H106" i="15" s="1"/>
  <c r="G402" i="15"/>
  <c r="H402" i="15" s="1"/>
  <c r="I305" i="15"/>
  <c r="G637" i="15"/>
  <c r="H637" i="15" s="1"/>
  <c r="I591" i="15"/>
  <c r="G485" i="15"/>
  <c r="H485" i="15" s="1"/>
  <c r="G358" i="15"/>
  <c r="H358" i="15" s="1"/>
  <c r="E260" i="15"/>
  <c r="E460" i="15"/>
  <c r="E36" i="15"/>
  <c r="E274" i="15"/>
  <c r="C736" i="15"/>
  <c r="D736" i="15" s="1"/>
  <c r="C304" i="15"/>
  <c r="D304" i="15" s="1"/>
  <c r="C691" i="15"/>
  <c r="D691" i="15" s="1"/>
  <c r="C453" i="15"/>
  <c r="D453" i="15" s="1"/>
  <c r="E795" i="15"/>
  <c r="G589" i="15"/>
  <c r="H589" i="15" s="1"/>
  <c r="I357" i="15"/>
  <c r="I724" i="15"/>
  <c r="I231" i="15"/>
  <c r="I353" i="15"/>
  <c r="C184" i="15"/>
  <c r="D184" i="15" s="1"/>
  <c r="I50" i="15"/>
  <c r="I539" i="15"/>
  <c r="I210" i="15"/>
  <c r="I325" i="15"/>
  <c r="I52" i="15"/>
  <c r="I283" i="15"/>
  <c r="G283" i="15"/>
  <c r="H283" i="15" s="1"/>
  <c r="I338" i="15"/>
  <c r="I350" i="15"/>
  <c r="G722" i="15"/>
  <c r="H722" i="15" s="1"/>
  <c r="I313" i="15"/>
  <c r="G39" i="15"/>
  <c r="H39" i="15" s="1"/>
  <c r="I426" i="15"/>
  <c r="G109" i="15"/>
  <c r="H109" i="15" s="1"/>
  <c r="I330" i="15"/>
  <c r="G362" i="15"/>
  <c r="H362" i="15" s="1"/>
  <c r="I712" i="15"/>
  <c r="C702" i="15"/>
  <c r="D702" i="15" s="1"/>
  <c r="I121" i="15"/>
  <c r="I679" i="15"/>
  <c r="I66" i="15"/>
  <c r="G110" i="15"/>
  <c r="H110" i="15" s="1"/>
  <c r="G707" i="15"/>
  <c r="H707" i="15" s="1"/>
  <c r="G280" i="15"/>
  <c r="H280" i="15" s="1"/>
  <c r="I384" i="15"/>
  <c r="E55" i="15"/>
  <c r="I46" i="15"/>
  <c r="G6" i="15"/>
  <c r="H6" i="15" s="1"/>
  <c r="I754" i="15"/>
  <c r="I310" i="15"/>
  <c r="G721" i="15"/>
  <c r="H721" i="15" s="1"/>
  <c r="I173" i="15"/>
  <c r="I430" i="15"/>
  <c r="G694" i="15"/>
  <c r="H694" i="15" s="1"/>
  <c r="I763" i="15"/>
  <c r="G706" i="15"/>
  <c r="H706" i="15" s="1"/>
  <c r="G316" i="15"/>
  <c r="H316" i="15" s="1"/>
  <c r="G539" i="15"/>
  <c r="H539" i="15" s="1"/>
  <c r="G430" i="15"/>
  <c r="H430" i="15" s="1"/>
  <c r="G262" i="15"/>
  <c r="H262" i="15" s="1"/>
  <c r="I148" i="15"/>
  <c r="G330" i="15"/>
  <c r="H330" i="15" s="1"/>
  <c r="I274" i="15"/>
  <c r="G723" i="15"/>
  <c r="H723" i="15" s="1"/>
  <c r="G518" i="15"/>
  <c r="H518" i="15" s="1"/>
  <c r="I667" i="15"/>
  <c r="I703" i="15"/>
  <c r="C617" i="15"/>
  <c r="D617" i="15" s="1"/>
  <c r="G656" i="15"/>
  <c r="H656" i="15" s="1"/>
  <c r="I94" i="15"/>
  <c r="G667" i="15"/>
  <c r="H667" i="15" s="1"/>
  <c r="G751" i="15"/>
  <c r="H751" i="15" s="1"/>
  <c r="I706" i="15"/>
  <c r="G754" i="15"/>
  <c r="H754" i="15" s="1"/>
  <c r="I551" i="15"/>
  <c r="I394" i="15"/>
  <c r="I691" i="15"/>
  <c r="I756" i="15"/>
  <c r="G692" i="15"/>
  <c r="H692" i="15" s="1"/>
  <c r="I373" i="15"/>
  <c r="G210" i="15"/>
  <c r="H210" i="15" s="1"/>
  <c r="G314" i="15"/>
  <c r="H314" i="15" s="1"/>
  <c r="G211" i="15"/>
  <c r="H211" i="15" s="1"/>
  <c r="G372" i="15"/>
  <c r="H372" i="15" s="1"/>
  <c r="E616" i="15"/>
  <c r="C197" i="15"/>
  <c r="D197" i="15" s="1"/>
  <c r="I649" i="15"/>
  <c r="I354" i="15"/>
  <c r="I106" i="15"/>
  <c r="G748" i="15"/>
  <c r="H748" i="15" s="1"/>
  <c r="I442" i="15"/>
  <c r="I437" i="15"/>
  <c r="I711" i="15"/>
  <c r="I629" i="15"/>
  <c r="G112" i="15"/>
  <c r="H112" i="15" s="1"/>
  <c r="G812" i="15"/>
  <c r="H812" i="15" s="1"/>
  <c r="G731" i="15"/>
  <c r="H731" i="15" s="1"/>
  <c r="I777" i="15"/>
  <c r="G765" i="15"/>
  <c r="H765" i="15" s="1"/>
  <c r="G555" i="15"/>
  <c r="H555" i="15" s="1"/>
  <c r="I371" i="15"/>
  <c r="G359" i="15"/>
  <c r="H359" i="15" s="1"/>
  <c r="G387" i="15"/>
  <c r="H387" i="15" s="1"/>
  <c r="I399" i="15"/>
  <c r="I387" i="15"/>
  <c r="I339" i="15"/>
  <c r="G235" i="15"/>
  <c r="H235" i="15" s="1"/>
  <c r="I247" i="15"/>
  <c r="G140" i="15"/>
  <c r="H140" i="15" s="1"/>
  <c r="G141" i="15"/>
  <c r="H141" i="15" s="1"/>
  <c r="I152" i="15"/>
  <c r="G57" i="15"/>
  <c r="H57" i="15" s="1"/>
  <c r="I69" i="15"/>
  <c r="E135" i="15"/>
  <c r="G266" i="15"/>
  <c r="H266" i="15" s="1"/>
  <c r="G265" i="15"/>
  <c r="H265" i="15" s="1"/>
  <c r="I277" i="15"/>
  <c r="G533" i="15"/>
  <c r="H533" i="15" s="1"/>
  <c r="I545" i="15"/>
  <c r="I8" i="15"/>
  <c r="G8" i="15"/>
  <c r="H8" i="15" s="1"/>
  <c r="I20" i="15"/>
  <c r="G65" i="15"/>
  <c r="H65" i="15" s="1"/>
  <c r="I77" i="15"/>
  <c r="I135" i="15"/>
  <c r="G123" i="15"/>
  <c r="H123" i="15" s="1"/>
  <c r="I383" i="15"/>
  <c r="G371" i="15"/>
  <c r="H371" i="15" s="1"/>
  <c r="I683" i="15"/>
  <c r="G672" i="15"/>
  <c r="H672" i="15" s="1"/>
  <c r="G671" i="15"/>
  <c r="H671" i="15" s="1"/>
  <c r="I514" i="15"/>
  <c r="G502" i="15"/>
  <c r="H502" i="15" s="1"/>
  <c r="G503" i="15"/>
  <c r="H503" i="15" s="1"/>
  <c r="I467" i="15"/>
  <c r="G456" i="15"/>
  <c r="H456" i="15" s="1"/>
  <c r="G455" i="15"/>
  <c r="H455" i="15" s="1"/>
  <c r="I455" i="15"/>
  <c r="G49" i="15"/>
  <c r="H49" i="15" s="1"/>
  <c r="I61" i="15"/>
  <c r="G299" i="15"/>
  <c r="H299" i="15" s="1"/>
  <c r="I311" i="15"/>
  <c r="G324" i="15"/>
  <c r="H324" i="15" s="1"/>
  <c r="I336" i="15"/>
  <c r="G176" i="15"/>
  <c r="H176" i="15" s="1"/>
  <c r="I188" i="15"/>
  <c r="I176" i="15"/>
  <c r="G47" i="15"/>
  <c r="H47" i="15" s="1"/>
  <c r="I59" i="15"/>
  <c r="G695" i="15"/>
  <c r="H695" i="15" s="1"/>
  <c r="I707" i="15"/>
  <c r="I30" i="15"/>
  <c r="G18" i="15"/>
  <c r="H18" i="15" s="1"/>
  <c r="G272" i="15"/>
  <c r="H272" i="15" s="1"/>
  <c r="I284" i="15"/>
  <c r="G242" i="15"/>
  <c r="H242" i="15" s="1"/>
  <c r="I253" i="15"/>
  <c r="G241" i="15"/>
  <c r="H241" i="15" s="1"/>
  <c r="G20" i="15"/>
  <c r="H20" i="15" s="1"/>
  <c r="I32" i="15"/>
  <c r="G532" i="15"/>
  <c r="H532" i="15" s="1"/>
  <c r="I544" i="15"/>
  <c r="I532" i="15"/>
  <c r="G16" i="15"/>
  <c r="H16" i="15" s="1"/>
  <c r="I28" i="15"/>
  <c r="G147" i="15"/>
  <c r="H147" i="15" s="1"/>
  <c r="I159" i="15"/>
  <c r="I64" i="15"/>
  <c r="G52" i="15"/>
  <c r="H52" i="15" s="1"/>
  <c r="I65" i="15"/>
  <c r="G50" i="15"/>
  <c r="H50" i="15" s="1"/>
  <c r="G554" i="15"/>
  <c r="H554" i="15" s="1"/>
  <c r="I566" i="15"/>
  <c r="I363" i="15"/>
  <c r="G351" i="15"/>
  <c r="H351" i="15" s="1"/>
  <c r="I84" i="15"/>
  <c r="G72" i="15"/>
  <c r="H72" i="15" s="1"/>
  <c r="G562" i="15"/>
  <c r="H562" i="15" s="1"/>
  <c r="I574" i="15"/>
  <c r="I625" i="15"/>
  <c r="G613" i="15"/>
  <c r="H613" i="15" s="1"/>
  <c r="E548" i="15"/>
  <c r="I479" i="15"/>
  <c r="G467" i="15"/>
  <c r="H467" i="15" s="1"/>
  <c r="I449" i="15"/>
  <c r="G437" i="15"/>
  <c r="H437" i="15" s="1"/>
  <c r="G300" i="15"/>
  <c r="H300" i="15" s="1"/>
  <c r="G181" i="15"/>
  <c r="H181" i="15" s="1"/>
  <c r="I193" i="15"/>
  <c r="G228" i="15"/>
  <c r="H228" i="15" s="1"/>
  <c r="I240" i="15"/>
  <c r="G229" i="15"/>
  <c r="H229" i="15" s="1"/>
  <c r="I403" i="15"/>
  <c r="G391" i="15"/>
  <c r="H391" i="15" s="1"/>
  <c r="G45" i="15"/>
  <c r="H45" i="15" s="1"/>
  <c r="I57" i="15"/>
  <c r="I45" i="15"/>
  <c r="C180" i="15"/>
  <c r="D180" i="15" s="1"/>
  <c r="G53" i="15"/>
  <c r="H53" i="15" s="1"/>
  <c r="C31" i="15"/>
  <c r="G284" i="15"/>
  <c r="H284" i="15" s="1"/>
  <c r="I296" i="15"/>
  <c r="I710" i="15"/>
  <c r="G698" i="15"/>
  <c r="H698" i="15" s="1"/>
  <c r="G347" i="15"/>
  <c r="H347" i="15" s="1"/>
  <c r="I359" i="15"/>
  <c r="I745" i="15"/>
  <c r="I733" i="15"/>
  <c r="G733" i="15"/>
  <c r="H733" i="15" s="1"/>
  <c r="I267" i="15"/>
  <c r="G255" i="15"/>
  <c r="H255" i="15" s="1"/>
  <c r="I255" i="15"/>
  <c r="G766" i="15"/>
  <c r="H766" i="15" s="1"/>
  <c r="I776" i="15"/>
  <c r="G764" i="15"/>
  <c r="H764" i="15" s="1"/>
  <c r="I764" i="15"/>
  <c r="I757" i="15"/>
  <c r="G745" i="15"/>
  <c r="H745" i="15" s="1"/>
  <c r="I737" i="15"/>
  <c r="G725" i="15"/>
  <c r="H725" i="15" s="1"/>
  <c r="I533" i="15"/>
  <c r="G582" i="15"/>
  <c r="H582" i="15" s="1"/>
  <c r="I594" i="15"/>
  <c r="I637" i="15"/>
  <c r="G625" i="15"/>
  <c r="H625" i="15" s="1"/>
  <c r="G124" i="15"/>
  <c r="H124" i="15" s="1"/>
  <c r="G634" i="15"/>
  <c r="H634" i="15" s="1"/>
  <c r="I646" i="15"/>
  <c r="G635" i="15"/>
  <c r="H635" i="15" s="1"/>
  <c r="I381" i="15"/>
  <c r="G369" i="15"/>
  <c r="H369" i="15" s="1"/>
  <c r="G380" i="15"/>
  <c r="H380" i="15" s="1"/>
  <c r="I392" i="15"/>
  <c r="I12" i="15"/>
  <c r="G12" i="15"/>
  <c r="H12" i="15" s="1"/>
  <c r="I24" i="15"/>
  <c r="G66" i="15"/>
  <c r="H66" i="15" s="1"/>
  <c r="E10" i="15"/>
  <c r="D10" i="15"/>
  <c r="G287" i="15"/>
  <c r="H287" i="15" s="1"/>
  <c r="I299" i="15"/>
  <c r="G618" i="15"/>
  <c r="H618" i="15" s="1"/>
  <c r="I630" i="15"/>
  <c r="I181" i="15"/>
  <c r="I26" i="15"/>
  <c r="I14" i="15"/>
  <c r="G14" i="15"/>
  <c r="H14" i="15" s="1"/>
  <c r="I42" i="15"/>
  <c r="G30" i="15"/>
  <c r="H30" i="15" s="1"/>
  <c r="I784" i="15"/>
  <c r="G772" i="15"/>
  <c r="H772" i="15" s="1"/>
  <c r="G773" i="15"/>
  <c r="H773" i="15" s="1"/>
  <c r="I351" i="15"/>
  <c r="G339" i="15"/>
  <c r="H339" i="15" s="1"/>
  <c r="I526" i="15"/>
  <c r="G514" i="15"/>
  <c r="H514" i="15" s="1"/>
  <c r="I698" i="15"/>
  <c r="C276" i="15"/>
  <c r="D276" i="15" s="1"/>
  <c r="G376" i="15"/>
  <c r="H376" i="15" s="1"/>
  <c r="I388" i="15"/>
  <c r="I329" i="15"/>
  <c r="G317" i="15"/>
  <c r="H317" i="15" s="1"/>
  <c r="I477" i="15"/>
  <c r="G465" i="15"/>
  <c r="H465" i="15" s="1"/>
  <c r="G466" i="15"/>
  <c r="H466" i="15" s="1"/>
  <c r="G177" i="15"/>
  <c r="H177" i="15" s="1"/>
  <c r="I189" i="15"/>
  <c r="G178" i="15"/>
  <c r="H178" i="15" s="1"/>
  <c r="G399" i="15"/>
  <c r="H399" i="15" s="1"/>
  <c r="I411" i="15"/>
  <c r="I413" i="15"/>
  <c r="G413" i="15"/>
  <c r="H413" i="15" s="1"/>
  <c r="I425" i="15"/>
  <c r="I18" i="15"/>
  <c r="G60" i="15"/>
  <c r="H60" i="15" s="1"/>
  <c r="I72" i="15"/>
  <c r="G779" i="15"/>
  <c r="H779" i="15" s="1"/>
  <c r="I791" i="15"/>
  <c r="G665" i="15"/>
  <c r="H665" i="15" s="1"/>
  <c r="I677" i="15"/>
  <c r="I717" i="15"/>
  <c r="G717" i="15"/>
  <c r="H717" i="15" s="1"/>
  <c r="I729" i="15"/>
  <c r="I772" i="15"/>
  <c r="I521" i="15"/>
  <c r="G509" i="15"/>
  <c r="H509" i="15" s="1"/>
  <c r="G343" i="15"/>
  <c r="H343" i="15" s="1"/>
  <c r="I355" i="15"/>
  <c r="I806" i="15"/>
  <c r="G794" i="15"/>
  <c r="H794" i="15" s="1"/>
  <c r="G531" i="15"/>
  <c r="H531" i="15" s="1"/>
  <c r="I543" i="15"/>
  <c r="I531" i="15"/>
  <c r="I765" i="15"/>
  <c r="G331" i="15"/>
  <c r="H331" i="15" s="1"/>
  <c r="I343" i="15"/>
  <c r="G626" i="15"/>
  <c r="H626" i="15" s="1"/>
  <c r="I473" i="15"/>
  <c r="G461" i="15"/>
  <c r="H461" i="15" s="1"/>
  <c r="I587" i="15"/>
  <c r="G575" i="15"/>
  <c r="H575" i="15" s="1"/>
  <c r="I809" i="15"/>
  <c r="I797" i="15"/>
  <c r="G797" i="15"/>
  <c r="H797" i="15" s="1"/>
  <c r="I569" i="15"/>
  <c r="I581" i="15"/>
  <c r="G569" i="15"/>
  <c r="H569" i="15" s="1"/>
  <c r="G392" i="15"/>
  <c r="H392" i="15" s="1"/>
  <c r="G319" i="15"/>
  <c r="H319" i="15" s="1"/>
  <c r="I331" i="15"/>
  <c r="I546" i="15"/>
  <c r="G534" i="15"/>
  <c r="H534" i="15" s="1"/>
  <c r="G535" i="15"/>
  <c r="H535" i="15" s="1"/>
  <c r="G182" i="15"/>
  <c r="H182" i="15" s="1"/>
  <c r="G462" i="15"/>
  <c r="H462" i="15" s="1"/>
  <c r="G395" i="15"/>
  <c r="H395" i="15" s="1"/>
  <c r="I407" i="15"/>
  <c r="G276" i="15"/>
  <c r="H276" i="15" s="1"/>
  <c r="I288" i="15"/>
  <c r="G277" i="15"/>
  <c r="H277" i="15" s="1"/>
  <c r="G160" i="15"/>
  <c r="H160" i="15" s="1"/>
  <c r="I172" i="15"/>
  <c r="I395" i="15"/>
  <c r="G383" i="15"/>
  <c r="H383" i="15" s="1"/>
  <c r="G332" i="15"/>
  <c r="H332" i="15" s="1"/>
  <c r="I235" i="15"/>
  <c r="G483" i="15"/>
  <c r="H483" i="15" s="1"/>
  <c r="I495" i="15"/>
  <c r="I483" i="15"/>
  <c r="G161" i="15"/>
  <c r="H161" i="15" s="1"/>
  <c r="I49" i="15"/>
  <c r="E35" i="15"/>
  <c r="I445" i="15"/>
  <c r="G433" i="15"/>
  <c r="H433" i="15" s="1"/>
  <c r="I56" i="15"/>
  <c r="G44" i="15"/>
  <c r="H44" i="15" s="1"/>
  <c r="I123" i="15"/>
  <c r="G111" i="15"/>
  <c r="H111" i="15" s="1"/>
  <c r="I4" i="15"/>
  <c r="I16" i="15"/>
  <c r="G4" i="15"/>
  <c r="H4" i="15" s="1"/>
  <c r="G5" i="15"/>
  <c r="H5" i="15" s="1"/>
  <c r="I140" i="15"/>
  <c r="C60" i="15"/>
  <c r="D60" i="15" s="1"/>
  <c r="I595" i="15"/>
  <c r="G583" i="15"/>
  <c r="H583" i="15" s="1"/>
  <c r="G781" i="15"/>
  <c r="H781" i="15" s="1"/>
  <c r="I793" i="15"/>
  <c r="I781" i="15"/>
  <c r="I651" i="15"/>
  <c r="G640" i="15"/>
  <c r="H640" i="15" s="1"/>
  <c r="G639" i="15"/>
  <c r="H639" i="15" s="1"/>
  <c r="I509" i="15"/>
  <c r="G574" i="15"/>
  <c r="H574" i="15" s="1"/>
  <c r="I586" i="15"/>
  <c r="G295" i="15"/>
  <c r="H295" i="15" s="1"/>
  <c r="I307" i="15"/>
  <c r="I295" i="15"/>
  <c r="I808" i="15"/>
  <c r="G796" i="15"/>
  <c r="H796" i="15" s="1"/>
  <c r="G711" i="15"/>
  <c r="H711" i="15" s="1"/>
  <c r="I723" i="15"/>
  <c r="I466" i="15"/>
  <c r="G454" i="15"/>
  <c r="H454" i="15" s="1"/>
  <c r="I583" i="15"/>
  <c r="I665" i="15"/>
  <c r="I537" i="15"/>
  <c r="G525" i="15"/>
  <c r="H525" i="15" s="1"/>
  <c r="G288" i="15"/>
  <c r="H288" i="15" s="1"/>
  <c r="G546" i="15"/>
  <c r="H546" i="15" s="1"/>
  <c r="I558" i="15"/>
  <c r="G41" i="15"/>
  <c r="H41" i="15" s="1"/>
  <c r="I53" i="15"/>
  <c r="I41" i="15"/>
  <c r="I228" i="15"/>
  <c r="G526" i="15"/>
  <c r="H526" i="15" s="1"/>
  <c r="I538" i="15"/>
  <c r="I60" i="15"/>
  <c r="G48" i="15"/>
  <c r="H48" i="15" s="1"/>
  <c r="G15" i="15"/>
  <c r="H15" i="15" s="1"/>
  <c r="I27" i="15"/>
  <c r="G325" i="15"/>
  <c r="H325" i="15" s="1"/>
  <c r="G116" i="15"/>
  <c r="H116" i="15" s="1"/>
  <c r="I128" i="15"/>
  <c r="G117" i="15"/>
  <c r="H117" i="15" s="1"/>
  <c r="E4" i="15"/>
  <c r="D4" i="15"/>
  <c r="G780" i="15"/>
  <c r="H780" i="15" s="1"/>
  <c r="G801" i="15"/>
  <c r="H801" i="15" s="1"/>
  <c r="I813" i="15"/>
  <c r="G249" i="15"/>
  <c r="H249" i="15" s="1"/>
  <c r="G250" i="15"/>
  <c r="H250" i="15" s="1"/>
  <c r="I261" i="15"/>
  <c r="I779" i="15"/>
  <c r="I801" i="15"/>
  <c r="I562" i="15"/>
  <c r="G699" i="15"/>
  <c r="H699" i="15" s="1"/>
  <c r="G666" i="15"/>
  <c r="H666" i="15" s="1"/>
  <c r="I678" i="15"/>
  <c r="I705" i="15"/>
  <c r="G693" i="15"/>
  <c r="H693" i="15" s="1"/>
  <c r="G415" i="15"/>
  <c r="H415" i="15" s="1"/>
  <c r="I427" i="15"/>
  <c r="I415" i="15"/>
  <c r="I742" i="15"/>
  <c r="G730" i="15"/>
  <c r="H730" i="15" s="1"/>
  <c r="G782" i="15"/>
  <c r="H782" i="15" s="1"/>
  <c r="I725" i="15"/>
  <c r="G468" i="15"/>
  <c r="H468" i="15" s="1"/>
  <c r="G307" i="15"/>
  <c r="H307" i="15" s="1"/>
  <c r="I319" i="15"/>
  <c r="I527" i="15"/>
  <c r="G515" i="15"/>
  <c r="H515" i="15" s="1"/>
  <c r="G490" i="15"/>
  <c r="H490" i="15" s="1"/>
  <c r="I502" i="15"/>
  <c r="I490" i="15"/>
  <c r="G218" i="15"/>
  <c r="H218" i="15" s="1"/>
  <c r="I229" i="15"/>
  <c r="G217" i="15"/>
  <c r="H217" i="15" s="1"/>
  <c r="I347" i="15"/>
  <c r="G335" i="15"/>
  <c r="H335" i="15" s="1"/>
  <c r="G9" i="15"/>
  <c r="H9" i="15" s="1"/>
  <c r="I327" i="15"/>
  <c r="G315" i="15"/>
  <c r="H315" i="15" s="1"/>
  <c r="I317" i="15"/>
  <c r="I380" i="15"/>
  <c r="I435" i="15"/>
  <c r="I423" i="15"/>
  <c r="G423" i="15"/>
  <c r="H423" i="15" s="1"/>
  <c r="I44" i="15"/>
  <c r="G32" i="15"/>
  <c r="H32" i="15" s="1"/>
  <c r="G279" i="15"/>
  <c r="H279" i="15" s="1"/>
  <c r="I291" i="15"/>
  <c r="I272" i="15"/>
  <c r="I147" i="15"/>
  <c r="E147" i="15"/>
  <c r="I40" i="15"/>
  <c r="G28" i="15"/>
  <c r="H28" i="15" s="1"/>
  <c r="I177" i="15"/>
  <c r="G37" i="15"/>
  <c r="H37" i="15" s="1"/>
  <c r="I36" i="15"/>
  <c r="G36" i="15"/>
  <c r="H36" i="15" s="1"/>
  <c r="I48" i="15"/>
  <c r="I85" i="15"/>
  <c r="G73" i="15"/>
  <c r="H73" i="15" s="1"/>
  <c r="G360" i="15"/>
  <c r="H360" i="15" s="1"/>
  <c r="I372" i="15"/>
  <c r="G361" i="15"/>
  <c r="H361" i="15" s="1"/>
  <c r="I627" i="15"/>
  <c r="G615" i="15"/>
  <c r="H615" i="15" s="1"/>
  <c r="G616" i="15"/>
  <c r="H616" i="15" s="1"/>
  <c r="I367" i="15"/>
  <c r="G355" i="15"/>
  <c r="H355" i="15" s="1"/>
  <c r="I489" i="15"/>
  <c r="G477" i="15"/>
  <c r="H477" i="15" s="1"/>
  <c r="I749" i="15"/>
  <c r="I761" i="15"/>
  <c r="G749" i="15"/>
  <c r="H749" i="15" s="1"/>
  <c r="G614" i="15"/>
  <c r="H614" i="15" s="1"/>
  <c r="I626" i="15"/>
  <c r="I614" i="15"/>
  <c r="I811" i="15"/>
  <c r="G799" i="15"/>
  <c r="H799" i="15" s="1"/>
  <c r="G442" i="15"/>
  <c r="H442" i="15" s="1"/>
  <c r="I454" i="15"/>
  <c r="G741" i="15"/>
  <c r="H741" i="15" s="1"/>
  <c r="I753" i="15"/>
  <c r="G802" i="15"/>
  <c r="H802" i="15" s="1"/>
  <c r="G696" i="15"/>
  <c r="H696" i="15" s="1"/>
  <c r="G435" i="15"/>
  <c r="H435" i="15" s="1"/>
  <c r="I447" i="15"/>
  <c r="G139" i="15"/>
  <c r="H139" i="15" s="1"/>
  <c r="I151" i="15"/>
  <c r="G750" i="15"/>
  <c r="H750" i="15" s="1"/>
  <c r="G651" i="15"/>
  <c r="H651" i="15" s="1"/>
  <c r="I663" i="15"/>
  <c r="G652" i="15"/>
  <c r="H652" i="15" s="1"/>
  <c r="G800" i="15"/>
  <c r="H800" i="15" s="1"/>
  <c r="I799" i="15"/>
  <c r="G747" i="15"/>
  <c r="H747" i="15" s="1"/>
  <c r="I759" i="15"/>
  <c r="G718" i="15"/>
  <c r="H718" i="15" s="1"/>
  <c r="I794" i="15"/>
  <c r="I675" i="15"/>
  <c r="G663" i="15"/>
  <c r="H663" i="15" s="1"/>
  <c r="I611" i="15"/>
  <c r="G599" i="15"/>
  <c r="H599" i="15" s="1"/>
  <c r="G600" i="15"/>
  <c r="H600" i="15" s="1"/>
  <c r="I695" i="15"/>
  <c r="G629" i="15"/>
  <c r="H629" i="15" s="1"/>
  <c r="I641" i="15"/>
  <c r="G384" i="15"/>
  <c r="H384" i="15" s="1"/>
  <c r="G573" i="15"/>
  <c r="H573" i="15" s="1"/>
  <c r="I585" i="15"/>
  <c r="I573" i="15"/>
  <c r="I276" i="15"/>
  <c r="I555" i="15"/>
  <c r="G543" i="15"/>
  <c r="H543" i="15" s="1"/>
  <c r="G547" i="15"/>
  <c r="H547" i="15" s="1"/>
  <c r="I525" i="15"/>
  <c r="G513" i="15"/>
  <c r="H513" i="15" s="1"/>
  <c r="I465" i="15"/>
  <c r="I335" i="15"/>
  <c r="G323" i="15"/>
  <c r="H323" i="15" s="1"/>
  <c r="I433" i="15"/>
  <c r="G248" i="15"/>
  <c r="H248" i="15" s="1"/>
  <c r="I260" i="15"/>
  <c r="G275" i="15"/>
  <c r="H275" i="15" s="1"/>
  <c r="I287" i="15"/>
  <c r="G68" i="15"/>
  <c r="H68" i="15" s="1"/>
  <c r="I80" i="15"/>
  <c r="G21" i="15"/>
  <c r="H21" i="15" s="1"/>
  <c r="G56" i="15"/>
  <c r="H56" i="15" s="1"/>
  <c r="I68" i="15"/>
  <c r="G388" i="15"/>
  <c r="H388" i="15" s="1"/>
  <c r="I265" i="15"/>
  <c r="G253" i="15"/>
  <c r="H253" i="15" s="1"/>
  <c r="I15" i="15"/>
  <c r="I241" i="15"/>
  <c r="I88" i="15"/>
  <c r="G76" i="15"/>
  <c r="H76" i="15" s="1"/>
  <c r="G77" i="15"/>
  <c r="H77" i="15" s="1"/>
  <c r="C36" i="15"/>
  <c r="D36" i="15"/>
  <c r="G69" i="15"/>
  <c r="H69" i="15" s="1"/>
  <c r="G63" i="15"/>
  <c r="H63" i="15" s="1"/>
  <c r="I75" i="15"/>
  <c r="G17" i="15"/>
  <c r="H17" i="15" s="1"/>
  <c r="E371" i="15" l="1"/>
  <c r="C618" i="15"/>
  <c r="D618" i="15" s="1"/>
  <c r="E315" i="15"/>
  <c r="E506" i="15"/>
  <c r="C305" i="15"/>
  <c r="D305" i="15" s="1"/>
  <c r="C150" i="15"/>
  <c r="D150" i="15" s="1"/>
  <c r="C152" i="15"/>
  <c r="D152" i="15" s="1"/>
  <c r="C778" i="15"/>
  <c r="D778" i="15" s="1"/>
  <c r="C599" i="15"/>
  <c r="D599" i="15" s="1"/>
  <c r="E789" i="15"/>
  <c r="C247" i="15"/>
  <c r="D247" i="15" s="1"/>
  <c r="C293" i="15"/>
  <c r="D293" i="15" s="1"/>
  <c r="C590" i="15"/>
  <c r="D590" i="15" s="1"/>
  <c r="C647" i="15"/>
  <c r="D647" i="15" s="1"/>
  <c r="E277" i="15"/>
  <c r="E206" i="15"/>
  <c r="E803" i="15"/>
  <c r="C534" i="15"/>
  <c r="D534" i="15" s="1"/>
  <c r="C535" i="15"/>
  <c r="D535" i="15" s="1"/>
  <c r="E543" i="15"/>
  <c r="C243" i="15"/>
  <c r="D243" i="15" s="1"/>
  <c r="E225" i="15"/>
  <c r="C529" i="15"/>
  <c r="D529" i="15" s="1"/>
  <c r="C212" i="15"/>
  <c r="D212" i="15" s="1"/>
  <c r="E101" i="15"/>
  <c r="C497" i="15"/>
  <c r="D497" i="15" s="1"/>
  <c r="C764" i="15"/>
  <c r="D764" i="15" s="1"/>
  <c r="E570" i="15"/>
  <c r="C678" i="15"/>
  <c r="D678" i="15" s="1"/>
  <c r="C211" i="15"/>
  <c r="D211" i="15" s="1"/>
  <c r="E411" i="15"/>
  <c r="D52" i="15"/>
  <c r="C424" i="15"/>
  <c r="D424" i="15" s="1"/>
  <c r="C748" i="15"/>
  <c r="D748" i="15" s="1"/>
  <c r="C503" i="15"/>
  <c r="D503" i="15" s="1"/>
  <c r="C277" i="15"/>
  <c r="D277" i="15" s="1"/>
  <c r="E776" i="15"/>
  <c r="C73" i="15"/>
  <c r="D73" i="15" s="1"/>
  <c r="C49" i="15"/>
  <c r="E40" i="15"/>
  <c r="E64" i="15"/>
  <c r="E534" i="15"/>
  <c r="E211" i="15"/>
  <c r="E603" i="15"/>
  <c r="C643" i="15"/>
  <c r="D643" i="15" s="1"/>
  <c r="E179" i="15"/>
  <c r="C632" i="15"/>
  <c r="D632" i="15" s="1"/>
  <c r="C334" i="15"/>
  <c r="D334" i="15" s="1"/>
  <c r="C134" i="15"/>
  <c r="D134" i="15" s="1"/>
  <c r="E289" i="15"/>
  <c r="E219" i="15"/>
  <c r="C467" i="15"/>
  <c r="D467" i="15" s="1"/>
  <c r="C710" i="15"/>
  <c r="D710" i="15" s="1"/>
  <c r="E89" i="15"/>
  <c r="C435" i="15"/>
  <c r="D435" i="15" s="1"/>
  <c r="C439" i="15"/>
  <c r="D439" i="15" s="1"/>
  <c r="E440" i="15"/>
  <c r="C604" i="15"/>
  <c r="D604" i="15" s="1"/>
  <c r="E297" i="15"/>
  <c r="E539" i="15"/>
  <c r="C670" i="15"/>
  <c r="D670" i="15" s="1"/>
  <c r="E632" i="15"/>
  <c r="C162" i="15"/>
  <c r="D162" i="15" s="1"/>
  <c r="E26" i="15"/>
  <c r="E265" i="15"/>
  <c r="C449" i="15"/>
  <c r="D449" i="15" s="1"/>
  <c r="C563" i="15"/>
  <c r="D563" i="15" s="1"/>
  <c r="E496" i="15"/>
  <c r="C241" i="15"/>
  <c r="D241" i="15" s="1"/>
  <c r="E807" i="15"/>
  <c r="E240" i="15"/>
  <c r="E151" i="15"/>
  <c r="E619" i="15"/>
  <c r="C130" i="15"/>
  <c r="D130" i="15" s="1"/>
  <c r="C525" i="15"/>
  <c r="D525" i="15" s="1"/>
  <c r="C372" i="15"/>
  <c r="D372" i="15" s="1"/>
  <c r="C642" i="15"/>
  <c r="D642" i="15" s="1"/>
  <c r="E643" i="15"/>
  <c r="E621" i="15"/>
  <c r="E714" i="15"/>
  <c r="C96" i="15"/>
  <c r="D96" i="15" s="1"/>
  <c r="C267" i="15"/>
  <c r="D267" i="15" s="1"/>
  <c r="C250" i="15"/>
  <c r="D250" i="15" s="1"/>
  <c r="E778" i="15"/>
  <c r="C589" i="15"/>
  <c r="D589" i="15" s="1"/>
  <c r="E83" i="15"/>
  <c r="C270" i="15"/>
  <c r="D270" i="15" s="1"/>
  <c r="C496" i="15"/>
  <c r="D496" i="15" s="1"/>
  <c r="C226" i="15"/>
  <c r="D226" i="15" s="1"/>
  <c r="C28" i="15"/>
  <c r="E439" i="15"/>
  <c r="C258" i="15"/>
  <c r="D258" i="15" s="1"/>
  <c r="C76" i="15"/>
  <c r="D76" i="15" s="1"/>
  <c r="E757" i="15"/>
  <c r="C123" i="15"/>
  <c r="D123" i="15" s="1"/>
  <c r="E174" i="15"/>
  <c r="C303" i="15"/>
  <c r="D303" i="15" s="1"/>
  <c r="C149" i="15"/>
  <c r="D149" i="15" s="1"/>
  <c r="E593" i="15"/>
  <c r="E92" i="15"/>
  <c r="C756" i="15"/>
  <c r="D756" i="15" s="1"/>
  <c r="E775" i="15"/>
  <c r="C767" i="15"/>
  <c r="D767" i="15" s="1"/>
  <c r="C545" i="15"/>
  <c r="D545" i="15" s="1"/>
  <c r="C724" i="15"/>
  <c r="D724" i="15" s="1"/>
  <c r="E317" i="15"/>
  <c r="E47" i="15"/>
  <c r="E545" i="15"/>
  <c r="C269" i="15"/>
  <c r="D269" i="15" s="1"/>
  <c r="C47" i="15"/>
  <c r="E73" i="15"/>
  <c r="D7" i="15"/>
  <c r="E231" i="15"/>
  <c r="C577" i="15"/>
  <c r="D577" i="15" s="1"/>
  <c r="E459" i="15"/>
  <c r="C765" i="15"/>
  <c r="D765" i="15" s="1"/>
  <c r="E127" i="15"/>
  <c r="C253" i="15"/>
  <c r="D253" i="15" s="1"/>
  <c r="C544" i="15"/>
  <c r="D544" i="15" s="1"/>
  <c r="E770" i="15"/>
  <c r="C314" i="15"/>
  <c r="D314" i="15" s="1"/>
  <c r="E764" i="15"/>
  <c r="C800" i="15"/>
  <c r="D800" i="15" s="1"/>
  <c r="E590" i="15"/>
  <c r="E153" i="15"/>
  <c r="C716" i="15"/>
  <c r="D716" i="15" s="1"/>
  <c r="E19" i="15"/>
  <c r="E177" i="15"/>
  <c r="E228" i="15"/>
  <c r="C418" i="15"/>
  <c r="D418" i="15" s="1"/>
  <c r="E21" i="15"/>
  <c r="C477" i="15"/>
  <c r="D477" i="15" s="1"/>
  <c r="C157" i="15"/>
  <c r="D157" i="15" s="1"/>
  <c r="C317" i="15"/>
  <c r="D317" i="15" s="1"/>
  <c r="E383" i="15"/>
  <c r="C143" i="15"/>
  <c r="D143" i="15" s="1"/>
  <c r="E25" i="15"/>
  <c r="E713" i="15"/>
  <c r="C445" i="15"/>
  <c r="D445" i="15" s="1"/>
  <c r="E785" i="15"/>
  <c r="E108" i="15"/>
  <c r="E264" i="15"/>
  <c r="C346" i="15"/>
  <c r="D346" i="15" s="1"/>
  <c r="D25" i="15"/>
  <c r="E256" i="15"/>
  <c r="C629" i="15"/>
  <c r="D629" i="15" s="1"/>
  <c r="E611" i="15"/>
  <c r="C502" i="15"/>
  <c r="D502" i="15" s="1"/>
  <c r="E281" i="15"/>
  <c r="E399" i="15"/>
  <c r="C451" i="15"/>
  <c r="D451" i="15" s="1"/>
  <c r="C174" i="15"/>
  <c r="D174" i="15" s="1"/>
  <c r="E691" i="15"/>
  <c r="E122" i="15"/>
  <c r="C531" i="15"/>
  <c r="D531" i="15" s="1"/>
  <c r="E762" i="15"/>
  <c r="E77" i="15"/>
  <c r="C742" i="15"/>
  <c r="D742" i="15" s="1"/>
  <c r="E395" i="15"/>
  <c r="E139" i="15"/>
  <c r="C32" i="15"/>
  <c r="E360" i="15"/>
  <c r="E302" i="15"/>
  <c r="C708" i="15"/>
  <c r="D708" i="15" s="1"/>
  <c r="E136" i="15"/>
  <c r="C693" i="15"/>
  <c r="D693" i="15" s="1"/>
  <c r="E191" i="15"/>
  <c r="E270" i="15"/>
  <c r="E680" i="15"/>
  <c r="C117" i="15"/>
  <c r="D117" i="15" s="1"/>
  <c r="C249" i="15"/>
  <c r="D249" i="15" s="1"/>
  <c r="C74" i="15"/>
  <c r="D74" i="15" s="1"/>
  <c r="E137" i="15"/>
  <c r="E631" i="15"/>
  <c r="C713" i="15"/>
  <c r="D713" i="15" s="1"/>
  <c r="E736" i="15"/>
  <c r="C207" i="15"/>
  <c r="D207" i="15" s="1"/>
  <c r="E463" i="15"/>
  <c r="C80" i="15"/>
  <c r="D80" i="15" s="1"/>
  <c r="E573" i="15"/>
  <c r="E304" i="15"/>
  <c r="E287" i="15"/>
  <c r="E494" i="15"/>
  <c r="E276" i="15"/>
  <c r="C97" i="15"/>
  <c r="D97" i="15" s="1"/>
  <c r="E755" i="15"/>
  <c r="C482" i="15"/>
  <c r="D482" i="15" s="1"/>
  <c r="C646" i="15"/>
  <c r="D646" i="15" s="1"/>
  <c r="C315" i="15"/>
  <c r="D315" i="15" s="1"/>
  <c r="E299" i="15"/>
  <c r="C14" i="15"/>
  <c r="D43" i="15"/>
  <c r="C763" i="15"/>
  <c r="D763" i="15" s="1"/>
  <c r="C24" i="15"/>
  <c r="C335" i="15"/>
  <c r="D335" i="15" s="1"/>
  <c r="E557" i="15"/>
  <c r="C613" i="15"/>
  <c r="D613" i="15" s="1"/>
  <c r="C762" i="15"/>
  <c r="D762" i="15" s="1"/>
  <c r="C712" i="15"/>
  <c r="D712" i="15" s="1"/>
  <c r="E244" i="15"/>
  <c r="C805" i="15"/>
  <c r="D805" i="15" s="1"/>
  <c r="E307" i="15"/>
  <c r="C575" i="15"/>
  <c r="D575" i="15" s="1"/>
  <c r="E120" i="15"/>
  <c r="C413" i="15"/>
  <c r="D413" i="15" s="1"/>
  <c r="E556" i="15"/>
  <c r="C631" i="15"/>
  <c r="D631" i="15" s="1"/>
  <c r="E330" i="15"/>
  <c r="E131" i="15"/>
  <c r="E50" i="15"/>
  <c r="C715" i="15"/>
  <c r="D715" i="15" s="1"/>
  <c r="C137" i="15"/>
  <c r="D137" i="15" s="1"/>
  <c r="C603" i="15"/>
  <c r="D603" i="15" s="1"/>
  <c r="E95" i="15"/>
  <c r="C163" i="15"/>
  <c r="D163" i="15" s="1"/>
  <c r="C419" i="15"/>
  <c r="D419" i="15" s="1"/>
  <c r="E261" i="15"/>
  <c r="E133" i="15"/>
  <c r="E712" i="15"/>
  <c r="C316" i="15"/>
  <c r="D316" i="15" s="1"/>
  <c r="C786" i="15"/>
  <c r="D786" i="15" s="1"/>
  <c r="E756" i="15"/>
  <c r="C806" i="15"/>
  <c r="D806" i="15" s="1"/>
  <c r="C133" i="15"/>
  <c r="D133" i="15" s="1"/>
  <c r="E768" i="15"/>
  <c r="E348" i="15"/>
  <c r="E143" i="15"/>
  <c r="C48" i="15"/>
  <c r="D39" i="15"/>
  <c r="C228" i="15"/>
  <c r="D228" i="15" s="1"/>
  <c r="E654" i="15"/>
  <c r="C165" i="15"/>
  <c r="D165" i="15" s="1"/>
  <c r="C240" i="15"/>
  <c r="D240" i="15" s="1"/>
  <c r="D13" i="15"/>
  <c r="C257" i="15"/>
  <c r="D257" i="15" s="1"/>
  <c r="E641" i="15"/>
  <c r="E23" i="15"/>
  <c r="E239" i="15"/>
  <c r="E75" i="15"/>
  <c r="E585" i="15"/>
  <c r="E806" i="15"/>
  <c r="C55" i="15"/>
  <c r="E386" i="15"/>
  <c r="C64" i="15"/>
  <c r="D64" i="15" s="1"/>
  <c r="E542" i="15"/>
  <c r="E458" i="15"/>
  <c r="C443" i="15"/>
  <c r="D443" i="15" s="1"/>
  <c r="C659" i="15"/>
  <c r="D659" i="15" s="1"/>
  <c r="E132" i="15"/>
  <c r="C493" i="15"/>
  <c r="D493" i="15" s="1"/>
  <c r="C187" i="15"/>
  <c r="D187" i="15" s="1"/>
  <c r="C379" i="15"/>
  <c r="D379" i="15" s="1"/>
  <c r="C776" i="15"/>
  <c r="D776" i="15" s="1"/>
  <c r="C113" i="15"/>
  <c r="D113" i="15" s="1"/>
  <c r="E452" i="15"/>
  <c r="C339" i="15"/>
  <c r="D339" i="15" s="1"/>
  <c r="E39" i="15"/>
  <c r="C100" i="15"/>
  <c r="D100" i="15" s="1"/>
  <c r="E495" i="15"/>
  <c r="C661" i="15"/>
  <c r="D661" i="15" s="1"/>
  <c r="C345" i="15"/>
  <c r="D345" i="15" s="1"/>
  <c r="D48" i="15"/>
  <c r="C139" i="15"/>
  <c r="D139" i="15" s="1"/>
  <c r="E516" i="15"/>
  <c r="D40" i="15"/>
  <c r="C743" i="15"/>
  <c r="D743" i="15" s="1"/>
  <c r="E742" i="15"/>
  <c r="E447" i="15"/>
  <c r="E30" i="15"/>
  <c r="E74" i="15"/>
  <c r="C124" i="15"/>
  <c r="D124" i="15" s="1"/>
  <c r="E734" i="15"/>
  <c r="D15" i="15"/>
  <c r="E604" i="15"/>
  <c r="E428" i="15"/>
  <c r="C528" i="15"/>
  <c r="D528" i="15" s="1"/>
  <c r="C634" i="15"/>
  <c r="D634" i="15" s="1"/>
  <c r="C38" i="15"/>
  <c r="C718" i="15"/>
  <c r="D718" i="15" s="1"/>
  <c r="E810" i="15"/>
  <c r="C154" i="15"/>
  <c r="D154" i="15" s="1"/>
  <c r="E550" i="15"/>
  <c r="E772" i="15"/>
  <c r="C568" i="15"/>
  <c r="D568" i="15" s="1"/>
  <c r="E247" i="15"/>
  <c r="E63" i="15"/>
  <c r="C684" i="15"/>
  <c r="D684" i="15" s="1"/>
  <c r="C430" i="15"/>
  <c r="D430" i="15" s="1"/>
  <c r="C271" i="15"/>
  <c r="D271" i="15" s="1"/>
  <c r="E306" i="15"/>
  <c r="C591" i="15"/>
  <c r="D591" i="15" s="1"/>
  <c r="E344" i="15"/>
  <c r="C508" i="15"/>
  <c r="D508" i="15" s="1"/>
  <c r="C727" i="15"/>
  <c r="D727" i="15" s="1"/>
  <c r="E164" i="15"/>
  <c r="C200" i="15"/>
  <c r="D200" i="15" s="1"/>
  <c r="E218" i="15"/>
  <c r="E531" i="15"/>
  <c r="C29" i="15"/>
  <c r="D14" i="15"/>
  <c r="E176" i="15"/>
  <c r="C75" i="15"/>
  <c r="D75" i="15" s="1"/>
  <c r="E119" i="15"/>
  <c r="E57" i="15"/>
  <c r="E311" i="15"/>
  <c r="E566" i="15"/>
  <c r="C668" i="15"/>
  <c r="D668" i="15" s="1"/>
  <c r="D19" i="15"/>
  <c r="E76" i="15"/>
  <c r="E169" i="15"/>
  <c r="E61" i="15"/>
  <c r="C793" i="15"/>
  <c r="D793" i="15" s="1"/>
  <c r="E359" i="15"/>
  <c r="E706" i="15"/>
  <c r="E560" i="15"/>
  <c r="E438" i="15"/>
  <c r="C627" i="15"/>
  <c r="D627" i="15" s="1"/>
  <c r="C434" i="15"/>
  <c r="D434" i="15" s="1"/>
  <c r="E476" i="15"/>
  <c r="E696" i="15"/>
  <c r="E474" i="15"/>
  <c r="E753" i="15"/>
  <c r="E69" i="15"/>
  <c r="C39" i="15"/>
  <c r="C791" i="15"/>
  <c r="D791" i="15" s="1"/>
  <c r="E635" i="15"/>
  <c r="C655" i="15"/>
  <c r="D655" i="15" s="1"/>
  <c r="E454" i="15"/>
  <c r="C229" i="15"/>
  <c r="D229" i="15" s="1"/>
  <c r="C365" i="15"/>
  <c r="D365" i="15" s="1"/>
  <c r="E414" i="15"/>
  <c r="E99" i="15"/>
  <c r="E549" i="15"/>
  <c r="E437" i="15"/>
  <c r="C526" i="15"/>
  <c r="D526" i="15" s="1"/>
  <c r="C462" i="15"/>
  <c r="D462" i="15" s="1"/>
  <c r="E190" i="15"/>
  <c r="C656" i="15"/>
  <c r="D656" i="15" s="1"/>
  <c r="E645" i="15"/>
  <c r="D21" i="15"/>
  <c r="C111" i="15"/>
  <c r="D111" i="15" s="1"/>
  <c r="C57" i="15"/>
  <c r="D57" i="15"/>
  <c r="E15" i="15"/>
  <c r="E512" i="15"/>
  <c r="C669" i="15"/>
  <c r="D669" i="15" s="1"/>
  <c r="E384" i="15"/>
  <c r="E642" i="15"/>
  <c r="E48" i="15"/>
  <c r="E462" i="15"/>
  <c r="E425" i="15"/>
  <c r="C299" i="15"/>
  <c r="D299" i="15" s="1"/>
  <c r="E788" i="15"/>
  <c r="C504" i="15"/>
  <c r="D504" i="15" s="1"/>
  <c r="E504" i="15"/>
  <c r="C30" i="15"/>
  <c r="C147" i="15"/>
  <c r="D147" i="15" s="1"/>
  <c r="C650" i="15"/>
  <c r="D650" i="15" s="1"/>
  <c r="C428" i="15"/>
  <c r="D428" i="15" s="1"/>
  <c r="E91" i="15"/>
  <c r="C489" i="15"/>
  <c r="D489" i="15" s="1"/>
  <c r="E393" i="15"/>
  <c r="C455" i="15"/>
  <c r="D455" i="15" s="1"/>
  <c r="C309" i="15"/>
  <c r="D309" i="15" s="1"/>
  <c r="E468" i="15"/>
  <c r="C423" i="15"/>
  <c r="D423" i="15" s="1"/>
  <c r="C621" i="15"/>
  <c r="D621" i="15" s="1"/>
  <c r="C437" i="15"/>
  <c r="D437" i="15" s="1"/>
  <c r="E67" i="15"/>
  <c r="C246" i="15"/>
  <c r="D246" i="15" s="1"/>
  <c r="C50" i="15"/>
  <c r="C608" i="15"/>
  <c r="D608" i="15" s="1"/>
  <c r="C666" i="15"/>
  <c r="D666" i="15" s="1"/>
  <c r="E671" i="15"/>
  <c r="C583" i="15"/>
  <c r="D583" i="15" s="1"/>
  <c r="C436" i="15"/>
  <c r="D436" i="15" s="1"/>
  <c r="C703" i="15"/>
  <c r="D703" i="15" s="1"/>
  <c r="C289" i="15"/>
  <c r="D289" i="15" s="1"/>
  <c r="C620" i="15"/>
  <c r="D620" i="15" s="1"/>
  <c r="C403" i="15"/>
  <c r="D403" i="15" s="1"/>
  <c r="E257" i="15"/>
  <c r="E365" i="15"/>
  <c r="C297" i="15"/>
  <c r="D297" i="15" s="1"/>
  <c r="C548" i="15"/>
  <c r="D548" i="15" s="1"/>
  <c r="E188" i="15"/>
  <c r="E685" i="15"/>
  <c r="E406" i="15"/>
  <c r="C292" i="15"/>
  <c r="D292" i="15" s="1"/>
  <c r="E745" i="15"/>
  <c r="D50" i="15"/>
  <c r="C494" i="15"/>
  <c r="D494" i="15" s="1"/>
  <c r="C454" i="15"/>
  <c r="D454" i="15" s="1"/>
  <c r="C652" i="15"/>
  <c r="D652" i="15" s="1"/>
  <c r="C660" i="15"/>
  <c r="D660" i="15" s="1"/>
  <c r="C233" i="15"/>
  <c r="D233" i="15" s="1"/>
  <c r="C25" i="15"/>
  <c r="E59" i="15"/>
  <c r="C108" i="15"/>
  <c r="D108" i="15" s="1"/>
  <c r="C809" i="15"/>
  <c r="D809" i="15" s="1"/>
  <c r="C374" i="15"/>
  <c r="D374" i="15" s="1"/>
  <c r="C264" i="15"/>
  <c r="D264" i="15" s="1"/>
  <c r="C714" i="15"/>
  <c r="D714" i="15" s="1"/>
  <c r="C518" i="15"/>
  <c r="D518" i="15" s="1"/>
  <c r="C41" i="15"/>
  <c r="E711" i="15"/>
  <c r="E797" i="15"/>
  <c r="C387" i="15"/>
  <c r="D387" i="15" s="1"/>
  <c r="C654" i="15"/>
  <c r="D654" i="15" s="1"/>
  <c r="C466" i="15"/>
  <c r="D466" i="15" s="1"/>
  <c r="E98" i="15"/>
  <c r="E612" i="15"/>
  <c r="E608" i="15"/>
  <c r="C787" i="15"/>
  <c r="D787" i="15" s="1"/>
  <c r="E213" i="15"/>
  <c r="E258" i="15"/>
  <c r="C622" i="15"/>
  <c r="D622" i="15" s="1"/>
  <c r="C746" i="15"/>
  <c r="D746" i="15" s="1"/>
  <c r="E220" i="15"/>
  <c r="E305" i="15"/>
  <c r="C757" i="15"/>
  <c r="D757" i="15" s="1"/>
  <c r="C369" i="15"/>
  <c r="D369" i="15" s="1"/>
  <c r="C501" i="15"/>
  <c r="D501" i="15" s="1"/>
  <c r="C478" i="15"/>
  <c r="D478" i="15" s="1"/>
  <c r="C120" i="15"/>
  <c r="D120" i="15" s="1"/>
  <c r="C649" i="15"/>
  <c r="D649" i="15" s="1"/>
  <c r="E146" i="15"/>
  <c r="C412" i="15"/>
  <c r="D412" i="15" s="1"/>
  <c r="C819" i="15"/>
  <c r="D819" i="15" s="1"/>
  <c r="C394" i="15"/>
  <c r="D394" i="15" s="1"/>
  <c r="E415" i="15"/>
  <c r="C651" i="15"/>
  <c r="D651" i="15" s="1"/>
  <c r="E448" i="15"/>
  <c r="C232" i="15"/>
  <c r="D232" i="15" s="1"/>
  <c r="E625" i="15"/>
  <c r="C88" i="15"/>
  <c r="D88" i="15" s="1"/>
  <c r="C533" i="15"/>
  <c r="D533" i="15" s="1"/>
  <c r="E80" i="15"/>
  <c r="E700" i="15"/>
  <c r="E253" i="15"/>
  <c r="E587" i="15"/>
  <c r="C792" i="15"/>
  <c r="D792" i="15" s="1"/>
  <c r="C615" i="15"/>
  <c r="D615" i="15" s="1"/>
  <c r="C602" i="15"/>
  <c r="D602" i="15" s="1"/>
  <c r="C543" i="15"/>
  <c r="D543" i="15" s="1"/>
  <c r="C354" i="15"/>
  <c r="D354" i="15" s="1"/>
  <c r="C801" i="15"/>
  <c r="D801" i="15" s="1"/>
  <c r="C225" i="15"/>
  <c r="D225" i="15" s="1"/>
  <c r="C43" i="15"/>
  <c r="E242" i="15"/>
  <c r="E31" i="15"/>
  <c r="C213" i="15"/>
  <c r="D213" i="15" s="1"/>
  <c r="C611" i="15"/>
  <c r="D611" i="15" s="1"/>
  <c r="E444" i="15"/>
  <c r="C810" i="15"/>
  <c r="D810" i="15" s="1"/>
  <c r="E161" i="15"/>
  <c r="E466" i="15"/>
  <c r="E723" i="15"/>
  <c r="C26" i="15"/>
  <c r="E245" i="15"/>
  <c r="E271" i="15"/>
  <c r="C348" i="15"/>
  <c r="D348" i="15" s="1"/>
  <c r="C193" i="15"/>
  <c r="D193" i="15" s="1"/>
  <c r="E607" i="15"/>
  <c r="E514" i="15"/>
  <c r="E536" i="15"/>
  <c r="E288" i="15"/>
  <c r="C744" i="15"/>
  <c r="D744" i="15" s="1"/>
  <c r="E252" i="15"/>
  <c r="E493" i="15"/>
  <c r="E65" i="15"/>
  <c r="C131" i="15"/>
  <c r="D131" i="15" s="1"/>
  <c r="C686" i="15"/>
  <c r="D686" i="15" s="1"/>
  <c r="D23" i="15"/>
  <c r="C685" i="15"/>
  <c r="D685" i="15" s="1"/>
  <c r="E369" i="15"/>
  <c r="E111" i="15"/>
  <c r="C769" i="15"/>
  <c r="D769" i="15" s="1"/>
  <c r="C65" i="15"/>
  <c r="D65" i="15" s="1"/>
  <c r="C506" i="15"/>
  <c r="D506" i="15" s="1"/>
  <c r="C56" i="15"/>
  <c r="E726" i="15"/>
  <c r="E204" i="15"/>
  <c r="C254" i="15"/>
  <c r="D254" i="15" s="1"/>
  <c r="E673" i="15"/>
  <c r="E334" i="15"/>
  <c r="C330" i="15"/>
  <c r="D330" i="15" s="1"/>
  <c r="C719" i="15"/>
  <c r="D719" i="15" s="1"/>
  <c r="E28" i="15"/>
  <c r="C562" i="15"/>
  <c r="D562" i="15" s="1"/>
  <c r="E694" i="15"/>
  <c r="C682" i="15"/>
  <c r="D682" i="15" s="1"/>
  <c r="E752" i="15"/>
  <c r="C665" i="15"/>
  <c r="D665" i="15" s="1"/>
  <c r="C336" i="15"/>
  <c r="D336" i="15" s="1"/>
  <c r="E538" i="15"/>
  <c r="E273" i="15"/>
  <c r="E435" i="15"/>
  <c r="C71" i="15"/>
  <c r="D71" i="15" s="1"/>
  <c r="E759" i="15"/>
  <c r="C332" i="15"/>
  <c r="D332" i="15" s="1"/>
  <c r="C694" i="15"/>
  <c r="D694" i="15" s="1"/>
  <c r="C274" i="15"/>
  <c r="D274" i="15" s="1"/>
  <c r="E42" i="15"/>
  <c r="C438" i="15"/>
  <c r="D438" i="15" s="1"/>
  <c r="E533" i="15"/>
  <c r="E123" i="15"/>
  <c r="E341" i="15"/>
  <c r="E387" i="15"/>
  <c r="C62" i="15"/>
  <c r="D62" i="15" s="1"/>
  <c r="C695" i="15"/>
  <c r="D695" i="15" s="1"/>
  <c r="E578" i="15"/>
  <c r="C579" i="15"/>
  <c r="D579" i="15" s="1"/>
  <c r="C358" i="15"/>
  <c r="D358" i="15" s="1"/>
  <c r="C578" i="15"/>
  <c r="D578" i="15" s="1"/>
  <c r="C782" i="15"/>
  <c r="D782" i="15" s="1"/>
  <c r="C811" i="15"/>
  <c r="D811" i="15" s="1"/>
  <c r="E823" i="15"/>
  <c r="E456" i="15"/>
  <c r="C582" i="15"/>
  <c r="D582" i="15" s="1"/>
  <c r="C12" i="15"/>
  <c r="E110" i="15"/>
  <c r="E263" i="15"/>
  <c r="C344" i="15"/>
  <c r="D344" i="15" s="1"/>
  <c r="C784" i="15"/>
  <c r="D784" i="15" s="1"/>
  <c r="E499" i="15"/>
  <c r="C472" i="15"/>
  <c r="D472" i="15" s="1"/>
  <c r="E85" i="15"/>
  <c r="E338" i="15"/>
  <c r="E44" i="15"/>
  <c r="E148" i="15"/>
  <c r="C21" i="15"/>
  <c r="E103" i="15"/>
  <c r="E581" i="15"/>
  <c r="C199" i="15"/>
  <c r="D199" i="15" s="1"/>
  <c r="E282" i="15"/>
  <c r="C181" i="15"/>
  <c r="D181" i="15" s="1"/>
  <c r="E209" i="15"/>
  <c r="C116" i="15"/>
  <c r="D116" i="15" s="1"/>
  <c r="E702" i="15"/>
  <c r="E237" i="15"/>
  <c r="C672" i="15"/>
  <c r="D672" i="15" s="1"/>
  <c r="C324" i="15"/>
  <c r="D324" i="15" s="1"/>
  <c r="E540" i="15"/>
  <c r="C522" i="15"/>
  <c r="D522" i="15" s="1"/>
  <c r="E325" i="15"/>
  <c r="E710" i="15"/>
  <c r="C176" i="15"/>
  <c r="D176" i="15" s="1"/>
  <c r="C555" i="15"/>
  <c r="D555" i="15" s="1"/>
  <c r="C507" i="15"/>
  <c r="D507" i="15" s="1"/>
  <c r="E451" i="15"/>
  <c r="E329" i="15"/>
  <c r="C16" i="15"/>
  <c r="E784" i="15"/>
  <c r="C700" i="15"/>
  <c r="D700" i="15" s="1"/>
  <c r="C357" i="15"/>
  <c r="D357" i="15" s="1"/>
  <c r="C286" i="15"/>
  <c r="D286" i="15" s="1"/>
  <c r="C342" i="15"/>
  <c r="D342" i="15" s="1"/>
  <c r="C227" i="15"/>
  <c r="D227" i="15" s="1"/>
  <c r="C761" i="15"/>
  <c r="D761" i="15" s="1"/>
  <c r="E519" i="15"/>
  <c r="C732" i="15"/>
  <c r="D732" i="15" s="1"/>
  <c r="E528" i="15"/>
  <c r="E41" i="15"/>
  <c r="E740" i="15"/>
  <c r="C295" i="15"/>
  <c r="D295" i="15" s="1"/>
  <c r="E791" i="15"/>
  <c r="E413" i="15"/>
  <c r="E568" i="15"/>
  <c r="E152" i="15"/>
  <c r="C480" i="15"/>
  <c r="D480" i="15" s="1"/>
  <c r="C630" i="15"/>
  <c r="D630" i="15" s="1"/>
  <c r="E630" i="15"/>
  <c r="E81" i="15"/>
  <c r="E321" i="15"/>
  <c r="E580" i="15"/>
  <c r="C371" i="15"/>
  <c r="D371" i="15" s="1"/>
  <c r="C230" i="15"/>
  <c r="D230" i="15" s="1"/>
  <c r="C72" i="15"/>
  <c r="D72" i="15" s="1"/>
  <c r="C173" i="15"/>
  <c r="D173" i="15" s="1"/>
  <c r="E522" i="15"/>
  <c r="E422" i="15"/>
  <c r="E626" i="15"/>
  <c r="C431" i="15"/>
  <c r="D431" i="15" s="1"/>
  <c r="E279" i="15"/>
  <c r="E280" i="15"/>
  <c r="E597" i="15"/>
  <c r="D34" i="15"/>
  <c r="E537" i="15"/>
  <c r="E16" i="15"/>
  <c r="E53" i="15"/>
  <c r="C440" i="15"/>
  <c r="D440" i="15" s="1"/>
  <c r="C273" i="15"/>
  <c r="D273" i="15" s="1"/>
  <c r="E22" i="15"/>
  <c r="C87" i="15"/>
  <c r="D87" i="15" s="1"/>
  <c r="C772" i="15"/>
  <c r="D772" i="15" s="1"/>
  <c r="E481" i="15"/>
  <c r="C313" i="15"/>
  <c r="D313" i="15" s="1"/>
  <c r="C203" i="15"/>
  <c r="D203" i="15" s="1"/>
  <c r="E313" i="15"/>
  <c r="E572" i="15"/>
  <c r="C231" i="15"/>
  <c r="D231" i="15" s="1"/>
  <c r="E442" i="15"/>
  <c r="E698" i="15"/>
  <c r="E737" i="15"/>
  <c r="E657" i="15"/>
  <c r="C783" i="15"/>
  <c r="D783" i="15" s="1"/>
  <c r="C132" i="15"/>
  <c r="D132" i="15" s="1"/>
  <c r="E409" i="15"/>
  <c r="E678" i="15"/>
  <c r="E312" i="15"/>
  <c r="C118" i="15"/>
  <c r="D118" i="15" s="1"/>
  <c r="C63" i="15"/>
  <c r="D63" i="15" s="1"/>
  <c r="E763" i="15"/>
  <c r="E400" i="15"/>
  <c r="C687" i="15"/>
  <c r="D687" i="15" s="1"/>
  <c r="E783" i="15"/>
  <c r="E235" i="15"/>
  <c r="E741" i="15"/>
  <c r="C681" i="15"/>
  <c r="D681" i="15" s="1"/>
  <c r="C750" i="15"/>
  <c r="D750" i="15" s="1"/>
  <c r="E524" i="15"/>
  <c r="E681" i="15"/>
  <c r="E800" i="15"/>
  <c r="E703" i="15"/>
  <c r="D16" i="15"/>
  <c r="E623" i="15"/>
  <c r="C244" i="15"/>
  <c r="D244" i="15" s="1"/>
  <c r="E684" i="15"/>
  <c r="E269" i="15"/>
  <c r="C222" i="15"/>
  <c r="D222" i="15" s="1"/>
  <c r="C814" i="15"/>
  <c r="D814" i="15" s="1"/>
  <c r="E825" i="15"/>
  <c r="C495" i="15"/>
  <c r="D495" i="15" s="1"/>
  <c r="C382" i="15"/>
  <c r="D382" i="15" s="1"/>
  <c r="C753" i="15"/>
  <c r="D753" i="15" s="1"/>
  <c r="C592" i="15"/>
  <c r="D592" i="15" s="1"/>
  <c r="C400" i="15"/>
  <c r="D400" i="15" s="1"/>
  <c r="E594" i="15"/>
  <c r="E320" i="15"/>
  <c r="E502" i="15"/>
  <c r="E24" i="15"/>
  <c r="E308" i="15"/>
  <c r="E284" i="15"/>
  <c r="C517" i="15"/>
  <c r="D517" i="15" s="1"/>
  <c r="E33" i="15"/>
  <c r="E54" i="15"/>
  <c r="E346" i="15"/>
  <c r="C558" i="15"/>
  <c r="D558" i="15" s="1"/>
  <c r="C224" i="15"/>
  <c r="D224" i="15" s="1"/>
  <c r="C393" i="15"/>
  <c r="D393" i="15" s="1"/>
  <c r="E579" i="15"/>
  <c r="D45" i="15"/>
  <c r="E368" i="15"/>
  <c r="E405" i="15"/>
  <c r="C520" i="15"/>
  <c r="D520" i="15" s="1"/>
  <c r="C447" i="15"/>
  <c r="D447" i="15" s="1"/>
  <c r="C780" i="15"/>
  <c r="D780" i="15" s="1"/>
  <c r="E212" i="15"/>
  <c r="E275" i="15"/>
  <c r="C410" i="15"/>
  <c r="D410" i="15" s="1"/>
  <c r="E583" i="15"/>
  <c r="E794" i="15"/>
  <c r="C711" i="15"/>
  <c r="D711" i="15" s="1"/>
  <c r="E690" i="15"/>
  <c r="E128" i="15"/>
  <c r="C51" i="15"/>
  <c r="E295" i="15"/>
  <c r="D42" i="15"/>
  <c r="D54" i="15"/>
  <c r="C465" i="15"/>
  <c r="D465" i="15" s="1"/>
  <c r="C141" i="15"/>
  <c r="D141" i="15" s="1"/>
  <c r="E232" i="15"/>
  <c r="C705" i="15"/>
  <c r="D705" i="15" s="1"/>
  <c r="C259" i="15"/>
  <c r="D259" i="15" s="1"/>
  <c r="E761" i="15"/>
  <c r="C457" i="15"/>
  <c r="D457" i="15" s="1"/>
  <c r="E144" i="15"/>
  <c r="E86" i="15"/>
  <c r="E195" i="15"/>
  <c r="E669" i="15"/>
  <c r="E210" i="15"/>
  <c r="E222" i="15"/>
  <c r="C626" i="15"/>
  <c r="D626" i="15" s="1"/>
  <c r="C429" i="15"/>
  <c r="D429" i="15" s="1"/>
  <c r="C807" i="15"/>
  <c r="D807" i="15" s="1"/>
  <c r="C521" i="15"/>
  <c r="D521" i="15" s="1"/>
  <c r="C530" i="15"/>
  <c r="D530" i="15" s="1"/>
  <c r="C673" i="15"/>
  <c r="D673" i="15" s="1"/>
  <c r="E138" i="15"/>
  <c r="E197" i="15"/>
  <c r="C351" i="15"/>
  <c r="D351" i="15" s="1"/>
  <c r="E294" i="15"/>
  <c r="E602" i="15"/>
  <c r="C524" i="15"/>
  <c r="D524" i="15" s="1"/>
  <c r="C306" i="15"/>
  <c r="D306" i="15" s="1"/>
  <c r="E166" i="15"/>
  <c r="E505" i="15"/>
  <c r="C485" i="15"/>
  <c r="D485" i="15" s="1"/>
  <c r="E342" i="15"/>
  <c r="C98" i="15"/>
  <c r="D98" i="15" s="1"/>
  <c r="C456" i="15"/>
  <c r="D456" i="15" s="1"/>
  <c r="C99" i="15"/>
  <c r="D99" i="15" s="1"/>
  <c r="D49" i="15"/>
  <c r="E259" i="15"/>
  <c r="C573" i="15"/>
  <c r="D573" i="15" s="1"/>
  <c r="E56" i="15"/>
  <c r="E72" i="15"/>
  <c r="C519" i="15"/>
  <c r="D519" i="15" s="1"/>
  <c r="C706" i="15"/>
  <c r="D706" i="15" s="1"/>
  <c r="C619" i="15"/>
  <c r="D619" i="15" s="1"/>
  <c r="C433" i="15"/>
  <c r="D433" i="15" s="1"/>
  <c r="C794" i="15"/>
  <c r="D794" i="15" s="1"/>
  <c r="D32" i="15"/>
  <c r="C728" i="15"/>
  <c r="D728" i="15" s="1"/>
  <c r="C78" i="15"/>
  <c r="D78" i="15" s="1"/>
  <c r="E601" i="15"/>
  <c r="E62" i="15"/>
  <c r="E97" i="15"/>
  <c r="C671" i="15"/>
  <c r="D671" i="15" s="1"/>
  <c r="C109" i="15"/>
  <c r="D109" i="15" s="1"/>
  <c r="E251" i="15"/>
  <c r="E595" i="15"/>
  <c r="E695" i="15"/>
  <c r="E672" i="15"/>
  <c r="C220" i="15"/>
  <c r="D220" i="15" s="1"/>
  <c r="E431" i="15"/>
  <c r="C221" i="15"/>
  <c r="D221" i="15" s="1"/>
  <c r="E248" i="15"/>
  <c r="E483" i="15"/>
  <c r="E584" i="15"/>
  <c r="E699" i="15"/>
  <c r="C294" i="15"/>
  <c r="D294" i="15" s="1"/>
  <c r="E792" i="15"/>
  <c r="E659" i="15"/>
  <c r="E708" i="15"/>
  <c r="E418" i="15"/>
  <c r="D56" i="15"/>
  <c r="C729" i="15"/>
  <c r="D729" i="15" s="1"/>
  <c r="C674" i="15"/>
  <c r="D674" i="15" s="1"/>
  <c r="E156" i="15"/>
  <c r="E5" i="15"/>
  <c r="E17" i="15"/>
  <c r="E243" i="15"/>
  <c r="E773" i="15"/>
  <c r="E51" i="15"/>
  <c r="C802" i="15"/>
  <c r="D802" i="15" s="1"/>
  <c r="E781" i="15"/>
  <c r="C44" i="15"/>
  <c r="E324" i="15"/>
  <c r="E427" i="15"/>
  <c r="C730" i="15"/>
  <c r="D730" i="15" s="1"/>
  <c r="D53" i="15"/>
  <c r="E32" i="15"/>
  <c r="E715" i="15"/>
  <c r="E480" i="15"/>
  <c r="E683" i="15"/>
  <c r="C347" i="15"/>
  <c r="D347" i="15" s="1"/>
  <c r="E467" i="15"/>
  <c r="C349" i="15"/>
  <c r="D349" i="15" s="1"/>
  <c r="E249" i="15"/>
  <c r="C698" i="15"/>
  <c r="D698" i="15" s="1"/>
  <c r="C696" i="15"/>
  <c r="D696" i="15" s="1"/>
  <c r="C484" i="15"/>
  <c r="D484" i="15" s="1"/>
  <c r="C658" i="15"/>
  <c r="D658" i="15" s="1"/>
  <c r="C653" i="15"/>
  <c r="D653" i="15" s="1"/>
  <c r="E353" i="15"/>
  <c r="C500" i="15"/>
  <c r="D500" i="15" s="1"/>
  <c r="E107" i="15"/>
  <c r="E668" i="15"/>
  <c r="C79" i="15"/>
  <c r="D79" i="15" s="1"/>
  <c r="E429" i="15"/>
  <c r="C370" i="15"/>
  <c r="D370" i="15" s="1"/>
  <c r="E820" i="15"/>
  <c r="C6" i="15"/>
  <c r="E336" i="15"/>
  <c r="E666" i="15"/>
  <c r="C272" i="15"/>
  <c r="D272" i="15" s="1"/>
  <c r="E198" i="15"/>
  <c r="C66" i="15"/>
  <c r="D66" i="15" s="1"/>
  <c r="C723" i="15"/>
  <c r="D723" i="15" s="1"/>
  <c r="E677" i="15"/>
  <c r="E20" i="15"/>
  <c r="C198" i="15"/>
  <c r="D198" i="15" s="1"/>
  <c r="C704" i="15"/>
  <c r="D704" i="15" s="1"/>
  <c r="C581" i="15"/>
  <c r="D581" i="15" s="1"/>
  <c r="C751" i="15"/>
  <c r="D751" i="15" s="1"/>
  <c r="E175" i="15"/>
  <c r="C13" i="15"/>
  <c r="D51" i="15"/>
  <c r="E555" i="15"/>
  <c r="C360" i="15"/>
  <c r="D360" i="15" s="1"/>
  <c r="C415" i="15"/>
  <c r="D415" i="15" s="1"/>
  <c r="C23" i="15"/>
  <c r="E492" i="15"/>
  <c r="C797" i="15"/>
  <c r="D797" i="15" s="1"/>
  <c r="C103" i="15"/>
  <c r="D103" i="15" s="1"/>
  <c r="D22" i="15"/>
  <c r="C308" i="15"/>
  <c r="D308" i="15" s="1"/>
  <c r="C20" i="15"/>
  <c r="C468" i="15"/>
  <c r="D468" i="15" s="1"/>
  <c r="E361" i="15"/>
  <c r="C812" i="15"/>
  <c r="D812" i="15" s="1"/>
  <c r="E465" i="15"/>
  <c r="E686" i="15"/>
  <c r="C688" i="15"/>
  <c r="D688" i="15" s="1"/>
  <c r="C641" i="15"/>
  <c r="D641" i="15" s="1"/>
  <c r="E652" i="15"/>
  <c r="E373" i="15"/>
  <c r="E596" i="15"/>
  <c r="E633" i="15"/>
  <c r="E402" i="15"/>
  <c r="E475" i="15"/>
  <c r="E802" i="15"/>
  <c r="E350" i="15"/>
  <c r="E380" i="15"/>
  <c r="C739" i="15"/>
  <c r="D739" i="15" s="1"/>
  <c r="C355" i="15"/>
  <c r="D355" i="15" s="1"/>
  <c r="E201" i="15"/>
  <c r="C565" i="15"/>
  <c r="D565" i="15" s="1"/>
  <c r="C516" i="15"/>
  <c r="D516" i="15" s="1"/>
  <c r="E168" i="15"/>
  <c r="E588" i="15"/>
  <c r="C586" i="15"/>
  <c r="D586" i="15" s="1"/>
  <c r="C114" i="15"/>
  <c r="D114" i="15" s="1"/>
  <c r="C5" i="15"/>
  <c r="C690" i="15"/>
  <c r="D690" i="15" s="1"/>
  <c r="C597" i="15"/>
  <c r="D597" i="15" s="1"/>
  <c r="C361" i="15"/>
  <c r="D361" i="15" s="1"/>
  <c r="E567" i="15"/>
  <c r="E729" i="15"/>
  <c r="C483" i="15"/>
  <c r="D483" i="15" s="1"/>
  <c r="E730" i="15"/>
  <c r="E236" i="15"/>
  <c r="C177" i="15"/>
  <c r="D177" i="15" s="1"/>
  <c r="C52" i="15"/>
  <c r="C635" i="15"/>
  <c r="D635" i="15" s="1"/>
  <c r="C284" i="15"/>
  <c r="D284" i="15" s="1"/>
  <c r="C45" i="15"/>
  <c r="C388" i="15"/>
  <c r="D388" i="15" s="1"/>
  <c r="C539" i="15"/>
  <c r="D539" i="15" s="1"/>
  <c r="C373" i="15"/>
  <c r="D373" i="15" s="1"/>
  <c r="E720" i="15"/>
  <c r="C610" i="15"/>
  <c r="D610" i="15" s="1"/>
  <c r="E203" i="15"/>
  <c r="C290" i="15"/>
  <c r="D290" i="15" s="1"/>
  <c r="C144" i="15"/>
  <c r="D144" i="15" s="1"/>
  <c r="C107" i="15"/>
  <c r="D107" i="15" s="1"/>
  <c r="E145" i="15"/>
  <c r="E372" i="15"/>
  <c r="C675" i="15"/>
  <c r="D675" i="15" s="1"/>
  <c r="C657" i="15"/>
  <c r="D657" i="15" s="1"/>
  <c r="C788" i="15"/>
  <c r="D788" i="15" s="1"/>
  <c r="C584" i="15"/>
  <c r="D584" i="15" s="1"/>
  <c r="C773" i="15"/>
  <c r="D773" i="15" s="1"/>
  <c r="D29" i="15"/>
  <c r="C381" i="15"/>
  <c r="D381" i="15" s="1"/>
  <c r="C395" i="15"/>
  <c r="D395" i="15" s="1"/>
  <c r="E651" i="15"/>
  <c r="E12" i="15"/>
  <c r="C567" i="15"/>
  <c r="D567" i="15" s="1"/>
  <c r="E29" i="15"/>
  <c r="D41" i="15"/>
  <c r="C396" i="15"/>
  <c r="D396" i="15" s="1"/>
  <c r="E705" i="15"/>
  <c r="C547" i="15"/>
  <c r="D547" i="15" s="1"/>
  <c r="D12" i="15"/>
  <c r="E449" i="15"/>
  <c r="E140" i="15"/>
  <c r="E733" i="15"/>
  <c r="E646" i="15"/>
  <c r="E296" i="15"/>
  <c r="E84" i="15"/>
  <c r="E793" i="15"/>
  <c r="E224" i="15"/>
  <c r="E398" i="15"/>
  <c r="E300" i="15"/>
  <c r="E471" i="15"/>
  <c r="E183" i="15"/>
  <c r="C204" i="15"/>
  <c r="D204" i="15" s="1"/>
  <c r="E394" i="15"/>
  <c r="C326" i="15"/>
  <c r="D326" i="15" s="1"/>
  <c r="C605" i="15"/>
  <c r="D605" i="15" s="1"/>
  <c r="C411" i="15"/>
  <c r="D411" i="15" s="1"/>
  <c r="E196" i="15"/>
  <c r="C296" i="15"/>
  <c r="D296" i="15" s="1"/>
  <c r="E811" i="15"/>
  <c r="C699" i="15"/>
  <c r="D699" i="15" s="1"/>
  <c r="E808" i="15"/>
  <c r="C781" i="15"/>
  <c r="D781" i="15" s="1"/>
  <c r="C633" i="15"/>
  <c r="D633" i="15" s="1"/>
  <c r="C223" i="15"/>
  <c r="D223" i="15" s="1"/>
  <c r="E125" i="15"/>
  <c r="E479" i="15"/>
  <c r="C556" i="15"/>
  <c r="D556" i="15" s="1"/>
  <c r="C86" i="15"/>
  <c r="D86" i="15" s="1"/>
  <c r="E158" i="15"/>
  <c r="E552" i="15"/>
  <c r="C175" i="15"/>
  <c r="D175" i="15" s="1"/>
  <c r="C280" i="15"/>
  <c r="D280" i="15" s="1"/>
  <c r="D17" i="15"/>
  <c r="E610" i="15"/>
  <c r="E115" i="15"/>
  <c r="E407" i="15"/>
  <c r="D24" i="15"/>
  <c r="C140" i="15"/>
  <c r="D140" i="15" s="1"/>
  <c r="E796" i="15"/>
  <c r="C252" i="15"/>
  <c r="D252" i="15" s="1"/>
  <c r="E529" i="15"/>
  <c r="C446" i="15"/>
  <c r="D446" i="15" s="1"/>
  <c r="C325" i="15"/>
  <c r="D325" i="15" s="1"/>
  <c r="C42" i="15"/>
  <c r="C741" i="15"/>
  <c r="D741" i="15" s="1"/>
  <c r="E477" i="15"/>
  <c r="E728" i="15"/>
  <c r="E109" i="15"/>
  <c r="C115" i="15"/>
  <c r="D115" i="15" s="1"/>
  <c r="C600" i="15"/>
  <c r="D600" i="15" s="1"/>
  <c r="C186" i="15"/>
  <c r="D186" i="15" s="1"/>
  <c r="E200" i="15"/>
  <c r="E185" i="15"/>
  <c r="E749" i="15"/>
  <c r="E441" i="15"/>
  <c r="E487" i="15"/>
  <c r="E255" i="15"/>
  <c r="E391" i="15"/>
  <c r="E746" i="15"/>
  <c r="C514" i="15"/>
  <c r="D514" i="15" s="1"/>
  <c r="C301" i="15"/>
  <c r="D301" i="15" s="1"/>
  <c r="E349" i="15"/>
  <c r="C236" i="15"/>
  <c r="D236" i="15" s="1"/>
  <c r="C427" i="15"/>
  <c r="D427" i="15" s="1"/>
  <c r="C648" i="15"/>
  <c r="D648" i="15" s="1"/>
  <c r="E503" i="15"/>
  <c r="C637" i="15"/>
  <c r="D637" i="15" s="1"/>
  <c r="C333" i="15"/>
  <c r="D333" i="15" s="1"/>
  <c r="E207" i="15"/>
  <c r="E500" i="15"/>
  <c r="C238" i="15"/>
  <c r="D238" i="15" s="1"/>
  <c r="C527" i="15"/>
  <c r="D527" i="15" s="1"/>
  <c r="C102" i="15"/>
  <c r="D102" i="15" s="1"/>
  <c r="C283" i="15"/>
  <c r="D283" i="15" s="1"/>
  <c r="C216" i="15"/>
  <c r="D216" i="15" s="1"/>
  <c r="E303" i="15"/>
  <c r="C476" i="15"/>
  <c r="D476" i="15" s="1"/>
  <c r="C640" i="15"/>
  <c r="D640" i="15" s="1"/>
  <c r="C735" i="15"/>
  <c r="D735" i="15" s="1"/>
  <c r="E192" i="15"/>
  <c r="C89" i="15"/>
  <c r="D89" i="15" s="1"/>
  <c r="C771" i="15"/>
  <c r="D771" i="15" s="1"/>
  <c r="C513" i="15"/>
  <c r="D513" i="15" s="1"/>
  <c r="C726" i="15"/>
  <c r="D726" i="15" s="1"/>
  <c r="C595" i="15"/>
  <c r="D595" i="15" s="1"/>
  <c r="E327" i="15"/>
  <c r="C574" i="15"/>
  <c r="D574" i="15" s="1"/>
  <c r="E525" i="15"/>
  <c r="C552" i="15"/>
  <c r="D552" i="15" s="1"/>
  <c r="C4" i="15"/>
  <c r="E517" i="15"/>
  <c r="C337" i="15"/>
  <c r="D337" i="15" s="1"/>
  <c r="E181" i="15"/>
  <c r="E379" i="15"/>
  <c r="C239" i="15"/>
  <c r="D239" i="15" s="1"/>
  <c r="C34" i="15"/>
  <c r="E660" i="15"/>
  <c r="C101" i="15"/>
  <c r="D101" i="15" s="1"/>
  <c r="E738" i="15"/>
  <c r="C598" i="15"/>
  <c r="D598" i="15" s="1"/>
  <c r="C636" i="15"/>
  <c r="D636" i="15" s="1"/>
  <c r="E582" i="15"/>
  <c r="E743" i="15"/>
  <c r="E614" i="15"/>
  <c r="C560" i="15"/>
  <c r="D560" i="15" s="1"/>
  <c r="C752" i="15"/>
  <c r="D752" i="15" s="1"/>
  <c r="C397" i="15"/>
  <c r="D397" i="15" s="1"/>
  <c r="C362" i="15"/>
  <c r="D362" i="15" s="1"/>
  <c r="E647" i="15"/>
  <c r="C464" i="15"/>
  <c r="D464" i="15" s="1"/>
  <c r="C450" i="15"/>
  <c r="D450" i="15" s="1"/>
  <c r="E546" i="15"/>
  <c r="E165" i="15"/>
  <c r="C169" i="15"/>
  <c r="D169" i="15" s="1"/>
  <c r="C733" i="15"/>
  <c r="D733" i="15" s="1"/>
  <c r="C601" i="15"/>
  <c r="D601" i="15" s="1"/>
  <c r="C368" i="15"/>
  <c r="D368" i="15" s="1"/>
  <c r="E34" i="15"/>
  <c r="C168" i="15"/>
  <c r="D168" i="15" s="1"/>
  <c r="E577" i="15"/>
  <c r="E100" i="15"/>
  <c r="E513" i="15"/>
  <c r="E750" i="15"/>
  <c r="C738" i="15"/>
  <c r="D738" i="15" s="1"/>
  <c r="C422" i="15"/>
  <c r="D422" i="15" s="1"/>
  <c r="D30" i="15"/>
  <c r="E586" i="15"/>
  <c r="C235" i="15"/>
  <c r="D235" i="15" s="1"/>
  <c r="C799" i="15"/>
  <c r="D799" i="15" s="1"/>
  <c r="C488" i="15"/>
  <c r="D488" i="15" s="1"/>
  <c r="D33" i="15"/>
  <c r="E558" i="15"/>
  <c r="C492" i="15"/>
  <c r="D492" i="15" s="1"/>
  <c r="E809" i="15"/>
  <c r="C614" i="15"/>
  <c r="D614" i="15" s="1"/>
  <c r="C153" i="15"/>
  <c r="D153" i="15" s="1"/>
  <c r="E637" i="15"/>
  <c r="E779" i="15"/>
  <c r="C119" i="15"/>
  <c r="D119" i="15" s="1"/>
  <c r="E613" i="15"/>
  <c r="E46" i="15"/>
  <c r="E180" i="15"/>
  <c r="C734" i="15"/>
  <c r="D734" i="15" s="1"/>
  <c r="C338" i="15"/>
  <c r="D338" i="15" s="1"/>
  <c r="E434" i="15"/>
  <c r="E600" i="15"/>
  <c r="C570" i="15"/>
  <c r="D570" i="15" s="1"/>
  <c r="C189" i="15"/>
  <c r="D189" i="15" s="1"/>
  <c r="E649" i="15"/>
  <c r="C366" i="15"/>
  <c r="D366" i="15" s="1"/>
  <c r="C380" i="15"/>
  <c r="D380" i="15" s="1"/>
  <c r="E544" i="15"/>
  <c r="D46" i="15"/>
  <c r="E551" i="15"/>
  <c r="E401" i="15"/>
  <c r="E366" i="15"/>
  <c r="C487" i="15"/>
  <c r="D487" i="15" s="1"/>
  <c r="E798" i="15"/>
  <c r="E446" i="15"/>
  <c r="E392" i="15"/>
  <c r="D37" i="15"/>
  <c r="C532" i="15"/>
  <c r="D532" i="15" s="1"/>
  <c r="C689" i="15"/>
  <c r="D689" i="15" s="1"/>
  <c r="E744" i="15"/>
  <c r="E598" i="15"/>
  <c r="E173" i="15"/>
  <c r="C813" i="15"/>
  <c r="D813" i="15" s="1"/>
  <c r="C623" i="15"/>
  <c r="D623" i="15" s="1"/>
  <c r="C70" i="15"/>
  <c r="D70" i="15" s="1"/>
  <c r="E216" i="15"/>
  <c r="E87" i="15"/>
  <c r="C219" i="15"/>
  <c r="D219" i="15" s="1"/>
  <c r="E704" i="15"/>
  <c r="C37" i="15"/>
  <c r="C33" i="15"/>
  <c r="C740" i="15"/>
  <c r="D740" i="15" s="1"/>
  <c r="E49" i="15"/>
  <c r="E535" i="15"/>
  <c r="E725" i="15"/>
  <c r="E421" i="15"/>
  <c r="C392" i="15"/>
  <c r="D392" i="15" s="1"/>
  <c r="E574" i="15"/>
  <c r="C747" i="15"/>
  <c r="D747" i="15" s="1"/>
  <c r="C17" i="15"/>
  <c r="E554" i="15"/>
  <c r="E189" i="15"/>
  <c r="C391" i="15"/>
  <c r="D391" i="15" s="1"/>
  <c r="C725" i="15"/>
  <c r="D725" i="15" s="1"/>
  <c r="E526" i="15"/>
  <c r="E229" i="15"/>
  <c r="E113" i="15"/>
  <c r="E507" i="15"/>
  <c r="C481" i="15"/>
  <c r="D481" i="15" s="1"/>
  <c r="C754" i="15"/>
  <c r="D754" i="15" s="1"/>
  <c r="E689" i="15"/>
  <c r="C683" i="15"/>
  <c r="D683" i="15" s="1"/>
  <c r="E769" i="15"/>
  <c r="C288" i="15"/>
  <c r="D288" i="15" s="1"/>
  <c r="E530" i="15"/>
  <c r="C160" i="15"/>
  <c r="D160" i="15" s="1"/>
  <c r="E193" i="15"/>
  <c r="E134" i="15"/>
  <c r="C262" i="15"/>
  <c r="D262" i="15" s="1"/>
  <c r="C820" i="15"/>
  <c r="D820" i="15" s="1"/>
  <c r="C256" i="15"/>
  <c r="D256" i="15" s="1"/>
  <c r="C170" i="15"/>
  <c r="D170" i="15" s="1"/>
  <c r="C766" i="15"/>
  <c r="D766" i="15" s="1"/>
  <c r="E804" i="15"/>
  <c r="E403" i="15"/>
  <c r="E37" i="15"/>
  <c r="E478" i="15"/>
  <c r="E283" i="15"/>
  <c r="C817" i="15"/>
  <c r="D817" i="15" s="1"/>
  <c r="E648" i="15"/>
  <c r="C587" i="15"/>
  <c r="D587" i="15" s="1"/>
  <c r="C536" i="15"/>
  <c r="D536" i="15" s="1"/>
  <c r="C255" i="15"/>
  <c r="D255" i="15" s="1"/>
  <c r="C426" i="15"/>
  <c r="D426" i="15" s="1"/>
  <c r="C804" i="15"/>
  <c r="D804" i="15" s="1"/>
  <c r="C127" i="15"/>
  <c r="D127" i="15" s="1"/>
  <c r="E149" i="15"/>
  <c r="C151" i="15"/>
  <c r="D151" i="15" s="1"/>
  <c r="C770" i="15"/>
  <c r="D770" i="15" s="1"/>
  <c r="C798" i="15"/>
  <c r="D798" i="15" s="1"/>
  <c r="E782" i="15"/>
  <c r="C588" i="15"/>
  <c r="D588" i="15" s="1"/>
  <c r="E367" i="15"/>
  <c r="C639" i="15"/>
  <c r="D639" i="15" s="1"/>
  <c r="E765" i="15"/>
  <c r="E563" i="15"/>
  <c r="E547" i="15"/>
  <c r="C594" i="15"/>
  <c r="D594" i="15" s="1"/>
  <c r="E777" i="15"/>
  <c r="E747" i="15"/>
  <c r="C523" i="15"/>
  <c r="D523" i="15" s="1"/>
  <c r="C402" i="15"/>
  <c r="D402" i="15" s="1"/>
  <c r="C557" i="15"/>
  <c r="D557" i="15" s="1"/>
  <c r="E230" i="15"/>
  <c r="E250" i="15"/>
  <c r="C126" i="15"/>
  <c r="D126" i="15" s="1"/>
  <c r="C190" i="15"/>
  <c r="D190" i="15" s="1"/>
  <c r="E665" i="15"/>
  <c r="C491" i="15"/>
  <c r="D491" i="15" s="1"/>
  <c r="E751" i="15"/>
  <c r="C406" i="15"/>
  <c r="D406" i="15" s="1"/>
  <c r="C356" i="15"/>
  <c r="D356" i="15" s="1"/>
  <c r="C442" i="15"/>
  <c r="D442" i="15" s="1"/>
  <c r="E599" i="15"/>
  <c r="E301" i="15"/>
  <c r="E490" i="15"/>
  <c r="C302" i="15"/>
  <c r="D302" i="15" s="1"/>
  <c r="E238" i="15"/>
  <c r="C479" i="15"/>
  <c r="D479" i="15" s="1"/>
  <c r="E634" i="15"/>
  <c r="C515" i="15"/>
  <c r="D515" i="15" s="1"/>
  <c r="E718" i="15"/>
  <c r="D58" i="15"/>
  <c r="E58" i="15"/>
  <c r="C377" i="15"/>
  <c r="D377" i="15" s="1"/>
  <c r="E389" i="15"/>
  <c r="E355" i="15"/>
  <c r="C343" i="15"/>
  <c r="D343" i="15" s="1"/>
  <c r="E739" i="15"/>
  <c r="E511" i="15"/>
  <c r="C499" i="15"/>
  <c r="D499" i="15" s="1"/>
  <c r="C471" i="15"/>
  <c r="D471" i="15" s="1"/>
  <c r="C85" i="15"/>
  <c r="D85" i="15" s="1"/>
  <c r="E114" i="15"/>
  <c r="C105" i="15"/>
  <c r="D105" i="15" s="1"/>
  <c r="E117" i="15"/>
  <c r="E337" i="15"/>
  <c r="C441" i="15"/>
  <c r="D441" i="15" s="1"/>
  <c r="E170" i="15"/>
  <c r="C158" i="15"/>
  <c r="D158" i="15" s="1"/>
  <c r="D44" i="15"/>
  <c r="E78" i="15"/>
  <c r="C291" i="15"/>
  <c r="D291" i="15" s="1"/>
  <c r="D20" i="15"/>
  <c r="C104" i="15"/>
  <c r="D104" i="15" s="1"/>
  <c r="E722" i="15"/>
  <c r="C569" i="15"/>
  <c r="D569" i="15" s="1"/>
  <c r="E187" i="15"/>
  <c r="C282" i="15"/>
  <c r="D282" i="15" s="1"/>
  <c r="E208" i="15"/>
  <c r="C196" i="15"/>
  <c r="D196" i="15" s="1"/>
  <c r="E569" i="15"/>
  <c r="C414" i="15"/>
  <c r="D414" i="15" s="1"/>
  <c r="C384" i="15"/>
  <c r="D384" i="15" s="1"/>
  <c r="E396" i="15"/>
  <c r="C166" i="15"/>
  <c r="D166" i="15" s="1"/>
  <c r="E178" i="15"/>
  <c r="C664" i="15"/>
  <c r="D664" i="15" s="1"/>
  <c r="E676" i="15"/>
  <c r="C576" i="15"/>
  <c r="D576" i="15" s="1"/>
  <c r="E93" i="15"/>
  <c r="C81" i="15"/>
  <c r="D81" i="15" s="1"/>
  <c r="C323" i="15"/>
  <c r="D323" i="15" s="1"/>
  <c r="E335" i="15"/>
  <c r="E758" i="15"/>
  <c r="E592" i="15"/>
  <c r="E318" i="15"/>
  <c r="E382" i="15"/>
  <c r="E293" i="15"/>
  <c r="C161" i="15"/>
  <c r="D161" i="15" s="1"/>
  <c r="E354" i="15"/>
  <c r="C510" i="15"/>
  <c r="D510" i="15" s="1"/>
  <c r="E497" i="15"/>
  <c r="C760" i="15"/>
  <c r="D760" i="15" s="1"/>
  <c r="C95" i="15"/>
  <c r="D95" i="15" s="1"/>
  <c r="E118" i="15"/>
  <c r="C106" i="15"/>
  <c r="D106" i="15" s="1"/>
  <c r="E412" i="15"/>
  <c r="E638" i="15"/>
  <c r="C112" i="15"/>
  <c r="D112" i="15" s="1"/>
  <c r="E124" i="15"/>
  <c r="E116" i="15"/>
  <c r="E443" i="15"/>
  <c r="C279" i="15"/>
  <c r="D279" i="15" s="1"/>
  <c r="E291" i="15"/>
  <c r="C389" i="15"/>
  <c r="D389" i="15" s="1"/>
  <c r="E227" i="15"/>
  <c r="C215" i="15"/>
  <c r="D215" i="15" s="1"/>
  <c r="E815" i="15"/>
  <c r="C803" i="15"/>
  <c r="D803" i="15" s="1"/>
  <c r="E343" i="15"/>
  <c r="C331" i="15"/>
  <c r="D331" i="15" s="1"/>
  <c r="C470" i="15"/>
  <c r="D470" i="15" s="1"/>
  <c r="E482" i="15"/>
  <c r="C251" i="15"/>
  <c r="D251" i="15" s="1"/>
  <c r="E627" i="15"/>
  <c r="C53" i="15"/>
  <c r="C191" i="15"/>
  <c r="D191" i="15" s="1"/>
  <c r="E655" i="15"/>
  <c r="E508" i="15"/>
  <c r="C540" i="15"/>
  <c r="D540" i="15" s="1"/>
  <c r="C110" i="15"/>
  <c r="D110" i="15" s="1"/>
  <c r="E697" i="15"/>
  <c r="C318" i="15"/>
  <c r="D318" i="15" s="1"/>
  <c r="E790" i="15"/>
  <c r="C676" i="15"/>
  <c r="D676" i="15" s="1"/>
  <c r="E60" i="15"/>
  <c r="C541" i="15"/>
  <c r="D541" i="15" s="1"/>
  <c r="E553" i="15"/>
  <c r="C135" i="15"/>
  <c r="D135" i="15" s="1"/>
  <c r="E370" i="15"/>
  <c r="E376" i="15"/>
  <c r="C364" i="15"/>
  <c r="D364" i="15" s="1"/>
  <c r="C209" i="15"/>
  <c r="D209" i="15" s="1"/>
  <c r="E221" i="15"/>
  <c r="C663" i="15"/>
  <c r="D663" i="15" s="1"/>
  <c r="E675" i="15"/>
  <c r="D38" i="15"/>
  <c r="E38" i="15"/>
  <c r="C27" i="15"/>
  <c r="E780" i="15"/>
  <c r="C768" i="15"/>
  <c r="D768" i="15" s="1"/>
  <c r="C94" i="15"/>
  <c r="D94" i="15" s="1"/>
  <c r="E106" i="15"/>
  <c r="E470" i="15"/>
  <c r="C458" i="15"/>
  <c r="D458" i="15" s="1"/>
  <c r="C192" i="15"/>
  <c r="D192" i="15" s="1"/>
  <c r="C352" i="15"/>
  <c r="D352" i="15" s="1"/>
  <c r="E104" i="15"/>
  <c r="C92" i="15"/>
  <c r="D92" i="15" s="1"/>
  <c r="C167" i="15"/>
  <c r="D167" i="15" s="1"/>
  <c r="E319" i="15"/>
  <c r="C307" i="15"/>
  <c r="D307" i="15" s="1"/>
  <c r="E644" i="15"/>
  <c r="C459" i="15"/>
  <c r="D459" i="15" s="1"/>
  <c r="E559" i="15"/>
  <c r="E658" i="15"/>
  <c r="E812" i="15"/>
  <c r="E453" i="15"/>
  <c r="E375" i="15"/>
  <c r="C363" i="15"/>
  <c r="D363" i="15" s="1"/>
  <c r="E416" i="15"/>
  <c r="C404" i="15"/>
  <c r="D404" i="15" s="1"/>
  <c r="C609" i="15"/>
  <c r="D609" i="15" s="1"/>
  <c r="C509" i="15"/>
  <c r="D509" i="15" s="1"/>
  <c r="E709" i="15"/>
  <c r="C697" i="15"/>
  <c r="D697" i="15" s="1"/>
  <c r="E214" i="15"/>
  <c r="C202" i="15"/>
  <c r="D202" i="15" s="1"/>
  <c r="E719" i="15"/>
  <c r="C707" i="15"/>
  <c r="D707" i="15" s="1"/>
  <c r="E388" i="15"/>
  <c r="C376" i="15"/>
  <c r="D376" i="15" s="1"/>
  <c r="E527" i="15"/>
  <c r="C378" i="15"/>
  <c r="D378" i="15" s="1"/>
  <c r="E390" i="15"/>
  <c r="E278" i="15"/>
  <c r="C266" i="15"/>
  <c r="D266" i="15" s="1"/>
  <c r="C179" i="15"/>
  <c r="D179" i="15" s="1"/>
  <c r="E70" i="15"/>
  <c r="C188" i="15"/>
  <c r="D188" i="15" s="1"/>
  <c r="E561" i="15"/>
  <c r="C561" i="15"/>
  <c r="D561" i="15" s="1"/>
  <c r="E333" i="15"/>
  <c r="C321" i="15"/>
  <c r="D321" i="15" s="1"/>
  <c r="E766" i="15"/>
  <c r="E154" i="15"/>
  <c r="C142" i="15"/>
  <c r="D142" i="15" s="1"/>
  <c r="C84" i="15"/>
  <c r="D84" i="15" s="1"/>
  <c r="C486" i="15"/>
  <c r="D486" i="15" s="1"/>
  <c r="E498" i="15"/>
  <c r="E339" i="15"/>
  <c r="C327" i="15"/>
  <c r="D327" i="15" s="1"/>
  <c r="E754" i="15"/>
  <c r="E748" i="15"/>
  <c r="E591" i="15"/>
  <c r="C407" i="15"/>
  <c r="D407" i="15" s="1"/>
  <c r="E419" i="15"/>
  <c r="C217" i="15"/>
  <c r="D217" i="15" s="1"/>
  <c r="E472" i="15"/>
  <c r="C138" i="15"/>
  <c r="D138" i="15" s="1"/>
  <c r="E150" i="15"/>
  <c r="C662" i="15"/>
  <c r="D662" i="15" s="1"/>
  <c r="C818" i="15"/>
  <c r="D818" i="15" s="1"/>
  <c r="E656" i="15"/>
  <c r="C644" i="15"/>
  <c r="D644" i="15" s="1"/>
  <c r="C421" i="15"/>
  <c r="D421" i="15" s="1"/>
  <c r="C159" i="15"/>
  <c r="D159" i="15" s="1"/>
  <c r="E171" i="15"/>
  <c r="E515" i="15"/>
  <c r="C322" i="15"/>
  <c r="D322" i="15" s="1"/>
  <c r="E491" i="15"/>
  <c r="E727" i="15"/>
  <c r="E735" i="15"/>
  <c r="C606" i="15"/>
  <c r="D606" i="15" s="1"/>
  <c r="E716" i="15"/>
  <c r="C194" i="15"/>
  <c r="D194" i="15" s="1"/>
  <c r="E732" i="15"/>
  <c r="E816" i="15"/>
  <c r="E510" i="15"/>
  <c r="C498" i="15"/>
  <c r="D498" i="15" s="1"/>
  <c r="C559" i="15"/>
  <c r="D559" i="15" s="1"/>
  <c r="E571" i="15"/>
  <c r="E687" i="15"/>
  <c r="C19" i="15"/>
  <c r="E622" i="15"/>
  <c r="C564" i="15"/>
  <c r="D564" i="15" s="1"/>
  <c r="E576" i="15"/>
  <c r="E521" i="15"/>
  <c r="E351" i="15"/>
  <c r="E432" i="15"/>
  <c r="E485" i="15"/>
  <c r="C473" i="15"/>
  <c r="D473" i="15" s="1"/>
  <c r="E160" i="15"/>
  <c r="E473" i="15"/>
  <c r="C461" i="15"/>
  <c r="D461" i="15" s="1"/>
  <c r="C54" i="15"/>
  <c r="E66" i="15"/>
  <c r="E653" i="15"/>
  <c r="E79" i="15"/>
  <c r="C511" i="15"/>
  <c r="D511" i="15" s="1"/>
  <c r="C145" i="15"/>
  <c r="D145" i="15" s="1"/>
  <c r="E157" i="15"/>
  <c r="E410" i="15"/>
  <c r="C398" i="15"/>
  <c r="D398" i="15" s="1"/>
  <c r="C721" i="15"/>
  <c r="D721" i="15" s="1"/>
  <c r="C815" i="15"/>
  <c r="D815" i="15" s="1"/>
  <c r="D11" i="15"/>
  <c r="E11" i="15"/>
  <c r="E509" i="15"/>
  <c r="C645" i="15"/>
  <c r="D645" i="15" s="1"/>
  <c r="E326" i="15"/>
  <c r="E266" i="15"/>
  <c r="C7" i="15"/>
  <c r="C265" i="15"/>
  <c r="D265" i="15" s="1"/>
  <c r="E27" i="15"/>
  <c r="D27" i="15"/>
  <c r="C300" i="15"/>
  <c r="D300" i="15" s="1"/>
  <c r="E787" i="15"/>
  <c r="C755" i="15"/>
  <c r="D755" i="15" s="1"/>
  <c r="E767" i="15"/>
  <c r="E322" i="15"/>
  <c r="C310" i="15"/>
  <c r="D310" i="15" s="1"/>
  <c r="D31" i="15"/>
  <c r="C383" i="15"/>
  <c r="D383" i="15" s="1"/>
  <c r="C566" i="15"/>
  <c r="D566" i="15" s="1"/>
  <c r="C155" i="15"/>
  <c r="D155" i="15" s="1"/>
  <c r="E167" i="15"/>
  <c r="C121" i="15"/>
  <c r="D121" i="15" s="1"/>
  <c r="C821" i="15"/>
  <c r="D821" i="15" s="1"/>
  <c r="E620" i="15"/>
  <c r="E310" i="15"/>
  <c r="C298" i="15"/>
  <c r="D298" i="15" s="1"/>
  <c r="C22" i="15"/>
  <c r="E6" i="15"/>
  <c r="D6" i="15"/>
  <c r="E18" i="15"/>
  <c r="D18" i="15"/>
  <c r="E362" i="15"/>
  <c r="E172" i="15"/>
  <c r="C172" i="15"/>
  <c r="D172" i="15" s="1"/>
  <c r="E184" i="15"/>
  <c r="E129" i="15"/>
  <c r="C474" i="15"/>
  <c r="D474" i="15" s="1"/>
  <c r="E486" i="15"/>
  <c r="C248" i="15"/>
  <c r="D248" i="15" s="1"/>
  <c r="C125" i="15"/>
  <c r="D125" i="15" s="1"/>
  <c r="C205" i="15"/>
  <c r="D205" i="15" s="1"/>
  <c r="E217" i="15"/>
  <c r="E298" i="15"/>
  <c r="C340" i="15"/>
  <c r="D340" i="15" s="1"/>
  <c r="C128" i="15"/>
  <c r="D128" i="15" s="1"/>
  <c r="C182" i="15"/>
  <c r="D182" i="15" s="1"/>
  <c r="E194" i="15"/>
  <c r="C628" i="15"/>
  <c r="D628" i="15" s="1"/>
  <c r="E182" i="15"/>
  <c r="C40" i="15"/>
  <c r="E664" i="15"/>
  <c r="E661" i="15"/>
  <c r="E615" i="15"/>
  <c r="E760" i="15"/>
  <c r="E314" i="15"/>
  <c r="E163" i="15"/>
  <c r="E162" i="15"/>
  <c r="C234" i="15"/>
  <c r="D234" i="15" s="1"/>
  <c r="C553" i="15"/>
  <c r="D553" i="15" s="1"/>
  <c r="E565" i="15"/>
  <c r="C67" i="15"/>
  <c r="D67" i="15" s="1"/>
  <c r="E420" i="15"/>
  <c r="C408" i="15"/>
  <c r="D408" i="15" s="1"/>
  <c r="E426" i="15"/>
  <c r="E105" i="15"/>
  <c r="C93" i="15"/>
  <c r="D93" i="15" s="1"/>
  <c r="E345" i="15"/>
  <c r="E378" i="15"/>
  <c r="E518" i="15"/>
  <c r="E9" i="15"/>
  <c r="C9" i="15"/>
  <c r="D9" i="15"/>
  <c r="E254" i="15"/>
  <c r="E331" i="15"/>
  <c r="C319" i="15"/>
  <c r="D319" i="15" s="1"/>
  <c r="C46" i="15"/>
  <c r="E309" i="15"/>
  <c r="E316" i="15"/>
  <c r="C11" i="15"/>
  <c r="E340" i="15"/>
  <c r="C328" i="15"/>
  <c r="D328" i="15" s="1"/>
  <c r="E679" i="15"/>
  <c r="C278" i="15"/>
  <c r="D278" i="15" s="1"/>
  <c r="E290" i="15"/>
  <c r="C320" i="15"/>
  <c r="D320" i="15" s="1"/>
  <c r="E233" i="15"/>
  <c r="E94" i="15"/>
  <c r="C82" i="15"/>
  <c r="D82" i="15" s="1"/>
  <c r="C816" i="15"/>
  <c r="D816" i="15" s="1"/>
  <c r="C210" i="15"/>
  <c r="D210" i="15" s="1"/>
  <c r="C638" i="15"/>
  <c r="D638" i="15" s="1"/>
  <c r="E650" i="15"/>
  <c r="C758" i="15"/>
  <c r="D758" i="15" s="1"/>
  <c r="E575" i="15"/>
  <c r="C701" i="15"/>
  <c r="D701" i="15" s="1"/>
  <c r="E96" i="15"/>
  <c r="E357" i="15"/>
  <c r="E68" i="15"/>
  <c r="D8" i="15"/>
  <c r="E8" i="15"/>
  <c r="E199" i="15"/>
  <c r="C129" i="15"/>
  <c r="D129" i="15" s="1"/>
  <c r="E141" i="15"/>
  <c r="E130" i="15"/>
  <c r="E805" i="15"/>
  <c r="E457" i="15"/>
  <c r="C15" i="15"/>
  <c r="E605" i="15"/>
  <c r="C593" i="15"/>
  <c r="D593" i="15" s="1"/>
  <c r="C59" i="15"/>
  <c r="D59" i="15" s="1"/>
  <c r="C261" i="15"/>
  <c r="D261" i="15" s="1"/>
  <c r="C680" i="15"/>
  <c r="D680" i="15" s="1"/>
  <c r="E692" i="15"/>
  <c r="E323" i="15"/>
  <c r="C311" i="15"/>
  <c r="D311" i="15" s="1"/>
  <c r="C385" i="15"/>
  <c r="D385" i="15" s="1"/>
  <c r="E397" i="15"/>
  <c r="E417" i="15"/>
  <c r="C405" i="15"/>
  <c r="D405" i="15" s="1"/>
  <c r="E286" i="15"/>
  <c r="E102" i="15"/>
</calcChain>
</file>

<file path=xl/sharedStrings.xml><?xml version="1.0" encoding="utf-8"?>
<sst xmlns="http://schemas.openxmlformats.org/spreadsheetml/2006/main" count="2509" uniqueCount="1434">
  <si>
    <t>https://data.oecd.org/price/inflation-cpi.htm#indicator-chart</t>
  </si>
  <si>
    <t>Countries</t>
  </si>
  <si>
    <t>Download</t>
  </si>
  <si>
    <t>Date</t>
  </si>
  <si>
    <t>Monthly Change</t>
  </si>
  <si>
    <t>12 Month Change</t>
  </si>
  <si>
    <t>Value</t>
  </si>
  <si>
    <t>AUT</t>
  </si>
  <si>
    <t>1958-01</t>
  </si>
  <si>
    <t>1958-02</t>
  </si>
  <si>
    <t>1958-03</t>
  </si>
  <si>
    <t>1958-04</t>
  </si>
  <si>
    <t>1958-05</t>
  </si>
  <si>
    <t>1958-06</t>
  </si>
  <si>
    <t>1958-07</t>
  </si>
  <si>
    <t>1958-08</t>
  </si>
  <si>
    <t>1958-09</t>
  </si>
  <si>
    <t>1958-10</t>
  </si>
  <si>
    <t>1958-11</t>
  </si>
  <si>
    <t>1958-12</t>
  </si>
  <si>
    <t>1959-01</t>
  </si>
  <si>
    <t>1959-02</t>
  </si>
  <si>
    <t>1959-03</t>
  </si>
  <si>
    <t>1959-04</t>
  </si>
  <si>
    <t>1959-05</t>
  </si>
  <si>
    <t>1959-06</t>
  </si>
  <si>
    <t>1959-07</t>
  </si>
  <si>
    <t>1959-08</t>
  </si>
  <si>
    <t>1959-09</t>
  </si>
  <si>
    <t>1959-10</t>
  </si>
  <si>
    <t>1959-11</t>
  </si>
  <si>
    <t>1959-12</t>
  </si>
  <si>
    <t>1960-01</t>
  </si>
  <si>
    <t>1960-02</t>
  </si>
  <si>
    <t>1960-03</t>
  </si>
  <si>
    <t>1960-04</t>
  </si>
  <si>
    <t>1960-05</t>
  </si>
  <si>
    <t>1960-06</t>
  </si>
  <si>
    <t>1960-07</t>
  </si>
  <si>
    <t>1960-08</t>
  </si>
  <si>
    <t>1960-09</t>
  </si>
  <si>
    <t>1960-10</t>
  </si>
  <si>
    <t>1960-11</t>
  </si>
  <si>
    <t>1960-12</t>
  </si>
  <si>
    <t>1961-01</t>
  </si>
  <si>
    <t>1961-02</t>
  </si>
  <si>
    <t>1961-03</t>
  </si>
  <si>
    <t>1961-04</t>
  </si>
  <si>
    <t>1961-05</t>
  </si>
  <si>
    <t>1961-06</t>
  </si>
  <si>
    <t>1961-07</t>
  </si>
  <si>
    <t>1961-08</t>
  </si>
  <si>
    <t>1961-09</t>
  </si>
  <si>
    <t>1961-10</t>
  </si>
  <si>
    <t>1961-11</t>
  </si>
  <si>
    <t>1961-12</t>
  </si>
  <si>
    <t>1962-01</t>
  </si>
  <si>
    <t>1962-02</t>
  </si>
  <si>
    <t>1962-03</t>
  </si>
  <si>
    <t>1962-04</t>
  </si>
  <si>
    <t>1962-05</t>
  </si>
  <si>
    <t>1962-06</t>
  </si>
  <si>
    <t>1962-07</t>
  </si>
  <si>
    <t>1962-08</t>
  </si>
  <si>
    <t>1962-09</t>
  </si>
  <si>
    <t>1962-10</t>
  </si>
  <si>
    <t>1962-11</t>
  </si>
  <si>
    <t>1962-12</t>
  </si>
  <si>
    <t>1963-01</t>
  </si>
  <si>
    <t>1963-02</t>
  </si>
  <si>
    <t>1963-03</t>
  </si>
  <si>
    <t>1963-04</t>
  </si>
  <si>
    <t>1963-05</t>
  </si>
  <si>
    <t>1963-06</t>
  </si>
  <si>
    <t>1963-07</t>
  </si>
  <si>
    <t>1963-08</t>
  </si>
  <si>
    <t>1963-09</t>
  </si>
  <si>
    <t>1963-10</t>
  </si>
  <si>
    <t>1963-11</t>
  </si>
  <si>
    <t>1963-12</t>
  </si>
  <si>
    <t>1964-01</t>
  </si>
  <si>
    <t>1964-02</t>
  </si>
  <si>
    <t>1964-03</t>
  </si>
  <si>
    <t>1964-04</t>
  </si>
  <si>
    <t>1964-05</t>
  </si>
  <si>
    <t>1964-06</t>
  </si>
  <si>
    <t>1964-07</t>
  </si>
  <si>
    <t>1964-08</t>
  </si>
  <si>
    <t>1964-09</t>
  </si>
  <si>
    <t>1964-10</t>
  </si>
  <si>
    <t>1964-11</t>
  </si>
  <si>
    <t>1964-12</t>
  </si>
  <si>
    <t>1965-01</t>
  </si>
  <si>
    <t>1965-02</t>
  </si>
  <si>
    <t>1965-03</t>
  </si>
  <si>
    <t>1965-04</t>
  </si>
  <si>
    <t>1965-05</t>
  </si>
  <si>
    <t>1965-06</t>
  </si>
  <si>
    <t>1965-07</t>
  </si>
  <si>
    <t>1965-08</t>
  </si>
  <si>
    <t>1965-09</t>
  </si>
  <si>
    <t>1965-10</t>
  </si>
  <si>
    <t>1965-11</t>
  </si>
  <si>
    <t>1965-12</t>
  </si>
  <si>
    <t>1966-01</t>
  </si>
  <si>
    <t>1966-02</t>
  </si>
  <si>
    <t>1966-03</t>
  </si>
  <si>
    <t>1966-04</t>
  </si>
  <si>
    <t>1966-05</t>
  </si>
  <si>
    <t>1966-06</t>
  </si>
  <si>
    <t>1966-07</t>
  </si>
  <si>
    <t>1966-08</t>
  </si>
  <si>
    <t>1966-09</t>
  </si>
  <si>
    <t>1966-10</t>
  </si>
  <si>
    <t>1966-11</t>
  </si>
  <si>
    <t>1966-12</t>
  </si>
  <si>
    <t>1967-01</t>
  </si>
  <si>
    <t>1967-02</t>
  </si>
  <si>
    <t>1967-03</t>
  </si>
  <si>
    <t>1967-04</t>
  </si>
  <si>
    <t>1967-05</t>
  </si>
  <si>
    <t>1967-06</t>
  </si>
  <si>
    <t>1967-07</t>
  </si>
  <si>
    <t>1967-08</t>
  </si>
  <si>
    <t>1967-09</t>
  </si>
  <si>
    <t>1967-10</t>
  </si>
  <si>
    <t>1967-11</t>
  </si>
  <si>
    <t>1967-12</t>
  </si>
  <si>
    <t>1968-01</t>
  </si>
  <si>
    <t>1968-02</t>
  </si>
  <si>
    <t>1968-03</t>
  </si>
  <si>
    <t>1968-04</t>
  </si>
  <si>
    <t>1968-05</t>
  </si>
  <si>
    <t>1968-06</t>
  </si>
  <si>
    <t>1968-07</t>
  </si>
  <si>
    <t>1968-08</t>
  </si>
  <si>
    <t>1968-09</t>
  </si>
  <si>
    <t>1968-10</t>
  </si>
  <si>
    <t>1968-11</t>
  </si>
  <si>
    <t>1968-12</t>
  </si>
  <si>
    <t>1969-01</t>
  </si>
  <si>
    <t>1969-02</t>
  </si>
  <si>
    <t>1969-03</t>
  </si>
  <si>
    <t>1969-04</t>
  </si>
  <si>
    <t>1969-05</t>
  </si>
  <si>
    <t>1969-06</t>
  </si>
  <si>
    <t>1969-07</t>
  </si>
  <si>
    <t>1969-08</t>
  </si>
  <si>
    <t>1969-09</t>
  </si>
  <si>
    <t>1969-10</t>
  </si>
  <si>
    <t>1969-11</t>
  </si>
  <si>
    <t>1969-12</t>
  </si>
  <si>
    <t>1970-01</t>
  </si>
  <si>
    <t>1970-02</t>
  </si>
  <si>
    <t>1970-03</t>
  </si>
  <si>
    <t>1970-04</t>
  </si>
  <si>
    <t>1970-05</t>
  </si>
  <si>
    <t>1970-06</t>
  </si>
  <si>
    <t>1970-07</t>
  </si>
  <si>
    <t>1970-08</t>
  </si>
  <si>
    <t>1970-09</t>
  </si>
  <si>
    <t>1970-10</t>
  </si>
  <si>
    <t>1970-11</t>
  </si>
  <si>
    <t>1970-12</t>
  </si>
  <si>
    <t>1971-01</t>
  </si>
  <si>
    <t>1971-02</t>
  </si>
  <si>
    <t>1971-03</t>
  </si>
  <si>
    <t>1971-04</t>
  </si>
  <si>
    <t>1971-05</t>
  </si>
  <si>
    <t>1971-06</t>
  </si>
  <si>
    <t>1971-07</t>
  </si>
  <si>
    <t>1971-08</t>
  </si>
  <si>
    <t>1971-09</t>
  </si>
  <si>
    <t>1971-10</t>
  </si>
  <si>
    <t>1971-11</t>
  </si>
  <si>
    <t>1971-12</t>
  </si>
  <si>
    <t>1972-01</t>
  </si>
  <si>
    <t>1972-02</t>
  </si>
  <si>
    <t>1972-03</t>
  </si>
  <si>
    <t>1972-04</t>
  </si>
  <si>
    <t>1972-05</t>
  </si>
  <si>
    <t>1972-06</t>
  </si>
  <si>
    <t>1972-07</t>
  </si>
  <si>
    <t>1972-08</t>
  </si>
  <si>
    <t>1972-09</t>
  </si>
  <si>
    <t>1972-10</t>
  </si>
  <si>
    <t>1972-11</t>
  </si>
  <si>
    <t>1972-12</t>
  </si>
  <si>
    <t>1973-01</t>
  </si>
  <si>
    <t>1973-02</t>
  </si>
  <si>
    <t>1973-03</t>
  </si>
  <si>
    <t>1973-04</t>
  </si>
  <si>
    <t>1973-05</t>
  </si>
  <si>
    <t>1973-06</t>
  </si>
  <si>
    <t>1973-07</t>
  </si>
  <si>
    <t>1973-08</t>
  </si>
  <si>
    <t>1973-09</t>
  </si>
  <si>
    <t>1973-10</t>
  </si>
  <si>
    <t>1973-11</t>
  </si>
  <si>
    <t>1973-12</t>
  </si>
  <si>
    <t>1974-01</t>
  </si>
  <si>
    <t>1974-02</t>
  </si>
  <si>
    <t>1974-03</t>
  </si>
  <si>
    <t>1974-04</t>
  </si>
  <si>
    <t>1974-05</t>
  </si>
  <si>
    <t>1974-06</t>
  </si>
  <si>
    <t>1974-07</t>
  </si>
  <si>
    <t>1974-08</t>
  </si>
  <si>
    <t>1974-09</t>
  </si>
  <si>
    <t>1974-10</t>
  </si>
  <si>
    <t>1974-11</t>
  </si>
  <si>
    <t>1974-12</t>
  </si>
  <si>
    <t>1975-01</t>
  </si>
  <si>
    <t>1975-02</t>
  </si>
  <si>
    <t>1975-03</t>
  </si>
  <si>
    <t>1975-04</t>
  </si>
  <si>
    <t>1975-05</t>
  </si>
  <si>
    <t>1975-06</t>
  </si>
  <si>
    <t>1975-07</t>
  </si>
  <si>
    <t>1975-08</t>
  </si>
  <si>
    <t>1975-09</t>
  </si>
  <si>
    <t>1975-10</t>
  </si>
  <si>
    <t>1975-11</t>
  </si>
  <si>
    <t>1975-12</t>
  </si>
  <si>
    <t>1976-01</t>
  </si>
  <si>
    <t>1976-02</t>
  </si>
  <si>
    <t>1976-03</t>
  </si>
  <si>
    <t>1976-04</t>
  </si>
  <si>
    <t>1976-05</t>
  </si>
  <si>
    <t>1976-06</t>
  </si>
  <si>
    <t>1976-07</t>
  </si>
  <si>
    <t>1976-08</t>
  </si>
  <si>
    <t>1976-09</t>
  </si>
  <si>
    <t>1976-10</t>
  </si>
  <si>
    <t>1976-11</t>
  </si>
  <si>
    <t>1976-12</t>
  </si>
  <si>
    <t>1977-01</t>
  </si>
  <si>
    <t>1977-02</t>
  </si>
  <si>
    <t>1977-03</t>
  </si>
  <si>
    <t>1977-04</t>
  </si>
  <si>
    <t>1977-05</t>
  </si>
  <si>
    <t>1977-06</t>
  </si>
  <si>
    <t>1977-07</t>
  </si>
  <si>
    <t>1977-08</t>
  </si>
  <si>
    <t>1977-09</t>
  </si>
  <si>
    <t>1977-10</t>
  </si>
  <si>
    <t>1977-11</t>
  </si>
  <si>
    <t>1977-12</t>
  </si>
  <si>
    <t>1978-01</t>
  </si>
  <si>
    <t>1978-02</t>
  </si>
  <si>
    <t>1978-03</t>
  </si>
  <si>
    <t>1978-04</t>
  </si>
  <si>
    <t>1978-05</t>
  </si>
  <si>
    <t>1978-06</t>
  </si>
  <si>
    <t>1978-07</t>
  </si>
  <si>
    <t>1978-08</t>
  </si>
  <si>
    <t>1978-09</t>
  </si>
  <si>
    <t>1978-10</t>
  </si>
  <si>
    <t>1978-11</t>
  </si>
  <si>
    <t>1978-12</t>
  </si>
  <si>
    <t>1979-01</t>
  </si>
  <si>
    <t>1979-02</t>
  </si>
  <si>
    <t>1979-03</t>
  </si>
  <si>
    <t>1979-04</t>
  </si>
  <si>
    <t>1979-05</t>
  </si>
  <si>
    <t>1979-06</t>
  </si>
  <si>
    <t>1979-07</t>
  </si>
  <si>
    <t>1979-08</t>
  </si>
  <si>
    <t>1979-09</t>
  </si>
  <si>
    <t>1979-10</t>
  </si>
  <si>
    <t>1979-11</t>
  </si>
  <si>
    <t>1979-12</t>
  </si>
  <si>
    <t>1980-01</t>
  </si>
  <si>
    <t>1980-02</t>
  </si>
  <si>
    <t>1980-03</t>
  </si>
  <si>
    <t>1980-04</t>
  </si>
  <si>
    <t>1980-05</t>
  </si>
  <si>
    <t>1980-06</t>
  </si>
  <si>
    <t>1980-07</t>
  </si>
  <si>
    <t>1980-08</t>
  </si>
  <si>
    <t>1980-09</t>
  </si>
  <si>
    <t>1980-10</t>
  </si>
  <si>
    <t>1980-11</t>
  </si>
  <si>
    <t>1980-12</t>
  </si>
  <si>
    <t>1981-01</t>
  </si>
  <si>
    <t>1981-02</t>
  </si>
  <si>
    <t>1981-03</t>
  </si>
  <si>
    <t>1981-04</t>
  </si>
  <si>
    <t>1981-05</t>
  </si>
  <si>
    <t>1981-06</t>
  </si>
  <si>
    <t>1981-07</t>
  </si>
  <si>
    <t>1981-08</t>
  </si>
  <si>
    <t>1981-09</t>
  </si>
  <si>
    <t>1981-10</t>
  </si>
  <si>
    <t>1981-11</t>
  </si>
  <si>
    <t>1981-12</t>
  </si>
  <si>
    <t>1982-01</t>
  </si>
  <si>
    <t>1982-02</t>
  </si>
  <si>
    <t>1982-03</t>
  </si>
  <si>
    <t>1982-04</t>
  </si>
  <si>
    <t>1982-05</t>
  </si>
  <si>
    <t>1982-06</t>
  </si>
  <si>
    <t>1982-07</t>
  </si>
  <si>
    <t>1982-08</t>
  </si>
  <si>
    <t>1982-09</t>
  </si>
  <si>
    <t>1982-10</t>
  </si>
  <si>
    <t>1982-11</t>
  </si>
  <si>
    <t>1982-12</t>
  </si>
  <si>
    <t>1983-01</t>
  </si>
  <si>
    <t>1983-02</t>
  </si>
  <si>
    <t>1983-03</t>
  </si>
  <si>
    <t>1983-04</t>
  </si>
  <si>
    <t>1983-05</t>
  </si>
  <si>
    <t>1983-06</t>
  </si>
  <si>
    <t>1983-07</t>
  </si>
  <si>
    <t>1983-08</t>
  </si>
  <si>
    <t>1983-09</t>
  </si>
  <si>
    <t>1983-10</t>
  </si>
  <si>
    <t>1983-11</t>
  </si>
  <si>
    <t>1983-12</t>
  </si>
  <si>
    <t>1984-01</t>
  </si>
  <si>
    <t>1984-02</t>
  </si>
  <si>
    <t>1984-03</t>
  </si>
  <si>
    <t>1984-04</t>
  </si>
  <si>
    <t>1984-05</t>
  </si>
  <si>
    <t>1984-06</t>
  </si>
  <si>
    <t>1984-07</t>
  </si>
  <si>
    <t>1984-08</t>
  </si>
  <si>
    <t>1984-09</t>
  </si>
  <si>
    <t>1984-10</t>
  </si>
  <si>
    <t>1984-11</t>
  </si>
  <si>
    <t>1984-12</t>
  </si>
  <si>
    <t>1985-01</t>
  </si>
  <si>
    <t>1985-02</t>
  </si>
  <si>
    <t>1985-03</t>
  </si>
  <si>
    <t>1985-04</t>
  </si>
  <si>
    <t>1985-05</t>
  </si>
  <si>
    <t>1985-06</t>
  </si>
  <si>
    <t>1985-07</t>
  </si>
  <si>
    <t>1985-08</t>
  </si>
  <si>
    <t>1985-09</t>
  </si>
  <si>
    <t>1985-10</t>
  </si>
  <si>
    <t>1985-11</t>
  </si>
  <si>
    <t>1985-12</t>
  </si>
  <si>
    <t>1986-01</t>
  </si>
  <si>
    <t>1986-02</t>
  </si>
  <si>
    <t>1986-03</t>
  </si>
  <si>
    <t>1986-04</t>
  </si>
  <si>
    <t>1986-05</t>
  </si>
  <si>
    <t>1986-06</t>
  </si>
  <si>
    <t>1986-07</t>
  </si>
  <si>
    <t>1986-08</t>
  </si>
  <si>
    <t>1986-09</t>
  </si>
  <si>
    <t>1986-10</t>
  </si>
  <si>
    <t>1986-11</t>
  </si>
  <si>
    <t>1986-12</t>
  </si>
  <si>
    <t>1987-01</t>
  </si>
  <si>
    <t>1987-02</t>
  </si>
  <si>
    <t>1987-03</t>
  </si>
  <si>
    <t>1987-04</t>
  </si>
  <si>
    <t>1987-05</t>
  </si>
  <si>
    <t>1987-06</t>
  </si>
  <si>
    <t>1987-07</t>
  </si>
  <si>
    <t>1987-08</t>
  </si>
  <si>
    <t>1987-09</t>
  </si>
  <si>
    <t>1987-10</t>
  </si>
  <si>
    <t>1987-11</t>
  </si>
  <si>
    <t>1987-12</t>
  </si>
  <si>
    <t>1988-01</t>
  </si>
  <si>
    <t>1988-02</t>
  </si>
  <si>
    <t>1988-03</t>
  </si>
  <si>
    <t>1988-04</t>
  </si>
  <si>
    <t>1988-05</t>
  </si>
  <si>
    <t>1988-06</t>
  </si>
  <si>
    <t>1988-07</t>
  </si>
  <si>
    <t>1988-08</t>
  </si>
  <si>
    <t>1988-09</t>
  </si>
  <si>
    <t>1988-10</t>
  </si>
  <si>
    <t>1988-11</t>
  </si>
  <si>
    <t>1988-12</t>
  </si>
  <si>
    <t>1989-01</t>
  </si>
  <si>
    <t>1989-02</t>
  </si>
  <si>
    <t>1989-03</t>
  </si>
  <si>
    <t>1989-04</t>
  </si>
  <si>
    <t>1989-05</t>
  </si>
  <si>
    <t>1989-06</t>
  </si>
  <si>
    <t>1989-07</t>
  </si>
  <si>
    <t>1989-08</t>
  </si>
  <si>
    <t>1989-09</t>
  </si>
  <si>
    <t>1989-10</t>
  </si>
  <si>
    <t>1989-11</t>
  </si>
  <si>
    <t>1989-12</t>
  </si>
  <si>
    <t>1990-01</t>
  </si>
  <si>
    <t>1990-02</t>
  </si>
  <si>
    <t>1990-03</t>
  </si>
  <si>
    <t>1990-04</t>
  </si>
  <si>
    <t>1990-05</t>
  </si>
  <si>
    <t>1990-06</t>
  </si>
  <si>
    <t>1990-07</t>
  </si>
  <si>
    <t>1990-08</t>
  </si>
  <si>
    <t>1990-09</t>
  </si>
  <si>
    <t>1990-10</t>
  </si>
  <si>
    <t>1990-11</t>
  </si>
  <si>
    <t>1990-12</t>
  </si>
  <si>
    <t>1991-01</t>
  </si>
  <si>
    <t>1991-02</t>
  </si>
  <si>
    <t>1991-03</t>
  </si>
  <si>
    <t>1991-04</t>
  </si>
  <si>
    <t>1991-05</t>
  </si>
  <si>
    <t>1991-06</t>
  </si>
  <si>
    <t>1991-07</t>
  </si>
  <si>
    <t>1991-08</t>
  </si>
  <si>
    <t>1991-09</t>
  </si>
  <si>
    <t>1991-10</t>
  </si>
  <si>
    <t>1991-11</t>
  </si>
  <si>
    <t>1991-12</t>
  </si>
  <si>
    <t>1992-01</t>
  </si>
  <si>
    <t>1992-02</t>
  </si>
  <si>
    <t>1992-03</t>
  </si>
  <si>
    <t>1992-04</t>
  </si>
  <si>
    <t>1992-05</t>
  </si>
  <si>
    <t>1992-06</t>
  </si>
  <si>
    <t>1992-07</t>
  </si>
  <si>
    <t>1992-08</t>
  </si>
  <si>
    <t>1992-09</t>
  </si>
  <si>
    <t>1992-10</t>
  </si>
  <si>
    <t>1992-11</t>
  </si>
  <si>
    <t>1992-12</t>
  </si>
  <si>
    <t>1993-01</t>
  </si>
  <si>
    <t>1993-02</t>
  </si>
  <si>
    <t>1993-03</t>
  </si>
  <si>
    <t>1993-04</t>
  </si>
  <si>
    <t>1993-05</t>
  </si>
  <si>
    <t>1993-06</t>
  </si>
  <si>
    <t>1993-07</t>
  </si>
  <si>
    <t>1993-08</t>
  </si>
  <si>
    <t>1993-09</t>
  </si>
  <si>
    <t>1993-10</t>
  </si>
  <si>
    <t>1993-11</t>
  </si>
  <si>
    <t>1993-12</t>
  </si>
  <si>
    <t>1994-01</t>
  </si>
  <si>
    <t>1994-02</t>
  </si>
  <si>
    <t>1994-03</t>
  </si>
  <si>
    <t>1994-04</t>
  </si>
  <si>
    <t>1994-05</t>
  </si>
  <si>
    <t>1994-06</t>
  </si>
  <si>
    <t>1994-07</t>
  </si>
  <si>
    <t>1994-08</t>
  </si>
  <si>
    <t>1994-09</t>
  </si>
  <si>
    <t>1994-10</t>
  </si>
  <si>
    <t>1994-11</t>
  </si>
  <si>
    <t>1994-12</t>
  </si>
  <si>
    <t>1995-01</t>
  </si>
  <si>
    <t>1995-02</t>
  </si>
  <si>
    <t>1995-03</t>
  </si>
  <si>
    <t>1995-04</t>
  </si>
  <si>
    <t>1995-05</t>
  </si>
  <si>
    <t>1995-06</t>
  </si>
  <si>
    <t>1995-07</t>
  </si>
  <si>
    <t>1995-08</t>
  </si>
  <si>
    <t>1995-09</t>
  </si>
  <si>
    <t>1995-10</t>
  </si>
  <si>
    <t>1995-11</t>
  </si>
  <si>
    <t>1995-12</t>
  </si>
  <si>
    <t>1996-01</t>
  </si>
  <si>
    <t>1996-02</t>
  </si>
  <si>
    <t>1996-03</t>
  </si>
  <si>
    <t>1996-04</t>
  </si>
  <si>
    <t>1996-05</t>
  </si>
  <si>
    <t>1996-06</t>
  </si>
  <si>
    <t>1996-07</t>
  </si>
  <si>
    <t>1996-08</t>
  </si>
  <si>
    <t>1996-09</t>
  </si>
  <si>
    <t>1996-10</t>
  </si>
  <si>
    <t>1996-11</t>
  </si>
  <si>
    <t>1996-12</t>
  </si>
  <si>
    <t>1997-01</t>
  </si>
  <si>
    <t>1997-02</t>
  </si>
  <si>
    <t>1997-03</t>
  </si>
  <si>
    <t>1997-04</t>
  </si>
  <si>
    <t>1997-05</t>
  </si>
  <si>
    <t>1997-06</t>
  </si>
  <si>
    <t>1997-07</t>
  </si>
  <si>
    <t>1997-08</t>
  </si>
  <si>
    <t>1997-09</t>
  </si>
  <si>
    <t>1997-10</t>
  </si>
  <si>
    <t>1997-11</t>
  </si>
  <si>
    <t>1997-12</t>
  </si>
  <si>
    <t>1998-01</t>
  </si>
  <si>
    <t>1998-02</t>
  </si>
  <si>
    <t>1998-03</t>
  </si>
  <si>
    <t>1998-04</t>
  </si>
  <si>
    <t>1998-05</t>
  </si>
  <si>
    <t>1998-06</t>
  </si>
  <si>
    <t>1998-07</t>
  </si>
  <si>
    <t>1998-08</t>
  </si>
  <si>
    <t>1998-09</t>
  </si>
  <si>
    <t>1998-10</t>
  </si>
  <si>
    <t>1998-11</t>
  </si>
  <si>
    <t>1998-12</t>
  </si>
  <si>
    <t>1999-01</t>
  </si>
  <si>
    <t>1999-02</t>
  </si>
  <si>
    <t>1999-03</t>
  </si>
  <si>
    <t>1999-04</t>
  </si>
  <si>
    <t>1999-05</t>
  </si>
  <si>
    <t>1999-06</t>
  </si>
  <si>
    <t>1999-07</t>
  </si>
  <si>
    <t>1999-08</t>
  </si>
  <si>
    <t>1999-09</t>
  </si>
  <si>
    <t>1999-10</t>
  </si>
  <si>
    <t>1999-11</t>
  </si>
  <si>
    <t>1999-12</t>
  </si>
  <si>
    <t>2000-01</t>
  </si>
  <si>
    <t>2000-02</t>
  </si>
  <si>
    <t>2000-03</t>
  </si>
  <si>
    <t>2000-04</t>
  </si>
  <si>
    <t>2000-05</t>
  </si>
  <si>
    <t>2000-06</t>
  </si>
  <si>
    <t>2000-07</t>
  </si>
  <si>
    <t>2000-08</t>
  </si>
  <si>
    <t>2000-09</t>
  </si>
  <si>
    <t>2000-10</t>
  </si>
  <si>
    <t>2000-11</t>
  </si>
  <si>
    <t>2000-12</t>
  </si>
  <si>
    <t>2001-01</t>
  </si>
  <si>
    <t>2001-02</t>
  </si>
  <si>
    <t>2001-03</t>
  </si>
  <si>
    <t>2001-04</t>
  </si>
  <si>
    <t>2001-05</t>
  </si>
  <si>
    <t>2001-06</t>
  </si>
  <si>
    <t>2001-07</t>
  </si>
  <si>
    <t>2001-08</t>
  </si>
  <si>
    <t>2001-09</t>
  </si>
  <si>
    <t>2001-10</t>
  </si>
  <si>
    <t>2001-11</t>
  </si>
  <si>
    <t>2001-12</t>
  </si>
  <si>
    <t>2002-01</t>
  </si>
  <si>
    <t>2002-02</t>
  </si>
  <si>
    <t>2002-03</t>
  </si>
  <si>
    <t>2002-04</t>
  </si>
  <si>
    <t>2002-05</t>
  </si>
  <si>
    <t>2002-06</t>
  </si>
  <si>
    <t>2002-07</t>
  </si>
  <si>
    <t>2002-08</t>
  </si>
  <si>
    <t>2002-09</t>
  </si>
  <si>
    <t>2002-10</t>
  </si>
  <si>
    <t>2002-11</t>
  </si>
  <si>
    <t>2002-12</t>
  </si>
  <si>
    <t>2003-01</t>
  </si>
  <si>
    <t>2003-02</t>
  </si>
  <si>
    <t>2003-03</t>
  </si>
  <si>
    <t>2003-04</t>
  </si>
  <si>
    <t>2003-05</t>
  </si>
  <si>
    <t>2003-06</t>
  </si>
  <si>
    <t>2003-07</t>
  </si>
  <si>
    <t>2003-08</t>
  </si>
  <si>
    <t>2003-09</t>
  </si>
  <si>
    <t>2003-10</t>
  </si>
  <si>
    <t>2003-11</t>
  </si>
  <si>
    <t>2003-12</t>
  </si>
  <si>
    <t>2004-01</t>
  </si>
  <si>
    <t>2004-02</t>
  </si>
  <si>
    <t>2004-03</t>
  </si>
  <si>
    <t>2004-04</t>
  </si>
  <si>
    <t>2004-05</t>
  </si>
  <si>
    <t>2004-06</t>
  </si>
  <si>
    <t>2004-07</t>
  </si>
  <si>
    <t>2004-08</t>
  </si>
  <si>
    <t>2004-09</t>
  </si>
  <si>
    <t>2004-10</t>
  </si>
  <si>
    <t>2004-11</t>
  </si>
  <si>
    <t>2004-12</t>
  </si>
  <si>
    <t>2005-01</t>
  </si>
  <si>
    <t>2005-02</t>
  </si>
  <si>
    <t>2005-03</t>
  </si>
  <si>
    <t>2005-04</t>
  </si>
  <si>
    <t>2005-05</t>
  </si>
  <si>
    <t>2005-06</t>
  </si>
  <si>
    <t>2005-07</t>
  </si>
  <si>
    <t>2005-08</t>
  </si>
  <si>
    <t>2005-09</t>
  </si>
  <si>
    <t>2005-10</t>
  </si>
  <si>
    <t>2005-11</t>
  </si>
  <si>
    <t>2005-12</t>
  </si>
  <si>
    <t>2006-01</t>
  </si>
  <si>
    <t>2006-02</t>
  </si>
  <si>
    <t>2006-03</t>
  </si>
  <si>
    <t>2006-04</t>
  </si>
  <si>
    <t>2006-05</t>
  </si>
  <si>
    <t>2006-06</t>
  </si>
  <si>
    <t>2006-07</t>
  </si>
  <si>
    <t>2006-08</t>
  </si>
  <si>
    <t>2006-09</t>
  </si>
  <si>
    <t>2006-10</t>
  </si>
  <si>
    <t>2006-11</t>
  </si>
  <si>
    <t>2006-12</t>
  </si>
  <si>
    <t>2007-01</t>
  </si>
  <si>
    <t>2007-02</t>
  </si>
  <si>
    <t>2007-03</t>
  </si>
  <si>
    <t>2007-04</t>
  </si>
  <si>
    <t>2007-05</t>
  </si>
  <si>
    <t>2007-06</t>
  </si>
  <si>
    <t>2007-07</t>
  </si>
  <si>
    <t>2007-08</t>
  </si>
  <si>
    <t>2007-09</t>
  </si>
  <si>
    <t>2007-10</t>
  </si>
  <si>
    <t>2007-11</t>
  </si>
  <si>
    <t>2007-12</t>
  </si>
  <si>
    <t>2008-01</t>
  </si>
  <si>
    <t>2008-02</t>
  </si>
  <si>
    <t>2008-03</t>
  </si>
  <si>
    <t>2008-04</t>
  </si>
  <si>
    <t>2008-05</t>
  </si>
  <si>
    <t>2008-06</t>
  </si>
  <si>
    <t>2008-07</t>
  </si>
  <si>
    <t>2008-08</t>
  </si>
  <si>
    <t>2008-09</t>
  </si>
  <si>
    <t>2008-10</t>
  </si>
  <si>
    <t>2008-11</t>
  </si>
  <si>
    <t>2008-12</t>
  </si>
  <si>
    <t>2009-01</t>
  </si>
  <si>
    <t>2009-02</t>
  </si>
  <si>
    <t>2009-03</t>
  </si>
  <si>
    <t>2009-04</t>
  </si>
  <si>
    <t>2009-05</t>
  </si>
  <si>
    <t>2009-06</t>
  </si>
  <si>
    <t>2009-07</t>
  </si>
  <si>
    <t>2009-08</t>
  </si>
  <si>
    <t>2009-09</t>
  </si>
  <si>
    <t>2009-10</t>
  </si>
  <si>
    <t>2009-11</t>
  </si>
  <si>
    <t>2009-12</t>
  </si>
  <si>
    <t>2010-01</t>
  </si>
  <si>
    <t>2010-02</t>
  </si>
  <si>
    <t>2010-03</t>
  </si>
  <si>
    <t>2010-04</t>
  </si>
  <si>
    <t>2010-05</t>
  </si>
  <si>
    <t>2010-06</t>
  </si>
  <si>
    <t>2010-07</t>
  </si>
  <si>
    <t>2010-08</t>
  </si>
  <si>
    <t>2010-09</t>
  </si>
  <si>
    <t>2010-10</t>
  </si>
  <si>
    <t>2010-11</t>
  </si>
  <si>
    <t>2010-12</t>
  </si>
  <si>
    <t>2011-01</t>
  </si>
  <si>
    <t>2011-02</t>
  </si>
  <si>
    <t>2011-03</t>
  </si>
  <si>
    <t>2011-04</t>
  </si>
  <si>
    <t>2011-05</t>
  </si>
  <si>
    <t>2011-06</t>
  </si>
  <si>
    <t>2011-07</t>
  </si>
  <si>
    <t>2011-08</t>
  </si>
  <si>
    <t>2011-09</t>
  </si>
  <si>
    <t>2011-10</t>
  </si>
  <si>
    <t>2011-11</t>
  </si>
  <si>
    <t>2011-12</t>
  </si>
  <si>
    <t>2012-01</t>
  </si>
  <si>
    <t>2012-02</t>
  </si>
  <si>
    <t>2012-03</t>
  </si>
  <si>
    <t>2012-04</t>
  </si>
  <si>
    <t>2012-05</t>
  </si>
  <si>
    <t>2012-06</t>
  </si>
  <si>
    <t>2012-07</t>
  </si>
  <si>
    <t>2012-08</t>
  </si>
  <si>
    <t>2012-09</t>
  </si>
  <si>
    <t>2012-10</t>
  </si>
  <si>
    <t>2012-11</t>
  </si>
  <si>
    <t>2012-12</t>
  </si>
  <si>
    <t>2013-01</t>
  </si>
  <si>
    <t>2013-02</t>
  </si>
  <si>
    <t>2013-03</t>
  </si>
  <si>
    <t>2013-04</t>
  </si>
  <si>
    <t>2013-05</t>
  </si>
  <si>
    <t>2013-06</t>
  </si>
  <si>
    <t>2013-07</t>
  </si>
  <si>
    <t>2013-08</t>
  </si>
  <si>
    <t>2013-09</t>
  </si>
  <si>
    <t>2013-10</t>
  </si>
  <si>
    <t>2013-11</t>
  </si>
  <si>
    <t>2013-12</t>
  </si>
  <si>
    <t>2014-01</t>
  </si>
  <si>
    <t>2014-02</t>
  </si>
  <si>
    <t>2014-03</t>
  </si>
  <si>
    <t>2014-04</t>
  </si>
  <si>
    <t>2014-05</t>
  </si>
  <si>
    <t>2014-06</t>
  </si>
  <si>
    <t>2014-07</t>
  </si>
  <si>
    <t>2014-08</t>
  </si>
  <si>
    <t>2014-09</t>
  </si>
  <si>
    <t>2014-10</t>
  </si>
  <si>
    <t>2014-11</t>
  </si>
  <si>
    <t>2014-12</t>
  </si>
  <si>
    <t>2015-01</t>
  </si>
  <si>
    <t>2015-02</t>
  </si>
  <si>
    <t>2015-03</t>
  </si>
  <si>
    <t>2015-04</t>
  </si>
  <si>
    <t>2015-05</t>
  </si>
  <si>
    <t>2015-06</t>
  </si>
  <si>
    <t>2015-07</t>
  </si>
  <si>
    <t>2015-08</t>
  </si>
  <si>
    <t>2015-09</t>
  </si>
  <si>
    <t>2015-10</t>
  </si>
  <si>
    <t>2015-11</t>
  </si>
  <si>
    <t>2015-12</t>
  </si>
  <si>
    <t>2016-01</t>
  </si>
  <si>
    <t>2016-02</t>
  </si>
  <si>
    <t>2016-03</t>
  </si>
  <si>
    <t>2016-04</t>
  </si>
  <si>
    <t>2016-05</t>
  </si>
  <si>
    <t>2016-06</t>
  </si>
  <si>
    <t>2016-07</t>
  </si>
  <si>
    <t>2016-08</t>
  </si>
  <si>
    <t>2016-09</t>
  </si>
  <si>
    <t>2016-10</t>
  </si>
  <si>
    <t>2016-11</t>
  </si>
  <si>
    <t>2016-12</t>
  </si>
  <si>
    <t>2017-01</t>
  </si>
  <si>
    <t>2017-02</t>
  </si>
  <si>
    <t>2017-03</t>
  </si>
  <si>
    <t>2017-04</t>
  </si>
  <si>
    <t>2017-05</t>
  </si>
  <si>
    <t>2017-06</t>
  </si>
  <si>
    <t>2017-07</t>
  </si>
  <si>
    <t>2017-08</t>
  </si>
  <si>
    <t>2017-09</t>
  </si>
  <si>
    <t>2017-10</t>
  </si>
  <si>
    <t>2017-11</t>
  </si>
  <si>
    <t>2017-12</t>
  </si>
  <si>
    <t>2018-01</t>
  </si>
  <si>
    <t>2018-02</t>
  </si>
  <si>
    <t>BEL</t>
  </si>
  <si>
    <t>1955-01</t>
  </si>
  <si>
    <t>1955-02</t>
  </si>
  <si>
    <t>1955-03</t>
  </si>
  <si>
    <t>1955-04</t>
  </si>
  <si>
    <t>1955-05</t>
  </si>
  <si>
    <t>1955-06</t>
  </si>
  <si>
    <t>1955-07</t>
  </si>
  <si>
    <t>1955-08</t>
  </si>
  <si>
    <t>1955-09</t>
  </si>
  <si>
    <t>1955-10</t>
  </si>
  <si>
    <t>1955-11</t>
  </si>
  <si>
    <t>1955-12</t>
  </si>
  <si>
    <t>1956-01</t>
  </si>
  <si>
    <t>1956-02</t>
  </si>
  <si>
    <t>1956-03</t>
  </si>
  <si>
    <t>1956-04</t>
  </si>
  <si>
    <t>1956-05</t>
  </si>
  <si>
    <t>1956-06</t>
  </si>
  <si>
    <t>1956-07</t>
  </si>
  <si>
    <t>1956-08</t>
  </si>
  <si>
    <t>1956-09</t>
  </si>
  <si>
    <t>1956-10</t>
  </si>
  <si>
    <t>1956-11</t>
  </si>
  <si>
    <t>1956-12</t>
  </si>
  <si>
    <t>1957-01</t>
  </si>
  <si>
    <t>1957-02</t>
  </si>
  <si>
    <t>1957-03</t>
  </si>
  <si>
    <t>1957-04</t>
  </si>
  <si>
    <t>1957-05</t>
  </si>
  <si>
    <t>1957-06</t>
  </si>
  <si>
    <t>1957-07</t>
  </si>
  <si>
    <t>1957-08</t>
  </si>
  <si>
    <t>1957-09</t>
  </si>
  <si>
    <t>1957-10</t>
  </si>
  <si>
    <t>1957-11</t>
  </si>
  <si>
    <t>1957-12</t>
  </si>
  <si>
    <t>2018-03</t>
  </si>
  <si>
    <t>CAN</t>
  </si>
  <si>
    <t>1950-01</t>
  </si>
  <si>
    <t>1950-02</t>
  </si>
  <si>
    <t>1950-03</t>
  </si>
  <si>
    <t>1950-04</t>
  </si>
  <si>
    <t>1950-05</t>
  </si>
  <si>
    <t>1950-06</t>
  </si>
  <si>
    <t>1950-07</t>
  </si>
  <si>
    <t>1950-08</t>
  </si>
  <si>
    <t>1950-09</t>
  </si>
  <si>
    <t>1950-10</t>
  </si>
  <si>
    <t>1950-11</t>
  </si>
  <si>
    <t>1950-12</t>
  </si>
  <si>
    <t>1951-01</t>
  </si>
  <si>
    <t>1951-02</t>
  </si>
  <si>
    <t>1951-03</t>
  </si>
  <si>
    <t>1951-04</t>
  </si>
  <si>
    <t>1951-05</t>
  </si>
  <si>
    <t>1951-06</t>
  </si>
  <si>
    <t>1951-07</t>
  </si>
  <si>
    <t>1951-08</t>
  </si>
  <si>
    <t>1951-09</t>
  </si>
  <si>
    <t>1951-10</t>
  </si>
  <si>
    <t>1951-11</t>
  </si>
  <si>
    <t>1951-12</t>
  </si>
  <si>
    <t>1952-01</t>
  </si>
  <si>
    <t>1952-02</t>
  </si>
  <si>
    <t>1952-03</t>
  </si>
  <si>
    <t>1952-04</t>
  </si>
  <si>
    <t>1952-05</t>
  </si>
  <si>
    <t>1952-06</t>
  </si>
  <si>
    <t>1952-07</t>
  </si>
  <si>
    <t>1952-08</t>
  </si>
  <si>
    <t>1952-09</t>
  </si>
  <si>
    <t>1952-10</t>
  </si>
  <si>
    <t>1952-11</t>
  </si>
  <si>
    <t>1952-12</t>
  </si>
  <si>
    <t>1953-01</t>
  </si>
  <si>
    <t>1953-02</t>
  </si>
  <si>
    <t>1953-03</t>
  </si>
  <si>
    <t>1953-04</t>
  </si>
  <si>
    <t>1953-05</t>
  </si>
  <si>
    <t>1953-06</t>
  </si>
  <si>
    <t>1953-07</t>
  </si>
  <si>
    <t>1953-08</t>
  </si>
  <si>
    <t>1953-09</t>
  </si>
  <si>
    <t>1953-10</t>
  </si>
  <si>
    <t>1953-11</t>
  </si>
  <si>
    <t>1953-12</t>
  </si>
  <si>
    <t>1954-01</t>
  </si>
  <si>
    <t>1954-02</t>
  </si>
  <si>
    <t>1954-03</t>
  </si>
  <si>
    <t>1954-04</t>
  </si>
  <si>
    <t>1954-05</t>
  </si>
  <si>
    <t>1954-06</t>
  </si>
  <si>
    <t>1954-07</t>
  </si>
  <si>
    <t>1954-08</t>
  </si>
  <si>
    <t>1954-09</t>
  </si>
  <si>
    <t>1954-10</t>
  </si>
  <si>
    <t>1954-11</t>
  </si>
  <si>
    <t>1954-12</t>
  </si>
  <si>
    <t>CZE</t>
  </si>
  <si>
    <t>DNK</t>
  </si>
  <si>
    <t>FIN</t>
  </si>
  <si>
    <t>FRA</t>
  </si>
  <si>
    <t>DEU</t>
  </si>
  <si>
    <t>GRC</t>
  </si>
  <si>
    <t>HUN</t>
  </si>
  <si>
    <t>ISL</t>
  </si>
  <si>
    <t>IRL</t>
  </si>
  <si>
    <t>ITA</t>
  </si>
  <si>
    <t>JPN</t>
  </si>
  <si>
    <t>KOR</t>
  </si>
  <si>
    <t>LUX</t>
  </si>
  <si>
    <t>MEX</t>
  </si>
  <si>
    <t>NLD</t>
  </si>
  <si>
    <t>NOR</t>
  </si>
  <si>
    <t>POL</t>
  </si>
  <si>
    <t>PRT</t>
  </si>
  <si>
    <t>SVK</t>
  </si>
  <si>
    <t>ESP</t>
  </si>
  <si>
    <t>SWE</t>
  </si>
  <si>
    <t>CHE</t>
  </si>
  <si>
    <t>TUR</t>
  </si>
  <si>
    <t>GBR</t>
  </si>
  <si>
    <t>USA</t>
  </si>
  <si>
    <t>BRA</t>
  </si>
  <si>
    <t>CHL</t>
  </si>
  <si>
    <t>CHN</t>
  </si>
  <si>
    <t>EST</t>
  </si>
  <si>
    <t>IND</t>
  </si>
  <si>
    <t>IDN</t>
  </si>
  <si>
    <t>ISR</t>
  </si>
  <si>
    <t>RUS</t>
  </si>
  <si>
    <t>SVN</t>
  </si>
  <si>
    <t>ZAF</t>
  </si>
  <si>
    <t>OECD</t>
  </si>
  <si>
    <t>G-7</t>
  </si>
  <si>
    <t>OECDE</t>
  </si>
  <si>
    <t>COL</t>
  </si>
  <si>
    <t>LVA</t>
  </si>
  <si>
    <t>SAU</t>
  </si>
  <si>
    <t>EU28</t>
  </si>
  <si>
    <t>EA19</t>
  </si>
  <si>
    <t>LTU</t>
  </si>
  <si>
    <t>CRI</t>
  </si>
  <si>
    <t>G-20</t>
  </si>
  <si>
    <t>2018-04</t>
  </si>
  <si>
    <t>1949-01</t>
  </si>
  <si>
    <t>1949-02</t>
  </si>
  <si>
    <t>1949-03</t>
  </si>
  <si>
    <t>1949-04</t>
  </si>
  <si>
    <t>1949-05</t>
  </si>
  <si>
    <t>1949-06</t>
  </si>
  <si>
    <t>1949-07</t>
  </si>
  <si>
    <t>1949-08</t>
  </si>
  <si>
    <t>1949-09</t>
  </si>
  <si>
    <t>1949-10</t>
  </si>
  <si>
    <t>1949-11</t>
  </si>
  <si>
    <t>1949-12</t>
  </si>
  <si>
    <t>2018-05</t>
  </si>
  <si>
    <t>2018-06</t>
  </si>
  <si>
    <t>2018-07</t>
  </si>
  <si>
    <t>CPI YoY</t>
  </si>
  <si>
    <t>2018-08</t>
  </si>
  <si>
    <t>2018-09</t>
  </si>
  <si>
    <t>2018-10</t>
  </si>
  <si>
    <t>2018-11</t>
  </si>
  <si>
    <t>2018-12</t>
  </si>
  <si>
    <t>Select 2015 =100</t>
  </si>
  <si>
    <t>Start Janv 1955</t>
  </si>
  <si>
    <t>Start Jan 1949</t>
  </si>
  <si>
    <t>Annualized</t>
  </si>
  <si>
    <t xml:space="preserve">CPI core yoy </t>
  </si>
  <si>
    <t>AUS</t>
  </si>
  <si>
    <t>ARG</t>
  </si>
  <si>
    <t>NZL</t>
  </si>
  <si>
    <t>Last month</t>
  </si>
  <si>
    <t>modify max/min/avg</t>
  </si>
  <si>
    <t>US</t>
  </si>
  <si>
    <t xml:space="preserve">China </t>
  </si>
  <si>
    <t>Eurozone</t>
  </si>
  <si>
    <t xml:space="preserve">Japan </t>
  </si>
  <si>
    <t>Germany</t>
  </si>
  <si>
    <t>France</t>
  </si>
  <si>
    <t>UK</t>
  </si>
  <si>
    <t xml:space="preserve">Italy </t>
  </si>
  <si>
    <t>Spain</t>
  </si>
  <si>
    <t>Sweden</t>
  </si>
  <si>
    <t>Mexico</t>
  </si>
  <si>
    <t>Russia</t>
  </si>
  <si>
    <t>India</t>
  </si>
  <si>
    <t>Canada</t>
  </si>
  <si>
    <t>Australia</t>
  </si>
  <si>
    <t>Switzerland</t>
  </si>
  <si>
    <t xml:space="preserve">S Korea </t>
  </si>
  <si>
    <t>Brazil</t>
  </si>
  <si>
    <t>Greece</t>
  </si>
  <si>
    <t>Ireland</t>
  </si>
  <si>
    <t>Turkey</t>
  </si>
  <si>
    <t xml:space="preserve">Czech </t>
  </si>
  <si>
    <t>Poland</t>
  </si>
  <si>
    <t>Argentina</t>
  </si>
  <si>
    <t>New Zealand</t>
  </si>
  <si>
    <t>max 1y</t>
  </si>
  <si>
    <t>min 1y</t>
  </si>
  <si>
    <t>1y avg</t>
  </si>
  <si>
    <t>Last vs 12m avg</t>
  </si>
  <si>
    <t>Y/Y</t>
  </si>
  <si>
    <t>M/M</t>
  </si>
  <si>
    <t>2000-Q1</t>
  </si>
  <si>
    <t>2000-Q2</t>
  </si>
  <si>
    <t>2000-Q3</t>
  </si>
  <si>
    <t>2000-Q4</t>
  </si>
  <si>
    <t>2001-Q1</t>
  </si>
  <si>
    <t>2001-Q2</t>
  </si>
  <si>
    <t>2001-Q3</t>
  </si>
  <si>
    <t>2001-Q4</t>
  </si>
  <si>
    <t>2002-Q1</t>
  </si>
  <si>
    <t>2002-Q2</t>
  </si>
  <si>
    <t>2002-Q3</t>
  </si>
  <si>
    <t>2002-Q4</t>
  </si>
  <si>
    <t>2003-Q1</t>
  </si>
  <si>
    <t>2003-Q2</t>
  </si>
  <si>
    <t>2003-Q3</t>
  </si>
  <si>
    <t>2003-Q4</t>
  </si>
  <si>
    <t>2004-Q1</t>
  </si>
  <si>
    <t>2004-Q2</t>
  </si>
  <si>
    <t>2004-Q3</t>
  </si>
  <si>
    <t>2004-Q4</t>
  </si>
  <si>
    <t>2005-Q1</t>
  </si>
  <si>
    <t>2005-Q2</t>
  </si>
  <si>
    <t>2005-Q3</t>
  </si>
  <si>
    <t>2005-Q4</t>
  </si>
  <si>
    <t>2006-Q1</t>
  </si>
  <si>
    <t>2006-Q2</t>
  </si>
  <si>
    <t>2006-Q3</t>
  </si>
  <si>
    <t>2006-Q4</t>
  </si>
  <si>
    <t>2007-Q1</t>
  </si>
  <si>
    <t>2007-Q2</t>
  </si>
  <si>
    <t>2007-Q3</t>
  </si>
  <si>
    <t>2007-Q4</t>
  </si>
  <si>
    <t>2008-Q1</t>
  </si>
  <si>
    <t>2008-Q2</t>
  </si>
  <si>
    <t>2008-Q3</t>
  </si>
  <si>
    <t>2019-1</t>
  </si>
  <si>
    <t>2019-2</t>
  </si>
  <si>
    <t>2019-3</t>
  </si>
  <si>
    <t>2019-4</t>
  </si>
  <si>
    <t>2019-5</t>
  </si>
  <si>
    <t>2019-6</t>
  </si>
  <si>
    <t>2019-7</t>
  </si>
  <si>
    <t>2019-8</t>
  </si>
  <si>
    <t>Total</t>
  </si>
  <si>
    <t>Total less food, less energy</t>
  </si>
  <si>
    <t>`</t>
  </si>
  <si>
    <t>CPI yoy</t>
  </si>
  <si>
    <t xml:space="preserve">Monthly Change </t>
  </si>
  <si>
    <t>Core CPI</t>
  </si>
  <si>
    <t>ABW</t>
  </si>
  <si>
    <t>Aruba</t>
  </si>
  <si>
    <t>AFG</t>
  </si>
  <si>
    <t>Afghanistan</t>
  </si>
  <si>
    <t>AFRI</t>
  </si>
  <si>
    <t>Africa</t>
  </si>
  <si>
    <t>AGO</t>
  </si>
  <si>
    <t>Angola</t>
  </si>
  <si>
    <t>AIA</t>
  </si>
  <si>
    <t>Anguilla</t>
  </si>
  <si>
    <t>ALB</t>
  </si>
  <si>
    <t>Albania</t>
  </si>
  <si>
    <t>AND</t>
  </si>
  <si>
    <t>Andorra</t>
  </si>
  <si>
    <t>ANT</t>
  </si>
  <si>
    <t>Netherlands Antilles</t>
  </si>
  <si>
    <t>ARE</t>
  </si>
  <si>
    <t>United Arab Emirates</t>
  </si>
  <si>
    <t>ASIA</t>
  </si>
  <si>
    <t>Asia</t>
  </si>
  <si>
    <t>ASM</t>
  </si>
  <si>
    <t>American Samoa</t>
  </si>
  <si>
    <t>ATG</t>
  </si>
  <si>
    <t>Antigua and Barbuda</t>
  </si>
  <si>
    <t>Austria</t>
  </si>
  <si>
    <t>BDI</t>
  </si>
  <si>
    <t>Burundi</t>
  </si>
  <si>
    <t>Belgium</t>
  </si>
  <si>
    <t>BEN</t>
  </si>
  <si>
    <t>Benin</t>
  </si>
  <si>
    <t>BFA</t>
  </si>
  <si>
    <t>Burkina Faso</t>
  </si>
  <si>
    <t>BGD</t>
  </si>
  <si>
    <t>Bangladesh</t>
  </si>
  <si>
    <t>BGR</t>
  </si>
  <si>
    <t>Bulgaria</t>
  </si>
  <si>
    <t>BHR</t>
  </si>
  <si>
    <t>Bahrain</t>
  </si>
  <si>
    <t>BHS</t>
  </si>
  <si>
    <t>Bahamas</t>
  </si>
  <si>
    <t>BLZ</t>
  </si>
  <si>
    <t>Belize</t>
  </si>
  <si>
    <t>BMU</t>
  </si>
  <si>
    <t>Bermuda</t>
  </si>
  <si>
    <t>BOL</t>
  </si>
  <si>
    <t>Bolivia</t>
  </si>
  <si>
    <t>BRB</t>
  </si>
  <si>
    <t>Barbados</t>
  </si>
  <si>
    <t>BRN</t>
  </si>
  <si>
    <t>Brunei Darussalam</t>
  </si>
  <si>
    <t>BTN</t>
  </si>
  <si>
    <t>Bhutan</t>
  </si>
  <si>
    <t>BWA</t>
  </si>
  <si>
    <t>Botswana</t>
  </si>
  <si>
    <t>CAF</t>
  </si>
  <si>
    <t>Central African Republic</t>
  </si>
  <si>
    <t>CCK</t>
  </si>
  <si>
    <t>Cocos (Keeling) Islands</t>
  </si>
  <si>
    <t>Chile</t>
  </si>
  <si>
    <t>China</t>
  </si>
  <si>
    <t>CIV</t>
  </si>
  <si>
    <t>Côte d'Ivoire</t>
  </si>
  <si>
    <t>CMR</t>
  </si>
  <si>
    <t>Cameroon</t>
  </si>
  <si>
    <t>COD</t>
  </si>
  <si>
    <t>Congo, Dem. Rep. Of</t>
  </si>
  <si>
    <t>COG</t>
  </si>
  <si>
    <t>Congo</t>
  </si>
  <si>
    <t>COK</t>
  </si>
  <si>
    <t>Cook Islands</t>
  </si>
  <si>
    <t>Colombia</t>
  </si>
  <si>
    <t>COM</t>
  </si>
  <si>
    <t>Comoros</t>
  </si>
  <si>
    <t>CPV</t>
  </si>
  <si>
    <t>Cape Verde</t>
  </si>
  <si>
    <t>Costa Rica</t>
  </si>
  <si>
    <t>CSFR</t>
  </si>
  <si>
    <t>Former Czechoslovakia</t>
  </si>
  <si>
    <t>CSFR-CZE</t>
  </si>
  <si>
    <t>Czech Republic</t>
  </si>
  <si>
    <t>CSFR-SVK</t>
  </si>
  <si>
    <t>Slovak Republic</t>
  </si>
  <si>
    <t>CUB</t>
  </si>
  <si>
    <t>Cuba</t>
  </si>
  <si>
    <t>CYM</t>
  </si>
  <si>
    <t>Cayman Islands</t>
  </si>
  <si>
    <t>CYP</t>
  </si>
  <si>
    <t>Cyprus</t>
  </si>
  <si>
    <t>DJI</t>
  </si>
  <si>
    <t>Djibouti</t>
  </si>
  <si>
    <t>DMA</t>
  </si>
  <si>
    <t>Dominica</t>
  </si>
  <si>
    <t>Denmark</t>
  </si>
  <si>
    <t>DOM</t>
  </si>
  <si>
    <t>Dominican Republic</t>
  </si>
  <si>
    <t>DZA</t>
  </si>
  <si>
    <t>Algeria</t>
  </si>
  <si>
    <t>ECU</t>
  </si>
  <si>
    <t>Ecuador</t>
  </si>
  <si>
    <t>EGY</t>
  </si>
  <si>
    <t>Egypt</t>
  </si>
  <si>
    <t>ERI</t>
  </si>
  <si>
    <t>Eritrea</t>
  </si>
  <si>
    <t>ESH</t>
  </si>
  <si>
    <t>Western Sahara</t>
  </si>
  <si>
    <t>ETH</t>
  </si>
  <si>
    <t>Ethiopia</t>
  </si>
  <si>
    <t>EURO</t>
  </si>
  <si>
    <t>Europe</t>
  </si>
  <si>
    <t>Finland</t>
  </si>
  <si>
    <t>FJI</t>
  </si>
  <si>
    <t>Fiji</t>
  </si>
  <si>
    <t>FLK</t>
  </si>
  <si>
    <t>Falkland Islands</t>
  </si>
  <si>
    <t>FSM</t>
  </si>
  <si>
    <t>Micronesia, Federated states of</t>
  </si>
  <si>
    <t>FYUG</t>
  </si>
  <si>
    <t>Former Yugoslavia</t>
  </si>
  <si>
    <t>FYUG-BIH</t>
  </si>
  <si>
    <t>Bosnia-Herzegovina</t>
  </si>
  <si>
    <t>FYUG-HRV</t>
  </si>
  <si>
    <t>Croatia</t>
  </si>
  <si>
    <t>FYUG-MKD</t>
  </si>
  <si>
    <t>Macedonia</t>
  </si>
  <si>
    <t>FYUG-SVN</t>
  </si>
  <si>
    <t>Slovenia</t>
  </si>
  <si>
    <t>FYUG-YUG</t>
  </si>
  <si>
    <t>Serbia and Montenegro</t>
  </si>
  <si>
    <t>GAB</t>
  </si>
  <si>
    <t>Gabon</t>
  </si>
  <si>
    <t>United Kingdom</t>
  </si>
  <si>
    <t>GHA</t>
  </si>
  <si>
    <t>Ghana</t>
  </si>
  <si>
    <t>GIB</t>
  </si>
  <si>
    <t>Gibraltar</t>
  </si>
  <si>
    <t>GIN</t>
  </si>
  <si>
    <t>Guinea</t>
  </si>
  <si>
    <t>GMB</t>
  </si>
  <si>
    <t>Gambia</t>
  </si>
  <si>
    <t>GNB</t>
  </si>
  <si>
    <t>Guinea-Bissau</t>
  </si>
  <si>
    <t>GNQ</t>
  </si>
  <si>
    <t>Equatorial Guinea</t>
  </si>
  <si>
    <t>GRD</t>
  </si>
  <si>
    <t>Grenada</t>
  </si>
  <si>
    <t>GTM</t>
  </si>
  <si>
    <t>Guatemala</t>
  </si>
  <si>
    <t>GUM</t>
  </si>
  <si>
    <t>Guam</t>
  </si>
  <si>
    <t>GUY</t>
  </si>
  <si>
    <t>Guyana</t>
  </si>
  <si>
    <t>HKG</t>
  </si>
  <si>
    <t>Hong Kong</t>
  </si>
  <si>
    <t>HND</t>
  </si>
  <si>
    <t>Honduras</t>
  </si>
  <si>
    <t>HTI</t>
  </si>
  <si>
    <t>Haiti</t>
  </si>
  <si>
    <t>Hungary</t>
  </si>
  <si>
    <t>Indonesia</t>
  </si>
  <si>
    <t>IOT</t>
  </si>
  <si>
    <t>British Indian Ocean Territory</t>
  </si>
  <si>
    <t>IRN</t>
  </si>
  <si>
    <t>Iran</t>
  </si>
  <si>
    <t>IRQ</t>
  </si>
  <si>
    <t>Iraq</t>
  </si>
  <si>
    <t>Iceland</t>
  </si>
  <si>
    <t>Israel</t>
  </si>
  <si>
    <t>Italy</t>
  </si>
  <si>
    <t>JAM</t>
  </si>
  <si>
    <t>Jamaica</t>
  </si>
  <si>
    <t>JOR</t>
  </si>
  <si>
    <t>Jordan</t>
  </si>
  <si>
    <t>Japan</t>
  </si>
  <si>
    <t>KEN</t>
  </si>
  <si>
    <t>Kenya</t>
  </si>
  <si>
    <t>KHM</t>
  </si>
  <si>
    <t>Cambodia</t>
  </si>
  <si>
    <t>KIR</t>
  </si>
  <si>
    <t>Kiribati</t>
  </si>
  <si>
    <t>KNA</t>
  </si>
  <si>
    <t>Saint Kitts and Nevis</t>
  </si>
  <si>
    <t>KOREA-NO</t>
  </si>
  <si>
    <t>North Korea</t>
  </si>
  <si>
    <t>KOREA-NS</t>
  </si>
  <si>
    <t>South Korea</t>
  </si>
  <si>
    <t>KOREA-SO</t>
  </si>
  <si>
    <t>North and South Korea</t>
  </si>
  <si>
    <t>KWT</t>
  </si>
  <si>
    <t>Kuwait</t>
  </si>
  <si>
    <t>LAO</t>
  </si>
  <si>
    <t>Laos</t>
  </si>
  <si>
    <t>LBN</t>
  </si>
  <si>
    <t>Lebanon</t>
  </si>
  <si>
    <t>LBR</t>
  </si>
  <si>
    <t>Liberia</t>
  </si>
  <si>
    <t>LBY</t>
  </si>
  <si>
    <t>Libya</t>
  </si>
  <si>
    <t>LCA</t>
  </si>
  <si>
    <t>Saint Lucia</t>
  </si>
  <si>
    <t>LIE</t>
  </si>
  <si>
    <t>Liechtenstein</t>
  </si>
  <si>
    <t>LKA</t>
  </si>
  <si>
    <t>Sri Lanka</t>
  </si>
  <si>
    <t>LSO</t>
  </si>
  <si>
    <t>Lesotho</t>
  </si>
  <si>
    <t>Luxembourg</t>
  </si>
  <si>
    <t>MAC</t>
  </si>
  <si>
    <t>Macau</t>
  </si>
  <si>
    <t>MAR</t>
  </si>
  <si>
    <t>Morocco</t>
  </si>
  <si>
    <t>MCO</t>
  </si>
  <si>
    <t>Monaco</t>
  </si>
  <si>
    <t>MDG</t>
  </si>
  <si>
    <t>Madagascar</t>
  </si>
  <si>
    <t>MDV</t>
  </si>
  <si>
    <t>Maldives</t>
  </si>
  <si>
    <t>MHL</t>
  </si>
  <si>
    <t>Marshall Islands</t>
  </si>
  <si>
    <t>MLI</t>
  </si>
  <si>
    <t>Mali</t>
  </si>
  <si>
    <t>MLT</t>
  </si>
  <si>
    <t>Malta</t>
  </si>
  <si>
    <t>MMR</t>
  </si>
  <si>
    <t>Myanmar</t>
  </si>
  <si>
    <t>MNG</t>
  </si>
  <si>
    <t>Mongolia</t>
  </si>
  <si>
    <t>MNP</t>
  </si>
  <si>
    <t>Northern Mariana Islands</t>
  </si>
  <si>
    <t>MOZ</t>
  </si>
  <si>
    <t>Mozambique</t>
  </si>
  <si>
    <t>MRT</t>
  </si>
  <si>
    <t>Mauritania</t>
  </si>
  <si>
    <t>MSR</t>
  </si>
  <si>
    <t>Montserrat</t>
  </si>
  <si>
    <t>MUS</t>
  </si>
  <si>
    <t>Mauritius</t>
  </si>
  <si>
    <t>MWI</t>
  </si>
  <si>
    <t>Malawi</t>
  </si>
  <si>
    <t>MYS</t>
  </si>
  <si>
    <t>Malaysia</t>
  </si>
  <si>
    <t>NAM</t>
  </si>
  <si>
    <t>Namibia</t>
  </si>
  <si>
    <t>NER</t>
  </si>
  <si>
    <t>Niger</t>
  </si>
  <si>
    <t>NFK</t>
  </si>
  <si>
    <t>Norfolk Islands</t>
  </si>
  <si>
    <t>NGA</t>
  </si>
  <si>
    <t>Nigeria</t>
  </si>
  <si>
    <t>NIC</t>
  </si>
  <si>
    <t>Nicaragua</t>
  </si>
  <si>
    <t>NIU</t>
  </si>
  <si>
    <t>Niue</t>
  </si>
  <si>
    <t>Netherlands</t>
  </si>
  <si>
    <t>NOAM</t>
  </si>
  <si>
    <t>North America</t>
  </si>
  <si>
    <t>Norway</t>
  </si>
  <si>
    <t>NPL</t>
  </si>
  <si>
    <t>Nepal</t>
  </si>
  <si>
    <t>NRU</t>
  </si>
  <si>
    <t>Nauru</t>
  </si>
  <si>
    <t>OCEA</t>
  </si>
  <si>
    <t>Oceania</t>
  </si>
  <si>
    <t>OMN</t>
  </si>
  <si>
    <t>Oman</t>
  </si>
  <si>
    <t>OTH</t>
  </si>
  <si>
    <t>Other</t>
  </si>
  <si>
    <t>PAK</t>
  </si>
  <si>
    <t>Pakistan</t>
  </si>
  <si>
    <t>PAN</t>
  </si>
  <si>
    <t>Panama</t>
  </si>
  <si>
    <t>PCN</t>
  </si>
  <si>
    <t>Pitcairn</t>
  </si>
  <si>
    <t>PER</t>
  </si>
  <si>
    <t>Peru</t>
  </si>
  <si>
    <t>PHL</t>
  </si>
  <si>
    <t>Philippines</t>
  </si>
  <si>
    <t>PLW</t>
  </si>
  <si>
    <t>Pacific Islands (Palau)</t>
  </si>
  <si>
    <t>PNG</t>
  </si>
  <si>
    <t>Papua New Guinea</t>
  </si>
  <si>
    <t>PRI</t>
  </si>
  <si>
    <t>Puerto Rico</t>
  </si>
  <si>
    <t>Portugal</t>
  </si>
  <si>
    <t>PRY</t>
  </si>
  <si>
    <t>Paraguay</t>
  </si>
  <si>
    <t>PSE</t>
  </si>
  <si>
    <t>Occupied Palestinian Territory</t>
  </si>
  <si>
    <t>QAT</t>
  </si>
  <si>
    <t>Qatar</t>
  </si>
  <si>
    <t>ROU</t>
  </si>
  <si>
    <t>Romania</t>
  </si>
  <si>
    <t>RWA</t>
  </si>
  <si>
    <t>Rwanda</t>
  </si>
  <si>
    <t>Saudi Arabia</t>
  </si>
  <si>
    <t>SCAC</t>
  </si>
  <si>
    <t>South and Central America</t>
  </si>
  <si>
    <t>SDN</t>
  </si>
  <si>
    <t>Sudan</t>
  </si>
  <si>
    <t>SEN</t>
  </si>
  <si>
    <t>Senegal</t>
  </si>
  <si>
    <t>SGP</t>
  </si>
  <si>
    <t>Singapore</t>
  </si>
  <si>
    <t>SHN</t>
  </si>
  <si>
    <t>Saint Helena</t>
  </si>
  <si>
    <t>SJM</t>
  </si>
  <si>
    <t>Svalbard and Jan Mayen Islands</t>
  </si>
  <si>
    <t>SLB</t>
  </si>
  <si>
    <t>Solomon Islands</t>
  </si>
  <si>
    <t>SLE</t>
  </si>
  <si>
    <t>Sierra Leone</t>
  </si>
  <si>
    <t>SLV</t>
  </si>
  <si>
    <t>El Salvador</t>
  </si>
  <si>
    <t>SMR</t>
  </si>
  <si>
    <t>San Marino</t>
  </si>
  <si>
    <t>SOM</t>
  </si>
  <si>
    <t>Somalia</t>
  </si>
  <si>
    <t>STP</t>
  </si>
  <si>
    <t>Sao Tome and Principe</t>
  </si>
  <si>
    <t>SUR</t>
  </si>
  <si>
    <t>Suriname</t>
  </si>
  <si>
    <t>SWZ</t>
  </si>
  <si>
    <t>Swaziland</t>
  </si>
  <si>
    <t>SYC</t>
  </si>
  <si>
    <t>Seychelles</t>
  </si>
  <si>
    <t>SYR</t>
  </si>
  <si>
    <t>Syria</t>
  </si>
  <si>
    <t>TCA</t>
  </si>
  <si>
    <t>Turks and Caicos Islands</t>
  </si>
  <si>
    <t>TCD</t>
  </si>
  <si>
    <t>Chad</t>
  </si>
  <si>
    <t>TGO</t>
  </si>
  <si>
    <t>Togo</t>
  </si>
  <si>
    <t>THA</t>
  </si>
  <si>
    <t>Thailand</t>
  </si>
  <si>
    <t>TKL</t>
  </si>
  <si>
    <t>Tokelau</t>
  </si>
  <si>
    <t>TLS</t>
  </si>
  <si>
    <t>Timor-Leste</t>
  </si>
  <si>
    <t>TMP</t>
  </si>
  <si>
    <t>East Timor</t>
  </si>
  <si>
    <t>TON</t>
  </si>
  <si>
    <t>Tonga</t>
  </si>
  <si>
    <t>TTO</t>
  </si>
  <si>
    <t>Trinidad and Tobago</t>
  </si>
  <si>
    <t>TUN</t>
  </si>
  <si>
    <t>Tunisia</t>
  </si>
  <si>
    <t>TUV</t>
  </si>
  <si>
    <t>Tuvalu</t>
  </si>
  <si>
    <t>TWN</t>
  </si>
  <si>
    <t>Chinese Taipei</t>
  </si>
  <si>
    <t>TZA</t>
  </si>
  <si>
    <t>United Republic of Tanzania</t>
  </si>
  <si>
    <t>UGA</t>
  </si>
  <si>
    <t>Unknown</t>
  </si>
  <si>
    <t>UNK</t>
  </si>
  <si>
    <t>URY</t>
  </si>
  <si>
    <t>Uruguay</t>
  </si>
  <si>
    <t>United States</t>
  </si>
  <si>
    <t>USSR</t>
  </si>
  <si>
    <t>Former USSR</t>
  </si>
  <si>
    <t>USSR-ARM</t>
  </si>
  <si>
    <t>Armenia</t>
  </si>
  <si>
    <t>USSR-AZE</t>
  </si>
  <si>
    <t>Azerbaidjan</t>
  </si>
  <si>
    <t>USSR-BLR</t>
  </si>
  <si>
    <t>Belarus</t>
  </si>
  <si>
    <t>USSR-EST</t>
  </si>
  <si>
    <t>Estonia</t>
  </si>
  <si>
    <t>USSR-GEO</t>
  </si>
  <si>
    <t>Georgia</t>
  </si>
  <si>
    <t>USSR-KAZ</t>
  </si>
  <si>
    <t>Kazakhstan</t>
  </si>
  <si>
    <t>USSR-KGZ</t>
  </si>
  <si>
    <t>Kirghizistan</t>
  </si>
  <si>
    <t>USSR-LTU</t>
  </si>
  <si>
    <t>Lithuania</t>
  </si>
  <si>
    <t>USSR-LVA</t>
  </si>
  <si>
    <t>Latvia</t>
  </si>
  <si>
    <t>USSR-MDA</t>
  </si>
  <si>
    <t>Moldova</t>
  </si>
  <si>
    <t>USSR-RUS</t>
  </si>
  <si>
    <t>USSR-TJK</t>
  </si>
  <si>
    <t>Tadjikistan</t>
  </si>
  <si>
    <t>USSR-TKM</t>
  </si>
  <si>
    <t>Turkménistan</t>
  </si>
  <si>
    <t>USSR-UKR</t>
  </si>
  <si>
    <t>Ukraine</t>
  </si>
  <si>
    <t>USSR-UZB</t>
  </si>
  <si>
    <t>Uzbekistan</t>
  </si>
  <si>
    <t>VAT</t>
  </si>
  <si>
    <t>Holy See</t>
  </si>
  <si>
    <t>VCT</t>
  </si>
  <si>
    <t>Saint Vincent and the Grenadines</t>
  </si>
  <si>
    <t>VEN</t>
  </si>
  <si>
    <t>Venezuela</t>
  </si>
  <si>
    <t>VGB</t>
  </si>
  <si>
    <t>British Virgin Islands</t>
  </si>
  <si>
    <t>VIR</t>
  </si>
  <si>
    <t>United States Virgin Islands</t>
  </si>
  <si>
    <t>VNM</t>
  </si>
  <si>
    <t>Vietnam</t>
  </si>
  <si>
    <t>VUT</t>
  </si>
  <si>
    <t>Vanuatu</t>
  </si>
  <si>
    <t>WSM</t>
  </si>
  <si>
    <t>Samoa</t>
  </si>
  <si>
    <t>YEM</t>
  </si>
  <si>
    <t>Yemen</t>
  </si>
  <si>
    <t>South Africa</t>
  </si>
  <si>
    <t>ZMB</t>
  </si>
  <si>
    <t>Zambia</t>
  </si>
  <si>
    <t>ZWE</t>
  </si>
  <si>
    <t>Zimbabwe</t>
  </si>
  <si>
    <t xml:space="preserve">Ticker </t>
  </si>
  <si>
    <t>Country</t>
  </si>
  <si>
    <t>Definition</t>
  </si>
  <si>
    <t>Process / TO DO LIST</t>
  </si>
  <si>
    <t>TO DO LIST</t>
  </si>
  <si>
    <t>Comments</t>
  </si>
  <si>
    <t>Global Consumer Price Index</t>
  </si>
  <si>
    <t>Inflation measured by consumer price index (CPI) is defined as the change in the prices of a basket of goods and services that are typically purchased by specific groups of households. Inflation is measured in terms of the annual growth rate and in index, 2015 base year with a breakdown for food, energy and total excluding food and energy. Inflation measures the erosion of living standards. A consumer price index is estimated as a series of summary measures of the period-to-period proportional change in the prices of a fixed set of consumer goods and services of constant quantity and characteristics, acquired, used or paid for by the reference population. Each summary measure is constructed as a weighted average of a large number of elementary aggregate indices. Each of the elementary aggregate indices is estimated using a sample of prices for a defined set of goods and services obtained in, or by residents of, a specific region from a given set of outlets or other sources of consumption goods and services.</t>
  </si>
  <si>
    <t>In Data</t>
  </si>
  <si>
    <t>In Data Core CPI</t>
  </si>
  <si>
    <t>Manually or create macro</t>
  </si>
  <si>
    <t>Input Country Ticker in B2. Example: DEU for Germany</t>
  </si>
  <si>
    <t>2019-9</t>
  </si>
  <si>
    <t>2019-10</t>
  </si>
  <si>
    <t>2019-11</t>
  </si>
  <si>
    <t>2019-12</t>
  </si>
  <si>
    <t>2020-1</t>
  </si>
  <si>
    <t>2020-2</t>
  </si>
  <si>
    <t>2020-3</t>
  </si>
  <si>
    <t>2020-4</t>
  </si>
  <si>
    <t>2020-5</t>
  </si>
  <si>
    <t>2019-01</t>
  </si>
  <si>
    <t>2019-02</t>
  </si>
  <si>
    <t>2019-03</t>
  </si>
  <si>
    <t>2019-04</t>
  </si>
  <si>
    <t>2019-05</t>
  </si>
  <si>
    <t>2019-06</t>
  </si>
  <si>
    <t>2019-07</t>
  </si>
  <si>
    <t>2019-08</t>
  </si>
  <si>
    <t>2019-09</t>
  </si>
  <si>
    <t>2020-01</t>
  </si>
  <si>
    <t>2020-02</t>
  </si>
  <si>
    <t>2020-03</t>
  </si>
  <si>
    <t>2020-04</t>
  </si>
  <si>
    <t>2020-05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</si>
</sst>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
  </numFmts>
  <fonts count="15" x14ac:knownFonts="1">
    <font>
      <sz val="11"/>
      <color theme="1"/>
      <name val="Calibri"/>
      <family val="2"/>
      <scheme val="minor"/>
    </font>
    <font>
      <u/>
      <sz val="11"/>
      <color theme="10"/>
      <name val="Calibri"/>
      <family val="2"/>
      <scheme val="minor"/>
    </font>
    <font>
      <sz val="9"/>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sz val="11"/>
      <color theme="1"/>
      <name val="Calibri"/>
      <family val="2"/>
      <scheme val="minor"/>
    </font>
    <font>
      <sz val="8"/>
      <name val="Calibri"/>
      <family val="2"/>
      <scheme val="minor"/>
    </font>
    <font>
      <b/>
      <sz val="11"/>
      <color theme="1"/>
      <name val="Calibri"/>
      <family val="2"/>
      <scheme val="minor"/>
    </font>
    <font>
      <sz val="11"/>
      <color rgb="FF00B0F0"/>
      <name val="Calibri"/>
      <family val="2"/>
      <scheme val="minor"/>
    </font>
    <font>
      <sz val="9"/>
      <color rgb="FF00B0F0"/>
      <name val="Calibri"/>
      <family val="2"/>
      <scheme val="minor"/>
    </font>
    <font>
      <sz val="10"/>
      <name val="Arial"/>
      <family val="2"/>
    </font>
    <font>
      <sz val="11"/>
      <color theme="0"/>
      <name val="Calibri"/>
      <family val="2"/>
      <scheme val="minor"/>
    </font>
    <font>
      <b/>
      <sz val="11"/>
      <color theme="0"/>
      <name val="Calibri"/>
      <family val="2"/>
      <scheme val="minor"/>
    </font>
    <font>
      <sz val="11"/>
      <name val="Calibri"/>
      <family val="2"/>
      <scheme val="minor"/>
    </font>
  </fonts>
  <fills count="12">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00B0F0"/>
        <bgColor indexed="64"/>
      </patternFill>
    </fill>
    <fill>
      <patternFill patternType="solid">
        <fgColor theme="4" tint="0.79998168889431442"/>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s>
  <cellStyleXfs count="4">
    <xf numFmtId="0" fontId="0" fillId="0" borderId="0"/>
    <xf numFmtId="0" fontId="1" fillId="0" borderId="0" applyNumberFormat="0" applyFill="0" applyBorder="0" applyAlignment="0" applyProtection="0"/>
    <xf numFmtId="9" fontId="6" fillId="0" borderId="0" applyFont="0" applyFill="0" applyBorder="0" applyAlignment="0" applyProtection="0"/>
    <xf numFmtId="0" fontId="11" fillId="0" borderId="0"/>
  </cellStyleXfs>
  <cellXfs count="98">
    <xf numFmtId="0" fontId="0" fillId="0" borderId="0" xfId="0"/>
    <xf numFmtId="10" fontId="0" fillId="0" borderId="0" xfId="0" applyNumberFormat="1" applyAlignment="1">
      <alignment horizontal="center"/>
    </xf>
    <xf numFmtId="2" fontId="0" fillId="0" borderId="0" xfId="0" applyNumberFormat="1" applyAlignment="1">
      <alignment horizontal="center"/>
    </xf>
    <xf numFmtId="0" fontId="0" fillId="2" borderId="0" xfId="0" applyFill="1"/>
    <xf numFmtId="0" fontId="3" fillId="0" borderId="1" xfId="0" applyFont="1" applyBorder="1"/>
    <xf numFmtId="0" fontId="4" fillId="4" borderId="1" xfId="0" applyFont="1" applyFill="1" applyBorder="1" applyAlignment="1">
      <alignment horizontal="center" textRotation="90"/>
    </xf>
    <xf numFmtId="0" fontId="4" fillId="5" borderId="1" xfId="0" applyFont="1" applyFill="1" applyBorder="1" applyAlignment="1">
      <alignment horizontal="center" textRotation="90"/>
    </xf>
    <xf numFmtId="0" fontId="4" fillId="6" borderId="1" xfId="0" applyFont="1" applyFill="1" applyBorder="1" applyAlignment="1">
      <alignment horizontal="center" textRotation="90"/>
    </xf>
    <xf numFmtId="0" fontId="4" fillId="7" borderId="1" xfId="0" applyFont="1" applyFill="1" applyBorder="1" applyAlignment="1">
      <alignment horizontal="center" textRotation="90"/>
    </xf>
    <xf numFmtId="0" fontId="4" fillId="8" borderId="1" xfId="0" applyFont="1" applyFill="1" applyBorder="1" applyAlignment="1">
      <alignment horizontal="center" textRotation="90"/>
    </xf>
    <xf numFmtId="0" fontId="4" fillId="8" borderId="1" xfId="0" applyFont="1" applyFill="1" applyBorder="1" applyAlignment="1">
      <alignment horizontal="left" textRotation="90"/>
    </xf>
    <xf numFmtId="0" fontId="4" fillId="8" borderId="0" xfId="0" applyFont="1" applyFill="1" applyBorder="1" applyAlignment="1">
      <alignment horizontal="center" textRotation="90"/>
    </xf>
    <xf numFmtId="2" fontId="5" fillId="8" borderId="1" xfId="0" applyNumberFormat="1" applyFont="1" applyFill="1" applyBorder="1" applyAlignment="1">
      <alignment horizontal="center" vertical="center"/>
    </xf>
    <xf numFmtId="2" fontId="5" fillId="8" borderId="0" xfId="0" applyNumberFormat="1" applyFont="1" applyFill="1" applyBorder="1" applyAlignment="1">
      <alignment horizontal="center" vertical="center"/>
    </xf>
    <xf numFmtId="0" fontId="5" fillId="8" borderId="1" xfId="0" applyFont="1" applyFill="1" applyBorder="1" applyAlignment="1">
      <alignment horizontal="center" vertical="center"/>
    </xf>
    <xf numFmtId="0" fontId="5" fillId="8" borderId="0" xfId="0" applyFont="1" applyFill="1" applyBorder="1" applyAlignment="1">
      <alignment horizontal="center" vertical="center"/>
    </xf>
    <xf numFmtId="17" fontId="2" fillId="8" borderId="1" xfId="0" applyNumberFormat="1" applyFont="1" applyFill="1" applyBorder="1" applyAlignment="1">
      <alignment horizontal="left" vertical="top" wrapText="1"/>
    </xf>
    <xf numFmtId="164" fontId="3" fillId="0" borderId="1" xfId="0" applyNumberFormat="1" applyFont="1" applyBorder="1" applyAlignment="1">
      <alignment horizontal="center" vertical="center"/>
    </xf>
    <xf numFmtId="164" fontId="3" fillId="0" borderId="0" xfId="0" applyNumberFormat="1" applyFont="1" applyBorder="1" applyAlignment="1">
      <alignment horizontal="center" vertical="center"/>
    </xf>
    <xf numFmtId="2" fontId="3" fillId="0" borderId="1" xfId="0" applyNumberFormat="1" applyFont="1" applyBorder="1" applyAlignment="1">
      <alignment horizontal="center" vertical="center"/>
    </xf>
    <xf numFmtId="2" fontId="3" fillId="0" borderId="0" xfId="0" applyNumberFormat="1" applyFont="1" applyBorder="1" applyAlignment="1">
      <alignment horizontal="center" vertical="center"/>
    </xf>
    <xf numFmtId="10" fontId="3" fillId="0" borderId="1" xfId="2" applyNumberFormat="1" applyFont="1" applyBorder="1" applyAlignment="1">
      <alignment horizontal="center" vertical="center"/>
    </xf>
    <xf numFmtId="14" fontId="3" fillId="0" borderId="1" xfId="0" applyNumberFormat="1" applyFont="1" applyBorder="1"/>
    <xf numFmtId="165" fontId="5" fillId="8" borderId="1" xfId="2" applyNumberFormat="1" applyFont="1" applyFill="1" applyBorder="1" applyAlignment="1">
      <alignment horizontal="center" vertical="center"/>
    </xf>
    <xf numFmtId="165" fontId="5" fillId="8" borderId="1" xfId="0" applyNumberFormat="1" applyFont="1" applyFill="1" applyBorder="1" applyAlignment="1">
      <alignment horizontal="center" vertical="center"/>
    </xf>
    <xf numFmtId="165" fontId="5" fillId="8" borderId="1" xfId="0" applyNumberFormat="1" applyFont="1" applyFill="1" applyBorder="1" applyAlignment="1">
      <alignment horizontal="left" vertical="center"/>
    </xf>
    <xf numFmtId="165" fontId="3" fillId="0" borderId="1" xfId="0" applyNumberFormat="1" applyFont="1" applyBorder="1" applyAlignment="1">
      <alignment horizontal="center" vertical="center"/>
    </xf>
    <xf numFmtId="0" fontId="0" fillId="8" borderId="0" xfId="0" applyFill="1"/>
    <xf numFmtId="0" fontId="9" fillId="2" borderId="0" xfId="0" applyFont="1" applyFill="1"/>
    <xf numFmtId="17" fontId="10" fillId="3" borderId="1" xfId="0" applyNumberFormat="1" applyFont="1" applyFill="1" applyBorder="1" applyAlignment="1">
      <alignment horizontal="left" vertical="top" wrapText="1"/>
    </xf>
    <xf numFmtId="2" fontId="0" fillId="8" borderId="0" xfId="0" applyNumberFormat="1" applyFill="1" applyAlignment="1">
      <alignment horizontal="center"/>
    </xf>
    <xf numFmtId="10" fontId="0" fillId="8" borderId="0" xfId="0" applyNumberFormat="1" applyFill="1" applyAlignment="1">
      <alignment horizontal="center"/>
    </xf>
    <xf numFmtId="0" fontId="0" fillId="8" borderId="0" xfId="0" applyFill="1" applyAlignment="1">
      <alignment horizontal="center"/>
    </xf>
    <xf numFmtId="0" fontId="0" fillId="0" borderId="0" xfId="0" applyAlignment="1">
      <alignment horizontal="center"/>
    </xf>
    <xf numFmtId="17" fontId="0" fillId="8" borderId="1" xfId="0" applyNumberFormat="1" applyFill="1" applyBorder="1" applyAlignment="1">
      <alignment horizontal="center"/>
    </xf>
    <xf numFmtId="2" fontId="0" fillId="8" borderId="1" xfId="0" applyNumberFormat="1" applyFill="1" applyBorder="1" applyAlignment="1">
      <alignment horizontal="center"/>
    </xf>
    <xf numFmtId="10" fontId="0" fillId="8" borderId="1" xfId="0" applyNumberFormat="1" applyFill="1" applyBorder="1" applyAlignment="1">
      <alignment horizontal="center"/>
    </xf>
    <xf numFmtId="164" fontId="0" fillId="8" borderId="0" xfId="0" applyNumberFormat="1" applyFill="1"/>
    <xf numFmtId="0" fontId="9" fillId="8" borderId="0" xfId="0" applyFont="1" applyFill="1"/>
    <xf numFmtId="17" fontId="0" fillId="8" borderId="2" xfId="0" applyNumberFormat="1" applyFill="1" applyBorder="1" applyAlignment="1">
      <alignment horizontal="center"/>
    </xf>
    <xf numFmtId="2" fontId="0" fillId="8" borderId="2" xfId="0" applyNumberFormat="1" applyFill="1" applyBorder="1" applyAlignment="1">
      <alignment horizontal="center"/>
    </xf>
    <xf numFmtId="10" fontId="0" fillId="8" borderId="2" xfId="0" applyNumberFormat="1" applyFill="1" applyBorder="1" applyAlignment="1">
      <alignment horizontal="center"/>
    </xf>
    <xf numFmtId="0" fontId="0" fillId="9" borderId="3" xfId="0" applyFont="1" applyFill="1" applyBorder="1" applyAlignment="1">
      <alignment horizontal="center" vertical="center" wrapText="1"/>
    </xf>
    <xf numFmtId="10" fontId="0" fillId="9" borderId="4" xfId="0" applyNumberFormat="1" applyFont="1" applyFill="1" applyBorder="1" applyAlignment="1">
      <alignment horizontal="center" vertical="center" wrapText="1"/>
    </xf>
    <xf numFmtId="2" fontId="0" fillId="9" borderId="4" xfId="0" applyNumberFormat="1" applyFont="1" applyFill="1" applyBorder="1" applyAlignment="1">
      <alignment horizontal="center" vertical="center" wrapText="1"/>
    </xf>
    <xf numFmtId="0" fontId="0" fillId="9" borderId="4" xfId="0" applyFont="1" applyFill="1" applyBorder="1" applyAlignment="1">
      <alignment horizontal="center" vertical="center" wrapText="1"/>
    </xf>
    <xf numFmtId="164" fontId="0" fillId="9" borderId="4" xfId="0" applyNumberFormat="1" applyFont="1" applyFill="1" applyBorder="1" applyAlignment="1">
      <alignment horizontal="center" vertical="center" wrapText="1"/>
    </xf>
    <xf numFmtId="10" fontId="0" fillId="9" borderId="5" xfId="0" applyNumberFormat="1" applyFont="1" applyFill="1" applyBorder="1" applyAlignment="1">
      <alignment horizontal="center" vertical="center" wrapText="1"/>
    </xf>
    <xf numFmtId="164" fontId="12" fillId="10" borderId="4" xfId="0" applyNumberFormat="1" applyFont="1" applyFill="1" applyBorder="1" applyAlignment="1">
      <alignment horizontal="center" vertical="center" wrapText="1"/>
    </xf>
    <xf numFmtId="17" fontId="0" fillId="2" borderId="0" xfId="0" applyNumberFormat="1" applyFill="1"/>
    <xf numFmtId="0" fontId="4" fillId="8" borderId="6" xfId="0" applyFont="1" applyFill="1" applyBorder="1" applyAlignment="1">
      <alignment horizontal="center" textRotation="90"/>
    </xf>
    <xf numFmtId="165" fontId="5" fillId="8" borderId="6" xfId="2" applyNumberFormat="1" applyFont="1" applyFill="1" applyBorder="1" applyAlignment="1">
      <alignment horizontal="center" vertical="center"/>
    </xf>
    <xf numFmtId="2" fontId="5" fillId="8" borderId="6" xfId="0" applyNumberFormat="1" applyFont="1" applyFill="1" applyBorder="1" applyAlignment="1">
      <alignment horizontal="center" vertical="center"/>
    </xf>
    <xf numFmtId="0" fontId="3" fillId="0" borderId="2" xfId="0" applyFont="1" applyBorder="1"/>
    <xf numFmtId="165" fontId="5" fillId="8" borderId="2" xfId="0" applyNumberFormat="1" applyFont="1" applyFill="1" applyBorder="1" applyAlignment="1">
      <alignment horizontal="center" vertical="center"/>
    </xf>
    <xf numFmtId="0" fontId="3" fillId="0" borderId="7" xfId="0" applyFont="1" applyBorder="1"/>
    <xf numFmtId="0" fontId="4" fillId="4" borderId="8" xfId="0" applyFont="1" applyFill="1" applyBorder="1" applyAlignment="1">
      <alignment horizontal="center" textRotation="90"/>
    </xf>
    <xf numFmtId="0" fontId="4" fillId="5" borderId="8" xfId="0" applyFont="1" applyFill="1" applyBorder="1" applyAlignment="1">
      <alignment horizontal="center" textRotation="90"/>
    </xf>
    <xf numFmtId="0" fontId="4" fillId="6" borderId="8" xfId="0" applyFont="1" applyFill="1" applyBorder="1" applyAlignment="1">
      <alignment horizontal="center" textRotation="90"/>
    </xf>
    <xf numFmtId="0" fontId="4" fillId="7" borderId="8" xfId="0" applyFont="1" applyFill="1" applyBorder="1" applyAlignment="1">
      <alignment horizontal="center" textRotation="90"/>
    </xf>
    <xf numFmtId="0" fontId="4" fillId="8" borderId="8" xfId="0" applyFont="1" applyFill="1" applyBorder="1" applyAlignment="1">
      <alignment horizontal="center" textRotation="90"/>
    </xf>
    <xf numFmtId="0" fontId="4" fillId="8" borderId="8" xfId="0" applyFont="1" applyFill="1" applyBorder="1" applyAlignment="1">
      <alignment horizontal="left" textRotation="90"/>
    </xf>
    <xf numFmtId="0" fontId="4" fillId="8" borderId="9" xfId="0" applyFont="1" applyFill="1" applyBorder="1" applyAlignment="1">
      <alignment horizontal="center" textRotation="90"/>
    </xf>
    <xf numFmtId="0" fontId="3" fillId="0" borderId="10" xfId="0" applyFont="1" applyBorder="1"/>
    <xf numFmtId="165" fontId="5" fillId="8" borderId="11" xfId="2" applyNumberFormat="1" applyFont="1" applyFill="1" applyBorder="1" applyAlignment="1">
      <alignment horizontal="center" vertical="center"/>
    </xf>
    <xf numFmtId="0" fontId="3" fillId="0" borderId="12" xfId="0" applyFont="1" applyBorder="1"/>
    <xf numFmtId="165" fontId="5" fillId="8" borderId="13" xfId="0" applyNumberFormat="1" applyFont="1" applyFill="1" applyBorder="1" applyAlignment="1">
      <alignment horizontal="center" vertical="center"/>
    </xf>
    <xf numFmtId="165" fontId="5" fillId="8" borderId="14" xfId="0" applyNumberFormat="1" applyFont="1" applyFill="1" applyBorder="1" applyAlignment="1">
      <alignment horizontal="center" vertical="center"/>
    </xf>
    <xf numFmtId="0" fontId="0" fillId="2" borderId="0" xfId="0" applyFill="1" applyAlignment="1">
      <alignment vertical="center"/>
    </xf>
    <xf numFmtId="0" fontId="8" fillId="2" borderId="0" xfId="0" applyFont="1" applyFill="1"/>
    <xf numFmtId="0" fontId="0" fillId="0" borderId="0" xfId="0" applyAlignment="1">
      <alignment vertical="center"/>
    </xf>
    <xf numFmtId="0" fontId="1" fillId="2" borderId="0" xfId="1" applyFill="1"/>
    <xf numFmtId="0" fontId="8" fillId="11" borderId="1" xfId="0" applyFont="1" applyFill="1" applyBorder="1" applyAlignment="1">
      <alignment horizontal="center"/>
    </xf>
    <xf numFmtId="0" fontId="11" fillId="0" borderId="1" xfId="3" applyBorder="1" applyAlignment="1">
      <alignment horizontal="center"/>
    </xf>
    <xf numFmtId="0" fontId="0" fillId="2" borderId="0" xfId="0" applyFill="1"/>
    <xf numFmtId="0" fontId="0" fillId="2" borderId="0" xfId="0" applyFill="1" applyAlignment="1"/>
    <xf numFmtId="0" fontId="0" fillId="0" borderId="0" xfId="0" applyAlignment="1"/>
    <xf numFmtId="164" fontId="0" fillId="2" borderId="0" xfId="0" applyNumberFormat="1" applyFill="1" applyAlignment="1">
      <alignment horizontal="left" vertical="center" wrapText="1"/>
    </xf>
    <xf numFmtId="0" fontId="0" fillId="0" borderId="0" xfId="0" applyAlignment="1">
      <alignment horizontal="left" vertical="center" wrapText="1"/>
    </xf>
    <xf numFmtId="0" fontId="0" fillId="2" borderId="0" xfId="0" applyFill="1" applyAlignment="1">
      <alignment wrapText="1"/>
    </xf>
    <xf numFmtId="164" fontId="14" fillId="2" borderId="0" xfId="0" applyNumberFormat="1" applyFont="1" applyFill="1" applyAlignment="1">
      <alignment horizontal="left" vertical="center" wrapText="1"/>
    </xf>
    <xf numFmtId="0" fontId="8" fillId="2" borderId="0" xfId="0" applyFont="1" applyFill="1" applyAlignment="1">
      <alignment horizontal="center" vertical="center"/>
    </xf>
    <xf numFmtId="0" fontId="8" fillId="2" borderId="15" xfId="0" applyFont="1" applyFill="1" applyBorder="1" applyAlignment="1">
      <alignment horizontal="center" vertical="center"/>
    </xf>
    <xf numFmtId="0" fontId="13" fillId="9" borderId="16" xfId="0" applyFont="1" applyFill="1"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8" fillId="11" borderId="19" xfId="0" applyFont="1" applyFill="1" applyBorder="1" applyAlignment="1">
      <alignment horizontal="center"/>
    </xf>
    <xf numFmtId="0" fontId="0" fillId="0" borderId="20" xfId="0" applyBorder="1" applyAlignment="1">
      <alignment horizontal="center"/>
    </xf>
    <xf numFmtId="0" fontId="0" fillId="0" borderId="6" xfId="0" applyBorder="1" applyAlignment="1">
      <alignment horizontal="center"/>
    </xf>
    <xf numFmtId="0" fontId="0" fillId="2" borderId="0" xfId="0" applyFill="1" applyAlignment="1">
      <alignment vertical="center" wrapText="1"/>
    </xf>
    <xf numFmtId="0" fontId="0" fillId="0" borderId="0" xfId="0" applyAlignment="1">
      <alignment wrapText="1"/>
    </xf>
    <xf numFmtId="0" fontId="1" fillId="2" borderId="0" xfId="1" applyFill="1"/>
    <xf numFmtId="0" fontId="0" fillId="0" borderId="0" xfId="0"/>
    <xf numFmtId="0" fontId="0" fillId="11" borderId="20" xfId="0" applyFill="1" applyBorder="1" applyAlignment="1">
      <alignment horizontal="center"/>
    </xf>
    <xf numFmtId="0" fontId="0" fillId="11" borderId="6" xfId="0" applyFill="1" applyBorder="1" applyAlignment="1">
      <alignment horizontal="center"/>
    </xf>
    <xf numFmtId="0" fontId="8" fillId="11" borderId="20" xfId="0" applyFont="1" applyFill="1" applyBorder="1" applyAlignment="1">
      <alignment horizontal="center"/>
    </xf>
    <xf numFmtId="0" fontId="8" fillId="11" borderId="6" xfId="0" applyFont="1" applyFill="1" applyBorder="1" applyAlignment="1">
      <alignment horizontal="center"/>
    </xf>
    <xf numFmtId="0" fontId="0" fillId="2" borderId="0" xfId="0" applyFill="1"/>
  </cellXfs>
  <cellStyles count="4">
    <cellStyle name="Hyperlink" xfId="1" builtinId="8"/>
    <cellStyle name="Normal" xfId="0" builtinId="0"/>
    <cellStyle name="Normal 2" xfId="3" xr:uid="{70872DE2-5BB9-482C-BCC3-20EDD112F4D6}"/>
    <cellStyle name="Per cent" xfId="2" builtinId="5"/>
  </cellStyles>
  <dxfs count="12">
    <dxf>
      <numFmt numFmtId="14" formatCode="0.00%"/>
      <fill>
        <patternFill patternType="solid">
          <fgColor indexed="64"/>
          <bgColor theme="0" tint="-4.9989318521683403E-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4.9989318521683403E-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4.9989318521683403E-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tint="-4.9989318521683403E-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4.9989318521683403E-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4.9989318521683403E-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4.9989318521683403E-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tint="-4.9989318521683403E-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22" formatCode="mmm\-yy"/>
      <fill>
        <patternFill patternType="solid">
          <fgColor indexed="64"/>
          <bgColor theme="0" tint="-4.9989318521683403E-2"/>
        </patternFill>
      </fill>
      <alignment horizont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tint="-4.9989318521683403E-2"/>
        </patternFill>
      </fill>
      <alignment horizontal="center" textRotation="0" indent="0" justifyLastLine="0" shrinkToFit="0" readingOrder="0"/>
    </dxf>
    <dxf>
      <border>
        <bottom style="medium">
          <color indexed="64"/>
        </bottom>
      </border>
    </dxf>
    <dxf>
      <font>
        <b val="0"/>
        <i val="0"/>
        <strike val="0"/>
        <condense val="0"/>
        <extend val="0"/>
        <outline val="0"/>
        <shadow val="0"/>
        <u val="none"/>
        <vertAlign val="baseline"/>
        <sz val="11"/>
        <color theme="1"/>
        <name val="Calibri"/>
        <family val="2"/>
        <scheme val="minor"/>
      </font>
      <fill>
        <patternFill>
          <fgColor indexed="64"/>
          <bgColor rgb="FF00B050"/>
        </patternFill>
      </fill>
      <alignment horizontal="center" vertical="center"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3"/>
          <c:order val="1"/>
          <c:tx>
            <c:strRef>
              <c:f>Country!$M$2</c:f>
              <c:strCache>
                <c:ptCount val="1"/>
                <c:pt idx="0">
                  <c:v>Japan CPI yoy %</c:v>
                </c:pt>
              </c:strCache>
            </c:strRef>
          </c:tx>
          <c:spPr>
            <a:noFill/>
            <a:ln>
              <a:solidFill>
                <a:schemeClr val="tx1"/>
              </a:solidFill>
            </a:ln>
            <a:effectLst/>
          </c:spPr>
          <c:invertIfNegative val="1"/>
          <c:cat>
            <c:numRef>
              <c:f>Country!$A$707:$A$821</c:f>
              <c:numCache>
                <c:formatCode>mmm\-yy</c:formatCode>
                <c:ptCount val="115"/>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numCache>
            </c:numRef>
          </c:cat>
          <c:val>
            <c:numRef>
              <c:f>Country!$E$707:$E$821</c:f>
              <c:numCache>
                <c:formatCode>0.00%</c:formatCode>
                <c:ptCount val="115"/>
                <c:pt idx="0">
                  <c:v>1.3167472345966441E-2</c:v>
                </c:pt>
                <c:pt idx="1">
                  <c:v>1.1678789839373984E-2</c:v>
                </c:pt>
                <c:pt idx="2">
                  <c:v>1.385855693296704E-2</c:v>
                </c:pt>
                <c:pt idx="3">
                  <c:v>1.528378762826316E-2</c:v>
                </c:pt>
                <c:pt idx="4">
                  <c:v>1.37980621420294E-2</c:v>
                </c:pt>
                <c:pt idx="5">
                  <c:v>1.3062362277374026E-2</c:v>
                </c:pt>
                <c:pt idx="6">
                  <c:v>1.669090530354473E-2</c:v>
                </c:pt>
                <c:pt idx="7">
                  <c:v>1.5919009650102438E-2</c:v>
                </c:pt>
                <c:pt idx="8">
                  <c:v>1.59535304438802E-2</c:v>
                </c:pt>
                <c:pt idx="9">
                  <c:v>1.7391350749622669E-2</c:v>
                </c:pt>
                <c:pt idx="10">
                  <c:v>1.7391350749622669E-2</c:v>
                </c:pt>
                <c:pt idx="11">
                  <c:v>1.8799752024310806E-2</c:v>
                </c:pt>
                <c:pt idx="12">
                  <c:v>2.1498893804709467E-2</c:v>
                </c:pt>
                <c:pt idx="13">
                  <c:v>2.3787860896806696E-2</c:v>
                </c:pt>
                <c:pt idx="14">
                  <c:v>2.4864705667387597E-2</c:v>
                </c:pt>
                <c:pt idx="15">
                  <c:v>2.6202164254942439E-2</c:v>
                </c:pt>
                <c:pt idx="16">
                  <c:v>2.6468570355722226E-2</c:v>
                </c:pt>
                <c:pt idx="17">
                  <c:v>2.7469968027833386E-2</c:v>
                </c:pt>
                <c:pt idx="18">
                  <c:v>2.6796533211589171E-2</c:v>
                </c:pt>
                <c:pt idx="19">
                  <c:v>2.7589713398806504E-2</c:v>
                </c:pt>
                <c:pt idx="20">
                  <c:v>2.9790111612084891E-2</c:v>
                </c:pt>
                <c:pt idx="21">
                  <c:v>3.3564077176269046E-2</c:v>
                </c:pt>
                <c:pt idx="22">
                  <c:v>3.2568385560223706E-2</c:v>
                </c:pt>
                <c:pt idx="23">
                  <c:v>3.2872949980374384E-2</c:v>
                </c:pt>
                <c:pt idx="24">
                  <c:v>3.162061675897479E-2</c:v>
                </c:pt>
                <c:pt idx="25">
                  <c:v>3.251234396612538E-2</c:v>
                </c:pt>
                <c:pt idx="26">
                  <c:v>3.3366036963541797E-2</c:v>
                </c:pt>
                <c:pt idx="27">
                  <c:v>3.3203119053840401E-2</c:v>
                </c:pt>
                <c:pt idx="28">
                  <c:v>3.2195042960145109E-2</c:v>
                </c:pt>
                <c:pt idx="29">
                  <c:v>3.3138394411005828E-2</c:v>
                </c:pt>
                <c:pt idx="30">
                  <c:v>3.1098214361268847E-2</c:v>
                </c:pt>
                <c:pt idx="31">
                  <c:v>3.197677083333339E-2</c:v>
                </c:pt>
                <c:pt idx="32">
                  <c:v>3.197677083333339E-2</c:v>
                </c:pt>
                <c:pt idx="33">
                  <c:v>2.6011582244645674E-2</c:v>
                </c:pt>
                <c:pt idx="34">
                  <c:v>2.5072274828456108E-2</c:v>
                </c:pt>
                <c:pt idx="35">
                  <c:v>2.3054774089422924E-2</c:v>
                </c:pt>
                <c:pt idx="36">
                  <c:v>2.2030600842618698E-2</c:v>
                </c:pt>
                <c:pt idx="37">
                  <c:v>1.9084019970792333E-2</c:v>
                </c:pt>
                <c:pt idx="38">
                  <c:v>1.6144294603489869E-2</c:v>
                </c:pt>
                <c:pt idx="39">
                  <c:v>1.1342164997266811E-2</c:v>
                </c:pt>
                <c:pt idx="40">
                  <c:v>1.1342164997266811E-2</c:v>
                </c:pt>
                <c:pt idx="41">
                  <c:v>1.2264228918210123E-2</c:v>
                </c:pt>
                <c:pt idx="42">
                  <c:v>1.2252466319370381E-2</c:v>
                </c:pt>
                <c:pt idx="43">
                  <c:v>1.2206851797475599E-2</c:v>
                </c:pt>
                <c:pt idx="44">
                  <c:v>9.3896452974504187E-3</c:v>
                </c:pt>
                <c:pt idx="45">
                  <c:v>7.5117768013389851E-3</c:v>
                </c:pt>
                <c:pt idx="46">
                  <c:v>6.5851082463322013E-3</c:v>
                </c:pt>
                <c:pt idx="47">
                  <c:v>6.572741614318779E-3</c:v>
                </c:pt>
                <c:pt idx="48">
                  <c:v>6.5604220045154477E-3</c:v>
                </c:pt>
                <c:pt idx="49">
                  <c:v>4.6816852617504031E-3</c:v>
                </c:pt>
                <c:pt idx="50">
                  <c:v>3.7382875229266367E-3</c:v>
                </c:pt>
                <c:pt idx="51">
                  <c:v>5.6072805834497651E-3</c:v>
                </c:pt>
                <c:pt idx="52">
                  <c:v>4.6729347541283909E-3</c:v>
                </c:pt>
                <c:pt idx="53">
                  <c:v>2.7956009359813906E-3</c:v>
                </c:pt>
                <c:pt idx="54">
                  <c:v>9.3116626397536466E-4</c:v>
                </c:pt>
                <c:pt idx="55">
                  <c:v>-9.2840881100840185E-4</c:v>
                </c:pt>
                <c:pt idx="56">
                  <c:v>-1.8604000000000554E-3</c:v>
                </c:pt>
                <c:pt idx="57">
                  <c:v>9.318335831982491E-4</c:v>
                </c:pt>
                <c:pt idx="58">
                  <c:v>1.8691939951100006E-3</c:v>
                </c:pt>
                <c:pt idx="59">
                  <c:v>0</c:v>
                </c:pt>
                <c:pt idx="60">
                  <c:v>-5.5864971182691811E-3</c:v>
                </c:pt>
                <c:pt idx="61">
                  <c:v>-9.3203395597167809E-4</c:v>
                </c:pt>
                <c:pt idx="62">
                  <c:v>-9.3096607774219048E-4</c:v>
                </c:pt>
                <c:pt idx="63">
                  <c:v>-9.2913590360967817E-4</c:v>
                </c:pt>
                <c:pt idx="64">
                  <c:v>9.3000000000003529E-4</c:v>
                </c:pt>
                <c:pt idx="65">
                  <c:v>1.859270878083344E-3</c:v>
                </c:pt>
                <c:pt idx="66">
                  <c:v>1.8600000000000706E-3</c:v>
                </c:pt>
                <c:pt idx="67">
                  <c:v>1.8575449663625271E-3</c:v>
                </c:pt>
                <c:pt idx="68">
                  <c:v>1.8638675391699272E-3</c:v>
                </c:pt>
                <c:pt idx="69">
                  <c:v>2.7928982332264293E-3</c:v>
                </c:pt>
                <c:pt idx="70">
                  <c:v>9.3290345366814006E-4</c:v>
                </c:pt>
                <c:pt idx="71">
                  <c:v>9.3290345366814006E-4</c:v>
                </c:pt>
                <c:pt idx="72">
                  <c:v>2.5280617267398262E-3</c:v>
                </c:pt>
                <c:pt idx="73">
                  <c:v>-3.2182812575052193E-3</c:v>
                </c:pt>
                <c:pt idx="74">
                  <c:v>-2.1435879309868095E-3</c:v>
                </c:pt>
                <c:pt idx="75">
                  <c:v>-5.0000000000000001E-3</c:v>
                </c:pt>
                <c:pt idx="76">
                  <c:v>-2.9272776318024873E-3</c:v>
                </c:pt>
                <c:pt idx="77">
                  <c:v>-3.7804487674898755E-3</c:v>
                </c:pt>
                <c:pt idx="78">
                  <c:v>-8.58403369732425E-4</c:v>
                </c:pt>
                <c:pt idx="79">
                  <c:v>-7.1832710484293983E-4</c:v>
                </c:pt>
                <c:pt idx="80">
                  <c:v>9.9999999999994321E-4</c:v>
                </c:pt>
                <c:pt idx="81">
                  <c:v>-1.8565468229094588E-3</c:v>
                </c:pt>
                <c:pt idx="82">
                  <c:v>8.6200367163081419E-4</c:v>
                </c:pt>
                <c:pt idx="83">
                  <c:v>4.8694591417874087E-3</c:v>
                </c:pt>
                <c:pt idx="84">
                  <c:v>1.0040160642570281E-2</c:v>
                </c:pt>
                <c:pt idx="85">
                  <c:v>1.6096579476861109E-2</c:v>
                </c:pt>
                <c:pt idx="86">
                  <c:v>1.4056224899598452E-2</c:v>
                </c:pt>
                <c:pt idx="87">
                  <c:v>1.909547738693473E-2</c:v>
                </c:pt>
                <c:pt idx="88">
                  <c:v>1.4028056112224506E-2</c:v>
                </c:pt>
                <c:pt idx="89">
                  <c:v>1.2012012012011897E-2</c:v>
                </c:pt>
                <c:pt idx="90">
                  <c:v>1.0989010989011075E-2</c:v>
                </c:pt>
                <c:pt idx="91">
                  <c:v>1.1964107676969121E-2</c:v>
                </c:pt>
                <c:pt idx="92">
                  <c:v>1.0989010989011075E-2</c:v>
                </c:pt>
                <c:pt idx="93">
                  <c:v>0.01</c:v>
                </c:pt>
                <c:pt idx="94">
                  <c:v>9.0090090090089239E-3</c:v>
                </c:pt>
                <c:pt idx="95">
                  <c:v>8.9730807577268756E-3</c:v>
                </c:pt>
                <c:pt idx="96">
                  <c:v>8.9463220675944904E-3</c:v>
                </c:pt>
                <c:pt idx="97">
                  <c:v>4.9504950495049506E-3</c:v>
                </c:pt>
                <c:pt idx="98">
                  <c:v>7.9207920792078931E-3</c:v>
                </c:pt>
                <c:pt idx="99">
                  <c:v>4.9309664694280079E-3</c:v>
                </c:pt>
                <c:pt idx="100">
                  <c:v>9.881422924901186E-3</c:v>
                </c:pt>
                <c:pt idx="101">
                  <c:v>1.2858555885262231E-2</c:v>
                </c:pt>
                <c:pt idx="102">
                  <c:v>1.4822134387351778E-2</c:v>
                </c:pt>
                <c:pt idx="103">
                  <c:v>1.57635467980295E-2</c:v>
                </c:pt>
                <c:pt idx="104">
                  <c:v>1.3833992094861575E-2</c:v>
                </c:pt>
                <c:pt idx="105">
                  <c:v>1.5841584158415786E-2</c:v>
                </c:pt>
                <c:pt idx="106">
                  <c:v>1.5873015873015959E-2</c:v>
                </c:pt>
                <c:pt idx="107">
                  <c:v>1.0869565217391249E-2</c:v>
                </c:pt>
                <c:pt idx="108">
                  <c:v>8.8669950738916817E-3</c:v>
                </c:pt>
                <c:pt idx="109">
                  <c:v>9.852216748768473E-3</c:v>
                </c:pt>
                <c:pt idx="110">
                  <c:v>9.823182711198428E-3</c:v>
                </c:pt>
                <c:pt idx="111">
                  <c:v>1.0794896957801709E-2</c:v>
                </c:pt>
                <c:pt idx="112">
                  <c:v>7.8277886497064297E-3</c:v>
                </c:pt>
                <c:pt idx="113">
                  <c:v>6.835937499999889E-3</c:v>
                </c:pt>
                <c:pt idx="114">
                  <c:v>3.8948393378772294E-3</c:v>
                </c:pt>
              </c:numCache>
            </c:numRef>
          </c:val>
          <c:extLst>
            <c:ext xmlns:c16="http://schemas.microsoft.com/office/drawing/2014/chart" uri="{C3380CC4-5D6E-409C-BE32-E72D297353CC}">
              <c16:uniqueId val="{00000003-1F58-4D15-AE63-EB7A697E3804}"/>
            </c:ext>
          </c:extLst>
        </c:ser>
        <c:dLbls>
          <c:showLegendKey val="0"/>
          <c:showVal val="0"/>
          <c:showCatName val="0"/>
          <c:showSerName val="0"/>
          <c:showPercent val="0"/>
          <c:showBubbleSize val="0"/>
        </c:dLbls>
        <c:gapWidth val="219"/>
        <c:overlap val="-27"/>
        <c:axId val="722471976"/>
        <c:axId val="722469680"/>
        <c:extLst>
          <c:ext xmlns:c15="http://schemas.microsoft.com/office/drawing/2012/chart" uri="{02D57815-91ED-43cb-92C2-25804820EDAC}">
            <c15:filteredBarSeries>
              <c15:ser>
                <c:idx val="1"/>
                <c:order val="0"/>
                <c:spPr>
                  <a:solidFill>
                    <a:schemeClr val="accent2"/>
                  </a:solidFill>
                  <a:ln>
                    <a:noFill/>
                  </a:ln>
                  <a:effectLst/>
                </c:spPr>
                <c:invertIfNegative val="0"/>
                <c:cat>
                  <c:numRef>
                    <c:extLst>
                      <c:ext uri="{02D57815-91ED-43cb-92C2-25804820EDAC}">
                        <c15:formulaRef>
                          <c15:sqref>Country!$A$707:$A$821</c15:sqref>
                        </c15:formulaRef>
                      </c:ext>
                    </c:extLst>
                    <c:numCache>
                      <c:formatCode>mmm\-yy</c:formatCode>
                      <c:ptCount val="115"/>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numCache>
                  </c:numRef>
                </c:cat>
                <c:val>
                  <c:numRef>
                    <c:extLst>
                      <c:ext uri="{02D57815-91ED-43cb-92C2-25804820EDAC}">
                        <c15:formulaRef>
                          <c15:sqref>Country!$C$707:$C$821</c15:sqref>
                        </c15:formulaRef>
                      </c:ext>
                    </c:extLst>
                    <c:numCache>
                      <c:formatCode>0.00%</c:formatCode>
                      <c:ptCount val="115"/>
                      <c:pt idx="0">
                        <c:v>1.4461264121818918E-3</c:v>
                      </c:pt>
                      <c:pt idx="1">
                        <c:v>7.2201907523616882E-4</c:v>
                      </c:pt>
                      <c:pt idx="2">
                        <c:v>2.8861009900049694E-3</c:v>
                      </c:pt>
                      <c:pt idx="3">
                        <c:v>3.5970009603103481E-3</c:v>
                      </c:pt>
                      <c:pt idx="4">
                        <c:v>7.1684332965649133E-4</c:v>
                      </c:pt>
                      <c:pt idx="5">
                        <c:v>0</c:v>
                      </c:pt>
                      <c:pt idx="6">
                        <c:v>3.5817568209854933E-3</c:v>
                      </c:pt>
                      <c:pt idx="7">
                        <c:v>2.14131981333332E-3</c:v>
                      </c:pt>
                      <c:pt idx="8">
                        <c:v>-2.136744360298648E-3</c:v>
                      </c:pt>
                      <c:pt idx="9">
                        <c:v>2.14131981333332E-3</c:v>
                      </c:pt>
                      <c:pt idx="10">
                        <c:v>0</c:v>
                      </c:pt>
                      <c:pt idx="11">
                        <c:v>3.5612406004976727E-3</c:v>
                      </c:pt>
                      <c:pt idx="12">
                        <c:v>4.0992926259022511E-3</c:v>
                      </c:pt>
                      <c:pt idx="13">
                        <c:v>2.9644295016131306E-3</c:v>
                      </c:pt>
                      <c:pt idx="14">
                        <c:v>3.9409607852689543E-3</c:v>
                      </c:pt>
                      <c:pt idx="15">
                        <c:v>4.9067049826616582E-3</c:v>
                      </c:pt>
                      <c:pt idx="16">
                        <c:v>9.7663334131525836E-4</c:v>
                      </c:pt>
                      <c:pt idx="17">
                        <c:v>9.7557558120286991E-4</c:v>
                      </c:pt>
                      <c:pt idx="18">
                        <c:v>2.9239790590835923E-3</c:v>
                      </c:pt>
                      <c:pt idx="19">
                        <c:v>2.9154543316702863E-3</c:v>
                      </c:pt>
                      <c:pt idx="20">
                        <c:v>0</c:v>
                      </c:pt>
                      <c:pt idx="21">
                        <c:v>5.8139583333332023E-3</c:v>
                      </c:pt>
                      <c:pt idx="22">
                        <c:v>-9.6335741347131076E-4</c:v>
                      </c:pt>
                      <c:pt idx="23">
                        <c:v>3.8572491279749155E-3</c:v>
                      </c:pt>
                      <c:pt idx="24">
                        <c:v>2.8818467611779752E-3</c:v>
                      </c:pt>
                      <c:pt idx="25">
                        <c:v>3.8313864575538759E-3</c:v>
                      </c:pt>
                      <c:pt idx="26">
                        <c:v>4.771030636782525E-3</c:v>
                      </c:pt>
                      <c:pt idx="27">
                        <c:v>4.7482739001949437E-3</c:v>
                      </c:pt>
                      <c:pt idx="28">
                        <c:v>0</c:v>
                      </c:pt>
                      <c:pt idx="29">
                        <c:v>1.8903947018145129E-3</c:v>
                      </c:pt>
                      <c:pt idx="30">
                        <c:v>9.4346463376715484E-4</c:v>
                      </c:pt>
                      <c:pt idx="31">
                        <c:v>3.7699974305374084E-3</c:v>
                      </c:pt>
                      <c:pt idx="32">
                        <c:v>0</c:v>
                      </c:pt>
                      <c:pt idx="33">
                        <c:v>0</c:v>
                      </c:pt>
                      <c:pt idx="34">
                        <c:v>-1.8779694350760101E-3</c:v>
                      </c:pt>
                      <c:pt idx="35">
                        <c:v>1.8815028399012945E-3</c:v>
                      </c:pt>
                      <c:pt idx="36">
                        <c:v>1.877868496111379E-3</c:v>
                      </c:pt>
                      <c:pt idx="37">
                        <c:v>9.3727510762331434E-4</c:v>
                      </c:pt>
                      <c:pt idx="38">
                        <c:v>1.8725935803578508E-3</c:v>
                      </c:pt>
                      <c:pt idx="39">
                        <c:v>0</c:v>
                      </c:pt>
                      <c:pt idx="40">
                        <c:v>0</c:v>
                      </c:pt>
                      <c:pt idx="41">
                        <c:v>2.8038412263118317E-3</c:v>
                      </c:pt>
                      <c:pt idx="42">
                        <c:v>9.3183358319826048E-4</c:v>
                      </c:pt>
                      <c:pt idx="43">
                        <c:v>3.7247651490182054E-3</c:v>
                      </c:pt>
                      <c:pt idx="44">
                        <c:v>-2.7832319994893773E-3</c:v>
                      </c:pt>
                      <c:pt idx="45">
                        <c:v>-1.8604000000000953E-3</c:v>
                      </c:pt>
                      <c:pt idx="46">
                        <c:v>-2.7960016815282707E-3</c:v>
                      </c:pt>
                      <c:pt idx="47">
                        <c:v>1.8691939951100967E-3</c:v>
                      </c:pt>
                      <c:pt idx="48">
                        <c:v>1.8656063476343299E-3</c:v>
                      </c:pt>
                      <c:pt idx="49">
                        <c:v>-9.3096607774223461E-4</c:v>
                      </c:pt>
                      <c:pt idx="50">
                        <c:v>9.3183358319826048E-4</c:v>
                      </c:pt>
                      <c:pt idx="51">
                        <c:v>1.8620322486009311E-3</c:v>
                      </c:pt>
                      <c:pt idx="52">
                        <c:v>-9.2913590360965692E-4</c:v>
                      </c:pt>
                      <c:pt idx="53">
                        <c:v>9.3000000000009742E-4</c:v>
                      </c:pt>
                      <c:pt idx="54">
                        <c:v>-9.2913590360965692E-4</c:v>
                      </c:pt>
                      <c:pt idx="55">
                        <c:v>1.8599999999999728E-3</c:v>
                      </c:pt>
                      <c:pt idx="56">
                        <c:v>-3.7134929032002217E-3</c:v>
                      </c:pt>
                      <c:pt idx="57">
                        <c:v>9.3183358319826048E-4</c:v>
                      </c:pt>
                      <c:pt idx="58">
                        <c:v>-1.862132341717504E-3</c:v>
                      </c:pt>
                      <c:pt idx="59">
                        <c:v>0</c:v>
                      </c:pt>
                      <c:pt idx="60">
                        <c:v>-3.7313129751196383E-3</c:v>
                      </c:pt>
                      <c:pt idx="61">
                        <c:v>3.7452878161436942E-3</c:v>
                      </c:pt>
                      <c:pt idx="62">
                        <c:v>9.3290345366803251E-4</c:v>
                      </c:pt>
                      <c:pt idx="63">
                        <c:v>1.8638675391700055E-3</c:v>
                      </c:pt>
                      <c:pt idx="64">
                        <c:v>9.3000000000009742E-4</c:v>
                      </c:pt>
                      <c:pt idx="65">
                        <c:v>1.8592708780833522E-3</c:v>
                      </c:pt>
                      <c:pt idx="66">
                        <c:v>-9.2840881100841877E-4</c:v>
                      </c:pt>
                      <c:pt idx="67">
                        <c:v>1.8575449663624788E-3</c:v>
                      </c:pt>
                      <c:pt idx="68">
                        <c:v>-3.7072054883777739E-3</c:v>
                      </c:pt>
                      <c:pt idx="69">
                        <c:v>1.8599999999999728E-3</c:v>
                      </c:pt>
                      <c:pt idx="70">
                        <c:v>-3.7134929032002217E-3</c:v>
                      </c:pt>
                      <c:pt idx="71">
                        <c:v>0</c:v>
                      </c:pt>
                      <c:pt idx="72">
                        <c:v>-2.14358793098679E-3</c:v>
                      </c:pt>
                      <c:pt idx="73">
                        <c:v>-2.0080321285139702E-3</c:v>
                      </c:pt>
                      <c:pt idx="74">
                        <c:v>2.012072434607548E-3</c:v>
                      </c:pt>
                      <c:pt idx="75">
                        <c:v>-1.0040160642569296E-3</c:v>
                      </c:pt>
                      <c:pt idx="76">
                        <c:v>3.0150753768845018E-3</c:v>
                      </c:pt>
                      <c:pt idx="77">
                        <c:v>1.0020040080160886E-3</c:v>
                      </c:pt>
                      <c:pt idx="78">
                        <c:v>2.0020020020019569E-3</c:v>
                      </c:pt>
                      <c:pt idx="79">
                        <c:v>1.9980019980019303E-3</c:v>
                      </c:pt>
                      <c:pt idx="80">
                        <c:v>-1.9940179461614971E-3</c:v>
                      </c:pt>
                      <c:pt idx="81">
                        <c:v>-9.9900099900096517E-4</c:v>
                      </c:pt>
                      <c:pt idx="82">
                        <c:v>-9.9999999999988987E-4</c:v>
                      </c:pt>
                      <c:pt idx="83">
                        <c:v>4.0040040040039138E-3</c:v>
                      </c:pt>
                      <c:pt idx="84">
                        <c:v>2.9910269192421346E-3</c:v>
                      </c:pt>
                      <c:pt idx="85">
                        <c:v>3.9761431411531323E-3</c:v>
                      </c:pt>
                      <c:pt idx="86">
                        <c:v>0</c:v>
                      </c:pt>
                      <c:pt idx="87">
                        <c:v>3.9603960396039639E-3</c:v>
                      </c:pt>
                      <c:pt idx="88">
                        <c:v>-1.9723865877712132E-3</c:v>
                      </c:pt>
                      <c:pt idx="89">
                        <c:v>-9.8814229249022389E-4</c:v>
                      </c:pt>
                      <c:pt idx="90">
                        <c:v>9.8911968348169843E-4</c:v>
                      </c:pt>
                      <c:pt idx="91">
                        <c:v>2.9644268774702276E-3</c:v>
                      </c:pt>
                      <c:pt idx="92">
                        <c:v>-2.9556650246305161E-3</c:v>
                      </c:pt>
                      <c:pt idx="93">
                        <c:v>-1.9762845849802257E-3</c:v>
                      </c:pt>
                      <c:pt idx="94">
                        <c:v>-1.980198019801982E-3</c:v>
                      </c:pt>
                      <c:pt idx="95">
                        <c:v>3.9682539682539542E-3</c:v>
                      </c:pt>
                      <c:pt idx="96">
                        <c:v>2.9644268774702276E-3</c:v>
                      </c:pt>
                      <c:pt idx="97">
                        <c:v>0</c:v>
                      </c:pt>
                      <c:pt idx="98">
                        <c:v>2.9556650246305161E-3</c:v>
                      </c:pt>
                      <c:pt idx="99">
                        <c:v>9.8231827111994185E-4</c:v>
                      </c:pt>
                      <c:pt idx="100">
                        <c:v>2.9440628066732533E-3</c:v>
                      </c:pt>
                      <c:pt idx="101">
                        <c:v>1.9569471624265589E-3</c:v>
                      </c:pt>
                      <c:pt idx="102">
                        <c:v>2.9296875E-3</c:v>
                      </c:pt>
                      <c:pt idx="103">
                        <c:v>3.894839337877265E-3</c:v>
                      </c:pt>
                      <c:pt idx="104">
                        <c:v>-4.8496605237633439E-3</c:v>
                      </c:pt>
                      <c:pt idx="105">
                        <c:v>0</c:v>
                      </c:pt>
                      <c:pt idx="106">
                        <c:v>-1.9493177387913674E-3</c:v>
                      </c:pt>
                      <c:pt idx="107">
                        <c:v>-9.7656250000011102E-4</c:v>
                      </c:pt>
                      <c:pt idx="108">
                        <c:v>9.7751710654936375E-4</c:v>
                      </c:pt>
                      <c:pt idx="109">
                        <c:v>9.765625E-4</c:v>
                      </c:pt>
                      <c:pt idx="110">
                        <c:v>2.9268292682926855E-3</c:v>
                      </c:pt>
                      <c:pt idx="111">
                        <c:v>1.9455252918287869E-3</c:v>
                      </c:pt>
                      <c:pt idx="112">
                        <c:v>0</c:v>
                      </c:pt>
                      <c:pt idx="113">
                        <c:v>9.7087378640781097E-4</c:v>
                      </c:pt>
                      <c:pt idx="114">
                        <c:v>0</c:v>
                      </c:pt>
                    </c:numCache>
                  </c:numRef>
                </c:val>
                <c:extLst>
                  <c:ext xmlns:c16="http://schemas.microsoft.com/office/drawing/2014/chart" uri="{C3380CC4-5D6E-409C-BE32-E72D297353CC}">
                    <c16:uniqueId val="{00000001-1F58-4D15-AE63-EB7A697E3804}"/>
                  </c:ext>
                </c:extLst>
              </c15:ser>
            </c15:filteredBarSeries>
          </c:ext>
        </c:extLst>
      </c:barChart>
      <c:dateAx>
        <c:axId val="72247197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2469680"/>
        <c:crosses val="autoZero"/>
        <c:auto val="1"/>
        <c:lblOffset val="100"/>
        <c:baseTimeUnit val="months"/>
      </c:dateAx>
      <c:valAx>
        <c:axId val="7224696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24719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7"/>
          <c:order val="0"/>
          <c:tx>
            <c:strRef>
              <c:f>Country!$N$2</c:f>
              <c:strCache>
                <c:ptCount val="1"/>
                <c:pt idx="0">
                  <c:v>Japan Core CPI yoy %</c:v>
                </c:pt>
              </c:strCache>
            </c:strRef>
          </c:tx>
          <c:spPr>
            <a:ln w="28575" cap="rnd">
              <a:solidFill>
                <a:schemeClr val="tx1"/>
              </a:solidFill>
              <a:round/>
            </a:ln>
            <a:effectLst/>
          </c:spPr>
          <c:marker>
            <c:symbol val="none"/>
          </c:marker>
          <c:cat>
            <c:numRef>
              <c:f>Country!$A$707:$A$821</c:f>
              <c:numCache>
                <c:formatCode>mmm\-yy</c:formatCode>
                <c:ptCount val="115"/>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numCache>
            </c:numRef>
          </c:cat>
          <c:val>
            <c:numRef>
              <c:f>Country!$I$707:$I$821</c:f>
              <c:numCache>
                <c:formatCode>0.00%</c:formatCode>
                <c:ptCount val="115"/>
                <c:pt idx="0">
                  <c:v>1.6405919560039589E-2</c:v>
                </c:pt>
                <c:pt idx="1">
                  <c:v>1.5092495635475043E-2</c:v>
                </c:pt>
                <c:pt idx="2">
                  <c:v>1.6520730099207168E-2</c:v>
                </c:pt>
                <c:pt idx="3">
                  <c:v>1.6565759013817748E-2</c:v>
                </c:pt>
                <c:pt idx="4">
                  <c:v>1.4272644733446456E-2</c:v>
                </c:pt>
                <c:pt idx="5">
                  <c:v>1.5245777524676114E-2</c:v>
                </c:pt>
                <c:pt idx="6">
                  <c:v>1.7323333353896832E-2</c:v>
                </c:pt>
                <c:pt idx="7">
                  <c:v>1.6671750273398841E-2</c:v>
                </c:pt>
                <c:pt idx="8">
                  <c:v>1.5827570756332957E-2</c:v>
                </c:pt>
                <c:pt idx="9">
                  <c:v>1.6130020440412694E-2</c:v>
                </c:pt>
                <c:pt idx="10">
                  <c:v>1.6403628117913911E-2</c:v>
                </c:pt>
                <c:pt idx="11">
                  <c:v>1.5957516091158329E-2</c:v>
                </c:pt>
                <c:pt idx="12">
                  <c:v>1.6817747681082105E-2</c:v>
                </c:pt>
                <c:pt idx="13">
                  <c:v>1.8265029126908614E-2</c:v>
                </c:pt>
                <c:pt idx="14">
                  <c:v>1.8372302088846524E-2</c:v>
                </c:pt>
                <c:pt idx="15">
                  <c:v>1.9497644547578023E-2</c:v>
                </c:pt>
                <c:pt idx="16">
                  <c:v>1.9173240172440213E-2</c:v>
                </c:pt>
                <c:pt idx="17">
                  <c:v>2.0915484547328608E-2</c:v>
                </c:pt>
                <c:pt idx="18">
                  <c:v>2.0182176414516351E-2</c:v>
                </c:pt>
                <c:pt idx="19">
                  <c:v>2.0454974473834341E-2</c:v>
                </c:pt>
                <c:pt idx="20">
                  <c:v>2.3165582004581457E-2</c:v>
                </c:pt>
                <c:pt idx="21">
                  <c:v>2.579309622989033E-2</c:v>
                </c:pt>
                <c:pt idx="22">
                  <c:v>2.3119195607226316E-2</c:v>
                </c:pt>
                <c:pt idx="23">
                  <c:v>2.3604864181598312E-2</c:v>
                </c:pt>
                <c:pt idx="24">
                  <c:v>1.8814017894599397E-2</c:v>
                </c:pt>
                <c:pt idx="25">
                  <c:v>1.8708652295184786E-2</c:v>
                </c:pt>
                <c:pt idx="26">
                  <c:v>2.0061709221616136E-2</c:v>
                </c:pt>
                <c:pt idx="27">
                  <c:v>1.9194464168649412E-2</c:v>
                </c:pt>
                <c:pt idx="28">
                  <c:v>1.9305016066456276E-2</c:v>
                </c:pt>
                <c:pt idx="29">
                  <c:v>2.0426719848824326E-2</c:v>
                </c:pt>
                <c:pt idx="30">
                  <c:v>2.0695694176874276E-2</c:v>
                </c:pt>
                <c:pt idx="31">
                  <c:v>1.9885847854713479E-2</c:v>
                </c:pt>
                <c:pt idx="32">
                  <c:v>1.6267465671736835E-2</c:v>
                </c:pt>
                <c:pt idx="33">
                  <c:v>1.1072327769711753E-2</c:v>
                </c:pt>
                <c:pt idx="34">
                  <c:v>1.2922545408442144E-2</c:v>
                </c:pt>
                <c:pt idx="35">
                  <c:v>1.2256188752180061E-2</c:v>
                </c:pt>
                <c:pt idx="36">
                  <c:v>1.5065098810527689E-2</c:v>
                </c:pt>
                <c:pt idx="37">
                  <c:v>1.3169488273089034E-2</c:v>
                </c:pt>
                <c:pt idx="38">
                  <c:v>1.1446967123490314E-2</c:v>
                </c:pt>
                <c:pt idx="39">
                  <c:v>1.0481436848857001E-2</c:v>
                </c:pt>
                <c:pt idx="40">
                  <c:v>1.1669877354733226E-2</c:v>
                </c:pt>
                <c:pt idx="41">
                  <c:v>1.0736738270214893E-2</c:v>
                </c:pt>
                <c:pt idx="42">
                  <c:v>9.3596700805948941E-3</c:v>
                </c:pt>
                <c:pt idx="43">
                  <c:v>1.1689797938019964E-2</c:v>
                </c:pt>
                <c:pt idx="44">
                  <c:v>1.168948272939035E-2</c:v>
                </c:pt>
                <c:pt idx="45">
                  <c:v>1.163282931263789E-2</c:v>
                </c:pt>
                <c:pt idx="46">
                  <c:v>1.0072287150855433E-2</c:v>
                </c:pt>
                <c:pt idx="47">
                  <c:v>7.7911631637740545E-3</c:v>
                </c:pt>
                <c:pt idx="48">
                  <c:v>1.059961737866744E-2</c:v>
                </c:pt>
                <c:pt idx="49">
                  <c:v>1.0411224287041327E-2</c:v>
                </c:pt>
                <c:pt idx="50">
                  <c:v>1.0548247406667745E-2</c:v>
                </c:pt>
                <c:pt idx="51">
                  <c:v>1.1844077961019451E-2</c:v>
                </c:pt>
                <c:pt idx="52">
                  <c:v>9.2299586371204032E-3</c:v>
                </c:pt>
                <c:pt idx="53">
                  <c:v>7.9976520282300598E-3</c:v>
                </c:pt>
                <c:pt idx="54">
                  <c:v>7.5498084105035702E-3</c:v>
                </c:pt>
                <c:pt idx="55">
                  <c:v>5.7172831483371014E-3</c:v>
                </c:pt>
                <c:pt idx="56">
                  <c:v>4.9127259697696211E-3</c:v>
                </c:pt>
                <c:pt idx="57">
                  <c:v>5.5021118425159447E-3</c:v>
                </c:pt>
                <c:pt idx="58">
                  <c:v>6.439202378019991E-3</c:v>
                </c:pt>
                <c:pt idx="59">
                  <c:v>8.6037559103701866E-3</c:v>
                </c:pt>
                <c:pt idx="60">
                  <c:v>4.0780745876835911E-3</c:v>
                </c:pt>
                <c:pt idx="61">
                  <c:v>7.4613466596654939E-3</c:v>
                </c:pt>
                <c:pt idx="62">
                  <c:v>4.4092043820388284E-3</c:v>
                </c:pt>
                <c:pt idx="63">
                  <c:v>4.707342929887259E-3</c:v>
                </c:pt>
                <c:pt idx="64">
                  <c:v>6.2590640167038318E-3</c:v>
                </c:pt>
                <c:pt idx="65">
                  <c:v>7.5734831369754715E-3</c:v>
                </c:pt>
                <c:pt idx="66">
                  <c:v>7.6477459814321986E-3</c:v>
                </c:pt>
                <c:pt idx="67">
                  <c:v>8.6912143264028588E-3</c:v>
                </c:pt>
                <c:pt idx="68">
                  <c:v>9.1973387194977559E-3</c:v>
                </c:pt>
                <c:pt idx="69">
                  <c:v>9.6759983442011571E-3</c:v>
                </c:pt>
                <c:pt idx="70">
                  <c:v>6.553298148191917E-3</c:v>
                </c:pt>
                <c:pt idx="71">
                  <c:v>5.3560613834413781E-3</c:v>
                </c:pt>
                <c:pt idx="72">
                  <c:v>7.3581568058113276E-3</c:v>
                </c:pt>
                <c:pt idx="73">
                  <c:v>2.7454993711642393E-3</c:v>
                </c:pt>
                <c:pt idx="74">
                  <c:v>6.3824282988539224E-3</c:v>
                </c:pt>
                <c:pt idx="75">
                  <c:v>3.3375803983831014E-3</c:v>
                </c:pt>
                <c:pt idx="76">
                  <c:v>5.8447833471430679E-3</c:v>
                </c:pt>
                <c:pt idx="77">
                  <c:v>3.5500594340281172E-3</c:v>
                </c:pt>
                <c:pt idx="78">
                  <c:v>5.9500487030628773E-3</c:v>
                </c:pt>
                <c:pt idx="79">
                  <c:v>4.5283775680001904E-3</c:v>
                </c:pt>
                <c:pt idx="80">
                  <c:v>4.7198034296107557E-3</c:v>
                </c:pt>
                <c:pt idx="81">
                  <c:v>1.9223544207674942E-3</c:v>
                </c:pt>
                <c:pt idx="82">
                  <c:v>4.3977597743384061E-3</c:v>
                </c:pt>
                <c:pt idx="83">
                  <c:v>6.8025032571562387E-3</c:v>
                </c:pt>
                <c:pt idx="84">
                  <c:v>5.1413447026417598E-3</c:v>
                </c:pt>
                <c:pt idx="85">
                  <c:v>7.6473950947748524E-3</c:v>
                </c:pt>
                <c:pt idx="86">
                  <c:v>7.2961562054792576E-3</c:v>
                </c:pt>
                <c:pt idx="87">
                  <c:v>1.2231811691169131E-2</c:v>
                </c:pt>
                <c:pt idx="88">
                  <c:v>7.2164938191975518E-3</c:v>
                </c:pt>
                <c:pt idx="89">
                  <c:v>8.4346607422979974E-3</c:v>
                </c:pt>
                <c:pt idx="90">
                  <c:v>8.3559220404664774E-3</c:v>
                </c:pt>
                <c:pt idx="91">
                  <c:v>8.8073811606449569E-3</c:v>
                </c:pt>
                <c:pt idx="92">
                  <c:v>7.4221188670499615E-3</c:v>
                </c:pt>
                <c:pt idx="93">
                  <c:v>3.9079517717572889E-3</c:v>
                </c:pt>
                <c:pt idx="94">
                  <c:v>2.6492259292987038E-3</c:v>
                </c:pt>
                <c:pt idx="95">
                  <c:v>3.8553436115991045E-3</c:v>
                </c:pt>
                <c:pt idx="96">
                  <c:v>4.0537298396128955E-3</c:v>
                </c:pt>
                <c:pt idx="97">
                  <c:v>4.2176347241984378E-3</c:v>
                </c:pt>
                <c:pt idx="98">
                  <c:v>6.0104677353925752E-3</c:v>
                </c:pt>
                <c:pt idx="99">
                  <c:v>3.1555630476766119E-3</c:v>
                </c:pt>
                <c:pt idx="100">
                  <c:v>6.6321241475135765E-3</c:v>
                </c:pt>
                <c:pt idx="101">
                  <c:v>7.1757253207362067E-3</c:v>
                </c:pt>
                <c:pt idx="102">
                  <c:v>5.6594352752463196E-3</c:v>
                </c:pt>
                <c:pt idx="103">
                  <c:v>7.7438873844393845E-3</c:v>
                </c:pt>
                <c:pt idx="104">
                  <c:v>6.6679343098126429E-3</c:v>
                </c:pt>
                <c:pt idx="105">
                  <c:v>7.9747155248857237E-3</c:v>
                </c:pt>
                <c:pt idx="106">
                  <c:v>8.4748207593813504E-3</c:v>
                </c:pt>
                <c:pt idx="107">
                  <c:v>5.2296253025946393E-3</c:v>
                </c:pt>
                <c:pt idx="108">
                  <c:v>5.8289930684656804E-3</c:v>
                </c:pt>
                <c:pt idx="109">
                  <c:v>4.4048676312028771E-3</c:v>
                </c:pt>
                <c:pt idx="110">
                  <c:v>4.2975408680461097E-3</c:v>
                </c:pt>
                <c:pt idx="111">
                  <c:v>7.9009433962262954E-3</c:v>
                </c:pt>
                <c:pt idx="112">
                  <c:v>4.5572175251619397E-3</c:v>
                </c:pt>
                <c:pt idx="113">
                  <c:v>5.5732608917216705E-3</c:v>
                </c:pt>
                <c:pt idx="114">
                  <c:v>5.8132829802163876E-3</c:v>
                </c:pt>
              </c:numCache>
            </c:numRef>
          </c:val>
          <c:smooth val="0"/>
          <c:extLst>
            <c:ext xmlns:c16="http://schemas.microsoft.com/office/drawing/2014/chart" uri="{C3380CC4-5D6E-409C-BE32-E72D297353CC}">
              <c16:uniqueId val="{00000005-51BB-4ABE-B68A-7D9237E8934B}"/>
            </c:ext>
          </c:extLst>
        </c:ser>
        <c:dLbls>
          <c:showLegendKey val="0"/>
          <c:showVal val="0"/>
          <c:showCatName val="0"/>
          <c:showSerName val="0"/>
          <c:showPercent val="0"/>
          <c:showBubbleSize val="0"/>
        </c:dLbls>
        <c:smooth val="0"/>
        <c:axId val="722471976"/>
        <c:axId val="722469680"/>
      </c:lineChart>
      <c:dateAx>
        <c:axId val="72247197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2469680"/>
        <c:crosses val="autoZero"/>
        <c:auto val="1"/>
        <c:lblOffset val="100"/>
        <c:baseTimeUnit val="months"/>
      </c:dateAx>
      <c:valAx>
        <c:axId val="7224696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24719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10</xdr:col>
      <xdr:colOff>123825</xdr:colOff>
      <xdr:row>800</xdr:row>
      <xdr:rowOff>152400</xdr:rowOff>
    </xdr:from>
    <xdr:to>
      <xdr:col>17</xdr:col>
      <xdr:colOff>428625</xdr:colOff>
      <xdr:row>815</xdr:row>
      <xdr:rowOff>38100</xdr:rowOff>
    </xdr:to>
    <xdr:graphicFrame macro="">
      <xdr:nvGraphicFramePr>
        <xdr:cNvPr id="2" name="Chart 1">
          <a:extLst>
            <a:ext uri="{FF2B5EF4-FFF2-40B4-BE49-F238E27FC236}">
              <a16:creationId xmlns:a16="http://schemas.microsoft.com/office/drawing/2014/main" id="{9A0B2617-240F-4CD1-858F-55BEE53ED76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114300</xdr:colOff>
      <xdr:row>815</xdr:row>
      <xdr:rowOff>133350</xdr:rowOff>
    </xdr:from>
    <xdr:to>
      <xdr:col>17</xdr:col>
      <xdr:colOff>419100</xdr:colOff>
      <xdr:row>830</xdr:row>
      <xdr:rowOff>19050</xdr:rowOff>
    </xdr:to>
    <xdr:graphicFrame macro="">
      <xdr:nvGraphicFramePr>
        <xdr:cNvPr id="3" name="Chart 2">
          <a:extLst>
            <a:ext uri="{FF2B5EF4-FFF2-40B4-BE49-F238E27FC236}">
              <a16:creationId xmlns:a16="http://schemas.microsoft.com/office/drawing/2014/main" id="{4947B847-FAB5-458A-B4C2-80FDAD3109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578F6CF-EE7E-47A9-B68A-3A863A44AEC4}" name="Table143454" displayName="Table143454" ref="A2:I830" totalsRowShown="0" headerRowDxfId="11" dataDxfId="9" headerRowBorderDxfId="10">
  <autoFilter ref="A2:I830" xr:uid="{48FD9199-6BCF-4F9B-A44A-8068B71062E0}"/>
  <tableColumns count="9">
    <tableColumn id="1" xr3:uid="{A30A758B-E177-401A-91C6-E4D6EE8C4C03}" name="Date" dataDxfId="8">
      <calculatedColumnFormula>IF(Data!B31="",#N/A,Data!B31)</calculatedColumnFormula>
    </tableColumn>
    <tableColumn id="2" xr3:uid="{11FB7ED9-99EA-438E-9675-ECD0F1020AE8}" name="JPN" dataDxfId="7">
      <calculatedColumnFormula>VLOOKUP(A3,Data!B:AY,MATCH($B$2,Data!$C$1:$AY$1,0),FALSE)</calculatedColumnFormula>
    </tableColumn>
    <tableColumn id="3" xr3:uid="{65E69F5F-93CB-4C78-9AEC-724113D06391}" name="Monthly Change" dataDxfId="6">
      <calculatedColumnFormula>(B3/B2)-1</calculatedColumnFormula>
    </tableColumn>
    <tableColumn id="4" xr3:uid="{010507B1-D7DB-421C-8104-844CA5A8218D}" name="12 Month Change" dataDxfId="5">
      <calculatedColumnFormula>((1+C3)^12)-1</calculatedColumnFormula>
    </tableColumn>
    <tableColumn id="5" xr3:uid="{9915054B-999F-479C-9389-2DDF85116E7B}" name="CPI YoY" dataDxfId="4"/>
    <tableColumn id="6" xr3:uid="{3B7C68CC-5455-4D42-8596-AC77D25E9B3B}" name="Core CPI" dataDxfId="3">
      <calculatedColumnFormula>VLOOKUP(Table143454[[#This Row],[Date]],'Data Core CPI'!$B:$AY,MATCH($B$2,'Data Core CPI'!$C$1:$AY$1,0),FALSE)</calculatedColumnFormula>
    </tableColumn>
    <tableColumn id="7" xr3:uid="{E5048733-5753-4DC1-A6E4-8543859DAE1C}" name="Monthly Change " dataDxfId="2">
      <calculatedColumnFormula>(F3/F2)-1</calculatedColumnFormula>
    </tableColumn>
    <tableColumn id="8" xr3:uid="{1570C2FD-347D-48F0-A35C-544DEF61A588}" name="Annualized" dataDxfId="1">
      <calculatedColumnFormula>((1+G3)^12)-1</calculatedColumnFormula>
    </tableColumn>
    <tableColumn id="9" xr3:uid="{4C3F28E6-B3FD-4C5D-B07A-5F548D64F83A}" name="CPI core yoy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data.oecd.org/price/inflation-cpi.htm" TargetMode="External"/><Relationship Id="rId2" Type="http://schemas.openxmlformats.org/officeDocument/2006/relationships/hyperlink" Target="https://data.oecd.org/price/inflation-cpi.htm" TargetMode="External"/><Relationship Id="rId1" Type="http://schemas.openxmlformats.org/officeDocument/2006/relationships/hyperlink" Target="https://data.oecd.org/price/inflation-cpi.htm"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746244-D0FF-4F14-904D-A15D2A49782C}">
  <sheetPr codeName="Sheet1">
    <tabColor rgb="FFFFFF00"/>
  </sheetPr>
  <dimension ref="B1:P246"/>
  <sheetViews>
    <sheetView topLeftCell="A8" zoomScale="140" zoomScaleNormal="140" workbookViewId="0">
      <selection activeCell="R24" sqref="R24"/>
    </sheetView>
  </sheetViews>
  <sheetFormatPr baseColWidth="10" defaultColWidth="9.1640625" defaultRowHeight="15" x14ac:dyDescent="0.2"/>
  <cols>
    <col min="1" max="1" width="9.1640625" style="3"/>
    <col min="2" max="10" width="12.83203125" style="3" customWidth="1"/>
    <col min="11" max="14" width="9.1640625" style="3"/>
    <col min="15" max="16" width="19.1640625" style="3" customWidth="1"/>
    <col min="17" max="16384" width="9.1640625" style="3"/>
  </cols>
  <sheetData>
    <row r="1" spans="2:16" x14ac:dyDescent="0.2">
      <c r="B1" s="81"/>
      <c r="C1" s="81"/>
      <c r="D1" s="81"/>
      <c r="E1" s="81"/>
      <c r="F1" s="81"/>
      <c r="G1" s="81"/>
      <c r="H1" s="81"/>
      <c r="I1" s="81"/>
      <c r="J1" s="81"/>
    </row>
    <row r="2" spans="2:16" ht="16" thickBot="1" x14ac:dyDescent="0.25">
      <c r="B2" s="82"/>
      <c r="C2" s="82"/>
      <c r="D2" s="82"/>
      <c r="E2" s="82"/>
      <c r="F2" s="82"/>
      <c r="G2" s="82"/>
      <c r="H2" s="82"/>
      <c r="I2" s="82"/>
      <c r="J2" s="82"/>
    </row>
    <row r="3" spans="2:16" ht="16" thickBot="1" x14ac:dyDescent="0.25">
      <c r="B3" s="83" t="s">
        <v>1405</v>
      </c>
      <c r="C3" s="84"/>
      <c r="D3" s="84"/>
      <c r="E3" s="84"/>
      <c r="F3" s="84"/>
      <c r="G3" s="84"/>
      <c r="H3" s="84"/>
      <c r="I3" s="84"/>
      <c r="J3" s="85"/>
    </row>
    <row r="5" spans="2:16" x14ac:dyDescent="0.2">
      <c r="B5" s="86" t="s">
        <v>1401</v>
      </c>
      <c r="C5" s="87"/>
      <c r="D5" s="87"/>
      <c r="E5" s="87"/>
      <c r="F5" s="87"/>
      <c r="G5" s="87"/>
      <c r="H5" s="87"/>
      <c r="I5" s="87"/>
      <c r="J5" s="88"/>
    </row>
    <row r="7" spans="2:16" ht="139.5" customHeight="1" x14ac:dyDescent="0.2">
      <c r="B7" s="89" t="s">
        <v>1406</v>
      </c>
      <c r="C7" s="90"/>
      <c r="D7" s="90"/>
      <c r="E7" s="90"/>
      <c r="F7" s="90"/>
      <c r="G7" s="90"/>
      <c r="H7" s="90"/>
      <c r="I7" s="90"/>
      <c r="J7" s="90"/>
    </row>
    <row r="8" spans="2:16" ht="33.75" customHeight="1" x14ac:dyDescent="0.2">
      <c r="B8" s="91" t="s">
        <v>0</v>
      </c>
      <c r="C8" s="92"/>
      <c r="D8" s="92"/>
      <c r="E8" s="92"/>
      <c r="F8" s="92"/>
      <c r="G8" s="92"/>
      <c r="H8" s="92"/>
      <c r="I8" s="92"/>
      <c r="J8" s="92"/>
    </row>
    <row r="9" spans="2:16" x14ac:dyDescent="0.2">
      <c r="B9" s="68"/>
      <c r="C9" s="68"/>
      <c r="D9" s="68"/>
      <c r="E9" s="68"/>
    </row>
    <row r="10" spans="2:16" x14ac:dyDescent="0.2">
      <c r="B10" s="86" t="s">
        <v>1402</v>
      </c>
      <c r="C10" s="93"/>
      <c r="D10" s="93"/>
      <c r="E10" s="93"/>
      <c r="F10" s="93"/>
      <c r="G10" s="93"/>
      <c r="H10" s="93"/>
      <c r="I10" s="93"/>
      <c r="J10" s="94"/>
    </row>
    <row r="12" spans="2:16" x14ac:dyDescent="0.2">
      <c r="B12" s="86" t="s">
        <v>1403</v>
      </c>
      <c r="C12" s="95"/>
      <c r="D12" s="95"/>
      <c r="E12" s="95"/>
      <c r="F12" s="96"/>
      <c r="G12" s="86" t="s">
        <v>1404</v>
      </c>
      <c r="H12" s="95"/>
      <c r="I12" s="95"/>
      <c r="J12" s="96"/>
      <c r="O12" s="72" t="s">
        <v>1399</v>
      </c>
      <c r="P12" s="72" t="s">
        <v>1400</v>
      </c>
    </row>
    <row r="13" spans="2:16" x14ac:dyDescent="0.2">
      <c r="O13" s="73" t="s">
        <v>987</v>
      </c>
      <c r="P13" s="73" t="s">
        <v>988</v>
      </c>
    </row>
    <row r="14" spans="2:16" x14ac:dyDescent="0.2">
      <c r="B14" s="71" t="s">
        <v>0</v>
      </c>
      <c r="G14" s="97" t="s">
        <v>984</v>
      </c>
      <c r="H14" s="92"/>
      <c r="I14" s="92"/>
      <c r="J14" s="92"/>
      <c r="O14" s="73" t="s">
        <v>989</v>
      </c>
      <c r="P14" s="73" t="s">
        <v>990</v>
      </c>
    </row>
    <row r="15" spans="2:16" x14ac:dyDescent="0.2">
      <c r="B15" s="3" t="s">
        <v>981</v>
      </c>
      <c r="G15" s="97" t="s">
        <v>1407</v>
      </c>
      <c r="H15" s="92"/>
      <c r="I15" s="92"/>
      <c r="J15" s="92"/>
      <c r="O15" s="73" t="s">
        <v>991</v>
      </c>
      <c r="P15" s="73" t="s">
        <v>992</v>
      </c>
    </row>
    <row r="16" spans="2:16" ht="15.75" customHeight="1" x14ac:dyDescent="0.2">
      <c r="B16" s="3" t="s">
        <v>897</v>
      </c>
      <c r="G16" s="77" t="s">
        <v>1409</v>
      </c>
      <c r="H16" s="78"/>
      <c r="I16" s="78"/>
      <c r="J16" s="78"/>
      <c r="O16" s="73" t="s">
        <v>993</v>
      </c>
      <c r="P16" s="73" t="s">
        <v>994</v>
      </c>
    </row>
    <row r="17" spans="2:16" ht="15.75" customHeight="1" x14ac:dyDescent="0.2">
      <c r="B17" s="3" t="s">
        <v>1</v>
      </c>
      <c r="G17" s="77"/>
      <c r="H17" s="78"/>
      <c r="I17" s="78"/>
      <c r="J17" s="78"/>
      <c r="O17" s="73" t="s">
        <v>995</v>
      </c>
      <c r="P17" s="73" t="s">
        <v>996</v>
      </c>
    </row>
    <row r="18" spans="2:16" ht="15.75" customHeight="1" x14ac:dyDescent="0.2">
      <c r="B18" s="3" t="s">
        <v>2</v>
      </c>
      <c r="G18" s="80"/>
      <c r="H18" s="78"/>
      <c r="I18" s="78"/>
      <c r="J18" s="78"/>
      <c r="O18" s="73" t="s">
        <v>997</v>
      </c>
      <c r="P18" s="73" t="s">
        <v>998</v>
      </c>
    </row>
    <row r="19" spans="2:16" ht="15.75" customHeight="1" x14ac:dyDescent="0.2">
      <c r="B19" s="3" t="s">
        <v>899</v>
      </c>
      <c r="G19" s="77"/>
      <c r="H19" s="78"/>
      <c r="I19" s="78"/>
      <c r="J19" s="78"/>
      <c r="O19" s="73" t="s">
        <v>999</v>
      </c>
      <c r="P19" s="73" t="s">
        <v>1000</v>
      </c>
    </row>
    <row r="20" spans="2:16" ht="15.75" customHeight="1" x14ac:dyDescent="0.2">
      <c r="G20" s="77"/>
      <c r="H20" s="78"/>
      <c r="I20" s="78"/>
      <c r="J20" s="78"/>
      <c r="O20" s="73" t="s">
        <v>1001</v>
      </c>
      <c r="P20" s="73" t="s">
        <v>1002</v>
      </c>
    </row>
    <row r="21" spans="2:16" ht="15.75" customHeight="1" x14ac:dyDescent="0.2">
      <c r="B21" s="71" t="s">
        <v>0</v>
      </c>
      <c r="G21" s="77" t="s">
        <v>986</v>
      </c>
      <c r="H21" s="78"/>
      <c r="I21" s="78"/>
      <c r="J21" s="78"/>
      <c r="O21" s="73" t="s">
        <v>1003</v>
      </c>
      <c r="P21" s="73" t="s">
        <v>1004</v>
      </c>
    </row>
    <row r="22" spans="2:16" ht="15.75" customHeight="1" x14ac:dyDescent="0.2">
      <c r="B22" s="3" t="s">
        <v>982</v>
      </c>
      <c r="G22" s="77" t="s">
        <v>1408</v>
      </c>
      <c r="H22" s="78"/>
      <c r="I22" s="78"/>
      <c r="J22" s="78"/>
      <c r="O22" s="73" t="s">
        <v>903</v>
      </c>
      <c r="P22" s="73" t="s">
        <v>930</v>
      </c>
    </row>
    <row r="23" spans="2:16" ht="15.75" customHeight="1" x14ac:dyDescent="0.2">
      <c r="B23" s="3" t="s">
        <v>897</v>
      </c>
      <c r="G23" s="77" t="s">
        <v>1409</v>
      </c>
      <c r="H23" s="78"/>
      <c r="I23" s="78"/>
      <c r="J23" s="78"/>
      <c r="O23" s="73" t="s">
        <v>1005</v>
      </c>
      <c r="P23" s="73" t="s">
        <v>1006</v>
      </c>
    </row>
    <row r="24" spans="2:16" ht="15.75" customHeight="1" x14ac:dyDescent="0.2">
      <c r="B24" s="3" t="s">
        <v>1</v>
      </c>
      <c r="G24" s="77"/>
      <c r="H24" s="78"/>
      <c r="I24" s="78"/>
      <c r="J24" s="78"/>
      <c r="O24" s="73" t="s">
        <v>1007</v>
      </c>
      <c r="P24" s="73" t="s">
        <v>1008</v>
      </c>
    </row>
    <row r="25" spans="2:16" ht="15.75" customHeight="1" x14ac:dyDescent="0.2">
      <c r="B25" s="3" t="s">
        <v>2</v>
      </c>
      <c r="G25" s="77"/>
      <c r="H25" s="78"/>
      <c r="I25" s="78"/>
      <c r="J25" s="78"/>
      <c r="O25" s="73" t="s">
        <v>1009</v>
      </c>
      <c r="P25" s="73" t="s">
        <v>1010</v>
      </c>
    </row>
    <row r="26" spans="2:16" ht="15.75" customHeight="1" x14ac:dyDescent="0.2">
      <c r="B26" s="3" t="s">
        <v>898</v>
      </c>
      <c r="G26" s="77"/>
      <c r="H26" s="78"/>
      <c r="I26" s="78"/>
      <c r="J26" s="78"/>
      <c r="O26" s="73" t="s">
        <v>902</v>
      </c>
      <c r="P26" s="73" t="s">
        <v>921</v>
      </c>
    </row>
    <row r="27" spans="2:16" ht="15.75" customHeight="1" x14ac:dyDescent="0.2">
      <c r="B27" s="75"/>
      <c r="C27" s="76"/>
      <c r="D27" s="76"/>
      <c r="E27" s="76"/>
      <c r="F27" s="76"/>
      <c r="G27" s="77"/>
      <c r="H27" s="78"/>
      <c r="I27" s="78"/>
      <c r="J27" s="78"/>
      <c r="O27" s="73" t="s">
        <v>7</v>
      </c>
      <c r="P27" s="73" t="s">
        <v>1011</v>
      </c>
    </row>
    <row r="28" spans="2:16" x14ac:dyDescent="0.2">
      <c r="O28" s="73" t="s">
        <v>1012</v>
      </c>
      <c r="P28" s="73" t="s">
        <v>1013</v>
      </c>
    </row>
    <row r="29" spans="2:16" x14ac:dyDescent="0.2">
      <c r="O29" s="73" t="s">
        <v>730</v>
      </c>
      <c r="P29" s="73" t="s">
        <v>1014</v>
      </c>
    </row>
    <row r="30" spans="2:16" x14ac:dyDescent="0.2">
      <c r="B30" s="69"/>
      <c r="O30" s="73" t="s">
        <v>1015</v>
      </c>
      <c r="P30" s="73" t="s">
        <v>1016</v>
      </c>
    </row>
    <row r="31" spans="2:16" ht="33.75" customHeight="1" x14ac:dyDescent="0.2">
      <c r="B31" s="79"/>
      <c r="C31" s="76"/>
      <c r="D31" s="76"/>
      <c r="E31" s="76"/>
      <c r="F31" s="76"/>
      <c r="G31" s="76"/>
      <c r="H31" s="76"/>
      <c r="I31" s="76"/>
      <c r="J31" s="76"/>
      <c r="O31" s="73" t="s">
        <v>1017</v>
      </c>
      <c r="P31" s="73" t="s">
        <v>1018</v>
      </c>
    </row>
    <row r="32" spans="2:16" x14ac:dyDescent="0.2">
      <c r="B32" s="70"/>
      <c r="O32" s="73" t="s">
        <v>1019</v>
      </c>
      <c r="P32" s="73" t="s">
        <v>1020</v>
      </c>
    </row>
    <row r="33" spans="15:16" x14ac:dyDescent="0.2">
      <c r="O33" s="73" t="s">
        <v>1021</v>
      </c>
      <c r="P33" s="73" t="s">
        <v>1022</v>
      </c>
    </row>
    <row r="34" spans="15:16" x14ac:dyDescent="0.2">
      <c r="O34" s="73" t="s">
        <v>1023</v>
      </c>
      <c r="P34" s="73" t="s">
        <v>1024</v>
      </c>
    </row>
    <row r="35" spans="15:16" x14ac:dyDescent="0.2">
      <c r="O35" s="73" t="s">
        <v>1025</v>
      </c>
      <c r="P35" s="73" t="s">
        <v>1026</v>
      </c>
    </row>
    <row r="36" spans="15:16" x14ac:dyDescent="0.2">
      <c r="O36" s="73" t="s">
        <v>1027</v>
      </c>
      <c r="P36" s="73" t="s">
        <v>1028</v>
      </c>
    </row>
    <row r="37" spans="15:16" x14ac:dyDescent="0.2">
      <c r="O37" s="73" t="s">
        <v>1029</v>
      </c>
      <c r="P37" s="73" t="s">
        <v>1030</v>
      </c>
    </row>
    <row r="38" spans="15:16" x14ac:dyDescent="0.2">
      <c r="O38" s="73" t="s">
        <v>1031</v>
      </c>
      <c r="P38" s="73" t="s">
        <v>1032</v>
      </c>
    </row>
    <row r="39" spans="15:16" x14ac:dyDescent="0.2">
      <c r="O39" s="73" t="s">
        <v>854</v>
      </c>
      <c r="P39" s="73" t="s">
        <v>924</v>
      </c>
    </row>
    <row r="40" spans="15:16" x14ac:dyDescent="0.2">
      <c r="O40" s="73" t="s">
        <v>1033</v>
      </c>
      <c r="P40" s="73" t="s">
        <v>1034</v>
      </c>
    </row>
    <row r="41" spans="15:16" x14ac:dyDescent="0.2">
      <c r="O41" s="73" t="s">
        <v>1035</v>
      </c>
      <c r="P41" s="73" t="s">
        <v>1036</v>
      </c>
    </row>
    <row r="42" spans="15:16" x14ac:dyDescent="0.2">
      <c r="O42" s="73" t="s">
        <v>1037</v>
      </c>
      <c r="P42" s="73" t="s">
        <v>1038</v>
      </c>
    </row>
    <row r="43" spans="15:16" x14ac:dyDescent="0.2">
      <c r="O43" s="73" t="s">
        <v>1039</v>
      </c>
      <c r="P43" s="73" t="s">
        <v>1040</v>
      </c>
    </row>
    <row r="44" spans="15:16" x14ac:dyDescent="0.2">
      <c r="O44" s="73" t="s">
        <v>1041</v>
      </c>
      <c r="P44" s="73" t="s">
        <v>1042</v>
      </c>
    </row>
    <row r="45" spans="15:16" x14ac:dyDescent="0.2">
      <c r="O45" s="73" t="s">
        <v>768</v>
      </c>
      <c r="P45" s="73" t="s">
        <v>920</v>
      </c>
    </row>
    <row r="46" spans="15:16" x14ac:dyDescent="0.2">
      <c r="O46" s="73" t="s">
        <v>1043</v>
      </c>
      <c r="P46" s="73" t="s">
        <v>1044</v>
      </c>
    </row>
    <row r="47" spans="15:16" x14ac:dyDescent="0.2">
      <c r="O47" s="73" t="s">
        <v>850</v>
      </c>
      <c r="P47" s="73" t="s">
        <v>922</v>
      </c>
    </row>
    <row r="48" spans="15:16" x14ac:dyDescent="0.2">
      <c r="O48" s="73" t="s">
        <v>855</v>
      </c>
      <c r="P48" s="73" t="s">
        <v>1045</v>
      </c>
    </row>
    <row r="49" spans="15:16" x14ac:dyDescent="0.2">
      <c r="O49" s="73" t="s">
        <v>856</v>
      </c>
      <c r="P49" s="73" t="s">
        <v>1046</v>
      </c>
    </row>
    <row r="50" spans="15:16" x14ac:dyDescent="0.2">
      <c r="O50" s="73" t="s">
        <v>1047</v>
      </c>
      <c r="P50" s="73" t="s">
        <v>1048</v>
      </c>
    </row>
    <row r="51" spans="15:16" x14ac:dyDescent="0.2">
      <c r="O51" s="73" t="s">
        <v>1049</v>
      </c>
      <c r="P51" s="73" t="s">
        <v>1050</v>
      </c>
    </row>
    <row r="52" spans="15:16" x14ac:dyDescent="0.2">
      <c r="O52" s="73" t="s">
        <v>1051</v>
      </c>
      <c r="P52" s="73" t="s">
        <v>1052</v>
      </c>
    </row>
    <row r="53" spans="15:16" x14ac:dyDescent="0.2">
      <c r="O53" s="73" t="s">
        <v>1053</v>
      </c>
      <c r="P53" s="73" t="s">
        <v>1054</v>
      </c>
    </row>
    <row r="54" spans="15:16" x14ac:dyDescent="0.2">
      <c r="O54" s="73" t="s">
        <v>1055</v>
      </c>
      <c r="P54" s="73" t="s">
        <v>1056</v>
      </c>
    </row>
    <row r="55" spans="15:16" x14ac:dyDescent="0.2">
      <c r="O55" s="73" t="s">
        <v>867</v>
      </c>
      <c r="P55" s="73" t="s">
        <v>1057</v>
      </c>
    </row>
    <row r="56" spans="15:16" x14ac:dyDescent="0.2">
      <c r="O56" s="73" t="s">
        <v>1058</v>
      </c>
      <c r="P56" s="73" t="s">
        <v>1059</v>
      </c>
    </row>
    <row r="57" spans="15:16" x14ac:dyDescent="0.2">
      <c r="O57" s="73" t="s">
        <v>1060</v>
      </c>
      <c r="P57" s="73" t="s">
        <v>1061</v>
      </c>
    </row>
    <row r="58" spans="15:16" x14ac:dyDescent="0.2">
      <c r="O58" s="73" t="s">
        <v>873</v>
      </c>
      <c r="P58" s="73" t="s">
        <v>1062</v>
      </c>
    </row>
    <row r="59" spans="15:16" x14ac:dyDescent="0.2">
      <c r="O59" s="73" t="s">
        <v>1063</v>
      </c>
      <c r="P59" s="73" t="s">
        <v>1064</v>
      </c>
    </row>
    <row r="60" spans="15:16" x14ac:dyDescent="0.2">
      <c r="O60" s="73" t="s">
        <v>1065</v>
      </c>
      <c r="P60" s="73" t="s">
        <v>1066</v>
      </c>
    </row>
    <row r="61" spans="15:16" x14ac:dyDescent="0.2">
      <c r="O61" s="73" t="s">
        <v>1067</v>
      </c>
      <c r="P61" s="73" t="s">
        <v>1068</v>
      </c>
    </row>
    <row r="62" spans="15:16" x14ac:dyDescent="0.2">
      <c r="O62" s="73" t="s">
        <v>1069</v>
      </c>
      <c r="P62" s="73" t="s">
        <v>1070</v>
      </c>
    </row>
    <row r="63" spans="15:16" x14ac:dyDescent="0.2">
      <c r="O63" s="73" t="s">
        <v>1071</v>
      </c>
      <c r="P63" s="73" t="s">
        <v>1072</v>
      </c>
    </row>
    <row r="64" spans="15:16" x14ac:dyDescent="0.2">
      <c r="O64" s="73" t="s">
        <v>1073</v>
      </c>
      <c r="P64" s="73" t="s">
        <v>1074</v>
      </c>
    </row>
    <row r="65" spans="15:16" x14ac:dyDescent="0.2">
      <c r="O65" s="73" t="s">
        <v>833</v>
      </c>
      <c r="P65" s="73" t="s">
        <v>911</v>
      </c>
    </row>
    <row r="66" spans="15:16" x14ac:dyDescent="0.2">
      <c r="O66" s="73" t="s">
        <v>1075</v>
      </c>
      <c r="P66" s="73" t="s">
        <v>1076</v>
      </c>
    </row>
    <row r="67" spans="15:16" x14ac:dyDescent="0.2">
      <c r="O67" s="73" t="s">
        <v>1077</v>
      </c>
      <c r="P67" s="73" t="s">
        <v>1078</v>
      </c>
    </row>
    <row r="68" spans="15:16" x14ac:dyDescent="0.2">
      <c r="O68" s="73" t="s">
        <v>830</v>
      </c>
      <c r="P68" s="73" t="s">
        <v>1079</v>
      </c>
    </row>
    <row r="69" spans="15:16" x14ac:dyDescent="0.2">
      <c r="O69" s="73" t="s">
        <v>1080</v>
      </c>
      <c r="P69" s="73" t="s">
        <v>1081</v>
      </c>
    </row>
    <row r="70" spans="15:16" x14ac:dyDescent="0.2">
      <c r="O70" s="73" t="s">
        <v>1082</v>
      </c>
      <c r="P70" s="73" t="s">
        <v>1083</v>
      </c>
    </row>
    <row r="71" spans="15:16" x14ac:dyDescent="0.2">
      <c r="O71" s="73" t="s">
        <v>1084</v>
      </c>
      <c r="P71" s="73" t="s">
        <v>1085</v>
      </c>
    </row>
    <row r="72" spans="15:16" x14ac:dyDescent="0.2">
      <c r="O72" s="73" t="s">
        <v>1086</v>
      </c>
      <c r="P72" s="73" t="s">
        <v>1087</v>
      </c>
    </row>
    <row r="73" spans="15:16" x14ac:dyDescent="0.2">
      <c r="O73" s="73" t="s">
        <v>1088</v>
      </c>
      <c r="P73" s="73" t="s">
        <v>1089</v>
      </c>
    </row>
    <row r="74" spans="15:16" x14ac:dyDescent="0.2">
      <c r="O74" s="73" t="s">
        <v>1090</v>
      </c>
      <c r="P74" s="73" t="s">
        <v>1091</v>
      </c>
    </row>
    <row r="75" spans="15:16" x14ac:dyDescent="0.2">
      <c r="O75" s="73" t="s">
        <v>848</v>
      </c>
      <c r="P75" s="73" t="s">
        <v>915</v>
      </c>
    </row>
    <row r="76" spans="15:16" x14ac:dyDescent="0.2">
      <c r="O76" s="73" t="s">
        <v>1092</v>
      </c>
      <c r="P76" s="73" t="s">
        <v>1093</v>
      </c>
    </row>
    <row r="77" spans="15:16" x14ac:dyDescent="0.2">
      <c r="O77" s="73" t="s">
        <v>1094</v>
      </c>
      <c r="P77" s="73" t="s">
        <v>1095</v>
      </c>
    </row>
    <row r="78" spans="15:16" x14ac:dyDescent="0.2">
      <c r="O78" s="73" t="s">
        <v>831</v>
      </c>
      <c r="P78" s="73" t="s">
        <v>1096</v>
      </c>
    </row>
    <row r="79" spans="15:16" x14ac:dyDescent="0.2">
      <c r="O79" s="73" t="s">
        <v>1097</v>
      </c>
      <c r="P79" s="73" t="s">
        <v>1098</v>
      </c>
    </row>
    <row r="80" spans="15:16" x14ac:dyDescent="0.2">
      <c r="O80" s="73" t="s">
        <v>1099</v>
      </c>
      <c r="P80" s="73" t="s">
        <v>1100</v>
      </c>
    </row>
    <row r="81" spans="15:16" x14ac:dyDescent="0.2">
      <c r="O81" s="73" t="s">
        <v>832</v>
      </c>
      <c r="P81" s="73" t="s">
        <v>912</v>
      </c>
    </row>
    <row r="82" spans="15:16" x14ac:dyDescent="0.2">
      <c r="O82" s="73" t="s">
        <v>1101</v>
      </c>
      <c r="P82" s="73" t="s">
        <v>1102</v>
      </c>
    </row>
    <row r="83" spans="15:16" x14ac:dyDescent="0.2">
      <c r="O83" s="73" t="s">
        <v>1103</v>
      </c>
      <c r="P83" s="73" t="s">
        <v>1104</v>
      </c>
    </row>
    <row r="84" spans="15:16" x14ac:dyDescent="0.2">
      <c r="O84" s="73" t="s">
        <v>1105</v>
      </c>
      <c r="P84" s="73" t="s">
        <v>1106</v>
      </c>
    </row>
    <row r="85" spans="15:16" x14ac:dyDescent="0.2">
      <c r="O85" s="73" t="s">
        <v>1107</v>
      </c>
      <c r="P85" s="73" t="s">
        <v>1108</v>
      </c>
    </row>
    <row r="86" spans="15:16" x14ac:dyDescent="0.2">
      <c r="O86" s="73" t="s">
        <v>1109</v>
      </c>
      <c r="P86" s="73" t="s">
        <v>1110</v>
      </c>
    </row>
    <row r="87" spans="15:16" x14ac:dyDescent="0.2">
      <c r="O87" s="73" t="s">
        <v>1111</v>
      </c>
      <c r="P87" s="73" t="s">
        <v>1112</v>
      </c>
    </row>
    <row r="88" spans="15:16" x14ac:dyDescent="0.2">
      <c r="O88" s="73" t="s">
        <v>1113</v>
      </c>
      <c r="P88" s="73" t="s">
        <v>1114</v>
      </c>
    </row>
    <row r="89" spans="15:16" x14ac:dyDescent="0.2">
      <c r="O89" s="73" t="s">
        <v>1115</v>
      </c>
      <c r="P89" s="73" t="s">
        <v>1116</v>
      </c>
    </row>
    <row r="90" spans="15:16" x14ac:dyDescent="0.2">
      <c r="O90" s="73" t="s">
        <v>852</v>
      </c>
      <c r="P90" s="73" t="s">
        <v>1117</v>
      </c>
    </row>
    <row r="91" spans="15:16" x14ac:dyDescent="0.2">
      <c r="O91" s="73" t="s">
        <v>1118</v>
      </c>
      <c r="P91" s="73" t="s">
        <v>1119</v>
      </c>
    </row>
    <row r="92" spans="15:16" x14ac:dyDescent="0.2">
      <c r="O92" s="73" t="s">
        <v>1120</v>
      </c>
      <c r="P92" s="73" t="s">
        <v>1121</v>
      </c>
    </row>
    <row r="93" spans="15:16" x14ac:dyDescent="0.2">
      <c r="O93" s="73" t="s">
        <v>1122</v>
      </c>
      <c r="P93" s="73" t="s">
        <v>1123</v>
      </c>
    </row>
    <row r="94" spans="15:16" x14ac:dyDescent="0.2">
      <c r="O94" s="73" t="s">
        <v>1124</v>
      </c>
      <c r="P94" s="73" t="s">
        <v>1125</v>
      </c>
    </row>
    <row r="95" spans="15:16" x14ac:dyDescent="0.2">
      <c r="O95" s="73" t="s">
        <v>1126</v>
      </c>
      <c r="P95" s="73" t="s">
        <v>1127</v>
      </c>
    </row>
    <row r="96" spans="15:16" x14ac:dyDescent="0.2">
      <c r="O96" s="73" t="s">
        <v>1128</v>
      </c>
      <c r="P96" s="73" t="s">
        <v>1129</v>
      </c>
    </row>
    <row r="97" spans="15:16" x14ac:dyDescent="0.2">
      <c r="O97" s="73" t="s">
        <v>834</v>
      </c>
      <c r="P97" s="73" t="s">
        <v>925</v>
      </c>
    </row>
    <row r="98" spans="15:16" x14ac:dyDescent="0.2">
      <c r="O98" s="73" t="s">
        <v>1130</v>
      </c>
      <c r="P98" s="73" t="s">
        <v>1131</v>
      </c>
    </row>
    <row r="99" spans="15:16" x14ac:dyDescent="0.2">
      <c r="O99" s="73" t="s">
        <v>1132</v>
      </c>
      <c r="P99" s="73" t="s">
        <v>1133</v>
      </c>
    </row>
    <row r="100" spans="15:16" x14ac:dyDescent="0.2">
      <c r="O100" s="73" t="s">
        <v>1134</v>
      </c>
      <c r="P100" s="73" t="s">
        <v>1135</v>
      </c>
    </row>
    <row r="101" spans="15:16" x14ac:dyDescent="0.2">
      <c r="O101" s="73" t="s">
        <v>1136</v>
      </c>
      <c r="P101" s="73" t="s">
        <v>1137</v>
      </c>
    </row>
    <row r="102" spans="15:16" x14ac:dyDescent="0.2">
      <c r="O102" s="73" t="s">
        <v>1138</v>
      </c>
      <c r="P102" s="73" t="s">
        <v>1139</v>
      </c>
    </row>
    <row r="103" spans="15:16" x14ac:dyDescent="0.2">
      <c r="O103" s="73" t="s">
        <v>1140</v>
      </c>
      <c r="P103" s="73" t="s">
        <v>1141</v>
      </c>
    </row>
    <row r="104" spans="15:16" x14ac:dyDescent="0.2">
      <c r="O104" s="73" t="s">
        <v>1142</v>
      </c>
      <c r="P104" s="73" t="s">
        <v>1143</v>
      </c>
    </row>
    <row r="105" spans="15:16" x14ac:dyDescent="0.2">
      <c r="O105" s="73" t="s">
        <v>835</v>
      </c>
      <c r="P105" s="73" t="s">
        <v>1144</v>
      </c>
    </row>
    <row r="106" spans="15:16" x14ac:dyDescent="0.2">
      <c r="O106" s="73" t="s">
        <v>859</v>
      </c>
      <c r="P106" s="73" t="s">
        <v>1145</v>
      </c>
    </row>
    <row r="107" spans="15:16" x14ac:dyDescent="0.2">
      <c r="O107" s="73" t="s">
        <v>858</v>
      </c>
      <c r="P107" s="73" t="s">
        <v>919</v>
      </c>
    </row>
    <row r="108" spans="15:16" x14ac:dyDescent="0.2">
      <c r="O108" s="73" t="s">
        <v>1146</v>
      </c>
      <c r="P108" s="73" t="s">
        <v>1147</v>
      </c>
    </row>
    <row r="109" spans="15:16" x14ac:dyDescent="0.2">
      <c r="O109" s="73" t="s">
        <v>837</v>
      </c>
      <c r="P109" s="73" t="s">
        <v>926</v>
      </c>
    </row>
    <row r="110" spans="15:16" x14ac:dyDescent="0.2">
      <c r="O110" s="73" t="s">
        <v>1148</v>
      </c>
      <c r="P110" s="73" t="s">
        <v>1149</v>
      </c>
    </row>
    <row r="111" spans="15:16" x14ac:dyDescent="0.2">
      <c r="O111" s="73" t="s">
        <v>1150</v>
      </c>
      <c r="P111" s="73" t="s">
        <v>1151</v>
      </c>
    </row>
    <row r="112" spans="15:16" x14ac:dyDescent="0.2">
      <c r="O112" s="73" t="s">
        <v>836</v>
      </c>
      <c r="P112" s="73" t="s">
        <v>1152</v>
      </c>
    </row>
    <row r="113" spans="15:16" x14ac:dyDescent="0.2">
      <c r="O113" s="73" t="s">
        <v>860</v>
      </c>
      <c r="P113" s="73" t="s">
        <v>1153</v>
      </c>
    </row>
    <row r="114" spans="15:16" x14ac:dyDescent="0.2">
      <c r="O114" s="73" t="s">
        <v>838</v>
      </c>
      <c r="P114" s="73" t="s">
        <v>1154</v>
      </c>
    </row>
    <row r="115" spans="15:16" x14ac:dyDescent="0.2">
      <c r="O115" s="73" t="s">
        <v>1155</v>
      </c>
      <c r="P115" s="73" t="s">
        <v>1156</v>
      </c>
    </row>
    <row r="116" spans="15:16" x14ac:dyDescent="0.2">
      <c r="O116" s="73" t="s">
        <v>1157</v>
      </c>
      <c r="P116" s="73" t="s">
        <v>1158</v>
      </c>
    </row>
    <row r="117" spans="15:16" x14ac:dyDescent="0.2">
      <c r="O117" s="73" t="s">
        <v>839</v>
      </c>
      <c r="P117" s="73" t="s">
        <v>1159</v>
      </c>
    </row>
    <row r="118" spans="15:16" x14ac:dyDescent="0.2">
      <c r="O118" s="73" t="s">
        <v>1160</v>
      </c>
      <c r="P118" s="73" t="s">
        <v>1161</v>
      </c>
    </row>
    <row r="119" spans="15:16" x14ac:dyDescent="0.2">
      <c r="O119" s="73" t="s">
        <v>1162</v>
      </c>
      <c r="P119" s="73" t="s">
        <v>1163</v>
      </c>
    </row>
    <row r="120" spans="15:16" x14ac:dyDescent="0.2">
      <c r="O120" s="73" t="s">
        <v>1164</v>
      </c>
      <c r="P120" s="73" t="s">
        <v>1165</v>
      </c>
    </row>
    <row r="121" spans="15:16" x14ac:dyDescent="0.2">
      <c r="O121" s="73" t="s">
        <v>1166</v>
      </c>
      <c r="P121" s="73" t="s">
        <v>1167</v>
      </c>
    </row>
    <row r="122" spans="15:16" x14ac:dyDescent="0.2">
      <c r="O122" s="73" t="s">
        <v>1168</v>
      </c>
      <c r="P122" s="73" t="s">
        <v>1169</v>
      </c>
    </row>
    <row r="123" spans="15:16" x14ac:dyDescent="0.2">
      <c r="O123" s="73" t="s">
        <v>1170</v>
      </c>
      <c r="P123" s="73" t="s">
        <v>1171</v>
      </c>
    </row>
    <row r="124" spans="15:16" x14ac:dyDescent="0.2">
      <c r="O124" s="73" t="s">
        <v>1172</v>
      </c>
      <c r="P124" s="73" t="s">
        <v>1173</v>
      </c>
    </row>
    <row r="125" spans="15:16" x14ac:dyDescent="0.2">
      <c r="O125" s="73" t="s">
        <v>1174</v>
      </c>
      <c r="P125" s="73" t="s">
        <v>1175</v>
      </c>
    </row>
    <row r="126" spans="15:16" x14ac:dyDescent="0.2">
      <c r="O126" s="73" t="s">
        <v>1176</v>
      </c>
      <c r="P126" s="73" t="s">
        <v>1177</v>
      </c>
    </row>
    <row r="127" spans="15:16" x14ac:dyDescent="0.2">
      <c r="O127" s="73" t="s">
        <v>1178</v>
      </c>
      <c r="P127" s="73" t="s">
        <v>1179</v>
      </c>
    </row>
    <row r="128" spans="15:16" x14ac:dyDescent="0.2">
      <c r="O128" s="73" t="s">
        <v>1180</v>
      </c>
      <c r="P128" s="73" t="s">
        <v>1181</v>
      </c>
    </row>
    <row r="129" spans="15:16" x14ac:dyDescent="0.2">
      <c r="O129" s="73" t="s">
        <v>1182</v>
      </c>
      <c r="P129" s="73" t="s">
        <v>1183</v>
      </c>
    </row>
    <row r="130" spans="15:16" x14ac:dyDescent="0.2">
      <c r="O130" s="73" t="s">
        <v>1184</v>
      </c>
      <c r="P130" s="73" t="s">
        <v>1185</v>
      </c>
    </row>
    <row r="131" spans="15:16" x14ac:dyDescent="0.2">
      <c r="O131" s="73" t="s">
        <v>1186</v>
      </c>
      <c r="P131" s="73" t="s">
        <v>1187</v>
      </c>
    </row>
    <row r="132" spans="15:16" x14ac:dyDescent="0.2">
      <c r="O132" s="73" t="s">
        <v>1188</v>
      </c>
      <c r="P132" s="73" t="s">
        <v>1189</v>
      </c>
    </row>
    <row r="133" spans="15:16" x14ac:dyDescent="0.2">
      <c r="O133" s="73" t="s">
        <v>1190</v>
      </c>
      <c r="P133" s="73" t="s">
        <v>1191</v>
      </c>
    </row>
    <row r="134" spans="15:16" x14ac:dyDescent="0.2">
      <c r="O134" s="73" t="s">
        <v>841</v>
      </c>
      <c r="P134" s="73" t="s">
        <v>1192</v>
      </c>
    </row>
    <row r="135" spans="15:16" x14ac:dyDescent="0.2">
      <c r="O135" s="73" t="s">
        <v>1193</v>
      </c>
      <c r="P135" s="73" t="s">
        <v>1194</v>
      </c>
    </row>
    <row r="136" spans="15:16" x14ac:dyDescent="0.2">
      <c r="O136" s="73" t="s">
        <v>1195</v>
      </c>
      <c r="P136" s="73" t="s">
        <v>1196</v>
      </c>
    </row>
    <row r="137" spans="15:16" x14ac:dyDescent="0.2">
      <c r="O137" s="73" t="s">
        <v>1197</v>
      </c>
      <c r="P137" s="73" t="s">
        <v>1198</v>
      </c>
    </row>
    <row r="138" spans="15:16" x14ac:dyDescent="0.2">
      <c r="O138" s="73" t="s">
        <v>1199</v>
      </c>
      <c r="P138" s="73" t="s">
        <v>1200</v>
      </c>
    </row>
    <row r="139" spans="15:16" x14ac:dyDescent="0.2">
      <c r="O139" s="73" t="s">
        <v>1201</v>
      </c>
      <c r="P139" s="73" t="s">
        <v>1202</v>
      </c>
    </row>
    <row r="140" spans="15:16" x14ac:dyDescent="0.2">
      <c r="O140" s="73" t="s">
        <v>842</v>
      </c>
      <c r="P140" s="73" t="s">
        <v>917</v>
      </c>
    </row>
    <row r="141" spans="15:16" x14ac:dyDescent="0.2">
      <c r="O141" s="73" t="s">
        <v>1203</v>
      </c>
      <c r="P141" s="73" t="s">
        <v>1204</v>
      </c>
    </row>
    <row r="142" spans="15:16" x14ac:dyDescent="0.2">
      <c r="O142" s="73" t="s">
        <v>1205</v>
      </c>
      <c r="P142" s="73" t="s">
        <v>1206</v>
      </c>
    </row>
    <row r="143" spans="15:16" x14ac:dyDescent="0.2">
      <c r="O143" s="73" t="s">
        <v>1207</v>
      </c>
      <c r="P143" s="73" t="s">
        <v>1208</v>
      </c>
    </row>
    <row r="144" spans="15:16" x14ac:dyDescent="0.2">
      <c r="O144" s="73" t="s">
        <v>1209</v>
      </c>
      <c r="P144" s="73" t="s">
        <v>1210</v>
      </c>
    </row>
    <row r="145" spans="15:16" x14ac:dyDescent="0.2">
      <c r="O145" s="73" t="s">
        <v>1211</v>
      </c>
      <c r="P145" s="73" t="s">
        <v>1212</v>
      </c>
    </row>
    <row r="146" spans="15:16" x14ac:dyDescent="0.2">
      <c r="O146" s="73" t="s">
        <v>1213</v>
      </c>
      <c r="P146" s="73" t="s">
        <v>1214</v>
      </c>
    </row>
    <row r="147" spans="15:16" x14ac:dyDescent="0.2">
      <c r="O147" s="73" t="s">
        <v>1215</v>
      </c>
      <c r="P147" s="73" t="s">
        <v>1216</v>
      </c>
    </row>
    <row r="148" spans="15:16" x14ac:dyDescent="0.2">
      <c r="O148" s="73" t="s">
        <v>1217</v>
      </c>
      <c r="P148" s="73" t="s">
        <v>1218</v>
      </c>
    </row>
    <row r="149" spans="15:16" x14ac:dyDescent="0.2">
      <c r="O149" s="73" t="s">
        <v>1219</v>
      </c>
      <c r="P149" s="73" t="s">
        <v>1220</v>
      </c>
    </row>
    <row r="150" spans="15:16" x14ac:dyDescent="0.2">
      <c r="O150" s="73" t="s">
        <v>1221</v>
      </c>
      <c r="P150" s="73" t="s">
        <v>1222</v>
      </c>
    </row>
    <row r="151" spans="15:16" x14ac:dyDescent="0.2">
      <c r="O151" s="73" t="s">
        <v>1223</v>
      </c>
      <c r="P151" s="73" t="s">
        <v>1224</v>
      </c>
    </row>
    <row r="152" spans="15:16" x14ac:dyDescent="0.2">
      <c r="O152" s="73" t="s">
        <v>1225</v>
      </c>
      <c r="P152" s="73" t="s">
        <v>1226</v>
      </c>
    </row>
    <row r="153" spans="15:16" x14ac:dyDescent="0.2">
      <c r="O153" s="73" t="s">
        <v>1227</v>
      </c>
      <c r="P153" s="73" t="s">
        <v>1228</v>
      </c>
    </row>
    <row r="154" spans="15:16" x14ac:dyDescent="0.2">
      <c r="O154" s="73" t="s">
        <v>1229</v>
      </c>
      <c r="P154" s="73" t="s">
        <v>1230</v>
      </c>
    </row>
    <row r="155" spans="15:16" x14ac:dyDescent="0.2">
      <c r="O155" s="73" t="s">
        <v>1231</v>
      </c>
      <c r="P155" s="73" t="s">
        <v>1232</v>
      </c>
    </row>
    <row r="156" spans="15:16" x14ac:dyDescent="0.2">
      <c r="O156" s="73" t="s">
        <v>1233</v>
      </c>
      <c r="P156" s="73" t="s">
        <v>1234</v>
      </c>
    </row>
    <row r="157" spans="15:16" x14ac:dyDescent="0.2">
      <c r="O157" s="73" t="s">
        <v>1235</v>
      </c>
      <c r="P157" s="73" t="s">
        <v>1236</v>
      </c>
    </row>
    <row r="158" spans="15:16" x14ac:dyDescent="0.2">
      <c r="O158" s="73" t="s">
        <v>1237</v>
      </c>
      <c r="P158" s="73" t="s">
        <v>1238</v>
      </c>
    </row>
    <row r="159" spans="15:16" x14ac:dyDescent="0.2">
      <c r="O159" s="73" t="s">
        <v>843</v>
      </c>
      <c r="P159" s="73" t="s">
        <v>1239</v>
      </c>
    </row>
    <row r="160" spans="15:16" x14ac:dyDescent="0.2">
      <c r="O160" s="73" t="s">
        <v>1240</v>
      </c>
      <c r="P160" s="73" t="s">
        <v>1241</v>
      </c>
    </row>
    <row r="161" spans="15:16" x14ac:dyDescent="0.2">
      <c r="O161" s="73" t="s">
        <v>844</v>
      </c>
      <c r="P161" s="73" t="s">
        <v>1242</v>
      </c>
    </row>
    <row r="162" spans="15:16" x14ac:dyDescent="0.2">
      <c r="O162" s="73" t="s">
        <v>1243</v>
      </c>
      <c r="P162" s="73" t="s">
        <v>1244</v>
      </c>
    </row>
    <row r="163" spans="15:16" x14ac:dyDescent="0.2">
      <c r="O163" s="73" t="s">
        <v>1245</v>
      </c>
      <c r="P163" s="73" t="s">
        <v>1246</v>
      </c>
    </row>
    <row r="164" spans="15:16" x14ac:dyDescent="0.2">
      <c r="O164" s="73" t="s">
        <v>904</v>
      </c>
      <c r="P164" s="73" t="s">
        <v>931</v>
      </c>
    </row>
    <row r="165" spans="15:16" x14ac:dyDescent="0.2">
      <c r="O165" s="73" t="s">
        <v>1247</v>
      </c>
      <c r="P165" s="73" t="s">
        <v>1248</v>
      </c>
    </row>
    <row r="166" spans="15:16" x14ac:dyDescent="0.2">
      <c r="O166" s="73" t="s">
        <v>1249</v>
      </c>
      <c r="P166" s="73" t="s">
        <v>1250</v>
      </c>
    </row>
    <row r="167" spans="15:16" x14ac:dyDescent="0.2">
      <c r="O167" s="73" t="s">
        <v>1251</v>
      </c>
      <c r="P167" s="73" t="s">
        <v>1252</v>
      </c>
    </row>
    <row r="168" spans="15:16" x14ac:dyDescent="0.2">
      <c r="O168" s="73" t="s">
        <v>1253</v>
      </c>
      <c r="P168" s="73" t="s">
        <v>1254</v>
      </c>
    </row>
    <row r="169" spans="15:16" x14ac:dyDescent="0.2">
      <c r="O169" s="73" t="s">
        <v>1255</v>
      </c>
      <c r="P169" s="73" t="s">
        <v>1256</v>
      </c>
    </row>
    <row r="170" spans="15:16" x14ac:dyDescent="0.2">
      <c r="O170" s="73" t="s">
        <v>1257</v>
      </c>
      <c r="P170" s="73" t="s">
        <v>1258</v>
      </c>
    </row>
    <row r="171" spans="15:16" x14ac:dyDescent="0.2">
      <c r="O171" s="73" t="s">
        <v>1259</v>
      </c>
      <c r="P171" s="73" t="s">
        <v>1260</v>
      </c>
    </row>
    <row r="172" spans="15:16" x14ac:dyDescent="0.2">
      <c r="O172" s="73" t="s">
        <v>1261</v>
      </c>
      <c r="P172" s="73" t="s">
        <v>1262</v>
      </c>
    </row>
    <row r="173" spans="15:16" x14ac:dyDescent="0.2">
      <c r="O173" s="73" t="s">
        <v>1263</v>
      </c>
      <c r="P173" s="73" t="s">
        <v>1264</v>
      </c>
    </row>
    <row r="174" spans="15:16" x14ac:dyDescent="0.2">
      <c r="O174" s="73" t="s">
        <v>1265</v>
      </c>
      <c r="P174" s="73" t="s">
        <v>1266</v>
      </c>
    </row>
    <row r="175" spans="15:16" x14ac:dyDescent="0.2">
      <c r="O175" s="73" t="s">
        <v>845</v>
      </c>
      <c r="P175" s="73" t="s">
        <v>929</v>
      </c>
    </row>
    <row r="176" spans="15:16" x14ac:dyDescent="0.2">
      <c r="O176" s="73" t="s">
        <v>1267</v>
      </c>
      <c r="P176" s="73" t="s">
        <v>1268</v>
      </c>
    </row>
    <row r="177" spans="15:16" x14ac:dyDescent="0.2">
      <c r="O177" s="73" t="s">
        <v>846</v>
      </c>
      <c r="P177" s="73" t="s">
        <v>1269</v>
      </c>
    </row>
    <row r="178" spans="15:16" x14ac:dyDescent="0.2">
      <c r="O178" s="73" t="s">
        <v>1270</v>
      </c>
      <c r="P178" s="73" t="s">
        <v>1271</v>
      </c>
    </row>
    <row r="179" spans="15:16" x14ac:dyDescent="0.2">
      <c r="O179" s="73" t="s">
        <v>1272</v>
      </c>
      <c r="P179" s="73" t="s">
        <v>1273</v>
      </c>
    </row>
    <row r="180" spans="15:16" x14ac:dyDescent="0.2">
      <c r="O180" s="73" t="s">
        <v>1274</v>
      </c>
      <c r="P180" s="73" t="s">
        <v>1275</v>
      </c>
    </row>
    <row r="181" spans="15:16" x14ac:dyDescent="0.2">
      <c r="O181" s="73" t="s">
        <v>1276</v>
      </c>
      <c r="P181" s="73" t="s">
        <v>1277</v>
      </c>
    </row>
    <row r="182" spans="15:16" x14ac:dyDescent="0.2">
      <c r="O182" s="73" t="s">
        <v>1278</v>
      </c>
      <c r="P182" s="73" t="s">
        <v>1279</v>
      </c>
    </row>
    <row r="183" spans="15:16" x14ac:dyDescent="0.2">
      <c r="O183" s="73" t="s">
        <v>869</v>
      </c>
      <c r="P183" s="73" t="s">
        <v>1280</v>
      </c>
    </row>
    <row r="184" spans="15:16" x14ac:dyDescent="0.2">
      <c r="O184" s="73" t="s">
        <v>1281</v>
      </c>
      <c r="P184" s="73" t="s">
        <v>1282</v>
      </c>
    </row>
    <row r="185" spans="15:16" x14ac:dyDescent="0.2">
      <c r="O185" s="73" t="s">
        <v>1283</v>
      </c>
      <c r="P185" s="73" t="s">
        <v>1284</v>
      </c>
    </row>
    <row r="186" spans="15:16" x14ac:dyDescent="0.2">
      <c r="O186" s="73" t="s">
        <v>1285</v>
      </c>
      <c r="P186" s="73" t="s">
        <v>1286</v>
      </c>
    </row>
    <row r="187" spans="15:16" x14ac:dyDescent="0.2">
      <c r="O187" s="73" t="s">
        <v>1287</v>
      </c>
      <c r="P187" s="73" t="s">
        <v>1288</v>
      </c>
    </row>
    <row r="188" spans="15:16" x14ac:dyDescent="0.2">
      <c r="O188" s="73" t="s">
        <v>1289</v>
      </c>
      <c r="P188" s="73" t="s">
        <v>1290</v>
      </c>
    </row>
    <row r="189" spans="15:16" x14ac:dyDescent="0.2">
      <c r="O189" s="73" t="s">
        <v>1291</v>
      </c>
      <c r="P189" s="73" t="s">
        <v>1292</v>
      </c>
    </row>
    <row r="190" spans="15:16" x14ac:dyDescent="0.2">
      <c r="O190" s="73" t="s">
        <v>1293</v>
      </c>
      <c r="P190" s="73" t="s">
        <v>1294</v>
      </c>
    </row>
    <row r="191" spans="15:16" x14ac:dyDescent="0.2">
      <c r="O191" s="73" t="s">
        <v>1295</v>
      </c>
      <c r="P191" s="73" t="s">
        <v>1296</v>
      </c>
    </row>
    <row r="192" spans="15:16" x14ac:dyDescent="0.2">
      <c r="O192" s="73" t="s">
        <v>1297</v>
      </c>
      <c r="P192" s="73" t="s">
        <v>1298</v>
      </c>
    </row>
    <row r="193" spans="15:16" x14ac:dyDescent="0.2">
      <c r="O193" s="73" t="s">
        <v>1299</v>
      </c>
      <c r="P193" s="73" t="s">
        <v>1300</v>
      </c>
    </row>
    <row r="194" spans="15:16" x14ac:dyDescent="0.2">
      <c r="O194" s="73" t="s">
        <v>1301</v>
      </c>
      <c r="P194" s="73" t="s">
        <v>1302</v>
      </c>
    </row>
    <row r="195" spans="15:16" x14ac:dyDescent="0.2">
      <c r="O195" s="73" t="s">
        <v>1303</v>
      </c>
      <c r="P195" s="73" t="s">
        <v>1304</v>
      </c>
    </row>
    <row r="196" spans="15:16" x14ac:dyDescent="0.2">
      <c r="O196" s="73" t="s">
        <v>1305</v>
      </c>
      <c r="P196" s="73" t="s">
        <v>1306</v>
      </c>
    </row>
    <row r="197" spans="15:16" x14ac:dyDescent="0.2">
      <c r="O197" s="73" t="s">
        <v>849</v>
      </c>
      <c r="P197" s="73" t="s">
        <v>916</v>
      </c>
    </row>
    <row r="198" spans="15:16" x14ac:dyDescent="0.2">
      <c r="O198" s="73" t="s">
        <v>1307</v>
      </c>
      <c r="P198" s="73" t="s">
        <v>1308</v>
      </c>
    </row>
    <row r="199" spans="15:16" x14ac:dyDescent="0.2">
      <c r="O199" s="73" t="s">
        <v>1309</v>
      </c>
      <c r="P199" s="73" t="s">
        <v>1310</v>
      </c>
    </row>
    <row r="200" spans="15:16" x14ac:dyDescent="0.2">
      <c r="O200" s="73" t="s">
        <v>1311</v>
      </c>
      <c r="P200" s="73" t="s">
        <v>1312</v>
      </c>
    </row>
    <row r="201" spans="15:16" x14ac:dyDescent="0.2">
      <c r="O201" s="73" t="s">
        <v>1313</v>
      </c>
      <c r="P201" s="73" t="s">
        <v>1314</v>
      </c>
    </row>
    <row r="202" spans="15:16" x14ac:dyDescent="0.2">
      <c r="O202" s="73" t="s">
        <v>1315</v>
      </c>
      <c r="P202" s="73" t="s">
        <v>1316</v>
      </c>
    </row>
    <row r="203" spans="15:16" x14ac:dyDescent="0.2">
      <c r="O203" s="73" t="s">
        <v>1317</v>
      </c>
      <c r="P203" s="73" t="s">
        <v>1318</v>
      </c>
    </row>
    <row r="204" spans="15:16" x14ac:dyDescent="0.2">
      <c r="O204" s="73" t="s">
        <v>1319</v>
      </c>
      <c r="P204" s="73" t="s">
        <v>1320</v>
      </c>
    </row>
    <row r="205" spans="15:16" x14ac:dyDescent="0.2">
      <c r="O205" s="73" t="s">
        <v>1321</v>
      </c>
      <c r="P205" s="73" t="s">
        <v>1322</v>
      </c>
    </row>
    <row r="206" spans="15:16" x14ac:dyDescent="0.2">
      <c r="O206" s="73" t="s">
        <v>1323</v>
      </c>
      <c r="P206" s="73" t="s">
        <v>1324</v>
      </c>
    </row>
    <row r="207" spans="15:16" x14ac:dyDescent="0.2">
      <c r="O207" s="73" t="s">
        <v>1325</v>
      </c>
      <c r="P207" s="73" t="s">
        <v>1326</v>
      </c>
    </row>
    <row r="208" spans="15:16" x14ac:dyDescent="0.2">
      <c r="O208" s="73" t="s">
        <v>1327</v>
      </c>
      <c r="P208" s="73" t="s">
        <v>1328</v>
      </c>
    </row>
    <row r="209" spans="15:16" x14ac:dyDescent="0.2">
      <c r="O209" s="73" t="s">
        <v>1329</v>
      </c>
      <c r="P209" s="73" t="s">
        <v>1330</v>
      </c>
    </row>
    <row r="210" spans="15:16" x14ac:dyDescent="0.2">
      <c r="O210" s="73" t="s">
        <v>1331</v>
      </c>
      <c r="P210" s="73" t="s">
        <v>1332</v>
      </c>
    </row>
    <row r="211" spans="15:16" x14ac:dyDescent="0.2">
      <c r="O211" s="73" t="s">
        <v>851</v>
      </c>
      <c r="P211" s="73" t="s">
        <v>927</v>
      </c>
    </row>
    <row r="212" spans="15:16" x14ac:dyDescent="0.2">
      <c r="O212" s="73" t="s">
        <v>1333</v>
      </c>
      <c r="P212" s="73" t="s">
        <v>1334</v>
      </c>
    </row>
    <row r="213" spans="15:16" x14ac:dyDescent="0.2">
      <c r="O213" s="73" t="s">
        <v>1335</v>
      </c>
      <c r="P213" s="73" t="s">
        <v>1336</v>
      </c>
    </row>
    <row r="214" spans="15:16" x14ac:dyDescent="0.2">
      <c r="O214" s="73" t="s">
        <v>1337</v>
      </c>
      <c r="P214" s="73" t="s">
        <v>1338</v>
      </c>
    </row>
    <row r="215" spans="15:16" x14ac:dyDescent="0.2">
      <c r="O215" s="73" t="s">
        <v>1339</v>
      </c>
      <c r="P215" s="73" t="s">
        <v>1340</v>
      </c>
    </row>
    <row r="216" spans="15:16" x14ac:dyDescent="0.2">
      <c r="O216" s="73" t="s">
        <v>1341</v>
      </c>
      <c r="P216" s="73" t="s">
        <v>1340</v>
      </c>
    </row>
    <row r="217" spans="15:16" x14ac:dyDescent="0.2">
      <c r="O217" s="73" t="s">
        <v>1342</v>
      </c>
      <c r="P217" s="73" t="s">
        <v>1343</v>
      </c>
    </row>
    <row r="218" spans="15:16" x14ac:dyDescent="0.2">
      <c r="O218" s="73" t="s">
        <v>853</v>
      </c>
      <c r="P218" s="73" t="s">
        <v>1344</v>
      </c>
    </row>
    <row r="219" spans="15:16" x14ac:dyDescent="0.2">
      <c r="O219" s="73" t="s">
        <v>1345</v>
      </c>
      <c r="P219" s="73" t="s">
        <v>1346</v>
      </c>
    </row>
    <row r="220" spans="15:16" x14ac:dyDescent="0.2">
      <c r="O220" s="73" t="s">
        <v>1347</v>
      </c>
      <c r="P220" s="73" t="s">
        <v>1348</v>
      </c>
    </row>
    <row r="221" spans="15:16" x14ac:dyDescent="0.2">
      <c r="O221" s="73" t="s">
        <v>1349</v>
      </c>
      <c r="P221" s="73" t="s">
        <v>1350</v>
      </c>
    </row>
    <row r="222" spans="15:16" x14ac:dyDescent="0.2">
      <c r="O222" s="73" t="s">
        <v>1351</v>
      </c>
      <c r="P222" s="73" t="s">
        <v>1352</v>
      </c>
    </row>
    <row r="223" spans="15:16" x14ac:dyDescent="0.2">
      <c r="O223" s="73" t="s">
        <v>1353</v>
      </c>
      <c r="P223" s="73" t="s">
        <v>1354</v>
      </c>
    </row>
    <row r="224" spans="15:16" x14ac:dyDescent="0.2">
      <c r="O224" s="73" t="s">
        <v>1355</v>
      </c>
      <c r="P224" s="73" t="s">
        <v>1356</v>
      </c>
    </row>
    <row r="225" spans="15:16" x14ac:dyDescent="0.2">
      <c r="O225" s="73" t="s">
        <v>1357</v>
      </c>
      <c r="P225" s="73" t="s">
        <v>1358</v>
      </c>
    </row>
    <row r="226" spans="15:16" x14ac:dyDescent="0.2">
      <c r="O226" s="73" t="s">
        <v>1359</v>
      </c>
      <c r="P226" s="73" t="s">
        <v>1360</v>
      </c>
    </row>
    <row r="227" spans="15:16" x14ac:dyDescent="0.2">
      <c r="O227" s="73" t="s">
        <v>1361</v>
      </c>
      <c r="P227" s="73" t="s">
        <v>1362</v>
      </c>
    </row>
    <row r="228" spans="15:16" x14ac:dyDescent="0.2">
      <c r="O228" s="73" t="s">
        <v>1363</v>
      </c>
      <c r="P228" s="73" t="s">
        <v>1364</v>
      </c>
    </row>
    <row r="229" spans="15:16" x14ac:dyDescent="0.2">
      <c r="O229" s="73" t="s">
        <v>1365</v>
      </c>
      <c r="P229" s="73" t="s">
        <v>1366</v>
      </c>
    </row>
    <row r="230" spans="15:16" x14ac:dyDescent="0.2">
      <c r="O230" s="73" t="s">
        <v>1367</v>
      </c>
      <c r="P230" s="73" t="s">
        <v>918</v>
      </c>
    </row>
    <row r="231" spans="15:16" x14ac:dyDescent="0.2">
      <c r="O231" s="73" t="s">
        <v>1368</v>
      </c>
      <c r="P231" s="73" t="s">
        <v>1369</v>
      </c>
    </row>
    <row r="232" spans="15:16" x14ac:dyDescent="0.2">
      <c r="O232" s="73" t="s">
        <v>1370</v>
      </c>
      <c r="P232" s="73" t="s">
        <v>1371</v>
      </c>
    </row>
    <row r="233" spans="15:16" x14ac:dyDescent="0.2">
      <c r="O233" s="73" t="s">
        <v>1372</v>
      </c>
      <c r="P233" s="73" t="s">
        <v>1373</v>
      </c>
    </row>
    <row r="234" spans="15:16" x14ac:dyDescent="0.2">
      <c r="O234" s="73" t="s">
        <v>1374</v>
      </c>
      <c r="P234" s="73" t="s">
        <v>1375</v>
      </c>
    </row>
    <row r="235" spans="15:16" x14ac:dyDescent="0.2">
      <c r="O235" s="73" t="s">
        <v>1376</v>
      </c>
      <c r="P235" s="73" t="s">
        <v>1377</v>
      </c>
    </row>
    <row r="236" spans="15:16" x14ac:dyDescent="0.2">
      <c r="O236" s="73" t="s">
        <v>1378</v>
      </c>
      <c r="P236" s="73" t="s">
        <v>1379</v>
      </c>
    </row>
    <row r="237" spans="15:16" x14ac:dyDescent="0.2">
      <c r="O237" s="73" t="s">
        <v>1380</v>
      </c>
      <c r="P237" s="73" t="s">
        <v>1381</v>
      </c>
    </row>
    <row r="238" spans="15:16" x14ac:dyDescent="0.2">
      <c r="O238" s="73" t="s">
        <v>1382</v>
      </c>
      <c r="P238" s="73" t="s">
        <v>1383</v>
      </c>
    </row>
    <row r="239" spans="15:16" x14ac:dyDescent="0.2">
      <c r="O239" s="73" t="s">
        <v>1384</v>
      </c>
      <c r="P239" s="73" t="s">
        <v>1385</v>
      </c>
    </row>
    <row r="240" spans="15:16" x14ac:dyDescent="0.2">
      <c r="O240" s="73" t="s">
        <v>1386</v>
      </c>
      <c r="P240" s="73" t="s">
        <v>1387</v>
      </c>
    </row>
    <row r="241" spans="15:16" x14ac:dyDescent="0.2">
      <c r="O241" s="73" t="s">
        <v>1388</v>
      </c>
      <c r="P241" s="73" t="s">
        <v>1389</v>
      </c>
    </row>
    <row r="242" spans="15:16" x14ac:dyDescent="0.2">
      <c r="O242" s="73" t="s">
        <v>1390</v>
      </c>
      <c r="P242" s="73" t="s">
        <v>1391</v>
      </c>
    </row>
    <row r="243" spans="15:16" x14ac:dyDescent="0.2">
      <c r="O243" s="73" t="s">
        <v>1392</v>
      </c>
      <c r="P243" s="73" t="s">
        <v>1393</v>
      </c>
    </row>
    <row r="244" spans="15:16" x14ac:dyDescent="0.2">
      <c r="O244" s="73" t="s">
        <v>863</v>
      </c>
      <c r="P244" s="73" t="s">
        <v>1394</v>
      </c>
    </row>
    <row r="245" spans="15:16" x14ac:dyDescent="0.2">
      <c r="O245" s="73" t="s">
        <v>1395</v>
      </c>
      <c r="P245" s="73" t="s">
        <v>1396</v>
      </c>
    </row>
    <row r="246" spans="15:16" x14ac:dyDescent="0.2">
      <c r="O246" s="73" t="s">
        <v>1397</v>
      </c>
      <c r="P246" s="73" t="s">
        <v>1398</v>
      </c>
    </row>
  </sheetData>
  <autoFilter ref="O12:P12" xr:uid="{9DB66B4F-51D7-45F4-BB22-6DFBBCFBEF47}"/>
  <mergeCells count="24">
    <mergeCell ref="G17:J17"/>
    <mergeCell ref="B1:J2"/>
    <mergeCell ref="B3:J3"/>
    <mergeCell ref="B5:J5"/>
    <mergeCell ref="B7:J7"/>
    <mergeCell ref="B8:J8"/>
    <mergeCell ref="B10:J10"/>
    <mergeCell ref="B12:F12"/>
    <mergeCell ref="G12:J12"/>
    <mergeCell ref="G14:J14"/>
    <mergeCell ref="G15:J15"/>
    <mergeCell ref="G16:J16"/>
    <mergeCell ref="B27:F27"/>
    <mergeCell ref="G27:J27"/>
    <mergeCell ref="B31:J31"/>
    <mergeCell ref="G18:J18"/>
    <mergeCell ref="G19:J19"/>
    <mergeCell ref="G20:J20"/>
    <mergeCell ref="G21:J21"/>
    <mergeCell ref="G22:J22"/>
    <mergeCell ref="G23:J23"/>
    <mergeCell ref="G24:J24"/>
    <mergeCell ref="G25:J25"/>
    <mergeCell ref="G26:J26"/>
  </mergeCells>
  <hyperlinks>
    <hyperlink ref="B8" r:id="rId1" location="indicator-chart" xr:uid="{06912972-A6DF-4290-8A11-83A3E4154F79}"/>
    <hyperlink ref="B14" r:id="rId2" location="indicator-chart" xr:uid="{248DFD23-5BE7-485C-8586-51662C5B2411}"/>
    <hyperlink ref="B21" r:id="rId3" location="indicator-chart" xr:uid="{2CB748EA-2CF9-4456-8692-49A63866F77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theme="1" tint="0.499984740745262"/>
  </sheetPr>
  <dimension ref="A1:AY859"/>
  <sheetViews>
    <sheetView workbookViewId="0">
      <pane xSplit="2" ySplit="1" topLeftCell="C2" activePane="bottomRight" state="frozen"/>
      <selection sqref="A1:XFD1048576"/>
      <selection pane="topRight" sqref="A1:XFD1048576"/>
      <selection pane="bottomLeft" sqref="A1:XFD1048576"/>
      <selection pane="bottomRight" activeCell="F860" sqref="F860"/>
    </sheetView>
  </sheetViews>
  <sheetFormatPr baseColWidth="10" defaultColWidth="9.1640625" defaultRowHeight="15" x14ac:dyDescent="0.2"/>
  <cols>
    <col min="1" max="1" width="9.1640625" style="3"/>
    <col min="2" max="2" width="11.1640625" style="3" customWidth="1"/>
    <col min="3" max="5" width="9.1640625" style="3"/>
    <col min="6" max="6" width="10.6640625" style="3" bestFit="1" customWidth="1"/>
    <col min="7" max="16384" width="9.1640625" style="3"/>
  </cols>
  <sheetData>
    <row r="1" spans="1:51" x14ac:dyDescent="0.2">
      <c r="B1" s="3" t="s">
        <v>3</v>
      </c>
      <c r="C1" s="3" t="s">
        <v>7</v>
      </c>
      <c r="D1" s="3" t="s">
        <v>730</v>
      </c>
      <c r="E1" s="3" t="s">
        <v>854</v>
      </c>
      <c r="F1" s="3" t="s">
        <v>768</v>
      </c>
      <c r="G1" s="3" t="s">
        <v>850</v>
      </c>
      <c r="H1" s="3" t="s">
        <v>855</v>
      </c>
      <c r="I1" s="3" t="s">
        <v>856</v>
      </c>
      <c r="J1" s="3" t="s">
        <v>867</v>
      </c>
      <c r="K1" s="3" t="s">
        <v>873</v>
      </c>
      <c r="L1" s="3" t="s">
        <v>829</v>
      </c>
      <c r="M1" s="3" t="s">
        <v>833</v>
      </c>
      <c r="N1" s="3" t="s">
        <v>830</v>
      </c>
      <c r="O1" s="3" t="s">
        <v>871</v>
      </c>
      <c r="P1" s="3" t="s">
        <v>848</v>
      </c>
      <c r="Q1" s="3" t="s">
        <v>857</v>
      </c>
      <c r="R1" s="3" t="s">
        <v>870</v>
      </c>
      <c r="S1" s="3" t="s">
        <v>831</v>
      </c>
      <c r="T1" s="3" t="s">
        <v>832</v>
      </c>
      <c r="U1" s="3" t="s">
        <v>874</v>
      </c>
      <c r="V1" s="3" t="s">
        <v>865</v>
      </c>
      <c r="W1" s="3" t="s">
        <v>852</v>
      </c>
      <c r="X1" s="3" t="s">
        <v>834</v>
      </c>
      <c r="Y1" s="3" t="s">
        <v>835</v>
      </c>
      <c r="Z1" s="3" t="s">
        <v>859</v>
      </c>
      <c r="AA1" s="3" t="s">
        <v>858</v>
      </c>
      <c r="AB1" s="3" t="s">
        <v>837</v>
      </c>
      <c r="AC1" s="3" t="s">
        <v>836</v>
      </c>
      <c r="AD1" s="3" t="s">
        <v>860</v>
      </c>
      <c r="AE1" s="3" t="s">
        <v>838</v>
      </c>
      <c r="AF1" s="3" t="s">
        <v>839</v>
      </c>
      <c r="AG1" s="3" t="s">
        <v>840</v>
      </c>
      <c r="AH1" s="3" t="s">
        <v>872</v>
      </c>
      <c r="AI1" s="3" t="s">
        <v>841</v>
      </c>
      <c r="AJ1" s="3" t="s">
        <v>868</v>
      </c>
      <c r="AK1" s="3" t="s">
        <v>842</v>
      </c>
      <c r="AL1" s="3" t="s">
        <v>843</v>
      </c>
      <c r="AM1" s="3" t="s">
        <v>844</v>
      </c>
      <c r="AN1" s="3" t="s">
        <v>864</v>
      </c>
      <c r="AO1" s="3" t="s">
        <v>866</v>
      </c>
      <c r="AP1" s="3" t="s">
        <v>845</v>
      </c>
      <c r="AQ1" s="3" t="s">
        <v>846</v>
      </c>
      <c r="AR1" s="3" t="s">
        <v>861</v>
      </c>
      <c r="AS1" s="3" t="s">
        <v>869</v>
      </c>
      <c r="AT1" s="3" t="s">
        <v>847</v>
      </c>
      <c r="AU1" s="3" t="s">
        <v>862</v>
      </c>
      <c r="AV1" s="3" t="s">
        <v>849</v>
      </c>
      <c r="AW1" s="3" t="s">
        <v>851</v>
      </c>
      <c r="AX1" s="3" t="s">
        <v>853</v>
      </c>
      <c r="AY1" s="3" t="s">
        <v>863</v>
      </c>
    </row>
    <row r="3" spans="1:51" x14ac:dyDescent="0.2">
      <c r="A3" s="3" t="s">
        <v>876</v>
      </c>
      <c r="B3" s="49">
        <v>17899</v>
      </c>
      <c r="F3" s="3">
        <v>9.5601789999999998</v>
      </c>
    </row>
    <row r="4" spans="1:51" x14ac:dyDescent="0.2">
      <c r="A4" s="3" t="s">
        <v>877</v>
      </c>
      <c r="B4" s="49">
        <v>17930</v>
      </c>
      <c r="F4" s="3">
        <v>9.5601789999999998</v>
      </c>
    </row>
    <row r="5" spans="1:51" x14ac:dyDescent="0.2">
      <c r="A5" s="3" t="s">
        <v>878</v>
      </c>
      <c r="B5" s="49">
        <v>17958</v>
      </c>
      <c r="F5" s="3">
        <v>9.5601789999999998</v>
      </c>
    </row>
    <row r="6" spans="1:51" x14ac:dyDescent="0.2">
      <c r="A6" s="3" t="s">
        <v>879</v>
      </c>
      <c r="B6" s="49">
        <v>17989</v>
      </c>
      <c r="F6" s="3">
        <v>9.5601789999999998</v>
      </c>
    </row>
    <row r="7" spans="1:51" x14ac:dyDescent="0.2">
      <c r="A7" s="3" t="s">
        <v>880</v>
      </c>
      <c r="B7" s="49">
        <v>18019</v>
      </c>
      <c r="F7" s="3">
        <v>9.5601789999999998</v>
      </c>
    </row>
    <row r="8" spans="1:51" x14ac:dyDescent="0.2">
      <c r="A8" s="3" t="s">
        <v>881</v>
      </c>
      <c r="B8" s="49">
        <v>18050</v>
      </c>
      <c r="F8" s="3">
        <v>9.5601789999999998</v>
      </c>
    </row>
    <row r="9" spans="1:51" x14ac:dyDescent="0.2">
      <c r="A9" s="3" t="s">
        <v>882</v>
      </c>
      <c r="B9" s="49">
        <v>18080</v>
      </c>
      <c r="F9" s="3">
        <v>9.5601789999999998</v>
      </c>
    </row>
    <row r="10" spans="1:51" x14ac:dyDescent="0.2">
      <c r="A10" s="3" t="s">
        <v>883</v>
      </c>
      <c r="B10" s="49">
        <v>18111</v>
      </c>
      <c r="F10" s="3">
        <v>9.639189</v>
      </c>
    </row>
    <row r="11" spans="1:51" x14ac:dyDescent="0.2">
      <c r="A11" s="3" t="s">
        <v>884</v>
      </c>
      <c r="B11" s="49">
        <v>18142</v>
      </c>
      <c r="F11" s="3">
        <v>9.639189</v>
      </c>
    </row>
    <row r="12" spans="1:51" x14ac:dyDescent="0.2">
      <c r="A12" s="3" t="s">
        <v>885</v>
      </c>
      <c r="B12" s="49">
        <v>18172</v>
      </c>
      <c r="F12" s="3">
        <v>9.7181990000000003</v>
      </c>
    </row>
    <row r="13" spans="1:51" x14ac:dyDescent="0.2">
      <c r="A13" s="3" t="s">
        <v>886</v>
      </c>
      <c r="B13" s="49">
        <v>18203</v>
      </c>
      <c r="F13" s="3">
        <v>9.7181990000000003</v>
      </c>
    </row>
    <row r="14" spans="1:51" x14ac:dyDescent="0.2">
      <c r="A14" s="3" t="s">
        <v>887</v>
      </c>
      <c r="B14" s="49">
        <v>18233</v>
      </c>
      <c r="F14" s="3">
        <v>9.639189</v>
      </c>
    </row>
    <row r="15" spans="1:51" x14ac:dyDescent="0.2">
      <c r="A15" s="3" t="s">
        <v>769</v>
      </c>
      <c r="B15" s="49">
        <v>18264</v>
      </c>
      <c r="F15" s="3">
        <v>9.5601789999999998</v>
      </c>
    </row>
    <row r="16" spans="1:51" x14ac:dyDescent="0.2">
      <c r="A16" s="3" t="s">
        <v>770</v>
      </c>
      <c r="B16" s="49">
        <v>18295</v>
      </c>
      <c r="F16" s="3">
        <v>9.639189</v>
      </c>
    </row>
    <row r="17" spans="1:6" x14ac:dyDescent="0.2">
      <c r="A17" s="3" t="s">
        <v>771</v>
      </c>
      <c r="B17" s="49">
        <v>18323</v>
      </c>
      <c r="F17" s="3">
        <v>9.7181990000000003</v>
      </c>
    </row>
    <row r="18" spans="1:6" x14ac:dyDescent="0.2">
      <c r="A18" s="3" t="s">
        <v>772</v>
      </c>
      <c r="B18" s="49">
        <v>18354</v>
      </c>
      <c r="F18" s="3">
        <v>9.7181990000000003</v>
      </c>
    </row>
    <row r="19" spans="1:6" x14ac:dyDescent="0.2">
      <c r="A19" s="3" t="s">
        <v>773</v>
      </c>
      <c r="B19" s="49">
        <v>18384</v>
      </c>
      <c r="F19" s="3">
        <v>9.7181990000000003</v>
      </c>
    </row>
    <row r="20" spans="1:6" x14ac:dyDescent="0.2">
      <c r="A20" s="3" t="s">
        <v>774</v>
      </c>
      <c r="B20" s="49">
        <v>18415</v>
      </c>
      <c r="F20" s="3">
        <v>9.7181990000000003</v>
      </c>
    </row>
    <row r="21" spans="1:6" x14ac:dyDescent="0.2">
      <c r="A21" s="3" t="s">
        <v>775</v>
      </c>
      <c r="B21" s="49">
        <v>18445</v>
      </c>
      <c r="F21" s="3">
        <v>9.7972090000000005</v>
      </c>
    </row>
    <row r="22" spans="1:6" x14ac:dyDescent="0.2">
      <c r="A22" s="3" t="s">
        <v>776</v>
      </c>
      <c r="B22" s="49">
        <v>18476</v>
      </c>
      <c r="F22" s="3">
        <v>9.8762179999999997</v>
      </c>
    </row>
    <row r="23" spans="1:6" x14ac:dyDescent="0.2">
      <c r="A23" s="3" t="s">
        <v>777</v>
      </c>
      <c r="B23" s="49">
        <v>18507</v>
      </c>
      <c r="F23" s="3">
        <v>10.03424</v>
      </c>
    </row>
    <row r="24" spans="1:6" x14ac:dyDescent="0.2">
      <c r="A24" s="3" t="s">
        <v>778</v>
      </c>
      <c r="B24" s="49">
        <v>18537</v>
      </c>
      <c r="F24" s="3">
        <v>10.192259999999999</v>
      </c>
    </row>
    <row r="25" spans="1:6" x14ac:dyDescent="0.2">
      <c r="A25" s="3" t="s">
        <v>779</v>
      </c>
      <c r="B25" s="49">
        <v>18568</v>
      </c>
      <c r="F25" s="3">
        <v>10.192259999999999</v>
      </c>
    </row>
    <row r="26" spans="1:6" x14ac:dyDescent="0.2">
      <c r="A26" s="3" t="s">
        <v>780</v>
      </c>
      <c r="B26" s="49">
        <v>18598</v>
      </c>
      <c r="F26" s="3">
        <v>10.192259999999999</v>
      </c>
    </row>
    <row r="27" spans="1:6" x14ac:dyDescent="0.2">
      <c r="A27" s="3" t="s">
        <v>781</v>
      </c>
      <c r="B27" s="49">
        <v>18629</v>
      </c>
      <c r="F27" s="3">
        <v>10.271269999999999</v>
      </c>
    </row>
    <row r="28" spans="1:6" x14ac:dyDescent="0.2">
      <c r="A28" s="3" t="s">
        <v>782</v>
      </c>
      <c r="B28" s="49">
        <v>18660</v>
      </c>
      <c r="F28" s="3">
        <v>10.5083</v>
      </c>
    </row>
    <row r="29" spans="1:6" x14ac:dyDescent="0.2">
      <c r="A29" s="3" t="s">
        <v>783</v>
      </c>
      <c r="B29" s="49">
        <v>18688</v>
      </c>
      <c r="F29" s="3">
        <v>10.58731</v>
      </c>
    </row>
    <row r="30" spans="1:6" x14ac:dyDescent="0.2">
      <c r="A30" s="3" t="s">
        <v>784</v>
      </c>
      <c r="B30" s="49">
        <v>18719</v>
      </c>
      <c r="F30" s="3">
        <v>10.745329999999999</v>
      </c>
    </row>
    <row r="31" spans="1:6" x14ac:dyDescent="0.2">
      <c r="A31" s="3" t="s">
        <v>785</v>
      </c>
      <c r="B31" s="49">
        <v>18749</v>
      </c>
      <c r="F31" s="3">
        <v>10.745329999999999</v>
      </c>
    </row>
    <row r="32" spans="1:6" x14ac:dyDescent="0.2">
      <c r="A32" s="3" t="s">
        <v>786</v>
      </c>
      <c r="B32" s="49">
        <v>18780</v>
      </c>
      <c r="F32" s="3">
        <v>10.98235</v>
      </c>
    </row>
    <row r="33" spans="1:33" x14ac:dyDescent="0.2">
      <c r="A33" s="3" t="s">
        <v>787</v>
      </c>
      <c r="B33" s="49">
        <v>18810</v>
      </c>
      <c r="F33" s="3">
        <v>10.98235</v>
      </c>
    </row>
    <row r="34" spans="1:33" x14ac:dyDescent="0.2">
      <c r="A34" s="3" t="s">
        <v>788</v>
      </c>
      <c r="B34" s="49">
        <v>18841</v>
      </c>
      <c r="F34" s="3">
        <v>11.061360000000001</v>
      </c>
      <c r="AG34" s="3">
        <v>0.134681</v>
      </c>
    </row>
    <row r="35" spans="1:33" x14ac:dyDescent="0.2">
      <c r="A35" s="3" t="s">
        <v>789</v>
      </c>
      <c r="B35" s="49">
        <v>18872</v>
      </c>
      <c r="F35" s="3">
        <v>11.140370000000001</v>
      </c>
      <c r="AG35" s="3">
        <v>0.13332959999999999</v>
      </c>
    </row>
    <row r="36" spans="1:33" x14ac:dyDescent="0.2">
      <c r="A36" s="3" t="s">
        <v>790</v>
      </c>
      <c r="B36" s="49">
        <v>18902</v>
      </c>
      <c r="F36" s="3">
        <v>11.219379999999999</v>
      </c>
      <c r="AG36" s="3">
        <v>0.1158213</v>
      </c>
    </row>
    <row r="37" spans="1:33" x14ac:dyDescent="0.2">
      <c r="A37" s="3" t="s">
        <v>791</v>
      </c>
      <c r="B37" s="49">
        <v>18933</v>
      </c>
      <c r="F37" s="3">
        <v>11.298389999999999</v>
      </c>
      <c r="AG37" s="3">
        <v>0.1171727</v>
      </c>
    </row>
    <row r="38" spans="1:33" x14ac:dyDescent="0.2">
      <c r="A38" s="3" t="s">
        <v>792</v>
      </c>
      <c r="B38" s="49">
        <v>18963</v>
      </c>
      <c r="F38" s="3">
        <v>11.298389999999999</v>
      </c>
      <c r="AG38" s="3">
        <v>0.127944</v>
      </c>
    </row>
    <row r="39" spans="1:33" x14ac:dyDescent="0.2">
      <c r="A39" s="3" t="s">
        <v>793</v>
      </c>
      <c r="B39" s="49">
        <v>18994</v>
      </c>
      <c r="F39" s="3">
        <v>11.3774</v>
      </c>
      <c r="AG39" s="3">
        <v>0.1427562</v>
      </c>
    </row>
    <row r="40" spans="1:33" x14ac:dyDescent="0.2">
      <c r="A40" s="3" t="s">
        <v>794</v>
      </c>
      <c r="B40" s="49">
        <v>19025</v>
      </c>
      <c r="F40" s="3">
        <v>11.298389999999999</v>
      </c>
      <c r="AG40" s="3">
        <v>0.17104240000000001</v>
      </c>
    </row>
    <row r="41" spans="1:33" x14ac:dyDescent="0.2">
      <c r="A41" s="3" t="s">
        <v>795</v>
      </c>
      <c r="B41" s="49">
        <v>19054</v>
      </c>
      <c r="F41" s="3">
        <v>11.219379999999999</v>
      </c>
      <c r="AG41" s="3">
        <v>0.20874860000000001</v>
      </c>
    </row>
    <row r="42" spans="1:33" x14ac:dyDescent="0.2">
      <c r="A42" s="3" t="s">
        <v>796</v>
      </c>
      <c r="B42" s="49">
        <v>19085</v>
      </c>
      <c r="F42" s="3">
        <v>11.219379999999999</v>
      </c>
      <c r="AG42" s="3">
        <v>0.21953320000000001</v>
      </c>
    </row>
    <row r="43" spans="1:33" x14ac:dyDescent="0.2">
      <c r="A43" s="3" t="s">
        <v>797</v>
      </c>
      <c r="B43" s="49">
        <v>19115</v>
      </c>
      <c r="F43" s="3">
        <v>11.140370000000001</v>
      </c>
      <c r="AG43" s="3">
        <v>0.23703489999999999</v>
      </c>
    </row>
    <row r="44" spans="1:33" x14ac:dyDescent="0.2">
      <c r="A44" s="3" t="s">
        <v>798</v>
      </c>
      <c r="B44" s="49">
        <v>19146</v>
      </c>
      <c r="F44" s="3">
        <v>11.140370000000001</v>
      </c>
      <c r="AG44" s="3">
        <v>0.24107580000000001</v>
      </c>
    </row>
    <row r="45" spans="1:33" x14ac:dyDescent="0.2">
      <c r="A45" s="3" t="s">
        <v>799</v>
      </c>
      <c r="B45" s="49">
        <v>19176</v>
      </c>
      <c r="F45" s="3">
        <v>11.140370000000001</v>
      </c>
      <c r="AG45" s="3">
        <v>0.25319839999999999</v>
      </c>
    </row>
    <row r="46" spans="1:33" x14ac:dyDescent="0.2">
      <c r="A46" s="3" t="s">
        <v>800</v>
      </c>
      <c r="B46" s="49">
        <v>19207</v>
      </c>
      <c r="F46" s="3">
        <v>11.140370000000001</v>
      </c>
      <c r="AG46" s="3">
        <v>0.27474100000000001</v>
      </c>
    </row>
    <row r="47" spans="1:33" x14ac:dyDescent="0.2">
      <c r="A47" s="3" t="s">
        <v>801</v>
      </c>
      <c r="B47" s="49">
        <v>19238</v>
      </c>
      <c r="F47" s="3">
        <v>11.140370000000001</v>
      </c>
      <c r="AG47" s="3">
        <v>0.2949522</v>
      </c>
    </row>
    <row r="48" spans="1:33" x14ac:dyDescent="0.2">
      <c r="A48" s="3" t="s">
        <v>802</v>
      </c>
      <c r="B48" s="49">
        <v>19268</v>
      </c>
      <c r="F48" s="3">
        <v>11.140370000000001</v>
      </c>
      <c r="AG48" s="3">
        <v>0.2572393</v>
      </c>
    </row>
    <row r="49" spans="1:33" x14ac:dyDescent="0.2">
      <c r="A49" s="3" t="s">
        <v>803</v>
      </c>
      <c r="B49" s="49">
        <v>19299</v>
      </c>
      <c r="F49" s="3">
        <v>11.140370000000001</v>
      </c>
      <c r="AG49" s="3">
        <v>0.2478062</v>
      </c>
    </row>
    <row r="50" spans="1:33" x14ac:dyDescent="0.2">
      <c r="A50" s="3" t="s">
        <v>804</v>
      </c>
      <c r="B50" s="49">
        <v>19329</v>
      </c>
      <c r="F50" s="3">
        <v>11.140370000000001</v>
      </c>
      <c r="AG50" s="3">
        <v>0.26801059999999999</v>
      </c>
    </row>
    <row r="51" spans="1:33" x14ac:dyDescent="0.2">
      <c r="A51" s="3" t="s">
        <v>805</v>
      </c>
      <c r="B51" s="49">
        <v>19360</v>
      </c>
      <c r="F51" s="3">
        <v>11.140370000000001</v>
      </c>
      <c r="AG51" s="3">
        <v>0.28955989999999998</v>
      </c>
    </row>
    <row r="52" spans="1:33" x14ac:dyDescent="0.2">
      <c r="A52" s="3" t="s">
        <v>806</v>
      </c>
      <c r="B52" s="49">
        <v>19391</v>
      </c>
      <c r="F52" s="3">
        <v>11.061360000000001</v>
      </c>
      <c r="AG52" s="3">
        <v>0.33131359999999999</v>
      </c>
    </row>
    <row r="53" spans="1:33" x14ac:dyDescent="0.2">
      <c r="A53" s="3" t="s">
        <v>807</v>
      </c>
      <c r="B53" s="49">
        <v>19419</v>
      </c>
      <c r="F53" s="3">
        <v>10.98235</v>
      </c>
      <c r="AG53" s="3">
        <v>0.33265830000000002</v>
      </c>
    </row>
    <row r="54" spans="1:33" x14ac:dyDescent="0.2">
      <c r="A54" s="3" t="s">
        <v>808</v>
      </c>
      <c r="B54" s="49">
        <v>19450</v>
      </c>
      <c r="F54" s="3">
        <v>10.98235</v>
      </c>
      <c r="AG54" s="3">
        <v>0.3501667</v>
      </c>
    </row>
    <row r="55" spans="1:33" x14ac:dyDescent="0.2">
      <c r="A55" s="3" t="s">
        <v>809</v>
      </c>
      <c r="B55" s="49">
        <v>19480</v>
      </c>
      <c r="F55" s="3">
        <v>10.98235</v>
      </c>
      <c r="AG55" s="3">
        <v>0.32592789999999999</v>
      </c>
    </row>
    <row r="56" spans="1:33" x14ac:dyDescent="0.2">
      <c r="A56" s="3" t="s">
        <v>810</v>
      </c>
      <c r="B56" s="49">
        <v>19511</v>
      </c>
      <c r="F56" s="3">
        <v>10.98235</v>
      </c>
      <c r="AG56" s="3">
        <v>0.33131359999999999</v>
      </c>
    </row>
    <row r="57" spans="1:33" x14ac:dyDescent="0.2">
      <c r="A57" s="3" t="s">
        <v>811</v>
      </c>
      <c r="B57" s="49">
        <v>19541</v>
      </c>
      <c r="F57" s="3">
        <v>10.98235</v>
      </c>
      <c r="AG57" s="3">
        <v>0.35824840000000002</v>
      </c>
    </row>
    <row r="58" spans="1:33" x14ac:dyDescent="0.2">
      <c r="A58" s="3" t="s">
        <v>812</v>
      </c>
      <c r="B58" s="49">
        <v>19572</v>
      </c>
      <c r="F58" s="3">
        <v>11.140370000000001</v>
      </c>
      <c r="AG58" s="3">
        <v>0.38114239999999999</v>
      </c>
    </row>
    <row r="59" spans="1:33" x14ac:dyDescent="0.2">
      <c r="A59" s="3" t="s">
        <v>813</v>
      </c>
      <c r="B59" s="49">
        <v>19603</v>
      </c>
      <c r="F59" s="3">
        <v>11.140370000000001</v>
      </c>
      <c r="AG59" s="3">
        <v>0.3919204</v>
      </c>
    </row>
    <row r="60" spans="1:33" x14ac:dyDescent="0.2">
      <c r="A60" s="3" t="s">
        <v>814</v>
      </c>
      <c r="B60" s="49">
        <v>19633</v>
      </c>
      <c r="F60" s="3">
        <v>11.219379999999999</v>
      </c>
      <c r="AG60" s="3">
        <v>0.37171589999999999</v>
      </c>
    </row>
    <row r="61" spans="1:33" x14ac:dyDescent="0.2">
      <c r="A61" s="3" t="s">
        <v>815</v>
      </c>
      <c r="B61" s="49">
        <v>19664</v>
      </c>
      <c r="F61" s="3">
        <v>11.140370000000001</v>
      </c>
      <c r="AG61" s="3">
        <v>0.39057560000000002</v>
      </c>
    </row>
    <row r="62" spans="1:33" x14ac:dyDescent="0.2">
      <c r="A62" s="3" t="s">
        <v>816</v>
      </c>
      <c r="B62" s="49">
        <v>19694</v>
      </c>
      <c r="F62" s="3">
        <v>11.140370000000001</v>
      </c>
      <c r="AG62" s="3">
        <v>0.44040449999999998</v>
      </c>
    </row>
    <row r="63" spans="1:33" x14ac:dyDescent="0.2">
      <c r="A63" s="3" t="s">
        <v>817</v>
      </c>
      <c r="B63" s="49">
        <v>19725</v>
      </c>
      <c r="F63" s="3">
        <v>11.140370000000001</v>
      </c>
      <c r="AG63" s="3">
        <v>0.41885519999999998</v>
      </c>
    </row>
    <row r="64" spans="1:33" x14ac:dyDescent="0.2">
      <c r="A64" s="3" t="s">
        <v>818</v>
      </c>
      <c r="B64" s="49">
        <v>19756</v>
      </c>
      <c r="F64" s="3">
        <v>11.140370000000001</v>
      </c>
      <c r="AG64" s="3">
        <v>0.40942200000000001</v>
      </c>
    </row>
    <row r="65" spans="1:50" x14ac:dyDescent="0.2">
      <c r="A65" s="3" t="s">
        <v>819</v>
      </c>
      <c r="B65" s="49">
        <v>19784</v>
      </c>
      <c r="F65" s="3">
        <v>11.061360000000001</v>
      </c>
      <c r="P65" s="3">
        <v>1.785906</v>
      </c>
      <c r="AG65" s="3">
        <v>0.43636360000000002</v>
      </c>
    </row>
    <row r="66" spans="1:50" x14ac:dyDescent="0.2">
      <c r="A66" s="3" t="s">
        <v>820</v>
      </c>
      <c r="B66" s="49">
        <v>19815</v>
      </c>
      <c r="F66" s="3">
        <v>11.061360000000001</v>
      </c>
      <c r="P66" s="3">
        <v>1.7897149999999999</v>
      </c>
      <c r="AG66" s="3">
        <v>0.43367410000000001</v>
      </c>
    </row>
    <row r="67" spans="1:50" x14ac:dyDescent="0.2">
      <c r="A67" s="3" t="s">
        <v>821</v>
      </c>
      <c r="B67" s="49">
        <v>19845</v>
      </c>
      <c r="F67" s="3">
        <v>11.061360000000001</v>
      </c>
      <c r="P67" s="3">
        <v>1.7897149999999999</v>
      </c>
      <c r="AG67" s="3">
        <v>0.40134690000000001</v>
      </c>
    </row>
    <row r="68" spans="1:50" x14ac:dyDescent="0.2">
      <c r="A68" s="3" t="s">
        <v>822</v>
      </c>
      <c r="B68" s="49">
        <v>19876</v>
      </c>
      <c r="F68" s="3">
        <v>11.140370000000001</v>
      </c>
      <c r="P68" s="3">
        <v>1.783185</v>
      </c>
      <c r="AG68" s="3">
        <v>0.40134690000000001</v>
      </c>
    </row>
    <row r="69" spans="1:50" x14ac:dyDescent="0.2">
      <c r="A69" s="3" t="s">
        <v>823</v>
      </c>
      <c r="B69" s="49">
        <v>19906</v>
      </c>
      <c r="F69" s="3">
        <v>11.140370000000001</v>
      </c>
      <c r="P69" s="3">
        <v>1.7848170000000001</v>
      </c>
      <c r="AG69" s="3">
        <v>0.44310060000000001</v>
      </c>
    </row>
    <row r="70" spans="1:50" x14ac:dyDescent="0.2">
      <c r="A70" s="3" t="s">
        <v>824</v>
      </c>
      <c r="B70" s="49">
        <v>19937</v>
      </c>
      <c r="F70" s="3">
        <v>11.219379999999999</v>
      </c>
      <c r="P70" s="3">
        <v>1.7777430000000001</v>
      </c>
      <c r="AG70" s="3">
        <v>0.47676590000000002</v>
      </c>
    </row>
    <row r="71" spans="1:50" x14ac:dyDescent="0.2">
      <c r="A71" s="3" t="s">
        <v>825</v>
      </c>
      <c r="B71" s="49">
        <v>19968</v>
      </c>
      <c r="F71" s="3">
        <v>11.219379999999999</v>
      </c>
      <c r="P71" s="3">
        <v>1.7788310000000001</v>
      </c>
      <c r="AG71" s="3">
        <v>0.54814399999999996</v>
      </c>
    </row>
    <row r="72" spans="1:50" x14ac:dyDescent="0.2">
      <c r="A72" s="3" t="s">
        <v>826</v>
      </c>
      <c r="B72" s="49">
        <v>19998</v>
      </c>
      <c r="F72" s="3">
        <v>11.219379999999999</v>
      </c>
      <c r="P72" s="3">
        <v>1.7880819999999999</v>
      </c>
      <c r="AG72" s="3">
        <v>0.61009550000000001</v>
      </c>
    </row>
    <row r="73" spans="1:50" x14ac:dyDescent="0.2">
      <c r="A73" s="3" t="s">
        <v>827</v>
      </c>
      <c r="B73" s="49">
        <v>20029</v>
      </c>
      <c r="F73" s="3">
        <v>11.219379999999999</v>
      </c>
      <c r="P73" s="3">
        <v>1.8033189999999999</v>
      </c>
      <c r="AG73" s="3">
        <v>0.65858629999999996</v>
      </c>
    </row>
    <row r="74" spans="1:50" x14ac:dyDescent="0.2">
      <c r="A74" s="3" t="s">
        <v>828</v>
      </c>
      <c r="B74" s="49">
        <v>20059</v>
      </c>
      <c r="G74" s="3" t="s">
        <v>6</v>
      </c>
      <c r="P74" s="3">
        <v>1.8196429999999999</v>
      </c>
      <c r="AG74" s="3">
        <v>0.65184920000000002</v>
      </c>
    </row>
    <row r="75" spans="1:50" x14ac:dyDescent="0.2">
      <c r="A75" s="3" t="s">
        <v>731</v>
      </c>
      <c r="B75" s="49">
        <v>20090</v>
      </c>
      <c r="D75" s="3">
        <v>13.146660000000001</v>
      </c>
      <c r="F75" s="3">
        <v>11.140370000000001</v>
      </c>
      <c r="G75" s="3">
        <v>23.02749</v>
      </c>
      <c r="M75" s="3">
        <v>20.94136</v>
      </c>
      <c r="P75" s="3">
        <v>1.83107</v>
      </c>
      <c r="S75" s="3">
        <v>5.3455120000000003</v>
      </c>
      <c r="T75" s="3">
        <v>7.4273819999999997</v>
      </c>
      <c r="W75" s="3">
        <v>4.8595129999999997</v>
      </c>
      <c r="X75" s="3">
        <v>0.96489800000000003</v>
      </c>
      <c r="AC75" s="3">
        <v>2.7536450000000001E-2</v>
      </c>
      <c r="AE75" s="3">
        <v>3.506081</v>
      </c>
      <c r="AF75" s="3">
        <v>17.072240000000001</v>
      </c>
      <c r="AG75" s="3">
        <v>0.7191864</v>
      </c>
      <c r="AI75" s="3">
        <v>14.76643</v>
      </c>
      <c r="AM75" s="3">
        <v>7.23881</v>
      </c>
      <c r="AQ75" s="3">
        <v>0.99834179999999995</v>
      </c>
      <c r="AV75" s="3">
        <v>7.2192119999999997</v>
      </c>
      <c r="AW75" s="3">
        <v>1.8266200000000001E-5</v>
      </c>
      <c r="AX75" s="3">
        <v>11.26501</v>
      </c>
    </row>
    <row r="76" spans="1:50" x14ac:dyDescent="0.2">
      <c r="A76" s="3" t="s">
        <v>732</v>
      </c>
      <c r="B76" s="49">
        <v>20121</v>
      </c>
      <c r="D76" s="3">
        <v>13.081390000000001</v>
      </c>
      <c r="F76" s="3">
        <v>11.140370000000001</v>
      </c>
      <c r="G76" s="3">
        <v>22.947590000000002</v>
      </c>
      <c r="M76" s="3">
        <v>20.810880000000001</v>
      </c>
      <c r="P76" s="3">
        <v>1.837056</v>
      </c>
      <c r="S76" s="3">
        <v>5.3455120000000003</v>
      </c>
      <c r="T76" s="3">
        <v>7.4120470000000003</v>
      </c>
      <c r="W76" s="3">
        <v>4.8595129999999997</v>
      </c>
      <c r="X76" s="3">
        <v>0.95815039999999996</v>
      </c>
      <c r="AB76" s="3">
        <v>4.2043629999999999</v>
      </c>
      <c r="AC76" s="3">
        <v>2.7536450000000001E-2</v>
      </c>
      <c r="AE76" s="3">
        <v>3.496054</v>
      </c>
      <c r="AF76" s="3">
        <v>17.072240000000001</v>
      </c>
      <c r="AG76" s="3">
        <v>0.74747269999999999</v>
      </c>
      <c r="AI76" s="3">
        <v>14.69866</v>
      </c>
      <c r="AM76" s="3">
        <v>7.1671389999999997</v>
      </c>
      <c r="AQ76" s="3">
        <v>0.9943919</v>
      </c>
      <c r="AV76" s="3">
        <v>7.2315060000000004</v>
      </c>
      <c r="AW76" s="3">
        <v>1.8266200000000001E-5</v>
      </c>
      <c r="AX76" s="3">
        <v>11.26501</v>
      </c>
    </row>
    <row r="77" spans="1:50" x14ac:dyDescent="0.2">
      <c r="A77" s="3" t="s">
        <v>733</v>
      </c>
      <c r="B77" s="49">
        <v>20149</v>
      </c>
      <c r="D77" s="3">
        <v>13.05528</v>
      </c>
      <c r="F77" s="3">
        <v>11.140370000000001</v>
      </c>
      <c r="G77" s="3">
        <v>22.920369999999998</v>
      </c>
      <c r="M77" s="3">
        <v>20.810880000000001</v>
      </c>
      <c r="P77" s="3">
        <v>1.84413</v>
      </c>
      <c r="S77" s="3">
        <v>5.3455120000000003</v>
      </c>
      <c r="T77" s="3">
        <v>7.4069349999999998</v>
      </c>
      <c r="W77" s="3">
        <v>4.8595129999999997</v>
      </c>
      <c r="X77" s="3">
        <v>0.9798926</v>
      </c>
      <c r="AB77" s="3">
        <v>4.2375990000000003</v>
      </c>
      <c r="AC77" s="3">
        <v>2.7536450000000001E-2</v>
      </c>
      <c r="AE77" s="3">
        <v>3.496054</v>
      </c>
      <c r="AF77" s="3">
        <v>16.962330000000001</v>
      </c>
      <c r="AG77" s="3">
        <v>0.75554779999999999</v>
      </c>
      <c r="AI77" s="3">
        <v>14.55837</v>
      </c>
      <c r="AM77" s="3">
        <v>7.1671389999999997</v>
      </c>
      <c r="AQ77" s="3">
        <v>1.001304</v>
      </c>
      <c r="AV77" s="3">
        <v>7.2454770000000002</v>
      </c>
      <c r="AW77" s="3">
        <v>1.810456E-5</v>
      </c>
      <c r="AX77" s="3">
        <v>11.26501</v>
      </c>
    </row>
    <row r="78" spans="1:50" x14ac:dyDescent="0.2">
      <c r="A78" s="3" t="s">
        <v>734</v>
      </c>
      <c r="B78" s="49">
        <v>20180</v>
      </c>
      <c r="D78" s="3">
        <v>13.00306</v>
      </c>
      <c r="F78" s="3">
        <v>11.140370000000001</v>
      </c>
      <c r="G78" s="3">
        <v>22.934419999999999</v>
      </c>
      <c r="M78" s="3">
        <v>20.810880000000001</v>
      </c>
      <c r="P78" s="3">
        <v>1.8544689999999999</v>
      </c>
      <c r="S78" s="3">
        <v>5.4000589999999997</v>
      </c>
      <c r="T78" s="3">
        <v>7.4018240000000004</v>
      </c>
      <c r="W78" s="3">
        <v>4.8859719999999998</v>
      </c>
      <c r="X78" s="3">
        <v>0.97689360000000003</v>
      </c>
      <c r="AB78" s="3">
        <v>4.2666810000000002</v>
      </c>
      <c r="AC78" s="3">
        <v>2.7536450000000001E-2</v>
      </c>
      <c r="AE78" s="3">
        <v>3.502739</v>
      </c>
      <c r="AF78" s="3">
        <v>17.108879999999999</v>
      </c>
      <c r="AG78" s="3">
        <v>0.76633240000000002</v>
      </c>
      <c r="AI78" s="3">
        <v>14.5227</v>
      </c>
      <c r="AM78" s="3">
        <v>7.1671389999999997</v>
      </c>
      <c r="AQ78" s="3">
        <v>0.99142940000000002</v>
      </c>
      <c r="AV78" s="3">
        <v>7.3063919999999998</v>
      </c>
      <c r="AW78" s="3">
        <v>1.810456E-5</v>
      </c>
      <c r="AX78" s="3">
        <v>11.26501</v>
      </c>
    </row>
    <row r="79" spans="1:50" x14ac:dyDescent="0.2">
      <c r="A79" s="3" t="s">
        <v>735</v>
      </c>
      <c r="B79" s="49">
        <v>20210</v>
      </c>
      <c r="D79" s="3">
        <v>12.950839999999999</v>
      </c>
      <c r="F79" s="3">
        <v>11.140370000000001</v>
      </c>
      <c r="G79" s="3">
        <v>23.014320000000001</v>
      </c>
      <c r="M79" s="3">
        <v>20.745640000000002</v>
      </c>
      <c r="P79" s="3">
        <v>1.8555569999999999</v>
      </c>
      <c r="S79" s="3">
        <v>5.4000589999999997</v>
      </c>
      <c r="T79" s="3">
        <v>7.4427180000000002</v>
      </c>
      <c r="W79" s="3">
        <v>4.8771519999999997</v>
      </c>
      <c r="X79" s="3">
        <v>0.99113839999999997</v>
      </c>
      <c r="AB79" s="3">
        <v>4.3622350000000001</v>
      </c>
      <c r="AC79" s="3">
        <v>2.7536450000000001E-2</v>
      </c>
      <c r="AE79" s="3">
        <v>3.506081</v>
      </c>
      <c r="AF79" s="3">
        <v>16.944019999999998</v>
      </c>
      <c r="AG79" s="3">
        <v>0.79999770000000003</v>
      </c>
      <c r="AI79" s="3">
        <v>14.50605</v>
      </c>
      <c r="AM79" s="3">
        <v>7.23881</v>
      </c>
      <c r="AQ79" s="3">
        <v>0.98451710000000003</v>
      </c>
      <c r="AV79" s="3">
        <v>7.3276279999999998</v>
      </c>
      <c r="AW79" s="3">
        <v>1.8266200000000001E-5</v>
      </c>
      <c r="AX79" s="3">
        <v>11.26501</v>
      </c>
    </row>
    <row r="80" spans="1:50" x14ac:dyDescent="0.2">
      <c r="A80" s="3" t="s">
        <v>736</v>
      </c>
      <c r="B80" s="49">
        <v>20241</v>
      </c>
      <c r="D80" s="3">
        <v>13.029170000000001</v>
      </c>
      <c r="F80" s="3">
        <v>11.140370000000001</v>
      </c>
      <c r="G80" s="3">
        <v>23.014320000000001</v>
      </c>
      <c r="M80" s="3">
        <v>20.810880000000001</v>
      </c>
      <c r="P80" s="3">
        <v>1.8506590000000001</v>
      </c>
      <c r="S80" s="3">
        <v>5.4000589999999997</v>
      </c>
      <c r="T80" s="3">
        <v>7.396712</v>
      </c>
      <c r="W80" s="3">
        <v>4.9785760000000003</v>
      </c>
      <c r="X80" s="3">
        <v>1.004634</v>
      </c>
      <c r="AB80" s="3">
        <v>4.3830070000000001</v>
      </c>
      <c r="AC80" s="3">
        <v>2.788065E-2</v>
      </c>
      <c r="AE80" s="3">
        <v>3.509423</v>
      </c>
      <c r="AF80" s="3">
        <v>16.962330000000001</v>
      </c>
      <c r="AG80" s="3">
        <v>0.84848179999999995</v>
      </c>
      <c r="AI80" s="3">
        <v>14.52983</v>
      </c>
      <c r="AM80" s="3">
        <v>7.23881</v>
      </c>
      <c r="AQ80" s="3">
        <v>0.97562979999999999</v>
      </c>
      <c r="AV80" s="3">
        <v>7.3421580000000004</v>
      </c>
      <c r="AW80" s="3">
        <v>1.89128E-5</v>
      </c>
      <c r="AX80" s="3">
        <v>11.26501</v>
      </c>
    </row>
    <row r="81" spans="1:50" x14ac:dyDescent="0.2">
      <c r="A81" s="3" t="s">
        <v>737</v>
      </c>
      <c r="B81" s="49">
        <v>20271</v>
      </c>
      <c r="D81" s="3">
        <v>13.172779999999999</v>
      </c>
      <c r="F81" s="3">
        <v>11.140370000000001</v>
      </c>
      <c r="G81" s="3">
        <v>23.02749</v>
      </c>
      <c r="M81" s="3">
        <v>21.071829999999999</v>
      </c>
      <c r="P81" s="3">
        <v>1.8506590000000001</v>
      </c>
      <c r="S81" s="3">
        <v>5.4000589999999997</v>
      </c>
      <c r="T81" s="3">
        <v>7.3149240000000004</v>
      </c>
      <c r="W81" s="3">
        <v>4.9962140000000002</v>
      </c>
      <c r="X81" s="3">
        <v>0.99938539999999998</v>
      </c>
      <c r="AB81" s="3">
        <v>4.4660970000000004</v>
      </c>
      <c r="AC81" s="3">
        <v>2.8224860000000001E-2</v>
      </c>
      <c r="AE81" s="3">
        <v>3.509423</v>
      </c>
      <c r="AF81" s="3">
        <v>16.889060000000001</v>
      </c>
      <c r="AG81" s="3">
        <v>0.8794575</v>
      </c>
      <c r="AI81" s="3">
        <v>14.654669999999999</v>
      </c>
      <c r="AM81" s="3">
        <v>7.23881</v>
      </c>
      <c r="AQ81" s="3">
        <v>0.98056719999999997</v>
      </c>
      <c r="AV81" s="3">
        <v>7.435486</v>
      </c>
      <c r="AW81" s="3">
        <v>1.9397739999999998E-5</v>
      </c>
      <c r="AX81" s="3">
        <v>11.30721</v>
      </c>
    </row>
    <row r="82" spans="1:50" x14ac:dyDescent="0.2">
      <c r="A82" s="3" t="s">
        <v>738</v>
      </c>
      <c r="B82" s="49">
        <v>20302</v>
      </c>
      <c r="D82" s="3">
        <v>13.238049999999999</v>
      </c>
      <c r="F82" s="3">
        <v>11.140370000000001</v>
      </c>
      <c r="G82" s="3">
        <v>23.081060000000001</v>
      </c>
      <c r="M82" s="3">
        <v>20.94136</v>
      </c>
      <c r="P82" s="3">
        <v>1.8544689999999999</v>
      </c>
      <c r="S82" s="3">
        <v>5.4546049999999999</v>
      </c>
      <c r="T82" s="3">
        <v>7.309812</v>
      </c>
      <c r="W82" s="3">
        <v>4.9609370000000004</v>
      </c>
      <c r="X82" s="3">
        <v>1.0016350000000001</v>
      </c>
      <c r="AB82" s="3">
        <v>4.4785599999999999</v>
      </c>
      <c r="AC82" s="3">
        <v>2.8224860000000001E-2</v>
      </c>
      <c r="AE82" s="3">
        <v>3.516108</v>
      </c>
      <c r="AF82" s="3">
        <v>16.99897</v>
      </c>
      <c r="AG82" s="3">
        <v>0.91043339999999995</v>
      </c>
      <c r="AI82" s="3">
        <v>14.676069999999999</v>
      </c>
      <c r="AM82" s="3">
        <v>7.23881</v>
      </c>
      <c r="AQ82" s="3">
        <v>0.98550459999999995</v>
      </c>
      <c r="AV82" s="3">
        <v>7.4544870000000003</v>
      </c>
      <c r="AW82" s="3">
        <v>1.9721039999999999E-5</v>
      </c>
      <c r="AX82" s="3">
        <v>11.30721</v>
      </c>
    </row>
    <row r="83" spans="1:50" x14ac:dyDescent="0.2">
      <c r="A83" s="3" t="s">
        <v>739</v>
      </c>
      <c r="B83" s="49">
        <v>20333</v>
      </c>
      <c r="D83" s="3">
        <v>13.29027</v>
      </c>
      <c r="F83" s="3">
        <v>11.219379999999999</v>
      </c>
      <c r="G83" s="3">
        <v>23.120570000000001</v>
      </c>
      <c r="M83" s="3">
        <v>20.94136</v>
      </c>
      <c r="P83" s="3">
        <v>1.866984</v>
      </c>
      <c r="S83" s="3">
        <v>5.4546049999999999</v>
      </c>
      <c r="T83" s="3">
        <v>7.3864879999999999</v>
      </c>
      <c r="W83" s="3">
        <v>4.9918050000000003</v>
      </c>
      <c r="X83" s="3">
        <v>1.0091319999999999</v>
      </c>
      <c r="AB83" s="3">
        <v>4.4660970000000004</v>
      </c>
      <c r="AC83" s="3">
        <v>2.8224860000000001E-2</v>
      </c>
      <c r="AE83" s="3">
        <v>3.516108</v>
      </c>
      <c r="AF83" s="3">
        <v>17.072240000000001</v>
      </c>
      <c r="AG83" s="3">
        <v>0.95757270000000005</v>
      </c>
      <c r="AI83" s="3">
        <v>14.72719</v>
      </c>
      <c r="AM83" s="3">
        <v>7.23881</v>
      </c>
      <c r="AQ83" s="3">
        <v>1.0003169999999999</v>
      </c>
      <c r="AV83" s="3">
        <v>7.4947239999999997</v>
      </c>
      <c r="AW83" s="3">
        <v>1.9721039999999999E-5</v>
      </c>
      <c r="AX83" s="3">
        <v>11.349399999999999</v>
      </c>
    </row>
    <row r="84" spans="1:50" x14ac:dyDescent="0.2">
      <c r="A84" s="3" t="s">
        <v>740</v>
      </c>
      <c r="B84" s="49">
        <v>20363</v>
      </c>
      <c r="D84" s="3">
        <v>13.29027</v>
      </c>
      <c r="F84" s="3">
        <v>11.219379999999999</v>
      </c>
      <c r="G84" s="3">
        <v>23.160959999999999</v>
      </c>
      <c r="M84" s="3">
        <v>21.202310000000001</v>
      </c>
      <c r="P84" s="3">
        <v>1.8822209999999999</v>
      </c>
      <c r="S84" s="3">
        <v>5.5091510000000001</v>
      </c>
      <c r="T84" s="3">
        <v>7.463165</v>
      </c>
      <c r="W84" s="3">
        <v>5.0447220000000002</v>
      </c>
      <c r="X84" s="3">
        <v>1.01363</v>
      </c>
      <c r="AB84" s="3">
        <v>4.4744060000000001</v>
      </c>
      <c r="AC84" s="3">
        <v>2.9257470000000001E-2</v>
      </c>
      <c r="AE84" s="3">
        <v>3.529477</v>
      </c>
      <c r="AF84" s="3">
        <v>17.18215</v>
      </c>
      <c r="AG84" s="3">
        <v>0.89158020000000004</v>
      </c>
      <c r="AI84" s="3">
        <v>14.715310000000001</v>
      </c>
      <c r="AM84" s="3">
        <v>7.23881</v>
      </c>
      <c r="AQ84" s="3">
        <v>1.012167</v>
      </c>
      <c r="AV84" s="3">
        <v>7.5707269999999998</v>
      </c>
      <c r="AW84" s="3">
        <v>2.0044329999999999E-5</v>
      </c>
      <c r="AX84" s="3">
        <v>11.349399999999999</v>
      </c>
    </row>
    <row r="85" spans="1:50" x14ac:dyDescent="0.2">
      <c r="A85" s="3" t="s">
        <v>741</v>
      </c>
      <c r="B85" s="49">
        <v>20394</v>
      </c>
      <c r="D85" s="3">
        <v>13.32944</v>
      </c>
      <c r="F85" s="3">
        <v>11.219379999999999</v>
      </c>
      <c r="G85" s="3">
        <v>23.18731</v>
      </c>
      <c r="M85" s="3">
        <v>21.26755</v>
      </c>
      <c r="P85" s="3">
        <v>1.8903829999999999</v>
      </c>
      <c r="S85" s="3">
        <v>5.5091510000000001</v>
      </c>
      <c r="T85" s="3">
        <v>7.4682769999999996</v>
      </c>
      <c r="W85" s="3">
        <v>5.1240959999999998</v>
      </c>
      <c r="X85" s="3">
        <v>1.0143800000000001</v>
      </c>
      <c r="AB85" s="3">
        <v>4.5865780000000003</v>
      </c>
      <c r="AC85" s="3">
        <v>2.9601679999999998E-2</v>
      </c>
      <c r="AE85" s="3">
        <v>3.539504</v>
      </c>
      <c r="AF85" s="3">
        <v>16.779150000000001</v>
      </c>
      <c r="AG85" s="3">
        <v>0.80942420000000004</v>
      </c>
      <c r="AI85" s="3">
        <v>14.7379</v>
      </c>
      <c r="AM85" s="3">
        <v>7.23881</v>
      </c>
      <c r="AQ85" s="3">
        <v>1.022041</v>
      </c>
      <c r="AV85" s="3">
        <v>7.634995</v>
      </c>
      <c r="AW85" s="3">
        <v>2.069092E-5</v>
      </c>
      <c r="AX85" s="3">
        <v>11.349399999999999</v>
      </c>
    </row>
    <row r="86" spans="1:50" x14ac:dyDescent="0.2">
      <c r="A86" s="3" t="s">
        <v>742</v>
      </c>
      <c r="B86" s="49">
        <v>20424</v>
      </c>
      <c r="D86" s="3">
        <v>13.34249</v>
      </c>
      <c r="F86" s="3">
        <v>11.219379999999999</v>
      </c>
      <c r="G86" s="3">
        <v>23.18731</v>
      </c>
      <c r="M86" s="3">
        <v>21.33278</v>
      </c>
      <c r="P86" s="3">
        <v>1.896369</v>
      </c>
      <c r="S86" s="3">
        <v>5.5091510000000001</v>
      </c>
      <c r="T86" s="3">
        <v>7.4785000000000004</v>
      </c>
      <c r="W86" s="3">
        <v>5.1240959999999998</v>
      </c>
      <c r="X86" s="3">
        <v>1.020378</v>
      </c>
      <c r="AB86" s="3">
        <v>4.7402949999999997</v>
      </c>
      <c r="AC86" s="3">
        <v>2.9601679999999998E-2</v>
      </c>
      <c r="AE86" s="3">
        <v>3.5629</v>
      </c>
      <c r="AF86" s="3">
        <v>16.705880000000001</v>
      </c>
      <c r="AG86" s="3">
        <v>0.82693249999999996</v>
      </c>
      <c r="AI86" s="3">
        <v>14.743840000000001</v>
      </c>
      <c r="AM86" s="3">
        <v>7.23881</v>
      </c>
      <c r="AQ86" s="3">
        <v>1.0289539999999999</v>
      </c>
      <c r="AV86" s="3">
        <v>7.667967</v>
      </c>
      <c r="AW86" s="3">
        <v>2.1014220000000001E-5</v>
      </c>
      <c r="AX86" s="3">
        <v>11.30721</v>
      </c>
    </row>
    <row r="87" spans="1:50" x14ac:dyDescent="0.2">
      <c r="A87" s="3" t="s">
        <v>743</v>
      </c>
      <c r="B87" s="49">
        <v>20455</v>
      </c>
      <c r="D87" s="3">
        <v>13.34249</v>
      </c>
      <c r="F87" s="3">
        <v>11.219379999999999</v>
      </c>
      <c r="G87" s="3">
        <v>23.053840000000001</v>
      </c>
      <c r="M87" s="3">
        <v>21.202310000000001</v>
      </c>
      <c r="P87" s="3">
        <v>1.8985449999999999</v>
      </c>
      <c r="S87" s="3">
        <v>5.6727889999999999</v>
      </c>
      <c r="T87" s="3">
        <v>7.5040589999999998</v>
      </c>
      <c r="W87" s="3">
        <v>5.1064579999999999</v>
      </c>
      <c r="X87" s="3">
        <v>1.022627</v>
      </c>
      <c r="AB87" s="3">
        <v>4.7278310000000001</v>
      </c>
      <c r="AC87" s="3">
        <v>2.9945889999999999E-2</v>
      </c>
      <c r="AE87" s="3">
        <v>3.569585</v>
      </c>
      <c r="AF87" s="3">
        <v>16.797470000000001</v>
      </c>
      <c r="AG87" s="3">
        <v>0.84848179999999995</v>
      </c>
      <c r="AI87" s="3">
        <v>14.731949999999999</v>
      </c>
      <c r="AM87" s="3">
        <v>7.23881</v>
      </c>
      <c r="AQ87" s="3">
        <v>1.0259910000000001</v>
      </c>
      <c r="AV87" s="3">
        <v>7.667408</v>
      </c>
      <c r="AW87" s="3">
        <v>2.149916E-5</v>
      </c>
      <c r="AX87" s="3">
        <v>11.30721</v>
      </c>
    </row>
    <row r="88" spans="1:50" x14ac:dyDescent="0.2">
      <c r="A88" s="3" t="s">
        <v>744</v>
      </c>
      <c r="B88" s="49">
        <v>20486</v>
      </c>
      <c r="D88" s="3">
        <v>13.368600000000001</v>
      </c>
      <c r="F88" s="3">
        <v>11.140370000000001</v>
      </c>
      <c r="G88" s="3">
        <v>23.107399999999998</v>
      </c>
      <c r="M88" s="3">
        <v>21.26755</v>
      </c>
      <c r="P88" s="3">
        <v>1.9219440000000001</v>
      </c>
      <c r="S88" s="3">
        <v>5.8364269999999996</v>
      </c>
      <c r="T88" s="3">
        <v>7.5602879999999999</v>
      </c>
      <c r="W88" s="3">
        <v>5.1064579999999999</v>
      </c>
      <c r="X88" s="3">
        <v>1.0286249999999999</v>
      </c>
      <c r="AB88" s="3">
        <v>4.7943030000000002</v>
      </c>
      <c r="AC88" s="3">
        <v>2.9945889999999999E-2</v>
      </c>
      <c r="AE88" s="3">
        <v>3.6063499999999999</v>
      </c>
      <c r="AF88" s="3">
        <v>16.944019999999998</v>
      </c>
      <c r="AG88" s="3">
        <v>0.88080230000000004</v>
      </c>
      <c r="AI88" s="3">
        <v>14.62138</v>
      </c>
      <c r="AM88" s="3">
        <v>7.3104820000000004</v>
      </c>
      <c r="AQ88" s="3">
        <v>1.0398160000000001</v>
      </c>
      <c r="AV88" s="3">
        <v>7.6802619999999999</v>
      </c>
      <c r="AW88" s="3">
        <v>2.2307399999999999E-5</v>
      </c>
      <c r="AX88" s="3">
        <v>11.30721</v>
      </c>
    </row>
    <row r="89" spans="1:50" x14ac:dyDescent="0.2">
      <c r="A89" s="3" t="s">
        <v>745</v>
      </c>
      <c r="B89" s="49">
        <v>20515</v>
      </c>
      <c r="D89" s="3">
        <v>13.43388</v>
      </c>
      <c r="F89" s="3">
        <v>11.140370000000001</v>
      </c>
      <c r="G89" s="3">
        <v>23.174130000000002</v>
      </c>
      <c r="M89" s="3">
        <v>21.59374</v>
      </c>
      <c r="P89" s="3">
        <v>1.9404440000000001</v>
      </c>
      <c r="S89" s="3">
        <v>5.8909729999999998</v>
      </c>
      <c r="T89" s="3">
        <v>7.5705109999999998</v>
      </c>
      <c r="W89" s="3">
        <v>5.1728420000000002</v>
      </c>
      <c r="X89" s="3">
        <v>1.033123</v>
      </c>
      <c r="AB89" s="3">
        <v>4.8441580000000002</v>
      </c>
      <c r="AC89" s="3">
        <v>3.0290089999999999E-2</v>
      </c>
      <c r="AE89" s="3">
        <v>3.6297459999999999</v>
      </c>
      <c r="AF89" s="3">
        <v>16.980650000000001</v>
      </c>
      <c r="AG89" s="3">
        <v>0.89831729999999999</v>
      </c>
      <c r="AI89" s="3">
        <v>14.74146</v>
      </c>
      <c r="AM89" s="3">
        <v>7.3104820000000004</v>
      </c>
      <c r="AQ89" s="3">
        <v>1.043766</v>
      </c>
      <c r="AV89" s="3">
        <v>7.7294409999999996</v>
      </c>
      <c r="AW89" s="3">
        <v>2.2145750000000001E-5</v>
      </c>
      <c r="AX89" s="3">
        <v>11.30721</v>
      </c>
    </row>
    <row r="90" spans="1:50" x14ac:dyDescent="0.2">
      <c r="A90" s="3" t="s">
        <v>746</v>
      </c>
      <c r="B90" s="49">
        <v>20546</v>
      </c>
      <c r="D90" s="3">
        <v>13.43388</v>
      </c>
      <c r="F90" s="3">
        <v>11.140370000000001</v>
      </c>
      <c r="G90" s="3">
        <v>23.134620000000002</v>
      </c>
      <c r="M90" s="3">
        <v>21.59374</v>
      </c>
      <c r="P90" s="3">
        <v>1.961122</v>
      </c>
      <c r="S90" s="3">
        <v>5.8909729999999998</v>
      </c>
      <c r="T90" s="3">
        <v>7.539841</v>
      </c>
      <c r="W90" s="3">
        <v>5.244332</v>
      </c>
      <c r="X90" s="3">
        <v>1.0376209999999999</v>
      </c>
      <c r="AB90" s="3">
        <v>4.8566209999999996</v>
      </c>
      <c r="AC90" s="3">
        <v>3.06343E-2</v>
      </c>
      <c r="AE90" s="3">
        <v>3.643116</v>
      </c>
      <c r="AF90" s="3">
        <v>17.017289999999999</v>
      </c>
      <c r="AG90" s="3">
        <v>0.94410530000000004</v>
      </c>
      <c r="AI90" s="3">
        <v>14.598789999999999</v>
      </c>
      <c r="AM90" s="3">
        <v>7.4538250000000001</v>
      </c>
      <c r="AQ90" s="3">
        <v>1.0408029999999999</v>
      </c>
      <c r="AV90" s="3">
        <v>7.7378229999999997</v>
      </c>
      <c r="AW90" s="3">
        <v>2.2307399999999999E-5</v>
      </c>
      <c r="AX90" s="3">
        <v>11.349399999999999</v>
      </c>
    </row>
    <row r="91" spans="1:50" x14ac:dyDescent="0.2">
      <c r="A91" s="3" t="s">
        <v>747</v>
      </c>
      <c r="B91" s="49">
        <v>20576</v>
      </c>
      <c r="D91" s="3">
        <v>13.4861</v>
      </c>
      <c r="F91" s="3">
        <v>11.140370000000001</v>
      </c>
      <c r="G91" s="3">
        <v>23.375209999999999</v>
      </c>
      <c r="M91" s="3">
        <v>21.528500000000001</v>
      </c>
      <c r="P91" s="3">
        <v>1.9703729999999999</v>
      </c>
      <c r="S91" s="3">
        <v>6.0000650000000002</v>
      </c>
      <c r="T91" s="3">
        <v>7.5909589999999998</v>
      </c>
      <c r="W91" s="3">
        <v>5.2341189999999997</v>
      </c>
      <c r="X91" s="3">
        <v>1.023377</v>
      </c>
      <c r="AB91" s="3">
        <v>4.8566209999999996</v>
      </c>
      <c r="AC91" s="3">
        <v>3.0978499999999999E-2</v>
      </c>
      <c r="AE91" s="3">
        <v>3.6497999999999999</v>
      </c>
      <c r="AF91" s="3">
        <v>16.944019999999998</v>
      </c>
      <c r="AG91" s="3">
        <v>1.0329980000000001</v>
      </c>
      <c r="AI91" s="3">
        <v>14.5334</v>
      </c>
      <c r="AM91" s="3">
        <v>7.5971669999999998</v>
      </c>
      <c r="AQ91" s="3">
        <v>1.0210539999999999</v>
      </c>
      <c r="AV91" s="3">
        <v>7.7769430000000002</v>
      </c>
      <c r="AW91" s="3">
        <v>2.2307399999999999E-5</v>
      </c>
      <c r="AX91" s="3">
        <v>11.391590000000001</v>
      </c>
    </row>
    <row r="92" spans="1:50" x14ac:dyDescent="0.2">
      <c r="A92" s="3" t="s">
        <v>748</v>
      </c>
      <c r="B92" s="49">
        <v>20607</v>
      </c>
      <c r="D92" s="3">
        <v>13.52266</v>
      </c>
      <c r="F92" s="3">
        <v>11.298389999999999</v>
      </c>
      <c r="G92" s="3">
        <v>23.427900000000001</v>
      </c>
      <c r="M92" s="3">
        <v>21.528500000000001</v>
      </c>
      <c r="P92" s="3">
        <v>1.9638439999999999</v>
      </c>
      <c r="S92" s="3">
        <v>6.0000650000000002</v>
      </c>
      <c r="T92" s="3">
        <v>7.5193940000000001</v>
      </c>
      <c r="W92" s="3">
        <v>5.229012</v>
      </c>
      <c r="X92" s="3">
        <v>1.0316240000000001</v>
      </c>
      <c r="AB92" s="3">
        <v>4.8898570000000001</v>
      </c>
      <c r="AC92" s="3">
        <v>3.0978499999999999E-2</v>
      </c>
      <c r="AE92" s="3">
        <v>3.636431</v>
      </c>
      <c r="AF92" s="3">
        <v>17.29205</v>
      </c>
      <c r="AG92" s="3">
        <v>1.0424180000000001</v>
      </c>
      <c r="AI92" s="3">
        <v>14.66656</v>
      </c>
      <c r="AM92" s="3">
        <v>7.5971669999999998</v>
      </c>
      <c r="AQ92" s="3">
        <v>1.022041</v>
      </c>
      <c r="AV92" s="3">
        <v>7.7858840000000002</v>
      </c>
      <c r="AW92" s="3">
        <v>2.2307399999999999E-5</v>
      </c>
      <c r="AX92" s="3">
        <v>11.47597</v>
      </c>
    </row>
    <row r="93" spans="1:50" x14ac:dyDescent="0.2">
      <c r="A93" s="3" t="s">
        <v>749</v>
      </c>
      <c r="B93" s="49">
        <v>20637</v>
      </c>
      <c r="D93" s="3">
        <v>13.540929999999999</v>
      </c>
      <c r="F93" s="3">
        <v>11.3774</v>
      </c>
      <c r="G93" s="3">
        <v>23.455120000000001</v>
      </c>
      <c r="M93" s="3">
        <v>21.59374</v>
      </c>
      <c r="P93" s="3">
        <v>1.957857</v>
      </c>
      <c r="S93" s="3">
        <v>6.0546110000000004</v>
      </c>
      <c r="T93" s="3">
        <v>7.4989470000000003</v>
      </c>
      <c r="W93" s="3">
        <v>5.2085869999999996</v>
      </c>
      <c r="X93" s="3">
        <v>1.036872</v>
      </c>
      <c r="AB93" s="3">
        <v>4.8857030000000004</v>
      </c>
      <c r="AC93" s="3">
        <v>3.166691E-2</v>
      </c>
      <c r="AE93" s="3">
        <v>3.636431</v>
      </c>
      <c r="AF93" s="3">
        <v>16.944019999999998</v>
      </c>
      <c r="AG93" s="3">
        <v>1.0464659999999999</v>
      </c>
      <c r="AI93" s="3">
        <v>14.683199999999999</v>
      </c>
      <c r="AM93" s="3">
        <v>7.6688390000000002</v>
      </c>
      <c r="AQ93" s="3">
        <v>1.0111790000000001</v>
      </c>
      <c r="AV93" s="3">
        <v>7.7713539999999997</v>
      </c>
      <c r="AW93" s="3">
        <v>2.2307399999999999E-5</v>
      </c>
      <c r="AX93" s="3">
        <v>11.56035</v>
      </c>
    </row>
    <row r="94" spans="1:50" x14ac:dyDescent="0.2">
      <c r="A94" s="3" t="s">
        <v>750</v>
      </c>
      <c r="B94" s="49">
        <v>20668</v>
      </c>
      <c r="D94" s="3">
        <v>13.5566</v>
      </c>
      <c r="F94" s="3">
        <v>11.45641</v>
      </c>
      <c r="G94" s="3">
        <v>23.535019999999999</v>
      </c>
      <c r="M94" s="3">
        <v>21.463259999999998</v>
      </c>
      <c r="P94" s="3">
        <v>1.961122</v>
      </c>
      <c r="S94" s="3">
        <v>6.1091569999999997</v>
      </c>
      <c r="T94" s="3">
        <v>7.5193940000000001</v>
      </c>
      <c r="W94" s="3">
        <v>5.2239060000000004</v>
      </c>
      <c r="X94" s="3">
        <v>1.033123</v>
      </c>
      <c r="AB94" s="3">
        <v>4.8026119999999999</v>
      </c>
      <c r="AC94" s="3">
        <v>3.166691E-2</v>
      </c>
      <c r="AE94" s="3">
        <v>3.6397729999999999</v>
      </c>
      <c r="AF94" s="3">
        <v>17.035599999999999</v>
      </c>
      <c r="AG94" s="3">
        <v>1.085523</v>
      </c>
      <c r="AI94" s="3">
        <v>14.673690000000001</v>
      </c>
      <c r="AM94" s="3">
        <v>7.5971669999999998</v>
      </c>
      <c r="AQ94" s="3">
        <v>1.0062420000000001</v>
      </c>
      <c r="AV94" s="3">
        <v>7.8015319999999999</v>
      </c>
      <c r="AW94" s="3">
        <v>2.1337510000000001E-5</v>
      </c>
      <c r="AX94" s="3">
        <v>11.51816</v>
      </c>
    </row>
    <row r="95" spans="1:50" x14ac:dyDescent="0.2">
      <c r="A95" s="3" t="s">
        <v>751</v>
      </c>
      <c r="B95" s="49">
        <v>20699</v>
      </c>
      <c r="D95" s="3">
        <v>13.59446</v>
      </c>
      <c r="F95" s="3">
        <v>11.3774</v>
      </c>
      <c r="G95" s="3">
        <v>23.575410000000002</v>
      </c>
      <c r="M95" s="3">
        <v>21.528500000000001</v>
      </c>
      <c r="P95" s="3">
        <v>1.9752700000000001</v>
      </c>
      <c r="S95" s="3">
        <v>6.1637029999999999</v>
      </c>
      <c r="T95" s="3">
        <v>7.5807349999999998</v>
      </c>
      <c r="W95" s="3">
        <v>5.2136930000000001</v>
      </c>
      <c r="X95" s="3">
        <v>1.030124</v>
      </c>
      <c r="AB95" s="3">
        <v>4.7735310000000002</v>
      </c>
      <c r="AC95" s="3">
        <v>3.166691E-2</v>
      </c>
      <c r="AE95" s="3">
        <v>3.646458</v>
      </c>
      <c r="AF95" s="3">
        <v>17.18215</v>
      </c>
      <c r="AG95" s="3">
        <v>1.1124579999999999</v>
      </c>
      <c r="AH95" s="3">
        <v>0.15659999999999999</v>
      </c>
      <c r="AI95" s="3">
        <v>14.729570000000001</v>
      </c>
      <c r="AM95" s="3">
        <v>7.5254960000000004</v>
      </c>
      <c r="AQ95" s="3">
        <v>1.025004</v>
      </c>
      <c r="AV95" s="3">
        <v>7.7702359999999997</v>
      </c>
      <c r="AW95" s="3">
        <v>2.1337510000000001E-5</v>
      </c>
      <c r="AX95" s="3">
        <v>11.56035</v>
      </c>
    </row>
    <row r="96" spans="1:50" x14ac:dyDescent="0.2">
      <c r="A96" s="3" t="s">
        <v>752</v>
      </c>
      <c r="B96" s="49">
        <v>20729</v>
      </c>
      <c r="D96" s="3">
        <v>13.65713</v>
      </c>
      <c r="F96" s="3">
        <v>11.45641</v>
      </c>
      <c r="G96" s="3">
        <v>23.601759999999999</v>
      </c>
      <c r="M96" s="3">
        <v>21.59374</v>
      </c>
      <c r="P96" s="3">
        <v>1.992683</v>
      </c>
      <c r="S96" s="3">
        <v>6.1637029999999999</v>
      </c>
      <c r="T96" s="3">
        <v>7.5654000000000003</v>
      </c>
      <c r="W96" s="3">
        <v>5.244332</v>
      </c>
      <c r="X96" s="3">
        <v>1.0271250000000001</v>
      </c>
      <c r="AB96" s="3">
        <v>4.7943030000000002</v>
      </c>
      <c r="AC96" s="3">
        <v>3.166691E-2</v>
      </c>
      <c r="AE96" s="3">
        <v>3.6397729999999999</v>
      </c>
      <c r="AF96" s="3">
        <v>17.27374</v>
      </c>
      <c r="AG96" s="3">
        <v>1.065312</v>
      </c>
      <c r="AH96" s="3">
        <v>0.1701</v>
      </c>
      <c r="AI96" s="3">
        <v>14.756919999999999</v>
      </c>
      <c r="AM96" s="3">
        <v>7.5254960000000004</v>
      </c>
      <c r="AQ96" s="3">
        <v>1.029941</v>
      </c>
      <c r="AV96" s="3">
        <v>7.778619</v>
      </c>
      <c r="AW96" s="3">
        <v>2.149916E-5</v>
      </c>
      <c r="AX96" s="3">
        <v>11.602539999999999</v>
      </c>
    </row>
    <row r="97" spans="1:51" x14ac:dyDescent="0.2">
      <c r="A97" s="3" t="s">
        <v>753</v>
      </c>
      <c r="B97" s="49">
        <v>20760</v>
      </c>
      <c r="D97" s="3">
        <v>13.67801</v>
      </c>
      <c r="F97" s="3">
        <v>11.53542</v>
      </c>
      <c r="G97" s="3">
        <v>23.668489999999998</v>
      </c>
      <c r="M97" s="3">
        <v>21.65897</v>
      </c>
      <c r="P97" s="3">
        <v>2.020435</v>
      </c>
      <c r="S97" s="3">
        <v>6.4364330000000001</v>
      </c>
      <c r="T97" s="3">
        <v>7.5756240000000004</v>
      </c>
      <c r="W97" s="3">
        <v>5.2647579999999996</v>
      </c>
      <c r="X97" s="3">
        <v>1.030124</v>
      </c>
      <c r="AB97" s="3">
        <v>4.869084</v>
      </c>
      <c r="AC97" s="3">
        <v>3.166691E-2</v>
      </c>
      <c r="AE97" s="3">
        <v>3.6497999999999999</v>
      </c>
      <c r="AF97" s="3">
        <v>16.980650000000001</v>
      </c>
      <c r="AG97" s="3">
        <v>1.073401</v>
      </c>
      <c r="AH97" s="3">
        <v>0.18429999999999999</v>
      </c>
      <c r="AI97" s="3">
        <v>15.020860000000001</v>
      </c>
      <c r="AM97" s="3">
        <v>7.5254960000000004</v>
      </c>
      <c r="AQ97" s="3">
        <v>1.0467280000000001</v>
      </c>
      <c r="AV97" s="3">
        <v>7.8831239999999996</v>
      </c>
      <c r="AW97" s="3">
        <v>2.2145750000000001E-5</v>
      </c>
      <c r="AX97" s="3">
        <v>11.602539999999999</v>
      </c>
    </row>
    <row r="98" spans="1:51" x14ac:dyDescent="0.2">
      <c r="A98" s="3" t="s">
        <v>754</v>
      </c>
      <c r="B98" s="49">
        <v>20790</v>
      </c>
      <c r="D98" s="3">
        <v>13.76679</v>
      </c>
      <c r="F98" s="3">
        <v>11.53542</v>
      </c>
      <c r="G98" s="3">
        <v>23.69483</v>
      </c>
      <c r="M98" s="3">
        <v>21.724209999999999</v>
      </c>
      <c r="P98" s="3">
        <v>2.056349</v>
      </c>
      <c r="S98" s="3">
        <v>6.4364330000000001</v>
      </c>
      <c r="T98" s="3">
        <v>7.5705109999999998</v>
      </c>
      <c r="W98" s="3">
        <v>5.2800770000000004</v>
      </c>
      <c r="X98" s="3">
        <v>1.033123</v>
      </c>
      <c r="AB98" s="3">
        <v>4.869084</v>
      </c>
      <c r="AC98" s="3">
        <v>3.166691E-2</v>
      </c>
      <c r="AE98" s="3">
        <v>3.6698539999999999</v>
      </c>
      <c r="AF98" s="3">
        <v>17.163830000000001</v>
      </c>
      <c r="AG98" s="3">
        <v>1.160936</v>
      </c>
      <c r="AH98" s="3">
        <v>0.21579999999999999</v>
      </c>
      <c r="AI98" s="3">
        <v>15.091010000000001</v>
      </c>
      <c r="AM98" s="3">
        <v>7.5971669999999998</v>
      </c>
      <c r="AQ98" s="3">
        <v>1.045741</v>
      </c>
      <c r="AV98" s="3">
        <v>7.9429210000000001</v>
      </c>
      <c r="AW98" s="3">
        <v>2.2469050000000001E-5</v>
      </c>
      <c r="AX98" s="3">
        <v>11.644729999999999</v>
      </c>
    </row>
    <row r="99" spans="1:51" x14ac:dyDescent="0.2">
      <c r="A99" s="3" t="s">
        <v>755</v>
      </c>
      <c r="B99" s="49">
        <v>20821</v>
      </c>
      <c r="D99" s="3">
        <v>13.822929999999999</v>
      </c>
      <c r="F99" s="3">
        <v>11.53542</v>
      </c>
      <c r="G99" s="3">
        <v>23.65532</v>
      </c>
      <c r="M99" s="3">
        <v>21.789449999999999</v>
      </c>
      <c r="P99" s="3">
        <v>2.0938949999999998</v>
      </c>
      <c r="S99" s="3">
        <v>6.5455259999999997</v>
      </c>
      <c r="T99" s="3">
        <v>7.5909589999999998</v>
      </c>
      <c r="W99" s="3">
        <v>5.3311419999999998</v>
      </c>
      <c r="X99" s="3">
        <v>1.039871</v>
      </c>
      <c r="AA99" s="3">
        <v>1.4713879999999999</v>
      </c>
      <c r="AB99" s="3">
        <v>4.9064750000000004</v>
      </c>
      <c r="AC99" s="3">
        <v>3.166691E-2</v>
      </c>
      <c r="AE99" s="3">
        <v>3.6832229999999999</v>
      </c>
      <c r="AF99" s="3">
        <v>17.347010000000001</v>
      </c>
      <c r="AG99" s="3">
        <v>1.2363550000000001</v>
      </c>
      <c r="AH99" s="3">
        <v>0.2742</v>
      </c>
      <c r="AI99" s="3">
        <v>15.14213</v>
      </c>
      <c r="AM99" s="3">
        <v>7.5971669999999998</v>
      </c>
      <c r="AQ99" s="3">
        <v>1.044753</v>
      </c>
      <c r="AV99" s="3">
        <v>8.023396</v>
      </c>
      <c r="AW99" s="3">
        <v>2.26307E-5</v>
      </c>
      <c r="AX99" s="3">
        <v>11.644729999999999</v>
      </c>
      <c r="AY99" s="3">
        <v>1.2600849999999999</v>
      </c>
    </row>
    <row r="100" spans="1:51" x14ac:dyDescent="0.2">
      <c r="A100" s="3" t="s">
        <v>756</v>
      </c>
      <c r="B100" s="49">
        <v>20852</v>
      </c>
      <c r="D100" s="3">
        <v>13.85426</v>
      </c>
      <c r="F100" s="3">
        <v>11.53542</v>
      </c>
      <c r="G100" s="3">
        <v>23.614930000000001</v>
      </c>
      <c r="M100" s="3">
        <v>21.789449999999999</v>
      </c>
      <c r="P100" s="3">
        <v>2.1053220000000001</v>
      </c>
      <c r="S100" s="3">
        <v>6.5455259999999997</v>
      </c>
      <c r="T100" s="3">
        <v>7.60602</v>
      </c>
      <c r="W100" s="3">
        <v>5.3260350000000001</v>
      </c>
      <c r="X100" s="3">
        <v>1.035372</v>
      </c>
      <c r="AA100" s="3">
        <v>1.4713879999999999</v>
      </c>
      <c r="AB100" s="3">
        <v>4.939711</v>
      </c>
      <c r="AC100" s="3">
        <v>3.166691E-2</v>
      </c>
      <c r="AE100" s="3">
        <v>3.6698539999999999</v>
      </c>
      <c r="AF100" s="3">
        <v>17.310369999999999</v>
      </c>
      <c r="AG100" s="3">
        <v>1.259255</v>
      </c>
      <c r="AH100" s="3">
        <v>0.30049999999999999</v>
      </c>
      <c r="AI100" s="3">
        <v>15.225350000000001</v>
      </c>
      <c r="AM100" s="3">
        <v>7.5971669999999998</v>
      </c>
      <c r="AQ100" s="3">
        <v>1.0496909999999999</v>
      </c>
      <c r="AV100" s="3">
        <v>8.0373660000000005</v>
      </c>
      <c r="AW100" s="3">
        <v>2.3115639999999999E-5</v>
      </c>
      <c r="AX100" s="3">
        <v>11.686920000000001</v>
      </c>
      <c r="AY100" s="3">
        <v>1.2600849999999999</v>
      </c>
    </row>
    <row r="101" spans="1:51" x14ac:dyDescent="0.2">
      <c r="A101" s="3" t="s">
        <v>757</v>
      </c>
      <c r="B101" s="49">
        <v>20880</v>
      </c>
      <c r="D101" s="3">
        <v>13.828150000000001</v>
      </c>
      <c r="F101" s="3">
        <v>11.53542</v>
      </c>
      <c r="G101" s="3">
        <v>23.548190000000002</v>
      </c>
      <c r="M101" s="3">
        <v>21.65897</v>
      </c>
      <c r="P101" s="3">
        <v>2.116206</v>
      </c>
      <c r="S101" s="3">
        <v>6.5455259999999997</v>
      </c>
      <c r="T101" s="3">
        <v>7.5608360000000001</v>
      </c>
      <c r="W101" s="3">
        <v>5.315823</v>
      </c>
      <c r="X101" s="3">
        <v>1.04287</v>
      </c>
      <c r="AA101" s="3">
        <v>1.4713879999999999</v>
      </c>
      <c r="AB101" s="3">
        <v>4.9978740000000004</v>
      </c>
      <c r="AC101" s="3">
        <v>3.2011119999999997E-2</v>
      </c>
      <c r="AE101" s="3">
        <v>3.6598269999999999</v>
      </c>
      <c r="AF101" s="3">
        <v>17.36533</v>
      </c>
      <c r="AG101" s="3">
        <v>1.2969679999999999</v>
      </c>
      <c r="AH101" s="3">
        <v>0.32040000000000002</v>
      </c>
      <c r="AI101" s="3">
        <v>15.18017</v>
      </c>
      <c r="AM101" s="3">
        <v>7.6688390000000002</v>
      </c>
      <c r="AQ101" s="3">
        <v>1.0467280000000001</v>
      </c>
      <c r="AV101" s="3">
        <v>8.0178069999999995</v>
      </c>
      <c r="AW101" s="3">
        <v>2.3277290000000001E-5</v>
      </c>
      <c r="AX101" s="3">
        <v>11.72912</v>
      </c>
      <c r="AY101" s="3">
        <v>1.2646010000000001</v>
      </c>
    </row>
    <row r="102" spans="1:51" x14ac:dyDescent="0.2">
      <c r="A102" s="3" t="s">
        <v>758</v>
      </c>
      <c r="B102" s="49">
        <v>20911</v>
      </c>
      <c r="D102" s="3">
        <v>13.85557</v>
      </c>
      <c r="F102" s="3">
        <v>11.61443</v>
      </c>
      <c r="G102" s="3">
        <v>23.6281</v>
      </c>
      <c r="M102" s="3">
        <v>21.789449999999999</v>
      </c>
      <c r="P102" s="3">
        <v>2.1254559999999998</v>
      </c>
      <c r="S102" s="3">
        <v>6.6000709999999998</v>
      </c>
      <c r="T102" s="3">
        <v>7.5533049999999999</v>
      </c>
      <c r="W102" s="3">
        <v>5.3362480000000003</v>
      </c>
      <c r="X102" s="3">
        <v>1.049617</v>
      </c>
      <c r="AA102" s="3">
        <v>1.500524</v>
      </c>
      <c r="AB102" s="3">
        <v>5.006183</v>
      </c>
      <c r="AC102" s="3">
        <v>3.235532E-2</v>
      </c>
      <c r="AE102" s="3">
        <v>3.6531419999999999</v>
      </c>
      <c r="AF102" s="3">
        <v>17.47523</v>
      </c>
      <c r="AG102" s="3">
        <v>1.3710359999999999</v>
      </c>
      <c r="AH102" s="3">
        <v>0.33810000000000001</v>
      </c>
      <c r="AI102" s="3">
        <v>15.21941</v>
      </c>
      <c r="AM102" s="3">
        <v>7.7405099999999996</v>
      </c>
      <c r="AQ102" s="3">
        <v>1.0388280000000001</v>
      </c>
      <c r="AV102" s="3">
        <v>8.0217189999999992</v>
      </c>
      <c r="AW102" s="3">
        <v>2.376223E-5</v>
      </c>
      <c r="AX102" s="3">
        <v>11.77131</v>
      </c>
      <c r="AY102" s="3">
        <v>1.2646010000000001</v>
      </c>
    </row>
    <row r="103" spans="1:51" x14ac:dyDescent="0.2">
      <c r="A103" s="3" t="s">
        <v>759</v>
      </c>
      <c r="B103" s="49">
        <v>20941</v>
      </c>
      <c r="D103" s="3">
        <v>13.87515</v>
      </c>
      <c r="F103" s="3">
        <v>11.61443</v>
      </c>
      <c r="G103" s="3">
        <v>23.77561</v>
      </c>
      <c r="M103" s="3">
        <v>21.854690000000002</v>
      </c>
      <c r="P103" s="3">
        <v>2.130897</v>
      </c>
      <c r="S103" s="3">
        <v>6.6546180000000001</v>
      </c>
      <c r="T103" s="3">
        <v>7.5382439999999997</v>
      </c>
      <c r="W103" s="3">
        <v>5.3413550000000001</v>
      </c>
      <c r="X103" s="3">
        <v>1.0473680000000001</v>
      </c>
      <c r="AA103" s="3">
        <v>1.51145</v>
      </c>
      <c r="AB103" s="3">
        <v>5.03111</v>
      </c>
      <c r="AC103" s="3">
        <v>3.235532E-2</v>
      </c>
      <c r="AE103" s="3">
        <v>3.6531419999999999</v>
      </c>
      <c r="AF103" s="3">
        <v>17.621770000000001</v>
      </c>
      <c r="AG103" s="3">
        <v>1.3387150000000001</v>
      </c>
      <c r="AH103" s="3">
        <v>0.35239999999999999</v>
      </c>
      <c r="AI103" s="3">
        <v>15.23368</v>
      </c>
      <c r="AM103" s="3">
        <v>7.7405099999999996</v>
      </c>
      <c r="AQ103" s="3">
        <v>1.0210539999999999</v>
      </c>
      <c r="AV103" s="3">
        <v>8.0507779999999993</v>
      </c>
      <c r="AW103" s="3">
        <v>2.408553E-5</v>
      </c>
      <c r="AX103" s="3">
        <v>11.813499999999999</v>
      </c>
      <c r="AY103" s="3">
        <v>1.269118</v>
      </c>
    </row>
    <row r="104" spans="1:51" x14ac:dyDescent="0.2">
      <c r="A104" s="3" t="s">
        <v>760</v>
      </c>
      <c r="B104" s="49">
        <v>20972</v>
      </c>
      <c r="D104" s="3">
        <v>13.89865</v>
      </c>
      <c r="F104" s="3">
        <v>11.693440000000001</v>
      </c>
      <c r="G104" s="3">
        <v>23.788789999999999</v>
      </c>
      <c r="M104" s="3">
        <v>21.98516</v>
      </c>
      <c r="P104" s="3">
        <v>2.1254559999999998</v>
      </c>
      <c r="S104" s="3">
        <v>6.6546180000000001</v>
      </c>
      <c r="T104" s="3">
        <v>7.5834279999999996</v>
      </c>
      <c r="W104" s="3">
        <v>5.397526</v>
      </c>
      <c r="X104" s="3">
        <v>1.0541149999999999</v>
      </c>
      <c r="AA104" s="3">
        <v>1.540586</v>
      </c>
      <c r="AB104" s="3">
        <v>5.122509</v>
      </c>
      <c r="AC104" s="3">
        <v>3.235532E-2</v>
      </c>
      <c r="AE104" s="3">
        <v>3.6531419999999999</v>
      </c>
      <c r="AF104" s="3">
        <v>17.56682</v>
      </c>
      <c r="AG104" s="3">
        <v>1.2861899999999999</v>
      </c>
      <c r="AH104" s="3">
        <v>0.36480000000000001</v>
      </c>
      <c r="AI104" s="3">
        <v>15.364459999999999</v>
      </c>
      <c r="AM104" s="3">
        <v>7.7405099999999996</v>
      </c>
      <c r="AQ104" s="3">
        <v>1.0210539999999999</v>
      </c>
      <c r="AV104" s="3">
        <v>8.0820740000000004</v>
      </c>
      <c r="AW104" s="3">
        <v>2.4570469999999999E-5</v>
      </c>
      <c r="AX104" s="3">
        <v>11.855689999999999</v>
      </c>
      <c r="AY104" s="3">
        <v>1.2736339999999999</v>
      </c>
    </row>
    <row r="105" spans="1:51" x14ac:dyDescent="0.2">
      <c r="A105" s="3" t="s">
        <v>761</v>
      </c>
      <c r="B105" s="49">
        <v>21002</v>
      </c>
      <c r="D105" s="3">
        <v>14.01092</v>
      </c>
      <c r="F105" s="3">
        <v>11.693440000000001</v>
      </c>
      <c r="G105" s="3">
        <v>23.84235</v>
      </c>
      <c r="M105" s="3">
        <v>22.180879999999998</v>
      </c>
      <c r="P105" s="3">
        <v>2.1586500000000002</v>
      </c>
      <c r="S105" s="3">
        <v>6.7637099999999997</v>
      </c>
      <c r="T105" s="3">
        <v>7.6963889999999999</v>
      </c>
      <c r="W105" s="3">
        <v>5.4434839999999998</v>
      </c>
      <c r="X105" s="3">
        <v>1.0631120000000001</v>
      </c>
      <c r="AA105" s="3">
        <v>1.540586</v>
      </c>
      <c r="AB105" s="3">
        <v>5.2554540000000003</v>
      </c>
      <c r="AC105" s="3">
        <v>3.2699529999999997E-2</v>
      </c>
      <c r="AE105" s="3">
        <v>3.6731959999999999</v>
      </c>
      <c r="AF105" s="3">
        <v>17.768319999999999</v>
      </c>
      <c r="AG105" s="3">
        <v>1.2646409999999999</v>
      </c>
      <c r="AH105" s="3">
        <v>0.38669999999999999</v>
      </c>
      <c r="AI105" s="3">
        <v>15.47265</v>
      </c>
      <c r="AM105" s="3">
        <v>7.7405099999999996</v>
      </c>
      <c r="AQ105" s="3">
        <v>1.0269790000000001</v>
      </c>
      <c r="AV105" s="3">
        <v>8.1379590000000004</v>
      </c>
      <c r="AW105" s="3">
        <v>2.5055410000000001E-5</v>
      </c>
      <c r="AX105" s="3">
        <v>11.94007</v>
      </c>
      <c r="AY105" s="3">
        <v>1.278151</v>
      </c>
    </row>
    <row r="106" spans="1:51" x14ac:dyDescent="0.2">
      <c r="A106" s="3" t="s">
        <v>762</v>
      </c>
      <c r="B106" s="49">
        <v>21033</v>
      </c>
      <c r="D106" s="3">
        <v>13.97437</v>
      </c>
      <c r="F106" s="3">
        <v>11.772449999999999</v>
      </c>
      <c r="G106" s="3">
        <v>23.975809999999999</v>
      </c>
      <c r="M106" s="3">
        <v>22.115639999999999</v>
      </c>
      <c r="P106" s="3">
        <v>2.1891219999999998</v>
      </c>
      <c r="S106" s="3">
        <v>6.8182559999999999</v>
      </c>
      <c r="T106" s="3">
        <v>7.7867569999999997</v>
      </c>
      <c r="W106" s="3">
        <v>5.4332710000000004</v>
      </c>
      <c r="X106" s="3">
        <v>1.0571140000000001</v>
      </c>
      <c r="AA106" s="3">
        <v>1.5551550000000001</v>
      </c>
      <c r="AB106" s="3">
        <v>5.2305270000000004</v>
      </c>
      <c r="AC106" s="3">
        <v>3.2699529999999997E-2</v>
      </c>
      <c r="AE106" s="3">
        <v>3.676539</v>
      </c>
      <c r="AF106" s="3">
        <v>17.896540000000002</v>
      </c>
      <c r="AG106" s="3">
        <v>1.283501</v>
      </c>
      <c r="AH106" s="3">
        <v>0.49409999999999998</v>
      </c>
      <c r="AI106" s="3">
        <v>15.671200000000001</v>
      </c>
      <c r="AM106" s="3">
        <v>7.7405099999999996</v>
      </c>
      <c r="AQ106" s="3">
        <v>1.042778</v>
      </c>
      <c r="AV106" s="3">
        <v>8.1144879999999997</v>
      </c>
      <c r="AW106" s="3">
        <v>2.5378709999999999E-5</v>
      </c>
      <c r="AX106" s="3">
        <v>11.94007</v>
      </c>
      <c r="AY106" s="3">
        <v>1.3007329999999999</v>
      </c>
    </row>
    <row r="107" spans="1:51" x14ac:dyDescent="0.2">
      <c r="A107" s="3" t="s">
        <v>763</v>
      </c>
      <c r="B107" s="49">
        <v>21064</v>
      </c>
      <c r="D107" s="3">
        <v>14.03965</v>
      </c>
      <c r="F107" s="3">
        <v>11.851459999999999</v>
      </c>
      <c r="G107" s="3">
        <v>24.02938</v>
      </c>
      <c r="M107" s="3">
        <v>22.0504</v>
      </c>
      <c r="P107" s="3">
        <v>2.2201379999999999</v>
      </c>
      <c r="S107" s="3">
        <v>6.8728020000000001</v>
      </c>
      <c r="T107" s="3">
        <v>7.8846559999999997</v>
      </c>
      <c r="W107" s="3">
        <v>5.4179519999999997</v>
      </c>
      <c r="X107" s="3">
        <v>1.066111</v>
      </c>
      <c r="AA107" s="3">
        <v>1.5660810000000001</v>
      </c>
      <c r="AB107" s="3">
        <v>5.2180629999999999</v>
      </c>
      <c r="AC107" s="3">
        <v>3.2699529999999997E-2</v>
      </c>
      <c r="AE107" s="3">
        <v>3.686566</v>
      </c>
      <c r="AF107" s="3">
        <v>17.804950000000002</v>
      </c>
      <c r="AG107" s="3">
        <v>1.2269350000000001</v>
      </c>
      <c r="AH107" s="3">
        <v>0.75609999999999999</v>
      </c>
      <c r="AI107" s="3">
        <v>15.642670000000001</v>
      </c>
      <c r="AM107" s="3">
        <v>7.7405099999999996</v>
      </c>
      <c r="AQ107" s="3">
        <v>1.050678</v>
      </c>
      <c r="AV107" s="3">
        <v>8.1659009999999999</v>
      </c>
      <c r="AW107" s="3">
        <v>2.570201E-5</v>
      </c>
      <c r="AX107" s="3">
        <v>11.94007</v>
      </c>
      <c r="AY107" s="3">
        <v>1.309766</v>
      </c>
    </row>
    <row r="108" spans="1:51" x14ac:dyDescent="0.2">
      <c r="A108" s="3" t="s">
        <v>764</v>
      </c>
      <c r="B108" s="49">
        <v>21094</v>
      </c>
      <c r="D108" s="3">
        <v>14.05401</v>
      </c>
      <c r="F108" s="3">
        <v>11.851459999999999</v>
      </c>
      <c r="G108" s="3">
        <v>24.109279999999998</v>
      </c>
      <c r="M108" s="3">
        <v>22.115639999999999</v>
      </c>
      <c r="P108" s="3">
        <v>2.2669350000000001</v>
      </c>
      <c r="S108" s="3">
        <v>6.9273480000000003</v>
      </c>
      <c r="T108" s="3">
        <v>8.0051480000000002</v>
      </c>
      <c r="W108" s="3">
        <v>5.4690159999999999</v>
      </c>
      <c r="X108" s="3">
        <v>1.0638620000000001</v>
      </c>
      <c r="AA108" s="3">
        <v>1.5551550000000001</v>
      </c>
      <c r="AB108" s="3">
        <v>5.3053080000000001</v>
      </c>
      <c r="AC108" s="3">
        <v>3.2699529999999997E-2</v>
      </c>
      <c r="AE108" s="3">
        <v>3.70662</v>
      </c>
      <c r="AF108" s="3">
        <v>17.75</v>
      </c>
      <c r="AG108" s="3">
        <v>1.1703619999999999</v>
      </c>
      <c r="AH108" s="3">
        <v>1.1642999999999999</v>
      </c>
      <c r="AI108" s="3">
        <v>15.593920000000001</v>
      </c>
      <c r="AM108" s="3">
        <v>7.7405099999999996</v>
      </c>
      <c r="AQ108" s="3">
        <v>1.056603</v>
      </c>
      <c r="AV108" s="3">
        <v>8.2279339999999994</v>
      </c>
      <c r="AW108" s="3">
        <v>2.5863650000000001E-5</v>
      </c>
      <c r="AX108" s="3">
        <v>11.94007</v>
      </c>
      <c r="AY108" s="3">
        <v>1.309766</v>
      </c>
    </row>
    <row r="109" spans="1:51" x14ac:dyDescent="0.2">
      <c r="A109" s="3" t="s">
        <v>765</v>
      </c>
      <c r="B109" s="49">
        <v>21125</v>
      </c>
      <c r="D109" s="3">
        <v>14.140169999999999</v>
      </c>
      <c r="F109" s="3">
        <v>11.851459999999999</v>
      </c>
      <c r="G109" s="3">
        <v>24.176020000000001</v>
      </c>
      <c r="M109" s="3">
        <v>22.180879999999998</v>
      </c>
      <c r="P109" s="3">
        <v>2.303938</v>
      </c>
      <c r="S109" s="3">
        <v>6.9273480000000003</v>
      </c>
      <c r="T109" s="3">
        <v>8.1934159999999991</v>
      </c>
      <c r="W109" s="3">
        <v>5.4996549999999997</v>
      </c>
      <c r="X109" s="3">
        <v>1.0646119999999999</v>
      </c>
      <c r="AA109" s="3">
        <v>1.5660810000000001</v>
      </c>
      <c r="AB109" s="3">
        <v>5.2928439999999997</v>
      </c>
      <c r="AC109" s="3">
        <v>3.2699529999999997E-2</v>
      </c>
      <c r="AE109" s="3">
        <v>3.7266729999999999</v>
      </c>
      <c r="AF109" s="3">
        <v>17.511869999999998</v>
      </c>
      <c r="AG109" s="3">
        <v>1.1393930000000001</v>
      </c>
      <c r="AH109" s="3">
        <v>1.6577999999999999</v>
      </c>
      <c r="AI109" s="3">
        <v>15.62959</v>
      </c>
      <c r="AM109" s="3">
        <v>7.7405099999999996</v>
      </c>
      <c r="AQ109" s="3">
        <v>1.0743780000000001</v>
      </c>
      <c r="AV109" s="3">
        <v>8.2296099999999992</v>
      </c>
      <c r="AW109" s="3">
        <v>2.570201E-5</v>
      </c>
      <c r="AX109" s="3">
        <v>11.98226</v>
      </c>
      <c r="AY109" s="3">
        <v>1.3007329999999999</v>
      </c>
    </row>
    <row r="110" spans="1:51" x14ac:dyDescent="0.2">
      <c r="A110" s="3" t="s">
        <v>766</v>
      </c>
      <c r="B110" s="49">
        <v>21155</v>
      </c>
      <c r="D110" s="3">
        <v>14.1715</v>
      </c>
      <c r="F110" s="3">
        <v>11.772449999999999</v>
      </c>
      <c r="G110" s="3">
        <v>24.176020000000001</v>
      </c>
      <c r="M110" s="3">
        <v>22.180879999999998</v>
      </c>
      <c r="P110" s="3">
        <v>2.3284250000000002</v>
      </c>
      <c r="S110" s="3">
        <v>6.9818939999999996</v>
      </c>
      <c r="T110" s="3">
        <v>8.3666219999999996</v>
      </c>
      <c r="W110" s="3">
        <v>5.5251869999999998</v>
      </c>
      <c r="X110" s="3">
        <v>1.0638620000000001</v>
      </c>
      <c r="AA110" s="3">
        <v>1.5551550000000001</v>
      </c>
      <c r="AB110" s="3">
        <v>5.2886899999999999</v>
      </c>
      <c r="AC110" s="3">
        <v>3.2699529999999997E-2</v>
      </c>
      <c r="AE110" s="3">
        <v>3.7500689999999999</v>
      </c>
      <c r="AF110" s="3">
        <v>17.47523</v>
      </c>
      <c r="AG110" s="3">
        <v>1.1353519999999999</v>
      </c>
      <c r="AH110" s="3">
        <v>1.9598</v>
      </c>
      <c r="AI110" s="3">
        <v>15.649800000000001</v>
      </c>
      <c r="AM110" s="3">
        <v>7.7405099999999996</v>
      </c>
      <c r="AQ110" s="3">
        <v>1.0605530000000001</v>
      </c>
      <c r="AV110" s="3">
        <v>8.2486110000000004</v>
      </c>
      <c r="AW110" s="3">
        <v>2.5540360000000001E-5</v>
      </c>
      <c r="AX110" s="3">
        <v>11.98226</v>
      </c>
      <c r="AY110" s="3">
        <v>1.3007329999999999</v>
      </c>
    </row>
    <row r="111" spans="1:51" x14ac:dyDescent="0.2">
      <c r="A111" s="3" t="s">
        <v>8</v>
      </c>
      <c r="B111" s="49">
        <v>21186</v>
      </c>
      <c r="D111" s="3">
        <v>14.189780000000001</v>
      </c>
      <c r="F111" s="3">
        <v>11.851459999999999</v>
      </c>
      <c r="G111" s="3">
        <v>24.109279999999998</v>
      </c>
      <c r="M111" s="3">
        <v>22.37659</v>
      </c>
      <c r="P111" s="3">
        <v>2.3447499999999999</v>
      </c>
      <c r="S111" s="3">
        <v>7.0364399999999998</v>
      </c>
      <c r="T111" s="3">
        <v>8.6527890000000003</v>
      </c>
      <c r="W111" s="3">
        <v>5.5200810000000002</v>
      </c>
      <c r="X111" s="3">
        <v>1.0668610000000001</v>
      </c>
      <c r="AA111" s="3">
        <v>1.5260180000000001</v>
      </c>
      <c r="AB111" s="3">
        <v>5.4507159999999999</v>
      </c>
      <c r="AC111" s="3">
        <v>3.2699529999999997E-2</v>
      </c>
      <c r="AE111" s="3">
        <v>3.7600959999999999</v>
      </c>
      <c r="AF111" s="3">
        <v>17.511869999999998</v>
      </c>
      <c r="AG111" s="3">
        <v>1.1542049999999999</v>
      </c>
      <c r="AH111" s="3">
        <v>2.1616</v>
      </c>
      <c r="AI111" s="3">
        <v>15.58916</v>
      </c>
      <c r="AM111" s="3">
        <v>7.8121809999999998</v>
      </c>
      <c r="AQ111" s="3">
        <v>1.0496909999999999</v>
      </c>
      <c r="AV111" s="3">
        <v>8.3452920000000006</v>
      </c>
      <c r="AW111" s="3">
        <v>2.5378709999999999E-5</v>
      </c>
      <c r="AX111" s="3">
        <v>12.06664</v>
      </c>
      <c r="AY111" s="3">
        <v>1.309766</v>
      </c>
    </row>
    <row r="112" spans="1:51" x14ac:dyDescent="0.2">
      <c r="A112" s="3" t="s">
        <v>9</v>
      </c>
      <c r="B112" s="49">
        <v>21217</v>
      </c>
      <c r="D112" s="3">
        <v>14.140169999999999</v>
      </c>
      <c r="F112" s="3">
        <v>11.851459999999999</v>
      </c>
      <c r="G112" s="3">
        <v>24.109279999999998</v>
      </c>
      <c r="M112" s="3">
        <v>22.44183</v>
      </c>
      <c r="P112" s="3">
        <v>2.3469259999999998</v>
      </c>
      <c r="S112" s="3">
        <v>7.0364399999999998</v>
      </c>
      <c r="T112" s="3">
        <v>8.7506889999999995</v>
      </c>
      <c r="W112" s="3">
        <v>5.494548</v>
      </c>
      <c r="X112" s="3">
        <v>1.0593630000000001</v>
      </c>
      <c r="AA112" s="3">
        <v>1.51145</v>
      </c>
      <c r="AB112" s="3">
        <v>5.4797969999999996</v>
      </c>
      <c r="AC112" s="3">
        <v>3.2699529999999997E-2</v>
      </c>
      <c r="AE112" s="3">
        <v>3.753412</v>
      </c>
      <c r="AF112" s="3">
        <v>17.36533</v>
      </c>
      <c r="AG112" s="3">
        <v>1.186526</v>
      </c>
      <c r="AH112" s="3">
        <v>2.3087</v>
      </c>
      <c r="AI112" s="3">
        <v>15.50475</v>
      </c>
      <c r="AM112" s="3">
        <v>7.8121809999999998</v>
      </c>
      <c r="AQ112" s="3">
        <v>1.053641</v>
      </c>
      <c r="AV112" s="3">
        <v>8.440296</v>
      </c>
      <c r="AW112" s="3">
        <v>2.5863650000000001E-5</v>
      </c>
      <c r="AX112" s="3">
        <v>12.06664</v>
      </c>
      <c r="AY112" s="3">
        <v>1.309766</v>
      </c>
    </row>
    <row r="113" spans="1:51" x14ac:dyDescent="0.2">
      <c r="A113" s="3" t="s">
        <v>10</v>
      </c>
      <c r="B113" s="49">
        <v>21245</v>
      </c>
      <c r="D113" s="3">
        <v>14.0997</v>
      </c>
      <c r="F113" s="3">
        <v>11.93047</v>
      </c>
      <c r="G113" s="3">
        <v>24.109279999999998</v>
      </c>
      <c r="M113" s="3">
        <v>22.44183</v>
      </c>
      <c r="P113" s="3">
        <v>2.3926349999999998</v>
      </c>
      <c r="S113" s="3">
        <v>7.0364399999999998</v>
      </c>
      <c r="T113" s="3">
        <v>8.8636490000000006</v>
      </c>
      <c r="W113" s="3">
        <v>5.5354000000000001</v>
      </c>
      <c r="X113" s="3">
        <v>1.0631120000000001</v>
      </c>
      <c r="AA113" s="3">
        <v>1.51145</v>
      </c>
      <c r="AB113" s="3">
        <v>5.6958320000000002</v>
      </c>
      <c r="AC113" s="3">
        <v>3.2699529999999997E-2</v>
      </c>
      <c r="AE113" s="3">
        <v>3.7567539999999999</v>
      </c>
      <c r="AF113" s="3">
        <v>17.29205</v>
      </c>
      <c r="AG113" s="3">
        <v>1.1717139999999999</v>
      </c>
      <c r="AH113" s="3">
        <v>2.5924</v>
      </c>
      <c r="AI113" s="3">
        <v>15.38348</v>
      </c>
      <c r="AM113" s="3">
        <v>7.8838520000000001</v>
      </c>
      <c r="AQ113" s="3">
        <v>1.0684530000000001</v>
      </c>
      <c r="AV113" s="3">
        <v>8.4559440000000006</v>
      </c>
      <c r="AW113" s="3">
        <v>2.5863650000000001E-5</v>
      </c>
      <c r="AX113" s="3">
        <v>12.15103</v>
      </c>
      <c r="AY113" s="3">
        <v>1.314282</v>
      </c>
    </row>
    <row r="114" spans="1:51" x14ac:dyDescent="0.2">
      <c r="A114" s="3" t="s">
        <v>11</v>
      </c>
      <c r="B114" s="49">
        <v>21276</v>
      </c>
      <c r="D114" s="3">
        <v>14.140169999999999</v>
      </c>
      <c r="F114" s="3">
        <v>11.93047</v>
      </c>
      <c r="G114" s="3">
        <v>24.136500000000002</v>
      </c>
      <c r="M114" s="3">
        <v>22.44183</v>
      </c>
      <c r="P114" s="3">
        <v>2.443784</v>
      </c>
      <c r="S114" s="3">
        <v>7.1054240000000002</v>
      </c>
      <c r="T114" s="3">
        <v>8.9389559999999992</v>
      </c>
      <c r="W114" s="3">
        <v>5.5966769999999997</v>
      </c>
      <c r="X114" s="3">
        <v>1.0601130000000001</v>
      </c>
      <c r="AA114" s="3">
        <v>1.5260180000000001</v>
      </c>
      <c r="AB114" s="3">
        <v>5.7664590000000002</v>
      </c>
      <c r="AC114" s="3">
        <v>3.2699529999999997E-2</v>
      </c>
      <c r="AE114" s="3">
        <v>3.7901769999999999</v>
      </c>
      <c r="AF114" s="3">
        <v>17.36533</v>
      </c>
      <c r="AG114" s="3">
        <v>1.2067300000000001</v>
      </c>
      <c r="AH114" s="3">
        <v>3.2968999999999999</v>
      </c>
      <c r="AI114" s="3">
        <v>15.42747</v>
      </c>
      <c r="AM114" s="3">
        <v>8.027196</v>
      </c>
      <c r="AQ114" s="3">
        <v>1.066478</v>
      </c>
      <c r="AV114" s="3">
        <v>8.5045640000000002</v>
      </c>
      <c r="AW114" s="3">
        <v>2.5863650000000001E-5</v>
      </c>
      <c r="AX114" s="3">
        <v>12.19322</v>
      </c>
      <c r="AY114" s="3">
        <v>1.323315</v>
      </c>
    </row>
    <row r="115" spans="1:51" x14ac:dyDescent="0.2">
      <c r="A115" s="3" t="s">
        <v>12</v>
      </c>
      <c r="B115" s="49">
        <v>21306</v>
      </c>
      <c r="D115" s="3">
        <v>14.145390000000001</v>
      </c>
      <c r="F115" s="3">
        <v>11.93047</v>
      </c>
      <c r="G115" s="3">
        <v>24.345479999999998</v>
      </c>
      <c r="M115" s="3">
        <v>22.637540000000001</v>
      </c>
      <c r="P115" s="3">
        <v>2.4595660000000001</v>
      </c>
      <c r="S115" s="3">
        <v>7.1744089999999998</v>
      </c>
      <c r="T115" s="3">
        <v>8.9540179999999996</v>
      </c>
      <c r="W115" s="3">
        <v>5.5762520000000002</v>
      </c>
      <c r="X115" s="3">
        <v>1.06911</v>
      </c>
      <c r="AA115" s="3">
        <v>1.5551550000000001</v>
      </c>
      <c r="AB115" s="3">
        <v>5.8287760000000004</v>
      </c>
      <c r="AC115" s="3">
        <v>3.2699529999999997E-2</v>
      </c>
      <c r="AE115" s="3">
        <v>3.8135729999999999</v>
      </c>
      <c r="AF115" s="3">
        <v>17.347010000000001</v>
      </c>
      <c r="AG115" s="3">
        <v>1.2350159999999999</v>
      </c>
      <c r="AH115" s="3">
        <v>3.7664</v>
      </c>
      <c r="AI115" s="3">
        <v>15.435790000000001</v>
      </c>
      <c r="AM115" s="3">
        <v>8.0988659999999992</v>
      </c>
      <c r="AQ115" s="3">
        <v>1.0467280000000001</v>
      </c>
      <c r="AV115" s="3">
        <v>8.4715919999999993</v>
      </c>
      <c r="AW115" s="3">
        <v>2.60253E-5</v>
      </c>
      <c r="AX115" s="3">
        <v>12.19322</v>
      </c>
      <c r="AY115" s="3">
        <v>1.323315</v>
      </c>
    </row>
    <row r="116" spans="1:51" x14ac:dyDescent="0.2">
      <c r="A116" s="3" t="s">
        <v>13</v>
      </c>
      <c r="B116" s="49">
        <v>21337</v>
      </c>
      <c r="D116" s="3">
        <v>14.16628</v>
      </c>
      <c r="F116" s="3">
        <v>11.93047</v>
      </c>
      <c r="G116" s="3">
        <v>24.363050000000001</v>
      </c>
      <c r="M116" s="3">
        <v>22.702780000000001</v>
      </c>
      <c r="P116" s="3">
        <v>2.4563000000000001</v>
      </c>
      <c r="S116" s="3">
        <v>7.1744089999999998</v>
      </c>
      <c r="T116" s="3">
        <v>8.9916719999999994</v>
      </c>
      <c r="W116" s="3">
        <v>5.6273160000000004</v>
      </c>
      <c r="X116" s="3">
        <v>1.0736079999999999</v>
      </c>
      <c r="AA116" s="3">
        <v>1.5952170000000001</v>
      </c>
      <c r="AB116" s="3">
        <v>5.8910939999999998</v>
      </c>
      <c r="AC116" s="3">
        <v>3.304373E-2</v>
      </c>
      <c r="AE116" s="3">
        <v>3.8235999999999999</v>
      </c>
      <c r="AF116" s="3">
        <v>17.548500000000001</v>
      </c>
      <c r="AG116" s="3">
        <v>1.2296240000000001</v>
      </c>
      <c r="AH116" s="3">
        <v>4.8738999999999999</v>
      </c>
      <c r="AI116" s="3">
        <v>15.50118</v>
      </c>
      <c r="AM116" s="3">
        <v>8.0988659999999992</v>
      </c>
      <c r="AQ116" s="3">
        <v>1.0496909999999999</v>
      </c>
      <c r="AV116" s="3">
        <v>8.4771800000000006</v>
      </c>
      <c r="AW116" s="3">
        <v>2.6671890000000001E-5</v>
      </c>
      <c r="AX116" s="3">
        <v>12.19322</v>
      </c>
      <c r="AY116" s="3">
        <v>1.323315</v>
      </c>
    </row>
    <row r="117" spans="1:51" x14ac:dyDescent="0.2">
      <c r="A117" s="3" t="s">
        <v>14</v>
      </c>
      <c r="B117" s="49">
        <v>21367</v>
      </c>
      <c r="D117" s="3">
        <v>14.110139999999999</v>
      </c>
      <c r="F117" s="3">
        <v>11.93047</v>
      </c>
      <c r="G117" s="3">
        <v>24.363050000000001</v>
      </c>
      <c r="M117" s="3">
        <v>22.572310000000002</v>
      </c>
      <c r="P117" s="3">
        <v>2.4726249999999999</v>
      </c>
      <c r="S117" s="3">
        <v>7.1054240000000002</v>
      </c>
      <c r="T117" s="3">
        <v>9.0217939999999999</v>
      </c>
      <c r="W117" s="3">
        <v>5.5405059999999997</v>
      </c>
      <c r="X117" s="3">
        <v>1.06986</v>
      </c>
      <c r="AA117" s="3">
        <v>1.6352800000000001</v>
      </c>
      <c r="AB117" s="3">
        <v>5.9949560000000002</v>
      </c>
      <c r="AC117" s="3">
        <v>3.4076349999999998E-2</v>
      </c>
      <c r="AE117" s="3">
        <v>3.816916</v>
      </c>
      <c r="AF117" s="3">
        <v>17.47523</v>
      </c>
      <c r="AG117" s="3">
        <v>1.2242390000000001</v>
      </c>
      <c r="AH117" s="3">
        <v>5.7935999999999996</v>
      </c>
      <c r="AI117" s="3">
        <v>15.505940000000001</v>
      </c>
      <c r="AM117" s="3">
        <v>8.1705380000000005</v>
      </c>
      <c r="AQ117" s="3">
        <v>1.053641</v>
      </c>
      <c r="AV117" s="3">
        <v>8.5162999999999993</v>
      </c>
      <c r="AW117" s="3">
        <v>2.715684E-5</v>
      </c>
      <c r="AX117" s="3">
        <v>12.23541</v>
      </c>
      <c r="AY117" s="3">
        <v>1.3323480000000001</v>
      </c>
    </row>
    <row r="118" spans="1:51" x14ac:dyDescent="0.2">
      <c r="A118" s="3" t="s">
        <v>15</v>
      </c>
      <c r="B118" s="49">
        <v>21398</v>
      </c>
      <c r="D118" s="3">
        <v>14.108840000000001</v>
      </c>
      <c r="F118" s="3">
        <v>11.93047</v>
      </c>
      <c r="G118" s="3">
        <v>24.390270000000001</v>
      </c>
      <c r="M118" s="3">
        <v>22.311350000000001</v>
      </c>
      <c r="P118" s="3">
        <v>2.48895</v>
      </c>
      <c r="S118" s="3">
        <v>7.1744089999999998</v>
      </c>
      <c r="T118" s="3">
        <v>9.0443859999999994</v>
      </c>
      <c r="W118" s="3">
        <v>5.5302930000000003</v>
      </c>
      <c r="X118" s="3">
        <v>1.072859</v>
      </c>
      <c r="AA118" s="3">
        <v>1.649848</v>
      </c>
      <c r="AB118" s="3">
        <v>6.0157290000000003</v>
      </c>
      <c r="AC118" s="3">
        <v>3.4420560000000003E-2</v>
      </c>
      <c r="AE118" s="3">
        <v>3.8135729999999999</v>
      </c>
      <c r="AF118" s="3">
        <v>17.65841</v>
      </c>
      <c r="AG118" s="3">
        <v>1.217508</v>
      </c>
      <c r="AH118" s="3">
        <v>7.4710999999999999</v>
      </c>
      <c r="AI118" s="3">
        <v>15.547549999999999</v>
      </c>
      <c r="AM118" s="3">
        <v>8.2422090000000008</v>
      </c>
      <c r="AQ118" s="3">
        <v>1.0575909999999999</v>
      </c>
      <c r="AV118" s="3">
        <v>8.4816509999999994</v>
      </c>
      <c r="AW118" s="3">
        <v>2.796508E-5</v>
      </c>
      <c r="AX118" s="3">
        <v>12.19322</v>
      </c>
      <c r="AY118" s="3">
        <v>1.3368640000000001</v>
      </c>
    </row>
    <row r="119" spans="1:51" x14ac:dyDescent="0.2">
      <c r="A119" s="3" t="s">
        <v>16</v>
      </c>
      <c r="B119" s="49">
        <v>21429</v>
      </c>
      <c r="D119" s="3">
        <v>14.110139999999999</v>
      </c>
      <c r="F119" s="3">
        <v>12.08849</v>
      </c>
      <c r="G119" s="3">
        <v>24.429780000000001</v>
      </c>
      <c r="M119" s="3">
        <v>22.180879999999998</v>
      </c>
      <c r="P119" s="3">
        <v>2.5281280000000002</v>
      </c>
      <c r="S119" s="3">
        <v>7.1744089999999998</v>
      </c>
      <c r="T119" s="3">
        <v>9.0820399999999992</v>
      </c>
      <c r="W119" s="3">
        <v>5.5354000000000001</v>
      </c>
      <c r="X119" s="3">
        <v>1.0736079999999999</v>
      </c>
      <c r="AA119" s="3">
        <v>1.6644159999999999</v>
      </c>
      <c r="AB119" s="3">
        <v>6.0157290000000003</v>
      </c>
      <c r="AC119" s="3">
        <v>3.4764759999999999E-2</v>
      </c>
      <c r="AE119" s="3">
        <v>3.8035459999999999</v>
      </c>
      <c r="AF119" s="3">
        <v>17.56682</v>
      </c>
      <c r="AG119" s="3">
        <v>1.244443</v>
      </c>
      <c r="AH119" s="3">
        <v>9.5433000000000003</v>
      </c>
      <c r="AI119" s="3">
        <v>15.622450000000001</v>
      </c>
      <c r="AM119" s="3">
        <v>8.3138810000000003</v>
      </c>
      <c r="AQ119" s="3">
        <v>1.0615399999999999</v>
      </c>
      <c r="AV119" s="3">
        <v>8.4682390000000005</v>
      </c>
      <c r="AW119" s="3">
        <v>2.8934960000000001E-5</v>
      </c>
      <c r="AX119" s="3">
        <v>12.19322</v>
      </c>
      <c r="AY119" s="3">
        <v>1.3368640000000001</v>
      </c>
    </row>
    <row r="120" spans="1:51" x14ac:dyDescent="0.2">
      <c r="A120" s="3" t="s">
        <v>17</v>
      </c>
      <c r="B120" s="49">
        <v>21459</v>
      </c>
      <c r="D120" s="3">
        <v>14.131030000000001</v>
      </c>
      <c r="F120" s="3">
        <v>12.08849</v>
      </c>
      <c r="G120" s="3">
        <v>24.416609999999999</v>
      </c>
      <c r="M120" s="3">
        <v>22.311350000000001</v>
      </c>
      <c r="P120" s="3">
        <v>2.5515270000000001</v>
      </c>
      <c r="S120" s="3">
        <v>7.1744089999999998</v>
      </c>
      <c r="T120" s="3">
        <v>9.1121630000000007</v>
      </c>
      <c r="W120" s="3">
        <v>5.5864640000000003</v>
      </c>
      <c r="X120" s="3">
        <v>1.06986</v>
      </c>
      <c r="AA120" s="3">
        <v>1.68991</v>
      </c>
      <c r="AB120" s="3">
        <v>6.0198840000000002</v>
      </c>
      <c r="AC120" s="3">
        <v>3.6830000000000002E-2</v>
      </c>
      <c r="AE120" s="3">
        <v>3.7801499999999999</v>
      </c>
      <c r="AF120" s="3">
        <v>17.713370000000001</v>
      </c>
      <c r="AG120" s="3">
        <v>1.247139</v>
      </c>
      <c r="AH120" s="3">
        <v>10.4511</v>
      </c>
      <c r="AI120" s="3">
        <v>15.558249999999999</v>
      </c>
      <c r="AM120" s="3">
        <v>8.2422090000000008</v>
      </c>
      <c r="AQ120" s="3">
        <v>1.0694399999999999</v>
      </c>
      <c r="AV120" s="3">
        <v>8.4766220000000008</v>
      </c>
      <c r="AW120" s="3">
        <v>2.9096609999999999E-5</v>
      </c>
      <c r="AX120" s="3">
        <v>12.19322</v>
      </c>
      <c r="AY120" s="3">
        <v>1.3368640000000001</v>
      </c>
    </row>
    <row r="121" spans="1:51" x14ac:dyDescent="0.2">
      <c r="A121" s="3" t="s">
        <v>18</v>
      </c>
      <c r="B121" s="49">
        <v>21490</v>
      </c>
      <c r="D121" s="3">
        <v>14.14409</v>
      </c>
      <c r="F121" s="3">
        <v>12.08849</v>
      </c>
      <c r="G121" s="3">
        <v>24.429780000000001</v>
      </c>
      <c r="M121" s="3">
        <v>22.44183</v>
      </c>
      <c r="P121" s="3">
        <v>2.5749249999999999</v>
      </c>
      <c r="S121" s="3">
        <v>7.1744089999999998</v>
      </c>
      <c r="T121" s="3">
        <v>9.0895700000000001</v>
      </c>
      <c r="W121" s="3">
        <v>5.6068910000000001</v>
      </c>
      <c r="X121" s="3">
        <v>1.0706089999999999</v>
      </c>
      <c r="AA121" s="3">
        <v>1.678984</v>
      </c>
      <c r="AB121" s="3">
        <v>6.1320550000000003</v>
      </c>
      <c r="AC121" s="3">
        <v>3.7174199999999998E-2</v>
      </c>
      <c r="AE121" s="3">
        <v>3.7768079999999999</v>
      </c>
      <c r="AF121" s="3">
        <v>17.530190000000001</v>
      </c>
      <c r="AG121" s="3">
        <v>1.1946140000000001</v>
      </c>
      <c r="AH121" s="3">
        <v>11.512600000000001</v>
      </c>
      <c r="AI121" s="3">
        <v>15.5749</v>
      </c>
      <c r="AM121" s="3">
        <v>8.2422090000000008</v>
      </c>
      <c r="AQ121" s="3">
        <v>1.080303</v>
      </c>
      <c r="AV121" s="3">
        <v>8.4866810000000008</v>
      </c>
      <c r="AW121" s="3">
        <v>3.0389790000000001E-5</v>
      </c>
      <c r="AX121" s="3">
        <v>12.23541</v>
      </c>
      <c r="AY121" s="3">
        <v>1.3368640000000001</v>
      </c>
    </row>
    <row r="122" spans="1:51" x14ac:dyDescent="0.2">
      <c r="A122" s="3" t="s">
        <v>19</v>
      </c>
      <c r="B122" s="49">
        <v>21520</v>
      </c>
      <c r="D122" s="3">
        <v>14.198919999999999</v>
      </c>
      <c r="F122" s="3">
        <v>12.08849</v>
      </c>
      <c r="G122" s="3">
        <v>24.390270000000001</v>
      </c>
      <c r="M122" s="3">
        <v>22.44183</v>
      </c>
      <c r="P122" s="3">
        <v>2.604854</v>
      </c>
      <c r="S122" s="3">
        <v>7.1744089999999998</v>
      </c>
      <c r="T122" s="3">
        <v>9.1121630000000007</v>
      </c>
      <c r="W122" s="3">
        <v>5.6273160000000004</v>
      </c>
      <c r="X122" s="3">
        <v>1.075108</v>
      </c>
      <c r="AA122" s="3">
        <v>1.6352800000000001</v>
      </c>
      <c r="AB122" s="3">
        <v>6.2317629999999999</v>
      </c>
      <c r="AC122" s="3">
        <v>3.7518410000000002E-2</v>
      </c>
      <c r="AE122" s="3">
        <v>3.7667809999999999</v>
      </c>
      <c r="AF122" s="3">
        <v>17.511869999999998</v>
      </c>
      <c r="AG122" s="3">
        <v>1.17441</v>
      </c>
      <c r="AH122" s="3">
        <v>13.980700000000001</v>
      </c>
      <c r="AI122" s="3">
        <v>15.579650000000001</v>
      </c>
      <c r="AM122" s="3">
        <v>8.2422090000000008</v>
      </c>
      <c r="AQ122" s="3">
        <v>1.07734</v>
      </c>
      <c r="AV122" s="3">
        <v>8.5107119999999998</v>
      </c>
      <c r="AW122" s="3">
        <v>3.2006269999999997E-5</v>
      </c>
      <c r="AX122" s="3">
        <v>12.19322</v>
      </c>
      <c r="AY122" s="3">
        <v>1.3413809999999999</v>
      </c>
    </row>
    <row r="123" spans="1:51" x14ac:dyDescent="0.2">
      <c r="A123" s="3" t="s">
        <v>20</v>
      </c>
      <c r="B123" s="49">
        <v>21551</v>
      </c>
      <c r="D123" s="3">
        <v>14.195</v>
      </c>
      <c r="F123" s="3">
        <v>12.08849</v>
      </c>
      <c r="G123" s="3">
        <v>24.242750000000001</v>
      </c>
      <c r="M123" s="3">
        <v>22.44183</v>
      </c>
      <c r="P123" s="3">
        <v>2.608663</v>
      </c>
      <c r="S123" s="3">
        <v>7.1744089999999998</v>
      </c>
      <c r="T123" s="3">
        <v>9.3380840000000003</v>
      </c>
      <c r="W123" s="3">
        <v>5.6375289999999998</v>
      </c>
      <c r="X123" s="3">
        <v>1.0803560000000001</v>
      </c>
      <c r="AA123" s="3">
        <v>1.609785</v>
      </c>
      <c r="AB123" s="3">
        <v>6.2483820000000003</v>
      </c>
      <c r="AC123" s="3">
        <v>3.6141590000000001E-2</v>
      </c>
      <c r="AE123" s="3">
        <v>3.7600959999999999</v>
      </c>
      <c r="AF123" s="3">
        <v>17.530190000000001</v>
      </c>
      <c r="AG123" s="3">
        <v>1.1959519999999999</v>
      </c>
      <c r="AH123" s="3">
        <v>17.474699999999999</v>
      </c>
      <c r="AI123" s="3">
        <v>15.58916</v>
      </c>
      <c r="AM123" s="3">
        <v>8.3138810000000003</v>
      </c>
      <c r="AQ123" s="3">
        <v>1.078328</v>
      </c>
      <c r="AV123" s="3">
        <v>8.5213300000000007</v>
      </c>
      <c r="AW123" s="3">
        <v>3.2167920000000002E-5</v>
      </c>
      <c r="AX123" s="3">
        <v>12.23541</v>
      </c>
      <c r="AY123" s="3">
        <v>1.3413809999999999</v>
      </c>
    </row>
    <row r="124" spans="1:51" x14ac:dyDescent="0.2">
      <c r="A124" s="3" t="s">
        <v>21</v>
      </c>
      <c r="B124" s="49">
        <v>21582</v>
      </c>
      <c r="D124" s="3">
        <v>14.22373</v>
      </c>
      <c r="F124" s="3">
        <v>12.08849</v>
      </c>
      <c r="G124" s="3">
        <v>24.16197</v>
      </c>
      <c r="M124" s="3">
        <v>22.44183</v>
      </c>
      <c r="P124" s="3">
        <v>2.6211790000000001</v>
      </c>
      <c r="S124" s="3">
        <v>7.1744089999999998</v>
      </c>
      <c r="T124" s="3">
        <v>9.4661059999999999</v>
      </c>
      <c r="W124" s="3">
        <v>5.6324230000000002</v>
      </c>
      <c r="X124" s="3">
        <v>1.0803560000000001</v>
      </c>
      <c r="AA124" s="3">
        <v>1.6243540000000001</v>
      </c>
      <c r="AB124" s="3">
        <v>6.256691</v>
      </c>
      <c r="AC124" s="3">
        <v>3.5108970000000003E-2</v>
      </c>
      <c r="AE124" s="3">
        <v>3.7567539999999999</v>
      </c>
      <c r="AF124" s="3">
        <v>17.456910000000001</v>
      </c>
      <c r="AG124" s="3">
        <v>1.2094199999999999</v>
      </c>
      <c r="AH124" s="3">
        <v>19.7026</v>
      </c>
      <c r="AI124" s="3">
        <v>15.52853</v>
      </c>
      <c r="AM124" s="3">
        <v>8.3138810000000003</v>
      </c>
      <c r="AQ124" s="3">
        <v>1.072403</v>
      </c>
      <c r="AV124" s="3">
        <v>8.5213300000000007</v>
      </c>
      <c r="AW124" s="3">
        <v>3.313781E-5</v>
      </c>
      <c r="AX124" s="3">
        <v>12.19322</v>
      </c>
      <c r="AY124" s="3">
        <v>1.3368640000000001</v>
      </c>
    </row>
    <row r="125" spans="1:51" x14ac:dyDescent="0.2">
      <c r="A125" s="3" t="s">
        <v>22</v>
      </c>
      <c r="B125" s="49">
        <v>21610</v>
      </c>
      <c r="D125" s="3">
        <v>14.204140000000001</v>
      </c>
      <c r="F125" s="3">
        <v>12.00948</v>
      </c>
      <c r="G125" s="3">
        <v>24.122450000000001</v>
      </c>
      <c r="M125" s="3">
        <v>22.44183</v>
      </c>
      <c r="P125" s="3">
        <v>2.6353260000000001</v>
      </c>
      <c r="S125" s="3">
        <v>7.1744089999999998</v>
      </c>
      <c r="T125" s="3">
        <v>9.4435140000000004</v>
      </c>
      <c r="W125" s="3">
        <v>5.6324230000000002</v>
      </c>
      <c r="X125" s="3">
        <v>1.0803560000000001</v>
      </c>
      <c r="AA125" s="3">
        <v>1.609785</v>
      </c>
      <c r="AB125" s="3">
        <v>6.3647080000000003</v>
      </c>
      <c r="AC125" s="3">
        <v>3.4420560000000003E-2</v>
      </c>
      <c r="AE125" s="3">
        <v>3.7467269999999999</v>
      </c>
      <c r="AF125" s="3">
        <v>17.511869999999998</v>
      </c>
      <c r="AG125" s="3">
        <v>1.217508</v>
      </c>
      <c r="AH125" s="3">
        <v>20.9312</v>
      </c>
      <c r="AI125" s="3">
        <v>15.460760000000001</v>
      </c>
      <c r="AM125" s="3">
        <v>8.1705380000000005</v>
      </c>
      <c r="AQ125" s="3">
        <v>1.0832649999999999</v>
      </c>
      <c r="AV125" s="3">
        <v>8.5135059999999996</v>
      </c>
      <c r="AW125" s="3">
        <v>3.3461099999999997E-5</v>
      </c>
      <c r="AX125" s="3">
        <v>12.19322</v>
      </c>
      <c r="AY125" s="3">
        <v>1.3413809999999999</v>
      </c>
    </row>
    <row r="126" spans="1:51" x14ac:dyDescent="0.2">
      <c r="A126" s="3" t="s">
        <v>23</v>
      </c>
      <c r="B126" s="49">
        <v>21641</v>
      </c>
      <c r="D126" s="3">
        <v>14.221109999999999</v>
      </c>
      <c r="F126" s="3">
        <v>12.00948</v>
      </c>
      <c r="G126" s="3">
        <v>24.02938</v>
      </c>
      <c r="M126" s="3">
        <v>22.44183</v>
      </c>
      <c r="P126" s="3">
        <v>2.6516500000000001</v>
      </c>
      <c r="S126" s="3">
        <v>7.1744089999999998</v>
      </c>
      <c r="T126" s="3">
        <v>9.4435140000000004</v>
      </c>
      <c r="W126" s="3">
        <v>5.5915710000000001</v>
      </c>
      <c r="X126" s="3">
        <v>1.101963</v>
      </c>
      <c r="AA126" s="3">
        <v>1.609785</v>
      </c>
      <c r="AB126" s="3">
        <v>6.368862</v>
      </c>
      <c r="AC126" s="3">
        <v>3.4420560000000003E-2</v>
      </c>
      <c r="AE126" s="3">
        <v>3.7400419999999999</v>
      </c>
      <c r="AF126" s="3">
        <v>17.603459999999998</v>
      </c>
      <c r="AG126" s="3">
        <v>1.2430920000000001</v>
      </c>
      <c r="AH126" s="3">
        <v>21.538900000000002</v>
      </c>
      <c r="AI126" s="3">
        <v>15.4453</v>
      </c>
      <c r="AM126" s="3">
        <v>8.2422090000000008</v>
      </c>
      <c r="AQ126" s="3">
        <v>1.0575909999999999</v>
      </c>
      <c r="AV126" s="3">
        <v>8.4900339999999996</v>
      </c>
      <c r="AW126" s="3">
        <v>3.3461099999999997E-5</v>
      </c>
      <c r="AX126" s="3">
        <v>12.23541</v>
      </c>
      <c r="AY126" s="3">
        <v>1.3413809999999999</v>
      </c>
    </row>
    <row r="127" spans="1:51" x14ac:dyDescent="0.2">
      <c r="A127" s="3" t="s">
        <v>24</v>
      </c>
      <c r="B127" s="49">
        <v>21671</v>
      </c>
      <c r="D127" s="3">
        <v>14.258979999999999</v>
      </c>
      <c r="F127" s="3">
        <v>12.08849</v>
      </c>
      <c r="G127" s="3">
        <v>24.055720000000001</v>
      </c>
      <c r="M127" s="3">
        <v>22.44183</v>
      </c>
      <c r="P127" s="3">
        <v>2.6598130000000002</v>
      </c>
      <c r="S127" s="3">
        <v>7.1744089999999998</v>
      </c>
      <c r="T127" s="3">
        <v>9.3832679999999993</v>
      </c>
      <c r="W127" s="3">
        <v>5.5711449999999996</v>
      </c>
      <c r="X127" s="3">
        <v>1.101963</v>
      </c>
      <c r="AA127" s="3">
        <v>1.6352800000000001</v>
      </c>
      <c r="AB127" s="3">
        <v>6.4104080000000003</v>
      </c>
      <c r="AC127" s="3">
        <v>3.4420560000000003E-2</v>
      </c>
      <c r="AE127" s="3">
        <v>3.7567539999999999</v>
      </c>
      <c r="AF127" s="3">
        <v>17.47523</v>
      </c>
      <c r="AG127" s="3">
        <v>1.2579100000000001</v>
      </c>
      <c r="AH127" s="3">
        <v>21.734999999999999</v>
      </c>
      <c r="AI127" s="3">
        <v>15.39418</v>
      </c>
      <c r="AM127" s="3">
        <v>8.2422090000000008</v>
      </c>
      <c r="AQ127" s="3">
        <v>1.0487029999999999</v>
      </c>
      <c r="AV127" s="3">
        <v>8.5045640000000002</v>
      </c>
      <c r="AW127" s="3">
        <v>3.3461099999999997E-5</v>
      </c>
      <c r="AX127" s="3">
        <v>12.23541</v>
      </c>
      <c r="AY127" s="3">
        <v>1.3413809999999999</v>
      </c>
    </row>
    <row r="128" spans="1:51" x14ac:dyDescent="0.2">
      <c r="A128" s="3" t="s">
        <v>25</v>
      </c>
      <c r="B128" s="49">
        <v>21702</v>
      </c>
      <c r="D128" s="3">
        <v>14.30728</v>
      </c>
      <c r="F128" s="3">
        <v>11.93047</v>
      </c>
      <c r="G128" s="3">
        <v>24.02938</v>
      </c>
      <c r="M128" s="3">
        <v>22.637540000000001</v>
      </c>
      <c r="P128" s="3">
        <v>2.644577</v>
      </c>
      <c r="S128" s="3">
        <v>7.1744089999999998</v>
      </c>
      <c r="T128" s="3">
        <v>9.4058600000000006</v>
      </c>
      <c r="W128" s="3">
        <v>5.5813579999999998</v>
      </c>
      <c r="X128" s="3">
        <v>1.101963</v>
      </c>
      <c r="AA128" s="3">
        <v>1.6644159999999999</v>
      </c>
      <c r="AB128" s="3">
        <v>6.5433519999999996</v>
      </c>
      <c r="AC128" s="3">
        <v>3.4420560000000003E-2</v>
      </c>
      <c r="AE128" s="3">
        <v>3.753412</v>
      </c>
      <c r="AF128" s="3">
        <v>17.603459999999998</v>
      </c>
      <c r="AG128" s="3">
        <v>1.2363550000000001</v>
      </c>
      <c r="AH128" s="3">
        <v>22.649000000000001</v>
      </c>
      <c r="AI128" s="3">
        <v>15.54161</v>
      </c>
      <c r="AM128" s="3">
        <v>8.2422090000000008</v>
      </c>
      <c r="AQ128" s="3">
        <v>1.0408029999999999</v>
      </c>
      <c r="AV128" s="3">
        <v>8.4816509999999994</v>
      </c>
      <c r="AW128" s="3">
        <v>3.4754279999999999E-5</v>
      </c>
      <c r="AX128" s="3">
        <v>12.2776</v>
      </c>
      <c r="AY128" s="3">
        <v>1.3458969999999999</v>
      </c>
    </row>
    <row r="129" spans="1:51" x14ac:dyDescent="0.2">
      <c r="A129" s="3" t="s">
        <v>26</v>
      </c>
      <c r="B129" s="49">
        <v>21732</v>
      </c>
      <c r="D129" s="3">
        <v>14.308579999999999</v>
      </c>
      <c r="F129" s="3">
        <v>12.08849</v>
      </c>
      <c r="G129" s="3">
        <v>24.02938</v>
      </c>
      <c r="M129" s="3">
        <v>22.702780000000001</v>
      </c>
      <c r="P129" s="3">
        <v>2.644577</v>
      </c>
      <c r="S129" s="3">
        <v>7.1744089999999998</v>
      </c>
      <c r="T129" s="3">
        <v>9.4359839999999995</v>
      </c>
      <c r="W129" s="3">
        <v>5.566039</v>
      </c>
      <c r="X129" s="3">
        <v>1.101963</v>
      </c>
      <c r="AA129" s="3">
        <v>1.7044790000000001</v>
      </c>
      <c r="AB129" s="3">
        <v>6.647214</v>
      </c>
      <c r="AC129" s="3">
        <v>3.4420560000000003E-2</v>
      </c>
      <c r="AE129" s="3">
        <v>3.7400419999999999</v>
      </c>
      <c r="AF129" s="3">
        <v>17.621770000000001</v>
      </c>
      <c r="AG129" s="3">
        <v>1.2282789999999999</v>
      </c>
      <c r="AH129" s="3">
        <v>24.305900000000001</v>
      </c>
      <c r="AI129" s="3">
        <v>15.58798</v>
      </c>
      <c r="AM129" s="3">
        <v>8.3138810000000003</v>
      </c>
      <c r="AQ129" s="3">
        <v>1.059566</v>
      </c>
      <c r="AV129" s="3">
        <v>8.4933870000000002</v>
      </c>
      <c r="AW129" s="3">
        <v>3.5885820000000003E-5</v>
      </c>
      <c r="AX129" s="3">
        <v>12.319789999999999</v>
      </c>
      <c r="AY129" s="3">
        <v>1.3413809999999999</v>
      </c>
    </row>
    <row r="130" spans="1:51" x14ac:dyDescent="0.2">
      <c r="A130" s="3" t="s">
        <v>27</v>
      </c>
      <c r="B130" s="49">
        <v>21763</v>
      </c>
      <c r="D130" s="3">
        <v>14.37908</v>
      </c>
      <c r="F130" s="3">
        <v>12.08849</v>
      </c>
      <c r="G130" s="3">
        <v>24.109279999999998</v>
      </c>
      <c r="M130" s="3">
        <v>22.76802</v>
      </c>
      <c r="P130" s="3">
        <v>2.64893</v>
      </c>
      <c r="S130" s="3">
        <v>7.1744089999999998</v>
      </c>
      <c r="T130" s="3">
        <v>9.4811680000000003</v>
      </c>
      <c r="W130" s="3">
        <v>5.5813579999999998</v>
      </c>
      <c r="X130" s="3">
        <v>1.101963</v>
      </c>
      <c r="AA130" s="3">
        <v>1.719047</v>
      </c>
      <c r="AB130" s="3">
        <v>6.6596780000000004</v>
      </c>
      <c r="AC130" s="3">
        <v>3.4420560000000003E-2</v>
      </c>
      <c r="AE130" s="3">
        <v>3.7500689999999999</v>
      </c>
      <c r="AF130" s="3">
        <v>17.896540000000002</v>
      </c>
      <c r="AG130" s="3">
        <v>1.2363550000000001</v>
      </c>
      <c r="AH130" s="3">
        <v>25.9697</v>
      </c>
      <c r="AI130" s="3">
        <v>15.766310000000001</v>
      </c>
      <c r="AM130" s="3">
        <v>8.3138810000000003</v>
      </c>
      <c r="AQ130" s="3">
        <v>1.06549</v>
      </c>
      <c r="AV130" s="3">
        <v>8.5241240000000005</v>
      </c>
      <c r="AW130" s="3">
        <v>3.5885820000000003E-5</v>
      </c>
      <c r="AX130" s="3">
        <v>12.319789999999999</v>
      </c>
      <c r="AY130" s="3">
        <v>1.3413809999999999</v>
      </c>
    </row>
    <row r="131" spans="1:51" x14ac:dyDescent="0.2">
      <c r="A131" s="3" t="s">
        <v>28</v>
      </c>
      <c r="B131" s="49">
        <v>21794</v>
      </c>
      <c r="D131" s="3">
        <v>14.390829999999999</v>
      </c>
      <c r="F131" s="3">
        <v>12.246510000000001</v>
      </c>
      <c r="G131" s="3">
        <v>24.190069999999999</v>
      </c>
      <c r="M131" s="3">
        <v>22.702780000000001</v>
      </c>
      <c r="P131" s="3">
        <v>2.6630780000000001</v>
      </c>
      <c r="S131" s="3">
        <v>7.2433940000000003</v>
      </c>
      <c r="T131" s="3">
        <v>9.5263519999999993</v>
      </c>
      <c r="W131" s="3">
        <v>5.550719</v>
      </c>
      <c r="X131" s="3">
        <v>1.101963</v>
      </c>
      <c r="AA131" s="3">
        <v>1.7044790000000001</v>
      </c>
      <c r="AB131" s="3">
        <v>6.7593860000000001</v>
      </c>
      <c r="AC131" s="3">
        <v>3.4420560000000003E-2</v>
      </c>
      <c r="AE131" s="3">
        <v>3.763439</v>
      </c>
      <c r="AF131" s="3">
        <v>17.731680000000001</v>
      </c>
      <c r="AG131" s="3">
        <v>1.303698</v>
      </c>
      <c r="AH131" s="3">
        <v>27.5671</v>
      </c>
      <c r="AI131" s="3">
        <v>15.730650000000001</v>
      </c>
      <c r="AM131" s="3">
        <v>8.3138810000000003</v>
      </c>
      <c r="AQ131" s="3">
        <v>1.0733900000000001</v>
      </c>
      <c r="AV131" s="3">
        <v>8.5850380000000008</v>
      </c>
      <c r="AW131" s="3">
        <v>3.5724169999999997E-5</v>
      </c>
      <c r="AX131" s="3">
        <v>12.361980000000001</v>
      </c>
      <c r="AY131" s="3">
        <v>1.3413809999999999</v>
      </c>
    </row>
    <row r="132" spans="1:51" x14ac:dyDescent="0.2">
      <c r="A132" s="3" t="s">
        <v>29</v>
      </c>
      <c r="B132" s="49">
        <v>21824</v>
      </c>
      <c r="D132" s="3">
        <v>14.41042</v>
      </c>
      <c r="F132" s="3">
        <v>12.246510000000001</v>
      </c>
      <c r="G132" s="3">
        <v>24.229579999999999</v>
      </c>
      <c r="M132" s="3">
        <v>22.76802</v>
      </c>
      <c r="P132" s="3">
        <v>2.6712410000000002</v>
      </c>
      <c r="S132" s="3">
        <v>7.3813630000000003</v>
      </c>
      <c r="T132" s="3">
        <v>9.6091899999999999</v>
      </c>
      <c r="W132" s="3">
        <v>5.5762520000000002</v>
      </c>
      <c r="X132" s="3">
        <v>1.101963</v>
      </c>
      <c r="AA132" s="3">
        <v>1.7336149999999999</v>
      </c>
      <c r="AB132" s="3">
        <v>6.9837290000000003</v>
      </c>
      <c r="AC132" s="3">
        <v>3.4420560000000003E-2</v>
      </c>
      <c r="AE132" s="3">
        <v>3.8035459999999999</v>
      </c>
      <c r="AF132" s="3">
        <v>17.969809999999999</v>
      </c>
      <c r="AG132" s="3">
        <v>1.2996639999999999</v>
      </c>
      <c r="AH132" s="3">
        <v>28.8962</v>
      </c>
      <c r="AI132" s="3">
        <v>15.61889</v>
      </c>
      <c r="AM132" s="3">
        <v>8.3138810000000003</v>
      </c>
      <c r="AQ132" s="3">
        <v>1.087215</v>
      </c>
      <c r="AV132" s="3">
        <v>8.5906269999999996</v>
      </c>
      <c r="AW132" s="3">
        <v>3.6694060000000002E-5</v>
      </c>
      <c r="AX132" s="3">
        <v>12.404170000000001</v>
      </c>
      <c r="AY132" s="3">
        <v>1.3458969999999999</v>
      </c>
    </row>
    <row r="133" spans="1:51" x14ac:dyDescent="0.2">
      <c r="A133" s="3" t="s">
        <v>30</v>
      </c>
      <c r="B133" s="49">
        <v>21855</v>
      </c>
      <c r="D133" s="3">
        <v>14.441750000000001</v>
      </c>
      <c r="F133" s="3">
        <v>12.246510000000001</v>
      </c>
      <c r="G133" s="3">
        <v>24.25592</v>
      </c>
      <c r="M133" s="3">
        <v>22.963730000000002</v>
      </c>
      <c r="P133" s="3">
        <v>2.680491</v>
      </c>
      <c r="S133" s="3">
        <v>7.3813630000000003</v>
      </c>
      <c r="T133" s="3">
        <v>9.6694359999999993</v>
      </c>
      <c r="W133" s="3">
        <v>5.6171040000000003</v>
      </c>
      <c r="X133" s="3">
        <v>1.101963</v>
      </c>
      <c r="AA133" s="3">
        <v>1.7336149999999999</v>
      </c>
      <c r="AB133" s="3">
        <v>7.1054209999999998</v>
      </c>
      <c r="AC133" s="3">
        <v>3.4420560000000003E-2</v>
      </c>
      <c r="AE133" s="3">
        <v>3.8202579999999999</v>
      </c>
      <c r="AF133" s="3">
        <v>17.878229999999999</v>
      </c>
      <c r="AG133" s="3">
        <v>1.249822</v>
      </c>
      <c r="AH133" s="3">
        <v>29.746400000000001</v>
      </c>
      <c r="AI133" s="3">
        <v>15.633150000000001</v>
      </c>
      <c r="AM133" s="3">
        <v>8.3138810000000003</v>
      </c>
      <c r="AQ133" s="3">
        <v>1.0970899999999999</v>
      </c>
      <c r="AV133" s="3">
        <v>8.6029210000000003</v>
      </c>
      <c r="AW133" s="3">
        <v>3.7340650000000003E-5</v>
      </c>
      <c r="AX133" s="3">
        <v>12.404170000000001</v>
      </c>
      <c r="AY133" s="3">
        <v>1.3504130000000001</v>
      </c>
    </row>
    <row r="134" spans="1:51" x14ac:dyDescent="0.2">
      <c r="A134" s="3" t="s">
        <v>31</v>
      </c>
      <c r="B134" s="49">
        <v>21885</v>
      </c>
      <c r="D134" s="3">
        <v>14.43</v>
      </c>
      <c r="F134" s="3">
        <v>12.246510000000001</v>
      </c>
      <c r="G134" s="3">
        <v>24.242750000000001</v>
      </c>
      <c r="M134" s="3">
        <v>22.963730000000002</v>
      </c>
      <c r="P134" s="3">
        <v>2.7038890000000002</v>
      </c>
      <c r="S134" s="3">
        <v>7.3813630000000003</v>
      </c>
      <c r="T134" s="3">
        <v>9.6694359999999993</v>
      </c>
      <c r="W134" s="3">
        <v>5.6273160000000004</v>
      </c>
      <c r="X134" s="3">
        <v>1.101963</v>
      </c>
      <c r="AA134" s="3">
        <v>1.7044790000000001</v>
      </c>
      <c r="AB134" s="3">
        <v>7.2203520000000001</v>
      </c>
      <c r="AC134" s="3">
        <v>3.4420560000000003E-2</v>
      </c>
      <c r="AE134" s="3">
        <v>3.8336269999999999</v>
      </c>
      <c r="AF134" s="3">
        <v>17.878229999999999</v>
      </c>
      <c r="AG134" s="3">
        <v>1.2686820000000001</v>
      </c>
      <c r="AH134" s="3">
        <v>30.7212</v>
      </c>
      <c r="AI134" s="3">
        <v>15.65456</v>
      </c>
      <c r="AM134" s="3">
        <v>8.3138810000000003</v>
      </c>
      <c r="AQ134" s="3">
        <v>1.1040019999999999</v>
      </c>
      <c r="AV134" s="3">
        <v>8.6235990000000005</v>
      </c>
      <c r="AW134" s="3">
        <v>3.7502300000000002E-5</v>
      </c>
      <c r="AX134" s="3">
        <v>12.404170000000001</v>
      </c>
      <c r="AY134" s="3">
        <v>1.3504130000000001</v>
      </c>
    </row>
    <row r="135" spans="1:51" x14ac:dyDescent="0.2">
      <c r="A135" s="3" t="s">
        <v>32</v>
      </c>
      <c r="B135" s="49">
        <v>21916</v>
      </c>
      <c r="D135" s="3">
        <v>14.397360000000001</v>
      </c>
      <c r="F135" s="3">
        <v>12.246510000000001</v>
      </c>
      <c r="G135" s="3">
        <v>24.176020000000001</v>
      </c>
      <c r="M135" s="3">
        <v>22.963730000000002</v>
      </c>
      <c r="P135" s="3">
        <v>2.6826669999999999</v>
      </c>
      <c r="S135" s="3">
        <v>7.3813630000000003</v>
      </c>
      <c r="T135" s="3">
        <v>9.7974580000000007</v>
      </c>
      <c r="W135" s="3">
        <v>5.6119969999999997</v>
      </c>
      <c r="X135" s="3">
        <v>1.101963</v>
      </c>
      <c r="AA135" s="3">
        <v>1.678984</v>
      </c>
      <c r="AB135" s="3">
        <v>7.2744359999999997</v>
      </c>
      <c r="AC135" s="3">
        <v>3.4420560000000003E-2</v>
      </c>
      <c r="AE135" s="3">
        <v>3.8536809999999999</v>
      </c>
      <c r="AF135" s="3">
        <v>18.098040000000001</v>
      </c>
      <c r="AG135" s="3">
        <v>1.280805</v>
      </c>
      <c r="AH135" s="3">
        <v>31.224499999999999</v>
      </c>
      <c r="AI135" s="3">
        <v>15.62721</v>
      </c>
      <c r="AM135" s="3">
        <v>8.3138810000000003</v>
      </c>
      <c r="AQ135" s="3">
        <v>1.1049899999999999</v>
      </c>
      <c r="AV135" s="3">
        <v>8.8594329999999992</v>
      </c>
      <c r="AW135" s="3">
        <v>3.7502300000000002E-5</v>
      </c>
      <c r="AX135" s="3">
        <v>12.361980000000001</v>
      </c>
      <c r="AY135" s="3">
        <v>1.3458969999999999</v>
      </c>
    </row>
    <row r="136" spans="1:51" x14ac:dyDescent="0.2">
      <c r="A136" s="3" t="s">
        <v>33</v>
      </c>
      <c r="B136" s="49">
        <v>21947</v>
      </c>
      <c r="D136" s="3">
        <v>14.382999999999999</v>
      </c>
      <c r="F136" s="3">
        <v>12.246510000000001</v>
      </c>
      <c r="G136" s="3">
        <v>24.296309999999998</v>
      </c>
      <c r="M136" s="3">
        <v>22.833259999999999</v>
      </c>
      <c r="P136" s="3">
        <v>2.680491</v>
      </c>
      <c r="S136" s="3">
        <v>7.3813630000000003</v>
      </c>
      <c r="T136" s="3">
        <v>9.8200489999999991</v>
      </c>
      <c r="W136" s="3">
        <v>5.6119969999999997</v>
      </c>
      <c r="X136" s="3">
        <v>1.101963</v>
      </c>
      <c r="AA136" s="3">
        <v>1.678984</v>
      </c>
      <c r="AB136" s="3">
        <v>7.396128</v>
      </c>
      <c r="AC136" s="3">
        <v>3.4420560000000003E-2</v>
      </c>
      <c r="AE136" s="3">
        <v>3.8469959999999999</v>
      </c>
      <c r="AF136" s="3">
        <v>18.11636</v>
      </c>
      <c r="AG136" s="3">
        <v>1.3090839999999999</v>
      </c>
      <c r="AH136" s="3">
        <v>33.200499999999998</v>
      </c>
      <c r="AI136" s="3">
        <v>15.5749</v>
      </c>
      <c r="AM136" s="3">
        <v>8.3138810000000003</v>
      </c>
      <c r="AQ136" s="3">
        <v>1.1119019999999999</v>
      </c>
      <c r="AV136" s="3">
        <v>8.8655810000000006</v>
      </c>
      <c r="AW136" s="3">
        <v>3.766394E-5</v>
      </c>
      <c r="AX136" s="3">
        <v>12.404170000000001</v>
      </c>
      <c r="AY136" s="3">
        <v>1.3458969999999999</v>
      </c>
    </row>
    <row r="137" spans="1:51" x14ac:dyDescent="0.2">
      <c r="A137" s="3" t="s">
        <v>34</v>
      </c>
      <c r="B137" s="49">
        <v>21976</v>
      </c>
      <c r="D137" s="3">
        <v>14.346450000000001</v>
      </c>
      <c r="F137" s="3">
        <v>12.1675</v>
      </c>
      <c r="G137" s="3">
        <v>24.296309999999998</v>
      </c>
      <c r="M137" s="3">
        <v>22.833259999999999</v>
      </c>
      <c r="P137" s="3">
        <v>2.6772260000000001</v>
      </c>
      <c r="S137" s="3">
        <v>7.450348</v>
      </c>
      <c r="T137" s="3">
        <v>9.8200489999999991</v>
      </c>
      <c r="W137" s="3">
        <v>5.6017840000000003</v>
      </c>
      <c r="X137" s="3">
        <v>1.101963</v>
      </c>
      <c r="AA137" s="3">
        <v>1.6644159999999999</v>
      </c>
      <c r="AB137" s="3">
        <v>7.7003560000000002</v>
      </c>
      <c r="AC137" s="3">
        <v>3.4764759999999999E-2</v>
      </c>
      <c r="AE137" s="3">
        <v>3.8403119999999999</v>
      </c>
      <c r="AF137" s="3">
        <v>18.061399999999999</v>
      </c>
      <c r="AG137" s="3">
        <v>1.3239030000000001</v>
      </c>
      <c r="AH137" s="3">
        <v>33.906799999999997</v>
      </c>
      <c r="AI137" s="3">
        <v>15.52853</v>
      </c>
      <c r="AM137" s="3">
        <v>8.3138810000000003</v>
      </c>
      <c r="AQ137" s="3">
        <v>1.1227640000000001</v>
      </c>
      <c r="AV137" s="3">
        <v>8.86111</v>
      </c>
      <c r="AW137" s="3">
        <v>3.7502300000000002E-5</v>
      </c>
      <c r="AX137" s="3">
        <v>12.404170000000001</v>
      </c>
      <c r="AY137" s="3">
        <v>1.3504130000000001</v>
      </c>
    </row>
    <row r="138" spans="1:51" x14ac:dyDescent="0.2">
      <c r="A138" s="3" t="s">
        <v>35</v>
      </c>
      <c r="B138" s="49">
        <v>22007</v>
      </c>
      <c r="D138" s="3">
        <v>14.33339</v>
      </c>
      <c r="F138" s="3">
        <v>12.246510000000001</v>
      </c>
      <c r="G138" s="3">
        <v>24.3367</v>
      </c>
      <c r="M138" s="3">
        <v>22.963730000000002</v>
      </c>
      <c r="P138" s="3">
        <v>2.6794030000000002</v>
      </c>
      <c r="S138" s="3">
        <v>7.450348</v>
      </c>
      <c r="T138" s="3">
        <v>9.8351109999999995</v>
      </c>
      <c r="W138" s="3">
        <v>5.6324230000000002</v>
      </c>
      <c r="X138" s="3">
        <v>1.101963</v>
      </c>
      <c r="AA138" s="3">
        <v>1.678984</v>
      </c>
      <c r="AB138" s="3">
        <v>7.8288080000000004</v>
      </c>
      <c r="AC138" s="3">
        <v>3.5797379999999997E-2</v>
      </c>
      <c r="AE138" s="3">
        <v>3.8369689999999999</v>
      </c>
      <c r="AF138" s="3">
        <v>18.171309999999998</v>
      </c>
      <c r="AG138" s="3">
        <v>1.3629599999999999</v>
      </c>
      <c r="AH138" s="3">
        <v>34.632300000000001</v>
      </c>
      <c r="AI138" s="3">
        <v>15.55944</v>
      </c>
      <c r="AL138" s="3">
        <v>15.78003</v>
      </c>
      <c r="AM138" s="3">
        <v>8.3138810000000003</v>
      </c>
      <c r="AQ138" s="3">
        <v>1.100052</v>
      </c>
      <c r="AV138" s="3">
        <v>8.8555209999999995</v>
      </c>
      <c r="AW138" s="3">
        <v>3.7502300000000002E-5</v>
      </c>
      <c r="AX138" s="3">
        <v>12.44636</v>
      </c>
      <c r="AY138" s="3">
        <v>1.35493</v>
      </c>
    </row>
    <row r="139" spans="1:51" x14ac:dyDescent="0.2">
      <c r="A139" s="3" t="s">
        <v>36</v>
      </c>
      <c r="B139" s="49">
        <v>22037</v>
      </c>
      <c r="D139" s="3">
        <v>14.329470000000001</v>
      </c>
      <c r="F139" s="3">
        <v>12.246510000000001</v>
      </c>
      <c r="G139" s="3">
        <v>24.44295</v>
      </c>
      <c r="M139" s="3">
        <v>23.028970000000001</v>
      </c>
      <c r="P139" s="3">
        <v>2.6712410000000002</v>
      </c>
      <c r="S139" s="3">
        <v>7.450348</v>
      </c>
      <c r="T139" s="3">
        <v>9.812519</v>
      </c>
      <c r="W139" s="3">
        <v>5.6324230000000002</v>
      </c>
      <c r="X139" s="3">
        <v>1.101963</v>
      </c>
      <c r="AA139" s="3">
        <v>1.68991</v>
      </c>
      <c r="AB139" s="3">
        <v>8.0045839999999995</v>
      </c>
      <c r="AC139" s="3">
        <v>3.6141590000000001E-2</v>
      </c>
      <c r="AE139" s="3">
        <v>3.8436539999999999</v>
      </c>
      <c r="AF139" s="3">
        <v>18.336169999999999</v>
      </c>
      <c r="AG139" s="3">
        <v>1.3589199999999999</v>
      </c>
      <c r="AH139" s="3">
        <v>35.387700000000002</v>
      </c>
      <c r="AI139" s="3">
        <v>15.54161</v>
      </c>
      <c r="AL139" s="3">
        <v>15.62829</v>
      </c>
      <c r="AM139" s="3">
        <v>8.3138810000000003</v>
      </c>
      <c r="AQ139" s="3">
        <v>1.0891900000000001</v>
      </c>
      <c r="AV139" s="3">
        <v>8.8778749999999995</v>
      </c>
      <c r="AW139" s="3">
        <v>3.7340650000000003E-5</v>
      </c>
      <c r="AX139" s="3">
        <v>12.44636</v>
      </c>
      <c r="AY139" s="3">
        <v>1.3594459999999999</v>
      </c>
    </row>
    <row r="140" spans="1:51" x14ac:dyDescent="0.2">
      <c r="A140" s="3" t="s">
        <v>37</v>
      </c>
      <c r="B140" s="49">
        <v>22068</v>
      </c>
      <c r="D140" s="3">
        <v>14.35558</v>
      </c>
      <c r="F140" s="3">
        <v>12.246510000000001</v>
      </c>
      <c r="G140" s="3">
        <v>24.47017</v>
      </c>
      <c r="M140" s="3">
        <v>23.028970000000001</v>
      </c>
      <c r="P140" s="3">
        <v>2.669063</v>
      </c>
      <c r="S140" s="3">
        <v>7.450348</v>
      </c>
      <c r="T140" s="3">
        <v>9.8049879999999998</v>
      </c>
      <c r="W140" s="3">
        <v>5.663062</v>
      </c>
      <c r="X140" s="3">
        <v>1.12357</v>
      </c>
      <c r="AA140" s="3">
        <v>1.7044790000000001</v>
      </c>
      <c r="AB140" s="3">
        <v>8.1330369999999998</v>
      </c>
      <c r="AC140" s="3">
        <v>3.6141590000000001E-2</v>
      </c>
      <c r="AE140" s="3">
        <v>3.8436539999999999</v>
      </c>
      <c r="AF140" s="3">
        <v>18.262899999999998</v>
      </c>
      <c r="AG140" s="3">
        <v>1.3575680000000001</v>
      </c>
      <c r="AH140" s="3">
        <v>36.198700000000002</v>
      </c>
      <c r="AI140" s="3">
        <v>15.68666</v>
      </c>
      <c r="AL140" s="3">
        <v>15.476559999999999</v>
      </c>
      <c r="AM140" s="3">
        <v>8.3138810000000003</v>
      </c>
      <c r="AQ140" s="3">
        <v>1.0961019999999999</v>
      </c>
      <c r="AV140" s="3">
        <v>8.9080530000000007</v>
      </c>
      <c r="AW140" s="3">
        <v>3.7017349999999999E-5</v>
      </c>
      <c r="AX140" s="3">
        <v>12.48856</v>
      </c>
      <c r="AY140" s="3">
        <v>1.363963</v>
      </c>
    </row>
    <row r="141" spans="1:51" x14ac:dyDescent="0.2">
      <c r="A141" s="3" t="s">
        <v>38</v>
      </c>
      <c r="B141" s="49">
        <v>22098</v>
      </c>
      <c r="D141" s="3">
        <v>14.31772</v>
      </c>
      <c r="F141" s="3">
        <v>12.246510000000001</v>
      </c>
      <c r="G141" s="3">
        <v>24.536909999999999</v>
      </c>
      <c r="M141" s="3">
        <v>23.028970000000001</v>
      </c>
      <c r="P141" s="3">
        <v>2.6679750000000002</v>
      </c>
      <c r="S141" s="3">
        <v>7.5193329999999996</v>
      </c>
      <c r="T141" s="3">
        <v>9.8426419999999997</v>
      </c>
      <c r="W141" s="3">
        <v>5.6732750000000003</v>
      </c>
      <c r="X141" s="3">
        <v>1.101963</v>
      </c>
      <c r="AA141" s="3">
        <v>1.7336149999999999</v>
      </c>
      <c r="AB141" s="3">
        <v>8.3561370000000004</v>
      </c>
      <c r="AC141" s="3">
        <v>3.5453169999999999E-2</v>
      </c>
      <c r="AE141" s="3">
        <v>3.860366</v>
      </c>
      <c r="AF141" s="3">
        <v>18.244579999999999</v>
      </c>
      <c r="AG141" s="3">
        <v>1.3683460000000001</v>
      </c>
      <c r="AH141" s="3">
        <v>37.206299999999999</v>
      </c>
      <c r="AI141" s="3">
        <v>15.63434</v>
      </c>
      <c r="AL141" s="3">
        <v>15.476559999999999</v>
      </c>
      <c r="AM141" s="3">
        <v>8.3138810000000003</v>
      </c>
      <c r="AQ141" s="3">
        <v>1.0911649999999999</v>
      </c>
      <c r="AV141" s="3">
        <v>8.9024649999999994</v>
      </c>
      <c r="AW141" s="3">
        <v>3.6694060000000002E-5</v>
      </c>
      <c r="AX141" s="3">
        <v>12.48856</v>
      </c>
      <c r="AY141" s="3">
        <v>1.363963</v>
      </c>
    </row>
    <row r="142" spans="1:51" x14ac:dyDescent="0.2">
      <c r="A142" s="3" t="s">
        <v>39</v>
      </c>
      <c r="B142" s="49">
        <v>22129</v>
      </c>
      <c r="D142" s="3">
        <v>14.30336</v>
      </c>
      <c r="F142" s="3">
        <v>12.246510000000001</v>
      </c>
      <c r="G142" s="3">
        <v>24.59047</v>
      </c>
      <c r="M142" s="3">
        <v>23.028970000000001</v>
      </c>
      <c r="P142" s="3">
        <v>2.6734170000000002</v>
      </c>
      <c r="S142" s="3">
        <v>7.5193329999999996</v>
      </c>
      <c r="T142" s="3">
        <v>9.9330099999999995</v>
      </c>
      <c r="W142" s="3">
        <v>5.6375289999999998</v>
      </c>
      <c r="X142" s="3">
        <v>1.101963</v>
      </c>
      <c r="AA142" s="3">
        <v>1.7336149999999999</v>
      </c>
      <c r="AB142" s="3">
        <v>8.5183929999999997</v>
      </c>
      <c r="AC142" s="3">
        <v>3.5797379999999997E-2</v>
      </c>
      <c r="AE142" s="3">
        <v>3.8670499999999999</v>
      </c>
      <c r="AF142" s="3">
        <v>18.391120000000001</v>
      </c>
      <c r="AG142" s="3">
        <v>1.379124</v>
      </c>
      <c r="AH142" s="3">
        <v>38.534599999999998</v>
      </c>
      <c r="AI142" s="3">
        <v>15.635529999999999</v>
      </c>
      <c r="AL142" s="3">
        <v>15.32483</v>
      </c>
      <c r="AM142" s="3">
        <v>8.3138810000000003</v>
      </c>
      <c r="AQ142" s="3">
        <v>1.098077</v>
      </c>
      <c r="AV142" s="3">
        <v>8.8890519999999995</v>
      </c>
      <c r="AW142" s="3">
        <v>3.6532409999999997E-5</v>
      </c>
      <c r="AX142" s="3">
        <v>12.48856</v>
      </c>
      <c r="AY142" s="3">
        <v>1.368479</v>
      </c>
    </row>
    <row r="143" spans="1:51" x14ac:dyDescent="0.2">
      <c r="A143" s="3" t="s">
        <v>40</v>
      </c>
      <c r="B143" s="49">
        <v>22160</v>
      </c>
      <c r="D143" s="3">
        <v>14.329470000000001</v>
      </c>
      <c r="F143" s="3">
        <v>12.246510000000001</v>
      </c>
      <c r="G143" s="3">
        <v>24.6572</v>
      </c>
      <c r="M143" s="3">
        <v>22.963730000000002</v>
      </c>
      <c r="P143" s="3">
        <v>2.6897410000000002</v>
      </c>
      <c r="S143" s="3">
        <v>7.5193329999999996</v>
      </c>
      <c r="T143" s="3">
        <v>9.9480710000000006</v>
      </c>
      <c r="W143" s="3">
        <v>5.6426360000000004</v>
      </c>
      <c r="X143" s="3">
        <v>1.12357</v>
      </c>
      <c r="AA143" s="3">
        <v>1.719047</v>
      </c>
      <c r="AB143" s="3">
        <v>8.6941690000000005</v>
      </c>
      <c r="AC143" s="3">
        <v>3.4764759999999999E-2</v>
      </c>
      <c r="AE143" s="3">
        <v>3.8637079999999999</v>
      </c>
      <c r="AF143" s="3">
        <v>18.537669999999999</v>
      </c>
      <c r="AG143" s="3">
        <v>1.3777729999999999</v>
      </c>
      <c r="AH143" s="3">
        <v>39.9983</v>
      </c>
      <c r="AI143" s="3">
        <v>15.769880000000001</v>
      </c>
      <c r="AL143" s="3">
        <v>15.476559999999999</v>
      </c>
      <c r="AM143" s="3">
        <v>8.3138810000000003</v>
      </c>
      <c r="AQ143" s="3">
        <v>1.0961019999999999</v>
      </c>
      <c r="AV143" s="3">
        <v>8.895759</v>
      </c>
      <c r="AW143" s="3">
        <v>3.6370759999999998E-5</v>
      </c>
      <c r="AX143" s="3">
        <v>12.48856</v>
      </c>
      <c r="AY143" s="3">
        <v>1.368479</v>
      </c>
    </row>
    <row r="144" spans="1:51" x14ac:dyDescent="0.2">
      <c r="A144" s="3" t="s">
        <v>41</v>
      </c>
      <c r="B144" s="49">
        <v>22190</v>
      </c>
      <c r="D144" s="3">
        <v>14.37908</v>
      </c>
      <c r="F144" s="3">
        <v>12.404529999999999</v>
      </c>
      <c r="G144" s="3">
        <v>24.696709999999999</v>
      </c>
      <c r="M144" s="3">
        <v>23.028970000000001</v>
      </c>
      <c r="P144" s="3">
        <v>2.6968160000000001</v>
      </c>
      <c r="S144" s="3">
        <v>7.5193329999999996</v>
      </c>
      <c r="T144" s="3">
        <v>9.9631329999999991</v>
      </c>
      <c r="W144" s="3">
        <v>5.6885940000000002</v>
      </c>
      <c r="X144" s="3">
        <v>1.12357</v>
      </c>
      <c r="AA144" s="3">
        <v>1.719047</v>
      </c>
      <c r="AB144" s="3">
        <v>8.8902269999999994</v>
      </c>
      <c r="AC144" s="3">
        <v>3.5108970000000003E-2</v>
      </c>
      <c r="AE144" s="3">
        <v>3.8637079999999999</v>
      </c>
      <c r="AF144" s="3">
        <v>18.629259999999999</v>
      </c>
      <c r="AG144" s="3">
        <v>1.3629599999999999</v>
      </c>
      <c r="AH144" s="3">
        <v>42.2928</v>
      </c>
      <c r="AI144" s="3">
        <v>15.727080000000001</v>
      </c>
      <c r="AL144" s="3">
        <v>15.32483</v>
      </c>
      <c r="AM144" s="3">
        <v>8.3138810000000003</v>
      </c>
      <c r="AQ144" s="3">
        <v>1.1099270000000001</v>
      </c>
      <c r="AV144" s="3">
        <v>8.8952000000000009</v>
      </c>
      <c r="AW144" s="3">
        <v>3.6370759999999998E-5</v>
      </c>
      <c r="AX144" s="3">
        <v>12.572939999999999</v>
      </c>
      <c r="AY144" s="3">
        <v>1.368479</v>
      </c>
    </row>
    <row r="145" spans="1:51" x14ac:dyDescent="0.2">
      <c r="A145" s="3" t="s">
        <v>42</v>
      </c>
      <c r="B145" s="49">
        <v>22221</v>
      </c>
      <c r="D145" s="3">
        <v>14.405189999999999</v>
      </c>
      <c r="F145" s="3">
        <v>12.404529999999999</v>
      </c>
      <c r="G145" s="3">
        <v>24.696709999999999</v>
      </c>
      <c r="M145" s="3">
        <v>23.09421</v>
      </c>
      <c r="P145" s="3">
        <v>2.7000799999999998</v>
      </c>
      <c r="S145" s="3">
        <v>7.5193329999999996</v>
      </c>
      <c r="T145" s="3">
        <v>9.9932560000000006</v>
      </c>
      <c r="W145" s="3">
        <v>5.7141260000000003</v>
      </c>
      <c r="X145" s="3">
        <v>1.12357</v>
      </c>
      <c r="AA145" s="3">
        <v>1.7044790000000001</v>
      </c>
      <c r="AB145" s="3">
        <v>9.0254390000000004</v>
      </c>
      <c r="AC145" s="3">
        <v>3.5453169999999999E-2</v>
      </c>
      <c r="AE145" s="3">
        <v>3.8804189999999998</v>
      </c>
      <c r="AF145" s="3">
        <v>18.372810000000001</v>
      </c>
      <c r="AG145" s="3">
        <v>1.3265990000000001</v>
      </c>
      <c r="AH145" s="3">
        <v>43.961100000000002</v>
      </c>
      <c r="AI145" s="3">
        <v>15.7461</v>
      </c>
      <c r="AL145" s="3">
        <v>15.32483</v>
      </c>
      <c r="AM145" s="3">
        <v>8.3138810000000003</v>
      </c>
      <c r="AQ145" s="3">
        <v>1.121777</v>
      </c>
      <c r="AV145" s="3">
        <v>8.9309650000000005</v>
      </c>
      <c r="AW145" s="3">
        <v>3.620912E-5</v>
      </c>
      <c r="AX145" s="3">
        <v>12.572939999999999</v>
      </c>
      <c r="AY145" s="3">
        <v>1.368479</v>
      </c>
    </row>
    <row r="146" spans="1:51" x14ac:dyDescent="0.2">
      <c r="A146" s="3" t="s">
        <v>43</v>
      </c>
      <c r="B146" s="49">
        <v>22251</v>
      </c>
      <c r="D146" s="3">
        <v>14.405189999999999</v>
      </c>
      <c r="F146" s="3">
        <v>12.404529999999999</v>
      </c>
      <c r="G146" s="3">
        <v>24.670369999999998</v>
      </c>
      <c r="M146" s="3">
        <v>23.09421</v>
      </c>
      <c r="P146" s="3">
        <v>2.7202139999999999</v>
      </c>
      <c r="S146" s="3">
        <v>7.588317</v>
      </c>
      <c r="T146" s="3">
        <v>10.01585</v>
      </c>
      <c r="W146" s="3">
        <v>5.7294450000000001</v>
      </c>
      <c r="X146" s="3">
        <v>1.1451769999999999</v>
      </c>
      <c r="AA146" s="3">
        <v>1.7044790000000001</v>
      </c>
      <c r="AB146" s="3">
        <v>9.275582</v>
      </c>
      <c r="AC146" s="3">
        <v>3.5453169999999999E-2</v>
      </c>
      <c r="AE146" s="3">
        <v>3.8871039999999999</v>
      </c>
      <c r="AF146" s="3">
        <v>18.519349999999999</v>
      </c>
      <c r="AG146" s="3">
        <v>1.3292889999999999</v>
      </c>
      <c r="AH146" s="3">
        <v>44.590400000000002</v>
      </c>
      <c r="AI146" s="3">
        <v>15.76037</v>
      </c>
      <c r="AL146" s="3">
        <v>15.32483</v>
      </c>
      <c r="AM146" s="3">
        <v>8.3138810000000003</v>
      </c>
      <c r="AQ146" s="3">
        <v>1.1178269999999999</v>
      </c>
      <c r="AV146" s="3">
        <v>8.9544370000000004</v>
      </c>
      <c r="AW146" s="3">
        <v>3.6532409999999997E-5</v>
      </c>
      <c r="AX146" s="3">
        <v>12.572939999999999</v>
      </c>
      <c r="AY146" s="3">
        <v>1.368479</v>
      </c>
    </row>
    <row r="147" spans="1:51" x14ac:dyDescent="0.2">
      <c r="A147" s="3" t="s">
        <v>44</v>
      </c>
      <c r="B147" s="49">
        <v>22282</v>
      </c>
      <c r="D147" s="3">
        <v>14.41694</v>
      </c>
      <c r="F147" s="3">
        <v>12.404529999999999</v>
      </c>
      <c r="G147" s="3">
        <v>24.603639999999999</v>
      </c>
      <c r="M147" s="3">
        <v>23.289919999999999</v>
      </c>
      <c r="P147" s="3">
        <v>2.7316419999999999</v>
      </c>
      <c r="S147" s="3">
        <v>7.588317</v>
      </c>
      <c r="T147" s="3">
        <v>10.02338</v>
      </c>
      <c r="W147" s="3">
        <v>5.7345519999999999</v>
      </c>
      <c r="X147" s="3">
        <v>1.1451769999999999</v>
      </c>
      <c r="AA147" s="3">
        <v>1.68991</v>
      </c>
      <c r="AB147" s="3">
        <v>9.4107950000000002</v>
      </c>
      <c r="AC147" s="3">
        <v>3.5797379999999997E-2</v>
      </c>
      <c r="AE147" s="3">
        <v>3.903816</v>
      </c>
      <c r="AF147" s="3">
        <v>18.7758</v>
      </c>
      <c r="AG147" s="3">
        <v>1.414134</v>
      </c>
      <c r="AH147" s="3">
        <v>45.229500000000002</v>
      </c>
      <c r="AI147" s="3">
        <v>15.75324</v>
      </c>
      <c r="AL147" s="3">
        <v>15.476559999999999</v>
      </c>
      <c r="AM147" s="3">
        <v>8.3138810000000003</v>
      </c>
      <c r="AQ147" s="3">
        <v>1.107952</v>
      </c>
      <c r="AV147" s="3">
        <v>8.9846149999999998</v>
      </c>
      <c r="AW147" s="3">
        <v>3.68557E-5</v>
      </c>
      <c r="AX147" s="3">
        <v>12.572939999999999</v>
      </c>
      <c r="AY147" s="3">
        <v>1.3729960000000001</v>
      </c>
    </row>
    <row r="148" spans="1:51" x14ac:dyDescent="0.2">
      <c r="A148" s="3" t="s">
        <v>45</v>
      </c>
      <c r="B148" s="49">
        <v>22313</v>
      </c>
      <c r="D148" s="3">
        <v>14.42478</v>
      </c>
      <c r="F148" s="3">
        <v>12.404529999999999</v>
      </c>
      <c r="G148" s="3">
        <v>24.616810000000001</v>
      </c>
      <c r="M148" s="3">
        <v>23.289919999999999</v>
      </c>
      <c r="P148" s="3">
        <v>2.7093310000000002</v>
      </c>
      <c r="S148" s="3">
        <v>7.588317</v>
      </c>
      <c r="T148" s="3">
        <v>10.03091</v>
      </c>
      <c r="W148" s="3">
        <v>5.7345519999999999</v>
      </c>
      <c r="X148" s="3">
        <v>1.1451769999999999</v>
      </c>
      <c r="AA148" s="3">
        <v>1.68991</v>
      </c>
      <c r="AB148" s="3">
        <v>9.7826299999999993</v>
      </c>
      <c r="AC148" s="3">
        <v>3.5797379999999997E-2</v>
      </c>
      <c r="AE148" s="3">
        <v>3.903816</v>
      </c>
      <c r="AF148" s="3">
        <v>18.86739</v>
      </c>
      <c r="AG148" s="3">
        <v>1.447813</v>
      </c>
      <c r="AH148" s="3">
        <v>46.2393</v>
      </c>
      <c r="AI148" s="3">
        <v>15.69736</v>
      </c>
      <c r="AL148" s="3">
        <v>15.476559999999999</v>
      </c>
      <c r="AM148" s="3">
        <v>8.3138810000000003</v>
      </c>
      <c r="AQ148" s="3">
        <v>1.112889</v>
      </c>
      <c r="AV148" s="3">
        <v>9.0097640000000006</v>
      </c>
      <c r="AW148" s="3">
        <v>3.7340650000000003E-5</v>
      </c>
      <c r="AX148" s="3">
        <v>12.572939999999999</v>
      </c>
      <c r="AY148" s="3">
        <v>1.3775120000000001</v>
      </c>
    </row>
    <row r="149" spans="1:51" x14ac:dyDescent="0.2">
      <c r="A149" s="3" t="s">
        <v>46</v>
      </c>
      <c r="B149" s="49">
        <v>22341</v>
      </c>
      <c r="D149" s="3">
        <v>14.43</v>
      </c>
      <c r="F149" s="3">
        <v>12.404529999999999</v>
      </c>
      <c r="G149" s="3">
        <v>24.616810000000001</v>
      </c>
      <c r="M149" s="3">
        <v>23.289919999999999</v>
      </c>
      <c r="P149" s="3">
        <v>2.6973600000000002</v>
      </c>
      <c r="S149" s="3">
        <v>7.588317</v>
      </c>
      <c r="T149" s="3">
        <v>10.02338</v>
      </c>
      <c r="W149" s="3">
        <v>5.7549780000000004</v>
      </c>
      <c r="X149" s="3">
        <v>1.1451769999999999</v>
      </c>
      <c r="AA149" s="3">
        <v>1.7044790000000001</v>
      </c>
      <c r="AB149" s="3">
        <v>10.0801</v>
      </c>
      <c r="AC149" s="3">
        <v>3.5797379999999997E-2</v>
      </c>
      <c r="AE149" s="3">
        <v>3.9071579999999999</v>
      </c>
      <c r="AF149" s="3">
        <v>18.830749999999998</v>
      </c>
      <c r="AG149" s="3">
        <v>1.465314</v>
      </c>
      <c r="AH149" s="3">
        <v>46.694699999999997</v>
      </c>
      <c r="AI149" s="3">
        <v>15.601050000000001</v>
      </c>
      <c r="AL149" s="3">
        <v>15.32483</v>
      </c>
      <c r="AM149" s="3">
        <v>8.3855520000000006</v>
      </c>
      <c r="AQ149" s="3">
        <v>1.1119019999999999</v>
      </c>
      <c r="AV149" s="3">
        <v>9.0449710000000003</v>
      </c>
      <c r="AW149" s="3">
        <v>3.8310540000000001E-5</v>
      </c>
      <c r="AX149" s="3">
        <v>12.572939999999999</v>
      </c>
      <c r="AY149" s="3">
        <v>1.3775120000000001</v>
      </c>
    </row>
    <row r="150" spans="1:51" x14ac:dyDescent="0.2">
      <c r="A150" s="3" t="s">
        <v>47</v>
      </c>
      <c r="B150" s="49">
        <v>22372</v>
      </c>
      <c r="D150" s="3">
        <v>14.43261</v>
      </c>
      <c r="F150" s="3">
        <v>12.404529999999999</v>
      </c>
      <c r="G150" s="3">
        <v>24.616810000000001</v>
      </c>
      <c r="M150" s="3">
        <v>23.289919999999999</v>
      </c>
      <c r="P150" s="3">
        <v>2.704434</v>
      </c>
      <c r="S150" s="3">
        <v>7.588317</v>
      </c>
      <c r="T150" s="3">
        <v>10.01585</v>
      </c>
      <c r="W150" s="3">
        <v>5.7856160000000001</v>
      </c>
      <c r="X150" s="3">
        <v>1.1451769999999999</v>
      </c>
      <c r="AA150" s="3">
        <v>1.7044790000000001</v>
      </c>
      <c r="AB150" s="3">
        <v>10.31672</v>
      </c>
      <c r="AC150" s="3">
        <v>3.5797379999999997E-2</v>
      </c>
      <c r="AE150" s="3">
        <v>3.913843</v>
      </c>
      <c r="AF150" s="3">
        <v>19.013929999999998</v>
      </c>
      <c r="AG150" s="3">
        <v>1.4747479999999999</v>
      </c>
      <c r="AH150" s="3">
        <v>47.9465</v>
      </c>
      <c r="AI150" s="3">
        <v>15.606999999999999</v>
      </c>
      <c r="AL150" s="3">
        <v>15.62829</v>
      </c>
      <c r="AM150" s="3">
        <v>8.3855520000000006</v>
      </c>
      <c r="AQ150" s="3">
        <v>1.107952</v>
      </c>
      <c r="AV150" s="3">
        <v>9.0539129999999997</v>
      </c>
      <c r="AW150" s="3">
        <v>3.766394E-5</v>
      </c>
      <c r="AX150" s="3">
        <v>12.572939999999999</v>
      </c>
      <c r="AY150" s="3">
        <v>1.382028</v>
      </c>
    </row>
    <row r="151" spans="1:51" x14ac:dyDescent="0.2">
      <c r="A151" s="3" t="s">
        <v>48</v>
      </c>
      <c r="B151" s="49">
        <v>22402</v>
      </c>
      <c r="D151" s="3">
        <v>14.46916</v>
      </c>
      <c r="F151" s="3">
        <v>12.404529999999999</v>
      </c>
      <c r="G151" s="3">
        <v>24.803840000000001</v>
      </c>
      <c r="M151" s="3">
        <v>23.48564</v>
      </c>
      <c r="P151" s="3">
        <v>2.6973600000000002</v>
      </c>
      <c r="S151" s="3">
        <v>7.588317</v>
      </c>
      <c r="T151" s="3">
        <v>9.9932560000000006</v>
      </c>
      <c r="W151" s="3">
        <v>5.8009360000000001</v>
      </c>
      <c r="X151" s="3">
        <v>1.1451769999999999</v>
      </c>
      <c r="AA151" s="3">
        <v>1.7044790000000001</v>
      </c>
      <c r="AB151" s="3">
        <v>10.600669999999999</v>
      </c>
      <c r="AC151" s="3">
        <v>3.5797379999999997E-2</v>
      </c>
      <c r="AE151" s="3">
        <v>3.92387</v>
      </c>
      <c r="AF151" s="3">
        <v>18.922339999999998</v>
      </c>
      <c r="AG151" s="3">
        <v>1.5003379999999999</v>
      </c>
      <c r="AH151" s="3">
        <v>48.161799999999999</v>
      </c>
      <c r="AI151" s="3">
        <v>15.615320000000001</v>
      </c>
      <c r="AL151" s="3">
        <v>15.78003</v>
      </c>
      <c r="AM151" s="3">
        <v>8.4572240000000001</v>
      </c>
      <c r="AQ151" s="3">
        <v>1.106965</v>
      </c>
      <c r="AV151" s="3">
        <v>9.0785020000000003</v>
      </c>
      <c r="AW151" s="3">
        <v>3.8310540000000001E-5</v>
      </c>
      <c r="AX151" s="3">
        <v>12.572939999999999</v>
      </c>
      <c r="AY151" s="3">
        <v>1.3910610000000001</v>
      </c>
    </row>
    <row r="152" spans="1:51" x14ac:dyDescent="0.2">
      <c r="A152" s="3" t="s">
        <v>49</v>
      </c>
      <c r="B152" s="49">
        <v>22433</v>
      </c>
      <c r="D152" s="3">
        <v>14.49919</v>
      </c>
      <c r="F152" s="3">
        <v>12.404529999999999</v>
      </c>
      <c r="G152" s="3">
        <v>24.84423</v>
      </c>
      <c r="M152" s="3">
        <v>23.616109999999999</v>
      </c>
      <c r="P152" s="3">
        <v>2.6826669999999999</v>
      </c>
      <c r="S152" s="3">
        <v>7.588317</v>
      </c>
      <c r="T152" s="3">
        <v>9.9706639999999993</v>
      </c>
      <c r="W152" s="3">
        <v>5.8520000000000003</v>
      </c>
      <c r="X152" s="3">
        <v>1.1451769999999999</v>
      </c>
      <c r="AA152" s="3">
        <v>1.719047</v>
      </c>
      <c r="AB152" s="3">
        <v>11.100949999999999</v>
      </c>
      <c r="AC152" s="3">
        <v>3.5797379999999997E-2</v>
      </c>
      <c r="AE152" s="3">
        <v>3.92387</v>
      </c>
      <c r="AF152" s="3">
        <v>18.922339999999998</v>
      </c>
      <c r="AG152" s="3">
        <v>1.4329940000000001</v>
      </c>
      <c r="AH152" s="3">
        <v>49.110999999999997</v>
      </c>
      <c r="AI152" s="3">
        <v>15.7247</v>
      </c>
      <c r="AL152" s="3">
        <v>15.78003</v>
      </c>
      <c r="AM152" s="3">
        <v>8.4572240000000001</v>
      </c>
      <c r="AQ152" s="3">
        <v>1.1040019999999999</v>
      </c>
      <c r="AV152" s="3">
        <v>9.10365</v>
      </c>
      <c r="AW152" s="3">
        <v>3.8148890000000003E-5</v>
      </c>
      <c r="AX152" s="3">
        <v>12.572939999999999</v>
      </c>
      <c r="AY152" s="3">
        <v>1.3910610000000001</v>
      </c>
    </row>
    <row r="153" spans="1:51" x14ac:dyDescent="0.2">
      <c r="A153" s="3" t="s">
        <v>50</v>
      </c>
      <c r="B153" s="49">
        <v>22463</v>
      </c>
      <c r="D153" s="3">
        <v>14.55011</v>
      </c>
      <c r="F153" s="3">
        <v>12.404529999999999</v>
      </c>
      <c r="G153" s="3">
        <v>24.897790000000001</v>
      </c>
      <c r="M153" s="3">
        <v>23.616109999999999</v>
      </c>
      <c r="P153" s="3">
        <v>2.6826669999999999</v>
      </c>
      <c r="S153" s="3">
        <v>7.588317</v>
      </c>
      <c r="T153" s="3">
        <v>10.045970000000001</v>
      </c>
      <c r="W153" s="3">
        <v>5.8520000000000003</v>
      </c>
      <c r="X153" s="3">
        <v>1.12357</v>
      </c>
      <c r="AA153" s="3">
        <v>1.748183</v>
      </c>
      <c r="AB153" s="3">
        <v>11.71617</v>
      </c>
      <c r="AC153" s="3">
        <v>3.6141590000000001E-2</v>
      </c>
      <c r="AE153" s="3">
        <v>3.9338959999999998</v>
      </c>
      <c r="AF153" s="3">
        <v>19.233750000000001</v>
      </c>
      <c r="AG153" s="3">
        <v>1.4666589999999999</v>
      </c>
      <c r="AH153" s="3">
        <v>50.695300000000003</v>
      </c>
      <c r="AI153" s="3">
        <v>15.71757</v>
      </c>
      <c r="AL153" s="3">
        <v>15.62829</v>
      </c>
      <c r="AM153" s="3">
        <v>8.4572240000000001</v>
      </c>
      <c r="AQ153" s="3">
        <v>1.110914</v>
      </c>
      <c r="AV153" s="3">
        <v>9.0857670000000006</v>
      </c>
      <c r="AW153" s="3">
        <v>3.8472179999999999E-5</v>
      </c>
      <c r="AX153" s="3">
        <v>12.65732</v>
      </c>
      <c r="AY153" s="3">
        <v>1.3910610000000001</v>
      </c>
    </row>
    <row r="154" spans="1:51" x14ac:dyDescent="0.2">
      <c r="A154" s="3" t="s">
        <v>51</v>
      </c>
      <c r="B154" s="49">
        <v>22494</v>
      </c>
      <c r="D154" s="3">
        <v>14.58013</v>
      </c>
      <c r="F154" s="3">
        <v>12.404529999999999</v>
      </c>
      <c r="G154" s="3">
        <v>25.017209999999999</v>
      </c>
      <c r="M154" s="3">
        <v>23.616109999999999</v>
      </c>
      <c r="P154" s="3">
        <v>2.6870210000000001</v>
      </c>
      <c r="S154" s="3">
        <v>7.588317</v>
      </c>
      <c r="T154" s="3">
        <v>10.10622</v>
      </c>
      <c r="W154" s="3">
        <v>5.9081720000000004</v>
      </c>
      <c r="X154" s="3">
        <v>1.12357</v>
      </c>
      <c r="AA154" s="3">
        <v>1.759109</v>
      </c>
      <c r="AB154" s="3">
        <v>12.162369999999999</v>
      </c>
      <c r="AC154" s="3">
        <v>3.6485789999999997E-2</v>
      </c>
      <c r="AE154" s="3">
        <v>3.9405809999999999</v>
      </c>
      <c r="AF154" s="3">
        <v>19.380289999999999</v>
      </c>
      <c r="AG154" s="3">
        <v>1.4882150000000001</v>
      </c>
      <c r="AH154" s="3">
        <v>52.870100000000001</v>
      </c>
      <c r="AI154" s="3">
        <v>15.81744</v>
      </c>
      <c r="AL154" s="3">
        <v>15.62829</v>
      </c>
      <c r="AM154" s="3">
        <v>8.5288950000000003</v>
      </c>
      <c r="AQ154" s="3">
        <v>1.1306639999999999</v>
      </c>
      <c r="AV154" s="3">
        <v>9.0975029999999997</v>
      </c>
      <c r="AW154" s="3">
        <v>3.7987239999999997E-5</v>
      </c>
      <c r="AX154" s="3">
        <v>12.615130000000001</v>
      </c>
      <c r="AY154" s="3">
        <v>1.395578</v>
      </c>
    </row>
    <row r="155" spans="1:51" x14ac:dyDescent="0.2">
      <c r="A155" s="3" t="s">
        <v>52</v>
      </c>
      <c r="B155" s="49">
        <v>22525</v>
      </c>
      <c r="D155" s="3">
        <v>14.55402</v>
      </c>
      <c r="F155" s="3">
        <v>12.404529999999999</v>
      </c>
      <c r="G155" s="3">
        <v>25.057600000000001</v>
      </c>
      <c r="M155" s="3">
        <v>23.616109999999999</v>
      </c>
      <c r="P155" s="3">
        <v>2.6891980000000002</v>
      </c>
      <c r="S155" s="3">
        <v>7.588317</v>
      </c>
      <c r="T155" s="3">
        <v>10.15893</v>
      </c>
      <c r="W155" s="3">
        <v>5.8979590000000002</v>
      </c>
      <c r="X155" s="3">
        <v>1.12357</v>
      </c>
      <c r="AA155" s="3">
        <v>1.759109</v>
      </c>
      <c r="AB155" s="3">
        <v>12.7235</v>
      </c>
      <c r="AC155" s="3">
        <v>3.7862609999999998E-2</v>
      </c>
      <c r="AE155" s="3">
        <v>3.9472659999999999</v>
      </c>
      <c r="AF155" s="3">
        <v>19.490200000000002</v>
      </c>
      <c r="AG155" s="3">
        <v>1.482823</v>
      </c>
      <c r="AH155" s="3">
        <v>54.2789</v>
      </c>
      <c r="AI155" s="3">
        <v>15.797230000000001</v>
      </c>
      <c r="AL155" s="3">
        <v>15.62829</v>
      </c>
      <c r="AM155" s="3">
        <v>8.6005669999999999</v>
      </c>
      <c r="AQ155" s="3">
        <v>1.1385639999999999</v>
      </c>
      <c r="AV155" s="3">
        <v>9.1030909999999992</v>
      </c>
      <c r="AW155" s="3">
        <v>3.7987239999999997E-5</v>
      </c>
      <c r="AX155" s="3">
        <v>12.65732</v>
      </c>
      <c r="AY155" s="3">
        <v>1.395578</v>
      </c>
    </row>
    <row r="156" spans="1:51" x14ac:dyDescent="0.2">
      <c r="A156" s="3" t="s">
        <v>53</v>
      </c>
      <c r="B156" s="49">
        <v>22555</v>
      </c>
      <c r="D156" s="3">
        <v>14.53314</v>
      </c>
      <c r="F156" s="3">
        <v>12.404529999999999</v>
      </c>
      <c r="G156" s="3">
        <v>25.164729999999999</v>
      </c>
      <c r="M156" s="3">
        <v>23.616109999999999</v>
      </c>
      <c r="P156" s="3">
        <v>2.6995360000000002</v>
      </c>
      <c r="S156" s="3">
        <v>7.6573019999999996</v>
      </c>
      <c r="T156" s="3">
        <v>10.271890000000001</v>
      </c>
      <c r="W156" s="3">
        <v>5.9081720000000004</v>
      </c>
      <c r="X156" s="3">
        <v>1.12357</v>
      </c>
      <c r="AA156" s="3">
        <v>1.759109</v>
      </c>
      <c r="AB156" s="3">
        <v>13.74436</v>
      </c>
      <c r="AC156" s="3">
        <v>3.923944E-2</v>
      </c>
      <c r="AE156" s="3">
        <v>3.9572929999999999</v>
      </c>
      <c r="AF156" s="3">
        <v>19.91151</v>
      </c>
      <c r="AG156" s="3">
        <v>1.486864</v>
      </c>
      <c r="AH156" s="3">
        <v>55.993899999999996</v>
      </c>
      <c r="AI156" s="3">
        <v>15.7568</v>
      </c>
      <c r="AL156" s="3">
        <v>15.62829</v>
      </c>
      <c r="AM156" s="3">
        <v>8.6722380000000001</v>
      </c>
      <c r="AQ156" s="3">
        <v>1.1454759999999999</v>
      </c>
      <c r="AV156" s="3">
        <v>9.1254449999999991</v>
      </c>
      <c r="AW156" s="3">
        <v>3.8957130000000002E-5</v>
      </c>
      <c r="AX156" s="3">
        <v>12.65732</v>
      </c>
      <c r="AY156" s="3">
        <v>1.395578</v>
      </c>
    </row>
    <row r="157" spans="1:51" x14ac:dyDescent="0.2">
      <c r="A157" s="3" t="s">
        <v>54</v>
      </c>
      <c r="B157" s="49">
        <v>22586</v>
      </c>
      <c r="D157" s="3">
        <v>14.55533</v>
      </c>
      <c r="F157" s="3">
        <v>12.404529999999999</v>
      </c>
      <c r="G157" s="3">
        <v>25.511569999999999</v>
      </c>
      <c r="M157" s="3">
        <v>23.746590000000001</v>
      </c>
      <c r="P157" s="3">
        <v>2.7414360000000002</v>
      </c>
      <c r="S157" s="3">
        <v>7.6573019999999996</v>
      </c>
      <c r="T157" s="3">
        <v>10.377319999999999</v>
      </c>
      <c r="W157" s="3">
        <v>5.969449</v>
      </c>
      <c r="X157" s="3">
        <v>1.12357</v>
      </c>
      <c r="AA157" s="3">
        <v>1.759109</v>
      </c>
      <c r="AB157" s="3">
        <v>14.546110000000001</v>
      </c>
      <c r="AC157" s="3">
        <v>3.9583640000000003E-2</v>
      </c>
      <c r="AE157" s="3">
        <v>3.9840309999999999</v>
      </c>
      <c r="AF157" s="3">
        <v>20.0031</v>
      </c>
      <c r="AG157" s="3">
        <v>1.414134</v>
      </c>
      <c r="AH157" s="3">
        <v>57.328099999999999</v>
      </c>
      <c r="AI157" s="3">
        <v>15.786530000000001</v>
      </c>
      <c r="AL157" s="3">
        <v>15.62829</v>
      </c>
      <c r="AM157" s="3">
        <v>8.6722380000000001</v>
      </c>
      <c r="AQ157" s="3">
        <v>1.150414</v>
      </c>
      <c r="AV157" s="3">
        <v>9.1522699999999997</v>
      </c>
      <c r="AW157" s="3">
        <v>3.8472179999999999E-5</v>
      </c>
      <c r="AX157" s="3">
        <v>12.65732</v>
      </c>
      <c r="AY157" s="3">
        <v>1.4046110000000001</v>
      </c>
    </row>
    <row r="158" spans="1:51" x14ac:dyDescent="0.2">
      <c r="A158" s="3" t="s">
        <v>55</v>
      </c>
      <c r="B158" s="49">
        <v>22616</v>
      </c>
      <c r="D158" s="3">
        <v>14.55011</v>
      </c>
      <c r="F158" s="3">
        <v>12.404529999999999</v>
      </c>
      <c r="G158" s="3">
        <v>25.538789999999999</v>
      </c>
      <c r="M158" s="3">
        <v>23.746590000000001</v>
      </c>
      <c r="P158" s="3">
        <v>2.7463329999999999</v>
      </c>
      <c r="S158" s="3">
        <v>7.6573019999999996</v>
      </c>
      <c r="T158" s="3">
        <v>10.41498</v>
      </c>
      <c r="W158" s="3">
        <v>5.9796620000000003</v>
      </c>
      <c r="X158" s="3">
        <v>1.1451769999999999</v>
      </c>
      <c r="AA158" s="3">
        <v>1.759109</v>
      </c>
      <c r="AB158" s="3">
        <v>14.43158</v>
      </c>
      <c r="AC158" s="3">
        <v>3.9583640000000003E-2</v>
      </c>
      <c r="AE158" s="3">
        <v>3.9973999999999998</v>
      </c>
      <c r="AF158" s="3">
        <v>20.18628</v>
      </c>
      <c r="AG158" s="3">
        <v>1.3858539999999999</v>
      </c>
      <c r="AH158" s="3">
        <v>58.662300000000002</v>
      </c>
      <c r="AI158" s="3">
        <v>15.82338</v>
      </c>
      <c r="AL158" s="3">
        <v>15.62829</v>
      </c>
      <c r="AM158" s="3">
        <v>8.6722380000000001</v>
      </c>
      <c r="AQ158" s="3">
        <v>1.1375759999999999</v>
      </c>
      <c r="AV158" s="3">
        <v>9.1584179999999993</v>
      </c>
      <c r="AW158" s="3">
        <v>3.8795479999999997E-5</v>
      </c>
      <c r="AX158" s="3">
        <v>12.65732</v>
      </c>
      <c r="AY158" s="3">
        <v>1.395578</v>
      </c>
    </row>
    <row r="159" spans="1:51" x14ac:dyDescent="0.2">
      <c r="A159" s="3" t="s">
        <v>56</v>
      </c>
      <c r="B159" s="49">
        <v>22647</v>
      </c>
      <c r="D159" s="3">
        <v>14.55794</v>
      </c>
      <c r="F159" s="3">
        <v>12.404529999999999</v>
      </c>
      <c r="G159" s="3">
        <v>25.56513</v>
      </c>
      <c r="M159" s="3">
        <v>24.007539999999999</v>
      </c>
      <c r="P159" s="3">
        <v>2.7414360000000002</v>
      </c>
      <c r="S159" s="3">
        <v>7.7262870000000001</v>
      </c>
      <c r="T159" s="3">
        <v>10.482749999999999</v>
      </c>
      <c r="W159" s="3">
        <v>6.0000879999999999</v>
      </c>
      <c r="X159" s="3">
        <v>1.12357</v>
      </c>
      <c r="AA159" s="3">
        <v>1.748183</v>
      </c>
      <c r="AB159" s="3">
        <v>14.790100000000001</v>
      </c>
      <c r="AC159" s="3">
        <v>3.9927850000000001E-2</v>
      </c>
      <c r="AE159" s="3">
        <v>4.0141119999999999</v>
      </c>
      <c r="AF159" s="3">
        <v>20.314499999999999</v>
      </c>
      <c r="AG159" s="3">
        <v>1.4074040000000001</v>
      </c>
      <c r="AH159" s="3">
        <v>59.414299999999997</v>
      </c>
      <c r="AI159" s="3">
        <v>15.863810000000001</v>
      </c>
      <c r="AL159" s="3">
        <v>15.62829</v>
      </c>
      <c r="AM159" s="3">
        <v>8.7439090000000004</v>
      </c>
      <c r="AQ159" s="3">
        <v>1.135602</v>
      </c>
      <c r="AV159" s="3">
        <v>9.3523379999999996</v>
      </c>
      <c r="AW159" s="3">
        <v>3.8795479999999997E-5</v>
      </c>
      <c r="AX159" s="3">
        <v>12.65732</v>
      </c>
      <c r="AY159" s="3">
        <v>1.395578</v>
      </c>
    </row>
    <row r="160" spans="1:51" x14ac:dyDescent="0.2">
      <c r="A160" s="3" t="s">
        <v>57</v>
      </c>
      <c r="B160" s="49">
        <v>22678</v>
      </c>
      <c r="D160" s="3">
        <v>14.55533</v>
      </c>
      <c r="F160" s="3">
        <v>12.404529999999999</v>
      </c>
      <c r="G160" s="3">
        <v>25.632739999999998</v>
      </c>
      <c r="M160" s="3">
        <v>24.072780000000002</v>
      </c>
      <c r="P160" s="3">
        <v>2.7539509999999998</v>
      </c>
      <c r="S160" s="3">
        <v>7.7262870000000001</v>
      </c>
      <c r="T160" s="3">
        <v>10.49343</v>
      </c>
      <c r="W160" s="3">
        <v>6.0060880000000001</v>
      </c>
      <c r="X160" s="3">
        <v>1.12357</v>
      </c>
      <c r="AA160" s="3">
        <v>1.748183</v>
      </c>
      <c r="AB160" s="3">
        <v>14.790100000000001</v>
      </c>
      <c r="AC160" s="3">
        <v>3.9927850000000001E-2</v>
      </c>
      <c r="AE160" s="3">
        <v>4.0375079999999999</v>
      </c>
      <c r="AF160" s="3">
        <v>20.241230000000002</v>
      </c>
      <c r="AG160" s="3">
        <v>1.4612799999999999</v>
      </c>
      <c r="AH160" s="3">
        <v>59.568600000000004</v>
      </c>
      <c r="AI160" s="3">
        <v>15.79128</v>
      </c>
      <c r="AL160" s="3">
        <v>15.62829</v>
      </c>
      <c r="AM160" s="3">
        <v>8.7439090000000004</v>
      </c>
      <c r="AQ160" s="3">
        <v>1.141526</v>
      </c>
      <c r="AV160" s="3">
        <v>9.3590440000000008</v>
      </c>
      <c r="AW160" s="3">
        <v>3.9765370000000002E-5</v>
      </c>
      <c r="AX160" s="3">
        <v>12.69951</v>
      </c>
      <c r="AY160" s="3">
        <v>1.395578</v>
      </c>
    </row>
    <row r="161" spans="1:51" x14ac:dyDescent="0.2">
      <c r="A161" s="3" t="s">
        <v>58</v>
      </c>
      <c r="B161" s="49">
        <v>22706</v>
      </c>
      <c r="D161" s="3">
        <v>14.57883</v>
      </c>
      <c r="F161" s="3">
        <v>12.404529999999999</v>
      </c>
      <c r="G161" s="3">
        <v>25.672249999999998</v>
      </c>
      <c r="M161" s="3">
        <v>24.138010000000001</v>
      </c>
      <c r="P161" s="3">
        <v>2.7778939999999999</v>
      </c>
      <c r="S161" s="3">
        <v>7.7952719999999998</v>
      </c>
      <c r="T161" s="3">
        <v>10.55748</v>
      </c>
      <c r="W161" s="3">
        <v>6.0300880000000001</v>
      </c>
      <c r="X161" s="3">
        <v>1.12357</v>
      </c>
      <c r="AA161" s="3">
        <v>1.748183</v>
      </c>
      <c r="AB161" s="3">
        <v>15.92055</v>
      </c>
      <c r="AC161" s="3">
        <v>3.9927850000000001E-2</v>
      </c>
      <c r="AE161" s="3">
        <v>4.0609039999999998</v>
      </c>
      <c r="AF161" s="3">
        <v>20.27786</v>
      </c>
      <c r="AG161" s="3">
        <v>1.5030209999999999</v>
      </c>
      <c r="AH161" s="3">
        <v>59.812800000000003</v>
      </c>
      <c r="AI161" s="3">
        <v>15.74254</v>
      </c>
      <c r="AL161" s="3">
        <v>15.78003</v>
      </c>
      <c r="AM161" s="3">
        <v>8.8155800000000006</v>
      </c>
      <c r="AQ161" s="3">
        <v>1.155351</v>
      </c>
      <c r="AV161" s="3">
        <v>9.3825160000000007</v>
      </c>
      <c r="AW161" s="3">
        <v>3.992701E-5</v>
      </c>
      <c r="AX161" s="3">
        <v>12.69951</v>
      </c>
      <c r="AY161" s="3">
        <v>1.4000939999999999</v>
      </c>
    </row>
    <row r="162" spans="1:51" x14ac:dyDescent="0.2">
      <c r="A162" s="3" t="s">
        <v>59</v>
      </c>
      <c r="B162" s="49">
        <v>22737</v>
      </c>
      <c r="D162" s="3">
        <v>14.65063</v>
      </c>
      <c r="F162" s="3">
        <v>12.48354</v>
      </c>
      <c r="G162" s="3">
        <v>25.792549999999999</v>
      </c>
      <c r="M162" s="3">
        <v>24.203250000000001</v>
      </c>
      <c r="P162" s="3">
        <v>2.8170730000000002</v>
      </c>
      <c r="S162" s="3">
        <v>7.8642560000000001</v>
      </c>
      <c r="T162" s="3">
        <v>10.57883</v>
      </c>
      <c r="W162" s="3">
        <v>6.1140889999999999</v>
      </c>
      <c r="X162" s="3">
        <v>1.1451769999999999</v>
      </c>
      <c r="AA162" s="3">
        <v>1.759109</v>
      </c>
      <c r="AB162" s="3">
        <v>15.92055</v>
      </c>
      <c r="AC162" s="3">
        <v>3.9927850000000001E-2</v>
      </c>
      <c r="AE162" s="3">
        <v>4.0943269999999998</v>
      </c>
      <c r="AF162" s="3">
        <v>20.497679999999999</v>
      </c>
      <c r="AG162" s="3">
        <v>1.531307</v>
      </c>
      <c r="AH162" s="3">
        <v>59.868200000000002</v>
      </c>
      <c r="AI162" s="3">
        <v>15.75324</v>
      </c>
      <c r="AL162" s="3">
        <v>16.386949999999999</v>
      </c>
      <c r="AM162" s="3">
        <v>8.8872520000000002</v>
      </c>
      <c r="AQ162" s="3">
        <v>1.1523890000000001</v>
      </c>
      <c r="AV162" s="3">
        <v>9.4557249999999993</v>
      </c>
      <c r="AW162" s="3">
        <v>3.9280419999999999E-5</v>
      </c>
      <c r="AX162" s="3">
        <v>12.7417</v>
      </c>
      <c r="AY162" s="3">
        <v>1.4046110000000001</v>
      </c>
    </row>
    <row r="163" spans="1:51" x14ac:dyDescent="0.2">
      <c r="A163" s="3" t="s">
        <v>60</v>
      </c>
      <c r="B163" s="49">
        <v>22767</v>
      </c>
      <c r="D163" s="3">
        <v>14.832100000000001</v>
      </c>
      <c r="F163" s="3">
        <v>12.48354</v>
      </c>
      <c r="G163" s="3">
        <v>25.992750000000001</v>
      </c>
      <c r="M163" s="3">
        <v>24.203250000000001</v>
      </c>
      <c r="P163" s="3">
        <v>2.8529870000000002</v>
      </c>
      <c r="S163" s="3">
        <v>7.8642560000000001</v>
      </c>
      <c r="T163" s="3">
        <v>10.610849999999999</v>
      </c>
      <c r="W163" s="3">
        <v>6.1320899999999998</v>
      </c>
      <c r="X163" s="3">
        <v>1.12357</v>
      </c>
      <c r="AA163" s="3">
        <v>1.7736780000000001</v>
      </c>
      <c r="AB163" s="3">
        <v>15.92055</v>
      </c>
      <c r="AC163" s="3">
        <v>3.9927850000000001E-2</v>
      </c>
      <c r="AE163" s="3">
        <v>4.0943269999999998</v>
      </c>
      <c r="AF163" s="3">
        <v>20.607589999999998</v>
      </c>
      <c r="AG163" s="3">
        <v>1.5609379999999999</v>
      </c>
      <c r="AH163" s="3">
        <v>59.875500000000002</v>
      </c>
      <c r="AI163" s="3">
        <v>15.76275</v>
      </c>
      <c r="AL163" s="3">
        <v>16.083490000000001</v>
      </c>
      <c r="AM163" s="3">
        <v>8.8872520000000002</v>
      </c>
      <c r="AQ163" s="3">
        <v>1.1375759999999999</v>
      </c>
      <c r="AV163" s="3">
        <v>9.5300519999999995</v>
      </c>
      <c r="AW163" s="3">
        <v>3.9280419999999999E-5</v>
      </c>
      <c r="AX163" s="3">
        <v>12.7417</v>
      </c>
      <c r="AY163" s="3">
        <v>1.409127</v>
      </c>
    </row>
    <row r="164" spans="1:51" x14ac:dyDescent="0.2">
      <c r="A164" s="3" t="s">
        <v>61</v>
      </c>
      <c r="B164" s="49">
        <v>22798</v>
      </c>
      <c r="D164" s="3">
        <v>14.91696</v>
      </c>
      <c r="F164" s="3">
        <v>12.56255</v>
      </c>
      <c r="G164" s="3">
        <v>26.059480000000001</v>
      </c>
      <c r="M164" s="3">
        <v>24.203250000000001</v>
      </c>
      <c r="P164" s="3">
        <v>2.8676789999999999</v>
      </c>
      <c r="S164" s="3">
        <v>7.9332409999999998</v>
      </c>
      <c r="T164" s="3">
        <v>10.653549999999999</v>
      </c>
      <c r="W164" s="3">
        <v>6.1740899999999996</v>
      </c>
      <c r="X164" s="3">
        <v>1.12357</v>
      </c>
      <c r="AA164" s="3">
        <v>1.788246</v>
      </c>
      <c r="AB164" s="3">
        <v>16.862590000000001</v>
      </c>
      <c r="AC164" s="3">
        <v>3.9927850000000001E-2</v>
      </c>
      <c r="AE164" s="3">
        <v>4.1076969999999999</v>
      </c>
      <c r="AF164" s="3">
        <v>20.534310000000001</v>
      </c>
      <c r="AG164" s="3">
        <v>1.552856</v>
      </c>
      <c r="AH164" s="3">
        <v>60.082299999999996</v>
      </c>
      <c r="AI164" s="3">
        <v>15.920870000000001</v>
      </c>
      <c r="AL164" s="3">
        <v>16.386949999999999</v>
      </c>
      <c r="AM164" s="3">
        <v>8.8872520000000002</v>
      </c>
      <c r="AQ164" s="3">
        <v>1.1385639999999999</v>
      </c>
      <c r="AV164" s="3">
        <v>9.5742010000000004</v>
      </c>
      <c r="AW164" s="3">
        <v>3.9442069999999998E-5</v>
      </c>
      <c r="AX164" s="3">
        <v>12.7417</v>
      </c>
      <c r="AY164" s="3">
        <v>1.409127</v>
      </c>
    </row>
    <row r="165" spans="1:51" x14ac:dyDescent="0.2">
      <c r="A165" s="3" t="s">
        <v>62</v>
      </c>
      <c r="B165" s="49">
        <v>22828</v>
      </c>
      <c r="D165" s="3">
        <v>14.83863</v>
      </c>
      <c r="F165" s="3">
        <v>12.56255</v>
      </c>
      <c r="G165" s="3">
        <v>26.139389999999999</v>
      </c>
      <c r="M165" s="3">
        <v>24.26849</v>
      </c>
      <c r="P165" s="3">
        <v>2.8676789999999999</v>
      </c>
      <c r="S165" s="3">
        <v>8.0022260000000003</v>
      </c>
      <c r="T165" s="3">
        <v>10.696249999999999</v>
      </c>
      <c r="W165" s="3">
        <v>6.1500899999999996</v>
      </c>
      <c r="X165" s="3">
        <v>1.12357</v>
      </c>
      <c r="AA165" s="3">
        <v>1.8137399999999999</v>
      </c>
      <c r="AB165" s="3">
        <v>16.862590000000001</v>
      </c>
      <c r="AC165" s="3">
        <v>4.0272049999999997E-2</v>
      </c>
      <c r="AE165" s="3">
        <v>4.1344349999999999</v>
      </c>
      <c r="AF165" s="3">
        <v>20.735810000000001</v>
      </c>
      <c r="AG165" s="3">
        <v>1.5676749999999999</v>
      </c>
      <c r="AH165" s="3">
        <v>60.144599999999997</v>
      </c>
      <c r="AI165" s="3">
        <v>15.90898</v>
      </c>
      <c r="AL165" s="3">
        <v>15.931760000000001</v>
      </c>
      <c r="AM165" s="3">
        <v>9.0305949999999999</v>
      </c>
      <c r="AQ165" s="3">
        <v>1.1464639999999999</v>
      </c>
      <c r="AV165" s="3">
        <v>9.5859369999999995</v>
      </c>
      <c r="AW165" s="3">
        <v>3.9280419999999999E-5</v>
      </c>
      <c r="AX165" s="3">
        <v>12.78389</v>
      </c>
      <c r="AY165" s="3">
        <v>1.409127</v>
      </c>
    </row>
    <row r="166" spans="1:51" x14ac:dyDescent="0.2">
      <c r="A166" s="3" t="s">
        <v>63</v>
      </c>
      <c r="B166" s="49">
        <v>22859</v>
      </c>
      <c r="D166" s="3">
        <v>14.65455</v>
      </c>
      <c r="F166" s="3">
        <v>12.64156</v>
      </c>
      <c r="G166" s="3">
        <v>26.24652</v>
      </c>
      <c r="M166" s="3">
        <v>24.138010000000001</v>
      </c>
      <c r="P166" s="3">
        <v>2.8606050000000001</v>
      </c>
      <c r="S166" s="3">
        <v>8.0022260000000003</v>
      </c>
      <c r="T166" s="3">
        <v>10.68558</v>
      </c>
      <c r="W166" s="3">
        <v>6.0960890000000001</v>
      </c>
      <c r="X166" s="3">
        <v>1.12357</v>
      </c>
      <c r="AA166" s="3">
        <v>1.828308</v>
      </c>
      <c r="AB166" s="3">
        <v>16.862590000000001</v>
      </c>
      <c r="AC166" s="3">
        <v>4.1304670000000002E-2</v>
      </c>
      <c r="AE166" s="3">
        <v>4.1377769999999998</v>
      </c>
      <c r="AF166" s="3">
        <v>20.735810000000001</v>
      </c>
      <c r="AG166" s="3">
        <v>1.6134630000000001</v>
      </c>
      <c r="AH166" s="3">
        <v>60.821800000000003</v>
      </c>
      <c r="AI166" s="3">
        <v>15.90898</v>
      </c>
      <c r="AL166" s="3">
        <v>15.931760000000001</v>
      </c>
      <c r="AM166" s="3">
        <v>9.0305949999999999</v>
      </c>
      <c r="AQ166" s="3">
        <v>1.148439</v>
      </c>
      <c r="AV166" s="3">
        <v>9.6082909999999995</v>
      </c>
      <c r="AW166" s="3">
        <v>3.9280419999999999E-5</v>
      </c>
      <c r="AX166" s="3">
        <v>12.78389</v>
      </c>
      <c r="AY166" s="3">
        <v>1.409127</v>
      </c>
    </row>
    <row r="167" spans="1:51" x14ac:dyDescent="0.2">
      <c r="A167" s="3" t="s">
        <v>64</v>
      </c>
      <c r="B167" s="49">
        <v>22890</v>
      </c>
      <c r="D167" s="3">
        <v>14.67544</v>
      </c>
      <c r="F167" s="3">
        <v>12.56255</v>
      </c>
      <c r="G167" s="3">
        <v>26.232469999999999</v>
      </c>
      <c r="M167" s="3">
        <v>24.138010000000001</v>
      </c>
      <c r="P167" s="3">
        <v>2.878018</v>
      </c>
      <c r="S167" s="3">
        <v>8.0022260000000003</v>
      </c>
      <c r="T167" s="3">
        <v>10.72828</v>
      </c>
      <c r="W167" s="3">
        <v>6.0900889999999999</v>
      </c>
      <c r="X167" s="3">
        <v>1.12357</v>
      </c>
      <c r="AA167" s="3">
        <v>1.828308</v>
      </c>
      <c r="AB167" s="3">
        <v>17.145209999999999</v>
      </c>
      <c r="AC167" s="3">
        <v>4.1993080000000002E-2</v>
      </c>
      <c r="AE167" s="3">
        <v>4.1511459999999998</v>
      </c>
      <c r="AF167" s="3">
        <v>20.66254</v>
      </c>
      <c r="AG167" s="3">
        <v>1.5932649999999999</v>
      </c>
      <c r="AH167" s="3">
        <v>61.372700000000002</v>
      </c>
      <c r="AI167" s="3">
        <v>15.99934</v>
      </c>
      <c r="AL167" s="3">
        <v>16.083490000000001</v>
      </c>
      <c r="AM167" s="3">
        <v>9.1022660000000002</v>
      </c>
      <c r="AQ167" s="3">
        <v>1.153376</v>
      </c>
      <c r="AV167" s="3">
        <v>9.5825829999999996</v>
      </c>
      <c r="AW167" s="3">
        <v>3.9280419999999999E-5</v>
      </c>
      <c r="AX167" s="3">
        <v>12.826079999999999</v>
      </c>
      <c r="AY167" s="3">
        <v>1.409127</v>
      </c>
    </row>
    <row r="168" spans="1:51" x14ac:dyDescent="0.2">
      <c r="A168" s="3" t="s">
        <v>65</v>
      </c>
      <c r="B168" s="49">
        <v>22920</v>
      </c>
      <c r="D168" s="3">
        <v>14.71852</v>
      </c>
      <c r="F168" s="3">
        <v>12.64156</v>
      </c>
      <c r="G168" s="3">
        <v>26.193829999999998</v>
      </c>
      <c r="M168" s="3">
        <v>24.203250000000001</v>
      </c>
      <c r="P168" s="3">
        <v>2.90577</v>
      </c>
      <c r="S168" s="3">
        <v>8.0712109999999999</v>
      </c>
      <c r="T168" s="3">
        <v>10.74963</v>
      </c>
      <c r="W168" s="3">
        <v>6.0840889999999996</v>
      </c>
      <c r="X168" s="3">
        <v>1.1451769999999999</v>
      </c>
      <c r="AA168" s="3">
        <v>1.842876</v>
      </c>
      <c r="AB168" s="3">
        <v>17.145209999999999</v>
      </c>
      <c r="AC168" s="3">
        <v>4.30257E-2</v>
      </c>
      <c r="AE168" s="3">
        <v>4.1678579999999998</v>
      </c>
      <c r="AF168" s="3">
        <v>20.827400000000001</v>
      </c>
      <c r="AG168" s="3">
        <v>1.602692</v>
      </c>
      <c r="AH168" s="3">
        <v>63.106900000000003</v>
      </c>
      <c r="AI168" s="3">
        <v>15.870939999999999</v>
      </c>
      <c r="AL168" s="3">
        <v>15.931760000000001</v>
      </c>
      <c r="AM168" s="3">
        <v>9.0305949999999999</v>
      </c>
      <c r="AQ168" s="3">
        <v>1.169176</v>
      </c>
      <c r="AV168" s="3">
        <v>9.5557590000000001</v>
      </c>
      <c r="AW168" s="3">
        <v>3.9765370000000002E-5</v>
      </c>
      <c r="AX168" s="3">
        <v>12.826079999999999</v>
      </c>
      <c r="AY168" s="3">
        <v>1.409127</v>
      </c>
    </row>
    <row r="169" spans="1:51" x14ac:dyDescent="0.2">
      <c r="A169" s="3" t="s">
        <v>66</v>
      </c>
      <c r="B169" s="49">
        <v>22951</v>
      </c>
      <c r="D169" s="3">
        <v>14.74202</v>
      </c>
      <c r="F169" s="3">
        <v>12.64156</v>
      </c>
      <c r="G169" s="3">
        <v>26.31325</v>
      </c>
      <c r="M169" s="3">
        <v>24.26849</v>
      </c>
      <c r="P169" s="3">
        <v>2.9803190000000002</v>
      </c>
      <c r="S169" s="3">
        <v>8.1401950000000003</v>
      </c>
      <c r="T169" s="3">
        <v>10.81367</v>
      </c>
      <c r="W169" s="3">
        <v>6.1080889999999997</v>
      </c>
      <c r="X169" s="3">
        <v>1.1451769999999999</v>
      </c>
      <c r="AA169" s="3">
        <v>1.828308</v>
      </c>
      <c r="AB169" s="3">
        <v>17.145209999999999</v>
      </c>
      <c r="AC169" s="3">
        <v>4.30257E-2</v>
      </c>
      <c r="AE169" s="3">
        <v>4.1945959999999998</v>
      </c>
      <c r="AF169" s="3">
        <v>20.75413</v>
      </c>
      <c r="AG169" s="3">
        <v>1.60134</v>
      </c>
      <c r="AH169" s="3">
        <v>63.455100000000002</v>
      </c>
      <c r="AI169" s="3">
        <v>15.91136</v>
      </c>
      <c r="AL169" s="3">
        <v>15.931760000000001</v>
      </c>
      <c r="AM169" s="3">
        <v>9.0305949999999999</v>
      </c>
      <c r="AQ169" s="3">
        <v>1.1810259999999999</v>
      </c>
      <c r="AV169" s="3">
        <v>9.5853780000000004</v>
      </c>
      <c r="AW169" s="3">
        <v>4.0250309999999997E-5</v>
      </c>
      <c r="AX169" s="3">
        <v>12.826079999999999</v>
      </c>
      <c r="AY169" s="3">
        <v>1.409127</v>
      </c>
    </row>
    <row r="170" spans="1:51" x14ac:dyDescent="0.2">
      <c r="A170" s="3" t="s">
        <v>67</v>
      </c>
      <c r="B170" s="49">
        <v>22981</v>
      </c>
      <c r="D170" s="3">
        <v>14.71852</v>
      </c>
      <c r="F170" s="3">
        <v>12.64156</v>
      </c>
      <c r="G170" s="3">
        <v>26.366810000000001</v>
      </c>
      <c r="M170" s="3">
        <v>24.398969999999998</v>
      </c>
      <c r="P170" s="3">
        <v>3.0184090000000001</v>
      </c>
      <c r="S170" s="3">
        <v>8.1401950000000003</v>
      </c>
      <c r="T170" s="3">
        <v>10.85637</v>
      </c>
      <c r="W170" s="3">
        <v>6.13809</v>
      </c>
      <c r="X170" s="3">
        <v>1.1451769999999999</v>
      </c>
      <c r="AA170" s="3">
        <v>1.8028139999999999</v>
      </c>
      <c r="AB170" s="3">
        <v>17.89884</v>
      </c>
      <c r="AC170" s="3">
        <v>4.3369900000000003E-2</v>
      </c>
      <c r="AE170" s="3">
        <v>4.2581009999999999</v>
      </c>
      <c r="AF170" s="3">
        <v>21.175439999999998</v>
      </c>
      <c r="AG170" s="3">
        <v>1.6202000000000001</v>
      </c>
      <c r="AH170" s="3">
        <v>63.543999999999997</v>
      </c>
      <c r="AI170" s="3">
        <v>15.95416</v>
      </c>
      <c r="AL170" s="3">
        <v>16.083490000000001</v>
      </c>
      <c r="AM170" s="3">
        <v>9.1022660000000002</v>
      </c>
      <c r="AQ170" s="3">
        <v>1.1642380000000001</v>
      </c>
      <c r="AV170" s="3">
        <v>9.6211439999999993</v>
      </c>
      <c r="AW170" s="3">
        <v>4.0735249999999999E-5</v>
      </c>
      <c r="AX170" s="3">
        <v>12.826079999999999</v>
      </c>
      <c r="AY170" s="3">
        <v>1.4181600000000001</v>
      </c>
    </row>
    <row r="171" spans="1:51" x14ac:dyDescent="0.2">
      <c r="A171" s="3" t="s">
        <v>68</v>
      </c>
      <c r="B171" s="49">
        <v>23012</v>
      </c>
      <c r="D171" s="3">
        <v>14.77727</v>
      </c>
      <c r="F171" s="3">
        <v>12.64156</v>
      </c>
      <c r="G171" s="3">
        <v>26.447590000000002</v>
      </c>
      <c r="M171" s="3">
        <v>24.725149999999999</v>
      </c>
      <c r="P171" s="3">
        <v>3.0254829999999999</v>
      </c>
      <c r="S171" s="3">
        <v>8.1401950000000003</v>
      </c>
      <c r="T171" s="3">
        <v>10.94177</v>
      </c>
      <c r="W171" s="3">
        <v>6.1620900000000001</v>
      </c>
      <c r="X171" s="3">
        <v>1.166784</v>
      </c>
      <c r="AA171" s="3">
        <v>1.788246</v>
      </c>
      <c r="AB171" s="3">
        <v>17.89884</v>
      </c>
      <c r="AC171" s="3">
        <v>4.4058310000000003E-2</v>
      </c>
      <c r="AE171" s="3">
        <v>4.3048929999999999</v>
      </c>
      <c r="AF171" s="3">
        <v>21.523479999999999</v>
      </c>
      <c r="AG171" s="3">
        <v>1.6619539999999999</v>
      </c>
      <c r="AH171" s="3">
        <v>63.741700000000002</v>
      </c>
      <c r="AI171" s="3">
        <v>15.97794</v>
      </c>
      <c r="AL171" s="3">
        <v>16.235220000000002</v>
      </c>
      <c r="AM171" s="3">
        <v>9.1022660000000002</v>
      </c>
      <c r="AQ171" s="3">
        <v>1.162263</v>
      </c>
      <c r="AV171" s="3">
        <v>9.646293</v>
      </c>
      <c r="AW171" s="3">
        <v>4.1220200000000002E-5</v>
      </c>
      <c r="AX171" s="3">
        <v>12.826079999999999</v>
      </c>
      <c r="AY171" s="3">
        <v>1.4226760000000001</v>
      </c>
    </row>
    <row r="172" spans="1:51" x14ac:dyDescent="0.2">
      <c r="A172" s="3" t="s">
        <v>69</v>
      </c>
      <c r="B172" s="49">
        <v>23043</v>
      </c>
      <c r="D172" s="3">
        <v>14.958740000000001</v>
      </c>
      <c r="F172" s="3">
        <v>12.64156</v>
      </c>
      <c r="G172" s="3">
        <v>26.607399999999998</v>
      </c>
      <c r="M172" s="3">
        <v>24.920870000000001</v>
      </c>
      <c r="P172" s="3">
        <v>3.049426</v>
      </c>
      <c r="S172" s="3">
        <v>8.1401950000000003</v>
      </c>
      <c r="T172" s="3">
        <v>11.00582</v>
      </c>
      <c r="W172" s="3">
        <v>6.2160909999999996</v>
      </c>
      <c r="X172" s="3">
        <v>1.166784</v>
      </c>
      <c r="AA172" s="3">
        <v>1.7736780000000001</v>
      </c>
      <c r="AB172" s="3">
        <v>17.89884</v>
      </c>
      <c r="AC172" s="3">
        <v>4.4058310000000003E-2</v>
      </c>
      <c r="AE172" s="3">
        <v>4.3650539999999998</v>
      </c>
      <c r="AF172" s="3">
        <v>21.62087</v>
      </c>
      <c r="AG172" s="3">
        <v>1.698315</v>
      </c>
      <c r="AH172" s="3">
        <v>64.260800000000003</v>
      </c>
      <c r="AI172" s="3">
        <v>16.044519999999999</v>
      </c>
      <c r="AL172" s="3">
        <v>16.538679999999999</v>
      </c>
      <c r="AM172" s="3">
        <v>9.1739379999999997</v>
      </c>
      <c r="AQ172" s="3">
        <v>1.1780630000000001</v>
      </c>
      <c r="AV172" s="3">
        <v>9.6831770000000006</v>
      </c>
      <c r="AW172" s="3">
        <v>4.2028440000000002E-5</v>
      </c>
      <c r="AX172" s="3">
        <v>12.826079999999999</v>
      </c>
      <c r="AY172" s="3">
        <v>1.4181600000000001</v>
      </c>
    </row>
    <row r="173" spans="1:51" x14ac:dyDescent="0.2">
      <c r="A173" s="3" t="s">
        <v>70</v>
      </c>
      <c r="B173" s="49">
        <v>23071</v>
      </c>
      <c r="D173" s="3">
        <v>14.96527</v>
      </c>
      <c r="F173" s="3">
        <v>12.64156</v>
      </c>
      <c r="G173" s="3">
        <v>26.607399999999998</v>
      </c>
      <c r="M173" s="3">
        <v>24.920870000000001</v>
      </c>
      <c r="P173" s="3">
        <v>3.1087379999999998</v>
      </c>
      <c r="S173" s="3">
        <v>8.2091799999999999</v>
      </c>
      <c r="T173" s="3">
        <v>11.037850000000001</v>
      </c>
      <c r="W173" s="3">
        <v>6.2220909999999998</v>
      </c>
      <c r="X173" s="3">
        <v>1.166784</v>
      </c>
      <c r="AA173" s="3">
        <v>1.788246</v>
      </c>
      <c r="AB173" s="3">
        <v>18.55827</v>
      </c>
      <c r="AC173" s="3">
        <v>4.4402520000000001E-2</v>
      </c>
      <c r="AE173" s="3">
        <v>4.3784229999999997</v>
      </c>
      <c r="AF173" s="3">
        <v>21.718260000000001</v>
      </c>
      <c r="AG173" s="3">
        <v>1.707741</v>
      </c>
      <c r="AH173" s="3">
        <v>64.377099999999999</v>
      </c>
      <c r="AI173" s="3">
        <v>16.043330000000001</v>
      </c>
      <c r="AL173" s="3">
        <v>16.538679999999999</v>
      </c>
      <c r="AM173" s="3">
        <v>9.245609</v>
      </c>
      <c r="AQ173" s="3">
        <v>1.195838</v>
      </c>
      <c r="AV173" s="3">
        <v>9.7195009999999993</v>
      </c>
      <c r="AW173" s="3">
        <v>4.2351729999999998E-5</v>
      </c>
      <c r="AX173" s="3">
        <v>12.86828</v>
      </c>
      <c r="AY173" s="3">
        <v>1.4181600000000001</v>
      </c>
    </row>
    <row r="174" spans="1:51" x14ac:dyDescent="0.2">
      <c r="A174" s="3" t="s">
        <v>71</v>
      </c>
      <c r="B174" s="49">
        <v>23102</v>
      </c>
      <c r="D174" s="3">
        <v>14.937849999999999</v>
      </c>
      <c r="F174" s="3">
        <v>12.64156</v>
      </c>
      <c r="G174" s="3">
        <v>26.647790000000001</v>
      </c>
      <c r="M174" s="3">
        <v>24.98611</v>
      </c>
      <c r="P174" s="3">
        <v>3.1065619999999998</v>
      </c>
      <c r="S174" s="3">
        <v>8.2781649999999996</v>
      </c>
      <c r="T174" s="3">
        <v>11.059200000000001</v>
      </c>
      <c r="W174" s="3">
        <v>6.2400909999999996</v>
      </c>
      <c r="X174" s="3">
        <v>1.166784</v>
      </c>
      <c r="AA174" s="3">
        <v>1.8028139999999999</v>
      </c>
      <c r="AB174" s="3">
        <v>18.55827</v>
      </c>
      <c r="AC174" s="3">
        <v>4.4746719999999997E-2</v>
      </c>
      <c r="AE174" s="3">
        <v>4.4051619999999998</v>
      </c>
      <c r="AF174" s="3">
        <v>21.815650000000002</v>
      </c>
      <c r="AG174" s="3">
        <v>1.765652</v>
      </c>
      <c r="AH174" s="3">
        <v>65.066199999999995</v>
      </c>
      <c r="AI174" s="3">
        <v>16.014800000000001</v>
      </c>
      <c r="AL174" s="3">
        <v>16.69041</v>
      </c>
      <c r="AM174" s="3">
        <v>9.245609</v>
      </c>
      <c r="AQ174" s="3">
        <v>1.1830000000000001</v>
      </c>
      <c r="AV174" s="3">
        <v>9.7575040000000008</v>
      </c>
      <c r="AW174" s="3">
        <v>4.2028440000000002E-5</v>
      </c>
      <c r="AX174" s="3">
        <v>12.86828</v>
      </c>
      <c r="AY174" s="3">
        <v>1.4181600000000001</v>
      </c>
    </row>
    <row r="175" spans="1:51" x14ac:dyDescent="0.2">
      <c r="A175" s="3" t="s">
        <v>72</v>
      </c>
      <c r="B175" s="49">
        <v>23132</v>
      </c>
      <c r="D175" s="3">
        <v>14.89607</v>
      </c>
      <c r="F175" s="3">
        <v>12.64156</v>
      </c>
      <c r="G175" s="3">
        <v>26.807600000000001</v>
      </c>
      <c r="M175" s="3">
        <v>24.920870000000001</v>
      </c>
      <c r="P175" s="3">
        <v>3.123974</v>
      </c>
      <c r="S175" s="3">
        <v>8.2781649999999996</v>
      </c>
      <c r="T175" s="3">
        <v>11.101900000000001</v>
      </c>
      <c r="W175" s="3">
        <v>6.2340910000000003</v>
      </c>
      <c r="X175" s="3">
        <v>1.166784</v>
      </c>
      <c r="AA175" s="3">
        <v>1.8137399999999999</v>
      </c>
      <c r="AB175" s="3">
        <v>18.55827</v>
      </c>
      <c r="AC175" s="3">
        <v>4.5090930000000001E-2</v>
      </c>
      <c r="AE175" s="3">
        <v>4.4051619999999998</v>
      </c>
      <c r="AF175" s="3">
        <v>21.986090000000001</v>
      </c>
      <c r="AG175" s="3">
        <v>1.7454480000000001</v>
      </c>
      <c r="AH175" s="3">
        <v>65.111099999999993</v>
      </c>
      <c r="AI175" s="3">
        <v>16.3156</v>
      </c>
      <c r="AL175" s="3">
        <v>16.538679999999999</v>
      </c>
      <c r="AM175" s="3">
        <v>9.1022660000000002</v>
      </c>
      <c r="AQ175" s="3">
        <v>1.1652260000000001</v>
      </c>
      <c r="AV175" s="3">
        <v>9.768122</v>
      </c>
      <c r="AW175" s="3">
        <v>4.219008E-5</v>
      </c>
      <c r="AX175" s="3">
        <v>12.86828</v>
      </c>
      <c r="AY175" s="3">
        <v>1.4181600000000001</v>
      </c>
    </row>
    <row r="176" spans="1:51" x14ac:dyDescent="0.2">
      <c r="A176" s="3" t="s">
        <v>73</v>
      </c>
      <c r="B176" s="49">
        <v>23163</v>
      </c>
      <c r="D176" s="3">
        <v>14.91827</v>
      </c>
      <c r="F176" s="3">
        <v>12.64156</v>
      </c>
      <c r="G176" s="3">
        <v>26.87434</v>
      </c>
      <c r="M176" s="3">
        <v>24.790389999999999</v>
      </c>
      <c r="P176" s="3">
        <v>3.0662940000000001</v>
      </c>
      <c r="S176" s="3">
        <v>8.2781649999999996</v>
      </c>
      <c r="T176" s="3">
        <v>11.17662</v>
      </c>
      <c r="W176" s="3">
        <v>6.2340910000000003</v>
      </c>
      <c r="X176" s="3">
        <v>1.166784</v>
      </c>
      <c r="AA176" s="3">
        <v>1.842876</v>
      </c>
      <c r="AB176" s="3">
        <v>19.217700000000001</v>
      </c>
      <c r="AC176" s="3">
        <v>4.5090930000000001E-2</v>
      </c>
      <c r="AE176" s="3">
        <v>4.4118469999999999</v>
      </c>
      <c r="AF176" s="3">
        <v>22.15652</v>
      </c>
      <c r="AG176" s="3">
        <v>1.7925869999999999</v>
      </c>
      <c r="AH176" s="3">
        <v>65.2834</v>
      </c>
      <c r="AI176" s="3">
        <v>16.416650000000001</v>
      </c>
      <c r="AL176" s="3">
        <v>16.69041</v>
      </c>
      <c r="AM176" s="3">
        <v>9.1022660000000002</v>
      </c>
      <c r="AQ176" s="3">
        <v>1.1573260000000001</v>
      </c>
      <c r="AV176" s="3">
        <v>9.8044469999999997</v>
      </c>
      <c r="AW176" s="3">
        <v>4.2351729999999998E-5</v>
      </c>
      <c r="AX176" s="3">
        <v>12.91047</v>
      </c>
      <c r="AY176" s="3">
        <v>1.4226760000000001</v>
      </c>
    </row>
    <row r="177" spans="1:51" x14ac:dyDescent="0.2">
      <c r="A177" s="3" t="s">
        <v>74</v>
      </c>
      <c r="B177" s="49">
        <v>23193</v>
      </c>
      <c r="D177" s="3">
        <v>15.00182</v>
      </c>
      <c r="F177" s="3">
        <v>12.799580000000001</v>
      </c>
      <c r="G177" s="3">
        <v>26.927900000000001</v>
      </c>
      <c r="M177" s="3">
        <v>24.790389999999999</v>
      </c>
      <c r="P177" s="3">
        <v>3.0989439999999999</v>
      </c>
      <c r="S177" s="3">
        <v>8.2781649999999996</v>
      </c>
      <c r="T177" s="3">
        <v>11.21932</v>
      </c>
      <c r="W177" s="3">
        <v>6.1980909999999998</v>
      </c>
      <c r="X177" s="3">
        <v>1.166784</v>
      </c>
      <c r="AA177" s="3">
        <v>1.857445</v>
      </c>
      <c r="AB177" s="3">
        <v>19.217700000000001</v>
      </c>
      <c r="AC177" s="3">
        <v>4.5435129999999997E-2</v>
      </c>
      <c r="AE177" s="3">
        <v>4.4085039999999998</v>
      </c>
      <c r="AF177" s="3">
        <v>22.010439999999999</v>
      </c>
      <c r="AG177" s="3">
        <v>2.0148100000000002</v>
      </c>
      <c r="AH177" s="3">
        <v>65.546899999999994</v>
      </c>
      <c r="AI177" s="3">
        <v>16.409520000000001</v>
      </c>
      <c r="AL177" s="3">
        <v>16.235220000000002</v>
      </c>
      <c r="AM177" s="3">
        <v>9.245609</v>
      </c>
      <c r="AQ177" s="3">
        <v>1.1385639999999999</v>
      </c>
      <c r="AV177" s="3">
        <v>9.799417</v>
      </c>
      <c r="AW177" s="3">
        <v>4.2028440000000002E-5</v>
      </c>
      <c r="AX177" s="3">
        <v>12.95266</v>
      </c>
      <c r="AY177" s="3">
        <v>1.4271929999999999</v>
      </c>
    </row>
    <row r="178" spans="1:51" x14ac:dyDescent="0.2">
      <c r="A178" s="3" t="s">
        <v>75</v>
      </c>
      <c r="B178" s="49">
        <v>23224</v>
      </c>
      <c r="D178" s="3">
        <v>14.98354</v>
      </c>
      <c r="F178" s="3">
        <v>12.878590000000001</v>
      </c>
      <c r="G178" s="3">
        <v>27.0078</v>
      </c>
      <c r="M178" s="3">
        <v>24.725149999999999</v>
      </c>
      <c r="P178" s="3">
        <v>3.1310479999999998</v>
      </c>
      <c r="S178" s="3">
        <v>8.3471489999999999</v>
      </c>
      <c r="T178" s="3">
        <v>11.26202</v>
      </c>
      <c r="W178" s="3">
        <v>6.1800899999999999</v>
      </c>
      <c r="X178" s="3">
        <v>1.166784</v>
      </c>
      <c r="AA178" s="3">
        <v>1.8720129999999999</v>
      </c>
      <c r="AB178" s="3">
        <v>19.217700000000001</v>
      </c>
      <c r="AC178" s="3">
        <v>4.5779340000000002E-2</v>
      </c>
      <c r="AE178" s="3">
        <v>4.4252159999999998</v>
      </c>
      <c r="AF178" s="3">
        <v>21.937390000000001</v>
      </c>
      <c r="AG178" s="3">
        <v>2.0484819999999999</v>
      </c>
      <c r="AH178" s="3">
        <v>66.263800000000003</v>
      </c>
      <c r="AI178" s="3">
        <v>16.457080000000001</v>
      </c>
      <c r="AL178" s="3">
        <v>16.235220000000002</v>
      </c>
      <c r="AM178" s="3">
        <v>9.1022660000000002</v>
      </c>
      <c r="AQ178" s="3">
        <v>1.1662129999999999</v>
      </c>
      <c r="AV178" s="3">
        <v>9.8139479999999999</v>
      </c>
      <c r="AW178" s="3">
        <v>4.1705139999999998E-5</v>
      </c>
      <c r="AX178" s="3">
        <v>12.95266</v>
      </c>
      <c r="AY178" s="3">
        <v>1.4317089999999999</v>
      </c>
    </row>
    <row r="179" spans="1:51" x14ac:dyDescent="0.2">
      <c r="A179" s="3" t="s">
        <v>76</v>
      </c>
      <c r="B179" s="49">
        <v>23255</v>
      </c>
      <c r="D179" s="3">
        <v>15.084070000000001</v>
      </c>
      <c r="F179" s="3">
        <v>12.799580000000001</v>
      </c>
      <c r="G179" s="3">
        <v>27.087710000000001</v>
      </c>
      <c r="M179" s="3">
        <v>24.790389999999999</v>
      </c>
      <c r="P179" s="3">
        <v>3.123974</v>
      </c>
      <c r="S179" s="3">
        <v>8.4161339999999996</v>
      </c>
      <c r="T179" s="3">
        <v>11.336740000000001</v>
      </c>
      <c r="W179" s="3">
        <v>6.1980909999999998</v>
      </c>
      <c r="X179" s="3">
        <v>1.166784</v>
      </c>
      <c r="AA179" s="3">
        <v>1.8829389999999999</v>
      </c>
      <c r="AB179" s="3">
        <v>19.406110000000002</v>
      </c>
      <c r="AC179" s="3">
        <v>4.750037E-2</v>
      </c>
      <c r="AE179" s="3">
        <v>4.4552969999999998</v>
      </c>
      <c r="AF179" s="3">
        <v>22.37565</v>
      </c>
      <c r="AG179" s="3">
        <v>2.0201950000000002</v>
      </c>
      <c r="AH179" s="3">
        <v>66.505099999999999</v>
      </c>
      <c r="AI179" s="3">
        <v>16.573589999999999</v>
      </c>
      <c r="AL179" s="3">
        <v>16.538679999999999</v>
      </c>
      <c r="AM179" s="3">
        <v>9.1022660000000002</v>
      </c>
      <c r="AQ179" s="3">
        <v>1.1652260000000001</v>
      </c>
      <c r="AV179" s="3">
        <v>9.822889</v>
      </c>
      <c r="AW179" s="3">
        <v>4.1866790000000003E-5</v>
      </c>
      <c r="AX179" s="3">
        <v>12.95266</v>
      </c>
      <c r="AY179" s="3">
        <v>1.4317089999999999</v>
      </c>
    </row>
    <row r="180" spans="1:51" x14ac:dyDescent="0.2">
      <c r="A180" s="3" t="s">
        <v>77</v>
      </c>
      <c r="B180" s="49">
        <v>23285</v>
      </c>
      <c r="D180" s="3">
        <v>15.14673</v>
      </c>
      <c r="F180" s="3">
        <v>12.799580000000001</v>
      </c>
      <c r="G180" s="3">
        <v>27.194839999999999</v>
      </c>
      <c r="M180" s="3">
        <v>24.98611</v>
      </c>
      <c r="P180" s="3">
        <v>3.1326809999999998</v>
      </c>
      <c r="S180" s="3">
        <v>8.5541040000000006</v>
      </c>
      <c r="T180" s="3">
        <v>11.358090000000001</v>
      </c>
      <c r="W180" s="3">
        <v>6.2220909999999998</v>
      </c>
      <c r="X180" s="3">
        <v>1.166784</v>
      </c>
      <c r="AA180" s="3">
        <v>1.8975070000000001</v>
      </c>
      <c r="AB180" s="3">
        <v>19.406110000000002</v>
      </c>
      <c r="AC180" s="3">
        <v>4.9565600000000001E-2</v>
      </c>
      <c r="AE180" s="3">
        <v>4.5054309999999997</v>
      </c>
      <c r="AF180" s="3">
        <v>22.302610000000001</v>
      </c>
      <c r="AG180" s="3">
        <v>1.943425</v>
      </c>
      <c r="AH180" s="3">
        <v>67.1785</v>
      </c>
      <c r="AI180" s="3">
        <v>16.492750000000001</v>
      </c>
      <c r="AL180" s="3">
        <v>16.538679999999999</v>
      </c>
      <c r="AM180" s="3">
        <v>9.1022660000000002</v>
      </c>
      <c r="AQ180" s="3">
        <v>1.182013</v>
      </c>
      <c r="AV180" s="3">
        <v>9.8525080000000003</v>
      </c>
      <c r="AW180" s="3">
        <v>4.2513379999999997E-5</v>
      </c>
      <c r="AX180" s="3">
        <v>12.99485</v>
      </c>
      <c r="AY180" s="3">
        <v>1.4317089999999999</v>
      </c>
    </row>
    <row r="181" spans="1:51" x14ac:dyDescent="0.2">
      <c r="A181" s="3" t="s">
        <v>78</v>
      </c>
      <c r="B181" s="49">
        <v>23316</v>
      </c>
      <c r="D181" s="3">
        <v>15.218540000000001</v>
      </c>
      <c r="F181" s="3">
        <v>12.878590000000001</v>
      </c>
      <c r="G181" s="3">
        <v>27.355519999999999</v>
      </c>
      <c r="M181" s="3">
        <v>25.05134</v>
      </c>
      <c r="P181" s="3">
        <v>3.1718600000000001</v>
      </c>
      <c r="S181" s="3">
        <v>8.5541040000000006</v>
      </c>
      <c r="T181" s="3">
        <v>11.39012</v>
      </c>
      <c r="W181" s="3">
        <v>6.2400909999999996</v>
      </c>
      <c r="X181" s="3">
        <v>1.166784</v>
      </c>
      <c r="AA181" s="3">
        <v>1.8975070000000001</v>
      </c>
      <c r="AB181" s="3">
        <v>19.406110000000002</v>
      </c>
      <c r="AC181" s="3">
        <v>5.0254010000000002E-2</v>
      </c>
      <c r="AE181" s="3">
        <v>4.5221419999999997</v>
      </c>
      <c r="AF181" s="3">
        <v>22.205220000000001</v>
      </c>
      <c r="AG181" s="3">
        <v>1.986523</v>
      </c>
      <c r="AH181" s="3">
        <v>67.509900000000002</v>
      </c>
      <c r="AI181" s="3">
        <v>16.539110000000001</v>
      </c>
      <c r="AL181" s="3">
        <v>16.538679999999999</v>
      </c>
      <c r="AM181" s="3">
        <v>9.1739379999999997</v>
      </c>
      <c r="AQ181" s="3">
        <v>1.209662</v>
      </c>
      <c r="AV181" s="3">
        <v>9.8843619999999994</v>
      </c>
      <c r="AW181" s="3">
        <v>4.2513379999999997E-5</v>
      </c>
      <c r="AX181" s="3">
        <v>12.99485</v>
      </c>
      <c r="AY181" s="3">
        <v>1.4317089999999999</v>
      </c>
    </row>
    <row r="182" spans="1:51" x14ac:dyDescent="0.2">
      <c r="A182" s="3" t="s">
        <v>79</v>
      </c>
      <c r="B182" s="49">
        <v>23346</v>
      </c>
      <c r="D182" s="3">
        <v>15.34126</v>
      </c>
      <c r="F182" s="3">
        <v>12.878590000000001</v>
      </c>
      <c r="G182" s="3">
        <v>27.38186</v>
      </c>
      <c r="M182" s="3">
        <v>25.247060000000001</v>
      </c>
      <c r="P182" s="3">
        <v>3.1838310000000001</v>
      </c>
      <c r="S182" s="3">
        <v>8.5541040000000006</v>
      </c>
      <c r="T182" s="3">
        <v>11.41147</v>
      </c>
      <c r="W182" s="3">
        <v>6.2520910000000001</v>
      </c>
      <c r="X182" s="3">
        <v>1.166784</v>
      </c>
      <c r="AA182" s="3">
        <v>1.926644</v>
      </c>
      <c r="AB182" s="3">
        <v>19.78293</v>
      </c>
      <c r="AC182" s="3">
        <v>5.0254010000000002E-2</v>
      </c>
      <c r="AE182" s="3">
        <v>4.5522229999999997</v>
      </c>
      <c r="AF182" s="3">
        <v>22.302610000000001</v>
      </c>
      <c r="AG182" s="3">
        <v>2.082147</v>
      </c>
      <c r="AH182" s="3">
        <v>67.792199999999994</v>
      </c>
      <c r="AI182" s="3">
        <v>16.579540000000001</v>
      </c>
      <c r="AL182" s="3">
        <v>16.69041</v>
      </c>
      <c r="AM182" s="3">
        <v>9.245609</v>
      </c>
      <c r="AQ182" s="3">
        <v>1.1997880000000001</v>
      </c>
      <c r="AV182" s="3">
        <v>9.9201289999999993</v>
      </c>
      <c r="AW182" s="3">
        <v>4.2513379999999997E-5</v>
      </c>
      <c r="AX182" s="3">
        <v>13.037039999999999</v>
      </c>
      <c r="AY182" s="3">
        <v>1.4317089999999999</v>
      </c>
    </row>
    <row r="183" spans="1:51" x14ac:dyDescent="0.2">
      <c r="A183" s="3" t="s">
        <v>80</v>
      </c>
      <c r="B183" s="49">
        <v>23377</v>
      </c>
      <c r="D183" s="3">
        <v>15.419589999999999</v>
      </c>
      <c r="F183" s="3">
        <v>12.878590000000001</v>
      </c>
      <c r="G183" s="3">
        <v>27.40821</v>
      </c>
      <c r="M183" s="3">
        <v>25.37753</v>
      </c>
      <c r="P183" s="3">
        <v>3.1789339999999999</v>
      </c>
      <c r="S183" s="3">
        <v>8.8990270000000002</v>
      </c>
      <c r="T183" s="3">
        <v>11.45417</v>
      </c>
      <c r="W183" s="3">
        <v>6.2820919999999996</v>
      </c>
      <c r="X183" s="3">
        <v>1.166784</v>
      </c>
      <c r="AA183" s="3">
        <v>1.926644</v>
      </c>
      <c r="AB183" s="3">
        <v>19.78293</v>
      </c>
      <c r="AC183" s="3">
        <v>5.128663E-2</v>
      </c>
      <c r="AE183" s="3">
        <v>4.5856469999999998</v>
      </c>
      <c r="AF183" s="3">
        <v>22.32696</v>
      </c>
      <c r="AG183" s="3">
        <v>2.1966230000000002</v>
      </c>
      <c r="AH183" s="3">
        <v>68.160499999999999</v>
      </c>
      <c r="AI183" s="3">
        <v>16.574780000000001</v>
      </c>
      <c r="AL183" s="3">
        <v>16.993870000000001</v>
      </c>
      <c r="AM183" s="3">
        <v>9.460623</v>
      </c>
      <c r="AQ183" s="3">
        <v>1.188925</v>
      </c>
      <c r="AV183" s="3">
        <v>9.9592480000000005</v>
      </c>
      <c r="AW183" s="3">
        <v>4.2998319999999999E-5</v>
      </c>
      <c r="AX183" s="3">
        <v>13.037039999999999</v>
      </c>
      <c r="AY183" s="3">
        <v>1.4317089999999999</v>
      </c>
    </row>
    <row r="184" spans="1:51" x14ac:dyDescent="0.2">
      <c r="A184" s="3" t="s">
        <v>81</v>
      </c>
      <c r="B184" s="49">
        <v>23408</v>
      </c>
      <c r="D184" s="3">
        <v>15.402620000000001</v>
      </c>
      <c r="F184" s="3">
        <v>12.878590000000001</v>
      </c>
      <c r="G184" s="3">
        <v>27.448599999999999</v>
      </c>
      <c r="M184" s="3">
        <v>25.442769999999999</v>
      </c>
      <c r="P184" s="3">
        <v>3.1811099999999999</v>
      </c>
      <c r="S184" s="3">
        <v>8.9680119999999999</v>
      </c>
      <c r="T184" s="3">
        <v>11.464840000000001</v>
      </c>
      <c r="W184" s="3">
        <v>6.2880919999999998</v>
      </c>
      <c r="X184" s="3">
        <v>1.166784</v>
      </c>
      <c r="AA184" s="3">
        <v>1.9521379999999999</v>
      </c>
      <c r="AB184" s="3">
        <v>19.78293</v>
      </c>
      <c r="AC184" s="3">
        <v>5.2663450000000001E-2</v>
      </c>
      <c r="AE184" s="3">
        <v>4.5923309999999997</v>
      </c>
      <c r="AF184" s="3">
        <v>22.302610000000001</v>
      </c>
      <c r="AG184" s="3">
        <v>2.3488129999999998</v>
      </c>
      <c r="AH184" s="3">
        <v>68.553299999999993</v>
      </c>
      <c r="AI184" s="3">
        <v>16.703189999999999</v>
      </c>
      <c r="AL184" s="3">
        <v>16.993870000000001</v>
      </c>
      <c r="AM184" s="3">
        <v>9.5322940000000003</v>
      </c>
      <c r="AQ184" s="3">
        <v>1.197813</v>
      </c>
      <c r="AV184" s="3">
        <v>9.9721010000000003</v>
      </c>
      <c r="AW184" s="3">
        <v>4.2836680000000001E-5</v>
      </c>
      <c r="AX184" s="3">
        <v>13.037039999999999</v>
      </c>
      <c r="AY184" s="3">
        <v>1.4317089999999999</v>
      </c>
    </row>
    <row r="185" spans="1:51" x14ac:dyDescent="0.2">
      <c r="A185" s="3" t="s">
        <v>82</v>
      </c>
      <c r="B185" s="49">
        <v>23437</v>
      </c>
      <c r="D185" s="3">
        <v>15.35431</v>
      </c>
      <c r="F185" s="3">
        <v>12.878590000000001</v>
      </c>
      <c r="G185" s="3">
        <v>27.461770000000001</v>
      </c>
      <c r="M185" s="3">
        <v>25.442769999999999</v>
      </c>
      <c r="P185" s="3">
        <v>3.1909049999999999</v>
      </c>
      <c r="S185" s="3">
        <v>9.0369960000000003</v>
      </c>
      <c r="T185" s="3">
        <v>11.475519999999999</v>
      </c>
      <c r="W185" s="3">
        <v>6.3120919999999998</v>
      </c>
      <c r="X185" s="3">
        <v>1.166784</v>
      </c>
      <c r="AA185" s="3">
        <v>1.9667060000000001</v>
      </c>
      <c r="AB185" s="3">
        <v>20.065539999999999</v>
      </c>
      <c r="AC185" s="3">
        <v>5.4384479999999999E-2</v>
      </c>
      <c r="AE185" s="3">
        <v>4.6056999999999997</v>
      </c>
      <c r="AF185" s="3">
        <v>22.4</v>
      </c>
      <c r="AG185" s="3">
        <v>2.3986420000000002</v>
      </c>
      <c r="AH185" s="3">
        <v>68.234099999999998</v>
      </c>
      <c r="AI185" s="3">
        <v>16.63898</v>
      </c>
      <c r="AL185" s="3">
        <v>17.145610000000001</v>
      </c>
      <c r="AM185" s="3">
        <v>9.5322940000000003</v>
      </c>
      <c r="AQ185" s="3">
        <v>1.2195370000000001</v>
      </c>
      <c r="AV185" s="3">
        <v>10.02519</v>
      </c>
      <c r="AW185" s="3">
        <v>4.2351729999999998E-5</v>
      </c>
      <c r="AX185" s="3">
        <v>13.037039999999999</v>
      </c>
      <c r="AY185" s="3">
        <v>1.4452590000000001</v>
      </c>
    </row>
    <row r="186" spans="1:51" x14ac:dyDescent="0.2">
      <c r="A186" s="3" t="s">
        <v>83</v>
      </c>
      <c r="B186" s="49">
        <v>23468</v>
      </c>
      <c r="D186" s="3">
        <v>15.432639999999999</v>
      </c>
      <c r="F186" s="3">
        <v>12.957599999999999</v>
      </c>
      <c r="G186" s="3">
        <v>27.635629999999999</v>
      </c>
      <c r="M186" s="3">
        <v>25.442769999999999</v>
      </c>
      <c r="P186" s="3">
        <v>3.2028759999999998</v>
      </c>
      <c r="S186" s="3">
        <v>9.1059809999999999</v>
      </c>
      <c r="T186" s="3">
        <v>11.486190000000001</v>
      </c>
      <c r="W186" s="3">
        <v>6.3660930000000002</v>
      </c>
      <c r="X186" s="3">
        <v>1.188391</v>
      </c>
      <c r="AA186" s="3">
        <v>1.981274</v>
      </c>
      <c r="AB186" s="3">
        <v>20.065539999999999</v>
      </c>
      <c r="AC186" s="3">
        <v>5.5417099999999997E-2</v>
      </c>
      <c r="AE186" s="3">
        <v>4.6123849999999997</v>
      </c>
      <c r="AF186" s="3">
        <v>22.667829999999999</v>
      </c>
      <c r="AG186" s="3">
        <v>2.4471319999999999</v>
      </c>
      <c r="AH186" s="3">
        <v>68.393699999999995</v>
      </c>
      <c r="AI186" s="3">
        <v>16.66752</v>
      </c>
      <c r="AL186" s="3">
        <v>17.904260000000001</v>
      </c>
      <c r="AM186" s="3">
        <v>9.6039659999999998</v>
      </c>
      <c r="AQ186" s="3">
        <v>1.215587</v>
      </c>
      <c r="AV186" s="3">
        <v>10.01904</v>
      </c>
      <c r="AW186" s="3">
        <v>4.2028440000000002E-5</v>
      </c>
      <c r="AX186" s="3">
        <v>13.037039999999999</v>
      </c>
      <c r="AY186" s="3">
        <v>1.449775</v>
      </c>
    </row>
    <row r="187" spans="1:51" x14ac:dyDescent="0.2">
      <c r="A187" s="3" t="s">
        <v>84</v>
      </c>
      <c r="B187" s="49">
        <v>23498</v>
      </c>
      <c r="D187" s="3">
        <v>15.470499999999999</v>
      </c>
      <c r="F187" s="3">
        <v>12.957599999999999</v>
      </c>
      <c r="G187" s="3">
        <v>27.78227</v>
      </c>
      <c r="M187" s="3">
        <v>25.442769999999999</v>
      </c>
      <c r="P187" s="3">
        <v>3.211039</v>
      </c>
      <c r="S187" s="3">
        <v>9.1749659999999995</v>
      </c>
      <c r="T187" s="3">
        <v>11.496869999999999</v>
      </c>
      <c r="W187" s="3">
        <v>6.4200939999999997</v>
      </c>
      <c r="X187" s="3">
        <v>1.188391</v>
      </c>
      <c r="AA187" s="3">
        <v>2.0213369999999999</v>
      </c>
      <c r="AB187" s="3">
        <v>20.065539999999999</v>
      </c>
      <c r="AC187" s="3">
        <v>5.6105509999999997E-2</v>
      </c>
      <c r="AE187" s="3">
        <v>4.6524929999999998</v>
      </c>
      <c r="AF187" s="3">
        <v>22.765219999999999</v>
      </c>
      <c r="AG187" s="3">
        <v>2.5616089999999998</v>
      </c>
      <c r="AH187" s="3">
        <v>67.970200000000006</v>
      </c>
      <c r="AI187" s="3">
        <v>16.675840000000001</v>
      </c>
      <c r="AL187" s="3">
        <v>17.449069999999999</v>
      </c>
      <c r="AM187" s="3">
        <v>9.6039659999999998</v>
      </c>
      <c r="AQ187" s="3">
        <v>1.204725</v>
      </c>
      <c r="AV187" s="3">
        <v>10.04978</v>
      </c>
      <c r="AW187" s="3">
        <v>4.2675030000000003E-5</v>
      </c>
      <c r="AX187" s="3">
        <v>13.037039999999999</v>
      </c>
      <c r="AY187" s="3">
        <v>1.449775</v>
      </c>
    </row>
    <row r="188" spans="1:51" x14ac:dyDescent="0.2">
      <c r="A188" s="3" t="s">
        <v>85</v>
      </c>
      <c r="B188" s="49">
        <v>23529</v>
      </c>
      <c r="D188" s="3">
        <v>15.65067</v>
      </c>
      <c r="F188" s="3">
        <v>12.957599999999999</v>
      </c>
      <c r="G188" s="3">
        <v>27.742750000000001</v>
      </c>
      <c r="M188" s="3">
        <v>25.37753</v>
      </c>
      <c r="P188" s="3">
        <v>3.2540260000000001</v>
      </c>
      <c r="S188" s="3">
        <v>9.2439509999999991</v>
      </c>
      <c r="T188" s="3">
        <v>11.518219999999999</v>
      </c>
      <c r="W188" s="3">
        <v>6.4440939999999998</v>
      </c>
      <c r="X188" s="3">
        <v>1.188391</v>
      </c>
      <c r="AA188" s="3">
        <v>2.0613990000000002</v>
      </c>
      <c r="AB188" s="3">
        <v>20.442360000000001</v>
      </c>
      <c r="AC188" s="3">
        <v>5.6105509999999997E-2</v>
      </c>
      <c r="AE188" s="3">
        <v>4.6825729999999997</v>
      </c>
      <c r="AF188" s="3">
        <v>22.716519999999999</v>
      </c>
      <c r="AG188" s="3">
        <v>2.4444360000000001</v>
      </c>
      <c r="AH188" s="3">
        <v>67.669499999999999</v>
      </c>
      <c r="AI188" s="3">
        <v>16.81138</v>
      </c>
      <c r="AL188" s="3">
        <v>17.449069999999999</v>
      </c>
      <c r="AM188" s="3">
        <v>9.6039659999999998</v>
      </c>
      <c r="AQ188" s="3">
        <v>1.2086749999999999</v>
      </c>
      <c r="AV188" s="3">
        <v>10.071020000000001</v>
      </c>
      <c r="AW188" s="3">
        <v>4.2675030000000003E-5</v>
      </c>
      <c r="AX188" s="3">
        <v>13.079230000000001</v>
      </c>
      <c r="AY188" s="3">
        <v>1.454291</v>
      </c>
    </row>
    <row r="189" spans="1:51" x14ac:dyDescent="0.2">
      <c r="A189" s="3" t="s">
        <v>86</v>
      </c>
      <c r="B189" s="49">
        <v>23559</v>
      </c>
      <c r="D189" s="3">
        <v>15.776</v>
      </c>
      <c r="F189" s="3">
        <v>13.03661</v>
      </c>
      <c r="G189" s="3">
        <v>27.75592</v>
      </c>
      <c r="M189" s="3">
        <v>25.442769999999999</v>
      </c>
      <c r="P189" s="3">
        <v>3.3242229999999999</v>
      </c>
      <c r="S189" s="3">
        <v>9.2439509999999991</v>
      </c>
      <c r="T189" s="3">
        <v>11.550240000000001</v>
      </c>
      <c r="W189" s="3">
        <v>6.4440939999999998</v>
      </c>
      <c r="X189" s="3">
        <v>1.166784</v>
      </c>
      <c r="AA189" s="3">
        <v>2.119672</v>
      </c>
      <c r="AB189" s="3">
        <v>20.442360000000001</v>
      </c>
      <c r="AC189" s="3">
        <v>5.6105509999999997E-2</v>
      </c>
      <c r="AE189" s="3">
        <v>4.7093119999999997</v>
      </c>
      <c r="AF189" s="3">
        <v>22.59478</v>
      </c>
      <c r="AG189" s="3">
        <v>2.3797950000000001</v>
      </c>
      <c r="AH189" s="3">
        <v>67.951800000000006</v>
      </c>
      <c r="AI189" s="3">
        <v>16.809000000000001</v>
      </c>
      <c r="AL189" s="3">
        <v>17.449069999999999</v>
      </c>
      <c r="AM189" s="3">
        <v>9.7473089999999996</v>
      </c>
      <c r="AQ189" s="3">
        <v>1.2086749999999999</v>
      </c>
      <c r="AV189" s="3">
        <v>10.11852</v>
      </c>
      <c r="AW189" s="3">
        <v>4.2028440000000002E-5</v>
      </c>
      <c r="AX189" s="3">
        <v>13.121420000000001</v>
      </c>
      <c r="AY189" s="3">
        <v>1.4633240000000001</v>
      </c>
    </row>
    <row r="190" spans="1:51" x14ac:dyDescent="0.2">
      <c r="A190" s="3" t="s">
        <v>87</v>
      </c>
      <c r="B190" s="49">
        <v>23590</v>
      </c>
      <c r="D190" s="3">
        <v>15.776</v>
      </c>
      <c r="F190" s="3">
        <v>13.03661</v>
      </c>
      <c r="G190" s="3">
        <v>27.822659999999999</v>
      </c>
      <c r="M190" s="3">
        <v>25.442769999999999</v>
      </c>
      <c r="P190" s="3">
        <v>3.3764609999999999</v>
      </c>
      <c r="S190" s="3">
        <v>9.2439509999999991</v>
      </c>
      <c r="T190" s="3">
        <v>11.57159</v>
      </c>
      <c r="W190" s="3">
        <v>6.4680939999999998</v>
      </c>
      <c r="X190" s="3">
        <v>1.166784</v>
      </c>
      <c r="AA190" s="3">
        <v>2.1451660000000001</v>
      </c>
      <c r="AB190" s="3">
        <v>20.442360000000001</v>
      </c>
      <c r="AC190" s="3">
        <v>5.6105509999999997E-2</v>
      </c>
      <c r="AE190" s="3">
        <v>4.7226809999999997</v>
      </c>
      <c r="AF190" s="3">
        <v>22.838259999999998</v>
      </c>
      <c r="AG190" s="3">
        <v>2.3595839999999999</v>
      </c>
      <c r="AH190" s="3">
        <v>68.0745</v>
      </c>
      <c r="AI190" s="3">
        <v>16.952860000000001</v>
      </c>
      <c r="AL190" s="3">
        <v>17.6008</v>
      </c>
      <c r="AM190" s="3">
        <v>9.8189799999999998</v>
      </c>
      <c r="AQ190" s="3">
        <v>1.2195370000000001</v>
      </c>
      <c r="AV190" s="3">
        <v>10.183350000000001</v>
      </c>
      <c r="AW190" s="3">
        <v>4.219008E-5</v>
      </c>
      <c r="AX190" s="3">
        <v>13.079230000000001</v>
      </c>
      <c r="AY190" s="3">
        <v>1.467841</v>
      </c>
    </row>
    <row r="191" spans="1:51" x14ac:dyDescent="0.2">
      <c r="A191" s="3" t="s">
        <v>88</v>
      </c>
      <c r="B191" s="49">
        <v>23621</v>
      </c>
      <c r="D191" s="3">
        <v>15.787750000000001</v>
      </c>
      <c r="F191" s="3">
        <v>13.03661</v>
      </c>
      <c r="G191" s="3">
        <v>27.87622</v>
      </c>
      <c r="M191" s="3">
        <v>25.442769999999999</v>
      </c>
      <c r="P191" s="3">
        <v>3.4096540000000002</v>
      </c>
      <c r="S191" s="3">
        <v>9.3129349999999995</v>
      </c>
      <c r="T191" s="3">
        <v>11.624969999999999</v>
      </c>
      <c r="W191" s="3">
        <v>6.4680939999999998</v>
      </c>
      <c r="X191" s="3">
        <v>1.166784</v>
      </c>
      <c r="AA191" s="3">
        <v>2.1852290000000001</v>
      </c>
      <c r="AB191" s="3">
        <v>21.00759</v>
      </c>
      <c r="AC191" s="3">
        <v>5.6105509999999997E-2</v>
      </c>
      <c r="AE191" s="3">
        <v>4.7427349999999997</v>
      </c>
      <c r="AF191" s="3">
        <v>23.13043</v>
      </c>
      <c r="AG191" s="3">
        <v>2.4444360000000001</v>
      </c>
      <c r="AH191" s="3">
        <v>68.111400000000003</v>
      </c>
      <c r="AI191" s="3">
        <v>17.121690000000001</v>
      </c>
      <c r="AL191" s="3">
        <v>17.75253</v>
      </c>
      <c r="AM191" s="3">
        <v>9.8906519999999993</v>
      </c>
      <c r="AQ191" s="3">
        <v>1.2195370000000001</v>
      </c>
      <c r="AV191" s="3">
        <v>10.221909999999999</v>
      </c>
      <c r="AW191" s="3">
        <v>4.2351729999999998E-5</v>
      </c>
      <c r="AX191" s="3">
        <v>13.121420000000001</v>
      </c>
      <c r="AY191" s="3">
        <v>1.476874</v>
      </c>
    </row>
    <row r="192" spans="1:51" x14ac:dyDescent="0.2">
      <c r="A192" s="3" t="s">
        <v>89</v>
      </c>
      <c r="B192" s="49">
        <v>23651</v>
      </c>
      <c r="D192" s="3">
        <v>15.82822</v>
      </c>
      <c r="F192" s="3">
        <v>13.03661</v>
      </c>
      <c r="G192" s="3">
        <v>27.956130000000002</v>
      </c>
      <c r="M192" s="3">
        <v>25.508009999999999</v>
      </c>
      <c r="P192" s="3">
        <v>3.4657010000000001</v>
      </c>
      <c r="S192" s="3">
        <v>9.3129349999999995</v>
      </c>
      <c r="T192" s="3">
        <v>11.65699</v>
      </c>
      <c r="W192" s="3">
        <v>6.474094</v>
      </c>
      <c r="X192" s="3">
        <v>1.166784</v>
      </c>
      <c r="AA192" s="3">
        <v>2.2435019999999999</v>
      </c>
      <c r="AB192" s="3">
        <v>21.00759</v>
      </c>
      <c r="AC192" s="3">
        <v>5.6105509999999997E-2</v>
      </c>
      <c r="AE192" s="3">
        <v>4.7627889999999997</v>
      </c>
      <c r="AF192" s="3">
        <v>23.544350000000001</v>
      </c>
      <c r="AG192" s="3">
        <v>2.4956160000000001</v>
      </c>
      <c r="AH192" s="3">
        <v>68.760099999999994</v>
      </c>
      <c r="AI192" s="3">
        <v>16.957609999999999</v>
      </c>
      <c r="AL192" s="3">
        <v>17.6008</v>
      </c>
      <c r="AM192" s="3">
        <v>9.8189799999999998</v>
      </c>
      <c r="AQ192" s="3">
        <v>1.2294119999999999</v>
      </c>
      <c r="AV192" s="3">
        <v>10.24314</v>
      </c>
      <c r="AW192" s="3">
        <v>4.2675030000000003E-5</v>
      </c>
      <c r="AX192" s="3">
        <v>13.121420000000001</v>
      </c>
      <c r="AY192" s="3">
        <v>1.48139</v>
      </c>
    </row>
    <row r="193" spans="1:51" x14ac:dyDescent="0.2">
      <c r="A193" s="3" t="s">
        <v>90</v>
      </c>
      <c r="B193" s="49">
        <v>23682</v>
      </c>
      <c r="D193" s="3">
        <v>15.89611</v>
      </c>
      <c r="F193" s="3">
        <v>13.03661</v>
      </c>
      <c r="G193" s="3">
        <v>27.983350000000002</v>
      </c>
      <c r="M193" s="3">
        <v>25.638480000000001</v>
      </c>
      <c r="P193" s="3">
        <v>3.5456910000000001</v>
      </c>
      <c r="S193" s="3">
        <v>9.3819199999999991</v>
      </c>
      <c r="T193" s="3">
        <v>11.65699</v>
      </c>
      <c r="W193" s="3">
        <v>6.5280950000000004</v>
      </c>
      <c r="X193" s="3">
        <v>1.166784</v>
      </c>
      <c r="AA193" s="3">
        <v>2.2435019999999999</v>
      </c>
      <c r="AB193" s="3">
        <v>21.00759</v>
      </c>
      <c r="AC193" s="3">
        <v>5.6105509999999997E-2</v>
      </c>
      <c r="AE193" s="3">
        <v>4.7962119999999997</v>
      </c>
      <c r="AF193" s="3">
        <v>23.34957</v>
      </c>
      <c r="AG193" s="3">
        <v>2.494265</v>
      </c>
      <c r="AH193" s="3">
        <v>68.787999999999997</v>
      </c>
      <c r="AI193" s="3">
        <v>16.964749999999999</v>
      </c>
      <c r="AL193" s="3">
        <v>17.6008</v>
      </c>
      <c r="AM193" s="3">
        <v>9.8906519999999993</v>
      </c>
      <c r="AQ193" s="3">
        <v>1.236324</v>
      </c>
      <c r="AV193" s="3">
        <v>10.281700000000001</v>
      </c>
      <c r="AW193" s="3">
        <v>4.2998319999999999E-5</v>
      </c>
      <c r="AX193" s="3">
        <v>13.16361</v>
      </c>
      <c r="AY193" s="3">
        <v>1.4904230000000001</v>
      </c>
    </row>
    <row r="194" spans="1:51" x14ac:dyDescent="0.2">
      <c r="A194" s="3" t="s">
        <v>91</v>
      </c>
      <c r="B194" s="49">
        <v>23712</v>
      </c>
      <c r="D194" s="3">
        <v>15.94833</v>
      </c>
      <c r="F194" s="3">
        <v>13.11562</v>
      </c>
      <c r="G194" s="3">
        <v>28.022860000000001</v>
      </c>
      <c r="M194" s="3">
        <v>25.834199999999999</v>
      </c>
      <c r="P194" s="3">
        <v>3.5870479999999998</v>
      </c>
      <c r="S194" s="3">
        <v>9.3819199999999991</v>
      </c>
      <c r="T194" s="3">
        <v>11.65699</v>
      </c>
      <c r="W194" s="3">
        <v>6.5520959999999997</v>
      </c>
      <c r="X194" s="3">
        <v>1.188391</v>
      </c>
      <c r="AA194" s="3">
        <v>2.2544279999999999</v>
      </c>
      <c r="AB194" s="3">
        <v>21.384409999999999</v>
      </c>
      <c r="AC194" s="3">
        <v>5.6793919999999998E-2</v>
      </c>
      <c r="AE194" s="3">
        <v>4.8162659999999997</v>
      </c>
      <c r="AF194" s="3">
        <v>23.34957</v>
      </c>
      <c r="AG194" s="3">
        <v>2.5158209999999999</v>
      </c>
      <c r="AH194" s="3">
        <v>68.632000000000005</v>
      </c>
      <c r="AI194" s="3">
        <v>17.051539999999999</v>
      </c>
      <c r="AL194" s="3">
        <v>17.6008</v>
      </c>
      <c r="AM194" s="3">
        <v>9.8906519999999993</v>
      </c>
      <c r="AQ194" s="3">
        <v>1.2402740000000001</v>
      </c>
      <c r="AV194" s="3">
        <v>10.306850000000001</v>
      </c>
      <c r="AW194" s="3">
        <v>4.3159969999999998E-5</v>
      </c>
      <c r="AX194" s="3">
        <v>13.16361</v>
      </c>
      <c r="AY194" s="3">
        <v>1.494939</v>
      </c>
    </row>
    <row r="195" spans="1:51" x14ac:dyDescent="0.2">
      <c r="A195" s="3" t="s">
        <v>92</v>
      </c>
      <c r="B195" s="49">
        <v>23743</v>
      </c>
      <c r="D195" s="3">
        <v>15.994020000000001</v>
      </c>
      <c r="F195" s="3">
        <v>13.11562</v>
      </c>
      <c r="G195" s="3">
        <v>28.049199999999999</v>
      </c>
      <c r="M195" s="3">
        <v>25.899439999999998</v>
      </c>
      <c r="P195" s="3">
        <v>3.622417</v>
      </c>
      <c r="S195" s="3">
        <v>9.4509050000000006</v>
      </c>
      <c r="T195" s="3">
        <v>11.72104</v>
      </c>
      <c r="W195" s="3">
        <v>6.5700960000000004</v>
      </c>
      <c r="X195" s="3">
        <v>1.188391</v>
      </c>
      <c r="AA195" s="3">
        <v>2.268996</v>
      </c>
      <c r="AB195" s="3">
        <v>21.384409999999999</v>
      </c>
      <c r="AC195" s="3">
        <v>5.7482329999999998E-2</v>
      </c>
      <c r="AE195" s="3">
        <v>4.8396619999999997</v>
      </c>
      <c r="AF195" s="3">
        <v>23.860869999999998</v>
      </c>
      <c r="AG195" s="3">
        <v>2.628247</v>
      </c>
      <c r="AH195" s="3">
        <v>68.646000000000001</v>
      </c>
      <c r="AI195" s="3">
        <v>17.094339999999999</v>
      </c>
      <c r="AL195" s="3">
        <v>17.693349999999999</v>
      </c>
      <c r="AM195" s="3">
        <v>9.9623229999999996</v>
      </c>
      <c r="AQ195" s="3">
        <v>1.239287</v>
      </c>
      <c r="AV195" s="3">
        <v>10.33591</v>
      </c>
      <c r="AW195" s="3">
        <v>4.3483270000000002E-5</v>
      </c>
      <c r="AX195" s="3">
        <v>13.16361</v>
      </c>
      <c r="AY195" s="3">
        <v>1.4994559999999999</v>
      </c>
    </row>
    <row r="196" spans="1:51" x14ac:dyDescent="0.2">
      <c r="A196" s="3" t="s">
        <v>93</v>
      </c>
      <c r="B196" s="49">
        <v>23774</v>
      </c>
      <c r="D196" s="3">
        <v>16.031880000000001</v>
      </c>
      <c r="F196" s="3">
        <v>13.11562</v>
      </c>
      <c r="G196" s="3">
        <v>28.143160000000002</v>
      </c>
      <c r="M196" s="3">
        <v>25.899439999999998</v>
      </c>
      <c r="P196" s="3">
        <v>3.6844510000000001</v>
      </c>
      <c r="S196" s="3">
        <v>9.4509050000000006</v>
      </c>
      <c r="T196" s="3">
        <v>11.731719999999999</v>
      </c>
      <c r="W196" s="3">
        <v>6.5700960000000004</v>
      </c>
      <c r="X196" s="3">
        <v>1.188391</v>
      </c>
      <c r="AA196" s="3">
        <v>2.2289340000000002</v>
      </c>
      <c r="AB196" s="3">
        <v>21.384409999999999</v>
      </c>
      <c r="AC196" s="3">
        <v>5.7826540000000003E-2</v>
      </c>
      <c r="AE196" s="3">
        <v>4.8496889999999997</v>
      </c>
      <c r="AF196" s="3">
        <v>23.812169999999998</v>
      </c>
      <c r="AG196" s="3">
        <v>2.6854990000000001</v>
      </c>
      <c r="AH196" s="3">
        <v>68.639200000000002</v>
      </c>
      <c r="AI196" s="3">
        <v>17.150220000000001</v>
      </c>
      <c r="AL196" s="3">
        <v>17.76315</v>
      </c>
      <c r="AM196" s="3">
        <v>9.9623229999999996</v>
      </c>
      <c r="AQ196" s="3">
        <v>1.2343489999999999</v>
      </c>
      <c r="AV196" s="3">
        <v>10.344849999999999</v>
      </c>
      <c r="AW196" s="3">
        <v>4.4129860000000003E-5</v>
      </c>
      <c r="AX196" s="3">
        <v>13.16361</v>
      </c>
      <c r="AY196" s="3">
        <v>1.4994559999999999</v>
      </c>
    </row>
    <row r="197" spans="1:51" x14ac:dyDescent="0.2">
      <c r="A197" s="3" t="s">
        <v>94</v>
      </c>
      <c r="B197" s="49">
        <v>23802</v>
      </c>
      <c r="D197" s="3">
        <v>16.046240000000001</v>
      </c>
      <c r="F197" s="3">
        <v>13.11562</v>
      </c>
      <c r="G197" s="3">
        <v>28.1572</v>
      </c>
      <c r="M197" s="3">
        <v>26.029910000000001</v>
      </c>
      <c r="P197" s="3">
        <v>3.7132909999999999</v>
      </c>
      <c r="S197" s="3">
        <v>9.5198889999999992</v>
      </c>
      <c r="T197" s="3">
        <v>11.76374</v>
      </c>
      <c r="W197" s="3">
        <v>6.5940960000000004</v>
      </c>
      <c r="X197" s="3">
        <v>1.188391</v>
      </c>
      <c r="AA197" s="3">
        <v>2.1852290000000001</v>
      </c>
      <c r="AB197" s="3">
        <v>22.232240000000001</v>
      </c>
      <c r="AC197" s="3">
        <v>5.7826540000000003E-2</v>
      </c>
      <c r="AE197" s="3">
        <v>4.8597159999999997</v>
      </c>
      <c r="AF197" s="3">
        <v>23.958259999999999</v>
      </c>
      <c r="AG197" s="3">
        <v>2.6914899999999999</v>
      </c>
      <c r="AH197" s="3">
        <v>68.600999999999999</v>
      </c>
      <c r="AI197" s="3">
        <v>17.112169999999999</v>
      </c>
      <c r="AL197" s="3">
        <v>17.867840000000001</v>
      </c>
      <c r="AM197" s="3">
        <v>10.10567</v>
      </c>
      <c r="AQ197" s="3">
        <v>1.2540990000000001</v>
      </c>
      <c r="AV197" s="3">
        <v>10.41639</v>
      </c>
      <c r="AW197" s="3">
        <v>4.3644920000000001E-5</v>
      </c>
      <c r="AX197" s="3">
        <v>13.2058</v>
      </c>
      <c r="AY197" s="3">
        <v>1.5039720000000001</v>
      </c>
    </row>
    <row r="198" spans="1:51" x14ac:dyDescent="0.2">
      <c r="A198" s="3" t="s">
        <v>95</v>
      </c>
      <c r="B198" s="49">
        <v>23833</v>
      </c>
      <c r="D198" s="3">
        <v>16.07235</v>
      </c>
      <c r="F198" s="3">
        <v>13.19463</v>
      </c>
      <c r="G198" s="3">
        <v>28.25028</v>
      </c>
      <c r="M198" s="3">
        <v>26.09515</v>
      </c>
      <c r="P198" s="3">
        <v>3.7404980000000001</v>
      </c>
      <c r="S198" s="3">
        <v>9.5888740000000006</v>
      </c>
      <c r="T198" s="3">
        <v>11.78509</v>
      </c>
      <c r="W198" s="3">
        <v>6.7200980000000001</v>
      </c>
      <c r="X198" s="3">
        <v>1.209999</v>
      </c>
      <c r="AA198" s="3">
        <v>2.1997969999999998</v>
      </c>
      <c r="AB198" s="3">
        <v>22.232240000000001</v>
      </c>
      <c r="AC198" s="3">
        <v>5.8170739999999999E-2</v>
      </c>
      <c r="AE198" s="3">
        <v>4.8663999999999996</v>
      </c>
      <c r="AF198" s="3">
        <v>24.469560000000001</v>
      </c>
      <c r="AG198" s="3">
        <v>2.732764</v>
      </c>
      <c r="AH198" s="3">
        <v>68.242699999999999</v>
      </c>
      <c r="AI198" s="3">
        <v>17.110990000000001</v>
      </c>
      <c r="AL198" s="3">
        <v>18.007439999999999</v>
      </c>
      <c r="AM198" s="3">
        <v>10.10567</v>
      </c>
      <c r="AQ198" s="3">
        <v>1.252124</v>
      </c>
      <c r="AV198" s="3">
        <v>10.451589999999999</v>
      </c>
      <c r="AW198" s="3">
        <v>4.3806559999999999E-5</v>
      </c>
      <c r="AX198" s="3">
        <v>13.24799</v>
      </c>
      <c r="AY198" s="3">
        <v>1.5130049999999999</v>
      </c>
    </row>
    <row r="199" spans="1:51" x14ac:dyDescent="0.2">
      <c r="A199" s="3" t="s">
        <v>96</v>
      </c>
      <c r="B199" s="49">
        <v>23863</v>
      </c>
      <c r="D199" s="3">
        <v>16.26427</v>
      </c>
      <c r="F199" s="3">
        <v>13.19463</v>
      </c>
      <c r="G199" s="3">
        <v>28.55761</v>
      </c>
      <c r="M199" s="3">
        <v>26.16039</v>
      </c>
      <c r="P199" s="3">
        <v>3.755735</v>
      </c>
      <c r="S199" s="3">
        <v>9.5888740000000006</v>
      </c>
      <c r="T199" s="3">
        <v>11.81711</v>
      </c>
      <c r="W199" s="3">
        <v>6.7440990000000003</v>
      </c>
      <c r="X199" s="3">
        <v>1.209999</v>
      </c>
      <c r="AA199" s="3">
        <v>2.2143649999999999</v>
      </c>
      <c r="AB199" s="3">
        <v>22.232240000000001</v>
      </c>
      <c r="AC199" s="3">
        <v>5.8859149999999999E-2</v>
      </c>
      <c r="AE199" s="3">
        <v>4.8764269999999996</v>
      </c>
      <c r="AF199" s="3">
        <v>24.32348</v>
      </c>
      <c r="AG199" s="3">
        <v>2.787353</v>
      </c>
      <c r="AH199" s="3">
        <v>68.109300000000005</v>
      </c>
      <c r="AI199" s="3">
        <v>17.316669999999998</v>
      </c>
      <c r="AL199" s="3">
        <v>18.07723</v>
      </c>
      <c r="AM199" s="3">
        <v>10.10567</v>
      </c>
      <c r="AQ199" s="3">
        <v>1.245212</v>
      </c>
      <c r="AV199" s="3">
        <v>10.462770000000001</v>
      </c>
      <c r="AW199" s="3">
        <v>4.4129860000000003E-5</v>
      </c>
      <c r="AX199" s="3">
        <v>13.24799</v>
      </c>
      <c r="AY199" s="3">
        <v>1.5130049999999999</v>
      </c>
    </row>
    <row r="200" spans="1:51" x14ac:dyDescent="0.2">
      <c r="A200" s="3" t="s">
        <v>97</v>
      </c>
      <c r="B200" s="49">
        <v>23894</v>
      </c>
      <c r="D200" s="3">
        <v>16.299510000000001</v>
      </c>
      <c r="F200" s="3">
        <v>13.352650000000001</v>
      </c>
      <c r="G200" s="3">
        <v>28.66385</v>
      </c>
      <c r="M200" s="3">
        <v>26.356100000000001</v>
      </c>
      <c r="P200" s="3">
        <v>3.7388659999999998</v>
      </c>
      <c r="S200" s="3">
        <v>9.6578590000000002</v>
      </c>
      <c r="T200" s="3">
        <v>12.009259999999999</v>
      </c>
      <c r="W200" s="3">
        <v>6.7620990000000001</v>
      </c>
      <c r="X200" s="3">
        <v>1.209999</v>
      </c>
      <c r="AA200" s="3">
        <v>2.2435019999999999</v>
      </c>
      <c r="AB200" s="3">
        <v>22.985880000000002</v>
      </c>
      <c r="AC200" s="3">
        <v>5.8859149999999999E-2</v>
      </c>
      <c r="AE200" s="3">
        <v>4.8897959999999996</v>
      </c>
      <c r="AF200" s="3">
        <v>24.27478</v>
      </c>
      <c r="AG200" s="3">
        <v>2.7627220000000001</v>
      </c>
      <c r="AH200" s="3">
        <v>68.557400000000001</v>
      </c>
      <c r="AI200" s="3">
        <v>17.427240000000001</v>
      </c>
      <c r="AL200" s="3">
        <v>18.147030000000001</v>
      </c>
      <c r="AM200" s="3">
        <v>10.10567</v>
      </c>
      <c r="AQ200" s="3">
        <v>1.2481739999999999</v>
      </c>
      <c r="AV200" s="3">
        <v>10.513629999999999</v>
      </c>
      <c r="AW200" s="3">
        <v>4.445315E-5</v>
      </c>
      <c r="AX200" s="3">
        <v>13.332380000000001</v>
      </c>
      <c r="AY200" s="3">
        <v>1.517522</v>
      </c>
    </row>
    <row r="201" spans="1:51" x14ac:dyDescent="0.2">
      <c r="A201" s="3" t="s">
        <v>98</v>
      </c>
      <c r="B201" s="49">
        <v>23924</v>
      </c>
      <c r="D201" s="3">
        <v>16.355650000000001</v>
      </c>
      <c r="F201" s="3">
        <v>13.352650000000001</v>
      </c>
      <c r="G201" s="3">
        <v>28.743760000000002</v>
      </c>
      <c r="M201" s="3">
        <v>26.421340000000001</v>
      </c>
      <c r="P201" s="3">
        <v>3.743763</v>
      </c>
      <c r="S201" s="3">
        <v>9.7268439999999998</v>
      </c>
      <c r="T201" s="3">
        <v>11.902509999999999</v>
      </c>
      <c r="W201" s="3">
        <v>6.7620990000000001</v>
      </c>
      <c r="X201" s="3">
        <v>1.209999</v>
      </c>
      <c r="AA201" s="3">
        <v>2.309059</v>
      </c>
      <c r="AB201" s="3">
        <v>22.985880000000002</v>
      </c>
      <c r="AC201" s="3">
        <v>5.8859149999999999E-2</v>
      </c>
      <c r="AE201" s="3">
        <v>4.9165349999999997</v>
      </c>
      <c r="AF201" s="3">
        <v>24.153040000000001</v>
      </c>
      <c r="AG201" s="3">
        <v>2.7986710000000001</v>
      </c>
      <c r="AH201" s="3">
        <v>68.1053</v>
      </c>
      <c r="AI201" s="3">
        <v>17.466470000000001</v>
      </c>
      <c r="AL201" s="3">
        <v>18.129580000000001</v>
      </c>
      <c r="AM201" s="3">
        <v>10.177339999999999</v>
      </c>
      <c r="AQ201" s="3">
        <v>1.2412620000000001</v>
      </c>
      <c r="AV201" s="3">
        <v>10.798640000000001</v>
      </c>
      <c r="AW201" s="3">
        <v>4.445315E-5</v>
      </c>
      <c r="AX201" s="3">
        <v>13.332380000000001</v>
      </c>
      <c r="AY201" s="3">
        <v>1.522038</v>
      </c>
    </row>
    <row r="202" spans="1:51" x14ac:dyDescent="0.2">
      <c r="A202" s="3" t="s">
        <v>99</v>
      </c>
      <c r="B202" s="49">
        <v>23955</v>
      </c>
      <c r="D202" s="3">
        <v>16.359570000000001</v>
      </c>
      <c r="F202" s="3">
        <v>13.352650000000001</v>
      </c>
      <c r="G202" s="3">
        <v>28.904450000000001</v>
      </c>
      <c r="M202" s="3">
        <v>26.421340000000001</v>
      </c>
      <c r="P202" s="3">
        <v>3.7628080000000002</v>
      </c>
      <c r="S202" s="3">
        <v>9.7268439999999998</v>
      </c>
      <c r="T202" s="3">
        <v>11.87049</v>
      </c>
      <c r="W202" s="3">
        <v>6.7740989999999996</v>
      </c>
      <c r="X202" s="3">
        <v>1.209999</v>
      </c>
      <c r="AA202" s="3">
        <v>2.3381949999999998</v>
      </c>
      <c r="AB202" s="3">
        <v>22.985880000000002</v>
      </c>
      <c r="AC202" s="3">
        <v>5.9203359999999997E-2</v>
      </c>
      <c r="AE202" s="3">
        <v>4.9232199999999997</v>
      </c>
      <c r="AF202" s="3">
        <v>24.27478</v>
      </c>
      <c r="AG202" s="3">
        <v>2.8259650000000001</v>
      </c>
      <c r="AH202" s="3">
        <v>68.128200000000007</v>
      </c>
      <c r="AI202" s="3">
        <v>17.53424</v>
      </c>
      <c r="AL202" s="3">
        <v>18.286619999999999</v>
      </c>
      <c r="AM202" s="3">
        <v>10.10567</v>
      </c>
      <c r="AQ202" s="3">
        <v>1.252124</v>
      </c>
      <c r="AV202" s="3">
        <v>10.78411</v>
      </c>
      <c r="AW202" s="3">
        <v>4.5261389999999999E-5</v>
      </c>
      <c r="AX202" s="3">
        <v>13.332380000000001</v>
      </c>
      <c r="AY202" s="3">
        <v>1.5310710000000001</v>
      </c>
    </row>
    <row r="203" spans="1:51" x14ac:dyDescent="0.2">
      <c r="A203" s="3" t="s">
        <v>100</v>
      </c>
      <c r="B203" s="49">
        <v>23986</v>
      </c>
      <c r="D203" s="3">
        <v>16.41048</v>
      </c>
      <c r="F203" s="3">
        <v>13.352650000000001</v>
      </c>
      <c r="G203" s="3">
        <v>28.984349999999999</v>
      </c>
      <c r="M203" s="3">
        <v>26.421340000000001</v>
      </c>
      <c r="P203" s="3">
        <v>3.7987229999999998</v>
      </c>
      <c r="S203" s="3">
        <v>9.6578590000000002</v>
      </c>
      <c r="T203" s="3">
        <v>11.902509999999999</v>
      </c>
      <c r="W203" s="3">
        <v>6.7800989999999999</v>
      </c>
      <c r="X203" s="3">
        <v>1.209999</v>
      </c>
      <c r="AA203" s="3">
        <v>2.3673320000000002</v>
      </c>
      <c r="AB203" s="3">
        <v>23.92793</v>
      </c>
      <c r="AC203" s="3">
        <v>5.9891769999999997E-2</v>
      </c>
      <c r="AE203" s="3">
        <v>4.9365889999999997</v>
      </c>
      <c r="AF203" s="3">
        <v>24.615649999999999</v>
      </c>
      <c r="AG203" s="3">
        <v>2.8126500000000001</v>
      </c>
      <c r="AH203" s="3">
        <v>68.324299999999994</v>
      </c>
      <c r="AI203" s="3">
        <v>17.57348</v>
      </c>
      <c r="AL203" s="3">
        <v>18.37387</v>
      </c>
      <c r="AM203" s="3">
        <v>10.177339999999999</v>
      </c>
      <c r="AQ203" s="3">
        <v>1.2718739999999999</v>
      </c>
      <c r="AV203" s="3">
        <v>10.80926</v>
      </c>
      <c r="AW203" s="3">
        <v>4.5099750000000001E-5</v>
      </c>
      <c r="AX203" s="3">
        <v>13.332380000000001</v>
      </c>
      <c r="AY203" s="3">
        <v>1.5310710000000001</v>
      </c>
    </row>
    <row r="204" spans="1:51" x14ac:dyDescent="0.2">
      <c r="A204" s="3" t="s">
        <v>101</v>
      </c>
      <c r="B204" s="49">
        <v>24016</v>
      </c>
      <c r="D204" s="3">
        <v>16.430070000000001</v>
      </c>
      <c r="F204" s="3">
        <v>13.352650000000001</v>
      </c>
      <c r="G204" s="3">
        <v>29.078299999999999</v>
      </c>
      <c r="M204" s="3">
        <v>26.551819999999999</v>
      </c>
      <c r="P204" s="3">
        <v>3.8188559999999998</v>
      </c>
      <c r="S204" s="3">
        <v>9.7958280000000002</v>
      </c>
      <c r="T204" s="3">
        <v>11.923859999999999</v>
      </c>
      <c r="W204" s="3">
        <v>6.7860990000000001</v>
      </c>
      <c r="X204" s="3">
        <v>1.231606</v>
      </c>
      <c r="AA204" s="3">
        <v>2.3673320000000002</v>
      </c>
      <c r="AB204" s="3">
        <v>23.92793</v>
      </c>
      <c r="AC204" s="3">
        <v>6.0924390000000002E-2</v>
      </c>
      <c r="AE204" s="3">
        <v>4.9365889999999997</v>
      </c>
      <c r="AF204" s="3">
        <v>24.932169999999999</v>
      </c>
      <c r="AG204" s="3">
        <v>2.796008</v>
      </c>
      <c r="AH204" s="3">
        <v>69.346199999999996</v>
      </c>
      <c r="AI204" s="3">
        <v>17.525919999999999</v>
      </c>
      <c r="AL204" s="3">
        <v>18.37387</v>
      </c>
      <c r="AM204" s="3">
        <v>10.10567</v>
      </c>
      <c r="AQ204" s="3">
        <v>1.2718739999999999</v>
      </c>
      <c r="AV204" s="3">
        <v>10.837199999999999</v>
      </c>
      <c r="AW204" s="3">
        <v>4.5099750000000001E-5</v>
      </c>
      <c r="AX204" s="3">
        <v>13.37457</v>
      </c>
      <c r="AY204" s="3">
        <v>1.535587</v>
      </c>
    </row>
    <row r="205" spans="1:51" x14ac:dyDescent="0.2">
      <c r="A205" s="3" t="s">
        <v>102</v>
      </c>
      <c r="B205" s="49">
        <v>24047</v>
      </c>
      <c r="D205" s="3">
        <v>16.507090000000002</v>
      </c>
      <c r="F205" s="3">
        <v>13.431660000000001</v>
      </c>
      <c r="G205" s="3">
        <v>29.332070000000002</v>
      </c>
      <c r="M205" s="3">
        <v>26.682289999999998</v>
      </c>
      <c r="P205" s="3">
        <v>3.9010229999999999</v>
      </c>
      <c r="S205" s="3">
        <v>9.7958280000000002</v>
      </c>
      <c r="T205" s="3">
        <v>11.945209999999999</v>
      </c>
      <c r="W205" s="3">
        <v>6.8160999999999996</v>
      </c>
      <c r="X205" s="3">
        <v>1.231606</v>
      </c>
      <c r="AA205" s="3">
        <v>2.3782580000000002</v>
      </c>
      <c r="AB205" s="3">
        <v>23.92793</v>
      </c>
      <c r="AC205" s="3">
        <v>6.1956999999999998E-2</v>
      </c>
      <c r="AE205" s="3">
        <v>4.9532999999999996</v>
      </c>
      <c r="AF205" s="3">
        <v>24.688700000000001</v>
      </c>
      <c r="AG205" s="3">
        <v>2.748742</v>
      </c>
      <c r="AH205" s="3">
        <v>69.348600000000005</v>
      </c>
      <c r="AI205" s="3">
        <v>17.54851</v>
      </c>
      <c r="AL205" s="3">
        <v>18.478560000000002</v>
      </c>
      <c r="AM205" s="3">
        <v>10.177339999999999</v>
      </c>
      <c r="AQ205" s="3">
        <v>1.2965610000000001</v>
      </c>
      <c r="AV205" s="3">
        <v>10.862909999999999</v>
      </c>
      <c r="AW205" s="3">
        <v>4.5099750000000001E-5</v>
      </c>
      <c r="AX205" s="3">
        <v>13.37457</v>
      </c>
      <c r="AY205" s="3">
        <v>1.5401039999999999</v>
      </c>
    </row>
    <row r="206" spans="1:51" x14ac:dyDescent="0.2">
      <c r="A206" s="3" t="s">
        <v>103</v>
      </c>
      <c r="B206" s="49">
        <v>24077</v>
      </c>
      <c r="D206" s="3">
        <v>16.6037</v>
      </c>
      <c r="F206" s="3">
        <v>13.510669999999999</v>
      </c>
      <c r="G206" s="3">
        <v>29.398800000000001</v>
      </c>
      <c r="M206" s="3">
        <v>26.81277</v>
      </c>
      <c r="P206" s="3">
        <v>3.923333</v>
      </c>
      <c r="S206" s="3">
        <v>9.7958280000000002</v>
      </c>
      <c r="T206" s="3">
        <v>11.987909999999999</v>
      </c>
      <c r="W206" s="3">
        <v>6.8460999999999999</v>
      </c>
      <c r="X206" s="3">
        <v>1.2532129999999999</v>
      </c>
      <c r="AA206" s="3">
        <v>2.3782580000000002</v>
      </c>
      <c r="AB206" s="3">
        <v>24.775759999999998</v>
      </c>
      <c r="AC206" s="3">
        <v>6.1956999999999998E-2</v>
      </c>
      <c r="AE206" s="3">
        <v>4.9766959999999996</v>
      </c>
      <c r="AF206" s="3">
        <v>24.85913</v>
      </c>
      <c r="AG206" s="3">
        <v>2.757396</v>
      </c>
      <c r="AH206" s="3">
        <v>69.200599999999994</v>
      </c>
      <c r="AI206" s="3">
        <v>17.800560000000001</v>
      </c>
      <c r="AL206" s="3">
        <v>18.530909999999999</v>
      </c>
      <c r="AM206" s="3">
        <v>10.177339999999999</v>
      </c>
      <c r="AQ206" s="3">
        <v>1.2817480000000001</v>
      </c>
      <c r="AV206" s="3">
        <v>10.922700000000001</v>
      </c>
      <c r="AW206" s="3">
        <v>4.5584689999999997E-5</v>
      </c>
      <c r="AX206" s="3">
        <v>13.41676</v>
      </c>
      <c r="AY206" s="3">
        <v>1.5446200000000001</v>
      </c>
    </row>
    <row r="207" spans="1:51" x14ac:dyDescent="0.2">
      <c r="A207" s="3" t="s">
        <v>104</v>
      </c>
      <c r="B207" s="49">
        <v>24108</v>
      </c>
      <c r="D207" s="3">
        <v>16.668980000000001</v>
      </c>
      <c r="F207" s="3">
        <v>13.510669999999999</v>
      </c>
      <c r="G207" s="3">
        <v>29.558610000000002</v>
      </c>
      <c r="M207" s="3">
        <v>26.943239999999999</v>
      </c>
      <c r="P207" s="3">
        <v>3.9162590000000002</v>
      </c>
      <c r="S207" s="3">
        <v>9.7958280000000002</v>
      </c>
      <c r="T207" s="3">
        <v>12.030609999999999</v>
      </c>
      <c r="W207" s="3">
        <v>6.8581000000000003</v>
      </c>
      <c r="X207" s="3">
        <v>1.2532129999999999</v>
      </c>
      <c r="AA207" s="3">
        <v>2.3782580000000002</v>
      </c>
      <c r="AB207" s="3">
        <v>24.775759999999998</v>
      </c>
      <c r="AC207" s="3">
        <v>6.2645409999999999E-2</v>
      </c>
      <c r="AE207" s="3">
        <v>4.9900659999999997</v>
      </c>
      <c r="AF207" s="3">
        <v>25.102609999999999</v>
      </c>
      <c r="AG207" s="3">
        <v>2.823302</v>
      </c>
      <c r="AH207" s="3">
        <v>69.183700000000002</v>
      </c>
      <c r="AI207" s="3">
        <v>17.93092</v>
      </c>
      <c r="AL207" s="3">
        <v>18.775200000000002</v>
      </c>
      <c r="AM207" s="3">
        <v>10.24901</v>
      </c>
      <c r="AQ207" s="3">
        <v>1.301498</v>
      </c>
      <c r="AV207" s="3">
        <v>11.055149999999999</v>
      </c>
      <c r="AW207" s="3">
        <v>4.7039519999999997E-5</v>
      </c>
      <c r="AX207" s="3">
        <v>13.41676</v>
      </c>
      <c r="AY207" s="3">
        <v>1.549137</v>
      </c>
    </row>
    <row r="208" spans="1:51" x14ac:dyDescent="0.2">
      <c r="A208" s="3" t="s">
        <v>105</v>
      </c>
      <c r="B208" s="49">
        <v>24139</v>
      </c>
      <c r="D208" s="3">
        <v>16.719889999999999</v>
      </c>
      <c r="F208" s="3">
        <v>13.58968</v>
      </c>
      <c r="G208" s="3">
        <v>29.63852</v>
      </c>
      <c r="M208" s="3">
        <v>27.008479999999999</v>
      </c>
      <c r="P208" s="3">
        <v>3.9129939999999999</v>
      </c>
      <c r="S208" s="3">
        <v>9.7958280000000002</v>
      </c>
      <c r="T208" s="3">
        <v>12.051959999999999</v>
      </c>
      <c r="W208" s="3">
        <v>6.8640999999999996</v>
      </c>
      <c r="X208" s="3">
        <v>1.2532129999999999</v>
      </c>
      <c r="AA208" s="3">
        <v>2.3928259999999999</v>
      </c>
      <c r="AB208" s="3">
        <v>24.775759999999998</v>
      </c>
      <c r="AC208" s="3">
        <v>6.2989619999999996E-2</v>
      </c>
      <c r="AE208" s="3">
        <v>4.9900659999999997</v>
      </c>
      <c r="AF208" s="3">
        <v>25.29739</v>
      </c>
      <c r="AG208" s="3">
        <v>2.9031880000000001</v>
      </c>
      <c r="AH208" s="3">
        <v>68.949399999999997</v>
      </c>
      <c r="AI208" s="3">
        <v>17.903099999999998</v>
      </c>
      <c r="AL208" s="3">
        <v>19.002030000000001</v>
      </c>
      <c r="AM208" s="3">
        <v>10.24901</v>
      </c>
      <c r="AQ208" s="3">
        <v>1.322235</v>
      </c>
      <c r="AV208" s="3">
        <v>11.16413</v>
      </c>
      <c r="AW208" s="3">
        <v>4.7847759999999997E-5</v>
      </c>
      <c r="AX208" s="3">
        <v>13.501139999999999</v>
      </c>
      <c r="AY208" s="3">
        <v>1.5581689999999999</v>
      </c>
    </row>
    <row r="209" spans="1:51" x14ac:dyDescent="0.2">
      <c r="A209" s="3" t="s">
        <v>106</v>
      </c>
      <c r="B209" s="49">
        <v>24167</v>
      </c>
      <c r="D209" s="3">
        <v>16.792999999999999</v>
      </c>
      <c r="F209" s="3">
        <v>13.66869</v>
      </c>
      <c r="G209" s="3">
        <v>29.679780000000001</v>
      </c>
      <c r="M209" s="3">
        <v>27.073720000000002</v>
      </c>
      <c r="P209" s="3">
        <v>3.9129939999999999</v>
      </c>
      <c r="S209" s="3">
        <v>9.8648129999999998</v>
      </c>
      <c r="T209" s="3">
        <v>12.073309999999999</v>
      </c>
      <c r="W209" s="3">
        <v>6.8761010000000002</v>
      </c>
      <c r="X209" s="3">
        <v>1.2532129999999999</v>
      </c>
      <c r="AA209" s="3">
        <v>2.3928259999999999</v>
      </c>
      <c r="AB209" s="3">
        <v>25.71781</v>
      </c>
      <c r="AC209" s="3">
        <v>6.3333819999999999E-2</v>
      </c>
      <c r="AE209" s="3">
        <v>4.9867229999999996</v>
      </c>
      <c r="AF209" s="3">
        <v>25.394780000000001</v>
      </c>
      <c r="AG209" s="3">
        <v>2.9497879999999999</v>
      </c>
      <c r="AH209" s="3">
        <v>69.464200000000005</v>
      </c>
      <c r="AI209" s="3">
        <v>17.887450000000001</v>
      </c>
      <c r="AL209" s="3">
        <v>19.089279999999999</v>
      </c>
      <c r="AM209" s="3">
        <v>10.320679999999999</v>
      </c>
      <c r="AQ209" s="3">
        <v>1.3291470000000001</v>
      </c>
      <c r="AV209" s="3">
        <v>11.21163</v>
      </c>
      <c r="AW209" s="3">
        <v>4.9140939999999998E-5</v>
      </c>
      <c r="AX209" s="3">
        <v>13.543329999999999</v>
      </c>
      <c r="AY209" s="3">
        <v>1.5581689999999999</v>
      </c>
    </row>
    <row r="210" spans="1:51" x14ac:dyDescent="0.2">
      <c r="A210" s="3" t="s">
        <v>107</v>
      </c>
      <c r="B210" s="49">
        <v>24198</v>
      </c>
      <c r="D210" s="3">
        <v>16.962720000000001</v>
      </c>
      <c r="F210" s="3">
        <v>13.7477</v>
      </c>
      <c r="G210" s="3">
        <v>29.7193</v>
      </c>
      <c r="M210" s="3">
        <v>27.26943</v>
      </c>
      <c r="P210" s="3">
        <v>3.9505409999999999</v>
      </c>
      <c r="S210" s="3">
        <v>9.9337979999999995</v>
      </c>
      <c r="T210" s="3">
        <v>12.116009999999999</v>
      </c>
      <c r="W210" s="3">
        <v>6.960102</v>
      </c>
      <c r="X210" s="3">
        <v>1.2748200000000001</v>
      </c>
      <c r="AA210" s="3">
        <v>2.407394</v>
      </c>
      <c r="AB210" s="3">
        <v>25.71781</v>
      </c>
      <c r="AC210" s="3">
        <v>6.3678029999999997E-2</v>
      </c>
      <c r="AE210" s="3">
        <v>5.0000929999999997</v>
      </c>
      <c r="AF210" s="3">
        <v>25.686959999999999</v>
      </c>
      <c r="AG210" s="3">
        <v>2.9804110000000001</v>
      </c>
      <c r="AH210" s="3">
        <v>69.186199999999999</v>
      </c>
      <c r="AI210" s="3">
        <v>17.977869999999999</v>
      </c>
      <c r="AL210" s="3">
        <v>19.228870000000001</v>
      </c>
      <c r="AM210" s="3">
        <v>10.320679999999999</v>
      </c>
      <c r="AQ210" s="3">
        <v>1.3192729999999999</v>
      </c>
      <c r="AV210" s="3">
        <v>11.23119</v>
      </c>
      <c r="AW210" s="3">
        <v>4.9464240000000003E-5</v>
      </c>
      <c r="AX210" s="3">
        <v>13.62771</v>
      </c>
      <c r="AY210" s="3">
        <v>1.562686</v>
      </c>
    </row>
    <row r="211" spans="1:51" x14ac:dyDescent="0.2">
      <c r="A211" s="3" t="s">
        <v>108</v>
      </c>
      <c r="B211" s="49">
        <v>24228</v>
      </c>
      <c r="D211" s="3">
        <v>17.044969999999999</v>
      </c>
      <c r="F211" s="3">
        <v>13.7477</v>
      </c>
      <c r="G211" s="3">
        <v>30.092479999999998</v>
      </c>
      <c r="M211" s="3">
        <v>27.26943</v>
      </c>
      <c r="P211" s="3">
        <v>4.0082209999999998</v>
      </c>
      <c r="S211" s="3">
        <v>10.00278</v>
      </c>
      <c r="T211" s="3">
        <v>12.158709999999999</v>
      </c>
      <c r="W211" s="3">
        <v>7.0081020000000001</v>
      </c>
      <c r="X211" s="3">
        <v>1.2748200000000001</v>
      </c>
      <c r="AA211" s="3">
        <v>2.4875189999999998</v>
      </c>
      <c r="AB211" s="3">
        <v>25.71781</v>
      </c>
      <c r="AC211" s="3">
        <v>6.5743270000000006E-2</v>
      </c>
      <c r="AE211" s="3">
        <v>5.0067769999999996</v>
      </c>
      <c r="AF211" s="3">
        <v>25.51652</v>
      </c>
      <c r="AG211" s="3">
        <v>3.0629599999999999</v>
      </c>
      <c r="AH211" s="3">
        <v>68.761799999999994</v>
      </c>
      <c r="AI211" s="3">
        <v>18.05612</v>
      </c>
      <c r="AL211" s="3">
        <v>19.228870000000001</v>
      </c>
      <c r="AM211" s="3">
        <v>10.320679999999999</v>
      </c>
      <c r="AQ211" s="3">
        <v>1.3093980000000001</v>
      </c>
      <c r="AV211" s="3">
        <v>11.28875</v>
      </c>
      <c r="AW211" s="3">
        <v>4.8817640000000001E-5</v>
      </c>
      <c r="AX211" s="3">
        <v>13.62771</v>
      </c>
      <c r="AY211" s="3">
        <v>1.5581689999999999</v>
      </c>
    </row>
    <row r="212" spans="1:51" x14ac:dyDescent="0.2">
      <c r="A212" s="3" t="s">
        <v>109</v>
      </c>
      <c r="B212" s="49">
        <v>24259</v>
      </c>
      <c r="D212" s="3">
        <v>17.112860000000001</v>
      </c>
      <c r="F212" s="3">
        <v>13.826700000000001</v>
      </c>
      <c r="G212" s="3">
        <v>30.053840000000001</v>
      </c>
      <c r="M212" s="3">
        <v>27.26943</v>
      </c>
      <c r="P212" s="3">
        <v>4.0158389999999997</v>
      </c>
      <c r="S212" s="3">
        <v>10.00278</v>
      </c>
      <c r="T212" s="3">
        <v>12.14804</v>
      </c>
      <c r="W212" s="3">
        <v>7.026103</v>
      </c>
      <c r="X212" s="3">
        <v>1.2748200000000001</v>
      </c>
      <c r="AA212" s="3">
        <v>2.5457920000000001</v>
      </c>
      <c r="AB212" s="3">
        <v>27.601900000000001</v>
      </c>
      <c r="AC212" s="3">
        <v>6.5743270000000006E-2</v>
      </c>
      <c r="AE212" s="3">
        <v>5.0067769999999996</v>
      </c>
      <c r="AF212" s="3">
        <v>25.56522</v>
      </c>
      <c r="AG212" s="3">
        <v>3.0682849999999999</v>
      </c>
      <c r="AH212" s="3">
        <v>68.787599999999998</v>
      </c>
      <c r="AI212" s="3">
        <v>17.903099999999998</v>
      </c>
      <c r="AL212" s="3">
        <v>19.298670000000001</v>
      </c>
      <c r="AM212" s="3">
        <v>10.320679999999999</v>
      </c>
      <c r="AQ212" s="3">
        <v>1.292611</v>
      </c>
      <c r="AV212" s="3">
        <v>11.31949</v>
      </c>
      <c r="AW212" s="3">
        <v>4.7039519999999997E-5</v>
      </c>
      <c r="AX212" s="3">
        <v>13.66991</v>
      </c>
      <c r="AY212" s="3">
        <v>1.567202</v>
      </c>
    </row>
    <row r="213" spans="1:51" x14ac:dyDescent="0.2">
      <c r="A213" s="3" t="s">
        <v>110</v>
      </c>
      <c r="B213" s="49">
        <v>24289</v>
      </c>
      <c r="D213" s="3">
        <v>16.964030000000001</v>
      </c>
      <c r="F213" s="3">
        <v>13.826700000000001</v>
      </c>
      <c r="G213" s="3">
        <v>30.053840000000001</v>
      </c>
      <c r="M213" s="3">
        <v>27.26943</v>
      </c>
      <c r="P213" s="3">
        <v>4.0136620000000001</v>
      </c>
      <c r="S213" s="3">
        <v>10.00278</v>
      </c>
      <c r="T213" s="3">
        <v>12.19074</v>
      </c>
      <c r="W213" s="3">
        <v>6.9961019999999996</v>
      </c>
      <c r="X213" s="3">
        <v>1.2748200000000001</v>
      </c>
      <c r="AA213" s="3">
        <v>2.5858539999999999</v>
      </c>
      <c r="AB213" s="3">
        <v>27.601900000000001</v>
      </c>
      <c r="AC213" s="3">
        <v>6.6087469999999995E-2</v>
      </c>
      <c r="AE213" s="3">
        <v>5.0101190000000004</v>
      </c>
      <c r="AF213" s="3">
        <v>25.638259999999999</v>
      </c>
      <c r="AG213" s="3">
        <v>3.0543049999999998</v>
      </c>
      <c r="AH213" s="3">
        <v>68.900999999999996</v>
      </c>
      <c r="AI213" s="3">
        <v>17.946570000000001</v>
      </c>
      <c r="AL213" s="3">
        <v>19.15907</v>
      </c>
      <c r="AM213" s="3">
        <v>10.535690000000001</v>
      </c>
      <c r="AQ213" s="3">
        <v>1.2975479999999999</v>
      </c>
      <c r="AV213" s="3">
        <v>11.290990000000001</v>
      </c>
      <c r="AW213" s="3">
        <v>4.7201170000000003E-5</v>
      </c>
      <c r="AX213" s="3">
        <v>13.7121</v>
      </c>
      <c r="AY213" s="3">
        <v>1.567202</v>
      </c>
    </row>
    <row r="214" spans="1:51" x14ac:dyDescent="0.2">
      <c r="A214" s="3" t="s">
        <v>111</v>
      </c>
      <c r="B214" s="49">
        <v>24320</v>
      </c>
      <c r="D214" s="3">
        <v>16.952279999999998</v>
      </c>
      <c r="F214" s="3">
        <v>13.905709999999999</v>
      </c>
      <c r="G214" s="3">
        <v>30.146920000000001</v>
      </c>
      <c r="M214" s="3">
        <v>27.204190000000001</v>
      </c>
      <c r="P214" s="3">
        <v>4.0207360000000003</v>
      </c>
      <c r="S214" s="3">
        <v>10.071770000000001</v>
      </c>
      <c r="T214" s="3">
        <v>12.201409999999999</v>
      </c>
      <c r="W214" s="3">
        <v>7.0381030000000004</v>
      </c>
      <c r="X214" s="3">
        <v>1.2532129999999999</v>
      </c>
      <c r="AA214" s="3">
        <v>2.6113490000000001</v>
      </c>
      <c r="AB214" s="3">
        <v>27.601900000000001</v>
      </c>
      <c r="AC214" s="3">
        <v>6.7120089999999993E-2</v>
      </c>
      <c r="AE214" s="3">
        <v>5.0168039999999996</v>
      </c>
      <c r="AF214" s="3">
        <v>25.443480000000001</v>
      </c>
      <c r="AG214" s="3">
        <v>3.1175480000000002</v>
      </c>
      <c r="AH214" s="3">
        <v>69.157700000000006</v>
      </c>
      <c r="AI214" s="3">
        <v>17.91527</v>
      </c>
      <c r="AL214" s="3">
        <v>19.263770000000001</v>
      </c>
      <c r="AM214" s="3">
        <v>10.535690000000001</v>
      </c>
      <c r="AQ214" s="3">
        <v>1.3054479999999999</v>
      </c>
      <c r="AV214" s="3">
        <v>11.364750000000001</v>
      </c>
      <c r="AW214" s="3">
        <v>4.7524459999999999E-5</v>
      </c>
      <c r="AX214" s="3">
        <v>13.796480000000001</v>
      </c>
      <c r="AY214" s="3">
        <v>1.5717190000000001</v>
      </c>
    </row>
    <row r="215" spans="1:51" x14ac:dyDescent="0.2">
      <c r="A215" s="3" t="s">
        <v>112</v>
      </c>
      <c r="B215" s="49">
        <v>24351</v>
      </c>
      <c r="D215" s="3">
        <v>17.021470000000001</v>
      </c>
      <c r="F215" s="3">
        <v>13.905709999999999</v>
      </c>
      <c r="G215" s="3">
        <v>30.173259999999999</v>
      </c>
      <c r="M215" s="3">
        <v>27.204190000000001</v>
      </c>
      <c r="P215" s="3">
        <v>4.0082209999999998</v>
      </c>
      <c r="S215" s="3">
        <v>10.140750000000001</v>
      </c>
      <c r="T215" s="3">
        <v>12.23344</v>
      </c>
      <c r="W215" s="3">
        <v>7.026103</v>
      </c>
      <c r="X215" s="3">
        <v>1.2748200000000001</v>
      </c>
      <c r="AA215" s="3">
        <v>2.6259169999999998</v>
      </c>
      <c r="AB215" s="3">
        <v>28.355530000000002</v>
      </c>
      <c r="AC215" s="3">
        <v>6.8152699999999997E-2</v>
      </c>
      <c r="AE215" s="3">
        <v>5.0201460000000004</v>
      </c>
      <c r="AF215" s="3">
        <v>25.73565</v>
      </c>
      <c r="AG215" s="3">
        <v>3.1754660000000001</v>
      </c>
      <c r="AH215" s="3">
        <v>69.3108</v>
      </c>
      <c r="AI215" s="3">
        <v>17.96744</v>
      </c>
      <c r="AL215" s="3">
        <v>19.298670000000001</v>
      </c>
      <c r="AM215" s="3">
        <v>10.535690000000001</v>
      </c>
      <c r="AQ215" s="3">
        <v>1.3291470000000001</v>
      </c>
      <c r="AV215" s="3">
        <v>11.391019999999999</v>
      </c>
      <c r="AW215" s="3">
        <v>4.7847759999999997E-5</v>
      </c>
      <c r="AX215" s="3">
        <v>13.796480000000001</v>
      </c>
      <c r="AY215" s="3">
        <v>1.594301</v>
      </c>
    </row>
    <row r="216" spans="1:51" x14ac:dyDescent="0.2">
      <c r="A216" s="3" t="s">
        <v>113</v>
      </c>
      <c r="B216" s="49">
        <v>24381</v>
      </c>
      <c r="D216" s="3">
        <v>17.0763</v>
      </c>
      <c r="F216" s="3">
        <v>13.905709999999999</v>
      </c>
      <c r="G216" s="3">
        <v>30.24</v>
      </c>
      <c r="M216" s="3">
        <v>27.26943</v>
      </c>
      <c r="P216" s="3">
        <v>4.0327080000000004</v>
      </c>
      <c r="S216" s="3">
        <v>10.140750000000001</v>
      </c>
      <c r="T216" s="3">
        <v>12.25479</v>
      </c>
      <c r="W216" s="3">
        <v>7.0441029999999998</v>
      </c>
      <c r="X216" s="3">
        <v>1.2748200000000001</v>
      </c>
      <c r="AA216" s="3">
        <v>2.640485</v>
      </c>
      <c r="AB216" s="3">
        <v>28.355530000000002</v>
      </c>
      <c r="AC216" s="3">
        <v>6.8152699999999997E-2</v>
      </c>
      <c r="AE216" s="3">
        <v>5.0268309999999996</v>
      </c>
      <c r="AF216" s="3">
        <v>25.906089999999999</v>
      </c>
      <c r="AG216" s="3">
        <v>3.2580140000000002</v>
      </c>
      <c r="AH216" s="3">
        <v>69.143199999999993</v>
      </c>
      <c r="AI216" s="3">
        <v>18.012650000000001</v>
      </c>
      <c r="AL216" s="3">
        <v>19.298670000000001</v>
      </c>
      <c r="AM216" s="3">
        <v>10.60737</v>
      </c>
      <c r="AQ216" s="3">
        <v>1.353834</v>
      </c>
      <c r="AV216" s="3">
        <v>11.434049999999999</v>
      </c>
      <c r="AW216" s="3">
        <v>4.8009410000000002E-5</v>
      </c>
      <c r="AX216" s="3">
        <v>13.88086</v>
      </c>
      <c r="AY216" s="3">
        <v>1.5988169999999999</v>
      </c>
    </row>
    <row r="217" spans="1:51" x14ac:dyDescent="0.2">
      <c r="A217" s="3" t="s">
        <v>114</v>
      </c>
      <c r="B217" s="49">
        <v>24412</v>
      </c>
      <c r="D217" s="3">
        <v>17.086749999999999</v>
      </c>
      <c r="F217" s="3">
        <v>13.905709999999999</v>
      </c>
      <c r="G217" s="3">
        <v>30.60089</v>
      </c>
      <c r="M217" s="3">
        <v>27.530380000000001</v>
      </c>
      <c r="P217" s="3">
        <v>4.1029030000000004</v>
      </c>
      <c r="S217" s="3">
        <v>10.20974</v>
      </c>
      <c r="T217" s="3">
        <v>12.286809999999999</v>
      </c>
      <c r="W217" s="3">
        <v>7.0861029999999996</v>
      </c>
      <c r="X217" s="3">
        <v>1.296427</v>
      </c>
      <c r="AA217" s="3">
        <v>2.6696209999999998</v>
      </c>
      <c r="AB217" s="3">
        <v>28.355530000000002</v>
      </c>
      <c r="AC217" s="3">
        <v>6.7120089999999993E-2</v>
      </c>
      <c r="AE217" s="3">
        <v>5.0569119999999996</v>
      </c>
      <c r="AF217" s="3">
        <v>25.711300000000001</v>
      </c>
      <c r="AG217" s="3">
        <v>3.1754660000000001</v>
      </c>
      <c r="AH217" s="3">
        <v>69.2547</v>
      </c>
      <c r="AI217" s="3">
        <v>18.036989999999999</v>
      </c>
      <c r="AL217" s="3">
        <v>19.316120000000002</v>
      </c>
      <c r="AM217" s="3">
        <v>10.60737</v>
      </c>
      <c r="AQ217" s="3">
        <v>1.3508720000000001</v>
      </c>
      <c r="AV217" s="3">
        <v>11.47317</v>
      </c>
      <c r="AW217" s="3">
        <v>4.897929E-5</v>
      </c>
      <c r="AX217" s="3">
        <v>13.88086</v>
      </c>
      <c r="AY217" s="3">
        <v>1.5988169999999999</v>
      </c>
    </row>
    <row r="218" spans="1:51" x14ac:dyDescent="0.2">
      <c r="A218" s="3" t="s">
        <v>115</v>
      </c>
      <c r="B218" s="49">
        <v>24442</v>
      </c>
      <c r="D218" s="3">
        <v>17.127220000000001</v>
      </c>
      <c r="F218" s="3">
        <v>13.984719999999999</v>
      </c>
      <c r="G218" s="3">
        <v>30.747520000000002</v>
      </c>
      <c r="M218" s="3">
        <v>27.59562</v>
      </c>
      <c r="N218" s="3" t="s">
        <v>6</v>
      </c>
      <c r="P218" s="3">
        <v>4.1295669999999998</v>
      </c>
      <c r="S218" s="3">
        <v>10.27872</v>
      </c>
      <c r="T218" s="3">
        <v>12.31884</v>
      </c>
      <c r="W218" s="3">
        <v>7.0981040000000002</v>
      </c>
      <c r="X218" s="3">
        <v>1.296427</v>
      </c>
      <c r="AA218" s="3">
        <v>2.7096840000000002</v>
      </c>
      <c r="AB218" s="3">
        <v>29.29758</v>
      </c>
      <c r="AC218" s="3">
        <v>6.7120089999999993E-2</v>
      </c>
      <c r="AE218" s="3">
        <v>5.0936769999999996</v>
      </c>
      <c r="AF218" s="3">
        <v>25.95478</v>
      </c>
      <c r="AG218" s="3">
        <v>3.1781290000000002</v>
      </c>
      <c r="AH218" s="3">
        <v>69.631699999999995</v>
      </c>
      <c r="AI218" s="3">
        <v>18.075240000000001</v>
      </c>
      <c r="AL218" s="3">
        <v>19.316120000000002</v>
      </c>
      <c r="AM218" s="3">
        <v>10.60737</v>
      </c>
      <c r="AQ218" s="3">
        <v>1.3380350000000001</v>
      </c>
      <c r="AV218" s="3">
        <v>11.484349999999999</v>
      </c>
      <c r="AW218" s="3">
        <v>5.0595769999999999E-5</v>
      </c>
      <c r="AX218" s="3">
        <v>13.88086</v>
      </c>
      <c r="AY218" s="3">
        <v>1.603334</v>
      </c>
    </row>
    <row r="219" spans="1:51" x14ac:dyDescent="0.2">
      <c r="A219" s="3" t="s">
        <v>116</v>
      </c>
      <c r="B219" s="49">
        <v>24473</v>
      </c>
      <c r="D219" s="3">
        <v>17.158550000000002</v>
      </c>
      <c r="F219" s="3">
        <v>13.984719999999999</v>
      </c>
      <c r="G219" s="3">
        <v>30.841480000000001</v>
      </c>
      <c r="M219" s="3">
        <v>27.66086</v>
      </c>
      <c r="N219" s="3">
        <v>10.872590000000001</v>
      </c>
      <c r="P219" s="3">
        <v>4.1317430000000002</v>
      </c>
      <c r="S219" s="3">
        <v>10.347709999999999</v>
      </c>
      <c r="T219" s="3">
        <v>12.372210000000001</v>
      </c>
      <c r="W219" s="3">
        <v>7.1101039999999998</v>
      </c>
      <c r="X219" s="3">
        <v>1.3180339999999999</v>
      </c>
      <c r="AA219" s="3">
        <v>2.7096840000000002</v>
      </c>
      <c r="AB219" s="3">
        <v>29.29758</v>
      </c>
      <c r="AC219" s="3">
        <v>6.7120089999999993E-2</v>
      </c>
      <c r="AE219" s="3">
        <v>5.1425099999999997</v>
      </c>
      <c r="AF219" s="3">
        <v>26.246960000000001</v>
      </c>
      <c r="AG219" s="3">
        <v>3.1947719999999999</v>
      </c>
      <c r="AH219" s="3">
        <v>69.768000000000001</v>
      </c>
      <c r="AI219" s="3">
        <v>18.134360000000001</v>
      </c>
      <c r="AL219" s="3">
        <v>19.420809999999999</v>
      </c>
      <c r="AM219" s="3">
        <v>10.679040000000001</v>
      </c>
      <c r="AQ219" s="3">
        <v>1.3459350000000001</v>
      </c>
      <c r="AV219" s="3">
        <v>11.576000000000001</v>
      </c>
      <c r="AW219" s="3">
        <v>5.269719E-5</v>
      </c>
      <c r="AX219" s="3">
        <v>13.88086</v>
      </c>
      <c r="AY219" s="3">
        <v>1.60785</v>
      </c>
    </row>
    <row r="220" spans="1:51" x14ac:dyDescent="0.2">
      <c r="A220" s="3" t="s">
        <v>117</v>
      </c>
      <c r="B220" s="49">
        <v>24504</v>
      </c>
      <c r="D220" s="3">
        <v>17.197489999999998</v>
      </c>
      <c r="F220" s="3">
        <v>13.984719999999999</v>
      </c>
      <c r="G220" s="3">
        <v>30.774740000000001</v>
      </c>
      <c r="M220" s="3">
        <v>27.66086</v>
      </c>
      <c r="N220" s="3">
        <v>10.919370000000001</v>
      </c>
      <c r="P220" s="3">
        <v>4.1638479999999998</v>
      </c>
      <c r="S220" s="3">
        <v>10.347709999999999</v>
      </c>
      <c r="T220" s="3">
        <v>12.38288</v>
      </c>
      <c r="W220" s="3">
        <v>7.116104</v>
      </c>
      <c r="X220" s="3">
        <v>1.296427</v>
      </c>
      <c r="AA220" s="3">
        <v>2.7242519999999999</v>
      </c>
      <c r="AB220" s="3">
        <v>29.29758</v>
      </c>
      <c r="AC220" s="3">
        <v>6.7120089999999993E-2</v>
      </c>
      <c r="AE220" s="3">
        <v>5.1575610000000003</v>
      </c>
      <c r="AF220" s="3">
        <v>26.3687</v>
      </c>
      <c r="AG220" s="3">
        <v>3.2413720000000001</v>
      </c>
      <c r="AH220" s="3">
        <v>70.170400000000001</v>
      </c>
      <c r="AI220" s="3">
        <v>18.127410000000001</v>
      </c>
      <c r="AL220" s="3">
        <v>19.560400000000001</v>
      </c>
      <c r="AM220" s="3">
        <v>10.679040000000001</v>
      </c>
      <c r="AQ220" s="3">
        <v>1.362722</v>
      </c>
      <c r="AV220" s="3">
        <v>11.66038</v>
      </c>
      <c r="AW220" s="3">
        <v>5.3667079999999998E-5</v>
      </c>
      <c r="AX220" s="3">
        <v>13.88086</v>
      </c>
      <c r="AY220" s="3">
        <v>1.60785</v>
      </c>
    </row>
    <row r="221" spans="1:51" x14ac:dyDescent="0.2">
      <c r="A221" s="3" t="s">
        <v>118</v>
      </c>
      <c r="B221" s="49">
        <v>24532</v>
      </c>
      <c r="D221" s="3">
        <v>17.248290000000001</v>
      </c>
      <c r="F221" s="3">
        <v>14.06373</v>
      </c>
      <c r="G221" s="3">
        <v>30.774740000000001</v>
      </c>
      <c r="M221" s="3">
        <v>27.726099999999999</v>
      </c>
      <c r="N221" s="3">
        <v>10.94744</v>
      </c>
      <c r="P221" s="3">
        <v>4.1812620000000003</v>
      </c>
      <c r="S221" s="3">
        <v>10.347709999999999</v>
      </c>
      <c r="T221" s="3">
        <v>12.414910000000001</v>
      </c>
      <c r="W221" s="3">
        <v>7.116104</v>
      </c>
      <c r="X221" s="3">
        <v>1.3180339999999999</v>
      </c>
      <c r="AA221" s="3">
        <v>2.7497470000000002</v>
      </c>
      <c r="AB221" s="3">
        <v>31.08746</v>
      </c>
      <c r="AC221" s="3">
        <v>6.7120089999999993E-2</v>
      </c>
      <c r="AE221" s="3">
        <v>5.1675950000000004</v>
      </c>
      <c r="AF221" s="3">
        <v>26.417390000000001</v>
      </c>
      <c r="AG221" s="3">
        <v>3.2859750000000001</v>
      </c>
      <c r="AH221" s="3">
        <v>70.556700000000006</v>
      </c>
      <c r="AI221" s="3">
        <v>18.14828</v>
      </c>
      <c r="AL221" s="3">
        <v>19.647649999999999</v>
      </c>
      <c r="AM221" s="3">
        <v>10.75071</v>
      </c>
      <c r="AQ221" s="3">
        <v>1.383459</v>
      </c>
      <c r="AV221" s="3">
        <v>11.738619999999999</v>
      </c>
      <c r="AW221" s="3">
        <v>5.4152020000000001E-5</v>
      </c>
      <c r="AX221" s="3">
        <v>13.92305</v>
      </c>
      <c r="AY221" s="3">
        <v>1.6168830000000001</v>
      </c>
    </row>
    <row r="222" spans="1:51" x14ac:dyDescent="0.2">
      <c r="A222" s="3" t="s">
        <v>119</v>
      </c>
      <c r="B222" s="49">
        <v>24563</v>
      </c>
      <c r="D222" s="3">
        <v>17.305859999999999</v>
      </c>
      <c r="F222" s="3">
        <v>14.14274</v>
      </c>
      <c r="G222" s="3">
        <v>30.801089999999999</v>
      </c>
      <c r="M222" s="3">
        <v>27.726099999999999</v>
      </c>
      <c r="N222" s="3">
        <v>11.003579999999999</v>
      </c>
      <c r="P222" s="3">
        <v>4.2394850000000002</v>
      </c>
      <c r="S222" s="3">
        <v>10.347709999999999</v>
      </c>
      <c r="T222" s="3">
        <v>12.42558</v>
      </c>
      <c r="W222" s="3">
        <v>7.1701050000000004</v>
      </c>
      <c r="X222" s="3">
        <v>1.3180339999999999</v>
      </c>
      <c r="AA222" s="3">
        <v>2.778883</v>
      </c>
      <c r="AB222" s="3">
        <v>31.08746</v>
      </c>
      <c r="AC222" s="3">
        <v>6.7120089999999993E-2</v>
      </c>
      <c r="AE222" s="3">
        <v>5.172612</v>
      </c>
      <c r="AF222" s="3">
        <v>26.49043</v>
      </c>
      <c r="AG222" s="3">
        <v>3.3738489999999999</v>
      </c>
      <c r="AH222" s="3">
        <v>69.992400000000004</v>
      </c>
      <c r="AI222" s="3">
        <v>18.21087</v>
      </c>
      <c r="AL222" s="3">
        <v>19.76979</v>
      </c>
      <c r="AM222" s="3">
        <v>10.75071</v>
      </c>
      <c r="AQ222" s="3">
        <v>1.3716090000000001</v>
      </c>
      <c r="AV222" s="3">
        <v>11.744210000000001</v>
      </c>
      <c r="AW222" s="3">
        <v>5.4313669999999999E-5</v>
      </c>
      <c r="AX222" s="3">
        <v>13.96524</v>
      </c>
      <c r="AY222" s="3">
        <v>1.621399</v>
      </c>
    </row>
    <row r="223" spans="1:51" x14ac:dyDescent="0.2">
      <c r="A223" s="3" t="s">
        <v>120</v>
      </c>
      <c r="B223" s="49">
        <v>24593</v>
      </c>
      <c r="D223" s="3">
        <v>17.358350000000002</v>
      </c>
      <c r="F223" s="3">
        <v>14.22175</v>
      </c>
      <c r="G223" s="3">
        <v>31.135629999999999</v>
      </c>
      <c r="M223" s="3">
        <v>27.791329999999999</v>
      </c>
      <c r="N223" s="3">
        <v>11.04101</v>
      </c>
      <c r="P223" s="3">
        <v>4.2541770000000003</v>
      </c>
      <c r="S223" s="3">
        <v>10.453290000000001</v>
      </c>
      <c r="T223" s="3">
        <v>12.44693</v>
      </c>
      <c r="W223" s="3">
        <v>7.1641050000000002</v>
      </c>
      <c r="X223" s="3">
        <v>1.3180339999999999</v>
      </c>
      <c r="AA223" s="3">
        <v>2.8335129999999999</v>
      </c>
      <c r="AB223" s="3">
        <v>31.08746</v>
      </c>
      <c r="AC223" s="3">
        <v>6.7120089999999993E-2</v>
      </c>
      <c r="AE223" s="3">
        <v>5.1876639999999998</v>
      </c>
      <c r="AF223" s="3">
        <v>26.32</v>
      </c>
      <c r="AG223" s="3">
        <v>3.406469</v>
      </c>
      <c r="AH223" s="3">
        <v>70.426000000000002</v>
      </c>
      <c r="AI223" s="3">
        <v>18.261299999999999</v>
      </c>
      <c r="AL223" s="3">
        <v>19.76979</v>
      </c>
      <c r="AM223" s="3">
        <v>10.822380000000001</v>
      </c>
      <c r="AQ223" s="3">
        <v>1.3508720000000001</v>
      </c>
      <c r="AV223" s="3">
        <v>11.769360000000001</v>
      </c>
      <c r="AW223" s="3">
        <v>5.5283559999999998E-5</v>
      </c>
      <c r="AX223" s="3">
        <v>14.007429999999999</v>
      </c>
      <c r="AY223" s="3">
        <v>1.6259159999999999</v>
      </c>
    </row>
    <row r="224" spans="1:51" x14ac:dyDescent="0.2">
      <c r="A224" s="3" t="s">
        <v>121</v>
      </c>
      <c r="B224" s="49">
        <v>24624</v>
      </c>
      <c r="D224" s="3">
        <v>17.390519999999999</v>
      </c>
      <c r="F224" s="3">
        <v>14.30076</v>
      </c>
      <c r="G224" s="3">
        <v>31.348130000000001</v>
      </c>
      <c r="M224" s="3">
        <v>27.791329999999999</v>
      </c>
      <c r="N224" s="3">
        <v>11.125220000000001</v>
      </c>
      <c r="P224" s="3">
        <v>4.2171750000000001</v>
      </c>
      <c r="S224" s="3">
        <v>10.453290000000001</v>
      </c>
      <c r="T224" s="3">
        <v>12.44693</v>
      </c>
      <c r="W224" s="3">
        <v>7.1941050000000004</v>
      </c>
      <c r="X224" s="3">
        <v>1.296427</v>
      </c>
      <c r="AA224" s="3">
        <v>2.9027129999999999</v>
      </c>
      <c r="AB224" s="3">
        <v>32.31212</v>
      </c>
      <c r="AC224" s="3">
        <v>6.7120089999999993E-2</v>
      </c>
      <c r="AE224" s="3">
        <v>5.2027150000000004</v>
      </c>
      <c r="AF224" s="3">
        <v>26.173909999999999</v>
      </c>
      <c r="AG224" s="3">
        <v>3.3685230000000002</v>
      </c>
      <c r="AH224" s="3">
        <v>70.295599999999993</v>
      </c>
      <c r="AI224" s="3">
        <v>18.223050000000001</v>
      </c>
      <c r="AL224" s="3">
        <v>19.787240000000001</v>
      </c>
      <c r="AM224" s="3">
        <v>10.965719999999999</v>
      </c>
      <c r="AQ224" s="3">
        <v>1.355809</v>
      </c>
      <c r="AV224" s="3">
        <v>11.79115</v>
      </c>
      <c r="AW224" s="3">
        <v>5.5445210000000003E-5</v>
      </c>
      <c r="AX224" s="3">
        <v>14.049630000000001</v>
      </c>
      <c r="AY224" s="3">
        <v>1.6304320000000001</v>
      </c>
    </row>
    <row r="225" spans="1:51" x14ac:dyDescent="0.2">
      <c r="A225" s="3" t="s">
        <v>122</v>
      </c>
      <c r="B225" s="49">
        <v>24654</v>
      </c>
      <c r="D225" s="3">
        <v>17.410830000000001</v>
      </c>
      <c r="F225" s="3">
        <v>14.379770000000001</v>
      </c>
      <c r="G225" s="3">
        <v>31.458760000000002</v>
      </c>
      <c r="M225" s="3">
        <v>27.791329999999999</v>
      </c>
      <c r="N225" s="3">
        <v>11.761480000000001</v>
      </c>
      <c r="P225" s="3">
        <v>4.2198950000000002</v>
      </c>
      <c r="S225" s="3">
        <v>10.453290000000001</v>
      </c>
      <c r="T225" s="3">
        <v>12.478960000000001</v>
      </c>
      <c r="W225" s="3">
        <v>7.1521039999999996</v>
      </c>
      <c r="X225" s="3">
        <v>1.296427</v>
      </c>
      <c r="AA225" s="3">
        <v>2.928207</v>
      </c>
      <c r="AB225" s="3">
        <v>32.31212</v>
      </c>
      <c r="AC225" s="3">
        <v>6.7120089999999993E-2</v>
      </c>
      <c r="AE225" s="3">
        <v>5.2127489999999996</v>
      </c>
      <c r="AF225" s="3">
        <v>26.149560000000001</v>
      </c>
      <c r="AG225" s="3">
        <v>3.3738489999999999</v>
      </c>
      <c r="AH225" s="3">
        <v>70.504400000000004</v>
      </c>
      <c r="AI225" s="3">
        <v>18.419530000000002</v>
      </c>
      <c r="AL225" s="3">
        <v>19.857040000000001</v>
      </c>
      <c r="AM225" s="3">
        <v>11.03739</v>
      </c>
      <c r="AQ225" s="3">
        <v>1.3686469999999999</v>
      </c>
      <c r="AV225" s="3">
        <v>11.844250000000001</v>
      </c>
      <c r="AW225" s="3">
        <v>5.5445210000000003E-5</v>
      </c>
      <c r="AX225" s="3">
        <v>14.09182</v>
      </c>
      <c r="AY225" s="3">
        <v>1.639465</v>
      </c>
    </row>
    <row r="226" spans="1:51" x14ac:dyDescent="0.2">
      <c r="A226" s="3" t="s">
        <v>123</v>
      </c>
      <c r="B226" s="49">
        <v>24685</v>
      </c>
      <c r="D226" s="3">
        <v>17.478560000000002</v>
      </c>
      <c r="F226" s="3">
        <v>14.458780000000001</v>
      </c>
      <c r="G226" s="3">
        <v>31.579940000000001</v>
      </c>
      <c r="M226" s="3">
        <v>27.66086</v>
      </c>
      <c r="N226" s="3">
        <v>11.798909999999999</v>
      </c>
      <c r="P226" s="3">
        <v>4.2813850000000002</v>
      </c>
      <c r="S226" s="3">
        <v>10.55888</v>
      </c>
      <c r="T226" s="3">
        <v>12.521660000000001</v>
      </c>
      <c r="W226" s="3">
        <v>7.1341039999999998</v>
      </c>
      <c r="X226" s="3">
        <v>1.2748200000000001</v>
      </c>
      <c r="AA226" s="3">
        <v>2.9573429999999998</v>
      </c>
      <c r="AB226" s="3">
        <v>32.31212</v>
      </c>
      <c r="AC226" s="3">
        <v>6.7120089999999993E-2</v>
      </c>
      <c r="AE226" s="3">
        <v>5.2227829999999997</v>
      </c>
      <c r="AF226" s="3">
        <v>26.3687</v>
      </c>
      <c r="AG226" s="3">
        <v>3.4151229999999999</v>
      </c>
      <c r="AH226" s="3">
        <v>70.477400000000003</v>
      </c>
      <c r="AI226" s="3">
        <v>18.42475</v>
      </c>
      <c r="AL226" s="3">
        <v>20.01408</v>
      </c>
      <c r="AM226" s="3">
        <v>11.03739</v>
      </c>
      <c r="AQ226" s="3">
        <v>1.397284</v>
      </c>
      <c r="AV226" s="3">
        <v>11.86772</v>
      </c>
      <c r="AW226" s="3">
        <v>5.496026E-5</v>
      </c>
      <c r="AX226" s="3">
        <v>14.13401</v>
      </c>
      <c r="AY226" s="3">
        <v>1.6439820000000001</v>
      </c>
    </row>
    <row r="227" spans="1:51" x14ac:dyDescent="0.2">
      <c r="A227" s="3" t="s">
        <v>124</v>
      </c>
      <c r="B227" s="49">
        <v>24716</v>
      </c>
      <c r="D227" s="3">
        <v>17.57507</v>
      </c>
      <c r="F227" s="3">
        <v>14.458780000000001</v>
      </c>
      <c r="G227" s="3">
        <v>31.458760000000002</v>
      </c>
      <c r="M227" s="3">
        <v>27.66086</v>
      </c>
      <c r="N227" s="3">
        <v>11.826980000000001</v>
      </c>
      <c r="P227" s="3">
        <v>4.2933560000000002</v>
      </c>
      <c r="S227" s="3">
        <v>10.66447</v>
      </c>
      <c r="T227" s="3">
        <v>12.564360000000001</v>
      </c>
      <c r="W227" s="3">
        <v>7.1281040000000004</v>
      </c>
      <c r="X227" s="3">
        <v>1.2748200000000001</v>
      </c>
      <c r="AA227" s="3">
        <v>2.9427750000000001</v>
      </c>
      <c r="AB227" s="3">
        <v>34.10201</v>
      </c>
      <c r="AC227" s="3">
        <v>6.7120089999999993E-2</v>
      </c>
      <c r="AE227" s="3">
        <v>5.2478689999999997</v>
      </c>
      <c r="AF227" s="3">
        <v>26.782609999999998</v>
      </c>
      <c r="AG227" s="3">
        <v>3.4697119999999999</v>
      </c>
      <c r="AH227" s="3">
        <v>70.718900000000005</v>
      </c>
      <c r="AI227" s="3">
        <v>18.544730000000001</v>
      </c>
      <c r="AL227" s="3">
        <v>20.083880000000001</v>
      </c>
      <c r="AM227" s="3">
        <v>11.03739</v>
      </c>
      <c r="AQ227" s="3">
        <v>1.42987</v>
      </c>
      <c r="AV227" s="3">
        <v>11.905720000000001</v>
      </c>
      <c r="AW227" s="3">
        <v>5.5121909999999999E-5</v>
      </c>
      <c r="AX227" s="3">
        <v>14.1762</v>
      </c>
      <c r="AY227" s="3">
        <v>1.6439820000000001</v>
      </c>
    </row>
    <row r="228" spans="1:51" x14ac:dyDescent="0.2">
      <c r="A228" s="3" t="s">
        <v>125</v>
      </c>
      <c r="B228" s="49">
        <v>24746</v>
      </c>
      <c r="D228" s="3">
        <v>17.61571</v>
      </c>
      <c r="F228" s="3">
        <v>14.458780000000001</v>
      </c>
      <c r="G228" s="3">
        <v>31.42803</v>
      </c>
      <c r="M228" s="3">
        <v>27.726099999999999</v>
      </c>
      <c r="N228" s="3">
        <v>11.873760000000001</v>
      </c>
      <c r="P228" s="3">
        <v>4.3107689999999996</v>
      </c>
      <c r="S228" s="3">
        <v>10.66447</v>
      </c>
      <c r="T228" s="3">
        <v>12.628410000000001</v>
      </c>
      <c r="W228" s="3">
        <v>7.182105</v>
      </c>
      <c r="X228" s="3">
        <v>1.2748200000000001</v>
      </c>
      <c r="AA228" s="3">
        <v>2.9828380000000001</v>
      </c>
      <c r="AB228" s="3">
        <v>34.10201</v>
      </c>
      <c r="AC228" s="3">
        <v>6.7120089999999993E-2</v>
      </c>
      <c r="AE228" s="3">
        <v>5.2428509999999999</v>
      </c>
      <c r="AF228" s="3">
        <v>27.24522</v>
      </c>
      <c r="AG228" s="3">
        <v>3.5249670000000002</v>
      </c>
      <c r="AH228" s="3">
        <v>71.391999999999996</v>
      </c>
      <c r="AI228" s="3">
        <v>18.56212</v>
      </c>
      <c r="AL228" s="3">
        <v>20.118770000000001</v>
      </c>
      <c r="AM228" s="3">
        <v>11.03739</v>
      </c>
      <c r="AQ228" s="3">
        <v>1.438758</v>
      </c>
      <c r="AV228" s="3">
        <v>11.89287</v>
      </c>
      <c r="AW228" s="3">
        <v>5.57685E-5</v>
      </c>
      <c r="AX228" s="3">
        <v>14.218389999999999</v>
      </c>
      <c r="AY228" s="3">
        <v>1.639465</v>
      </c>
    </row>
    <row r="229" spans="1:51" x14ac:dyDescent="0.2">
      <c r="A229" s="3" t="s">
        <v>126</v>
      </c>
      <c r="B229" s="49">
        <v>24777</v>
      </c>
      <c r="D229" s="3">
        <v>17.664809999999999</v>
      </c>
      <c r="F229" s="3">
        <v>14.458780000000001</v>
      </c>
      <c r="G229" s="3">
        <v>31.730090000000001</v>
      </c>
      <c r="M229" s="3">
        <v>27.791329999999999</v>
      </c>
      <c r="N229" s="3">
        <v>11.957979999999999</v>
      </c>
      <c r="P229" s="3">
        <v>4.4005539999999996</v>
      </c>
      <c r="S229" s="3">
        <v>10.98124</v>
      </c>
      <c r="T229" s="3">
        <v>12.72448</v>
      </c>
      <c r="W229" s="3">
        <v>7.2241049999999998</v>
      </c>
      <c r="X229" s="3">
        <v>1.2748200000000001</v>
      </c>
      <c r="AA229" s="3">
        <v>2.971911</v>
      </c>
      <c r="AB229" s="3">
        <v>34.10201</v>
      </c>
      <c r="AC229" s="3">
        <v>7.0906350000000007E-2</v>
      </c>
      <c r="AE229" s="3">
        <v>5.2478689999999997</v>
      </c>
      <c r="AF229" s="3">
        <v>27.220870000000001</v>
      </c>
      <c r="AG229" s="3">
        <v>3.5469349999999999</v>
      </c>
      <c r="AH229" s="3">
        <v>71.230199999999996</v>
      </c>
      <c r="AI229" s="3">
        <v>18.600370000000002</v>
      </c>
      <c r="AL229" s="3">
        <v>20.101320000000001</v>
      </c>
      <c r="AM229" s="3">
        <v>11.03739</v>
      </c>
      <c r="AQ229" s="3">
        <v>1.4565319999999999</v>
      </c>
      <c r="AV229" s="3">
        <v>11.86492</v>
      </c>
      <c r="AW229" s="3">
        <v>5.6738389999999998E-5</v>
      </c>
      <c r="AX229" s="3">
        <v>14.260579999999999</v>
      </c>
      <c r="AY229" s="3">
        <v>1.639465</v>
      </c>
    </row>
    <row r="230" spans="1:51" x14ac:dyDescent="0.2">
      <c r="A230" s="3" t="s">
        <v>127</v>
      </c>
      <c r="B230" s="49">
        <v>24807</v>
      </c>
      <c r="D230" s="3">
        <v>17.683430000000001</v>
      </c>
      <c r="F230" s="3">
        <v>14.537789999999999</v>
      </c>
      <c r="G230" s="3">
        <v>31.820530000000002</v>
      </c>
      <c r="M230" s="3">
        <v>27.791329999999999</v>
      </c>
      <c r="N230" s="3">
        <v>11.97669</v>
      </c>
      <c r="P230" s="3">
        <v>4.4005539999999996</v>
      </c>
      <c r="S230" s="3">
        <v>11.086830000000001</v>
      </c>
      <c r="T230" s="3">
        <v>12.73516</v>
      </c>
      <c r="W230" s="3">
        <v>7.272106</v>
      </c>
      <c r="X230" s="3">
        <v>1.2748200000000001</v>
      </c>
      <c r="AA230" s="3">
        <v>2.9427750000000001</v>
      </c>
      <c r="AB230" s="3">
        <v>36.080300000000001</v>
      </c>
      <c r="AC230" s="3">
        <v>7.1938959999999996E-2</v>
      </c>
      <c r="AE230" s="3">
        <v>5.2478689999999997</v>
      </c>
      <c r="AF230" s="3">
        <v>27.415649999999999</v>
      </c>
      <c r="AG230" s="3">
        <v>3.5442719999999999</v>
      </c>
      <c r="AH230" s="3">
        <v>70.763400000000004</v>
      </c>
      <c r="AI230" s="3">
        <v>18.626460000000002</v>
      </c>
      <c r="AL230" s="3">
        <v>20.101320000000001</v>
      </c>
      <c r="AM230" s="3">
        <v>11.109069999999999</v>
      </c>
      <c r="AQ230" s="3">
        <v>1.4634450000000001</v>
      </c>
      <c r="AV230" s="3">
        <v>11.874420000000001</v>
      </c>
      <c r="AW230" s="3">
        <v>5.6900039999999997E-5</v>
      </c>
      <c r="AX230" s="3">
        <v>14.302770000000001</v>
      </c>
      <c r="AY230" s="3">
        <v>1.639465</v>
      </c>
    </row>
    <row r="231" spans="1:51" x14ac:dyDescent="0.2">
      <c r="A231" s="3" t="s">
        <v>128</v>
      </c>
      <c r="B231" s="49">
        <v>24838</v>
      </c>
      <c r="D231" s="3">
        <v>17.722380000000001</v>
      </c>
      <c r="F231" s="3">
        <v>14.6168</v>
      </c>
      <c r="G231" s="3">
        <v>31.881119999999999</v>
      </c>
      <c r="M231" s="3">
        <v>28.052289999999999</v>
      </c>
      <c r="N231" s="3">
        <v>12.004759999999999</v>
      </c>
      <c r="P231" s="3">
        <v>4.4130700000000003</v>
      </c>
      <c r="S231" s="3">
        <v>11.22409</v>
      </c>
      <c r="T231" s="3">
        <v>12.86326</v>
      </c>
      <c r="W231" s="3">
        <v>7.2961070000000001</v>
      </c>
      <c r="X231" s="3">
        <v>1.296427</v>
      </c>
      <c r="Z231" s="3">
        <v>0.5623475</v>
      </c>
      <c r="AA231" s="3">
        <v>3.0265420000000001</v>
      </c>
      <c r="AB231" s="3">
        <v>36.080300000000001</v>
      </c>
      <c r="AC231" s="3">
        <v>7.4506740000000002E-2</v>
      </c>
      <c r="AE231" s="3">
        <v>5.2579029999999998</v>
      </c>
      <c r="AF231" s="3">
        <v>27.634779999999999</v>
      </c>
      <c r="AG231" s="3">
        <v>3.612841</v>
      </c>
      <c r="AH231" s="3">
        <v>70.731499999999997</v>
      </c>
      <c r="AI231" s="3">
        <v>18.645579999999999</v>
      </c>
      <c r="AL231" s="3">
        <v>20.206019999999999</v>
      </c>
      <c r="AM231" s="3">
        <v>11.18074</v>
      </c>
      <c r="AQ231" s="3">
        <v>1.4654199999999999</v>
      </c>
      <c r="AV231" s="3">
        <v>11.93031</v>
      </c>
      <c r="AW231" s="3">
        <v>5.7384979999999999E-5</v>
      </c>
      <c r="AX231" s="3">
        <v>14.38715</v>
      </c>
      <c r="AY231" s="3">
        <v>1.639465</v>
      </c>
    </row>
    <row r="232" spans="1:51" x14ac:dyDescent="0.2">
      <c r="A232" s="3" t="s">
        <v>129</v>
      </c>
      <c r="B232" s="49">
        <v>24869</v>
      </c>
      <c r="D232" s="3">
        <v>17.73254</v>
      </c>
      <c r="F232" s="3">
        <v>14.6168</v>
      </c>
      <c r="G232" s="3">
        <v>31.941700000000001</v>
      </c>
      <c r="M232" s="3">
        <v>28.117529999999999</v>
      </c>
      <c r="N232" s="3">
        <v>12.032830000000001</v>
      </c>
      <c r="P232" s="3">
        <v>4.4130700000000003</v>
      </c>
      <c r="S232" s="3">
        <v>11.27689</v>
      </c>
      <c r="T232" s="3">
        <v>12.87393</v>
      </c>
      <c r="W232" s="3">
        <v>7.3321069999999997</v>
      </c>
      <c r="X232" s="3">
        <v>1.2748200000000001</v>
      </c>
      <c r="Z232" s="3">
        <v>0.61858219999999997</v>
      </c>
      <c r="AA232" s="3">
        <v>2.9828380000000001</v>
      </c>
      <c r="AB232" s="3">
        <v>36.080300000000001</v>
      </c>
      <c r="AC232" s="3">
        <v>7.5251799999999994E-2</v>
      </c>
      <c r="AE232" s="3">
        <v>5.2579029999999998</v>
      </c>
      <c r="AF232" s="3">
        <v>27.756519999999998</v>
      </c>
      <c r="AG232" s="3">
        <v>3.6707580000000002</v>
      </c>
      <c r="AH232" s="3">
        <v>70.483999999999995</v>
      </c>
      <c r="AI232" s="3">
        <v>18.74296</v>
      </c>
      <c r="AL232" s="3">
        <v>20.32816</v>
      </c>
      <c r="AM232" s="3">
        <v>11.18074</v>
      </c>
      <c r="AQ232" s="3">
        <v>1.4703569999999999</v>
      </c>
      <c r="AV232" s="3">
        <v>11.975580000000001</v>
      </c>
      <c r="AW232" s="3">
        <v>5.7512410000000003E-5</v>
      </c>
      <c r="AX232" s="3">
        <v>14.429349999999999</v>
      </c>
      <c r="AY232" s="3">
        <v>1.6439820000000001</v>
      </c>
    </row>
    <row r="233" spans="1:51" x14ac:dyDescent="0.2">
      <c r="A233" s="3" t="s">
        <v>130</v>
      </c>
      <c r="B233" s="49">
        <v>24898</v>
      </c>
      <c r="D233" s="3">
        <v>17.749469999999999</v>
      </c>
      <c r="F233" s="3">
        <v>14.69581</v>
      </c>
      <c r="G233" s="3">
        <v>31.820530000000002</v>
      </c>
      <c r="M233" s="3">
        <v>28.117529999999999</v>
      </c>
      <c r="N233" s="3">
        <v>12.098330000000001</v>
      </c>
      <c r="P233" s="3">
        <v>4.458234</v>
      </c>
      <c r="S233" s="3">
        <v>11.435269999999999</v>
      </c>
      <c r="T233" s="3">
        <v>12.88461</v>
      </c>
      <c r="W233" s="3">
        <v>7.3561079999999999</v>
      </c>
      <c r="X233" s="3">
        <v>1.296427</v>
      </c>
      <c r="Z233" s="3">
        <v>0.63732710000000004</v>
      </c>
      <c r="AA233" s="3">
        <v>2.928207</v>
      </c>
      <c r="AB233" s="3">
        <v>36.928130000000003</v>
      </c>
      <c r="AC233" s="3">
        <v>7.6741939999999995E-2</v>
      </c>
      <c r="AE233" s="3">
        <v>5.2629200000000003</v>
      </c>
      <c r="AF233" s="3">
        <v>27.805219999999998</v>
      </c>
      <c r="AG233" s="3">
        <v>3.7067070000000002</v>
      </c>
      <c r="AH233" s="3">
        <v>70.242000000000004</v>
      </c>
      <c r="AI233" s="3">
        <v>18.762080000000001</v>
      </c>
      <c r="AL233" s="3">
        <v>20.415410000000001</v>
      </c>
      <c r="AM233" s="3">
        <v>11.18074</v>
      </c>
      <c r="AQ233" s="3">
        <v>1.4762820000000001</v>
      </c>
      <c r="AV233" s="3">
        <v>11.99066</v>
      </c>
      <c r="AW233" s="3">
        <v>5.7172600000000002E-5</v>
      </c>
      <c r="AX233" s="3">
        <v>14.471539999999999</v>
      </c>
      <c r="AY233" s="3">
        <v>1.648498</v>
      </c>
    </row>
    <row r="234" spans="1:51" x14ac:dyDescent="0.2">
      <c r="A234" s="3" t="s">
        <v>131</v>
      </c>
      <c r="B234" s="49">
        <v>24929</v>
      </c>
      <c r="D234" s="3">
        <v>17.786719999999999</v>
      </c>
      <c r="F234" s="3">
        <v>14.69581</v>
      </c>
      <c r="G234" s="3">
        <v>31.790679999999998</v>
      </c>
      <c r="M234" s="3">
        <v>28.117529999999999</v>
      </c>
      <c r="N234" s="3">
        <v>12.322889999999999</v>
      </c>
      <c r="P234" s="3">
        <v>4.4974129999999999</v>
      </c>
      <c r="S234" s="3">
        <v>11.488060000000001</v>
      </c>
      <c r="T234" s="3">
        <v>12.91663</v>
      </c>
      <c r="W234" s="3">
        <v>7.4881099999999998</v>
      </c>
      <c r="X234" s="3">
        <v>1.296427</v>
      </c>
      <c r="Z234" s="3">
        <v>0.59983730000000002</v>
      </c>
      <c r="AA234" s="3">
        <v>2.9427750000000001</v>
      </c>
      <c r="AB234" s="3">
        <v>36.928130000000003</v>
      </c>
      <c r="AC234" s="3">
        <v>7.8232070000000001E-2</v>
      </c>
      <c r="AE234" s="3">
        <v>5.2729540000000004</v>
      </c>
      <c r="AF234" s="3">
        <v>27.878260000000001</v>
      </c>
      <c r="AG234" s="3">
        <v>3.7040440000000001</v>
      </c>
      <c r="AH234" s="3">
        <v>70.048400000000001</v>
      </c>
      <c r="AI234" s="3">
        <v>18.80208</v>
      </c>
      <c r="AL234" s="3">
        <v>20.502649999999999</v>
      </c>
      <c r="AM234" s="3">
        <v>11.252409999999999</v>
      </c>
      <c r="AQ234" s="3">
        <v>1.4693700000000001</v>
      </c>
      <c r="AV234" s="3">
        <v>11.99905</v>
      </c>
      <c r="AW234" s="3">
        <v>5.7384979999999999E-5</v>
      </c>
      <c r="AX234" s="3">
        <v>14.513730000000001</v>
      </c>
      <c r="AY234" s="3">
        <v>1.6530149999999999</v>
      </c>
    </row>
    <row r="235" spans="1:51" x14ac:dyDescent="0.2">
      <c r="A235" s="3" t="s">
        <v>132</v>
      </c>
      <c r="B235" s="49">
        <v>24959</v>
      </c>
      <c r="D235" s="3">
        <v>17.805340000000001</v>
      </c>
      <c r="F235" s="3">
        <v>14.69581</v>
      </c>
      <c r="G235" s="3">
        <v>31.881119999999999</v>
      </c>
      <c r="M235" s="3">
        <v>28.117529999999999</v>
      </c>
      <c r="N235" s="3">
        <v>12.416460000000001</v>
      </c>
      <c r="P235" s="3">
        <v>4.4827209999999997</v>
      </c>
      <c r="S235" s="3">
        <v>11.498620000000001</v>
      </c>
      <c r="T235" s="3">
        <v>12.95933</v>
      </c>
      <c r="W235" s="3">
        <v>7.49411</v>
      </c>
      <c r="X235" s="3">
        <v>1.296427</v>
      </c>
      <c r="Z235" s="3">
        <v>0.63107880000000005</v>
      </c>
      <c r="AA235" s="3">
        <v>2.917281</v>
      </c>
      <c r="AB235" s="3">
        <v>36.928130000000003</v>
      </c>
      <c r="AC235" s="3">
        <v>8.1212339999999994E-2</v>
      </c>
      <c r="AE235" s="3">
        <v>5.277971</v>
      </c>
      <c r="AF235" s="3">
        <v>27.878260000000001</v>
      </c>
      <c r="AG235" s="3">
        <v>3.7120329999999999</v>
      </c>
      <c r="AH235" s="3">
        <v>69.651799999999994</v>
      </c>
      <c r="AI235" s="3">
        <v>18.784690000000001</v>
      </c>
      <c r="AL235" s="3">
        <v>20.520099999999999</v>
      </c>
      <c r="AM235" s="3">
        <v>11.18074</v>
      </c>
      <c r="AQ235" s="3">
        <v>1.46147</v>
      </c>
      <c r="AV235" s="3">
        <v>11.986190000000001</v>
      </c>
      <c r="AW235" s="3">
        <v>5.7554879999999999E-5</v>
      </c>
      <c r="AX235" s="3">
        <v>14.55592</v>
      </c>
      <c r="AY235" s="3">
        <v>1.6530149999999999</v>
      </c>
    </row>
    <row r="236" spans="1:51" x14ac:dyDescent="0.2">
      <c r="A236" s="3" t="s">
        <v>133</v>
      </c>
      <c r="B236" s="49">
        <v>24990</v>
      </c>
      <c r="D236" s="3">
        <v>17.869679999999999</v>
      </c>
      <c r="F236" s="3">
        <v>14.77482</v>
      </c>
      <c r="G236" s="3">
        <v>31.910969999999999</v>
      </c>
      <c r="M236" s="3">
        <v>28.117529999999999</v>
      </c>
      <c r="N236" s="3">
        <v>12.453889999999999</v>
      </c>
      <c r="P236" s="3">
        <v>4.4952360000000002</v>
      </c>
      <c r="S236" s="3">
        <v>11.57254</v>
      </c>
      <c r="T236" s="3">
        <v>13.00203</v>
      </c>
      <c r="W236" s="3">
        <v>7.5241100000000003</v>
      </c>
      <c r="X236" s="3">
        <v>1.296427</v>
      </c>
      <c r="Z236" s="3">
        <v>0.6498237</v>
      </c>
      <c r="AA236" s="3">
        <v>2.9427750000000001</v>
      </c>
      <c r="AB236" s="3">
        <v>39.094839999999998</v>
      </c>
      <c r="AC236" s="3">
        <v>9.0153150000000001E-2</v>
      </c>
      <c r="AE236" s="3">
        <v>5.2729540000000004</v>
      </c>
      <c r="AF236" s="3">
        <v>27.634779999999999</v>
      </c>
      <c r="AG236" s="3">
        <v>3.726013</v>
      </c>
      <c r="AH236" s="3">
        <v>69.254499999999993</v>
      </c>
      <c r="AI236" s="3">
        <v>18.80208</v>
      </c>
      <c r="AL236" s="3">
        <v>20.555</v>
      </c>
      <c r="AM236" s="3">
        <v>11.252409999999999</v>
      </c>
      <c r="AQ236" s="3">
        <v>1.451595</v>
      </c>
      <c r="AV236" s="3">
        <v>11.99066</v>
      </c>
      <c r="AW236" s="3">
        <v>5.7979639999999999E-5</v>
      </c>
      <c r="AX236" s="3">
        <v>14.6403</v>
      </c>
      <c r="AY236" s="3">
        <v>1.6575310000000001</v>
      </c>
    </row>
    <row r="237" spans="1:51" x14ac:dyDescent="0.2">
      <c r="A237" s="3" t="s">
        <v>134</v>
      </c>
      <c r="B237" s="49">
        <v>25020</v>
      </c>
      <c r="D237" s="3">
        <v>17.903549999999999</v>
      </c>
      <c r="F237" s="3">
        <v>14.932840000000001</v>
      </c>
      <c r="G237" s="3">
        <v>31.881119999999999</v>
      </c>
      <c r="M237" s="3">
        <v>28.117529999999999</v>
      </c>
      <c r="N237" s="3">
        <v>12.44453</v>
      </c>
      <c r="P237" s="3">
        <v>4.458234</v>
      </c>
      <c r="S237" s="3">
        <v>11.60421</v>
      </c>
      <c r="T237" s="3">
        <v>13.044729999999999</v>
      </c>
      <c r="W237" s="3">
        <v>7.5301099999999996</v>
      </c>
      <c r="X237" s="3">
        <v>1.296427</v>
      </c>
      <c r="Z237" s="3">
        <v>0.68106529999999998</v>
      </c>
      <c r="AA237" s="3">
        <v>2.928207</v>
      </c>
      <c r="AB237" s="3">
        <v>39.094839999999998</v>
      </c>
      <c r="AC237" s="3">
        <v>9.3133419999999995E-2</v>
      </c>
      <c r="AE237" s="3">
        <v>5.2629200000000003</v>
      </c>
      <c r="AF237" s="3">
        <v>27.634779999999999</v>
      </c>
      <c r="AG237" s="3">
        <v>3.7233499999999999</v>
      </c>
      <c r="AH237" s="3">
        <v>69.700400000000002</v>
      </c>
      <c r="AI237" s="3">
        <v>18.836849999999998</v>
      </c>
      <c r="AL237" s="3">
        <v>20.485199999999999</v>
      </c>
      <c r="AM237" s="3">
        <v>11.32408</v>
      </c>
      <c r="AQ237" s="3">
        <v>1.45357</v>
      </c>
      <c r="AV237" s="3">
        <v>12.054930000000001</v>
      </c>
      <c r="AW237" s="3">
        <v>5.8446880000000003E-5</v>
      </c>
      <c r="AX237" s="3">
        <v>14.724679999999999</v>
      </c>
      <c r="AY237" s="3">
        <v>1.6665639999999999</v>
      </c>
    </row>
    <row r="238" spans="1:51" x14ac:dyDescent="0.2">
      <c r="A238" s="3" t="s">
        <v>135</v>
      </c>
      <c r="B238" s="49">
        <v>25051</v>
      </c>
      <c r="D238" s="3">
        <v>17.920480000000001</v>
      </c>
      <c r="F238" s="3">
        <v>15.011850000000001</v>
      </c>
      <c r="G238" s="3">
        <v>31.97156</v>
      </c>
      <c r="M238" s="3">
        <v>28.052289999999999</v>
      </c>
      <c r="N238" s="3">
        <v>12.42582</v>
      </c>
      <c r="P238" s="3">
        <v>4.4609550000000002</v>
      </c>
      <c r="S238" s="3">
        <v>11.61477</v>
      </c>
      <c r="T238" s="3">
        <v>13.108779999999999</v>
      </c>
      <c r="W238" s="3">
        <v>7.5421100000000001</v>
      </c>
      <c r="X238" s="3">
        <v>1.296427</v>
      </c>
      <c r="Z238" s="3">
        <v>0.69981009999999999</v>
      </c>
      <c r="AA238" s="3">
        <v>2.9937640000000001</v>
      </c>
      <c r="AB238" s="3">
        <v>39.094839999999998</v>
      </c>
      <c r="AC238" s="3">
        <v>9.7603830000000003E-2</v>
      </c>
      <c r="AE238" s="3">
        <v>5.2629200000000003</v>
      </c>
      <c r="AF238" s="3">
        <v>27.878260000000001</v>
      </c>
      <c r="AG238" s="3">
        <v>3.7479819999999999</v>
      </c>
      <c r="AH238" s="3">
        <v>69.780500000000004</v>
      </c>
      <c r="AI238" s="3">
        <v>18.83512</v>
      </c>
      <c r="AL238" s="3">
        <v>20.677140000000001</v>
      </c>
      <c r="AM238" s="3">
        <v>11.32408</v>
      </c>
      <c r="AQ238" s="3">
        <v>1.466407</v>
      </c>
      <c r="AV238" s="3">
        <v>12.04208</v>
      </c>
      <c r="AW238" s="3">
        <v>5.8786689999999997E-5</v>
      </c>
      <c r="AX238" s="3">
        <v>14.766870000000001</v>
      </c>
      <c r="AY238" s="3">
        <v>1.6665639999999999</v>
      </c>
    </row>
    <row r="239" spans="1:51" x14ac:dyDescent="0.2">
      <c r="A239" s="3" t="s">
        <v>136</v>
      </c>
      <c r="B239" s="49">
        <v>25082</v>
      </c>
      <c r="D239" s="3">
        <v>17.991589999999999</v>
      </c>
      <c r="F239" s="3">
        <v>15.011850000000001</v>
      </c>
      <c r="G239" s="3">
        <v>32.00141</v>
      </c>
      <c r="M239" s="3">
        <v>28.052289999999999</v>
      </c>
      <c r="N239" s="3">
        <v>12.44453</v>
      </c>
      <c r="P239" s="3">
        <v>4.453881</v>
      </c>
      <c r="S239" s="3">
        <v>11.62533</v>
      </c>
      <c r="T239" s="3">
        <v>13.194179999999999</v>
      </c>
      <c r="W239" s="3">
        <v>7.5481100000000003</v>
      </c>
      <c r="X239" s="3">
        <v>1.296427</v>
      </c>
      <c r="Z239" s="3">
        <v>0.69981009999999999</v>
      </c>
      <c r="AA239" s="3">
        <v>3.0119739999999999</v>
      </c>
      <c r="AB239" s="3">
        <v>39.942680000000003</v>
      </c>
      <c r="AC239" s="3">
        <v>9.9839029999999995E-2</v>
      </c>
      <c r="AE239" s="3">
        <v>5.2679369999999999</v>
      </c>
      <c r="AF239" s="3">
        <v>28.511299999999999</v>
      </c>
      <c r="AG239" s="3">
        <v>3.7672870000000001</v>
      </c>
      <c r="AH239" s="3">
        <v>70.028000000000006</v>
      </c>
      <c r="AI239" s="3">
        <v>18.866420000000002</v>
      </c>
      <c r="AL239" s="3">
        <v>20.746939999999999</v>
      </c>
      <c r="AM239" s="3">
        <v>11.32408</v>
      </c>
      <c r="AQ239" s="3">
        <v>1.487144</v>
      </c>
      <c r="AV239" s="3">
        <v>12.06108</v>
      </c>
      <c r="AW239" s="3">
        <v>5.8786689999999997E-5</v>
      </c>
      <c r="AX239" s="3">
        <v>14.809060000000001</v>
      </c>
      <c r="AY239" s="3">
        <v>1.675597</v>
      </c>
    </row>
    <row r="240" spans="1:51" x14ac:dyDescent="0.2">
      <c r="A240" s="3" t="s">
        <v>137</v>
      </c>
      <c r="B240" s="49">
        <v>25112</v>
      </c>
      <c r="D240" s="3">
        <v>18.06101</v>
      </c>
      <c r="F240" s="3">
        <v>15.011850000000001</v>
      </c>
      <c r="G240" s="3">
        <v>32.12171</v>
      </c>
      <c r="M240" s="3">
        <v>28.117529999999999</v>
      </c>
      <c r="N240" s="3">
        <v>12.453889999999999</v>
      </c>
      <c r="P240" s="3">
        <v>4.4680289999999996</v>
      </c>
      <c r="S240" s="3">
        <v>11.678129999999999</v>
      </c>
      <c r="T240" s="3">
        <v>13.33295</v>
      </c>
      <c r="W240" s="3">
        <v>7.584111</v>
      </c>
      <c r="X240" s="3">
        <v>1.296427</v>
      </c>
      <c r="Z240" s="3">
        <v>0.69356189999999995</v>
      </c>
      <c r="AA240" s="3">
        <v>3.0265420000000001</v>
      </c>
      <c r="AB240" s="3">
        <v>39.942680000000003</v>
      </c>
      <c r="AC240" s="3">
        <v>0.1020742</v>
      </c>
      <c r="AE240" s="3">
        <v>5.2729540000000004</v>
      </c>
      <c r="AF240" s="3">
        <v>28.53565</v>
      </c>
      <c r="AG240" s="3">
        <v>3.8691420000000001</v>
      </c>
      <c r="AH240" s="3">
        <v>69.999499999999998</v>
      </c>
      <c r="AI240" s="3">
        <v>18.95336</v>
      </c>
      <c r="AL240" s="3">
        <v>20.85163</v>
      </c>
      <c r="AM240" s="3">
        <v>11.39575</v>
      </c>
      <c r="AQ240" s="3">
        <v>1.493069</v>
      </c>
      <c r="AV240" s="3">
        <v>12.092930000000001</v>
      </c>
      <c r="AW240" s="3">
        <v>5.959373E-5</v>
      </c>
      <c r="AX240" s="3">
        <v>14.89345</v>
      </c>
      <c r="AY240" s="3">
        <v>1.675597</v>
      </c>
    </row>
    <row r="241" spans="1:51" x14ac:dyDescent="0.2">
      <c r="A241" s="3" t="s">
        <v>138</v>
      </c>
      <c r="B241" s="49">
        <v>25143</v>
      </c>
      <c r="D241" s="3">
        <v>18.064399999999999</v>
      </c>
      <c r="F241" s="3">
        <v>15.16987</v>
      </c>
      <c r="G241" s="3">
        <v>32.423769999999998</v>
      </c>
      <c r="M241" s="3">
        <v>28.31324</v>
      </c>
      <c r="N241" s="3">
        <v>12.49131</v>
      </c>
      <c r="P241" s="3">
        <v>4.4974129999999999</v>
      </c>
      <c r="S241" s="3">
        <v>11.66757</v>
      </c>
      <c r="T241" s="3">
        <v>13.37565</v>
      </c>
      <c r="W241" s="3">
        <v>7.6021109999999998</v>
      </c>
      <c r="X241" s="3">
        <v>1.296427</v>
      </c>
      <c r="Z241" s="3">
        <v>0.84976949999999996</v>
      </c>
      <c r="AA241" s="3">
        <v>2.960985</v>
      </c>
      <c r="AB241" s="3">
        <v>39.942680000000003</v>
      </c>
      <c r="AC241" s="3">
        <v>0.1050545</v>
      </c>
      <c r="AE241" s="3">
        <v>5.2829879999999996</v>
      </c>
      <c r="AF241" s="3">
        <v>28.608699999999999</v>
      </c>
      <c r="AG241" s="3">
        <v>3.9596789999999999</v>
      </c>
      <c r="AH241" s="3">
        <v>69.819999999999993</v>
      </c>
      <c r="AI241" s="3">
        <v>18.981179999999998</v>
      </c>
      <c r="AL241" s="3">
        <v>20.86908</v>
      </c>
      <c r="AM241" s="3">
        <v>11.39575</v>
      </c>
      <c r="AQ241" s="3">
        <v>1.5256559999999999</v>
      </c>
      <c r="AV241" s="3">
        <v>12.043200000000001</v>
      </c>
      <c r="AW241" s="3">
        <v>5.976363E-5</v>
      </c>
      <c r="AX241" s="3">
        <v>14.935639999999999</v>
      </c>
      <c r="AY241" s="3">
        <v>1.680113</v>
      </c>
    </row>
    <row r="242" spans="1:51" x14ac:dyDescent="0.2">
      <c r="A242" s="3" t="s">
        <v>139</v>
      </c>
      <c r="B242" s="49">
        <v>25173</v>
      </c>
      <c r="D242" s="3">
        <v>18.128740000000001</v>
      </c>
      <c r="F242" s="3">
        <v>15.16987</v>
      </c>
      <c r="G242" s="3">
        <v>32.514209999999999</v>
      </c>
      <c r="M242" s="3">
        <v>28.37848</v>
      </c>
      <c r="N242" s="3">
        <v>12.49131</v>
      </c>
      <c r="P242" s="3">
        <v>4.527342</v>
      </c>
      <c r="S242" s="3">
        <v>11.66757</v>
      </c>
      <c r="T242" s="3">
        <v>13.40767</v>
      </c>
      <c r="W242" s="3">
        <v>7.7041130000000004</v>
      </c>
      <c r="X242" s="3">
        <v>1.3180339999999999</v>
      </c>
      <c r="Z242" s="3">
        <v>0.74979660000000004</v>
      </c>
      <c r="AA242" s="3">
        <v>2.8772180000000001</v>
      </c>
      <c r="AB242" s="3">
        <v>40.507899999999999</v>
      </c>
      <c r="AC242" s="3">
        <v>0.10952489999999999</v>
      </c>
      <c r="AE242" s="3">
        <v>5.2980390000000002</v>
      </c>
      <c r="AF242" s="3">
        <v>28.48696</v>
      </c>
      <c r="AG242" s="3">
        <v>3.9350480000000001</v>
      </c>
      <c r="AH242" s="3">
        <v>69.995699999999999</v>
      </c>
      <c r="AI242" s="3">
        <v>19.054210000000001</v>
      </c>
      <c r="AL242" s="3">
        <v>20.938880000000001</v>
      </c>
      <c r="AM242" s="3">
        <v>11.467420000000001</v>
      </c>
      <c r="AQ242" s="3">
        <v>1.521706</v>
      </c>
      <c r="AV242" s="3">
        <v>12.113049999999999</v>
      </c>
      <c r="AW242" s="3">
        <v>6.0060959999999997E-5</v>
      </c>
      <c r="AX242" s="3">
        <v>14.977830000000001</v>
      </c>
      <c r="AY242" s="3">
        <v>1.6846300000000001</v>
      </c>
    </row>
    <row r="243" spans="1:51" x14ac:dyDescent="0.2">
      <c r="A243" s="3" t="s">
        <v>140</v>
      </c>
      <c r="B243" s="49">
        <v>25204</v>
      </c>
      <c r="D243" s="3">
        <v>18.208310000000001</v>
      </c>
      <c r="F243" s="3">
        <v>15.16987</v>
      </c>
      <c r="G243" s="3">
        <v>32.604649999999999</v>
      </c>
      <c r="M243" s="3">
        <v>28.443709999999999</v>
      </c>
      <c r="N243" s="3">
        <v>12.51938</v>
      </c>
      <c r="P243" s="3">
        <v>4.5170029999999999</v>
      </c>
      <c r="S243" s="3">
        <v>11.7098</v>
      </c>
      <c r="T243" s="3">
        <v>13.557119999999999</v>
      </c>
      <c r="W243" s="3">
        <v>7.7461130000000002</v>
      </c>
      <c r="X243" s="3">
        <v>1.3180339999999999</v>
      </c>
      <c r="Z243" s="3">
        <v>0.7622932</v>
      </c>
      <c r="AA243" s="3">
        <v>2.8590080000000002</v>
      </c>
      <c r="AB243" s="3">
        <v>40.528550000000003</v>
      </c>
      <c r="AC243" s="3">
        <v>0.11474040000000001</v>
      </c>
      <c r="AE243" s="3">
        <v>5.313091</v>
      </c>
      <c r="AF243" s="3">
        <v>28.584350000000001</v>
      </c>
      <c r="AG243" s="3">
        <v>4.0369020000000004</v>
      </c>
      <c r="AH243" s="3">
        <v>70.026799999999994</v>
      </c>
      <c r="AI243" s="3">
        <v>19.090730000000001</v>
      </c>
      <c r="AK243" s="3">
        <v>1.3227879999999999E-2</v>
      </c>
      <c r="AL243" s="3">
        <v>21.67174</v>
      </c>
      <c r="AM243" s="3">
        <v>11.467420000000001</v>
      </c>
      <c r="AQ243" s="3">
        <v>1.5315810000000001</v>
      </c>
      <c r="AV243" s="3">
        <v>12.162789999999999</v>
      </c>
      <c r="AW243" s="3">
        <v>6.0230869999999997E-5</v>
      </c>
      <c r="AX243" s="3">
        <v>15.020020000000001</v>
      </c>
      <c r="AY243" s="3">
        <v>1.689146</v>
      </c>
    </row>
    <row r="244" spans="1:51" x14ac:dyDescent="0.2">
      <c r="A244" s="3" t="s">
        <v>141</v>
      </c>
      <c r="B244" s="49">
        <v>25235</v>
      </c>
      <c r="D244" s="3">
        <v>18.286200000000001</v>
      </c>
      <c r="F244" s="3">
        <v>15.16987</v>
      </c>
      <c r="G244" s="3">
        <v>32.665239999999997</v>
      </c>
      <c r="M244" s="3">
        <v>28.574190000000002</v>
      </c>
      <c r="N244" s="3">
        <v>12.54745</v>
      </c>
      <c r="P244" s="3">
        <v>4.489795</v>
      </c>
      <c r="S244" s="3">
        <v>11.7098</v>
      </c>
      <c r="T244" s="3">
        <v>13.599819999999999</v>
      </c>
      <c r="W244" s="3">
        <v>7.7881140000000002</v>
      </c>
      <c r="X244" s="3">
        <v>1.3180339999999999</v>
      </c>
      <c r="Z244" s="3">
        <v>0.77478979999999997</v>
      </c>
      <c r="AA244" s="3">
        <v>2.8444400000000001</v>
      </c>
      <c r="AB244" s="3">
        <v>40.528550000000003</v>
      </c>
      <c r="AC244" s="3">
        <v>0.11399529999999999</v>
      </c>
      <c r="AE244" s="3">
        <v>5.3231250000000001</v>
      </c>
      <c r="AF244" s="3">
        <v>28.584350000000001</v>
      </c>
      <c r="AG244" s="3">
        <v>4.061534</v>
      </c>
      <c r="AH244" s="3">
        <v>69.921499999999995</v>
      </c>
      <c r="AI244" s="3">
        <v>19.109850000000002</v>
      </c>
      <c r="AK244" s="3">
        <v>1.327536E-2</v>
      </c>
      <c r="AL244" s="3">
        <v>21.863679999999999</v>
      </c>
      <c r="AM244" s="3">
        <v>11.467420000000001</v>
      </c>
      <c r="AQ244" s="3">
        <v>1.5799669999999999</v>
      </c>
      <c r="AV244" s="3">
        <v>12.198</v>
      </c>
      <c r="AW244" s="3">
        <v>6.0400769999999997E-5</v>
      </c>
      <c r="AX244" s="3">
        <v>15.1044</v>
      </c>
      <c r="AY244" s="3">
        <v>1.689146</v>
      </c>
    </row>
    <row r="245" spans="1:51" x14ac:dyDescent="0.2">
      <c r="A245" s="3" t="s">
        <v>142</v>
      </c>
      <c r="B245" s="49">
        <v>25263</v>
      </c>
      <c r="D245" s="3">
        <v>18.384409999999999</v>
      </c>
      <c r="F245" s="3">
        <v>15.24888</v>
      </c>
      <c r="G245" s="3">
        <v>32.604649999999999</v>
      </c>
      <c r="M245" s="3">
        <v>28.639430000000001</v>
      </c>
      <c r="N245" s="3">
        <v>12.56617</v>
      </c>
      <c r="P245" s="3">
        <v>4.5170029999999999</v>
      </c>
      <c r="S245" s="3">
        <v>11.65701</v>
      </c>
      <c r="T245" s="3">
        <v>13.663869999999999</v>
      </c>
      <c r="W245" s="3">
        <v>7.8181139999999996</v>
      </c>
      <c r="X245" s="3">
        <v>1.3180339999999999</v>
      </c>
      <c r="Z245" s="3">
        <v>0.79353479999999998</v>
      </c>
      <c r="AA245" s="3">
        <v>2.8590080000000002</v>
      </c>
      <c r="AB245" s="3">
        <v>41.512250000000002</v>
      </c>
      <c r="AC245" s="3">
        <v>0.1154854</v>
      </c>
      <c r="AE245" s="3">
        <v>5.3431930000000003</v>
      </c>
      <c r="AF245" s="3">
        <v>28.876519999999999</v>
      </c>
      <c r="AG245" s="3">
        <v>4.0921570000000003</v>
      </c>
      <c r="AH245" s="3">
        <v>69.983099999999993</v>
      </c>
      <c r="AI245" s="3">
        <v>19.146370000000001</v>
      </c>
      <c r="AK245" s="3">
        <v>1.328846E-2</v>
      </c>
      <c r="AL245" s="3">
        <v>22.020720000000001</v>
      </c>
      <c r="AM245" s="3">
        <v>11.467420000000001</v>
      </c>
      <c r="AQ245" s="3">
        <v>1.597742</v>
      </c>
      <c r="AV245" s="3">
        <v>12.22315</v>
      </c>
      <c r="AW245" s="3">
        <v>6.0400769999999997E-5</v>
      </c>
      <c r="AX245" s="3">
        <v>15.230980000000001</v>
      </c>
      <c r="AY245" s="3">
        <v>1.7026950000000001</v>
      </c>
    </row>
    <row r="246" spans="1:51" x14ac:dyDescent="0.2">
      <c r="A246" s="3" t="s">
        <v>143</v>
      </c>
      <c r="B246" s="49">
        <v>25294</v>
      </c>
      <c r="D246" s="3">
        <v>18.433509999999998</v>
      </c>
      <c r="F246" s="3">
        <v>15.485910000000001</v>
      </c>
      <c r="G246" s="3">
        <v>32.544939999999997</v>
      </c>
      <c r="M246" s="3">
        <v>28.639430000000001</v>
      </c>
      <c r="N246" s="3">
        <v>12.603590000000001</v>
      </c>
      <c r="P246" s="3">
        <v>4.5703300000000002</v>
      </c>
      <c r="S246" s="3">
        <v>11.752039999999999</v>
      </c>
      <c r="T246" s="3">
        <v>13.727919999999999</v>
      </c>
      <c r="W246" s="3">
        <v>7.9021150000000002</v>
      </c>
      <c r="X246" s="3">
        <v>1.3396410000000001</v>
      </c>
      <c r="Z246" s="3">
        <v>0.75604490000000002</v>
      </c>
      <c r="AA246" s="3">
        <v>2.8772180000000001</v>
      </c>
      <c r="AB246" s="3">
        <v>41.512250000000002</v>
      </c>
      <c r="AC246" s="3">
        <v>0.11474040000000001</v>
      </c>
      <c r="AE246" s="3">
        <v>5.3632609999999996</v>
      </c>
      <c r="AF246" s="3">
        <v>29.168700000000001</v>
      </c>
      <c r="AG246" s="3">
        <v>4.1141249999999996</v>
      </c>
      <c r="AH246" s="3">
        <v>69.426199999999994</v>
      </c>
      <c r="AI246" s="3">
        <v>19.18984</v>
      </c>
      <c r="AK246" s="3">
        <v>1.332448E-2</v>
      </c>
      <c r="AL246" s="3">
        <v>22.21266</v>
      </c>
      <c r="AM246" s="3">
        <v>11.53909</v>
      </c>
      <c r="AQ246" s="3">
        <v>1.5878669999999999</v>
      </c>
      <c r="AV246" s="3">
        <v>12.286289999999999</v>
      </c>
      <c r="AW246" s="3">
        <v>6.0570669999999997E-5</v>
      </c>
      <c r="AX246" s="3">
        <v>15.31536</v>
      </c>
      <c r="AY246" s="3">
        <v>1.707212</v>
      </c>
    </row>
    <row r="247" spans="1:51" x14ac:dyDescent="0.2">
      <c r="A247" s="3" t="s">
        <v>144</v>
      </c>
      <c r="B247" s="49">
        <v>25324</v>
      </c>
      <c r="D247" s="3">
        <v>18.489380000000001</v>
      </c>
      <c r="F247" s="3">
        <v>15.485910000000001</v>
      </c>
      <c r="G247" s="3">
        <v>32.69509</v>
      </c>
      <c r="M247" s="3">
        <v>28.70467</v>
      </c>
      <c r="N247" s="3">
        <v>12.687810000000001</v>
      </c>
      <c r="P247" s="3">
        <v>4.5703300000000002</v>
      </c>
      <c r="S247" s="3">
        <v>11.762600000000001</v>
      </c>
      <c r="T247" s="3">
        <v>13.791969999999999</v>
      </c>
      <c r="W247" s="3">
        <v>7.8901149999999998</v>
      </c>
      <c r="X247" s="3">
        <v>1.3396410000000001</v>
      </c>
      <c r="Z247" s="3">
        <v>0.75604490000000002</v>
      </c>
      <c r="AA247" s="3">
        <v>2.9099970000000002</v>
      </c>
      <c r="AB247" s="3">
        <v>41.512250000000002</v>
      </c>
      <c r="AC247" s="3">
        <v>0.1162305</v>
      </c>
      <c r="AE247" s="3">
        <v>5.3783130000000003</v>
      </c>
      <c r="AF247" s="3">
        <v>29.19304</v>
      </c>
      <c r="AG247" s="3">
        <v>4.1414200000000001</v>
      </c>
      <c r="AH247" s="3">
        <v>68.924499999999995</v>
      </c>
      <c r="AI247" s="3">
        <v>19.273299999999999</v>
      </c>
      <c r="AK247" s="3">
        <v>1.332448E-2</v>
      </c>
      <c r="AL247" s="3">
        <v>22.177759999999999</v>
      </c>
      <c r="AM247" s="3">
        <v>11.53909</v>
      </c>
      <c r="AQ247" s="3">
        <v>1.6076170000000001</v>
      </c>
      <c r="AV247" s="3">
        <v>12.268969999999999</v>
      </c>
      <c r="AW247" s="3">
        <v>6.1037910000000001E-5</v>
      </c>
      <c r="AX247" s="3">
        <v>15.35755</v>
      </c>
      <c r="AY247" s="3">
        <v>1.7117279999999999</v>
      </c>
    </row>
    <row r="248" spans="1:51" x14ac:dyDescent="0.2">
      <c r="A248" s="3" t="s">
        <v>145</v>
      </c>
      <c r="B248" s="49">
        <v>25355</v>
      </c>
      <c r="D248" s="3">
        <v>18.53848</v>
      </c>
      <c r="F248" s="3">
        <v>15.564920000000001</v>
      </c>
      <c r="G248" s="3">
        <v>32.846119999999999</v>
      </c>
      <c r="M248" s="3">
        <v>28.70467</v>
      </c>
      <c r="N248" s="3">
        <v>12.76266</v>
      </c>
      <c r="P248" s="3">
        <v>4.5170029999999999</v>
      </c>
      <c r="S248" s="3">
        <v>11.783709999999999</v>
      </c>
      <c r="T248" s="3">
        <v>13.834669999999999</v>
      </c>
      <c r="W248" s="3">
        <v>7.9261160000000004</v>
      </c>
      <c r="X248" s="3">
        <v>1.3396410000000001</v>
      </c>
      <c r="Z248" s="3">
        <v>0.74354830000000005</v>
      </c>
      <c r="AA248" s="3">
        <v>2.9937640000000001</v>
      </c>
      <c r="AB248" s="3">
        <v>42.692689999999999</v>
      </c>
      <c r="AC248" s="3">
        <v>0.1169756</v>
      </c>
      <c r="AE248" s="3">
        <v>5.3983809999999997</v>
      </c>
      <c r="AF248" s="3">
        <v>29.24174</v>
      </c>
      <c r="AG248" s="3">
        <v>4.1554000000000002</v>
      </c>
      <c r="AH248" s="3">
        <v>68.671499999999995</v>
      </c>
      <c r="AI248" s="3">
        <v>19.250699999999998</v>
      </c>
      <c r="AK248" s="3">
        <v>1.337196E-2</v>
      </c>
      <c r="AL248" s="3">
        <v>22.177759999999999</v>
      </c>
      <c r="AM248" s="3">
        <v>11.610760000000001</v>
      </c>
      <c r="AQ248" s="3">
        <v>1.5789800000000001</v>
      </c>
      <c r="AV248" s="3">
        <v>12.293559999999999</v>
      </c>
      <c r="AW248" s="3">
        <v>6.1037910000000001E-5</v>
      </c>
      <c r="AX248" s="3">
        <v>15.441929999999999</v>
      </c>
      <c r="AY248" s="3">
        <v>1.7117279999999999</v>
      </c>
    </row>
    <row r="249" spans="1:51" x14ac:dyDescent="0.2">
      <c r="A249" s="3" t="s">
        <v>146</v>
      </c>
      <c r="B249" s="49">
        <v>25385</v>
      </c>
      <c r="D249" s="3">
        <v>18.606210000000001</v>
      </c>
      <c r="F249" s="3">
        <v>15.643929999999999</v>
      </c>
      <c r="G249" s="3">
        <v>32.846119999999999</v>
      </c>
      <c r="M249" s="3">
        <v>28.70467</v>
      </c>
      <c r="N249" s="3">
        <v>12.76266</v>
      </c>
      <c r="P249" s="3">
        <v>4.5523720000000001</v>
      </c>
      <c r="S249" s="3">
        <v>11.804830000000001</v>
      </c>
      <c r="T249" s="3">
        <v>13.898720000000001</v>
      </c>
      <c r="W249" s="3">
        <v>7.9261160000000004</v>
      </c>
      <c r="X249" s="3">
        <v>1.3396410000000001</v>
      </c>
      <c r="Z249" s="3">
        <v>0.75604490000000002</v>
      </c>
      <c r="AA249" s="3">
        <v>3.0119739999999999</v>
      </c>
      <c r="AB249" s="3">
        <v>42.692689999999999</v>
      </c>
      <c r="AC249" s="3">
        <v>0.12666140000000001</v>
      </c>
      <c r="AE249" s="3">
        <v>5.4284829999999999</v>
      </c>
      <c r="AF249" s="3">
        <v>29.606960000000001</v>
      </c>
      <c r="AG249" s="3">
        <v>4.1554000000000002</v>
      </c>
      <c r="AH249" s="3">
        <v>68.773799999999994</v>
      </c>
      <c r="AI249" s="3">
        <v>19.302859999999999</v>
      </c>
      <c r="AK249" s="3">
        <v>1.3422720000000001E-2</v>
      </c>
      <c r="AL249" s="3">
        <v>21.98582</v>
      </c>
      <c r="AM249" s="3">
        <v>11.68244</v>
      </c>
      <c r="AQ249" s="3">
        <v>1.5878669999999999</v>
      </c>
      <c r="AV249" s="3">
        <v>12.35671</v>
      </c>
      <c r="AW249" s="3">
        <v>6.0868010000000001E-5</v>
      </c>
      <c r="AX249" s="3">
        <v>15.52631</v>
      </c>
      <c r="AY249" s="3">
        <v>1.716245</v>
      </c>
    </row>
    <row r="250" spans="1:51" x14ac:dyDescent="0.2">
      <c r="A250" s="3" t="s">
        <v>147</v>
      </c>
      <c r="B250" s="49">
        <v>25416</v>
      </c>
      <c r="D250" s="3">
        <v>18.633299999999998</v>
      </c>
      <c r="F250" s="3">
        <v>15.722939999999999</v>
      </c>
      <c r="G250" s="3">
        <v>32.786409999999997</v>
      </c>
      <c r="M250" s="3">
        <v>28.639430000000001</v>
      </c>
      <c r="N250" s="3">
        <v>12.82816</v>
      </c>
      <c r="P250" s="3">
        <v>4.5665209999999998</v>
      </c>
      <c r="S250" s="3">
        <v>11.815390000000001</v>
      </c>
      <c r="T250" s="3">
        <v>13.93075</v>
      </c>
      <c r="W250" s="3">
        <v>7.9081149999999996</v>
      </c>
      <c r="X250" s="3">
        <v>1.3180339999999999</v>
      </c>
      <c r="Z250" s="3">
        <v>0.78103809999999996</v>
      </c>
      <c r="AA250" s="3">
        <v>3.0119739999999999</v>
      </c>
      <c r="AB250" s="3">
        <v>42.692689999999999</v>
      </c>
      <c r="AC250" s="3">
        <v>0.1303868</v>
      </c>
      <c r="AE250" s="3">
        <v>5.4435349999999998</v>
      </c>
      <c r="AF250" s="3">
        <v>29.874780000000001</v>
      </c>
      <c r="AG250" s="3">
        <v>4.1773689999999997</v>
      </c>
      <c r="AH250" s="3">
        <v>69.099900000000005</v>
      </c>
      <c r="AI250" s="3">
        <v>19.27852</v>
      </c>
      <c r="AK250" s="3">
        <v>1.343746E-2</v>
      </c>
      <c r="AL250" s="3">
        <v>22.107970000000002</v>
      </c>
      <c r="AM250" s="3">
        <v>11.68244</v>
      </c>
      <c r="AQ250" s="3">
        <v>1.5868800000000001</v>
      </c>
      <c r="AV250" s="3">
        <v>12.41483</v>
      </c>
      <c r="AW250" s="3">
        <v>6.1207810000000001E-5</v>
      </c>
      <c r="AX250" s="3">
        <v>15.61069</v>
      </c>
      <c r="AY250" s="3">
        <v>1.716245</v>
      </c>
    </row>
    <row r="251" spans="1:51" x14ac:dyDescent="0.2">
      <c r="A251" s="3" t="s">
        <v>148</v>
      </c>
      <c r="B251" s="49">
        <v>25447</v>
      </c>
      <c r="D251" s="3">
        <v>18.687480000000001</v>
      </c>
      <c r="F251" s="3">
        <v>15.722939999999999</v>
      </c>
      <c r="G251" s="3">
        <v>32.815390000000001</v>
      </c>
      <c r="M251" s="3">
        <v>28.639430000000001</v>
      </c>
      <c r="N251" s="3">
        <v>12.87494</v>
      </c>
      <c r="P251" s="3">
        <v>4.5752269999999999</v>
      </c>
      <c r="S251" s="3">
        <v>11.825950000000001</v>
      </c>
      <c r="T251" s="3">
        <v>14.005470000000001</v>
      </c>
      <c r="W251" s="3">
        <v>7.9321159999999997</v>
      </c>
      <c r="X251" s="3">
        <v>1.3180339999999999</v>
      </c>
      <c r="Z251" s="3">
        <v>0.78103809999999996</v>
      </c>
      <c r="AA251" s="3">
        <v>3.0119739999999999</v>
      </c>
      <c r="AB251" s="3">
        <v>43.873130000000003</v>
      </c>
      <c r="AC251" s="3">
        <v>0.1311319</v>
      </c>
      <c r="AE251" s="3">
        <v>5.4535689999999999</v>
      </c>
      <c r="AF251" s="3">
        <v>30.093910000000001</v>
      </c>
      <c r="AG251" s="3">
        <v>4.3118429999999996</v>
      </c>
      <c r="AH251" s="3">
        <v>69.098500000000001</v>
      </c>
      <c r="AI251" s="3">
        <v>19.309819999999998</v>
      </c>
      <c r="AK251" s="3">
        <v>1.3563530000000001E-2</v>
      </c>
      <c r="AL251" s="3">
        <v>22.24756</v>
      </c>
      <c r="AM251" s="3">
        <v>11.68244</v>
      </c>
      <c r="AQ251" s="3">
        <v>1.618479</v>
      </c>
      <c r="AV251" s="3">
        <v>12.4316</v>
      </c>
      <c r="AW251" s="3">
        <v>6.1037910000000001E-5</v>
      </c>
      <c r="AX251" s="3">
        <v>15.652889999999999</v>
      </c>
      <c r="AY251" s="3">
        <v>1.7252769999999999</v>
      </c>
    </row>
    <row r="252" spans="1:51" x14ac:dyDescent="0.2">
      <c r="A252" s="3" t="s">
        <v>149</v>
      </c>
      <c r="B252" s="49">
        <v>25477</v>
      </c>
      <c r="D252" s="3">
        <v>18.761980000000001</v>
      </c>
      <c r="F252" s="3">
        <v>15.722939999999999</v>
      </c>
      <c r="G252" s="3">
        <v>32.875979999999998</v>
      </c>
      <c r="M252" s="3">
        <v>28.70467</v>
      </c>
      <c r="N252" s="3">
        <v>12.940440000000001</v>
      </c>
      <c r="P252" s="3">
        <v>4.5926390000000001</v>
      </c>
      <c r="S252" s="3">
        <v>11.84707</v>
      </c>
      <c r="T252" s="3">
        <v>14.090870000000001</v>
      </c>
      <c r="W252" s="3">
        <v>7.9921170000000004</v>
      </c>
      <c r="X252" s="3">
        <v>1.3396410000000001</v>
      </c>
      <c r="Z252" s="3">
        <v>0.79353479999999998</v>
      </c>
      <c r="AA252" s="3">
        <v>2.9937640000000001</v>
      </c>
      <c r="AB252" s="3">
        <v>43.873130000000003</v>
      </c>
      <c r="AC252" s="3">
        <v>0.1363473</v>
      </c>
      <c r="AE252" s="3">
        <v>5.4686199999999996</v>
      </c>
      <c r="AF252" s="3">
        <v>30.24</v>
      </c>
      <c r="AG252" s="3">
        <v>4.4276780000000002</v>
      </c>
      <c r="AH252" s="3">
        <v>69.084999999999994</v>
      </c>
      <c r="AI252" s="3">
        <v>19.323730000000001</v>
      </c>
      <c r="AK252" s="3">
        <v>1.370597E-2</v>
      </c>
      <c r="AL252" s="3">
        <v>22.352250000000002</v>
      </c>
      <c r="AM252" s="3">
        <v>11.754110000000001</v>
      </c>
      <c r="AQ252" s="3">
        <v>1.6540280000000001</v>
      </c>
      <c r="AV252" s="3">
        <v>12.43886</v>
      </c>
      <c r="AW252" s="3">
        <v>6.2014859999999999E-5</v>
      </c>
      <c r="AX252" s="3">
        <v>15.737270000000001</v>
      </c>
      <c r="AY252" s="3">
        <v>1.73431</v>
      </c>
    </row>
    <row r="253" spans="1:51" x14ac:dyDescent="0.2">
      <c r="A253" s="3" t="s">
        <v>150</v>
      </c>
      <c r="B253" s="49">
        <v>25508</v>
      </c>
      <c r="D253" s="3">
        <v>18.846640000000001</v>
      </c>
      <c r="F253" s="3">
        <v>15.722939999999999</v>
      </c>
      <c r="G253" s="3">
        <v>33.148180000000004</v>
      </c>
      <c r="M253" s="3">
        <v>28.7699</v>
      </c>
      <c r="N253" s="3">
        <v>13.052720000000001</v>
      </c>
      <c r="P253" s="3">
        <v>4.633451</v>
      </c>
      <c r="S253" s="3">
        <v>11.86819</v>
      </c>
      <c r="T253" s="3">
        <v>14.154920000000001</v>
      </c>
      <c r="W253" s="3">
        <v>8.0101180000000003</v>
      </c>
      <c r="X253" s="3">
        <v>1.3396410000000001</v>
      </c>
      <c r="Z253" s="3">
        <v>0.80603130000000001</v>
      </c>
      <c r="AA253" s="3">
        <v>2.979196</v>
      </c>
      <c r="AB253" s="3">
        <v>43.873130000000003</v>
      </c>
      <c r="AC253" s="3">
        <v>0.14975849999999999</v>
      </c>
      <c r="AE253" s="3">
        <v>5.498723</v>
      </c>
      <c r="AF253" s="3">
        <v>30.118259999999999</v>
      </c>
      <c r="AG253" s="3">
        <v>4.4769410000000001</v>
      </c>
      <c r="AH253" s="3">
        <v>68.923599999999993</v>
      </c>
      <c r="AI253" s="3">
        <v>19.386330000000001</v>
      </c>
      <c r="AK253" s="3">
        <v>1.370761E-2</v>
      </c>
      <c r="AL253" s="3">
        <v>22.317360000000001</v>
      </c>
      <c r="AM253" s="3">
        <v>11.754110000000001</v>
      </c>
      <c r="AQ253" s="3">
        <v>1.6846399999999999</v>
      </c>
      <c r="AV253" s="3">
        <v>12.50816</v>
      </c>
      <c r="AW253" s="3">
        <v>6.2482089999999995E-5</v>
      </c>
      <c r="AX253" s="3">
        <v>15.82165</v>
      </c>
      <c r="AY253" s="3">
        <v>1.7388269999999999</v>
      </c>
    </row>
    <row r="254" spans="1:51" x14ac:dyDescent="0.2">
      <c r="A254" s="3" t="s">
        <v>151</v>
      </c>
      <c r="B254" s="49">
        <v>25538</v>
      </c>
      <c r="D254" s="3">
        <v>18.921140000000001</v>
      </c>
      <c r="F254" s="3">
        <v>15.88096</v>
      </c>
      <c r="G254" s="3">
        <v>33.268470000000001</v>
      </c>
      <c r="M254" s="3">
        <v>28.965620000000001</v>
      </c>
      <c r="N254" s="3">
        <v>13.099500000000001</v>
      </c>
      <c r="P254" s="3">
        <v>4.6824250000000003</v>
      </c>
      <c r="S254" s="3">
        <v>11.86819</v>
      </c>
      <c r="T254" s="3">
        <v>14.197620000000001</v>
      </c>
      <c r="W254" s="3">
        <v>8.0641169999999995</v>
      </c>
      <c r="X254" s="3">
        <v>1.3396410000000001</v>
      </c>
      <c r="Z254" s="3">
        <v>0.81852789999999997</v>
      </c>
      <c r="AA254" s="3">
        <v>2.979196</v>
      </c>
      <c r="AB254" s="3">
        <v>44.758459999999999</v>
      </c>
      <c r="AC254" s="3">
        <v>0.15646409999999999</v>
      </c>
      <c r="AE254" s="3">
        <v>5.5187910000000002</v>
      </c>
      <c r="AF254" s="3">
        <v>30.313040000000001</v>
      </c>
      <c r="AG254" s="3">
        <v>4.5761320000000003</v>
      </c>
      <c r="AH254" s="3">
        <v>69.273399999999995</v>
      </c>
      <c r="AI254" s="3">
        <v>19.59151</v>
      </c>
      <c r="AK254" s="3">
        <v>1.381076E-2</v>
      </c>
      <c r="AL254" s="3">
        <v>22.299910000000001</v>
      </c>
      <c r="AM254" s="3">
        <v>11.82578</v>
      </c>
      <c r="AQ254" s="3">
        <v>1.6846399999999999</v>
      </c>
      <c r="AV254" s="3">
        <v>12.58081</v>
      </c>
      <c r="AW254" s="3">
        <v>6.3628940000000006E-5</v>
      </c>
      <c r="AX254" s="3">
        <v>15.906029999999999</v>
      </c>
      <c r="AY254" s="3">
        <v>1.74786</v>
      </c>
    </row>
    <row r="255" spans="1:51" x14ac:dyDescent="0.2">
      <c r="A255" s="3" t="s">
        <v>152</v>
      </c>
      <c r="B255" s="49">
        <v>25569</v>
      </c>
      <c r="D255" s="3">
        <v>19.000720000000001</v>
      </c>
      <c r="F255" s="3">
        <v>15.95997</v>
      </c>
      <c r="G255" s="3">
        <v>33.358919999999998</v>
      </c>
      <c r="H255" s="3">
        <v>8.1581809999999998E-4</v>
      </c>
      <c r="J255" s="3">
        <v>0.12856600000000001</v>
      </c>
      <c r="M255" s="3">
        <v>29.291810000000002</v>
      </c>
      <c r="N255" s="3">
        <v>13.12757</v>
      </c>
      <c r="P255" s="3">
        <v>4.7047350000000003</v>
      </c>
      <c r="S255" s="3">
        <v>11.96321</v>
      </c>
      <c r="T255" s="3">
        <v>14.31504</v>
      </c>
      <c r="V255" s="3">
        <v>16.035910000000001</v>
      </c>
      <c r="W255" s="3">
        <v>8.1301179999999995</v>
      </c>
      <c r="X255" s="3">
        <v>1.3396410000000001</v>
      </c>
      <c r="Z255" s="3">
        <v>0.88101099999999999</v>
      </c>
      <c r="AA255" s="3">
        <v>2.979196</v>
      </c>
      <c r="AB255" s="3">
        <v>44.758459999999999</v>
      </c>
      <c r="AC255" s="3">
        <v>0.16838520000000001</v>
      </c>
      <c r="AD255" s="3">
        <v>1.3649949999999999E-3</v>
      </c>
      <c r="AE255" s="3">
        <v>5.543876</v>
      </c>
      <c r="AF255" s="3">
        <v>30.8</v>
      </c>
      <c r="AG255" s="3">
        <v>4.637378</v>
      </c>
      <c r="AH255" s="3">
        <v>69.5732</v>
      </c>
      <c r="AI255" s="3">
        <v>19.784520000000001</v>
      </c>
      <c r="AK255" s="3">
        <v>1.391555E-2</v>
      </c>
      <c r="AL255" s="3">
        <v>22.302420000000001</v>
      </c>
      <c r="AM255" s="3">
        <v>12.47082</v>
      </c>
      <c r="AN255" s="3">
        <v>7.0678929999999998</v>
      </c>
      <c r="AO255" s="3">
        <v>5.1068850000000001</v>
      </c>
      <c r="AQ255" s="3">
        <v>1.694515</v>
      </c>
      <c r="AV255" s="3">
        <v>12.766909999999999</v>
      </c>
      <c r="AW255" s="3">
        <v>6.4138650000000006E-5</v>
      </c>
      <c r="AX255" s="3">
        <v>15.948219999999999</v>
      </c>
      <c r="AY255" s="3">
        <v>1.74786</v>
      </c>
    </row>
    <row r="256" spans="1:51" x14ac:dyDescent="0.2">
      <c r="A256" s="3" t="s">
        <v>153</v>
      </c>
      <c r="B256" s="49">
        <v>25600</v>
      </c>
      <c r="D256" s="3">
        <v>19.059979999999999</v>
      </c>
      <c r="F256" s="3">
        <v>15.95997</v>
      </c>
      <c r="G256" s="3">
        <v>33.358919999999998</v>
      </c>
      <c r="H256" s="3">
        <v>8.5750219999999996E-4</v>
      </c>
      <c r="J256" s="3">
        <v>0.12856600000000001</v>
      </c>
      <c r="M256" s="3">
        <v>29.357040000000001</v>
      </c>
      <c r="N256" s="3">
        <v>13.22114</v>
      </c>
      <c r="P256" s="3">
        <v>4.6867780000000003</v>
      </c>
      <c r="S256" s="3">
        <v>11.99489</v>
      </c>
      <c r="T256" s="3">
        <v>14.35891</v>
      </c>
      <c r="V256" s="3">
        <v>16.108180000000001</v>
      </c>
      <c r="W256" s="3">
        <v>8.1721190000000004</v>
      </c>
      <c r="X256" s="3">
        <v>1.3396410000000001</v>
      </c>
      <c r="Z256" s="3">
        <v>0.88101099999999999</v>
      </c>
      <c r="AA256" s="3">
        <v>2.979196</v>
      </c>
      <c r="AB256" s="3">
        <v>44.758459999999999</v>
      </c>
      <c r="AC256" s="3">
        <v>0.1803063</v>
      </c>
      <c r="AD256" s="3">
        <v>1.370369E-3</v>
      </c>
      <c r="AE256" s="3">
        <v>5.5890300000000002</v>
      </c>
      <c r="AF256" s="3">
        <v>30.9</v>
      </c>
      <c r="AG256" s="3">
        <v>4.7305780000000004</v>
      </c>
      <c r="AH256" s="3">
        <v>70.647000000000006</v>
      </c>
      <c r="AI256" s="3">
        <v>19.90972</v>
      </c>
      <c r="AK256" s="3">
        <v>1.391391E-2</v>
      </c>
      <c r="AL256" s="3">
        <v>22.4573</v>
      </c>
      <c r="AM256" s="3">
        <v>12.542490000000001</v>
      </c>
      <c r="AN256" s="3">
        <v>7.096209</v>
      </c>
      <c r="AO256" s="3">
        <v>5.1248779999999998</v>
      </c>
      <c r="AQ256" s="3">
        <v>1.67279</v>
      </c>
      <c r="AV256" s="3">
        <v>12.94294</v>
      </c>
      <c r="AW256" s="3">
        <v>6.4478460000000007E-5</v>
      </c>
      <c r="AX256" s="3">
        <v>16.032609999999998</v>
      </c>
      <c r="AY256" s="3">
        <v>1.74786</v>
      </c>
    </row>
    <row r="257" spans="1:51" x14ac:dyDescent="0.2">
      <c r="A257" s="3" t="s">
        <v>154</v>
      </c>
      <c r="B257" s="49">
        <v>25628</v>
      </c>
      <c r="D257" s="3">
        <v>19.168340000000001</v>
      </c>
      <c r="F257" s="3">
        <v>15.95997</v>
      </c>
      <c r="G257" s="3">
        <v>33.419499999999999</v>
      </c>
      <c r="H257" s="3">
        <v>8.8727659999999998E-4</v>
      </c>
      <c r="J257" s="3">
        <v>0.12856600000000001</v>
      </c>
      <c r="M257" s="3">
        <v>29.48752</v>
      </c>
      <c r="N257" s="3">
        <v>13.295999999999999</v>
      </c>
      <c r="P257" s="3">
        <v>4.7226920000000003</v>
      </c>
      <c r="S257" s="3">
        <v>12.02657</v>
      </c>
      <c r="T257" s="3">
        <v>14.40277</v>
      </c>
      <c r="V257" s="3">
        <v>16.192540000000001</v>
      </c>
      <c r="W257" s="3">
        <v>8.2201199999999996</v>
      </c>
      <c r="X257" s="3">
        <v>1.361248</v>
      </c>
      <c r="Z257" s="3">
        <v>0.8747627</v>
      </c>
      <c r="AA257" s="3">
        <v>3.0119739999999999</v>
      </c>
      <c r="AB257" s="3">
        <v>45.840539999999997</v>
      </c>
      <c r="AC257" s="3">
        <v>0.2153245</v>
      </c>
      <c r="AD257" s="3">
        <v>1.38382E-3</v>
      </c>
      <c r="AE257" s="3">
        <v>5.6090980000000004</v>
      </c>
      <c r="AF257" s="3">
        <v>31.2</v>
      </c>
      <c r="AG257" s="3">
        <v>4.8337649999999996</v>
      </c>
      <c r="AH257" s="3">
        <v>70.721299999999999</v>
      </c>
      <c r="AI257" s="3">
        <v>19.947980000000001</v>
      </c>
      <c r="AK257" s="3">
        <v>1.395485E-2</v>
      </c>
      <c r="AL257" s="3">
        <v>22.65643</v>
      </c>
      <c r="AM257" s="3">
        <v>12.61416</v>
      </c>
      <c r="AN257" s="3">
        <v>7.1343740000000002</v>
      </c>
      <c r="AO257" s="3">
        <v>5.1507440000000004</v>
      </c>
      <c r="AQ257" s="3">
        <v>1.70834</v>
      </c>
      <c r="AV257" s="3">
        <v>13.03851</v>
      </c>
      <c r="AW257" s="3">
        <v>6.456341E-5</v>
      </c>
      <c r="AX257" s="3">
        <v>16.116990000000001</v>
      </c>
      <c r="AY257" s="3">
        <v>1.74786</v>
      </c>
    </row>
    <row r="258" spans="1:51" x14ac:dyDescent="0.2">
      <c r="A258" s="3" t="s">
        <v>155</v>
      </c>
      <c r="B258" s="49">
        <v>25659</v>
      </c>
      <c r="D258" s="3">
        <v>19.241150000000001</v>
      </c>
      <c r="F258" s="3">
        <v>16.038979999999999</v>
      </c>
      <c r="G258" s="3">
        <v>33.388770000000001</v>
      </c>
      <c r="H258" s="3">
        <v>9.0854399999999995E-4</v>
      </c>
      <c r="J258" s="3">
        <v>0.14025380000000001</v>
      </c>
      <c r="M258" s="3">
        <v>29.617999999999999</v>
      </c>
      <c r="N258" s="3">
        <v>13.33342</v>
      </c>
      <c r="P258" s="3">
        <v>4.748812</v>
      </c>
      <c r="S258" s="3">
        <v>12.05824</v>
      </c>
      <c r="T258" s="3">
        <v>14.47588</v>
      </c>
      <c r="V258" s="3">
        <v>16.316079999999999</v>
      </c>
      <c r="W258" s="3">
        <v>8.3461219999999994</v>
      </c>
      <c r="X258" s="3">
        <v>1.3828560000000001</v>
      </c>
      <c r="Z258" s="3">
        <v>0.86226610000000004</v>
      </c>
      <c r="AA258" s="3">
        <v>3.0447519999999999</v>
      </c>
      <c r="AB258" s="3">
        <v>45.840539999999997</v>
      </c>
      <c r="AC258" s="3">
        <v>0.22128500000000001</v>
      </c>
      <c r="AD258" s="3">
        <v>1.3945780000000001E-3</v>
      </c>
      <c r="AE258" s="3">
        <v>5.6341840000000003</v>
      </c>
      <c r="AF258" s="3">
        <v>31.5</v>
      </c>
      <c r="AG258" s="3">
        <v>4.9369509999999996</v>
      </c>
      <c r="AH258" s="3">
        <v>70.718500000000006</v>
      </c>
      <c r="AI258" s="3">
        <v>20.033180000000002</v>
      </c>
      <c r="AK258" s="3">
        <v>1.397285E-2</v>
      </c>
      <c r="AL258" s="3">
        <v>22.767050000000001</v>
      </c>
      <c r="AM258" s="3">
        <v>12.685840000000001</v>
      </c>
      <c r="AN258" s="3">
        <v>7.1852229999999997</v>
      </c>
      <c r="AO258" s="3">
        <v>5.1818970000000002</v>
      </c>
      <c r="AQ258" s="3">
        <v>1.6984649999999999</v>
      </c>
      <c r="AV258" s="3">
        <v>13.06142</v>
      </c>
      <c r="AW258" s="3">
        <v>6.4690839999999997E-5</v>
      </c>
      <c r="AX258" s="3">
        <v>16.243559999999999</v>
      </c>
      <c r="AY258" s="3">
        <v>1.7938559999999999</v>
      </c>
    </row>
    <row r="259" spans="1:51" x14ac:dyDescent="0.2">
      <c r="A259" s="3" t="s">
        <v>156</v>
      </c>
      <c r="B259" s="49">
        <v>25689</v>
      </c>
      <c r="D259" s="3">
        <v>19.244530000000001</v>
      </c>
      <c r="F259" s="3">
        <v>16.038979999999999</v>
      </c>
      <c r="G259" s="3">
        <v>33.720680000000002</v>
      </c>
      <c r="H259" s="3">
        <v>9.2811E-4</v>
      </c>
      <c r="J259" s="3">
        <v>0.14025380000000001</v>
      </c>
      <c r="M259" s="3">
        <v>29.617999999999999</v>
      </c>
      <c r="N259" s="3">
        <v>13.45506</v>
      </c>
      <c r="P259" s="3">
        <v>4.7177949999999997</v>
      </c>
      <c r="S259" s="3">
        <v>12.05824</v>
      </c>
      <c r="T259" s="3">
        <v>14.534369999999999</v>
      </c>
      <c r="V259" s="3">
        <v>16.33867</v>
      </c>
      <c r="W259" s="3">
        <v>8.3701220000000003</v>
      </c>
      <c r="X259" s="3">
        <v>1.3828560000000001</v>
      </c>
      <c r="Z259" s="3">
        <v>0.86226610000000004</v>
      </c>
      <c r="AA259" s="3">
        <v>3.077531</v>
      </c>
      <c r="AB259" s="3">
        <v>45.840539999999997</v>
      </c>
      <c r="AC259" s="3">
        <v>0.25481300000000001</v>
      </c>
      <c r="AD259" s="3">
        <v>1.412061E-3</v>
      </c>
      <c r="AE259" s="3">
        <v>5.6592690000000001</v>
      </c>
      <c r="AF259" s="3">
        <v>31.3</v>
      </c>
      <c r="AG259" s="3">
        <v>4.8876879999999998</v>
      </c>
      <c r="AH259" s="3">
        <v>70.4392</v>
      </c>
      <c r="AI259" s="3">
        <v>20.137509999999999</v>
      </c>
      <c r="AK259" s="3">
        <v>1.400233E-2</v>
      </c>
      <c r="AL259" s="3">
        <v>22.789180000000002</v>
      </c>
      <c r="AM259" s="3">
        <v>12.685840000000001</v>
      </c>
      <c r="AN259" s="3">
        <v>7.1937340000000001</v>
      </c>
      <c r="AO259" s="3">
        <v>5.1916679999999999</v>
      </c>
      <c r="AQ259" s="3">
        <v>1.6797029999999999</v>
      </c>
      <c r="AV259" s="3">
        <v>13.10669</v>
      </c>
      <c r="AW259" s="3">
        <v>6.507312E-5</v>
      </c>
      <c r="AX259" s="3">
        <v>16.28575</v>
      </c>
      <c r="AY259" s="3">
        <v>1.7938559999999999</v>
      </c>
    </row>
    <row r="260" spans="1:51" x14ac:dyDescent="0.2">
      <c r="A260" s="3" t="s">
        <v>157</v>
      </c>
      <c r="B260" s="49">
        <v>25720</v>
      </c>
      <c r="D260" s="3">
        <v>19.25131</v>
      </c>
      <c r="F260" s="3">
        <v>16.038979999999999</v>
      </c>
      <c r="G260" s="3">
        <v>33.87171</v>
      </c>
      <c r="H260" s="3">
        <v>9.4597469999999995E-4</v>
      </c>
      <c r="J260" s="3">
        <v>0.14025380000000001</v>
      </c>
      <c r="M260" s="3">
        <v>29.683229999999998</v>
      </c>
      <c r="N260" s="3">
        <v>13.46442</v>
      </c>
      <c r="P260" s="3">
        <v>4.7357519999999997</v>
      </c>
      <c r="S260" s="3">
        <v>12.100479999999999</v>
      </c>
      <c r="T260" s="3">
        <v>14.59286</v>
      </c>
      <c r="V260" s="3">
        <v>16.395340000000001</v>
      </c>
      <c r="W260" s="3">
        <v>8.3941230000000004</v>
      </c>
      <c r="X260" s="3">
        <v>1.3828560000000001</v>
      </c>
      <c r="Z260" s="3">
        <v>0.8747627</v>
      </c>
      <c r="AA260" s="3">
        <v>3.1139510000000001</v>
      </c>
      <c r="AB260" s="3">
        <v>46.824240000000003</v>
      </c>
      <c r="AC260" s="3">
        <v>0.2771651</v>
      </c>
      <c r="AD260" s="3">
        <v>1.4093689999999999E-3</v>
      </c>
      <c r="AE260" s="3">
        <v>5.6693030000000002</v>
      </c>
      <c r="AF260" s="3">
        <v>31.3</v>
      </c>
      <c r="AG260" s="3">
        <v>4.7845019999999998</v>
      </c>
      <c r="AH260" s="3">
        <v>70.8566</v>
      </c>
      <c r="AI260" s="3">
        <v>20.193149999999999</v>
      </c>
      <c r="AK260" s="3">
        <v>1.408747E-2</v>
      </c>
      <c r="AL260" s="3">
        <v>22.855550000000001</v>
      </c>
      <c r="AM260" s="3">
        <v>12.75751</v>
      </c>
      <c r="AN260" s="3">
        <v>7.218102</v>
      </c>
      <c r="AO260" s="3">
        <v>5.20845</v>
      </c>
      <c r="AQ260" s="3">
        <v>1.6856279999999999</v>
      </c>
      <c r="AV260" s="3">
        <v>13.165369999999999</v>
      </c>
      <c r="AW260" s="3">
        <v>6.5752740000000001E-5</v>
      </c>
      <c r="AX260" s="3">
        <v>16.37013</v>
      </c>
      <c r="AY260" s="3">
        <v>1.7938559999999999</v>
      </c>
    </row>
    <row r="261" spans="1:51" x14ac:dyDescent="0.2">
      <c r="A261" s="3" t="s">
        <v>158</v>
      </c>
      <c r="B261" s="49">
        <v>25750</v>
      </c>
      <c r="D261" s="3">
        <v>19.351199999999999</v>
      </c>
      <c r="F261" s="3">
        <v>16.196999999999999</v>
      </c>
      <c r="G261" s="3">
        <v>33.962150000000001</v>
      </c>
      <c r="H261" s="3">
        <v>9.6469000000000004E-4</v>
      </c>
      <c r="J261" s="3">
        <v>0.14025380000000001</v>
      </c>
      <c r="M261" s="3">
        <v>29.683229999999998</v>
      </c>
      <c r="N261" s="3">
        <v>13.73577</v>
      </c>
      <c r="P261" s="3">
        <v>4.8249930000000001</v>
      </c>
      <c r="S261" s="3">
        <v>12.121600000000001</v>
      </c>
      <c r="T261" s="3">
        <v>14.622109999999999</v>
      </c>
      <c r="V261" s="3">
        <v>16.456579999999999</v>
      </c>
      <c r="W261" s="3">
        <v>8.4541229999999992</v>
      </c>
      <c r="X261" s="3">
        <v>1.361248</v>
      </c>
      <c r="Z261" s="3">
        <v>0.8747627</v>
      </c>
      <c r="AA261" s="3">
        <v>3.12852</v>
      </c>
      <c r="AB261" s="3">
        <v>46.824240000000003</v>
      </c>
      <c r="AC261" s="3">
        <v>0.31739869999999998</v>
      </c>
      <c r="AD261" s="3">
        <v>1.4039949999999999E-3</v>
      </c>
      <c r="AE261" s="3">
        <v>5.6793380000000004</v>
      </c>
      <c r="AF261" s="3">
        <v>31.3</v>
      </c>
      <c r="AG261" s="3">
        <v>4.8191189999999997</v>
      </c>
      <c r="AH261" s="3">
        <v>70.961600000000004</v>
      </c>
      <c r="AI261" s="3">
        <v>20.2714</v>
      </c>
      <c r="AK261" s="3">
        <v>1.415624E-2</v>
      </c>
      <c r="AL261" s="3">
        <v>22.92193</v>
      </c>
      <c r="AM261" s="3">
        <v>12.972519999999999</v>
      </c>
      <c r="AN261" s="3">
        <v>7.2503270000000004</v>
      </c>
      <c r="AO261" s="3">
        <v>5.229069</v>
      </c>
      <c r="AQ261" s="3">
        <v>1.6984649999999999</v>
      </c>
      <c r="AV261" s="3">
        <v>13.268190000000001</v>
      </c>
      <c r="AW261" s="3">
        <v>6.5497889999999994E-5</v>
      </c>
      <c r="AX261" s="3">
        <v>16.454519999999999</v>
      </c>
      <c r="AY261" s="3">
        <v>1.7938559999999999</v>
      </c>
    </row>
    <row r="262" spans="1:51" x14ac:dyDescent="0.2">
      <c r="A262" s="3" t="s">
        <v>159</v>
      </c>
      <c r="B262" s="49">
        <v>25781</v>
      </c>
      <c r="D262" s="3">
        <v>19.391839999999998</v>
      </c>
      <c r="F262" s="3">
        <v>16.196999999999999</v>
      </c>
      <c r="G262" s="3">
        <v>34.082450000000001</v>
      </c>
      <c r="H262" s="3">
        <v>9.8936019999999996E-4</v>
      </c>
      <c r="J262" s="3">
        <v>0.14025380000000001</v>
      </c>
      <c r="M262" s="3">
        <v>29.683229999999998</v>
      </c>
      <c r="N262" s="3">
        <v>13.76384</v>
      </c>
      <c r="P262" s="3">
        <v>4.9011740000000001</v>
      </c>
      <c r="S262" s="3">
        <v>12.153269999999999</v>
      </c>
      <c r="T262" s="3">
        <v>14.68059</v>
      </c>
      <c r="V262" s="3">
        <v>16.456700000000001</v>
      </c>
      <c r="W262" s="3">
        <v>8.448124</v>
      </c>
      <c r="X262" s="3">
        <v>1.3396410000000001</v>
      </c>
      <c r="Z262" s="3">
        <v>0.8747627</v>
      </c>
      <c r="AA262" s="3">
        <v>3.1467299999999998</v>
      </c>
      <c r="AB262" s="3">
        <v>46.824240000000003</v>
      </c>
      <c r="AC262" s="3">
        <v>0.34198590000000001</v>
      </c>
      <c r="AD262" s="3">
        <v>1.4107099999999999E-3</v>
      </c>
      <c r="AE262" s="3">
        <v>5.6893719999999997</v>
      </c>
      <c r="AF262" s="3">
        <v>31.2</v>
      </c>
      <c r="AG262" s="3">
        <v>4.8530699999999998</v>
      </c>
      <c r="AH262" s="3">
        <v>71.146199999999993</v>
      </c>
      <c r="AI262" s="3">
        <v>20.214020000000001</v>
      </c>
      <c r="AK262" s="3">
        <v>1.422173E-2</v>
      </c>
      <c r="AL262" s="3">
        <v>23.054680000000001</v>
      </c>
      <c r="AM262" s="3">
        <v>12.90085</v>
      </c>
      <c r="AN262" s="3">
        <v>7.2577949999999998</v>
      </c>
      <c r="AO262" s="3">
        <v>5.2424749999999998</v>
      </c>
      <c r="AQ262" s="3">
        <v>1.7122900000000001</v>
      </c>
      <c r="AV262" s="3">
        <v>13.31625</v>
      </c>
      <c r="AW262" s="3">
        <v>6.6007599999999995E-5</v>
      </c>
      <c r="AX262" s="3">
        <v>16.454519999999999</v>
      </c>
      <c r="AY262" s="3">
        <v>1.839852</v>
      </c>
    </row>
    <row r="263" spans="1:51" x14ac:dyDescent="0.2">
      <c r="A263" s="3" t="s">
        <v>160</v>
      </c>
      <c r="B263" s="49">
        <v>25812</v>
      </c>
      <c r="D263" s="3">
        <v>19.386759999999999</v>
      </c>
      <c r="F263" s="3">
        <v>16.117989999999999</v>
      </c>
      <c r="G263" s="3">
        <v>34.294060000000002</v>
      </c>
      <c r="H263" s="3">
        <v>1.0157320000000001E-3</v>
      </c>
      <c r="J263" s="3">
        <v>0.14025380000000001</v>
      </c>
      <c r="M263" s="3">
        <v>29.683229999999998</v>
      </c>
      <c r="N263" s="3">
        <v>13.885479999999999</v>
      </c>
      <c r="P263" s="3">
        <v>4.9234830000000001</v>
      </c>
      <c r="S263" s="3">
        <v>12.163830000000001</v>
      </c>
      <c r="T263" s="3">
        <v>14.73908</v>
      </c>
      <c r="V263" s="3">
        <v>16.55124</v>
      </c>
      <c r="W263" s="3">
        <v>8.4901239999999998</v>
      </c>
      <c r="X263" s="3">
        <v>1.361248</v>
      </c>
      <c r="Z263" s="3">
        <v>0.85601780000000005</v>
      </c>
      <c r="AA263" s="3">
        <v>3.1612979999999999</v>
      </c>
      <c r="AB263" s="3">
        <v>47.414459999999998</v>
      </c>
      <c r="AC263" s="3">
        <v>0.36582809999999999</v>
      </c>
      <c r="AD263" s="3">
        <v>1.4671930000000001E-3</v>
      </c>
      <c r="AE263" s="3">
        <v>5.7244919999999997</v>
      </c>
      <c r="AF263" s="3">
        <v>31.8</v>
      </c>
      <c r="AG263" s="3">
        <v>4.9709019999999997</v>
      </c>
      <c r="AH263" s="3">
        <v>71.100999999999999</v>
      </c>
      <c r="AI263" s="3">
        <v>20.295739999999999</v>
      </c>
      <c r="AK263" s="3">
        <v>1.4256110000000001E-2</v>
      </c>
      <c r="AL263" s="3">
        <v>23.23169</v>
      </c>
      <c r="AM263" s="3">
        <v>13.04419</v>
      </c>
      <c r="AN263" s="3">
        <v>7.2993309999999996</v>
      </c>
      <c r="AO263" s="3">
        <v>5.2648250000000001</v>
      </c>
      <c r="AQ263" s="3">
        <v>1.730064</v>
      </c>
      <c r="AV263" s="3">
        <v>13.35426</v>
      </c>
      <c r="AW263" s="3">
        <v>6.6644730000000005E-5</v>
      </c>
      <c r="AX263" s="3">
        <v>16.538900000000002</v>
      </c>
      <c r="AY263" s="3">
        <v>1.839852</v>
      </c>
    </row>
    <row r="264" spans="1:51" x14ac:dyDescent="0.2">
      <c r="A264" s="3" t="s">
        <v>161</v>
      </c>
      <c r="B264" s="49">
        <v>25842</v>
      </c>
      <c r="D264" s="3">
        <v>19.42062</v>
      </c>
      <c r="F264" s="3">
        <v>16.117989999999999</v>
      </c>
      <c r="G264" s="3">
        <v>34.47495</v>
      </c>
      <c r="H264" s="3">
        <v>1.0242389999999999E-3</v>
      </c>
      <c r="J264" s="3">
        <v>0.14025380000000001</v>
      </c>
      <c r="M264" s="3">
        <v>29.81371</v>
      </c>
      <c r="N264" s="3">
        <v>13.9229</v>
      </c>
      <c r="P264" s="3">
        <v>4.9724579999999996</v>
      </c>
      <c r="S264" s="3">
        <v>12.184950000000001</v>
      </c>
      <c r="T264" s="3">
        <v>14.79757</v>
      </c>
      <c r="V264" s="3">
        <v>16.65671</v>
      </c>
      <c r="W264" s="3">
        <v>8.5801259999999999</v>
      </c>
      <c r="X264" s="3">
        <v>1.3828560000000001</v>
      </c>
      <c r="Z264" s="3">
        <v>0.85601780000000005</v>
      </c>
      <c r="AA264" s="3">
        <v>3.1795079999999998</v>
      </c>
      <c r="AB264" s="3">
        <v>47.414459999999998</v>
      </c>
      <c r="AC264" s="3">
        <v>0.37402380000000002</v>
      </c>
      <c r="AD264" s="3">
        <v>1.4967859999999999E-3</v>
      </c>
      <c r="AE264" s="3">
        <v>5.7495770000000004</v>
      </c>
      <c r="AF264" s="3">
        <v>32.299999999999997</v>
      </c>
      <c r="AG264" s="3">
        <v>5.0687620000000004</v>
      </c>
      <c r="AH264" s="3">
        <v>71.081900000000005</v>
      </c>
      <c r="AI264" s="3">
        <v>20.36008</v>
      </c>
      <c r="AK264" s="3">
        <v>1.4261019999999999E-2</v>
      </c>
      <c r="AL264" s="3">
        <v>23.32019</v>
      </c>
      <c r="AM264" s="3">
        <v>13.11586</v>
      </c>
      <c r="AN264" s="3">
        <v>7.3499480000000004</v>
      </c>
      <c r="AO264" s="3">
        <v>5.2991770000000002</v>
      </c>
      <c r="AQ264" s="3">
        <v>1.7399389999999999</v>
      </c>
      <c r="AV264" s="3">
        <v>13.419079999999999</v>
      </c>
      <c r="AW264" s="3">
        <v>6.7919009999999999E-5</v>
      </c>
      <c r="AX264" s="3">
        <v>16.623280000000001</v>
      </c>
      <c r="AY264" s="3">
        <v>1.839852</v>
      </c>
    </row>
    <row r="265" spans="1:51" x14ac:dyDescent="0.2">
      <c r="A265" s="3" t="s">
        <v>162</v>
      </c>
      <c r="B265" s="49">
        <v>25873</v>
      </c>
      <c r="D265" s="3">
        <v>19.478190000000001</v>
      </c>
      <c r="F265" s="3">
        <v>16.117989999999999</v>
      </c>
      <c r="G265" s="3">
        <v>34.927149999999997</v>
      </c>
      <c r="H265" s="3">
        <v>1.0310440000000001E-3</v>
      </c>
      <c r="J265" s="3">
        <v>0.14025380000000001</v>
      </c>
      <c r="M265" s="3">
        <v>29.944189999999999</v>
      </c>
      <c r="N265" s="3">
        <v>14.01647</v>
      </c>
      <c r="P265" s="3">
        <v>4.9855169999999998</v>
      </c>
      <c r="S265" s="3">
        <v>12.21663</v>
      </c>
      <c r="T265" s="3">
        <v>14.856059999999999</v>
      </c>
      <c r="V265" s="3">
        <v>16.731300000000001</v>
      </c>
      <c r="W265" s="3">
        <v>8.6401260000000004</v>
      </c>
      <c r="X265" s="3">
        <v>1.3828560000000001</v>
      </c>
      <c r="Z265" s="3">
        <v>0.88725929999999997</v>
      </c>
      <c r="AA265" s="3">
        <v>3.1795079999999998</v>
      </c>
      <c r="AB265" s="3">
        <v>47.414459999999998</v>
      </c>
      <c r="AC265" s="3">
        <v>0.37402380000000002</v>
      </c>
      <c r="AD265" s="3">
        <v>1.4967859999999999E-3</v>
      </c>
      <c r="AE265" s="3">
        <v>5.7947309999999996</v>
      </c>
      <c r="AF265" s="3">
        <v>32.299999999999997</v>
      </c>
      <c r="AG265" s="3">
        <v>5.0594429999999999</v>
      </c>
      <c r="AH265" s="3">
        <v>71.2059</v>
      </c>
      <c r="AI265" s="3">
        <v>20.394860000000001</v>
      </c>
      <c r="AK265" s="3">
        <v>1.433798E-2</v>
      </c>
      <c r="AL265" s="3">
        <v>23.386559999999999</v>
      </c>
      <c r="AM265" s="3">
        <v>13.18754</v>
      </c>
      <c r="AN265" s="3">
        <v>7.3832009999999997</v>
      </c>
      <c r="AO265" s="3">
        <v>5.3290850000000001</v>
      </c>
      <c r="AQ265" s="3">
        <v>1.749814</v>
      </c>
      <c r="AV265" s="3">
        <v>13.518000000000001</v>
      </c>
      <c r="AW265" s="3">
        <v>6.8853480000000006E-5</v>
      </c>
      <c r="AX265" s="3">
        <v>16.707660000000001</v>
      </c>
      <c r="AY265" s="3">
        <v>1.839852</v>
      </c>
    </row>
    <row r="266" spans="1:51" x14ac:dyDescent="0.2">
      <c r="A266" s="3" t="s">
        <v>163</v>
      </c>
      <c r="B266" s="49">
        <v>25903</v>
      </c>
      <c r="D266" s="3">
        <v>19.510359999999999</v>
      </c>
      <c r="F266" s="3">
        <v>16.038979999999999</v>
      </c>
      <c r="G266" s="3">
        <v>35.078189999999999</v>
      </c>
      <c r="H266" s="3">
        <v>1.0310440000000001E-3</v>
      </c>
      <c r="J266" s="3">
        <v>0.14025380000000001</v>
      </c>
      <c r="M266" s="3">
        <v>30.139900000000001</v>
      </c>
      <c r="N266" s="3">
        <v>14.007110000000001</v>
      </c>
      <c r="P266" s="3">
        <v>4.9996650000000002</v>
      </c>
      <c r="S266" s="3">
        <v>12.23775</v>
      </c>
      <c r="T266" s="3">
        <v>14.899929999999999</v>
      </c>
      <c r="V266" s="3">
        <v>16.812809999999999</v>
      </c>
      <c r="W266" s="3">
        <v>8.7001279999999994</v>
      </c>
      <c r="X266" s="3">
        <v>1.404463</v>
      </c>
      <c r="Z266" s="3">
        <v>0.89350759999999996</v>
      </c>
      <c r="AA266" s="3">
        <v>3.12852</v>
      </c>
      <c r="AB266" s="3">
        <v>47.709569999999999</v>
      </c>
      <c r="AC266" s="3">
        <v>0.37402380000000002</v>
      </c>
      <c r="AD266" s="3">
        <v>1.507544E-3</v>
      </c>
      <c r="AE266" s="3">
        <v>5.8147989999999998</v>
      </c>
      <c r="AF266" s="3">
        <v>32.5</v>
      </c>
      <c r="AG266" s="3">
        <v>5.2358570000000002</v>
      </c>
      <c r="AH266" s="3">
        <v>71.526700000000005</v>
      </c>
      <c r="AI266" s="3">
        <v>20.440069999999999</v>
      </c>
      <c r="AK266" s="3">
        <v>1.4459140000000001E-2</v>
      </c>
      <c r="AL266" s="3">
        <v>23.430810000000001</v>
      </c>
      <c r="AM266" s="3">
        <v>13.330880000000001</v>
      </c>
      <c r="AN266" s="3">
        <v>7.4214500000000001</v>
      </c>
      <c r="AO266" s="3">
        <v>5.3561959999999997</v>
      </c>
      <c r="AQ266" s="3">
        <v>1.761663</v>
      </c>
      <c r="AV266" s="3">
        <v>13.60183</v>
      </c>
      <c r="AW266" s="3">
        <v>6.9533099999999993E-5</v>
      </c>
      <c r="AX266" s="3">
        <v>16.79204</v>
      </c>
      <c r="AY266" s="3">
        <v>1.839852</v>
      </c>
    </row>
    <row r="267" spans="1:51" x14ac:dyDescent="0.2">
      <c r="A267" s="3" t="s">
        <v>164</v>
      </c>
      <c r="B267" s="49">
        <v>25934</v>
      </c>
      <c r="D267" s="3">
        <v>19.61195</v>
      </c>
      <c r="F267" s="3">
        <v>16.117989999999999</v>
      </c>
      <c r="G267" s="3">
        <v>35.2898</v>
      </c>
      <c r="H267" s="3">
        <v>1.0455060000000001E-3</v>
      </c>
      <c r="J267" s="3">
        <v>0.15194160000000001</v>
      </c>
      <c r="M267" s="3">
        <v>30.466090000000001</v>
      </c>
      <c r="N267" s="3">
        <v>14.007110000000001</v>
      </c>
      <c r="P267" s="3">
        <v>5.0524480000000001</v>
      </c>
      <c r="S267" s="3">
        <v>12.38557</v>
      </c>
      <c r="T267" s="3">
        <v>14.98766</v>
      </c>
      <c r="V267" s="3">
        <v>16.88646</v>
      </c>
      <c r="W267" s="3">
        <v>8.8201280000000004</v>
      </c>
      <c r="X267" s="3">
        <v>1.404463</v>
      </c>
      <c r="Z267" s="3">
        <v>0.91850080000000001</v>
      </c>
      <c r="AA267" s="3">
        <v>3.0957409999999999</v>
      </c>
      <c r="AB267" s="3">
        <v>47.709569999999999</v>
      </c>
      <c r="AC267" s="3">
        <v>0.42077680000000001</v>
      </c>
      <c r="AD267" s="3">
        <v>1.534435E-3</v>
      </c>
      <c r="AE267" s="3">
        <v>5.8331090000000003</v>
      </c>
      <c r="AF267" s="3">
        <v>32.799999999999997</v>
      </c>
      <c r="AG267" s="3">
        <v>5.3729940000000003</v>
      </c>
      <c r="AH267" s="3">
        <v>71.780299999999997</v>
      </c>
      <c r="AI267" s="3">
        <v>20.575700000000001</v>
      </c>
      <c r="AK267" s="3">
        <v>1.4601589999999999E-2</v>
      </c>
      <c r="AL267" s="3">
        <v>23.674189999999999</v>
      </c>
      <c r="AM267" s="3">
        <v>13.40255</v>
      </c>
      <c r="AN267" s="3">
        <v>7.4646179999999998</v>
      </c>
      <c r="AO267" s="3">
        <v>5.4057180000000002</v>
      </c>
      <c r="AQ267" s="3">
        <v>1.7952379999999999</v>
      </c>
      <c r="AV267" s="3">
        <v>14.010339999999999</v>
      </c>
      <c r="AW267" s="3">
        <v>7.029766E-5</v>
      </c>
      <c r="AX267" s="3">
        <v>16.79204</v>
      </c>
      <c r="AY267" s="3">
        <v>1.839852</v>
      </c>
    </row>
    <row r="268" spans="1:51" x14ac:dyDescent="0.2">
      <c r="A268" s="3" t="s">
        <v>165</v>
      </c>
      <c r="B268" s="49">
        <v>25965</v>
      </c>
      <c r="D268" s="3">
        <v>19.766030000000001</v>
      </c>
      <c r="F268" s="3">
        <v>16.196999999999999</v>
      </c>
      <c r="G268" s="3">
        <v>35.440829999999998</v>
      </c>
      <c r="H268" s="3">
        <v>1.053163E-3</v>
      </c>
      <c r="J268" s="3">
        <v>0.15194160000000001</v>
      </c>
      <c r="M268" s="3">
        <v>30.727039999999999</v>
      </c>
      <c r="N268" s="3">
        <v>14.007110000000001</v>
      </c>
      <c r="P268" s="3">
        <v>5.0486389999999997</v>
      </c>
      <c r="S268" s="3">
        <v>12.480600000000001</v>
      </c>
      <c r="T268" s="3">
        <v>15.06077</v>
      </c>
      <c r="V268" s="3">
        <v>16.947009999999999</v>
      </c>
      <c r="W268" s="3">
        <v>8.8681300000000007</v>
      </c>
      <c r="X268" s="3">
        <v>1.3828560000000001</v>
      </c>
      <c r="Z268" s="3">
        <v>0.94349400000000005</v>
      </c>
      <c r="AA268" s="3">
        <v>3.0957409999999999</v>
      </c>
      <c r="AB268" s="3">
        <v>47.709569999999999</v>
      </c>
      <c r="AC268" s="3">
        <v>0.42077680000000001</v>
      </c>
      <c r="AD268" s="3">
        <v>1.533094E-3</v>
      </c>
      <c r="AE268" s="3">
        <v>5.8558279999999998</v>
      </c>
      <c r="AF268" s="3">
        <v>32.799999999999997</v>
      </c>
      <c r="AG268" s="3">
        <v>5.4808409999999999</v>
      </c>
      <c r="AH268" s="3">
        <v>72.010900000000007</v>
      </c>
      <c r="AI268" s="3">
        <v>20.7148</v>
      </c>
      <c r="AK268" s="3">
        <v>1.466217E-2</v>
      </c>
      <c r="AL268" s="3">
        <v>23.98395</v>
      </c>
      <c r="AM268" s="3">
        <v>13.40255</v>
      </c>
      <c r="AN268" s="3">
        <v>7.4937959999999997</v>
      </c>
      <c r="AO268" s="3">
        <v>5.4369149999999999</v>
      </c>
      <c r="AQ268" s="3">
        <v>1.8031379999999999</v>
      </c>
      <c r="AV268" s="3">
        <v>14.02543</v>
      </c>
      <c r="AW268" s="3">
        <v>7.1996700000000001E-5</v>
      </c>
      <c r="AX268" s="3">
        <v>16.834240000000001</v>
      </c>
      <c r="AY268" s="3">
        <v>1.839852</v>
      </c>
    </row>
    <row r="269" spans="1:51" x14ac:dyDescent="0.2">
      <c r="A269" s="3" t="s">
        <v>166</v>
      </c>
      <c r="B269" s="49">
        <v>25993</v>
      </c>
      <c r="D269" s="3">
        <v>19.848990000000001</v>
      </c>
      <c r="F269" s="3">
        <v>16.196999999999999</v>
      </c>
      <c r="G269" s="3">
        <v>35.65157</v>
      </c>
      <c r="H269" s="3">
        <v>1.0659230000000001E-3</v>
      </c>
      <c r="J269" s="3">
        <v>0.15194160000000001</v>
      </c>
      <c r="M269" s="3">
        <v>30.857520000000001</v>
      </c>
      <c r="N269" s="3">
        <v>14.01647</v>
      </c>
      <c r="P269" s="3">
        <v>5.1019649999999999</v>
      </c>
      <c r="S269" s="3">
        <v>12.543950000000001</v>
      </c>
      <c r="T269" s="3">
        <v>15.119260000000001</v>
      </c>
      <c r="V269" s="3">
        <v>17.003679999999999</v>
      </c>
      <c r="W269" s="3">
        <v>8.9401299999999999</v>
      </c>
      <c r="X269" s="3">
        <v>1.404463</v>
      </c>
      <c r="Z269" s="3">
        <v>0.94349400000000005</v>
      </c>
      <c r="AA269" s="3">
        <v>3.0957409999999999</v>
      </c>
      <c r="AB269" s="3">
        <v>48.594909999999999</v>
      </c>
      <c r="AC269" s="3">
        <v>0.42077680000000001</v>
      </c>
      <c r="AD269" s="3">
        <v>1.5532689999999999E-3</v>
      </c>
      <c r="AE269" s="3">
        <v>5.8785470000000002</v>
      </c>
      <c r="AF269" s="3">
        <v>32.9</v>
      </c>
      <c r="AG269" s="3">
        <v>5.5840259999999997</v>
      </c>
      <c r="AH269" s="3">
        <v>72.113200000000006</v>
      </c>
      <c r="AI269" s="3">
        <v>20.89912</v>
      </c>
      <c r="AK269" s="3">
        <v>1.4717829999999999E-2</v>
      </c>
      <c r="AL269" s="3">
        <v>24.138829999999999</v>
      </c>
      <c r="AM269" s="3">
        <v>13.474220000000001</v>
      </c>
      <c r="AN269" s="3">
        <v>7.5243640000000003</v>
      </c>
      <c r="AO269" s="3">
        <v>5.469017</v>
      </c>
      <c r="AQ269" s="3">
        <v>1.848562</v>
      </c>
      <c r="AV269" s="3">
        <v>14.060639999999999</v>
      </c>
      <c r="AW269" s="3">
        <v>7.2676320000000002E-5</v>
      </c>
      <c r="AX269" s="3">
        <v>16.876429999999999</v>
      </c>
      <c r="AY269" s="3">
        <v>1.8858490000000001</v>
      </c>
    </row>
    <row r="270" spans="1:51" x14ac:dyDescent="0.2">
      <c r="A270" s="3" t="s">
        <v>167</v>
      </c>
      <c r="B270" s="49">
        <v>26024</v>
      </c>
      <c r="D270" s="3">
        <v>19.952279999999998</v>
      </c>
      <c r="F270" s="3">
        <v>16.35502</v>
      </c>
      <c r="G270" s="3">
        <v>35.681420000000003</v>
      </c>
      <c r="H270" s="3">
        <v>1.0922939999999999E-3</v>
      </c>
      <c r="J270" s="3">
        <v>0.15194160000000001</v>
      </c>
      <c r="M270" s="3">
        <v>31.053229999999999</v>
      </c>
      <c r="N270" s="3">
        <v>14.15682</v>
      </c>
      <c r="P270" s="3">
        <v>5.155837</v>
      </c>
      <c r="S270" s="3">
        <v>12.62842</v>
      </c>
      <c r="T270" s="3">
        <v>15.206989999999999</v>
      </c>
      <c r="V270" s="3">
        <v>17.108550000000001</v>
      </c>
      <c r="W270" s="3">
        <v>9.1321329999999996</v>
      </c>
      <c r="X270" s="3">
        <v>1.4260699999999999</v>
      </c>
      <c r="Z270" s="3">
        <v>0.93099739999999997</v>
      </c>
      <c r="AA270" s="3">
        <v>3.0957409999999999</v>
      </c>
      <c r="AB270" s="3">
        <v>48.594909999999999</v>
      </c>
      <c r="AC270" s="3">
        <v>0.44415329999999997</v>
      </c>
      <c r="AD270" s="3">
        <v>1.565369E-3</v>
      </c>
      <c r="AE270" s="3">
        <v>5.8955859999999998</v>
      </c>
      <c r="AF270" s="3">
        <v>33.299999999999997</v>
      </c>
      <c r="AG270" s="3">
        <v>5.5593950000000003</v>
      </c>
      <c r="AH270" s="3">
        <v>71.974599999999995</v>
      </c>
      <c r="AI270" s="3">
        <v>20.916509999999999</v>
      </c>
      <c r="AK270" s="3">
        <v>1.479315E-2</v>
      </c>
      <c r="AL270" s="3">
        <v>24.448589999999999</v>
      </c>
      <c r="AM270" s="3">
        <v>13.474220000000001</v>
      </c>
      <c r="AN270" s="3">
        <v>7.5748119999999997</v>
      </c>
      <c r="AO270" s="3">
        <v>5.5191179999999997</v>
      </c>
      <c r="AQ270" s="3">
        <v>1.8732489999999999</v>
      </c>
      <c r="AV270" s="3">
        <v>14.03214</v>
      </c>
      <c r="AW270" s="3">
        <v>7.4290399999999996E-5</v>
      </c>
      <c r="AX270" s="3">
        <v>16.918620000000001</v>
      </c>
      <c r="AY270" s="3">
        <v>1.8858490000000001</v>
      </c>
    </row>
    <row r="271" spans="1:51" x14ac:dyDescent="0.2">
      <c r="A271" s="3" t="s">
        <v>168</v>
      </c>
      <c r="B271" s="49">
        <v>26054</v>
      </c>
      <c r="D271" s="3">
        <v>20.001380000000001</v>
      </c>
      <c r="F271" s="3">
        <v>16.35502</v>
      </c>
      <c r="G271" s="3">
        <v>36.073039999999999</v>
      </c>
      <c r="H271" s="3">
        <v>1.1229199999999999E-3</v>
      </c>
      <c r="J271" s="3">
        <v>0.15194160000000001</v>
      </c>
      <c r="M271" s="3">
        <v>31.118469999999999</v>
      </c>
      <c r="N271" s="3">
        <v>14.38138</v>
      </c>
      <c r="P271" s="3">
        <v>5.1873969999999998</v>
      </c>
      <c r="S271" s="3">
        <v>12.67066</v>
      </c>
      <c r="T271" s="3">
        <v>15.30935</v>
      </c>
      <c r="V271" s="3">
        <v>17.1858</v>
      </c>
      <c r="W271" s="3">
        <v>9.1921339999999994</v>
      </c>
      <c r="X271" s="3">
        <v>1.4476770000000001</v>
      </c>
      <c r="Z271" s="3">
        <v>0.90600420000000004</v>
      </c>
      <c r="AA271" s="3">
        <v>3.0957409999999999</v>
      </c>
      <c r="AB271" s="3">
        <v>48.594909999999999</v>
      </c>
      <c r="AC271" s="3">
        <v>0.44415329999999997</v>
      </c>
      <c r="AD271" s="3">
        <v>1.573435E-3</v>
      </c>
      <c r="AE271" s="3">
        <v>5.929665</v>
      </c>
      <c r="AF271" s="3">
        <v>33.4</v>
      </c>
      <c r="AG271" s="3">
        <v>5.4608689999999998</v>
      </c>
      <c r="AH271" s="3">
        <v>72.040300000000002</v>
      </c>
      <c r="AI271" s="3">
        <v>21.06953</v>
      </c>
      <c r="AK271" s="3">
        <v>1.4824260000000001E-2</v>
      </c>
      <c r="AL271" s="3">
        <v>24.55921</v>
      </c>
      <c r="AM271" s="3">
        <v>13.54589</v>
      </c>
      <c r="AN271" s="3">
        <v>7.6075600000000003</v>
      </c>
      <c r="AO271" s="3">
        <v>5.5479520000000004</v>
      </c>
      <c r="AQ271" s="3">
        <v>1.882136</v>
      </c>
      <c r="AV271" s="3">
        <v>13.984640000000001</v>
      </c>
      <c r="AW271" s="3">
        <v>7.4970009999999996E-5</v>
      </c>
      <c r="AX271" s="3">
        <v>17.003</v>
      </c>
      <c r="AY271" s="3">
        <v>1.8858490000000001</v>
      </c>
    </row>
    <row r="272" spans="1:51" x14ac:dyDescent="0.2">
      <c r="A272" s="3" t="s">
        <v>169</v>
      </c>
      <c r="B272" s="49">
        <v>26085</v>
      </c>
      <c r="D272" s="3">
        <v>20.043710000000001</v>
      </c>
      <c r="F272" s="3">
        <v>16.43403</v>
      </c>
      <c r="G272" s="3">
        <v>36.102899999999998</v>
      </c>
      <c r="H272" s="3">
        <v>1.1450379999999999E-3</v>
      </c>
      <c r="J272" s="3">
        <v>0.15194160000000001</v>
      </c>
      <c r="M272" s="3">
        <v>31.248940000000001</v>
      </c>
      <c r="N272" s="3">
        <v>14.42817</v>
      </c>
      <c r="P272" s="3">
        <v>5.2091630000000002</v>
      </c>
      <c r="S272" s="3">
        <v>12.91351</v>
      </c>
      <c r="T272" s="3">
        <v>15.36783</v>
      </c>
      <c r="V272" s="3">
        <v>17.28218</v>
      </c>
      <c r="W272" s="3">
        <v>9.2581349999999993</v>
      </c>
      <c r="X272" s="3">
        <v>1.4260699999999999</v>
      </c>
      <c r="Z272" s="3">
        <v>0.89350759999999996</v>
      </c>
      <c r="AA272" s="3">
        <v>3.1467299999999998</v>
      </c>
      <c r="AB272" s="3">
        <v>49.283499999999997</v>
      </c>
      <c r="AC272" s="3">
        <v>0.4675298</v>
      </c>
      <c r="AD272" s="3">
        <v>1.5761270000000001E-3</v>
      </c>
      <c r="AE272" s="3">
        <v>5.9353449999999999</v>
      </c>
      <c r="AF272" s="3">
        <v>33.5</v>
      </c>
      <c r="AG272" s="3">
        <v>5.451549</v>
      </c>
      <c r="AH272" s="3">
        <v>72.659599999999998</v>
      </c>
      <c r="AI272" s="3">
        <v>21.11647</v>
      </c>
      <c r="AK272" s="3">
        <v>1.4891389999999999E-2</v>
      </c>
      <c r="AL272" s="3">
        <v>24.603459999999998</v>
      </c>
      <c r="AM272" s="3">
        <v>13.617559999999999</v>
      </c>
      <c r="AN272" s="3">
        <v>7.6475140000000001</v>
      </c>
      <c r="AO272" s="3">
        <v>5.5718880000000004</v>
      </c>
      <c r="AQ272" s="3">
        <v>1.892998</v>
      </c>
      <c r="AV272" s="3">
        <v>14.02543</v>
      </c>
      <c r="AW272" s="3">
        <v>7.6286769999999994E-5</v>
      </c>
      <c r="AX272" s="3">
        <v>17.129570000000001</v>
      </c>
      <c r="AY272" s="3">
        <v>1.8858490000000001</v>
      </c>
    </row>
    <row r="273" spans="1:51" x14ac:dyDescent="0.2">
      <c r="A273" s="3" t="s">
        <v>170</v>
      </c>
      <c r="B273" s="49">
        <v>26115</v>
      </c>
      <c r="D273" s="3">
        <v>20.165620000000001</v>
      </c>
      <c r="F273" s="3">
        <v>16.59205</v>
      </c>
      <c r="G273" s="3">
        <v>36.254800000000003</v>
      </c>
      <c r="H273" s="3">
        <v>1.148441E-3</v>
      </c>
      <c r="J273" s="3">
        <v>0.15194160000000001</v>
      </c>
      <c r="M273" s="3">
        <v>31.37942</v>
      </c>
      <c r="N273" s="3">
        <v>14.44688</v>
      </c>
      <c r="P273" s="3">
        <v>5.2091630000000002</v>
      </c>
      <c r="S273" s="3">
        <v>12.97687</v>
      </c>
      <c r="T273" s="3">
        <v>15.440939999999999</v>
      </c>
      <c r="V273" s="3">
        <v>17.336369999999999</v>
      </c>
      <c r="W273" s="3">
        <v>9.3121360000000006</v>
      </c>
      <c r="X273" s="3">
        <v>1.404463</v>
      </c>
      <c r="Z273" s="3">
        <v>0.89350759999999996</v>
      </c>
      <c r="AA273" s="3">
        <v>3.1977180000000001</v>
      </c>
      <c r="AB273" s="3">
        <v>49.283499999999997</v>
      </c>
      <c r="AC273" s="3">
        <v>0.4675298</v>
      </c>
      <c r="AD273" s="3">
        <v>1.5680609999999999E-3</v>
      </c>
      <c r="AE273" s="3">
        <v>5.9523840000000003</v>
      </c>
      <c r="AF273" s="3">
        <v>33.5</v>
      </c>
      <c r="AG273" s="3">
        <v>5.5494089999999998</v>
      </c>
      <c r="AH273" s="3">
        <v>73.129499999999993</v>
      </c>
      <c r="AI273" s="3">
        <v>21.133859999999999</v>
      </c>
      <c r="AK273" s="3">
        <v>1.487993E-2</v>
      </c>
      <c r="AL273" s="3">
        <v>24.64771</v>
      </c>
      <c r="AM273" s="3">
        <v>13.68923</v>
      </c>
      <c r="AN273" s="3">
        <v>7.6822229999999996</v>
      </c>
      <c r="AO273" s="3">
        <v>5.6052470000000003</v>
      </c>
      <c r="AQ273" s="3">
        <v>1.9068229999999999</v>
      </c>
      <c r="AV273" s="3">
        <v>14.09361</v>
      </c>
      <c r="AW273" s="3">
        <v>8.0491889999999993E-5</v>
      </c>
      <c r="AX273" s="3">
        <v>17.171759999999999</v>
      </c>
      <c r="AY273" s="3">
        <v>1.8858490000000001</v>
      </c>
    </row>
    <row r="274" spans="1:51" x14ac:dyDescent="0.2">
      <c r="A274" s="3" t="s">
        <v>171</v>
      </c>
      <c r="B274" s="49">
        <v>26146</v>
      </c>
      <c r="D274" s="3">
        <v>20.241810000000001</v>
      </c>
      <c r="F274" s="3">
        <v>16.750070000000001</v>
      </c>
      <c r="G274" s="3">
        <v>36.314509999999999</v>
      </c>
      <c r="H274" s="3">
        <v>1.1612009999999999E-3</v>
      </c>
      <c r="J274" s="3">
        <v>0.15194160000000001</v>
      </c>
      <c r="M274" s="3">
        <v>31.37942</v>
      </c>
      <c r="N274" s="3">
        <v>14.503019999999999</v>
      </c>
      <c r="P274" s="3">
        <v>5.2184140000000001</v>
      </c>
      <c r="S274" s="3">
        <v>13.093019999999999</v>
      </c>
      <c r="T274" s="3">
        <v>15.49943</v>
      </c>
      <c r="V274" s="3">
        <v>17.371739999999999</v>
      </c>
      <c r="W274" s="3">
        <v>9.3181360000000009</v>
      </c>
      <c r="X274" s="3">
        <v>1.3828560000000001</v>
      </c>
      <c r="Z274" s="3">
        <v>0.88725929999999997</v>
      </c>
      <c r="AA274" s="3">
        <v>3.2632750000000001</v>
      </c>
      <c r="AB274" s="3">
        <v>49.283499999999997</v>
      </c>
      <c r="AC274" s="3">
        <v>0.4675298</v>
      </c>
      <c r="AD274" s="3">
        <v>1.5761270000000001E-3</v>
      </c>
      <c r="AE274" s="3">
        <v>5.9637440000000002</v>
      </c>
      <c r="AF274" s="3">
        <v>33.5</v>
      </c>
      <c r="AG274" s="3">
        <v>5.5986719999999996</v>
      </c>
      <c r="AH274" s="3">
        <v>73.146299999999997</v>
      </c>
      <c r="AI274" s="3">
        <v>21.15821</v>
      </c>
      <c r="AK274" s="3">
        <v>1.5015830000000001E-2</v>
      </c>
      <c r="AL274" s="3">
        <v>24.802589999999999</v>
      </c>
      <c r="AM274" s="3">
        <v>13.68923</v>
      </c>
      <c r="AN274" s="3">
        <v>7.7048759999999996</v>
      </c>
      <c r="AO274" s="3">
        <v>5.6223559999999999</v>
      </c>
      <c r="AQ274" s="3">
        <v>1.913735</v>
      </c>
      <c r="AV274" s="3">
        <v>14.289210000000001</v>
      </c>
      <c r="AW274" s="3">
        <v>8.2573209999999998E-5</v>
      </c>
      <c r="AX274" s="3">
        <v>17.213950000000001</v>
      </c>
      <c r="AY274" s="3">
        <v>1.931845</v>
      </c>
    </row>
    <row r="275" spans="1:51" x14ac:dyDescent="0.2">
      <c r="A275" s="3" t="s">
        <v>172</v>
      </c>
      <c r="B275" s="49">
        <v>26177</v>
      </c>
      <c r="D275" s="3">
        <v>20.384039999999999</v>
      </c>
      <c r="F275" s="3">
        <v>16.671060000000001</v>
      </c>
      <c r="G275" s="3">
        <v>36.585839999999997</v>
      </c>
      <c r="H275" s="3">
        <v>1.1731109999999999E-3</v>
      </c>
      <c r="J275" s="3">
        <v>0.15194160000000001</v>
      </c>
      <c r="M275" s="3">
        <v>31.444659999999999</v>
      </c>
      <c r="N275" s="3">
        <v>14.60595</v>
      </c>
      <c r="P275" s="3">
        <v>5.2804469999999997</v>
      </c>
      <c r="S275" s="3">
        <v>13.198600000000001</v>
      </c>
      <c r="T275" s="3">
        <v>15.57254</v>
      </c>
      <c r="V275" s="3">
        <v>17.438659999999999</v>
      </c>
      <c r="W275" s="3">
        <v>9.3301359999999995</v>
      </c>
      <c r="X275" s="3">
        <v>1.404463</v>
      </c>
      <c r="Z275" s="3">
        <v>0.88101099999999999</v>
      </c>
      <c r="AA275" s="3">
        <v>3.2960539999999998</v>
      </c>
      <c r="AB275" s="3">
        <v>49.972090000000001</v>
      </c>
      <c r="AC275" s="3">
        <v>0.49090630000000002</v>
      </c>
      <c r="AD275" s="3">
        <v>1.6272260000000001E-3</v>
      </c>
      <c r="AE275" s="3">
        <v>6.0035020000000001</v>
      </c>
      <c r="AF275" s="3">
        <v>34.299999999999997</v>
      </c>
      <c r="AG275" s="3">
        <v>5.6918730000000002</v>
      </c>
      <c r="AH275" s="3">
        <v>73.200299999999999</v>
      </c>
      <c r="AI275" s="3">
        <v>21.255579999999998</v>
      </c>
      <c r="AK275" s="3">
        <v>1.5064950000000001E-2</v>
      </c>
      <c r="AL275" s="3">
        <v>25.023849999999999</v>
      </c>
      <c r="AM275" s="3">
        <v>13.760910000000001</v>
      </c>
      <c r="AN275" s="3">
        <v>7.7414110000000003</v>
      </c>
      <c r="AO275" s="3">
        <v>5.6540189999999999</v>
      </c>
      <c r="AQ275" s="3">
        <v>1.9749589999999999</v>
      </c>
      <c r="AV275" s="3">
        <v>14.30542</v>
      </c>
      <c r="AW275" s="3">
        <v>8.3550159999999996E-5</v>
      </c>
      <c r="AX275" s="3">
        <v>17.213950000000001</v>
      </c>
      <c r="AY275" s="3">
        <v>1.931845</v>
      </c>
    </row>
    <row r="276" spans="1:51" x14ac:dyDescent="0.2">
      <c r="A276" s="3" t="s">
        <v>173</v>
      </c>
      <c r="B276" s="49">
        <v>26207</v>
      </c>
      <c r="D276" s="3">
        <v>20.438220000000001</v>
      </c>
      <c r="F276" s="3">
        <v>16.750070000000001</v>
      </c>
      <c r="G276" s="3">
        <v>36.736870000000003</v>
      </c>
      <c r="H276" s="3">
        <v>1.193527E-3</v>
      </c>
      <c r="J276" s="3">
        <v>0.15194160000000001</v>
      </c>
      <c r="M276" s="3">
        <v>31.575130000000001</v>
      </c>
      <c r="N276" s="3">
        <v>14.67144</v>
      </c>
      <c r="P276" s="3">
        <v>5.3386719999999999</v>
      </c>
      <c r="S276" s="3">
        <v>13.219720000000001</v>
      </c>
      <c r="T276" s="3">
        <v>15.66028</v>
      </c>
      <c r="V276" s="3">
        <v>17.499569999999999</v>
      </c>
      <c r="W276" s="3">
        <v>9.3841370000000008</v>
      </c>
      <c r="X276" s="3">
        <v>1.404463</v>
      </c>
      <c r="Z276" s="3">
        <v>0.89350759999999996</v>
      </c>
      <c r="AA276" s="3">
        <v>3.2960539999999998</v>
      </c>
      <c r="AB276" s="3">
        <v>49.972090000000001</v>
      </c>
      <c r="AC276" s="3">
        <v>0.49090630000000002</v>
      </c>
      <c r="AD276" s="3">
        <v>1.662193E-3</v>
      </c>
      <c r="AE276" s="3">
        <v>6.0319000000000003</v>
      </c>
      <c r="AF276" s="3">
        <v>34.4</v>
      </c>
      <c r="AG276" s="3">
        <v>5.6472699999999998</v>
      </c>
      <c r="AH276" s="3">
        <v>73.543000000000006</v>
      </c>
      <c r="AI276" s="3">
        <v>21.396429999999999</v>
      </c>
      <c r="AK276" s="3">
        <v>1.507969E-2</v>
      </c>
      <c r="AL276" s="3">
        <v>25.200849999999999</v>
      </c>
      <c r="AM276" s="3">
        <v>13.904249999999999</v>
      </c>
      <c r="AN276" s="3">
        <v>7.7761889999999996</v>
      </c>
      <c r="AO276" s="3">
        <v>5.6901700000000002</v>
      </c>
      <c r="AQ276" s="3">
        <v>2.0075460000000001</v>
      </c>
      <c r="AV276" s="3">
        <v>14.45072</v>
      </c>
      <c r="AW276" s="3">
        <v>8.5079289999999996E-5</v>
      </c>
      <c r="AX276" s="3">
        <v>17.256150000000002</v>
      </c>
      <c r="AY276" s="3">
        <v>1.977841</v>
      </c>
    </row>
    <row r="277" spans="1:51" x14ac:dyDescent="0.2">
      <c r="A277" s="3" t="s">
        <v>174</v>
      </c>
      <c r="B277" s="49">
        <v>26238</v>
      </c>
      <c r="D277" s="3">
        <v>20.509329999999999</v>
      </c>
      <c r="F277" s="3">
        <v>16.750070000000001</v>
      </c>
      <c r="G277" s="3">
        <v>37.219810000000003</v>
      </c>
      <c r="H277" s="3">
        <v>1.2250029999999999E-3</v>
      </c>
      <c r="J277" s="3">
        <v>0.16362950000000001</v>
      </c>
      <c r="M277" s="3">
        <v>31.640370000000001</v>
      </c>
      <c r="N277" s="3">
        <v>14.774369999999999</v>
      </c>
      <c r="P277" s="3">
        <v>5.4110440000000004</v>
      </c>
      <c r="S277" s="3">
        <v>13.27252</v>
      </c>
      <c r="T277" s="3">
        <v>15.71876</v>
      </c>
      <c r="V277" s="3">
        <v>17.505369999999999</v>
      </c>
      <c r="W277" s="3">
        <v>9.4381380000000004</v>
      </c>
      <c r="X277" s="3">
        <v>1.4260699999999999</v>
      </c>
      <c r="Z277" s="3">
        <v>0.91850080000000001</v>
      </c>
      <c r="AA277" s="3">
        <v>3.3142640000000001</v>
      </c>
      <c r="AB277" s="3">
        <v>49.972090000000001</v>
      </c>
      <c r="AC277" s="3">
        <v>0.51428280000000004</v>
      </c>
      <c r="AD277" s="3">
        <v>1.689093E-3</v>
      </c>
      <c r="AE277" s="3">
        <v>6.0602989999999997</v>
      </c>
      <c r="AF277" s="3">
        <v>34.1</v>
      </c>
      <c r="AG277" s="3">
        <v>5.6572550000000001</v>
      </c>
      <c r="AH277" s="3">
        <v>73.577200000000005</v>
      </c>
      <c r="AI277" s="3">
        <v>21.485109999999999</v>
      </c>
      <c r="AK277" s="3">
        <v>1.510424E-2</v>
      </c>
      <c r="AL277" s="3">
        <v>25.267230000000001</v>
      </c>
      <c r="AM277" s="3">
        <v>13.97592</v>
      </c>
      <c r="AN277" s="3">
        <v>7.7888479999999998</v>
      </c>
      <c r="AO277" s="3">
        <v>5.7213719999999997</v>
      </c>
      <c r="AQ277" s="3">
        <v>2.0569199999999999</v>
      </c>
      <c r="AV277" s="3">
        <v>14.439539999999999</v>
      </c>
      <c r="AW277" s="3">
        <v>8.5928799999999996E-5</v>
      </c>
      <c r="AX277" s="3">
        <v>17.256150000000002</v>
      </c>
      <c r="AY277" s="3">
        <v>1.977841</v>
      </c>
    </row>
    <row r="278" spans="1:51" x14ac:dyDescent="0.2">
      <c r="A278" s="3" t="s">
        <v>175</v>
      </c>
      <c r="B278" s="49">
        <v>26268</v>
      </c>
      <c r="D278" s="3">
        <v>20.597370000000002</v>
      </c>
      <c r="F278" s="3">
        <v>16.829070000000002</v>
      </c>
      <c r="G278" s="3">
        <v>37.400689999999997</v>
      </c>
      <c r="H278" s="3">
        <v>1.2590310000000001E-3</v>
      </c>
      <c r="J278" s="3">
        <v>0.16362950000000001</v>
      </c>
      <c r="M278" s="3">
        <v>31.770849999999999</v>
      </c>
      <c r="N278" s="3">
        <v>14.8118</v>
      </c>
      <c r="P278" s="3">
        <v>5.4817830000000001</v>
      </c>
      <c r="S278" s="3">
        <v>13.30419</v>
      </c>
      <c r="T278" s="3">
        <v>15.791869999999999</v>
      </c>
      <c r="V278" s="3">
        <v>17.577439999999999</v>
      </c>
      <c r="W278" s="3">
        <v>9.4861380000000004</v>
      </c>
      <c r="X278" s="3">
        <v>1.4476770000000001</v>
      </c>
      <c r="Z278" s="3">
        <v>0.91225250000000002</v>
      </c>
      <c r="AA278" s="3">
        <v>3.2814860000000001</v>
      </c>
      <c r="AB278" s="3">
        <v>50.070459999999997</v>
      </c>
      <c r="AC278" s="3">
        <v>0.51428280000000004</v>
      </c>
      <c r="AD278" s="3">
        <v>1.709269E-3</v>
      </c>
      <c r="AE278" s="3">
        <v>6.083018</v>
      </c>
      <c r="AF278" s="3">
        <v>34.1</v>
      </c>
      <c r="AG278" s="3">
        <v>5.7111780000000003</v>
      </c>
      <c r="AH278" s="3">
        <v>73.758799999999994</v>
      </c>
      <c r="AI278" s="3">
        <v>21.566839999999999</v>
      </c>
      <c r="AK278" s="3">
        <v>1.517629E-2</v>
      </c>
      <c r="AL278" s="3">
        <v>25.399979999999999</v>
      </c>
      <c r="AM278" s="3">
        <v>13.97592</v>
      </c>
      <c r="AN278" s="3">
        <v>7.8220929999999997</v>
      </c>
      <c r="AO278" s="3">
        <v>5.7481159999999996</v>
      </c>
      <c r="AQ278" s="3">
        <v>2.0292699999999999</v>
      </c>
      <c r="AV278" s="3">
        <v>14.568630000000001</v>
      </c>
      <c r="AW278" s="3">
        <v>8.580138E-5</v>
      </c>
      <c r="AX278" s="3">
        <v>17.340530000000001</v>
      </c>
      <c r="AY278" s="3">
        <v>1.977841</v>
      </c>
    </row>
    <row r="279" spans="1:51" x14ac:dyDescent="0.2">
      <c r="A279" s="3" t="s">
        <v>176</v>
      </c>
      <c r="B279" s="49">
        <v>26299</v>
      </c>
      <c r="D279" s="3">
        <v>20.69388</v>
      </c>
      <c r="F279" s="3">
        <v>16.908080000000002</v>
      </c>
      <c r="G279" s="3">
        <v>37.641280000000002</v>
      </c>
      <c r="H279" s="3">
        <v>1.304969E-3</v>
      </c>
      <c r="J279" s="3">
        <v>0.16362950000000001</v>
      </c>
      <c r="M279" s="3">
        <v>32.162269999999999</v>
      </c>
      <c r="N279" s="3">
        <v>14.83051</v>
      </c>
      <c r="P279" s="3">
        <v>5.4861360000000001</v>
      </c>
      <c r="S279" s="3">
        <v>13.177490000000001</v>
      </c>
      <c r="T279" s="3">
        <v>15.835739999999999</v>
      </c>
      <c r="V279" s="3">
        <v>17.624510000000001</v>
      </c>
      <c r="W279" s="3">
        <v>9.5401389999999999</v>
      </c>
      <c r="X279" s="3">
        <v>1.4476770000000001</v>
      </c>
      <c r="Z279" s="3">
        <v>0.93099739999999997</v>
      </c>
      <c r="AA279" s="3">
        <v>3.2632750000000001</v>
      </c>
      <c r="AB279" s="3">
        <v>50.070459999999997</v>
      </c>
      <c r="AC279" s="3">
        <v>0.5376592</v>
      </c>
      <c r="AD279" s="3">
        <v>1.733467E-3</v>
      </c>
      <c r="AE279" s="3">
        <v>6.1057370000000004</v>
      </c>
      <c r="AF279" s="3">
        <v>34.1</v>
      </c>
      <c r="AG279" s="3">
        <v>5.7997180000000004</v>
      </c>
      <c r="AH279" s="3">
        <v>74.270300000000006</v>
      </c>
      <c r="AI279" s="3">
        <v>21.676380000000002</v>
      </c>
      <c r="AK279" s="3">
        <v>1.5243410000000001E-2</v>
      </c>
      <c r="AL279" s="3">
        <v>25.621230000000001</v>
      </c>
      <c r="AM279" s="3">
        <v>14.190939999999999</v>
      </c>
      <c r="AN279" s="3">
        <v>7.8477220000000001</v>
      </c>
      <c r="AO279" s="3">
        <v>5.7829110000000004</v>
      </c>
      <c r="AQ279" s="3">
        <v>2.0421079999999998</v>
      </c>
      <c r="AV279" s="3">
        <v>14.69773</v>
      </c>
      <c r="AW279" s="3">
        <v>8.5716429999999993E-5</v>
      </c>
      <c r="AX279" s="3">
        <v>17.340530000000001</v>
      </c>
      <c r="AY279" s="3">
        <v>1.977841</v>
      </c>
    </row>
    <row r="280" spans="1:51" x14ac:dyDescent="0.2">
      <c r="A280" s="3" t="s">
        <v>177</v>
      </c>
      <c r="B280" s="49">
        <v>26330</v>
      </c>
      <c r="D280" s="3">
        <v>20.804600000000001</v>
      </c>
      <c r="F280" s="3">
        <v>16.987089999999998</v>
      </c>
      <c r="G280" s="3">
        <v>37.823039999999999</v>
      </c>
      <c r="H280" s="3">
        <v>1.389188E-3</v>
      </c>
      <c r="J280" s="3">
        <v>0.16362950000000001</v>
      </c>
      <c r="M280" s="3">
        <v>32.292749999999998</v>
      </c>
      <c r="N280" s="3">
        <v>14.89601</v>
      </c>
      <c r="P280" s="3">
        <v>5.4817830000000001</v>
      </c>
      <c r="S280" s="3">
        <v>13.28753</v>
      </c>
      <c r="T280" s="3">
        <v>15.92347</v>
      </c>
      <c r="V280" s="3">
        <v>17.712510000000002</v>
      </c>
      <c r="W280" s="3">
        <v>9.5881399999999992</v>
      </c>
      <c r="X280" s="3">
        <v>1.4260699999999999</v>
      </c>
      <c r="Z280" s="3">
        <v>0.94974239999999999</v>
      </c>
      <c r="AA280" s="3">
        <v>3.2450649999999999</v>
      </c>
      <c r="AB280" s="3">
        <v>50.070459999999997</v>
      </c>
      <c r="AC280" s="3">
        <v>0.5376592</v>
      </c>
      <c r="AD280" s="3">
        <v>1.7240599999999999E-3</v>
      </c>
      <c r="AE280" s="3">
        <v>6.1398159999999997</v>
      </c>
      <c r="AF280" s="3">
        <v>34.299999999999997</v>
      </c>
      <c r="AG280" s="3">
        <v>5.9854539999999998</v>
      </c>
      <c r="AH280" s="3">
        <v>74.591800000000006</v>
      </c>
      <c r="AI280" s="3">
        <v>21.742460000000001</v>
      </c>
      <c r="AK280" s="3">
        <v>1.52909E-2</v>
      </c>
      <c r="AL280" s="3">
        <v>25.820360000000001</v>
      </c>
      <c r="AM280" s="3">
        <v>14.26261</v>
      </c>
      <c r="AN280" s="3">
        <v>7.8869870000000004</v>
      </c>
      <c r="AO280" s="3">
        <v>5.8105380000000002</v>
      </c>
      <c r="AQ280" s="3">
        <v>2.0776569999999999</v>
      </c>
      <c r="AV280" s="3">
        <v>14.75361</v>
      </c>
      <c r="AW280" s="3">
        <v>8.6863280000000004E-5</v>
      </c>
      <c r="AX280" s="3">
        <v>17.424910000000001</v>
      </c>
      <c r="AY280" s="3">
        <v>1.977841</v>
      </c>
    </row>
    <row r="281" spans="1:51" x14ac:dyDescent="0.2">
      <c r="A281" s="3" t="s">
        <v>178</v>
      </c>
      <c r="B281" s="49">
        <v>26359</v>
      </c>
      <c r="D281" s="3">
        <v>20.830770000000001</v>
      </c>
      <c r="F281" s="3">
        <v>17.066099999999999</v>
      </c>
      <c r="G281" s="3">
        <v>37.912610000000001</v>
      </c>
      <c r="H281" s="3">
        <v>1.427469E-3</v>
      </c>
      <c r="J281" s="3">
        <v>0.16362950000000001</v>
      </c>
      <c r="M281" s="3">
        <v>32.488460000000003</v>
      </c>
      <c r="N281" s="3">
        <v>14.99893</v>
      </c>
      <c r="P281" s="3">
        <v>5.5351100000000004</v>
      </c>
      <c r="S281" s="3">
        <v>13.37006</v>
      </c>
      <c r="T281" s="3">
        <v>15.99658</v>
      </c>
      <c r="V281" s="3">
        <v>17.782779999999999</v>
      </c>
      <c r="W281" s="3">
        <v>9.6181400000000004</v>
      </c>
      <c r="X281" s="3">
        <v>1.4476770000000001</v>
      </c>
      <c r="Z281" s="3">
        <v>0.94974239999999999</v>
      </c>
      <c r="AA281" s="3">
        <v>3.2632750000000001</v>
      </c>
      <c r="AB281" s="3">
        <v>50.857419999999998</v>
      </c>
      <c r="AC281" s="3">
        <v>0.5376592</v>
      </c>
      <c r="AD281" s="3">
        <v>1.759027E-3</v>
      </c>
      <c r="AE281" s="3">
        <v>6.1568550000000002</v>
      </c>
      <c r="AF281" s="3">
        <v>34.6</v>
      </c>
      <c r="AG281" s="3">
        <v>6.1525480000000003</v>
      </c>
      <c r="AH281" s="3">
        <v>74.769400000000005</v>
      </c>
      <c r="AI281" s="3">
        <v>21.778970000000001</v>
      </c>
      <c r="AK281" s="3">
        <v>1.53744E-2</v>
      </c>
      <c r="AL281" s="3">
        <v>26.041609999999999</v>
      </c>
      <c r="AM281" s="3">
        <v>14.33428</v>
      </c>
      <c r="AN281" s="3">
        <v>7.9225479999999999</v>
      </c>
      <c r="AO281" s="3">
        <v>5.8398469999999998</v>
      </c>
      <c r="AQ281" s="3">
        <v>2.0993810000000002</v>
      </c>
      <c r="AV281" s="3">
        <v>14.817880000000001</v>
      </c>
      <c r="AW281" s="3">
        <v>8.6948219999999997E-5</v>
      </c>
      <c r="AX281" s="3">
        <v>17.467099999999999</v>
      </c>
      <c r="AY281" s="3">
        <v>1.977841</v>
      </c>
    </row>
    <row r="282" spans="1:51" x14ac:dyDescent="0.2">
      <c r="A282" s="3" t="s">
        <v>179</v>
      </c>
      <c r="B282" s="49">
        <v>26390</v>
      </c>
      <c r="D282" s="3">
        <v>20.90324</v>
      </c>
      <c r="F282" s="3">
        <v>17.145109999999999</v>
      </c>
      <c r="G282" s="3">
        <v>37.943339999999999</v>
      </c>
      <c r="H282" s="3">
        <v>1.5082850000000001E-3</v>
      </c>
      <c r="J282" s="3">
        <v>0.17531730000000001</v>
      </c>
      <c r="M282" s="3">
        <v>32.618940000000002</v>
      </c>
      <c r="N282" s="3">
        <v>15.10186</v>
      </c>
      <c r="P282" s="3">
        <v>5.5351100000000004</v>
      </c>
      <c r="S282" s="3">
        <v>13.59014</v>
      </c>
      <c r="T282" s="3">
        <v>16.055070000000001</v>
      </c>
      <c r="V282" s="3">
        <v>17.860569999999999</v>
      </c>
      <c r="W282" s="3">
        <v>9.7081420000000005</v>
      </c>
      <c r="X282" s="3">
        <v>1.490891</v>
      </c>
      <c r="Z282" s="3">
        <v>0.94974239999999999</v>
      </c>
      <c r="AA282" s="3">
        <v>3.2814860000000001</v>
      </c>
      <c r="AB282" s="3">
        <v>50.857419999999998</v>
      </c>
      <c r="AC282" s="3">
        <v>0.56103579999999997</v>
      </c>
      <c r="AD282" s="3">
        <v>1.779192E-3</v>
      </c>
      <c r="AE282" s="3">
        <v>6.168215</v>
      </c>
      <c r="AF282" s="3">
        <v>35</v>
      </c>
      <c r="AG282" s="3">
        <v>6.1918249999999997</v>
      </c>
      <c r="AH282" s="3">
        <v>75.119500000000002</v>
      </c>
      <c r="AI282" s="3">
        <v>21.82244</v>
      </c>
      <c r="AK282" s="3">
        <v>1.5471E-2</v>
      </c>
      <c r="AL282" s="3">
        <v>26.395620000000001</v>
      </c>
      <c r="AM282" s="3">
        <v>14.405950000000001</v>
      </c>
      <c r="AN282" s="3">
        <v>7.9597540000000002</v>
      </c>
      <c r="AO282" s="3">
        <v>5.8678210000000002</v>
      </c>
      <c r="AQ282" s="3">
        <v>2.0895069999999998</v>
      </c>
      <c r="AV282" s="3">
        <v>14.85421</v>
      </c>
      <c r="AW282" s="3">
        <v>8.7203080000000004E-5</v>
      </c>
      <c r="AX282" s="3">
        <v>17.50929</v>
      </c>
      <c r="AY282" s="3">
        <v>1.977841</v>
      </c>
    </row>
    <row r="283" spans="1:51" x14ac:dyDescent="0.2">
      <c r="A283" s="3" t="s">
        <v>180</v>
      </c>
      <c r="B283" s="49">
        <v>26420</v>
      </c>
      <c r="D283" s="3">
        <v>20.941490000000002</v>
      </c>
      <c r="F283" s="3">
        <v>17.145109999999999</v>
      </c>
      <c r="G283" s="3">
        <v>38.335839999999997</v>
      </c>
      <c r="H283" s="3">
        <v>1.572087E-3</v>
      </c>
      <c r="J283" s="3">
        <v>0.17531730000000001</v>
      </c>
      <c r="M283" s="3">
        <v>32.618940000000002</v>
      </c>
      <c r="N283" s="3">
        <v>15.251569999999999</v>
      </c>
      <c r="P283" s="3">
        <v>5.5623180000000003</v>
      </c>
      <c r="S283" s="3">
        <v>13.68643</v>
      </c>
      <c r="T283" s="3">
        <v>16.142810000000001</v>
      </c>
      <c r="V283" s="3">
        <v>17.914439999999999</v>
      </c>
      <c r="W283" s="3">
        <v>9.7561429999999998</v>
      </c>
      <c r="X283" s="3">
        <v>1.490891</v>
      </c>
      <c r="Z283" s="3">
        <v>0.94349400000000005</v>
      </c>
      <c r="AA283" s="3">
        <v>3.2960539999999998</v>
      </c>
      <c r="AB283" s="3">
        <v>50.857419999999998</v>
      </c>
      <c r="AC283" s="3">
        <v>0.56103579999999997</v>
      </c>
      <c r="AD283" s="3">
        <v>1.798027E-3</v>
      </c>
      <c r="AE283" s="3">
        <v>6.2250120000000004</v>
      </c>
      <c r="AF283" s="3">
        <v>35.1</v>
      </c>
      <c r="AG283" s="3">
        <v>6.2164570000000001</v>
      </c>
      <c r="AH283" s="3">
        <v>75.062200000000004</v>
      </c>
      <c r="AI283" s="3">
        <v>21.905909999999999</v>
      </c>
      <c r="AK283" s="3">
        <v>1.550211E-2</v>
      </c>
      <c r="AL283" s="3">
        <v>26.462</v>
      </c>
      <c r="AM283" s="3">
        <v>14.47762</v>
      </c>
      <c r="AN283" s="3">
        <v>7.9877969999999996</v>
      </c>
      <c r="AO283" s="3">
        <v>5.8983790000000003</v>
      </c>
      <c r="AQ283" s="3">
        <v>2.1546799999999999</v>
      </c>
      <c r="AV283" s="3">
        <v>14.92742</v>
      </c>
      <c r="AW283" s="3">
        <v>8.8349930000000001E-5</v>
      </c>
      <c r="AX283" s="3">
        <v>17.551480000000002</v>
      </c>
      <c r="AY283" s="3">
        <v>1.977841</v>
      </c>
    </row>
    <row r="284" spans="1:51" x14ac:dyDescent="0.2">
      <c r="A284" s="3" t="s">
        <v>181</v>
      </c>
      <c r="B284" s="49">
        <v>26451</v>
      </c>
      <c r="D284" s="3">
        <v>21.1448</v>
      </c>
      <c r="F284" s="3">
        <v>17.145109999999999</v>
      </c>
      <c r="G284" s="3">
        <v>38.547449999999998</v>
      </c>
      <c r="H284" s="3">
        <v>1.605265E-3</v>
      </c>
      <c r="J284" s="3">
        <v>0.17531730000000001</v>
      </c>
      <c r="M284" s="3">
        <v>32.749409999999997</v>
      </c>
      <c r="N284" s="3">
        <v>15.35449</v>
      </c>
      <c r="P284" s="3">
        <v>5.5753769999999996</v>
      </c>
      <c r="S284" s="3">
        <v>13.74145</v>
      </c>
      <c r="T284" s="3">
        <v>16.230540000000001</v>
      </c>
      <c r="V284" s="3">
        <v>17.974900000000002</v>
      </c>
      <c r="W284" s="3">
        <v>9.8221439999999998</v>
      </c>
      <c r="X284" s="3">
        <v>1.490891</v>
      </c>
      <c r="Z284" s="3">
        <v>0.92474909999999999</v>
      </c>
      <c r="AA284" s="3">
        <v>3.3798210000000002</v>
      </c>
      <c r="AB284" s="3">
        <v>51.44764</v>
      </c>
      <c r="AC284" s="3">
        <v>0.58441220000000005</v>
      </c>
      <c r="AD284" s="3">
        <v>1.772467E-3</v>
      </c>
      <c r="AE284" s="3">
        <v>6.2590909999999997</v>
      </c>
      <c r="AF284" s="3">
        <v>35.200000000000003</v>
      </c>
      <c r="AG284" s="3">
        <v>6.2504080000000002</v>
      </c>
      <c r="AH284" s="3">
        <v>74.964600000000004</v>
      </c>
      <c r="AI284" s="3">
        <v>22.15108</v>
      </c>
      <c r="AK284" s="3">
        <v>1.5616720000000001E-2</v>
      </c>
      <c r="AL284" s="3">
        <v>26.528369999999999</v>
      </c>
      <c r="AM284" s="3">
        <v>14.62096</v>
      </c>
      <c r="AN284" s="3">
        <v>8.0197140000000005</v>
      </c>
      <c r="AO284" s="3">
        <v>5.9326410000000003</v>
      </c>
      <c r="AQ284" s="3">
        <v>2.1003690000000002</v>
      </c>
      <c r="AV284" s="3">
        <v>15.00454</v>
      </c>
      <c r="AW284" s="3">
        <v>9.1238300000000004E-5</v>
      </c>
      <c r="AX284" s="3">
        <v>17.593679999999999</v>
      </c>
      <c r="AY284" s="3">
        <v>1.977841</v>
      </c>
    </row>
    <row r="285" spans="1:51" x14ac:dyDescent="0.2">
      <c r="A285" s="3" t="s">
        <v>182</v>
      </c>
      <c r="B285" s="49">
        <v>26481</v>
      </c>
      <c r="D285" s="3">
        <v>21.301819999999999</v>
      </c>
      <c r="F285" s="3">
        <v>17.38214</v>
      </c>
      <c r="G285" s="3">
        <v>38.577309999999997</v>
      </c>
      <c r="H285" s="3">
        <v>1.676723E-3</v>
      </c>
      <c r="J285" s="3">
        <v>0.17531730000000001</v>
      </c>
      <c r="M285" s="3">
        <v>33.010359999999999</v>
      </c>
      <c r="N285" s="3">
        <v>15.38256</v>
      </c>
      <c r="P285" s="3">
        <v>5.6515589999999998</v>
      </c>
      <c r="S285" s="3">
        <v>13.86525</v>
      </c>
      <c r="T285" s="3">
        <v>16.36214</v>
      </c>
      <c r="V285" s="3">
        <v>18.064800000000002</v>
      </c>
      <c r="W285" s="3">
        <v>9.8521439999999991</v>
      </c>
      <c r="X285" s="3">
        <v>1.469284</v>
      </c>
      <c r="Z285" s="3">
        <v>0.91850080000000001</v>
      </c>
      <c r="AA285" s="3">
        <v>3.44902</v>
      </c>
      <c r="AB285" s="3">
        <v>51.44764</v>
      </c>
      <c r="AC285" s="3">
        <v>0.60778869999999996</v>
      </c>
      <c r="AD285" s="3">
        <v>1.784576E-3</v>
      </c>
      <c r="AE285" s="3">
        <v>6.2818100000000001</v>
      </c>
      <c r="AF285" s="3">
        <v>35.200000000000003</v>
      </c>
      <c r="AG285" s="3">
        <v>6.3189770000000003</v>
      </c>
      <c r="AH285" s="3">
        <v>75.742999999999995</v>
      </c>
      <c r="AI285" s="3">
        <v>22.3354</v>
      </c>
      <c r="AK285" s="3">
        <v>1.5675669999999999E-2</v>
      </c>
      <c r="AL285" s="3">
        <v>26.439869999999999</v>
      </c>
      <c r="AM285" s="3">
        <v>14.76431</v>
      </c>
      <c r="AN285" s="3">
        <v>8.0634540000000001</v>
      </c>
      <c r="AO285" s="3">
        <v>5.9686430000000001</v>
      </c>
      <c r="AQ285" s="3">
        <v>2.1141939999999999</v>
      </c>
      <c r="AV285" s="3">
        <v>15.092280000000001</v>
      </c>
      <c r="AW285" s="3">
        <v>9.2385150000000001E-5</v>
      </c>
      <c r="AX285" s="3">
        <v>17.678059999999999</v>
      </c>
      <c r="AY285" s="3">
        <v>2.0238369999999999</v>
      </c>
    </row>
    <row r="286" spans="1:51" x14ac:dyDescent="0.2">
      <c r="A286" s="3" t="s">
        <v>183</v>
      </c>
      <c r="B286" s="49">
        <v>26512</v>
      </c>
      <c r="D286" s="3">
        <v>21.338049999999999</v>
      </c>
      <c r="F286" s="3">
        <v>17.54016</v>
      </c>
      <c r="G286" s="3">
        <v>38.727460000000001</v>
      </c>
      <c r="H286" s="3">
        <v>2.057835E-3</v>
      </c>
      <c r="J286" s="3">
        <v>0.17531730000000001</v>
      </c>
      <c r="M286" s="3">
        <v>33.010359999999999</v>
      </c>
      <c r="N286" s="3">
        <v>15.438700000000001</v>
      </c>
      <c r="P286" s="3">
        <v>5.7097829999999998</v>
      </c>
      <c r="S286" s="3">
        <v>13.906510000000001</v>
      </c>
      <c r="T286" s="3">
        <v>16.449870000000001</v>
      </c>
      <c r="V286" s="3">
        <v>18.13157</v>
      </c>
      <c r="W286" s="3">
        <v>9.9301449999999996</v>
      </c>
      <c r="X286" s="3">
        <v>1.4476770000000001</v>
      </c>
      <c r="Z286" s="3">
        <v>0.92474909999999999</v>
      </c>
      <c r="AA286" s="3">
        <v>3.4817979999999999</v>
      </c>
      <c r="AB286" s="3">
        <v>51.44764</v>
      </c>
      <c r="AC286" s="3">
        <v>0.63116519999999998</v>
      </c>
      <c r="AD286" s="3">
        <v>1.792643E-3</v>
      </c>
      <c r="AE286" s="3">
        <v>6.3215680000000001</v>
      </c>
      <c r="AF286" s="3">
        <v>35.4</v>
      </c>
      <c r="AG286" s="3">
        <v>6.4168370000000001</v>
      </c>
      <c r="AH286" s="3">
        <v>76.352199999999996</v>
      </c>
      <c r="AI286" s="3">
        <v>22.410170000000001</v>
      </c>
      <c r="AK286" s="3">
        <v>1.5778819999999999E-2</v>
      </c>
      <c r="AL286" s="3">
        <v>26.638999999999999</v>
      </c>
      <c r="AM286" s="3">
        <v>14.76431</v>
      </c>
      <c r="AN286" s="3">
        <v>8.0948039999999999</v>
      </c>
      <c r="AO286" s="3">
        <v>5.9933550000000002</v>
      </c>
      <c r="AQ286" s="3">
        <v>2.1043189999999998</v>
      </c>
      <c r="AV286" s="3">
        <v>15.14648</v>
      </c>
      <c r="AW286" s="3">
        <v>9.2597530000000004E-5</v>
      </c>
      <c r="AX286" s="3">
        <v>17.72025</v>
      </c>
      <c r="AY286" s="3">
        <v>2.0698340000000002</v>
      </c>
    </row>
    <row r="287" spans="1:51" x14ac:dyDescent="0.2">
      <c r="A287" s="3" t="s">
        <v>184</v>
      </c>
      <c r="B287" s="49">
        <v>26543</v>
      </c>
      <c r="D287" s="3">
        <v>21.480979999999999</v>
      </c>
      <c r="F287" s="3">
        <v>17.61917</v>
      </c>
      <c r="G287" s="3">
        <v>39.059370000000001</v>
      </c>
      <c r="H287" s="3">
        <v>2.5146589999999998E-3</v>
      </c>
      <c r="J287" s="3">
        <v>0.17531730000000001</v>
      </c>
      <c r="M287" s="3">
        <v>33.336559999999999</v>
      </c>
      <c r="N287" s="3">
        <v>15.56034</v>
      </c>
      <c r="P287" s="3">
        <v>5.7903169999999999</v>
      </c>
      <c r="S287" s="3">
        <v>13.989039999999999</v>
      </c>
      <c r="T287" s="3">
        <v>16.552219999999998</v>
      </c>
      <c r="V287" s="3">
        <v>18.220960000000002</v>
      </c>
      <c r="W287" s="3">
        <v>9.9841460000000009</v>
      </c>
      <c r="X287" s="3">
        <v>1.469284</v>
      </c>
      <c r="Z287" s="3">
        <v>0.93724569999999996</v>
      </c>
      <c r="AA287" s="3">
        <v>3.5000079999999998</v>
      </c>
      <c r="AB287" s="3">
        <v>51.546010000000003</v>
      </c>
      <c r="AC287" s="3">
        <v>0.6545417</v>
      </c>
      <c r="AD287" s="3">
        <v>1.8181919999999999E-3</v>
      </c>
      <c r="AE287" s="3">
        <v>6.3840459999999997</v>
      </c>
      <c r="AF287" s="3">
        <v>35.6</v>
      </c>
      <c r="AG287" s="3">
        <v>6.4221630000000003</v>
      </c>
      <c r="AH287" s="3">
        <v>76.493399999999994</v>
      </c>
      <c r="AI287" s="3">
        <v>22.50929</v>
      </c>
      <c r="AK287" s="3">
        <v>1.5850860000000001E-2</v>
      </c>
      <c r="AL287" s="3">
        <v>26.882380000000001</v>
      </c>
      <c r="AM287" s="3">
        <v>14.90765</v>
      </c>
      <c r="AN287" s="3">
        <v>8.1393360000000001</v>
      </c>
      <c r="AO287" s="3">
        <v>6.0458189999999998</v>
      </c>
      <c r="AQ287" s="3">
        <v>2.1398679999999999</v>
      </c>
      <c r="AV287" s="3">
        <v>15.21466</v>
      </c>
      <c r="AW287" s="3">
        <v>9.3574480000000002E-5</v>
      </c>
      <c r="AX287" s="3">
        <v>17.762440000000002</v>
      </c>
      <c r="AY287" s="3">
        <v>2.0698340000000002</v>
      </c>
    </row>
    <row r="288" spans="1:51" x14ac:dyDescent="0.2">
      <c r="A288" s="3" t="s">
        <v>185</v>
      </c>
      <c r="B288" s="49">
        <v>26573</v>
      </c>
      <c r="D288" s="3">
        <v>21.603770000000001</v>
      </c>
      <c r="F288" s="3">
        <v>17.61917</v>
      </c>
      <c r="G288" s="3">
        <v>39.421140000000001</v>
      </c>
      <c r="H288" s="3">
        <v>2.898323E-3</v>
      </c>
      <c r="J288" s="3">
        <v>0.17531730000000001</v>
      </c>
      <c r="M288" s="3">
        <v>33.467030000000001</v>
      </c>
      <c r="N288" s="3">
        <v>15.67262</v>
      </c>
      <c r="P288" s="3">
        <v>5.8300400000000003</v>
      </c>
      <c r="S288" s="3">
        <v>14.04406</v>
      </c>
      <c r="T288" s="3">
        <v>16.698440000000002</v>
      </c>
      <c r="V288" s="3">
        <v>18.331109999999999</v>
      </c>
      <c r="W288" s="3">
        <v>10.12215</v>
      </c>
      <c r="X288" s="3">
        <v>1.490891</v>
      </c>
      <c r="Z288" s="3">
        <v>0.97473560000000004</v>
      </c>
      <c r="AA288" s="3">
        <v>3.5145770000000001</v>
      </c>
      <c r="AB288" s="3">
        <v>51.546010000000003</v>
      </c>
      <c r="AC288" s="3">
        <v>0.67791820000000003</v>
      </c>
      <c r="AD288" s="3">
        <v>1.861225E-3</v>
      </c>
      <c r="AE288" s="3">
        <v>6.4522019999999998</v>
      </c>
      <c r="AF288" s="3">
        <v>35.799999999999997</v>
      </c>
      <c r="AG288" s="3">
        <v>6.3482690000000002</v>
      </c>
      <c r="AH288" s="3">
        <v>76.5077</v>
      </c>
      <c r="AI288" s="3">
        <v>22.617090000000001</v>
      </c>
      <c r="AK288" s="3">
        <v>1.5862319999999999E-2</v>
      </c>
      <c r="AL288" s="3">
        <v>27.23639</v>
      </c>
      <c r="AM288" s="3">
        <v>14.97932</v>
      </c>
      <c r="AN288" s="3">
        <v>8.1888290000000001</v>
      </c>
      <c r="AO288" s="3">
        <v>6.0970930000000001</v>
      </c>
      <c r="AQ288" s="3">
        <v>2.1527050000000001</v>
      </c>
      <c r="AV288" s="3">
        <v>15.261609999999999</v>
      </c>
      <c r="AW288" s="3">
        <v>9.4423990000000002E-5</v>
      </c>
      <c r="AX288" s="3">
        <v>17.846820000000001</v>
      </c>
      <c r="AY288" s="3">
        <v>2.1158299999999999</v>
      </c>
    </row>
    <row r="289" spans="1:51" x14ac:dyDescent="0.2">
      <c r="A289" s="3" t="s">
        <v>186</v>
      </c>
      <c r="B289" s="49">
        <v>26604</v>
      </c>
      <c r="D289" s="3">
        <v>21.762799999999999</v>
      </c>
      <c r="F289" s="3">
        <v>17.61917</v>
      </c>
      <c r="G289" s="3">
        <v>39.753050000000002</v>
      </c>
      <c r="H289" s="3">
        <v>3.060807E-3</v>
      </c>
      <c r="J289" s="3">
        <v>0.17531730000000001</v>
      </c>
      <c r="M289" s="3">
        <v>33.662739999999999</v>
      </c>
      <c r="N289" s="3">
        <v>15.80362</v>
      </c>
      <c r="P289" s="3">
        <v>5.8392910000000002</v>
      </c>
      <c r="S289" s="3">
        <v>14.154109999999999</v>
      </c>
      <c r="T289" s="3">
        <v>16.800799999999999</v>
      </c>
      <c r="V289" s="3">
        <v>18.39085</v>
      </c>
      <c r="W289" s="3">
        <v>10.158149999999999</v>
      </c>
      <c r="X289" s="3">
        <v>1.490891</v>
      </c>
      <c r="Z289" s="3">
        <v>1.0809569999999999</v>
      </c>
      <c r="AA289" s="3">
        <v>3.5327869999999999</v>
      </c>
      <c r="AB289" s="3">
        <v>51.546010000000003</v>
      </c>
      <c r="AC289" s="3">
        <v>0.70129470000000005</v>
      </c>
      <c r="AD289" s="3">
        <v>1.8935E-3</v>
      </c>
      <c r="AE289" s="3">
        <v>6.5033200000000004</v>
      </c>
      <c r="AF289" s="3">
        <v>35.799999999999997</v>
      </c>
      <c r="AG289" s="3">
        <v>6.2311019999999999</v>
      </c>
      <c r="AH289" s="3">
        <v>76.746300000000005</v>
      </c>
      <c r="AI289" s="3">
        <v>22.740549999999999</v>
      </c>
      <c r="AK289" s="3">
        <v>1.5965469999999999E-2</v>
      </c>
      <c r="AL289" s="3">
        <v>27.347010000000001</v>
      </c>
      <c r="AM289" s="3">
        <v>15.050990000000001</v>
      </c>
      <c r="AN289" s="3">
        <v>8.2152560000000001</v>
      </c>
      <c r="AO289" s="3">
        <v>6.1293379999999997</v>
      </c>
      <c r="AQ289" s="3">
        <v>2.165543</v>
      </c>
      <c r="AV289" s="3">
        <v>15.266080000000001</v>
      </c>
      <c r="AW289" s="3">
        <v>9.4933700000000002E-5</v>
      </c>
      <c r="AX289" s="3">
        <v>17.889009999999999</v>
      </c>
      <c r="AY289" s="3">
        <v>2.1158299999999999</v>
      </c>
    </row>
    <row r="290" spans="1:51" x14ac:dyDescent="0.2">
      <c r="A290" s="3" t="s">
        <v>187</v>
      </c>
      <c r="B290" s="49">
        <v>26634</v>
      </c>
      <c r="D290" s="3">
        <v>21.915790000000001</v>
      </c>
      <c r="F290" s="3">
        <v>17.698180000000001</v>
      </c>
      <c r="G290" s="3">
        <v>39.964669999999998</v>
      </c>
      <c r="H290" s="3">
        <v>3.3160149999999998E-3</v>
      </c>
      <c r="J290" s="3">
        <v>0.17531730000000001</v>
      </c>
      <c r="M290" s="3">
        <v>33.793219999999998</v>
      </c>
      <c r="N290" s="3">
        <v>15.85976</v>
      </c>
      <c r="P290" s="3">
        <v>5.8844560000000001</v>
      </c>
      <c r="S290" s="3">
        <v>14.181620000000001</v>
      </c>
      <c r="T290" s="3">
        <v>16.888529999999999</v>
      </c>
      <c r="V290" s="3">
        <v>18.457630000000002</v>
      </c>
      <c r="W290" s="3">
        <v>10.212149999999999</v>
      </c>
      <c r="X290" s="3">
        <v>1.5341050000000001</v>
      </c>
      <c r="Z290" s="3">
        <v>1.149688</v>
      </c>
      <c r="AA290" s="3">
        <v>3.5327869999999999</v>
      </c>
      <c r="AB290" s="3">
        <v>51.644379999999998</v>
      </c>
      <c r="AC290" s="3">
        <v>0.72467119999999996</v>
      </c>
      <c r="AD290" s="3">
        <v>1.9204000000000001E-3</v>
      </c>
      <c r="AE290" s="3">
        <v>6.5317189999999998</v>
      </c>
      <c r="AF290" s="3">
        <v>36</v>
      </c>
      <c r="AG290" s="3">
        <v>6.2357630000000004</v>
      </c>
      <c r="AH290" s="3">
        <v>77.174300000000002</v>
      </c>
      <c r="AI290" s="3">
        <v>22.83445</v>
      </c>
      <c r="AK290" s="3">
        <v>1.6019499999999999E-2</v>
      </c>
      <c r="AL290" s="3">
        <v>27.41339</v>
      </c>
      <c r="AM290" s="3">
        <v>15.050990000000001</v>
      </c>
      <c r="AN290" s="3">
        <v>8.2484699999999993</v>
      </c>
      <c r="AO290" s="3">
        <v>6.1629009999999997</v>
      </c>
      <c r="AQ290" s="3">
        <v>2.1951670000000001</v>
      </c>
      <c r="AV290" s="3">
        <v>15.478999999999999</v>
      </c>
      <c r="AW290" s="3">
        <v>9.523104E-5</v>
      </c>
      <c r="AX290" s="3">
        <v>17.9312</v>
      </c>
      <c r="AY290" s="3">
        <v>2.1158299999999999</v>
      </c>
    </row>
    <row r="291" spans="1:51" x14ac:dyDescent="0.2">
      <c r="A291" s="3" t="s">
        <v>188</v>
      </c>
      <c r="B291" s="49">
        <v>26665</v>
      </c>
      <c r="D291" s="3">
        <v>22.11307</v>
      </c>
      <c r="F291" s="3">
        <v>17.856200000000001</v>
      </c>
      <c r="G291" s="3">
        <v>40.416870000000003</v>
      </c>
      <c r="H291" s="3">
        <v>3.6571450000000001E-3</v>
      </c>
      <c r="J291" s="3">
        <v>0.18700510000000001</v>
      </c>
      <c r="M291" s="3">
        <v>34.184649999999998</v>
      </c>
      <c r="N291" s="3">
        <v>15.887829999999999</v>
      </c>
      <c r="P291" s="3">
        <v>5.9285319999999997</v>
      </c>
      <c r="S291" s="3">
        <v>14.31917</v>
      </c>
      <c r="T291" s="3">
        <v>16.888529999999999</v>
      </c>
      <c r="V291" s="3">
        <v>18.56071</v>
      </c>
      <c r="W291" s="3">
        <v>10.27815</v>
      </c>
      <c r="X291" s="3">
        <v>1.5341050000000001</v>
      </c>
      <c r="Z291" s="3">
        <v>1.130943</v>
      </c>
      <c r="AA291" s="3">
        <v>3.5327869999999999</v>
      </c>
      <c r="AB291" s="3">
        <v>51.644379999999998</v>
      </c>
      <c r="AC291" s="3">
        <v>0.74804760000000003</v>
      </c>
      <c r="AD291" s="3">
        <v>1.9567080000000001E-3</v>
      </c>
      <c r="AE291" s="3">
        <v>6.5998760000000001</v>
      </c>
      <c r="AF291" s="3">
        <v>36.4</v>
      </c>
      <c r="AG291" s="3">
        <v>6.2550679999999996</v>
      </c>
      <c r="AH291" s="3">
        <v>77.839399999999998</v>
      </c>
      <c r="AI291" s="3">
        <v>22.916170000000001</v>
      </c>
      <c r="AK291" s="3">
        <v>1.6251999999999999E-2</v>
      </c>
      <c r="AL291" s="3">
        <v>27.634640000000001</v>
      </c>
      <c r="AM291" s="3">
        <v>15.12266</v>
      </c>
      <c r="AN291" s="3">
        <v>8.3034829999999999</v>
      </c>
      <c r="AO291" s="3">
        <v>6.2131590000000001</v>
      </c>
      <c r="AQ291" s="3">
        <v>2.2376290000000001</v>
      </c>
      <c r="AV291" s="3">
        <v>15.541029999999999</v>
      </c>
      <c r="AW291" s="3">
        <v>9.6207979999999996E-5</v>
      </c>
      <c r="AX291" s="3">
        <v>17.973389999999998</v>
      </c>
      <c r="AY291" s="3">
        <v>2.1158299999999999</v>
      </c>
    </row>
    <row r="292" spans="1:51" x14ac:dyDescent="0.2">
      <c r="A292" s="3" t="s">
        <v>189</v>
      </c>
      <c r="B292" s="49">
        <v>26696</v>
      </c>
      <c r="D292" s="3">
        <v>22.235859999999999</v>
      </c>
      <c r="F292" s="3">
        <v>18.014220000000002</v>
      </c>
      <c r="G292" s="3">
        <v>40.688200000000002</v>
      </c>
      <c r="H292" s="3">
        <v>3.8085689999999999E-3</v>
      </c>
      <c r="J292" s="3">
        <v>0.18700510000000001</v>
      </c>
      <c r="M292" s="3">
        <v>34.380360000000003</v>
      </c>
      <c r="N292" s="3">
        <v>16.056249999999999</v>
      </c>
      <c r="P292" s="3">
        <v>5.9377820000000003</v>
      </c>
      <c r="S292" s="3">
        <v>14.41545</v>
      </c>
      <c r="T292" s="3">
        <v>16.932400000000001</v>
      </c>
      <c r="V292" s="3">
        <v>18.69116</v>
      </c>
      <c r="W292" s="3">
        <v>10.344150000000001</v>
      </c>
      <c r="X292" s="3">
        <v>1.5341050000000001</v>
      </c>
      <c r="Z292" s="3">
        <v>1.137192</v>
      </c>
      <c r="AA292" s="3">
        <v>3.5837759999999999</v>
      </c>
      <c r="AB292" s="3">
        <v>51.644379999999998</v>
      </c>
      <c r="AC292" s="3">
        <v>0.77142409999999995</v>
      </c>
      <c r="AD292" s="3">
        <v>1.9755430000000002E-3</v>
      </c>
      <c r="AE292" s="3">
        <v>6.6737130000000002</v>
      </c>
      <c r="AF292" s="3">
        <v>36.700000000000003</v>
      </c>
      <c r="AG292" s="3">
        <v>6.2750399999999997</v>
      </c>
      <c r="AH292" s="3">
        <v>78.209100000000007</v>
      </c>
      <c r="AI292" s="3">
        <v>23.02224</v>
      </c>
      <c r="AK292" s="3">
        <v>1.638626E-2</v>
      </c>
      <c r="AL292" s="3">
        <v>27.745270000000001</v>
      </c>
      <c r="AM292" s="3">
        <v>15.26601</v>
      </c>
      <c r="AN292" s="3">
        <v>8.3591999999999995</v>
      </c>
      <c r="AO292" s="3">
        <v>6.2516689999999997</v>
      </c>
      <c r="AQ292" s="3">
        <v>2.3077399999999999</v>
      </c>
      <c r="AV292" s="3">
        <v>15.66733</v>
      </c>
      <c r="AW292" s="3">
        <v>9.6675210000000006E-5</v>
      </c>
      <c r="AX292" s="3">
        <v>18.099969999999999</v>
      </c>
      <c r="AY292" s="3">
        <v>2.1158299999999999</v>
      </c>
    </row>
    <row r="293" spans="1:51" x14ac:dyDescent="0.2">
      <c r="A293" s="3" t="s">
        <v>190</v>
      </c>
      <c r="B293" s="49">
        <v>26724</v>
      </c>
      <c r="D293" s="3">
        <v>22.28417</v>
      </c>
      <c r="F293" s="3">
        <v>18.014220000000002</v>
      </c>
      <c r="G293" s="3">
        <v>41.01923</v>
      </c>
      <c r="H293" s="3">
        <v>4.0442120000000002E-3</v>
      </c>
      <c r="J293" s="3">
        <v>0.19869290000000001</v>
      </c>
      <c r="M293" s="3">
        <v>34.641309999999997</v>
      </c>
      <c r="N293" s="3">
        <v>16.149819999999998</v>
      </c>
      <c r="P293" s="3">
        <v>5.9867559999999997</v>
      </c>
      <c r="S293" s="3">
        <v>14.49799</v>
      </c>
      <c r="T293" s="3">
        <v>17.020130000000002</v>
      </c>
      <c r="V293" s="3">
        <v>18.88101</v>
      </c>
      <c r="W293" s="3">
        <v>10.40415</v>
      </c>
      <c r="X293" s="3">
        <v>1.5773200000000001</v>
      </c>
      <c r="Z293" s="3">
        <v>1.149688</v>
      </c>
      <c r="AA293" s="3">
        <v>3.6347640000000001</v>
      </c>
      <c r="AB293" s="3">
        <v>52.62809</v>
      </c>
      <c r="AC293" s="3">
        <v>0.79480059999999997</v>
      </c>
      <c r="AD293" s="3">
        <v>2.0239500000000001E-3</v>
      </c>
      <c r="AE293" s="3">
        <v>6.7475500000000004</v>
      </c>
      <c r="AF293" s="3">
        <v>37.6</v>
      </c>
      <c r="AG293" s="3">
        <v>6.2850260000000002</v>
      </c>
      <c r="AH293" s="3">
        <v>78.395399999999995</v>
      </c>
      <c r="AI293" s="3">
        <v>23.10745</v>
      </c>
      <c r="AK293" s="3">
        <v>1.6530349999999999E-2</v>
      </c>
      <c r="AL293" s="3">
        <v>28.032900000000001</v>
      </c>
      <c r="AM293" s="3">
        <v>15.481019999999999</v>
      </c>
      <c r="AN293" s="3">
        <v>8.4367610000000006</v>
      </c>
      <c r="AO293" s="3">
        <v>6.2962980000000002</v>
      </c>
      <c r="AQ293" s="3">
        <v>2.2860149999999999</v>
      </c>
      <c r="AV293" s="3">
        <v>15.722659999999999</v>
      </c>
      <c r="AW293" s="3">
        <v>9.6845119999999993E-5</v>
      </c>
      <c r="AX293" s="3">
        <v>18.268730000000001</v>
      </c>
      <c r="AY293" s="3">
        <v>2.161826</v>
      </c>
    </row>
    <row r="294" spans="1:51" x14ac:dyDescent="0.2">
      <c r="A294" s="3" t="s">
        <v>191</v>
      </c>
      <c r="B294" s="49">
        <v>26755</v>
      </c>
      <c r="D294" s="3">
        <v>22.410990000000002</v>
      </c>
      <c r="F294" s="3">
        <v>18.251249999999999</v>
      </c>
      <c r="G294" s="3">
        <v>41.110550000000003</v>
      </c>
      <c r="H294" s="3">
        <v>4.4568000000000003E-3</v>
      </c>
      <c r="J294" s="3">
        <v>0.19869290000000001</v>
      </c>
      <c r="M294" s="3">
        <v>34.837020000000003</v>
      </c>
      <c r="N294" s="3">
        <v>16.365020000000001</v>
      </c>
      <c r="P294" s="3">
        <v>6.0716429999999999</v>
      </c>
      <c r="S294" s="3">
        <v>14.6768</v>
      </c>
      <c r="T294" s="3">
        <v>17.13711</v>
      </c>
      <c r="V294" s="3">
        <v>19.056429999999999</v>
      </c>
      <c r="W294" s="3">
        <v>10.60215</v>
      </c>
      <c r="X294" s="3">
        <v>1.598927</v>
      </c>
      <c r="Z294" s="3">
        <v>1.18093</v>
      </c>
      <c r="AA294" s="3">
        <v>3.718531</v>
      </c>
      <c r="AB294" s="3">
        <v>52.62809</v>
      </c>
      <c r="AC294" s="3">
        <v>0.81817709999999999</v>
      </c>
      <c r="AD294" s="3">
        <v>2.1019490000000001E-3</v>
      </c>
      <c r="AE294" s="3">
        <v>6.8157069999999997</v>
      </c>
      <c r="AF294" s="3">
        <v>38.200000000000003</v>
      </c>
      <c r="AG294" s="3">
        <v>6.3189770000000003</v>
      </c>
      <c r="AH294" s="3">
        <v>78.920400000000001</v>
      </c>
      <c r="AI294" s="3">
        <v>23.3248</v>
      </c>
      <c r="AK294" s="3">
        <v>1.6792319999999999E-2</v>
      </c>
      <c r="AL294" s="3">
        <v>28.497540000000001</v>
      </c>
      <c r="AM294" s="3">
        <v>15.55269</v>
      </c>
      <c r="AN294" s="3">
        <v>8.5230759999999997</v>
      </c>
      <c r="AO294" s="3">
        <v>6.3597159999999997</v>
      </c>
      <c r="AQ294" s="3">
        <v>2.3037899999999998</v>
      </c>
      <c r="AV294" s="3">
        <v>15.83555</v>
      </c>
      <c r="AW294" s="3">
        <v>9.7822060000000004E-5</v>
      </c>
      <c r="AX294" s="3">
        <v>18.395309999999998</v>
      </c>
      <c r="AY294" s="3">
        <v>2.2078229999999999</v>
      </c>
    </row>
    <row r="295" spans="1:51" x14ac:dyDescent="0.2">
      <c r="A295" s="3" t="s">
        <v>192</v>
      </c>
      <c r="B295" s="49">
        <v>26785</v>
      </c>
      <c r="D295" s="3">
        <v>22.503589999999999</v>
      </c>
      <c r="F295" s="3">
        <v>18.330259999999999</v>
      </c>
      <c r="G295" s="3">
        <v>41.411740000000002</v>
      </c>
      <c r="H295" s="3">
        <v>5.3219579999999999E-3</v>
      </c>
      <c r="J295" s="3">
        <v>0.2103807</v>
      </c>
      <c r="M295" s="3">
        <v>35.09798</v>
      </c>
      <c r="N295" s="3">
        <v>16.570869999999999</v>
      </c>
      <c r="P295" s="3">
        <v>6.1608840000000002</v>
      </c>
      <c r="S295" s="3">
        <v>14.896890000000001</v>
      </c>
      <c r="T295" s="3">
        <v>17.29795</v>
      </c>
      <c r="V295" s="3">
        <v>19.23047</v>
      </c>
      <c r="W295" s="3">
        <v>10.680160000000001</v>
      </c>
      <c r="X295" s="3">
        <v>1.6421410000000001</v>
      </c>
      <c r="Z295" s="3">
        <v>1.18093</v>
      </c>
      <c r="AA295" s="3">
        <v>3.8350770000000001</v>
      </c>
      <c r="AB295" s="3">
        <v>52.62809</v>
      </c>
      <c r="AC295" s="3">
        <v>0.86493010000000004</v>
      </c>
      <c r="AD295" s="3">
        <v>2.1315420000000002E-3</v>
      </c>
      <c r="AE295" s="3">
        <v>6.9179430000000002</v>
      </c>
      <c r="AF295" s="3">
        <v>38.9</v>
      </c>
      <c r="AG295" s="3">
        <v>6.3535940000000002</v>
      </c>
      <c r="AH295" s="3">
        <v>79.194999999999993</v>
      </c>
      <c r="AI295" s="3">
        <v>23.611709999999999</v>
      </c>
      <c r="AK295" s="3">
        <v>1.6970789999999999E-2</v>
      </c>
      <c r="AL295" s="3">
        <v>28.65241</v>
      </c>
      <c r="AM295" s="3">
        <v>15.624359999999999</v>
      </c>
      <c r="AN295" s="3">
        <v>8.6019179999999995</v>
      </c>
      <c r="AO295" s="3">
        <v>6.4237419999999998</v>
      </c>
      <c r="AQ295" s="3">
        <v>2.3472390000000001</v>
      </c>
      <c r="AV295" s="3">
        <v>15.894220000000001</v>
      </c>
      <c r="AW295" s="3">
        <v>9.9478620000000001E-5</v>
      </c>
      <c r="AX295" s="3">
        <v>18.521879999999999</v>
      </c>
      <c r="AY295" s="3">
        <v>2.2078229999999999</v>
      </c>
    </row>
    <row r="296" spans="1:51" x14ac:dyDescent="0.2">
      <c r="A296" s="3" t="s">
        <v>193</v>
      </c>
      <c r="B296" s="49">
        <v>26816</v>
      </c>
      <c r="D296" s="3">
        <v>22.61431</v>
      </c>
      <c r="F296" s="3">
        <v>18.48828</v>
      </c>
      <c r="G296" s="3">
        <v>41.712910000000001</v>
      </c>
      <c r="H296" s="3">
        <v>6.1547900000000003E-3</v>
      </c>
      <c r="J296" s="3">
        <v>0.2103807</v>
      </c>
      <c r="M296" s="3">
        <v>35.293689999999998</v>
      </c>
      <c r="N296" s="3">
        <v>16.70187</v>
      </c>
      <c r="P296" s="3">
        <v>6.2544779999999998</v>
      </c>
      <c r="S296" s="3">
        <v>15.04819</v>
      </c>
      <c r="T296" s="3">
        <v>17.429549999999999</v>
      </c>
      <c r="V296" s="3">
        <v>19.351559999999999</v>
      </c>
      <c r="W296" s="3">
        <v>10.734159999999999</v>
      </c>
      <c r="X296" s="3">
        <v>1.6853549999999999</v>
      </c>
      <c r="Z296" s="3">
        <v>1.2434130000000001</v>
      </c>
      <c r="AA296" s="3">
        <v>3.918844</v>
      </c>
      <c r="AB296" s="3">
        <v>52.923189999999998</v>
      </c>
      <c r="AC296" s="3">
        <v>0.86493010000000004</v>
      </c>
      <c r="AD296" s="3">
        <v>2.1382570000000002E-3</v>
      </c>
      <c r="AE296" s="3">
        <v>6.9804199999999996</v>
      </c>
      <c r="AF296" s="3">
        <v>39</v>
      </c>
      <c r="AG296" s="3">
        <v>6.3389490000000004</v>
      </c>
      <c r="AH296" s="3">
        <v>80.269199999999998</v>
      </c>
      <c r="AI296" s="3">
        <v>23.641269999999999</v>
      </c>
      <c r="AK296" s="3">
        <v>1.7109949999999999E-2</v>
      </c>
      <c r="AL296" s="3">
        <v>28.718789999999998</v>
      </c>
      <c r="AM296" s="3">
        <v>15.7677</v>
      </c>
      <c r="AN296" s="3">
        <v>8.6617700000000006</v>
      </c>
      <c r="AO296" s="3">
        <v>6.4778900000000004</v>
      </c>
      <c r="AQ296" s="3">
        <v>2.353164</v>
      </c>
      <c r="AV296" s="3">
        <v>16.032820000000001</v>
      </c>
      <c r="AW296" s="3">
        <v>1.022396E-4</v>
      </c>
      <c r="AX296" s="3">
        <v>18.64845</v>
      </c>
      <c r="AY296" s="3">
        <v>2.2078229999999999</v>
      </c>
    </row>
    <row r="297" spans="1:51" x14ac:dyDescent="0.2">
      <c r="A297" s="3" t="s">
        <v>194</v>
      </c>
      <c r="B297" s="49">
        <v>26846</v>
      </c>
      <c r="D297" s="3">
        <v>22.712949999999999</v>
      </c>
      <c r="F297" s="3">
        <v>18.72531</v>
      </c>
      <c r="G297" s="3">
        <v>41.774380000000001</v>
      </c>
      <c r="H297" s="3">
        <v>7.0956609999999996E-3</v>
      </c>
      <c r="J297" s="3">
        <v>0.2220685</v>
      </c>
      <c r="M297" s="3">
        <v>35.424169999999997</v>
      </c>
      <c r="N297" s="3">
        <v>16.814150000000001</v>
      </c>
      <c r="P297" s="3">
        <v>6.3214100000000002</v>
      </c>
      <c r="S297" s="3">
        <v>15.433339999999999</v>
      </c>
      <c r="T297" s="3">
        <v>17.575769999999999</v>
      </c>
      <c r="V297" s="3">
        <v>19.43713</v>
      </c>
      <c r="W297" s="3">
        <v>10.782159999999999</v>
      </c>
      <c r="X297" s="3">
        <v>1.6421410000000001</v>
      </c>
      <c r="Z297" s="3">
        <v>1.3058959999999999</v>
      </c>
      <c r="AA297" s="3">
        <v>4.0863779999999998</v>
      </c>
      <c r="AB297" s="3">
        <v>52.923189999999998</v>
      </c>
      <c r="AC297" s="3">
        <v>0.88830659999999995</v>
      </c>
      <c r="AD297" s="3">
        <v>2.1745750000000002E-3</v>
      </c>
      <c r="AE297" s="3">
        <v>7.0201779999999996</v>
      </c>
      <c r="AF297" s="3">
        <v>39.299999999999997</v>
      </c>
      <c r="AG297" s="3">
        <v>6.3728999999999996</v>
      </c>
      <c r="AH297" s="3">
        <v>81.471100000000007</v>
      </c>
      <c r="AI297" s="3">
        <v>23.615189999999998</v>
      </c>
      <c r="AK297" s="3">
        <v>1.7548749999999998E-2</v>
      </c>
      <c r="AL297" s="3">
        <v>28.65241</v>
      </c>
      <c r="AM297" s="3">
        <v>15.83938</v>
      </c>
      <c r="AN297" s="3">
        <v>8.7117120000000003</v>
      </c>
      <c r="AO297" s="3">
        <v>6.5090579999999996</v>
      </c>
      <c r="AQ297" s="3">
        <v>2.3669880000000001</v>
      </c>
      <c r="AV297" s="3">
        <v>16.0915</v>
      </c>
      <c r="AW297" s="3">
        <v>1.025369E-4</v>
      </c>
      <c r="AX297" s="3">
        <v>18.690639999999998</v>
      </c>
      <c r="AY297" s="3">
        <v>2.253819</v>
      </c>
    </row>
    <row r="298" spans="1:51" x14ac:dyDescent="0.2">
      <c r="A298" s="3" t="s">
        <v>195</v>
      </c>
      <c r="B298" s="49">
        <v>26877</v>
      </c>
      <c r="D298" s="3">
        <v>22.817620000000002</v>
      </c>
      <c r="F298" s="3">
        <v>18.962340000000001</v>
      </c>
      <c r="G298" s="3">
        <v>41.925409999999999</v>
      </c>
      <c r="H298" s="3">
        <v>8.3062020000000004E-3</v>
      </c>
      <c r="J298" s="3">
        <v>0.2103807</v>
      </c>
      <c r="M298" s="3">
        <v>35.424169999999997</v>
      </c>
      <c r="N298" s="3">
        <v>16.917069999999999</v>
      </c>
      <c r="P298" s="3">
        <v>6.4253419999999997</v>
      </c>
      <c r="S298" s="3">
        <v>15.653420000000001</v>
      </c>
      <c r="T298" s="3">
        <v>17.69275</v>
      </c>
      <c r="V298" s="3">
        <v>19.65785</v>
      </c>
      <c r="W298" s="3">
        <v>10.81216</v>
      </c>
      <c r="X298" s="3">
        <v>1.663748</v>
      </c>
      <c r="Z298" s="3">
        <v>1.3058959999999999</v>
      </c>
      <c r="AA298" s="3">
        <v>4.1555770000000001</v>
      </c>
      <c r="AB298" s="3">
        <v>52.923189999999998</v>
      </c>
      <c r="AC298" s="3">
        <v>0.91168309999999997</v>
      </c>
      <c r="AD298" s="3">
        <v>2.1880150000000002E-3</v>
      </c>
      <c r="AE298" s="3">
        <v>7.0656160000000003</v>
      </c>
      <c r="AF298" s="3">
        <v>39.6</v>
      </c>
      <c r="AG298" s="3">
        <v>6.4368090000000002</v>
      </c>
      <c r="AH298" s="3">
        <v>82.327200000000005</v>
      </c>
      <c r="AI298" s="3">
        <v>23.64649</v>
      </c>
      <c r="AK298" s="3">
        <v>1.783038E-2</v>
      </c>
      <c r="AL298" s="3">
        <v>28.807289999999998</v>
      </c>
      <c r="AM298" s="3">
        <v>15.7677</v>
      </c>
      <c r="AN298" s="3">
        <v>8.8068580000000001</v>
      </c>
      <c r="AO298" s="3">
        <v>6.5437279999999998</v>
      </c>
      <c r="AQ298" s="3">
        <v>2.3936500000000001</v>
      </c>
      <c r="AV298" s="3">
        <v>16.133410000000001</v>
      </c>
      <c r="AW298" s="3">
        <v>1.036837E-4</v>
      </c>
      <c r="AX298" s="3">
        <v>19.028169999999999</v>
      </c>
      <c r="AY298" s="3">
        <v>2.253819</v>
      </c>
    </row>
    <row r="299" spans="1:51" x14ac:dyDescent="0.2">
      <c r="A299" s="3" t="s">
        <v>196</v>
      </c>
      <c r="B299" s="49">
        <v>26908</v>
      </c>
      <c r="D299" s="3">
        <v>22.92633</v>
      </c>
      <c r="F299" s="3">
        <v>19.041350000000001</v>
      </c>
      <c r="G299" s="3">
        <v>42.286299999999997</v>
      </c>
      <c r="H299" s="3">
        <v>9.7090010000000001E-3</v>
      </c>
      <c r="J299" s="3">
        <v>0.2220685</v>
      </c>
      <c r="M299" s="3">
        <v>35.424169999999997</v>
      </c>
      <c r="N299" s="3">
        <v>17.094850000000001</v>
      </c>
      <c r="P299" s="3">
        <v>6.5363490000000004</v>
      </c>
      <c r="S299" s="3">
        <v>15.77722</v>
      </c>
      <c r="T299" s="3">
        <v>17.853590000000001</v>
      </c>
      <c r="V299" s="3">
        <v>19.785810000000001</v>
      </c>
      <c r="W299" s="3">
        <v>10.908160000000001</v>
      </c>
      <c r="X299" s="3">
        <v>1.7501770000000001</v>
      </c>
      <c r="Z299" s="3">
        <v>1.349634</v>
      </c>
      <c r="AA299" s="3">
        <v>4.1737880000000001</v>
      </c>
      <c r="AB299" s="3">
        <v>53.218310000000002</v>
      </c>
      <c r="AC299" s="3">
        <v>0.91168309999999997</v>
      </c>
      <c r="AD299" s="3">
        <v>2.2243330000000002E-3</v>
      </c>
      <c r="AE299" s="3">
        <v>7.1053740000000003</v>
      </c>
      <c r="AF299" s="3">
        <v>40.700000000000003</v>
      </c>
      <c r="AG299" s="3">
        <v>6.4907320000000004</v>
      </c>
      <c r="AH299" s="3">
        <v>82.724199999999996</v>
      </c>
      <c r="AI299" s="3">
        <v>23.698650000000001</v>
      </c>
      <c r="AK299" s="3">
        <v>1.825444E-2</v>
      </c>
      <c r="AL299" s="3">
        <v>29.094919999999998</v>
      </c>
      <c r="AM299" s="3">
        <v>15.911049999999999</v>
      </c>
      <c r="AN299" s="3">
        <v>8.8833070000000003</v>
      </c>
      <c r="AO299" s="3">
        <v>6.6054219999999999</v>
      </c>
      <c r="AQ299" s="3">
        <v>2.462774</v>
      </c>
      <c r="AV299" s="3">
        <v>16.185939999999999</v>
      </c>
      <c r="AW299" s="3">
        <v>1.083986E-4</v>
      </c>
      <c r="AX299" s="3">
        <v>19.070360000000001</v>
      </c>
      <c r="AY299" s="3">
        <v>2.253819</v>
      </c>
    </row>
    <row r="300" spans="1:51" x14ac:dyDescent="0.2">
      <c r="A300" s="3" t="s">
        <v>197</v>
      </c>
      <c r="B300" s="49">
        <v>26938</v>
      </c>
      <c r="D300" s="3">
        <v>23.081330000000001</v>
      </c>
      <c r="F300" s="3">
        <v>19.120360000000002</v>
      </c>
      <c r="G300" s="3">
        <v>43.16086</v>
      </c>
      <c r="H300" s="3">
        <v>1.8210859999999999E-2</v>
      </c>
      <c r="J300" s="3">
        <v>0.2220685</v>
      </c>
      <c r="M300" s="3">
        <v>35.685119999999998</v>
      </c>
      <c r="N300" s="3">
        <v>17.291350000000001</v>
      </c>
      <c r="P300" s="3">
        <v>6.6397389999999996</v>
      </c>
      <c r="S300" s="3">
        <v>15.87351</v>
      </c>
      <c r="T300" s="3">
        <v>18.043679999999998</v>
      </c>
      <c r="V300" s="3">
        <v>19.961539999999999</v>
      </c>
      <c r="W300" s="3">
        <v>11.12416</v>
      </c>
      <c r="X300" s="3">
        <v>1.836605</v>
      </c>
      <c r="Z300" s="3">
        <v>1.387124</v>
      </c>
      <c r="AA300" s="3">
        <v>4.2721229999999997</v>
      </c>
      <c r="AB300" s="3">
        <v>53.218310000000002</v>
      </c>
      <c r="AC300" s="3">
        <v>0.93505950000000004</v>
      </c>
      <c r="AD300" s="3">
        <v>2.2646739999999999E-3</v>
      </c>
      <c r="AE300" s="3">
        <v>7.162172</v>
      </c>
      <c r="AF300" s="3">
        <v>40.9</v>
      </c>
      <c r="AG300" s="3">
        <v>6.500718</v>
      </c>
      <c r="AH300" s="3">
        <v>84.0625</v>
      </c>
      <c r="AI300" s="3">
        <v>23.86384</v>
      </c>
      <c r="AK300" s="3">
        <v>1.8488569999999999E-2</v>
      </c>
      <c r="AL300" s="3">
        <v>29.382549999999998</v>
      </c>
      <c r="AM300" s="3">
        <v>16.054390000000001</v>
      </c>
      <c r="AN300" s="3">
        <v>8.978237</v>
      </c>
      <c r="AO300" s="3">
        <v>6.6920510000000002</v>
      </c>
      <c r="AQ300" s="3">
        <v>2.510173</v>
      </c>
      <c r="AV300" s="3">
        <v>16.3536</v>
      </c>
      <c r="AW300" s="3">
        <v>1.110746E-4</v>
      </c>
      <c r="AX300" s="3">
        <v>19.239129999999999</v>
      </c>
      <c r="AY300" s="3">
        <v>2.2998150000000002</v>
      </c>
    </row>
    <row r="301" spans="1:51" x14ac:dyDescent="0.2">
      <c r="A301" s="3" t="s">
        <v>198</v>
      </c>
      <c r="B301" s="49">
        <v>26969</v>
      </c>
      <c r="D301" s="3">
        <v>23.224250000000001</v>
      </c>
      <c r="F301" s="3">
        <v>19.278379999999999</v>
      </c>
      <c r="G301" s="3">
        <v>44.06615</v>
      </c>
      <c r="H301" s="3">
        <v>1.9248709999999999E-2</v>
      </c>
      <c r="J301" s="3">
        <v>0.2337564</v>
      </c>
      <c r="M301" s="3">
        <v>36.141779999999997</v>
      </c>
      <c r="N301" s="3">
        <v>17.581410000000002</v>
      </c>
      <c r="P301" s="3">
        <v>6.6479010000000001</v>
      </c>
      <c r="S301" s="3">
        <v>15.96979</v>
      </c>
      <c r="T301" s="3">
        <v>18.204519999999999</v>
      </c>
      <c r="V301" s="3">
        <v>20.124459999999999</v>
      </c>
      <c r="W301" s="3">
        <v>11.208159999999999</v>
      </c>
      <c r="X301" s="3">
        <v>1.9446410000000001</v>
      </c>
      <c r="Z301" s="3">
        <v>1.4121170000000001</v>
      </c>
      <c r="AA301" s="3">
        <v>4.3558899999999996</v>
      </c>
      <c r="AB301" s="3">
        <v>53.218310000000002</v>
      </c>
      <c r="AC301" s="3">
        <v>0.95843610000000001</v>
      </c>
      <c r="AD301" s="3">
        <v>2.36419E-3</v>
      </c>
      <c r="AE301" s="3">
        <v>7.2473679999999998</v>
      </c>
      <c r="AF301" s="3">
        <v>41.2</v>
      </c>
      <c r="AG301" s="3">
        <v>6.5786069999999999</v>
      </c>
      <c r="AH301" s="3">
        <v>85.002200000000002</v>
      </c>
      <c r="AI301" s="3">
        <v>24.013380000000002</v>
      </c>
      <c r="AK301" s="3">
        <v>1.8716159999999999E-2</v>
      </c>
      <c r="AL301" s="3">
        <v>29.5153</v>
      </c>
      <c r="AM301" s="3">
        <v>16.19773</v>
      </c>
      <c r="AN301" s="3">
        <v>9.0558099999999992</v>
      </c>
      <c r="AO301" s="3">
        <v>6.7646959999999998</v>
      </c>
      <c r="AQ301" s="3">
        <v>2.5348600000000001</v>
      </c>
      <c r="AV301" s="3">
        <v>16.541930000000001</v>
      </c>
      <c r="AW301" s="3">
        <v>1.1230640000000001E-4</v>
      </c>
      <c r="AX301" s="3">
        <v>19.3657</v>
      </c>
      <c r="AY301" s="3">
        <v>2.2998150000000002</v>
      </c>
    </row>
    <row r="302" spans="1:51" x14ac:dyDescent="0.2">
      <c r="A302" s="3" t="s">
        <v>199</v>
      </c>
      <c r="B302" s="49">
        <v>26999</v>
      </c>
      <c r="D302" s="3">
        <v>23.514130000000002</v>
      </c>
      <c r="F302" s="3">
        <v>19.357389999999999</v>
      </c>
      <c r="G302" s="3">
        <v>44.729979999999998</v>
      </c>
      <c r="H302" s="3">
        <v>2.0162360000000001E-2</v>
      </c>
      <c r="J302" s="3">
        <v>0.2337564</v>
      </c>
      <c r="M302" s="3">
        <v>36.467970000000001</v>
      </c>
      <c r="N302" s="3">
        <v>17.85275</v>
      </c>
      <c r="P302" s="3">
        <v>6.7202729999999997</v>
      </c>
      <c r="S302" s="3">
        <v>16.176120000000001</v>
      </c>
      <c r="T302" s="3">
        <v>18.3215</v>
      </c>
      <c r="V302" s="3">
        <v>20.343869999999999</v>
      </c>
      <c r="W302" s="3">
        <v>11.292160000000001</v>
      </c>
      <c r="X302" s="3">
        <v>2.0094620000000001</v>
      </c>
      <c r="Z302" s="3">
        <v>1.4621029999999999</v>
      </c>
      <c r="AA302" s="3">
        <v>4.3741000000000003</v>
      </c>
      <c r="AB302" s="3">
        <v>53.218310000000002</v>
      </c>
      <c r="AC302" s="3">
        <v>0.98181249999999998</v>
      </c>
      <c r="AD302" s="3">
        <v>2.4273989999999998E-3</v>
      </c>
      <c r="AE302" s="3">
        <v>7.3496040000000002</v>
      </c>
      <c r="AF302" s="3">
        <v>42.6</v>
      </c>
      <c r="AG302" s="3">
        <v>6.7650069999999998</v>
      </c>
      <c r="AH302" s="3">
        <v>85.864900000000006</v>
      </c>
      <c r="AI302" s="3">
        <v>24.235949999999999</v>
      </c>
      <c r="AK302" s="3">
        <v>1.9443129999999999E-2</v>
      </c>
      <c r="AL302" s="3">
        <v>29.670179999999998</v>
      </c>
      <c r="AM302" s="3">
        <v>16.269410000000001</v>
      </c>
      <c r="AN302" s="3">
        <v>9.1670169999999995</v>
      </c>
      <c r="AO302" s="3">
        <v>6.836703</v>
      </c>
      <c r="AQ302" s="3">
        <v>2.6316329999999999</v>
      </c>
      <c r="AV302" s="3">
        <v>16.642520000000001</v>
      </c>
      <c r="AW302" s="3">
        <v>1.140479E-4</v>
      </c>
      <c r="AX302" s="3">
        <v>19.492270000000001</v>
      </c>
      <c r="AY302" s="3">
        <v>2.2998150000000002</v>
      </c>
    </row>
    <row r="303" spans="1:51" x14ac:dyDescent="0.2">
      <c r="A303" s="3" t="s">
        <v>200</v>
      </c>
      <c r="B303" s="49">
        <v>27030</v>
      </c>
      <c r="D303" s="3">
        <v>23.77985</v>
      </c>
      <c r="F303" s="3">
        <v>19.515409999999999</v>
      </c>
      <c r="G303" s="3">
        <v>45.091740000000001</v>
      </c>
      <c r="H303" s="3">
        <v>2.3008790000000001E-2</v>
      </c>
      <c r="J303" s="3">
        <v>0.2337564</v>
      </c>
      <c r="M303" s="3">
        <v>36.728920000000002</v>
      </c>
      <c r="N303" s="3">
        <v>18.17089</v>
      </c>
      <c r="P303" s="3">
        <v>6.759995</v>
      </c>
      <c r="S303" s="3">
        <v>16.29992</v>
      </c>
      <c r="T303" s="3">
        <v>18.62856</v>
      </c>
      <c r="V303" s="3">
        <v>20.64218</v>
      </c>
      <c r="W303" s="3">
        <v>11.50817</v>
      </c>
      <c r="X303" s="3">
        <v>2.0526759999999999</v>
      </c>
      <c r="Z303" s="3">
        <v>1.612063</v>
      </c>
      <c r="AA303" s="3">
        <v>4.4396570000000004</v>
      </c>
      <c r="AB303" s="3">
        <v>53.218310000000002</v>
      </c>
      <c r="AC303" s="3">
        <v>1.0285660000000001</v>
      </c>
      <c r="AD303" s="3">
        <v>2.5134649999999999E-3</v>
      </c>
      <c r="AE303" s="3">
        <v>7.4688790000000003</v>
      </c>
      <c r="AF303" s="3">
        <v>44.4</v>
      </c>
      <c r="AG303" s="3">
        <v>7.0545939999999998</v>
      </c>
      <c r="AH303" s="3">
        <v>86.928399999999996</v>
      </c>
      <c r="AI303" s="3">
        <v>24.467220000000001</v>
      </c>
      <c r="AK303" s="3">
        <v>2.0138989999999999E-2</v>
      </c>
      <c r="AL303" s="3">
        <v>29.891439999999999</v>
      </c>
      <c r="AM303" s="3">
        <v>16.556090000000001</v>
      </c>
      <c r="AN303" s="3">
        <v>9.3098589999999994</v>
      </c>
      <c r="AO303" s="3">
        <v>6.9247360000000002</v>
      </c>
      <c r="AQ303" s="3">
        <v>2.6711320000000001</v>
      </c>
      <c r="AV303" s="3">
        <v>16.843150000000001</v>
      </c>
      <c r="AW303" s="3">
        <v>1.151522E-4</v>
      </c>
      <c r="AX303" s="3">
        <v>19.66104</v>
      </c>
      <c r="AY303" s="3">
        <v>2.345812</v>
      </c>
    </row>
    <row r="304" spans="1:51" x14ac:dyDescent="0.2">
      <c r="A304" s="3" t="s">
        <v>201</v>
      </c>
      <c r="B304" s="49">
        <v>27061</v>
      </c>
      <c r="D304" s="3">
        <v>24.08784</v>
      </c>
      <c r="F304" s="3">
        <v>19.67343</v>
      </c>
      <c r="G304" s="3">
        <v>44.760710000000003</v>
      </c>
      <c r="H304" s="3">
        <v>2.86404E-2</v>
      </c>
      <c r="J304" s="3">
        <v>0.2337564</v>
      </c>
      <c r="M304" s="3">
        <v>37.055109999999999</v>
      </c>
      <c r="N304" s="3">
        <v>18.227029999999999</v>
      </c>
      <c r="P304" s="3">
        <v>6.7828499999999998</v>
      </c>
      <c r="S304" s="3">
        <v>16.767600000000002</v>
      </c>
      <c r="T304" s="3">
        <v>18.877140000000001</v>
      </c>
      <c r="V304" s="3">
        <v>20.96425</v>
      </c>
      <c r="W304" s="3">
        <v>11.703810000000001</v>
      </c>
      <c r="X304" s="3">
        <v>2.031069</v>
      </c>
      <c r="Z304" s="3">
        <v>1.6682969999999999</v>
      </c>
      <c r="AA304" s="3">
        <v>4.4906449999999998</v>
      </c>
      <c r="AB304" s="3">
        <v>53.218310000000002</v>
      </c>
      <c r="AC304" s="3">
        <v>1.075318</v>
      </c>
      <c r="AD304" s="3">
        <v>2.71653E-3</v>
      </c>
      <c r="AE304" s="3">
        <v>7.6279120000000002</v>
      </c>
      <c r="AF304" s="3">
        <v>45.8</v>
      </c>
      <c r="AG304" s="3">
        <v>7.4267289999999999</v>
      </c>
      <c r="AH304" s="3">
        <v>87.626499999999993</v>
      </c>
      <c r="AI304" s="3">
        <v>24.926269999999999</v>
      </c>
      <c r="AK304" s="3">
        <v>2.059416E-2</v>
      </c>
      <c r="AL304" s="3">
        <v>30.179069999999999</v>
      </c>
      <c r="AM304" s="3">
        <v>16.69943</v>
      </c>
      <c r="AN304" s="3">
        <v>9.4481760000000001</v>
      </c>
      <c r="AO304" s="3">
        <v>7.0099239999999998</v>
      </c>
      <c r="AQ304" s="3">
        <v>2.84388</v>
      </c>
      <c r="AV304" s="3">
        <v>17.26285</v>
      </c>
      <c r="AW304" s="3">
        <v>1.150673E-4</v>
      </c>
      <c r="AX304" s="3">
        <v>19.914180000000002</v>
      </c>
      <c r="AY304" s="3">
        <v>2.345812</v>
      </c>
    </row>
    <row r="305" spans="1:51" x14ac:dyDescent="0.2">
      <c r="A305" s="3" t="s">
        <v>202</v>
      </c>
      <c r="B305" s="49">
        <v>27089</v>
      </c>
      <c r="D305" s="3">
        <v>24.389800000000001</v>
      </c>
      <c r="F305" s="3">
        <v>19.91046</v>
      </c>
      <c r="G305" s="3">
        <v>44.970570000000002</v>
      </c>
      <c r="H305" s="3">
        <v>3.2709290000000002E-2</v>
      </c>
      <c r="J305" s="3">
        <v>0.2454442</v>
      </c>
      <c r="M305" s="3">
        <v>37.120350000000002</v>
      </c>
      <c r="N305" s="3">
        <v>18.386089999999999</v>
      </c>
      <c r="P305" s="3">
        <v>6.9303150000000002</v>
      </c>
      <c r="S305" s="3">
        <v>16.918900000000001</v>
      </c>
      <c r="T305" s="3">
        <v>19.09647</v>
      </c>
      <c r="V305" s="3">
        <v>21.198920000000001</v>
      </c>
      <c r="W305" s="3">
        <v>11.80738</v>
      </c>
      <c r="X305" s="3">
        <v>2.0958899999999998</v>
      </c>
      <c r="Z305" s="3">
        <v>1.6932910000000001</v>
      </c>
      <c r="AA305" s="3">
        <v>4.6254010000000001</v>
      </c>
      <c r="AB305" s="3">
        <v>53.611789999999999</v>
      </c>
      <c r="AC305" s="3">
        <v>1.122072</v>
      </c>
      <c r="AD305" s="3">
        <v>2.7891560000000001E-3</v>
      </c>
      <c r="AE305" s="3">
        <v>7.8267040000000003</v>
      </c>
      <c r="AF305" s="3">
        <v>46.1</v>
      </c>
      <c r="AG305" s="3">
        <v>7.7063290000000002</v>
      </c>
      <c r="AH305" s="3">
        <v>88.172499999999999</v>
      </c>
      <c r="AI305" s="3">
        <v>25.091460000000001</v>
      </c>
      <c r="AK305" s="3">
        <v>2.0752989999999999E-2</v>
      </c>
      <c r="AL305" s="3">
        <v>30.621580000000002</v>
      </c>
      <c r="AM305" s="3">
        <v>16.842780000000001</v>
      </c>
      <c r="AN305" s="3">
        <v>9.5655029999999996</v>
      </c>
      <c r="AO305" s="3">
        <v>7.108784</v>
      </c>
      <c r="AQ305" s="3">
        <v>2.942593</v>
      </c>
      <c r="AV305" s="3">
        <v>17.417090000000002</v>
      </c>
      <c r="AW305" s="3">
        <v>1.214812E-4</v>
      </c>
      <c r="AX305" s="3">
        <v>20.16733</v>
      </c>
      <c r="AY305" s="3">
        <v>2.3918080000000002</v>
      </c>
    </row>
    <row r="306" spans="1:51" x14ac:dyDescent="0.2">
      <c r="A306" s="3" t="s">
        <v>203</v>
      </c>
      <c r="B306" s="49">
        <v>27120</v>
      </c>
      <c r="D306" s="3">
        <v>24.738050000000001</v>
      </c>
      <c r="F306" s="3">
        <v>20.068480000000001</v>
      </c>
      <c r="G306" s="3">
        <v>44.699249999999999</v>
      </c>
      <c r="H306" s="3">
        <v>3.7717340000000002E-2</v>
      </c>
      <c r="J306" s="3">
        <v>0.25713200000000003</v>
      </c>
      <c r="M306" s="3">
        <v>37.381300000000003</v>
      </c>
      <c r="N306" s="3">
        <v>18.694859999999998</v>
      </c>
      <c r="P306" s="3">
        <v>7.0821329999999998</v>
      </c>
      <c r="S306" s="3">
        <v>17.345310000000001</v>
      </c>
      <c r="T306" s="3">
        <v>19.40353</v>
      </c>
      <c r="V306" s="3">
        <v>21.439620000000001</v>
      </c>
      <c r="W306" s="3">
        <v>12.21017</v>
      </c>
      <c r="X306" s="3">
        <v>2.1174970000000002</v>
      </c>
      <c r="Z306" s="3">
        <v>1.762022</v>
      </c>
      <c r="AA306" s="3">
        <v>4.7601570000000004</v>
      </c>
      <c r="AB306" s="3">
        <v>53.611789999999999</v>
      </c>
      <c r="AC306" s="3">
        <v>1.1922010000000001</v>
      </c>
      <c r="AD306" s="3">
        <v>2.8644629999999998E-3</v>
      </c>
      <c r="AE306" s="3">
        <v>7.9232589999999998</v>
      </c>
      <c r="AF306" s="3">
        <v>47.3</v>
      </c>
      <c r="AG306" s="3">
        <v>7.8487929999999997</v>
      </c>
      <c r="AH306" s="3">
        <v>88.537000000000006</v>
      </c>
      <c r="AI306" s="3">
        <v>25.416630000000001</v>
      </c>
      <c r="AK306" s="3">
        <v>2.1034600000000001E-2</v>
      </c>
      <c r="AL306" s="3">
        <v>31.019829999999999</v>
      </c>
      <c r="AM306" s="3">
        <v>16.98612</v>
      </c>
      <c r="AN306" s="3">
        <v>9.6821120000000001</v>
      </c>
      <c r="AO306" s="3">
        <v>7.2138109999999998</v>
      </c>
      <c r="AQ306" s="3">
        <v>2.9190900000000002</v>
      </c>
      <c r="AV306" s="3">
        <v>17.32264</v>
      </c>
      <c r="AW306" s="3">
        <v>1.233501E-4</v>
      </c>
      <c r="AX306" s="3">
        <v>20.251709999999999</v>
      </c>
      <c r="AY306" s="3">
        <v>2.3918080000000002</v>
      </c>
    </row>
    <row r="307" spans="1:51" x14ac:dyDescent="0.2">
      <c r="A307" s="3" t="s">
        <v>204</v>
      </c>
      <c r="B307" s="49">
        <v>27150</v>
      </c>
      <c r="D307" s="3">
        <v>25.100390000000001</v>
      </c>
      <c r="F307" s="3">
        <v>20.463519999999999</v>
      </c>
      <c r="G307" s="3">
        <v>45.48424</v>
      </c>
      <c r="H307" s="3">
        <v>4.0989119999999997E-2</v>
      </c>
      <c r="J307" s="3">
        <v>0.25713200000000003</v>
      </c>
      <c r="M307" s="3">
        <v>37.577010000000001</v>
      </c>
      <c r="N307" s="3">
        <v>18.938140000000001</v>
      </c>
      <c r="P307" s="3">
        <v>7.1713740000000001</v>
      </c>
      <c r="S307" s="3">
        <v>17.52413</v>
      </c>
      <c r="T307" s="3">
        <v>19.63749</v>
      </c>
      <c r="V307" s="3">
        <v>21.676600000000001</v>
      </c>
      <c r="W307" s="3">
        <v>12.38279</v>
      </c>
      <c r="X307" s="3">
        <v>2.1607120000000002</v>
      </c>
      <c r="Z307" s="3">
        <v>1.762022</v>
      </c>
      <c r="AA307" s="3">
        <v>4.9459010000000001</v>
      </c>
      <c r="AB307" s="3">
        <v>53.611789999999999</v>
      </c>
      <c r="AC307" s="3">
        <v>1.2155769999999999</v>
      </c>
      <c r="AD307" s="3">
        <v>2.941122E-3</v>
      </c>
      <c r="AE307" s="3">
        <v>8.0368549999999992</v>
      </c>
      <c r="AF307" s="3">
        <v>47.5</v>
      </c>
      <c r="AG307" s="3">
        <v>7.8880699999999999</v>
      </c>
      <c r="AH307" s="3">
        <v>88.680700000000002</v>
      </c>
      <c r="AI307" s="3">
        <v>25.646149999999999</v>
      </c>
      <c r="AK307" s="3">
        <v>2.119998E-2</v>
      </c>
      <c r="AL307" s="3">
        <v>31.174710000000001</v>
      </c>
      <c r="AM307" s="3">
        <v>16.98612</v>
      </c>
      <c r="AN307" s="3">
        <v>9.7843660000000003</v>
      </c>
      <c r="AO307" s="3">
        <v>7.2910250000000003</v>
      </c>
      <c r="AQ307" s="3">
        <v>2.9461189999999999</v>
      </c>
      <c r="AV307" s="3">
        <v>17.251110000000001</v>
      </c>
      <c r="AW307" s="3">
        <v>1.2543140000000001E-4</v>
      </c>
      <c r="AX307" s="3">
        <v>20.504860000000001</v>
      </c>
      <c r="AY307" s="3">
        <v>2.4378039999999999</v>
      </c>
    </row>
    <row r="308" spans="1:51" x14ac:dyDescent="0.2">
      <c r="A308" s="3" t="s">
        <v>205</v>
      </c>
      <c r="B308" s="49">
        <v>27181</v>
      </c>
      <c r="D308" s="3">
        <v>25.45871</v>
      </c>
      <c r="F308" s="3">
        <v>20.62154</v>
      </c>
      <c r="G308" s="3">
        <v>45.725709999999999</v>
      </c>
      <c r="H308" s="3">
        <v>4.9519050000000002E-2</v>
      </c>
      <c r="J308" s="3">
        <v>0.25713200000000003</v>
      </c>
      <c r="M308" s="3">
        <v>37.70749</v>
      </c>
      <c r="N308" s="3">
        <v>19.265630000000002</v>
      </c>
      <c r="P308" s="3">
        <v>7.2023910000000004</v>
      </c>
      <c r="S308" s="3">
        <v>17.579149999999998</v>
      </c>
      <c r="T308" s="3">
        <v>19.856819999999999</v>
      </c>
      <c r="V308" s="3">
        <v>21.84909</v>
      </c>
      <c r="W308" s="3">
        <v>12.50938</v>
      </c>
      <c r="X308" s="3">
        <v>2.1823190000000001</v>
      </c>
      <c r="Z308" s="3">
        <v>1.780767</v>
      </c>
      <c r="AA308" s="3">
        <v>5.0624469999999997</v>
      </c>
      <c r="AB308" s="3">
        <v>53.9069</v>
      </c>
      <c r="AC308" s="3">
        <v>1.26233</v>
      </c>
      <c r="AD308" s="3">
        <v>2.9505289999999999E-3</v>
      </c>
      <c r="AE308" s="3">
        <v>8.1504499999999993</v>
      </c>
      <c r="AF308" s="3">
        <v>47.7</v>
      </c>
      <c r="AG308" s="3">
        <v>7.8288209999999996</v>
      </c>
      <c r="AH308" s="3">
        <v>89.126300000000001</v>
      </c>
      <c r="AI308" s="3">
        <v>25.70701</v>
      </c>
      <c r="AK308" s="3">
        <v>2.1409549999999999E-2</v>
      </c>
      <c r="AL308" s="3">
        <v>31.263210000000001</v>
      </c>
      <c r="AM308" s="3">
        <v>17.057790000000001</v>
      </c>
      <c r="AN308" s="3">
        <v>9.8595410000000001</v>
      </c>
      <c r="AO308" s="3">
        <v>7.3540010000000002</v>
      </c>
      <c r="AQ308" s="3">
        <v>2.9531700000000001</v>
      </c>
      <c r="AV308" s="3">
        <v>17.39753</v>
      </c>
      <c r="AW308" s="3">
        <v>1.275127E-4</v>
      </c>
      <c r="AX308" s="3">
        <v>20.67362</v>
      </c>
      <c r="AY308" s="3">
        <v>2.4838</v>
      </c>
    </row>
    <row r="309" spans="1:51" x14ac:dyDescent="0.2">
      <c r="A309" s="3" t="s">
        <v>206</v>
      </c>
      <c r="B309" s="49">
        <v>27211</v>
      </c>
      <c r="D309" s="3">
        <v>25.821059999999999</v>
      </c>
      <c r="F309" s="3">
        <v>20.77956</v>
      </c>
      <c r="G309" s="3">
        <v>45.876739999999998</v>
      </c>
      <c r="H309" s="3">
        <v>5.5218719999999999E-2</v>
      </c>
      <c r="J309" s="3">
        <v>0.25713200000000003</v>
      </c>
      <c r="M309" s="3">
        <v>37.837969999999999</v>
      </c>
      <c r="N309" s="3">
        <v>19.499549999999999</v>
      </c>
      <c r="P309" s="3">
        <v>7.2878230000000004</v>
      </c>
      <c r="S309" s="3">
        <v>17.936789999999998</v>
      </c>
      <c r="T309" s="3">
        <v>20.105399999999999</v>
      </c>
      <c r="V309" s="3">
        <v>22.081189999999999</v>
      </c>
      <c r="W309" s="3">
        <v>12.624459999999999</v>
      </c>
      <c r="X309" s="3">
        <v>2.1823190000000001</v>
      </c>
      <c r="Z309" s="3">
        <v>1.787015</v>
      </c>
      <c r="AA309" s="3">
        <v>5.2336239999999998</v>
      </c>
      <c r="AB309" s="3">
        <v>53.9069</v>
      </c>
      <c r="AC309" s="3">
        <v>1.355836</v>
      </c>
      <c r="AD309" s="3">
        <v>2.99088E-3</v>
      </c>
      <c r="AE309" s="3">
        <v>8.3151630000000001</v>
      </c>
      <c r="AF309" s="3">
        <v>48.7</v>
      </c>
      <c r="AG309" s="3">
        <v>8.0005760000000006</v>
      </c>
      <c r="AH309" s="3">
        <v>90.019300000000001</v>
      </c>
      <c r="AI309" s="3">
        <v>25.997399999999999</v>
      </c>
      <c r="AK309" s="3">
        <v>2.1718999999999999E-2</v>
      </c>
      <c r="AL309" s="3">
        <v>31.373840000000001</v>
      </c>
      <c r="AM309" s="3">
        <v>17.2728</v>
      </c>
      <c r="AN309" s="3">
        <v>9.9731710000000007</v>
      </c>
      <c r="AO309" s="3">
        <v>7.4272640000000001</v>
      </c>
      <c r="AQ309" s="3">
        <v>2.9778479999999998</v>
      </c>
      <c r="AV309" s="3">
        <v>17.44727</v>
      </c>
      <c r="AW309" s="3">
        <v>1.2908439999999999E-4</v>
      </c>
      <c r="AX309" s="3">
        <v>20.842390000000002</v>
      </c>
      <c r="AY309" s="3">
        <v>2.4838</v>
      </c>
    </row>
    <row r="310" spans="1:51" x14ac:dyDescent="0.2">
      <c r="A310" s="3" t="s">
        <v>207</v>
      </c>
      <c r="B310" s="49">
        <v>27242</v>
      </c>
      <c r="D310" s="3">
        <v>26.15119</v>
      </c>
      <c r="F310" s="3">
        <v>21.016590000000001</v>
      </c>
      <c r="G310" s="3">
        <v>46.328949999999999</v>
      </c>
      <c r="H310" s="3">
        <v>6.123485E-2</v>
      </c>
      <c r="J310" s="3">
        <v>0.25713200000000003</v>
      </c>
      <c r="M310" s="3">
        <v>37.903210000000001</v>
      </c>
      <c r="N310" s="3">
        <v>19.611830000000001</v>
      </c>
      <c r="P310" s="3">
        <v>7.40808</v>
      </c>
      <c r="S310" s="3">
        <v>18.198139999999999</v>
      </c>
      <c r="T310" s="3">
        <v>20.26624</v>
      </c>
      <c r="V310" s="3">
        <v>22.306660000000001</v>
      </c>
      <c r="W310" s="3">
        <v>12.63597</v>
      </c>
      <c r="X310" s="3">
        <v>2.1174970000000002</v>
      </c>
      <c r="Z310" s="3">
        <v>1.787015</v>
      </c>
      <c r="AA310" s="3">
        <v>5.4011579999999997</v>
      </c>
      <c r="AB310" s="3">
        <v>53.9069</v>
      </c>
      <c r="AC310" s="3">
        <v>1.4259660000000001</v>
      </c>
      <c r="AD310" s="3">
        <v>3.0056710000000001E-3</v>
      </c>
      <c r="AE310" s="3">
        <v>8.4969149999999996</v>
      </c>
      <c r="AF310" s="3">
        <v>49.2</v>
      </c>
      <c r="AG310" s="3">
        <v>8.2508850000000002</v>
      </c>
      <c r="AH310" s="3">
        <v>89.798599999999993</v>
      </c>
      <c r="AI310" s="3">
        <v>26.047820000000002</v>
      </c>
      <c r="AK310" s="3">
        <v>2.1948229999999999E-2</v>
      </c>
      <c r="AL310" s="3">
        <v>31.61722</v>
      </c>
      <c r="AM310" s="3">
        <v>17.344480000000001</v>
      </c>
      <c r="AN310" s="3">
        <v>10.074400000000001</v>
      </c>
      <c r="AO310" s="3">
        <v>7.4885020000000004</v>
      </c>
      <c r="AQ310" s="3">
        <v>3.083612</v>
      </c>
      <c r="AV310" s="3">
        <v>17.624980000000001</v>
      </c>
      <c r="AW310" s="3">
        <v>1.301462E-4</v>
      </c>
      <c r="AX310" s="3">
        <v>21.09553</v>
      </c>
      <c r="AY310" s="3">
        <v>2.5297969999999999</v>
      </c>
    </row>
    <row r="311" spans="1:51" x14ac:dyDescent="0.2">
      <c r="A311" s="3" t="s">
        <v>208</v>
      </c>
      <c r="B311" s="49">
        <v>27273</v>
      </c>
      <c r="D311" s="3">
        <v>26.505479999999999</v>
      </c>
      <c r="F311" s="3">
        <v>21.174610000000001</v>
      </c>
      <c r="G311" s="3">
        <v>47.082340000000002</v>
      </c>
      <c r="H311" s="3">
        <v>6.9073159999999995E-2</v>
      </c>
      <c r="J311" s="3">
        <v>0.2688198</v>
      </c>
      <c r="M311" s="3">
        <v>37.968440000000001</v>
      </c>
      <c r="N311" s="3">
        <v>19.939319999999999</v>
      </c>
      <c r="P311" s="3">
        <v>7.5245290000000002</v>
      </c>
      <c r="S311" s="3">
        <v>18.583279999999998</v>
      </c>
      <c r="T311" s="3">
        <v>20.485569999999999</v>
      </c>
      <c r="V311" s="3">
        <v>22.57038</v>
      </c>
      <c r="W311" s="3">
        <v>12.77407</v>
      </c>
      <c r="X311" s="3">
        <v>2.1823190000000001</v>
      </c>
      <c r="Z311" s="3">
        <v>1.824505</v>
      </c>
      <c r="AA311" s="3">
        <v>5.6196799999999998</v>
      </c>
      <c r="AB311" s="3">
        <v>54.300379999999997</v>
      </c>
      <c r="AC311" s="3">
        <v>1.4259660000000001</v>
      </c>
      <c r="AD311" s="3">
        <v>3.0648369999999999E-3</v>
      </c>
      <c r="AE311" s="3">
        <v>8.7411440000000002</v>
      </c>
      <c r="AF311" s="3">
        <v>49.8</v>
      </c>
      <c r="AG311" s="3">
        <v>8.3880219999999994</v>
      </c>
      <c r="AH311" s="3">
        <v>89.732200000000006</v>
      </c>
      <c r="AI311" s="3">
        <v>26.204319999999999</v>
      </c>
      <c r="AK311" s="3">
        <v>2.2197100000000001E-2</v>
      </c>
      <c r="AL311" s="3">
        <v>32.10398</v>
      </c>
      <c r="AM311" s="3">
        <v>17.487819999999999</v>
      </c>
      <c r="AN311" s="3">
        <v>10.1998</v>
      </c>
      <c r="AO311" s="3">
        <v>7.5929279999999997</v>
      </c>
      <c r="AQ311" s="3">
        <v>3.2328570000000001</v>
      </c>
      <c r="AV311" s="3">
        <v>17.777550000000002</v>
      </c>
      <c r="AW311" s="3">
        <v>1.3341690000000001E-4</v>
      </c>
      <c r="AX311" s="3">
        <v>21.348680000000002</v>
      </c>
      <c r="AY311" s="3">
        <v>2.575793</v>
      </c>
    </row>
    <row r="312" spans="1:51" x14ac:dyDescent="0.2">
      <c r="A312" s="3" t="s">
        <v>209</v>
      </c>
      <c r="B312" s="49">
        <v>27303</v>
      </c>
      <c r="D312" s="3">
        <v>26.73094</v>
      </c>
      <c r="F312" s="3">
        <v>21.411639999999998</v>
      </c>
      <c r="G312" s="3">
        <v>47.384399999999999</v>
      </c>
      <c r="H312" s="3">
        <v>8.2122849999999997E-2</v>
      </c>
      <c r="J312" s="3">
        <v>0.28050770000000003</v>
      </c>
      <c r="M312" s="3">
        <v>38.229399999999998</v>
      </c>
      <c r="N312" s="3">
        <v>20.201309999999999</v>
      </c>
      <c r="P312" s="3">
        <v>7.6045189999999998</v>
      </c>
      <c r="S312" s="3">
        <v>18.748339999999999</v>
      </c>
      <c r="T312" s="3">
        <v>20.73415</v>
      </c>
      <c r="V312" s="3">
        <v>22.867080000000001</v>
      </c>
      <c r="W312" s="3">
        <v>13.02725</v>
      </c>
      <c r="X312" s="3">
        <v>2.2039260000000001</v>
      </c>
      <c r="Z312" s="3">
        <v>1.8744909999999999</v>
      </c>
      <c r="AA312" s="3">
        <v>5.6342489999999996</v>
      </c>
      <c r="AB312" s="3">
        <v>54.300379999999997</v>
      </c>
      <c r="AC312" s="3">
        <v>1.496095</v>
      </c>
      <c r="AD312" s="3">
        <v>3.1414949999999998E-3</v>
      </c>
      <c r="AE312" s="3">
        <v>8.9058569999999992</v>
      </c>
      <c r="AF312" s="3">
        <v>51</v>
      </c>
      <c r="AG312" s="3">
        <v>8.3094680000000007</v>
      </c>
      <c r="AH312" s="3">
        <v>92.161699999999996</v>
      </c>
      <c r="AI312" s="3">
        <v>26.451239999999999</v>
      </c>
      <c r="AK312" s="3">
        <v>2.2637529999999999E-2</v>
      </c>
      <c r="AL312" s="3">
        <v>32.524360000000001</v>
      </c>
      <c r="AM312" s="3">
        <v>17.702829999999999</v>
      </c>
      <c r="AN312" s="3">
        <v>10.33713</v>
      </c>
      <c r="AO312" s="3">
        <v>7.6919399999999998</v>
      </c>
      <c r="AQ312" s="3">
        <v>3.1447210000000001</v>
      </c>
      <c r="AV312" s="3">
        <v>18.328569999999999</v>
      </c>
      <c r="AW312" s="3">
        <v>1.361353E-4</v>
      </c>
      <c r="AX312" s="3">
        <v>21.559640000000002</v>
      </c>
      <c r="AY312" s="3">
        <v>2.575793</v>
      </c>
    </row>
    <row r="313" spans="1:51" x14ac:dyDescent="0.2">
      <c r="A313" s="3" t="s">
        <v>210</v>
      </c>
      <c r="B313" s="49">
        <v>27334</v>
      </c>
      <c r="D313" s="3">
        <v>27.01277</v>
      </c>
      <c r="F313" s="3">
        <v>21.569659999999999</v>
      </c>
      <c r="G313" s="3">
        <v>48.047339999999998</v>
      </c>
      <c r="H313" s="3">
        <v>9.0095579999999995E-2</v>
      </c>
      <c r="J313" s="3">
        <v>0.28050770000000003</v>
      </c>
      <c r="M313" s="3">
        <v>38.490349999999999</v>
      </c>
      <c r="N313" s="3">
        <v>20.482009999999999</v>
      </c>
      <c r="P313" s="3">
        <v>7.8145610000000003</v>
      </c>
      <c r="S313" s="3">
        <v>18.872140000000002</v>
      </c>
      <c r="T313" s="3">
        <v>20.924230000000001</v>
      </c>
      <c r="V313" s="3">
        <v>23.084309999999999</v>
      </c>
      <c r="W313" s="3">
        <v>13.25741</v>
      </c>
      <c r="X313" s="3">
        <v>2.2471399999999999</v>
      </c>
      <c r="Z313" s="3">
        <v>1.9119809999999999</v>
      </c>
      <c r="AA313" s="3">
        <v>5.5686920000000004</v>
      </c>
      <c r="AB313" s="3">
        <v>54.300379999999997</v>
      </c>
      <c r="AC313" s="3">
        <v>1.542848</v>
      </c>
      <c r="AD313" s="3">
        <v>3.5072850000000002E-3</v>
      </c>
      <c r="AE313" s="3">
        <v>9.0762499999999999</v>
      </c>
      <c r="AF313" s="3">
        <v>51.4</v>
      </c>
      <c r="AG313" s="3">
        <v>8.4219740000000005</v>
      </c>
      <c r="AH313" s="3">
        <v>92.415999999999997</v>
      </c>
      <c r="AI313" s="3">
        <v>26.75206</v>
      </c>
      <c r="AK313" s="3">
        <v>2.3266269999999999E-2</v>
      </c>
      <c r="AL313" s="3">
        <v>32.767740000000003</v>
      </c>
      <c r="AM313" s="3">
        <v>17.7745</v>
      </c>
      <c r="AN313" s="3">
        <v>10.44863</v>
      </c>
      <c r="AO313" s="3">
        <v>7.7944820000000004</v>
      </c>
      <c r="AQ313" s="3">
        <v>3.1082909999999999</v>
      </c>
      <c r="AV313" s="3">
        <v>18.49455</v>
      </c>
      <c r="AW313" s="3">
        <v>1.3906619999999999E-4</v>
      </c>
      <c r="AX313" s="3">
        <v>21.728400000000001</v>
      </c>
      <c r="AY313" s="3">
        <v>2.6217890000000001</v>
      </c>
    </row>
    <row r="314" spans="1:51" x14ac:dyDescent="0.2">
      <c r="A314" s="3" t="s">
        <v>211</v>
      </c>
      <c r="B314" s="49">
        <v>27364</v>
      </c>
      <c r="D314" s="3">
        <v>27.201989999999999</v>
      </c>
      <c r="F314" s="3">
        <v>21.80669</v>
      </c>
      <c r="G314" s="3">
        <v>48.107930000000003</v>
      </c>
      <c r="H314" s="3">
        <v>9.5949229999999996E-2</v>
      </c>
      <c r="J314" s="3">
        <v>0.28050770000000003</v>
      </c>
      <c r="M314" s="3">
        <v>38.555579999999999</v>
      </c>
      <c r="N314" s="3">
        <v>20.613009999999999</v>
      </c>
      <c r="P314" s="3">
        <v>7.9217589999999998</v>
      </c>
      <c r="S314" s="3">
        <v>18.913409999999999</v>
      </c>
      <c r="T314" s="3">
        <v>21.099699999999999</v>
      </c>
      <c r="V314" s="3">
        <v>23.25311</v>
      </c>
      <c r="W314" s="3">
        <v>13.453049999999999</v>
      </c>
      <c r="X314" s="3">
        <v>2.2687469999999998</v>
      </c>
      <c r="Z314" s="3">
        <v>1.955719</v>
      </c>
      <c r="AA314" s="3">
        <v>5.4849249999999996</v>
      </c>
      <c r="AB314" s="3">
        <v>54.693860000000001</v>
      </c>
      <c r="AC314" s="3">
        <v>1.589601</v>
      </c>
      <c r="AD314" s="3">
        <v>3.791043E-3</v>
      </c>
      <c r="AE314" s="3">
        <v>9.1500859999999999</v>
      </c>
      <c r="AF314" s="3">
        <v>51.6</v>
      </c>
      <c r="AG314" s="3">
        <v>8.5544519999999995</v>
      </c>
      <c r="AH314" s="3">
        <v>92.439300000000003</v>
      </c>
      <c r="AI314" s="3">
        <v>26.960719999999998</v>
      </c>
      <c r="AK314" s="3">
        <v>2.3448009999999998E-2</v>
      </c>
      <c r="AL314" s="3">
        <v>32.900489999999998</v>
      </c>
      <c r="AM314" s="3">
        <v>17.917850000000001</v>
      </c>
      <c r="AN314" s="3">
        <v>10.527290000000001</v>
      </c>
      <c r="AO314" s="3">
        <v>7.8579869999999996</v>
      </c>
      <c r="AQ314" s="3">
        <v>3.1200420000000002</v>
      </c>
      <c r="AV314" s="3">
        <v>18.56944</v>
      </c>
      <c r="AW314" s="3">
        <v>1.4212449999999999E-4</v>
      </c>
      <c r="AX314" s="3">
        <v>21.89716</v>
      </c>
      <c r="AY314" s="3">
        <v>2.6217890000000001</v>
      </c>
    </row>
    <row r="315" spans="1:51" x14ac:dyDescent="0.2">
      <c r="A315" s="3" t="s">
        <v>212</v>
      </c>
      <c r="B315" s="49">
        <v>27395</v>
      </c>
      <c r="D315" s="3">
        <v>27.495889999999999</v>
      </c>
      <c r="F315" s="3">
        <v>21.80669</v>
      </c>
      <c r="G315" s="3">
        <v>48.379249999999999</v>
      </c>
      <c r="H315" s="3">
        <v>0.1093145</v>
      </c>
      <c r="J315" s="3">
        <v>0.2921955</v>
      </c>
      <c r="M315" s="3">
        <v>38.947009999999999</v>
      </c>
      <c r="N315" s="3">
        <v>20.631720000000001</v>
      </c>
      <c r="P315" s="3">
        <v>8.0327660000000005</v>
      </c>
      <c r="S315" s="3">
        <v>19.436109999999999</v>
      </c>
      <c r="T315" s="3">
        <v>21.333649999999999</v>
      </c>
      <c r="V315" s="3">
        <v>23.447579999999999</v>
      </c>
      <c r="W315" s="3">
        <v>13.79829</v>
      </c>
      <c r="X315" s="3">
        <v>2.3119619999999999</v>
      </c>
      <c r="Z315" s="3">
        <v>1.974464</v>
      </c>
      <c r="AA315" s="3">
        <v>5.4849249999999996</v>
      </c>
      <c r="AB315" s="3">
        <v>54.693860000000001</v>
      </c>
      <c r="AC315" s="3">
        <v>1.6831069999999999</v>
      </c>
      <c r="AD315" s="3">
        <v>3.865009E-3</v>
      </c>
      <c r="AE315" s="3">
        <v>9.269361</v>
      </c>
      <c r="AF315" s="3">
        <v>52.2</v>
      </c>
      <c r="AG315" s="3">
        <v>8.8493639999999996</v>
      </c>
      <c r="AH315" s="3">
        <v>92.363399999999999</v>
      </c>
      <c r="AI315" s="3">
        <v>27.15025</v>
      </c>
      <c r="AK315" s="3">
        <v>2.374764E-2</v>
      </c>
      <c r="AL315" s="3">
        <v>33.210250000000002</v>
      </c>
      <c r="AM315" s="3">
        <v>18.419550000000001</v>
      </c>
      <c r="AN315" s="3">
        <v>10.63632</v>
      </c>
      <c r="AO315" s="3">
        <v>7.9693659999999999</v>
      </c>
      <c r="AQ315" s="3">
        <v>3.2634110000000001</v>
      </c>
      <c r="AV315" s="3">
        <v>18.49399</v>
      </c>
      <c r="AW315" s="3">
        <v>1.4339870000000001E-4</v>
      </c>
      <c r="AX315" s="3">
        <v>21.981549999999999</v>
      </c>
      <c r="AY315" s="3">
        <v>2.667786</v>
      </c>
    </row>
    <row r="316" spans="1:51" x14ac:dyDescent="0.2">
      <c r="A316" s="3" t="s">
        <v>213</v>
      </c>
      <c r="B316" s="49">
        <v>27426</v>
      </c>
      <c r="D316" s="3">
        <v>27.805900000000001</v>
      </c>
      <c r="F316" s="3">
        <v>22.04372</v>
      </c>
      <c r="G316" s="3">
        <v>48.530279999999998</v>
      </c>
      <c r="H316" s="3">
        <v>0.127391</v>
      </c>
      <c r="J316" s="3">
        <v>0.30388330000000002</v>
      </c>
      <c r="M316" s="3">
        <v>39.14273</v>
      </c>
      <c r="N316" s="3">
        <v>20.687860000000001</v>
      </c>
      <c r="P316" s="3">
        <v>8.1094910000000002</v>
      </c>
      <c r="S316" s="3">
        <v>19.724959999999999</v>
      </c>
      <c r="T316" s="3">
        <v>21.494499999999999</v>
      </c>
      <c r="V316" s="3">
        <v>23.629280000000001</v>
      </c>
      <c r="W316" s="3">
        <v>14.028460000000001</v>
      </c>
      <c r="X316" s="3">
        <v>2.3119619999999999</v>
      </c>
      <c r="Z316" s="3">
        <v>1.993209</v>
      </c>
      <c r="AA316" s="3">
        <v>5.4667139999999996</v>
      </c>
      <c r="AB316" s="3">
        <v>54.693860000000001</v>
      </c>
      <c r="AC316" s="3">
        <v>1.7532369999999999</v>
      </c>
      <c r="AD316" s="3">
        <v>3.922834E-3</v>
      </c>
      <c r="AE316" s="3">
        <v>9.4056759999999997</v>
      </c>
      <c r="AF316" s="3">
        <v>52.2</v>
      </c>
      <c r="AG316" s="3">
        <v>9.0091359999999998</v>
      </c>
      <c r="AH316" s="3">
        <v>92.217500000000001</v>
      </c>
      <c r="AI316" s="3">
        <v>27.548439999999999</v>
      </c>
      <c r="AK316" s="3">
        <v>2.387862E-2</v>
      </c>
      <c r="AL316" s="3">
        <v>33.298749999999998</v>
      </c>
      <c r="AM316" s="3">
        <v>18.491219999999998</v>
      </c>
      <c r="AN316" s="3">
        <v>10.72021</v>
      </c>
      <c r="AO316" s="3">
        <v>8.0497680000000003</v>
      </c>
      <c r="AQ316" s="3">
        <v>3.2128800000000002</v>
      </c>
      <c r="AV316" s="3">
        <v>18.6812</v>
      </c>
      <c r="AW316" s="3">
        <v>1.498126E-4</v>
      </c>
      <c r="AX316" s="3">
        <v>22.150310000000001</v>
      </c>
      <c r="AY316" s="3">
        <v>2.7137820000000001</v>
      </c>
    </row>
    <row r="317" spans="1:51" x14ac:dyDescent="0.2">
      <c r="A317" s="3" t="s">
        <v>214</v>
      </c>
      <c r="B317" s="49">
        <v>27454</v>
      </c>
      <c r="D317" s="3">
        <v>27.989080000000001</v>
      </c>
      <c r="F317" s="3">
        <v>22.122730000000001</v>
      </c>
      <c r="G317" s="3">
        <v>48.712040000000002</v>
      </c>
      <c r="H317" s="3">
        <v>0.15435289999999999</v>
      </c>
      <c r="J317" s="3">
        <v>0.31557109999999999</v>
      </c>
      <c r="M317" s="3">
        <v>39.338439999999999</v>
      </c>
      <c r="N317" s="3">
        <v>20.84693</v>
      </c>
      <c r="P317" s="3">
        <v>8.162274</v>
      </c>
      <c r="S317" s="3">
        <v>20.05509</v>
      </c>
      <c r="T317" s="3">
        <v>21.66996</v>
      </c>
      <c r="V317" s="3">
        <v>23.77167</v>
      </c>
      <c r="W317" s="3">
        <v>14.304650000000001</v>
      </c>
      <c r="X317" s="3">
        <v>2.39839</v>
      </c>
      <c r="Z317" s="3">
        <v>2.0306989999999998</v>
      </c>
      <c r="AA317" s="3">
        <v>5.4011579999999997</v>
      </c>
      <c r="AB317" s="3">
        <v>55.382449999999999</v>
      </c>
      <c r="AC317" s="3">
        <v>1.823366</v>
      </c>
      <c r="AD317" s="3">
        <v>4.0183170000000004E-3</v>
      </c>
      <c r="AE317" s="3">
        <v>9.4170350000000003</v>
      </c>
      <c r="AF317" s="3">
        <v>52.7</v>
      </c>
      <c r="AG317" s="3">
        <v>9.1788930000000004</v>
      </c>
      <c r="AH317" s="3">
        <v>91.900099999999995</v>
      </c>
      <c r="AI317" s="3">
        <v>27.731020000000001</v>
      </c>
      <c r="AK317" s="3">
        <v>2.4029249999999999E-2</v>
      </c>
      <c r="AL317" s="3">
        <v>33.785510000000002</v>
      </c>
      <c r="AM317" s="3">
        <v>18.706230000000001</v>
      </c>
      <c r="AN317" s="3">
        <v>10.79618</v>
      </c>
      <c r="AO317" s="3">
        <v>8.1288599999999995</v>
      </c>
      <c r="AQ317" s="3">
        <v>3.3762259999999999</v>
      </c>
      <c r="AV317" s="3">
        <v>18.787939999999999</v>
      </c>
      <c r="AW317" s="3">
        <v>1.5291330000000001E-4</v>
      </c>
      <c r="AX317" s="3">
        <v>22.234690000000001</v>
      </c>
      <c r="AY317" s="3">
        <v>2.7137820000000001</v>
      </c>
    </row>
    <row r="318" spans="1:51" x14ac:dyDescent="0.2">
      <c r="A318" s="3" t="s">
        <v>215</v>
      </c>
      <c r="B318" s="49">
        <v>27485</v>
      </c>
      <c r="D318" s="3">
        <v>28.301100000000002</v>
      </c>
      <c r="F318" s="3">
        <v>22.280750000000001</v>
      </c>
      <c r="G318" s="3">
        <v>48.832340000000002</v>
      </c>
      <c r="H318" s="3">
        <v>0.1864191</v>
      </c>
      <c r="J318" s="3">
        <v>0.31557109999999999</v>
      </c>
      <c r="M318" s="3">
        <v>39.664630000000002</v>
      </c>
      <c r="N318" s="3">
        <v>20.912420000000001</v>
      </c>
      <c r="P318" s="3">
        <v>8.30593</v>
      </c>
      <c r="S318" s="3">
        <v>20.4815</v>
      </c>
      <c r="T318" s="3">
        <v>21.860050000000001</v>
      </c>
      <c r="V318" s="3">
        <v>24.009620000000002</v>
      </c>
      <c r="W318" s="3">
        <v>14.857049999999999</v>
      </c>
      <c r="X318" s="3">
        <v>2.419997</v>
      </c>
      <c r="Z318" s="3">
        <v>2.0681889999999998</v>
      </c>
      <c r="AA318" s="3">
        <v>5.4339360000000001</v>
      </c>
      <c r="AB318" s="3">
        <v>55.382449999999999</v>
      </c>
      <c r="AC318" s="3">
        <v>1.8701190000000001</v>
      </c>
      <c r="AD318" s="3">
        <v>4.0868989999999997E-3</v>
      </c>
      <c r="AE318" s="3">
        <v>9.5419889999999992</v>
      </c>
      <c r="AF318" s="3">
        <v>53.6</v>
      </c>
      <c r="AG318" s="3">
        <v>9.4684799999999996</v>
      </c>
      <c r="AH318" s="3">
        <v>91.189400000000006</v>
      </c>
      <c r="AI318" s="3">
        <v>28.07357</v>
      </c>
      <c r="AK318" s="3">
        <v>2.4232279999999998E-2</v>
      </c>
      <c r="AL318" s="3">
        <v>34.205889999999997</v>
      </c>
      <c r="AM318" s="3">
        <v>18.84958</v>
      </c>
      <c r="AN318" s="3">
        <v>10.91203</v>
      </c>
      <c r="AO318" s="3">
        <v>8.2422009999999997</v>
      </c>
      <c r="AQ318" s="3">
        <v>3.345672</v>
      </c>
      <c r="AV318" s="3">
        <v>18.825949999999999</v>
      </c>
      <c r="AW318" s="3">
        <v>1.5350800000000001E-4</v>
      </c>
      <c r="AX318" s="3">
        <v>22.31907</v>
      </c>
      <c r="AY318" s="3">
        <v>2.7597779999999998</v>
      </c>
    </row>
    <row r="319" spans="1:51" x14ac:dyDescent="0.2">
      <c r="A319" s="3" t="s">
        <v>216</v>
      </c>
      <c r="B319" s="49">
        <v>27515</v>
      </c>
      <c r="D319" s="3">
        <v>28.538640000000001</v>
      </c>
      <c r="F319" s="3">
        <v>22.517779999999998</v>
      </c>
      <c r="G319" s="3">
        <v>49.194110000000002</v>
      </c>
      <c r="H319" s="3">
        <v>0.2161824</v>
      </c>
      <c r="J319" s="3">
        <v>0.32725890000000002</v>
      </c>
      <c r="M319" s="3">
        <v>39.860340000000001</v>
      </c>
      <c r="N319" s="3">
        <v>21.19313</v>
      </c>
      <c r="P319" s="3">
        <v>8.4082310000000007</v>
      </c>
      <c r="S319" s="3">
        <v>20.687830000000002</v>
      </c>
      <c r="T319" s="3">
        <v>22.020890000000001</v>
      </c>
      <c r="V319" s="3">
        <v>24.22644</v>
      </c>
      <c r="W319" s="3">
        <v>15.478490000000001</v>
      </c>
      <c r="X319" s="3">
        <v>2.419997</v>
      </c>
      <c r="Z319" s="3">
        <v>2.0869339999999998</v>
      </c>
      <c r="AA319" s="3">
        <v>5.4994930000000002</v>
      </c>
      <c r="AB319" s="3">
        <v>55.382449999999999</v>
      </c>
      <c r="AC319" s="3">
        <v>1.9168719999999999</v>
      </c>
      <c r="AD319" s="3">
        <v>4.1447330000000003E-3</v>
      </c>
      <c r="AE319" s="3">
        <v>9.6215060000000001</v>
      </c>
      <c r="AF319" s="3">
        <v>53.9</v>
      </c>
      <c r="AG319" s="3">
        <v>9.807995</v>
      </c>
      <c r="AH319" s="3">
        <v>91.004199999999997</v>
      </c>
      <c r="AI319" s="3">
        <v>28.245719999999999</v>
      </c>
      <c r="AK319" s="3">
        <v>2.455647E-2</v>
      </c>
      <c r="AL319" s="3">
        <v>34.40502</v>
      </c>
      <c r="AM319" s="3">
        <v>18.921250000000001</v>
      </c>
      <c r="AN319" s="3">
        <v>11.012079999999999</v>
      </c>
      <c r="AO319" s="3">
        <v>8.3438549999999996</v>
      </c>
      <c r="AQ319" s="3">
        <v>3.356249</v>
      </c>
      <c r="AV319" s="3">
        <v>19.124929999999999</v>
      </c>
      <c r="AW319" s="3">
        <v>1.5465490000000001E-4</v>
      </c>
      <c r="AX319" s="3">
        <v>22.445650000000001</v>
      </c>
      <c r="AY319" s="3">
        <v>2.7597779999999998</v>
      </c>
    </row>
    <row r="320" spans="1:51" x14ac:dyDescent="0.2">
      <c r="A320" s="3" t="s">
        <v>217</v>
      </c>
      <c r="B320" s="49">
        <v>27546</v>
      </c>
      <c r="D320" s="3">
        <v>28.641300000000001</v>
      </c>
      <c r="F320" s="3">
        <v>22.754809999999999</v>
      </c>
      <c r="G320" s="3">
        <v>49.374989999999997</v>
      </c>
      <c r="H320" s="3">
        <v>0.25891799999999998</v>
      </c>
      <c r="J320" s="3">
        <v>0.32725890000000002</v>
      </c>
      <c r="M320" s="3">
        <v>40.186529999999998</v>
      </c>
      <c r="N320" s="3">
        <v>21.314769999999999</v>
      </c>
      <c r="P320" s="3">
        <v>8.4310849999999995</v>
      </c>
      <c r="S320" s="3">
        <v>20.756609999999998</v>
      </c>
      <c r="T320" s="3">
        <v>22.181730000000002</v>
      </c>
      <c r="V320" s="3">
        <v>24.414339999999999</v>
      </c>
      <c r="W320" s="3">
        <v>15.777699999999999</v>
      </c>
      <c r="X320" s="3">
        <v>2.4416039999999999</v>
      </c>
      <c r="Z320" s="3">
        <v>2.0869339999999998</v>
      </c>
      <c r="AA320" s="3">
        <v>5.517703</v>
      </c>
      <c r="AB320" s="3">
        <v>55.972679999999997</v>
      </c>
      <c r="AC320" s="3">
        <v>2.0337550000000002</v>
      </c>
      <c r="AD320" s="3">
        <v>4.1299320000000002E-3</v>
      </c>
      <c r="AE320" s="3">
        <v>9.6953429999999994</v>
      </c>
      <c r="AF320" s="3">
        <v>53.9</v>
      </c>
      <c r="AG320" s="3">
        <v>9.9378100000000007</v>
      </c>
      <c r="AH320" s="3">
        <v>91.559899999999999</v>
      </c>
      <c r="AI320" s="3">
        <v>28.449159999999999</v>
      </c>
      <c r="AK320" s="3">
        <v>2.497398E-2</v>
      </c>
      <c r="AL320" s="3">
        <v>34.471400000000003</v>
      </c>
      <c r="AM320" s="3">
        <v>19.13626</v>
      </c>
      <c r="AN320" s="3">
        <v>11.0961</v>
      </c>
      <c r="AO320" s="3">
        <v>8.4161610000000007</v>
      </c>
      <c r="AQ320" s="3">
        <v>3.4573119999999999</v>
      </c>
      <c r="AV320" s="3">
        <v>19.244520000000001</v>
      </c>
      <c r="AW320" s="3">
        <v>1.5440000000000001E-4</v>
      </c>
      <c r="AX320" s="3">
        <v>22.614409999999999</v>
      </c>
      <c r="AY320" s="3">
        <v>2.8057750000000001</v>
      </c>
    </row>
    <row r="321" spans="1:51" x14ac:dyDescent="0.2">
      <c r="A321" s="3" t="s">
        <v>218</v>
      </c>
      <c r="B321" s="49">
        <v>27576</v>
      </c>
      <c r="D321" s="3">
        <v>28.917090000000002</v>
      </c>
      <c r="F321" s="3">
        <v>23.07084</v>
      </c>
      <c r="G321" s="3">
        <v>49.284550000000003</v>
      </c>
      <c r="H321" s="3">
        <v>0.28300120000000001</v>
      </c>
      <c r="J321" s="3">
        <v>0.32725890000000002</v>
      </c>
      <c r="M321" s="3">
        <v>40.186529999999998</v>
      </c>
      <c r="N321" s="3">
        <v>21.427050000000001</v>
      </c>
      <c r="P321" s="3">
        <v>8.5649460000000008</v>
      </c>
      <c r="S321" s="3">
        <v>21.086729999999999</v>
      </c>
      <c r="T321" s="3">
        <v>22.342580000000002</v>
      </c>
      <c r="V321" s="3">
        <v>24.60549</v>
      </c>
      <c r="W321" s="3">
        <v>15.93881</v>
      </c>
      <c r="X321" s="3">
        <v>2.419997</v>
      </c>
      <c r="Z321" s="3">
        <v>2.1056789999999999</v>
      </c>
      <c r="AA321" s="3">
        <v>5.4521470000000001</v>
      </c>
      <c r="AB321" s="3">
        <v>55.972679999999997</v>
      </c>
      <c r="AC321" s="3">
        <v>2.1038839999999999</v>
      </c>
      <c r="AD321" s="3">
        <v>4.1487659999999999E-3</v>
      </c>
      <c r="AE321" s="3">
        <v>9.7351019999999995</v>
      </c>
      <c r="AF321" s="3">
        <v>54</v>
      </c>
      <c r="AG321" s="3">
        <v>10.118220000000001</v>
      </c>
      <c r="AH321" s="3">
        <v>91.156400000000005</v>
      </c>
      <c r="AI321" s="3">
        <v>28.699560000000002</v>
      </c>
      <c r="AK321" s="3">
        <v>2.517374E-2</v>
      </c>
      <c r="AL321" s="3">
        <v>34.670529999999999</v>
      </c>
      <c r="AM321" s="3">
        <v>19.494620000000001</v>
      </c>
      <c r="AN321" s="3">
        <v>11.18515</v>
      </c>
      <c r="AO321" s="3">
        <v>8.4649889999999992</v>
      </c>
      <c r="AQ321" s="3">
        <v>3.4831660000000002</v>
      </c>
      <c r="AV321" s="3">
        <v>19.492090000000001</v>
      </c>
      <c r="AW321" s="3">
        <v>1.545699E-4</v>
      </c>
      <c r="AX321" s="3">
        <v>22.867560000000001</v>
      </c>
      <c r="AY321" s="3">
        <v>2.8517709999999998</v>
      </c>
    </row>
    <row r="322" spans="1:51" x14ac:dyDescent="0.2">
      <c r="A322" s="3" t="s">
        <v>219</v>
      </c>
      <c r="B322" s="49">
        <v>27607</v>
      </c>
      <c r="D322" s="3">
        <v>29.136510000000001</v>
      </c>
      <c r="F322" s="3">
        <v>23.307870000000001</v>
      </c>
      <c r="G322" s="3">
        <v>49.435580000000002</v>
      </c>
      <c r="H322" s="3">
        <v>0.30820649999999999</v>
      </c>
      <c r="J322" s="3">
        <v>0.32725890000000002</v>
      </c>
      <c r="M322" s="3">
        <v>40.121290000000002</v>
      </c>
      <c r="N322" s="3">
        <v>21.492540000000002</v>
      </c>
      <c r="P322" s="3">
        <v>8.6993510000000001</v>
      </c>
      <c r="S322" s="3">
        <v>21.34808</v>
      </c>
      <c r="T322" s="3">
        <v>22.488800000000001</v>
      </c>
      <c r="V322" s="3">
        <v>24.66385</v>
      </c>
      <c r="W322" s="3">
        <v>16.03088</v>
      </c>
      <c r="X322" s="3">
        <v>2.3767830000000001</v>
      </c>
      <c r="Z322" s="3">
        <v>2.1244239999999999</v>
      </c>
      <c r="AA322" s="3">
        <v>5.4011579999999997</v>
      </c>
      <c r="AB322" s="3">
        <v>55.972679999999997</v>
      </c>
      <c r="AC322" s="3">
        <v>2.1272600000000002</v>
      </c>
      <c r="AD322" s="3">
        <v>4.1501079999999996E-3</v>
      </c>
      <c r="AE322" s="3">
        <v>9.7975790000000007</v>
      </c>
      <c r="AF322" s="3">
        <v>53.9</v>
      </c>
      <c r="AG322" s="3">
        <v>10.337899999999999</v>
      </c>
      <c r="AH322" s="3">
        <v>91.176000000000002</v>
      </c>
      <c r="AI322" s="3">
        <v>28.817799999999998</v>
      </c>
      <c r="AK322" s="3">
        <v>2.5391500000000001E-2</v>
      </c>
      <c r="AL322" s="3">
        <v>35.002409999999998</v>
      </c>
      <c r="AM322" s="3">
        <v>19.42295</v>
      </c>
      <c r="AN322" s="3">
        <v>11.22214</v>
      </c>
      <c r="AO322" s="3">
        <v>8.5021570000000004</v>
      </c>
      <c r="AQ322" s="3">
        <v>3.4326340000000002</v>
      </c>
      <c r="AV322" s="3">
        <v>19.7011</v>
      </c>
      <c r="AW322" s="3">
        <v>1.5507960000000001E-4</v>
      </c>
      <c r="AX322" s="3">
        <v>22.909749999999999</v>
      </c>
      <c r="AY322" s="3">
        <v>2.8517709999999998</v>
      </c>
    </row>
    <row r="323" spans="1:51" x14ac:dyDescent="0.2">
      <c r="A323" s="3" t="s">
        <v>220</v>
      </c>
      <c r="B323" s="49">
        <v>27638</v>
      </c>
      <c r="D323" s="3">
        <v>29.386119999999998</v>
      </c>
      <c r="F323" s="3">
        <v>23.386880000000001</v>
      </c>
      <c r="G323" s="3">
        <v>49.615580000000001</v>
      </c>
      <c r="H323" s="3">
        <v>0.33664620000000001</v>
      </c>
      <c r="J323" s="3">
        <v>0.33894669999999999</v>
      </c>
      <c r="M323" s="3">
        <v>40.317010000000003</v>
      </c>
      <c r="N323" s="3">
        <v>21.689039999999999</v>
      </c>
      <c r="P323" s="3">
        <v>8.8375660000000007</v>
      </c>
      <c r="S323" s="3">
        <v>21.650690000000001</v>
      </c>
      <c r="T323" s="3">
        <v>22.678889999999999</v>
      </c>
      <c r="V323" s="3">
        <v>24.86412</v>
      </c>
      <c r="W323" s="3">
        <v>16.168980000000001</v>
      </c>
      <c r="X323" s="3">
        <v>2.4848180000000002</v>
      </c>
      <c r="Z323" s="3">
        <v>2.2056520000000002</v>
      </c>
      <c r="AA323" s="3">
        <v>5.368379</v>
      </c>
      <c r="AB323" s="3">
        <v>56.759639999999997</v>
      </c>
      <c r="AC323" s="3">
        <v>2.2207669999999999</v>
      </c>
      <c r="AD323" s="3">
        <v>4.2361739999999997E-3</v>
      </c>
      <c r="AE323" s="3">
        <v>9.8770950000000006</v>
      </c>
      <c r="AF323" s="3">
        <v>55.1</v>
      </c>
      <c r="AG323" s="3">
        <v>10.69739</v>
      </c>
      <c r="AH323" s="3">
        <v>90.882300000000001</v>
      </c>
      <c r="AI323" s="3">
        <v>29.035150000000002</v>
      </c>
      <c r="AK323" s="3">
        <v>2.5576519999999998E-2</v>
      </c>
      <c r="AL323" s="3">
        <v>35.444920000000003</v>
      </c>
      <c r="AM323" s="3">
        <v>19.709630000000001</v>
      </c>
      <c r="AN323" s="3">
        <v>11.3245</v>
      </c>
      <c r="AO323" s="3">
        <v>8.5844360000000002</v>
      </c>
      <c r="AQ323" s="3">
        <v>3.5901049999999999</v>
      </c>
      <c r="AV323" s="3">
        <v>19.75084</v>
      </c>
      <c r="AW323" s="3">
        <v>1.57076E-4</v>
      </c>
      <c r="AX323" s="3">
        <v>23.03632</v>
      </c>
      <c r="AY323" s="3">
        <v>2.897767</v>
      </c>
    </row>
    <row r="324" spans="1:51" x14ac:dyDescent="0.2">
      <c r="A324" s="3" t="s">
        <v>221</v>
      </c>
      <c r="B324" s="49">
        <v>27668</v>
      </c>
      <c r="D324" s="3">
        <v>29.720279999999999</v>
      </c>
      <c r="F324" s="3">
        <v>23.544899999999998</v>
      </c>
      <c r="G324" s="3">
        <v>49.677050000000001</v>
      </c>
      <c r="H324" s="3">
        <v>0.36496079999999997</v>
      </c>
      <c r="J324" s="3">
        <v>0.33894669999999999</v>
      </c>
      <c r="M324" s="3">
        <v>40.382240000000003</v>
      </c>
      <c r="N324" s="3">
        <v>21.136990000000001</v>
      </c>
      <c r="P324" s="3">
        <v>8.8375660000000007</v>
      </c>
      <c r="S324" s="3">
        <v>21.980820000000001</v>
      </c>
      <c r="T324" s="3">
        <v>22.85435</v>
      </c>
      <c r="V324" s="3">
        <v>25.052019999999999</v>
      </c>
      <c r="W324" s="3">
        <v>16.399139999999999</v>
      </c>
      <c r="X324" s="3">
        <v>2.5496400000000001</v>
      </c>
      <c r="Z324" s="3">
        <v>2.224396</v>
      </c>
      <c r="AA324" s="3">
        <v>5.3173899999999996</v>
      </c>
      <c r="AB324" s="3">
        <v>56.759639999999997</v>
      </c>
      <c r="AC324" s="3">
        <v>2.4077790000000001</v>
      </c>
      <c r="AD324" s="3">
        <v>4.5037990000000002E-3</v>
      </c>
      <c r="AE324" s="3">
        <v>9.9850100000000008</v>
      </c>
      <c r="AF324" s="3">
        <v>55.9</v>
      </c>
      <c r="AG324" s="3">
        <v>10.84718</v>
      </c>
      <c r="AH324" s="3">
        <v>92.031000000000006</v>
      </c>
      <c r="AI324" s="3">
        <v>29.488990000000001</v>
      </c>
      <c r="AK324" s="3">
        <v>2.5707500000000001E-2</v>
      </c>
      <c r="AL324" s="3">
        <v>35.754669999999997</v>
      </c>
      <c r="AM324" s="3">
        <v>19.781300000000002</v>
      </c>
      <c r="AN324" s="3">
        <v>11.420970000000001</v>
      </c>
      <c r="AO324" s="3">
        <v>8.6488230000000001</v>
      </c>
      <c r="AQ324" s="3">
        <v>3.5595509999999999</v>
      </c>
      <c r="AV324" s="3">
        <v>19.959849999999999</v>
      </c>
      <c r="AW324" s="3">
        <v>1.608139E-4</v>
      </c>
      <c r="AX324" s="3">
        <v>23.1629</v>
      </c>
      <c r="AY324" s="3">
        <v>2.897767</v>
      </c>
    </row>
    <row r="325" spans="1:51" x14ac:dyDescent="0.2">
      <c r="A325" s="3" t="s">
        <v>222</v>
      </c>
      <c r="B325" s="49">
        <v>27699</v>
      </c>
      <c r="D325" s="3">
        <v>30.04035</v>
      </c>
      <c r="F325" s="3">
        <v>23.781929999999999</v>
      </c>
      <c r="G325" s="3">
        <v>49.827199999999998</v>
      </c>
      <c r="H325" s="3">
        <v>0.39481939999999999</v>
      </c>
      <c r="J325" s="3">
        <v>0.33894669999999999</v>
      </c>
      <c r="M325" s="3">
        <v>40.512720000000002</v>
      </c>
      <c r="N325" s="3">
        <v>21.48319</v>
      </c>
      <c r="P325" s="3">
        <v>8.8952469999999995</v>
      </c>
      <c r="S325" s="3">
        <v>22.200900000000001</v>
      </c>
      <c r="T325" s="3">
        <v>23.00057</v>
      </c>
      <c r="V325" s="3">
        <v>25.20168</v>
      </c>
      <c r="W325" s="3">
        <v>16.59478</v>
      </c>
      <c r="X325" s="3">
        <v>2.592854</v>
      </c>
      <c r="Z325" s="3">
        <v>2.28688</v>
      </c>
      <c r="AA325" s="3">
        <v>5.2991809999999999</v>
      </c>
      <c r="AB325" s="3">
        <v>56.759639999999997</v>
      </c>
      <c r="AC325" s="3">
        <v>2.431155</v>
      </c>
      <c r="AD325" s="3">
        <v>4.6463479999999998E-3</v>
      </c>
      <c r="AE325" s="3">
        <v>10.098610000000001</v>
      </c>
      <c r="AF325" s="3">
        <v>55.6</v>
      </c>
      <c r="AG325" s="3">
        <v>10.767289999999999</v>
      </c>
      <c r="AH325" s="3">
        <v>91.980699999999999</v>
      </c>
      <c r="AI325" s="3">
        <v>29.721990000000002</v>
      </c>
      <c r="AK325" s="3">
        <v>2.5887609999999998E-2</v>
      </c>
      <c r="AL325" s="3">
        <v>35.843170000000001</v>
      </c>
      <c r="AM325" s="3">
        <v>19.92465</v>
      </c>
      <c r="AN325" s="3">
        <v>11.488670000000001</v>
      </c>
      <c r="AO325" s="3">
        <v>8.7150689999999997</v>
      </c>
      <c r="AQ325" s="3">
        <v>3.5666020000000001</v>
      </c>
      <c r="AV325" s="3">
        <v>20.163270000000001</v>
      </c>
      <c r="AW325" s="3">
        <v>1.6298009999999999E-4</v>
      </c>
      <c r="AX325" s="3">
        <v>23.331659999999999</v>
      </c>
      <c r="AY325" s="3">
        <v>2.9437630000000001</v>
      </c>
    </row>
    <row r="326" spans="1:51" x14ac:dyDescent="0.2">
      <c r="A326" s="3" t="s">
        <v>223</v>
      </c>
      <c r="B326" s="49">
        <v>27729</v>
      </c>
      <c r="D326" s="3">
        <v>30.2014</v>
      </c>
      <c r="F326" s="3">
        <v>23.860939999999999</v>
      </c>
      <c r="G326" s="3">
        <v>49.76661</v>
      </c>
      <c r="H326" s="3">
        <v>0.42284640000000001</v>
      </c>
      <c r="J326" s="3">
        <v>0.33894669999999999</v>
      </c>
      <c r="M326" s="3">
        <v>40.6432</v>
      </c>
      <c r="N326" s="3">
        <v>21.501899999999999</v>
      </c>
      <c r="P326" s="3">
        <v>9.0383589999999998</v>
      </c>
      <c r="S326" s="3">
        <v>22.338450000000002</v>
      </c>
      <c r="T326" s="3">
        <v>23.132169999999999</v>
      </c>
      <c r="V326" s="3">
        <v>25.311820000000001</v>
      </c>
      <c r="W326" s="3">
        <v>16.801929999999999</v>
      </c>
      <c r="X326" s="3">
        <v>2.6360679999999999</v>
      </c>
      <c r="Z326" s="3">
        <v>2.3368660000000001</v>
      </c>
      <c r="AA326" s="3">
        <v>5.1462139999999996</v>
      </c>
      <c r="AB326" s="3">
        <v>57.251489999999997</v>
      </c>
      <c r="AC326" s="3">
        <v>2.5012840000000001</v>
      </c>
      <c r="AD326" s="3">
        <v>4.682655E-3</v>
      </c>
      <c r="AE326" s="3">
        <v>10.17812</v>
      </c>
      <c r="AF326" s="3">
        <v>55.6</v>
      </c>
      <c r="AG326" s="3">
        <v>10.817220000000001</v>
      </c>
      <c r="AH326" s="3">
        <v>92.253</v>
      </c>
      <c r="AI326" s="3">
        <v>29.895879999999998</v>
      </c>
      <c r="AK326" s="3">
        <v>2.6098819999999998E-2</v>
      </c>
      <c r="AL326" s="3">
        <v>35.909550000000003</v>
      </c>
      <c r="AM326" s="3">
        <v>19.92465</v>
      </c>
      <c r="AN326" s="3">
        <v>11.551130000000001</v>
      </c>
      <c r="AO326" s="3">
        <v>8.7886980000000001</v>
      </c>
      <c r="AQ326" s="3">
        <v>3.788707</v>
      </c>
      <c r="AV326" s="3">
        <v>20.218599999999999</v>
      </c>
      <c r="AW326" s="3">
        <v>1.6523140000000001E-4</v>
      </c>
      <c r="AX326" s="3">
        <v>23.416039999999999</v>
      </c>
      <c r="AY326" s="3">
        <v>2.9437630000000001</v>
      </c>
    </row>
    <row r="327" spans="1:51" x14ac:dyDescent="0.2">
      <c r="A327" s="3" t="s">
        <v>224</v>
      </c>
      <c r="B327" s="49">
        <v>27760</v>
      </c>
      <c r="D327" s="3">
        <v>30.47315</v>
      </c>
      <c r="F327" s="3">
        <v>23.93995</v>
      </c>
      <c r="G327" s="3">
        <v>50.038809999999998</v>
      </c>
      <c r="H327" s="3">
        <v>0.46712690000000001</v>
      </c>
      <c r="J327" s="3">
        <v>0.33894669999999999</v>
      </c>
      <c r="K327" s="3">
        <v>0.49832120000000002</v>
      </c>
      <c r="M327" s="3">
        <v>40.969389999999997</v>
      </c>
      <c r="N327" s="3">
        <v>21.623539999999998</v>
      </c>
      <c r="P327" s="3">
        <v>9.1455559999999991</v>
      </c>
      <c r="S327" s="3">
        <v>22.792380000000001</v>
      </c>
      <c r="T327" s="3">
        <v>23.380749999999999</v>
      </c>
      <c r="V327" s="3">
        <v>25.492139999999999</v>
      </c>
      <c r="W327" s="3">
        <v>17.020579999999999</v>
      </c>
      <c r="X327" s="3">
        <v>2.6360679999999999</v>
      </c>
      <c r="Z327" s="3">
        <v>2.3868529999999999</v>
      </c>
      <c r="AA327" s="3">
        <v>5.0151000000000003</v>
      </c>
      <c r="AB327" s="3">
        <v>57.251489999999997</v>
      </c>
      <c r="AC327" s="3">
        <v>2.6181670000000001</v>
      </c>
      <c r="AD327" s="3">
        <v>4.7458639999999998E-3</v>
      </c>
      <c r="AE327" s="3">
        <v>10.28604</v>
      </c>
      <c r="AF327" s="3">
        <v>56.7</v>
      </c>
      <c r="AG327" s="3">
        <v>10.887119999999999</v>
      </c>
      <c r="AH327" s="3">
        <v>92.65</v>
      </c>
      <c r="AI327" s="3">
        <v>30.356670000000001</v>
      </c>
      <c r="AK327" s="3">
        <v>2.6603120000000001E-2</v>
      </c>
      <c r="AL327" s="3">
        <v>36.200809999999997</v>
      </c>
      <c r="AM327" s="3">
        <v>20.139659999999999</v>
      </c>
      <c r="AN327" s="3">
        <v>11.66297</v>
      </c>
      <c r="AO327" s="3">
        <v>8.9000939999999993</v>
      </c>
      <c r="AQ327" s="3">
        <v>4.0378400000000001</v>
      </c>
      <c r="AV327" s="3">
        <v>20.514230000000001</v>
      </c>
      <c r="AW327" s="3">
        <v>1.711355E-4</v>
      </c>
      <c r="AX327" s="3">
        <v>23.45823</v>
      </c>
      <c r="AY327" s="3">
        <v>2.9437630000000001</v>
      </c>
    </row>
    <row r="328" spans="1:51" x14ac:dyDescent="0.2">
      <c r="A328" s="3" t="s">
        <v>225</v>
      </c>
      <c r="B328" s="49">
        <v>27791</v>
      </c>
      <c r="D328" s="3">
        <v>30.5503</v>
      </c>
      <c r="F328" s="3">
        <v>24.09797</v>
      </c>
      <c r="G328" s="3">
        <v>50.00808</v>
      </c>
      <c r="H328" s="3">
        <v>0.51407429999999998</v>
      </c>
      <c r="J328" s="3">
        <v>0.35063450000000002</v>
      </c>
      <c r="K328" s="3">
        <v>0.50233989999999995</v>
      </c>
      <c r="M328" s="3">
        <v>41.230339999999998</v>
      </c>
      <c r="N328" s="3">
        <v>21.773250000000001</v>
      </c>
      <c r="P328" s="3">
        <v>9.2489450000000009</v>
      </c>
      <c r="S328" s="3">
        <v>23.081230000000001</v>
      </c>
      <c r="T328" s="3">
        <v>23.541589999999999</v>
      </c>
      <c r="V328" s="3">
        <v>25.667390000000001</v>
      </c>
      <c r="W328" s="3">
        <v>17.239239999999999</v>
      </c>
      <c r="X328" s="3">
        <v>2.6360679999999999</v>
      </c>
      <c r="Z328" s="3">
        <v>2.436839</v>
      </c>
      <c r="AA328" s="3">
        <v>4.8803450000000002</v>
      </c>
      <c r="AB328" s="3">
        <v>57.251489999999997</v>
      </c>
      <c r="AC328" s="3">
        <v>2.641543</v>
      </c>
      <c r="AD328" s="3">
        <v>4.7794789999999997E-3</v>
      </c>
      <c r="AE328" s="3">
        <v>10.51323</v>
      </c>
      <c r="AF328" s="3">
        <v>57.1</v>
      </c>
      <c r="AG328" s="3">
        <v>11.00695</v>
      </c>
      <c r="AH328" s="3">
        <v>92.817899999999995</v>
      </c>
      <c r="AI328" s="3">
        <v>30.501000000000001</v>
      </c>
      <c r="AK328" s="3">
        <v>2.7100860000000001E-2</v>
      </c>
      <c r="AL328" s="3">
        <v>36.542319999999997</v>
      </c>
      <c r="AM328" s="3">
        <v>20.283000000000001</v>
      </c>
      <c r="AN328" s="3">
        <v>11.746919999999999</v>
      </c>
      <c r="AO328" s="3">
        <v>8.9857119999999995</v>
      </c>
      <c r="AQ328" s="3">
        <v>3.8897699999999999</v>
      </c>
      <c r="AV328" s="3">
        <v>20.674060000000001</v>
      </c>
      <c r="AW328" s="3">
        <v>1.749159E-4</v>
      </c>
      <c r="AX328" s="3">
        <v>23.542619999999999</v>
      </c>
      <c r="AY328" s="3">
        <v>2.98976</v>
      </c>
    </row>
    <row r="329" spans="1:51" x14ac:dyDescent="0.2">
      <c r="A329" s="3" t="s">
        <v>226</v>
      </c>
      <c r="B329" s="49">
        <v>27820</v>
      </c>
      <c r="D329" s="3">
        <v>30.743169999999999</v>
      </c>
      <c r="F329" s="3">
        <v>24.17698</v>
      </c>
      <c r="G329" s="3">
        <v>49.917639999999999</v>
      </c>
      <c r="H329" s="3">
        <v>0.58370469999999997</v>
      </c>
      <c r="J329" s="3">
        <v>0.36232239999999999</v>
      </c>
      <c r="K329" s="3">
        <v>0.50133530000000004</v>
      </c>
      <c r="M329" s="3">
        <v>41.360810000000001</v>
      </c>
      <c r="N329" s="3">
        <v>22.71828</v>
      </c>
      <c r="P329" s="3">
        <v>9.4633409999999998</v>
      </c>
      <c r="S329" s="3">
        <v>23.32883</v>
      </c>
      <c r="T329" s="3">
        <v>23.746300000000002</v>
      </c>
      <c r="V329" s="3">
        <v>25.782</v>
      </c>
      <c r="W329" s="3">
        <v>17.331299999999999</v>
      </c>
      <c r="X329" s="3">
        <v>2.7224970000000002</v>
      </c>
      <c r="Z329" s="3">
        <v>2.436839</v>
      </c>
      <c r="AA329" s="3">
        <v>4.8111459999999999</v>
      </c>
      <c r="AB329" s="3">
        <v>57.743340000000003</v>
      </c>
      <c r="AC329" s="3">
        <v>2.7818019999999999</v>
      </c>
      <c r="AD329" s="3">
        <v>4.9516209999999998E-3</v>
      </c>
      <c r="AE329" s="3">
        <v>10.723380000000001</v>
      </c>
      <c r="AF329" s="3">
        <v>57.3</v>
      </c>
      <c r="AG329" s="3">
        <v>11.196680000000001</v>
      </c>
      <c r="AH329" s="3">
        <v>92.861099999999993</v>
      </c>
      <c r="AI329" s="3">
        <v>30.575769999999999</v>
      </c>
      <c r="AK329" s="3">
        <v>2.7366100000000001E-2</v>
      </c>
      <c r="AL329" s="3">
        <v>36.770000000000003</v>
      </c>
      <c r="AM329" s="3">
        <v>20.569690000000001</v>
      </c>
      <c r="AN329" s="3">
        <v>11.82025</v>
      </c>
      <c r="AO329" s="3">
        <v>9.082039</v>
      </c>
      <c r="AQ329" s="3">
        <v>3.9931839999999998</v>
      </c>
      <c r="AV329" s="3">
        <v>20.87189</v>
      </c>
      <c r="AW329" s="3">
        <v>1.7678480000000001E-4</v>
      </c>
      <c r="AX329" s="3">
        <v>23.584810000000001</v>
      </c>
      <c r="AY329" s="3">
        <v>3.0357560000000001</v>
      </c>
    </row>
    <row r="330" spans="1:51" x14ac:dyDescent="0.2">
      <c r="A330" s="3" t="s">
        <v>227</v>
      </c>
      <c r="B330" s="49">
        <v>27851</v>
      </c>
      <c r="D330" s="3">
        <v>31.026959999999999</v>
      </c>
      <c r="F330" s="3">
        <v>24.255990000000001</v>
      </c>
      <c r="G330" s="3">
        <v>49.917639999999999</v>
      </c>
      <c r="H330" s="3">
        <v>0.65316149999999995</v>
      </c>
      <c r="J330" s="3">
        <v>0.36232239999999999</v>
      </c>
      <c r="K330" s="3">
        <v>0.5043493</v>
      </c>
      <c r="M330" s="3">
        <v>41.556530000000002</v>
      </c>
      <c r="N330" s="3">
        <v>22.78378</v>
      </c>
      <c r="P330" s="3">
        <v>9.6548820000000006</v>
      </c>
      <c r="S330" s="3">
        <v>23.49389</v>
      </c>
      <c r="T330" s="3">
        <v>23.95101</v>
      </c>
      <c r="V330" s="3">
        <v>26.02835</v>
      </c>
      <c r="W330" s="3">
        <v>17.665040000000001</v>
      </c>
      <c r="X330" s="3">
        <v>2.7441040000000001</v>
      </c>
      <c r="Z330" s="3">
        <v>2.4493360000000002</v>
      </c>
      <c r="AA330" s="3">
        <v>4.8621340000000002</v>
      </c>
      <c r="AB330" s="3">
        <v>57.743340000000003</v>
      </c>
      <c r="AC330" s="3">
        <v>2.8519320000000001</v>
      </c>
      <c r="AD330" s="3">
        <v>5.2353790000000001E-3</v>
      </c>
      <c r="AE330" s="3">
        <v>11.00737</v>
      </c>
      <c r="AF330" s="3">
        <v>58.6</v>
      </c>
      <c r="AG330" s="3">
        <v>11.316509999999999</v>
      </c>
      <c r="AH330" s="3">
        <v>92.894999999999996</v>
      </c>
      <c r="AI330" s="3">
        <v>31.007000000000001</v>
      </c>
      <c r="AK330" s="3">
        <v>2.7557669999999999E-2</v>
      </c>
      <c r="AL330" s="3">
        <v>37.566870000000002</v>
      </c>
      <c r="AM330" s="3">
        <v>20.71303</v>
      </c>
      <c r="AN330" s="3">
        <v>11.93502</v>
      </c>
      <c r="AO330" s="3">
        <v>9.1885639999999995</v>
      </c>
      <c r="AQ330" s="3">
        <v>3.7734299999999998</v>
      </c>
      <c r="AV330" s="3">
        <v>21.027249999999999</v>
      </c>
      <c r="AW330" s="3">
        <v>1.770822E-4</v>
      </c>
      <c r="AX330" s="3">
        <v>23.66919</v>
      </c>
      <c r="AY330" s="3">
        <v>3.081753</v>
      </c>
    </row>
    <row r="331" spans="1:51" x14ac:dyDescent="0.2">
      <c r="A331" s="3" t="s">
        <v>228</v>
      </c>
      <c r="B331" s="49">
        <v>27881</v>
      </c>
      <c r="D331" s="3">
        <v>31.252890000000001</v>
      </c>
      <c r="F331" s="3">
        <v>24.414010000000001</v>
      </c>
      <c r="G331" s="3">
        <v>49.827199999999998</v>
      </c>
      <c r="H331" s="3">
        <v>0.71744779999999997</v>
      </c>
      <c r="J331" s="3">
        <v>0.37401020000000001</v>
      </c>
      <c r="K331" s="3">
        <v>0.50334460000000003</v>
      </c>
      <c r="M331" s="3">
        <v>41.621769999999998</v>
      </c>
      <c r="N331" s="3">
        <v>23.017700000000001</v>
      </c>
      <c r="P331" s="3">
        <v>10.09728</v>
      </c>
      <c r="S331" s="3">
        <v>23.562670000000001</v>
      </c>
      <c r="T331" s="3">
        <v>24.11185</v>
      </c>
      <c r="V331" s="3">
        <v>26.222719999999999</v>
      </c>
      <c r="W331" s="3">
        <v>17.860679999999999</v>
      </c>
      <c r="X331" s="3">
        <v>2.765711</v>
      </c>
      <c r="Z331" s="3">
        <v>2.493074</v>
      </c>
      <c r="AA331" s="3">
        <v>4.8803450000000002</v>
      </c>
      <c r="AB331" s="3">
        <v>57.743340000000003</v>
      </c>
      <c r="AC331" s="3">
        <v>2.875308</v>
      </c>
      <c r="AD331" s="3">
        <v>5.3469939999999999E-3</v>
      </c>
      <c r="AE331" s="3">
        <v>11.22888</v>
      </c>
      <c r="AF331" s="3">
        <v>58.9</v>
      </c>
      <c r="AG331" s="3">
        <v>11.38641</v>
      </c>
      <c r="AH331" s="3">
        <v>92.659300000000002</v>
      </c>
      <c r="AI331" s="3">
        <v>31.196529999999999</v>
      </c>
      <c r="AK331" s="3">
        <v>2.775087E-2</v>
      </c>
      <c r="AL331" s="3">
        <v>37.680709999999998</v>
      </c>
      <c r="AM331" s="3">
        <v>20.856369999999998</v>
      </c>
      <c r="AN331" s="3">
        <v>12.03098</v>
      </c>
      <c r="AO331" s="3">
        <v>9.282546</v>
      </c>
      <c r="AQ331" s="3">
        <v>3.6617899999999999</v>
      </c>
      <c r="AV331" s="3">
        <v>21.210550000000001</v>
      </c>
      <c r="AW331" s="3">
        <v>1.778467E-4</v>
      </c>
      <c r="AX331" s="3">
        <v>23.837949999999999</v>
      </c>
      <c r="AY331" s="3">
        <v>3.081753</v>
      </c>
    </row>
    <row r="332" spans="1:51" x14ac:dyDescent="0.2">
      <c r="A332" s="3" t="s">
        <v>229</v>
      </c>
      <c r="B332" s="49">
        <v>27912</v>
      </c>
      <c r="D332" s="3">
        <v>31.302489999999999</v>
      </c>
      <c r="F332" s="3">
        <v>24.572030000000002</v>
      </c>
      <c r="G332" s="3">
        <v>49.917639999999999</v>
      </c>
      <c r="H332" s="3">
        <v>0.80596950000000001</v>
      </c>
      <c r="J332" s="3">
        <v>0.38569799999999999</v>
      </c>
      <c r="K332" s="3">
        <v>0.51037730000000003</v>
      </c>
      <c r="M332" s="3">
        <v>41.686999999999998</v>
      </c>
      <c r="N332" s="3">
        <v>22.961559999999999</v>
      </c>
      <c r="P332" s="3">
        <v>10.03524</v>
      </c>
      <c r="S332" s="3">
        <v>23.61769</v>
      </c>
      <c r="T332" s="3">
        <v>24.214210000000001</v>
      </c>
      <c r="V332" s="3">
        <v>26.334710000000001</v>
      </c>
      <c r="W332" s="3">
        <v>17.952739999999999</v>
      </c>
      <c r="X332" s="3">
        <v>2.8089249999999999</v>
      </c>
      <c r="Z332" s="3">
        <v>2.5368119999999998</v>
      </c>
      <c r="AA332" s="3">
        <v>4.8949129999999998</v>
      </c>
      <c r="AB332" s="3">
        <v>57.940080000000002</v>
      </c>
      <c r="AC332" s="3">
        <v>2.992191</v>
      </c>
      <c r="AD332" s="3">
        <v>5.3577529999999998E-3</v>
      </c>
      <c r="AE332" s="3">
        <v>11.27999</v>
      </c>
      <c r="AF332" s="3">
        <v>59</v>
      </c>
      <c r="AG332" s="3">
        <v>11.49625</v>
      </c>
      <c r="AH332" s="3">
        <v>93.209299999999999</v>
      </c>
      <c r="AI332" s="3">
        <v>31.23479</v>
      </c>
      <c r="AK332" s="3">
        <v>2.7862209999999998E-2</v>
      </c>
      <c r="AL332" s="3">
        <v>37.680709999999998</v>
      </c>
      <c r="AM332" s="3">
        <v>21.143059999999998</v>
      </c>
      <c r="AN332" s="3">
        <v>12.084569999999999</v>
      </c>
      <c r="AO332" s="3">
        <v>9.3232320000000009</v>
      </c>
      <c r="AQ332" s="3">
        <v>3.8968210000000001</v>
      </c>
      <c r="AV332" s="3">
        <v>21.388269999999999</v>
      </c>
      <c r="AW332" s="3">
        <v>1.8018290000000001E-4</v>
      </c>
      <c r="AX332" s="3">
        <v>23.96453</v>
      </c>
      <c r="AY332" s="3">
        <v>3.1277490000000001</v>
      </c>
    </row>
    <row r="333" spans="1:51" x14ac:dyDescent="0.2">
      <c r="A333" s="3" t="s">
        <v>230</v>
      </c>
      <c r="B333" s="49">
        <v>27942</v>
      </c>
      <c r="D333" s="3">
        <v>31.555969999999999</v>
      </c>
      <c r="F333" s="3">
        <v>24.730049999999999</v>
      </c>
      <c r="G333" s="3">
        <v>50.00808</v>
      </c>
      <c r="H333" s="3">
        <v>0.8774613</v>
      </c>
      <c r="J333" s="3">
        <v>0.39738580000000001</v>
      </c>
      <c r="K333" s="3">
        <v>0.51238669999999997</v>
      </c>
      <c r="M333" s="3">
        <v>41.621769999999998</v>
      </c>
      <c r="N333" s="3">
        <v>22.980270000000001</v>
      </c>
      <c r="P333" s="3">
        <v>10.09728</v>
      </c>
      <c r="S333" s="3">
        <v>24.07161</v>
      </c>
      <c r="T333" s="3">
        <v>24.448160000000001</v>
      </c>
      <c r="V333" s="3">
        <v>26.454070000000002</v>
      </c>
      <c r="W333" s="3">
        <v>17.987269999999999</v>
      </c>
      <c r="X333" s="3">
        <v>2.7441040000000001</v>
      </c>
      <c r="Z333" s="3">
        <v>2.5618050000000001</v>
      </c>
      <c r="AA333" s="3">
        <v>4.9968899999999996</v>
      </c>
      <c r="AB333" s="3">
        <v>57.940080000000002</v>
      </c>
      <c r="AC333" s="3">
        <v>3.0623200000000002</v>
      </c>
      <c r="AD333" s="3">
        <v>5.6307520000000002E-3</v>
      </c>
      <c r="AE333" s="3">
        <v>11.336790000000001</v>
      </c>
      <c r="AF333" s="3">
        <v>59.3</v>
      </c>
      <c r="AG333" s="3">
        <v>11.71594</v>
      </c>
      <c r="AH333" s="3">
        <v>93.640199999999993</v>
      </c>
      <c r="AI333" s="3">
        <v>31.476479999999999</v>
      </c>
      <c r="AK333" s="3">
        <v>2.809799E-2</v>
      </c>
      <c r="AL333" s="3">
        <v>37.566870000000002</v>
      </c>
      <c r="AM333" s="3">
        <v>21.2864</v>
      </c>
      <c r="AN333" s="3">
        <v>12.15353</v>
      </c>
      <c r="AO333" s="3">
        <v>9.3654879999999991</v>
      </c>
      <c r="AQ333" s="3">
        <v>4.219989</v>
      </c>
      <c r="AV333" s="3">
        <v>21.414539999999999</v>
      </c>
      <c r="AW333" s="3">
        <v>1.815846E-4</v>
      </c>
      <c r="AX333" s="3">
        <v>24.091100000000001</v>
      </c>
      <c r="AY333" s="3">
        <v>3.1277490000000001</v>
      </c>
    </row>
    <row r="334" spans="1:51" x14ac:dyDescent="0.2">
      <c r="A334" s="3" t="s">
        <v>231</v>
      </c>
      <c r="B334" s="49">
        <v>27973</v>
      </c>
      <c r="D334" s="3">
        <v>31.677199999999999</v>
      </c>
      <c r="F334" s="3">
        <v>24.730049999999999</v>
      </c>
      <c r="G334" s="3">
        <v>50.188960000000002</v>
      </c>
      <c r="H334" s="3">
        <v>0.92540739999999999</v>
      </c>
      <c r="J334" s="3">
        <v>0.39738580000000001</v>
      </c>
      <c r="K334" s="3">
        <v>0.51439610000000002</v>
      </c>
      <c r="M334" s="3">
        <v>41.75224</v>
      </c>
      <c r="N334" s="3">
        <v>23.139340000000001</v>
      </c>
      <c r="P334" s="3">
        <v>10.18271</v>
      </c>
      <c r="S334" s="3">
        <v>24.387979999999999</v>
      </c>
      <c r="T334" s="3">
        <v>24.623629999999999</v>
      </c>
      <c r="V334" s="3">
        <v>26.578880000000002</v>
      </c>
      <c r="W334" s="3">
        <v>18.240449999999999</v>
      </c>
      <c r="X334" s="3">
        <v>2.7008899999999998</v>
      </c>
      <c r="Z334" s="3">
        <v>2.6055429999999999</v>
      </c>
      <c r="AA334" s="3">
        <v>5.0151000000000003</v>
      </c>
      <c r="AB334" s="3">
        <v>57.940080000000002</v>
      </c>
      <c r="AC334" s="3">
        <v>3.1558259999999998</v>
      </c>
      <c r="AD334" s="3">
        <v>5.6993440000000003E-3</v>
      </c>
      <c r="AE334" s="3">
        <v>11.46175</v>
      </c>
      <c r="AF334" s="3">
        <v>59</v>
      </c>
      <c r="AG334" s="3">
        <v>11.83577</v>
      </c>
      <c r="AH334" s="3">
        <v>93.624799999999993</v>
      </c>
      <c r="AI334" s="3">
        <v>31.71818</v>
      </c>
      <c r="AK334" s="3">
        <v>2.8366499999999999E-2</v>
      </c>
      <c r="AL334" s="3">
        <v>37.908389999999997</v>
      </c>
      <c r="AM334" s="3">
        <v>21.2864</v>
      </c>
      <c r="AN334" s="3">
        <v>12.217610000000001</v>
      </c>
      <c r="AO334" s="3">
        <v>9.4392890000000005</v>
      </c>
      <c r="AQ334" s="3">
        <v>4.2963740000000001</v>
      </c>
      <c r="AV334" s="3">
        <v>21.545860000000001</v>
      </c>
      <c r="AW334" s="3">
        <v>1.8413319999999999E-4</v>
      </c>
      <c r="AX334" s="3">
        <v>24.217669999999998</v>
      </c>
      <c r="AY334" s="3">
        <v>3.219741</v>
      </c>
    </row>
    <row r="335" spans="1:51" x14ac:dyDescent="0.2">
      <c r="A335" s="3" t="s">
        <v>232</v>
      </c>
      <c r="B335" s="49">
        <v>28004</v>
      </c>
      <c r="D335" s="3">
        <v>32.087730000000001</v>
      </c>
      <c r="F335" s="3">
        <v>24.888069999999999</v>
      </c>
      <c r="G335" s="3">
        <v>50.068669999999997</v>
      </c>
      <c r="H335" s="3">
        <v>0.99590029999999996</v>
      </c>
      <c r="J335" s="3">
        <v>0.40907369999999998</v>
      </c>
      <c r="K335" s="3">
        <v>0.50937270000000001</v>
      </c>
      <c r="M335" s="3">
        <v>41.817480000000003</v>
      </c>
      <c r="N335" s="3">
        <v>23.710100000000001</v>
      </c>
      <c r="P335" s="3">
        <v>10.37425</v>
      </c>
      <c r="S335" s="3">
        <v>24.580549999999999</v>
      </c>
      <c r="T335" s="3">
        <v>24.88682</v>
      </c>
      <c r="V335" s="3">
        <v>26.80189</v>
      </c>
      <c r="W335" s="3">
        <v>18.482119999999998</v>
      </c>
      <c r="X335" s="3">
        <v>2.787318</v>
      </c>
      <c r="Z335" s="3">
        <v>2.6680259999999998</v>
      </c>
      <c r="AA335" s="3">
        <v>5.0806570000000004</v>
      </c>
      <c r="AB335" s="3">
        <v>58.431930000000001</v>
      </c>
      <c r="AC335" s="3">
        <v>3.3194620000000001</v>
      </c>
      <c r="AD335" s="3">
        <v>5.8297840000000002E-3</v>
      </c>
      <c r="AE335" s="3">
        <v>11.654859999999999</v>
      </c>
      <c r="AF335" s="3">
        <v>60.4</v>
      </c>
      <c r="AG335" s="3">
        <v>11.92564</v>
      </c>
      <c r="AH335" s="3">
        <v>94.361400000000003</v>
      </c>
      <c r="AI335" s="3">
        <v>31.75122</v>
      </c>
      <c r="AK335" s="3">
        <v>2.9334160000000001E-2</v>
      </c>
      <c r="AL335" s="3">
        <v>38.306829999999998</v>
      </c>
      <c r="AM335" s="3">
        <v>21.358070000000001</v>
      </c>
      <c r="AN335" s="3">
        <v>12.340210000000001</v>
      </c>
      <c r="AO335" s="3">
        <v>9.5426970000000004</v>
      </c>
      <c r="AQ335" s="3">
        <v>4.4162410000000003</v>
      </c>
      <c r="AV335" s="3">
        <v>21.582190000000001</v>
      </c>
      <c r="AW335" s="3">
        <v>1.8744629999999999E-4</v>
      </c>
      <c r="AX335" s="3">
        <v>24.302050000000001</v>
      </c>
      <c r="AY335" s="3">
        <v>3.219741</v>
      </c>
    </row>
    <row r="336" spans="1:51" x14ac:dyDescent="0.2">
      <c r="A336" s="3" t="s">
        <v>233</v>
      </c>
      <c r="B336" s="49">
        <v>28034</v>
      </c>
      <c r="D336" s="3">
        <v>32.159370000000003</v>
      </c>
      <c r="F336" s="3">
        <v>25.04609</v>
      </c>
      <c r="G336" s="3">
        <v>50.188960000000002</v>
      </c>
      <c r="H336" s="3">
        <v>1.0627679999999999</v>
      </c>
      <c r="J336" s="3">
        <v>0.40907369999999998</v>
      </c>
      <c r="K336" s="3">
        <v>0.50836800000000004</v>
      </c>
      <c r="M336" s="3">
        <v>41.882719999999999</v>
      </c>
      <c r="N336" s="3">
        <v>23.972090000000001</v>
      </c>
      <c r="P336" s="3">
        <v>10.517910000000001</v>
      </c>
      <c r="S336" s="3">
        <v>24.841899999999999</v>
      </c>
      <c r="T336" s="3">
        <v>25.12078</v>
      </c>
      <c r="V336" s="3">
        <v>27.023350000000001</v>
      </c>
      <c r="W336" s="3">
        <v>18.815860000000001</v>
      </c>
      <c r="X336" s="3">
        <v>2.8305319999999998</v>
      </c>
      <c r="Z336" s="3">
        <v>2.6680259999999998</v>
      </c>
      <c r="AA336" s="3">
        <v>5.1134360000000001</v>
      </c>
      <c r="AB336" s="3">
        <v>58.431930000000001</v>
      </c>
      <c r="AC336" s="3">
        <v>3.3895909999999998</v>
      </c>
      <c r="AD336" s="3">
        <v>6.0247829999999997E-3</v>
      </c>
      <c r="AE336" s="3">
        <v>11.98996</v>
      </c>
      <c r="AF336" s="3">
        <v>60.8</v>
      </c>
      <c r="AG336" s="3">
        <v>11.795820000000001</v>
      </c>
      <c r="AH336" s="3">
        <v>94.723200000000006</v>
      </c>
      <c r="AI336" s="3">
        <v>31.999880000000001</v>
      </c>
      <c r="AK336" s="3">
        <v>3.098621E-2</v>
      </c>
      <c r="AL336" s="3">
        <v>38.762180000000001</v>
      </c>
      <c r="AM336" s="3">
        <v>21.358070000000001</v>
      </c>
      <c r="AN336" s="3">
        <v>12.48663</v>
      </c>
      <c r="AO336" s="3">
        <v>9.6660660000000007</v>
      </c>
      <c r="AQ336" s="3">
        <v>4.5654849999999998</v>
      </c>
      <c r="AV336" s="3">
        <v>21.888999999999999</v>
      </c>
      <c r="AW336" s="3">
        <v>1.9029219999999999E-4</v>
      </c>
      <c r="AX336" s="3">
        <v>24.428629999999998</v>
      </c>
      <c r="AY336" s="3">
        <v>3.219741</v>
      </c>
    </row>
    <row r="337" spans="1:51" x14ac:dyDescent="0.2">
      <c r="A337" s="3" t="s">
        <v>234</v>
      </c>
      <c r="B337" s="49">
        <v>28065</v>
      </c>
      <c r="D337" s="3">
        <v>32.2806</v>
      </c>
      <c r="F337" s="3">
        <v>25.1251</v>
      </c>
      <c r="G337" s="3">
        <v>50.279400000000003</v>
      </c>
      <c r="H337" s="3">
        <v>1.1033729999999999</v>
      </c>
      <c r="J337" s="3">
        <v>0.42076150000000001</v>
      </c>
      <c r="K337" s="3">
        <v>0.50937270000000001</v>
      </c>
      <c r="M337" s="3">
        <v>42.013190000000002</v>
      </c>
      <c r="N337" s="3">
        <v>24.24344</v>
      </c>
      <c r="P337" s="3">
        <v>10.71434</v>
      </c>
      <c r="S337" s="3">
        <v>25.006959999999999</v>
      </c>
      <c r="T337" s="3">
        <v>25.325489999999999</v>
      </c>
      <c r="V337" s="3">
        <v>27.155180000000001</v>
      </c>
      <c r="W337" s="3">
        <v>19.080539999999999</v>
      </c>
      <c r="X337" s="3">
        <v>2.8737469999999998</v>
      </c>
      <c r="Z337" s="3">
        <v>2.674274</v>
      </c>
      <c r="AA337" s="3">
        <v>5.1462139999999996</v>
      </c>
      <c r="AB337" s="3">
        <v>58.431930000000001</v>
      </c>
      <c r="AC337" s="3">
        <v>3.4597199999999999</v>
      </c>
      <c r="AD337" s="3">
        <v>6.2937490000000004E-3</v>
      </c>
      <c r="AE337" s="3">
        <v>12.25123</v>
      </c>
      <c r="AF337" s="3">
        <v>60.8</v>
      </c>
      <c r="AG337" s="3">
        <v>11.78584</v>
      </c>
      <c r="AH337" s="3">
        <v>94.797200000000004</v>
      </c>
      <c r="AI337" s="3">
        <v>32.203319999999998</v>
      </c>
      <c r="AK337" s="3">
        <v>3.2386119999999997E-2</v>
      </c>
      <c r="AL337" s="3">
        <v>38.876019999999997</v>
      </c>
      <c r="AM337" s="3">
        <v>21.429739999999999</v>
      </c>
      <c r="AN337" s="3">
        <v>12.57569</v>
      </c>
      <c r="AO337" s="3">
        <v>9.7653569999999998</v>
      </c>
      <c r="AQ337" s="3">
        <v>4.6254189999999999</v>
      </c>
      <c r="AV337" s="3">
        <v>22.058890000000002</v>
      </c>
      <c r="AW337" s="3">
        <v>1.9131160000000001E-4</v>
      </c>
      <c r="AX337" s="3">
        <v>24.47082</v>
      </c>
      <c r="AY337" s="3">
        <v>3.219741</v>
      </c>
    </row>
    <row r="338" spans="1:51" x14ac:dyDescent="0.2">
      <c r="A338" s="3" t="s">
        <v>235</v>
      </c>
      <c r="B338" s="49">
        <v>28095</v>
      </c>
      <c r="D338" s="3">
        <v>32.456940000000003</v>
      </c>
      <c r="F338" s="3">
        <v>25.20411</v>
      </c>
      <c r="G338" s="3">
        <v>50.400579999999998</v>
      </c>
      <c r="H338" s="3">
        <v>1.1599539999999999</v>
      </c>
      <c r="J338" s="3">
        <v>0.42076150000000001</v>
      </c>
      <c r="K338" s="3">
        <v>0.511382</v>
      </c>
      <c r="M338" s="3">
        <v>42.14367</v>
      </c>
      <c r="N338" s="3">
        <v>24.30894</v>
      </c>
      <c r="P338" s="3">
        <v>10.82535</v>
      </c>
      <c r="S338" s="3">
        <v>25.089490000000001</v>
      </c>
      <c r="T338" s="3">
        <v>25.413219999999999</v>
      </c>
      <c r="V338" s="3">
        <v>27.29121</v>
      </c>
      <c r="W338" s="3">
        <v>19.33372</v>
      </c>
      <c r="X338" s="3">
        <v>2.9385680000000001</v>
      </c>
      <c r="Z338" s="3">
        <v>2.6680259999999998</v>
      </c>
      <c r="AA338" s="3">
        <v>5.1462139999999996</v>
      </c>
      <c r="AB338" s="3">
        <v>58.727040000000002</v>
      </c>
      <c r="AC338" s="3">
        <v>3.6467320000000001</v>
      </c>
      <c r="AD338" s="3">
        <v>6.4631990000000002E-3</v>
      </c>
      <c r="AE338" s="3">
        <v>12.26479</v>
      </c>
      <c r="AF338" s="3">
        <v>61.5</v>
      </c>
      <c r="AG338" s="3">
        <v>11.855740000000001</v>
      </c>
      <c r="AH338" s="3">
        <v>95.754800000000003</v>
      </c>
      <c r="AI338" s="3">
        <v>32.427630000000001</v>
      </c>
      <c r="AK338" s="3">
        <v>3.3198220000000001E-2</v>
      </c>
      <c r="AL338" s="3">
        <v>38.876019999999997</v>
      </c>
      <c r="AM338" s="3">
        <v>21.50142</v>
      </c>
      <c r="AN338" s="3">
        <v>12.66094</v>
      </c>
      <c r="AO338" s="3">
        <v>9.8351050000000004</v>
      </c>
      <c r="AQ338" s="3">
        <v>4.8157940000000004</v>
      </c>
      <c r="AV338" s="3">
        <v>22.0913</v>
      </c>
      <c r="AW338" s="3">
        <v>1.971733E-4</v>
      </c>
      <c r="AX338" s="3">
        <v>24.555199999999999</v>
      </c>
      <c r="AY338" s="3">
        <v>3.2657379999999998</v>
      </c>
    </row>
    <row r="339" spans="1:51" x14ac:dyDescent="0.2">
      <c r="A339" s="3" t="s">
        <v>236</v>
      </c>
      <c r="B339" s="49">
        <v>28126</v>
      </c>
      <c r="D339" s="3">
        <v>32.790329999999997</v>
      </c>
      <c r="F339" s="3">
        <v>25.441140000000001</v>
      </c>
      <c r="G339" s="3">
        <v>50.490139999999997</v>
      </c>
      <c r="H339" s="3">
        <v>1.2286429999999999</v>
      </c>
      <c r="J339" s="3">
        <v>0.43244929999999998</v>
      </c>
      <c r="K339" s="3">
        <v>0.51339140000000005</v>
      </c>
      <c r="M339" s="3">
        <v>42.60033</v>
      </c>
      <c r="N339" s="3">
        <v>24.308520000000001</v>
      </c>
      <c r="P339" s="3">
        <v>11.177960000000001</v>
      </c>
      <c r="S339" s="3">
        <v>25.447130000000001</v>
      </c>
      <c r="T339" s="3">
        <v>25.486329999999999</v>
      </c>
      <c r="V339" s="3">
        <v>27.52375</v>
      </c>
      <c r="W339" s="3">
        <v>19.84008</v>
      </c>
      <c r="X339" s="3">
        <v>2.9385680000000001</v>
      </c>
      <c r="Z339" s="3">
        <v>2.7117640000000001</v>
      </c>
      <c r="AA339" s="3">
        <v>5.1644240000000003</v>
      </c>
      <c r="AB339" s="3">
        <v>58.727040000000002</v>
      </c>
      <c r="AC339" s="3">
        <v>3.810368</v>
      </c>
      <c r="AD339" s="3">
        <v>6.4478549999999997E-3</v>
      </c>
      <c r="AE339" s="3">
        <v>12.423629999999999</v>
      </c>
      <c r="AF339" s="3">
        <v>62.1</v>
      </c>
      <c r="AG339" s="3">
        <v>11.94561</v>
      </c>
      <c r="AH339" s="3">
        <v>96.756200000000007</v>
      </c>
      <c r="AI339" s="3">
        <v>32.752789999999997</v>
      </c>
      <c r="AK339" s="3">
        <v>3.4255929999999997E-2</v>
      </c>
      <c r="AL339" s="3">
        <v>38.932940000000002</v>
      </c>
      <c r="AM339" s="3">
        <v>21.931439999999998</v>
      </c>
      <c r="AN339" s="3">
        <v>12.79255</v>
      </c>
      <c r="AO339" s="3">
        <v>9.9600310000000007</v>
      </c>
      <c r="AQ339" s="3">
        <v>4.7958160000000003</v>
      </c>
      <c r="AV339" s="3">
        <v>22.36458</v>
      </c>
      <c r="AW339" s="3">
        <v>1.9849000000000001E-4</v>
      </c>
      <c r="AX339" s="3">
        <v>24.68177</v>
      </c>
      <c r="AY339" s="3">
        <v>3.311734</v>
      </c>
    </row>
    <row r="340" spans="1:51" x14ac:dyDescent="0.2">
      <c r="A340" s="3" t="s">
        <v>237</v>
      </c>
      <c r="B340" s="49">
        <v>28157</v>
      </c>
      <c r="D340" s="3">
        <v>33.0383</v>
      </c>
      <c r="F340" s="3">
        <v>25.599160000000001</v>
      </c>
      <c r="G340" s="3">
        <v>50.52176</v>
      </c>
      <c r="H340" s="3">
        <v>1.300222</v>
      </c>
      <c r="J340" s="3">
        <v>0.44413710000000001</v>
      </c>
      <c r="K340" s="3">
        <v>0.51540079999999999</v>
      </c>
      <c r="M340" s="3">
        <v>42.796050000000001</v>
      </c>
      <c r="N340" s="3">
        <v>24.329709999999999</v>
      </c>
      <c r="P340" s="3">
        <v>11.34502</v>
      </c>
      <c r="S340" s="3">
        <v>25.688459999999999</v>
      </c>
      <c r="T340" s="3">
        <v>25.661799999999999</v>
      </c>
      <c r="V340" s="3">
        <v>27.774180000000001</v>
      </c>
      <c r="W340" s="3">
        <v>20.035720000000001</v>
      </c>
      <c r="X340" s="3">
        <v>2.9385680000000001</v>
      </c>
      <c r="Z340" s="3">
        <v>2.718013</v>
      </c>
      <c r="AA340" s="3">
        <v>5.2154129999999999</v>
      </c>
      <c r="AB340" s="3">
        <v>58.727040000000002</v>
      </c>
      <c r="AC340" s="3">
        <v>3.8337439999999998</v>
      </c>
      <c r="AD340" s="3">
        <v>6.508687E-3</v>
      </c>
      <c r="AE340" s="3">
        <v>12.661899999999999</v>
      </c>
      <c r="AF340" s="3">
        <v>62.4</v>
      </c>
      <c r="AG340" s="3">
        <v>12.225210000000001</v>
      </c>
      <c r="AH340" s="3">
        <v>97.475399999999993</v>
      </c>
      <c r="AI340" s="3">
        <v>32.968409999999999</v>
      </c>
      <c r="AK340" s="3">
        <v>3.5012370000000001E-2</v>
      </c>
      <c r="AL340" s="3">
        <v>39.21754</v>
      </c>
      <c r="AM340" s="3">
        <v>22.07479</v>
      </c>
      <c r="AN340" s="3">
        <v>12.917619999999999</v>
      </c>
      <c r="AO340" s="3">
        <v>10.056929999999999</v>
      </c>
      <c r="AQ340" s="3">
        <v>4.930167</v>
      </c>
      <c r="AV340" s="3">
        <v>22.645119999999999</v>
      </c>
      <c r="AW340" s="3">
        <v>2.015908E-4</v>
      </c>
      <c r="AX340" s="3">
        <v>24.934920000000002</v>
      </c>
      <c r="AY340" s="3">
        <v>3.311734</v>
      </c>
    </row>
    <row r="341" spans="1:51" x14ac:dyDescent="0.2">
      <c r="A341" s="3" t="s">
        <v>238</v>
      </c>
      <c r="B341" s="49">
        <v>28185</v>
      </c>
      <c r="D341" s="3">
        <v>33.007989999999999</v>
      </c>
      <c r="F341" s="3">
        <v>25.915199999999999</v>
      </c>
      <c r="G341" s="3">
        <v>50.430439999999997</v>
      </c>
      <c r="H341" s="3">
        <v>1.3795809999999999</v>
      </c>
      <c r="J341" s="3">
        <v>0.4675127</v>
      </c>
      <c r="K341" s="3">
        <v>0.51941950000000003</v>
      </c>
      <c r="M341" s="3">
        <v>42.861280000000001</v>
      </c>
      <c r="N341" s="3">
        <v>24.689990000000002</v>
      </c>
      <c r="P341" s="3">
        <v>11.61655</v>
      </c>
      <c r="S341" s="3">
        <v>26.037050000000001</v>
      </c>
      <c r="T341" s="3">
        <v>25.89575</v>
      </c>
      <c r="V341" s="3">
        <v>27.96734</v>
      </c>
      <c r="W341" s="3">
        <v>20.231359999999999</v>
      </c>
      <c r="X341" s="3">
        <v>3.0033889999999999</v>
      </c>
      <c r="Z341" s="3">
        <v>2.7305090000000001</v>
      </c>
      <c r="AA341" s="3">
        <v>5.2481920000000004</v>
      </c>
      <c r="AB341" s="3">
        <v>59.218890000000002</v>
      </c>
      <c r="AC341" s="3">
        <v>4.0441330000000004</v>
      </c>
      <c r="AD341" s="3">
        <v>6.6358729999999996E-3</v>
      </c>
      <c r="AE341" s="3">
        <v>12.820740000000001</v>
      </c>
      <c r="AF341" s="3">
        <v>62.7</v>
      </c>
      <c r="AG341" s="3">
        <v>12.394970000000001</v>
      </c>
      <c r="AH341" s="3">
        <v>97.347899999999996</v>
      </c>
      <c r="AI341" s="3">
        <v>33.110999999999997</v>
      </c>
      <c r="AK341" s="3">
        <v>3.5623090000000003E-2</v>
      </c>
      <c r="AL341" s="3">
        <v>39.388300000000001</v>
      </c>
      <c r="AM341" s="3">
        <v>22.433140000000002</v>
      </c>
      <c r="AN341" s="3">
        <v>13.031140000000001</v>
      </c>
      <c r="AO341" s="3">
        <v>10.16456</v>
      </c>
      <c r="AQ341" s="3">
        <v>5.3182910000000003</v>
      </c>
      <c r="AV341" s="3">
        <v>22.857479999999999</v>
      </c>
      <c r="AW341" s="3">
        <v>2.0664540000000001E-4</v>
      </c>
      <c r="AX341" s="3">
        <v>25.10369</v>
      </c>
      <c r="AY341" s="3">
        <v>3.3577300000000001</v>
      </c>
    </row>
    <row r="342" spans="1:51" x14ac:dyDescent="0.2">
      <c r="A342" s="3" t="s">
        <v>239</v>
      </c>
      <c r="B342" s="49">
        <v>28216</v>
      </c>
      <c r="D342" s="3">
        <v>33.187080000000002</v>
      </c>
      <c r="F342" s="3">
        <v>26.073219999999999</v>
      </c>
      <c r="G342" s="3">
        <v>50.490139999999997</v>
      </c>
      <c r="H342" s="3">
        <v>1.4444220000000001</v>
      </c>
      <c r="J342" s="3">
        <v>0.50257620000000003</v>
      </c>
      <c r="K342" s="3">
        <v>0.52544749999999996</v>
      </c>
      <c r="M342" s="3">
        <v>43.057000000000002</v>
      </c>
      <c r="N342" s="3">
        <v>24.944310000000002</v>
      </c>
      <c r="P342" s="3">
        <v>11.827680000000001</v>
      </c>
      <c r="S342" s="3">
        <v>26.22475</v>
      </c>
      <c r="T342" s="3">
        <v>26.232060000000001</v>
      </c>
      <c r="V342" s="3">
        <v>28.271740000000001</v>
      </c>
      <c r="W342" s="3">
        <v>20.749230000000001</v>
      </c>
      <c r="X342" s="3">
        <v>3.0682109999999998</v>
      </c>
      <c r="Z342" s="3">
        <v>2.7555019999999999</v>
      </c>
      <c r="AA342" s="3">
        <v>5.2664020000000002</v>
      </c>
      <c r="AB342" s="3">
        <v>59.218890000000002</v>
      </c>
      <c r="AC342" s="3">
        <v>4.1610149999999999</v>
      </c>
      <c r="AD342" s="3">
        <v>6.7962409999999997E-3</v>
      </c>
      <c r="AE342" s="3">
        <v>12.97958</v>
      </c>
      <c r="AF342" s="3">
        <v>63.8</v>
      </c>
      <c r="AG342" s="3">
        <v>12.404949999999999</v>
      </c>
      <c r="AH342" s="3">
        <v>97.124700000000004</v>
      </c>
      <c r="AI342" s="3">
        <v>33.310960000000001</v>
      </c>
      <c r="AK342" s="3">
        <v>3.6161770000000003E-2</v>
      </c>
      <c r="AL342" s="3">
        <v>40.071330000000003</v>
      </c>
      <c r="AM342" s="3">
        <v>22.57649</v>
      </c>
      <c r="AN342" s="3">
        <v>13.18548</v>
      </c>
      <c r="AO342" s="3">
        <v>10.297370000000001</v>
      </c>
      <c r="AQ342" s="3">
        <v>5.4994149999999999</v>
      </c>
      <c r="AV342" s="3">
        <v>23.129079999999998</v>
      </c>
      <c r="AW342" s="3">
        <v>2.0915150000000001E-4</v>
      </c>
      <c r="AX342" s="3">
        <v>25.314640000000001</v>
      </c>
      <c r="AY342" s="3">
        <v>3.4497230000000001</v>
      </c>
    </row>
    <row r="343" spans="1:51" x14ac:dyDescent="0.2">
      <c r="A343" s="3" t="s">
        <v>240</v>
      </c>
      <c r="B343" s="49">
        <v>28246</v>
      </c>
      <c r="D343" s="3">
        <v>33.520470000000003</v>
      </c>
      <c r="F343" s="3">
        <v>26.38926</v>
      </c>
      <c r="G343" s="3">
        <v>50.460290000000001</v>
      </c>
      <c r="H343" s="3">
        <v>1.4996510000000001</v>
      </c>
      <c r="J343" s="3">
        <v>0.52595179999999997</v>
      </c>
      <c r="K343" s="3">
        <v>0.52645220000000004</v>
      </c>
      <c r="M343" s="3">
        <v>43.187469999999998</v>
      </c>
      <c r="N343" s="3">
        <v>25.304590000000001</v>
      </c>
      <c r="P343" s="3">
        <v>11.93107</v>
      </c>
      <c r="S343" s="3">
        <v>26.573350000000001</v>
      </c>
      <c r="T343" s="3">
        <v>26.480630000000001</v>
      </c>
      <c r="V343" s="3">
        <v>28.461980000000001</v>
      </c>
      <c r="W343" s="3">
        <v>20.910340000000001</v>
      </c>
      <c r="X343" s="3">
        <v>3.1114250000000001</v>
      </c>
      <c r="Z343" s="3">
        <v>2.7992409999999999</v>
      </c>
      <c r="AA343" s="3">
        <v>5.3501690000000002</v>
      </c>
      <c r="AB343" s="3">
        <v>59.218890000000002</v>
      </c>
      <c r="AC343" s="3">
        <v>4.3012740000000003</v>
      </c>
      <c r="AD343" s="3">
        <v>6.9566089999999999E-3</v>
      </c>
      <c r="AE343" s="3">
        <v>13.13842</v>
      </c>
      <c r="AF343" s="3">
        <v>64.400000000000006</v>
      </c>
      <c r="AG343" s="3">
        <v>12.53477</v>
      </c>
      <c r="AH343" s="3">
        <v>96.771799999999999</v>
      </c>
      <c r="AI343" s="3">
        <v>33.436160000000001</v>
      </c>
      <c r="AK343" s="3">
        <v>3.6479409999999997E-2</v>
      </c>
      <c r="AL343" s="3">
        <v>40.185169999999999</v>
      </c>
      <c r="AM343" s="3">
        <v>22.719830000000002</v>
      </c>
      <c r="AN343" s="3">
        <v>13.27736</v>
      </c>
      <c r="AO343" s="3">
        <v>10.37818</v>
      </c>
      <c r="AQ343" s="3">
        <v>5.5392219999999996</v>
      </c>
      <c r="AV343" s="3">
        <v>23.411860000000001</v>
      </c>
      <c r="AW343" s="3">
        <v>2.125071E-4</v>
      </c>
      <c r="AX343" s="3">
        <v>25.441210000000002</v>
      </c>
      <c r="AY343" s="3">
        <v>3.4497230000000001</v>
      </c>
    </row>
    <row r="344" spans="1:51" x14ac:dyDescent="0.2">
      <c r="A344" s="3" t="s">
        <v>241</v>
      </c>
      <c r="B344" s="49">
        <v>28277</v>
      </c>
      <c r="D344" s="3">
        <v>33.729869999999998</v>
      </c>
      <c r="F344" s="3">
        <v>26.468260000000001</v>
      </c>
      <c r="G344" s="3">
        <v>50.792200000000001</v>
      </c>
      <c r="H344" s="3">
        <v>1.5495920000000001</v>
      </c>
      <c r="J344" s="3">
        <v>0.5376396</v>
      </c>
      <c r="K344" s="3">
        <v>0.53448969999999996</v>
      </c>
      <c r="M344" s="3">
        <v>43.383189999999999</v>
      </c>
      <c r="N344" s="3">
        <v>25.431750000000001</v>
      </c>
      <c r="P344" s="3">
        <v>12.26463</v>
      </c>
      <c r="S344" s="3">
        <v>26.787859999999998</v>
      </c>
      <c r="T344" s="3">
        <v>26.68534</v>
      </c>
      <c r="V344" s="3">
        <v>28.609549999999999</v>
      </c>
      <c r="W344" s="3">
        <v>21.129000000000001</v>
      </c>
      <c r="X344" s="3">
        <v>3.133032</v>
      </c>
      <c r="Z344" s="3">
        <v>2.7992409999999999</v>
      </c>
      <c r="AA344" s="3">
        <v>5.3829469999999997</v>
      </c>
      <c r="AB344" s="3">
        <v>59.710740000000001</v>
      </c>
      <c r="AC344" s="3">
        <v>4.6519209999999998</v>
      </c>
      <c r="AD344" s="3">
        <v>7.1224979999999997E-3</v>
      </c>
      <c r="AE344" s="3">
        <v>13.229189999999999</v>
      </c>
      <c r="AF344" s="3">
        <v>64.099999999999994</v>
      </c>
      <c r="AG344" s="3">
        <v>12.6546</v>
      </c>
      <c r="AH344" s="3">
        <v>97.444000000000003</v>
      </c>
      <c r="AI344" s="3">
        <v>33.606560000000002</v>
      </c>
      <c r="AK344" s="3">
        <v>3.6926390000000003E-2</v>
      </c>
      <c r="AL344" s="3">
        <v>40.185169999999999</v>
      </c>
      <c r="AM344" s="3">
        <v>22.934840000000001</v>
      </c>
      <c r="AN344" s="3">
        <v>13.3628</v>
      </c>
      <c r="AO344" s="3">
        <v>10.46918</v>
      </c>
      <c r="AQ344" s="3">
        <v>5.5332509999999999</v>
      </c>
      <c r="AV344" s="3">
        <v>23.937740000000002</v>
      </c>
      <c r="AW344" s="3">
        <v>2.1390879999999999E-4</v>
      </c>
      <c r="AX344" s="3">
        <v>25.60998</v>
      </c>
      <c r="AY344" s="3">
        <v>3.4497230000000001</v>
      </c>
    </row>
    <row r="345" spans="1:51" x14ac:dyDescent="0.2">
      <c r="A345" s="3" t="s">
        <v>242</v>
      </c>
      <c r="B345" s="49">
        <v>28307</v>
      </c>
      <c r="D345" s="3">
        <v>33.831809999999997</v>
      </c>
      <c r="F345" s="3">
        <v>26.784300000000002</v>
      </c>
      <c r="G345" s="3">
        <v>50.822929999999999</v>
      </c>
      <c r="H345" s="3">
        <v>1.6100969999999999</v>
      </c>
      <c r="J345" s="3">
        <v>0.54932749999999997</v>
      </c>
      <c r="K345" s="3">
        <v>0.53549440000000004</v>
      </c>
      <c r="M345" s="3">
        <v>43.317950000000003</v>
      </c>
      <c r="N345" s="3">
        <v>25.601299999999998</v>
      </c>
      <c r="P345" s="3">
        <v>12.66676</v>
      </c>
      <c r="S345" s="3">
        <v>26.975570000000001</v>
      </c>
      <c r="T345" s="3">
        <v>26.9193</v>
      </c>
      <c r="V345" s="3">
        <v>28.710940000000001</v>
      </c>
      <c r="W345" s="3">
        <v>21.152010000000001</v>
      </c>
      <c r="X345" s="3">
        <v>3.1114250000000001</v>
      </c>
      <c r="Z345" s="3">
        <v>2.8429790000000001</v>
      </c>
      <c r="AA345" s="3">
        <v>5.4667139999999996</v>
      </c>
      <c r="AB345" s="3">
        <v>59.710740000000001</v>
      </c>
      <c r="AC345" s="3">
        <v>4.8623099999999999</v>
      </c>
      <c r="AD345" s="3">
        <v>7.2275669999999998E-3</v>
      </c>
      <c r="AE345" s="3">
        <v>13.30861</v>
      </c>
      <c r="AF345" s="3">
        <v>63.9</v>
      </c>
      <c r="AG345" s="3">
        <v>12.81503</v>
      </c>
      <c r="AH345" s="3">
        <v>97.537899999999993</v>
      </c>
      <c r="AI345" s="3">
        <v>33.763060000000003</v>
      </c>
      <c r="AK345" s="3">
        <v>3.7343910000000001E-2</v>
      </c>
      <c r="AL345" s="3">
        <v>40.185169999999999</v>
      </c>
      <c r="AM345" s="3">
        <v>23.221530000000001</v>
      </c>
      <c r="AN345" s="3">
        <v>13.443860000000001</v>
      </c>
      <c r="AO345" s="3">
        <v>10.543710000000001</v>
      </c>
      <c r="AQ345" s="3">
        <v>5.5372320000000004</v>
      </c>
      <c r="AV345" s="3">
        <v>24.15401</v>
      </c>
      <c r="AW345" s="3">
        <v>2.2163940000000001E-4</v>
      </c>
      <c r="AX345" s="3">
        <v>25.736550000000001</v>
      </c>
      <c r="AY345" s="3">
        <v>3.4957189999999998</v>
      </c>
    </row>
    <row r="346" spans="1:51" x14ac:dyDescent="0.2">
      <c r="A346" s="3" t="s">
        <v>243</v>
      </c>
      <c r="B346" s="49">
        <v>28338</v>
      </c>
      <c r="D346" s="3">
        <v>33.93927</v>
      </c>
      <c r="F346" s="3">
        <v>26.784300000000002</v>
      </c>
      <c r="G346" s="3">
        <v>50.822929999999999</v>
      </c>
      <c r="H346" s="3">
        <v>1.6648270000000001</v>
      </c>
      <c r="J346" s="3">
        <v>0.54932749999999997</v>
      </c>
      <c r="K346" s="3">
        <v>0.53348499999999999</v>
      </c>
      <c r="M346" s="3">
        <v>43.317950000000003</v>
      </c>
      <c r="N346" s="3">
        <v>25.834420000000001</v>
      </c>
      <c r="P346" s="3">
        <v>13.0776</v>
      </c>
      <c r="S346" s="3">
        <v>27.404599999999999</v>
      </c>
      <c r="T346" s="3">
        <v>27.065519999999999</v>
      </c>
      <c r="V346" s="3">
        <v>28.805669999999999</v>
      </c>
      <c r="W346" s="3">
        <v>21.255590000000002</v>
      </c>
      <c r="X346" s="3">
        <v>3.0682109999999998</v>
      </c>
      <c r="Z346" s="3">
        <v>2.8617240000000002</v>
      </c>
      <c r="AA346" s="3">
        <v>5.4994930000000002</v>
      </c>
      <c r="AB346" s="3">
        <v>59.710740000000001</v>
      </c>
      <c r="AC346" s="3">
        <v>5.0493220000000001</v>
      </c>
      <c r="AD346" s="3">
        <v>7.5095980000000001E-3</v>
      </c>
      <c r="AE346" s="3">
        <v>13.43341</v>
      </c>
      <c r="AF346" s="3">
        <v>64</v>
      </c>
      <c r="AG346" s="3">
        <v>12.98479</v>
      </c>
      <c r="AH346" s="3">
        <v>97.729500000000002</v>
      </c>
      <c r="AI346" s="3">
        <v>33.66742</v>
      </c>
      <c r="AK346" s="3">
        <v>3.8110169999999999E-2</v>
      </c>
      <c r="AL346" s="3">
        <v>40.355930000000001</v>
      </c>
      <c r="AM346" s="3">
        <v>23.221530000000001</v>
      </c>
      <c r="AN346" s="3">
        <v>13.51755</v>
      </c>
      <c r="AO346" s="3">
        <v>10.62045</v>
      </c>
      <c r="AQ346" s="3">
        <v>5.6168469999999999</v>
      </c>
      <c r="AV346" s="3">
        <v>24.22052</v>
      </c>
      <c r="AW346" s="3">
        <v>2.2592949999999999E-4</v>
      </c>
      <c r="AX346" s="3">
        <v>25.820930000000001</v>
      </c>
      <c r="AY346" s="3">
        <v>3.5417149999999999</v>
      </c>
    </row>
    <row r="347" spans="1:51" x14ac:dyDescent="0.2">
      <c r="A347" s="3" t="s">
        <v>244</v>
      </c>
      <c r="B347" s="49">
        <v>28369</v>
      </c>
      <c r="D347" s="3">
        <v>34.17897</v>
      </c>
      <c r="F347" s="3">
        <v>27.021329999999999</v>
      </c>
      <c r="G347" s="3">
        <v>50.852789999999999</v>
      </c>
      <c r="H347" s="3">
        <v>1.726925</v>
      </c>
      <c r="J347" s="3">
        <v>0.54932749999999997</v>
      </c>
      <c r="K347" s="3">
        <v>0.5314757</v>
      </c>
      <c r="M347" s="3">
        <v>43.383189999999999</v>
      </c>
      <c r="N347" s="3">
        <v>26.109929999999999</v>
      </c>
      <c r="P347" s="3">
        <v>13.25989</v>
      </c>
      <c r="S347" s="3">
        <v>27.511859999999999</v>
      </c>
      <c r="T347" s="3">
        <v>27.299469999999999</v>
      </c>
      <c r="V347" s="3">
        <v>28.982859999999999</v>
      </c>
      <c r="W347" s="3">
        <v>21.37067</v>
      </c>
      <c r="X347" s="3">
        <v>3.133032</v>
      </c>
      <c r="Z347" s="3">
        <v>2.905462</v>
      </c>
      <c r="AA347" s="3">
        <v>5.5686920000000004</v>
      </c>
      <c r="AB347" s="3">
        <v>60.497709999999998</v>
      </c>
      <c r="AC347" s="3">
        <v>5.3298399999999999</v>
      </c>
      <c r="AD347" s="3">
        <v>7.7971519999999999E-3</v>
      </c>
      <c r="AE347" s="3">
        <v>13.6036</v>
      </c>
      <c r="AF347" s="3">
        <v>65</v>
      </c>
      <c r="AG347" s="3">
        <v>13.02474</v>
      </c>
      <c r="AH347" s="3">
        <v>97.572999999999993</v>
      </c>
      <c r="AI347" s="3">
        <v>33.594389999999997</v>
      </c>
      <c r="AK347" s="3">
        <v>3.8786389999999997E-2</v>
      </c>
      <c r="AL347" s="3">
        <v>40.640529999999998</v>
      </c>
      <c r="AM347" s="3">
        <v>23.36487</v>
      </c>
      <c r="AN347" s="3">
        <v>13.6264</v>
      </c>
      <c r="AO347" s="3">
        <v>10.72697</v>
      </c>
      <c r="AQ347" s="3">
        <v>5.5969429999999996</v>
      </c>
      <c r="AV347" s="3">
        <v>24.469760000000001</v>
      </c>
      <c r="AW347" s="3">
        <v>2.424526E-4</v>
      </c>
      <c r="AX347" s="3">
        <v>25.90532</v>
      </c>
      <c r="AY347" s="3">
        <v>3.5417149999999999</v>
      </c>
    </row>
    <row r="348" spans="1:51" x14ac:dyDescent="0.2">
      <c r="A348" s="3" t="s">
        <v>245</v>
      </c>
      <c r="B348" s="49">
        <v>28399</v>
      </c>
      <c r="D348" s="3">
        <v>34.250610000000002</v>
      </c>
      <c r="F348" s="3">
        <v>27.25836</v>
      </c>
      <c r="G348" s="3">
        <v>50.954639999999998</v>
      </c>
      <c r="H348" s="3">
        <v>1.7994520000000001</v>
      </c>
      <c r="J348" s="3">
        <v>0.54932749999999997</v>
      </c>
      <c r="K348" s="3">
        <v>0.5314757</v>
      </c>
      <c r="M348" s="3">
        <v>43.383189999999999</v>
      </c>
      <c r="N348" s="3">
        <v>26.42783</v>
      </c>
      <c r="P348" s="3">
        <v>13.46612</v>
      </c>
      <c r="S348" s="3">
        <v>27.64593</v>
      </c>
      <c r="T348" s="3">
        <v>27.518799999999999</v>
      </c>
      <c r="V348" s="3">
        <v>29.125340000000001</v>
      </c>
      <c r="W348" s="3">
        <v>21.462730000000001</v>
      </c>
      <c r="X348" s="3">
        <v>3.2194600000000002</v>
      </c>
      <c r="Z348" s="3">
        <v>2.9117099999999998</v>
      </c>
      <c r="AA348" s="3">
        <v>5.5504819999999997</v>
      </c>
      <c r="AB348" s="3">
        <v>60.497709999999998</v>
      </c>
      <c r="AC348" s="3">
        <v>5.5402279999999999</v>
      </c>
      <c r="AD348" s="3">
        <v>8.0791730000000003E-3</v>
      </c>
      <c r="AE348" s="3">
        <v>13.785130000000001</v>
      </c>
      <c r="AF348" s="3">
        <v>65.5</v>
      </c>
      <c r="AG348" s="3">
        <v>12.98479</v>
      </c>
      <c r="AH348" s="3">
        <v>97.901899999999998</v>
      </c>
      <c r="AI348" s="3">
        <v>33.742199999999997</v>
      </c>
      <c r="AK348" s="3">
        <v>3.9082739999999998E-2</v>
      </c>
      <c r="AL348" s="3">
        <v>40.81129</v>
      </c>
      <c r="AM348" s="3">
        <v>23.436540000000001</v>
      </c>
      <c r="AN348" s="3">
        <v>13.72932</v>
      </c>
      <c r="AO348" s="3">
        <v>10.83891</v>
      </c>
      <c r="AQ348" s="3">
        <v>5.7143759999999997</v>
      </c>
      <c r="AV348" s="3">
        <v>24.61562</v>
      </c>
      <c r="AW348" s="3">
        <v>2.599527E-4</v>
      </c>
      <c r="AX348" s="3">
        <v>25.989699999999999</v>
      </c>
      <c r="AY348" s="3">
        <v>3.5877119999999998</v>
      </c>
    </row>
    <row r="349" spans="1:51" x14ac:dyDescent="0.2">
      <c r="A349" s="3" t="s">
        <v>246</v>
      </c>
      <c r="B349" s="49">
        <v>28430</v>
      </c>
      <c r="D349" s="3">
        <v>34.374600000000001</v>
      </c>
      <c r="F349" s="3">
        <v>27.41638</v>
      </c>
      <c r="G349" s="3">
        <v>50.90372</v>
      </c>
      <c r="H349" s="3">
        <v>1.8390219999999999</v>
      </c>
      <c r="J349" s="3">
        <v>0.54932749999999997</v>
      </c>
      <c r="K349" s="3">
        <v>0.53348499999999999</v>
      </c>
      <c r="M349" s="3">
        <v>43.448430000000002</v>
      </c>
      <c r="N349" s="3">
        <v>27.254359999999998</v>
      </c>
      <c r="P349" s="3">
        <v>13.574949999999999</v>
      </c>
      <c r="S349" s="3">
        <v>27.699560000000002</v>
      </c>
      <c r="T349" s="3">
        <v>27.62116</v>
      </c>
      <c r="V349" s="3">
        <v>29.20879</v>
      </c>
      <c r="W349" s="3">
        <v>21.566310000000001</v>
      </c>
      <c r="X349" s="3">
        <v>3.2626750000000002</v>
      </c>
      <c r="Z349" s="3">
        <v>2.942952</v>
      </c>
      <c r="AA349" s="3">
        <v>5.5504819999999997</v>
      </c>
      <c r="AB349" s="3">
        <v>60.497709999999998</v>
      </c>
      <c r="AC349" s="3">
        <v>5.7973689999999998</v>
      </c>
      <c r="AD349" s="3">
        <v>9.0358480000000008E-3</v>
      </c>
      <c r="AE349" s="3">
        <v>13.921279999999999</v>
      </c>
      <c r="AF349" s="3">
        <v>64.8</v>
      </c>
      <c r="AG349" s="3">
        <v>13.03472</v>
      </c>
      <c r="AH349" s="3">
        <v>98.293400000000005</v>
      </c>
      <c r="AI349" s="3">
        <v>33.905639999999998</v>
      </c>
      <c r="AK349" s="3">
        <v>3.9510080000000003E-2</v>
      </c>
      <c r="AL349" s="3">
        <v>40.868209999999998</v>
      </c>
      <c r="AM349" s="3">
        <v>23.436540000000001</v>
      </c>
      <c r="AN349" s="3">
        <v>13.798</v>
      </c>
      <c r="AO349" s="3">
        <v>10.928649999999999</v>
      </c>
      <c r="AQ349" s="3">
        <v>5.7820489999999998</v>
      </c>
      <c r="AV349" s="3">
        <v>24.810099999999998</v>
      </c>
      <c r="AW349" s="3">
        <v>2.7728289999999999E-4</v>
      </c>
      <c r="AX349" s="3">
        <v>26.11627</v>
      </c>
      <c r="AY349" s="3">
        <v>3.5877119999999998</v>
      </c>
    </row>
    <row r="350" spans="1:51" x14ac:dyDescent="0.2">
      <c r="A350" s="3" t="s">
        <v>247</v>
      </c>
      <c r="B350" s="49">
        <v>28460</v>
      </c>
      <c r="D350" s="3">
        <v>34.509610000000002</v>
      </c>
      <c r="F350" s="3">
        <v>27.574400000000001</v>
      </c>
      <c r="G350" s="3">
        <v>51.005569999999999</v>
      </c>
      <c r="H350" s="3">
        <v>1.896428</v>
      </c>
      <c r="J350" s="3">
        <v>0.54932749999999997</v>
      </c>
      <c r="K350" s="3">
        <v>0.5385084</v>
      </c>
      <c r="M350" s="3">
        <v>43.578899999999997</v>
      </c>
      <c r="N350" s="3">
        <v>27.275549999999999</v>
      </c>
      <c r="P350" s="3">
        <v>13.68215</v>
      </c>
      <c r="S350" s="3">
        <v>27.806819999999998</v>
      </c>
      <c r="T350" s="3">
        <v>27.694269999999999</v>
      </c>
      <c r="V350" s="3">
        <v>29.2898</v>
      </c>
      <c r="W350" s="3">
        <v>21.68139</v>
      </c>
      <c r="X350" s="3">
        <v>3.3058890000000001</v>
      </c>
      <c r="Z350" s="3">
        <v>2.9866899999999998</v>
      </c>
      <c r="AA350" s="3">
        <v>5.5504819999999997</v>
      </c>
      <c r="AB350" s="3">
        <v>60.891190000000002</v>
      </c>
      <c r="AC350" s="3">
        <v>6.4051580000000001</v>
      </c>
      <c r="AD350" s="3">
        <v>9.2128020000000008E-3</v>
      </c>
      <c r="AE350" s="3">
        <v>13.98935</v>
      </c>
      <c r="AF350" s="3">
        <v>64.599999999999994</v>
      </c>
      <c r="AG350" s="3">
        <v>13.15455</v>
      </c>
      <c r="AH350" s="3">
        <v>99.238900000000001</v>
      </c>
      <c r="AI350" s="3">
        <v>33.832610000000003</v>
      </c>
      <c r="AK350" s="3">
        <v>4.0056939999999999E-2</v>
      </c>
      <c r="AL350" s="3">
        <v>40.868209999999998</v>
      </c>
      <c r="AM350" s="3">
        <v>23.508209999999998</v>
      </c>
      <c r="AN350" s="3">
        <v>13.86205</v>
      </c>
      <c r="AO350" s="3">
        <v>11.001329999999999</v>
      </c>
      <c r="AQ350" s="3">
        <v>5.8964949999999998</v>
      </c>
      <c r="AV350" s="3">
        <v>24.973839999999999</v>
      </c>
      <c r="AW350" s="3">
        <v>2.8938850000000002E-4</v>
      </c>
      <c r="AX350" s="3">
        <v>26.20065</v>
      </c>
      <c r="AY350" s="3">
        <v>3.6337079999999999</v>
      </c>
    </row>
    <row r="351" spans="1:51" x14ac:dyDescent="0.2">
      <c r="A351" s="3" t="s">
        <v>248</v>
      </c>
      <c r="B351" s="49">
        <v>28491</v>
      </c>
      <c r="D351" s="3">
        <v>34.683190000000003</v>
      </c>
      <c r="F351" s="3">
        <v>27.732420000000001</v>
      </c>
      <c r="G351" s="3">
        <v>51.005569999999999</v>
      </c>
      <c r="H351" s="3">
        <v>1.9308920000000001</v>
      </c>
      <c r="J351" s="3">
        <v>0.54932749999999997</v>
      </c>
      <c r="K351" s="3">
        <v>0.54353180000000001</v>
      </c>
      <c r="M351" s="3">
        <v>43.905090000000001</v>
      </c>
      <c r="N351" s="3">
        <v>27.381519999999998</v>
      </c>
      <c r="P351" s="3">
        <v>13.90035</v>
      </c>
      <c r="S351" s="3">
        <v>27.887260000000001</v>
      </c>
      <c r="T351" s="3">
        <v>27.825869999999998</v>
      </c>
      <c r="V351" s="3">
        <v>29.473469999999999</v>
      </c>
      <c r="W351" s="3">
        <v>21.807980000000001</v>
      </c>
      <c r="X351" s="3">
        <v>3.3491029999999999</v>
      </c>
      <c r="Z351" s="3">
        <v>2.9866899999999998</v>
      </c>
      <c r="AA351" s="3">
        <v>5.4667139999999996</v>
      </c>
      <c r="AB351" s="3">
        <v>60.891190000000002</v>
      </c>
      <c r="AC351" s="3">
        <v>6.8493110000000001</v>
      </c>
      <c r="AD351" s="3">
        <v>9.4229380000000005E-3</v>
      </c>
      <c r="AE351" s="3">
        <v>14.10281</v>
      </c>
      <c r="AF351" s="3">
        <v>64.900000000000006</v>
      </c>
      <c r="AG351" s="3">
        <v>13.53401</v>
      </c>
      <c r="AH351" s="3">
        <v>99.834800000000001</v>
      </c>
      <c r="AI351" s="3">
        <v>33.98563</v>
      </c>
      <c r="AK351" s="3">
        <v>4.0947650000000002E-2</v>
      </c>
      <c r="AL351" s="3">
        <v>40.754359999999998</v>
      </c>
      <c r="AM351" s="3">
        <v>24.009910000000001</v>
      </c>
      <c r="AN351" s="3">
        <v>13.981070000000001</v>
      </c>
      <c r="AO351" s="3">
        <v>11.10553</v>
      </c>
      <c r="AQ351" s="3">
        <v>6.039803</v>
      </c>
      <c r="AV351" s="3">
        <v>25.4986</v>
      </c>
      <c r="AW351" s="3">
        <v>3.0094200000000001E-4</v>
      </c>
      <c r="AX351" s="3">
        <v>26.369420000000002</v>
      </c>
      <c r="AY351" s="3">
        <v>3.6797040000000001</v>
      </c>
    </row>
    <row r="352" spans="1:51" x14ac:dyDescent="0.2">
      <c r="A352" s="3" t="s">
        <v>249</v>
      </c>
      <c r="B352" s="49">
        <v>28522</v>
      </c>
      <c r="D352" s="3">
        <v>34.820950000000003</v>
      </c>
      <c r="F352" s="3">
        <v>27.969449999999998</v>
      </c>
      <c r="G352" s="3">
        <v>51.055619999999998</v>
      </c>
      <c r="H352" s="3">
        <v>1.977428</v>
      </c>
      <c r="J352" s="3">
        <v>0.56101529999999999</v>
      </c>
      <c r="K352" s="3">
        <v>0.54252710000000004</v>
      </c>
      <c r="M352" s="3">
        <v>44.035559999999997</v>
      </c>
      <c r="N352" s="3">
        <v>27.508679999999998</v>
      </c>
      <c r="P352" s="3">
        <v>14.03693</v>
      </c>
      <c r="S352" s="3">
        <v>28.235859999999999</v>
      </c>
      <c r="T352" s="3">
        <v>28.03058</v>
      </c>
      <c r="V352" s="3">
        <v>29.655650000000001</v>
      </c>
      <c r="W352" s="3">
        <v>21.934570000000001</v>
      </c>
      <c r="X352" s="3">
        <v>3.327496</v>
      </c>
      <c r="Z352" s="3">
        <v>2.9929380000000001</v>
      </c>
      <c r="AA352" s="3">
        <v>5.3829469999999997</v>
      </c>
      <c r="AB352" s="3">
        <v>60.891190000000002</v>
      </c>
      <c r="AC352" s="3">
        <v>7.1765819999999998</v>
      </c>
      <c r="AD352" s="3">
        <v>9.5722410000000004E-3</v>
      </c>
      <c r="AE352" s="3">
        <v>14.250310000000001</v>
      </c>
      <c r="AF352" s="3">
        <v>65.2</v>
      </c>
      <c r="AG352" s="3">
        <v>13.813610000000001</v>
      </c>
      <c r="AH352" s="3">
        <v>99.897300000000001</v>
      </c>
      <c r="AI352" s="3">
        <v>34.063879999999997</v>
      </c>
      <c r="AK352" s="3">
        <v>4.153544E-2</v>
      </c>
      <c r="AL352" s="3">
        <v>40.925130000000003</v>
      </c>
      <c r="AM352" s="3">
        <v>24.081589999999998</v>
      </c>
      <c r="AN352" s="3">
        <v>14.08503</v>
      </c>
      <c r="AO352" s="3">
        <v>11.19767</v>
      </c>
      <c r="AQ352" s="3">
        <v>6.0557259999999999</v>
      </c>
      <c r="AV352" s="3">
        <v>25.78753</v>
      </c>
      <c r="AW352" s="3">
        <v>3.1695539999999998E-4</v>
      </c>
      <c r="AX352" s="3">
        <v>26.538180000000001</v>
      </c>
      <c r="AY352" s="3">
        <v>3.6797040000000001</v>
      </c>
    </row>
    <row r="353" spans="1:51" x14ac:dyDescent="0.2">
      <c r="A353" s="3" t="s">
        <v>250</v>
      </c>
      <c r="B353" s="49">
        <v>28550</v>
      </c>
      <c r="D353" s="3">
        <v>34.909120000000001</v>
      </c>
      <c r="F353" s="3">
        <v>28.206479999999999</v>
      </c>
      <c r="G353" s="3">
        <v>51.106549999999999</v>
      </c>
      <c r="H353" s="3">
        <v>2.0353050000000001</v>
      </c>
      <c r="J353" s="3">
        <v>0.58439090000000005</v>
      </c>
      <c r="K353" s="3">
        <v>0.54353180000000001</v>
      </c>
      <c r="M353" s="3">
        <v>44.166040000000002</v>
      </c>
      <c r="N353" s="3">
        <v>27.69942</v>
      </c>
      <c r="P353" s="3">
        <v>14.21705</v>
      </c>
      <c r="S353" s="3">
        <v>28.316299999999998</v>
      </c>
      <c r="T353" s="3">
        <v>28.279150000000001</v>
      </c>
      <c r="V353" s="3">
        <v>29.888000000000002</v>
      </c>
      <c r="W353" s="3">
        <v>22.072669999999999</v>
      </c>
      <c r="X353" s="3">
        <v>3.4139240000000002</v>
      </c>
      <c r="Z353" s="3">
        <v>3.0054349999999999</v>
      </c>
      <c r="AA353" s="3">
        <v>5.4011579999999997</v>
      </c>
      <c r="AB353" s="3">
        <v>61.383040000000001</v>
      </c>
      <c r="AC353" s="3">
        <v>7.8544999999999998</v>
      </c>
      <c r="AD353" s="3">
        <v>9.9261599999999998E-3</v>
      </c>
      <c r="AE353" s="3">
        <v>14.431839999999999</v>
      </c>
      <c r="AF353" s="3">
        <v>65.8</v>
      </c>
      <c r="AG353" s="3">
        <v>13.99335</v>
      </c>
      <c r="AH353" s="3">
        <v>99.822699999999998</v>
      </c>
      <c r="AI353" s="3">
        <v>34.159520000000001</v>
      </c>
      <c r="AK353" s="3">
        <v>4.1967690000000002E-2</v>
      </c>
      <c r="AL353" s="3">
        <v>41.266640000000002</v>
      </c>
      <c r="AM353" s="3">
        <v>24.368269999999999</v>
      </c>
      <c r="AN353" s="3">
        <v>14.19951</v>
      </c>
      <c r="AO353" s="3">
        <v>11.288080000000001</v>
      </c>
      <c r="AQ353" s="3">
        <v>6.1104609999999999</v>
      </c>
      <c r="AV353" s="3">
        <v>25.795349999999999</v>
      </c>
      <c r="AW353" s="3">
        <v>3.228595E-4</v>
      </c>
      <c r="AX353" s="3">
        <v>26.749140000000001</v>
      </c>
      <c r="AY353" s="3">
        <v>3.6797040000000001</v>
      </c>
    </row>
    <row r="354" spans="1:51" x14ac:dyDescent="0.2">
      <c r="A354" s="3" t="s">
        <v>251</v>
      </c>
      <c r="B354" s="49">
        <v>28581</v>
      </c>
      <c r="D354" s="3">
        <v>34.936669999999999</v>
      </c>
      <c r="F354" s="3">
        <v>28.285489999999999</v>
      </c>
      <c r="G354" s="3">
        <v>51.208410000000001</v>
      </c>
      <c r="H354" s="3">
        <v>2.088441</v>
      </c>
      <c r="J354" s="3">
        <v>0.58439090000000005</v>
      </c>
      <c r="K354" s="3">
        <v>0.54955989999999999</v>
      </c>
      <c r="M354" s="3">
        <v>44.361759999999997</v>
      </c>
      <c r="N354" s="3">
        <v>27.80538</v>
      </c>
      <c r="P354" s="3">
        <v>14.51633</v>
      </c>
      <c r="S354" s="3">
        <v>28.47719</v>
      </c>
      <c r="T354" s="3">
        <v>28.586220000000001</v>
      </c>
      <c r="V354" s="3">
        <v>30.138929999999998</v>
      </c>
      <c r="W354" s="3">
        <v>22.3949</v>
      </c>
      <c r="X354" s="3">
        <v>3.4787460000000001</v>
      </c>
      <c r="Z354" s="3">
        <v>3.0616690000000002</v>
      </c>
      <c r="AA354" s="3">
        <v>5.4157260000000003</v>
      </c>
      <c r="AB354" s="3">
        <v>61.383040000000001</v>
      </c>
      <c r="AC354" s="3">
        <v>8.1583950000000005</v>
      </c>
      <c r="AD354" s="3">
        <v>1.0473619999999999E-2</v>
      </c>
      <c r="AE354" s="3">
        <v>14.56799</v>
      </c>
      <c r="AF354" s="3">
        <v>66.5</v>
      </c>
      <c r="AG354" s="3">
        <v>13.973380000000001</v>
      </c>
      <c r="AH354" s="3">
        <v>99.843800000000002</v>
      </c>
      <c r="AI354" s="3">
        <v>34.352530000000002</v>
      </c>
      <c r="AK354" s="3">
        <v>4.2434329999999999E-2</v>
      </c>
      <c r="AL354" s="3">
        <v>41.55124</v>
      </c>
      <c r="AM354" s="3">
        <v>24.43994</v>
      </c>
      <c r="AN354" s="3">
        <v>14.33844</v>
      </c>
      <c r="AO354" s="3">
        <v>11.41775</v>
      </c>
      <c r="AQ354" s="3">
        <v>6.4856470000000002</v>
      </c>
      <c r="AV354" s="3">
        <v>25.95965</v>
      </c>
      <c r="AW354" s="3">
        <v>3.3250160000000001E-4</v>
      </c>
      <c r="AX354" s="3">
        <v>26.960090000000001</v>
      </c>
      <c r="AY354" s="3">
        <v>3.7716970000000001</v>
      </c>
    </row>
    <row r="355" spans="1:51" x14ac:dyDescent="0.2">
      <c r="A355" s="3" t="s">
        <v>252</v>
      </c>
      <c r="B355" s="49">
        <v>28611</v>
      </c>
      <c r="D355" s="3">
        <v>34.983510000000003</v>
      </c>
      <c r="F355" s="3">
        <v>28.680540000000001</v>
      </c>
      <c r="G355" s="3">
        <v>51.259329999999999</v>
      </c>
      <c r="H355" s="3">
        <v>2.132568</v>
      </c>
      <c r="J355" s="3">
        <v>0.60776660000000005</v>
      </c>
      <c r="K355" s="3">
        <v>0.55659259999999999</v>
      </c>
      <c r="M355" s="3">
        <v>44.426990000000004</v>
      </c>
      <c r="N355" s="3">
        <v>28.038509999999999</v>
      </c>
      <c r="P355" s="3">
        <v>14.661619999999999</v>
      </c>
      <c r="S355" s="3">
        <v>28.906220000000001</v>
      </c>
      <c r="T355" s="3">
        <v>28.864039999999999</v>
      </c>
      <c r="V355" s="3">
        <v>30.378409999999999</v>
      </c>
      <c r="W355" s="3">
        <v>22.52148</v>
      </c>
      <c r="X355" s="3">
        <v>3.500353</v>
      </c>
      <c r="Z355" s="3">
        <v>3.0491730000000001</v>
      </c>
      <c r="AA355" s="3">
        <v>5.4339360000000001</v>
      </c>
      <c r="AB355" s="3">
        <v>61.383040000000001</v>
      </c>
      <c r="AC355" s="3">
        <v>8.6960540000000002</v>
      </c>
      <c r="AD355" s="3">
        <v>1.066717E-2</v>
      </c>
      <c r="AE355" s="3">
        <v>14.704140000000001</v>
      </c>
      <c r="AF355" s="3">
        <v>66.900000000000006</v>
      </c>
      <c r="AG355" s="3">
        <v>14.11318</v>
      </c>
      <c r="AH355" s="3">
        <v>100.00830000000001</v>
      </c>
      <c r="AI355" s="3">
        <v>34.40643</v>
      </c>
      <c r="AK355" s="3">
        <v>4.2850199999999998E-2</v>
      </c>
      <c r="AL355" s="3">
        <v>41.608159999999998</v>
      </c>
      <c r="AM355" s="3">
        <v>24.511610000000001</v>
      </c>
      <c r="AN355" s="3">
        <v>14.461550000000001</v>
      </c>
      <c r="AO355" s="3">
        <v>11.51296</v>
      </c>
      <c r="AQ355" s="3">
        <v>6.5563060000000002</v>
      </c>
      <c r="AV355" s="3">
        <v>26.09937</v>
      </c>
      <c r="AW355" s="3">
        <v>3.4970429999999999E-4</v>
      </c>
      <c r="AX355" s="3">
        <v>27.213239999999999</v>
      </c>
      <c r="AY355" s="3">
        <v>3.7716970000000001</v>
      </c>
    </row>
    <row r="356" spans="1:51" x14ac:dyDescent="0.2">
      <c r="A356" s="3" t="s">
        <v>253</v>
      </c>
      <c r="B356" s="49">
        <v>28642</v>
      </c>
      <c r="D356" s="3">
        <v>34.986269999999998</v>
      </c>
      <c r="F356" s="3">
        <v>28.917570000000001</v>
      </c>
      <c r="G356" s="3">
        <v>51.361190000000001</v>
      </c>
      <c r="H356" s="3">
        <v>2.1756489999999999</v>
      </c>
      <c r="J356" s="3">
        <v>0.61945439999999996</v>
      </c>
      <c r="K356" s="3">
        <v>0.56463010000000002</v>
      </c>
      <c r="M356" s="3">
        <v>44.557470000000002</v>
      </c>
      <c r="N356" s="3">
        <v>28.10209</v>
      </c>
      <c r="P356" s="3">
        <v>14.80963</v>
      </c>
      <c r="S356" s="3">
        <v>28.906220000000001</v>
      </c>
      <c r="T356" s="3">
        <v>29.083369999999999</v>
      </c>
      <c r="V356" s="3">
        <v>30.59685</v>
      </c>
      <c r="W356" s="3">
        <v>22.694109999999998</v>
      </c>
      <c r="X356" s="3">
        <v>3.5651739999999998</v>
      </c>
      <c r="Z356" s="3">
        <v>3.0054349999999999</v>
      </c>
      <c r="AA356" s="3">
        <v>5.4994930000000002</v>
      </c>
      <c r="AB356" s="3">
        <v>61.874890000000001</v>
      </c>
      <c r="AC356" s="3">
        <v>8.7661840000000009</v>
      </c>
      <c r="AD356" s="3">
        <v>1.0877299999999999E-2</v>
      </c>
      <c r="AE356" s="3">
        <v>14.828939999999999</v>
      </c>
      <c r="AF356" s="3">
        <v>66.599999999999994</v>
      </c>
      <c r="AG356" s="3">
        <v>14.50263</v>
      </c>
      <c r="AH356" s="3">
        <v>100.7343</v>
      </c>
      <c r="AI356" s="3">
        <v>34.503810000000001</v>
      </c>
      <c r="AK356" s="3">
        <v>4.3439640000000002E-2</v>
      </c>
      <c r="AL356" s="3">
        <v>41.55124</v>
      </c>
      <c r="AM356" s="3">
        <v>24.654959999999999</v>
      </c>
      <c r="AN356" s="3">
        <v>14.577730000000001</v>
      </c>
      <c r="AO356" s="3">
        <v>11.60169</v>
      </c>
      <c r="AQ356" s="3">
        <v>6.5612820000000003</v>
      </c>
      <c r="AV356" s="3">
        <v>26.126750000000001</v>
      </c>
      <c r="AW356" s="3">
        <v>3.6406120000000001E-4</v>
      </c>
      <c r="AX356" s="3">
        <v>27.508579999999998</v>
      </c>
      <c r="AY356" s="3">
        <v>3.7716970000000001</v>
      </c>
    </row>
    <row r="357" spans="1:51" x14ac:dyDescent="0.2">
      <c r="A357" s="3" t="s">
        <v>254</v>
      </c>
      <c r="B357" s="49">
        <v>28672</v>
      </c>
      <c r="D357" s="3">
        <v>35.179130000000001</v>
      </c>
      <c r="F357" s="3">
        <v>29.312609999999999</v>
      </c>
      <c r="G357" s="3">
        <v>51.361190000000001</v>
      </c>
      <c r="H357" s="3">
        <v>2.230416</v>
      </c>
      <c r="J357" s="3">
        <v>0.61945439999999996</v>
      </c>
      <c r="K357" s="3">
        <v>0.56663940000000002</v>
      </c>
      <c r="M357" s="3">
        <v>44.492229999999999</v>
      </c>
      <c r="N357" s="3">
        <v>28.165669999999999</v>
      </c>
      <c r="P357" s="3">
        <v>15.13068</v>
      </c>
      <c r="S357" s="3">
        <v>28.98667</v>
      </c>
      <c r="T357" s="3">
        <v>29.4343</v>
      </c>
      <c r="V357" s="3">
        <v>30.787610000000001</v>
      </c>
      <c r="W357" s="3">
        <v>22.79768</v>
      </c>
      <c r="X357" s="3">
        <v>3.4787460000000001</v>
      </c>
      <c r="Z357" s="3">
        <v>3.0554209999999999</v>
      </c>
      <c r="AA357" s="3">
        <v>5.5504819999999997</v>
      </c>
      <c r="AB357" s="3">
        <v>61.874890000000001</v>
      </c>
      <c r="AC357" s="3">
        <v>9.0467010000000005</v>
      </c>
      <c r="AD357" s="3">
        <v>1.113721E-2</v>
      </c>
      <c r="AE357" s="3">
        <v>14.91971</v>
      </c>
      <c r="AF357" s="3">
        <v>66.8</v>
      </c>
      <c r="AG357" s="3">
        <v>14.71233</v>
      </c>
      <c r="AH357" s="3">
        <v>100.57689999999999</v>
      </c>
      <c r="AI357" s="3">
        <v>34.566400000000002</v>
      </c>
      <c r="AK357" s="3">
        <v>4.4176430000000003E-2</v>
      </c>
      <c r="AL357" s="3">
        <v>41.892760000000003</v>
      </c>
      <c r="AM357" s="3">
        <v>24.94164</v>
      </c>
      <c r="AN357" s="3">
        <v>14.696820000000001</v>
      </c>
      <c r="AO357" s="3">
        <v>11.69171</v>
      </c>
      <c r="AQ357" s="3">
        <v>6.6856799999999996</v>
      </c>
      <c r="AV357" s="3">
        <v>26.238520000000001</v>
      </c>
      <c r="AW357" s="3">
        <v>3.778659E-4</v>
      </c>
      <c r="AX357" s="3">
        <v>27.719529999999999</v>
      </c>
      <c r="AY357" s="3">
        <v>3.9096860000000002</v>
      </c>
    </row>
    <row r="358" spans="1:51" x14ac:dyDescent="0.2">
      <c r="A358" s="3" t="s">
        <v>255</v>
      </c>
      <c r="B358" s="49">
        <v>28703</v>
      </c>
      <c r="D358" s="3">
        <v>35.338940000000001</v>
      </c>
      <c r="F358" s="3">
        <v>29.39162</v>
      </c>
      <c r="G358" s="3">
        <v>51.412120000000002</v>
      </c>
      <c r="H358" s="3">
        <v>2.2929560000000002</v>
      </c>
      <c r="J358" s="3">
        <v>0.61945439999999996</v>
      </c>
      <c r="K358" s="3">
        <v>0.56262069999999997</v>
      </c>
      <c r="M358" s="3">
        <v>44.426990000000004</v>
      </c>
      <c r="N358" s="3">
        <v>28.292829999999999</v>
      </c>
      <c r="P358" s="3">
        <v>15.394590000000001</v>
      </c>
      <c r="S358" s="3">
        <v>29.120740000000001</v>
      </c>
      <c r="T358" s="3">
        <v>29.609760000000001</v>
      </c>
      <c r="V358" s="3">
        <v>30.906600000000001</v>
      </c>
      <c r="W358" s="3">
        <v>22.947289999999999</v>
      </c>
      <c r="X358" s="3">
        <v>3.4355319999999998</v>
      </c>
      <c r="Z358" s="3">
        <v>3.092911</v>
      </c>
      <c r="AA358" s="3">
        <v>5.5686920000000004</v>
      </c>
      <c r="AB358" s="3">
        <v>61.874890000000001</v>
      </c>
      <c r="AC358" s="3">
        <v>9.2804660000000005</v>
      </c>
      <c r="AD358" s="3">
        <v>1.140264E-2</v>
      </c>
      <c r="AE358" s="3">
        <v>14.999129999999999</v>
      </c>
      <c r="AF358" s="3">
        <v>67</v>
      </c>
      <c r="AG358" s="3">
        <v>14.742279999999999</v>
      </c>
      <c r="AH358" s="3">
        <v>100.4224</v>
      </c>
      <c r="AI358" s="3">
        <v>34.606400000000001</v>
      </c>
      <c r="AK358" s="3">
        <v>4.4616870000000003E-2</v>
      </c>
      <c r="AL358" s="3">
        <v>42.063510000000001</v>
      </c>
      <c r="AM358" s="3">
        <v>24.94164</v>
      </c>
      <c r="AN358" s="3">
        <v>14.76948</v>
      </c>
      <c r="AO358" s="3">
        <v>11.758839999999999</v>
      </c>
      <c r="AQ358" s="3">
        <v>6.7603200000000001</v>
      </c>
      <c r="AV358" s="3">
        <v>26.2212</v>
      </c>
      <c r="AW358" s="3">
        <v>3.878477E-4</v>
      </c>
      <c r="AX358" s="3">
        <v>27.8461</v>
      </c>
      <c r="AY358" s="3">
        <v>3.9556819999999999</v>
      </c>
    </row>
    <row r="359" spans="1:51" x14ac:dyDescent="0.2">
      <c r="A359" s="3" t="s">
        <v>256</v>
      </c>
      <c r="B359" s="49">
        <v>28734</v>
      </c>
      <c r="D359" s="3">
        <v>35.493229999999997</v>
      </c>
      <c r="F359" s="3">
        <v>29.312609999999999</v>
      </c>
      <c r="G359" s="3">
        <v>51.259329999999999</v>
      </c>
      <c r="H359" s="3">
        <v>2.3587669999999998</v>
      </c>
      <c r="J359" s="3">
        <v>0.61945439999999996</v>
      </c>
      <c r="K359" s="3">
        <v>0.56864879999999995</v>
      </c>
      <c r="M359" s="3">
        <v>44.361759999999997</v>
      </c>
      <c r="N359" s="3">
        <v>28.483560000000001</v>
      </c>
      <c r="P359" s="3">
        <v>15.521380000000001</v>
      </c>
      <c r="S359" s="3">
        <v>29.308440000000001</v>
      </c>
      <c r="T359" s="3">
        <v>29.799849999999999</v>
      </c>
      <c r="V359" s="3">
        <v>31.114360000000001</v>
      </c>
      <c r="W359" s="3">
        <v>23.039349999999999</v>
      </c>
      <c r="X359" s="3">
        <v>3.52196</v>
      </c>
      <c r="Z359" s="3">
        <v>3.0554209999999999</v>
      </c>
      <c r="AA359" s="3">
        <v>5.6524590000000003</v>
      </c>
      <c r="AB359" s="3">
        <v>62.17</v>
      </c>
      <c r="AC359" s="3">
        <v>9.3973479999999991</v>
      </c>
      <c r="AD359" s="3">
        <v>1.1745500000000001E-2</v>
      </c>
      <c r="AE359" s="3">
        <v>15.23739</v>
      </c>
      <c r="AF359" s="3">
        <v>67.7</v>
      </c>
      <c r="AG359" s="3">
        <v>15.04185</v>
      </c>
      <c r="AH359" s="3">
        <v>100.33669999999999</v>
      </c>
      <c r="AI359" s="3">
        <v>34.668990000000001</v>
      </c>
      <c r="AK359" s="3">
        <v>4.5126079999999999E-2</v>
      </c>
      <c r="AL359" s="3">
        <v>42.405029999999996</v>
      </c>
      <c r="AM359" s="3">
        <v>25.3</v>
      </c>
      <c r="AN359" s="3">
        <v>14.887560000000001</v>
      </c>
      <c r="AO359" s="3">
        <v>11.857150000000001</v>
      </c>
      <c r="AQ359" s="3">
        <v>6.8558579999999996</v>
      </c>
      <c r="AV359" s="3">
        <v>26.405609999999999</v>
      </c>
      <c r="AW359" s="3">
        <v>4.0526279999999999E-4</v>
      </c>
      <c r="AX359" s="3">
        <v>28.05706</v>
      </c>
      <c r="AY359" s="3">
        <v>4.0016780000000001</v>
      </c>
    </row>
    <row r="360" spans="1:51" x14ac:dyDescent="0.2">
      <c r="A360" s="3" t="s">
        <v>257</v>
      </c>
      <c r="B360" s="49">
        <v>28764</v>
      </c>
      <c r="D360" s="3">
        <v>35.575890000000001</v>
      </c>
      <c r="F360" s="3">
        <v>29.707660000000001</v>
      </c>
      <c r="G360" s="3">
        <v>51.158360000000002</v>
      </c>
      <c r="H360" s="3">
        <v>2.4024429999999999</v>
      </c>
      <c r="J360" s="3">
        <v>0.63114219999999999</v>
      </c>
      <c r="K360" s="3">
        <v>0.56965350000000003</v>
      </c>
      <c r="M360" s="3">
        <v>44.426990000000004</v>
      </c>
      <c r="N360" s="3">
        <v>29.013390000000001</v>
      </c>
      <c r="P360" s="3">
        <v>15.663399999999999</v>
      </c>
      <c r="S360" s="3">
        <v>29.49615</v>
      </c>
      <c r="T360" s="3">
        <v>30.077670000000001</v>
      </c>
      <c r="V360" s="3">
        <v>31.34027</v>
      </c>
      <c r="W360" s="3">
        <v>23.14293</v>
      </c>
      <c r="X360" s="3">
        <v>3.5867819999999999</v>
      </c>
      <c r="Z360" s="3">
        <v>3.0804140000000002</v>
      </c>
      <c r="AA360" s="3">
        <v>5.7216579999999997</v>
      </c>
      <c r="AB360" s="3">
        <v>62.17</v>
      </c>
      <c r="AC360" s="3">
        <v>9.4674779999999998</v>
      </c>
      <c r="AD360" s="3">
        <v>1.242014E-2</v>
      </c>
      <c r="AE360" s="3">
        <v>15.37354</v>
      </c>
      <c r="AF360" s="3">
        <v>67.900000000000006</v>
      </c>
      <c r="AG360" s="3">
        <v>15.171670000000001</v>
      </c>
      <c r="AH360" s="3">
        <v>100.4927</v>
      </c>
      <c r="AI360" s="3">
        <v>34.86027</v>
      </c>
      <c r="AK360" s="3">
        <v>4.5672940000000002E-2</v>
      </c>
      <c r="AL360" s="3">
        <v>42.51887</v>
      </c>
      <c r="AM360" s="3">
        <v>25.3</v>
      </c>
      <c r="AN360" s="3">
        <v>15.021979999999999</v>
      </c>
      <c r="AO360" s="3">
        <v>11.964589999999999</v>
      </c>
      <c r="AQ360" s="3">
        <v>7.0638519999999998</v>
      </c>
      <c r="AV360" s="3">
        <v>26.540299999999998</v>
      </c>
      <c r="AW360" s="3">
        <v>4.2484419999999997E-4</v>
      </c>
      <c r="AX360" s="3">
        <v>28.310210000000001</v>
      </c>
      <c r="AY360" s="3">
        <v>4.0476749999999999</v>
      </c>
    </row>
    <row r="361" spans="1:51" x14ac:dyDescent="0.2">
      <c r="A361" s="3" t="s">
        <v>258</v>
      </c>
      <c r="B361" s="49">
        <v>28795</v>
      </c>
      <c r="D361" s="3">
        <v>35.686100000000003</v>
      </c>
      <c r="F361" s="3">
        <v>29.865680000000001</v>
      </c>
      <c r="G361" s="3">
        <v>51.259329999999999</v>
      </c>
      <c r="H361" s="3">
        <v>2.4346329999999998</v>
      </c>
      <c r="J361" s="3">
        <v>0.64283000000000001</v>
      </c>
      <c r="K361" s="3">
        <v>0.57166280000000003</v>
      </c>
      <c r="M361" s="3">
        <v>44.557470000000002</v>
      </c>
      <c r="N361" s="3">
        <v>29.204129999999999</v>
      </c>
      <c r="P361" s="3">
        <v>15.73197</v>
      </c>
      <c r="S361" s="3">
        <v>29.657029999999999</v>
      </c>
      <c r="T361" s="3">
        <v>30.238510000000002</v>
      </c>
      <c r="V361" s="3">
        <v>31.44012</v>
      </c>
      <c r="W361" s="3">
        <v>23.304040000000001</v>
      </c>
      <c r="X361" s="3">
        <v>3.6299959999999998</v>
      </c>
      <c r="Z361" s="3">
        <v>3.149146</v>
      </c>
      <c r="AA361" s="3">
        <v>5.7216579999999997</v>
      </c>
      <c r="AB361" s="3">
        <v>62.17</v>
      </c>
      <c r="AC361" s="3">
        <v>9.5376069999999995</v>
      </c>
      <c r="AD361" s="3">
        <v>1.3194330000000001E-2</v>
      </c>
      <c r="AE361" s="3">
        <v>15.53238</v>
      </c>
      <c r="AF361" s="3">
        <v>67.2</v>
      </c>
      <c r="AG361" s="3">
        <v>15.25156</v>
      </c>
      <c r="AH361" s="3">
        <v>100.4466</v>
      </c>
      <c r="AI361" s="3">
        <v>34.975029999999997</v>
      </c>
      <c r="AK361" s="3">
        <v>4.6142849999999999E-2</v>
      </c>
      <c r="AL361" s="3">
        <v>42.51887</v>
      </c>
      <c r="AM361" s="3">
        <v>25.371670000000002</v>
      </c>
      <c r="AN361" s="3">
        <v>15.08742</v>
      </c>
      <c r="AO361" s="3">
        <v>12.049659999999999</v>
      </c>
      <c r="AQ361" s="3">
        <v>7.1454579999999996</v>
      </c>
      <c r="AV361" s="3">
        <v>26.647600000000001</v>
      </c>
      <c r="AW361" s="3">
        <v>4.3822419999999998E-4</v>
      </c>
      <c r="AX361" s="3">
        <v>28.436779999999999</v>
      </c>
      <c r="AY361" s="3">
        <v>4.0476749999999999</v>
      </c>
    </row>
    <row r="362" spans="1:51" x14ac:dyDescent="0.2">
      <c r="A362" s="3" t="s">
        <v>259</v>
      </c>
      <c r="B362" s="49">
        <v>28825</v>
      </c>
      <c r="D362" s="3">
        <v>35.843150000000001</v>
      </c>
      <c r="F362" s="3">
        <v>29.944690000000001</v>
      </c>
      <c r="G362" s="3">
        <v>51.361190000000001</v>
      </c>
      <c r="H362" s="3">
        <v>2.4714299999999998</v>
      </c>
      <c r="J362" s="3">
        <v>0.65451780000000004</v>
      </c>
      <c r="K362" s="3">
        <v>0.58170960000000005</v>
      </c>
      <c r="M362" s="3">
        <v>44.687950000000001</v>
      </c>
      <c r="N362" s="3">
        <v>29.22532</v>
      </c>
      <c r="P362" s="3">
        <v>15.94528</v>
      </c>
      <c r="S362" s="3">
        <v>29.603400000000001</v>
      </c>
      <c r="T362" s="3">
        <v>30.384740000000001</v>
      </c>
      <c r="V362" s="3">
        <v>31.56015</v>
      </c>
      <c r="W362" s="3">
        <v>23.499680000000001</v>
      </c>
      <c r="X362" s="3">
        <v>3.694817</v>
      </c>
      <c r="Z362" s="3">
        <v>3.1866349999999999</v>
      </c>
      <c r="AA362" s="3">
        <v>5.6342489999999996</v>
      </c>
      <c r="AB362" s="3">
        <v>62.268369999999997</v>
      </c>
      <c r="AC362" s="3">
        <v>9.6311140000000002</v>
      </c>
      <c r="AD362" s="3">
        <v>1.364777E-2</v>
      </c>
      <c r="AE362" s="3">
        <v>15.611800000000001</v>
      </c>
      <c r="AF362" s="3">
        <v>67.099999999999994</v>
      </c>
      <c r="AG362" s="3">
        <v>15.31147</v>
      </c>
      <c r="AH362" s="3">
        <v>100.7634</v>
      </c>
      <c r="AI362" s="3">
        <v>34.973289999999999</v>
      </c>
      <c r="AK362" s="3">
        <v>4.653417E-2</v>
      </c>
      <c r="AL362" s="3">
        <v>42.461950000000002</v>
      </c>
      <c r="AM362" s="3">
        <v>25.371670000000002</v>
      </c>
      <c r="AN362" s="3">
        <v>15.15903</v>
      </c>
      <c r="AO362" s="3">
        <v>12.127420000000001</v>
      </c>
      <c r="AQ362" s="3">
        <v>7.274832</v>
      </c>
      <c r="AV362" s="3">
        <v>26.814689999999999</v>
      </c>
      <c r="AW362" s="3">
        <v>4.4557249999999999E-4</v>
      </c>
      <c r="AX362" s="3">
        <v>28.56335</v>
      </c>
      <c r="AY362" s="3">
        <v>4.0476749999999999</v>
      </c>
    </row>
    <row r="363" spans="1:51" x14ac:dyDescent="0.2">
      <c r="A363" s="3" t="s">
        <v>260</v>
      </c>
      <c r="B363" s="49">
        <v>28856</v>
      </c>
      <c r="D363" s="3">
        <v>36.055309999999999</v>
      </c>
      <c r="F363" s="3">
        <v>30.102709999999998</v>
      </c>
      <c r="G363" s="3">
        <v>51.564909999999998</v>
      </c>
      <c r="H363" s="3">
        <v>2.5265430000000002</v>
      </c>
      <c r="J363" s="3">
        <v>0.66620559999999995</v>
      </c>
      <c r="K363" s="3">
        <v>0.58572829999999998</v>
      </c>
      <c r="M363" s="3">
        <v>45.14461</v>
      </c>
      <c r="N363" s="3">
        <v>29.22532</v>
      </c>
      <c r="P363" s="3">
        <v>16.218979999999998</v>
      </c>
      <c r="S363" s="3">
        <v>29.844740000000002</v>
      </c>
      <c r="T363" s="3">
        <v>30.662559999999999</v>
      </c>
      <c r="V363" s="3">
        <v>31.842690000000001</v>
      </c>
      <c r="W363" s="3">
        <v>23.844919999999998</v>
      </c>
      <c r="X363" s="3">
        <v>3.8460670000000001</v>
      </c>
      <c r="Z363" s="3">
        <v>3.1928839999999998</v>
      </c>
      <c r="AA363" s="3">
        <v>5.5869020000000003</v>
      </c>
      <c r="AB363" s="3">
        <v>62.268369999999997</v>
      </c>
      <c r="AC363" s="3">
        <v>9.7713730000000005</v>
      </c>
      <c r="AD363" s="3">
        <v>1.4322430000000001E-2</v>
      </c>
      <c r="AE363" s="3">
        <v>15.87275</v>
      </c>
      <c r="AF363" s="3">
        <v>67.2</v>
      </c>
      <c r="AG363" s="3">
        <v>15.44129</v>
      </c>
      <c r="AH363" s="3">
        <v>101.0692</v>
      </c>
      <c r="AI363" s="3">
        <v>35.249769999999998</v>
      </c>
      <c r="AK363" s="3">
        <v>4.8186220000000002E-2</v>
      </c>
      <c r="AL363" s="3">
        <v>42.405029999999996</v>
      </c>
      <c r="AM363" s="3">
        <v>25.3</v>
      </c>
      <c r="AN363" s="3">
        <v>15.32249</v>
      </c>
      <c r="AO363" s="3">
        <v>12.277469999999999</v>
      </c>
      <c r="AQ363" s="3">
        <v>7.3325529999999999</v>
      </c>
      <c r="AV363" s="3">
        <v>26.99297</v>
      </c>
      <c r="AW363" s="3">
        <v>4.559791E-4</v>
      </c>
      <c r="AX363" s="3">
        <v>28.816500000000001</v>
      </c>
      <c r="AY363" s="3">
        <v>4.0936709999999996</v>
      </c>
    </row>
    <row r="364" spans="1:51" x14ac:dyDescent="0.2">
      <c r="A364" s="3" t="s">
        <v>261</v>
      </c>
      <c r="B364" s="49">
        <v>28887</v>
      </c>
      <c r="D364" s="3">
        <v>36.173780000000001</v>
      </c>
      <c r="F364" s="3">
        <v>30.49776</v>
      </c>
      <c r="G364" s="3">
        <v>52.12424</v>
      </c>
      <c r="H364" s="3">
        <v>2.5675680000000001</v>
      </c>
      <c r="J364" s="3">
        <v>0.68958129999999995</v>
      </c>
      <c r="K364" s="3">
        <v>0.58472369999999996</v>
      </c>
      <c r="M364" s="3">
        <v>45.275089999999999</v>
      </c>
      <c r="N364" s="3">
        <v>29.394870000000001</v>
      </c>
      <c r="P364" s="3">
        <v>16.34468</v>
      </c>
      <c r="S364" s="3">
        <v>30.19333</v>
      </c>
      <c r="T364" s="3">
        <v>30.867270000000001</v>
      </c>
      <c r="V364" s="3">
        <v>32.111409999999999</v>
      </c>
      <c r="W364" s="3">
        <v>24.040559999999999</v>
      </c>
      <c r="X364" s="3">
        <v>3.8460670000000001</v>
      </c>
      <c r="Z364" s="3">
        <v>3.2678639999999999</v>
      </c>
      <c r="AA364" s="3">
        <v>5.5359129999999999</v>
      </c>
      <c r="AB364" s="3">
        <v>62.268369999999997</v>
      </c>
      <c r="AC364" s="3">
        <v>9.8648790000000002</v>
      </c>
      <c r="AD364" s="3">
        <v>1.4670809999999999E-2</v>
      </c>
      <c r="AE364" s="3">
        <v>16.11102</v>
      </c>
      <c r="AF364" s="3">
        <v>67</v>
      </c>
      <c r="AG364" s="3">
        <v>15.98118</v>
      </c>
      <c r="AH364" s="3">
        <v>101.265</v>
      </c>
      <c r="AI364" s="3">
        <v>35.434089999999998</v>
      </c>
      <c r="AK364" s="3">
        <v>4.88788E-2</v>
      </c>
      <c r="AL364" s="3">
        <v>42.632710000000003</v>
      </c>
      <c r="AM364" s="3">
        <v>25.4</v>
      </c>
      <c r="AN364" s="3">
        <v>15.45903</v>
      </c>
      <c r="AO364" s="3">
        <v>12.375870000000001</v>
      </c>
      <c r="AQ364" s="3">
        <v>7.4559559999999996</v>
      </c>
      <c r="AV364" s="3">
        <v>27.212589999999999</v>
      </c>
      <c r="AW364" s="3">
        <v>4.661733E-4</v>
      </c>
      <c r="AX364" s="3">
        <v>29.154029999999999</v>
      </c>
      <c r="AY364" s="3">
        <v>4.1396680000000003</v>
      </c>
    </row>
    <row r="365" spans="1:51" x14ac:dyDescent="0.2">
      <c r="A365" s="3" t="s">
        <v>262</v>
      </c>
      <c r="B365" s="49">
        <v>28915</v>
      </c>
      <c r="D365" s="3">
        <v>36.195819999999998</v>
      </c>
      <c r="F365" s="3">
        <v>30.813800000000001</v>
      </c>
      <c r="G365" s="3">
        <v>52.378</v>
      </c>
      <c r="H365" s="3">
        <v>2.6397349999999999</v>
      </c>
      <c r="J365" s="3">
        <v>0.7129569</v>
      </c>
      <c r="K365" s="3">
        <v>0.58572829999999998</v>
      </c>
      <c r="M365" s="3">
        <v>45.53604</v>
      </c>
      <c r="N365" s="3">
        <v>29.649190000000001</v>
      </c>
      <c r="P365" s="3">
        <v>16.51446</v>
      </c>
      <c r="S365" s="3">
        <v>30.40784</v>
      </c>
      <c r="T365" s="3">
        <v>31.14509</v>
      </c>
      <c r="V365" s="3">
        <v>32.415759999999999</v>
      </c>
      <c r="W365" s="3">
        <v>24.2362</v>
      </c>
      <c r="X365" s="3">
        <v>3.9757099999999999</v>
      </c>
      <c r="Z365" s="3">
        <v>3.2678639999999999</v>
      </c>
      <c r="AA365" s="3">
        <v>5.5869020000000003</v>
      </c>
      <c r="AB365" s="3">
        <v>62.563479999999998</v>
      </c>
      <c r="AC365" s="3">
        <v>10.09864</v>
      </c>
      <c r="AD365" s="3">
        <v>1.549476E-2</v>
      </c>
      <c r="AE365" s="3">
        <v>16.326589999999999</v>
      </c>
      <c r="AF365" s="3">
        <v>67.599999999999994</v>
      </c>
      <c r="AG365" s="3">
        <v>16.270769999999999</v>
      </c>
      <c r="AH365" s="3">
        <v>101.0218</v>
      </c>
      <c r="AI365" s="3">
        <v>35.496690000000001</v>
      </c>
      <c r="AK365" s="3">
        <v>4.9541910000000002E-2</v>
      </c>
      <c r="AL365" s="3">
        <v>43.031149999999997</v>
      </c>
      <c r="AM365" s="3">
        <v>25.5</v>
      </c>
      <c r="AN365" s="3">
        <v>15.6112</v>
      </c>
      <c r="AO365" s="3">
        <v>12.495050000000001</v>
      </c>
      <c r="AQ365" s="3">
        <v>7.5753789999999999</v>
      </c>
      <c r="AV365" s="3">
        <v>27.351749999999999</v>
      </c>
      <c r="AW365" s="3">
        <v>4.7781169999999999E-4</v>
      </c>
      <c r="AX365" s="3">
        <v>29.449359999999999</v>
      </c>
      <c r="AY365" s="3">
        <v>4.1856640000000001</v>
      </c>
    </row>
    <row r="366" spans="1:51" x14ac:dyDescent="0.2">
      <c r="A366" s="3" t="s">
        <v>263</v>
      </c>
      <c r="B366" s="49">
        <v>28946</v>
      </c>
      <c r="D366" s="3">
        <v>36.281239999999997</v>
      </c>
      <c r="F366" s="3">
        <v>31.050830000000001</v>
      </c>
      <c r="G366" s="3">
        <v>52.530790000000003</v>
      </c>
      <c r="H366" s="3">
        <v>2.7081930000000001</v>
      </c>
      <c r="J366" s="3">
        <v>0.72464470000000003</v>
      </c>
      <c r="K366" s="3">
        <v>0.58974709999999997</v>
      </c>
      <c r="M366" s="3">
        <v>45.731749999999998</v>
      </c>
      <c r="N366" s="3">
        <v>29.75515</v>
      </c>
      <c r="P366" s="3">
        <v>16.763680000000001</v>
      </c>
      <c r="S366" s="3">
        <v>30.675989999999999</v>
      </c>
      <c r="T366" s="3">
        <v>31.45215</v>
      </c>
      <c r="V366" s="3">
        <v>32.772449999999999</v>
      </c>
      <c r="W366" s="3">
        <v>24.650500000000001</v>
      </c>
      <c r="X366" s="3">
        <v>4.0405309999999997</v>
      </c>
      <c r="Z366" s="3">
        <v>3.3678360000000001</v>
      </c>
      <c r="AA366" s="3">
        <v>5.6706690000000002</v>
      </c>
      <c r="AB366" s="3">
        <v>62.563479999999998</v>
      </c>
      <c r="AC366" s="3">
        <v>10.19215</v>
      </c>
      <c r="AD366" s="3">
        <v>1.6838519999999999E-2</v>
      </c>
      <c r="AE366" s="3">
        <v>16.530809999999999</v>
      </c>
      <c r="AF366" s="3">
        <v>68.5</v>
      </c>
      <c r="AG366" s="3">
        <v>16.670200000000001</v>
      </c>
      <c r="AH366" s="3">
        <v>100.3523</v>
      </c>
      <c r="AI366" s="3">
        <v>35.583629999999999</v>
      </c>
      <c r="AK366" s="3">
        <v>4.9985630000000003E-2</v>
      </c>
      <c r="AL366" s="3">
        <v>43.315739999999998</v>
      </c>
      <c r="AM366" s="3">
        <v>25.6</v>
      </c>
      <c r="AN366" s="3">
        <v>15.80166</v>
      </c>
      <c r="AO366" s="3">
        <v>12.64594</v>
      </c>
      <c r="AQ366" s="3">
        <v>7.7923309999999999</v>
      </c>
      <c r="AV366" s="3">
        <v>27.50487</v>
      </c>
      <c r="AW366" s="3">
        <v>5.0215039999999996E-4</v>
      </c>
      <c r="AX366" s="3">
        <v>29.78689</v>
      </c>
      <c r="AY366" s="3">
        <v>4.2316599999999998</v>
      </c>
    </row>
    <row r="367" spans="1:51" x14ac:dyDescent="0.2">
      <c r="A367" s="3" t="s">
        <v>264</v>
      </c>
      <c r="B367" s="49">
        <v>28976</v>
      </c>
      <c r="D367" s="3">
        <v>36.380429999999997</v>
      </c>
      <c r="F367" s="3">
        <v>31.366869999999999</v>
      </c>
      <c r="G367" s="3">
        <v>52.734499999999997</v>
      </c>
      <c r="H367" s="3">
        <v>2.7764039999999999</v>
      </c>
      <c r="J367" s="3">
        <v>0.74802040000000003</v>
      </c>
      <c r="K367" s="3">
        <v>0.59477049999999998</v>
      </c>
      <c r="M367" s="3">
        <v>45.862220000000001</v>
      </c>
      <c r="N367" s="3">
        <v>30.24259</v>
      </c>
      <c r="P367" s="3">
        <v>16.959569999999999</v>
      </c>
      <c r="S367" s="3">
        <v>30.783249999999999</v>
      </c>
      <c r="T367" s="3">
        <v>31.788460000000001</v>
      </c>
      <c r="V367" s="3">
        <v>33.104320000000001</v>
      </c>
      <c r="W367" s="3">
        <v>24.846129999999999</v>
      </c>
      <c r="X367" s="3">
        <v>4.0837450000000004</v>
      </c>
      <c r="Z367" s="3">
        <v>3.4678089999999999</v>
      </c>
      <c r="AA367" s="3">
        <v>5.7034479999999999</v>
      </c>
      <c r="AB367" s="3">
        <v>62.563479999999998</v>
      </c>
      <c r="AC367" s="3">
        <v>10.332409999999999</v>
      </c>
      <c r="AD367" s="3">
        <v>1.7640360000000001E-2</v>
      </c>
      <c r="AE367" s="3">
        <v>16.712340000000001</v>
      </c>
      <c r="AF367" s="3">
        <v>69</v>
      </c>
      <c r="AG367" s="3">
        <v>17.18946</v>
      </c>
      <c r="AH367" s="3">
        <v>100.4119</v>
      </c>
      <c r="AI367" s="3">
        <v>35.78707</v>
      </c>
      <c r="AK367" s="3">
        <v>5.0640560000000001E-2</v>
      </c>
      <c r="AL367" s="3">
        <v>43.315739999999998</v>
      </c>
      <c r="AM367" s="3">
        <v>25.7</v>
      </c>
      <c r="AN367" s="3">
        <v>15.971310000000001</v>
      </c>
      <c r="AO367" s="3">
        <v>12.765459999999999</v>
      </c>
      <c r="AQ367" s="3">
        <v>8.0192340000000009</v>
      </c>
      <c r="AV367" s="3">
        <v>27.670850000000002</v>
      </c>
      <c r="AW367" s="3">
        <v>5.2428040000000004E-4</v>
      </c>
      <c r="AX367" s="3">
        <v>30.166609999999999</v>
      </c>
      <c r="AY367" s="3">
        <v>4.2316599999999998</v>
      </c>
    </row>
    <row r="368" spans="1:51" x14ac:dyDescent="0.2">
      <c r="A368" s="3" t="s">
        <v>265</v>
      </c>
      <c r="B368" s="49">
        <v>29007</v>
      </c>
      <c r="D368" s="3">
        <v>36.570540000000001</v>
      </c>
      <c r="F368" s="3">
        <v>31.524889999999999</v>
      </c>
      <c r="G368" s="3">
        <v>53.445740000000001</v>
      </c>
      <c r="H368" s="3">
        <v>2.8460990000000002</v>
      </c>
      <c r="J368" s="3">
        <v>0.74802040000000003</v>
      </c>
      <c r="K368" s="3">
        <v>0.60984070000000001</v>
      </c>
      <c r="M368" s="3">
        <v>46.123179999999998</v>
      </c>
      <c r="N368" s="3">
        <v>30.5181</v>
      </c>
      <c r="P368" s="3">
        <v>17.109210000000001</v>
      </c>
      <c r="S368" s="3">
        <v>30.997769999999999</v>
      </c>
      <c r="T368" s="3">
        <v>32.051650000000002</v>
      </c>
      <c r="V368" s="3">
        <v>33.402520000000003</v>
      </c>
      <c r="W368" s="3">
        <v>25.271940000000001</v>
      </c>
      <c r="X368" s="3">
        <v>4.2133880000000001</v>
      </c>
      <c r="Z368" s="3">
        <v>3.555285</v>
      </c>
      <c r="AA368" s="3">
        <v>5.8054249999999996</v>
      </c>
      <c r="AB368" s="3">
        <v>62.465110000000003</v>
      </c>
      <c r="AC368" s="3">
        <v>10.40254</v>
      </c>
      <c r="AD368" s="3">
        <v>1.8265239999999999E-2</v>
      </c>
      <c r="AE368" s="3">
        <v>16.848490000000002</v>
      </c>
      <c r="AF368" s="3">
        <v>69.099999999999994</v>
      </c>
      <c r="AG368" s="3">
        <v>17.349229999999999</v>
      </c>
      <c r="AH368" s="3">
        <v>101.1075</v>
      </c>
      <c r="AI368" s="3">
        <v>35.945300000000003</v>
      </c>
      <c r="AK368" s="3">
        <v>5.1202159999999997E-2</v>
      </c>
      <c r="AL368" s="3">
        <v>43.315739999999998</v>
      </c>
      <c r="AM368" s="3">
        <v>25.8</v>
      </c>
      <c r="AN368" s="3">
        <v>16.147179999999999</v>
      </c>
      <c r="AO368" s="3">
        <v>12.946199999999999</v>
      </c>
      <c r="AQ368" s="3">
        <v>8.0421230000000001</v>
      </c>
      <c r="AV368" s="3">
        <v>27.793800000000001</v>
      </c>
      <c r="AW368" s="3">
        <v>5.8102819999999999E-4</v>
      </c>
      <c r="AX368" s="3">
        <v>30.50414</v>
      </c>
      <c r="AY368" s="3">
        <v>4.2776569999999996</v>
      </c>
    </row>
    <row r="369" spans="1:51" x14ac:dyDescent="0.2">
      <c r="A369" s="3" t="s">
        <v>266</v>
      </c>
      <c r="B369" s="49">
        <v>29037</v>
      </c>
      <c r="D369" s="3">
        <v>36.873620000000003</v>
      </c>
      <c r="F369" s="3">
        <v>31.76192</v>
      </c>
      <c r="G369" s="3">
        <v>53.598529999999997</v>
      </c>
      <c r="H369" s="3">
        <v>2.9489100000000001</v>
      </c>
      <c r="J369" s="3">
        <v>0.75970819999999994</v>
      </c>
      <c r="K369" s="3">
        <v>0.61385940000000006</v>
      </c>
      <c r="M369" s="3">
        <v>46.384129999999999</v>
      </c>
      <c r="N369" s="3">
        <v>31.217479999999998</v>
      </c>
      <c r="P369" s="3">
        <v>17.47869</v>
      </c>
      <c r="S369" s="3">
        <v>31.158660000000001</v>
      </c>
      <c r="T369" s="3">
        <v>32.475700000000003</v>
      </c>
      <c r="V369" s="3">
        <v>33.810200000000002</v>
      </c>
      <c r="W369" s="3">
        <v>26.365210000000001</v>
      </c>
      <c r="X369" s="3">
        <v>4.1917809999999998</v>
      </c>
      <c r="Z369" s="3">
        <v>3.6427619999999998</v>
      </c>
      <c r="AA369" s="3">
        <v>5.9401809999999999</v>
      </c>
      <c r="AB369" s="3">
        <v>62.465110000000003</v>
      </c>
      <c r="AC369" s="3">
        <v>10.51942</v>
      </c>
      <c r="AD369" s="3">
        <v>1.9271679999999999E-2</v>
      </c>
      <c r="AE369" s="3">
        <v>16.995989999999999</v>
      </c>
      <c r="AF369" s="3">
        <v>69.7</v>
      </c>
      <c r="AG369" s="3">
        <v>17.429110000000001</v>
      </c>
      <c r="AH369" s="3">
        <v>100.9862</v>
      </c>
      <c r="AI369" s="3">
        <v>36.124400000000001</v>
      </c>
      <c r="AK369" s="3">
        <v>5.1822699999999999E-2</v>
      </c>
      <c r="AL369" s="3">
        <v>43.486499999999999</v>
      </c>
      <c r="AM369" s="3">
        <v>26</v>
      </c>
      <c r="AN369" s="3">
        <v>16.375129999999999</v>
      </c>
      <c r="AO369" s="3">
        <v>13.18426</v>
      </c>
      <c r="AQ369" s="3">
        <v>8.0650119999999994</v>
      </c>
      <c r="AV369" s="3">
        <v>27.984359999999999</v>
      </c>
      <c r="AW369" s="3">
        <v>6.3136219999999996E-4</v>
      </c>
      <c r="AX369" s="3">
        <v>30.841670000000001</v>
      </c>
      <c r="AY369" s="3">
        <v>4.4616420000000003</v>
      </c>
    </row>
    <row r="370" spans="1:51" x14ac:dyDescent="0.2">
      <c r="A370" s="3" t="s">
        <v>267</v>
      </c>
      <c r="B370" s="49">
        <v>29068</v>
      </c>
      <c r="D370" s="3">
        <v>37.047199999999997</v>
      </c>
      <c r="F370" s="3">
        <v>31.84093</v>
      </c>
      <c r="G370" s="3">
        <v>53.496670000000002</v>
      </c>
      <c r="H370" s="3">
        <v>3.0882990000000001</v>
      </c>
      <c r="J370" s="3">
        <v>0.77139599999999997</v>
      </c>
      <c r="K370" s="3">
        <v>0.61285469999999997</v>
      </c>
      <c r="M370" s="3">
        <v>46.449370000000002</v>
      </c>
      <c r="N370" s="3">
        <v>31.7685</v>
      </c>
      <c r="P370" s="3">
        <v>17.650649999999999</v>
      </c>
      <c r="S370" s="3">
        <v>31.292729999999999</v>
      </c>
      <c r="T370" s="3">
        <v>32.811999999999998</v>
      </c>
      <c r="V370" s="3">
        <v>34.01314</v>
      </c>
      <c r="W370" s="3">
        <v>26.57236</v>
      </c>
      <c r="X370" s="3">
        <v>4.1485669999999999</v>
      </c>
      <c r="Z370" s="3">
        <v>3.7239900000000001</v>
      </c>
      <c r="AA370" s="3">
        <v>6.0567260000000003</v>
      </c>
      <c r="AB370" s="3">
        <v>62.465110000000003</v>
      </c>
      <c r="AC370" s="3">
        <v>10.65968</v>
      </c>
      <c r="AD370" s="3">
        <v>2.0886399999999999E-2</v>
      </c>
      <c r="AE370" s="3">
        <v>17.200209999999998</v>
      </c>
      <c r="AF370" s="3">
        <v>69</v>
      </c>
      <c r="AG370" s="3">
        <v>17.48903</v>
      </c>
      <c r="AH370" s="3">
        <v>100.8297</v>
      </c>
      <c r="AI370" s="3">
        <v>36.237430000000003</v>
      </c>
      <c r="AK370" s="3">
        <v>5.2606970000000003E-2</v>
      </c>
      <c r="AL370" s="3">
        <v>43.657260000000001</v>
      </c>
      <c r="AM370" s="3">
        <v>26</v>
      </c>
      <c r="AN370" s="3">
        <v>16.492640000000002</v>
      </c>
      <c r="AO370" s="3">
        <v>13.30226</v>
      </c>
      <c r="AQ370" s="3">
        <v>8.2361850000000008</v>
      </c>
      <c r="AV370" s="3">
        <v>28.378350000000001</v>
      </c>
      <c r="AW370" s="3">
        <v>6.5773980000000001E-4</v>
      </c>
      <c r="AX370" s="3">
        <v>31.13701</v>
      </c>
      <c r="AY370" s="3">
        <v>4.507638</v>
      </c>
    </row>
    <row r="371" spans="1:51" x14ac:dyDescent="0.2">
      <c r="A371" s="3" t="s">
        <v>268</v>
      </c>
      <c r="B371" s="49">
        <v>29099</v>
      </c>
      <c r="D371" s="3">
        <v>37.12435</v>
      </c>
      <c r="F371" s="3">
        <v>32.156970000000001</v>
      </c>
      <c r="G371" s="3">
        <v>53.751309999999997</v>
      </c>
      <c r="H371" s="3">
        <v>3.2093989999999999</v>
      </c>
      <c r="J371" s="3">
        <v>0.79477169999999997</v>
      </c>
      <c r="K371" s="3">
        <v>0.61988750000000004</v>
      </c>
      <c r="M371" s="3">
        <v>46.64508</v>
      </c>
      <c r="N371" s="3">
        <v>32.128779999999999</v>
      </c>
      <c r="P371" s="3">
        <v>17.882999999999999</v>
      </c>
      <c r="S371" s="3">
        <v>31.560880000000001</v>
      </c>
      <c r="T371" s="3">
        <v>33.089820000000003</v>
      </c>
      <c r="V371" s="3">
        <v>34.393270000000001</v>
      </c>
      <c r="W371" s="3">
        <v>26.837050000000001</v>
      </c>
      <c r="X371" s="3">
        <v>4.2349949999999996</v>
      </c>
      <c r="Z371" s="3">
        <v>3.7552310000000002</v>
      </c>
      <c r="AA371" s="3">
        <v>6.1077149999999998</v>
      </c>
      <c r="AB371" s="3">
        <v>63.055329999999998</v>
      </c>
      <c r="AC371" s="3">
        <v>11.173959999999999</v>
      </c>
      <c r="AD371" s="3">
        <v>2.2556429999999999E-2</v>
      </c>
      <c r="AE371" s="3">
        <v>17.642700000000001</v>
      </c>
      <c r="AF371" s="3">
        <v>69.900000000000006</v>
      </c>
      <c r="AG371" s="3">
        <v>17.72869</v>
      </c>
      <c r="AH371" s="3">
        <v>100.7025</v>
      </c>
      <c r="AI371" s="3">
        <v>36.437399999999997</v>
      </c>
      <c r="AK371" s="3">
        <v>5.3252069999999999E-2</v>
      </c>
      <c r="AL371" s="3">
        <v>44.055700000000002</v>
      </c>
      <c r="AM371" s="3">
        <v>26.1</v>
      </c>
      <c r="AN371" s="3">
        <v>16.68722</v>
      </c>
      <c r="AO371" s="3">
        <v>13.47551</v>
      </c>
      <c r="AQ371" s="3">
        <v>8.4173100000000005</v>
      </c>
      <c r="AV371" s="3">
        <v>28.501300000000001</v>
      </c>
      <c r="AW371" s="3">
        <v>6.8827999999999999E-4</v>
      </c>
      <c r="AX371" s="3">
        <v>31.474530000000001</v>
      </c>
      <c r="AY371" s="3">
        <v>4.5536339999999997</v>
      </c>
    </row>
    <row r="372" spans="1:51" x14ac:dyDescent="0.2">
      <c r="A372" s="3" t="s">
        <v>269</v>
      </c>
      <c r="B372" s="49">
        <v>29129</v>
      </c>
      <c r="D372" s="3">
        <v>37.386099999999999</v>
      </c>
      <c r="F372" s="3">
        <v>32.393990000000002</v>
      </c>
      <c r="G372" s="3">
        <v>53.700380000000003</v>
      </c>
      <c r="H372" s="3">
        <v>3.287496</v>
      </c>
      <c r="J372" s="3">
        <v>0.79477169999999997</v>
      </c>
      <c r="K372" s="3">
        <v>0.63395299999999999</v>
      </c>
      <c r="M372" s="3">
        <v>46.710320000000003</v>
      </c>
      <c r="N372" s="3">
        <v>32.298319999999997</v>
      </c>
      <c r="P372" s="3">
        <v>18.122969999999999</v>
      </c>
      <c r="S372" s="3">
        <v>31.74858</v>
      </c>
      <c r="T372" s="3">
        <v>33.48462</v>
      </c>
      <c r="V372" s="3">
        <v>34.706319999999998</v>
      </c>
      <c r="W372" s="3">
        <v>27.113250000000001</v>
      </c>
      <c r="X372" s="3">
        <v>4.3646380000000002</v>
      </c>
      <c r="Z372" s="3">
        <v>3.786473</v>
      </c>
      <c r="AA372" s="3">
        <v>6.1404930000000002</v>
      </c>
      <c r="AB372" s="3">
        <v>63.055329999999998</v>
      </c>
      <c r="AC372" s="3">
        <v>11.664870000000001</v>
      </c>
      <c r="AD372" s="3">
        <v>2.432047E-2</v>
      </c>
      <c r="AE372" s="3">
        <v>17.971720000000001</v>
      </c>
      <c r="AF372" s="3">
        <v>70.8</v>
      </c>
      <c r="AG372" s="3">
        <v>17.848510000000001</v>
      </c>
      <c r="AH372" s="3">
        <v>100.6537</v>
      </c>
      <c r="AI372" s="3">
        <v>36.673879999999997</v>
      </c>
      <c r="AK372" s="3">
        <v>5.4182069999999999E-2</v>
      </c>
      <c r="AL372" s="3">
        <v>44.397210000000001</v>
      </c>
      <c r="AM372" s="3">
        <v>26.3</v>
      </c>
      <c r="AN372" s="3">
        <v>16.885470000000002</v>
      </c>
      <c r="AO372" s="3">
        <v>13.665789999999999</v>
      </c>
      <c r="AQ372" s="3">
        <v>8.598433</v>
      </c>
      <c r="AV372" s="3">
        <v>28.77178</v>
      </c>
      <c r="AW372" s="3">
        <v>7.3585299999999996E-4</v>
      </c>
      <c r="AX372" s="3">
        <v>31.727679999999999</v>
      </c>
      <c r="AY372" s="3">
        <v>4.5996300000000003</v>
      </c>
    </row>
    <row r="373" spans="1:51" x14ac:dyDescent="0.2">
      <c r="A373" s="3" t="s">
        <v>270</v>
      </c>
      <c r="B373" s="49">
        <v>29160</v>
      </c>
      <c r="D373" s="3">
        <v>37.543140000000001</v>
      </c>
      <c r="F373" s="3">
        <v>32.710030000000003</v>
      </c>
      <c r="G373" s="3">
        <v>53.904089999999997</v>
      </c>
      <c r="H373" s="3">
        <v>3.3579319999999999</v>
      </c>
      <c r="J373" s="3">
        <v>0.81814730000000002</v>
      </c>
      <c r="K373" s="3">
        <v>0.64801850000000005</v>
      </c>
      <c r="M373" s="3">
        <v>46.971269999999997</v>
      </c>
      <c r="N373" s="3">
        <v>32.616219999999998</v>
      </c>
      <c r="P373" s="3">
        <v>18.166499999999999</v>
      </c>
      <c r="S373" s="3">
        <v>31.989909999999998</v>
      </c>
      <c r="T373" s="3">
        <v>33.703949999999999</v>
      </c>
      <c r="V373" s="3">
        <v>34.961410000000001</v>
      </c>
      <c r="W373" s="3">
        <v>27.35492</v>
      </c>
      <c r="X373" s="3">
        <v>4.451066</v>
      </c>
      <c r="Z373" s="3">
        <v>3.8114659999999998</v>
      </c>
      <c r="AA373" s="3">
        <v>6.1914819999999997</v>
      </c>
      <c r="AB373" s="3">
        <v>63.055329999999998</v>
      </c>
      <c r="AC373" s="3">
        <v>12.06227</v>
      </c>
      <c r="AD373" s="3">
        <v>2.6687260000000001E-2</v>
      </c>
      <c r="AE373" s="3">
        <v>18.221329999999998</v>
      </c>
      <c r="AF373" s="3">
        <v>70.5</v>
      </c>
      <c r="AG373" s="3">
        <v>18.118130000000001</v>
      </c>
      <c r="AH373" s="3">
        <v>100.60939999999999</v>
      </c>
      <c r="AI373" s="3">
        <v>36.91384</v>
      </c>
      <c r="AK373" s="3">
        <v>5.4879570000000003E-2</v>
      </c>
      <c r="AL373" s="3">
        <v>44.454129999999999</v>
      </c>
      <c r="AM373" s="3">
        <v>26.5</v>
      </c>
      <c r="AN373" s="3">
        <v>17.032419999999998</v>
      </c>
      <c r="AO373" s="3">
        <v>13.81344</v>
      </c>
      <c r="AQ373" s="3">
        <v>8.6889959999999995</v>
      </c>
      <c r="AV373" s="3">
        <v>29.189800000000002</v>
      </c>
      <c r="AW373" s="3">
        <v>7.7399640000000002E-4</v>
      </c>
      <c r="AX373" s="3">
        <v>32.023020000000002</v>
      </c>
      <c r="AY373" s="3">
        <v>4.5996300000000003</v>
      </c>
    </row>
    <row r="374" spans="1:51" x14ac:dyDescent="0.2">
      <c r="A374" s="3" t="s">
        <v>271</v>
      </c>
      <c r="B374" s="49">
        <v>29190</v>
      </c>
      <c r="D374" s="3">
        <v>37.683660000000003</v>
      </c>
      <c r="E374" s="3">
        <v>1.7675380000000001E-10</v>
      </c>
      <c r="F374" s="3">
        <v>32.868049999999997</v>
      </c>
      <c r="G374" s="3">
        <v>54.005070000000003</v>
      </c>
      <c r="H374" s="3">
        <v>3.4328159999999999</v>
      </c>
      <c r="J374" s="3">
        <v>0.82983510000000005</v>
      </c>
      <c r="K374" s="3">
        <v>0.65806529999999996</v>
      </c>
      <c r="M374" s="3">
        <v>47.101750000000003</v>
      </c>
      <c r="N374" s="3">
        <v>32.6798</v>
      </c>
      <c r="P374" s="3">
        <v>18.4315</v>
      </c>
      <c r="S374" s="3">
        <v>32.150799999999997</v>
      </c>
      <c r="T374" s="3">
        <v>33.967149999999997</v>
      </c>
      <c r="V374" s="3">
        <v>35.274250000000002</v>
      </c>
      <c r="W374" s="3">
        <v>27.550550000000001</v>
      </c>
      <c r="X374" s="3">
        <v>4.6023160000000001</v>
      </c>
      <c r="Z374" s="3">
        <v>3.842708</v>
      </c>
      <c r="AA374" s="3">
        <v>6.2934590000000004</v>
      </c>
      <c r="AB374" s="3">
        <v>63.252070000000003</v>
      </c>
      <c r="AC374" s="3">
        <v>12.38954</v>
      </c>
      <c r="AD374" s="3">
        <v>2.8849449999999999E-2</v>
      </c>
      <c r="AE374" s="3">
        <v>18.550360000000001</v>
      </c>
      <c r="AF374" s="3">
        <v>70.900000000000006</v>
      </c>
      <c r="AG374" s="3">
        <v>18.55817</v>
      </c>
      <c r="AH374" s="3">
        <v>100.9629</v>
      </c>
      <c r="AI374" s="3">
        <v>37.066859999999998</v>
      </c>
      <c r="AK374" s="3">
        <v>5.5850490000000003E-2</v>
      </c>
      <c r="AL374" s="3">
        <v>44.511049999999997</v>
      </c>
      <c r="AM374" s="3">
        <v>26.5</v>
      </c>
      <c r="AN374" s="3">
        <v>17.212039999999998</v>
      </c>
      <c r="AO374" s="3">
        <v>13.97139</v>
      </c>
      <c r="AQ374" s="3">
        <v>8.8024470000000008</v>
      </c>
      <c r="AV374" s="3">
        <v>29.43122</v>
      </c>
      <c r="AW374" s="3">
        <v>8.1022829999999996E-4</v>
      </c>
      <c r="AX374" s="3">
        <v>32.360550000000003</v>
      </c>
      <c r="AY374" s="3">
        <v>4.6456270000000002</v>
      </c>
    </row>
    <row r="375" spans="1:51" x14ac:dyDescent="0.2">
      <c r="A375" s="3" t="s">
        <v>272</v>
      </c>
      <c r="B375" s="49">
        <v>29221</v>
      </c>
      <c r="D375" s="3">
        <v>38.209919999999997</v>
      </c>
      <c r="E375" s="3">
        <v>1.8844719999999999E-10</v>
      </c>
      <c r="F375" s="3">
        <v>33.026069999999997</v>
      </c>
      <c r="G375" s="3">
        <v>54.157859999999999</v>
      </c>
      <c r="H375" s="3">
        <v>3.5059710000000002</v>
      </c>
      <c r="J375" s="3">
        <v>0.85321069999999999</v>
      </c>
      <c r="K375" s="3">
        <v>0.67112609999999995</v>
      </c>
      <c r="M375" s="3">
        <v>47.362699999999997</v>
      </c>
      <c r="N375" s="3">
        <v>32.955309999999997</v>
      </c>
      <c r="P375" s="3">
        <v>18.938649999999999</v>
      </c>
      <c r="S375" s="3">
        <v>32.526200000000003</v>
      </c>
      <c r="T375" s="3">
        <v>34.625140000000002</v>
      </c>
      <c r="V375" s="3">
        <v>35.793790000000001</v>
      </c>
      <c r="W375" s="3">
        <v>28.22954</v>
      </c>
      <c r="X375" s="3">
        <v>4.7535660000000002</v>
      </c>
      <c r="Y375" s="3">
        <v>2.9751669999999999</v>
      </c>
      <c r="Z375" s="3">
        <v>3.8864459999999998</v>
      </c>
      <c r="AA375" s="3">
        <v>6.2424710000000001</v>
      </c>
      <c r="AB375" s="3">
        <v>63.252070000000003</v>
      </c>
      <c r="AC375" s="3">
        <v>12.599930000000001</v>
      </c>
      <c r="AD375" s="3">
        <v>3.0961869999999999E-2</v>
      </c>
      <c r="AE375" s="3">
        <v>19.140339999999998</v>
      </c>
      <c r="AF375" s="3">
        <v>71.599999999999994</v>
      </c>
      <c r="AG375" s="3">
        <v>19.362349999999999</v>
      </c>
      <c r="AH375" s="3">
        <v>101.2689</v>
      </c>
      <c r="AI375" s="3">
        <v>37.254649999999998</v>
      </c>
      <c r="AK375" s="3">
        <v>5.8573350000000003E-2</v>
      </c>
      <c r="AL375" s="3">
        <v>44.738729999999997</v>
      </c>
      <c r="AM375" s="3">
        <v>26.9</v>
      </c>
      <c r="AN375" s="3">
        <v>17.536799999999999</v>
      </c>
      <c r="AO375" s="3">
        <v>14.28102</v>
      </c>
      <c r="AQ375" s="3">
        <v>8.8840529999999998</v>
      </c>
      <c r="AU375" s="3">
        <v>3.4351729999999999E-4</v>
      </c>
      <c r="AV375" s="3">
        <v>30.413679999999999</v>
      </c>
      <c r="AW375" s="3">
        <v>8.9458560000000003E-4</v>
      </c>
      <c r="AX375" s="3">
        <v>32.824649999999998</v>
      </c>
      <c r="AY375" s="3">
        <v>4.6456270000000002</v>
      </c>
    </row>
    <row r="376" spans="1:51" x14ac:dyDescent="0.2">
      <c r="A376" s="3" t="s">
        <v>273</v>
      </c>
      <c r="B376" s="49">
        <v>29252</v>
      </c>
      <c r="D376" s="3">
        <v>38.498739999999998</v>
      </c>
      <c r="E376" s="3">
        <v>1.971477E-10</v>
      </c>
      <c r="F376" s="3">
        <v>33.421120000000002</v>
      </c>
      <c r="G376" s="3">
        <v>54.259720000000002</v>
      </c>
      <c r="H376" s="3">
        <v>3.5699809999999998</v>
      </c>
      <c r="J376" s="3">
        <v>0.86489859999999996</v>
      </c>
      <c r="K376" s="3">
        <v>0.67414019999999997</v>
      </c>
      <c r="M376" s="3">
        <v>47.949840000000002</v>
      </c>
      <c r="N376" s="3">
        <v>33.294400000000003</v>
      </c>
      <c r="P376" s="3">
        <v>19.107880000000002</v>
      </c>
      <c r="S376" s="3">
        <v>33.008870000000002</v>
      </c>
      <c r="T376" s="3">
        <v>34.992719999999998</v>
      </c>
      <c r="V376" s="3">
        <v>36.261409999999998</v>
      </c>
      <c r="W376" s="3">
        <v>28.63232</v>
      </c>
      <c r="X376" s="3">
        <v>4.7535660000000002</v>
      </c>
      <c r="Y376" s="3">
        <v>2.971006</v>
      </c>
      <c r="Z376" s="3">
        <v>3.9426800000000002</v>
      </c>
      <c r="AA376" s="3">
        <v>6.2060500000000003</v>
      </c>
      <c r="AB376" s="3">
        <v>63.252070000000003</v>
      </c>
      <c r="AC376" s="3">
        <v>12.85707</v>
      </c>
      <c r="AD376" s="3">
        <v>3.2488120000000002E-2</v>
      </c>
      <c r="AE376" s="3">
        <v>19.469370000000001</v>
      </c>
      <c r="AF376" s="3">
        <v>72.2</v>
      </c>
      <c r="AG376" s="3">
        <v>20.201820000000001</v>
      </c>
      <c r="AH376" s="3">
        <v>101.17829999999999</v>
      </c>
      <c r="AI376" s="3">
        <v>37.560690000000001</v>
      </c>
      <c r="AK376" s="3">
        <v>5.9927420000000002E-2</v>
      </c>
      <c r="AL376" s="3">
        <v>45.194090000000003</v>
      </c>
      <c r="AM376" s="3">
        <v>27.4</v>
      </c>
      <c r="AN376" s="3">
        <v>17.810590000000001</v>
      </c>
      <c r="AO376" s="3">
        <v>14.53965</v>
      </c>
      <c r="AQ376" s="3">
        <v>9.0492539999999995</v>
      </c>
      <c r="AU376" s="3">
        <v>3.5909450000000002E-4</v>
      </c>
      <c r="AV376" s="3">
        <v>30.876429999999999</v>
      </c>
      <c r="AW376" s="3">
        <v>1.0134759999999999E-3</v>
      </c>
      <c r="AX376" s="3">
        <v>33.28875</v>
      </c>
      <c r="AY376" s="3">
        <v>4.6916229999999999</v>
      </c>
    </row>
    <row r="377" spans="1:51" x14ac:dyDescent="0.2">
      <c r="A377" s="3" t="s">
        <v>274</v>
      </c>
      <c r="B377" s="49">
        <v>29281</v>
      </c>
      <c r="D377" s="3">
        <v>38.569189999999999</v>
      </c>
      <c r="E377" s="3">
        <v>2.0905219999999999E-10</v>
      </c>
      <c r="F377" s="3">
        <v>33.658149999999999</v>
      </c>
      <c r="G377" s="3">
        <v>54.412500000000001</v>
      </c>
      <c r="H377" s="3">
        <v>3.6750159999999998</v>
      </c>
      <c r="J377" s="3">
        <v>0.87658639999999999</v>
      </c>
      <c r="K377" s="3">
        <v>0.70026180000000005</v>
      </c>
      <c r="M377" s="3">
        <v>48.14555</v>
      </c>
      <c r="N377" s="3">
        <v>33.760649999999998</v>
      </c>
      <c r="P377" s="3">
        <v>19.210730000000002</v>
      </c>
      <c r="S377" s="3">
        <v>33.330649999999999</v>
      </c>
      <c r="T377" s="3">
        <v>35.39705</v>
      </c>
      <c r="V377" s="3">
        <v>36.67859</v>
      </c>
      <c r="W377" s="3">
        <v>29.023599999999998</v>
      </c>
      <c r="X377" s="3">
        <v>4.9048160000000003</v>
      </c>
      <c r="Y377" s="3">
        <v>3.0001340000000001</v>
      </c>
      <c r="Z377" s="3">
        <v>3.9551769999999999</v>
      </c>
      <c r="AA377" s="3">
        <v>6.2752489999999996</v>
      </c>
      <c r="AB377" s="3">
        <v>63.64555</v>
      </c>
      <c r="AC377" s="3">
        <v>13.09083</v>
      </c>
      <c r="AD377" s="3">
        <v>3.4147080000000003E-2</v>
      </c>
      <c r="AE377" s="3">
        <v>19.673590000000001</v>
      </c>
      <c r="AF377" s="3">
        <v>72.599999999999994</v>
      </c>
      <c r="AG377" s="3">
        <v>20.953410000000002</v>
      </c>
      <c r="AH377" s="3">
        <v>101.18219999999999</v>
      </c>
      <c r="AI377" s="3">
        <v>37.717179999999999</v>
      </c>
      <c r="AK377" s="3">
        <v>6.1160310000000002E-2</v>
      </c>
      <c r="AL377" s="3">
        <v>45.592529999999996</v>
      </c>
      <c r="AM377" s="3">
        <v>27.8</v>
      </c>
      <c r="AN377" s="3">
        <v>18.028120000000001</v>
      </c>
      <c r="AO377" s="3">
        <v>14.691509999999999</v>
      </c>
      <c r="AQ377" s="3">
        <v>9.1646970000000003</v>
      </c>
      <c r="AU377" s="3">
        <v>3.6975259999999998E-4</v>
      </c>
      <c r="AV377" s="3">
        <v>31.032800000000002</v>
      </c>
      <c r="AW377" s="3">
        <v>1.0517040000000001E-3</v>
      </c>
      <c r="AX377" s="3">
        <v>33.79504</v>
      </c>
      <c r="AY377" s="3">
        <v>4.7376189999999996</v>
      </c>
    </row>
    <row r="378" spans="1:51" x14ac:dyDescent="0.2">
      <c r="A378" s="3" t="s">
        <v>275</v>
      </c>
      <c r="B378" s="49">
        <v>29312</v>
      </c>
      <c r="D378" s="3">
        <v>38.618499999999997</v>
      </c>
      <c r="E378" s="3">
        <v>2.2010299999999999E-10</v>
      </c>
      <c r="F378" s="3">
        <v>33.895180000000003</v>
      </c>
      <c r="G378" s="3">
        <v>54.667140000000003</v>
      </c>
      <c r="H378" s="3">
        <v>3.7681900000000002</v>
      </c>
      <c r="J378" s="3">
        <v>0.91164979999999995</v>
      </c>
      <c r="K378" s="3">
        <v>0.70227119999999998</v>
      </c>
      <c r="M378" s="3">
        <v>48.406500000000001</v>
      </c>
      <c r="N378" s="3">
        <v>34.014969999999998</v>
      </c>
      <c r="P378" s="3">
        <v>19.396280000000001</v>
      </c>
      <c r="S378" s="3">
        <v>33.974200000000003</v>
      </c>
      <c r="T378" s="3">
        <v>35.83813</v>
      </c>
      <c r="V378" s="3">
        <v>37.166690000000003</v>
      </c>
      <c r="W378" s="3">
        <v>30.013300000000001</v>
      </c>
      <c r="X378" s="3">
        <v>5.0560660000000004</v>
      </c>
      <c r="Y378" s="3">
        <v>3.0126170000000001</v>
      </c>
      <c r="Z378" s="3">
        <v>3.992667</v>
      </c>
      <c r="AA378" s="3">
        <v>6.3080280000000002</v>
      </c>
      <c r="AB378" s="3">
        <v>63.64555</v>
      </c>
      <c r="AC378" s="3">
        <v>13.41811</v>
      </c>
      <c r="AD378" s="3">
        <v>3.7630919999999998E-2</v>
      </c>
      <c r="AE378" s="3">
        <v>19.99127</v>
      </c>
      <c r="AF378" s="3">
        <v>73.900000000000006</v>
      </c>
      <c r="AG378" s="3">
        <v>21.107859999999999</v>
      </c>
      <c r="AH378" s="3">
        <v>100.667</v>
      </c>
      <c r="AI378" s="3">
        <v>37.9328</v>
      </c>
      <c r="AK378" s="3">
        <v>6.2229479999999997E-2</v>
      </c>
      <c r="AL378" s="3">
        <v>46.047879999999999</v>
      </c>
      <c r="AM378" s="3">
        <v>28</v>
      </c>
      <c r="AN378" s="3">
        <v>18.282900000000001</v>
      </c>
      <c r="AO378" s="3">
        <v>14.91591</v>
      </c>
      <c r="AQ378" s="3">
        <v>9.2263979999999997</v>
      </c>
      <c r="AU378" s="3">
        <v>3.7795100000000001E-4</v>
      </c>
      <c r="AV378" s="3">
        <v>31.24343</v>
      </c>
      <c r="AW378" s="3">
        <v>1.091886E-3</v>
      </c>
      <c r="AX378" s="3">
        <v>34.174759999999999</v>
      </c>
      <c r="AY378" s="3">
        <v>4.7836160000000003</v>
      </c>
    </row>
    <row r="379" spans="1:51" x14ac:dyDescent="0.2">
      <c r="A379" s="3" t="s">
        <v>276</v>
      </c>
      <c r="B379" s="49">
        <v>29342</v>
      </c>
      <c r="D379" s="3">
        <v>38.73122</v>
      </c>
      <c r="E379" s="3">
        <v>2.326548E-10</v>
      </c>
      <c r="F379" s="3">
        <v>34.290230000000001</v>
      </c>
      <c r="G379" s="3">
        <v>55.022759999999998</v>
      </c>
      <c r="H379" s="3">
        <v>3.8554309999999998</v>
      </c>
      <c r="J379" s="3">
        <v>0.94671329999999998</v>
      </c>
      <c r="K379" s="3">
        <v>0.7052853</v>
      </c>
      <c r="M379" s="3">
        <v>48.667450000000002</v>
      </c>
      <c r="N379" s="3">
        <v>34.48122</v>
      </c>
      <c r="P379" s="3">
        <v>19.53069</v>
      </c>
      <c r="S379" s="3">
        <v>34.349600000000002</v>
      </c>
      <c r="T379" s="3">
        <v>36.132190000000001</v>
      </c>
      <c r="V379" s="3">
        <v>37.502310000000001</v>
      </c>
      <c r="W379" s="3">
        <v>30.2895</v>
      </c>
      <c r="X379" s="3">
        <v>5.1208869999999997</v>
      </c>
      <c r="Y379" s="3">
        <v>2.9876510000000001</v>
      </c>
      <c r="Z379" s="3">
        <v>4.1426259999999999</v>
      </c>
      <c r="AA379" s="3">
        <v>6.4282159999999999</v>
      </c>
      <c r="AB379" s="3">
        <v>63.64555</v>
      </c>
      <c r="AC379" s="3">
        <v>13.81551</v>
      </c>
      <c r="AD379" s="3">
        <v>4.119217E-2</v>
      </c>
      <c r="AE379" s="3">
        <v>20.195499999999999</v>
      </c>
      <c r="AF379" s="3">
        <v>74.5</v>
      </c>
      <c r="AG379" s="3">
        <v>21.770910000000001</v>
      </c>
      <c r="AH379" s="3">
        <v>100.58369999999999</v>
      </c>
      <c r="AI379" s="3">
        <v>38.171019999999999</v>
      </c>
      <c r="AK379" s="3">
        <v>6.3244620000000001E-2</v>
      </c>
      <c r="AL379" s="3">
        <v>46.161720000000003</v>
      </c>
      <c r="AM379" s="3">
        <v>28.3</v>
      </c>
      <c r="AN379" s="3">
        <v>18.45853</v>
      </c>
      <c r="AO379" s="3">
        <v>15.044510000000001</v>
      </c>
      <c r="AQ379" s="3">
        <v>9.2164459999999995</v>
      </c>
      <c r="AU379" s="3">
        <v>3.8369000000000001E-4</v>
      </c>
      <c r="AV379" s="3">
        <v>31.342369999999999</v>
      </c>
      <c r="AW379" s="3">
        <v>1.124805E-3</v>
      </c>
      <c r="AX379" s="3">
        <v>34.51229</v>
      </c>
      <c r="AY379" s="3">
        <v>4.829612</v>
      </c>
    </row>
    <row r="380" spans="1:51" x14ac:dyDescent="0.2">
      <c r="A380" s="3" t="s">
        <v>277</v>
      </c>
      <c r="B380" s="49">
        <v>29373</v>
      </c>
      <c r="D380" s="3">
        <v>38.822800000000001</v>
      </c>
      <c r="E380" s="3">
        <v>2.4499789999999998E-10</v>
      </c>
      <c r="F380" s="3">
        <v>34.685279999999999</v>
      </c>
      <c r="G380" s="3">
        <v>55.175539999999998</v>
      </c>
      <c r="H380" s="3">
        <v>3.9290790000000002</v>
      </c>
      <c r="J380" s="3">
        <v>0.95840110000000001</v>
      </c>
      <c r="K380" s="3">
        <v>0.72437419999999997</v>
      </c>
      <c r="M380" s="3">
        <v>48.797930000000001</v>
      </c>
      <c r="N380" s="3">
        <v>34.565989999999999</v>
      </c>
      <c r="P380" s="3">
        <v>19.833780000000001</v>
      </c>
      <c r="S380" s="3">
        <v>34.48368</v>
      </c>
      <c r="T380" s="3">
        <v>36.389479999999999</v>
      </c>
      <c r="V380" s="3">
        <v>37.829729999999998</v>
      </c>
      <c r="W380" s="3">
        <v>30.577200000000001</v>
      </c>
      <c r="X380" s="3">
        <v>5.2721369999999999</v>
      </c>
      <c r="Y380" s="3">
        <v>3.0126170000000001</v>
      </c>
      <c r="Z380" s="3">
        <v>4.2051090000000002</v>
      </c>
      <c r="AA380" s="3">
        <v>6.4937719999999999</v>
      </c>
      <c r="AB380" s="3">
        <v>64.137410000000003</v>
      </c>
      <c r="AC380" s="3">
        <v>14.16615</v>
      </c>
      <c r="AD380" s="3">
        <v>4.3094449999999999E-2</v>
      </c>
      <c r="AE380" s="3">
        <v>20.377030000000001</v>
      </c>
      <c r="AF380" s="3">
        <v>74.900000000000006</v>
      </c>
      <c r="AG380" s="3">
        <v>22.036529999999999</v>
      </c>
      <c r="AH380" s="3">
        <v>101.0117</v>
      </c>
      <c r="AI380" s="3">
        <v>38.259700000000002</v>
      </c>
      <c r="AK380" s="3">
        <v>6.4498799999999995E-2</v>
      </c>
      <c r="AL380" s="3">
        <v>46.161720000000003</v>
      </c>
      <c r="AM380" s="3">
        <v>28.7</v>
      </c>
      <c r="AN380" s="3">
        <v>18.642109999999999</v>
      </c>
      <c r="AO380" s="3">
        <v>15.184430000000001</v>
      </c>
      <c r="AQ380" s="3">
        <v>9.3129799999999996</v>
      </c>
      <c r="AU380" s="3">
        <v>3.9762750000000001E-4</v>
      </c>
      <c r="AV380" s="3">
        <v>31.425339999999998</v>
      </c>
      <c r="AW380" s="3">
        <v>1.169914E-3</v>
      </c>
      <c r="AX380" s="3">
        <v>34.892009999999999</v>
      </c>
      <c r="AY380" s="3">
        <v>4.9216049999999996</v>
      </c>
    </row>
    <row r="381" spans="1:51" x14ac:dyDescent="0.2">
      <c r="A381" s="3" t="s">
        <v>278</v>
      </c>
      <c r="B381" s="49">
        <v>29403</v>
      </c>
      <c r="D381" s="3">
        <v>39.280700000000003</v>
      </c>
      <c r="E381" s="3">
        <v>2.5858449999999999E-10</v>
      </c>
      <c r="F381" s="3">
        <v>34.922310000000003</v>
      </c>
      <c r="G381" s="3">
        <v>55.379260000000002</v>
      </c>
      <c r="H381" s="3">
        <v>4.0086589999999998</v>
      </c>
      <c r="J381" s="3">
        <v>0.97008890000000003</v>
      </c>
      <c r="K381" s="3">
        <v>0.7304022</v>
      </c>
      <c r="M381" s="3">
        <v>48.863169999999997</v>
      </c>
      <c r="N381" s="3">
        <v>35.201790000000003</v>
      </c>
      <c r="P381" s="3">
        <v>20.11402</v>
      </c>
      <c r="S381" s="3">
        <v>34.698189999999997</v>
      </c>
      <c r="T381" s="3">
        <v>36.90408</v>
      </c>
      <c r="V381" s="3">
        <v>37.962829999999997</v>
      </c>
      <c r="W381" s="3">
        <v>30.830380000000002</v>
      </c>
      <c r="X381" s="3">
        <v>5.2073150000000004</v>
      </c>
      <c r="Y381" s="3">
        <v>2.9959730000000002</v>
      </c>
      <c r="Z381" s="3">
        <v>4.2550949999999998</v>
      </c>
      <c r="AA381" s="3">
        <v>6.6285280000000002</v>
      </c>
      <c r="AB381" s="3">
        <v>64.137410000000003</v>
      </c>
      <c r="AC381" s="3">
        <v>14.49342</v>
      </c>
      <c r="AD381" s="3">
        <v>4.4980150000000003E-2</v>
      </c>
      <c r="AE381" s="3">
        <v>20.740100000000002</v>
      </c>
      <c r="AF381" s="3">
        <v>74.900000000000006</v>
      </c>
      <c r="AG381" s="3">
        <v>22.213619999999999</v>
      </c>
      <c r="AH381" s="3">
        <v>101.0917</v>
      </c>
      <c r="AI381" s="3">
        <v>38.421410000000002</v>
      </c>
      <c r="AK381" s="3">
        <v>6.6299849999999994E-2</v>
      </c>
      <c r="AL381" s="3">
        <v>46.56015</v>
      </c>
      <c r="AM381" s="3">
        <v>29</v>
      </c>
      <c r="AN381" s="3">
        <v>18.756720000000001</v>
      </c>
      <c r="AO381" s="3">
        <v>15.33582</v>
      </c>
      <c r="AQ381" s="3">
        <v>9.4025470000000002</v>
      </c>
      <c r="AU381" s="3">
        <v>4.0582599999999997E-4</v>
      </c>
      <c r="AV381" s="3">
        <v>31.69023</v>
      </c>
      <c r="AW381" s="3">
        <v>1.194805E-3</v>
      </c>
      <c r="AX381" s="3">
        <v>34.892009999999999</v>
      </c>
      <c r="AY381" s="3">
        <v>5.0135969999999999</v>
      </c>
    </row>
    <row r="382" spans="1:51" x14ac:dyDescent="0.2">
      <c r="A382" s="3" t="s">
        <v>279</v>
      </c>
      <c r="B382" s="49">
        <v>29434</v>
      </c>
      <c r="D382" s="3">
        <v>39.37932</v>
      </c>
      <c r="E382" s="3">
        <v>2.7137299999999999E-10</v>
      </c>
      <c r="F382" s="3">
        <v>35.317360000000001</v>
      </c>
      <c r="G382" s="3">
        <v>55.734879999999997</v>
      </c>
      <c r="H382" s="3">
        <v>4.096889</v>
      </c>
      <c r="J382" s="3">
        <v>0.98177669999999995</v>
      </c>
      <c r="K382" s="3">
        <v>0.73140689999999997</v>
      </c>
      <c r="M382" s="3">
        <v>48.92841</v>
      </c>
      <c r="N382" s="3">
        <v>35.328940000000003</v>
      </c>
      <c r="P382" s="3">
        <v>20.349640000000001</v>
      </c>
      <c r="S382" s="3">
        <v>35.154040000000002</v>
      </c>
      <c r="T382" s="3">
        <v>37.271659999999997</v>
      </c>
      <c r="V382" s="3">
        <v>38.178019999999997</v>
      </c>
      <c r="W382" s="3">
        <v>30.899429999999999</v>
      </c>
      <c r="X382" s="3">
        <v>5.1424940000000001</v>
      </c>
      <c r="Y382" s="3">
        <v>2.9751669999999999</v>
      </c>
      <c r="Z382" s="3">
        <v>4.3050819999999996</v>
      </c>
      <c r="AA382" s="3">
        <v>6.6795169999999997</v>
      </c>
      <c r="AB382" s="3">
        <v>64.137410000000003</v>
      </c>
      <c r="AC382" s="3">
        <v>14.820690000000001</v>
      </c>
      <c r="AD382" s="3">
        <v>4.8690709999999998E-2</v>
      </c>
      <c r="AE382" s="3">
        <v>20.989699999999999</v>
      </c>
      <c r="AF382" s="3">
        <v>74.7</v>
      </c>
      <c r="AG382" s="3">
        <v>22.589079999999999</v>
      </c>
      <c r="AH382" s="3">
        <v>101.0574</v>
      </c>
      <c r="AI382" s="3">
        <v>38.550089999999997</v>
      </c>
      <c r="AK382" s="3">
        <v>6.7673559999999994E-2</v>
      </c>
      <c r="AL382" s="3">
        <v>46.78783</v>
      </c>
      <c r="AM382" s="3">
        <v>29.2</v>
      </c>
      <c r="AN382" s="3">
        <v>18.892530000000001</v>
      </c>
      <c r="AO382" s="3">
        <v>15.455159999999999</v>
      </c>
      <c r="AQ382" s="3">
        <v>9.4921129999999998</v>
      </c>
      <c r="AU382" s="3">
        <v>4.0254659999999998E-4</v>
      </c>
      <c r="AV382" s="3">
        <v>31.868939999999998</v>
      </c>
      <c r="AW382" s="3">
        <v>1.2377060000000001E-3</v>
      </c>
      <c r="AX382" s="3">
        <v>35.145159999999997</v>
      </c>
      <c r="AY382" s="3">
        <v>5.0135969999999999</v>
      </c>
    </row>
    <row r="383" spans="1:51" x14ac:dyDescent="0.2">
      <c r="A383" s="3" t="s">
        <v>280</v>
      </c>
      <c r="B383" s="49">
        <v>29465</v>
      </c>
      <c r="D383" s="3">
        <v>39.625880000000002</v>
      </c>
      <c r="E383" s="3">
        <v>2.8285299999999998E-10</v>
      </c>
      <c r="F383" s="3">
        <v>35.554389999999998</v>
      </c>
      <c r="G383" s="3">
        <v>55.785809999999998</v>
      </c>
      <c r="H383" s="3">
        <v>4.1841309999999998</v>
      </c>
      <c r="J383" s="3">
        <v>0.99346460000000003</v>
      </c>
      <c r="K383" s="3">
        <v>0.74145369999999999</v>
      </c>
      <c r="M383" s="3">
        <v>48.92841</v>
      </c>
      <c r="N383" s="3">
        <v>35.519680000000001</v>
      </c>
      <c r="P383" s="3">
        <v>20.566210000000002</v>
      </c>
      <c r="S383" s="3">
        <v>35.636710000000001</v>
      </c>
      <c r="T383" s="3">
        <v>37.602469999999997</v>
      </c>
      <c r="V383" s="3">
        <v>38.533639999999998</v>
      </c>
      <c r="W383" s="3">
        <v>31.09507</v>
      </c>
      <c r="X383" s="3">
        <v>5.2721369999999999</v>
      </c>
      <c r="Y383" s="3">
        <v>2.9751669999999999</v>
      </c>
      <c r="Z383" s="3">
        <v>4.3175790000000003</v>
      </c>
      <c r="AA383" s="3">
        <v>6.7632839999999996</v>
      </c>
      <c r="AB383" s="3">
        <v>64.629260000000002</v>
      </c>
      <c r="AC383" s="3">
        <v>15.19472</v>
      </c>
      <c r="AD383" s="3">
        <v>5.2229829999999998E-2</v>
      </c>
      <c r="AE383" s="3">
        <v>21.409500000000001</v>
      </c>
      <c r="AF383" s="3">
        <v>76</v>
      </c>
      <c r="AG383" s="3">
        <v>23.009150000000002</v>
      </c>
      <c r="AH383" s="3">
        <v>100.43680000000001</v>
      </c>
      <c r="AI383" s="3">
        <v>38.583129999999997</v>
      </c>
      <c r="AK383" s="3">
        <v>6.8425089999999994E-2</v>
      </c>
      <c r="AL383" s="3">
        <v>47.129350000000002</v>
      </c>
      <c r="AM383" s="3">
        <v>29.5</v>
      </c>
      <c r="AN383" s="3">
        <v>19.084430000000001</v>
      </c>
      <c r="AO383" s="3">
        <v>15.615679999999999</v>
      </c>
      <c r="AQ383" s="3">
        <v>9.5080369999999998</v>
      </c>
      <c r="AU383" s="3">
        <v>4.1484429999999998E-4</v>
      </c>
      <c r="AV383" s="3">
        <v>32.775289999999998</v>
      </c>
      <c r="AW383" s="3">
        <v>1.2849389999999999E-3</v>
      </c>
      <c r="AX383" s="3">
        <v>35.440489999999997</v>
      </c>
      <c r="AY383" s="3">
        <v>5.151586</v>
      </c>
    </row>
    <row r="384" spans="1:51" x14ac:dyDescent="0.2">
      <c r="A384" s="3" t="s">
        <v>281</v>
      </c>
      <c r="B384" s="49">
        <v>29495</v>
      </c>
      <c r="D384" s="3">
        <v>39.992199999999997</v>
      </c>
      <c r="E384" s="3">
        <v>3.0966889999999999E-10</v>
      </c>
      <c r="F384" s="3">
        <v>35.870420000000003</v>
      </c>
      <c r="G384" s="3">
        <v>55.683950000000003</v>
      </c>
      <c r="H384" s="3">
        <v>4.3064669999999996</v>
      </c>
      <c r="J384" s="3">
        <v>1.01684</v>
      </c>
      <c r="K384" s="3">
        <v>0.74949120000000002</v>
      </c>
      <c r="M384" s="3">
        <v>48.993639999999999</v>
      </c>
      <c r="N384" s="3">
        <v>35.752800000000001</v>
      </c>
      <c r="P384" s="3">
        <v>20.731089999999998</v>
      </c>
      <c r="S384" s="3">
        <v>35.985300000000002</v>
      </c>
      <c r="T384" s="3">
        <v>38.006790000000002</v>
      </c>
      <c r="V384" s="3">
        <v>38.840069999999997</v>
      </c>
      <c r="W384" s="3">
        <v>31.290710000000001</v>
      </c>
      <c r="X384" s="3">
        <v>5.423387</v>
      </c>
      <c r="Y384" s="3">
        <v>2.9876510000000001</v>
      </c>
      <c r="Z384" s="3">
        <v>4.3925590000000003</v>
      </c>
      <c r="AA384" s="3">
        <v>6.8288409999999997</v>
      </c>
      <c r="AB384" s="3">
        <v>64.629260000000002</v>
      </c>
      <c r="AC384" s="3">
        <v>15.638870000000001</v>
      </c>
      <c r="AD384" s="3">
        <v>5.7975400000000003E-2</v>
      </c>
      <c r="AE384" s="3">
        <v>21.772559999999999</v>
      </c>
      <c r="AF384" s="3">
        <v>76.099999999999994</v>
      </c>
      <c r="AG384" s="3">
        <v>23.650230000000001</v>
      </c>
      <c r="AH384" s="3">
        <v>99.13</v>
      </c>
      <c r="AI384" s="3">
        <v>38.876989999999999</v>
      </c>
      <c r="AK384" s="3">
        <v>6.9461499999999995E-2</v>
      </c>
      <c r="AL384" s="3">
        <v>47.357030000000002</v>
      </c>
      <c r="AM384" s="3">
        <v>29.7</v>
      </c>
      <c r="AN384" s="3">
        <v>19.27758</v>
      </c>
      <c r="AO384" s="3">
        <v>15.786530000000001</v>
      </c>
      <c r="AQ384" s="3">
        <v>9.5946180000000005</v>
      </c>
      <c r="AU384" s="3">
        <v>4.3288099999999998E-4</v>
      </c>
      <c r="AV384" s="3">
        <v>33.241230000000002</v>
      </c>
      <c r="AW384" s="3">
        <v>1.344236E-3</v>
      </c>
      <c r="AX384" s="3">
        <v>35.778019999999998</v>
      </c>
      <c r="AY384" s="3">
        <v>5.2435790000000004</v>
      </c>
    </row>
    <row r="385" spans="1:51" x14ac:dyDescent="0.2">
      <c r="A385" s="3" t="s">
        <v>282</v>
      </c>
      <c r="B385" s="49">
        <v>29526</v>
      </c>
      <c r="D385" s="3">
        <v>40.400790000000001</v>
      </c>
      <c r="E385" s="3">
        <v>3.3033430000000001E-10</v>
      </c>
      <c r="F385" s="3">
        <v>36.344479999999997</v>
      </c>
      <c r="G385" s="3">
        <v>56.192360000000001</v>
      </c>
      <c r="H385" s="3">
        <v>4.4196580000000001</v>
      </c>
      <c r="J385" s="3">
        <v>1.040216</v>
      </c>
      <c r="K385" s="3">
        <v>0.76255200000000001</v>
      </c>
      <c r="M385" s="3">
        <v>49.319839999999999</v>
      </c>
      <c r="N385" s="3">
        <v>36.091900000000003</v>
      </c>
      <c r="P385" s="3">
        <v>20.94276</v>
      </c>
      <c r="S385" s="3">
        <v>36.307079999999999</v>
      </c>
      <c r="T385" s="3">
        <v>38.264099999999999</v>
      </c>
      <c r="V385" s="3">
        <v>39.16865</v>
      </c>
      <c r="W385" s="3">
        <v>31.543890000000001</v>
      </c>
      <c r="X385" s="3">
        <v>5.6178509999999999</v>
      </c>
      <c r="Y385" s="3">
        <v>2.9834900000000002</v>
      </c>
      <c r="Z385" s="3">
        <v>4.4862830000000002</v>
      </c>
      <c r="AA385" s="3">
        <v>6.9126079999999996</v>
      </c>
      <c r="AB385" s="3">
        <v>64.629260000000002</v>
      </c>
      <c r="AC385" s="3">
        <v>15.989520000000001</v>
      </c>
      <c r="AD385" s="3">
        <v>6.341128E-2</v>
      </c>
      <c r="AE385" s="3">
        <v>22.226389999999999</v>
      </c>
      <c r="AF385" s="3">
        <v>76.3</v>
      </c>
      <c r="AG385" s="3">
        <v>23.782710000000002</v>
      </c>
      <c r="AH385" s="3">
        <v>98.803700000000006</v>
      </c>
      <c r="AI385" s="3">
        <v>39.238669999999999</v>
      </c>
      <c r="AK385" s="3">
        <v>7.0666569999999998E-2</v>
      </c>
      <c r="AL385" s="3">
        <v>47.41395</v>
      </c>
      <c r="AM385" s="3">
        <v>29.9</v>
      </c>
      <c r="AN385" s="3">
        <v>19.450040000000001</v>
      </c>
      <c r="AO385" s="3">
        <v>15.949120000000001</v>
      </c>
      <c r="AQ385" s="3">
        <v>9.6533350000000002</v>
      </c>
      <c r="AU385" s="3">
        <v>4.4517880000000001E-4</v>
      </c>
      <c r="AV385" s="3">
        <v>33.44547</v>
      </c>
      <c r="AW385" s="3">
        <v>1.3639870000000001E-3</v>
      </c>
      <c r="AX385" s="3">
        <v>36.073360000000001</v>
      </c>
      <c r="AY385" s="3">
        <v>5.2895750000000001</v>
      </c>
    </row>
    <row r="386" spans="1:51" x14ac:dyDescent="0.2">
      <c r="A386" s="3" t="s">
        <v>283</v>
      </c>
      <c r="B386" s="49">
        <v>29556</v>
      </c>
      <c r="D386" s="3">
        <v>40.527589999999996</v>
      </c>
      <c r="E386" s="3">
        <v>3.5218279999999998E-10</v>
      </c>
      <c r="F386" s="3">
        <v>36.502499999999998</v>
      </c>
      <c r="G386" s="3">
        <v>56.395189999999999</v>
      </c>
      <c r="H386" s="3">
        <v>4.5051690000000004</v>
      </c>
      <c r="J386" s="3">
        <v>1.051904</v>
      </c>
      <c r="K386" s="3">
        <v>0.77561279999999999</v>
      </c>
      <c r="M386" s="3">
        <v>49.711260000000003</v>
      </c>
      <c r="N386" s="3">
        <v>36.240250000000003</v>
      </c>
      <c r="P386" s="3">
        <v>21.235520000000001</v>
      </c>
      <c r="S386" s="3">
        <v>36.575220000000002</v>
      </c>
      <c r="T386" s="3">
        <v>38.631659999999997</v>
      </c>
      <c r="V386" s="3">
        <v>39.40663</v>
      </c>
      <c r="W386" s="3">
        <v>31.71651</v>
      </c>
      <c r="X386" s="3">
        <v>5.8123149999999999</v>
      </c>
      <c r="Y386" s="3">
        <v>3.0084559999999998</v>
      </c>
      <c r="Z386" s="3">
        <v>4.49878</v>
      </c>
      <c r="AA386" s="3">
        <v>6.8652610000000003</v>
      </c>
      <c r="AB386" s="3">
        <v>64.727620000000002</v>
      </c>
      <c r="AC386" s="3">
        <v>15.755750000000001</v>
      </c>
      <c r="AD386" s="3">
        <v>6.720479E-2</v>
      </c>
      <c r="AE386" s="3">
        <v>22.177199999999999</v>
      </c>
      <c r="AF386" s="3">
        <v>76</v>
      </c>
      <c r="AG386" s="3">
        <v>24.534300000000002</v>
      </c>
      <c r="AH386" s="3">
        <v>99.561400000000006</v>
      </c>
      <c r="AI386" s="3">
        <v>39.659469999999999</v>
      </c>
      <c r="AK386" s="3">
        <v>7.2520020000000004E-2</v>
      </c>
      <c r="AL386" s="3">
        <v>47.470869999999998</v>
      </c>
      <c r="AM386" s="3">
        <v>30.1</v>
      </c>
      <c r="AN386" s="3">
        <v>19.621259999999999</v>
      </c>
      <c r="AO386" s="3">
        <v>16.096360000000001</v>
      </c>
      <c r="AQ386" s="3">
        <v>9.9170590000000001</v>
      </c>
      <c r="AU386" s="3">
        <v>4.6813459999999997E-4</v>
      </c>
      <c r="AV386" s="3">
        <v>33.589080000000003</v>
      </c>
      <c r="AW386" s="3">
        <v>1.418484E-3</v>
      </c>
      <c r="AX386" s="3">
        <v>36.410890000000002</v>
      </c>
      <c r="AY386" s="3">
        <v>5.3815670000000004</v>
      </c>
    </row>
    <row r="387" spans="1:51" x14ac:dyDescent="0.2">
      <c r="A387" s="3" t="s">
        <v>284</v>
      </c>
      <c r="B387" s="49">
        <v>29587</v>
      </c>
      <c r="D387" s="3">
        <v>40.872779999999999</v>
      </c>
      <c r="E387" s="3">
        <v>3.762634E-10</v>
      </c>
      <c r="F387" s="3">
        <v>37.055570000000003</v>
      </c>
      <c r="G387" s="3">
        <v>56.955399999999997</v>
      </c>
      <c r="H387" s="3">
        <v>4.5785710000000002</v>
      </c>
      <c r="J387" s="3">
        <v>1.0752790000000001</v>
      </c>
      <c r="K387" s="3">
        <v>0.81379069999999998</v>
      </c>
      <c r="M387" s="3">
        <v>50.167929999999998</v>
      </c>
      <c r="N387" s="3">
        <v>36.482039999999998</v>
      </c>
      <c r="P387" s="3">
        <v>21.66703</v>
      </c>
      <c r="S387" s="3">
        <v>36.896999999999998</v>
      </c>
      <c r="T387" s="3">
        <v>39.072749999999999</v>
      </c>
      <c r="V387" s="3">
        <v>39.794060000000002</v>
      </c>
      <c r="W387" s="3">
        <v>31.91215</v>
      </c>
      <c r="X387" s="3">
        <v>5.9635639999999999</v>
      </c>
      <c r="Y387" s="3">
        <v>3.0875159999999999</v>
      </c>
      <c r="Z387" s="3">
        <v>4.5612630000000003</v>
      </c>
      <c r="AA387" s="3">
        <v>6.9126079999999996</v>
      </c>
      <c r="AB387" s="3">
        <v>64.727620000000002</v>
      </c>
      <c r="AC387" s="3">
        <v>15.849259999999999</v>
      </c>
      <c r="AD387" s="3">
        <v>7.2113220000000006E-2</v>
      </c>
      <c r="AE387" s="3">
        <v>22.591339999999999</v>
      </c>
      <c r="AF387" s="3">
        <v>76.8</v>
      </c>
      <c r="AG387" s="3">
        <v>24.931730000000002</v>
      </c>
      <c r="AH387" s="3">
        <v>100.2157</v>
      </c>
      <c r="AI387" s="3">
        <v>39.958550000000002</v>
      </c>
      <c r="AK387" s="3">
        <v>7.4856469999999994E-2</v>
      </c>
      <c r="AL387" s="3">
        <v>47.926220000000001</v>
      </c>
      <c r="AM387" s="3">
        <v>31</v>
      </c>
      <c r="AN387" s="3">
        <v>19.87125</v>
      </c>
      <c r="AO387" s="3">
        <v>16.327770000000001</v>
      </c>
      <c r="AQ387" s="3">
        <v>10.21462</v>
      </c>
      <c r="AU387" s="3">
        <v>5.1486610000000003E-4</v>
      </c>
      <c r="AV387" s="3">
        <v>34.214590000000001</v>
      </c>
      <c r="AW387" s="3">
        <v>1.4690300000000001E-3</v>
      </c>
      <c r="AX387" s="3">
        <v>36.706229999999998</v>
      </c>
      <c r="AY387" s="3">
        <v>5.3815670000000004</v>
      </c>
    </row>
    <row r="388" spans="1:51" x14ac:dyDescent="0.2">
      <c r="A388" s="3" t="s">
        <v>285</v>
      </c>
      <c r="B388" s="49">
        <v>29618</v>
      </c>
      <c r="D388" s="3">
        <v>41.232050000000001</v>
      </c>
      <c r="E388" s="3">
        <v>4.0034859999999999E-10</v>
      </c>
      <c r="F388" s="3">
        <v>37.450620000000001</v>
      </c>
      <c r="G388" s="3">
        <v>57.514740000000003</v>
      </c>
      <c r="H388" s="3">
        <v>4.5926590000000003</v>
      </c>
      <c r="J388" s="3">
        <v>1.1103430000000001</v>
      </c>
      <c r="K388" s="3">
        <v>0.83388430000000002</v>
      </c>
      <c r="M388" s="3">
        <v>50.559350000000002</v>
      </c>
      <c r="N388" s="3">
        <v>36.864600000000003</v>
      </c>
      <c r="P388" s="3">
        <v>21.776949999999999</v>
      </c>
      <c r="S388" s="3">
        <v>37.089970000000001</v>
      </c>
      <c r="T388" s="3">
        <v>39.44032</v>
      </c>
      <c r="V388" s="3">
        <v>40.155250000000002</v>
      </c>
      <c r="W388" s="3">
        <v>32.199860000000001</v>
      </c>
      <c r="X388" s="3">
        <v>6.0283860000000002</v>
      </c>
      <c r="Y388" s="3">
        <v>3.0999989999999999</v>
      </c>
      <c r="Z388" s="3">
        <v>4.5925039999999999</v>
      </c>
      <c r="AA388" s="3">
        <v>7.0327950000000001</v>
      </c>
      <c r="AB388" s="3">
        <v>64.727620000000002</v>
      </c>
      <c r="AC388" s="3">
        <v>16.12978</v>
      </c>
      <c r="AD388" s="3">
        <v>7.6083600000000001E-2</v>
      </c>
      <c r="AE388" s="3">
        <v>23.02619</v>
      </c>
      <c r="AF388" s="3">
        <v>76.7</v>
      </c>
      <c r="AG388" s="3">
        <v>25.130780000000001</v>
      </c>
      <c r="AH388" s="3">
        <v>100.7132</v>
      </c>
      <c r="AI388" s="3">
        <v>40.189810000000001</v>
      </c>
      <c r="AK388" s="3">
        <v>7.6695169999999993E-2</v>
      </c>
      <c r="AL388" s="3">
        <v>48.1539</v>
      </c>
      <c r="AM388" s="3">
        <v>31.3</v>
      </c>
      <c r="AN388" s="3">
        <v>20.06184</v>
      </c>
      <c r="AO388" s="3">
        <v>16.49654</v>
      </c>
      <c r="AQ388" s="3">
        <v>10.354939999999999</v>
      </c>
      <c r="AU388" s="3">
        <v>5.2470429999999996E-4</v>
      </c>
      <c r="AV388" s="3">
        <v>34.865630000000003</v>
      </c>
      <c r="AW388" s="3">
        <v>1.490056E-3</v>
      </c>
      <c r="AX388" s="3">
        <v>37.085949999999997</v>
      </c>
      <c r="AY388" s="3">
        <v>5.47356</v>
      </c>
    </row>
    <row r="389" spans="1:51" x14ac:dyDescent="0.2">
      <c r="A389" s="3" t="s">
        <v>286</v>
      </c>
      <c r="B389" s="49">
        <v>29646</v>
      </c>
      <c r="D389" s="3">
        <v>41.499749999999999</v>
      </c>
      <c r="E389" s="3">
        <v>4.2025290000000002E-10</v>
      </c>
      <c r="F389" s="3">
        <v>37.924680000000002</v>
      </c>
      <c r="G389" s="3">
        <v>57.870359999999998</v>
      </c>
      <c r="H389" s="3">
        <v>4.6294829999999996</v>
      </c>
      <c r="J389" s="3">
        <v>1.133718</v>
      </c>
      <c r="K389" s="3">
        <v>0.84895449999999995</v>
      </c>
      <c r="M389" s="3">
        <v>50.950780000000002</v>
      </c>
      <c r="N389" s="3">
        <v>37.594929999999998</v>
      </c>
      <c r="P389" s="3">
        <v>22.210640000000001</v>
      </c>
      <c r="S389" s="3">
        <v>37.475929999999998</v>
      </c>
      <c r="T389" s="3">
        <v>39.80789</v>
      </c>
      <c r="V389" s="3">
        <v>40.483669999999996</v>
      </c>
      <c r="W389" s="3">
        <v>32.683199999999999</v>
      </c>
      <c r="X389" s="3">
        <v>6.158029</v>
      </c>
      <c r="Y389" s="3">
        <v>3.1624159999999999</v>
      </c>
      <c r="Z389" s="3">
        <v>4.6237450000000004</v>
      </c>
      <c r="AA389" s="3">
        <v>7.0655739999999998</v>
      </c>
      <c r="AB389" s="3">
        <v>65.219470000000001</v>
      </c>
      <c r="AC389" s="3">
        <v>16.223279999999999</v>
      </c>
      <c r="AD389" s="3">
        <v>7.9730809999999999E-2</v>
      </c>
      <c r="AE389" s="3">
        <v>23.357500000000002</v>
      </c>
      <c r="AF389" s="3">
        <v>77</v>
      </c>
      <c r="AG389" s="3">
        <v>25.617419999999999</v>
      </c>
      <c r="AH389" s="3">
        <v>100.6425</v>
      </c>
      <c r="AI389" s="3">
        <v>40.495849999999997</v>
      </c>
      <c r="AK389" s="3">
        <v>7.8335760000000004E-2</v>
      </c>
      <c r="AL389" s="3">
        <v>48.495420000000003</v>
      </c>
      <c r="AM389" s="3">
        <v>31.9</v>
      </c>
      <c r="AN389" s="3">
        <v>20.2485</v>
      </c>
      <c r="AO389" s="3">
        <v>16.68317</v>
      </c>
      <c r="AQ389" s="3">
        <v>10.483320000000001</v>
      </c>
      <c r="AU389" s="3">
        <v>5.3864180000000002E-4</v>
      </c>
      <c r="AV389" s="3">
        <v>35.053919999999998</v>
      </c>
      <c r="AW389" s="3">
        <v>1.500122E-3</v>
      </c>
      <c r="AX389" s="3">
        <v>37.339089999999999</v>
      </c>
      <c r="AY389" s="3">
        <v>5.47356</v>
      </c>
    </row>
    <row r="390" spans="1:51" x14ac:dyDescent="0.2">
      <c r="A390" s="3" t="s">
        <v>287</v>
      </c>
      <c r="B390" s="49">
        <v>29677</v>
      </c>
      <c r="D390" s="3">
        <v>41.478610000000003</v>
      </c>
      <c r="E390" s="3">
        <v>4.4740989999999998E-10</v>
      </c>
      <c r="F390" s="3">
        <v>38.161709999999999</v>
      </c>
      <c r="G390" s="3">
        <v>57.769379999999998</v>
      </c>
      <c r="H390" s="3">
        <v>4.6860790000000003</v>
      </c>
      <c r="J390" s="3">
        <v>1.168782</v>
      </c>
      <c r="K390" s="3">
        <v>0.87608079999999999</v>
      </c>
      <c r="M390" s="3">
        <v>51.211730000000003</v>
      </c>
      <c r="N390" s="3">
        <v>38.012270000000001</v>
      </c>
      <c r="P390" s="3">
        <v>22.431560000000001</v>
      </c>
      <c r="S390" s="3">
        <v>37.823279999999997</v>
      </c>
      <c r="T390" s="3">
        <v>40.359250000000003</v>
      </c>
      <c r="V390" s="3">
        <v>40.859810000000003</v>
      </c>
      <c r="W390" s="3">
        <v>33.626869999999997</v>
      </c>
      <c r="X390" s="3">
        <v>6.2876709999999996</v>
      </c>
      <c r="Y390" s="3">
        <v>3.1124830000000001</v>
      </c>
      <c r="Z390" s="3">
        <v>4.667484</v>
      </c>
      <c r="AA390" s="3">
        <v>7.1821190000000001</v>
      </c>
      <c r="AB390" s="3">
        <v>65.219470000000001</v>
      </c>
      <c r="AC390" s="3">
        <v>16.293410000000002</v>
      </c>
      <c r="AD390" s="3">
        <v>8.8225579999999998E-2</v>
      </c>
      <c r="AE390" s="3">
        <v>23.668109999999999</v>
      </c>
      <c r="AF390" s="3">
        <v>77.599999999999994</v>
      </c>
      <c r="AG390" s="3">
        <v>25.838439999999999</v>
      </c>
      <c r="AH390" s="3">
        <v>100.1725</v>
      </c>
      <c r="AI390" s="3">
        <v>40.749720000000003</v>
      </c>
      <c r="AK390" s="3">
        <v>8.0102430000000002E-2</v>
      </c>
      <c r="AL390" s="3">
        <v>48.893859999999997</v>
      </c>
      <c r="AM390" s="3">
        <v>32.1</v>
      </c>
      <c r="AN390" s="3">
        <v>20.455190000000002</v>
      </c>
      <c r="AO390" s="3">
        <v>16.883150000000001</v>
      </c>
      <c r="AQ390" s="3">
        <v>10.75103</v>
      </c>
      <c r="AU390" s="3">
        <v>5.4684030000000004E-4</v>
      </c>
      <c r="AV390" s="3">
        <v>35.26455</v>
      </c>
      <c r="AW390" s="3">
        <v>1.5085330000000001E-3</v>
      </c>
      <c r="AX390" s="3">
        <v>37.592239999999997</v>
      </c>
      <c r="AY390" s="3">
        <v>5.5195569999999998</v>
      </c>
    </row>
    <row r="391" spans="1:51" x14ac:dyDescent="0.2">
      <c r="A391" s="3" t="s">
        <v>288</v>
      </c>
      <c r="B391" s="49">
        <v>29707</v>
      </c>
      <c r="D391" s="3">
        <v>41.443390000000001</v>
      </c>
      <c r="E391" s="3">
        <v>4.7228390000000005E-10</v>
      </c>
      <c r="F391" s="3">
        <v>38.47775</v>
      </c>
      <c r="G391" s="3">
        <v>58.27778</v>
      </c>
      <c r="H391" s="3">
        <v>4.7481109999999997</v>
      </c>
      <c r="J391" s="3">
        <v>1.1921580000000001</v>
      </c>
      <c r="K391" s="3">
        <v>0.91727270000000005</v>
      </c>
      <c r="M391" s="3">
        <v>51.472679999999997</v>
      </c>
      <c r="N391" s="3">
        <v>38.638269999999999</v>
      </c>
      <c r="P391" s="3">
        <v>22.53604</v>
      </c>
      <c r="S391" s="3">
        <v>38.24783</v>
      </c>
      <c r="T391" s="3">
        <v>40.726819999999996</v>
      </c>
      <c r="V391" s="3">
        <v>41.200839999999999</v>
      </c>
      <c r="W391" s="3">
        <v>33.84552</v>
      </c>
      <c r="X391" s="3">
        <v>6.3524919999999998</v>
      </c>
      <c r="Y391" s="3">
        <v>3.1041609999999999</v>
      </c>
      <c r="Z391" s="3">
        <v>4.6737320000000002</v>
      </c>
      <c r="AA391" s="3">
        <v>7.284097</v>
      </c>
      <c r="AB391" s="3">
        <v>65.219470000000001</v>
      </c>
      <c r="AC391" s="3">
        <v>16.480419999999999</v>
      </c>
      <c r="AD391" s="3">
        <v>9.1180280000000002E-2</v>
      </c>
      <c r="AE391" s="3">
        <v>24.04083</v>
      </c>
      <c r="AF391" s="3">
        <v>78.3</v>
      </c>
      <c r="AG391" s="3">
        <v>26.412949999999999</v>
      </c>
      <c r="AH391" s="3">
        <v>99.3416</v>
      </c>
      <c r="AI391" s="3">
        <v>41.059229999999999</v>
      </c>
      <c r="AK391" s="3">
        <v>8.1314040000000004E-2</v>
      </c>
      <c r="AL391" s="3">
        <v>49.12153</v>
      </c>
      <c r="AM391" s="3">
        <v>32.200000000000003</v>
      </c>
      <c r="AN391" s="3">
        <v>20.632840000000002</v>
      </c>
      <c r="AO391" s="3">
        <v>17.029109999999999</v>
      </c>
      <c r="AQ391" s="3">
        <v>10.80775</v>
      </c>
      <c r="AU391" s="3">
        <v>5.6569680000000003E-4</v>
      </c>
      <c r="AV391" s="3">
        <v>35.478369999999998</v>
      </c>
      <c r="AW391" s="3">
        <v>1.5501169999999999E-3</v>
      </c>
      <c r="AX391" s="3">
        <v>37.88758</v>
      </c>
      <c r="AY391" s="3">
        <v>5.5655530000000004</v>
      </c>
    </row>
    <row r="392" spans="1:51" x14ac:dyDescent="0.2">
      <c r="A392" s="3" t="s">
        <v>289</v>
      </c>
      <c r="B392" s="49">
        <v>29738</v>
      </c>
      <c r="D392" s="3">
        <v>41.67586</v>
      </c>
      <c r="E392" s="3">
        <v>4.9834350000000004E-10</v>
      </c>
      <c r="F392" s="3">
        <v>39.109830000000002</v>
      </c>
      <c r="G392" s="3">
        <v>58.684330000000003</v>
      </c>
      <c r="H392" s="3">
        <v>4.7525599999999999</v>
      </c>
      <c r="J392" s="3">
        <v>1.2272209999999999</v>
      </c>
      <c r="K392" s="3">
        <v>0.94439910000000005</v>
      </c>
      <c r="M392" s="3">
        <v>51.668399999999998</v>
      </c>
      <c r="N392" s="3">
        <v>39.020829999999997</v>
      </c>
      <c r="P392" s="3">
        <v>22.555630000000001</v>
      </c>
      <c r="S392" s="3">
        <v>38.710970000000003</v>
      </c>
      <c r="T392" s="3">
        <v>41.131149999999998</v>
      </c>
      <c r="V392" s="3">
        <v>41.516269999999999</v>
      </c>
      <c r="W392" s="3">
        <v>34.041159999999998</v>
      </c>
      <c r="X392" s="3">
        <v>6.5037419999999999</v>
      </c>
      <c r="Y392" s="3">
        <v>3.1083219999999998</v>
      </c>
      <c r="Z392" s="3">
        <v>4.6924770000000002</v>
      </c>
      <c r="AA392" s="3">
        <v>7.3860739999999998</v>
      </c>
      <c r="AB392" s="3">
        <v>65.908069999999995</v>
      </c>
      <c r="AC392" s="3">
        <v>16.667439999999999</v>
      </c>
      <c r="AD392" s="3">
        <v>9.3673309999999996E-2</v>
      </c>
      <c r="AE392" s="3">
        <v>24.310020000000002</v>
      </c>
      <c r="AF392" s="3">
        <v>78.400000000000006</v>
      </c>
      <c r="AG392" s="3">
        <v>27.141909999999999</v>
      </c>
      <c r="AH392" s="3">
        <v>99.951499999999996</v>
      </c>
      <c r="AI392" s="3">
        <v>41.480029999999999</v>
      </c>
      <c r="AK392" s="3">
        <v>8.2450339999999997E-2</v>
      </c>
      <c r="AL392" s="3">
        <v>49.235370000000003</v>
      </c>
      <c r="AM392" s="3">
        <v>32.6</v>
      </c>
      <c r="AN392" s="3">
        <v>20.808350000000001</v>
      </c>
      <c r="AO392" s="3">
        <v>17.173690000000001</v>
      </c>
      <c r="AQ392" s="3">
        <v>10.882389999999999</v>
      </c>
      <c r="AU392" s="3">
        <v>5.7225560000000002E-4</v>
      </c>
      <c r="AV392" s="3">
        <v>35.609220000000001</v>
      </c>
      <c r="AW392" s="3">
        <v>1.611197E-3</v>
      </c>
      <c r="AX392" s="3">
        <v>38.225110000000001</v>
      </c>
      <c r="AY392" s="3">
        <v>5.6115490000000001</v>
      </c>
    </row>
    <row r="393" spans="1:51" x14ac:dyDescent="0.2">
      <c r="A393" s="3" t="s">
        <v>290</v>
      </c>
      <c r="B393" s="49">
        <v>29768</v>
      </c>
      <c r="D393" s="3">
        <v>42.352139999999999</v>
      </c>
      <c r="E393" s="3">
        <v>5.2951900000000004E-10</v>
      </c>
      <c r="F393" s="3">
        <v>39.42586</v>
      </c>
      <c r="G393" s="3">
        <v>58.989019999999996</v>
      </c>
      <c r="H393" s="3">
        <v>4.7819700000000003</v>
      </c>
      <c r="J393" s="3">
        <v>1.250597</v>
      </c>
      <c r="K393" s="3">
        <v>1.000661</v>
      </c>
      <c r="M393" s="3">
        <v>51.994590000000002</v>
      </c>
      <c r="N393" s="3">
        <v>39.299050000000001</v>
      </c>
      <c r="P393" s="3">
        <v>22.997479999999999</v>
      </c>
      <c r="S393" s="3">
        <v>38.82676</v>
      </c>
      <c r="T393" s="3">
        <v>41.829529999999998</v>
      </c>
      <c r="V393" s="3">
        <v>41.85474</v>
      </c>
      <c r="W393" s="3">
        <v>34.190770000000001</v>
      </c>
      <c r="X393" s="3">
        <v>6.4389209999999997</v>
      </c>
      <c r="Y393" s="3">
        <v>3.1249660000000001</v>
      </c>
      <c r="Z393" s="3">
        <v>4.7487120000000003</v>
      </c>
      <c r="AA393" s="3">
        <v>7.5208300000000001</v>
      </c>
      <c r="AB393" s="3">
        <v>65.908069999999995</v>
      </c>
      <c r="AC393" s="3">
        <v>16.737570000000002</v>
      </c>
      <c r="AD393" s="3">
        <v>9.9351880000000004E-2</v>
      </c>
      <c r="AE393" s="3">
        <v>24.454969999999999</v>
      </c>
      <c r="AF393" s="3">
        <v>78.2</v>
      </c>
      <c r="AG393" s="3">
        <v>27.407530000000001</v>
      </c>
      <c r="AH393" s="3">
        <v>100.4212</v>
      </c>
      <c r="AI393" s="3">
        <v>41.688690000000001</v>
      </c>
      <c r="AK393" s="3">
        <v>8.3902630000000006E-2</v>
      </c>
      <c r="AL393" s="3">
        <v>49.690730000000002</v>
      </c>
      <c r="AM393" s="3">
        <v>33.1</v>
      </c>
      <c r="AN393" s="3">
        <v>21.009139999999999</v>
      </c>
      <c r="AO393" s="3">
        <v>17.34158</v>
      </c>
      <c r="AQ393" s="3">
        <v>11.16901</v>
      </c>
      <c r="AU393" s="3">
        <v>5.7307539999999996E-4</v>
      </c>
      <c r="AV393" s="3">
        <v>35.934739999999998</v>
      </c>
      <c r="AW393" s="3">
        <v>1.633284E-3</v>
      </c>
      <c r="AX393" s="3">
        <v>38.647019999999998</v>
      </c>
      <c r="AY393" s="3">
        <v>5.7495380000000003</v>
      </c>
    </row>
    <row r="394" spans="1:51" x14ac:dyDescent="0.2">
      <c r="A394" s="3" t="s">
        <v>291</v>
      </c>
      <c r="B394" s="49">
        <v>29799</v>
      </c>
      <c r="D394" s="3">
        <v>42.556440000000002</v>
      </c>
      <c r="E394" s="3">
        <v>5.5862029999999997E-10</v>
      </c>
      <c r="F394" s="3">
        <v>39.741900000000001</v>
      </c>
      <c r="G394" s="3">
        <v>59.904850000000003</v>
      </c>
      <c r="H394" s="3">
        <v>4.8402950000000002</v>
      </c>
      <c r="J394" s="3">
        <v>1.262284</v>
      </c>
      <c r="K394" s="3">
        <v>1.017741</v>
      </c>
      <c r="M394" s="3">
        <v>52.125059999999998</v>
      </c>
      <c r="N394" s="3">
        <v>39.438160000000003</v>
      </c>
      <c r="P394" s="3">
        <v>23.277719999999999</v>
      </c>
      <c r="S394" s="3">
        <v>38.942540000000001</v>
      </c>
      <c r="T394" s="3">
        <v>42.34413</v>
      </c>
      <c r="V394" s="3">
        <v>42.101410000000001</v>
      </c>
      <c r="W394" s="3">
        <v>34.443950000000001</v>
      </c>
      <c r="X394" s="3">
        <v>6.3741000000000003</v>
      </c>
      <c r="Y394" s="3">
        <v>3.1208049999999998</v>
      </c>
      <c r="Z394" s="3">
        <v>4.7737049999999996</v>
      </c>
      <c r="AA394" s="3">
        <v>7.6373749999999996</v>
      </c>
      <c r="AB394" s="3">
        <v>65.908069999999995</v>
      </c>
      <c r="AC394" s="3">
        <v>17.08821</v>
      </c>
      <c r="AD394" s="3">
        <v>0.1032299</v>
      </c>
      <c r="AE394" s="3">
        <v>24.682749999999999</v>
      </c>
      <c r="AF394" s="3">
        <v>77.8</v>
      </c>
      <c r="AG394" s="3">
        <v>27.695119999999999</v>
      </c>
      <c r="AH394" s="3">
        <v>100.6948</v>
      </c>
      <c r="AI394" s="3">
        <v>41.83475</v>
      </c>
      <c r="AK394" s="3">
        <v>8.5631650000000004E-2</v>
      </c>
      <c r="AL394" s="3">
        <v>49.804569999999998</v>
      </c>
      <c r="AM394" s="3">
        <v>33.1</v>
      </c>
      <c r="AN394" s="3">
        <v>21.15232</v>
      </c>
      <c r="AO394" s="3">
        <v>17.469349999999999</v>
      </c>
      <c r="AQ394" s="3">
        <v>11.460599999999999</v>
      </c>
      <c r="AU394" s="3">
        <v>5.7307539999999996E-4</v>
      </c>
      <c r="AV394" s="3">
        <v>36.206000000000003</v>
      </c>
      <c r="AW394" s="3">
        <v>1.646834E-3</v>
      </c>
      <c r="AX394" s="3">
        <v>38.942360000000001</v>
      </c>
      <c r="AY394" s="3">
        <v>5.8415309999999998</v>
      </c>
    </row>
    <row r="395" spans="1:51" x14ac:dyDescent="0.2">
      <c r="A395" s="3" t="s">
        <v>292</v>
      </c>
      <c r="B395" s="49">
        <v>29830</v>
      </c>
      <c r="D395" s="3">
        <v>42.950940000000003</v>
      </c>
      <c r="E395" s="3">
        <v>5.8798600000000002E-10</v>
      </c>
      <c r="F395" s="3">
        <v>40.057940000000002</v>
      </c>
      <c r="G395" s="3">
        <v>59.955779999999997</v>
      </c>
      <c r="H395" s="3">
        <v>4.8850280000000001</v>
      </c>
      <c r="J395" s="3">
        <v>1.2739720000000001</v>
      </c>
      <c r="K395" s="3">
        <v>1.0418529999999999</v>
      </c>
      <c r="M395" s="3">
        <v>52.386009999999999</v>
      </c>
      <c r="N395" s="3">
        <v>39.785939999999997</v>
      </c>
      <c r="P395" s="3">
        <v>23.462730000000001</v>
      </c>
      <c r="S395" s="3">
        <v>39.367089999999997</v>
      </c>
      <c r="T395" s="3">
        <v>42.82197</v>
      </c>
      <c r="V395" s="3">
        <v>42.523739999999997</v>
      </c>
      <c r="W395" s="3">
        <v>34.639589999999998</v>
      </c>
      <c r="X395" s="3">
        <v>6.6333849999999996</v>
      </c>
      <c r="Y395" s="3">
        <v>3.1249660000000001</v>
      </c>
      <c r="Z395" s="3">
        <v>4.7674570000000003</v>
      </c>
      <c r="AA395" s="3">
        <v>7.6701540000000001</v>
      </c>
      <c r="AB395" s="3">
        <v>66.203180000000003</v>
      </c>
      <c r="AC395" s="3">
        <v>17.251850000000001</v>
      </c>
      <c r="AD395" s="3">
        <v>0.11163240000000001</v>
      </c>
      <c r="AE395" s="3">
        <v>25.034770000000002</v>
      </c>
      <c r="AF395" s="3">
        <v>79</v>
      </c>
      <c r="AG395" s="3">
        <v>28.04862</v>
      </c>
      <c r="AH395" s="3">
        <v>100.3518</v>
      </c>
      <c r="AI395" s="3">
        <v>42.194690000000001</v>
      </c>
      <c r="AK395" s="3">
        <v>8.7224750000000004E-2</v>
      </c>
      <c r="AL395" s="3">
        <v>50.259920000000001</v>
      </c>
      <c r="AM395" s="3">
        <v>33.4</v>
      </c>
      <c r="AN395" s="3">
        <v>21.3871</v>
      </c>
      <c r="AO395" s="3">
        <v>17.663519999999998</v>
      </c>
      <c r="AQ395" s="3">
        <v>11.63575</v>
      </c>
      <c r="AU395" s="3">
        <v>5.8209379999999995E-4</v>
      </c>
      <c r="AV395" s="3">
        <v>36.467689999999997</v>
      </c>
      <c r="AW395" s="3">
        <v>1.725372E-3</v>
      </c>
      <c r="AX395" s="3">
        <v>39.322069999999997</v>
      </c>
      <c r="AY395" s="3">
        <v>5.9795199999999999</v>
      </c>
    </row>
    <row r="396" spans="1:51" x14ac:dyDescent="0.2">
      <c r="A396" s="3" t="s">
        <v>293</v>
      </c>
      <c r="B396" s="49">
        <v>29860</v>
      </c>
      <c r="D396" s="3">
        <v>43.120010000000001</v>
      </c>
      <c r="E396" s="3">
        <v>6.1784140000000004E-10</v>
      </c>
      <c r="F396" s="3">
        <v>40.45299</v>
      </c>
      <c r="G396" s="3">
        <v>59.752070000000003</v>
      </c>
      <c r="H396" s="3">
        <v>4.9005989999999997</v>
      </c>
      <c r="J396" s="3">
        <v>1.28566</v>
      </c>
      <c r="K396" s="3">
        <v>1.1161989999999999</v>
      </c>
      <c r="M396" s="3">
        <v>52.646970000000003</v>
      </c>
      <c r="N396" s="3">
        <v>39.994610000000002</v>
      </c>
      <c r="P396" s="3">
        <v>23.72664</v>
      </c>
      <c r="S396" s="3">
        <v>39.868830000000003</v>
      </c>
      <c r="T396" s="3">
        <v>43.373330000000003</v>
      </c>
      <c r="V396" s="3">
        <v>42.763460000000002</v>
      </c>
      <c r="W396" s="3">
        <v>34.950310000000002</v>
      </c>
      <c r="X396" s="3">
        <v>6.8062420000000001</v>
      </c>
      <c r="Y396" s="3">
        <v>3.1332879999999999</v>
      </c>
      <c r="Z396" s="3">
        <v>4.8236910000000002</v>
      </c>
      <c r="AA396" s="3">
        <v>7.7393530000000004</v>
      </c>
      <c r="AB396" s="3">
        <v>66.203180000000003</v>
      </c>
      <c r="AC396" s="3">
        <v>17.649249999999999</v>
      </c>
      <c r="AD396" s="3">
        <v>0.12169679999999999</v>
      </c>
      <c r="AE396" s="3">
        <v>25.469609999999999</v>
      </c>
      <c r="AF396" s="3">
        <v>79.3</v>
      </c>
      <c r="AG396" s="3">
        <v>27.982040000000001</v>
      </c>
      <c r="AH396" s="3">
        <v>100.0147</v>
      </c>
      <c r="AI396" s="3">
        <v>42.307720000000003</v>
      </c>
      <c r="AK396" s="3">
        <v>8.9160059999999999E-2</v>
      </c>
      <c r="AL396" s="3">
        <v>50.71528</v>
      </c>
      <c r="AM396" s="3">
        <v>33.5</v>
      </c>
      <c r="AN396" s="3">
        <v>21.560659999999999</v>
      </c>
      <c r="AO396" s="3">
        <v>17.86045</v>
      </c>
      <c r="AQ396" s="3">
        <v>11.831799999999999</v>
      </c>
      <c r="AU396" s="3">
        <v>6.0586950000000004E-4</v>
      </c>
      <c r="AV396" s="3">
        <v>36.703850000000003</v>
      </c>
      <c r="AW396" s="3">
        <v>1.7660639999999999E-3</v>
      </c>
      <c r="AX396" s="3">
        <v>39.406460000000003</v>
      </c>
      <c r="AY396" s="3">
        <v>6.0255159999999997</v>
      </c>
    </row>
    <row r="397" spans="1:51" x14ac:dyDescent="0.2">
      <c r="A397" s="3" t="s">
        <v>294</v>
      </c>
      <c r="B397" s="49">
        <v>29891</v>
      </c>
      <c r="D397" s="3">
        <v>43.549720000000001</v>
      </c>
      <c r="E397" s="3">
        <v>6.504112E-10</v>
      </c>
      <c r="F397" s="3">
        <v>40.769030000000001</v>
      </c>
      <c r="G397" s="3">
        <v>60.107689999999998</v>
      </c>
      <c r="H397" s="3">
        <v>4.9094949999999997</v>
      </c>
      <c r="J397" s="3">
        <v>1.3090360000000001</v>
      </c>
      <c r="K397" s="3">
        <v>1.188536</v>
      </c>
      <c r="M397" s="3">
        <v>52.907919999999997</v>
      </c>
      <c r="N397" s="3">
        <v>40.481499999999997</v>
      </c>
      <c r="P397" s="3">
        <v>23.93233</v>
      </c>
      <c r="S397" s="3">
        <v>39.868830000000003</v>
      </c>
      <c r="T397" s="3">
        <v>43.740900000000003</v>
      </c>
      <c r="V397" s="3">
        <v>42.987630000000003</v>
      </c>
      <c r="W397" s="3">
        <v>35.318570000000001</v>
      </c>
      <c r="X397" s="3">
        <v>6.9574920000000002</v>
      </c>
      <c r="Y397" s="3">
        <v>3.1707380000000001</v>
      </c>
      <c r="Z397" s="3">
        <v>4.8049460000000002</v>
      </c>
      <c r="AA397" s="3">
        <v>7.7721309999999999</v>
      </c>
      <c r="AB397" s="3">
        <v>66.203180000000003</v>
      </c>
      <c r="AC397" s="3">
        <v>17.906389999999998</v>
      </c>
      <c r="AD397" s="3">
        <v>0.1287604</v>
      </c>
      <c r="AE397" s="3">
        <v>25.925170000000001</v>
      </c>
      <c r="AF397" s="3">
        <v>79.2</v>
      </c>
      <c r="AG397" s="3">
        <v>27.739059999999998</v>
      </c>
      <c r="AH397" s="3">
        <v>99.694800000000001</v>
      </c>
      <c r="AI397" s="3">
        <v>42.572029999999998</v>
      </c>
      <c r="AK397" s="3">
        <v>9.087597E-2</v>
      </c>
      <c r="AL397" s="3">
        <v>50.886040000000001</v>
      </c>
      <c r="AM397" s="3">
        <v>33.6</v>
      </c>
      <c r="AN397" s="3">
        <v>21.69708</v>
      </c>
      <c r="AO397" s="3">
        <v>18.035889999999998</v>
      </c>
      <c r="AQ397" s="3">
        <v>11.970129999999999</v>
      </c>
      <c r="AU397" s="3">
        <v>6.1488790000000003E-4</v>
      </c>
      <c r="AV397" s="3">
        <v>36.841079999999998</v>
      </c>
      <c r="AW397" s="3">
        <v>1.803528E-3</v>
      </c>
      <c r="AX397" s="3">
        <v>39.533029999999997</v>
      </c>
      <c r="AY397" s="3">
        <v>6.0715120000000002</v>
      </c>
    </row>
    <row r="398" spans="1:51" x14ac:dyDescent="0.2">
      <c r="A398" s="3" t="s">
        <v>295</v>
      </c>
      <c r="B398" s="49">
        <v>29921</v>
      </c>
      <c r="D398" s="3">
        <v>43.824469999999998</v>
      </c>
      <c r="E398" s="3">
        <v>6.8895080000000003E-10</v>
      </c>
      <c r="F398" s="3">
        <v>40.927050000000001</v>
      </c>
      <c r="G398" s="3">
        <v>60.107689999999998</v>
      </c>
      <c r="H398" s="3">
        <v>4.934952</v>
      </c>
      <c r="J398" s="3">
        <v>1.332411</v>
      </c>
      <c r="K398" s="3">
        <v>1.279962</v>
      </c>
      <c r="M398" s="3">
        <v>53.03839</v>
      </c>
      <c r="N398" s="3">
        <v>40.690170000000002</v>
      </c>
      <c r="P398" s="3">
        <v>24.294740000000001</v>
      </c>
      <c r="S398" s="3">
        <v>39.946019999999997</v>
      </c>
      <c r="T398" s="3">
        <v>43.998199999999997</v>
      </c>
      <c r="V398" s="3">
        <v>43.157249999999998</v>
      </c>
      <c r="W398" s="3">
        <v>35.537219999999998</v>
      </c>
      <c r="X398" s="3">
        <v>7.1087420000000003</v>
      </c>
      <c r="Y398" s="3">
        <v>3.2081870000000001</v>
      </c>
      <c r="Z398" s="3">
        <v>4.8299399999999997</v>
      </c>
      <c r="AA398" s="3">
        <v>7.7393530000000004</v>
      </c>
      <c r="AB398" s="3">
        <v>66.301550000000006</v>
      </c>
      <c r="AC398" s="3">
        <v>18.186910000000001</v>
      </c>
      <c r="AD398" s="3">
        <v>0.13540849999999999</v>
      </c>
      <c r="AE398" s="3">
        <v>26.19436</v>
      </c>
      <c r="AF398" s="3">
        <v>79.3</v>
      </c>
      <c r="AG398" s="3">
        <v>27.893509999999999</v>
      </c>
      <c r="AH398" s="3">
        <v>100.71120000000001</v>
      </c>
      <c r="AI398" s="3">
        <v>42.848500000000001</v>
      </c>
      <c r="AK398" s="3">
        <v>9.332211E-2</v>
      </c>
      <c r="AL398" s="3">
        <v>50.942959999999999</v>
      </c>
      <c r="AM398" s="3">
        <v>33.700000000000003</v>
      </c>
      <c r="AN398" s="3">
        <v>21.82339</v>
      </c>
      <c r="AO398" s="3">
        <v>18.160699999999999</v>
      </c>
      <c r="AQ398" s="3">
        <v>12.26571</v>
      </c>
      <c r="AU398" s="3">
        <v>6.3538410000000005E-4</v>
      </c>
      <c r="AV398" s="3">
        <v>36.65598</v>
      </c>
      <c r="AW398" s="3">
        <v>1.8241290000000001E-3</v>
      </c>
      <c r="AX398" s="3">
        <v>39.659599999999998</v>
      </c>
      <c r="AY398" s="3">
        <v>6.1175079999999999</v>
      </c>
    </row>
    <row r="399" spans="1:51" x14ac:dyDescent="0.2">
      <c r="A399" s="3" t="s">
        <v>296</v>
      </c>
      <c r="B399" s="49">
        <v>29952</v>
      </c>
      <c r="D399" s="3">
        <v>44.247140000000002</v>
      </c>
      <c r="E399" s="3">
        <v>7.3693559999999998E-10</v>
      </c>
      <c r="F399" s="3">
        <v>41.243090000000002</v>
      </c>
      <c r="G399" s="3">
        <v>60.413260000000001</v>
      </c>
      <c r="H399" s="3">
        <v>4.9693050000000003</v>
      </c>
      <c r="J399" s="3">
        <v>1.3557870000000001</v>
      </c>
      <c r="K399" s="3">
        <v>1.4055470000000001</v>
      </c>
      <c r="M399" s="3">
        <v>53.495060000000002</v>
      </c>
      <c r="N399" s="3">
        <v>40.968389999999999</v>
      </c>
      <c r="P399" s="3">
        <v>24.798079999999999</v>
      </c>
      <c r="S399" s="3">
        <v>40.67933</v>
      </c>
      <c r="T399" s="3">
        <v>44.476039999999998</v>
      </c>
      <c r="V399" s="3">
        <v>43.385449999999999</v>
      </c>
      <c r="W399" s="3">
        <v>35.744370000000004</v>
      </c>
      <c r="X399" s="3">
        <v>7.2167770000000004</v>
      </c>
      <c r="Y399" s="3">
        <v>3.2747649999999999</v>
      </c>
      <c r="Z399" s="3">
        <v>5.0548789999999997</v>
      </c>
      <c r="AA399" s="3">
        <v>7.7211420000000004</v>
      </c>
      <c r="AB399" s="3">
        <v>66.301550000000006</v>
      </c>
      <c r="AC399" s="3">
        <v>18.420670000000001</v>
      </c>
      <c r="AD399" s="3">
        <v>0.14667330000000001</v>
      </c>
      <c r="AE399" s="3">
        <v>26.56709</v>
      </c>
      <c r="AF399" s="3">
        <v>79.3</v>
      </c>
      <c r="AG399" s="3">
        <v>28.02665</v>
      </c>
      <c r="AH399" s="3">
        <v>101.239</v>
      </c>
      <c r="AI399" s="3">
        <v>43.431010000000001</v>
      </c>
      <c r="AK399" s="3">
        <v>9.7959000000000004E-2</v>
      </c>
      <c r="AL399" s="3">
        <v>51.284469999999999</v>
      </c>
      <c r="AM399" s="3">
        <v>34.799999999999997</v>
      </c>
      <c r="AN399" s="3">
        <v>22.03809</v>
      </c>
      <c r="AO399" s="3">
        <v>18.39996</v>
      </c>
      <c r="AQ399" s="3">
        <v>12.50853</v>
      </c>
      <c r="AU399" s="3">
        <v>6.4932149999999997E-4</v>
      </c>
      <c r="AV399" s="3">
        <v>37.460209999999996</v>
      </c>
      <c r="AW399" s="3">
        <v>1.9120540000000001E-3</v>
      </c>
      <c r="AX399" s="3">
        <v>39.786169999999998</v>
      </c>
      <c r="AY399" s="3">
        <v>6.1175079999999999</v>
      </c>
    </row>
    <row r="400" spans="1:51" x14ac:dyDescent="0.2">
      <c r="A400" s="3" t="s">
        <v>297</v>
      </c>
      <c r="B400" s="49">
        <v>29983</v>
      </c>
      <c r="D400" s="3">
        <v>44.352809999999998</v>
      </c>
      <c r="E400" s="3">
        <v>7.8584369999999999E-10</v>
      </c>
      <c r="F400" s="3">
        <v>41.717140000000001</v>
      </c>
      <c r="G400" s="3">
        <v>60.51511</v>
      </c>
      <c r="H400" s="3">
        <v>4.9300079999999999</v>
      </c>
      <c r="J400" s="3">
        <v>1.3908499999999999</v>
      </c>
      <c r="K400" s="3">
        <v>1.4527669999999999</v>
      </c>
      <c r="M400" s="3">
        <v>53.560299999999998</v>
      </c>
      <c r="N400" s="3">
        <v>41.211840000000002</v>
      </c>
      <c r="P400" s="3">
        <v>24.991250000000001</v>
      </c>
      <c r="S400" s="3">
        <v>40.872300000000003</v>
      </c>
      <c r="T400" s="3">
        <v>44.917119999999997</v>
      </c>
      <c r="V400" s="3">
        <v>43.558210000000003</v>
      </c>
      <c r="W400" s="3">
        <v>35.755879999999998</v>
      </c>
      <c r="X400" s="3">
        <v>7.2167770000000004</v>
      </c>
      <c r="Y400" s="3">
        <v>3.2581199999999999</v>
      </c>
      <c r="Z400" s="3">
        <v>5.0861200000000002</v>
      </c>
      <c r="AA400" s="3">
        <v>7.7065739999999998</v>
      </c>
      <c r="AB400" s="3">
        <v>66.301550000000006</v>
      </c>
      <c r="AC400" s="3">
        <v>18.654440000000001</v>
      </c>
      <c r="AD400" s="3">
        <v>0.15502959999999999</v>
      </c>
      <c r="AE400" s="3">
        <v>26.960519999999999</v>
      </c>
      <c r="AF400" s="3">
        <v>79.2</v>
      </c>
      <c r="AG400" s="3">
        <v>28.159120000000001</v>
      </c>
      <c r="AH400" s="3">
        <v>101.2299</v>
      </c>
      <c r="AI400" s="3">
        <v>43.850070000000002</v>
      </c>
      <c r="AK400" s="3">
        <v>0.1018083</v>
      </c>
      <c r="AL400" s="3">
        <v>51.512149999999998</v>
      </c>
      <c r="AM400" s="3">
        <v>35</v>
      </c>
      <c r="AN400" s="3">
        <v>22.179359999999999</v>
      </c>
      <c r="AO400" s="3">
        <v>18.53051</v>
      </c>
      <c r="AQ400" s="3">
        <v>12.85187</v>
      </c>
      <c r="AU400" s="3">
        <v>6.6325900000000003E-4</v>
      </c>
      <c r="AV400" s="3">
        <v>37.98997</v>
      </c>
      <c r="AW400" s="3">
        <v>1.955591E-3</v>
      </c>
      <c r="AX400" s="3">
        <v>39.912750000000003</v>
      </c>
      <c r="AY400" s="3">
        <v>6.2095010000000004</v>
      </c>
    </row>
    <row r="401" spans="1:51" x14ac:dyDescent="0.2">
      <c r="A401" s="3" t="s">
        <v>298</v>
      </c>
      <c r="B401" s="49">
        <v>30011</v>
      </c>
      <c r="D401" s="3">
        <v>44.423259999999999</v>
      </c>
      <c r="E401" s="3">
        <v>8.3073579999999997E-10</v>
      </c>
      <c r="F401" s="3">
        <v>42.270209999999999</v>
      </c>
      <c r="G401" s="3">
        <v>60.61609</v>
      </c>
      <c r="H401" s="3">
        <v>4.9517569999999997</v>
      </c>
      <c r="J401" s="3">
        <v>1.414226</v>
      </c>
      <c r="K401" s="3">
        <v>1.5462020000000001</v>
      </c>
      <c r="M401" s="3">
        <v>53.560299999999998</v>
      </c>
      <c r="N401" s="3">
        <v>41.559620000000002</v>
      </c>
      <c r="P401" s="3">
        <v>25.236660000000001</v>
      </c>
      <c r="S401" s="3">
        <v>41.41263</v>
      </c>
      <c r="T401" s="3">
        <v>45.46848</v>
      </c>
      <c r="V401" s="3">
        <v>43.665570000000002</v>
      </c>
      <c r="W401" s="3">
        <v>36.066600000000001</v>
      </c>
      <c r="X401" s="3">
        <v>7.4328479999999999</v>
      </c>
      <c r="Y401" s="3">
        <v>3.2830870000000001</v>
      </c>
      <c r="Z401" s="3">
        <v>5.0923689999999997</v>
      </c>
      <c r="AA401" s="3">
        <v>7.688364</v>
      </c>
      <c r="AB401" s="3">
        <v>66.59666</v>
      </c>
      <c r="AC401" s="3">
        <v>19.028459999999999</v>
      </c>
      <c r="AD401" s="3">
        <v>0.162878</v>
      </c>
      <c r="AE401" s="3">
        <v>27.188300000000002</v>
      </c>
      <c r="AF401" s="3">
        <v>79.3</v>
      </c>
      <c r="AG401" s="3">
        <v>28.42408</v>
      </c>
      <c r="AH401" s="3">
        <v>101.3439</v>
      </c>
      <c r="AI401" s="3">
        <v>43.891800000000003</v>
      </c>
      <c r="AK401" s="3">
        <v>0.1055267</v>
      </c>
      <c r="AL401" s="3">
        <v>51.910589999999999</v>
      </c>
      <c r="AM401" s="3">
        <v>35.6</v>
      </c>
      <c r="AN401" s="3">
        <v>22.30377</v>
      </c>
      <c r="AO401" s="3">
        <v>18.682569999999998</v>
      </c>
      <c r="AQ401" s="3">
        <v>13.168340000000001</v>
      </c>
      <c r="AU401" s="3">
        <v>6.9359350000000001E-4</v>
      </c>
      <c r="AV401" s="3">
        <v>38.085720000000002</v>
      </c>
      <c r="AW401" s="3">
        <v>2.0001530000000002E-3</v>
      </c>
      <c r="AX401" s="3">
        <v>39.870559999999998</v>
      </c>
      <c r="AY401" s="3">
        <v>6.3474899999999996</v>
      </c>
    </row>
    <row r="402" spans="1:51" x14ac:dyDescent="0.2">
      <c r="A402" s="3" t="s">
        <v>299</v>
      </c>
      <c r="B402" s="49">
        <v>30042</v>
      </c>
      <c r="D402" s="3">
        <v>44.972740000000002</v>
      </c>
      <c r="E402" s="3">
        <v>8.7964389999999998E-10</v>
      </c>
      <c r="F402" s="3">
        <v>42.507240000000003</v>
      </c>
      <c r="G402" s="3">
        <v>60.972589999999997</v>
      </c>
      <c r="H402" s="3">
        <v>4.946815</v>
      </c>
      <c r="J402" s="3">
        <v>1.449289</v>
      </c>
      <c r="K402" s="3">
        <v>1.6105020000000001</v>
      </c>
      <c r="M402" s="3">
        <v>53.756010000000003</v>
      </c>
      <c r="N402" s="3">
        <v>41.803060000000002</v>
      </c>
      <c r="P402" s="3">
        <v>25.5686</v>
      </c>
      <c r="S402" s="3">
        <v>41.644199999999998</v>
      </c>
      <c r="T402" s="3">
        <v>45.983080000000001</v>
      </c>
      <c r="V402" s="3">
        <v>43.955689999999997</v>
      </c>
      <c r="W402" s="3">
        <v>36.791609999999999</v>
      </c>
      <c r="X402" s="3">
        <v>7.6489200000000004</v>
      </c>
      <c r="Y402" s="3">
        <v>3.2914089999999998</v>
      </c>
      <c r="Z402" s="3">
        <v>5.0923689999999997</v>
      </c>
      <c r="AA402" s="3">
        <v>7.7211420000000004</v>
      </c>
      <c r="AB402" s="3">
        <v>66.59666</v>
      </c>
      <c r="AC402" s="3">
        <v>19.355730000000001</v>
      </c>
      <c r="AD402" s="3">
        <v>0.18023690000000001</v>
      </c>
      <c r="AE402" s="3">
        <v>27.416070000000001</v>
      </c>
      <c r="AF402" s="3">
        <v>79.900000000000006</v>
      </c>
      <c r="AG402" s="3">
        <v>28.468679999999999</v>
      </c>
      <c r="AH402" s="3">
        <v>100.63379999999999</v>
      </c>
      <c r="AI402" s="3">
        <v>44.041339999999998</v>
      </c>
      <c r="AK402" s="3">
        <v>0.11124580000000001</v>
      </c>
      <c r="AL402" s="3">
        <v>52.08135</v>
      </c>
      <c r="AM402" s="3">
        <v>35.700000000000003</v>
      </c>
      <c r="AN402" s="3">
        <v>22.533359999999998</v>
      </c>
      <c r="AO402" s="3">
        <v>18.873740000000002</v>
      </c>
      <c r="AQ402" s="3">
        <v>13.409179999999999</v>
      </c>
      <c r="AU402" s="3">
        <v>6.9687289999999995E-4</v>
      </c>
      <c r="AV402" s="3">
        <v>38.34102</v>
      </c>
      <c r="AW402" s="3">
        <v>2.0191039999999999E-3</v>
      </c>
      <c r="AX402" s="3">
        <v>40.039319999999996</v>
      </c>
      <c r="AY402" s="3">
        <v>6.4394830000000001</v>
      </c>
    </row>
    <row r="403" spans="1:51" x14ac:dyDescent="0.2">
      <c r="A403" s="3" t="s">
        <v>300</v>
      </c>
      <c r="B403" s="49">
        <v>30072</v>
      </c>
      <c r="D403" s="3">
        <v>45.374279999999999</v>
      </c>
      <c r="E403" s="3">
        <v>9.3821540000000008E-10</v>
      </c>
      <c r="F403" s="3">
        <v>43.060310000000001</v>
      </c>
      <c r="G403" s="3">
        <v>61.735639999999997</v>
      </c>
      <c r="H403" s="3">
        <v>4.9218529999999996</v>
      </c>
      <c r="J403" s="3">
        <v>1.496041</v>
      </c>
      <c r="K403" s="3">
        <v>1.6888669999999999</v>
      </c>
      <c r="M403" s="3">
        <v>54.147440000000003</v>
      </c>
      <c r="N403" s="3">
        <v>42.289949999999997</v>
      </c>
      <c r="P403" s="3">
        <v>25.93862</v>
      </c>
      <c r="S403" s="3">
        <v>42.454700000000003</v>
      </c>
      <c r="T403" s="3">
        <v>46.350650000000002</v>
      </c>
      <c r="V403" s="3">
        <v>44.328780000000002</v>
      </c>
      <c r="W403" s="3">
        <v>37.0563</v>
      </c>
      <c r="X403" s="3">
        <v>7.7569549999999996</v>
      </c>
      <c r="Y403" s="3">
        <v>3.2830870000000001</v>
      </c>
      <c r="Z403" s="3">
        <v>5.098617</v>
      </c>
      <c r="AA403" s="3">
        <v>7.7721309999999999</v>
      </c>
      <c r="AB403" s="3">
        <v>66.59666</v>
      </c>
      <c r="AC403" s="3">
        <v>19.846640000000001</v>
      </c>
      <c r="AD403" s="3">
        <v>0.1914555</v>
      </c>
      <c r="AE403" s="3">
        <v>27.726680000000002</v>
      </c>
      <c r="AF403" s="3">
        <v>80.2</v>
      </c>
      <c r="AG403" s="3">
        <v>28.689699999999998</v>
      </c>
      <c r="AH403" s="3">
        <v>100.16289999999999</v>
      </c>
      <c r="AI403" s="3">
        <v>44.649940000000001</v>
      </c>
      <c r="AK403" s="3">
        <v>0.1174987</v>
      </c>
      <c r="AL403" s="3">
        <v>52.252110000000002</v>
      </c>
      <c r="AM403" s="3">
        <v>35.799999999999997</v>
      </c>
      <c r="AN403" s="3">
        <v>22.78051</v>
      </c>
      <c r="AO403" s="3">
        <v>19.030809999999999</v>
      </c>
      <c r="AQ403" s="3">
        <v>13.42013</v>
      </c>
      <c r="AU403" s="3">
        <v>7.2884709999999995E-4</v>
      </c>
      <c r="AV403" s="3">
        <v>38.503779999999999</v>
      </c>
      <c r="AW403" s="3">
        <v>2.025251E-3</v>
      </c>
      <c r="AX403" s="3">
        <v>40.419040000000003</v>
      </c>
      <c r="AY403" s="3">
        <v>6.4854789999999998</v>
      </c>
    </row>
    <row r="404" spans="1:51" x14ac:dyDescent="0.2">
      <c r="A404" s="3" t="s">
        <v>301</v>
      </c>
      <c r="B404" s="49">
        <v>30103</v>
      </c>
      <c r="D404" s="3">
        <v>45.782859999999999</v>
      </c>
      <c r="E404" s="3">
        <v>1.004875E-9</v>
      </c>
      <c r="F404" s="3">
        <v>43.534370000000003</v>
      </c>
      <c r="G404" s="3">
        <v>62.294969999999999</v>
      </c>
      <c r="H404" s="3">
        <v>4.9544759999999997</v>
      </c>
      <c r="J404" s="3">
        <v>1.531104</v>
      </c>
      <c r="K404" s="3">
        <v>1.800386</v>
      </c>
      <c r="M404" s="3">
        <v>54.734580000000001</v>
      </c>
      <c r="N404" s="3">
        <v>42.60295</v>
      </c>
      <c r="P404" s="3">
        <v>26.187840000000001</v>
      </c>
      <c r="S404" s="3">
        <v>42.609090000000002</v>
      </c>
      <c r="T404" s="3">
        <v>46.681460000000001</v>
      </c>
      <c r="V404" s="3">
        <v>44.743029999999997</v>
      </c>
      <c r="W404" s="3">
        <v>37.159869999999998</v>
      </c>
      <c r="X404" s="3">
        <v>7.9946339999999996</v>
      </c>
      <c r="Y404" s="3">
        <v>3.328859</v>
      </c>
      <c r="Z404" s="3">
        <v>5.117362</v>
      </c>
      <c r="AA404" s="3">
        <v>7.9068870000000002</v>
      </c>
      <c r="AB404" s="3">
        <v>66.891769999999994</v>
      </c>
      <c r="AC404" s="3">
        <v>20.057030000000001</v>
      </c>
      <c r="AD404" s="3">
        <v>0.20299729999999999</v>
      </c>
      <c r="AE404" s="3">
        <v>28.016580000000001</v>
      </c>
      <c r="AF404" s="3">
        <v>80.2</v>
      </c>
      <c r="AG404" s="3">
        <v>28.866119999999999</v>
      </c>
      <c r="AH404" s="3">
        <v>100.78919999999999</v>
      </c>
      <c r="AI404" s="3">
        <v>45.159419999999997</v>
      </c>
      <c r="AK404" s="3">
        <v>0.1231589</v>
      </c>
      <c r="AL404" s="3">
        <v>52.309019999999997</v>
      </c>
      <c r="AM404" s="3">
        <v>36.1</v>
      </c>
      <c r="AN404" s="3">
        <v>23.042020000000001</v>
      </c>
      <c r="AO404" s="3">
        <v>19.19952</v>
      </c>
      <c r="AQ404" s="3">
        <v>13.552490000000001</v>
      </c>
      <c r="AU404" s="3">
        <v>7.4606390000000002E-4</v>
      </c>
      <c r="AV404" s="3">
        <v>38.634630000000001</v>
      </c>
      <c r="AW404" s="3">
        <v>2.0595679999999999E-3</v>
      </c>
      <c r="AX404" s="3">
        <v>40.925330000000002</v>
      </c>
      <c r="AY404" s="3">
        <v>6.5314750000000004</v>
      </c>
    </row>
    <row r="405" spans="1:51" x14ac:dyDescent="0.2">
      <c r="A405" s="3" t="s">
        <v>302</v>
      </c>
      <c r="B405" s="49">
        <v>30133</v>
      </c>
      <c r="D405" s="3">
        <v>46.113959999999999</v>
      </c>
      <c r="E405" s="3">
        <v>1.068764E-9</v>
      </c>
      <c r="F405" s="3">
        <v>43.7714</v>
      </c>
      <c r="G405" s="3">
        <v>62.548740000000002</v>
      </c>
      <c r="H405" s="3">
        <v>5.0525919999999998</v>
      </c>
      <c r="J405" s="3">
        <v>1.5427919999999999</v>
      </c>
      <c r="K405" s="3">
        <v>1.993285</v>
      </c>
      <c r="M405" s="3">
        <v>54.799819999999997</v>
      </c>
      <c r="N405" s="3">
        <v>42.95073</v>
      </c>
      <c r="P405" s="3">
        <v>26.52413</v>
      </c>
      <c r="S405" s="3">
        <v>42.956440000000001</v>
      </c>
      <c r="T405" s="3">
        <v>46.828490000000002</v>
      </c>
      <c r="V405" s="3">
        <v>44.892440000000001</v>
      </c>
      <c r="W405" s="3">
        <v>37.171379999999999</v>
      </c>
      <c r="X405" s="3">
        <v>7.9082049999999997</v>
      </c>
      <c r="Y405" s="3">
        <v>3.3205360000000002</v>
      </c>
      <c r="Z405" s="3">
        <v>5.1735959999999999</v>
      </c>
      <c r="AA405" s="3">
        <v>8.0416430000000005</v>
      </c>
      <c r="AB405" s="3">
        <v>66.891769999999994</v>
      </c>
      <c r="AC405" s="3">
        <v>20.3843</v>
      </c>
      <c r="AD405" s="3">
        <v>0.22169510000000001</v>
      </c>
      <c r="AE405" s="3">
        <v>28.368600000000001</v>
      </c>
      <c r="AF405" s="3">
        <v>79.7</v>
      </c>
      <c r="AG405" s="3">
        <v>28.932690000000001</v>
      </c>
      <c r="AH405" s="3">
        <v>101.322</v>
      </c>
      <c r="AI405" s="3">
        <v>45.62717</v>
      </c>
      <c r="AK405" s="3">
        <v>0.12950519999999999</v>
      </c>
      <c r="AL405" s="3">
        <v>52.650539999999999</v>
      </c>
      <c r="AM405" s="3">
        <v>36.700000000000003</v>
      </c>
      <c r="AN405" s="3">
        <v>23.216460000000001</v>
      </c>
      <c r="AO405" s="3">
        <v>19.300920000000001</v>
      </c>
      <c r="AQ405" s="3">
        <v>13.538550000000001</v>
      </c>
      <c r="AU405" s="3">
        <v>7.6819989999999999E-4</v>
      </c>
      <c r="AV405" s="3">
        <v>38.902700000000003</v>
      </c>
      <c r="AW405" s="3">
        <v>2.080569E-3</v>
      </c>
      <c r="AX405" s="3">
        <v>41.136290000000002</v>
      </c>
      <c r="AY405" s="3">
        <v>6.5774720000000002</v>
      </c>
    </row>
    <row r="406" spans="1:51" x14ac:dyDescent="0.2">
      <c r="A406" s="3" t="s">
        <v>303</v>
      </c>
      <c r="B406" s="49">
        <v>30164</v>
      </c>
      <c r="D406" s="3">
        <v>46.395740000000004</v>
      </c>
      <c r="E406" s="3">
        <v>1.1326E-9</v>
      </c>
      <c r="F406" s="3">
        <v>43.92942</v>
      </c>
      <c r="G406" s="3">
        <v>63.006210000000003</v>
      </c>
      <c r="H406" s="3">
        <v>5.215706</v>
      </c>
      <c r="J406" s="3">
        <v>1.566168</v>
      </c>
      <c r="K406" s="3">
        <v>2.0646170000000001</v>
      </c>
      <c r="M406" s="3">
        <v>54.734580000000001</v>
      </c>
      <c r="N406" s="3">
        <v>43.228960000000001</v>
      </c>
      <c r="P406" s="3">
        <v>26.70805</v>
      </c>
      <c r="S406" s="3">
        <v>42.763469999999998</v>
      </c>
      <c r="T406" s="3">
        <v>46.975520000000003</v>
      </c>
      <c r="V406" s="3">
        <v>45.061729999999997</v>
      </c>
      <c r="W406" s="3">
        <v>37.18289</v>
      </c>
      <c r="X406" s="3">
        <v>7.7785630000000001</v>
      </c>
      <c r="Y406" s="3">
        <v>3.3455029999999999</v>
      </c>
      <c r="Z406" s="3">
        <v>5.1486029999999996</v>
      </c>
      <c r="AA406" s="3">
        <v>8.2091770000000004</v>
      </c>
      <c r="AB406" s="3">
        <v>66.891769999999994</v>
      </c>
      <c r="AC406" s="3">
        <v>21.03884</v>
      </c>
      <c r="AD406" s="3">
        <v>0.23914630000000001</v>
      </c>
      <c r="AE406" s="3">
        <v>28.88627</v>
      </c>
      <c r="AF406" s="3">
        <v>80.3</v>
      </c>
      <c r="AG406" s="3">
        <v>29.021229999999999</v>
      </c>
      <c r="AH406" s="3">
        <v>101.65770000000001</v>
      </c>
      <c r="AI406" s="3">
        <v>45.877560000000003</v>
      </c>
      <c r="AK406" s="3">
        <v>0.144038</v>
      </c>
      <c r="AL406" s="3">
        <v>52.707459999999998</v>
      </c>
      <c r="AM406" s="3">
        <v>36.700000000000003</v>
      </c>
      <c r="AN406" s="3">
        <v>23.46782</v>
      </c>
      <c r="AO406" s="3">
        <v>19.393660000000001</v>
      </c>
      <c r="AQ406" s="3">
        <v>13.76844</v>
      </c>
      <c r="AU406" s="3">
        <v>7.6492040000000002E-4</v>
      </c>
      <c r="AV406" s="3">
        <v>39.004829999999998</v>
      </c>
      <c r="AW406" s="3">
        <v>2.10874E-3</v>
      </c>
      <c r="AX406" s="3">
        <v>41.220669999999998</v>
      </c>
      <c r="AY406" s="3">
        <v>6.6694639999999996</v>
      </c>
    </row>
    <row r="407" spans="1:51" x14ac:dyDescent="0.2">
      <c r="A407" s="3" t="s">
        <v>304</v>
      </c>
      <c r="B407" s="49">
        <v>30195</v>
      </c>
      <c r="D407" s="3">
        <v>46.966360000000002</v>
      </c>
      <c r="E407" s="3">
        <v>1.1901390000000001E-9</v>
      </c>
      <c r="F407" s="3">
        <v>44.166449999999998</v>
      </c>
      <c r="G407" s="3">
        <v>63.260849999999998</v>
      </c>
      <c r="H407" s="3">
        <v>5.4393710000000004</v>
      </c>
      <c r="J407" s="3">
        <v>1.5895429999999999</v>
      </c>
      <c r="K407" s="3">
        <v>2.1761360000000001</v>
      </c>
      <c r="M407" s="3">
        <v>54.930289999999999</v>
      </c>
      <c r="N407" s="3">
        <v>43.715850000000003</v>
      </c>
      <c r="P407" s="3">
        <v>26.739070000000002</v>
      </c>
      <c r="S407" s="3">
        <v>42.686279999999996</v>
      </c>
      <c r="T407" s="3">
        <v>47.159300000000002</v>
      </c>
      <c r="V407" s="3">
        <v>45.292670000000001</v>
      </c>
      <c r="W407" s="3">
        <v>37.159869999999998</v>
      </c>
      <c r="X407" s="3">
        <v>7.9730259999999999</v>
      </c>
      <c r="Y407" s="3">
        <v>3.4079190000000001</v>
      </c>
      <c r="Z407" s="3">
        <v>5.1923409999999999</v>
      </c>
      <c r="AA407" s="3">
        <v>8.2273870000000002</v>
      </c>
      <c r="AB407" s="3">
        <v>67.186880000000002</v>
      </c>
      <c r="AC407" s="3">
        <v>21.459620000000001</v>
      </c>
      <c r="AD407" s="3">
        <v>0.25729000000000002</v>
      </c>
      <c r="AE407" s="3">
        <v>29.321120000000001</v>
      </c>
      <c r="AF407" s="3">
        <v>81.5</v>
      </c>
      <c r="AG407" s="3">
        <v>29.15371</v>
      </c>
      <c r="AH407" s="3">
        <v>102.0671</v>
      </c>
      <c r="AI407" s="3">
        <v>46.214889999999997</v>
      </c>
      <c r="AK407" s="3">
        <v>0.1517268</v>
      </c>
      <c r="AL407" s="3">
        <v>52.992060000000002</v>
      </c>
      <c r="AM407" s="3">
        <v>37</v>
      </c>
      <c r="AN407" s="3">
        <v>23.681329999999999</v>
      </c>
      <c r="AO407" s="3">
        <v>19.531559999999999</v>
      </c>
      <c r="AQ407" s="3">
        <v>13.94459</v>
      </c>
      <c r="AU407" s="3">
        <v>7.7639829999999997E-4</v>
      </c>
      <c r="AV407" s="3">
        <v>39.21546</v>
      </c>
      <c r="AW407" s="3">
        <v>2.1743019999999999E-3</v>
      </c>
      <c r="AX407" s="3">
        <v>41.305050000000001</v>
      </c>
      <c r="AY407" s="3">
        <v>6.7614570000000001</v>
      </c>
    </row>
    <row r="408" spans="1:51" x14ac:dyDescent="0.2">
      <c r="A408" s="3" t="s">
        <v>305</v>
      </c>
      <c r="B408" s="49">
        <v>30225</v>
      </c>
      <c r="D408" s="3">
        <v>47.353810000000003</v>
      </c>
      <c r="E408" s="3">
        <v>1.24301E-9</v>
      </c>
      <c r="F408" s="3">
        <v>44.482489999999999</v>
      </c>
      <c r="G408" s="3">
        <v>63.413640000000001</v>
      </c>
      <c r="H408" s="3">
        <v>5.7003529999999998</v>
      </c>
      <c r="J408" s="3">
        <v>1.612919</v>
      </c>
      <c r="K408" s="3">
        <v>2.242445</v>
      </c>
      <c r="M408" s="3">
        <v>55.191240000000001</v>
      </c>
      <c r="N408" s="3">
        <v>44.237520000000004</v>
      </c>
      <c r="P408" s="3">
        <v>27.006789999999999</v>
      </c>
      <c r="S408" s="3">
        <v>42.879249999999999</v>
      </c>
      <c r="T408" s="3">
        <v>47.416600000000003</v>
      </c>
      <c r="V408" s="3">
        <v>45.5212</v>
      </c>
      <c r="W408" s="3">
        <v>37.344009999999997</v>
      </c>
      <c r="X408" s="3">
        <v>8.1674900000000008</v>
      </c>
      <c r="Y408" s="3">
        <v>3.4204020000000002</v>
      </c>
      <c r="Z408" s="3">
        <v>5.2548250000000003</v>
      </c>
      <c r="AA408" s="3">
        <v>8.2601650000000006</v>
      </c>
      <c r="AB408" s="3">
        <v>67.186880000000002</v>
      </c>
      <c r="AC408" s="3">
        <v>22.25442</v>
      </c>
      <c r="AD408" s="3">
        <v>0.27889619999999998</v>
      </c>
      <c r="AE408" s="3">
        <v>29.818079999999998</v>
      </c>
      <c r="AF408" s="3">
        <v>81.8</v>
      </c>
      <c r="AG408" s="3">
        <v>29.087129999999998</v>
      </c>
      <c r="AH408" s="3">
        <v>102.3231</v>
      </c>
      <c r="AI408" s="3">
        <v>46.70872</v>
      </c>
      <c r="AK408" s="3">
        <v>0.1595925</v>
      </c>
      <c r="AL408" s="3">
        <v>53.219740000000002</v>
      </c>
      <c r="AM408" s="3">
        <v>37.299999999999997</v>
      </c>
      <c r="AN408" s="3">
        <v>23.91591</v>
      </c>
      <c r="AO408" s="3">
        <v>19.7118</v>
      </c>
      <c r="AQ408" s="3">
        <v>14.02819</v>
      </c>
      <c r="AU408" s="3">
        <v>7.9033580000000003E-4</v>
      </c>
      <c r="AV408" s="3">
        <v>39.761180000000003</v>
      </c>
      <c r="AW408" s="3">
        <v>2.2332049999999998E-3</v>
      </c>
      <c r="AX408" s="3">
        <v>41.431629999999998</v>
      </c>
      <c r="AY408" s="3">
        <v>6.8534490000000003</v>
      </c>
    </row>
    <row r="409" spans="1:51" x14ac:dyDescent="0.2">
      <c r="A409" s="3" t="s">
        <v>306</v>
      </c>
      <c r="B409" s="49">
        <v>30256</v>
      </c>
      <c r="D409" s="3">
        <v>47.403120000000001</v>
      </c>
      <c r="E409" s="3">
        <v>1.308746E-9</v>
      </c>
      <c r="F409" s="3">
        <v>44.719520000000003</v>
      </c>
      <c r="G409" s="3">
        <v>63.617350000000002</v>
      </c>
      <c r="H409" s="3">
        <v>5.8896649999999999</v>
      </c>
      <c r="J409" s="3">
        <v>1.6362950000000001</v>
      </c>
      <c r="K409" s="3">
        <v>2.276605</v>
      </c>
      <c r="M409" s="3">
        <v>55.321719999999999</v>
      </c>
      <c r="N409" s="3">
        <v>44.585299999999997</v>
      </c>
      <c r="P409" s="3">
        <v>27.094940000000001</v>
      </c>
      <c r="S409" s="3">
        <v>42.995040000000003</v>
      </c>
      <c r="T409" s="3">
        <v>47.857689999999998</v>
      </c>
      <c r="V409" s="3">
        <v>45.546999999999997</v>
      </c>
      <c r="W409" s="3">
        <v>37.52814</v>
      </c>
      <c r="X409" s="3">
        <v>8.3403469999999995</v>
      </c>
      <c r="Y409" s="3">
        <v>3.4328850000000002</v>
      </c>
      <c r="Z409" s="3">
        <v>5.2798179999999997</v>
      </c>
      <c r="AA409" s="3">
        <v>8.3439329999999998</v>
      </c>
      <c r="AB409" s="3">
        <v>67.186880000000002</v>
      </c>
      <c r="AC409" s="3">
        <v>22.44143</v>
      </c>
      <c r="AD409" s="3">
        <v>0.29699379999999997</v>
      </c>
      <c r="AE409" s="3">
        <v>30.232230000000001</v>
      </c>
      <c r="AF409" s="3">
        <v>81</v>
      </c>
      <c r="AG409" s="3">
        <v>28.910720000000001</v>
      </c>
      <c r="AH409" s="3">
        <v>102.6767</v>
      </c>
      <c r="AI409" s="3">
        <v>47.15213</v>
      </c>
      <c r="AK409" s="3">
        <v>0.16766120000000001</v>
      </c>
      <c r="AL409" s="3">
        <v>53.219740000000002</v>
      </c>
      <c r="AM409" s="3">
        <v>37.5</v>
      </c>
      <c r="AN409" s="3">
        <v>24.042660000000001</v>
      </c>
      <c r="AO409" s="3">
        <v>19.85567</v>
      </c>
      <c r="AQ409" s="3">
        <v>14.14363</v>
      </c>
      <c r="AU409" s="3">
        <v>8.0837249999999997E-4</v>
      </c>
      <c r="AV409" s="3">
        <v>40.077129999999997</v>
      </c>
      <c r="AW409" s="3">
        <v>2.2849379999999998E-3</v>
      </c>
      <c r="AX409" s="3">
        <v>41.347239999999999</v>
      </c>
      <c r="AY409" s="3">
        <v>6.9454419999999999</v>
      </c>
    </row>
    <row r="410" spans="1:51" x14ac:dyDescent="0.2">
      <c r="A410" s="3" t="s">
        <v>307</v>
      </c>
      <c r="B410" s="49">
        <v>30286</v>
      </c>
      <c r="D410" s="3">
        <v>47.374940000000002</v>
      </c>
      <c r="E410" s="3">
        <v>1.4109050000000001E-9</v>
      </c>
      <c r="F410" s="3">
        <v>44.719520000000003</v>
      </c>
      <c r="G410" s="3">
        <v>63.413379999999997</v>
      </c>
      <c r="H410" s="3">
        <v>5.9581239999999998</v>
      </c>
      <c r="J410" s="3">
        <v>1.6479820000000001</v>
      </c>
      <c r="K410" s="3">
        <v>2.326838</v>
      </c>
      <c r="M410" s="3">
        <v>55.452190000000002</v>
      </c>
      <c r="N410" s="3">
        <v>44.341850000000001</v>
      </c>
      <c r="P410" s="3">
        <v>27.697859999999999</v>
      </c>
      <c r="S410" s="3">
        <v>43.496769999999998</v>
      </c>
      <c r="T410" s="3">
        <v>48.262009999999997</v>
      </c>
      <c r="V410" s="3">
        <v>45.526339999999998</v>
      </c>
      <c r="W410" s="3">
        <v>37.459090000000003</v>
      </c>
      <c r="X410" s="3">
        <v>8.4699899999999992</v>
      </c>
      <c r="Y410" s="3">
        <v>3.4786570000000001</v>
      </c>
      <c r="Z410" s="3">
        <v>5.3110590000000002</v>
      </c>
      <c r="AA410" s="3">
        <v>8.3621429999999997</v>
      </c>
      <c r="AB410" s="3">
        <v>67.580359999999999</v>
      </c>
      <c r="AC410" s="3">
        <v>22.651820000000001</v>
      </c>
      <c r="AD410" s="3">
        <v>0.31347550000000002</v>
      </c>
      <c r="AE410" s="3">
        <v>30.50142</v>
      </c>
      <c r="AF410" s="3">
        <v>80.900000000000006</v>
      </c>
      <c r="AG410" s="3">
        <v>29.242239999999999</v>
      </c>
      <c r="AH410" s="3">
        <v>103.83710000000001</v>
      </c>
      <c r="AI410" s="3">
        <v>47.315579999999997</v>
      </c>
      <c r="AK410" s="3">
        <v>0.18556520000000001</v>
      </c>
      <c r="AL410" s="3">
        <v>53.105899999999998</v>
      </c>
      <c r="AM410" s="3">
        <v>37.700000000000003</v>
      </c>
      <c r="AN410" s="3">
        <v>24.288640000000001</v>
      </c>
      <c r="AO410" s="3">
        <v>20.003630000000001</v>
      </c>
      <c r="AQ410" s="3">
        <v>14.505879999999999</v>
      </c>
      <c r="AU410" s="3">
        <v>8.2312979999999997E-4</v>
      </c>
      <c r="AV410" s="3">
        <v>40.192010000000003</v>
      </c>
      <c r="AW410" s="3">
        <v>2.3648419999999998E-3</v>
      </c>
      <c r="AX410" s="3">
        <v>41.17848</v>
      </c>
      <c r="AY410" s="3">
        <v>6.9454419999999999</v>
      </c>
    </row>
    <row r="411" spans="1:51" x14ac:dyDescent="0.2">
      <c r="A411" s="3" t="s">
        <v>308</v>
      </c>
      <c r="B411" s="49">
        <v>30317</v>
      </c>
      <c r="D411" s="3">
        <v>47.952599999999997</v>
      </c>
      <c r="E411" s="3">
        <v>1.532823E-9</v>
      </c>
      <c r="F411" s="3">
        <v>44.640509999999999</v>
      </c>
      <c r="G411" s="3">
        <v>63.318660000000001</v>
      </c>
      <c r="H411" s="3">
        <v>6.0629119999999999</v>
      </c>
      <c r="J411" s="3">
        <v>1.65967</v>
      </c>
      <c r="K411" s="3">
        <v>2.3881239999999999</v>
      </c>
      <c r="M411" s="3">
        <v>55.713149999999999</v>
      </c>
      <c r="N411" s="3">
        <v>44.724409999999999</v>
      </c>
      <c r="P411" s="3">
        <v>28.16583</v>
      </c>
      <c r="S411" s="3">
        <v>43.959919999999997</v>
      </c>
      <c r="T411" s="3">
        <v>48.73986</v>
      </c>
      <c r="V411" s="3">
        <v>45.685310000000001</v>
      </c>
      <c r="W411" s="3">
        <v>37.505119999999998</v>
      </c>
      <c r="X411" s="3">
        <v>8.5996330000000007</v>
      </c>
      <c r="Y411" s="3">
        <v>3.5452340000000002</v>
      </c>
      <c r="Z411" s="3">
        <v>5.5547430000000002</v>
      </c>
      <c r="AA411" s="3">
        <v>8.325723</v>
      </c>
      <c r="AB411" s="3">
        <v>67.580359999999999</v>
      </c>
      <c r="AC411" s="3">
        <v>22.979089999999999</v>
      </c>
      <c r="AD411" s="3">
        <v>0.34006779999999998</v>
      </c>
      <c r="AE411" s="3">
        <v>30.874140000000001</v>
      </c>
      <c r="AF411" s="3">
        <v>81</v>
      </c>
      <c r="AG411" s="3">
        <v>29.463259999999998</v>
      </c>
      <c r="AH411" s="3">
        <v>104.8284</v>
      </c>
      <c r="AI411" s="3">
        <v>47.861579999999996</v>
      </c>
      <c r="AK411" s="3">
        <v>0.20575660000000001</v>
      </c>
      <c r="AL411" s="3">
        <v>53.105899999999998</v>
      </c>
      <c r="AM411" s="3">
        <v>38.299999999999997</v>
      </c>
      <c r="AN411" s="3">
        <v>24.550660000000001</v>
      </c>
      <c r="AO411" s="3">
        <v>20.211569999999998</v>
      </c>
      <c r="AQ411" s="3">
        <v>15.07512</v>
      </c>
      <c r="AU411" s="3">
        <v>8.3214819999999996E-4</v>
      </c>
      <c r="AV411" s="3">
        <v>41.079210000000003</v>
      </c>
      <c r="AW411" s="3">
        <v>2.4642090000000002E-3</v>
      </c>
      <c r="AX411" s="3">
        <v>41.262860000000003</v>
      </c>
      <c r="AY411" s="3">
        <v>6.9914379999999996</v>
      </c>
    </row>
    <row r="412" spans="1:51" x14ac:dyDescent="0.2">
      <c r="A412" s="3" t="s">
        <v>309</v>
      </c>
      <c r="B412" s="49">
        <v>30348</v>
      </c>
      <c r="D412" s="3">
        <v>48.220289999999999</v>
      </c>
      <c r="E412" s="3">
        <v>1.653275E-9</v>
      </c>
      <c r="F412" s="3">
        <v>44.877540000000003</v>
      </c>
      <c r="G412" s="3">
        <v>63.406219999999998</v>
      </c>
      <c r="H412" s="3">
        <v>6.0700789999999998</v>
      </c>
      <c r="J412" s="3">
        <v>1.683046</v>
      </c>
      <c r="K412" s="3">
        <v>2.412236</v>
      </c>
      <c r="M412" s="3">
        <v>55.713149999999999</v>
      </c>
      <c r="N412" s="3">
        <v>44.828740000000003</v>
      </c>
      <c r="P412" s="3">
        <v>28.307310000000001</v>
      </c>
      <c r="S412" s="3">
        <v>44.152889999999999</v>
      </c>
      <c r="T412" s="3">
        <v>49.07067</v>
      </c>
      <c r="V412" s="3">
        <v>45.781840000000003</v>
      </c>
      <c r="W412" s="3">
        <v>37.666229999999999</v>
      </c>
      <c r="X412" s="3">
        <v>8.7292760000000005</v>
      </c>
      <c r="Y412" s="3">
        <v>3.5452340000000002</v>
      </c>
      <c r="Z412" s="3">
        <v>5.56724</v>
      </c>
      <c r="AA412" s="3">
        <v>8.4131319999999992</v>
      </c>
      <c r="AB412" s="3">
        <v>67.580359999999999</v>
      </c>
      <c r="AC412" s="3">
        <v>23.37649</v>
      </c>
      <c r="AD412" s="3">
        <v>0.36070459999999999</v>
      </c>
      <c r="AE412" s="3">
        <v>31.28828</v>
      </c>
      <c r="AF412" s="3">
        <v>80.7</v>
      </c>
      <c r="AG412" s="3">
        <v>29.661650000000002</v>
      </c>
      <c r="AH412" s="3">
        <v>104.6743</v>
      </c>
      <c r="AI412" s="3">
        <v>48.002420000000001</v>
      </c>
      <c r="AK412" s="3">
        <v>0.21679870000000001</v>
      </c>
      <c r="AL412" s="3">
        <v>53.219740000000002</v>
      </c>
      <c r="AM412" s="3">
        <v>38.5</v>
      </c>
      <c r="AN412" s="3">
        <v>24.690200000000001</v>
      </c>
      <c r="AO412" s="3">
        <v>20.342359999999999</v>
      </c>
      <c r="AQ412" s="3">
        <v>15.38264</v>
      </c>
      <c r="AU412" s="3">
        <v>8.6986129999999998E-4</v>
      </c>
      <c r="AV412" s="3">
        <v>41.095170000000003</v>
      </c>
      <c r="AW412" s="3">
        <v>2.5261849999999998E-3</v>
      </c>
      <c r="AX412" s="3">
        <v>41.305050000000001</v>
      </c>
      <c r="AY412" s="3">
        <v>7.1294269999999997</v>
      </c>
    </row>
    <row r="413" spans="1:51" x14ac:dyDescent="0.2">
      <c r="A413" s="3" t="s">
        <v>310</v>
      </c>
      <c r="B413" s="49">
        <v>30376</v>
      </c>
      <c r="D413" s="3">
        <v>48.396410000000003</v>
      </c>
      <c r="E413" s="3">
        <v>1.774705E-9</v>
      </c>
      <c r="F413" s="3">
        <v>45.351590000000002</v>
      </c>
      <c r="G413" s="3">
        <v>63.527169999999998</v>
      </c>
      <c r="H413" s="3">
        <v>6.1850009999999997</v>
      </c>
      <c r="J413" s="3">
        <v>1.7181090000000001</v>
      </c>
      <c r="K413" s="3">
        <v>2.4323299999999999</v>
      </c>
      <c r="M413" s="3">
        <v>55.713149999999999</v>
      </c>
      <c r="N413" s="3">
        <v>44.724409999999999</v>
      </c>
      <c r="P413" s="3">
        <v>28.47926</v>
      </c>
      <c r="S413" s="3">
        <v>44.538849999999996</v>
      </c>
      <c r="T413" s="3">
        <v>49.54851</v>
      </c>
      <c r="V413" s="3">
        <v>45.915759999999999</v>
      </c>
      <c r="W413" s="3">
        <v>37.735280000000003</v>
      </c>
      <c r="X413" s="3">
        <v>9.0965969999999992</v>
      </c>
      <c r="Y413" s="3">
        <v>3.570201</v>
      </c>
      <c r="Z413" s="3">
        <v>5.5359980000000002</v>
      </c>
      <c r="AA413" s="3">
        <v>8.4459099999999996</v>
      </c>
      <c r="AB413" s="3">
        <v>67.281329999999997</v>
      </c>
      <c r="AC413" s="3">
        <v>24.171289999999999</v>
      </c>
      <c r="AD413" s="3">
        <v>0.38106430000000002</v>
      </c>
      <c r="AE413" s="3">
        <v>31.57818</v>
      </c>
      <c r="AF413" s="3">
        <v>81.2</v>
      </c>
      <c r="AG413" s="3">
        <v>29.77216</v>
      </c>
      <c r="AH413" s="3">
        <v>104.9425</v>
      </c>
      <c r="AI413" s="3">
        <v>48.07893</v>
      </c>
      <c r="AK413" s="3">
        <v>0.2272923</v>
      </c>
      <c r="AL413" s="3">
        <v>53.27666</v>
      </c>
      <c r="AM413" s="3">
        <v>38.9</v>
      </c>
      <c r="AN413" s="3">
        <v>24.84667</v>
      </c>
      <c r="AO413" s="3">
        <v>20.475180000000002</v>
      </c>
      <c r="AQ413" s="3">
        <v>15.74091</v>
      </c>
      <c r="AU413" s="3">
        <v>9.1249359999999999E-4</v>
      </c>
      <c r="AV413" s="3">
        <v>41.248359999999998</v>
      </c>
      <c r="AW413" s="3">
        <v>2.577406E-3</v>
      </c>
      <c r="AX413" s="3">
        <v>41.305050000000001</v>
      </c>
      <c r="AY413" s="3">
        <v>7.1754239999999996</v>
      </c>
    </row>
    <row r="414" spans="1:51" x14ac:dyDescent="0.2">
      <c r="A414" s="3" t="s">
        <v>311</v>
      </c>
      <c r="B414" s="49">
        <v>30407</v>
      </c>
      <c r="D414" s="3">
        <v>48.551389999999998</v>
      </c>
      <c r="E414" s="3">
        <v>1.8914670000000002E-9</v>
      </c>
      <c r="F414" s="3">
        <v>45.351590000000002</v>
      </c>
      <c r="G414" s="3">
        <v>63.725749999999998</v>
      </c>
      <c r="H414" s="3">
        <v>6.3688750000000001</v>
      </c>
      <c r="J414" s="3">
        <v>1.776548</v>
      </c>
      <c r="K414" s="3">
        <v>2.4715120000000002</v>
      </c>
      <c r="M414" s="3">
        <v>55.843620000000001</v>
      </c>
      <c r="N414" s="3">
        <v>45.037410000000001</v>
      </c>
      <c r="P414" s="3">
        <v>28.870509999999999</v>
      </c>
      <c r="S414" s="3">
        <v>44.886200000000002</v>
      </c>
      <c r="T414" s="3">
        <v>50.173380000000002</v>
      </c>
      <c r="V414" s="3">
        <v>46.23733</v>
      </c>
      <c r="W414" s="3">
        <v>38.264659999999999</v>
      </c>
      <c r="X414" s="3">
        <v>9.2262389999999996</v>
      </c>
      <c r="Y414" s="3">
        <v>3.5660400000000001</v>
      </c>
      <c r="Z414" s="3">
        <v>5.6672120000000001</v>
      </c>
      <c r="AA414" s="3">
        <v>8.5478880000000004</v>
      </c>
      <c r="AB414" s="3">
        <v>67.680040000000005</v>
      </c>
      <c r="AC414" s="3">
        <v>25.012840000000001</v>
      </c>
      <c r="AD414" s="3">
        <v>0.43161739999999998</v>
      </c>
      <c r="AE414" s="3">
        <v>31.909490000000002</v>
      </c>
      <c r="AF414" s="3">
        <v>81.5</v>
      </c>
      <c r="AG414" s="3">
        <v>29.684280000000001</v>
      </c>
      <c r="AH414" s="3">
        <v>104.5896</v>
      </c>
      <c r="AI414" s="3">
        <v>48.228470000000002</v>
      </c>
      <c r="AK414" s="3">
        <v>0.2416826</v>
      </c>
      <c r="AL414" s="3">
        <v>53.504330000000003</v>
      </c>
      <c r="AM414" s="3">
        <v>39</v>
      </c>
      <c r="AN414" s="3">
        <v>25.114049999999999</v>
      </c>
      <c r="AO414" s="3">
        <v>20.66507</v>
      </c>
      <c r="AQ414" s="3">
        <v>16.078279999999999</v>
      </c>
      <c r="AU414" s="3">
        <v>9.4610739999999999E-4</v>
      </c>
      <c r="AV414" s="3">
        <v>41.573869999999999</v>
      </c>
      <c r="AW414" s="3">
        <v>2.6153090000000001E-3</v>
      </c>
      <c r="AX414" s="3">
        <v>41.600389999999997</v>
      </c>
      <c r="AY414" s="3">
        <v>7.2674159999999999</v>
      </c>
    </row>
    <row r="415" spans="1:51" x14ac:dyDescent="0.2">
      <c r="A415" s="3" t="s">
        <v>312</v>
      </c>
      <c r="B415" s="49">
        <v>30437</v>
      </c>
      <c r="D415" s="3">
        <v>48.805</v>
      </c>
      <c r="E415" s="3">
        <v>2.01409E-9</v>
      </c>
      <c r="F415" s="3">
        <v>45.430599999999998</v>
      </c>
      <c r="G415" s="3">
        <v>63.780410000000003</v>
      </c>
      <c r="H415" s="3">
        <v>6.4566109999999997</v>
      </c>
      <c r="J415" s="3">
        <v>1.8232999999999999</v>
      </c>
      <c r="K415" s="3">
        <v>2.5348069999999998</v>
      </c>
      <c r="M415" s="3">
        <v>55.9741</v>
      </c>
      <c r="N415" s="3">
        <v>45.524299999999997</v>
      </c>
      <c r="P415" s="3">
        <v>28.990220000000001</v>
      </c>
      <c r="S415" s="3">
        <v>45.619509999999998</v>
      </c>
      <c r="T415" s="3">
        <v>50.504199999999997</v>
      </c>
      <c r="V415" s="3">
        <v>46.526589999999999</v>
      </c>
      <c r="W415" s="3">
        <v>38.42577</v>
      </c>
      <c r="X415" s="3">
        <v>9.3774890000000006</v>
      </c>
      <c r="Y415" s="3">
        <v>3.5577179999999999</v>
      </c>
      <c r="Z415" s="3">
        <v>5.7171989999999999</v>
      </c>
      <c r="AA415" s="3">
        <v>8.7664100000000005</v>
      </c>
      <c r="AB415" s="3">
        <v>67.779719999999998</v>
      </c>
      <c r="AC415" s="3">
        <v>25.5505</v>
      </c>
      <c r="AD415" s="3">
        <v>0.4554397</v>
      </c>
      <c r="AE415" s="3">
        <v>32.17868</v>
      </c>
      <c r="AF415" s="3">
        <v>82.4</v>
      </c>
      <c r="AG415" s="3">
        <v>29.77216</v>
      </c>
      <c r="AH415" s="3">
        <v>104.5411</v>
      </c>
      <c r="AI415" s="3">
        <v>48.471910000000001</v>
      </c>
      <c r="AK415" s="3">
        <v>0.25216470000000002</v>
      </c>
      <c r="AL415" s="3">
        <v>53.561250000000001</v>
      </c>
      <c r="AM415" s="3">
        <v>39.1</v>
      </c>
      <c r="AN415" s="3">
        <v>25.317060000000001</v>
      </c>
      <c r="AO415" s="3">
        <v>20.76868</v>
      </c>
      <c r="AQ415" s="3">
        <v>16.049410000000002</v>
      </c>
      <c r="AU415" s="3">
        <v>9.7808159999999999E-4</v>
      </c>
      <c r="AV415" s="3">
        <v>41.835560000000001</v>
      </c>
      <c r="AW415" s="3">
        <v>2.6327239999999999E-3</v>
      </c>
      <c r="AX415" s="3">
        <v>41.853540000000002</v>
      </c>
      <c r="AY415" s="3">
        <v>7.3134129999999997</v>
      </c>
    </row>
    <row r="416" spans="1:51" x14ac:dyDescent="0.2">
      <c r="A416" s="3" t="s">
        <v>313</v>
      </c>
      <c r="B416" s="49">
        <v>30468</v>
      </c>
      <c r="D416" s="3">
        <v>49.122010000000003</v>
      </c>
      <c r="E416" s="3">
        <v>2.2130899999999999E-9</v>
      </c>
      <c r="F416" s="3">
        <v>45.90466</v>
      </c>
      <c r="G416" s="3">
        <v>64.043880000000001</v>
      </c>
      <c r="H416" s="3">
        <v>6.5571979999999996</v>
      </c>
      <c r="J416" s="3">
        <v>1.8349880000000001</v>
      </c>
      <c r="K416" s="3">
        <v>2.5549010000000001</v>
      </c>
      <c r="M416" s="3">
        <v>56.169809999999998</v>
      </c>
      <c r="N416" s="3">
        <v>45.628630000000001</v>
      </c>
      <c r="P416" s="3">
        <v>29.16</v>
      </c>
      <c r="S416" s="3">
        <v>46.121250000000003</v>
      </c>
      <c r="T416" s="3">
        <v>50.798250000000003</v>
      </c>
      <c r="V416" s="3">
        <v>46.644840000000002</v>
      </c>
      <c r="W416" s="3">
        <v>38.51784</v>
      </c>
      <c r="X416" s="3">
        <v>9.4423100000000009</v>
      </c>
      <c r="Y416" s="3">
        <v>3.570201</v>
      </c>
      <c r="Z416" s="3">
        <v>5.8046749999999996</v>
      </c>
      <c r="AA416" s="3">
        <v>8.9667220000000007</v>
      </c>
      <c r="AB416" s="3">
        <v>67.779719999999998</v>
      </c>
      <c r="AC416" s="3">
        <v>25.71414</v>
      </c>
      <c r="AD416" s="3">
        <v>0.4718291</v>
      </c>
      <c r="AE416" s="3">
        <v>32.365049999999997</v>
      </c>
      <c r="AF416" s="3">
        <v>81.900000000000006</v>
      </c>
      <c r="AG416" s="3">
        <v>29.75019</v>
      </c>
      <c r="AH416" s="3">
        <v>105.6101</v>
      </c>
      <c r="AI416" s="3">
        <v>48.60754</v>
      </c>
      <c r="AK416" s="3">
        <v>0.26171359999999999</v>
      </c>
      <c r="AL416" s="3">
        <v>53.618180000000002</v>
      </c>
      <c r="AM416" s="3">
        <v>39.299999999999997</v>
      </c>
      <c r="AN416" s="3">
        <v>25.45054</v>
      </c>
      <c r="AO416" s="3">
        <v>20.87885</v>
      </c>
      <c r="AQ416" s="3">
        <v>16.324090000000002</v>
      </c>
      <c r="AU416" s="3">
        <v>1.008416E-3</v>
      </c>
      <c r="AV416" s="3">
        <v>42.062150000000003</v>
      </c>
      <c r="AW416" s="3">
        <v>2.667553E-3</v>
      </c>
      <c r="AX416" s="3">
        <v>41.980110000000003</v>
      </c>
      <c r="AY416" s="3">
        <v>7.3134129999999997</v>
      </c>
    </row>
    <row r="417" spans="1:51" x14ac:dyDescent="0.2">
      <c r="A417" s="3" t="s">
        <v>314</v>
      </c>
      <c r="B417" s="49">
        <v>30498</v>
      </c>
      <c r="D417" s="3">
        <v>49.586950000000002</v>
      </c>
      <c r="E417" s="3">
        <v>2.436134E-9</v>
      </c>
      <c r="F417" s="3">
        <v>46.141689999999997</v>
      </c>
      <c r="G417" s="3">
        <v>63.919049999999999</v>
      </c>
      <c r="H417" s="3">
        <v>6.682747</v>
      </c>
      <c r="J417" s="3">
        <v>1.8466750000000001</v>
      </c>
      <c r="K417" s="3">
        <v>2.5116999999999998</v>
      </c>
      <c r="M417" s="3">
        <v>56.365519999999997</v>
      </c>
      <c r="N417" s="3">
        <v>45.663409999999999</v>
      </c>
      <c r="P417" s="3">
        <v>29.263929999999998</v>
      </c>
      <c r="S417" s="3">
        <v>46.314219999999999</v>
      </c>
      <c r="T417" s="3">
        <v>51.239330000000002</v>
      </c>
      <c r="V417" s="3">
        <v>46.813929999999999</v>
      </c>
      <c r="W417" s="3">
        <v>38.724989999999998</v>
      </c>
      <c r="X417" s="3">
        <v>9.3558819999999994</v>
      </c>
      <c r="Y417" s="3">
        <v>3.5743619999999998</v>
      </c>
      <c r="Z417" s="3">
        <v>5.8546620000000003</v>
      </c>
      <c r="AA417" s="3">
        <v>9.1014789999999994</v>
      </c>
      <c r="AB417" s="3">
        <v>67.979060000000004</v>
      </c>
      <c r="AC417" s="3">
        <v>25.807639999999999</v>
      </c>
      <c r="AD417" s="3">
        <v>0.50133000000000005</v>
      </c>
      <c r="AE417" s="3">
        <v>32.634239999999998</v>
      </c>
      <c r="AF417" s="3">
        <v>81.5</v>
      </c>
      <c r="AG417" s="3">
        <v>29.75019</v>
      </c>
      <c r="AH417" s="3">
        <v>105.77370000000001</v>
      </c>
      <c r="AI417" s="3">
        <v>49.337850000000003</v>
      </c>
      <c r="AK417" s="3">
        <v>0.27465329999999999</v>
      </c>
      <c r="AL417" s="3">
        <v>53.902769999999997</v>
      </c>
      <c r="AM417" s="3">
        <v>39.6</v>
      </c>
      <c r="AN417" s="3">
        <v>25.631119999999999</v>
      </c>
      <c r="AO417" s="3">
        <v>21.006029999999999</v>
      </c>
      <c r="AQ417" s="3">
        <v>16.661460000000002</v>
      </c>
      <c r="AU417" s="3">
        <v>1.0100560000000001E-3</v>
      </c>
      <c r="AV417" s="3">
        <v>42.397239999999996</v>
      </c>
      <c r="AW417" s="3">
        <v>2.6952120000000002E-3</v>
      </c>
      <c r="AX417" s="3">
        <v>42.148879999999998</v>
      </c>
      <c r="AY417" s="3">
        <v>7.405405</v>
      </c>
    </row>
    <row r="418" spans="1:51" x14ac:dyDescent="0.2">
      <c r="A418" s="3" t="s">
        <v>315</v>
      </c>
      <c r="B418" s="49">
        <v>30529</v>
      </c>
      <c r="D418" s="3">
        <v>50.05894</v>
      </c>
      <c r="E418" s="3">
        <v>2.6580960000000001E-9</v>
      </c>
      <c r="F418" s="3">
        <v>46.378720000000001</v>
      </c>
      <c r="G418" s="3">
        <v>64.091290000000001</v>
      </c>
      <c r="H418" s="3">
        <v>6.8624200000000002</v>
      </c>
      <c r="J418" s="3">
        <v>1.8466750000000001</v>
      </c>
      <c r="K418" s="3">
        <v>2.5026570000000001</v>
      </c>
      <c r="M418" s="3">
        <v>56.561239999999998</v>
      </c>
      <c r="N418" s="3">
        <v>45.872079999999997</v>
      </c>
      <c r="P418" s="3">
        <v>29.65681</v>
      </c>
      <c r="S418" s="3">
        <v>46.352820000000001</v>
      </c>
      <c r="T418" s="3">
        <v>51.533389999999997</v>
      </c>
      <c r="V418" s="3">
        <v>46.949930000000002</v>
      </c>
      <c r="W418" s="3">
        <v>38.89761</v>
      </c>
      <c r="X418" s="3">
        <v>9.3342749999999999</v>
      </c>
      <c r="Y418" s="3">
        <v>3.5785230000000001</v>
      </c>
      <c r="Z418" s="3">
        <v>5.8484129999999999</v>
      </c>
      <c r="AA418" s="3">
        <v>9.2362350000000006</v>
      </c>
      <c r="AB418" s="3">
        <v>68.178420000000003</v>
      </c>
      <c r="AC418" s="3">
        <v>25.831019999999999</v>
      </c>
      <c r="AD418" s="3">
        <v>0.53724810000000001</v>
      </c>
      <c r="AE418" s="3">
        <v>32.799889999999998</v>
      </c>
      <c r="AF418" s="3">
        <v>81.3</v>
      </c>
      <c r="AG418" s="3">
        <v>29.77216</v>
      </c>
      <c r="AH418" s="3">
        <v>106.0859</v>
      </c>
      <c r="AI418" s="3">
        <v>49.692570000000003</v>
      </c>
      <c r="AK418" s="3">
        <v>0.28531380000000001</v>
      </c>
      <c r="AL418" s="3">
        <v>54.073529999999998</v>
      </c>
      <c r="AM418" s="3">
        <v>39.5</v>
      </c>
      <c r="AN418" s="3">
        <v>25.791509999999999</v>
      </c>
      <c r="AO418" s="3">
        <v>21.143999999999998</v>
      </c>
      <c r="AQ418" s="3">
        <v>17.174969999999998</v>
      </c>
      <c r="AU418" s="3">
        <v>1.0789230000000001E-3</v>
      </c>
      <c r="AV418" s="3">
        <v>42.614260000000002</v>
      </c>
      <c r="AW418" s="3">
        <v>2.7582129999999998E-3</v>
      </c>
      <c r="AX418" s="3">
        <v>42.275449999999999</v>
      </c>
      <c r="AY418" s="3">
        <v>7.4973979999999996</v>
      </c>
    </row>
    <row r="419" spans="1:51" x14ac:dyDescent="0.2">
      <c r="A419" s="3" t="s">
        <v>316</v>
      </c>
      <c r="B419" s="49">
        <v>30560</v>
      </c>
      <c r="D419" s="3">
        <v>50.411169999999998</v>
      </c>
      <c r="E419" s="3">
        <v>2.9318960000000001E-9</v>
      </c>
      <c r="F419" s="3">
        <v>46.378720000000001</v>
      </c>
      <c r="G419" s="3">
        <v>64.1708</v>
      </c>
      <c r="H419" s="3">
        <v>7.0225689999999998</v>
      </c>
      <c r="J419" s="3">
        <v>1.858363</v>
      </c>
      <c r="K419" s="3">
        <v>2.500648</v>
      </c>
      <c r="M419" s="3">
        <v>56.691719999999997</v>
      </c>
      <c r="N419" s="3">
        <v>46.324190000000002</v>
      </c>
      <c r="P419" s="3">
        <v>29.89406</v>
      </c>
      <c r="S419" s="3">
        <v>46.70017</v>
      </c>
      <c r="T419" s="3">
        <v>51.937719999999999</v>
      </c>
      <c r="V419" s="3">
        <v>47.247970000000002</v>
      </c>
      <c r="W419" s="3">
        <v>39.070230000000002</v>
      </c>
      <c r="X419" s="3">
        <v>9.6367740000000008</v>
      </c>
      <c r="Y419" s="3">
        <v>3.6201340000000002</v>
      </c>
      <c r="Z419" s="3">
        <v>5.8983999999999996</v>
      </c>
      <c r="AA419" s="3">
        <v>9.3200020000000006</v>
      </c>
      <c r="AB419" s="3">
        <v>68.078739999999996</v>
      </c>
      <c r="AC419" s="3">
        <v>25.877770000000002</v>
      </c>
      <c r="AD419" s="3">
        <v>0.58553900000000003</v>
      </c>
      <c r="AE419" s="3">
        <v>33.234740000000002</v>
      </c>
      <c r="AF419" s="3">
        <v>82.3</v>
      </c>
      <c r="AG419" s="3">
        <v>29.816759999999999</v>
      </c>
      <c r="AH419" s="3">
        <v>106.0629</v>
      </c>
      <c r="AI419" s="3">
        <v>50.170749999999998</v>
      </c>
      <c r="AK419" s="3">
        <v>0.29409479999999999</v>
      </c>
      <c r="AL419" s="3">
        <v>54.301209999999998</v>
      </c>
      <c r="AM419" s="3">
        <v>39.9</v>
      </c>
      <c r="AN419" s="3">
        <v>26.018229999999999</v>
      </c>
      <c r="AO419" s="3">
        <v>21.332059999999998</v>
      </c>
      <c r="AQ419" s="3">
        <v>17.74024</v>
      </c>
      <c r="AU419" s="3">
        <v>1.1223749999999999E-3</v>
      </c>
      <c r="AV419" s="3">
        <v>42.923819999999999</v>
      </c>
      <c r="AW419" s="3">
        <v>2.8473370000000001E-3</v>
      </c>
      <c r="AX419" s="3">
        <v>42.486400000000003</v>
      </c>
      <c r="AY419" s="3">
        <v>7.5433940000000002</v>
      </c>
    </row>
    <row r="420" spans="1:51" x14ac:dyDescent="0.2">
      <c r="A420" s="3" t="s">
        <v>317</v>
      </c>
      <c r="B420" s="49">
        <v>30590</v>
      </c>
      <c r="D420" s="3">
        <v>50.418210000000002</v>
      </c>
      <c r="E420" s="3">
        <v>3.1918539999999999E-9</v>
      </c>
      <c r="F420" s="3">
        <v>46.694760000000002</v>
      </c>
      <c r="G420" s="3">
        <v>64.324449999999999</v>
      </c>
      <c r="H420" s="3">
        <v>7.1926030000000001</v>
      </c>
      <c r="J420" s="3">
        <v>1.893427</v>
      </c>
      <c r="K420" s="3">
        <v>2.5257649999999998</v>
      </c>
      <c r="M420" s="3">
        <v>56.691719999999997</v>
      </c>
      <c r="N420" s="3">
        <v>46.602420000000002</v>
      </c>
      <c r="P420" s="3">
        <v>30.29945</v>
      </c>
      <c r="S420" s="3">
        <v>46.815959999999997</v>
      </c>
      <c r="T420" s="3">
        <v>52.34205</v>
      </c>
      <c r="V420" s="3">
        <v>47.482990000000001</v>
      </c>
      <c r="W420" s="3">
        <v>39.208329999999997</v>
      </c>
      <c r="X420" s="3">
        <v>9.8744530000000008</v>
      </c>
      <c r="Y420" s="3">
        <v>3.6284559999999999</v>
      </c>
      <c r="Z420" s="3">
        <v>5.8983999999999996</v>
      </c>
      <c r="AA420" s="3">
        <v>9.3855579999999996</v>
      </c>
      <c r="AB420" s="3">
        <v>67.979060000000004</v>
      </c>
      <c r="AC420" s="3">
        <v>26.321929999999998</v>
      </c>
      <c r="AD420" s="3">
        <v>0.70889780000000002</v>
      </c>
      <c r="AE420" s="3">
        <v>33.73171</v>
      </c>
      <c r="AF420" s="3">
        <v>83</v>
      </c>
      <c r="AG420" s="3">
        <v>29.794789999999999</v>
      </c>
      <c r="AH420" s="3">
        <v>106.4272</v>
      </c>
      <c r="AI420" s="3">
        <v>50.628070000000001</v>
      </c>
      <c r="AK420" s="3">
        <v>0.30385319999999999</v>
      </c>
      <c r="AL420" s="3">
        <v>54.528880000000001</v>
      </c>
      <c r="AM420" s="3">
        <v>40.1</v>
      </c>
      <c r="AN420" s="3">
        <v>26.249300000000002</v>
      </c>
      <c r="AO420" s="3">
        <v>21.537569999999999</v>
      </c>
      <c r="AQ420" s="3">
        <v>18.058700000000002</v>
      </c>
      <c r="AU420" s="3">
        <v>1.1764849999999999E-3</v>
      </c>
      <c r="AV420" s="3">
        <v>43.27487</v>
      </c>
      <c r="AW420" s="3">
        <v>2.9984370000000001E-3</v>
      </c>
      <c r="AX420" s="3">
        <v>42.61298</v>
      </c>
      <c r="AY420" s="3">
        <v>7.5893899999999999</v>
      </c>
    </row>
    <row r="421" spans="1:51" x14ac:dyDescent="0.2">
      <c r="A421" s="3" t="s">
        <v>318</v>
      </c>
      <c r="B421" s="49">
        <v>30621</v>
      </c>
      <c r="D421" s="3">
        <v>50.671819999999997</v>
      </c>
      <c r="E421" s="3">
        <v>3.427548E-9</v>
      </c>
      <c r="F421" s="3">
        <v>46.694760000000002</v>
      </c>
      <c r="G421" s="3">
        <v>64.732029999999995</v>
      </c>
      <c r="H421" s="3">
        <v>7.2880000000000003</v>
      </c>
      <c r="J421" s="3">
        <v>1.9168019999999999</v>
      </c>
      <c r="K421" s="3">
        <v>2.5418400000000001</v>
      </c>
      <c r="M421" s="3">
        <v>56.822189999999999</v>
      </c>
      <c r="N421" s="3">
        <v>47.019750000000002</v>
      </c>
      <c r="P421" s="3">
        <v>30.607980000000001</v>
      </c>
      <c r="S421" s="3">
        <v>47.24051</v>
      </c>
      <c r="T421" s="3">
        <v>52.56259</v>
      </c>
      <c r="V421" s="3">
        <v>47.574469999999998</v>
      </c>
      <c r="W421" s="3">
        <v>39.346429999999998</v>
      </c>
      <c r="X421" s="3">
        <v>10.004099999999999</v>
      </c>
      <c r="Y421" s="3">
        <v>3.6284559999999999</v>
      </c>
      <c r="Z421" s="3">
        <v>5.9108960000000002</v>
      </c>
      <c r="AA421" s="3">
        <v>9.4365469999999991</v>
      </c>
      <c r="AB421" s="3">
        <v>68.278099999999995</v>
      </c>
      <c r="AC421" s="3">
        <v>26.69595</v>
      </c>
      <c r="AD421" s="3">
        <v>0.8247776</v>
      </c>
      <c r="AE421" s="3">
        <v>34.104430000000001</v>
      </c>
      <c r="AF421" s="3">
        <v>82.5</v>
      </c>
      <c r="AG421" s="3">
        <v>29.72822</v>
      </c>
      <c r="AH421" s="3">
        <v>106.244</v>
      </c>
      <c r="AI421" s="3">
        <v>50.88194</v>
      </c>
      <c r="AK421" s="3">
        <v>0.32169829999999999</v>
      </c>
      <c r="AL421" s="3">
        <v>54.699649999999998</v>
      </c>
      <c r="AM421" s="3">
        <v>40.200000000000003</v>
      </c>
      <c r="AN421" s="3">
        <v>26.445550000000001</v>
      </c>
      <c r="AO421" s="3">
        <v>21.705480000000001</v>
      </c>
      <c r="AQ421" s="3">
        <v>18.463740000000001</v>
      </c>
      <c r="AU421" s="3">
        <v>1.2404339999999999E-3</v>
      </c>
      <c r="AV421" s="3">
        <v>43.536560000000001</v>
      </c>
      <c r="AW421" s="3">
        <v>3.1106089999999999E-3</v>
      </c>
      <c r="AX421" s="3">
        <v>42.697360000000003</v>
      </c>
      <c r="AY421" s="3">
        <v>7.6813830000000003</v>
      </c>
    </row>
    <row r="422" spans="1:51" x14ac:dyDescent="0.2">
      <c r="A422" s="3" t="s">
        <v>319</v>
      </c>
      <c r="B422" s="49">
        <v>30651</v>
      </c>
      <c r="D422" s="3">
        <v>50.763399999999997</v>
      </c>
      <c r="E422" s="3">
        <v>3.7249599999999999E-9</v>
      </c>
      <c r="F422" s="3">
        <v>46.773769999999999</v>
      </c>
      <c r="G422" s="3">
        <v>64.768209999999996</v>
      </c>
      <c r="H422" s="3">
        <v>7.3339689999999997</v>
      </c>
      <c r="J422" s="3">
        <v>1.92849</v>
      </c>
      <c r="K422" s="3">
        <v>2.5759989999999999</v>
      </c>
      <c r="M422" s="3">
        <v>56.952660000000002</v>
      </c>
      <c r="N422" s="3">
        <v>47.019750000000002</v>
      </c>
      <c r="P422" s="3">
        <v>31.083030000000001</v>
      </c>
      <c r="S422" s="3">
        <v>47.201909999999998</v>
      </c>
      <c r="T422" s="3">
        <v>52.746380000000002</v>
      </c>
      <c r="V422" s="3">
        <v>47.63691</v>
      </c>
      <c r="W422" s="3">
        <v>39.450000000000003</v>
      </c>
      <c r="X422" s="3">
        <v>10.17695</v>
      </c>
      <c r="Y422" s="3">
        <v>3.6617440000000001</v>
      </c>
      <c r="Z422" s="3">
        <v>5.9483860000000002</v>
      </c>
      <c r="AA422" s="3">
        <v>9.4037690000000005</v>
      </c>
      <c r="AB422" s="3">
        <v>68.477450000000005</v>
      </c>
      <c r="AC422" s="3">
        <v>27.443999999999999</v>
      </c>
      <c r="AD422" s="3">
        <v>0.91124879999999997</v>
      </c>
      <c r="AE422" s="3">
        <v>34.249389999999998</v>
      </c>
      <c r="AF422" s="3">
        <v>82.3</v>
      </c>
      <c r="AG422" s="3">
        <v>29.816759999999999</v>
      </c>
      <c r="AH422" s="3">
        <v>106.6236</v>
      </c>
      <c r="AI422" s="3">
        <v>51.111469999999997</v>
      </c>
      <c r="AK422" s="3">
        <v>0.33546160000000003</v>
      </c>
      <c r="AL422" s="3">
        <v>54.699649999999998</v>
      </c>
      <c r="AM422" s="3">
        <v>40.4</v>
      </c>
      <c r="AN422" s="3">
        <v>26.614280000000001</v>
      </c>
      <c r="AO422" s="3">
        <v>21.86223</v>
      </c>
      <c r="AQ422" s="3">
        <v>19.176300000000001</v>
      </c>
      <c r="AU422" s="3">
        <v>1.31668E-3</v>
      </c>
      <c r="AV422" s="3">
        <v>43.890799999999999</v>
      </c>
      <c r="AW422" s="3">
        <v>3.2412209999999999E-3</v>
      </c>
      <c r="AX422" s="3">
        <v>42.739550000000001</v>
      </c>
      <c r="AY422" s="3">
        <v>7.6813830000000003</v>
      </c>
    </row>
    <row r="423" spans="1:51" x14ac:dyDescent="0.2">
      <c r="A423" s="3" t="s">
        <v>320</v>
      </c>
      <c r="B423" s="49">
        <v>30682</v>
      </c>
      <c r="D423" s="3">
        <v>51.235390000000002</v>
      </c>
      <c r="E423" s="3">
        <v>4.0851239999999997E-9</v>
      </c>
      <c r="F423" s="3">
        <v>47.08981</v>
      </c>
      <c r="G423" s="3">
        <v>65.000870000000006</v>
      </c>
      <c r="H423" s="3">
        <v>7.3391599999999997</v>
      </c>
      <c r="J423" s="3">
        <v>1.9518660000000001</v>
      </c>
      <c r="K423" s="3">
        <v>2.6151819999999999</v>
      </c>
      <c r="M423" s="3">
        <v>57.148380000000003</v>
      </c>
      <c r="N423" s="3">
        <v>47.158859999999997</v>
      </c>
      <c r="P423" s="3">
        <v>31.564599999999999</v>
      </c>
      <c r="S423" s="3">
        <v>47.587859999999999</v>
      </c>
      <c r="T423" s="3">
        <v>53.113950000000003</v>
      </c>
      <c r="V423" s="3">
        <v>47.889800000000001</v>
      </c>
      <c r="W423" s="3">
        <v>39.42698</v>
      </c>
      <c r="X423" s="3">
        <v>10.328200000000001</v>
      </c>
      <c r="Y423" s="3">
        <v>3.753288</v>
      </c>
      <c r="Z423" s="3">
        <v>6.1545810000000003</v>
      </c>
      <c r="AA423" s="3">
        <v>9.4729679999999998</v>
      </c>
      <c r="AB423" s="3">
        <v>68.6768</v>
      </c>
      <c r="AC423" s="3">
        <v>28.028410000000001</v>
      </c>
      <c r="AD423" s="3">
        <v>1.0472109999999999</v>
      </c>
      <c r="AE423" s="3">
        <v>34.663519999999998</v>
      </c>
      <c r="AF423" s="3">
        <v>82.5</v>
      </c>
      <c r="AG423" s="3">
        <v>29.993169999999999</v>
      </c>
      <c r="AH423" s="3">
        <v>107.2826</v>
      </c>
      <c r="AI423" s="3">
        <v>51.407069999999997</v>
      </c>
      <c r="AK423" s="3">
        <v>0.3567729</v>
      </c>
      <c r="AL423" s="3">
        <v>54.870399999999997</v>
      </c>
      <c r="AM423" s="3">
        <v>40.700000000000003</v>
      </c>
      <c r="AN423" s="3">
        <v>26.855239999999998</v>
      </c>
      <c r="AO423" s="3">
        <v>22.05498</v>
      </c>
      <c r="AQ423" s="3">
        <v>19.582339999999999</v>
      </c>
      <c r="AU423" s="3">
        <v>1.347834E-3</v>
      </c>
      <c r="AV423" s="3">
        <v>44.497160000000001</v>
      </c>
      <c r="AW423" s="3">
        <v>3.3528809999999998E-3</v>
      </c>
      <c r="AX423" s="3">
        <v>42.992690000000003</v>
      </c>
      <c r="AY423" s="3">
        <v>7.727379</v>
      </c>
    </row>
    <row r="424" spans="1:51" x14ac:dyDescent="0.2">
      <c r="A424" s="3" t="s">
        <v>321</v>
      </c>
      <c r="B424" s="49">
        <v>30713</v>
      </c>
      <c r="D424" s="3">
        <v>51.622839999999997</v>
      </c>
      <c r="E424" s="3">
        <v>4.4732400000000002E-9</v>
      </c>
      <c r="F424" s="3">
        <v>47.326839999999997</v>
      </c>
      <c r="G424" s="3">
        <v>65.235420000000005</v>
      </c>
      <c r="H424" s="3">
        <v>7.3275480000000002</v>
      </c>
      <c r="J424" s="3">
        <v>1.975241</v>
      </c>
      <c r="K424" s="3">
        <v>2.635275</v>
      </c>
      <c r="M424" s="3">
        <v>57.344090000000001</v>
      </c>
      <c r="N424" s="3">
        <v>47.680529999999997</v>
      </c>
      <c r="P424" s="3">
        <v>31.68432</v>
      </c>
      <c r="S424" s="3">
        <v>47.780839999999998</v>
      </c>
      <c r="T424" s="3">
        <v>53.444760000000002</v>
      </c>
      <c r="V424" s="3">
        <v>48.152999999999999</v>
      </c>
      <c r="W424" s="3">
        <v>39.588099999999997</v>
      </c>
      <c r="X424" s="3">
        <v>10.39302</v>
      </c>
      <c r="Y424" s="3">
        <v>3.8365089999999999</v>
      </c>
      <c r="Z424" s="3">
        <v>6.2545529999999996</v>
      </c>
      <c r="AA424" s="3">
        <v>9.4365469999999991</v>
      </c>
      <c r="AB424" s="3">
        <v>68.876149999999996</v>
      </c>
      <c r="AC424" s="3">
        <v>28.589449999999999</v>
      </c>
      <c r="AD424" s="3">
        <v>1.172555</v>
      </c>
      <c r="AE424" s="3">
        <v>35.077660000000002</v>
      </c>
      <c r="AF424" s="3">
        <v>83</v>
      </c>
      <c r="AG424" s="3">
        <v>30.258790000000001</v>
      </c>
      <c r="AH424" s="3">
        <v>107.7081</v>
      </c>
      <c r="AI424" s="3">
        <v>51.774000000000001</v>
      </c>
      <c r="AK424" s="3">
        <v>0.37560199999999999</v>
      </c>
      <c r="AL424" s="3">
        <v>55.155000000000001</v>
      </c>
      <c r="AM424" s="3">
        <v>40.9</v>
      </c>
      <c r="AN424" s="3">
        <v>27.062930000000001</v>
      </c>
      <c r="AO424" s="3">
        <v>22.19312</v>
      </c>
      <c r="AQ424" s="3">
        <v>19.890840000000001</v>
      </c>
      <c r="AU424" s="3">
        <v>1.356852E-3</v>
      </c>
      <c r="AV424" s="3">
        <v>44.315249999999999</v>
      </c>
      <c r="AW424" s="3">
        <v>3.4041010000000001E-3</v>
      </c>
      <c r="AX424" s="3">
        <v>43.203650000000003</v>
      </c>
      <c r="AY424" s="3">
        <v>7.8193720000000004</v>
      </c>
    </row>
    <row r="425" spans="1:51" x14ac:dyDescent="0.2">
      <c r="A425" s="3" t="s">
        <v>322</v>
      </c>
      <c r="B425" s="49">
        <v>30742</v>
      </c>
      <c r="D425" s="3">
        <v>51.84122</v>
      </c>
      <c r="E425" s="3">
        <v>4.873083E-9</v>
      </c>
      <c r="F425" s="3">
        <v>47.405850000000001</v>
      </c>
      <c r="G425" s="3">
        <v>65.659599999999998</v>
      </c>
      <c r="H425" s="3">
        <v>7.513395</v>
      </c>
      <c r="J425" s="3">
        <v>2.0103049999999998</v>
      </c>
      <c r="K425" s="3">
        <v>2.6694339999999999</v>
      </c>
      <c r="M425" s="3">
        <v>57.409329999999997</v>
      </c>
      <c r="N425" s="3">
        <v>47.854419999999998</v>
      </c>
      <c r="P425" s="3">
        <v>31.939520000000002</v>
      </c>
      <c r="S425" s="3">
        <v>48.1282</v>
      </c>
      <c r="T425" s="3">
        <v>53.812330000000003</v>
      </c>
      <c r="V425" s="3">
        <v>48.286720000000003</v>
      </c>
      <c r="W425" s="3">
        <v>39.714689999999997</v>
      </c>
      <c r="X425" s="3">
        <v>10.69552</v>
      </c>
      <c r="Y425" s="3">
        <v>3.8822809999999999</v>
      </c>
      <c r="Z425" s="3">
        <v>6.2670500000000002</v>
      </c>
      <c r="AA425" s="3">
        <v>9.3855579999999996</v>
      </c>
      <c r="AB425" s="3">
        <v>68.477450000000005</v>
      </c>
      <c r="AC425" s="3">
        <v>29.431000000000001</v>
      </c>
      <c r="AD425" s="3">
        <v>1.2976220000000001</v>
      </c>
      <c r="AE425" s="3">
        <v>35.326149999999998</v>
      </c>
      <c r="AF425" s="3">
        <v>83.2</v>
      </c>
      <c r="AG425" s="3">
        <v>30.369299999999999</v>
      </c>
      <c r="AH425" s="3">
        <v>107.70140000000001</v>
      </c>
      <c r="AI425" s="3">
        <v>51.962710000000001</v>
      </c>
      <c r="AK425" s="3">
        <v>0.3916559</v>
      </c>
      <c r="AL425" s="3">
        <v>55.382680000000001</v>
      </c>
      <c r="AM425" s="3">
        <v>41.4</v>
      </c>
      <c r="AN425" s="3">
        <v>27.228470000000002</v>
      </c>
      <c r="AO425" s="3">
        <v>22.35642</v>
      </c>
      <c r="AQ425" s="3">
        <v>20.619319999999998</v>
      </c>
      <c r="AU425" s="3">
        <v>1.37079E-3</v>
      </c>
      <c r="AV425" s="3">
        <v>44.953530000000001</v>
      </c>
      <c r="AW425" s="3">
        <v>3.5096149999999998E-3</v>
      </c>
      <c r="AX425" s="3">
        <v>43.288029999999999</v>
      </c>
      <c r="AY425" s="3">
        <v>7.911365</v>
      </c>
    </row>
    <row r="426" spans="1:51" x14ac:dyDescent="0.2">
      <c r="A426" s="3" t="s">
        <v>323</v>
      </c>
      <c r="B426" s="49">
        <v>30773</v>
      </c>
      <c r="D426" s="3">
        <v>52.186410000000002</v>
      </c>
      <c r="E426" s="3">
        <v>5.3381220000000004E-9</v>
      </c>
      <c r="F426" s="3">
        <v>47.563870000000001</v>
      </c>
      <c r="G426" s="3">
        <v>65.756299999999996</v>
      </c>
      <c r="H426" s="3">
        <v>7.6255990000000002</v>
      </c>
      <c r="J426" s="3">
        <v>2.0570560000000002</v>
      </c>
      <c r="K426" s="3">
        <v>2.701584</v>
      </c>
      <c r="M426" s="3">
        <v>57.47457</v>
      </c>
      <c r="N426" s="3">
        <v>47.99353</v>
      </c>
      <c r="P426" s="3">
        <v>32.090249999999997</v>
      </c>
      <c r="S426" s="3">
        <v>48.475549999999998</v>
      </c>
      <c r="T426" s="3">
        <v>54.143140000000002</v>
      </c>
      <c r="V426" s="3">
        <v>48.524740000000001</v>
      </c>
      <c r="W426" s="3">
        <v>40.244059999999998</v>
      </c>
      <c r="X426" s="3">
        <v>10.889989999999999</v>
      </c>
      <c r="Y426" s="3">
        <v>3.8989259999999999</v>
      </c>
      <c r="Z426" s="3">
        <v>6.3545259999999999</v>
      </c>
      <c r="AA426" s="3">
        <v>9.4037690000000005</v>
      </c>
      <c r="AB426" s="3">
        <v>68.776470000000003</v>
      </c>
      <c r="AC426" s="3">
        <v>29.641390000000001</v>
      </c>
      <c r="AD426" s="3">
        <v>1.5649310000000001</v>
      </c>
      <c r="AE426" s="3">
        <v>35.59534</v>
      </c>
      <c r="AF426" s="3">
        <v>83.4</v>
      </c>
      <c r="AG426" s="3">
        <v>30.457840000000001</v>
      </c>
      <c r="AH426" s="3">
        <v>107.1698</v>
      </c>
      <c r="AI426" s="3">
        <v>52.146180000000001</v>
      </c>
      <c r="AK426" s="3">
        <v>0.40859879999999998</v>
      </c>
      <c r="AL426" s="3">
        <v>55.553440000000002</v>
      </c>
      <c r="AM426" s="3">
        <v>41.6</v>
      </c>
      <c r="AN426" s="3">
        <v>27.451969999999999</v>
      </c>
      <c r="AO426" s="3">
        <v>22.561730000000001</v>
      </c>
      <c r="AQ426" s="3">
        <v>21.009440000000001</v>
      </c>
      <c r="AU426" s="3">
        <v>1.3929260000000001E-3</v>
      </c>
      <c r="AV426" s="3">
        <v>45.243940000000002</v>
      </c>
      <c r="AW426" s="3">
        <v>3.7283260000000001E-3</v>
      </c>
      <c r="AX426" s="3">
        <v>43.498989999999999</v>
      </c>
      <c r="AY426" s="3">
        <v>8.0493539999999992</v>
      </c>
    </row>
    <row r="427" spans="1:51" x14ac:dyDescent="0.2">
      <c r="A427" s="3" t="s">
        <v>324</v>
      </c>
      <c r="B427" s="49">
        <v>30803</v>
      </c>
      <c r="D427" s="3">
        <v>52.299120000000002</v>
      </c>
      <c r="E427" s="3">
        <v>5.8212330000000003E-9</v>
      </c>
      <c r="F427" s="3">
        <v>47.563870000000001</v>
      </c>
      <c r="G427" s="3">
        <v>65.619649999999993</v>
      </c>
      <c r="H427" s="3">
        <v>7.7170430000000003</v>
      </c>
      <c r="J427" s="3">
        <v>2.0804320000000001</v>
      </c>
      <c r="K427" s="3">
        <v>2.7337340000000001</v>
      </c>
      <c r="M427" s="3">
        <v>57.539810000000003</v>
      </c>
      <c r="N427" s="3">
        <v>48.480420000000002</v>
      </c>
      <c r="P427" s="3">
        <v>32.263840000000002</v>
      </c>
      <c r="S427" s="3">
        <v>48.977290000000004</v>
      </c>
      <c r="T427" s="3">
        <v>54.437199999999997</v>
      </c>
      <c r="V427" s="3">
        <v>48.704360000000001</v>
      </c>
      <c r="W427" s="3">
        <v>40.39367</v>
      </c>
      <c r="X427" s="3">
        <v>11.04124</v>
      </c>
      <c r="Y427" s="3">
        <v>3.890603</v>
      </c>
      <c r="Z427" s="3">
        <v>6.3920159999999999</v>
      </c>
      <c r="AA427" s="3">
        <v>9.454758</v>
      </c>
      <c r="AB427" s="3">
        <v>69.175179999999997</v>
      </c>
      <c r="AC427" s="3">
        <v>30.038789999999999</v>
      </c>
      <c r="AD427" s="3">
        <v>1.7886569999999999</v>
      </c>
      <c r="AE427" s="3">
        <v>35.823120000000003</v>
      </c>
      <c r="AF427" s="3">
        <v>84</v>
      </c>
      <c r="AG427" s="3">
        <v>30.413239999999998</v>
      </c>
      <c r="AH427" s="3">
        <v>106.7647</v>
      </c>
      <c r="AI427" s="3">
        <v>52.329639999999998</v>
      </c>
      <c r="AK427" s="3">
        <v>0.42214760000000001</v>
      </c>
      <c r="AL427" s="3">
        <v>55.553440000000002</v>
      </c>
      <c r="AM427" s="3">
        <v>41.6</v>
      </c>
      <c r="AN427" s="3">
        <v>27.616350000000001</v>
      </c>
      <c r="AO427" s="3">
        <v>22.698730000000001</v>
      </c>
      <c r="AQ427" s="3">
        <v>20.82732</v>
      </c>
      <c r="AU427" s="3">
        <v>1.4634330000000001E-3</v>
      </c>
      <c r="AV427" s="3">
        <v>45.563079999999999</v>
      </c>
      <c r="AW427" s="3">
        <v>3.9091339999999999E-3</v>
      </c>
      <c r="AX427" s="3">
        <v>43.62556</v>
      </c>
      <c r="AY427" s="3">
        <v>8.1413460000000004</v>
      </c>
    </row>
    <row r="428" spans="1:51" x14ac:dyDescent="0.2">
      <c r="A428" s="3" t="s">
        <v>325</v>
      </c>
      <c r="B428" s="49">
        <v>30834</v>
      </c>
      <c r="D428" s="3">
        <v>52.440010000000001</v>
      </c>
      <c r="E428" s="3">
        <v>6.4080249999999999E-9</v>
      </c>
      <c r="F428" s="3">
        <v>47.879910000000002</v>
      </c>
      <c r="G428" s="3">
        <v>65.830849999999998</v>
      </c>
      <c r="H428" s="3">
        <v>7.8151510000000002</v>
      </c>
      <c r="J428" s="3">
        <v>2.1154950000000001</v>
      </c>
      <c r="K428" s="3">
        <v>2.7789440000000001</v>
      </c>
      <c r="M428" s="3">
        <v>57.735520000000001</v>
      </c>
      <c r="N428" s="3">
        <v>48.758650000000003</v>
      </c>
      <c r="P428" s="3">
        <v>32.492379999999997</v>
      </c>
      <c r="S428" s="3">
        <v>49.093069999999997</v>
      </c>
      <c r="T428" s="3">
        <v>54.694499999999998</v>
      </c>
      <c r="V428" s="3">
        <v>48.805709999999998</v>
      </c>
      <c r="W428" s="3">
        <v>40.497239999999998</v>
      </c>
      <c r="X428" s="3">
        <v>11.25731</v>
      </c>
      <c r="Y428" s="3">
        <v>3.9030870000000002</v>
      </c>
      <c r="Z428" s="3">
        <v>6.4107609999999999</v>
      </c>
      <c r="AA428" s="3">
        <v>9.6550700000000003</v>
      </c>
      <c r="AB428" s="3">
        <v>69.474209999999999</v>
      </c>
      <c r="AC428" s="3">
        <v>30.64658</v>
      </c>
      <c r="AD428" s="3">
        <v>2.0275259999999999</v>
      </c>
      <c r="AE428" s="3">
        <v>36.030189999999997</v>
      </c>
      <c r="AF428" s="3">
        <v>83.4</v>
      </c>
      <c r="AG428" s="3">
        <v>30.258790000000001</v>
      </c>
      <c r="AH428" s="3">
        <v>108.1927</v>
      </c>
      <c r="AI428" s="3">
        <v>52.345370000000003</v>
      </c>
      <c r="AK428" s="3">
        <v>0.43742540000000002</v>
      </c>
      <c r="AL428" s="3">
        <v>55.553440000000002</v>
      </c>
      <c r="AM428" s="3">
        <v>41.8</v>
      </c>
      <c r="AN428" s="3">
        <v>27.775359999999999</v>
      </c>
      <c r="AO428" s="3">
        <v>22.888529999999999</v>
      </c>
      <c r="AQ428" s="3">
        <v>21.460260000000002</v>
      </c>
      <c r="AU428" s="3">
        <v>1.5650939999999999E-3</v>
      </c>
      <c r="AV428" s="3">
        <v>45.454569999999997</v>
      </c>
      <c r="AW428" s="3">
        <v>4.1626739999999999E-3</v>
      </c>
      <c r="AX428" s="3">
        <v>43.752139999999997</v>
      </c>
      <c r="AY428" s="3">
        <v>8.1873430000000003</v>
      </c>
    </row>
    <row r="429" spans="1:51" x14ac:dyDescent="0.2">
      <c r="A429" s="3" t="s">
        <v>326</v>
      </c>
      <c r="B429" s="49">
        <v>30864</v>
      </c>
      <c r="D429" s="3">
        <v>52.728839999999998</v>
      </c>
      <c r="E429" s="3">
        <v>7.0311840000000001E-9</v>
      </c>
      <c r="F429" s="3">
        <v>48.037930000000003</v>
      </c>
      <c r="G429" s="3">
        <v>65.714460000000003</v>
      </c>
      <c r="H429" s="3">
        <v>7.8841159999999997</v>
      </c>
      <c r="J429" s="3">
        <v>2.138871</v>
      </c>
      <c r="K429" s="3">
        <v>2.8100900000000002</v>
      </c>
      <c r="M429" s="3">
        <v>57.670279999999998</v>
      </c>
      <c r="N429" s="3">
        <v>48.654310000000002</v>
      </c>
      <c r="P429" s="3">
        <v>32.991370000000003</v>
      </c>
      <c r="S429" s="3">
        <v>49.286050000000003</v>
      </c>
      <c r="T429" s="3">
        <v>55.062069999999999</v>
      </c>
      <c r="V429" s="3">
        <v>48.943379999999998</v>
      </c>
      <c r="W429" s="3">
        <v>40.451210000000003</v>
      </c>
      <c r="X429" s="3">
        <v>11.17088</v>
      </c>
      <c r="Y429" s="3">
        <v>3.948858</v>
      </c>
      <c r="Z429" s="3">
        <v>6.4357540000000002</v>
      </c>
      <c r="AA429" s="3">
        <v>9.8408149999999992</v>
      </c>
      <c r="AB429" s="3">
        <v>69.773240000000001</v>
      </c>
      <c r="AC429" s="3">
        <v>31.254370000000002</v>
      </c>
      <c r="AD429" s="3">
        <v>2.2779370000000001</v>
      </c>
      <c r="AE429" s="3">
        <v>36.113010000000003</v>
      </c>
      <c r="AF429" s="3">
        <v>83.6</v>
      </c>
      <c r="AG429" s="3">
        <v>30.258790000000001</v>
      </c>
      <c r="AH429" s="3">
        <v>108.88460000000001</v>
      </c>
      <c r="AI429" s="3">
        <v>52.46069</v>
      </c>
      <c r="AK429" s="3">
        <v>0.45176509999999998</v>
      </c>
      <c r="AL429" s="3">
        <v>55.553440000000002</v>
      </c>
      <c r="AM429" s="3">
        <v>42</v>
      </c>
      <c r="AN429" s="3">
        <v>27.920269999999999</v>
      </c>
      <c r="AO429" s="3">
        <v>22.96266</v>
      </c>
      <c r="AQ429" s="3">
        <v>22.02055</v>
      </c>
      <c r="AU429" s="3">
        <v>1.6151049999999999E-3</v>
      </c>
      <c r="AV429" s="3">
        <v>45.572650000000003</v>
      </c>
      <c r="AW429" s="3">
        <v>4.2010889999999999E-3</v>
      </c>
      <c r="AX429" s="3">
        <v>43.920900000000003</v>
      </c>
      <c r="AY429" s="3">
        <v>8.2793349999999997</v>
      </c>
    </row>
    <row r="430" spans="1:51" x14ac:dyDescent="0.2">
      <c r="A430" s="3" t="s">
        <v>327</v>
      </c>
      <c r="B430" s="49">
        <v>30895</v>
      </c>
      <c r="D430" s="3">
        <v>52.933140000000002</v>
      </c>
      <c r="E430" s="3">
        <v>7.6885440000000005E-9</v>
      </c>
      <c r="F430" s="3">
        <v>48.037930000000003</v>
      </c>
      <c r="G430" s="3">
        <v>65.947620000000001</v>
      </c>
      <c r="H430" s="3">
        <v>7.9041309999999996</v>
      </c>
      <c r="J430" s="3">
        <v>2.1505580000000002</v>
      </c>
      <c r="K430" s="3">
        <v>2.822146</v>
      </c>
      <c r="M430" s="3">
        <v>57.539810000000003</v>
      </c>
      <c r="N430" s="3">
        <v>48.86298</v>
      </c>
      <c r="P430" s="3">
        <v>33.220460000000003</v>
      </c>
      <c r="S430" s="3">
        <v>49.479030000000002</v>
      </c>
      <c r="T430" s="3">
        <v>55.356119999999997</v>
      </c>
      <c r="V430" s="3">
        <v>49.038220000000003</v>
      </c>
      <c r="W430" s="3">
        <v>40.830979999999997</v>
      </c>
      <c r="X430" s="3">
        <v>11.08445</v>
      </c>
      <c r="Y430" s="3">
        <v>3.9030870000000002</v>
      </c>
      <c r="Z430" s="3">
        <v>6.4232570000000004</v>
      </c>
      <c r="AA430" s="3">
        <v>9.8590250000000008</v>
      </c>
      <c r="AB430" s="3">
        <v>70.072270000000003</v>
      </c>
      <c r="AC430" s="3">
        <v>31.721900000000002</v>
      </c>
      <c r="AD430" s="3">
        <v>2.6531850000000001</v>
      </c>
      <c r="AE430" s="3">
        <v>36.299379999999999</v>
      </c>
      <c r="AF430" s="3">
        <v>82.9</v>
      </c>
      <c r="AG430" s="3">
        <v>30.413239999999998</v>
      </c>
      <c r="AH430" s="3">
        <v>108.75660000000001</v>
      </c>
      <c r="AI430" s="3">
        <v>52.591740000000001</v>
      </c>
      <c r="AK430" s="3">
        <v>0.46460649999999998</v>
      </c>
      <c r="AL430" s="3">
        <v>55.61036</v>
      </c>
      <c r="AM430" s="3">
        <v>42</v>
      </c>
      <c r="AN430" s="3">
        <v>28.041080000000001</v>
      </c>
      <c r="AO430" s="3">
        <v>23.082000000000001</v>
      </c>
      <c r="AQ430" s="3">
        <v>22.413650000000001</v>
      </c>
      <c r="AU430" s="3">
        <v>1.647899E-3</v>
      </c>
      <c r="AV430" s="3">
        <v>45.91413</v>
      </c>
      <c r="AW430" s="3">
        <v>4.3055790000000004E-3</v>
      </c>
      <c r="AX430" s="3">
        <v>44.089660000000002</v>
      </c>
      <c r="AY430" s="3">
        <v>8.3713270000000009</v>
      </c>
    </row>
    <row r="431" spans="1:51" x14ac:dyDescent="0.2">
      <c r="A431" s="3" t="s">
        <v>328</v>
      </c>
      <c r="B431" s="49">
        <v>30926</v>
      </c>
      <c r="D431" s="3">
        <v>53.09516</v>
      </c>
      <c r="E431" s="3">
        <v>8.5917990000000006E-9</v>
      </c>
      <c r="F431" s="3">
        <v>48.11694</v>
      </c>
      <c r="G431" s="3">
        <v>65.90737</v>
      </c>
      <c r="H431" s="3">
        <v>8.1344589999999997</v>
      </c>
      <c r="J431" s="3">
        <v>2.173934</v>
      </c>
      <c r="K431" s="3">
        <v>2.8522859999999999</v>
      </c>
      <c r="M431" s="3">
        <v>57.605049999999999</v>
      </c>
      <c r="N431" s="3">
        <v>49.210760000000001</v>
      </c>
      <c r="P431" s="3">
        <v>33.287930000000003</v>
      </c>
      <c r="S431" s="3">
        <v>49.787790000000001</v>
      </c>
      <c r="T431" s="3">
        <v>55.613430000000001</v>
      </c>
      <c r="V431" s="3">
        <v>49.320590000000003</v>
      </c>
      <c r="W431" s="3">
        <v>40.911540000000002</v>
      </c>
      <c r="X431" s="3">
        <v>11.36534</v>
      </c>
      <c r="Y431" s="3">
        <v>3.9114089999999999</v>
      </c>
      <c r="Z431" s="3">
        <v>6.4170090000000002</v>
      </c>
      <c r="AA431" s="3">
        <v>9.9100129999999993</v>
      </c>
      <c r="AB431" s="3">
        <v>69.972589999999997</v>
      </c>
      <c r="AC431" s="3">
        <v>32.399810000000002</v>
      </c>
      <c r="AD431" s="3">
        <v>3.2201650000000002</v>
      </c>
      <c r="AE431" s="3">
        <v>36.589280000000002</v>
      </c>
      <c r="AF431" s="3">
        <v>84.2</v>
      </c>
      <c r="AG431" s="3">
        <v>30.767399999999999</v>
      </c>
      <c r="AH431" s="3">
        <v>108.0746</v>
      </c>
      <c r="AI431" s="3">
        <v>52.644150000000003</v>
      </c>
      <c r="AK431" s="3">
        <v>0.47844680000000001</v>
      </c>
      <c r="AL431" s="3">
        <v>55.838039999999999</v>
      </c>
      <c r="AM431" s="3">
        <v>42.3</v>
      </c>
      <c r="AN431" s="3">
        <v>28.24644</v>
      </c>
      <c r="AO431" s="3">
        <v>23.19764</v>
      </c>
      <c r="AQ431" s="3">
        <v>22.48132</v>
      </c>
      <c r="AU431" s="3">
        <v>1.7274250000000001E-3</v>
      </c>
      <c r="AV431" s="3">
        <v>46.210920000000002</v>
      </c>
      <c r="AW431" s="3">
        <v>4.3947020000000003E-3</v>
      </c>
      <c r="AX431" s="3">
        <v>44.300620000000002</v>
      </c>
      <c r="AY431" s="3">
        <v>8.4173240000000007</v>
      </c>
    </row>
    <row r="432" spans="1:51" x14ac:dyDescent="0.2">
      <c r="A432" s="3" t="s">
        <v>329</v>
      </c>
      <c r="B432" s="49">
        <v>30956</v>
      </c>
      <c r="D432" s="3">
        <v>53.341720000000002</v>
      </c>
      <c r="E432" s="3">
        <v>9.4885419999999994E-9</v>
      </c>
      <c r="F432" s="3">
        <v>48.27496</v>
      </c>
      <c r="G432" s="3">
        <v>66.324200000000005</v>
      </c>
      <c r="H432" s="3">
        <v>8.8005180000000003</v>
      </c>
      <c r="J432" s="3">
        <v>2.185622</v>
      </c>
      <c r="K432" s="3">
        <v>2.9216090000000001</v>
      </c>
      <c r="M432" s="3">
        <v>57.931229999999999</v>
      </c>
      <c r="N432" s="3">
        <v>49.419429999999998</v>
      </c>
      <c r="P432" s="3">
        <v>33.488720000000001</v>
      </c>
      <c r="S432" s="3">
        <v>50.019359999999999</v>
      </c>
      <c r="T432" s="3">
        <v>55.981000000000002</v>
      </c>
      <c r="V432" s="3">
        <v>49.558959999999999</v>
      </c>
      <c r="W432" s="3">
        <v>41.164720000000003</v>
      </c>
      <c r="X432" s="3">
        <v>11.646240000000001</v>
      </c>
      <c r="Y432" s="3">
        <v>3.9030870000000002</v>
      </c>
      <c r="Z432" s="3">
        <v>6.4232570000000004</v>
      </c>
      <c r="AA432" s="3">
        <v>9.9610020000000006</v>
      </c>
      <c r="AB432" s="3">
        <v>70.072270000000003</v>
      </c>
      <c r="AC432" s="3">
        <v>32.563450000000003</v>
      </c>
      <c r="AD432" s="3">
        <v>4.0038999999999998</v>
      </c>
      <c r="AE432" s="3">
        <v>36.941299999999998</v>
      </c>
      <c r="AF432" s="3">
        <v>84.8</v>
      </c>
      <c r="AG432" s="3">
        <v>30.612290000000002</v>
      </c>
      <c r="AH432" s="3">
        <v>108.28489999999999</v>
      </c>
      <c r="AI432" s="3">
        <v>53.053019999999997</v>
      </c>
      <c r="AK432" s="3">
        <v>0.49516369999999998</v>
      </c>
      <c r="AL432" s="3">
        <v>56.236469999999997</v>
      </c>
      <c r="AM432" s="3">
        <v>42.5</v>
      </c>
      <c r="AN432" s="3">
        <v>28.471340000000001</v>
      </c>
      <c r="AO432" s="3">
        <v>23.413119999999999</v>
      </c>
      <c r="AQ432" s="3">
        <v>22.669409999999999</v>
      </c>
      <c r="AU432" s="3">
        <v>1.8126889999999999E-3</v>
      </c>
      <c r="AV432" s="3">
        <v>46.437510000000003</v>
      </c>
      <c r="AW432" s="3">
        <v>4.5862660000000003E-3</v>
      </c>
      <c r="AX432" s="3">
        <v>44.427190000000003</v>
      </c>
      <c r="AY432" s="3">
        <v>8.5553129999999999</v>
      </c>
    </row>
    <row r="433" spans="1:51" x14ac:dyDescent="0.2">
      <c r="A433" s="3" t="s">
        <v>330</v>
      </c>
      <c r="B433" s="49">
        <v>30987</v>
      </c>
      <c r="D433" s="3">
        <v>53.362850000000002</v>
      </c>
      <c r="E433" s="3">
        <v>1.0487340000000001E-8</v>
      </c>
      <c r="F433" s="3">
        <v>48.511980000000001</v>
      </c>
      <c r="G433" s="3">
        <v>66.670360000000002</v>
      </c>
      <c r="H433" s="3">
        <v>8.9028279999999995</v>
      </c>
      <c r="J433" s="3">
        <v>2.2323729999999999</v>
      </c>
      <c r="K433" s="3">
        <v>2.9678239999999998</v>
      </c>
      <c r="M433" s="3">
        <v>57.996470000000002</v>
      </c>
      <c r="N433" s="3">
        <v>49.767200000000003</v>
      </c>
      <c r="P433" s="3">
        <v>33.660679999999999</v>
      </c>
      <c r="S433" s="3">
        <v>50.057960000000001</v>
      </c>
      <c r="T433" s="3">
        <v>56.16478</v>
      </c>
      <c r="V433" s="3">
        <v>49.589689999999997</v>
      </c>
      <c r="W433" s="3">
        <v>41.291310000000003</v>
      </c>
      <c r="X433" s="3">
        <v>11.79749</v>
      </c>
      <c r="Y433" s="3">
        <v>3.9114089999999999</v>
      </c>
      <c r="Z433" s="3">
        <v>6.4232570000000004</v>
      </c>
      <c r="AA433" s="3">
        <v>10.00835</v>
      </c>
      <c r="AB433" s="3">
        <v>70.371290000000002</v>
      </c>
      <c r="AC433" s="3">
        <v>33.077730000000003</v>
      </c>
      <c r="AD433" s="3">
        <v>4.7863420000000003</v>
      </c>
      <c r="AE433" s="3">
        <v>37.231189999999998</v>
      </c>
      <c r="AF433" s="3">
        <v>84.3</v>
      </c>
      <c r="AG433" s="3">
        <v>30.546379999999999</v>
      </c>
      <c r="AH433" s="3">
        <v>108.4233</v>
      </c>
      <c r="AI433" s="3">
        <v>53.19979</v>
      </c>
      <c r="AK433" s="3">
        <v>0.51215739999999998</v>
      </c>
      <c r="AL433" s="3">
        <v>56.293390000000002</v>
      </c>
      <c r="AM433" s="3">
        <v>42.6</v>
      </c>
      <c r="AN433" s="3">
        <v>28.589089999999999</v>
      </c>
      <c r="AO433" s="3">
        <v>23.56128</v>
      </c>
      <c r="AQ433" s="3">
        <v>23.02768</v>
      </c>
      <c r="AU433" s="3">
        <v>1.905332E-3</v>
      </c>
      <c r="AV433" s="3">
        <v>46.724730000000001</v>
      </c>
      <c r="AW433" s="3">
        <v>4.7629760000000004E-3</v>
      </c>
      <c r="AX433" s="3">
        <v>44.427190000000003</v>
      </c>
      <c r="AY433" s="3">
        <v>8.6473049999999994</v>
      </c>
    </row>
    <row r="434" spans="1:51" x14ac:dyDescent="0.2">
      <c r="A434" s="3" t="s">
        <v>331</v>
      </c>
      <c r="B434" s="49">
        <v>31017</v>
      </c>
      <c r="D434" s="3">
        <v>53.475569999999998</v>
      </c>
      <c r="E434" s="3">
        <v>1.1743429999999999E-8</v>
      </c>
      <c r="F434" s="3">
        <v>48.511980000000001</v>
      </c>
      <c r="G434" s="3">
        <v>66.648989999999998</v>
      </c>
      <c r="H434" s="3">
        <v>9.0236830000000001</v>
      </c>
      <c r="J434" s="3">
        <v>2.2791239999999999</v>
      </c>
      <c r="K434" s="3">
        <v>3.023082</v>
      </c>
      <c r="M434" s="3">
        <v>58.061709999999998</v>
      </c>
      <c r="N434" s="3">
        <v>49.662869999999998</v>
      </c>
      <c r="P434" s="3">
        <v>33.888680000000001</v>
      </c>
      <c r="S434" s="3">
        <v>50.096550000000001</v>
      </c>
      <c r="T434" s="3">
        <v>56.27505</v>
      </c>
      <c r="V434" s="3">
        <v>49.64141</v>
      </c>
      <c r="W434" s="3">
        <v>41.256779999999999</v>
      </c>
      <c r="X434" s="3">
        <v>12.01356</v>
      </c>
      <c r="Y434" s="3">
        <v>3.948858</v>
      </c>
      <c r="Z434" s="3">
        <v>6.485741</v>
      </c>
      <c r="AA434" s="3">
        <v>9.8918029999999995</v>
      </c>
      <c r="AB434" s="3">
        <v>70.371290000000002</v>
      </c>
      <c r="AC434" s="3">
        <v>33.358249999999998</v>
      </c>
      <c r="AD434" s="3">
        <v>4.9651930000000002</v>
      </c>
      <c r="AE434" s="3">
        <v>37.458970000000001</v>
      </c>
      <c r="AF434" s="3">
        <v>84.5</v>
      </c>
      <c r="AG434" s="3">
        <v>30.546379999999999</v>
      </c>
      <c r="AH434" s="3">
        <v>109.4406</v>
      </c>
      <c r="AI434" s="3">
        <v>53.19979</v>
      </c>
      <c r="AK434" s="3">
        <v>0.53390919999999997</v>
      </c>
      <c r="AL434" s="3">
        <v>56.236469999999997</v>
      </c>
      <c r="AM434" s="3">
        <v>42.8</v>
      </c>
      <c r="AN434" s="3">
        <v>28.71968</v>
      </c>
      <c r="AO434" s="3">
        <v>23.659610000000001</v>
      </c>
      <c r="AQ434" s="3">
        <v>23.239660000000001</v>
      </c>
      <c r="AU434" s="3">
        <v>1.9914170000000001E-3</v>
      </c>
      <c r="AV434" s="3">
        <v>47.471510000000002</v>
      </c>
      <c r="AW434" s="3">
        <v>4.8515870000000001E-3</v>
      </c>
      <c r="AX434" s="3">
        <v>44.427190000000003</v>
      </c>
      <c r="AY434" s="3">
        <v>8.6933009999999999</v>
      </c>
    </row>
    <row r="435" spans="1:51" x14ac:dyDescent="0.2">
      <c r="A435" s="3" t="s">
        <v>332</v>
      </c>
      <c r="B435" s="49">
        <v>31048</v>
      </c>
      <c r="D435" s="3">
        <v>53.82076</v>
      </c>
      <c r="E435" s="3">
        <v>1.3124369999999999E-8</v>
      </c>
      <c r="F435" s="3">
        <v>48.749009999999998</v>
      </c>
      <c r="G435" s="3">
        <v>67.300470000000004</v>
      </c>
      <c r="H435" s="3">
        <v>9.3069140000000008</v>
      </c>
      <c r="J435" s="3">
        <v>2.3258760000000001</v>
      </c>
      <c r="K435" s="3">
        <v>3.130582</v>
      </c>
      <c r="M435" s="3">
        <v>58.387900000000002</v>
      </c>
      <c r="N435" s="3">
        <v>49.906320000000001</v>
      </c>
      <c r="P435" s="3">
        <v>34.519889999999997</v>
      </c>
      <c r="S435" s="3">
        <v>50.636879999999998</v>
      </c>
      <c r="T435" s="3">
        <v>56.569110000000002</v>
      </c>
      <c r="V435" s="3">
        <v>49.826779999999999</v>
      </c>
      <c r="W435" s="3">
        <v>41.406390000000002</v>
      </c>
      <c r="X435" s="3">
        <v>12.294449999999999</v>
      </c>
      <c r="Y435" s="3">
        <v>4.0237579999999999</v>
      </c>
      <c r="Z435" s="3">
        <v>6.5169819999999996</v>
      </c>
      <c r="AA435" s="3">
        <v>9.8918029999999995</v>
      </c>
      <c r="AB435" s="3">
        <v>70.171940000000006</v>
      </c>
      <c r="AC435" s="3">
        <v>33.45176</v>
      </c>
      <c r="AD435" s="3">
        <v>5.2261300000000004</v>
      </c>
      <c r="AE435" s="3">
        <v>37.871929999999999</v>
      </c>
      <c r="AF435" s="3">
        <v>84.8</v>
      </c>
      <c r="AG435" s="3">
        <v>30.626270000000002</v>
      </c>
      <c r="AH435" s="3">
        <v>110.32299999999999</v>
      </c>
      <c r="AI435" s="3">
        <v>53.362290000000002</v>
      </c>
      <c r="AK435" s="3">
        <v>0.57351419999999997</v>
      </c>
      <c r="AL435" s="3">
        <v>56.179549999999999</v>
      </c>
      <c r="AM435" s="3">
        <v>43.1</v>
      </c>
      <c r="AN435" s="3">
        <v>28.98489</v>
      </c>
      <c r="AO435" s="3">
        <v>23.916820000000001</v>
      </c>
      <c r="AQ435" s="3">
        <v>24.31147</v>
      </c>
      <c r="AU435" s="3">
        <v>2.2365520000000002E-3</v>
      </c>
      <c r="AV435" s="3">
        <v>47.75235</v>
      </c>
      <c r="AW435" s="3">
        <v>5.122031E-3</v>
      </c>
      <c r="AX435" s="3">
        <v>44.511569999999999</v>
      </c>
      <c r="AY435" s="3">
        <v>8.7852949999999996</v>
      </c>
    </row>
    <row r="436" spans="1:51" x14ac:dyDescent="0.2">
      <c r="A436" s="3" t="s">
        <v>333</v>
      </c>
      <c r="B436" s="49">
        <v>31079</v>
      </c>
      <c r="D436" s="3">
        <v>54.377279999999999</v>
      </c>
      <c r="E436" s="3">
        <v>1.455037E-8</v>
      </c>
      <c r="F436" s="3">
        <v>49.065049999999999</v>
      </c>
      <c r="G436" s="3">
        <v>67.84948</v>
      </c>
      <c r="H436" s="3">
        <v>9.4940020000000001</v>
      </c>
      <c r="J436" s="3">
        <v>2.3960029999999999</v>
      </c>
      <c r="K436" s="3">
        <v>3.12154</v>
      </c>
      <c r="M436" s="3">
        <v>58.648850000000003</v>
      </c>
      <c r="N436" s="3">
        <v>50.219320000000003</v>
      </c>
      <c r="P436" s="3">
        <v>34.770200000000003</v>
      </c>
      <c r="S436" s="3">
        <v>50.791739999999997</v>
      </c>
      <c r="T436" s="3">
        <v>56.863169999999997</v>
      </c>
      <c r="V436" s="3">
        <v>50.042349999999999</v>
      </c>
      <c r="W436" s="3">
        <v>41.724200000000003</v>
      </c>
      <c r="X436" s="3">
        <v>12.294449999999999</v>
      </c>
      <c r="Y436" s="3">
        <v>4.1111399999999998</v>
      </c>
      <c r="Z436" s="3">
        <v>6.485741</v>
      </c>
      <c r="AA436" s="3">
        <v>9.8408149999999992</v>
      </c>
      <c r="AB436" s="3">
        <v>70.072270000000003</v>
      </c>
      <c r="AC436" s="3">
        <v>33.755650000000003</v>
      </c>
      <c r="AD436" s="3">
        <v>5.9296480000000003</v>
      </c>
      <c r="AE436" s="3">
        <v>38.344839999999998</v>
      </c>
      <c r="AF436" s="3">
        <v>84.4</v>
      </c>
      <c r="AG436" s="3">
        <v>30.843959999999999</v>
      </c>
      <c r="AH436" s="3">
        <v>110.5792</v>
      </c>
      <c r="AI436" s="3">
        <v>53.692529999999998</v>
      </c>
      <c r="AK436" s="3">
        <v>0.59734050000000005</v>
      </c>
      <c r="AL436" s="3">
        <v>56.35031</v>
      </c>
      <c r="AM436" s="3">
        <v>43.2</v>
      </c>
      <c r="AN436" s="3">
        <v>29.186309999999999</v>
      </c>
      <c r="AO436" s="3">
        <v>24.12125</v>
      </c>
      <c r="AQ436" s="3">
        <v>24.950389999999999</v>
      </c>
      <c r="AU436" s="3">
        <v>2.3005E-3</v>
      </c>
      <c r="AV436" s="3">
        <v>48.173609999999996</v>
      </c>
      <c r="AW436" s="3">
        <v>5.2910570000000001E-3</v>
      </c>
      <c r="AX436" s="3">
        <v>44.722529999999999</v>
      </c>
      <c r="AY436" s="3">
        <v>9.1072679999999995</v>
      </c>
    </row>
    <row r="437" spans="1:51" x14ac:dyDescent="0.2">
      <c r="A437" s="3" t="s">
        <v>334</v>
      </c>
      <c r="B437" s="49">
        <v>31107</v>
      </c>
      <c r="D437" s="3">
        <v>54.814039999999999</v>
      </c>
      <c r="E437" s="3">
        <v>1.6029020000000001E-8</v>
      </c>
      <c r="F437" s="3">
        <v>49.144060000000003</v>
      </c>
      <c r="G437" s="3">
        <v>68.226939999999999</v>
      </c>
      <c r="H437" s="3">
        <v>9.7609220000000008</v>
      </c>
      <c r="J437" s="3">
        <v>2.4661300000000002</v>
      </c>
      <c r="K437" s="3">
        <v>3.1496710000000001</v>
      </c>
      <c r="M437" s="3">
        <v>58.844560000000001</v>
      </c>
      <c r="N437" s="3">
        <v>50.601880000000001</v>
      </c>
      <c r="P437" s="3">
        <v>34.98677</v>
      </c>
      <c r="S437" s="3">
        <v>51.25629</v>
      </c>
      <c r="T437" s="3">
        <v>57.267490000000002</v>
      </c>
      <c r="V437" s="3">
        <v>50.281080000000003</v>
      </c>
      <c r="W437" s="3">
        <v>42.132820000000002</v>
      </c>
      <c r="X437" s="3">
        <v>12.64016</v>
      </c>
      <c r="Y437" s="3">
        <v>4.1527510000000003</v>
      </c>
      <c r="Z437" s="3">
        <v>6.4982369999999996</v>
      </c>
      <c r="AA437" s="3">
        <v>9.8590250000000008</v>
      </c>
      <c r="AB437" s="3">
        <v>69.474209999999999</v>
      </c>
      <c r="AC437" s="3">
        <v>33.989409999999999</v>
      </c>
      <c r="AD437" s="3">
        <v>6.7336679999999998</v>
      </c>
      <c r="AE437" s="3">
        <v>38.660110000000003</v>
      </c>
      <c r="AF437" s="3">
        <v>84.8</v>
      </c>
      <c r="AG437" s="3">
        <v>30.875250000000001</v>
      </c>
      <c r="AH437" s="3">
        <v>110.3661</v>
      </c>
      <c r="AI437" s="3">
        <v>53.975589999999997</v>
      </c>
      <c r="AK437" s="3">
        <v>0.62048720000000002</v>
      </c>
      <c r="AL437" s="3">
        <v>56.748739999999998</v>
      </c>
      <c r="AM437" s="3">
        <v>43.7</v>
      </c>
      <c r="AN437" s="3">
        <v>29.41067</v>
      </c>
      <c r="AO437" s="3">
        <v>24.352509999999999</v>
      </c>
      <c r="AQ437" s="3">
        <v>25.334530000000001</v>
      </c>
      <c r="AU437" s="3">
        <v>2.4620110000000001E-3</v>
      </c>
      <c r="AV437" s="3">
        <v>48.543810000000001</v>
      </c>
      <c r="AW437" s="3">
        <v>5.5440860000000002E-3</v>
      </c>
      <c r="AX437" s="3">
        <v>44.891300000000001</v>
      </c>
      <c r="AY437" s="3">
        <v>9.1072679999999995</v>
      </c>
    </row>
    <row r="438" spans="1:51" x14ac:dyDescent="0.2">
      <c r="A438" s="3" t="s">
        <v>335</v>
      </c>
      <c r="B438" s="49">
        <v>31138</v>
      </c>
      <c r="D438" s="3">
        <v>55.032420000000002</v>
      </c>
      <c r="E438" s="3">
        <v>1.7342649999999999E-8</v>
      </c>
      <c r="F438" s="3">
        <v>49.38109</v>
      </c>
      <c r="G438" s="3">
        <v>68.14376</v>
      </c>
      <c r="H438" s="3">
        <v>9.9835910000000005</v>
      </c>
      <c r="J438" s="3">
        <v>2.536257</v>
      </c>
      <c r="K438" s="3">
        <v>3.1496710000000001</v>
      </c>
      <c r="M438" s="3">
        <v>58.909799999999997</v>
      </c>
      <c r="N438" s="3">
        <v>50.775759999999998</v>
      </c>
      <c r="P438" s="3">
        <v>35.347549999999998</v>
      </c>
      <c r="S438" s="3">
        <v>51.566000000000003</v>
      </c>
      <c r="T438" s="3">
        <v>57.671819999999997</v>
      </c>
      <c r="V438" s="3">
        <v>50.580660000000002</v>
      </c>
      <c r="W438" s="3">
        <v>43.040849999999999</v>
      </c>
      <c r="X438" s="3">
        <v>12.81302</v>
      </c>
      <c r="Y438" s="3">
        <v>4.1652339999999999</v>
      </c>
      <c r="Z438" s="3">
        <v>6.6669409999999996</v>
      </c>
      <c r="AA438" s="3">
        <v>9.9937799999999992</v>
      </c>
      <c r="AB438" s="3">
        <v>69.872910000000005</v>
      </c>
      <c r="AC438" s="3">
        <v>34.223179999999999</v>
      </c>
      <c r="AD438" s="3">
        <v>8.0402009999999997</v>
      </c>
      <c r="AE438" s="3">
        <v>38.935969999999998</v>
      </c>
      <c r="AF438" s="3">
        <v>85.3</v>
      </c>
      <c r="AG438" s="3">
        <v>30.90654</v>
      </c>
      <c r="AH438" s="3">
        <v>110.0142</v>
      </c>
      <c r="AI438" s="3">
        <v>54.447360000000003</v>
      </c>
      <c r="AK438" s="3">
        <v>0.63958000000000004</v>
      </c>
      <c r="AL438" s="3">
        <v>56.976430000000001</v>
      </c>
      <c r="AM438" s="3">
        <v>43.9</v>
      </c>
      <c r="AN438" s="3">
        <v>29.636780000000002</v>
      </c>
      <c r="AO438" s="3">
        <v>24.536269999999998</v>
      </c>
      <c r="AQ438" s="3">
        <v>25.614180000000001</v>
      </c>
      <c r="AU438" s="3">
        <v>2.5948270000000001E-3</v>
      </c>
      <c r="AV438" s="3">
        <v>48.738480000000003</v>
      </c>
      <c r="AW438" s="3">
        <v>5.5901839999999998E-3</v>
      </c>
      <c r="AX438" s="3">
        <v>45.102249999999998</v>
      </c>
      <c r="AY438" s="3">
        <v>9.3372499999999992</v>
      </c>
    </row>
    <row r="439" spans="1:51" x14ac:dyDescent="0.2">
      <c r="A439" s="3" t="s">
        <v>336</v>
      </c>
      <c r="B439" s="49">
        <v>31168</v>
      </c>
      <c r="D439" s="3">
        <v>55.08878</v>
      </c>
      <c r="E439" s="3">
        <v>1.8590599999999999E-8</v>
      </c>
      <c r="F439" s="3">
        <v>49.539110000000001</v>
      </c>
      <c r="G439" s="3">
        <v>68.096450000000004</v>
      </c>
      <c r="H439" s="3">
        <v>10.184760000000001</v>
      </c>
      <c r="J439" s="3">
        <v>2.6648230000000002</v>
      </c>
      <c r="K439" s="3">
        <v>3.1556989999999998</v>
      </c>
      <c r="M439" s="3">
        <v>58.909799999999997</v>
      </c>
      <c r="N439" s="3">
        <v>51.123550000000002</v>
      </c>
      <c r="P439" s="3">
        <v>35.458550000000002</v>
      </c>
      <c r="S439" s="3">
        <v>51.669240000000002</v>
      </c>
      <c r="T439" s="3">
        <v>57.965879999999999</v>
      </c>
      <c r="V439" s="3">
        <v>50.749920000000003</v>
      </c>
      <c r="W439" s="3">
        <v>43.222459999999998</v>
      </c>
      <c r="X439" s="3">
        <v>12.921060000000001</v>
      </c>
      <c r="Y439" s="3">
        <v>4.1485900000000004</v>
      </c>
      <c r="Z439" s="3">
        <v>6.6856859999999996</v>
      </c>
      <c r="AA439" s="3">
        <v>10.09212</v>
      </c>
      <c r="AB439" s="3">
        <v>70.072270000000003</v>
      </c>
      <c r="AC439" s="3">
        <v>34.316679999999998</v>
      </c>
      <c r="AD439" s="3">
        <v>8.5427129999999991</v>
      </c>
      <c r="AE439" s="3">
        <v>39.211829999999999</v>
      </c>
      <c r="AF439" s="3">
        <v>85.4</v>
      </c>
      <c r="AG439" s="3">
        <v>31.124890000000001</v>
      </c>
      <c r="AH439" s="3">
        <v>109.5784</v>
      </c>
      <c r="AI439" s="3">
        <v>54.515500000000003</v>
      </c>
      <c r="AK439" s="3">
        <v>0.65473170000000003</v>
      </c>
      <c r="AL439" s="3">
        <v>57.033340000000003</v>
      </c>
      <c r="AM439" s="3">
        <v>44</v>
      </c>
      <c r="AN439" s="3">
        <v>29.778849999999998</v>
      </c>
      <c r="AO439" s="3">
        <v>24.65014</v>
      </c>
      <c r="AQ439" s="3">
        <v>25.694790000000001</v>
      </c>
      <c r="AU439" s="3">
        <v>2.6423779999999999E-3</v>
      </c>
      <c r="AV439" s="3">
        <v>49.290590000000002</v>
      </c>
      <c r="AW439" s="3">
        <v>5.7243809999999997E-3</v>
      </c>
      <c r="AX439" s="3">
        <v>45.27102</v>
      </c>
      <c r="AY439" s="3">
        <v>9.4292420000000003</v>
      </c>
    </row>
    <row r="440" spans="1:51" x14ac:dyDescent="0.2">
      <c r="A440" s="3" t="s">
        <v>337</v>
      </c>
      <c r="B440" s="49">
        <v>31199</v>
      </c>
      <c r="D440" s="3">
        <v>55.095829999999999</v>
      </c>
      <c r="E440" s="3">
        <v>2.0169669999999999E-8</v>
      </c>
      <c r="F440" s="3">
        <v>49.776139999999998</v>
      </c>
      <c r="G440" s="3">
        <v>68.062860000000001</v>
      </c>
      <c r="H440" s="3">
        <v>10.55993</v>
      </c>
      <c r="J440" s="3">
        <v>2.7115740000000002</v>
      </c>
      <c r="K440" s="3">
        <v>3.1918679999999999</v>
      </c>
      <c r="M440" s="3">
        <v>58.909799999999997</v>
      </c>
      <c r="N440" s="3">
        <v>51.123550000000002</v>
      </c>
      <c r="P440" s="3">
        <v>35.398150000000001</v>
      </c>
      <c r="S440" s="3">
        <v>51.772469999999998</v>
      </c>
      <c r="T440" s="3">
        <v>58.186419999999998</v>
      </c>
      <c r="V440" s="3">
        <v>50.875</v>
      </c>
      <c r="W440" s="3">
        <v>43.31326</v>
      </c>
      <c r="X440" s="3">
        <v>13.20195</v>
      </c>
      <c r="Y440" s="3">
        <v>4.1569120000000002</v>
      </c>
      <c r="Z440" s="3">
        <v>6.7481689999999999</v>
      </c>
      <c r="AA440" s="3">
        <v>10.194089999999999</v>
      </c>
      <c r="AB440" s="3">
        <v>70.470969999999994</v>
      </c>
      <c r="AC440" s="3">
        <v>34.316679999999998</v>
      </c>
      <c r="AD440" s="3">
        <v>9.8492460000000008</v>
      </c>
      <c r="AE440" s="3">
        <v>39.44829</v>
      </c>
      <c r="AF440" s="3">
        <v>85.4</v>
      </c>
      <c r="AG440" s="3">
        <v>31.15551</v>
      </c>
      <c r="AH440" s="3">
        <v>110.58669999999999</v>
      </c>
      <c r="AI440" s="3">
        <v>54.630830000000003</v>
      </c>
      <c r="AK440" s="3">
        <v>0.67112939999999999</v>
      </c>
      <c r="AL440" s="3">
        <v>56.976430000000001</v>
      </c>
      <c r="AM440" s="3">
        <v>44.3</v>
      </c>
      <c r="AN440" s="3">
        <v>29.874279999999999</v>
      </c>
      <c r="AO440" s="3">
        <v>24.693110000000001</v>
      </c>
      <c r="AQ440" s="3">
        <v>25.732600000000001</v>
      </c>
      <c r="AU440" s="3">
        <v>2.700587E-3</v>
      </c>
      <c r="AV440" s="3">
        <v>49.127830000000003</v>
      </c>
      <c r="AW440" s="3">
        <v>5.680844E-3</v>
      </c>
      <c r="AX440" s="3">
        <v>45.397590000000001</v>
      </c>
      <c r="AY440" s="3">
        <v>9.5672309999999996</v>
      </c>
    </row>
    <row r="441" spans="1:51" x14ac:dyDescent="0.2">
      <c r="A441" s="3" t="s">
        <v>338</v>
      </c>
      <c r="B441" s="49">
        <v>31229</v>
      </c>
      <c r="D441" s="3">
        <v>55.39875</v>
      </c>
      <c r="E441" s="3">
        <v>2.224977E-8</v>
      </c>
      <c r="F441" s="3">
        <v>50.013170000000002</v>
      </c>
      <c r="G441" s="3">
        <v>67.917460000000005</v>
      </c>
      <c r="H441" s="3">
        <v>10.696350000000001</v>
      </c>
      <c r="J441" s="3">
        <v>2.6881979999999999</v>
      </c>
      <c r="K441" s="3">
        <v>3.2310500000000002</v>
      </c>
      <c r="M441" s="3">
        <v>58.909799999999997</v>
      </c>
      <c r="N441" s="3">
        <v>50.914879999999997</v>
      </c>
      <c r="P441" s="3">
        <v>35.599490000000003</v>
      </c>
      <c r="S441" s="3">
        <v>51.720849999999999</v>
      </c>
      <c r="T441" s="3">
        <v>58.406959999999998</v>
      </c>
      <c r="V441" s="3">
        <v>50.962040000000002</v>
      </c>
      <c r="W441" s="3">
        <v>43.222459999999998</v>
      </c>
      <c r="X441" s="3">
        <v>13.02909</v>
      </c>
      <c r="Y441" s="3">
        <v>4.1860390000000001</v>
      </c>
      <c r="Z441" s="3">
        <v>6.7419209999999996</v>
      </c>
      <c r="AA441" s="3">
        <v>10.347060000000001</v>
      </c>
      <c r="AB441" s="3">
        <v>70.77</v>
      </c>
      <c r="AC441" s="3">
        <v>34.41019</v>
      </c>
      <c r="AD441" s="3">
        <v>12.562810000000001</v>
      </c>
      <c r="AE441" s="3">
        <v>39.52711</v>
      </c>
      <c r="AF441" s="3">
        <v>85.6</v>
      </c>
      <c r="AG441" s="3">
        <v>31.15551</v>
      </c>
      <c r="AH441" s="3">
        <v>110.6717</v>
      </c>
      <c r="AI441" s="3">
        <v>54.919130000000003</v>
      </c>
      <c r="AK441" s="3">
        <v>0.69450210000000001</v>
      </c>
      <c r="AL441" s="3">
        <v>56.862589999999997</v>
      </c>
      <c r="AM441" s="3">
        <v>44.5</v>
      </c>
      <c r="AN441" s="3">
        <v>29.997</v>
      </c>
      <c r="AO441" s="3">
        <v>24.735250000000001</v>
      </c>
      <c r="AQ441" s="3">
        <v>25.818190000000001</v>
      </c>
      <c r="AU441" s="3">
        <v>2.8571790000000001E-3</v>
      </c>
      <c r="AV441" s="3">
        <v>49.095910000000003</v>
      </c>
      <c r="AW441" s="3">
        <v>5.7617720000000001E-3</v>
      </c>
      <c r="AX441" s="3">
        <v>45.481969999999997</v>
      </c>
      <c r="AY441" s="3">
        <v>9.6132279999999994</v>
      </c>
    </row>
    <row r="442" spans="1:51" x14ac:dyDescent="0.2">
      <c r="A442" s="3" t="s">
        <v>339</v>
      </c>
      <c r="B442" s="49">
        <v>31260</v>
      </c>
      <c r="D442" s="3">
        <v>55.39875</v>
      </c>
      <c r="E442" s="3">
        <v>2.493077E-8</v>
      </c>
      <c r="F442" s="3">
        <v>50.013170000000002</v>
      </c>
      <c r="G442" s="3">
        <v>67.902850000000001</v>
      </c>
      <c r="H442" s="3">
        <v>10.79125</v>
      </c>
      <c r="J442" s="3">
        <v>2.6765099999999999</v>
      </c>
      <c r="K442" s="3">
        <v>3.23306</v>
      </c>
      <c r="M442" s="3">
        <v>58.714089999999999</v>
      </c>
      <c r="N442" s="3">
        <v>50.845320000000001</v>
      </c>
      <c r="P442" s="3">
        <v>35.652810000000002</v>
      </c>
      <c r="S442" s="3">
        <v>51.772469999999998</v>
      </c>
      <c r="T442" s="3">
        <v>58.48048</v>
      </c>
      <c r="V442" s="3">
        <v>50.997199999999999</v>
      </c>
      <c r="W442" s="3">
        <v>43.358669999999996</v>
      </c>
      <c r="X442" s="3">
        <v>13.050700000000001</v>
      </c>
      <c r="Y442" s="3">
        <v>4.1485900000000004</v>
      </c>
      <c r="Z442" s="3">
        <v>6.7356730000000002</v>
      </c>
      <c r="AA442" s="3">
        <v>10.39805</v>
      </c>
      <c r="AB442" s="3">
        <v>70.969350000000006</v>
      </c>
      <c r="AC442" s="3">
        <v>34.64396</v>
      </c>
      <c r="AD442" s="3">
        <v>12.96482</v>
      </c>
      <c r="AE442" s="3">
        <v>39.605919999999998</v>
      </c>
      <c r="AF442" s="3">
        <v>85.4</v>
      </c>
      <c r="AG442" s="3">
        <v>31.21809</v>
      </c>
      <c r="AH442" s="3">
        <v>110.6553</v>
      </c>
      <c r="AI442" s="3">
        <v>54.719940000000001</v>
      </c>
      <c r="AK442" s="3">
        <v>0.72486450000000002</v>
      </c>
      <c r="AL442" s="3">
        <v>56.862589999999997</v>
      </c>
      <c r="AM442" s="3">
        <v>44.3</v>
      </c>
      <c r="AN442" s="3">
        <v>30.106259999999999</v>
      </c>
      <c r="AO442" s="3">
        <v>24.78388</v>
      </c>
      <c r="AQ442" s="3">
        <v>26.018219999999999</v>
      </c>
      <c r="AU442" s="3">
        <v>2.9080099999999999E-3</v>
      </c>
      <c r="AV442" s="3">
        <v>49.076770000000003</v>
      </c>
      <c r="AW442" s="3">
        <v>5.9108229999999999E-3</v>
      </c>
      <c r="AX442" s="3">
        <v>45.56635</v>
      </c>
      <c r="AY442" s="3">
        <v>9.7052200000000006</v>
      </c>
    </row>
    <row r="443" spans="1:51" x14ac:dyDescent="0.2">
      <c r="A443" s="3" t="s">
        <v>340</v>
      </c>
      <c r="B443" s="49">
        <v>31291</v>
      </c>
      <c r="D443" s="3">
        <v>55.51146</v>
      </c>
      <c r="E443" s="3">
        <v>2.770242E-8</v>
      </c>
      <c r="F443" s="3">
        <v>50.092179999999999</v>
      </c>
      <c r="G443" s="3">
        <v>68.112260000000006</v>
      </c>
      <c r="H443" s="3">
        <v>10.92249</v>
      </c>
      <c r="J443" s="3">
        <v>2.6998859999999998</v>
      </c>
      <c r="K443" s="3">
        <v>3.2672189999999999</v>
      </c>
      <c r="M443" s="3">
        <v>58.779330000000002</v>
      </c>
      <c r="N443" s="3">
        <v>51.123550000000002</v>
      </c>
      <c r="P443" s="3">
        <v>36.044060000000002</v>
      </c>
      <c r="S443" s="3">
        <v>51.978940000000001</v>
      </c>
      <c r="T443" s="3">
        <v>58.553989999999999</v>
      </c>
      <c r="V443" s="3">
        <v>51.109760000000001</v>
      </c>
      <c r="W443" s="3">
        <v>43.31326</v>
      </c>
      <c r="X443" s="3">
        <v>13.6557</v>
      </c>
      <c r="Y443" s="3">
        <v>4.1818790000000003</v>
      </c>
      <c r="Z443" s="3">
        <v>6.7231759999999996</v>
      </c>
      <c r="AA443" s="3">
        <v>10.41262</v>
      </c>
      <c r="AB443" s="3">
        <v>70.77</v>
      </c>
      <c r="AC443" s="3">
        <v>34.737459999999999</v>
      </c>
      <c r="AD443" s="3">
        <v>13.36683</v>
      </c>
      <c r="AE443" s="3">
        <v>39.842379999999999</v>
      </c>
      <c r="AF443" s="3">
        <v>85.5</v>
      </c>
      <c r="AG443" s="3">
        <v>31.560929999999999</v>
      </c>
      <c r="AH443" s="3">
        <v>111.0177</v>
      </c>
      <c r="AI443" s="3">
        <v>54.714689999999997</v>
      </c>
      <c r="AK443" s="3">
        <v>0.75381390000000004</v>
      </c>
      <c r="AL443" s="3">
        <v>57.147179999999999</v>
      </c>
      <c r="AM443" s="3">
        <v>44.8</v>
      </c>
      <c r="AN443" s="3">
        <v>30.29513</v>
      </c>
      <c r="AO443" s="3">
        <v>24.948920000000001</v>
      </c>
      <c r="AQ443" s="3">
        <v>26.048079999999999</v>
      </c>
      <c r="AU443" s="3">
        <v>3.0154100000000001E-3</v>
      </c>
      <c r="AV443" s="3">
        <v>49.293779999999998</v>
      </c>
      <c r="AW443" s="3">
        <v>6.1915099999999999E-3</v>
      </c>
      <c r="AX443" s="3">
        <v>45.692920000000001</v>
      </c>
      <c r="AY443" s="3">
        <v>9.8432089999999999</v>
      </c>
    </row>
    <row r="444" spans="1:51" x14ac:dyDescent="0.2">
      <c r="A444" s="3" t="s">
        <v>341</v>
      </c>
      <c r="B444" s="49">
        <v>31321</v>
      </c>
      <c r="D444" s="3">
        <v>55.483280000000001</v>
      </c>
      <c r="E444" s="3">
        <v>3.064344E-8</v>
      </c>
      <c r="F444" s="3">
        <v>50.2502</v>
      </c>
      <c r="G444" s="3">
        <v>68.281809999999993</v>
      </c>
      <c r="H444" s="3">
        <v>11.08708</v>
      </c>
      <c r="J444" s="3">
        <v>2.7232620000000001</v>
      </c>
      <c r="K444" s="3">
        <v>3.291331</v>
      </c>
      <c r="M444" s="3">
        <v>58.844560000000001</v>
      </c>
      <c r="N444" s="3">
        <v>51.262659999999997</v>
      </c>
      <c r="P444" s="3">
        <v>36.229610000000001</v>
      </c>
      <c r="S444" s="3">
        <v>52.030560000000001</v>
      </c>
      <c r="T444" s="3">
        <v>58.737769999999998</v>
      </c>
      <c r="V444" s="3">
        <v>51.338889999999999</v>
      </c>
      <c r="W444" s="3">
        <v>43.404060000000001</v>
      </c>
      <c r="X444" s="3">
        <v>14.109450000000001</v>
      </c>
      <c r="Y444" s="3">
        <v>4.1902010000000001</v>
      </c>
      <c r="Z444" s="3">
        <v>6.7294239999999999</v>
      </c>
      <c r="AA444" s="3">
        <v>10.51459</v>
      </c>
      <c r="AB444" s="3">
        <v>71.168700000000001</v>
      </c>
      <c r="AC444" s="3">
        <v>34.947850000000003</v>
      </c>
      <c r="AD444" s="3">
        <v>14.17085</v>
      </c>
      <c r="AE444" s="3">
        <v>40.236469999999997</v>
      </c>
      <c r="AF444" s="3">
        <v>86.3</v>
      </c>
      <c r="AG444" s="3">
        <v>31.654129999999999</v>
      </c>
      <c r="AH444" s="3">
        <v>111.501</v>
      </c>
      <c r="AI444" s="3">
        <v>55.175980000000003</v>
      </c>
      <c r="AK444" s="3">
        <v>0.7824489</v>
      </c>
      <c r="AL444" s="3">
        <v>57.31794</v>
      </c>
      <c r="AM444" s="3">
        <v>44.9</v>
      </c>
      <c r="AN444" s="3">
        <v>30.549499999999998</v>
      </c>
      <c r="AO444" s="3">
        <v>25.15353</v>
      </c>
      <c r="AQ444" s="3">
        <v>26.30583</v>
      </c>
      <c r="AU444" s="3">
        <v>3.4294339999999999E-3</v>
      </c>
      <c r="AV444" s="3">
        <v>49.612920000000003</v>
      </c>
      <c r="AW444" s="3">
        <v>6.5792480000000002E-3</v>
      </c>
      <c r="AX444" s="3">
        <v>45.861690000000003</v>
      </c>
      <c r="AY444" s="3">
        <v>9.9811979999999991</v>
      </c>
    </row>
    <row r="445" spans="1:51" x14ac:dyDescent="0.2">
      <c r="A445" s="3" t="s">
        <v>342</v>
      </c>
      <c r="B445" s="49">
        <v>31352</v>
      </c>
      <c r="D445" s="3">
        <v>55.610080000000004</v>
      </c>
      <c r="E445" s="3">
        <v>3.4925229999999997E-8</v>
      </c>
      <c r="F445" s="3">
        <v>50.40822</v>
      </c>
      <c r="G445" s="3">
        <v>68.764629999999997</v>
      </c>
      <c r="H445" s="3">
        <v>11.264530000000001</v>
      </c>
      <c r="J445" s="3">
        <v>2.7466370000000002</v>
      </c>
      <c r="K445" s="3">
        <v>3.3053970000000001</v>
      </c>
      <c r="M445" s="3">
        <v>58.909799999999997</v>
      </c>
      <c r="N445" s="3">
        <v>51.471319999999999</v>
      </c>
      <c r="P445" s="3">
        <v>36.508769999999998</v>
      </c>
      <c r="S445" s="3">
        <v>52.030560000000001</v>
      </c>
      <c r="T445" s="3">
        <v>58.848050000000001</v>
      </c>
      <c r="V445" s="3">
        <v>51.415849999999999</v>
      </c>
      <c r="W445" s="3">
        <v>43.54027</v>
      </c>
      <c r="X445" s="3">
        <v>14.498379999999999</v>
      </c>
      <c r="Y445" s="3">
        <v>4.2110060000000002</v>
      </c>
      <c r="Z445" s="3">
        <v>6.7481689999999999</v>
      </c>
      <c r="AA445" s="3">
        <v>10.59836</v>
      </c>
      <c r="AB445" s="3">
        <v>71.36806</v>
      </c>
      <c r="AC445" s="3">
        <v>35.06474</v>
      </c>
      <c r="AD445" s="3">
        <v>14.17085</v>
      </c>
      <c r="AE445" s="3">
        <v>40.551740000000002</v>
      </c>
      <c r="AF445" s="3">
        <v>85.6</v>
      </c>
      <c r="AG445" s="3">
        <v>31.280670000000001</v>
      </c>
      <c r="AH445" s="3">
        <v>111.4443</v>
      </c>
      <c r="AI445" s="3">
        <v>55.312269999999998</v>
      </c>
      <c r="AK445" s="3">
        <v>0.81854839999999995</v>
      </c>
      <c r="AL445" s="3">
        <v>57.31794</v>
      </c>
      <c r="AM445" s="3">
        <v>45</v>
      </c>
      <c r="AN445" s="3">
        <v>30.726199999999999</v>
      </c>
      <c r="AO445" s="3">
        <v>25.336130000000001</v>
      </c>
      <c r="AQ445" s="3">
        <v>26.71386</v>
      </c>
      <c r="AU445" s="3">
        <v>3.5720880000000002E-3</v>
      </c>
      <c r="AV445" s="3">
        <v>49.938429999999997</v>
      </c>
      <c r="AW445" s="3">
        <v>6.8845210000000002E-3</v>
      </c>
      <c r="AX445" s="3">
        <v>45.988259999999997</v>
      </c>
      <c r="AY445" s="3">
        <v>10.11919</v>
      </c>
    </row>
    <row r="446" spans="1:51" x14ac:dyDescent="0.2">
      <c r="A446" s="3" t="s">
        <v>343</v>
      </c>
      <c r="B446" s="49">
        <v>31382</v>
      </c>
      <c r="D446" s="3">
        <v>55.631219999999999</v>
      </c>
      <c r="E446" s="3">
        <v>4.0189519999999997E-8</v>
      </c>
      <c r="F446" s="3">
        <v>50.645240000000001</v>
      </c>
      <c r="G446" s="3">
        <v>68.807169999999999</v>
      </c>
      <c r="H446" s="3">
        <v>11.40738</v>
      </c>
      <c r="J446" s="3">
        <v>2.7933889999999999</v>
      </c>
      <c r="K446" s="3">
        <v>3.353621</v>
      </c>
      <c r="M446" s="3">
        <v>58.97504</v>
      </c>
      <c r="N446" s="3">
        <v>51.436549999999997</v>
      </c>
      <c r="P446" s="3">
        <v>36.660040000000002</v>
      </c>
      <c r="S446" s="3">
        <v>52.133789999999998</v>
      </c>
      <c r="T446" s="3">
        <v>58.921559999999999</v>
      </c>
      <c r="V446" s="3">
        <v>51.542020000000001</v>
      </c>
      <c r="W446" s="3">
        <v>43.58567</v>
      </c>
      <c r="X446" s="3">
        <v>14.995340000000001</v>
      </c>
      <c r="Y446" s="3">
        <v>4.2567779999999997</v>
      </c>
      <c r="Z446" s="3">
        <v>6.7731620000000001</v>
      </c>
      <c r="AA446" s="3">
        <v>10.59836</v>
      </c>
      <c r="AB446" s="3">
        <v>71.467730000000003</v>
      </c>
      <c r="AC446" s="3">
        <v>35.134860000000003</v>
      </c>
      <c r="AD446" s="3">
        <v>14.37186</v>
      </c>
      <c r="AE446" s="3">
        <v>40.78819</v>
      </c>
      <c r="AF446" s="3">
        <v>85.7</v>
      </c>
      <c r="AG446" s="3">
        <v>31.46707</v>
      </c>
      <c r="AH446" s="3">
        <v>111.36060000000001</v>
      </c>
      <c r="AI446" s="3">
        <v>55.401380000000003</v>
      </c>
      <c r="AK446" s="3">
        <v>0.87427290000000002</v>
      </c>
      <c r="AL446" s="3">
        <v>57.147179999999999</v>
      </c>
      <c r="AM446" s="3">
        <v>45.2</v>
      </c>
      <c r="AN446" s="3">
        <v>30.949470000000002</v>
      </c>
      <c r="AO446" s="3">
        <v>25.44116</v>
      </c>
      <c r="AQ446" s="3">
        <v>27.15174</v>
      </c>
      <c r="AU446" s="3">
        <v>3.7213010000000002E-3</v>
      </c>
      <c r="AV446" s="3">
        <v>50.142679999999999</v>
      </c>
      <c r="AW446" s="3">
        <v>6.9956690000000004E-3</v>
      </c>
      <c r="AX446" s="3">
        <v>46.114829999999998</v>
      </c>
      <c r="AY446" s="3">
        <v>10.30317</v>
      </c>
    </row>
    <row r="447" spans="1:51" x14ac:dyDescent="0.2">
      <c r="A447" s="3" t="s">
        <v>344</v>
      </c>
      <c r="B447" s="49">
        <v>31413</v>
      </c>
      <c r="D447" s="3">
        <v>55.69462</v>
      </c>
      <c r="E447" s="3">
        <v>4.59657E-8</v>
      </c>
      <c r="F447" s="3">
        <v>50.882269999999998</v>
      </c>
      <c r="G447" s="3">
        <v>68.777950000000004</v>
      </c>
      <c r="H447" s="3">
        <v>11.713089999999999</v>
      </c>
      <c r="J447" s="3">
        <v>2.875203</v>
      </c>
      <c r="K447" s="3">
        <v>3.3747199999999999</v>
      </c>
      <c r="M447" s="3">
        <v>59.170749999999998</v>
      </c>
      <c r="N447" s="3">
        <v>51.297440000000002</v>
      </c>
      <c r="P447" s="3">
        <v>37.714060000000003</v>
      </c>
      <c r="S447" s="3">
        <v>52.49512</v>
      </c>
      <c r="T447" s="3">
        <v>58.958320000000001</v>
      </c>
      <c r="V447" s="3">
        <v>51.694029999999998</v>
      </c>
      <c r="W447" s="3">
        <v>43.676479999999998</v>
      </c>
      <c r="X447" s="3">
        <v>15.36266</v>
      </c>
      <c r="Y447" s="3">
        <v>4.3150329999999997</v>
      </c>
      <c r="Z447" s="3">
        <v>6.8543909999999997</v>
      </c>
      <c r="AA447" s="3">
        <v>10.58015</v>
      </c>
      <c r="AB447" s="3">
        <v>71.567409999999995</v>
      </c>
      <c r="AC447" s="3">
        <v>35.298499999999997</v>
      </c>
      <c r="AD447" s="3">
        <v>14.17085</v>
      </c>
      <c r="AE447" s="3">
        <v>40.985230000000001</v>
      </c>
      <c r="AF447" s="3">
        <v>86</v>
      </c>
      <c r="AG447" s="3">
        <v>31.748000000000001</v>
      </c>
      <c r="AH447" s="3">
        <v>111.45099999999999</v>
      </c>
      <c r="AI447" s="3">
        <v>55.301780000000001</v>
      </c>
      <c r="AK447" s="3">
        <v>0.9515673</v>
      </c>
      <c r="AL447" s="3">
        <v>56.919510000000002</v>
      </c>
      <c r="AM447" s="3">
        <v>45.6</v>
      </c>
      <c r="AN447" s="3">
        <v>31.22316</v>
      </c>
      <c r="AO447" s="3">
        <v>25.6233</v>
      </c>
      <c r="AQ447" s="3">
        <v>27.8643</v>
      </c>
      <c r="AU447" s="3">
        <v>4.0320249999999998E-3</v>
      </c>
      <c r="AV447" s="3">
        <v>50.707549999999998</v>
      </c>
      <c r="AW447" s="3">
        <v>7.219502E-3</v>
      </c>
      <c r="AX447" s="3">
        <v>46.241410000000002</v>
      </c>
      <c r="AY447" s="3">
        <v>10.62515</v>
      </c>
    </row>
    <row r="448" spans="1:51" x14ac:dyDescent="0.2">
      <c r="A448" s="3" t="s">
        <v>345</v>
      </c>
      <c r="B448" s="49">
        <v>31444</v>
      </c>
      <c r="D448" s="3">
        <v>55.736890000000002</v>
      </c>
      <c r="E448" s="3">
        <v>5.1810820000000002E-8</v>
      </c>
      <c r="F448" s="3">
        <v>51.119300000000003</v>
      </c>
      <c r="G448" s="3">
        <v>68.760949999999994</v>
      </c>
      <c r="H448" s="3">
        <v>11.819129999999999</v>
      </c>
      <c r="J448" s="3">
        <v>2.9570180000000001</v>
      </c>
      <c r="K448" s="3">
        <v>3.3827569999999998</v>
      </c>
      <c r="M448" s="3">
        <v>59.105510000000002</v>
      </c>
      <c r="N448" s="3">
        <v>51.262659999999997</v>
      </c>
      <c r="P448" s="3">
        <v>37.882199999999997</v>
      </c>
      <c r="S448" s="3">
        <v>52.701590000000003</v>
      </c>
      <c r="T448" s="3">
        <v>58.81129</v>
      </c>
      <c r="V448" s="3">
        <v>51.638829999999999</v>
      </c>
      <c r="W448" s="3">
        <v>43.858080000000001</v>
      </c>
      <c r="X448" s="3">
        <v>15.27623</v>
      </c>
      <c r="Y448" s="3">
        <v>4.331677</v>
      </c>
      <c r="Z448" s="3">
        <v>6.9043770000000002</v>
      </c>
      <c r="AA448" s="3">
        <v>10.64935</v>
      </c>
      <c r="AB448" s="3">
        <v>72.464489999999998</v>
      </c>
      <c r="AC448" s="3">
        <v>35.719279999999998</v>
      </c>
      <c r="AD448" s="3">
        <v>14.37186</v>
      </c>
      <c r="AE448" s="3">
        <v>41.142870000000002</v>
      </c>
      <c r="AF448" s="3">
        <v>85.9</v>
      </c>
      <c r="AG448" s="3">
        <v>31.9344</v>
      </c>
      <c r="AH448" s="3">
        <v>110.911</v>
      </c>
      <c r="AI448" s="3">
        <v>55.07114</v>
      </c>
      <c r="AK448" s="3">
        <v>0.99387230000000004</v>
      </c>
      <c r="AL448" s="3">
        <v>57.033340000000003</v>
      </c>
      <c r="AM448" s="3">
        <v>45.8</v>
      </c>
      <c r="AN448" s="3">
        <v>31.284089999999999</v>
      </c>
      <c r="AO448" s="3">
        <v>25.677240000000001</v>
      </c>
      <c r="AQ448" s="3">
        <v>28.22655</v>
      </c>
      <c r="AU448" s="3">
        <v>4.2558439999999999E-3</v>
      </c>
      <c r="AV448" s="3">
        <v>50.739460000000001</v>
      </c>
      <c r="AW448" s="3">
        <v>7.3449910000000004E-3</v>
      </c>
      <c r="AX448" s="3">
        <v>46.114829999999998</v>
      </c>
      <c r="AY448" s="3">
        <v>10.717140000000001</v>
      </c>
    </row>
    <row r="449" spans="1:51" x14ac:dyDescent="0.2">
      <c r="A449" s="3" t="s">
        <v>346</v>
      </c>
      <c r="B449" s="49">
        <v>31472</v>
      </c>
      <c r="D449" s="3">
        <v>55.652349999999998</v>
      </c>
      <c r="E449" s="3">
        <v>5.4282290000000002E-8</v>
      </c>
      <c r="F449" s="3">
        <v>51.277320000000003</v>
      </c>
      <c r="G449" s="3">
        <v>68.845730000000003</v>
      </c>
      <c r="H449" s="3">
        <v>11.99657</v>
      </c>
      <c r="J449" s="3">
        <v>3.0388329999999999</v>
      </c>
      <c r="K449" s="3">
        <v>3.4128970000000001</v>
      </c>
      <c r="M449" s="3">
        <v>58.909799999999997</v>
      </c>
      <c r="N449" s="3">
        <v>51.471319999999999</v>
      </c>
      <c r="P449" s="3">
        <v>38.010080000000002</v>
      </c>
      <c r="S449" s="3">
        <v>52.701590000000003</v>
      </c>
      <c r="T449" s="3">
        <v>58.958320000000001</v>
      </c>
      <c r="V449" s="3">
        <v>51.540730000000003</v>
      </c>
      <c r="W449" s="3">
        <v>43.903480000000002</v>
      </c>
      <c r="X449" s="3">
        <v>15.75159</v>
      </c>
      <c r="Y449" s="3">
        <v>4.3691269999999998</v>
      </c>
      <c r="Z449" s="3">
        <v>6.8793839999999999</v>
      </c>
      <c r="AA449" s="3">
        <v>10.73312</v>
      </c>
      <c r="AB449" s="3">
        <v>72.265140000000002</v>
      </c>
      <c r="AC449" s="3">
        <v>36.210180000000001</v>
      </c>
      <c r="AD449" s="3">
        <v>14.67337</v>
      </c>
      <c r="AE449" s="3">
        <v>41.339919999999999</v>
      </c>
      <c r="AF449" s="3">
        <v>85.9</v>
      </c>
      <c r="AG449" s="3">
        <v>31.996980000000001</v>
      </c>
      <c r="AI449" s="3">
        <v>54.788080000000001</v>
      </c>
      <c r="AK449" s="3">
        <v>1.040068</v>
      </c>
      <c r="AL449" s="3">
        <v>57.033340000000003</v>
      </c>
      <c r="AM449" s="3">
        <v>46.1</v>
      </c>
      <c r="AN449" s="3">
        <v>31.332190000000001</v>
      </c>
      <c r="AO449" s="3">
        <v>25.737020000000001</v>
      </c>
      <c r="AQ449" s="3">
        <v>28.55198</v>
      </c>
      <c r="AU449" s="3">
        <v>4.5198360000000002E-3</v>
      </c>
      <c r="AV449" s="3">
        <v>50.653300000000002</v>
      </c>
      <c r="AW449" s="3">
        <v>7.4407739999999998E-3</v>
      </c>
      <c r="AX449" s="3">
        <v>45.903880000000001</v>
      </c>
      <c r="AY449" s="3">
        <v>10.855130000000001</v>
      </c>
    </row>
    <row r="450" spans="1:51" x14ac:dyDescent="0.2">
      <c r="A450" s="3" t="s">
        <v>347</v>
      </c>
      <c r="B450" s="49">
        <v>31503</v>
      </c>
      <c r="D450" s="3">
        <v>55.82846</v>
      </c>
      <c r="E450" s="3">
        <v>5.4705690000000001E-8</v>
      </c>
      <c r="F450" s="3">
        <v>51.277320000000003</v>
      </c>
      <c r="G450" s="3">
        <v>68.807959999999994</v>
      </c>
      <c r="H450" s="3">
        <v>12.16315</v>
      </c>
      <c r="J450" s="3">
        <v>3.1206469999999999</v>
      </c>
      <c r="K450" s="3">
        <v>3.4350000000000001</v>
      </c>
      <c r="M450" s="3">
        <v>58.909799999999997</v>
      </c>
      <c r="N450" s="3">
        <v>52.792879999999997</v>
      </c>
      <c r="P450" s="3">
        <v>38.102580000000003</v>
      </c>
      <c r="S450" s="3">
        <v>52.908059999999999</v>
      </c>
      <c r="T450" s="3">
        <v>59.17886</v>
      </c>
      <c r="V450" s="3">
        <v>51.567590000000003</v>
      </c>
      <c r="W450" s="3">
        <v>44.357500000000002</v>
      </c>
      <c r="X450" s="3">
        <v>15.989269999999999</v>
      </c>
      <c r="Y450" s="3">
        <v>4.3816100000000002</v>
      </c>
      <c r="Z450" s="3">
        <v>6.8856320000000002</v>
      </c>
      <c r="AA450" s="3">
        <v>10.816879999999999</v>
      </c>
      <c r="AB450" s="3">
        <v>72.863200000000006</v>
      </c>
      <c r="AC450" s="3">
        <v>36.467320000000001</v>
      </c>
      <c r="AD450" s="3">
        <v>15.075379999999999</v>
      </c>
      <c r="AE450" s="3">
        <v>41.418729999999996</v>
      </c>
      <c r="AF450" s="3">
        <v>86.1</v>
      </c>
      <c r="AG450" s="3">
        <v>31.965689999999999</v>
      </c>
      <c r="AI450" s="3">
        <v>54.725180000000002</v>
      </c>
      <c r="AK450" s="3">
        <v>1.094368</v>
      </c>
      <c r="AL450" s="3">
        <v>57.204099999999997</v>
      </c>
      <c r="AM450" s="3">
        <v>46.4</v>
      </c>
      <c r="AN450" s="3">
        <v>31.46161</v>
      </c>
      <c r="AO450" s="3">
        <v>25.83868</v>
      </c>
      <c r="AQ450" s="3">
        <v>28.9192</v>
      </c>
      <c r="AU450" s="3">
        <v>4.8592540000000004E-3</v>
      </c>
      <c r="AV450" s="3">
        <v>50.962859999999999</v>
      </c>
      <c r="AW450" s="3">
        <v>7.4689450000000003E-3</v>
      </c>
      <c r="AX450" s="3">
        <v>45.819499999999998</v>
      </c>
      <c r="AY450" s="3">
        <v>11.039110000000001</v>
      </c>
    </row>
    <row r="451" spans="1:51" x14ac:dyDescent="0.2">
      <c r="A451" s="3" t="s">
        <v>348</v>
      </c>
      <c r="B451" s="49">
        <v>31533</v>
      </c>
      <c r="D451" s="3">
        <v>55.701659999999997</v>
      </c>
      <c r="E451" s="3">
        <v>5.5471069999999997E-8</v>
      </c>
      <c r="F451" s="3">
        <v>51.593359999999997</v>
      </c>
      <c r="G451" s="3">
        <v>68.598349999999996</v>
      </c>
      <c r="H451" s="3">
        <v>12.249890000000001</v>
      </c>
      <c r="J451" s="3">
        <v>3.0972719999999998</v>
      </c>
      <c r="K451" s="3">
        <v>3.4641359999999999</v>
      </c>
      <c r="M451" s="3">
        <v>58.909799999999997</v>
      </c>
      <c r="N451" s="3">
        <v>53.175440000000002</v>
      </c>
      <c r="P451" s="3">
        <v>38.208689999999997</v>
      </c>
      <c r="S451" s="3">
        <v>52.804819999999999</v>
      </c>
      <c r="T451" s="3">
        <v>59.325890000000001</v>
      </c>
      <c r="V451" s="3">
        <v>51.707030000000003</v>
      </c>
      <c r="W451" s="3">
        <v>44.402900000000002</v>
      </c>
      <c r="X451" s="3">
        <v>16.075700000000001</v>
      </c>
      <c r="Y451" s="3">
        <v>4.3524820000000002</v>
      </c>
      <c r="Z451" s="3">
        <v>6.9731079999999999</v>
      </c>
      <c r="AA451" s="3">
        <v>10.951639999999999</v>
      </c>
      <c r="AB451" s="3">
        <v>73.36157</v>
      </c>
      <c r="AC451" s="3">
        <v>36.747839999999997</v>
      </c>
      <c r="AD451" s="3">
        <v>15.27638</v>
      </c>
      <c r="AE451" s="3">
        <v>41.615780000000001</v>
      </c>
      <c r="AF451" s="3">
        <v>86.4</v>
      </c>
      <c r="AG451" s="3">
        <v>32.152760000000001</v>
      </c>
      <c r="AI451" s="3">
        <v>54.730420000000002</v>
      </c>
      <c r="AK451" s="3">
        <v>1.1551819999999999</v>
      </c>
      <c r="AL451" s="3">
        <v>57.204099999999997</v>
      </c>
      <c r="AM451" s="3">
        <v>46.5</v>
      </c>
      <c r="AN451" s="3">
        <v>31.638680000000001</v>
      </c>
      <c r="AO451" s="3">
        <v>25.901910000000001</v>
      </c>
      <c r="AQ451" s="3">
        <v>28.788830000000001</v>
      </c>
      <c r="AU451" s="3">
        <v>5.174896E-3</v>
      </c>
      <c r="AV451" s="3">
        <v>50.959670000000003</v>
      </c>
      <c r="AW451" s="3">
        <v>7.6108249999999999E-3</v>
      </c>
      <c r="AX451" s="3">
        <v>45.946069999999999</v>
      </c>
      <c r="AY451" s="3">
        <v>11.039110000000001</v>
      </c>
    </row>
    <row r="452" spans="1:51" x14ac:dyDescent="0.2">
      <c r="A452" s="3" t="s">
        <v>349</v>
      </c>
      <c r="B452" s="49">
        <v>31564</v>
      </c>
      <c r="D452" s="3">
        <v>55.772109999999998</v>
      </c>
      <c r="E452" s="3">
        <v>5.617675E-8</v>
      </c>
      <c r="F452" s="3">
        <v>51.672370000000001</v>
      </c>
      <c r="G452" s="3">
        <v>68.584540000000004</v>
      </c>
      <c r="H452" s="3">
        <v>12.413489999999999</v>
      </c>
      <c r="J452" s="3">
        <v>3.062208</v>
      </c>
      <c r="K452" s="3">
        <v>3.562595</v>
      </c>
      <c r="M452" s="3">
        <v>58.909799999999997</v>
      </c>
      <c r="N452" s="3">
        <v>53.105890000000002</v>
      </c>
      <c r="P452" s="3">
        <v>38.559669999999997</v>
      </c>
      <c r="S452" s="3">
        <v>53.114530000000002</v>
      </c>
      <c r="T452" s="3">
        <v>59.50967</v>
      </c>
      <c r="V452" s="3">
        <v>51.82931</v>
      </c>
      <c r="W452" s="3">
        <v>44.402900000000002</v>
      </c>
      <c r="X452" s="3">
        <v>16.421410000000002</v>
      </c>
      <c r="Y452" s="3">
        <v>4.331677</v>
      </c>
      <c r="Z452" s="3">
        <v>6.9856049999999996</v>
      </c>
      <c r="AA452" s="3">
        <v>11.06818</v>
      </c>
      <c r="AB452" s="3">
        <v>73.859949999999998</v>
      </c>
      <c r="AC452" s="3">
        <v>36.95823</v>
      </c>
      <c r="AD452" s="3">
        <v>15.47739</v>
      </c>
      <c r="AE452" s="3">
        <v>41.694600000000001</v>
      </c>
      <c r="AF452" s="3">
        <v>85.9</v>
      </c>
      <c r="AG452" s="3">
        <v>32.090179999999997</v>
      </c>
      <c r="AI452" s="3">
        <v>54.693730000000002</v>
      </c>
      <c r="AK452" s="3">
        <v>1.229333</v>
      </c>
      <c r="AL452" s="3">
        <v>56.976430000000001</v>
      </c>
      <c r="AM452" s="3">
        <v>47.3</v>
      </c>
      <c r="AN452" s="3">
        <v>31.84308</v>
      </c>
      <c r="AO452" s="3">
        <v>25.991720000000001</v>
      </c>
      <c r="AQ452" s="3">
        <v>28.880389999999998</v>
      </c>
      <c r="AU452" s="3">
        <v>5.458564E-3</v>
      </c>
      <c r="AV452" s="3">
        <v>50.962859999999999</v>
      </c>
      <c r="AW452" s="3">
        <v>7.7926569999999997E-3</v>
      </c>
      <c r="AX452" s="3">
        <v>46.199219999999997</v>
      </c>
      <c r="AY452" s="3">
        <v>11.177099999999999</v>
      </c>
    </row>
    <row r="453" spans="1:51" x14ac:dyDescent="0.2">
      <c r="A453" s="3" t="s">
        <v>350</v>
      </c>
      <c r="B453" s="49">
        <v>31594</v>
      </c>
      <c r="D453" s="3">
        <v>55.772109999999998</v>
      </c>
      <c r="E453" s="3">
        <v>5.7137539999999997E-8</v>
      </c>
      <c r="F453" s="3">
        <v>52.067419999999998</v>
      </c>
      <c r="G453" s="3">
        <v>68.260639999999995</v>
      </c>
      <c r="H453" s="3">
        <v>12.53683</v>
      </c>
      <c r="J453" s="3">
        <v>3.062208</v>
      </c>
      <c r="K453" s="3">
        <v>3.6630630000000002</v>
      </c>
      <c r="M453" s="3">
        <v>58.714089999999999</v>
      </c>
      <c r="N453" s="3">
        <v>52.758110000000002</v>
      </c>
      <c r="P453" s="3">
        <v>38.944929999999999</v>
      </c>
      <c r="S453" s="3">
        <v>53.114530000000002</v>
      </c>
      <c r="T453" s="3">
        <v>59.583190000000002</v>
      </c>
      <c r="V453" s="3">
        <v>51.803539999999998</v>
      </c>
      <c r="W453" s="3">
        <v>44.2667</v>
      </c>
      <c r="X453" s="3">
        <v>16.248550000000002</v>
      </c>
      <c r="Y453" s="3">
        <v>4.3732879999999996</v>
      </c>
      <c r="Z453" s="3">
        <v>6.9731079999999999</v>
      </c>
      <c r="AA453" s="3">
        <v>11.23936</v>
      </c>
      <c r="AB453" s="3">
        <v>74.458010000000002</v>
      </c>
      <c r="AC453" s="3">
        <v>37.238750000000003</v>
      </c>
      <c r="AD453" s="3">
        <v>15.47739</v>
      </c>
      <c r="AE453" s="3">
        <v>41.694600000000001</v>
      </c>
      <c r="AF453" s="3">
        <v>85.7</v>
      </c>
      <c r="AG453" s="3">
        <v>32.121470000000002</v>
      </c>
      <c r="AI453" s="3">
        <v>54.59413</v>
      </c>
      <c r="AK453" s="3">
        <v>1.290672</v>
      </c>
      <c r="AL453" s="3">
        <v>56.521070000000002</v>
      </c>
      <c r="AM453" s="3">
        <v>47.8</v>
      </c>
      <c r="AN453" s="3">
        <v>31.959720000000001</v>
      </c>
      <c r="AO453" s="3">
        <v>25.99925</v>
      </c>
      <c r="AQ453" s="3">
        <v>28.878399999999999</v>
      </c>
      <c r="AU453" s="3">
        <v>5.5708839999999999E-3</v>
      </c>
      <c r="AV453" s="3">
        <v>51.080939999999998</v>
      </c>
      <c r="AW453" s="3">
        <v>7.9386349999999994E-3</v>
      </c>
      <c r="AX453" s="3">
        <v>46.199219999999997</v>
      </c>
      <c r="AY453" s="3">
        <v>11.407080000000001</v>
      </c>
    </row>
    <row r="454" spans="1:51" x14ac:dyDescent="0.2">
      <c r="A454" s="3" t="s">
        <v>351</v>
      </c>
      <c r="B454" s="49">
        <v>31625</v>
      </c>
      <c r="D454" s="3">
        <v>55.821420000000003</v>
      </c>
      <c r="E454" s="3">
        <v>5.9167700000000001E-8</v>
      </c>
      <c r="F454" s="3">
        <v>52.146430000000002</v>
      </c>
      <c r="G454" s="3">
        <v>68.392229999999998</v>
      </c>
      <c r="H454" s="3">
        <v>12.61591</v>
      </c>
      <c r="J454" s="3">
        <v>3.1089600000000002</v>
      </c>
      <c r="K454" s="3">
        <v>3.692199</v>
      </c>
      <c r="M454" s="3">
        <v>58.518380000000001</v>
      </c>
      <c r="N454" s="3">
        <v>53.03633</v>
      </c>
      <c r="P454" s="3">
        <v>39.055390000000003</v>
      </c>
      <c r="S454" s="3">
        <v>53.269379999999998</v>
      </c>
      <c r="T454" s="3">
        <v>59.656700000000001</v>
      </c>
      <c r="V454" s="3">
        <v>51.844940000000001</v>
      </c>
      <c r="W454" s="3">
        <v>44.402900000000002</v>
      </c>
      <c r="X454" s="3">
        <v>16.20534</v>
      </c>
      <c r="Y454" s="3">
        <v>4.3566440000000002</v>
      </c>
      <c r="Z454" s="3">
        <v>6.9856049999999996</v>
      </c>
      <c r="AA454" s="3">
        <v>11.304919999999999</v>
      </c>
      <c r="AB454" s="3">
        <v>74.956389999999999</v>
      </c>
      <c r="AC454" s="3">
        <v>37.402380000000001</v>
      </c>
      <c r="AD454" s="3">
        <v>15.67839</v>
      </c>
      <c r="AE454" s="3">
        <v>41.812820000000002</v>
      </c>
      <c r="AF454" s="3">
        <v>85.5</v>
      </c>
      <c r="AG454" s="3">
        <v>32.090179999999997</v>
      </c>
      <c r="AI454" s="3">
        <v>54.426389999999998</v>
      </c>
      <c r="AK454" s="3">
        <v>1.3935740000000001</v>
      </c>
      <c r="AL454" s="3">
        <v>56.634909999999998</v>
      </c>
      <c r="AM454" s="3">
        <v>47.9</v>
      </c>
      <c r="AN454" s="3">
        <v>32.150739999999999</v>
      </c>
      <c r="AO454" s="3">
        <v>26.03594</v>
      </c>
      <c r="AQ454" s="3">
        <v>29.14809</v>
      </c>
      <c r="AU454" s="3">
        <v>5.9266989999999997E-3</v>
      </c>
      <c r="AV454" s="3">
        <v>51.013919999999999</v>
      </c>
      <c r="AW454" s="3">
        <v>8.0077829999999992E-3</v>
      </c>
      <c r="AX454" s="3">
        <v>46.2836</v>
      </c>
      <c r="AY454" s="3">
        <v>11.545070000000001</v>
      </c>
    </row>
    <row r="455" spans="1:51" x14ac:dyDescent="0.2">
      <c r="A455" s="3" t="s">
        <v>352</v>
      </c>
      <c r="B455" s="49">
        <v>31656</v>
      </c>
      <c r="D455" s="3">
        <v>56.01867</v>
      </c>
      <c r="E455" s="3">
        <v>6.018278E-8</v>
      </c>
      <c r="F455" s="3">
        <v>52.146430000000002</v>
      </c>
      <c r="G455" s="3">
        <v>68.511189999999999</v>
      </c>
      <c r="H455" s="3">
        <v>12.80917</v>
      </c>
      <c r="J455" s="3">
        <v>3.1557110000000002</v>
      </c>
      <c r="K455" s="3">
        <v>3.7494649999999998</v>
      </c>
      <c r="M455" s="3">
        <v>58.58361</v>
      </c>
      <c r="N455" s="3">
        <v>53.453670000000002</v>
      </c>
      <c r="P455" s="3">
        <v>39.459699999999998</v>
      </c>
      <c r="S455" s="3">
        <v>53.527470000000001</v>
      </c>
      <c r="T455" s="3">
        <v>59.87724</v>
      </c>
      <c r="V455" s="3">
        <v>52.044559999999997</v>
      </c>
      <c r="W455" s="3">
        <v>44.629910000000002</v>
      </c>
      <c r="X455" s="3">
        <v>16.767119999999998</v>
      </c>
      <c r="Y455" s="3">
        <v>4.4024150000000004</v>
      </c>
      <c r="Z455" s="3">
        <v>7.1855510000000002</v>
      </c>
      <c r="AA455" s="3">
        <v>11.37412</v>
      </c>
      <c r="AB455" s="3">
        <v>75.155749999999998</v>
      </c>
      <c r="AC455" s="3">
        <v>37.355629999999998</v>
      </c>
      <c r="AD455" s="3">
        <v>15.979900000000001</v>
      </c>
      <c r="AE455" s="3">
        <v>41.931049999999999</v>
      </c>
      <c r="AF455" s="3">
        <v>85.9</v>
      </c>
      <c r="AG455" s="3">
        <v>32.277239999999999</v>
      </c>
      <c r="AI455" s="3">
        <v>54.567920000000001</v>
      </c>
      <c r="AK455" s="3">
        <v>1.4771749999999999</v>
      </c>
      <c r="AL455" s="3">
        <v>56.862589999999997</v>
      </c>
      <c r="AM455" s="3">
        <v>48.6</v>
      </c>
      <c r="AN455" s="3">
        <v>32.42353</v>
      </c>
      <c r="AO455" s="3">
        <v>26.184480000000001</v>
      </c>
      <c r="AQ455" s="3">
        <v>29.268509999999999</v>
      </c>
      <c r="AU455" s="3">
        <v>6.3595800000000001E-3</v>
      </c>
      <c r="AV455" s="3">
        <v>51.486240000000002</v>
      </c>
      <c r="AW455" s="3">
        <v>8.1921749999999995E-3</v>
      </c>
      <c r="AX455" s="3">
        <v>46.49456</v>
      </c>
      <c r="AY455" s="3">
        <v>11.77505</v>
      </c>
    </row>
    <row r="456" spans="1:51" x14ac:dyDescent="0.2">
      <c r="A456" s="3" t="s">
        <v>353</v>
      </c>
      <c r="B456" s="49">
        <v>31686</v>
      </c>
      <c r="D456" s="3">
        <v>55.955269999999999</v>
      </c>
      <c r="E456" s="3">
        <v>6.132813E-8</v>
      </c>
      <c r="F456" s="3">
        <v>52.462470000000003</v>
      </c>
      <c r="G456" s="3">
        <v>68.527979999999999</v>
      </c>
      <c r="H456" s="3">
        <v>13.00367</v>
      </c>
      <c r="J456" s="3">
        <v>3.225838</v>
      </c>
      <c r="K456" s="3">
        <v>3.746451</v>
      </c>
      <c r="M456" s="3">
        <v>58.387900000000002</v>
      </c>
      <c r="N456" s="3">
        <v>53.558</v>
      </c>
      <c r="P456" s="3">
        <v>39.60716</v>
      </c>
      <c r="S456" s="3">
        <v>53.630699999999997</v>
      </c>
      <c r="T456" s="3">
        <v>60.024270000000001</v>
      </c>
      <c r="V456" s="3">
        <v>52.10521</v>
      </c>
      <c r="W456" s="3">
        <v>44.720709999999997</v>
      </c>
      <c r="X456" s="3">
        <v>17.220870000000001</v>
      </c>
      <c r="Y456" s="3">
        <v>4.4232209999999998</v>
      </c>
      <c r="Z456" s="3">
        <v>7.3292619999999999</v>
      </c>
      <c r="AA456" s="3">
        <v>11.523440000000001</v>
      </c>
      <c r="AB456" s="3">
        <v>75.554450000000003</v>
      </c>
      <c r="AC456" s="3">
        <v>37.449129999999997</v>
      </c>
      <c r="AD456" s="3">
        <v>16.381910000000001</v>
      </c>
      <c r="AE456" s="3">
        <v>42.12809</v>
      </c>
      <c r="AF456" s="3">
        <v>86</v>
      </c>
      <c r="AG456" s="3">
        <v>31.965689999999999</v>
      </c>
      <c r="AI456" s="3">
        <v>54.636069999999997</v>
      </c>
      <c r="AK456" s="3">
        <v>1.561612</v>
      </c>
      <c r="AL456" s="3">
        <v>57.033340000000003</v>
      </c>
      <c r="AM456" s="3">
        <v>48.8</v>
      </c>
      <c r="AN456" s="3">
        <v>32.672289999999997</v>
      </c>
      <c r="AO456" s="3">
        <v>26.345400000000001</v>
      </c>
      <c r="AQ456" s="3">
        <v>29.454609999999999</v>
      </c>
      <c r="AU456" s="3">
        <v>6.7613059999999999E-3</v>
      </c>
      <c r="AV456" s="3">
        <v>51.671340000000001</v>
      </c>
      <c r="AW456" s="3">
        <v>8.7935019999999999E-3</v>
      </c>
      <c r="AX456" s="3">
        <v>46.536749999999998</v>
      </c>
      <c r="AY456" s="3">
        <v>11.913040000000001</v>
      </c>
    </row>
    <row r="457" spans="1:51" x14ac:dyDescent="0.2">
      <c r="A457" s="3" t="s">
        <v>354</v>
      </c>
      <c r="B457" s="49">
        <v>31717</v>
      </c>
      <c r="D457" s="3">
        <v>55.912999999999997</v>
      </c>
      <c r="E457" s="3">
        <v>6.4671919999999999E-8</v>
      </c>
      <c r="F457" s="3">
        <v>52.6995</v>
      </c>
      <c r="G457" s="3">
        <v>68.69744</v>
      </c>
      <c r="H457" s="3">
        <v>13.18656</v>
      </c>
      <c r="J457" s="3">
        <v>3.2842769999999999</v>
      </c>
      <c r="K457" s="3">
        <v>3.7916620000000001</v>
      </c>
      <c r="M457" s="3">
        <v>58.322659999999999</v>
      </c>
      <c r="N457" s="3">
        <v>53.697110000000002</v>
      </c>
      <c r="P457" s="3">
        <v>39.516289999999998</v>
      </c>
      <c r="S457" s="3">
        <v>53.579090000000001</v>
      </c>
      <c r="T457" s="3">
        <v>60.097790000000003</v>
      </c>
      <c r="V457" s="3">
        <v>52.151420000000002</v>
      </c>
      <c r="W457" s="3">
        <v>45.083930000000002</v>
      </c>
      <c r="X457" s="3">
        <v>17.350519999999999</v>
      </c>
      <c r="Y457" s="3">
        <v>4.4523479999999998</v>
      </c>
      <c r="Z457" s="3">
        <v>7.366752</v>
      </c>
      <c r="AA457" s="3">
        <v>11.639989999999999</v>
      </c>
      <c r="AB457" s="3">
        <v>75.853480000000005</v>
      </c>
      <c r="AC457" s="3">
        <v>37.495890000000003</v>
      </c>
      <c r="AD457" s="3">
        <v>16.783919999999998</v>
      </c>
      <c r="AE457" s="3">
        <v>42.325139999999998</v>
      </c>
      <c r="AF457" s="3">
        <v>85.6</v>
      </c>
      <c r="AG457" s="3">
        <v>31.903780000000001</v>
      </c>
      <c r="AI457" s="3">
        <v>54.646549999999998</v>
      </c>
      <c r="AK457" s="3">
        <v>1.667117</v>
      </c>
      <c r="AL457" s="3">
        <v>57.090260000000001</v>
      </c>
      <c r="AM457" s="3">
        <v>49</v>
      </c>
      <c r="AN457" s="3">
        <v>32.876390000000001</v>
      </c>
      <c r="AO457" s="3">
        <v>26.435179999999999</v>
      </c>
      <c r="AQ457" s="3">
        <v>29.7044</v>
      </c>
      <c r="AU457" s="3">
        <v>7.1400780000000002E-3</v>
      </c>
      <c r="AV457" s="3">
        <v>51.68092</v>
      </c>
      <c r="AW457" s="3">
        <v>8.993773E-3</v>
      </c>
      <c r="AX457" s="3">
        <v>46.578940000000003</v>
      </c>
      <c r="AY457" s="3">
        <v>12.051030000000001</v>
      </c>
    </row>
    <row r="458" spans="1:51" x14ac:dyDescent="0.2">
      <c r="A458" s="3" t="s">
        <v>355</v>
      </c>
      <c r="B458" s="49">
        <v>31747</v>
      </c>
      <c r="D458" s="3">
        <v>55.955269999999999</v>
      </c>
      <c r="E458" s="3">
        <v>7.2206299999999995E-8</v>
      </c>
      <c r="F458" s="3">
        <v>52.778509999999997</v>
      </c>
      <c r="G458" s="3">
        <v>68.834689999999995</v>
      </c>
      <c r="H458" s="3">
        <v>13.38724</v>
      </c>
      <c r="J458" s="3">
        <v>3.3660920000000001</v>
      </c>
      <c r="K458" s="3">
        <v>3.8700269999999999</v>
      </c>
      <c r="M458" s="3">
        <v>58.387900000000002</v>
      </c>
      <c r="N458" s="3">
        <v>53.662329999999997</v>
      </c>
      <c r="P458" s="3">
        <v>39.684980000000003</v>
      </c>
      <c r="S458" s="3">
        <v>53.682319999999997</v>
      </c>
      <c r="T458" s="3">
        <v>60.171300000000002</v>
      </c>
      <c r="V458" s="3">
        <v>52.198720000000002</v>
      </c>
      <c r="W458" s="3">
        <v>45.220129999999997</v>
      </c>
      <c r="X458" s="3">
        <v>17.544979999999999</v>
      </c>
      <c r="Y458" s="3">
        <v>4.4856369999999997</v>
      </c>
      <c r="Z458" s="3">
        <v>7.3917450000000002</v>
      </c>
      <c r="AA458" s="3">
        <v>11.57443</v>
      </c>
      <c r="AB458" s="3">
        <v>76.351860000000002</v>
      </c>
      <c r="AC458" s="3">
        <v>37.542639999999999</v>
      </c>
      <c r="AD458" s="3">
        <v>17.085429999999999</v>
      </c>
      <c r="AE458" s="3">
        <v>42.482770000000002</v>
      </c>
      <c r="AF458" s="3">
        <v>85.4</v>
      </c>
      <c r="AG458" s="3">
        <v>31.903780000000001</v>
      </c>
      <c r="AI458" s="3">
        <v>54.615099999999998</v>
      </c>
      <c r="AK458" s="3">
        <v>1.798805</v>
      </c>
      <c r="AL458" s="3">
        <v>56.976430000000001</v>
      </c>
      <c r="AM458" s="3">
        <v>49.2</v>
      </c>
      <c r="AN458" s="3">
        <v>33.126989999999999</v>
      </c>
      <c r="AO458" s="3">
        <v>26.52627</v>
      </c>
      <c r="AQ458" s="3">
        <v>30.19802</v>
      </c>
      <c r="AU458" s="3">
        <v>7.4048889999999996E-3</v>
      </c>
      <c r="AV458" s="3">
        <v>51.808570000000003</v>
      </c>
      <c r="AW458" s="3">
        <v>9.1412879999999992E-3</v>
      </c>
      <c r="AX458" s="3">
        <v>46.621130000000001</v>
      </c>
      <c r="AY458" s="3">
        <v>12.189019999999999</v>
      </c>
    </row>
    <row r="459" spans="1:51" x14ac:dyDescent="0.2">
      <c r="A459" s="3" t="s">
        <v>356</v>
      </c>
      <c r="B459" s="49">
        <v>31778</v>
      </c>
      <c r="D459" s="3">
        <v>56.187739999999998</v>
      </c>
      <c r="E459" s="3">
        <v>8.1743700000000004E-8</v>
      </c>
      <c r="F459" s="3">
        <v>52.936529999999998</v>
      </c>
      <c r="G459" s="3">
        <v>69.232929999999996</v>
      </c>
      <c r="H459" s="3">
        <v>13.653420000000001</v>
      </c>
      <c r="J459" s="3">
        <v>3.4829699999999999</v>
      </c>
      <c r="K459" s="3">
        <v>3.9725039999999998</v>
      </c>
      <c r="M459" s="3">
        <v>58.714089999999999</v>
      </c>
      <c r="N459" s="3">
        <v>53.766669999999998</v>
      </c>
      <c r="P459" s="3">
        <v>39.989159999999998</v>
      </c>
      <c r="S459" s="3">
        <v>54.353349999999999</v>
      </c>
      <c r="T459" s="3">
        <v>60.722659999999998</v>
      </c>
      <c r="V459" s="3">
        <v>52.448039999999999</v>
      </c>
      <c r="W459" s="3">
        <v>45.401739999999997</v>
      </c>
      <c r="X459" s="3">
        <v>17.761050000000001</v>
      </c>
      <c r="Y459" s="3">
        <v>4.5605359999999999</v>
      </c>
      <c r="Z459" s="3">
        <v>7.4167379999999996</v>
      </c>
      <c r="AA459" s="3">
        <v>11.57443</v>
      </c>
      <c r="AB459" s="3">
        <v>76.650890000000004</v>
      </c>
      <c r="AC459" s="3">
        <v>37.542639999999999</v>
      </c>
      <c r="AD459" s="3">
        <v>17.487439999999999</v>
      </c>
      <c r="AE459" s="3">
        <v>42.719230000000003</v>
      </c>
      <c r="AF459" s="3">
        <v>85.1</v>
      </c>
      <c r="AG459" s="3">
        <v>32.028269999999999</v>
      </c>
      <c r="AI459" s="3">
        <v>54.698970000000003</v>
      </c>
      <c r="AK459" s="3">
        <v>1.9444520000000001</v>
      </c>
      <c r="AL459" s="3">
        <v>56.236469999999997</v>
      </c>
      <c r="AM459" s="3">
        <v>49.9</v>
      </c>
      <c r="AN459" s="3">
        <v>33.416820000000001</v>
      </c>
      <c r="AO459" s="3">
        <v>26.712540000000001</v>
      </c>
      <c r="AQ459" s="3">
        <v>30.652819999999998</v>
      </c>
      <c r="AU459" s="3">
        <v>7.8787630000000004E-3</v>
      </c>
      <c r="AV459" s="3">
        <v>52.284080000000003</v>
      </c>
      <c r="AW459" s="3">
        <v>9.4101940000000002E-3</v>
      </c>
      <c r="AX459" s="3">
        <v>46.916469999999997</v>
      </c>
      <c r="AY459" s="3">
        <v>12.32701</v>
      </c>
    </row>
    <row r="460" spans="1:51" x14ac:dyDescent="0.2">
      <c r="A460" s="3" t="s">
        <v>357</v>
      </c>
      <c r="B460" s="49">
        <v>31809</v>
      </c>
      <c r="D460" s="3">
        <v>56.300449999999998</v>
      </c>
      <c r="E460" s="3">
        <v>9.2073630000000002E-8</v>
      </c>
      <c r="F460" s="3">
        <v>53.173560000000002</v>
      </c>
      <c r="G460" s="3">
        <v>69.436179999999993</v>
      </c>
      <c r="H460" s="3">
        <v>13.88969</v>
      </c>
      <c r="J460" s="3">
        <v>3.5530970000000002</v>
      </c>
      <c r="K460" s="3">
        <v>3.9745140000000001</v>
      </c>
      <c r="M460" s="3">
        <v>58.779330000000002</v>
      </c>
      <c r="N460" s="3">
        <v>53.73189</v>
      </c>
      <c r="P460" s="3">
        <v>40.159480000000002</v>
      </c>
      <c r="S460" s="3">
        <v>54.559820000000002</v>
      </c>
      <c r="T460" s="3">
        <v>60.832929999999998</v>
      </c>
      <c r="V460" s="3">
        <v>52.601059999999997</v>
      </c>
      <c r="W460" s="3">
        <v>45.583350000000003</v>
      </c>
      <c r="X460" s="3">
        <v>17.847480000000001</v>
      </c>
      <c r="Y460" s="3">
        <v>4.589664</v>
      </c>
      <c r="Z460" s="3">
        <v>7.5229590000000002</v>
      </c>
      <c r="AA460" s="3">
        <v>11.541650000000001</v>
      </c>
      <c r="AB460" s="3">
        <v>76.650890000000004</v>
      </c>
      <c r="AC460" s="3">
        <v>37.519260000000003</v>
      </c>
      <c r="AD460" s="3">
        <v>17.58794</v>
      </c>
      <c r="AE460" s="3">
        <v>42.955680000000001</v>
      </c>
      <c r="AF460" s="3">
        <v>85.1</v>
      </c>
      <c r="AG460" s="3">
        <v>32.090179999999997</v>
      </c>
      <c r="AI460" s="3">
        <v>54.78284</v>
      </c>
      <c r="AK460" s="3">
        <v>2.084759</v>
      </c>
      <c r="AL460" s="3">
        <v>56.293390000000002</v>
      </c>
      <c r="AM460" s="3">
        <v>50.4</v>
      </c>
      <c r="AN460" s="3">
        <v>33.630960000000002</v>
      </c>
      <c r="AO460" s="3">
        <v>26.827719999999999</v>
      </c>
      <c r="AQ460" s="3">
        <v>31.007110000000001</v>
      </c>
      <c r="AU460" s="3">
        <v>8.4444589999999996E-3</v>
      </c>
      <c r="AV460" s="3">
        <v>52.450040000000001</v>
      </c>
      <c r="AW460" s="3">
        <v>9.6642470000000008E-3</v>
      </c>
      <c r="AX460" s="3">
        <v>47.085230000000003</v>
      </c>
      <c r="AY460" s="3">
        <v>12.51099</v>
      </c>
    </row>
    <row r="461" spans="1:51" x14ac:dyDescent="0.2">
      <c r="A461" s="3" t="s">
        <v>358</v>
      </c>
      <c r="B461" s="49">
        <v>31837</v>
      </c>
      <c r="D461" s="3">
        <v>56.356810000000003</v>
      </c>
      <c r="E461" s="3">
        <v>1.071478E-7</v>
      </c>
      <c r="F461" s="3">
        <v>53.331580000000002</v>
      </c>
      <c r="G461" s="3">
        <v>69.533180000000002</v>
      </c>
      <c r="H461" s="3">
        <v>14.11755</v>
      </c>
      <c r="J461" s="3">
        <v>3.6465990000000001</v>
      </c>
      <c r="K461" s="3">
        <v>4.0398180000000004</v>
      </c>
      <c r="M461" s="3">
        <v>58.779330000000002</v>
      </c>
      <c r="N461" s="3">
        <v>54.218780000000002</v>
      </c>
      <c r="P461" s="3">
        <v>40.392919999999997</v>
      </c>
      <c r="S461" s="3">
        <v>54.869529999999997</v>
      </c>
      <c r="T461" s="3">
        <v>60.906440000000003</v>
      </c>
      <c r="V461" s="3">
        <v>52.772269999999999</v>
      </c>
      <c r="W461" s="3">
        <v>45.674149999999997</v>
      </c>
      <c r="X461" s="3">
        <v>18.40926</v>
      </c>
      <c r="Y461" s="3">
        <v>4.6063080000000003</v>
      </c>
      <c r="Z461" s="3">
        <v>7.5042140000000002</v>
      </c>
      <c r="AA461" s="3">
        <v>11.541650000000001</v>
      </c>
      <c r="AB461" s="3">
        <v>76.05283</v>
      </c>
      <c r="AC461" s="3">
        <v>37.659520000000001</v>
      </c>
      <c r="AD461" s="3">
        <v>17.88945</v>
      </c>
      <c r="AE461" s="3">
        <v>43.073909999999998</v>
      </c>
      <c r="AF461" s="3">
        <v>85.4</v>
      </c>
      <c r="AG461" s="3">
        <v>32.339820000000003</v>
      </c>
      <c r="AI461" s="3">
        <v>54.767110000000002</v>
      </c>
      <c r="AK461" s="3">
        <v>2.222534</v>
      </c>
      <c r="AL461" s="3">
        <v>56.407229999999998</v>
      </c>
      <c r="AM461" s="3">
        <v>50.9</v>
      </c>
      <c r="AN461" s="3">
        <v>33.874549999999999</v>
      </c>
      <c r="AO461" s="3">
        <v>26.954350000000002</v>
      </c>
      <c r="AQ461" s="3">
        <v>31.425090000000001</v>
      </c>
      <c r="AU461" s="3">
        <v>9.3717100000000001E-3</v>
      </c>
      <c r="AV461" s="3">
        <v>52.555349999999997</v>
      </c>
      <c r="AW461" s="3">
        <v>1.0025350000000001E-2</v>
      </c>
      <c r="AX461" s="3">
        <v>47.29618</v>
      </c>
      <c r="AY461" s="3">
        <v>12.694979999999999</v>
      </c>
    </row>
    <row r="462" spans="1:51" x14ac:dyDescent="0.2">
      <c r="A462" s="3" t="s">
        <v>359</v>
      </c>
      <c r="B462" s="49">
        <v>31868</v>
      </c>
      <c r="D462" s="3">
        <v>56.617460000000001</v>
      </c>
      <c r="E462" s="3">
        <v>1.276122E-7</v>
      </c>
      <c r="F462" s="3">
        <v>53.647620000000003</v>
      </c>
      <c r="G462" s="3">
        <v>69.620040000000003</v>
      </c>
      <c r="H462" s="3">
        <v>14.45046</v>
      </c>
      <c r="J462" s="3">
        <v>3.7284139999999999</v>
      </c>
      <c r="K462" s="3">
        <v>4.12622</v>
      </c>
      <c r="M462" s="3">
        <v>58.909799999999997</v>
      </c>
      <c r="N462" s="3">
        <v>54.42745</v>
      </c>
      <c r="P462" s="3">
        <v>40.484340000000003</v>
      </c>
      <c r="S462" s="3">
        <v>55.12762</v>
      </c>
      <c r="T462" s="3">
        <v>61.237259999999999</v>
      </c>
      <c r="V462" s="3">
        <v>53.082979999999999</v>
      </c>
      <c r="W462" s="3">
        <v>46.218980000000002</v>
      </c>
      <c r="X462" s="3">
        <v>18.798190000000002</v>
      </c>
      <c r="Y462" s="3">
        <v>4.6687240000000001</v>
      </c>
      <c r="Z462" s="3">
        <v>7.5104629999999997</v>
      </c>
      <c r="AA462" s="3">
        <v>11.62542</v>
      </c>
      <c r="AB462" s="3">
        <v>76.750559999999993</v>
      </c>
      <c r="AC462" s="3">
        <v>37.729649999999999</v>
      </c>
      <c r="AD462" s="3">
        <v>18.190950000000001</v>
      </c>
      <c r="AE462" s="3">
        <v>43.231540000000003</v>
      </c>
      <c r="AF462" s="3">
        <v>86.2</v>
      </c>
      <c r="AG462" s="3">
        <v>32.526890000000002</v>
      </c>
      <c r="AI462" s="3">
        <v>54.630830000000003</v>
      </c>
      <c r="AK462" s="3">
        <v>2.416995</v>
      </c>
      <c r="AL462" s="3">
        <v>56.521070000000002</v>
      </c>
      <c r="AM462" s="3">
        <v>51.1</v>
      </c>
      <c r="AN462" s="3">
        <v>34.222740000000002</v>
      </c>
      <c r="AO462" s="3">
        <v>27.111350000000002</v>
      </c>
      <c r="AQ462" s="3">
        <v>31.583320000000001</v>
      </c>
      <c r="AU462" s="3">
        <v>9.9677419999999999E-3</v>
      </c>
      <c r="AV462" s="3">
        <v>52.69258</v>
      </c>
      <c r="AW462" s="3">
        <v>1.0235350000000001E-2</v>
      </c>
      <c r="AX462" s="3">
        <v>47.549329999999998</v>
      </c>
      <c r="AY462" s="3">
        <v>12.878970000000001</v>
      </c>
    </row>
    <row r="463" spans="1:51" x14ac:dyDescent="0.2">
      <c r="A463" s="3" t="s">
        <v>360</v>
      </c>
      <c r="B463" s="49">
        <v>31898</v>
      </c>
      <c r="D463" s="3">
        <v>56.64564</v>
      </c>
      <c r="E463" s="3">
        <v>1.549868E-7</v>
      </c>
      <c r="F463" s="3">
        <v>53.963659999999997</v>
      </c>
      <c r="G463" s="3">
        <v>69.234229999999997</v>
      </c>
      <c r="H463" s="3">
        <v>14.669169999999999</v>
      </c>
      <c r="J463" s="3">
        <v>3.7985410000000002</v>
      </c>
      <c r="K463" s="3">
        <v>4.1724350000000001</v>
      </c>
      <c r="M463" s="3">
        <v>58.909799999999997</v>
      </c>
      <c r="N463" s="3">
        <v>54.949120000000001</v>
      </c>
      <c r="P463" s="3">
        <v>40.434269999999998</v>
      </c>
      <c r="S463" s="3">
        <v>55.179229999999997</v>
      </c>
      <c r="T463" s="3">
        <v>61.347529999999999</v>
      </c>
      <c r="V463" s="3">
        <v>53.234650000000002</v>
      </c>
      <c r="W463" s="3">
        <v>46.26437</v>
      </c>
      <c r="X463" s="3">
        <v>18.92784</v>
      </c>
      <c r="Y463" s="3">
        <v>4.7311399999999999</v>
      </c>
      <c r="Z463" s="3">
        <v>7.6541730000000001</v>
      </c>
      <c r="AA463" s="3">
        <v>11.82573</v>
      </c>
      <c r="AB463" s="3">
        <v>77.348619999999997</v>
      </c>
      <c r="AC463" s="3">
        <v>37.729649999999999</v>
      </c>
      <c r="AD463" s="3">
        <v>18.391960000000001</v>
      </c>
      <c r="AE463" s="3">
        <v>43.42859</v>
      </c>
      <c r="AF463" s="3">
        <v>86.4</v>
      </c>
      <c r="AG463" s="3">
        <v>33.024850000000001</v>
      </c>
      <c r="AI463" s="3">
        <v>54.55744</v>
      </c>
      <c r="AK463" s="3">
        <v>2.5992090000000001</v>
      </c>
      <c r="AL463" s="3">
        <v>56.464149999999997</v>
      </c>
      <c r="AM463" s="3">
        <v>51.2</v>
      </c>
      <c r="AN463" s="3">
        <v>34.482309999999998</v>
      </c>
      <c r="AO463" s="3">
        <v>27.220590000000001</v>
      </c>
      <c r="AQ463" s="3">
        <v>31.617159999999998</v>
      </c>
      <c r="AU463" s="3">
        <v>1.027191E-2</v>
      </c>
      <c r="AV463" s="3">
        <v>52.734070000000003</v>
      </c>
      <c r="AW463" s="3">
        <v>1.0740390000000001E-2</v>
      </c>
      <c r="AX463" s="3">
        <v>47.7181</v>
      </c>
      <c r="AY463" s="3">
        <v>12.97096</v>
      </c>
    </row>
    <row r="464" spans="1:51" x14ac:dyDescent="0.2">
      <c r="A464" s="3" t="s">
        <v>361</v>
      </c>
      <c r="B464" s="49">
        <v>31929</v>
      </c>
      <c r="D464" s="3">
        <v>56.709040000000002</v>
      </c>
      <c r="E464" s="3">
        <v>1.8553690000000001E-7</v>
      </c>
      <c r="F464" s="3">
        <v>54.121670000000002</v>
      </c>
      <c r="G464" s="3">
        <v>69.455259999999996</v>
      </c>
      <c r="H464" s="3">
        <v>14.77173</v>
      </c>
      <c r="J464" s="3">
        <v>3.821917</v>
      </c>
      <c r="K464" s="3">
        <v>4.1895150000000001</v>
      </c>
      <c r="M464" s="3">
        <v>58.97504</v>
      </c>
      <c r="N464" s="3">
        <v>54.914340000000003</v>
      </c>
      <c r="P464" s="3">
        <v>40.444070000000004</v>
      </c>
      <c r="S464" s="3">
        <v>55.3857</v>
      </c>
      <c r="T464" s="3">
        <v>61.457799999999999</v>
      </c>
      <c r="V464" s="3">
        <v>53.346400000000003</v>
      </c>
      <c r="W464" s="3">
        <v>46.26437</v>
      </c>
      <c r="X464" s="3">
        <v>19.38158</v>
      </c>
      <c r="Y464" s="3">
        <v>4.726979</v>
      </c>
      <c r="Z464" s="3">
        <v>7.6729180000000001</v>
      </c>
      <c r="AA464" s="3">
        <v>12.02969</v>
      </c>
      <c r="AB464" s="3">
        <v>78.046350000000004</v>
      </c>
      <c r="AC464" s="3">
        <v>37.70628</v>
      </c>
      <c r="AD464" s="3">
        <v>18.492460000000001</v>
      </c>
      <c r="AE464" s="3">
        <v>43.586219999999997</v>
      </c>
      <c r="AF464" s="3">
        <v>86.2</v>
      </c>
      <c r="AG464" s="3">
        <v>32.994219999999999</v>
      </c>
      <c r="AI464" s="3">
        <v>54.489289999999997</v>
      </c>
      <c r="AK464" s="3">
        <v>2.7872430000000001</v>
      </c>
      <c r="AL464" s="3">
        <v>56.464149999999997</v>
      </c>
      <c r="AM464" s="3">
        <v>51.5</v>
      </c>
      <c r="AN464" s="3">
        <v>34.688920000000003</v>
      </c>
      <c r="AO464" s="3">
        <v>27.270790000000002</v>
      </c>
      <c r="AQ464" s="3">
        <v>31.53257</v>
      </c>
      <c r="AU464" s="3">
        <v>1.1368049999999999E-2</v>
      </c>
      <c r="AV464" s="3">
        <v>52.63832</v>
      </c>
      <c r="AW464" s="3">
        <v>1.072912E-2</v>
      </c>
      <c r="AX464" s="3">
        <v>47.886859999999999</v>
      </c>
      <c r="AY464" s="3">
        <v>13.10895</v>
      </c>
    </row>
    <row r="465" spans="1:51" x14ac:dyDescent="0.2">
      <c r="A465" s="3" t="s">
        <v>362</v>
      </c>
      <c r="B465" s="49">
        <v>31959</v>
      </c>
      <c r="D465" s="3">
        <v>56.906289999999998</v>
      </c>
      <c r="E465" s="3">
        <v>2.0262490000000001E-7</v>
      </c>
      <c r="F465" s="3">
        <v>54.437710000000003</v>
      </c>
      <c r="G465" s="3">
        <v>69.473150000000004</v>
      </c>
      <c r="H465" s="3">
        <v>15.019880000000001</v>
      </c>
      <c r="J465" s="3">
        <v>3.8803559999999999</v>
      </c>
      <c r="K465" s="3">
        <v>4.2025759999999996</v>
      </c>
      <c r="M465" s="3">
        <v>58.97504</v>
      </c>
      <c r="N465" s="3">
        <v>54.914340000000003</v>
      </c>
      <c r="P465" s="3">
        <v>40.853819999999999</v>
      </c>
      <c r="S465" s="3">
        <v>55.334090000000003</v>
      </c>
      <c r="T465" s="3">
        <v>61.604819999999997</v>
      </c>
      <c r="V465" s="3">
        <v>53.409030000000001</v>
      </c>
      <c r="W465" s="3">
        <v>46.218980000000002</v>
      </c>
      <c r="X465" s="3">
        <v>18.992660000000001</v>
      </c>
      <c r="Y465" s="3">
        <v>4.8060390000000002</v>
      </c>
      <c r="Z465" s="3">
        <v>7.7041599999999999</v>
      </c>
      <c r="AA465" s="3">
        <v>12.17901</v>
      </c>
      <c r="AB465" s="3">
        <v>78.544730000000001</v>
      </c>
      <c r="AC465" s="3">
        <v>37.729649999999999</v>
      </c>
      <c r="AD465" s="3">
        <v>18.592960000000001</v>
      </c>
      <c r="AE465" s="3">
        <v>43.665039999999998</v>
      </c>
      <c r="AF465" s="3">
        <v>85.8</v>
      </c>
      <c r="AG465" s="3">
        <v>32.900359999999999</v>
      </c>
      <c r="AI465" s="3">
        <v>54.489289999999997</v>
      </c>
      <c r="AK465" s="3">
        <v>3.012988</v>
      </c>
      <c r="AL465" s="3">
        <v>56.464149999999997</v>
      </c>
      <c r="AM465" s="3">
        <v>51.6</v>
      </c>
      <c r="AN465" s="3">
        <v>34.927160000000001</v>
      </c>
      <c r="AO465" s="3">
        <v>27.339379999999998</v>
      </c>
      <c r="AQ465" s="3">
        <v>31.630089999999999</v>
      </c>
      <c r="AU465" s="3">
        <v>1.232891E-2</v>
      </c>
      <c r="AV465" s="3">
        <v>53.270209999999999</v>
      </c>
      <c r="AW465" s="3">
        <v>1.093451E-2</v>
      </c>
      <c r="AX465" s="3">
        <v>48.013440000000003</v>
      </c>
      <c r="AY465" s="3">
        <v>13.200939999999999</v>
      </c>
    </row>
    <row r="466" spans="1:51" x14ac:dyDescent="0.2">
      <c r="A466" s="3" t="s">
        <v>363</v>
      </c>
      <c r="B466" s="49">
        <v>31990</v>
      </c>
      <c r="D466" s="3">
        <v>57.082410000000003</v>
      </c>
      <c r="E466" s="3">
        <v>2.1249350000000001E-7</v>
      </c>
      <c r="F466" s="3">
        <v>54.516719999999999</v>
      </c>
      <c r="G466" s="3">
        <v>69.743290000000002</v>
      </c>
      <c r="H466" s="3">
        <v>15.234640000000001</v>
      </c>
      <c r="J466" s="3">
        <v>3.9037310000000001</v>
      </c>
      <c r="K466" s="3">
        <v>4.2286970000000004</v>
      </c>
      <c r="M466" s="3">
        <v>58.909799999999997</v>
      </c>
      <c r="N466" s="3">
        <v>55.088230000000003</v>
      </c>
      <c r="P466" s="3">
        <v>40.835859999999997</v>
      </c>
      <c r="S466" s="3">
        <v>55.488939999999999</v>
      </c>
      <c r="T466" s="3">
        <v>61.751849999999997</v>
      </c>
      <c r="V466" s="3">
        <v>53.58952</v>
      </c>
      <c r="W466" s="3">
        <v>46.355179999999997</v>
      </c>
      <c r="X466" s="3">
        <v>18.884620000000002</v>
      </c>
      <c r="Y466" s="3">
        <v>4.814362</v>
      </c>
      <c r="Z466" s="3">
        <v>7.7478980000000002</v>
      </c>
      <c r="AA466" s="3">
        <v>12.382960000000001</v>
      </c>
      <c r="AB466" s="3">
        <v>78.943439999999995</v>
      </c>
      <c r="AC466" s="3">
        <v>37.693680000000001</v>
      </c>
      <c r="AD466" s="3">
        <v>18.793970000000002</v>
      </c>
      <c r="AE466" s="3">
        <v>43.822670000000002</v>
      </c>
      <c r="AF466" s="3">
        <v>85.9</v>
      </c>
      <c r="AG466" s="3">
        <v>33.367690000000003</v>
      </c>
      <c r="AI466" s="3">
        <v>54.672759999999997</v>
      </c>
      <c r="AK466" s="3">
        <v>3.2592379999999999</v>
      </c>
      <c r="AL466" s="3">
        <v>56.634909999999998</v>
      </c>
      <c r="AM466" s="3">
        <v>51.7</v>
      </c>
      <c r="AN466" s="3">
        <v>35.231929999999998</v>
      </c>
      <c r="AO466" s="3">
        <v>27.41403</v>
      </c>
      <c r="AQ466" s="3">
        <v>31.96846</v>
      </c>
      <c r="AU466" s="3">
        <v>1.3908759999999999E-2</v>
      </c>
      <c r="AV466" s="3">
        <v>53.544670000000004</v>
      </c>
      <c r="AW466" s="3">
        <v>1.112198E-2</v>
      </c>
      <c r="AX466" s="3">
        <v>48.266579999999998</v>
      </c>
      <c r="AY466" s="3">
        <v>13.43092</v>
      </c>
    </row>
    <row r="467" spans="1:51" x14ac:dyDescent="0.2">
      <c r="A467" s="3" t="s">
        <v>364</v>
      </c>
      <c r="B467" s="49">
        <v>32021</v>
      </c>
      <c r="D467" s="3">
        <v>56.983780000000003</v>
      </c>
      <c r="E467" s="3">
        <v>2.2902779999999999E-7</v>
      </c>
      <c r="F467" s="3">
        <v>54.516719999999999</v>
      </c>
      <c r="G467" s="3">
        <v>69.577510000000004</v>
      </c>
      <c r="H467" s="3">
        <v>15.52454</v>
      </c>
      <c r="J467" s="3">
        <v>3.9504830000000002</v>
      </c>
      <c r="K467" s="3">
        <v>4.2789320000000002</v>
      </c>
      <c r="M467" s="3">
        <v>58.844560000000001</v>
      </c>
      <c r="N467" s="3">
        <v>55.401229999999998</v>
      </c>
      <c r="P467" s="3">
        <v>41.212409999999998</v>
      </c>
      <c r="S467" s="3">
        <v>55.798650000000002</v>
      </c>
      <c r="T467" s="3">
        <v>61.788609999999998</v>
      </c>
      <c r="V467" s="3">
        <v>53.82076</v>
      </c>
      <c r="W467" s="3">
        <v>46.491379999999999</v>
      </c>
      <c r="X467" s="3">
        <v>19.230340000000002</v>
      </c>
      <c r="Y467" s="3">
        <v>4.8476499999999998</v>
      </c>
      <c r="Z467" s="3">
        <v>7.8041330000000002</v>
      </c>
      <c r="AA467" s="3">
        <v>12.53229</v>
      </c>
      <c r="AB467" s="3">
        <v>78.744079999999997</v>
      </c>
      <c r="AC467" s="3">
        <v>37.902160000000002</v>
      </c>
      <c r="AD467" s="3">
        <v>18.994969999999999</v>
      </c>
      <c r="AE467" s="3">
        <v>44.09854</v>
      </c>
      <c r="AF467" s="3">
        <v>86.6</v>
      </c>
      <c r="AG467" s="3">
        <v>33.586039999999997</v>
      </c>
      <c r="AI467" s="3">
        <v>54.74615</v>
      </c>
      <c r="AK467" s="3">
        <v>3.4739559999999998</v>
      </c>
      <c r="AL467" s="3">
        <v>56.805669999999999</v>
      </c>
      <c r="AM467" s="3">
        <v>52.4</v>
      </c>
      <c r="AN467" s="3">
        <v>35.556190000000001</v>
      </c>
      <c r="AO467" s="3">
        <v>27.53736</v>
      </c>
      <c r="AQ467" s="3">
        <v>32.057029999999997</v>
      </c>
      <c r="AU467" s="3">
        <v>1.5409910000000001E-2</v>
      </c>
      <c r="AV467" s="3">
        <v>54.045720000000003</v>
      </c>
      <c r="AW467" s="3">
        <v>1.1447229999999999E-2</v>
      </c>
      <c r="AX467" s="3">
        <v>48.519730000000003</v>
      </c>
      <c r="AY467" s="3">
        <v>13.61491</v>
      </c>
    </row>
    <row r="468" spans="1:51" x14ac:dyDescent="0.2">
      <c r="A468" s="3" t="s">
        <v>365</v>
      </c>
      <c r="B468" s="49">
        <v>32051</v>
      </c>
      <c r="D468" s="3">
        <v>56.920380000000002</v>
      </c>
      <c r="E468" s="3">
        <v>2.5472510000000002E-7</v>
      </c>
      <c r="F468" s="3">
        <v>54.67474</v>
      </c>
      <c r="G468" s="3">
        <v>69.884320000000002</v>
      </c>
      <c r="H468" s="3">
        <v>15.898960000000001</v>
      </c>
      <c r="J468" s="3">
        <v>4.0206090000000003</v>
      </c>
      <c r="K468" s="3">
        <v>4.3110809999999997</v>
      </c>
      <c r="M468" s="3">
        <v>58.909799999999997</v>
      </c>
      <c r="N468" s="3">
        <v>55.644680000000001</v>
      </c>
      <c r="P468" s="3">
        <v>41.457279999999997</v>
      </c>
      <c r="S468" s="3">
        <v>55.901879999999998</v>
      </c>
      <c r="T468" s="3">
        <v>61.935639999999999</v>
      </c>
      <c r="V468" s="3">
        <v>53.964230000000001</v>
      </c>
      <c r="W468" s="3">
        <v>46.718389999999999</v>
      </c>
      <c r="X468" s="3">
        <v>19.835329999999999</v>
      </c>
      <c r="Y468" s="3">
        <v>4.8851000000000004</v>
      </c>
      <c r="Z468" s="3">
        <v>7.9103539999999999</v>
      </c>
      <c r="AA468" s="3">
        <v>12.616059999999999</v>
      </c>
      <c r="AB468" s="3">
        <v>78.943439999999995</v>
      </c>
      <c r="AC468" s="3">
        <v>38.360819999999997</v>
      </c>
      <c r="AD468" s="3">
        <v>19.296479999999999</v>
      </c>
      <c r="AE468" s="3">
        <v>44.453220000000002</v>
      </c>
      <c r="AF468" s="3">
        <v>86.6</v>
      </c>
      <c r="AG468" s="3">
        <v>33.617330000000003</v>
      </c>
      <c r="AI468" s="3">
        <v>54.751390000000001</v>
      </c>
      <c r="AK468" s="3">
        <v>3.7634599999999998</v>
      </c>
      <c r="AL468" s="3">
        <v>56.919510000000002</v>
      </c>
      <c r="AM468" s="3">
        <v>52.5</v>
      </c>
      <c r="AN468" s="3">
        <v>35.920679999999997</v>
      </c>
      <c r="AO468" s="3">
        <v>27.73302</v>
      </c>
      <c r="AQ468" s="3">
        <v>32.415300000000002</v>
      </c>
      <c r="AU468" s="3">
        <v>1.68717E-2</v>
      </c>
      <c r="AV468" s="3">
        <v>54.294640000000001</v>
      </c>
      <c r="AW468" s="3">
        <v>1.199682E-2</v>
      </c>
      <c r="AX468" s="3">
        <v>48.646299999999997</v>
      </c>
      <c r="AY468" s="3">
        <v>13.7529</v>
      </c>
    </row>
    <row r="469" spans="1:51" x14ac:dyDescent="0.2">
      <c r="A469" s="3" t="s">
        <v>366</v>
      </c>
      <c r="B469" s="49">
        <v>32082</v>
      </c>
      <c r="D469" s="3">
        <v>56.751309999999997</v>
      </c>
      <c r="E469" s="3">
        <v>2.9313519999999999E-7</v>
      </c>
      <c r="F469" s="3">
        <v>54.911769999999997</v>
      </c>
      <c r="G469" s="3">
        <v>70.138540000000006</v>
      </c>
      <c r="H469" s="3">
        <v>16.205909999999999</v>
      </c>
      <c r="J469" s="3">
        <v>4.1024240000000001</v>
      </c>
      <c r="K469" s="3">
        <v>4.4105439999999998</v>
      </c>
      <c r="M469" s="3">
        <v>58.909799999999997</v>
      </c>
      <c r="N469" s="3">
        <v>55.818570000000001</v>
      </c>
      <c r="P469" s="3">
        <v>41.362050000000004</v>
      </c>
      <c r="S469" s="3">
        <v>55.798650000000002</v>
      </c>
      <c r="T469" s="3">
        <v>62.009149999999998</v>
      </c>
      <c r="V469" s="3">
        <v>54.001080000000002</v>
      </c>
      <c r="W469" s="3">
        <v>46.945399999999999</v>
      </c>
      <c r="X469" s="3">
        <v>20.008189999999999</v>
      </c>
      <c r="Y469" s="3">
        <v>4.9225500000000002</v>
      </c>
      <c r="Z469" s="3">
        <v>8.0478159999999992</v>
      </c>
      <c r="AA469" s="3">
        <v>12.699820000000001</v>
      </c>
      <c r="AB469" s="3">
        <v>79.342140000000001</v>
      </c>
      <c r="AC469" s="3">
        <v>38.610999999999997</v>
      </c>
      <c r="AD469" s="3">
        <v>19.597989999999999</v>
      </c>
      <c r="AE469" s="3">
        <v>44.610849999999999</v>
      </c>
      <c r="AF469" s="3">
        <v>86.2</v>
      </c>
      <c r="AG469" s="3">
        <v>33.554749999999999</v>
      </c>
      <c r="AI469" s="3">
        <v>54.866709999999998</v>
      </c>
      <c r="AK469" s="3">
        <v>4.0619800000000001</v>
      </c>
      <c r="AL469" s="3">
        <v>56.862589999999997</v>
      </c>
      <c r="AM469" s="3">
        <v>52.6</v>
      </c>
      <c r="AN469" s="3">
        <v>36.218440000000001</v>
      </c>
      <c r="AO469" s="3">
        <v>27.887049999999999</v>
      </c>
      <c r="AQ469" s="3">
        <v>32.53472</v>
      </c>
      <c r="AU469" s="3">
        <v>1.9750199999999999E-2</v>
      </c>
      <c r="AV469" s="3">
        <v>54.460590000000003</v>
      </c>
      <c r="AW469" s="3">
        <v>1.2746169999999999E-2</v>
      </c>
      <c r="AX469" s="3">
        <v>48.688490000000002</v>
      </c>
      <c r="AY469" s="3">
        <v>13.890879999999999</v>
      </c>
    </row>
    <row r="470" spans="1:51" x14ac:dyDescent="0.2">
      <c r="A470" s="3" t="s">
        <v>367</v>
      </c>
      <c r="B470" s="49">
        <v>32112</v>
      </c>
      <c r="D470" s="3">
        <v>56.7654</v>
      </c>
      <c r="E470" s="3">
        <v>3.3461229999999998E-7</v>
      </c>
      <c r="F470" s="3">
        <v>54.990780000000001</v>
      </c>
      <c r="G470" s="3">
        <v>70.133579999999995</v>
      </c>
      <c r="H470" s="3">
        <v>16.259039999999999</v>
      </c>
      <c r="J470" s="3">
        <v>4.1725510000000003</v>
      </c>
      <c r="K470" s="3">
        <v>4.5059889999999996</v>
      </c>
      <c r="M470" s="3">
        <v>58.97504</v>
      </c>
      <c r="N470" s="3">
        <v>55.853340000000003</v>
      </c>
      <c r="P470" s="3">
        <v>41.510060000000003</v>
      </c>
      <c r="S470" s="3">
        <v>55.953499999999998</v>
      </c>
      <c r="T470" s="3">
        <v>62.045909999999999</v>
      </c>
      <c r="V470" s="3">
        <v>54.008499999999998</v>
      </c>
      <c r="W470" s="3">
        <v>46.9</v>
      </c>
      <c r="X470" s="3">
        <v>20.310690000000001</v>
      </c>
      <c r="Y470" s="3">
        <v>4.9766440000000003</v>
      </c>
      <c r="Z470" s="3">
        <v>8.0790590000000009</v>
      </c>
      <c r="AA470" s="3">
        <v>12.652480000000001</v>
      </c>
      <c r="AB470" s="3">
        <v>79.541489999999996</v>
      </c>
      <c r="AC470" s="3">
        <v>38.65269</v>
      </c>
      <c r="AD470" s="3">
        <v>19.79899</v>
      </c>
      <c r="AE470" s="3">
        <v>44.68967</v>
      </c>
      <c r="AF470" s="3">
        <v>86.1</v>
      </c>
      <c r="AG470" s="3">
        <v>33.83502</v>
      </c>
      <c r="AI470" s="3">
        <v>54.971550000000001</v>
      </c>
      <c r="AK470" s="3">
        <v>4.6619279999999996</v>
      </c>
      <c r="AL470" s="3">
        <v>56.691830000000003</v>
      </c>
      <c r="AM470" s="3">
        <v>52.8</v>
      </c>
      <c r="AN470" s="3">
        <v>36.792050000000003</v>
      </c>
      <c r="AO470" s="3">
        <v>28.136869999999998</v>
      </c>
      <c r="AQ470" s="3">
        <v>32.977580000000003</v>
      </c>
      <c r="AU470" s="3">
        <v>2.0993089999999999E-2</v>
      </c>
      <c r="AV470" s="3">
        <v>54.46378</v>
      </c>
      <c r="AW470" s="3">
        <v>1.4173679999999999E-2</v>
      </c>
      <c r="AX470" s="3">
        <v>48.688490000000002</v>
      </c>
      <c r="AY470" s="3">
        <v>13.98288</v>
      </c>
    </row>
    <row r="471" spans="1:51" x14ac:dyDescent="0.2">
      <c r="A471" s="3" t="s">
        <v>368</v>
      </c>
      <c r="B471" s="49">
        <v>32143</v>
      </c>
      <c r="D471" s="3">
        <v>56.723129999999998</v>
      </c>
      <c r="E471" s="3">
        <v>3.978186E-7</v>
      </c>
      <c r="F471" s="3">
        <v>55.069789999999998</v>
      </c>
      <c r="G471" s="3">
        <v>70.312669999999997</v>
      </c>
      <c r="H471" s="3">
        <v>16.376940000000001</v>
      </c>
      <c r="J471" s="3">
        <v>4.312805</v>
      </c>
      <c r="K471" s="3">
        <v>4.5753120000000003</v>
      </c>
      <c r="M471" s="3">
        <v>59.235990000000001</v>
      </c>
      <c r="N471" s="3">
        <v>56.096789999999999</v>
      </c>
      <c r="P471" s="3">
        <v>41.773429999999998</v>
      </c>
      <c r="S471" s="3">
        <v>56.62453</v>
      </c>
      <c r="T471" s="3">
        <v>62.156179999999999</v>
      </c>
      <c r="V471" s="3">
        <v>54.119419999999998</v>
      </c>
      <c r="W471" s="3">
        <v>46.9</v>
      </c>
      <c r="X471" s="3">
        <v>20.289079999999998</v>
      </c>
      <c r="Y471" s="3">
        <v>5.3719450000000002</v>
      </c>
      <c r="Z471" s="3">
        <v>8.1040519999999994</v>
      </c>
      <c r="AA471" s="3">
        <v>12.66704</v>
      </c>
      <c r="AB471" s="3">
        <v>79.541489999999996</v>
      </c>
      <c r="AC471" s="3">
        <v>38.77778</v>
      </c>
      <c r="AD471" s="3">
        <v>20.1005</v>
      </c>
      <c r="AE471" s="3">
        <v>44.926119999999997</v>
      </c>
      <c r="AF471" s="3">
        <v>85.9</v>
      </c>
      <c r="AG471" s="3">
        <v>34.022089999999999</v>
      </c>
      <c r="AI471" s="3">
        <v>55.044930000000001</v>
      </c>
      <c r="AK471" s="3">
        <v>5.3827720000000001</v>
      </c>
      <c r="AL471" s="3">
        <v>56.35031</v>
      </c>
      <c r="AM471" s="3">
        <v>53.5</v>
      </c>
      <c r="AN471" s="3">
        <v>37.15072</v>
      </c>
      <c r="AO471" s="3">
        <v>28.310659999999999</v>
      </c>
      <c r="AQ471" s="3">
        <v>33.450290000000003</v>
      </c>
      <c r="AU471" s="3">
        <v>2.157682E-2</v>
      </c>
      <c r="AV471" s="3">
        <v>54.760579999999997</v>
      </c>
      <c r="AW471" s="3">
        <v>1.502189E-2</v>
      </c>
      <c r="AX471" s="3">
        <v>48.815060000000003</v>
      </c>
      <c r="AY471" s="3">
        <v>14.074870000000001</v>
      </c>
    </row>
    <row r="472" spans="1:51" x14ac:dyDescent="0.2">
      <c r="A472" s="3" t="s">
        <v>369</v>
      </c>
      <c r="B472" s="49">
        <v>32174</v>
      </c>
      <c r="D472" s="3">
        <v>56.87811</v>
      </c>
      <c r="E472" s="3">
        <v>4.602758E-7</v>
      </c>
      <c r="F472" s="3">
        <v>55.306820000000002</v>
      </c>
      <c r="G472" s="3">
        <v>70.656139999999994</v>
      </c>
      <c r="H472" s="3">
        <v>16.43805</v>
      </c>
      <c r="J472" s="3">
        <v>4.4764340000000002</v>
      </c>
      <c r="K472" s="3">
        <v>4.7501259999999998</v>
      </c>
      <c r="M472" s="3">
        <v>59.36647</v>
      </c>
      <c r="N472" s="3">
        <v>56.548900000000003</v>
      </c>
      <c r="P472" s="3">
        <v>41.887700000000002</v>
      </c>
      <c r="S472" s="3">
        <v>56.779380000000003</v>
      </c>
      <c r="T472" s="3">
        <v>62.266449999999999</v>
      </c>
      <c r="V472" s="3">
        <v>54.227429999999998</v>
      </c>
      <c r="W472" s="3">
        <v>47</v>
      </c>
      <c r="X472" s="3">
        <v>20.224260000000001</v>
      </c>
      <c r="Y472" s="3">
        <v>5.4052340000000001</v>
      </c>
      <c r="Z472" s="3">
        <v>8.1477900000000005</v>
      </c>
      <c r="AA472" s="3">
        <v>12.60149</v>
      </c>
      <c r="AB472" s="3">
        <v>79.940190000000001</v>
      </c>
      <c r="AC472" s="3">
        <v>38.861179999999997</v>
      </c>
      <c r="AD472" s="3">
        <v>20.30151</v>
      </c>
      <c r="AE472" s="3">
        <v>45.123170000000002</v>
      </c>
      <c r="AF472" s="3">
        <v>85.7</v>
      </c>
      <c r="AG472" s="3">
        <v>34.582619999999999</v>
      </c>
      <c r="AI472" s="3">
        <v>55.086869999999998</v>
      </c>
      <c r="AK472" s="3">
        <v>5.8317360000000003</v>
      </c>
      <c r="AL472" s="3">
        <v>56.464149999999997</v>
      </c>
      <c r="AM472" s="3">
        <v>53.8</v>
      </c>
      <c r="AN472" s="3">
        <v>37.401850000000003</v>
      </c>
      <c r="AO472" s="3">
        <v>28.44462</v>
      </c>
      <c r="AQ472" s="3">
        <v>33.913060000000002</v>
      </c>
      <c r="AU472" s="3">
        <v>2.281644E-2</v>
      </c>
      <c r="AV472" s="3">
        <v>55.169080000000001</v>
      </c>
      <c r="AW472" s="3">
        <v>1.5583049999999999E-2</v>
      </c>
      <c r="AX472" s="3">
        <v>48.94164</v>
      </c>
      <c r="AY472" s="3">
        <v>14.16686</v>
      </c>
    </row>
    <row r="473" spans="1:51" x14ac:dyDescent="0.2">
      <c r="A473" s="3" t="s">
        <v>370</v>
      </c>
      <c r="B473" s="49">
        <v>32203</v>
      </c>
      <c r="D473" s="3">
        <v>56.899250000000002</v>
      </c>
      <c r="E473" s="3">
        <v>5.4128670000000004E-7</v>
      </c>
      <c r="F473" s="3">
        <v>55.622860000000003</v>
      </c>
      <c r="G473" s="3">
        <v>70.819730000000007</v>
      </c>
      <c r="H473" s="3">
        <v>16.747450000000001</v>
      </c>
      <c r="J473" s="3">
        <v>4.6050000000000004</v>
      </c>
      <c r="K473" s="3">
        <v>4.8375329999999996</v>
      </c>
      <c r="M473" s="3">
        <v>59.36647</v>
      </c>
      <c r="N473" s="3">
        <v>56.757570000000001</v>
      </c>
      <c r="P473" s="3">
        <v>42.191339999999997</v>
      </c>
      <c r="S473" s="3">
        <v>57.089080000000003</v>
      </c>
      <c r="T473" s="3">
        <v>62.450240000000001</v>
      </c>
      <c r="V473" s="3">
        <v>54.426839999999999</v>
      </c>
      <c r="W473" s="3">
        <v>47.2</v>
      </c>
      <c r="X473" s="3">
        <v>20.829260000000001</v>
      </c>
      <c r="Y473" s="3">
        <v>5.4260390000000003</v>
      </c>
      <c r="Z473" s="3">
        <v>8.1540370000000006</v>
      </c>
      <c r="AA473" s="3">
        <v>12.66704</v>
      </c>
      <c r="AB473" s="3">
        <v>79.840519999999998</v>
      </c>
      <c r="AC473" s="3">
        <v>38.819479999999999</v>
      </c>
      <c r="AD473" s="3">
        <v>20.603020000000001</v>
      </c>
      <c r="AE473" s="3">
        <v>45.320210000000003</v>
      </c>
      <c r="AF473" s="3">
        <v>86</v>
      </c>
      <c r="AG473" s="3">
        <v>35.081240000000001</v>
      </c>
      <c r="AI473" s="3">
        <v>55.191699999999997</v>
      </c>
      <c r="AK473" s="3">
        <v>6.1303679999999998</v>
      </c>
      <c r="AL473" s="3">
        <v>56.748739999999998</v>
      </c>
      <c r="AM473" s="3">
        <v>54.6</v>
      </c>
      <c r="AN473" s="3">
        <v>37.683100000000003</v>
      </c>
      <c r="AO473" s="3">
        <v>28.63335</v>
      </c>
      <c r="AQ473" s="3">
        <v>34.14096</v>
      </c>
      <c r="AU473" s="3">
        <v>2.451271E-2</v>
      </c>
      <c r="AV473" s="3">
        <v>55.417999999999999</v>
      </c>
      <c r="AW473" s="3">
        <v>1.644638E-2</v>
      </c>
      <c r="AX473" s="3">
        <v>49.152589999999996</v>
      </c>
      <c r="AY473" s="3">
        <v>14.396839999999999</v>
      </c>
    </row>
    <row r="474" spans="1:51" x14ac:dyDescent="0.2">
      <c r="A474" s="3" t="s">
        <v>371</v>
      </c>
      <c r="B474" s="49">
        <v>32234</v>
      </c>
      <c r="D474" s="3">
        <v>57.1599</v>
      </c>
      <c r="E474" s="3">
        <v>6.4569880000000001E-7</v>
      </c>
      <c r="F474" s="3">
        <v>55.780880000000003</v>
      </c>
      <c r="G474" s="3">
        <v>70.954999999999998</v>
      </c>
      <c r="H474" s="3">
        <v>16.877320000000001</v>
      </c>
      <c r="J474" s="3">
        <v>4.7920059999999998</v>
      </c>
      <c r="K474" s="3">
        <v>4.9249409999999996</v>
      </c>
      <c r="M474" s="3">
        <v>59.496940000000002</v>
      </c>
      <c r="N474" s="3">
        <v>56.966239999999999</v>
      </c>
      <c r="P474" s="3">
        <v>42.044420000000002</v>
      </c>
      <c r="S474" s="3">
        <v>57.502029999999998</v>
      </c>
      <c r="T474" s="3">
        <v>62.744289999999999</v>
      </c>
      <c r="V474" s="3">
        <v>54.705350000000003</v>
      </c>
      <c r="W474" s="3">
        <v>47.8</v>
      </c>
      <c r="X474" s="3">
        <v>21.239799999999999</v>
      </c>
      <c r="Y474" s="3">
        <v>5.4593280000000002</v>
      </c>
      <c r="Z474" s="3">
        <v>8.2102730000000008</v>
      </c>
      <c r="AA474" s="3">
        <v>12.834580000000001</v>
      </c>
      <c r="AB474" s="3">
        <v>80.338899999999995</v>
      </c>
      <c r="AC474" s="3">
        <v>39.194749999999999</v>
      </c>
      <c r="AD474" s="3">
        <v>21.206029999999998</v>
      </c>
      <c r="AE474" s="3">
        <v>45.43844</v>
      </c>
      <c r="AF474" s="3">
        <v>86.5</v>
      </c>
      <c r="AG474" s="3">
        <v>35.019329999999997</v>
      </c>
      <c r="AI474" s="3">
        <v>55.165500000000002</v>
      </c>
      <c r="AK474" s="3">
        <v>6.3190559999999998</v>
      </c>
      <c r="AL474" s="3">
        <v>56.862589999999997</v>
      </c>
      <c r="AM474" s="3">
        <v>54.7</v>
      </c>
      <c r="AN474" s="3">
        <v>37.967680000000001</v>
      </c>
      <c r="AO474" s="3">
        <v>28.852979999999999</v>
      </c>
      <c r="AQ474" s="3">
        <v>34.268340000000002</v>
      </c>
      <c r="AU474" s="3">
        <v>2.5854800000000001E-2</v>
      </c>
      <c r="AV474" s="3">
        <v>55.912660000000002</v>
      </c>
      <c r="AW474" s="3">
        <v>1.747158E-2</v>
      </c>
      <c r="AX474" s="3">
        <v>49.405740000000002</v>
      </c>
      <c r="AY474" s="3">
        <v>14.534829999999999</v>
      </c>
    </row>
    <row r="475" spans="1:51" x14ac:dyDescent="0.2">
      <c r="A475" s="3" t="s">
        <v>372</v>
      </c>
      <c r="B475" s="49">
        <v>32264</v>
      </c>
      <c r="D475" s="3">
        <v>57.209209999999999</v>
      </c>
      <c r="E475" s="3">
        <v>7.5817710000000005E-7</v>
      </c>
      <c r="F475" s="3">
        <v>56.096919999999997</v>
      </c>
      <c r="G475" s="3">
        <v>70.782660000000007</v>
      </c>
      <c r="H475" s="3">
        <v>16.95562</v>
      </c>
      <c r="J475" s="3">
        <v>4.8738200000000003</v>
      </c>
      <c r="K475" s="3">
        <v>4.9550809999999998</v>
      </c>
      <c r="M475" s="3">
        <v>59.627420000000001</v>
      </c>
      <c r="N475" s="3">
        <v>57.453130000000002</v>
      </c>
      <c r="P475" s="3">
        <v>42.04224</v>
      </c>
      <c r="S475" s="3">
        <v>57.96658</v>
      </c>
      <c r="T475" s="3">
        <v>62.89132</v>
      </c>
      <c r="V475" s="3">
        <v>54.863320000000002</v>
      </c>
      <c r="W475" s="3">
        <v>48</v>
      </c>
      <c r="X475" s="3">
        <v>21.30462</v>
      </c>
      <c r="Y475" s="3">
        <v>5.434361</v>
      </c>
      <c r="Z475" s="3">
        <v>8.2852530000000009</v>
      </c>
      <c r="AA475" s="3">
        <v>12.969329999999999</v>
      </c>
      <c r="AB475" s="3">
        <v>81.036630000000002</v>
      </c>
      <c r="AC475" s="3">
        <v>39.528320000000001</v>
      </c>
      <c r="AD475" s="3">
        <v>21.507539999999999</v>
      </c>
      <c r="AE475" s="3">
        <v>45.596069999999997</v>
      </c>
      <c r="AF475" s="3">
        <v>86.5</v>
      </c>
      <c r="AG475" s="3">
        <v>35.205730000000003</v>
      </c>
      <c r="AI475" s="3">
        <v>55.228400000000001</v>
      </c>
      <c r="AK475" s="3">
        <v>6.4413169999999997</v>
      </c>
      <c r="AL475" s="3">
        <v>56.919510000000002</v>
      </c>
      <c r="AM475" s="3">
        <v>54.8</v>
      </c>
      <c r="AN475" s="3">
        <v>38.13026</v>
      </c>
      <c r="AO475" s="3">
        <v>28.979150000000001</v>
      </c>
      <c r="AQ475" s="3">
        <v>34.383780000000002</v>
      </c>
      <c r="AU475" s="3">
        <v>2.7538779999999999E-2</v>
      </c>
      <c r="AV475" s="3">
        <v>56.113720000000001</v>
      </c>
      <c r="AW475" s="3">
        <v>1.8075910000000001E-2</v>
      </c>
      <c r="AX475" s="3">
        <v>49.5745</v>
      </c>
      <c r="AY475" s="3">
        <v>14.67282</v>
      </c>
    </row>
    <row r="476" spans="1:51" x14ac:dyDescent="0.2">
      <c r="A476" s="3" t="s">
        <v>373</v>
      </c>
      <c r="B476" s="49">
        <v>32295</v>
      </c>
      <c r="D476" s="3">
        <v>57.307830000000003</v>
      </c>
      <c r="E476" s="3">
        <v>9.2497569999999998E-7</v>
      </c>
      <c r="F476" s="3">
        <v>56.254939999999998</v>
      </c>
      <c r="G476" s="3">
        <v>70.892780000000002</v>
      </c>
      <c r="H476" s="3">
        <v>17.05875</v>
      </c>
      <c r="J476" s="3">
        <v>4.9906980000000001</v>
      </c>
      <c r="K476" s="3">
        <v>5.0183759999999999</v>
      </c>
      <c r="M476" s="3">
        <v>59.692659999999997</v>
      </c>
      <c r="N476" s="3">
        <v>57.418349999999997</v>
      </c>
      <c r="P476" s="3">
        <v>42.205489999999998</v>
      </c>
      <c r="S476" s="3">
        <v>58.276290000000003</v>
      </c>
      <c r="T476" s="3">
        <v>63.075110000000002</v>
      </c>
      <c r="V476" s="3">
        <v>55.025539999999999</v>
      </c>
      <c r="W476" s="3">
        <v>48.2</v>
      </c>
      <c r="X476" s="3">
        <v>21.671939999999999</v>
      </c>
      <c r="Y476" s="3">
        <v>5.3594619999999997</v>
      </c>
      <c r="Z476" s="3">
        <v>8.3164940000000005</v>
      </c>
      <c r="AA476" s="3">
        <v>13.15508</v>
      </c>
      <c r="AB476" s="3">
        <v>81.734359999999995</v>
      </c>
      <c r="AC476" s="3">
        <v>39.653410000000001</v>
      </c>
      <c r="AD476" s="3">
        <v>21.507539999999999</v>
      </c>
      <c r="AE476" s="3">
        <v>45.753709999999998</v>
      </c>
      <c r="AF476" s="3">
        <v>86.4</v>
      </c>
      <c r="AG476" s="3">
        <v>35.424079999999996</v>
      </c>
      <c r="AI476" s="3">
        <v>55.333240000000004</v>
      </c>
      <c r="AK476" s="3">
        <v>6.5727229999999999</v>
      </c>
      <c r="AL476" s="3">
        <v>56.862589999999997</v>
      </c>
      <c r="AM476" s="3">
        <v>55.1</v>
      </c>
      <c r="AN476" s="3">
        <v>38.286700000000003</v>
      </c>
      <c r="AO476" s="3">
        <v>29.0778</v>
      </c>
      <c r="AQ476" s="3">
        <v>34.56391</v>
      </c>
      <c r="AU476" s="3">
        <v>3.3657319999999998E-2</v>
      </c>
      <c r="AV476" s="3">
        <v>56.250950000000003</v>
      </c>
      <c r="AW476" s="3">
        <v>1.8237779999999999E-2</v>
      </c>
      <c r="AX476" s="3">
        <v>49.78546</v>
      </c>
      <c r="AY476" s="3">
        <v>14.718819999999999</v>
      </c>
    </row>
    <row r="477" spans="1:51" x14ac:dyDescent="0.2">
      <c r="A477" s="3" t="s">
        <v>374</v>
      </c>
      <c r="B477" s="49">
        <v>32325</v>
      </c>
      <c r="D477" s="3">
        <v>57.48395</v>
      </c>
      <c r="E477" s="3">
        <v>1.127639E-6</v>
      </c>
      <c r="F477" s="3">
        <v>56.570979999999999</v>
      </c>
      <c r="G477" s="3">
        <v>70.731290000000001</v>
      </c>
      <c r="H477" s="3">
        <v>17.081669999999999</v>
      </c>
      <c r="J477" s="3">
        <v>5.0608250000000004</v>
      </c>
      <c r="K477" s="3">
        <v>5.0716239999999999</v>
      </c>
      <c r="M477" s="3">
        <v>59.692659999999997</v>
      </c>
      <c r="N477" s="3">
        <v>57.174900000000001</v>
      </c>
      <c r="P477" s="3">
        <v>42.762700000000002</v>
      </c>
      <c r="S477" s="3">
        <v>58.276290000000003</v>
      </c>
      <c r="T477" s="3">
        <v>63.295650000000002</v>
      </c>
      <c r="V477" s="3">
        <v>55.157670000000003</v>
      </c>
      <c r="W477" s="3">
        <v>48.2</v>
      </c>
      <c r="X477" s="3">
        <v>21.499079999999999</v>
      </c>
      <c r="Y477" s="3">
        <v>5.5175830000000001</v>
      </c>
      <c r="Z477" s="3">
        <v>8.4102180000000004</v>
      </c>
      <c r="AA477" s="3">
        <v>13.3736</v>
      </c>
      <c r="AB477" s="3">
        <v>82.232740000000007</v>
      </c>
      <c r="AC477" s="3">
        <v>39.903590000000001</v>
      </c>
      <c r="AD477" s="3">
        <v>21.507539999999999</v>
      </c>
      <c r="AE477" s="3">
        <v>45.832529999999998</v>
      </c>
      <c r="AF477" s="3">
        <v>86.2</v>
      </c>
      <c r="AG477" s="3">
        <v>35.486660000000001</v>
      </c>
      <c r="AI477" s="3">
        <v>55.563879999999997</v>
      </c>
      <c r="AK477" s="3">
        <v>6.6824320000000004</v>
      </c>
      <c r="AL477" s="3">
        <v>56.976430000000001</v>
      </c>
      <c r="AM477" s="3">
        <v>55.1</v>
      </c>
      <c r="AN477" s="3">
        <v>38.442520000000002</v>
      </c>
      <c r="AO477" s="3">
        <v>29.17043</v>
      </c>
      <c r="AQ477" s="3">
        <v>34.847540000000002</v>
      </c>
      <c r="AU477" s="3">
        <v>3.6344790000000002E-2</v>
      </c>
      <c r="AV477" s="3">
        <v>56.522210000000001</v>
      </c>
      <c r="AW477" s="3">
        <v>1.8529159999999999E-2</v>
      </c>
      <c r="AX477" s="3">
        <v>49.996409999999997</v>
      </c>
      <c r="AY477" s="3">
        <v>14.902799999999999</v>
      </c>
    </row>
    <row r="478" spans="1:51" x14ac:dyDescent="0.2">
      <c r="A478" s="3" t="s">
        <v>375</v>
      </c>
      <c r="B478" s="49">
        <v>32356</v>
      </c>
      <c r="D478" s="3">
        <v>57.60371</v>
      </c>
      <c r="E478" s="3">
        <v>1.371095E-6</v>
      </c>
      <c r="F478" s="3">
        <v>56.649990000000003</v>
      </c>
      <c r="G478" s="3">
        <v>70.978059999999999</v>
      </c>
      <c r="H478" s="3">
        <v>17.219180000000001</v>
      </c>
      <c r="J478" s="3">
        <v>5.0491380000000001</v>
      </c>
      <c r="K478" s="3">
        <v>5.1208530000000003</v>
      </c>
      <c r="M478" s="3">
        <v>59.627420000000001</v>
      </c>
      <c r="N478" s="3">
        <v>57.557459999999999</v>
      </c>
      <c r="P478" s="3">
        <v>43.185499999999998</v>
      </c>
      <c r="S478" s="3">
        <v>58.379519999999999</v>
      </c>
      <c r="T478" s="3">
        <v>63.479430000000001</v>
      </c>
      <c r="V478" s="3">
        <v>55.349310000000003</v>
      </c>
      <c r="W478" s="3">
        <v>48.5</v>
      </c>
      <c r="X478" s="3">
        <v>21.520689999999998</v>
      </c>
      <c r="Y478" s="3">
        <v>5.5342269999999996</v>
      </c>
      <c r="Z478" s="3">
        <v>8.4414599999999993</v>
      </c>
      <c r="AA478" s="3">
        <v>13.457369999999999</v>
      </c>
      <c r="AB478" s="3">
        <v>82.332419999999999</v>
      </c>
      <c r="AC478" s="3">
        <v>39.903590000000001</v>
      </c>
      <c r="AD478" s="3">
        <v>21.708539999999999</v>
      </c>
      <c r="AE478" s="3">
        <v>46.02957</v>
      </c>
      <c r="AF478" s="3">
        <v>86.5</v>
      </c>
      <c r="AG478" s="3">
        <v>35.67306</v>
      </c>
      <c r="AI478" s="3">
        <v>55.642510000000001</v>
      </c>
      <c r="AK478" s="3">
        <v>6.7439080000000002</v>
      </c>
      <c r="AL478" s="3">
        <v>57.147179999999999</v>
      </c>
      <c r="AM478" s="3">
        <v>55.1</v>
      </c>
      <c r="AN478" s="3">
        <v>38.612679999999997</v>
      </c>
      <c r="AO478" s="3">
        <v>29.306370000000001</v>
      </c>
      <c r="AQ478" s="3">
        <v>35.30433</v>
      </c>
      <c r="AU478" s="3">
        <v>4.0139880000000003E-2</v>
      </c>
      <c r="AV478" s="3">
        <v>56.63391</v>
      </c>
      <c r="AW478" s="3">
        <v>1.897161E-2</v>
      </c>
      <c r="AX478" s="3">
        <v>50.207369999999997</v>
      </c>
      <c r="AY478" s="3">
        <v>15.086790000000001</v>
      </c>
    </row>
    <row r="479" spans="1:51" x14ac:dyDescent="0.2">
      <c r="A479" s="3" t="s">
        <v>376</v>
      </c>
      <c r="B479" s="49">
        <v>32387</v>
      </c>
      <c r="D479" s="3">
        <v>57.667110000000001</v>
      </c>
      <c r="E479" s="3">
        <v>1.747461E-6</v>
      </c>
      <c r="F479" s="3">
        <v>56.728999999999999</v>
      </c>
      <c r="G479" s="3">
        <v>70.996440000000007</v>
      </c>
      <c r="H479" s="3">
        <v>17.381519999999998</v>
      </c>
      <c r="J479" s="3">
        <v>5.0958889999999997</v>
      </c>
      <c r="K479" s="3">
        <v>5.2092650000000003</v>
      </c>
      <c r="M479" s="3">
        <v>59.692659999999997</v>
      </c>
      <c r="N479" s="3">
        <v>57.870460000000001</v>
      </c>
      <c r="P479" s="3">
        <v>43.564779999999999</v>
      </c>
      <c r="S479" s="3">
        <v>58.947319999999998</v>
      </c>
      <c r="T479" s="3">
        <v>63.626460000000002</v>
      </c>
      <c r="V479" s="3">
        <v>55.642829999999996</v>
      </c>
      <c r="W479" s="3">
        <v>48.7</v>
      </c>
      <c r="X479" s="3">
        <v>22.082470000000001</v>
      </c>
      <c r="Y479" s="3">
        <v>5.5924829999999996</v>
      </c>
      <c r="Z479" s="3">
        <v>8.4414599999999993</v>
      </c>
      <c r="AA479" s="3">
        <v>13.55935</v>
      </c>
      <c r="AB479" s="3">
        <v>81.933719999999994</v>
      </c>
      <c r="AC479" s="3">
        <v>39.69511</v>
      </c>
      <c r="AD479" s="3">
        <v>22.11055</v>
      </c>
      <c r="AE479" s="3">
        <v>46.266030000000001</v>
      </c>
      <c r="AF479" s="3">
        <v>87.1</v>
      </c>
      <c r="AG479" s="3">
        <v>35.766930000000002</v>
      </c>
      <c r="AI479" s="3">
        <v>55.721130000000002</v>
      </c>
      <c r="AK479" s="3">
        <v>6.782464</v>
      </c>
      <c r="AL479" s="3">
        <v>57.31794</v>
      </c>
      <c r="AM479" s="3">
        <v>55.8</v>
      </c>
      <c r="AN479" s="3">
        <v>38.869720000000001</v>
      </c>
      <c r="AO479" s="3">
        <v>29.52861</v>
      </c>
      <c r="AQ479" s="3">
        <v>35.665590000000002</v>
      </c>
      <c r="AU479" s="3">
        <v>4.6169059999999998E-2</v>
      </c>
      <c r="AV479" s="3">
        <v>57.06474</v>
      </c>
      <c r="AW479" s="3">
        <v>2.0093940000000001E-2</v>
      </c>
      <c r="AX479" s="3">
        <v>50.544899999999998</v>
      </c>
      <c r="AY479" s="3">
        <v>15.270770000000001</v>
      </c>
    </row>
    <row r="480" spans="1:51" x14ac:dyDescent="0.2">
      <c r="A480" s="3" t="s">
        <v>377</v>
      </c>
      <c r="B480" s="49">
        <v>32417</v>
      </c>
      <c r="D480" s="3">
        <v>57.68824</v>
      </c>
      <c r="E480" s="3">
        <v>2.1951599999999999E-6</v>
      </c>
      <c r="F480" s="3">
        <v>57.04504</v>
      </c>
      <c r="G480" s="3">
        <v>71.109840000000005</v>
      </c>
      <c r="H480" s="3">
        <v>17.64508</v>
      </c>
      <c r="J480" s="3">
        <v>5.1660159999999999</v>
      </c>
      <c r="K480" s="3">
        <v>5.3659949999999998</v>
      </c>
      <c r="M480" s="3">
        <v>59.757890000000003</v>
      </c>
      <c r="N480" s="3">
        <v>57.974800000000002</v>
      </c>
      <c r="P480" s="3">
        <v>43.613750000000003</v>
      </c>
      <c r="S480" s="3">
        <v>58.998939999999997</v>
      </c>
      <c r="T480" s="3">
        <v>63.773490000000002</v>
      </c>
      <c r="V480" s="3">
        <v>55.859380000000002</v>
      </c>
      <c r="W480" s="3">
        <v>49</v>
      </c>
      <c r="X480" s="3">
        <v>22.644259999999999</v>
      </c>
      <c r="Y480" s="3">
        <v>5.6382539999999999</v>
      </c>
      <c r="Z480" s="3">
        <v>8.4727010000000007</v>
      </c>
      <c r="AA480" s="3">
        <v>13.84707</v>
      </c>
      <c r="AB480" s="3">
        <v>82.432100000000005</v>
      </c>
      <c r="AC480" s="3">
        <v>39.57002</v>
      </c>
      <c r="AD480" s="3">
        <v>22.713570000000001</v>
      </c>
      <c r="AE480" s="3">
        <v>46.581299999999999</v>
      </c>
      <c r="AF480" s="3">
        <v>87.6</v>
      </c>
      <c r="AG480" s="3">
        <v>35.67306</v>
      </c>
      <c r="AI480" s="3">
        <v>55.841700000000003</v>
      </c>
      <c r="AK480" s="3">
        <v>6.8341979999999998</v>
      </c>
      <c r="AL480" s="3">
        <v>57.31794</v>
      </c>
      <c r="AM480" s="3">
        <v>55.8</v>
      </c>
      <c r="AN480" s="3">
        <v>39.087870000000002</v>
      </c>
      <c r="AO480" s="3">
        <v>29.741140000000001</v>
      </c>
      <c r="AQ480" s="3">
        <v>35.982059999999997</v>
      </c>
      <c r="AU480" s="3">
        <v>5.4857009999999998E-2</v>
      </c>
      <c r="AV480" s="3">
        <v>57.511539999999997</v>
      </c>
      <c r="AW480" s="3">
        <v>2.1216260000000001E-2</v>
      </c>
      <c r="AX480" s="3">
        <v>50.713659999999997</v>
      </c>
      <c r="AY480" s="3">
        <v>15.45476</v>
      </c>
    </row>
    <row r="481" spans="1:51" x14ac:dyDescent="0.2">
      <c r="A481" s="3" t="s">
        <v>378</v>
      </c>
      <c r="B481" s="49">
        <v>32448</v>
      </c>
      <c r="D481" s="3">
        <v>57.645969999999998</v>
      </c>
      <c r="E481" s="3">
        <v>2.80849E-6</v>
      </c>
      <c r="F481" s="3">
        <v>57.124049999999997</v>
      </c>
      <c r="G481" s="3">
        <v>71.371030000000005</v>
      </c>
      <c r="H481" s="3">
        <v>17.979299999999999</v>
      </c>
      <c r="J481" s="3">
        <v>5.2361430000000002</v>
      </c>
      <c r="K481" s="3">
        <v>5.4363229999999998</v>
      </c>
      <c r="M481" s="3">
        <v>59.953609999999998</v>
      </c>
      <c r="N481" s="3">
        <v>58.392130000000002</v>
      </c>
      <c r="P481" s="3">
        <v>43.589260000000003</v>
      </c>
      <c r="S481" s="3">
        <v>59.102170000000001</v>
      </c>
      <c r="T481" s="3">
        <v>63.847009999999997</v>
      </c>
      <c r="V481" s="3">
        <v>55.929099999999998</v>
      </c>
      <c r="W481" s="3">
        <v>49.3</v>
      </c>
      <c r="X481" s="3">
        <v>22.838719999999999</v>
      </c>
      <c r="Y481" s="3">
        <v>5.6673819999999999</v>
      </c>
      <c r="Z481" s="3">
        <v>8.5101910000000007</v>
      </c>
      <c r="AA481" s="3">
        <v>13.92998</v>
      </c>
      <c r="AB481" s="3">
        <v>82.830799999999996</v>
      </c>
      <c r="AC481" s="3">
        <v>39.611710000000002</v>
      </c>
      <c r="AD481" s="3">
        <v>23.115580000000001</v>
      </c>
      <c r="AE481" s="3">
        <v>46.896569999999997</v>
      </c>
      <c r="AF481" s="3">
        <v>87.2</v>
      </c>
      <c r="AG481" s="3">
        <v>35.953989999999997</v>
      </c>
      <c r="AI481" s="3">
        <v>56.009439999999998</v>
      </c>
      <c r="AK481" s="3">
        <v>6.925656</v>
      </c>
      <c r="AL481" s="3">
        <v>57.431780000000003</v>
      </c>
      <c r="AM481" s="3">
        <v>55.8</v>
      </c>
      <c r="AN481" s="3">
        <v>39.226230000000001</v>
      </c>
      <c r="AO481" s="3">
        <v>29.953410000000002</v>
      </c>
      <c r="AQ481" s="3">
        <v>36.488610000000001</v>
      </c>
      <c r="AU481" s="3">
        <v>6.3271140000000003E-2</v>
      </c>
      <c r="AV481" s="3">
        <v>57.60089</v>
      </c>
      <c r="AW481" s="3">
        <v>2.2349379999999999E-2</v>
      </c>
      <c r="AX481" s="3">
        <v>50.755850000000002</v>
      </c>
      <c r="AY481" s="3">
        <v>15.592750000000001</v>
      </c>
    </row>
    <row r="482" spans="1:51" x14ac:dyDescent="0.2">
      <c r="A482" s="3" t="s">
        <v>379</v>
      </c>
      <c r="B482" s="49">
        <v>32478</v>
      </c>
      <c r="D482" s="3">
        <v>57.857309999999998</v>
      </c>
      <c r="E482" s="3">
        <v>3.614527E-6</v>
      </c>
      <c r="F482" s="3">
        <v>57.124049999999997</v>
      </c>
      <c r="G482" s="3">
        <v>71.500230000000002</v>
      </c>
      <c r="H482" s="3">
        <v>18.321159999999999</v>
      </c>
      <c r="J482" s="3">
        <v>5.3647080000000003</v>
      </c>
      <c r="K482" s="3">
        <v>5.6483100000000004</v>
      </c>
      <c r="M482" s="3">
        <v>60.08408</v>
      </c>
      <c r="N482" s="3">
        <v>58.392130000000002</v>
      </c>
      <c r="P482" s="3">
        <v>43.935890000000001</v>
      </c>
      <c r="S482" s="3">
        <v>59.56673</v>
      </c>
      <c r="T482" s="3">
        <v>63.957279999999997</v>
      </c>
      <c r="V482" s="3">
        <v>55.996830000000003</v>
      </c>
      <c r="W482" s="3">
        <v>49.3</v>
      </c>
      <c r="X482" s="3">
        <v>23.141220000000001</v>
      </c>
      <c r="Y482" s="3">
        <v>5.7131530000000001</v>
      </c>
      <c r="Z482" s="3">
        <v>8.5289359999999999</v>
      </c>
      <c r="AA482" s="3">
        <v>13.764150000000001</v>
      </c>
      <c r="AB482" s="3">
        <v>83.229510000000005</v>
      </c>
      <c r="AC482" s="3">
        <v>39.653410000000001</v>
      </c>
      <c r="AD482" s="3">
        <v>23.216080000000002</v>
      </c>
      <c r="AE482" s="3">
        <v>47.093609999999998</v>
      </c>
      <c r="AF482" s="3">
        <v>87</v>
      </c>
      <c r="AG482" s="3">
        <v>36.265549999999998</v>
      </c>
      <c r="AI482" s="3">
        <v>56.02516</v>
      </c>
      <c r="AK482" s="3">
        <v>7.0701580000000002</v>
      </c>
      <c r="AL482" s="3">
        <v>57.374859999999998</v>
      </c>
      <c r="AM482" s="3">
        <v>55.8</v>
      </c>
      <c r="AN482" s="3">
        <v>39.361179999999997</v>
      </c>
      <c r="AO482" s="3">
        <v>30.087160000000001</v>
      </c>
      <c r="AQ482" s="3">
        <v>36.920520000000003</v>
      </c>
      <c r="AU482" s="3">
        <v>7.1005609999999997E-2</v>
      </c>
      <c r="AV482" s="3">
        <v>57.722160000000002</v>
      </c>
      <c r="AW482" s="3">
        <v>2.289975E-2</v>
      </c>
      <c r="AX482" s="3">
        <v>50.840240000000001</v>
      </c>
      <c r="AY482" s="3">
        <v>15.730740000000001</v>
      </c>
    </row>
    <row r="483" spans="1:51" x14ac:dyDescent="0.2">
      <c r="A483" s="3" t="s">
        <v>380</v>
      </c>
      <c r="B483" s="49">
        <v>32509</v>
      </c>
      <c r="D483" s="3">
        <v>58.075699999999998</v>
      </c>
      <c r="E483" s="3">
        <v>4.9696139999999998E-6</v>
      </c>
      <c r="F483" s="3">
        <v>57.440080000000002</v>
      </c>
      <c r="G483" s="3">
        <v>71.892309999999995</v>
      </c>
      <c r="H483" s="3">
        <v>18.52552</v>
      </c>
      <c r="J483" s="3">
        <v>5.5049619999999999</v>
      </c>
      <c r="K483" s="3">
        <v>5.707586</v>
      </c>
      <c r="M483" s="3">
        <v>60.605989999999998</v>
      </c>
      <c r="N483" s="3">
        <v>58.670349999999999</v>
      </c>
      <c r="P483" s="3">
        <v>44.446300000000001</v>
      </c>
      <c r="S483" s="3">
        <v>59.897080000000003</v>
      </c>
      <c r="T483" s="3">
        <v>64.214579999999998</v>
      </c>
      <c r="V483" s="3">
        <v>56.243519999999997</v>
      </c>
      <c r="W483" s="3">
        <v>49.5</v>
      </c>
      <c r="X483" s="3">
        <v>23.141220000000001</v>
      </c>
      <c r="Y483" s="3">
        <v>6.0127509999999997</v>
      </c>
      <c r="Z483" s="3">
        <v>8.5726750000000003</v>
      </c>
      <c r="AA483" s="3">
        <v>13.681229999999999</v>
      </c>
      <c r="AB483" s="3">
        <v>83.329179999999994</v>
      </c>
      <c r="AC483" s="3">
        <v>39.69511</v>
      </c>
      <c r="AD483" s="3">
        <v>24.221109999999999</v>
      </c>
      <c r="AE483" s="3">
        <v>47.408880000000003</v>
      </c>
      <c r="AF483" s="3">
        <v>86.8</v>
      </c>
      <c r="AG483" s="3">
        <v>36.327460000000002</v>
      </c>
      <c r="AI483" s="3">
        <v>56.413060000000002</v>
      </c>
      <c r="AK483" s="3">
        <v>7.2432319999999999</v>
      </c>
      <c r="AL483" s="3">
        <v>56.805669999999999</v>
      </c>
      <c r="AM483" s="3">
        <v>56.2</v>
      </c>
      <c r="AN483" s="3">
        <v>39.62135</v>
      </c>
      <c r="AO483" s="3">
        <v>30.360420000000001</v>
      </c>
      <c r="AP483" s="3">
        <v>0.42199150000000002</v>
      </c>
      <c r="AQ483" s="3">
        <v>37.57734</v>
      </c>
      <c r="AU483" s="3">
        <v>8.1933389999999995E-2</v>
      </c>
      <c r="AV483" s="3">
        <v>58.39235</v>
      </c>
      <c r="AW483" s="3">
        <v>2.4410569999999999E-2</v>
      </c>
      <c r="AX483" s="3">
        <v>51.093380000000003</v>
      </c>
      <c r="AY483" s="3">
        <v>15.96072</v>
      </c>
    </row>
    <row r="484" spans="1:51" x14ac:dyDescent="0.2">
      <c r="A484" s="3" t="s">
        <v>381</v>
      </c>
      <c r="B484" s="49">
        <v>32540</v>
      </c>
      <c r="D484" s="3">
        <v>58.336350000000003</v>
      </c>
      <c r="E484" s="3">
        <v>5.8035149999999998E-6</v>
      </c>
      <c r="F484" s="3">
        <v>57.835129999999999</v>
      </c>
      <c r="G484" s="3">
        <v>72.253680000000003</v>
      </c>
      <c r="H484" s="3">
        <v>18.54843</v>
      </c>
      <c r="J484" s="3">
        <v>5.691967</v>
      </c>
      <c r="K484" s="3">
        <v>5.7085910000000002</v>
      </c>
      <c r="M484" s="3">
        <v>60.801699999999997</v>
      </c>
      <c r="N484" s="3">
        <v>59.052909999999997</v>
      </c>
      <c r="P484" s="3">
        <v>44.47786</v>
      </c>
      <c r="S484" s="3">
        <v>60.191299999999998</v>
      </c>
      <c r="T484" s="3">
        <v>64.398359999999997</v>
      </c>
      <c r="V484" s="3">
        <v>56.430599999999998</v>
      </c>
      <c r="W484" s="3">
        <v>49.7</v>
      </c>
      <c r="X484" s="3">
        <v>23.04721</v>
      </c>
      <c r="Y484" s="3">
        <v>6.2291259999999999</v>
      </c>
      <c r="Z484" s="3">
        <v>8.6788959999999999</v>
      </c>
      <c r="AA484" s="3">
        <v>13.681229999999999</v>
      </c>
      <c r="AB484" s="3">
        <v>83.927239999999998</v>
      </c>
      <c r="AC484" s="3">
        <v>39.69511</v>
      </c>
      <c r="AD484" s="3">
        <v>24.62312</v>
      </c>
      <c r="AE484" s="3">
        <v>47.802970000000002</v>
      </c>
      <c r="AF484" s="3">
        <v>86.5</v>
      </c>
      <c r="AG484" s="3">
        <v>36.451949999999997</v>
      </c>
      <c r="AI484" s="3">
        <v>56.565069999999999</v>
      </c>
      <c r="AK484" s="3">
        <v>7.3415270000000001</v>
      </c>
      <c r="AL484" s="3">
        <v>56.976430000000001</v>
      </c>
      <c r="AM484" s="3">
        <v>56.4</v>
      </c>
      <c r="AN484" s="3">
        <v>39.80189</v>
      </c>
      <c r="AO484" s="3">
        <v>30.554410000000001</v>
      </c>
      <c r="AP484" s="3">
        <v>0.42199150000000002</v>
      </c>
      <c r="AQ484" s="3">
        <v>38.080910000000003</v>
      </c>
      <c r="AU484" s="3">
        <v>9.7758139999999993E-2</v>
      </c>
      <c r="AV484" s="3">
        <v>58.721060000000001</v>
      </c>
      <c r="AW484" s="3">
        <v>2.5576060000000001E-2</v>
      </c>
      <c r="AX484" s="3">
        <v>51.304340000000003</v>
      </c>
      <c r="AY484" s="3">
        <v>16.098710000000001</v>
      </c>
    </row>
    <row r="485" spans="1:51" x14ac:dyDescent="0.2">
      <c r="A485" s="3" t="s">
        <v>382</v>
      </c>
      <c r="B485" s="49">
        <v>32568</v>
      </c>
      <c r="D485" s="3">
        <v>58.470190000000002</v>
      </c>
      <c r="E485" s="3">
        <v>6.1993150000000003E-6</v>
      </c>
      <c r="F485" s="3">
        <v>58.15117</v>
      </c>
      <c r="G485" s="3">
        <v>72.447779999999995</v>
      </c>
      <c r="H485" s="3">
        <v>18.901759999999999</v>
      </c>
      <c r="J485" s="3">
        <v>5.8322219999999998</v>
      </c>
      <c r="K485" s="3">
        <v>5.7116049999999996</v>
      </c>
      <c r="M485" s="3">
        <v>60.86694</v>
      </c>
      <c r="N485" s="3">
        <v>59.400689999999997</v>
      </c>
      <c r="P485" s="3">
        <v>44.76191</v>
      </c>
      <c r="S485" s="3">
        <v>60.87782</v>
      </c>
      <c r="T485" s="3">
        <v>64.582149999999999</v>
      </c>
      <c r="V485" s="3">
        <v>56.715409999999999</v>
      </c>
      <c r="W485" s="3">
        <v>50</v>
      </c>
      <c r="X485" s="3">
        <v>23.634270000000001</v>
      </c>
      <c r="Y485" s="3">
        <v>6.2748989999999996</v>
      </c>
      <c r="Z485" s="3">
        <v>8.6976399999999998</v>
      </c>
      <c r="AA485" s="3">
        <v>13.764150000000001</v>
      </c>
      <c r="AB485" s="3">
        <v>83.628209999999996</v>
      </c>
      <c r="AC485" s="3">
        <v>39.736800000000002</v>
      </c>
      <c r="AD485" s="3">
        <v>24.824120000000001</v>
      </c>
      <c r="AE485" s="3">
        <v>48.078830000000004</v>
      </c>
      <c r="AF485" s="3">
        <v>87</v>
      </c>
      <c r="AG485" s="3">
        <v>36.701599999999999</v>
      </c>
      <c r="AI485" s="3">
        <v>56.753779999999999</v>
      </c>
      <c r="AK485" s="3">
        <v>7.4211130000000001</v>
      </c>
      <c r="AL485" s="3">
        <v>57.204099999999997</v>
      </c>
      <c r="AM485" s="3">
        <v>56.9</v>
      </c>
      <c r="AN485" s="3">
        <v>40.036270000000002</v>
      </c>
      <c r="AO485" s="3">
        <v>30.733339999999998</v>
      </c>
      <c r="AP485" s="3">
        <v>0.42199150000000002</v>
      </c>
      <c r="AQ485" s="3">
        <v>38.40634</v>
      </c>
      <c r="AU485" s="3">
        <v>0.1142093</v>
      </c>
      <c r="AV485" s="3">
        <v>58.960410000000003</v>
      </c>
      <c r="AW485" s="3">
        <v>2.6353060000000001E-2</v>
      </c>
      <c r="AX485" s="3">
        <v>51.599670000000003</v>
      </c>
      <c r="AY485" s="3">
        <v>16.374690000000001</v>
      </c>
    </row>
    <row r="486" spans="1:51" x14ac:dyDescent="0.2">
      <c r="A486" s="3" t="s">
        <v>383</v>
      </c>
      <c r="B486" s="49">
        <v>32599</v>
      </c>
      <c r="D486" s="3">
        <v>58.864690000000003</v>
      </c>
      <c r="E486" s="3">
        <v>6.715718E-6</v>
      </c>
      <c r="F486" s="3">
        <v>58.309190000000001</v>
      </c>
      <c r="G486" s="3">
        <v>72.829030000000003</v>
      </c>
      <c r="H486" s="3">
        <v>19.098469999999999</v>
      </c>
      <c r="J486" s="3">
        <v>5.9841629999999997</v>
      </c>
      <c r="K486" s="3">
        <v>5.7216519999999997</v>
      </c>
      <c r="M486" s="3">
        <v>61.258369999999999</v>
      </c>
      <c r="N486" s="3">
        <v>59.783250000000002</v>
      </c>
      <c r="P486" s="3">
        <v>44.882170000000002</v>
      </c>
      <c r="S486" s="3">
        <v>61.455939999999998</v>
      </c>
      <c r="T486" s="3">
        <v>64.986469999999997</v>
      </c>
      <c r="V486" s="3">
        <v>57.165300000000002</v>
      </c>
      <c r="W486" s="3">
        <v>50.5</v>
      </c>
      <c r="X486" s="3">
        <v>24.02495</v>
      </c>
      <c r="Y486" s="3">
        <v>6.370603</v>
      </c>
      <c r="Z486" s="3">
        <v>8.8351030000000002</v>
      </c>
      <c r="AA486" s="3">
        <v>13.84707</v>
      </c>
      <c r="AB486" s="3">
        <v>84.425610000000006</v>
      </c>
      <c r="AC486" s="3">
        <v>39.8202</v>
      </c>
      <c r="AD486" s="3">
        <v>25.326630000000002</v>
      </c>
      <c r="AE486" s="3">
        <v>48.315280000000001</v>
      </c>
      <c r="AF486" s="3">
        <v>88.5</v>
      </c>
      <c r="AG486" s="3">
        <v>36.857370000000003</v>
      </c>
      <c r="AI486" s="3">
        <v>56.942489999999999</v>
      </c>
      <c r="AK486" s="3">
        <v>7.5320939999999998</v>
      </c>
      <c r="AL486" s="3">
        <v>57.488700000000001</v>
      </c>
      <c r="AM486" s="3">
        <v>57.2</v>
      </c>
      <c r="AN486" s="3">
        <v>40.414200000000001</v>
      </c>
      <c r="AO486" s="3">
        <v>31.03097</v>
      </c>
      <c r="AP486" s="3">
        <v>0.49232340000000002</v>
      </c>
      <c r="AQ486" s="3">
        <v>38.798439999999999</v>
      </c>
      <c r="AU486" s="3">
        <v>0.14909549999999999</v>
      </c>
      <c r="AV486" s="3">
        <v>59.506140000000002</v>
      </c>
      <c r="AW486" s="3">
        <v>2.7993380000000002E-2</v>
      </c>
      <c r="AX486" s="3">
        <v>51.937199999999997</v>
      </c>
      <c r="AY486" s="3">
        <v>16.604669999999999</v>
      </c>
    </row>
    <row r="487" spans="1:51" x14ac:dyDescent="0.2">
      <c r="A487" s="3" t="s">
        <v>384</v>
      </c>
      <c r="B487" s="49">
        <v>32629</v>
      </c>
      <c r="D487" s="3">
        <v>58.921050000000001</v>
      </c>
      <c r="E487" s="3">
        <v>7.9191729999999998E-6</v>
      </c>
      <c r="F487" s="3">
        <v>58.941270000000003</v>
      </c>
      <c r="G487" s="3">
        <v>72.879320000000007</v>
      </c>
      <c r="H487" s="3">
        <v>19.472799999999999</v>
      </c>
      <c r="J487" s="3">
        <v>6.0893540000000002</v>
      </c>
      <c r="K487" s="3">
        <v>5.8100630000000004</v>
      </c>
      <c r="M487" s="3">
        <v>61.323599999999999</v>
      </c>
      <c r="N487" s="3">
        <v>60.200580000000002</v>
      </c>
      <c r="P487" s="3">
        <v>44.945839999999997</v>
      </c>
      <c r="S487" s="3">
        <v>61.693370000000002</v>
      </c>
      <c r="T487" s="3">
        <v>65.243769999999998</v>
      </c>
      <c r="V487" s="3">
        <v>57.471339999999998</v>
      </c>
      <c r="W487" s="3">
        <v>50.9</v>
      </c>
      <c r="X487" s="3">
        <v>24.089020000000001</v>
      </c>
      <c r="Y487" s="3">
        <v>6.370603</v>
      </c>
      <c r="Z487" s="3">
        <v>8.8913379999999993</v>
      </c>
      <c r="AA487" s="3">
        <v>14.0129</v>
      </c>
      <c r="AB487" s="3">
        <v>85.023669999999996</v>
      </c>
      <c r="AC487" s="3">
        <v>39.8202</v>
      </c>
      <c r="AD487" s="3">
        <v>25.527640000000002</v>
      </c>
      <c r="AE487" s="3">
        <v>48.551740000000002</v>
      </c>
      <c r="AF487" s="3">
        <v>89</v>
      </c>
      <c r="AG487" s="3">
        <v>37.3247</v>
      </c>
      <c r="AI487" s="3">
        <v>57.146920000000001</v>
      </c>
      <c r="AK487" s="3">
        <v>7.6357670000000004</v>
      </c>
      <c r="AL487" s="3">
        <v>57.488700000000001</v>
      </c>
      <c r="AM487" s="3">
        <v>57.4</v>
      </c>
      <c r="AN487" s="3">
        <v>40.65202</v>
      </c>
      <c r="AO487" s="3">
        <v>31.185449999999999</v>
      </c>
      <c r="AP487" s="3">
        <v>0.56265529999999997</v>
      </c>
      <c r="AQ487" s="3">
        <v>38.867109999999997</v>
      </c>
      <c r="AU487" s="3">
        <v>0.1813681</v>
      </c>
      <c r="AV487" s="3">
        <v>59.76144</v>
      </c>
      <c r="AW487" s="3">
        <v>2.8845920000000001E-2</v>
      </c>
      <c r="AX487" s="3">
        <v>52.23254</v>
      </c>
      <c r="AY487" s="3">
        <v>16.83465</v>
      </c>
    </row>
    <row r="488" spans="1:51" x14ac:dyDescent="0.2">
      <c r="A488" s="3" t="s">
        <v>385</v>
      </c>
      <c r="B488" s="49">
        <v>32660</v>
      </c>
      <c r="D488" s="3">
        <v>59.033760000000001</v>
      </c>
      <c r="E488" s="3">
        <v>1.0188019999999999E-5</v>
      </c>
      <c r="F488" s="3">
        <v>59.1783</v>
      </c>
      <c r="G488" s="3">
        <v>73.00394</v>
      </c>
      <c r="H488" s="3">
        <v>19.816569999999999</v>
      </c>
      <c r="J488" s="3">
        <v>6.1711679999999998</v>
      </c>
      <c r="K488" s="3">
        <v>5.8683350000000001</v>
      </c>
      <c r="M488" s="3">
        <v>61.388840000000002</v>
      </c>
      <c r="N488" s="3">
        <v>60.026690000000002</v>
      </c>
      <c r="P488" s="3">
        <v>45.1907</v>
      </c>
      <c r="S488" s="3">
        <v>62.240519999999997</v>
      </c>
      <c r="T488" s="3">
        <v>65.31729</v>
      </c>
      <c r="V488" s="3">
        <v>57.577829999999999</v>
      </c>
      <c r="W488" s="3">
        <v>51</v>
      </c>
      <c r="X488" s="3">
        <v>24.48875</v>
      </c>
      <c r="Y488" s="3">
        <v>6.3872470000000003</v>
      </c>
      <c r="Z488" s="3">
        <v>8.8725930000000002</v>
      </c>
      <c r="AA488" s="3">
        <v>14.09582</v>
      </c>
      <c r="AB488" s="3">
        <v>85.223020000000005</v>
      </c>
      <c r="AC488" s="3">
        <v>39.94529</v>
      </c>
      <c r="AD488" s="3">
        <v>25.829149999999998</v>
      </c>
      <c r="AE488" s="3">
        <v>48.748779999999996</v>
      </c>
      <c r="AF488" s="3">
        <v>88.9</v>
      </c>
      <c r="AG488" s="3">
        <v>37.386620000000001</v>
      </c>
      <c r="AI488" s="3">
        <v>57.309420000000003</v>
      </c>
      <c r="AK488" s="3">
        <v>7.7285009999999996</v>
      </c>
      <c r="AL488" s="3">
        <v>57.431780000000003</v>
      </c>
      <c r="AM488" s="3">
        <v>57.7</v>
      </c>
      <c r="AN488" s="3">
        <v>40.771180000000001</v>
      </c>
      <c r="AO488" s="3">
        <v>31.301760000000002</v>
      </c>
      <c r="AP488" s="3">
        <v>0.56265529999999997</v>
      </c>
      <c r="AQ488" s="3">
        <v>39.127850000000002</v>
      </c>
      <c r="AU488" s="3">
        <v>0.23316219999999999</v>
      </c>
      <c r="AV488" s="3">
        <v>59.956119999999999</v>
      </c>
      <c r="AW488" s="3">
        <v>2.9450250000000001E-2</v>
      </c>
      <c r="AX488" s="3">
        <v>52.359110000000001</v>
      </c>
      <c r="AY488" s="3">
        <v>17.018630000000002</v>
      </c>
    </row>
    <row r="489" spans="1:51" x14ac:dyDescent="0.2">
      <c r="A489" s="3" t="s">
        <v>386</v>
      </c>
      <c r="B489" s="49">
        <v>32690</v>
      </c>
      <c r="D489" s="3">
        <v>59.223959999999998</v>
      </c>
      <c r="E489" s="3">
        <v>1.3014169999999999E-5</v>
      </c>
      <c r="F489" s="3">
        <v>59.573349999999998</v>
      </c>
      <c r="G489" s="3">
        <v>72.842349999999996</v>
      </c>
      <c r="H489" s="3">
        <v>20.177530000000001</v>
      </c>
      <c r="J489" s="3">
        <v>6.2646709999999999</v>
      </c>
      <c r="K489" s="3">
        <v>5.930625</v>
      </c>
      <c r="M489" s="3">
        <v>61.323599999999999</v>
      </c>
      <c r="N489" s="3">
        <v>60.026690000000002</v>
      </c>
      <c r="P489" s="3">
        <v>45.924219999999998</v>
      </c>
      <c r="S489" s="3">
        <v>62.178579999999997</v>
      </c>
      <c r="T489" s="3">
        <v>65.501080000000002</v>
      </c>
      <c r="V489" s="3">
        <v>57.665050000000001</v>
      </c>
      <c r="W489" s="3">
        <v>51</v>
      </c>
      <c r="X489" s="3">
        <v>24.361999999999998</v>
      </c>
      <c r="Y489" s="3">
        <v>6.5079180000000001</v>
      </c>
      <c r="Z489" s="3">
        <v>8.9163309999999996</v>
      </c>
      <c r="AA489" s="3">
        <v>14.261649999999999</v>
      </c>
      <c r="AB489" s="3">
        <v>85.123350000000002</v>
      </c>
      <c r="AC489" s="3">
        <v>39.903590000000001</v>
      </c>
      <c r="AD489" s="3">
        <v>26.030149999999999</v>
      </c>
      <c r="AE489" s="3">
        <v>48.827599999999997</v>
      </c>
      <c r="AF489" s="3">
        <v>88.8</v>
      </c>
      <c r="AG489" s="3">
        <v>37.355989999999998</v>
      </c>
      <c r="AI489" s="3">
        <v>57.477159999999998</v>
      </c>
      <c r="AK489" s="3">
        <v>7.805809</v>
      </c>
      <c r="AL489" s="3">
        <v>57.602539999999998</v>
      </c>
      <c r="AM489" s="3">
        <v>57.8</v>
      </c>
      <c r="AN489" s="3">
        <v>40.914360000000002</v>
      </c>
      <c r="AO489" s="3">
        <v>31.427720000000001</v>
      </c>
      <c r="AP489" s="3">
        <v>0.63298719999999997</v>
      </c>
      <c r="AQ489" s="3">
        <v>39.493079999999999</v>
      </c>
      <c r="AU489" s="3">
        <v>0.30726599999999998</v>
      </c>
      <c r="AV489" s="3">
        <v>59.978459999999998</v>
      </c>
      <c r="AW489" s="3">
        <v>3.034595E-2</v>
      </c>
      <c r="AX489" s="3">
        <v>52.485689999999998</v>
      </c>
      <c r="AY489" s="3">
        <v>17.20262</v>
      </c>
    </row>
    <row r="490" spans="1:51" x14ac:dyDescent="0.2">
      <c r="A490" s="3" t="s">
        <v>387</v>
      </c>
      <c r="B490" s="49">
        <v>32721</v>
      </c>
      <c r="D490" s="3">
        <v>59.421210000000002</v>
      </c>
      <c r="E490" s="3">
        <v>1.7401249999999999E-5</v>
      </c>
      <c r="F490" s="3">
        <v>59.652360000000002</v>
      </c>
      <c r="G490" s="3">
        <v>73.084149999999994</v>
      </c>
      <c r="H490" s="3">
        <v>20.37998</v>
      </c>
      <c r="J490" s="3">
        <v>6.3464850000000004</v>
      </c>
      <c r="K490" s="3">
        <v>5.9848780000000001</v>
      </c>
      <c r="M490" s="3">
        <v>61.323599999999999</v>
      </c>
      <c r="N490" s="3">
        <v>60.374470000000002</v>
      </c>
      <c r="P490" s="3">
        <v>46.029789999999998</v>
      </c>
      <c r="S490" s="3">
        <v>62.26117</v>
      </c>
      <c r="T490" s="3">
        <v>65.611339999999998</v>
      </c>
      <c r="V490" s="3">
        <v>57.730980000000002</v>
      </c>
      <c r="W490" s="3">
        <v>51.1</v>
      </c>
      <c r="X490" s="3">
        <v>24.405180000000001</v>
      </c>
      <c r="Y490" s="3">
        <v>6.5869790000000004</v>
      </c>
      <c r="Z490" s="3">
        <v>8.92258</v>
      </c>
      <c r="AA490" s="3">
        <v>14.427479999999999</v>
      </c>
      <c r="AB490" s="3">
        <v>85.223020000000005</v>
      </c>
      <c r="AC490" s="3">
        <v>39.903590000000001</v>
      </c>
      <c r="AD490" s="3">
        <v>26.331659999999999</v>
      </c>
      <c r="AE490" s="3">
        <v>48.945830000000001</v>
      </c>
      <c r="AF490" s="3">
        <v>88.7</v>
      </c>
      <c r="AG490" s="3">
        <v>37.63626</v>
      </c>
      <c r="AI490" s="3">
        <v>57.561030000000002</v>
      </c>
      <c r="AK490" s="3">
        <v>7.8801740000000002</v>
      </c>
      <c r="AL490" s="3">
        <v>57.773299999999999</v>
      </c>
      <c r="AM490" s="3">
        <v>57.6</v>
      </c>
      <c r="AN490" s="3">
        <v>41.023249999999997</v>
      </c>
      <c r="AO490" s="3">
        <v>31.555029999999999</v>
      </c>
      <c r="AP490" s="3">
        <v>0.84398289999999998</v>
      </c>
      <c r="AQ490" s="3">
        <v>40.143940000000001</v>
      </c>
      <c r="AU490" s="3">
        <v>0.40344269999999999</v>
      </c>
      <c r="AV490" s="3">
        <v>60.214619999999996</v>
      </c>
      <c r="AW490" s="3">
        <v>3.1414320000000003E-2</v>
      </c>
      <c r="AX490" s="3">
        <v>52.570070000000001</v>
      </c>
      <c r="AY490" s="3">
        <v>17.432600000000001</v>
      </c>
    </row>
    <row r="491" spans="1:51" x14ac:dyDescent="0.2">
      <c r="A491" s="3" t="s">
        <v>388</v>
      </c>
      <c r="B491" s="49">
        <v>32752</v>
      </c>
      <c r="D491" s="3">
        <v>59.717089999999999</v>
      </c>
      <c r="E491" s="3">
        <v>2.3937149999999998E-5</v>
      </c>
      <c r="F491" s="3">
        <v>59.731369999999998</v>
      </c>
      <c r="G491" s="3">
        <v>73.402079999999998</v>
      </c>
      <c r="H491" s="3">
        <v>20.813510000000001</v>
      </c>
      <c r="J491" s="3">
        <v>6.4399879999999996</v>
      </c>
      <c r="K491" s="3">
        <v>6.0381260000000001</v>
      </c>
      <c r="M491" s="3">
        <v>61.388840000000002</v>
      </c>
      <c r="N491" s="3">
        <v>60.58314</v>
      </c>
      <c r="P491" s="3">
        <v>46.516800000000003</v>
      </c>
      <c r="S491" s="3">
        <v>62.937359999999998</v>
      </c>
      <c r="T491" s="3">
        <v>65.758369999999999</v>
      </c>
      <c r="V491" s="3">
        <v>57.957650000000001</v>
      </c>
      <c r="W491" s="3">
        <v>51.5</v>
      </c>
      <c r="X491" s="3">
        <v>25.303529999999999</v>
      </c>
      <c r="Y491" s="3">
        <v>6.6036229999999998</v>
      </c>
      <c r="Z491" s="3">
        <v>8.9413239999999998</v>
      </c>
      <c r="AA491" s="3">
        <v>14.59332</v>
      </c>
      <c r="AB491" s="3">
        <v>84.624970000000005</v>
      </c>
      <c r="AC491" s="3">
        <v>39.903590000000001</v>
      </c>
      <c r="AD491" s="3">
        <v>26.73367</v>
      </c>
      <c r="AE491" s="3">
        <v>49.182279999999999</v>
      </c>
      <c r="AF491" s="3">
        <v>89.4</v>
      </c>
      <c r="AG491" s="3">
        <v>37.979100000000003</v>
      </c>
      <c r="AI491" s="3">
        <v>57.723529999999997</v>
      </c>
      <c r="AK491" s="3">
        <v>7.9555379999999998</v>
      </c>
      <c r="AL491" s="3">
        <v>58.057899999999997</v>
      </c>
      <c r="AM491" s="3">
        <v>58.1</v>
      </c>
      <c r="AN491" s="3">
        <v>41.267099999999999</v>
      </c>
      <c r="AO491" s="3">
        <v>31.81617</v>
      </c>
      <c r="AP491" s="3">
        <v>1.125311</v>
      </c>
      <c r="AQ491" s="3">
        <v>40.230519999999999</v>
      </c>
      <c r="AU491" s="3">
        <v>0.60880449999999997</v>
      </c>
      <c r="AV491" s="3">
        <v>60.699710000000003</v>
      </c>
      <c r="AW491" s="3">
        <v>3.3184129999999999E-2</v>
      </c>
      <c r="AX491" s="3">
        <v>52.73883</v>
      </c>
      <c r="AY491" s="3">
        <v>17.570589999999999</v>
      </c>
    </row>
    <row r="492" spans="1:51" x14ac:dyDescent="0.2">
      <c r="A492" s="3" t="s">
        <v>389</v>
      </c>
      <c r="B492" s="49">
        <v>32782</v>
      </c>
      <c r="D492" s="3">
        <v>59.787529999999997</v>
      </c>
      <c r="E492" s="3">
        <v>3.3456959999999999E-5</v>
      </c>
      <c r="F492" s="3">
        <v>59.968400000000003</v>
      </c>
      <c r="G492" s="3">
        <v>73.692189999999997</v>
      </c>
      <c r="H492" s="3">
        <v>21.4132</v>
      </c>
      <c r="J492" s="3">
        <v>6.5451779999999999</v>
      </c>
      <c r="K492" s="3">
        <v>6.1104630000000002</v>
      </c>
      <c r="M492" s="3">
        <v>61.58455</v>
      </c>
      <c r="N492" s="3">
        <v>60.93092</v>
      </c>
      <c r="P492" s="3">
        <v>46.704529999999998</v>
      </c>
      <c r="S492" s="3">
        <v>63.164479999999998</v>
      </c>
      <c r="T492" s="3">
        <v>66.052430000000001</v>
      </c>
      <c r="V492" s="3">
        <v>58.27317</v>
      </c>
      <c r="W492" s="3">
        <v>51.9</v>
      </c>
      <c r="X492" s="3">
        <v>25.699079999999999</v>
      </c>
      <c r="Y492" s="3">
        <v>6.6743610000000002</v>
      </c>
      <c r="Z492" s="3">
        <v>9.0100560000000005</v>
      </c>
      <c r="AA492" s="3">
        <v>14.59332</v>
      </c>
      <c r="AB492" s="3">
        <v>85.123350000000002</v>
      </c>
      <c r="AC492" s="3">
        <v>40.19547</v>
      </c>
      <c r="AD492" s="3">
        <v>27.236180000000001</v>
      </c>
      <c r="AE492" s="3">
        <v>49.576369999999997</v>
      </c>
      <c r="AF492" s="3">
        <v>90.1</v>
      </c>
      <c r="AG492" s="3">
        <v>38.072299999999998</v>
      </c>
      <c r="AI492" s="3">
        <v>58.043289999999999</v>
      </c>
      <c r="AK492" s="3">
        <v>8.0731950000000001</v>
      </c>
      <c r="AL492" s="3">
        <v>58.114809999999999</v>
      </c>
      <c r="AM492" s="3">
        <v>58.2</v>
      </c>
      <c r="AN492" s="3">
        <v>41.57264</v>
      </c>
      <c r="AO492" s="3">
        <v>32.103140000000003</v>
      </c>
      <c r="AP492" s="3">
        <v>1.6879660000000001</v>
      </c>
      <c r="AQ492" s="3">
        <v>40.430549999999997</v>
      </c>
      <c r="AU492" s="3">
        <v>0.9142612</v>
      </c>
      <c r="AV492" s="3">
        <v>61.226280000000003</v>
      </c>
      <c r="AW492" s="3">
        <v>3.5234540000000002E-2</v>
      </c>
      <c r="AX492" s="3">
        <v>52.991979999999998</v>
      </c>
      <c r="AY492" s="3">
        <v>17.708580000000001</v>
      </c>
    </row>
    <row r="493" spans="1:51" x14ac:dyDescent="0.2">
      <c r="A493" s="3" t="s">
        <v>390</v>
      </c>
      <c r="B493" s="49">
        <v>32813</v>
      </c>
      <c r="D493" s="3">
        <v>59.710039999999999</v>
      </c>
      <c r="E493" s="3">
        <v>4.9456080000000001E-5</v>
      </c>
      <c r="F493" s="3">
        <v>60.126420000000003</v>
      </c>
      <c r="G493" s="3">
        <v>74.542940000000002</v>
      </c>
      <c r="H493" s="3">
        <v>21.78181</v>
      </c>
      <c r="J493" s="3">
        <v>6.6620559999999998</v>
      </c>
      <c r="K493" s="3">
        <v>6.1677289999999996</v>
      </c>
      <c r="M493" s="3">
        <v>61.715029999999999</v>
      </c>
      <c r="N493" s="3">
        <v>61.209139999999998</v>
      </c>
      <c r="P493" s="3">
        <v>46.780169999999998</v>
      </c>
      <c r="S493" s="3">
        <v>63.123179999999998</v>
      </c>
      <c r="T493" s="3">
        <v>66.162700000000001</v>
      </c>
      <c r="V493" s="3">
        <v>58.33023</v>
      </c>
      <c r="W493" s="3">
        <v>52.1</v>
      </c>
      <c r="X493" s="3">
        <v>25.921230000000001</v>
      </c>
      <c r="Y493" s="3">
        <v>6.6910059999999998</v>
      </c>
      <c r="Z493" s="3">
        <v>9.0537939999999999</v>
      </c>
      <c r="AA493" s="3">
        <v>14.59332</v>
      </c>
      <c r="AB493" s="3">
        <v>85.223020000000005</v>
      </c>
      <c r="AC493" s="3">
        <v>40.278860000000002</v>
      </c>
      <c r="AD493" s="3">
        <v>27.537690000000001</v>
      </c>
      <c r="AE493" s="3">
        <v>49.852229999999999</v>
      </c>
      <c r="AF493" s="3">
        <v>89.2</v>
      </c>
      <c r="AG493" s="3">
        <v>38.134880000000003</v>
      </c>
      <c r="AI493" s="3">
        <v>58.148119999999999</v>
      </c>
      <c r="AK493" s="3">
        <v>8.1865159999999992</v>
      </c>
      <c r="AL493" s="3">
        <v>58.114809999999999</v>
      </c>
      <c r="AM493" s="3">
        <v>58.2</v>
      </c>
      <c r="AN493" s="3">
        <v>41.692860000000003</v>
      </c>
      <c r="AO493" s="3">
        <v>32.29271</v>
      </c>
      <c r="AP493" s="3">
        <v>2.039625</v>
      </c>
      <c r="AQ493" s="3">
        <v>40.808720000000001</v>
      </c>
      <c r="AU493" s="3">
        <v>1.305415</v>
      </c>
      <c r="AV493" s="3">
        <v>61.322020000000002</v>
      </c>
      <c r="AW493" s="3">
        <v>3.6766939999999998E-2</v>
      </c>
      <c r="AX493" s="3">
        <v>53.118549999999999</v>
      </c>
      <c r="AY493" s="3">
        <v>17.938559999999999</v>
      </c>
    </row>
    <row r="494" spans="1:51" x14ac:dyDescent="0.2">
      <c r="A494" s="3" t="s">
        <v>391</v>
      </c>
      <c r="B494" s="49">
        <v>32843</v>
      </c>
      <c r="D494" s="3">
        <v>59.942509999999999</v>
      </c>
      <c r="E494" s="3">
        <v>7.4925960000000005E-5</v>
      </c>
      <c r="F494" s="3">
        <v>60.126420000000003</v>
      </c>
      <c r="G494" s="3">
        <v>75.090959999999995</v>
      </c>
      <c r="H494" s="3">
        <v>22.24399</v>
      </c>
      <c r="J494" s="3">
        <v>6.7555589999999999</v>
      </c>
      <c r="K494" s="3">
        <v>6.2099260000000003</v>
      </c>
      <c r="M494" s="3">
        <v>61.910739999999997</v>
      </c>
      <c r="N494" s="3">
        <v>61.209139999999998</v>
      </c>
      <c r="P494" s="3">
        <v>46.96246</v>
      </c>
      <c r="S494" s="3">
        <v>63.47419</v>
      </c>
      <c r="T494" s="3">
        <v>66.23621</v>
      </c>
      <c r="V494" s="3">
        <v>58.435650000000003</v>
      </c>
      <c r="W494" s="3">
        <v>52.2</v>
      </c>
      <c r="X494" s="3">
        <v>26.575849999999999</v>
      </c>
      <c r="Y494" s="3">
        <v>6.7492609999999997</v>
      </c>
      <c r="Z494" s="3">
        <v>9.0475449999999995</v>
      </c>
      <c r="AA494" s="3">
        <v>14.510400000000001</v>
      </c>
      <c r="AB494" s="3">
        <v>85.223020000000005</v>
      </c>
      <c r="AC494" s="3">
        <v>40.19547</v>
      </c>
      <c r="AD494" s="3">
        <v>27.839200000000002</v>
      </c>
      <c r="AE494" s="3">
        <v>50.049280000000003</v>
      </c>
      <c r="AF494" s="3">
        <v>89.3</v>
      </c>
      <c r="AG494" s="3">
        <v>38.103589999999997</v>
      </c>
      <c r="AI494" s="3">
        <v>58.216270000000002</v>
      </c>
      <c r="AK494" s="3">
        <v>8.4627979999999994</v>
      </c>
      <c r="AL494" s="3">
        <v>58.114809999999999</v>
      </c>
      <c r="AM494" s="3">
        <v>58.2</v>
      </c>
      <c r="AN494" s="3">
        <v>41.86262</v>
      </c>
      <c r="AO494" s="3">
        <v>32.450330000000001</v>
      </c>
      <c r="AP494" s="3">
        <v>2.3912849999999999</v>
      </c>
      <c r="AQ494" s="3">
        <v>41.237650000000002</v>
      </c>
      <c r="AU494" s="3">
        <v>2.064908</v>
      </c>
      <c r="AV494" s="3">
        <v>61.54222</v>
      </c>
      <c r="AW494" s="3">
        <v>3.7619479999999997E-2</v>
      </c>
      <c r="AX494" s="3">
        <v>53.202930000000002</v>
      </c>
      <c r="AY494" s="3">
        <v>18.16854</v>
      </c>
    </row>
    <row r="495" spans="1:51" x14ac:dyDescent="0.2">
      <c r="A495" s="3" t="s">
        <v>392</v>
      </c>
      <c r="B495" s="49">
        <v>32874</v>
      </c>
      <c r="D495" s="3">
        <v>60.167940000000002</v>
      </c>
      <c r="E495" s="3">
        <v>1.255385E-4</v>
      </c>
      <c r="F495" s="3">
        <v>60.600479999999997</v>
      </c>
      <c r="G495" s="3">
        <v>75.532830000000004</v>
      </c>
      <c r="H495" s="3">
        <v>22.799520000000001</v>
      </c>
      <c r="J495" s="3">
        <v>6.9776280000000002</v>
      </c>
      <c r="K495" s="3">
        <v>6.3978010000000003</v>
      </c>
      <c r="M495" s="3">
        <v>62.236930000000001</v>
      </c>
      <c r="N495" s="3">
        <v>60.82658</v>
      </c>
      <c r="O495" s="3">
        <v>57.942970000000003</v>
      </c>
      <c r="P495" s="3">
        <v>47.419550000000001</v>
      </c>
      <c r="S495" s="3">
        <v>64.403310000000005</v>
      </c>
      <c r="T495" s="3">
        <v>66.42</v>
      </c>
      <c r="V495" s="3">
        <v>58.890590000000003</v>
      </c>
      <c r="W495" s="3">
        <v>52.4</v>
      </c>
      <c r="X495" s="3">
        <v>26.731839999999998</v>
      </c>
      <c r="Y495" s="3">
        <v>7.3775829999999996</v>
      </c>
      <c r="Z495" s="3">
        <v>9.1350219999999993</v>
      </c>
      <c r="AA495" s="3">
        <v>14.427479999999999</v>
      </c>
      <c r="AB495" s="3">
        <v>85.223020000000005</v>
      </c>
      <c r="AC495" s="3">
        <v>40.153770000000002</v>
      </c>
      <c r="AD495" s="3">
        <v>28.140699999999999</v>
      </c>
      <c r="AE495" s="3">
        <v>50.522179999999999</v>
      </c>
      <c r="AF495" s="3">
        <v>89.7</v>
      </c>
      <c r="AG495" s="3">
        <v>38.984999999999999</v>
      </c>
      <c r="AI495" s="3">
        <v>58.656590000000001</v>
      </c>
      <c r="AK495" s="3">
        <v>8.8712289999999996</v>
      </c>
      <c r="AL495" s="3">
        <v>58.057899999999997</v>
      </c>
      <c r="AM495" s="3">
        <v>58.6</v>
      </c>
      <c r="AN495" s="3">
        <v>42.303069999999998</v>
      </c>
      <c r="AO495" s="3">
        <v>32.705689999999997</v>
      </c>
      <c r="AP495" s="3">
        <v>4.2902459999999998</v>
      </c>
      <c r="AQ495" s="3">
        <v>42.22786</v>
      </c>
      <c r="AU495" s="3">
        <v>2.9212500000000001</v>
      </c>
      <c r="AV495" s="3">
        <v>63.297469999999997</v>
      </c>
      <c r="AW495" s="3">
        <v>3.9065549999999997E-2</v>
      </c>
      <c r="AX495" s="3">
        <v>53.751420000000003</v>
      </c>
      <c r="AY495" s="3">
        <v>18.398520000000001</v>
      </c>
    </row>
    <row r="496" spans="1:51" x14ac:dyDescent="0.2">
      <c r="A496" s="3" t="s">
        <v>393</v>
      </c>
      <c r="B496" s="49">
        <v>32905</v>
      </c>
      <c r="D496" s="3">
        <v>60.30883</v>
      </c>
      <c r="E496" s="3">
        <v>2.2060870000000001E-4</v>
      </c>
      <c r="F496" s="3">
        <v>60.995519999999999</v>
      </c>
      <c r="G496" s="3">
        <v>75.777820000000006</v>
      </c>
      <c r="H496" s="3">
        <v>22.86673</v>
      </c>
      <c r="J496" s="3">
        <v>7.2347599999999996</v>
      </c>
      <c r="K496" s="3">
        <v>6.438993</v>
      </c>
      <c r="M496" s="3">
        <v>62.497880000000002</v>
      </c>
      <c r="N496" s="3">
        <v>60.965699999999998</v>
      </c>
      <c r="O496" s="3">
        <v>58.15652</v>
      </c>
      <c r="P496" s="3">
        <v>47.720460000000003</v>
      </c>
      <c r="S496" s="3">
        <v>64.686120000000003</v>
      </c>
      <c r="T496" s="3">
        <v>66.56</v>
      </c>
      <c r="V496" s="3">
        <v>59.162860000000002</v>
      </c>
      <c r="W496" s="3">
        <v>52.9</v>
      </c>
      <c r="X496" s="3">
        <v>26.759689999999999</v>
      </c>
      <c r="Y496" s="3">
        <v>7.7437569999999996</v>
      </c>
      <c r="Z496" s="3">
        <v>9.2224979999999999</v>
      </c>
      <c r="AA496" s="3">
        <v>14.510400000000001</v>
      </c>
      <c r="AB496" s="3">
        <v>85.522059999999996</v>
      </c>
      <c r="AC496" s="3">
        <v>40.19547</v>
      </c>
      <c r="AD496" s="3">
        <v>28.341709999999999</v>
      </c>
      <c r="AE496" s="3">
        <v>50.916269999999997</v>
      </c>
      <c r="AF496" s="3">
        <v>89.8</v>
      </c>
      <c r="AG496" s="3">
        <v>39.228999999999999</v>
      </c>
      <c r="AI496" s="3">
        <v>58.621049999999997</v>
      </c>
      <c r="AK496" s="3">
        <v>9.0721109999999996</v>
      </c>
      <c r="AL496" s="3">
        <v>58.28557</v>
      </c>
      <c r="AM496" s="3">
        <v>58.8</v>
      </c>
      <c r="AN496" s="3">
        <v>42.561889999999998</v>
      </c>
      <c r="AO496" s="3">
        <v>32.950060000000001</v>
      </c>
      <c r="AP496" s="3">
        <v>5.2748929999999996</v>
      </c>
      <c r="AQ496" s="3">
        <v>43.169310000000003</v>
      </c>
      <c r="AU496" s="3">
        <v>3.194617</v>
      </c>
      <c r="AV496" s="3">
        <v>63.508110000000002</v>
      </c>
      <c r="AW496" s="3">
        <v>4.0792200000000001E-2</v>
      </c>
      <c r="AX496" s="3">
        <v>54.004570000000001</v>
      </c>
      <c r="AY496" s="3">
        <v>18.53651</v>
      </c>
    </row>
    <row r="497" spans="1:51" x14ac:dyDescent="0.2">
      <c r="A497" s="3" t="s">
        <v>394</v>
      </c>
      <c r="B497" s="49">
        <v>32933</v>
      </c>
      <c r="D497" s="3">
        <v>60.456769999999999</v>
      </c>
      <c r="E497" s="3">
        <v>4.0236820000000002E-4</v>
      </c>
      <c r="F497" s="3">
        <v>61.232550000000003</v>
      </c>
      <c r="G497" s="3">
        <v>76.038799999999995</v>
      </c>
      <c r="H497" s="3">
        <v>23.41883</v>
      </c>
      <c r="J497" s="3">
        <v>7.4451400000000003</v>
      </c>
      <c r="K497" s="3">
        <v>6.538456</v>
      </c>
      <c r="M497" s="3">
        <v>62.497880000000002</v>
      </c>
      <c r="N497" s="3">
        <v>61.174370000000003</v>
      </c>
      <c r="O497" s="3">
        <v>58.29889</v>
      </c>
      <c r="P497" s="3">
        <v>47.895139999999998</v>
      </c>
      <c r="S497" s="3">
        <v>64.942629999999994</v>
      </c>
      <c r="T497" s="3">
        <v>66.72</v>
      </c>
      <c r="V497" s="3">
        <v>59.402810000000002</v>
      </c>
      <c r="W497" s="3">
        <v>53.1</v>
      </c>
      <c r="X497" s="3">
        <v>27.630880000000001</v>
      </c>
      <c r="Y497" s="3">
        <v>7.9060389999999998</v>
      </c>
      <c r="Z497" s="3">
        <v>9.1850079999999998</v>
      </c>
      <c r="AA497" s="3">
        <v>14.67623</v>
      </c>
      <c r="AB497" s="3">
        <v>85.123350000000002</v>
      </c>
      <c r="AC497" s="3">
        <v>40.278860000000002</v>
      </c>
      <c r="AD497" s="3">
        <v>28.643219999999999</v>
      </c>
      <c r="AE497" s="3">
        <v>51.113320000000002</v>
      </c>
      <c r="AF497" s="3">
        <v>90.1</v>
      </c>
      <c r="AG497" s="3">
        <v>39.634999999999998</v>
      </c>
      <c r="AI497" s="3">
        <v>58.561819999999997</v>
      </c>
      <c r="AK497" s="3">
        <v>9.2320460000000004</v>
      </c>
      <c r="AL497" s="3">
        <v>58.513249999999999</v>
      </c>
      <c r="AM497" s="3">
        <v>59.5</v>
      </c>
      <c r="AN497" s="3">
        <v>42.816549999999999</v>
      </c>
      <c r="AO497" s="3">
        <v>33.156210000000002</v>
      </c>
      <c r="AP497" s="3">
        <v>5.4858890000000002</v>
      </c>
      <c r="AQ497" s="3">
        <v>43.422089999999997</v>
      </c>
      <c r="AU497" s="3">
        <v>3.2583790000000001</v>
      </c>
      <c r="AV497" s="3">
        <v>65.253780000000006</v>
      </c>
      <c r="AW497" s="3">
        <v>4.2907349999999997E-2</v>
      </c>
      <c r="AX497" s="3">
        <v>54.299900000000001</v>
      </c>
      <c r="AY497" s="3">
        <v>18.81249</v>
      </c>
    </row>
    <row r="498" spans="1:51" x14ac:dyDescent="0.2">
      <c r="A498" s="3" t="s">
        <v>395</v>
      </c>
      <c r="B498" s="49">
        <v>32964</v>
      </c>
      <c r="D498" s="3">
        <v>60.73151</v>
      </c>
      <c r="E498" s="3">
        <v>4.6481579999999999E-4</v>
      </c>
      <c r="F498" s="3">
        <v>61.232550000000003</v>
      </c>
      <c r="G498" s="3">
        <v>76.195239999999998</v>
      </c>
      <c r="H498" s="3">
        <v>23.834820000000001</v>
      </c>
      <c r="J498" s="3">
        <v>7.6555210000000002</v>
      </c>
      <c r="K498" s="3">
        <v>6.6730840000000002</v>
      </c>
      <c r="M498" s="3">
        <v>62.628360000000001</v>
      </c>
      <c r="N498" s="3">
        <v>61.209139999999998</v>
      </c>
      <c r="O498" s="3">
        <v>58.512439999999998</v>
      </c>
      <c r="P498" s="3">
        <v>48.003970000000002</v>
      </c>
      <c r="S498" s="3">
        <v>65.304370000000006</v>
      </c>
      <c r="T498" s="3">
        <v>67.09</v>
      </c>
      <c r="V498" s="3">
        <v>59.680109999999999</v>
      </c>
      <c r="W498" s="3">
        <v>54.4</v>
      </c>
      <c r="X498" s="3">
        <v>28.12602</v>
      </c>
      <c r="Y498" s="3">
        <v>8.0641590000000001</v>
      </c>
      <c r="Z498" s="3">
        <v>9.2912289999999995</v>
      </c>
      <c r="AA498" s="3">
        <v>14.92498</v>
      </c>
      <c r="AB498" s="3">
        <v>85.821079999999995</v>
      </c>
      <c r="AC498" s="3">
        <v>40.362250000000003</v>
      </c>
      <c r="AD498" s="3">
        <v>29.346730000000001</v>
      </c>
      <c r="AE498" s="3">
        <v>51.310360000000003</v>
      </c>
      <c r="AF498" s="3">
        <v>90.9</v>
      </c>
      <c r="AG498" s="3">
        <v>40.081000000000003</v>
      </c>
      <c r="AI498" s="3">
        <v>58.715809999999998</v>
      </c>
      <c r="AK498" s="3">
        <v>9.3725539999999992</v>
      </c>
      <c r="AL498" s="3">
        <v>58.740929999999999</v>
      </c>
      <c r="AM498" s="3">
        <v>59.5</v>
      </c>
      <c r="AN498" s="3">
        <v>43.103870000000001</v>
      </c>
      <c r="AO498" s="3">
        <v>33.491439999999997</v>
      </c>
      <c r="AP498" s="3">
        <v>5.9078809999999997</v>
      </c>
      <c r="AQ498" s="3">
        <v>43.922669999999997</v>
      </c>
      <c r="AU498" s="3">
        <v>3.4160469999999998</v>
      </c>
      <c r="AV498" s="3">
        <v>65.489940000000004</v>
      </c>
      <c r="AW498" s="3">
        <v>4.5756329999999998E-2</v>
      </c>
      <c r="AX498" s="3">
        <v>54.384279999999997</v>
      </c>
      <c r="AY498" s="3">
        <v>18.996469999999999</v>
      </c>
    </row>
    <row r="499" spans="1:51" x14ac:dyDescent="0.2">
      <c r="A499" s="3" t="s">
        <v>396</v>
      </c>
      <c r="B499" s="49">
        <v>32994</v>
      </c>
      <c r="D499" s="3">
        <v>60.75264</v>
      </c>
      <c r="E499" s="3">
        <v>5.0009529999999998E-4</v>
      </c>
      <c r="F499" s="3">
        <v>61.548589999999997</v>
      </c>
      <c r="G499" s="3">
        <v>76.565849999999998</v>
      </c>
      <c r="H499" s="3">
        <v>24.198070000000001</v>
      </c>
      <c r="J499" s="3">
        <v>7.8074630000000003</v>
      </c>
      <c r="K499" s="3">
        <v>6.7594859999999999</v>
      </c>
      <c r="M499" s="3">
        <v>62.758830000000003</v>
      </c>
      <c r="N499" s="3">
        <v>61.661250000000003</v>
      </c>
      <c r="O499" s="3">
        <v>58.654800000000002</v>
      </c>
      <c r="P499" s="3">
        <v>48.000160000000001</v>
      </c>
      <c r="S499" s="3">
        <v>65.527990000000003</v>
      </c>
      <c r="T499" s="3">
        <v>67.19</v>
      </c>
      <c r="V499" s="3">
        <v>59.879100000000001</v>
      </c>
      <c r="W499" s="3">
        <v>55</v>
      </c>
      <c r="X499" s="3">
        <v>29.022279999999999</v>
      </c>
      <c r="Y499" s="3">
        <v>8.0808040000000005</v>
      </c>
      <c r="Z499" s="3">
        <v>9.3662089999999996</v>
      </c>
      <c r="AA499" s="3">
        <v>15.090820000000001</v>
      </c>
      <c r="AB499" s="3">
        <v>86.219790000000003</v>
      </c>
      <c r="AC499" s="3">
        <v>40.529040000000002</v>
      </c>
      <c r="AD499" s="3">
        <v>29.849250000000001</v>
      </c>
      <c r="AE499" s="3">
        <v>51.46799</v>
      </c>
      <c r="AF499" s="3">
        <v>91.3</v>
      </c>
      <c r="AG499" s="3">
        <v>40.527000000000001</v>
      </c>
      <c r="AI499" s="3">
        <v>58.822409999999998</v>
      </c>
      <c r="AK499" s="3">
        <v>9.5361119999999993</v>
      </c>
      <c r="AL499" s="3">
        <v>58.797849999999997</v>
      </c>
      <c r="AM499" s="3">
        <v>59.6</v>
      </c>
      <c r="AN499" s="3">
        <v>43.30838</v>
      </c>
      <c r="AO499" s="3">
        <v>33.683970000000002</v>
      </c>
      <c r="AP499" s="3">
        <v>6.1892079999999998</v>
      </c>
      <c r="AQ499" s="3">
        <v>44.388420000000004</v>
      </c>
      <c r="AU499" s="3">
        <v>3.4617239999999998</v>
      </c>
      <c r="AV499" s="3">
        <v>65.863330000000005</v>
      </c>
      <c r="AW499" s="3">
        <v>4.7159239999999998E-2</v>
      </c>
      <c r="AX499" s="3">
        <v>54.510860000000001</v>
      </c>
      <c r="AY499" s="3">
        <v>19.18046</v>
      </c>
    </row>
    <row r="500" spans="1:51" x14ac:dyDescent="0.2">
      <c r="A500" s="3" t="s">
        <v>397</v>
      </c>
      <c r="B500" s="49">
        <v>33025</v>
      </c>
      <c r="D500" s="3">
        <v>60.787860000000002</v>
      </c>
      <c r="E500" s="3">
        <v>5.588565E-4</v>
      </c>
      <c r="F500" s="3">
        <v>61.785620000000002</v>
      </c>
      <c r="G500" s="3">
        <v>76.672489999999996</v>
      </c>
      <c r="H500" s="3">
        <v>24.728899999999999</v>
      </c>
      <c r="J500" s="3">
        <v>7.9594040000000001</v>
      </c>
      <c r="K500" s="3">
        <v>6.9272679999999998</v>
      </c>
      <c r="M500" s="3">
        <v>62.824069999999999</v>
      </c>
      <c r="N500" s="3">
        <v>61.52214</v>
      </c>
      <c r="O500" s="3">
        <v>58.725990000000003</v>
      </c>
      <c r="P500" s="3">
        <v>48.14817</v>
      </c>
      <c r="S500" s="3">
        <v>65.777919999999995</v>
      </c>
      <c r="T500" s="3">
        <v>67.180000000000007</v>
      </c>
      <c r="V500" s="3">
        <v>60.063949999999998</v>
      </c>
      <c r="W500" s="3">
        <v>55.2</v>
      </c>
      <c r="X500" s="3">
        <v>29.768820000000002</v>
      </c>
      <c r="Y500" s="3">
        <v>8.0683209999999992</v>
      </c>
      <c r="Z500" s="3">
        <v>9.4911759999999994</v>
      </c>
      <c r="AA500" s="3">
        <v>15.33957</v>
      </c>
      <c r="AB500" s="3">
        <v>86.419139999999999</v>
      </c>
      <c r="AC500" s="3">
        <v>40.654130000000002</v>
      </c>
      <c r="AD500" s="3">
        <v>30.050249999999998</v>
      </c>
      <c r="AE500" s="3">
        <v>51.704450000000001</v>
      </c>
      <c r="AF500" s="3">
        <v>91</v>
      </c>
      <c r="AG500" s="3">
        <v>40.728999999999999</v>
      </c>
      <c r="AI500" s="3">
        <v>58.83426</v>
      </c>
      <c r="AK500" s="3">
        <v>9.7461409999999997</v>
      </c>
      <c r="AL500" s="3">
        <v>58.740929999999999</v>
      </c>
      <c r="AM500" s="3">
        <v>59.8</v>
      </c>
      <c r="AN500" s="3">
        <v>43.488880000000002</v>
      </c>
      <c r="AO500" s="3">
        <v>33.793210000000002</v>
      </c>
      <c r="AP500" s="3">
        <v>6.4002039999999996</v>
      </c>
      <c r="AQ500" s="3">
        <v>44.518790000000003</v>
      </c>
      <c r="AU500" s="3">
        <v>3.390774</v>
      </c>
      <c r="AV500" s="3">
        <v>65.821849999999998</v>
      </c>
      <c r="AW500" s="3">
        <v>4.7871490000000003E-2</v>
      </c>
      <c r="AX500" s="3">
        <v>54.806190000000001</v>
      </c>
      <c r="AY500" s="3">
        <v>19.318449999999999</v>
      </c>
    </row>
    <row r="501" spans="1:51" x14ac:dyDescent="0.2">
      <c r="A501" s="3" t="s">
        <v>398</v>
      </c>
      <c r="B501" s="49">
        <v>33055</v>
      </c>
      <c r="D501" s="3">
        <v>61.006250000000001</v>
      </c>
      <c r="E501" s="3">
        <v>6.3106070000000004E-4</v>
      </c>
      <c r="F501" s="3">
        <v>62.022649999999999</v>
      </c>
      <c r="G501" s="3">
        <v>76.710260000000005</v>
      </c>
      <c r="H501" s="3">
        <v>25.141490000000001</v>
      </c>
      <c r="J501" s="3">
        <v>8.0645939999999996</v>
      </c>
      <c r="K501" s="3">
        <v>7.1081099999999999</v>
      </c>
      <c r="M501" s="3">
        <v>62.824069999999999</v>
      </c>
      <c r="N501" s="3">
        <v>61.313479999999998</v>
      </c>
      <c r="O501" s="3">
        <v>58.797170000000001</v>
      </c>
      <c r="P501" s="3">
        <v>48.795160000000003</v>
      </c>
      <c r="S501" s="3">
        <v>65.784499999999994</v>
      </c>
      <c r="T501" s="3">
        <v>67.2</v>
      </c>
      <c r="V501" s="3">
        <v>60.184280000000001</v>
      </c>
      <c r="W501" s="3">
        <v>55.2</v>
      </c>
      <c r="X501" s="3">
        <v>29.64068</v>
      </c>
      <c r="Y501" s="3">
        <v>8.322146</v>
      </c>
      <c r="Z501" s="3">
        <v>9.7036169999999995</v>
      </c>
      <c r="AA501" s="3">
        <v>15.67123</v>
      </c>
      <c r="AB501" s="3">
        <v>86.618489999999994</v>
      </c>
      <c r="AC501" s="3">
        <v>40.862609999999997</v>
      </c>
      <c r="AD501" s="3">
        <v>30.552759999999999</v>
      </c>
      <c r="AE501" s="3">
        <v>51.862079999999999</v>
      </c>
      <c r="AF501" s="3">
        <v>90.8</v>
      </c>
      <c r="AG501" s="3">
        <v>40.850999999999999</v>
      </c>
      <c r="AI501" s="3">
        <v>58.875720000000001</v>
      </c>
      <c r="AK501" s="3">
        <v>9.9238809999999997</v>
      </c>
      <c r="AL501" s="3">
        <v>58.968609999999998</v>
      </c>
      <c r="AM501" s="3">
        <v>59.9</v>
      </c>
      <c r="AN501" s="3">
        <v>43.62332</v>
      </c>
      <c r="AO501" s="3">
        <v>33.854599999999998</v>
      </c>
      <c r="AP501" s="3">
        <v>6.6112000000000002</v>
      </c>
      <c r="AQ501" s="3">
        <v>44.83426</v>
      </c>
      <c r="AU501" s="3">
        <v>3.4172060000000002</v>
      </c>
      <c r="AV501" s="3">
        <v>66.44735</v>
      </c>
      <c r="AW501" s="3">
        <v>4.7429029999999997E-2</v>
      </c>
      <c r="AX501" s="3">
        <v>55.017150000000001</v>
      </c>
      <c r="AY501" s="3">
        <v>19.456440000000001</v>
      </c>
    </row>
    <row r="502" spans="1:51" x14ac:dyDescent="0.2">
      <c r="A502" s="3" t="s">
        <v>399</v>
      </c>
      <c r="B502" s="49">
        <v>33086</v>
      </c>
      <c r="D502" s="3">
        <v>61.35848</v>
      </c>
      <c r="E502" s="3">
        <v>7.1234140000000004E-4</v>
      </c>
      <c r="F502" s="3">
        <v>62.101660000000003</v>
      </c>
      <c r="G502" s="3">
        <v>77.530289999999994</v>
      </c>
      <c r="H502" s="3">
        <v>25.647649999999999</v>
      </c>
      <c r="J502" s="3">
        <v>8.1931609999999999</v>
      </c>
      <c r="K502" s="3">
        <v>7.2578069999999997</v>
      </c>
      <c r="M502" s="3">
        <v>63.01979</v>
      </c>
      <c r="N502" s="3">
        <v>61.939480000000003</v>
      </c>
      <c r="O502" s="3">
        <v>59.153080000000003</v>
      </c>
      <c r="P502" s="3">
        <v>49.009010000000004</v>
      </c>
      <c r="S502" s="3">
        <v>66.093630000000005</v>
      </c>
      <c r="T502" s="3">
        <v>67.64</v>
      </c>
      <c r="V502" s="3">
        <v>60.617510000000003</v>
      </c>
      <c r="W502" s="3">
        <v>55.7</v>
      </c>
      <c r="X502" s="3">
        <v>29.81269</v>
      </c>
      <c r="Y502" s="3">
        <v>8.5052339999999997</v>
      </c>
      <c r="Z502" s="3">
        <v>9.7598520000000004</v>
      </c>
      <c r="AA502" s="3">
        <v>15.754149999999999</v>
      </c>
      <c r="AB502" s="3">
        <v>87.116870000000006</v>
      </c>
      <c r="AC502" s="3">
        <v>40.737520000000004</v>
      </c>
      <c r="AD502" s="3">
        <v>31.05528</v>
      </c>
      <c r="AE502" s="3">
        <v>52.216769999999997</v>
      </c>
      <c r="AF502" s="3">
        <v>91.2</v>
      </c>
      <c r="AG502" s="3">
        <v>41.014000000000003</v>
      </c>
      <c r="AI502" s="3">
        <v>59.136310000000002</v>
      </c>
      <c r="AK502" s="3">
        <v>10.092969999999999</v>
      </c>
      <c r="AL502" s="3">
        <v>59.13937</v>
      </c>
      <c r="AM502" s="3">
        <v>59.8</v>
      </c>
      <c r="AN502" s="3">
        <v>43.957120000000003</v>
      </c>
      <c r="AO502" s="3">
        <v>34.092440000000003</v>
      </c>
      <c r="AP502" s="3">
        <v>6.7518630000000002</v>
      </c>
      <c r="AQ502" s="3">
        <v>45.366689999999998</v>
      </c>
      <c r="AU502" s="3">
        <v>3.378253</v>
      </c>
      <c r="AV502" s="3">
        <v>66.903720000000007</v>
      </c>
      <c r="AW502" s="3">
        <v>4.8637689999999997E-2</v>
      </c>
      <c r="AX502" s="3">
        <v>55.523449999999997</v>
      </c>
      <c r="AY502" s="3">
        <v>19.778410000000001</v>
      </c>
    </row>
    <row r="503" spans="1:51" x14ac:dyDescent="0.2">
      <c r="A503" s="3" t="s">
        <v>400</v>
      </c>
      <c r="B503" s="49">
        <v>33117</v>
      </c>
      <c r="D503" s="3">
        <v>61.914999999999999</v>
      </c>
      <c r="E503" s="3">
        <v>8.1498979999999996E-4</v>
      </c>
      <c r="F503" s="3">
        <v>62.259680000000003</v>
      </c>
      <c r="G503" s="3">
        <v>77.898719999999997</v>
      </c>
      <c r="H503" s="3">
        <v>26.902429999999999</v>
      </c>
      <c r="J503" s="3">
        <v>8.3918529999999993</v>
      </c>
      <c r="K503" s="3">
        <v>7.3110549999999996</v>
      </c>
      <c r="M503" s="3">
        <v>63.215499999999999</v>
      </c>
      <c r="N503" s="3">
        <v>62.461150000000004</v>
      </c>
      <c r="O503" s="3">
        <v>59.580179999999999</v>
      </c>
      <c r="P503" s="3">
        <v>49.52487</v>
      </c>
      <c r="S503" s="3">
        <v>66.540869999999998</v>
      </c>
      <c r="T503" s="3">
        <v>68.12</v>
      </c>
      <c r="V503" s="3">
        <v>61.053699999999999</v>
      </c>
      <c r="W503" s="3">
        <v>56.2</v>
      </c>
      <c r="X503" s="3">
        <v>30.950600000000001</v>
      </c>
      <c r="Y503" s="3">
        <v>8.6550320000000003</v>
      </c>
      <c r="Z503" s="3">
        <v>9.8098379999999992</v>
      </c>
      <c r="AA503" s="3">
        <v>15.837070000000001</v>
      </c>
      <c r="AB503" s="3">
        <v>86.817840000000004</v>
      </c>
      <c r="AC503" s="3">
        <v>40.695819999999998</v>
      </c>
      <c r="AD503" s="3">
        <v>31.758790000000001</v>
      </c>
      <c r="AE503" s="3">
        <v>52.492629999999998</v>
      </c>
      <c r="AF503" s="3">
        <v>91.9</v>
      </c>
      <c r="AG503" s="3">
        <v>41.258000000000003</v>
      </c>
      <c r="AI503" s="3">
        <v>59.497579999999999</v>
      </c>
      <c r="AK503" s="3">
        <v>10.236840000000001</v>
      </c>
      <c r="AL503" s="3">
        <v>59.65164</v>
      </c>
      <c r="AM503" s="3">
        <v>60.4</v>
      </c>
      <c r="AN503" s="3">
        <v>44.374299999999998</v>
      </c>
      <c r="AO503" s="3">
        <v>34.493699999999997</v>
      </c>
      <c r="AP503" s="3">
        <v>7.0331910000000004</v>
      </c>
      <c r="AQ503" s="3">
        <v>45.84836</v>
      </c>
      <c r="AU503" s="3">
        <v>3.6400269999999999</v>
      </c>
      <c r="AV503" s="3">
        <v>67.666449999999998</v>
      </c>
      <c r="AW503" s="3">
        <v>5.2867989999999997E-2</v>
      </c>
      <c r="AX503" s="3">
        <v>55.987549999999999</v>
      </c>
      <c r="AY503" s="3">
        <v>20.100390000000001</v>
      </c>
    </row>
    <row r="504" spans="1:51" x14ac:dyDescent="0.2">
      <c r="A504" s="3" t="s">
        <v>401</v>
      </c>
      <c r="B504" s="49">
        <v>33147</v>
      </c>
      <c r="D504" s="3">
        <v>62.337679999999999</v>
      </c>
      <c r="E504" s="3">
        <v>9.3202230000000001E-4</v>
      </c>
      <c r="F504" s="3">
        <v>62.812750000000001</v>
      </c>
      <c r="G504" s="3">
        <v>78.373180000000005</v>
      </c>
      <c r="H504" s="3">
        <v>27.929220000000001</v>
      </c>
      <c r="J504" s="3">
        <v>8.5437960000000004</v>
      </c>
      <c r="K504" s="3">
        <v>7.4788370000000004</v>
      </c>
      <c r="M504" s="3">
        <v>63.672159999999998</v>
      </c>
      <c r="N504" s="3">
        <v>62.565480000000001</v>
      </c>
      <c r="O504" s="3">
        <v>59.936100000000003</v>
      </c>
      <c r="P504" s="3">
        <v>49.964550000000003</v>
      </c>
      <c r="S504" s="3">
        <v>66.751339999999999</v>
      </c>
      <c r="T504" s="3">
        <v>68.42</v>
      </c>
      <c r="V504" s="3">
        <v>61.493429999999996</v>
      </c>
      <c r="W504" s="3">
        <v>56.7</v>
      </c>
      <c r="X504" s="3">
        <v>31.693660000000001</v>
      </c>
      <c r="Y504" s="3">
        <v>8.7715429999999994</v>
      </c>
      <c r="Z504" s="3">
        <v>9.9098120000000005</v>
      </c>
      <c r="AA504" s="3">
        <v>16.16873</v>
      </c>
      <c r="AB504" s="3">
        <v>87.415899999999993</v>
      </c>
      <c r="AC504" s="3">
        <v>40.862609999999997</v>
      </c>
      <c r="AD504" s="3">
        <v>32.361809999999998</v>
      </c>
      <c r="AE504" s="3">
        <v>52.926119999999997</v>
      </c>
      <c r="AF504" s="3">
        <v>92.9</v>
      </c>
      <c r="AG504" s="3">
        <v>41.378999999999998</v>
      </c>
      <c r="AI504" s="3">
        <v>60.160899999999998</v>
      </c>
      <c r="AK504" s="3">
        <v>10.38401</v>
      </c>
      <c r="AL504" s="3">
        <v>59.822400000000002</v>
      </c>
      <c r="AM504" s="3">
        <v>60.9</v>
      </c>
      <c r="AN504" s="3">
        <v>44.787469999999999</v>
      </c>
      <c r="AO504" s="3">
        <v>34.87706</v>
      </c>
      <c r="AP504" s="3">
        <v>7.4551829999999999</v>
      </c>
      <c r="AQ504" s="3">
        <v>46.34695</v>
      </c>
      <c r="AU504" s="3">
        <v>3.8899759999999999</v>
      </c>
      <c r="AV504" s="3">
        <v>68.110050000000001</v>
      </c>
      <c r="AW504" s="3">
        <v>5.6483169999999999E-2</v>
      </c>
      <c r="AX504" s="3">
        <v>56.325069999999997</v>
      </c>
      <c r="AY504" s="3">
        <v>20.23837</v>
      </c>
    </row>
    <row r="505" spans="1:51" x14ac:dyDescent="0.2">
      <c r="A505" s="3" t="s">
        <v>402</v>
      </c>
      <c r="B505" s="49">
        <v>33178</v>
      </c>
      <c r="D505" s="3">
        <v>62.112250000000003</v>
      </c>
      <c r="E505" s="3">
        <v>1.088695E-3</v>
      </c>
      <c r="F505" s="3">
        <v>63.207790000000003</v>
      </c>
      <c r="G505" s="3">
        <v>79.057060000000007</v>
      </c>
      <c r="H505" s="3">
        <v>28.175920000000001</v>
      </c>
      <c r="J505" s="3">
        <v>8.7191120000000009</v>
      </c>
      <c r="K505" s="3">
        <v>7.6928330000000003</v>
      </c>
      <c r="M505" s="3">
        <v>63.541690000000003</v>
      </c>
      <c r="N505" s="3">
        <v>62.530700000000003</v>
      </c>
      <c r="O505" s="3">
        <v>59.936100000000003</v>
      </c>
      <c r="P505" s="3">
        <v>49.914479999999998</v>
      </c>
      <c r="S505" s="3">
        <v>66.731610000000003</v>
      </c>
      <c r="T505" s="3">
        <v>68.31</v>
      </c>
      <c r="V505" s="3">
        <v>61.582610000000003</v>
      </c>
      <c r="W505" s="3">
        <v>56.9</v>
      </c>
      <c r="X505" s="3">
        <v>32.113579999999999</v>
      </c>
      <c r="Y505" s="3">
        <v>8.9379849999999994</v>
      </c>
      <c r="Z505" s="3">
        <v>9.9410530000000001</v>
      </c>
      <c r="AA505" s="3">
        <v>16.417480000000001</v>
      </c>
      <c r="AB505" s="3">
        <v>87.415899999999993</v>
      </c>
      <c r="AC505" s="3">
        <v>40.945999999999998</v>
      </c>
      <c r="AD505" s="3">
        <v>32.763820000000003</v>
      </c>
      <c r="AE505" s="3">
        <v>53.241399999999999</v>
      </c>
      <c r="AF505" s="3">
        <v>92.7</v>
      </c>
      <c r="AG505" s="3">
        <v>41.42</v>
      </c>
      <c r="AI505" s="3">
        <v>60.409649999999999</v>
      </c>
      <c r="AK505" s="3">
        <v>10.65971</v>
      </c>
      <c r="AL505" s="3">
        <v>59.765479999999997</v>
      </c>
      <c r="AM505" s="3">
        <v>60.9</v>
      </c>
      <c r="AN505" s="3">
        <v>44.957859999999997</v>
      </c>
      <c r="AO505" s="3">
        <v>35.032699999999998</v>
      </c>
      <c r="AP505" s="3">
        <v>7.8068419999999996</v>
      </c>
      <c r="AQ505" s="3">
        <v>46.648490000000002</v>
      </c>
      <c r="AU505" s="3">
        <v>4.0330360000000001</v>
      </c>
      <c r="AV505" s="3">
        <v>68.33663</v>
      </c>
      <c r="AW505" s="3">
        <v>5.931057E-2</v>
      </c>
      <c r="AX505" s="3">
        <v>56.451650000000001</v>
      </c>
      <c r="AY505" s="3">
        <v>20.652339999999999</v>
      </c>
    </row>
    <row r="506" spans="1:51" x14ac:dyDescent="0.2">
      <c r="A506" s="3" t="s">
        <v>403</v>
      </c>
      <c r="B506" s="49">
        <v>33208</v>
      </c>
      <c r="D506" s="3">
        <v>62.034759999999999</v>
      </c>
      <c r="E506" s="3">
        <v>1.2894510000000001E-3</v>
      </c>
      <c r="F506" s="3">
        <v>63.128779999999999</v>
      </c>
      <c r="G506" s="3">
        <v>79.052790000000002</v>
      </c>
      <c r="H506" s="3">
        <v>28.323090000000001</v>
      </c>
      <c r="J506" s="3">
        <v>8.9411810000000003</v>
      </c>
      <c r="K506" s="3">
        <v>7.9028119999999999</v>
      </c>
      <c r="M506" s="3">
        <v>63.606929999999998</v>
      </c>
      <c r="N506" s="3">
        <v>62.356819999999999</v>
      </c>
      <c r="O506" s="3">
        <v>59.936100000000003</v>
      </c>
      <c r="P506" s="3">
        <v>50.037460000000003</v>
      </c>
      <c r="S506" s="3">
        <v>66.672409999999999</v>
      </c>
      <c r="T506" s="3">
        <v>68.260000000000005</v>
      </c>
      <c r="V506" s="3">
        <v>61.592709999999997</v>
      </c>
      <c r="W506" s="3">
        <v>57</v>
      </c>
      <c r="X506" s="3">
        <v>32.657470000000004</v>
      </c>
      <c r="Y506" s="3">
        <v>9.0004010000000001</v>
      </c>
      <c r="Z506" s="3">
        <v>9.9473020000000005</v>
      </c>
      <c r="AA506" s="3">
        <v>16.500399999999999</v>
      </c>
      <c r="AB506" s="3">
        <v>87.515569999999997</v>
      </c>
      <c r="AC506" s="3">
        <v>41.029400000000003</v>
      </c>
      <c r="AD506" s="3">
        <v>32.864319999999999</v>
      </c>
      <c r="AE506" s="3">
        <v>53.35962</v>
      </c>
      <c r="AF506" s="3">
        <v>92.6</v>
      </c>
      <c r="AG506" s="3">
        <v>41.661999999999999</v>
      </c>
      <c r="AI506" s="3">
        <v>60.40372</v>
      </c>
      <c r="AK506" s="3">
        <v>10.99568</v>
      </c>
      <c r="AL506" s="3">
        <v>59.65164</v>
      </c>
      <c r="AM506" s="3">
        <v>60.7</v>
      </c>
      <c r="AN506" s="3">
        <v>45.064729999999997</v>
      </c>
      <c r="AO506" s="3">
        <v>35.117539999999998</v>
      </c>
      <c r="AP506" s="3">
        <v>8.2991659999999996</v>
      </c>
      <c r="AQ506" s="3">
        <v>47.008749999999999</v>
      </c>
      <c r="AU506" s="3">
        <v>4.1338970000000002</v>
      </c>
      <c r="AV506" s="3">
        <v>68.250470000000007</v>
      </c>
      <c r="AW506" s="3">
        <v>6.034656E-2</v>
      </c>
      <c r="AX506" s="3">
        <v>56.451650000000001</v>
      </c>
      <c r="AY506" s="3">
        <v>20.790330000000001</v>
      </c>
    </row>
    <row r="507" spans="1:51" x14ac:dyDescent="0.2">
      <c r="A507" s="3" t="s">
        <v>404</v>
      </c>
      <c r="B507" s="49">
        <v>33239</v>
      </c>
      <c r="D507" s="3">
        <v>62.499699999999997</v>
      </c>
      <c r="E507" s="3">
        <v>1.557012E-3</v>
      </c>
      <c r="F507" s="3">
        <v>64.787989999999994</v>
      </c>
      <c r="G507" s="3">
        <v>79.694329999999994</v>
      </c>
      <c r="H507" s="3">
        <v>28.44304</v>
      </c>
      <c r="J507" s="3">
        <v>9.2100010000000001</v>
      </c>
      <c r="K507" s="3">
        <v>8.1017379999999992</v>
      </c>
      <c r="L507" s="3">
        <v>28.462499999999999</v>
      </c>
      <c r="M507" s="3">
        <v>63.998359999999998</v>
      </c>
      <c r="N507" s="3">
        <v>62.356819999999999</v>
      </c>
      <c r="O507" s="3">
        <v>60.292009999999998</v>
      </c>
      <c r="P507" s="3">
        <v>50.619709999999998</v>
      </c>
      <c r="S507" s="3">
        <v>67.698449999999994</v>
      </c>
      <c r="T507" s="3">
        <v>68.64</v>
      </c>
      <c r="V507" s="3">
        <v>61.988250000000001</v>
      </c>
      <c r="W507" s="3">
        <v>57</v>
      </c>
      <c r="X507" s="3">
        <v>32.661650000000002</v>
      </c>
      <c r="Y507" s="3">
        <v>9.8908710000000006</v>
      </c>
      <c r="Z507" s="3">
        <v>10.02228</v>
      </c>
      <c r="AA507" s="3">
        <v>16.74915</v>
      </c>
      <c r="AB507" s="3">
        <v>87.714929999999995</v>
      </c>
      <c r="AC507" s="3">
        <v>41.071089999999998</v>
      </c>
      <c r="AD507" s="3">
        <v>33.266330000000004</v>
      </c>
      <c r="AE507" s="3">
        <v>53.693309999999997</v>
      </c>
      <c r="AF507" s="3">
        <v>93.2</v>
      </c>
      <c r="AG507" s="3">
        <v>42.555</v>
      </c>
      <c r="AI507" s="3">
        <v>60.439259999999997</v>
      </c>
      <c r="AJ507" s="3">
        <v>0.67878070000000001</v>
      </c>
      <c r="AK507" s="3">
        <v>11.27594</v>
      </c>
      <c r="AL507" s="3">
        <v>59.733829999999998</v>
      </c>
      <c r="AM507" s="3">
        <v>61</v>
      </c>
      <c r="AN507" s="3">
        <v>45.448309999999999</v>
      </c>
      <c r="AO507" s="3">
        <v>35.407020000000003</v>
      </c>
      <c r="AP507" s="3">
        <v>9.3541439999999998</v>
      </c>
      <c r="AQ507" s="3">
        <v>48.030810000000002</v>
      </c>
      <c r="AT507" s="3">
        <v>20.384779999999999</v>
      </c>
      <c r="AU507" s="3">
        <v>4.3854680000000004</v>
      </c>
      <c r="AV507" s="3">
        <v>69.874870000000001</v>
      </c>
      <c r="AW507" s="3">
        <v>6.3281870000000004E-2</v>
      </c>
      <c r="AX507" s="3">
        <v>56.789180000000002</v>
      </c>
      <c r="AY507" s="3">
        <v>21.020309999999998</v>
      </c>
    </row>
    <row r="508" spans="1:51" x14ac:dyDescent="0.2">
      <c r="A508" s="3" t="s">
        <v>405</v>
      </c>
      <c r="B508" s="49">
        <v>33270</v>
      </c>
      <c r="D508" s="3">
        <v>62.711039999999997</v>
      </c>
      <c r="E508" s="3">
        <v>1.879632E-3</v>
      </c>
      <c r="F508" s="3">
        <v>64.787989999999994</v>
      </c>
      <c r="G508" s="3">
        <v>80.486530000000002</v>
      </c>
      <c r="H508" s="3">
        <v>28.479620000000001</v>
      </c>
      <c r="J508" s="3">
        <v>9.5255720000000004</v>
      </c>
      <c r="K508" s="3">
        <v>8.3408519999999999</v>
      </c>
      <c r="L508" s="3">
        <v>30.235420000000001</v>
      </c>
      <c r="M508" s="3">
        <v>64.278229999999994</v>
      </c>
      <c r="N508" s="3">
        <v>62.530700000000003</v>
      </c>
      <c r="O508" s="3">
        <v>60.647930000000002</v>
      </c>
      <c r="P508" s="3">
        <v>50.548969999999997</v>
      </c>
      <c r="S508" s="3">
        <v>68.014139999999998</v>
      </c>
      <c r="T508" s="3">
        <v>68.819999999999993</v>
      </c>
      <c r="V508" s="3">
        <v>62.10792</v>
      </c>
      <c r="W508" s="3">
        <v>57.2</v>
      </c>
      <c r="X508" s="3">
        <v>32.733379999999997</v>
      </c>
      <c r="Y508" s="3">
        <v>10.31114</v>
      </c>
      <c r="Z508" s="3">
        <v>10.053520000000001</v>
      </c>
      <c r="AA508" s="3">
        <v>16.74915</v>
      </c>
      <c r="AB508" s="3">
        <v>87.814610000000002</v>
      </c>
      <c r="AC508" s="3">
        <v>41.321269999999998</v>
      </c>
      <c r="AD508" s="3">
        <v>33.46734</v>
      </c>
      <c r="AE508" s="3">
        <v>54.108730000000001</v>
      </c>
      <c r="AF508" s="3">
        <v>93</v>
      </c>
      <c r="AG508" s="3">
        <v>43.122999999999998</v>
      </c>
      <c r="AI508" s="3">
        <v>60.522170000000003</v>
      </c>
      <c r="AJ508" s="3">
        <v>0.77176429999999996</v>
      </c>
      <c r="AK508" s="3">
        <v>11.47279</v>
      </c>
      <c r="AL508" s="3">
        <v>59.792859999999997</v>
      </c>
      <c r="AM508" s="3">
        <v>61.2</v>
      </c>
      <c r="AN508" s="3">
        <v>45.63991</v>
      </c>
      <c r="AO508" s="3">
        <v>35.66818</v>
      </c>
      <c r="AP508" s="3">
        <v>9.9871309999999998</v>
      </c>
      <c r="AQ508" s="3">
        <v>48.848860000000002</v>
      </c>
      <c r="AT508" s="3">
        <v>22.175519999999999</v>
      </c>
      <c r="AU508" s="3">
        <v>4.782419</v>
      </c>
      <c r="AV508" s="3">
        <v>71.815219999999997</v>
      </c>
      <c r="AW508" s="3">
        <v>6.6713599999999998E-2</v>
      </c>
      <c r="AX508" s="3">
        <v>56.873559999999998</v>
      </c>
      <c r="AY508" s="3">
        <v>21.296289999999999</v>
      </c>
    </row>
    <row r="509" spans="1:51" x14ac:dyDescent="0.2">
      <c r="A509" s="3" t="s">
        <v>406</v>
      </c>
      <c r="B509" s="49">
        <v>33298</v>
      </c>
      <c r="D509" s="3">
        <v>62.450389999999999</v>
      </c>
      <c r="E509" s="3">
        <v>2.1037389999999999E-3</v>
      </c>
      <c r="F509" s="3">
        <v>65.025019999999998</v>
      </c>
      <c r="G509" s="3">
        <v>80.498949999999994</v>
      </c>
      <c r="H509" s="3">
        <v>28.80969</v>
      </c>
      <c r="J509" s="3">
        <v>9.759328</v>
      </c>
      <c r="K509" s="3">
        <v>8.4463430000000006</v>
      </c>
      <c r="L509" s="3">
        <v>31.481249999999999</v>
      </c>
      <c r="M509" s="3">
        <v>64.278229999999994</v>
      </c>
      <c r="N509" s="3">
        <v>62.635039999999996</v>
      </c>
      <c r="O509" s="3">
        <v>60.719110000000001</v>
      </c>
      <c r="P509" s="3">
        <v>50.713299999999997</v>
      </c>
      <c r="S509" s="3">
        <v>68.152270000000001</v>
      </c>
      <c r="T509" s="3">
        <v>68.95</v>
      </c>
      <c r="V509" s="3">
        <v>62.258479999999999</v>
      </c>
      <c r="W509" s="3">
        <v>57.5</v>
      </c>
      <c r="X509" s="3">
        <v>33.357349999999997</v>
      </c>
      <c r="Y509" s="3">
        <v>10.619059999999999</v>
      </c>
      <c r="Z509" s="3">
        <v>10.05977</v>
      </c>
      <c r="AA509" s="3">
        <v>16.666229999999999</v>
      </c>
      <c r="AB509" s="3">
        <v>87.017200000000003</v>
      </c>
      <c r="AC509" s="3">
        <v>41.279580000000003</v>
      </c>
      <c r="AD509" s="3">
        <v>33.869349999999997</v>
      </c>
      <c r="AE509" s="3">
        <v>54.420299999999997</v>
      </c>
      <c r="AF509" s="3">
        <v>93.4</v>
      </c>
      <c r="AG509" s="3">
        <v>43.651000000000003</v>
      </c>
      <c r="AI509" s="3">
        <v>60.640630000000002</v>
      </c>
      <c r="AJ509" s="3">
        <v>0.81825619999999999</v>
      </c>
      <c r="AK509" s="3">
        <v>11.6364</v>
      </c>
      <c r="AL509" s="3">
        <v>60.206040000000002</v>
      </c>
      <c r="AM509" s="3">
        <v>61.6</v>
      </c>
      <c r="AN509" s="3">
        <v>45.829180000000001</v>
      </c>
      <c r="AO509" s="3">
        <v>35.862380000000002</v>
      </c>
      <c r="AP509" s="3">
        <v>10.40912</v>
      </c>
      <c r="AQ509" s="3">
        <v>49.120539999999998</v>
      </c>
      <c r="AT509" s="3">
        <v>23.46808</v>
      </c>
      <c r="AU509" s="3">
        <v>4.975562</v>
      </c>
      <c r="AV509" s="3">
        <v>72.073719999999994</v>
      </c>
      <c r="AW509" s="3">
        <v>6.9627330000000001E-2</v>
      </c>
      <c r="AX509" s="3">
        <v>56.957940000000001</v>
      </c>
      <c r="AY509" s="3">
        <v>21.480270000000001</v>
      </c>
    </row>
    <row r="510" spans="1:51" x14ac:dyDescent="0.2">
      <c r="A510" s="3" t="s">
        <v>407</v>
      </c>
      <c r="B510" s="49">
        <v>33329</v>
      </c>
      <c r="D510" s="3">
        <v>62.485610000000001</v>
      </c>
      <c r="E510" s="3">
        <v>2.2087000000000001E-3</v>
      </c>
      <c r="F510" s="3">
        <v>65.025019999999998</v>
      </c>
      <c r="G510" s="3">
        <v>80.692269999999994</v>
      </c>
      <c r="H510" s="3">
        <v>29.341380000000001</v>
      </c>
      <c r="J510" s="3">
        <v>10.03984</v>
      </c>
      <c r="K510" s="3">
        <v>8.6844529999999995</v>
      </c>
      <c r="L510" s="3">
        <v>32.247920000000001</v>
      </c>
      <c r="M510" s="3">
        <v>64.558109999999999</v>
      </c>
      <c r="N510" s="3">
        <v>62.774149999999999</v>
      </c>
      <c r="O510" s="3">
        <v>60.932659999999998</v>
      </c>
      <c r="P510" s="3">
        <v>50.823219999999999</v>
      </c>
      <c r="S510" s="3">
        <v>68.435079999999999</v>
      </c>
      <c r="T510" s="3">
        <v>69.16</v>
      </c>
      <c r="V510" s="3">
        <v>62.51379</v>
      </c>
      <c r="W510" s="3">
        <v>58.7</v>
      </c>
      <c r="X510" s="3">
        <v>34.530079999999998</v>
      </c>
      <c r="Y510" s="3">
        <v>10.95194</v>
      </c>
      <c r="Z510" s="3">
        <v>10.24722</v>
      </c>
      <c r="AA510" s="3">
        <v>16.74915</v>
      </c>
      <c r="AB510" s="3">
        <v>87.814610000000002</v>
      </c>
      <c r="AC510" s="3">
        <v>41.321269999999998</v>
      </c>
      <c r="AD510" s="3">
        <v>34.673369999999998</v>
      </c>
      <c r="AE510" s="3">
        <v>54.628010000000003</v>
      </c>
      <c r="AF510" s="3">
        <v>94</v>
      </c>
      <c r="AG510" s="3">
        <v>43.853000000000002</v>
      </c>
      <c r="AI510" s="3">
        <v>60.40372</v>
      </c>
      <c r="AJ510" s="3">
        <v>0.93913500000000005</v>
      </c>
      <c r="AK510" s="3">
        <v>11.7583</v>
      </c>
      <c r="AL510" s="3">
        <v>60.265059999999998</v>
      </c>
      <c r="AM510" s="3">
        <v>61.8</v>
      </c>
      <c r="AN510" s="3">
        <v>46.095889999999997</v>
      </c>
      <c r="AO510" s="3">
        <v>36.224269999999997</v>
      </c>
      <c r="AP510" s="3">
        <v>10.69045</v>
      </c>
      <c r="AQ510" s="3">
        <v>49.460900000000002</v>
      </c>
      <c r="AT510" s="3">
        <v>23.656580000000002</v>
      </c>
      <c r="AU510" s="3">
        <v>5.1721820000000003</v>
      </c>
      <c r="AV510" s="3">
        <v>72.469449999999995</v>
      </c>
      <c r="AW510" s="3">
        <v>7.4192170000000002E-2</v>
      </c>
      <c r="AX510" s="3">
        <v>57.042319999999997</v>
      </c>
      <c r="AY510" s="3">
        <v>21.802250000000001</v>
      </c>
    </row>
    <row r="511" spans="1:51" x14ac:dyDescent="0.2">
      <c r="A511" s="3" t="s">
        <v>408</v>
      </c>
      <c r="B511" s="49">
        <v>33359</v>
      </c>
      <c r="D511" s="3">
        <v>62.711039999999997</v>
      </c>
      <c r="E511" s="3">
        <v>2.372847E-3</v>
      </c>
      <c r="F511" s="3">
        <v>65.341059999999999</v>
      </c>
      <c r="G511" s="3">
        <v>81.373360000000005</v>
      </c>
      <c r="H511" s="3">
        <v>30.072130000000001</v>
      </c>
      <c r="J511" s="3">
        <v>10.261900000000001</v>
      </c>
      <c r="K511" s="3">
        <v>8.8351550000000003</v>
      </c>
      <c r="L511" s="3">
        <v>32.870829999999998</v>
      </c>
      <c r="M511" s="3">
        <v>64.744690000000006</v>
      </c>
      <c r="N511" s="3">
        <v>63.191479999999999</v>
      </c>
      <c r="O511" s="3">
        <v>61.146210000000004</v>
      </c>
      <c r="P511" s="3">
        <v>50.967419999999997</v>
      </c>
      <c r="S511" s="3">
        <v>68.737629999999996</v>
      </c>
      <c r="T511" s="3">
        <v>69.38</v>
      </c>
      <c r="V511" s="3">
        <v>62.744399999999999</v>
      </c>
      <c r="W511" s="3">
        <v>59.2</v>
      </c>
      <c r="X511" s="3">
        <v>34.594140000000003</v>
      </c>
      <c r="Y511" s="3">
        <v>11.06429</v>
      </c>
      <c r="Z511" s="3">
        <v>10.265969999999999</v>
      </c>
      <c r="AA511" s="3">
        <v>16.91498</v>
      </c>
      <c r="AB511" s="3">
        <v>88.013949999999994</v>
      </c>
      <c r="AC511" s="3">
        <v>41.613149999999997</v>
      </c>
      <c r="AD511" s="3">
        <v>35.175879999999999</v>
      </c>
      <c r="AE511" s="3">
        <v>54.835720000000002</v>
      </c>
      <c r="AF511" s="3">
        <v>94.4</v>
      </c>
      <c r="AG511" s="3">
        <v>43.975000000000001</v>
      </c>
      <c r="AI511" s="3">
        <v>60.699849999999998</v>
      </c>
      <c r="AJ511" s="3">
        <v>0.95773169999999996</v>
      </c>
      <c r="AK511" s="3">
        <v>11.873250000000001</v>
      </c>
      <c r="AL511" s="3">
        <v>60.383110000000002</v>
      </c>
      <c r="AM511" s="3">
        <v>61.9</v>
      </c>
      <c r="AN511" s="3">
        <v>46.304679999999998</v>
      </c>
      <c r="AO511" s="3">
        <v>36.435949999999998</v>
      </c>
      <c r="AP511" s="3">
        <v>10.971780000000001</v>
      </c>
      <c r="AQ511" s="3">
        <v>49.821159999999999</v>
      </c>
      <c r="AT511" s="3">
        <v>24.114360000000001</v>
      </c>
      <c r="AU511" s="3">
        <v>5.7655209999999997</v>
      </c>
      <c r="AV511" s="3">
        <v>72.542850000000001</v>
      </c>
      <c r="AW511" s="3">
        <v>7.6663439999999999E-2</v>
      </c>
      <c r="AX511" s="3">
        <v>57.211089999999999</v>
      </c>
      <c r="AY511" s="3">
        <v>22.124220000000001</v>
      </c>
    </row>
    <row r="512" spans="1:51" x14ac:dyDescent="0.2">
      <c r="A512" s="3" t="s">
        <v>409</v>
      </c>
      <c r="B512" s="49">
        <v>33390</v>
      </c>
      <c r="D512" s="3">
        <v>62.992820000000002</v>
      </c>
      <c r="E512" s="3">
        <v>2.6383449999999998E-3</v>
      </c>
      <c r="F512" s="3">
        <v>65.6571</v>
      </c>
      <c r="G512" s="3">
        <v>81.707499999999996</v>
      </c>
      <c r="H512" s="3">
        <v>30.62593</v>
      </c>
      <c r="J512" s="3">
        <v>10.42553</v>
      </c>
      <c r="K512" s="3">
        <v>9.02102</v>
      </c>
      <c r="L512" s="3">
        <v>33.589579999999998</v>
      </c>
      <c r="M512" s="3">
        <v>65.117859999999993</v>
      </c>
      <c r="N512" s="3">
        <v>63.330599999999997</v>
      </c>
      <c r="O512" s="3">
        <v>61.359760000000001</v>
      </c>
      <c r="P512" s="3">
        <v>51.114339999999999</v>
      </c>
      <c r="S512" s="3">
        <v>68.72448</v>
      </c>
      <c r="T512" s="3">
        <v>69.55</v>
      </c>
      <c r="V512" s="3">
        <v>62.914929999999998</v>
      </c>
      <c r="W512" s="3">
        <v>59.5</v>
      </c>
      <c r="X512" s="3">
        <v>35.395000000000003</v>
      </c>
      <c r="Y512" s="3">
        <v>11.1808</v>
      </c>
      <c r="Z512" s="3">
        <v>10.315950000000001</v>
      </c>
      <c r="AA512" s="3">
        <v>17.329560000000001</v>
      </c>
      <c r="AB512" s="3">
        <v>88.412660000000002</v>
      </c>
      <c r="AC512" s="3">
        <v>41.696539999999999</v>
      </c>
      <c r="AD512" s="3">
        <v>35.879399999999997</v>
      </c>
      <c r="AE512" s="3">
        <v>55.095359999999999</v>
      </c>
      <c r="AF512" s="3">
        <v>94.1</v>
      </c>
      <c r="AG512" s="3">
        <v>44.258000000000003</v>
      </c>
      <c r="AI512" s="3">
        <v>60.794609999999999</v>
      </c>
      <c r="AJ512" s="3">
        <v>0.98562680000000003</v>
      </c>
      <c r="AK512" s="3">
        <v>11.99783</v>
      </c>
      <c r="AL512" s="3">
        <v>60.501159999999999</v>
      </c>
      <c r="AM512" s="3">
        <v>62</v>
      </c>
      <c r="AN512" s="3">
        <v>46.48668</v>
      </c>
      <c r="AO512" s="3">
        <v>36.659979999999997</v>
      </c>
      <c r="AP512" s="3">
        <v>11.53443</v>
      </c>
      <c r="AQ512" s="3">
        <v>50.151560000000003</v>
      </c>
      <c r="AT512" s="3">
        <v>24.572140000000001</v>
      </c>
      <c r="AU512" s="3">
        <v>6.4291150000000004</v>
      </c>
      <c r="AV512" s="3">
        <v>72.447109999999995</v>
      </c>
      <c r="AW512" s="3">
        <v>7.8929680000000002E-2</v>
      </c>
      <c r="AX512" s="3">
        <v>57.379849999999998</v>
      </c>
      <c r="AY512" s="3">
        <v>22.26221</v>
      </c>
    </row>
    <row r="513" spans="1:51" x14ac:dyDescent="0.2">
      <c r="A513" s="3" t="s">
        <v>410</v>
      </c>
      <c r="B513" s="49">
        <v>33420</v>
      </c>
      <c r="D513" s="3">
        <v>63.338009999999997</v>
      </c>
      <c r="E513" s="3">
        <v>2.9657360000000001E-3</v>
      </c>
      <c r="F513" s="3">
        <v>65.736109999999996</v>
      </c>
      <c r="G513" s="3">
        <v>81.735720000000001</v>
      </c>
      <c r="H513" s="3">
        <v>31.180579999999999</v>
      </c>
      <c r="J513" s="3">
        <v>10.612539999999999</v>
      </c>
      <c r="K513" s="3">
        <v>9.2169329999999992</v>
      </c>
      <c r="L513" s="3">
        <v>33.35</v>
      </c>
      <c r="M513" s="3">
        <v>65.864199999999997</v>
      </c>
      <c r="N513" s="3">
        <v>63.121929999999999</v>
      </c>
      <c r="O513" s="3">
        <v>61.858040000000003</v>
      </c>
      <c r="P513" s="3">
        <v>51.748820000000002</v>
      </c>
      <c r="S513" s="3">
        <v>68.612669999999994</v>
      </c>
      <c r="T513" s="3">
        <v>69.73</v>
      </c>
      <c r="V513" s="3">
        <v>63.048400000000001</v>
      </c>
      <c r="W513" s="3">
        <v>59.3</v>
      </c>
      <c r="X513" s="3">
        <v>35.205579999999998</v>
      </c>
      <c r="Y513" s="3">
        <v>11.50121</v>
      </c>
      <c r="Z513" s="3">
        <v>10.509650000000001</v>
      </c>
      <c r="AA513" s="3">
        <v>17.744150000000001</v>
      </c>
      <c r="AB513" s="3">
        <v>88.711690000000004</v>
      </c>
      <c r="AC513" s="3">
        <v>41.696539999999999</v>
      </c>
      <c r="AD513" s="3">
        <v>36.984920000000002</v>
      </c>
      <c r="AE513" s="3">
        <v>55.303069999999998</v>
      </c>
      <c r="AF513" s="3">
        <v>94</v>
      </c>
      <c r="AG513" s="3">
        <v>44.542999999999999</v>
      </c>
      <c r="AI513" s="3">
        <v>61.102580000000003</v>
      </c>
      <c r="AJ513" s="3">
        <v>1.0042230000000001</v>
      </c>
      <c r="AK513" s="3">
        <v>12.103859999999999</v>
      </c>
      <c r="AL513" s="3">
        <v>61.091419999999999</v>
      </c>
      <c r="AM513" s="3">
        <v>62</v>
      </c>
      <c r="AN513" s="3">
        <v>46.638530000000003</v>
      </c>
      <c r="AO513" s="3">
        <v>36.861490000000003</v>
      </c>
      <c r="AP513" s="3">
        <v>11.53443</v>
      </c>
      <c r="AQ513" s="3">
        <v>50.379460000000002</v>
      </c>
      <c r="AT513" s="3">
        <v>24.69332</v>
      </c>
      <c r="AU513" s="3">
        <v>6.7942999999999998</v>
      </c>
      <c r="AV513" s="3">
        <v>72.463070000000002</v>
      </c>
      <c r="AW513" s="3">
        <v>7.9965670000000003E-2</v>
      </c>
      <c r="AX513" s="3">
        <v>57.464230000000001</v>
      </c>
      <c r="AY513" s="3">
        <v>22.53819</v>
      </c>
    </row>
    <row r="514" spans="1:51" x14ac:dyDescent="0.2">
      <c r="A514" s="3" t="s">
        <v>411</v>
      </c>
      <c r="B514" s="49">
        <v>33451</v>
      </c>
      <c r="D514" s="3">
        <v>63.528210000000001</v>
      </c>
      <c r="E514" s="3">
        <v>3.4292939999999998E-3</v>
      </c>
      <c r="F514" s="3">
        <v>65.815119999999993</v>
      </c>
      <c r="G514" s="3">
        <v>82.161000000000001</v>
      </c>
      <c r="H514" s="3">
        <v>31.55829</v>
      </c>
      <c r="J514" s="3">
        <v>10.741110000000001</v>
      </c>
      <c r="K514" s="3">
        <v>9.3455320000000004</v>
      </c>
      <c r="L514" s="3">
        <v>33.206249999999997</v>
      </c>
      <c r="M514" s="3">
        <v>65.864199999999997</v>
      </c>
      <c r="N514" s="3">
        <v>63.226260000000003</v>
      </c>
      <c r="O514" s="3">
        <v>61.929220000000001</v>
      </c>
      <c r="P514" s="3">
        <v>51.940899999999999</v>
      </c>
      <c r="S514" s="3">
        <v>68.586359999999999</v>
      </c>
      <c r="T514" s="3">
        <v>69.81</v>
      </c>
      <c r="V514" s="3">
        <v>63.225169999999999</v>
      </c>
      <c r="W514" s="3">
        <v>59.9</v>
      </c>
      <c r="X514" s="3">
        <v>35.171460000000003</v>
      </c>
      <c r="Y514" s="3">
        <v>11.413819999999999</v>
      </c>
      <c r="Z514" s="3">
        <v>10.70959</v>
      </c>
      <c r="AA514" s="3">
        <v>17.992899999999999</v>
      </c>
      <c r="AB514" s="3">
        <v>89.010710000000003</v>
      </c>
      <c r="AC514" s="3">
        <v>41.738239999999998</v>
      </c>
      <c r="AD514" s="3">
        <v>37.68844</v>
      </c>
      <c r="AE514" s="3">
        <v>55.458849999999998</v>
      </c>
      <c r="AF514" s="3">
        <v>94.2</v>
      </c>
      <c r="AG514" s="3">
        <v>44.908000000000001</v>
      </c>
      <c r="AI514" s="3">
        <v>61.286180000000002</v>
      </c>
      <c r="AJ514" s="3">
        <v>1.013522</v>
      </c>
      <c r="AK514" s="3">
        <v>12.1881</v>
      </c>
      <c r="AL514" s="3">
        <v>61.150440000000003</v>
      </c>
      <c r="AM514" s="3">
        <v>62</v>
      </c>
      <c r="AN514" s="3">
        <v>46.823340000000002</v>
      </c>
      <c r="AO514" s="3">
        <v>37.057139999999997</v>
      </c>
      <c r="AP514" s="3">
        <v>11.60477</v>
      </c>
      <c r="AQ514" s="3">
        <v>50.710850000000001</v>
      </c>
      <c r="AT514" s="3">
        <v>24.814499999999999</v>
      </c>
      <c r="AU514" s="3">
        <v>7.2823719999999996</v>
      </c>
      <c r="AV514" s="3">
        <v>72.360950000000003</v>
      </c>
      <c r="AW514" s="3">
        <v>8.3149189999999998E-2</v>
      </c>
      <c r="AX514" s="3">
        <v>57.633000000000003</v>
      </c>
      <c r="AY514" s="3">
        <v>22.86016</v>
      </c>
    </row>
    <row r="515" spans="1:51" x14ac:dyDescent="0.2">
      <c r="A515" s="3" t="s">
        <v>412</v>
      </c>
      <c r="B515" s="49">
        <v>33482</v>
      </c>
      <c r="D515" s="3">
        <v>63.485950000000003</v>
      </c>
      <c r="E515" s="3">
        <v>3.9653190000000001E-3</v>
      </c>
      <c r="F515" s="3">
        <v>65.6571</v>
      </c>
      <c r="G515" s="3">
        <v>82.32011</v>
      </c>
      <c r="H515" s="3">
        <v>31.970880000000001</v>
      </c>
      <c r="J515" s="3">
        <v>10.904730000000001</v>
      </c>
      <c r="K515" s="3">
        <v>9.4952299999999994</v>
      </c>
      <c r="L515" s="3">
        <v>33.158329999999999</v>
      </c>
      <c r="M515" s="3">
        <v>65.864199999999997</v>
      </c>
      <c r="N515" s="3">
        <v>63.574039999999997</v>
      </c>
      <c r="O515" s="3">
        <v>62.000399999999999</v>
      </c>
      <c r="P515" s="3">
        <v>52.365340000000003</v>
      </c>
      <c r="S515" s="3">
        <v>68.79683</v>
      </c>
      <c r="T515" s="3">
        <v>69.92</v>
      </c>
      <c r="V515" s="3">
        <v>63.409239999999997</v>
      </c>
      <c r="W515" s="3">
        <v>60.1</v>
      </c>
      <c r="X515" s="3">
        <v>36.599069999999998</v>
      </c>
      <c r="Y515" s="3">
        <v>11.60107</v>
      </c>
      <c r="Z515" s="3">
        <v>10.72209</v>
      </c>
      <c r="AA515" s="3">
        <v>18.324560000000002</v>
      </c>
      <c r="AB515" s="3">
        <v>88.91104</v>
      </c>
      <c r="AC515" s="3">
        <v>41.52975</v>
      </c>
      <c r="AD515" s="3">
        <v>38.291460000000001</v>
      </c>
      <c r="AE515" s="3">
        <v>55.718490000000003</v>
      </c>
      <c r="AF515" s="3">
        <v>94.3</v>
      </c>
      <c r="AG515" s="3">
        <v>45.152000000000001</v>
      </c>
      <c r="AI515" s="3">
        <v>61.428319999999999</v>
      </c>
      <c r="AJ515" s="3">
        <v>1.097207</v>
      </c>
      <c r="AK515" s="3">
        <v>12.30951</v>
      </c>
      <c r="AL515" s="3">
        <v>61.681669999999997</v>
      </c>
      <c r="AM515" s="3">
        <v>62.4</v>
      </c>
      <c r="AN515" s="3">
        <v>47.069710000000001</v>
      </c>
      <c r="AO515" s="3">
        <v>37.337449999999997</v>
      </c>
      <c r="AP515" s="3">
        <v>12.09709</v>
      </c>
      <c r="AQ515" s="3">
        <v>50.80838</v>
      </c>
      <c r="AT515" s="3">
        <v>24.827960000000001</v>
      </c>
      <c r="AU515" s="3">
        <v>8.3953179999999996</v>
      </c>
      <c r="AV515" s="3">
        <v>73.149209999999997</v>
      </c>
      <c r="AW515" s="3">
        <v>8.8210440000000001E-2</v>
      </c>
      <c r="AX515" s="3">
        <v>57.886139999999997</v>
      </c>
      <c r="AY515" s="3">
        <v>23.18214</v>
      </c>
    </row>
    <row r="516" spans="1:51" x14ac:dyDescent="0.2">
      <c r="A516" s="3" t="s">
        <v>413</v>
      </c>
      <c r="B516" s="49">
        <v>33512</v>
      </c>
      <c r="D516" s="3">
        <v>63.718420000000002</v>
      </c>
      <c r="E516" s="3">
        <v>4.7674859999999996E-3</v>
      </c>
      <c r="F516" s="3">
        <v>65.578090000000003</v>
      </c>
      <c r="G516" s="3">
        <v>82.392960000000002</v>
      </c>
      <c r="H516" s="3">
        <v>32.895589999999999</v>
      </c>
      <c r="J516" s="3">
        <v>11.04499</v>
      </c>
      <c r="K516" s="3">
        <v>9.6047390000000004</v>
      </c>
      <c r="L516" s="3">
        <v>33.110419999999998</v>
      </c>
      <c r="M516" s="3">
        <v>66.890410000000003</v>
      </c>
      <c r="N516" s="3">
        <v>63.713149999999999</v>
      </c>
      <c r="O516" s="3">
        <v>62.213949999999997</v>
      </c>
      <c r="P516" s="3">
        <v>52.69455</v>
      </c>
      <c r="S516" s="3">
        <v>68.980990000000006</v>
      </c>
      <c r="T516" s="3">
        <v>70.28</v>
      </c>
      <c r="V516" s="3">
        <v>63.725239999999999</v>
      </c>
      <c r="W516" s="3">
        <v>60.4</v>
      </c>
      <c r="X516" s="3">
        <v>37.29128</v>
      </c>
      <c r="Y516" s="3">
        <v>11.74671</v>
      </c>
      <c r="Z516" s="3">
        <v>10.803319999999999</v>
      </c>
      <c r="AA516" s="3">
        <v>18.490400000000001</v>
      </c>
      <c r="AB516" s="3">
        <v>89.309749999999994</v>
      </c>
      <c r="AC516" s="3">
        <v>41.696539999999999</v>
      </c>
      <c r="AD516" s="3">
        <v>38.492460000000001</v>
      </c>
      <c r="AE516" s="3">
        <v>55.97813</v>
      </c>
      <c r="AF516" s="3">
        <v>95.3</v>
      </c>
      <c r="AG516" s="3">
        <v>45.232999999999997</v>
      </c>
      <c r="AI516" s="3">
        <v>61.600070000000002</v>
      </c>
      <c r="AJ516" s="3">
        <v>1.162296</v>
      </c>
      <c r="AK516" s="3">
        <v>12.452680000000001</v>
      </c>
      <c r="AL516" s="3">
        <v>61.858750000000001</v>
      </c>
      <c r="AM516" s="3">
        <v>62.4</v>
      </c>
      <c r="AN516" s="3">
        <v>47.396320000000003</v>
      </c>
      <c r="AO516" s="3">
        <v>37.764049999999997</v>
      </c>
      <c r="AP516" s="3">
        <v>12.519080000000001</v>
      </c>
      <c r="AQ516" s="3">
        <v>51.092010000000002</v>
      </c>
      <c r="AT516" s="3">
        <v>24.733709999999999</v>
      </c>
      <c r="AU516" s="3">
        <v>10.27736</v>
      </c>
      <c r="AV516" s="3">
        <v>73.423670000000001</v>
      </c>
      <c r="AW516" s="3">
        <v>9.4027109999999997E-2</v>
      </c>
      <c r="AX516" s="3">
        <v>57.97052</v>
      </c>
      <c r="AY516" s="3">
        <v>23.5961</v>
      </c>
    </row>
    <row r="517" spans="1:51" x14ac:dyDescent="0.2">
      <c r="A517" s="3" t="s">
        <v>414</v>
      </c>
      <c r="B517" s="49">
        <v>33543</v>
      </c>
      <c r="D517" s="3">
        <v>63.88044</v>
      </c>
      <c r="E517" s="3">
        <v>5.969383E-3</v>
      </c>
      <c r="F517" s="3">
        <v>65.815119999999993</v>
      </c>
      <c r="G517" s="3">
        <v>83.382750000000001</v>
      </c>
      <c r="H517" s="3">
        <v>33.199289999999998</v>
      </c>
      <c r="J517" s="3">
        <v>11.18524</v>
      </c>
      <c r="K517" s="3">
        <v>9.7453950000000003</v>
      </c>
      <c r="L517" s="3">
        <v>33.637500000000003</v>
      </c>
      <c r="M517" s="3">
        <v>67.170289999999994</v>
      </c>
      <c r="N517" s="3">
        <v>63.991370000000003</v>
      </c>
      <c r="O517" s="3">
        <v>62.49868</v>
      </c>
      <c r="P517" s="3">
        <v>52.774540000000002</v>
      </c>
      <c r="S517" s="3">
        <v>69.066490000000002</v>
      </c>
      <c r="T517" s="3">
        <v>70.55</v>
      </c>
      <c r="V517" s="3">
        <v>63.930390000000003</v>
      </c>
      <c r="W517" s="3">
        <v>60.5</v>
      </c>
      <c r="X517" s="3">
        <v>37.878349999999998</v>
      </c>
      <c r="Y517" s="3">
        <v>11.87154</v>
      </c>
      <c r="Z517" s="3">
        <v>10.922040000000001</v>
      </c>
      <c r="AA517" s="3">
        <v>18.656230000000001</v>
      </c>
      <c r="AB517" s="3">
        <v>90.107150000000004</v>
      </c>
      <c r="AC517" s="3">
        <v>41.696539999999999</v>
      </c>
      <c r="AD517" s="3">
        <v>38.592959999999998</v>
      </c>
      <c r="AE517" s="3">
        <v>56.341630000000002</v>
      </c>
      <c r="AF517" s="3">
        <v>95.5</v>
      </c>
      <c r="AG517" s="3">
        <v>45.435000000000002</v>
      </c>
      <c r="AI517" s="3">
        <v>61.961350000000003</v>
      </c>
      <c r="AJ517" s="3">
        <v>1.273876</v>
      </c>
      <c r="AK517" s="3">
        <v>12.76188</v>
      </c>
      <c r="AL517" s="3">
        <v>61.976799999999997</v>
      </c>
      <c r="AM517" s="3">
        <v>62.4</v>
      </c>
      <c r="AN517" s="3">
        <v>47.666440000000001</v>
      </c>
      <c r="AO517" s="3">
        <v>38.054450000000003</v>
      </c>
      <c r="AP517" s="3">
        <v>12.94107</v>
      </c>
      <c r="AQ517" s="3">
        <v>51.341799999999999</v>
      </c>
      <c r="AT517" s="3">
        <v>25.164570000000001</v>
      </c>
      <c r="AU517" s="3">
        <v>12.15939</v>
      </c>
      <c r="AV517" s="3">
        <v>73.755570000000006</v>
      </c>
      <c r="AW517" s="3">
        <v>9.8958859999999996E-2</v>
      </c>
      <c r="AX517" s="3">
        <v>58.139290000000003</v>
      </c>
      <c r="AY517" s="3">
        <v>23.826090000000001</v>
      </c>
    </row>
    <row r="518" spans="1:51" x14ac:dyDescent="0.2">
      <c r="A518" s="3" t="s">
        <v>415</v>
      </c>
      <c r="B518" s="49">
        <v>33573</v>
      </c>
      <c r="D518" s="3">
        <v>63.76773</v>
      </c>
      <c r="E518" s="3">
        <v>7.3846839999999999E-3</v>
      </c>
      <c r="F518" s="3">
        <v>65.499080000000006</v>
      </c>
      <c r="G518" s="3">
        <v>83.18477</v>
      </c>
      <c r="H518" s="3">
        <v>33.607619999999997</v>
      </c>
      <c r="J518" s="3">
        <v>11.33718</v>
      </c>
      <c r="K518" s="3">
        <v>9.9031300000000009</v>
      </c>
      <c r="L518" s="3">
        <v>34.068750000000001</v>
      </c>
      <c r="M518" s="3">
        <v>67.263580000000005</v>
      </c>
      <c r="N518" s="3">
        <v>63.817489999999999</v>
      </c>
      <c r="O518" s="3">
        <v>62.569870000000002</v>
      </c>
      <c r="P518" s="3">
        <v>52.80339</v>
      </c>
      <c r="S518" s="3">
        <v>69.428229999999999</v>
      </c>
      <c r="T518" s="3">
        <v>70.319999999999993</v>
      </c>
      <c r="V518" s="3">
        <v>63.927460000000004</v>
      </c>
      <c r="W518" s="3">
        <v>60.7</v>
      </c>
      <c r="X518" s="3">
        <v>38.541310000000003</v>
      </c>
      <c r="Y518" s="3">
        <v>11.90067</v>
      </c>
      <c r="Z518" s="3">
        <v>10.94078</v>
      </c>
      <c r="AA518" s="3">
        <v>18.656230000000001</v>
      </c>
      <c r="AB518" s="3">
        <v>90.107150000000004</v>
      </c>
      <c r="AC518" s="3">
        <v>41.696539999999999</v>
      </c>
      <c r="AD518" s="3">
        <v>38.693469999999998</v>
      </c>
      <c r="AE518" s="3">
        <v>56.497410000000002</v>
      </c>
      <c r="AF518" s="3">
        <v>95.1</v>
      </c>
      <c r="AG518" s="3">
        <v>45.515999999999998</v>
      </c>
      <c r="AI518" s="3">
        <v>61.979109999999999</v>
      </c>
      <c r="AJ518" s="3">
        <v>1.9061650000000001</v>
      </c>
      <c r="AK518" s="3">
        <v>13.06227</v>
      </c>
      <c r="AL518" s="3">
        <v>61.858750000000001</v>
      </c>
      <c r="AM518" s="3">
        <v>62.4</v>
      </c>
      <c r="AN518" s="3">
        <v>47.787269999999999</v>
      </c>
      <c r="AO518" s="3">
        <v>38.222099999999998</v>
      </c>
      <c r="AP518" s="3">
        <v>13.363060000000001</v>
      </c>
      <c r="AQ518" s="3">
        <v>51.651310000000002</v>
      </c>
      <c r="AT518" s="3">
        <v>25.635809999999999</v>
      </c>
      <c r="AU518" s="3">
        <v>14.10125</v>
      </c>
      <c r="AV518" s="3">
        <v>73.653440000000003</v>
      </c>
      <c r="AW518" s="3">
        <v>0.10327550000000001</v>
      </c>
      <c r="AX518" s="3">
        <v>58.181480000000001</v>
      </c>
      <c r="AY518" s="3">
        <v>24.19406</v>
      </c>
    </row>
    <row r="519" spans="1:51" x14ac:dyDescent="0.2">
      <c r="A519" s="3" t="s">
        <v>416</v>
      </c>
      <c r="B519" s="49">
        <v>33604</v>
      </c>
      <c r="D519" s="3">
        <v>63.922710000000002</v>
      </c>
      <c r="E519" s="3">
        <v>9.3002919999999999E-3</v>
      </c>
      <c r="F519" s="3">
        <v>65.815119999999993</v>
      </c>
      <c r="G519" s="3">
        <v>83.576059999999998</v>
      </c>
      <c r="H519" s="3">
        <v>33.977679999999999</v>
      </c>
      <c r="J519" s="3">
        <v>11.73457</v>
      </c>
      <c r="K519" s="3">
        <v>10.29495</v>
      </c>
      <c r="L519" s="3">
        <v>34.547919999999998</v>
      </c>
      <c r="M519" s="3">
        <v>67.636750000000006</v>
      </c>
      <c r="N519" s="3">
        <v>63.678379999999997</v>
      </c>
      <c r="O519" s="3">
        <v>62.78342</v>
      </c>
      <c r="P519" s="3">
        <v>53.64029</v>
      </c>
      <c r="S519" s="3">
        <v>69.763660000000002</v>
      </c>
      <c r="T519" s="3">
        <v>70.44</v>
      </c>
      <c r="V519" s="3">
        <v>64.030760000000001</v>
      </c>
      <c r="W519" s="3">
        <v>60.5</v>
      </c>
      <c r="X519" s="3">
        <v>38.58728</v>
      </c>
      <c r="Y519" s="3">
        <v>12.678789999999999</v>
      </c>
      <c r="Z519" s="3">
        <v>10.990769999999999</v>
      </c>
      <c r="AA519" s="3">
        <v>18.904979999999998</v>
      </c>
      <c r="AB519" s="3">
        <v>90.007480000000001</v>
      </c>
      <c r="AC519" s="3">
        <v>41.988419999999998</v>
      </c>
      <c r="AD519" s="3">
        <v>38.693469999999998</v>
      </c>
      <c r="AE519" s="3">
        <v>56.860900000000001</v>
      </c>
      <c r="AF519" s="3">
        <v>94.9</v>
      </c>
      <c r="AG519" s="3">
        <v>45.841000000000001</v>
      </c>
      <c r="AI519" s="3">
        <v>62.204169999999998</v>
      </c>
      <c r="AJ519" s="3">
        <v>3.1335489999999999</v>
      </c>
      <c r="AK519" s="3">
        <v>13.29968</v>
      </c>
      <c r="AL519" s="3">
        <v>61.740699999999997</v>
      </c>
      <c r="AM519" s="3">
        <v>62.4</v>
      </c>
      <c r="AN519" s="3">
        <v>48.021000000000001</v>
      </c>
      <c r="AO519" s="3">
        <v>38.561889999999998</v>
      </c>
      <c r="AP519" s="3">
        <v>14.347709999999999</v>
      </c>
      <c r="AQ519" s="3">
        <v>52.549959999999999</v>
      </c>
      <c r="AT519" s="3">
        <v>25.810849999999999</v>
      </c>
      <c r="AU519" s="3">
        <v>16.192049999999998</v>
      </c>
      <c r="AV519" s="3">
        <v>73.528980000000004</v>
      </c>
      <c r="AW519" s="3">
        <v>0.1129556</v>
      </c>
      <c r="AX519" s="3">
        <v>58.265860000000004</v>
      </c>
      <c r="AY519" s="3">
        <v>24.424040000000002</v>
      </c>
    </row>
    <row r="520" spans="1:51" x14ac:dyDescent="0.2">
      <c r="A520" s="3" t="s">
        <v>417</v>
      </c>
      <c r="B520" s="49">
        <v>33635</v>
      </c>
      <c r="D520" s="3">
        <v>64.127009999999999</v>
      </c>
      <c r="E520" s="3">
        <v>1.156212E-2</v>
      </c>
      <c r="F520" s="3">
        <v>65.815119999999993</v>
      </c>
      <c r="G520" s="3">
        <v>84.172470000000004</v>
      </c>
      <c r="H520" s="3">
        <v>33.764150000000001</v>
      </c>
      <c r="J520" s="3">
        <v>12.131959999999999</v>
      </c>
      <c r="K520" s="3">
        <v>10.52704</v>
      </c>
      <c r="L520" s="3">
        <v>34.835410000000003</v>
      </c>
      <c r="M520" s="3">
        <v>68.009919999999994</v>
      </c>
      <c r="N520" s="3">
        <v>63.991370000000003</v>
      </c>
      <c r="O520" s="3">
        <v>63.139330000000001</v>
      </c>
      <c r="P520" s="3">
        <v>53.997799999999998</v>
      </c>
      <c r="S520" s="3">
        <v>69.954409999999996</v>
      </c>
      <c r="T520" s="3">
        <v>70.739999999999995</v>
      </c>
      <c r="V520" s="3">
        <v>64.242869999999996</v>
      </c>
      <c r="W520" s="3">
        <v>60.8</v>
      </c>
      <c r="X520" s="3">
        <v>38.69661</v>
      </c>
      <c r="Y520" s="3">
        <v>13.01989</v>
      </c>
      <c r="Z520" s="3">
        <v>11.01576</v>
      </c>
      <c r="AA520" s="3">
        <v>18.9879</v>
      </c>
      <c r="AB520" s="3">
        <v>89.907799999999995</v>
      </c>
      <c r="AC520" s="3">
        <v>41.946719999999999</v>
      </c>
      <c r="AD520" s="3">
        <v>39.095480000000002</v>
      </c>
      <c r="AE520" s="3">
        <v>57.172469999999997</v>
      </c>
      <c r="AF520" s="3">
        <v>94.8</v>
      </c>
      <c r="AG520" s="3">
        <v>46.125</v>
      </c>
      <c r="AI520" s="3">
        <v>62.204169999999998</v>
      </c>
      <c r="AJ520" s="3">
        <v>4.6491829999999998</v>
      </c>
      <c r="AK520" s="3">
        <v>13.45726</v>
      </c>
      <c r="AL520" s="3">
        <v>62.035829999999997</v>
      </c>
      <c r="AM520" s="3">
        <v>62.6</v>
      </c>
      <c r="AN520" s="3">
        <v>48.258690000000001</v>
      </c>
      <c r="AO520" s="3">
        <v>38.859920000000002</v>
      </c>
      <c r="AP520" s="3">
        <v>14.62904</v>
      </c>
      <c r="AQ520" s="3">
        <v>53.162010000000002</v>
      </c>
      <c r="AT520" s="3">
        <v>25.878170000000001</v>
      </c>
      <c r="AU520" s="3">
        <v>18.504020000000001</v>
      </c>
      <c r="AV520" s="3">
        <v>73.560900000000004</v>
      </c>
      <c r="AW520" s="3">
        <v>0.1186427</v>
      </c>
      <c r="AX520" s="3">
        <v>58.476819999999996</v>
      </c>
      <c r="AY520" s="3">
        <v>24.654019999999999</v>
      </c>
    </row>
    <row r="521" spans="1:51" x14ac:dyDescent="0.2">
      <c r="A521" s="3" t="s">
        <v>418</v>
      </c>
      <c r="B521" s="49">
        <v>33664</v>
      </c>
      <c r="D521" s="3">
        <v>64.141099999999994</v>
      </c>
      <c r="E521" s="3">
        <v>1.4036440000000001E-2</v>
      </c>
      <c r="F521" s="3">
        <v>66.052149999999997</v>
      </c>
      <c r="G521" s="3">
        <v>84.418350000000004</v>
      </c>
      <c r="H521" s="3">
        <v>34.000639999999997</v>
      </c>
      <c r="J521" s="3">
        <v>12.412459999999999</v>
      </c>
      <c r="K521" s="3">
        <v>10.652620000000001</v>
      </c>
      <c r="L521" s="3">
        <v>35.027079999999998</v>
      </c>
      <c r="M521" s="3">
        <v>68.289789999999996</v>
      </c>
      <c r="N521" s="3">
        <v>64.234830000000002</v>
      </c>
      <c r="O521" s="3">
        <v>63.352879999999999</v>
      </c>
      <c r="P521" s="3">
        <v>54.193150000000003</v>
      </c>
      <c r="S521" s="3">
        <v>70.184600000000003</v>
      </c>
      <c r="T521" s="3">
        <v>70.97</v>
      </c>
      <c r="V521" s="3">
        <v>64.547650000000004</v>
      </c>
      <c r="W521" s="3">
        <v>61.1</v>
      </c>
      <c r="X521" s="3">
        <v>39.471699999999998</v>
      </c>
      <c r="Y521" s="3">
        <v>13.252829999999999</v>
      </c>
      <c r="Z521" s="3">
        <v>11.09074</v>
      </c>
      <c r="AA521" s="3">
        <v>18.9879</v>
      </c>
      <c r="AB521" s="3">
        <v>89.608770000000007</v>
      </c>
      <c r="AC521" s="3">
        <v>42.030110000000001</v>
      </c>
      <c r="AD521" s="3">
        <v>39.597990000000003</v>
      </c>
      <c r="AE521" s="3">
        <v>57.432110000000002</v>
      </c>
      <c r="AF521" s="3">
        <v>95.3</v>
      </c>
      <c r="AG521" s="3">
        <v>46.612000000000002</v>
      </c>
      <c r="AI521" s="3">
        <v>62.458840000000002</v>
      </c>
      <c r="AJ521" s="3">
        <v>6.2206070000000002</v>
      </c>
      <c r="AK521" s="3">
        <v>13.59421</v>
      </c>
      <c r="AL521" s="3">
        <v>62.508029999999998</v>
      </c>
      <c r="AM521" s="3">
        <v>63.1</v>
      </c>
      <c r="AN521" s="3">
        <v>48.552619999999997</v>
      </c>
      <c r="AO521" s="3">
        <v>39.136490000000002</v>
      </c>
      <c r="AP521" s="3">
        <v>14.91037</v>
      </c>
      <c r="AQ521" s="3">
        <v>53.670549999999999</v>
      </c>
      <c r="AT521" s="3">
        <v>25.905100000000001</v>
      </c>
      <c r="AU521" s="3">
        <v>20.545449999999999</v>
      </c>
      <c r="AV521" s="3">
        <v>73.905559999999994</v>
      </c>
      <c r="AW521" s="3">
        <v>0.1244162</v>
      </c>
      <c r="AX521" s="3">
        <v>58.77216</v>
      </c>
      <c r="AY521" s="3">
        <v>24.838010000000001</v>
      </c>
    </row>
    <row r="522" spans="1:51" x14ac:dyDescent="0.2">
      <c r="A522" s="3" t="s">
        <v>419</v>
      </c>
      <c r="B522" s="49">
        <v>33695</v>
      </c>
      <c r="D522" s="3">
        <v>64.211539999999999</v>
      </c>
      <c r="E522" s="3">
        <v>1.6833910000000001E-2</v>
      </c>
      <c r="F522" s="3">
        <v>66.131159999999994</v>
      </c>
      <c r="G522" s="3">
        <v>84.553020000000004</v>
      </c>
      <c r="H522" s="3">
        <v>34.44811</v>
      </c>
      <c r="J522" s="3">
        <v>12.7631</v>
      </c>
      <c r="K522" s="3">
        <v>10.859579999999999</v>
      </c>
      <c r="L522" s="3">
        <v>35.21875</v>
      </c>
      <c r="M522" s="3">
        <v>68.569659999999999</v>
      </c>
      <c r="N522" s="3">
        <v>64.339160000000007</v>
      </c>
      <c r="O522" s="3">
        <v>63.566429999999997</v>
      </c>
      <c r="P522" s="3">
        <v>54.134920000000001</v>
      </c>
      <c r="S522" s="3">
        <v>70.493729999999999</v>
      </c>
      <c r="T522" s="3">
        <v>71.12</v>
      </c>
      <c r="V522" s="3">
        <v>64.801439999999999</v>
      </c>
      <c r="W522" s="3">
        <v>61.8</v>
      </c>
      <c r="X522" s="3">
        <v>40.070599999999999</v>
      </c>
      <c r="Y522" s="3">
        <v>13.419219999999999</v>
      </c>
      <c r="Z522" s="3">
        <v>11.190709999999999</v>
      </c>
      <c r="AA522" s="3">
        <v>19.153729999999999</v>
      </c>
      <c r="AB522" s="3">
        <v>90.605530000000002</v>
      </c>
      <c r="AC522" s="3">
        <v>42.113509999999998</v>
      </c>
      <c r="AD522" s="3">
        <v>40.402009999999997</v>
      </c>
      <c r="AE522" s="3">
        <v>57.63982</v>
      </c>
      <c r="AF522" s="3">
        <v>96.3</v>
      </c>
      <c r="AG522" s="3">
        <v>46.896000000000001</v>
      </c>
      <c r="AI522" s="3">
        <v>62.553600000000003</v>
      </c>
      <c r="AJ522" s="3">
        <v>6.9086860000000003</v>
      </c>
      <c r="AK522" s="3">
        <v>13.715400000000001</v>
      </c>
      <c r="AL522" s="3">
        <v>62.744140000000002</v>
      </c>
      <c r="AM522" s="3">
        <v>63.3</v>
      </c>
      <c r="AN522" s="3">
        <v>48.784750000000003</v>
      </c>
      <c r="AO522" s="3">
        <v>39.389899999999997</v>
      </c>
      <c r="AP522" s="3">
        <v>15.47302</v>
      </c>
      <c r="AQ522" s="3">
        <v>54.485610000000001</v>
      </c>
      <c r="AT522" s="3">
        <v>25.932030000000001</v>
      </c>
      <c r="AU522" s="3">
        <v>21.9146</v>
      </c>
      <c r="AV522" s="3">
        <v>74.074709999999996</v>
      </c>
      <c r="AW522" s="3">
        <v>0.12908900000000001</v>
      </c>
      <c r="AX522" s="3">
        <v>58.856540000000003</v>
      </c>
      <c r="AY522" s="3">
        <v>25.159980000000001</v>
      </c>
    </row>
    <row r="523" spans="1:51" x14ac:dyDescent="0.2">
      <c r="A523" s="3" t="s">
        <v>420</v>
      </c>
      <c r="B523" s="49">
        <v>33725</v>
      </c>
      <c r="D523" s="3">
        <v>64.451059999999998</v>
      </c>
      <c r="E523" s="3">
        <v>2.1018820000000001E-2</v>
      </c>
      <c r="F523" s="3">
        <v>66.210170000000005</v>
      </c>
      <c r="G523" s="3">
        <v>84.775850000000005</v>
      </c>
      <c r="H523" s="3">
        <v>34.816459999999999</v>
      </c>
      <c r="J523" s="3">
        <v>13.055289999999999</v>
      </c>
      <c r="K523" s="3">
        <v>10.960050000000001</v>
      </c>
      <c r="L523" s="3">
        <v>35.362499999999997</v>
      </c>
      <c r="M523" s="3">
        <v>68.756249999999994</v>
      </c>
      <c r="N523" s="3">
        <v>64.791269999999997</v>
      </c>
      <c r="O523" s="3">
        <v>63.779980000000002</v>
      </c>
      <c r="P523" s="3">
        <v>54.276400000000002</v>
      </c>
      <c r="S523" s="3">
        <v>70.539760000000001</v>
      </c>
      <c r="T523" s="3">
        <v>71.349999999999994</v>
      </c>
      <c r="V523" s="3">
        <v>64.945959999999999</v>
      </c>
      <c r="W523" s="3">
        <v>62.2</v>
      </c>
      <c r="X523" s="3">
        <v>40.07826</v>
      </c>
      <c r="Y523" s="3">
        <v>13.63552</v>
      </c>
      <c r="Z523" s="3">
        <v>11.20321</v>
      </c>
      <c r="AA523" s="3">
        <v>19.402480000000001</v>
      </c>
      <c r="AB523" s="3">
        <v>91.004230000000007</v>
      </c>
      <c r="AC523" s="3">
        <v>42.238599999999998</v>
      </c>
      <c r="AD523" s="3">
        <v>40.201000000000001</v>
      </c>
      <c r="AE523" s="3">
        <v>57.899459999999998</v>
      </c>
      <c r="AF523" s="3">
        <v>96.4</v>
      </c>
      <c r="AG523" s="3">
        <v>47.18</v>
      </c>
      <c r="AI523" s="3">
        <v>62.86157</v>
      </c>
      <c r="AJ523" s="3">
        <v>7.8199249999999996</v>
      </c>
      <c r="AK523" s="3">
        <v>13.80583</v>
      </c>
      <c r="AL523" s="3">
        <v>62.744140000000002</v>
      </c>
      <c r="AM523" s="3">
        <v>63.4</v>
      </c>
      <c r="AN523" s="3">
        <v>48.914110000000001</v>
      </c>
      <c r="AO523" s="3">
        <v>39.542819999999999</v>
      </c>
      <c r="AP523" s="3">
        <v>16.106010000000001</v>
      </c>
      <c r="AQ523" s="3">
        <v>54.959319999999998</v>
      </c>
      <c r="AT523" s="3">
        <v>25.99935</v>
      </c>
      <c r="AU523" s="3">
        <v>23.488710000000001</v>
      </c>
      <c r="AV523" s="3">
        <v>74.12576</v>
      </c>
      <c r="AW523" s="3">
        <v>0.13022210000000001</v>
      </c>
      <c r="AX523" s="3">
        <v>58.940919999999998</v>
      </c>
      <c r="AY523" s="3">
        <v>25.343959999999999</v>
      </c>
    </row>
    <row r="524" spans="1:51" x14ac:dyDescent="0.2">
      <c r="A524" s="3" t="s">
        <v>421</v>
      </c>
      <c r="B524" s="49">
        <v>33756</v>
      </c>
      <c r="D524" s="3">
        <v>64.655349999999999</v>
      </c>
      <c r="E524" s="3">
        <v>2.5266790000000001E-2</v>
      </c>
      <c r="F524" s="3">
        <v>66.368189999999998</v>
      </c>
      <c r="G524" s="3">
        <v>85.112660000000005</v>
      </c>
      <c r="H524" s="3">
        <v>35.055509999999998</v>
      </c>
      <c r="J524" s="3">
        <v>13.35918</v>
      </c>
      <c r="K524" s="3">
        <v>11.09468</v>
      </c>
      <c r="L524" s="3">
        <v>35.697920000000003</v>
      </c>
      <c r="M524" s="3">
        <v>68.942830000000001</v>
      </c>
      <c r="N524" s="3">
        <v>64.791269999999997</v>
      </c>
      <c r="O524" s="3">
        <v>63.85116</v>
      </c>
      <c r="P524" s="3">
        <v>54.266060000000003</v>
      </c>
      <c r="S524" s="3">
        <v>70.809430000000006</v>
      </c>
      <c r="T524" s="3">
        <v>71.31</v>
      </c>
      <c r="V524" s="3">
        <v>65.086299999999994</v>
      </c>
      <c r="W524" s="3">
        <v>62.2</v>
      </c>
      <c r="X524" s="3">
        <v>40.744709999999998</v>
      </c>
      <c r="Y524" s="3">
        <v>13.7104</v>
      </c>
      <c r="Z524" s="3">
        <v>11.27819</v>
      </c>
      <c r="AA524" s="3">
        <v>19.56831</v>
      </c>
      <c r="AB524" s="3">
        <v>91.801640000000006</v>
      </c>
      <c r="AC524" s="3">
        <v>42.363689999999998</v>
      </c>
      <c r="AD524" s="3">
        <v>40.30151</v>
      </c>
      <c r="AE524" s="3">
        <v>58.055239999999998</v>
      </c>
      <c r="AF524" s="3">
        <v>96.3</v>
      </c>
      <c r="AG524" s="3">
        <v>47.262</v>
      </c>
      <c r="AI524" s="3">
        <v>62.985939999999999</v>
      </c>
      <c r="AJ524" s="3">
        <v>9.0194150000000004</v>
      </c>
      <c r="AK524" s="3">
        <v>13.89927</v>
      </c>
      <c r="AL524" s="3">
        <v>62.567059999999998</v>
      </c>
      <c r="AM524" s="3">
        <v>63.5</v>
      </c>
      <c r="AN524" s="3">
        <v>49.029319999999998</v>
      </c>
      <c r="AO524" s="3">
        <v>39.614469999999997</v>
      </c>
      <c r="AP524" s="3">
        <v>16.387329999999999</v>
      </c>
      <c r="AQ524" s="3">
        <v>55.175269999999998</v>
      </c>
      <c r="AT524" s="3">
        <v>25.79738</v>
      </c>
      <c r="AU524" s="3">
        <v>24.34956</v>
      </c>
      <c r="AV524" s="3">
        <v>73.934290000000004</v>
      </c>
      <c r="AW524" s="3">
        <v>0.1308588</v>
      </c>
      <c r="AX524" s="3">
        <v>59.151870000000002</v>
      </c>
      <c r="AY524" s="3">
        <v>25.61994</v>
      </c>
    </row>
    <row r="525" spans="1:51" x14ac:dyDescent="0.2">
      <c r="A525" s="3" t="s">
        <v>422</v>
      </c>
      <c r="B525" s="49">
        <v>33786</v>
      </c>
      <c r="D525" s="3">
        <v>64.951229999999995</v>
      </c>
      <c r="E525" s="3">
        <v>3.0782540000000001E-2</v>
      </c>
      <c r="F525" s="3">
        <v>66.526210000000006</v>
      </c>
      <c r="G525" s="3">
        <v>84.856539999999995</v>
      </c>
      <c r="H525" s="3">
        <v>35.446829999999999</v>
      </c>
      <c r="J525" s="3">
        <v>13.628</v>
      </c>
      <c r="K525" s="3">
        <v>11.159979999999999</v>
      </c>
      <c r="L525" s="3">
        <v>35.9375</v>
      </c>
      <c r="M525" s="3">
        <v>69.129419999999996</v>
      </c>
      <c r="N525" s="3">
        <v>64.513050000000007</v>
      </c>
      <c r="O525" s="3">
        <v>63.922339999999998</v>
      </c>
      <c r="P525" s="3">
        <v>54.442369999999997</v>
      </c>
      <c r="S525" s="3">
        <v>70.63185</v>
      </c>
      <c r="T525" s="3">
        <v>71.27</v>
      </c>
      <c r="V525" s="3">
        <v>65.094759999999994</v>
      </c>
      <c r="W525" s="3">
        <v>62</v>
      </c>
      <c r="X525" s="3">
        <v>39.97589</v>
      </c>
      <c r="Y525" s="3">
        <v>13.743679999999999</v>
      </c>
      <c r="Z525" s="3">
        <v>11.296939999999999</v>
      </c>
      <c r="AA525" s="3">
        <v>20.065809999999999</v>
      </c>
      <c r="AB525" s="3">
        <v>92.20035</v>
      </c>
      <c r="AC525" s="3">
        <v>42.488779999999998</v>
      </c>
      <c r="AD525" s="3">
        <v>40.502510000000001</v>
      </c>
      <c r="AE525" s="3">
        <v>58.159100000000002</v>
      </c>
      <c r="AF525" s="3">
        <v>95.5</v>
      </c>
      <c r="AG525" s="3">
        <v>47.463999999999999</v>
      </c>
      <c r="AI525" s="3">
        <v>63.134010000000004</v>
      </c>
      <c r="AJ525" s="3">
        <v>10.795400000000001</v>
      </c>
      <c r="AK525" s="3">
        <v>13.987030000000001</v>
      </c>
      <c r="AL525" s="3">
        <v>62.803159999999998</v>
      </c>
      <c r="AM525" s="3">
        <v>63.6</v>
      </c>
      <c r="AN525" s="3">
        <v>49.076390000000004</v>
      </c>
      <c r="AO525" s="3">
        <v>39.674289999999999</v>
      </c>
      <c r="AP525" s="3">
        <v>16.598330000000001</v>
      </c>
      <c r="AQ525" s="3">
        <v>55.41113</v>
      </c>
      <c r="AT525" s="3">
        <v>25.99935</v>
      </c>
      <c r="AU525" s="3">
        <v>24.529920000000001</v>
      </c>
      <c r="AV525" s="3">
        <v>73.838549999999998</v>
      </c>
      <c r="AW525" s="3">
        <v>0.1325855</v>
      </c>
      <c r="AX525" s="3">
        <v>59.278449999999999</v>
      </c>
      <c r="AY525" s="3">
        <v>25.849920000000001</v>
      </c>
    </row>
    <row r="526" spans="1:51" x14ac:dyDescent="0.2">
      <c r="A526" s="3" t="s">
        <v>423</v>
      </c>
      <c r="B526" s="49">
        <v>33817</v>
      </c>
      <c r="D526" s="3">
        <v>64.845560000000006</v>
      </c>
      <c r="E526" s="3">
        <v>3.7597800000000001E-2</v>
      </c>
      <c r="F526" s="3">
        <v>66.526210000000006</v>
      </c>
      <c r="G526" s="3">
        <v>85.078479999999999</v>
      </c>
      <c r="H526" s="3">
        <v>35.95299</v>
      </c>
      <c r="J526" s="3">
        <v>13.721500000000001</v>
      </c>
      <c r="K526" s="3">
        <v>11.221270000000001</v>
      </c>
      <c r="L526" s="3">
        <v>35.985419999999998</v>
      </c>
      <c r="M526" s="3">
        <v>69.129419999999996</v>
      </c>
      <c r="N526" s="3">
        <v>64.582599999999999</v>
      </c>
      <c r="O526" s="3">
        <v>64.064710000000005</v>
      </c>
      <c r="P526" s="3">
        <v>54.938639999999999</v>
      </c>
      <c r="S526" s="3">
        <v>70.513459999999995</v>
      </c>
      <c r="T526" s="3">
        <v>71.23</v>
      </c>
      <c r="V526" s="3">
        <v>65.232309999999998</v>
      </c>
      <c r="W526" s="3">
        <v>62.1</v>
      </c>
      <c r="X526" s="3">
        <v>40.547629999999998</v>
      </c>
      <c r="Y526" s="3">
        <v>13.860150000000001</v>
      </c>
      <c r="Z526" s="3">
        <v>11.32193</v>
      </c>
      <c r="AA526" s="3">
        <v>20.065809999999999</v>
      </c>
      <c r="AB526" s="3">
        <v>92.399699999999996</v>
      </c>
      <c r="AC526" s="3">
        <v>42.44708</v>
      </c>
      <c r="AD526" s="3">
        <v>40.904519999999998</v>
      </c>
      <c r="AE526" s="3">
        <v>58.314880000000002</v>
      </c>
      <c r="AF526" s="3">
        <v>95.8</v>
      </c>
      <c r="AG526" s="3">
        <v>47.545000000000002</v>
      </c>
      <c r="AI526" s="3">
        <v>63.19323</v>
      </c>
      <c r="AJ526" s="3">
        <v>12.5435</v>
      </c>
      <c r="AK526" s="3">
        <v>14.07296</v>
      </c>
      <c r="AL526" s="3">
        <v>62.921210000000002</v>
      </c>
      <c r="AM526" s="3">
        <v>63.4</v>
      </c>
      <c r="AN526" s="3">
        <v>49.243899999999996</v>
      </c>
      <c r="AO526" s="3">
        <v>39.842280000000002</v>
      </c>
      <c r="AP526" s="3">
        <v>17.020320000000002</v>
      </c>
      <c r="AQ526" s="3">
        <v>55.658940000000001</v>
      </c>
      <c r="AT526" s="3">
        <v>26.174379999999999</v>
      </c>
      <c r="AU526" s="3">
        <v>24.60371</v>
      </c>
      <c r="AV526" s="3">
        <v>73.889600000000002</v>
      </c>
      <c r="AW526" s="3">
        <v>0.13764670000000001</v>
      </c>
      <c r="AX526" s="3">
        <v>59.447209999999998</v>
      </c>
      <c r="AY526" s="3">
        <v>26.125900000000001</v>
      </c>
    </row>
    <row r="527" spans="1:51" x14ac:dyDescent="0.2">
      <c r="A527" s="3" t="s">
        <v>424</v>
      </c>
      <c r="B527" s="49">
        <v>33848</v>
      </c>
      <c r="D527" s="3">
        <v>64.958269999999999</v>
      </c>
      <c r="E527" s="3">
        <v>4.6858120000000003E-2</v>
      </c>
      <c r="F527" s="3">
        <v>66.526210000000006</v>
      </c>
      <c r="G527" s="3">
        <v>85.178759999999997</v>
      </c>
      <c r="H527" s="3">
        <v>36.789230000000003</v>
      </c>
      <c r="J527" s="3">
        <v>13.838380000000001</v>
      </c>
      <c r="K527" s="3">
        <v>11.26548</v>
      </c>
      <c r="L527" s="3">
        <v>36.464579999999998</v>
      </c>
      <c r="M527" s="3">
        <v>69.129419999999996</v>
      </c>
      <c r="N527" s="3">
        <v>64.826049999999995</v>
      </c>
      <c r="O527" s="3">
        <v>64.135890000000003</v>
      </c>
      <c r="P527" s="3">
        <v>55.391910000000003</v>
      </c>
      <c r="S527" s="3">
        <v>70.934389999999993</v>
      </c>
      <c r="T527" s="3">
        <v>71.430000000000007</v>
      </c>
      <c r="V527" s="3">
        <v>65.407359999999997</v>
      </c>
      <c r="W527" s="3">
        <v>62.3</v>
      </c>
      <c r="X527" s="3">
        <v>42.216889999999999</v>
      </c>
      <c r="Y527" s="3">
        <v>14.1846</v>
      </c>
      <c r="Z527" s="3">
        <v>11.340669999999999</v>
      </c>
      <c r="AA527" s="3">
        <v>20.14873</v>
      </c>
      <c r="AB527" s="3">
        <v>92.698729999999998</v>
      </c>
      <c r="AC527" s="3">
        <v>42.405380000000001</v>
      </c>
      <c r="AD527" s="3">
        <v>41.507539999999999</v>
      </c>
      <c r="AE527" s="3">
        <v>58.41874</v>
      </c>
      <c r="AF527" s="3">
        <v>96.3</v>
      </c>
      <c r="AG527" s="3">
        <v>47.707000000000001</v>
      </c>
      <c r="AI527" s="3">
        <v>63.270220000000002</v>
      </c>
      <c r="AJ527" s="3">
        <v>14.05913</v>
      </c>
      <c r="AK527" s="3">
        <v>14.19538</v>
      </c>
      <c r="AL527" s="3">
        <v>63.452440000000003</v>
      </c>
      <c r="AM527" s="3">
        <v>63.7</v>
      </c>
      <c r="AN527" s="3">
        <v>49.507689999999997</v>
      </c>
      <c r="AO527" s="3">
        <v>40.16771</v>
      </c>
      <c r="AP527" s="3">
        <v>17.934640000000002</v>
      </c>
      <c r="AQ527" s="3">
        <v>55.66789</v>
      </c>
      <c r="AT527" s="3">
        <v>26.605229999999999</v>
      </c>
      <c r="AU527" s="3">
        <v>25.45636</v>
      </c>
      <c r="AV527" s="3">
        <v>74.965100000000007</v>
      </c>
      <c r="AW527" s="3">
        <v>0.14789869999999999</v>
      </c>
      <c r="AX527" s="3">
        <v>59.61598</v>
      </c>
      <c r="AY527" s="3">
        <v>26.309889999999999</v>
      </c>
    </row>
    <row r="528" spans="1:51" x14ac:dyDescent="0.2">
      <c r="A528" s="3" t="s">
        <v>425</v>
      </c>
      <c r="B528" s="49">
        <v>33878</v>
      </c>
      <c r="D528" s="3">
        <v>65.099159999999998</v>
      </c>
      <c r="E528" s="3">
        <v>5.8685090000000002E-2</v>
      </c>
      <c r="F528" s="3">
        <v>66.605220000000003</v>
      </c>
      <c r="G528" s="3">
        <v>85.302390000000003</v>
      </c>
      <c r="H528" s="3">
        <v>37.314959999999999</v>
      </c>
      <c r="J528" s="3">
        <v>13.955260000000001</v>
      </c>
      <c r="K528" s="3">
        <v>11.34083</v>
      </c>
      <c r="L528" s="3">
        <v>37.135420000000003</v>
      </c>
      <c r="M528" s="3">
        <v>69.129419999999996</v>
      </c>
      <c r="N528" s="3">
        <v>64.756489999999999</v>
      </c>
      <c r="O528" s="3">
        <v>64.278260000000003</v>
      </c>
      <c r="P528" s="3">
        <v>55.425109999999997</v>
      </c>
      <c r="S528" s="3">
        <v>71.164599999999993</v>
      </c>
      <c r="T528" s="3">
        <v>71.63</v>
      </c>
      <c r="V528" s="3">
        <v>65.582800000000006</v>
      </c>
      <c r="W528" s="3">
        <v>62.5</v>
      </c>
      <c r="X528" s="3">
        <v>43.220390000000002</v>
      </c>
      <c r="Y528" s="3">
        <v>14.542339999999999</v>
      </c>
      <c r="Z528" s="3">
        <v>11.384410000000001</v>
      </c>
      <c r="AA528" s="3">
        <v>20.231639999999999</v>
      </c>
      <c r="AB528" s="3">
        <v>93.296779999999998</v>
      </c>
      <c r="AC528" s="3">
        <v>42.613860000000003</v>
      </c>
      <c r="AD528" s="3">
        <v>41.708539999999999</v>
      </c>
      <c r="AE528" s="3">
        <v>58.678379999999997</v>
      </c>
      <c r="AF528" s="3">
        <v>96.4</v>
      </c>
      <c r="AG528" s="3">
        <v>47.665999999999997</v>
      </c>
      <c r="AI528" s="3">
        <v>63.56635</v>
      </c>
      <c r="AJ528" s="3">
        <v>17.583210000000001</v>
      </c>
      <c r="AK528" s="3">
        <v>14.29759</v>
      </c>
      <c r="AL528" s="3">
        <v>63.452440000000003</v>
      </c>
      <c r="AM528" s="3">
        <v>63.8</v>
      </c>
      <c r="AN528" s="3">
        <v>49.749139999999997</v>
      </c>
      <c r="AO528" s="3">
        <v>40.469990000000003</v>
      </c>
      <c r="AP528" s="3">
        <v>18.49729</v>
      </c>
      <c r="AQ528" s="3">
        <v>55.859960000000001</v>
      </c>
      <c r="AT528" s="3">
        <v>27.15727</v>
      </c>
      <c r="AU528" s="3">
        <v>26.3172</v>
      </c>
      <c r="AV528" s="3">
        <v>75.105509999999995</v>
      </c>
      <c r="AW528" s="3">
        <v>0.15907879999999999</v>
      </c>
      <c r="AX528" s="3">
        <v>59.826929999999997</v>
      </c>
      <c r="AY528" s="3">
        <v>26.355879999999999</v>
      </c>
    </row>
    <row r="529" spans="1:51" x14ac:dyDescent="0.2">
      <c r="A529" s="3" t="s">
        <v>426</v>
      </c>
      <c r="B529" s="49">
        <v>33909</v>
      </c>
      <c r="D529" s="3">
        <v>65.303449999999998</v>
      </c>
      <c r="E529" s="3">
        <v>7.18834E-2</v>
      </c>
      <c r="F529" s="3">
        <v>66.921260000000004</v>
      </c>
      <c r="G529" s="3">
        <v>86.123019999999997</v>
      </c>
      <c r="H529" s="3">
        <v>37.847490000000001</v>
      </c>
      <c r="J529" s="3">
        <v>14.060449999999999</v>
      </c>
      <c r="K529" s="3">
        <v>11.47344</v>
      </c>
      <c r="L529" s="3">
        <v>38.045830000000002</v>
      </c>
      <c r="M529" s="3">
        <v>69.409289999999999</v>
      </c>
      <c r="N529" s="3">
        <v>64.895600000000002</v>
      </c>
      <c r="O529" s="3">
        <v>64.491810000000001</v>
      </c>
      <c r="P529" s="3">
        <v>55.460479999999997</v>
      </c>
      <c r="S529" s="3">
        <v>71.236949999999993</v>
      </c>
      <c r="T529" s="3">
        <v>71.7</v>
      </c>
      <c r="V529" s="3">
        <v>65.691689999999994</v>
      </c>
      <c r="W529" s="3">
        <v>62.5</v>
      </c>
      <c r="X529" s="3">
        <v>43.56859</v>
      </c>
      <c r="Y529" s="3">
        <v>14.77528</v>
      </c>
      <c r="Z529" s="3">
        <v>11.415649999999999</v>
      </c>
      <c r="AA529" s="3">
        <v>20.231639999999999</v>
      </c>
      <c r="AB529" s="3">
        <v>93.695490000000007</v>
      </c>
      <c r="AC529" s="3">
        <v>42.530470000000001</v>
      </c>
      <c r="AD529" s="3">
        <v>41.909550000000003</v>
      </c>
      <c r="AE529" s="3">
        <v>59.093800000000002</v>
      </c>
      <c r="AF529" s="3">
        <v>96.2</v>
      </c>
      <c r="AG529" s="3">
        <v>47.423000000000002</v>
      </c>
      <c r="AI529" s="3">
        <v>63.767719999999997</v>
      </c>
      <c r="AJ529" s="3">
        <v>19.684640000000002</v>
      </c>
      <c r="AK529" s="3">
        <v>14.41639</v>
      </c>
      <c r="AL529" s="3">
        <v>63.511470000000003</v>
      </c>
      <c r="AM529" s="3">
        <v>63.8</v>
      </c>
      <c r="AN529" s="3">
        <v>49.909939999999999</v>
      </c>
      <c r="AO529" s="3">
        <v>40.726010000000002</v>
      </c>
      <c r="AP529" s="3">
        <v>18.919280000000001</v>
      </c>
      <c r="AQ529" s="3">
        <v>56.045070000000003</v>
      </c>
      <c r="AT529" s="3">
        <v>27.61505</v>
      </c>
      <c r="AU529" s="3">
        <v>27.21903</v>
      </c>
      <c r="AV529" s="3">
        <v>74.735309999999998</v>
      </c>
      <c r="AW529" s="3">
        <v>0.16683799999999999</v>
      </c>
      <c r="AX529" s="3">
        <v>59.911320000000003</v>
      </c>
      <c r="AY529" s="3">
        <v>26.493870000000001</v>
      </c>
    </row>
    <row r="530" spans="1:51" x14ac:dyDescent="0.2">
      <c r="A530" s="3" t="s">
        <v>427</v>
      </c>
      <c r="B530" s="49">
        <v>33939</v>
      </c>
      <c r="D530" s="3">
        <v>65.296409999999995</v>
      </c>
      <c r="E530" s="3">
        <v>9.0026739999999994E-2</v>
      </c>
      <c r="F530" s="3">
        <v>66.921260000000004</v>
      </c>
      <c r="G530" s="3">
        <v>86.0304</v>
      </c>
      <c r="H530" s="3">
        <v>37.873869999999997</v>
      </c>
      <c r="J530" s="3">
        <v>14.18901</v>
      </c>
      <c r="K530" s="3">
        <v>11.583959999999999</v>
      </c>
      <c r="L530" s="3">
        <v>38.333329999999997</v>
      </c>
      <c r="M530" s="3">
        <v>69.502589999999998</v>
      </c>
      <c r="N530" s="3">
        <v>64.756489999999999</v>
      </c>
      <c r="O530" s="3">
        <v>64.634180000000001</v>
      </c>
      <c r="P530" s="3">
        <v>55.626989999999999</v>
      </c>
      <c r="S530" s="3">
        <v>71.039630000000002</v>
      </c>
      <c r="T530" s="3">
        <v>71.66</v>
      </c>
      <c r="V530" s="3">
        <v>65.697630000000004</v>
      </c>
      <c r="W530" s="3">
        <v>62.6</v>
      </c>
      <c r="X530" s="3">
        <v>44.092280000000002</v>
      </c>
      <c r="Y530" s="3">
        <v>14.94167</v>
      </c>
      <c r="Z530" s="3">
        <v>11.490629999999999</v>
      </c>
      <c r="AA530" s="3">
        <v>20.14873</v>
      </c>
      <c r="AB530" s="3">
        <v>93.59581</v>
      </c>
      <c r="AC530" s="3">
        <v>42.69726</v>
      </c>
      <c r="AD530" s="3">
        <v>42.412059999999997</v>
      </c>
      <c r="AE530" s="3">
        <v>59.249580000000002</v>
      </c>
      <c r="AF530" s="3">
        <v>96.2</v>
      </c>
      <c r="AG530" s="3">
        <v>47.545000000000002</v>
      </c>
      <c r="AI530" s="3">
        <v>63.77364</v>
      </c>
      <c r="AJ530" s="3">
        <v>20.18675</v>
      </c>
      <c r="AK530" s="3">
        <v>14.62166</v>
      </c>
      <c r="AL530" s="3">
        <v>63.275359999999999</v>
      </c>
      <c r="AM530" s="3">
        <v>63.8</v>
      </c>
      <c r="AN530" s="3">
        <v>49.999560000000002</v>
      </c>
      <c r="AO530" s="3">
        <v>40.864759999999997</v>
      </c>
      <c r="AP530" s="3">
        <v>19.341280000000001</v>
      </c>
      <c r="AQ530" s="3">
        <v>56.263019999999997</v>
      </c>
      <c r="AT530" s="3">
        <v>27.884329999999999</v>
      </c>
      <c r="AU530" s="3">
        <v>27.432200000000002</v>
      </c>
      <c r="AV530" s="3">
        <v>75.022540000000006</v>
      </c>
      <c r="AW530" s="3">
        <v>0.17140279999999999</v>
      </c>
      <c r="AX530" s="3">
        <v>59.869120000000002</v>
      </c>
      <c r="AY530" s="3">
        <v>26.493870000000001</v>
      </c>
    </row>
    <row r="531" spans="1:51" x14ac:dyDescent="0.2">
      <c r="A531" s="3" t="s">
        <v>428</v>
      </c>
      <c r="B531" s="49">
        <v>33970</v>
      </c>
      <c r="D531" s="3">
        <v>65.740219999999994</v>
      </c>
      <c r="E531" s="3">
        <v>0.1173498</v>
      </c>
      <c r="F531" s="3">
        <v>67.158280000000005</v>
      </c>
      <c r="G531" s="3">
        <v>86.47157</v>
      </c>
      <c r="H531" s="3">
        <v>37.936819999999997</v>
      </c>
      <c r="I531" s="3">
        <v>41.346890000000002</v>
      </c>
      <c r="J531" s="3">
        <v>14.65652</v>
      </c>
      <c r="K531" s="3">
        <v>11.631180000000001</v>
      </c>
      <c r="L531" s="3">
        <v>41.831249999999997</v>
      </c>
      <c r="M531" s="3">
        <v>70.715389999999999</v>
      </c>
      <c r="N531" s="3">
        <v>64.652150000000006</v>
      </c>
      <c r="O531" s="3">
        <v>64.918909999999997</v>
      </c>
      <c r="P531" s="3">
        <v>56.14828</v>
      </c>
      <c r="S531" s="3">
        <v>71.769689999999997</v>
      </c>
      <c r="T531" s="3">
        <v>71.94</v>
      </c>
      <c r="V531" s="3">
        <v>66.017399999999995</v>
      </c>
      <c r="W531" s="3">
        <v>62.4</v>
      </c>
      <c r="X531" s="3">
        <v>44.177239999999998</v>
      </c>
      <c r="Y531" s="3">
        <v>15.95664</v>
      </c>
      <c r="Z531" s="3">
        <v>11.82804</v>
      </c>
      <c r="AA531" s="3">
        <v>19.982890000000001</v>
      </c>
      <c r="AB531" s="3">
        <v>93.994510000000005</v>
      </c>
      <c r="AC531" s="3">
        <v>42.738959999999999</v>
      </c>
      <c r="AD531" s="3">
        <v>42.914569999999998</v>
      </c>
      <c r="AE531" s="3">
        <v>59.561149999999998</v>
      </c>
      <c r="AF531" s="3">
        <v>96.1</v>
      </c>
      <c r="AG531" s="3">
        <v>47.91</v>
      </c>
      <c r="AI531" s="3">
        <v>64.395499999999998</v>
      </c>
      <c r="AJ531" s="3">
        <v>21.032900000000001</v>
      </c>
      <c r="AK531" s="3">
        <v>14.805070000000001</v>
      </c>
      <c r="AL531" s="3">
        <v>63.275359999999999</v>
      </c>
      <c r="AM531" s="3">
        <v>64</v>
      </c>
      <c r="AN531" s="3">
        <v>50.331539999999997</v>
      </c>
      <c r="AO531" s="3">
        <v>41.273820000000001</v>
      </c>
      <c r="AP531" s="3">
        <v>20.114930000000001</v>
      </c>
      <c r="AQ531" s="3">
        <v>57.071109999999997</v>
      </c>
      <c r="AT531" s="3">
        <v>30.390999999999998</v>
      </c>
      <c r="AU531" s="3">
        <v>28.473410000000001</v>
      </c>
      <c r="AV531" s="3">
        <v>77.058620000000005</v>
      </c>
      <c r="AW531" s="3">
        <v>0.18046770000000001</v>
      </c>
      <c r="AX531" s="3">
        <v>60.164459999999998</v>
      </c>
      <c r="AY531" s="3">
        <v>26.769850000000002</v>
      </c>
    </row>
    <row r="532" spans="1:51" x14ac:dyDescent="0.2">
      <c r="A532" s="3" t="s">
        <v>429</v>
      </c>
      <c r="B532" s="49">
        <v>34001</v>
      </c>
      <c r="D532" s="3">
        <v>65.909289999999999</v>
      </c>
      <c r="E532" s="3">
        <v>0.14666380000000001</v>
      </c>
      <c r="F532" s="3">
        <v>67.395309999999995</v>
      </c>
      <c r="G532" s="3">
        <v>87.02664</v>
      </c>
      <c r="H532" s="3">
        <v>38.089939999999999</v>
      </c>
      <c r="I532" s="3">
        <v>41.581099999999999</v>
      </c>
      <c r="J532" s="3">
        <v>15.124040000000001</v>
      </c>
      <c r="K532" s="3">
        <v>11.69749</v>
      </c>
      <c r="L532" s="3">
        <v>42.454169999999998</v>
      </c>
      <c r="M532" s="3">
        <v>71.275139999999993</v>
      </c>
      <c r="N532" s="3">
        <v>64.826049999999995</v>
      </c>
      <c r="O532" s="3">
        <v>65.274829999999994</v>
      </c>
      <c r="P532" s="3">
        <v>56.166240000000002</v>
      </c>
      <c r="S532" s="3">
        <v>71.999889999999994</v>
      </c>
      <c r="T532" s="3">
        <v>72.19</v>
      </c>
      <c r="V532" s="3">
        <v>66.265150000000006</v>
      </c>
      <c r="W532" s="3">
        <v>62.7</v>
      </c>
      <c r="X532" s="3">
        <v>44.312339999999999</v>
      </c>
      <c r="Y532" s="3">
        <v>16.231179999999998</v>
      </c>
      <c r="Z532" s="3">
        <v>12.065480000000001</v>
      </c>
      <c r="AA532" s="3">
        <v>19.982890000000001</v>
      </c>
      <c r="AB532" s="3">
        <v>94.393219999999999</v>
      </c>
      <c r="AC532" s="3">
        <v>42.905740000000002</v>
      </c>
      <c r="AD532" s="3">
        <v>43.417079999999999</v>
      </c>
      <c r="AE532" s="3">
        <v>59.768859999999997</v>
      </c>
      <c r="AF532" s="3">
        <v>96.2</v>
      </c>
      <c r="AG532" s="3">
        <v>48.234000000000002</v>
      </c>
      <c r="AI532" s="3">
        <v>64.58502</v>
      </c>
      <c r="AJ532" s="3">
        <v>21.646599999999999</v>
      </c>
      <c r="AK532" s="3">
        <v>14.926030000000001</v>
      </c>
      <c r="AL532" s="3">
        <v>63.629519999999999</v>
      </c>
      <c r="AM532" s="3">
        <v>64.2</v>
      </c>
      <c r="AN532" s="3">
        <v>50.565280000000001</v>
      </c>
      <c r="AO532" s="3">
        <v>41.545720000000003</v>
      </c>
      <c r="AP532" s="3">
        <v>20.818249999999999</v>
      </c>
      <c r="AQ532" s="3">
        <v>57.497050000000002</v>
      </c>
      <c r="AT532" s="3">
        <v>30.882860000000001</v>
      </c>
      <c r="AU532" s="3">
        <v>28.98171</v>
      </c>
      <c r="AV532" s="3">
        <v>77.275639999999996</v>
      </c>
      <c r="AW532" s="3">
        <v>0.18764410000000001</v>
      </c>
      <c r="AX532" s="3">
        <v>60.375419999999998</v>
      </c>
      <c r="AY532" s="3">
        <v>26.861840000000001</v>
      </c>
    </row>
    <row r="533" spans="1:51" x14ac:dyDescent="0.2">
      <c r="A533" s="3" t="s">
        <v>430</v>
      </c>
      <c r="B533" s="49">
        <v>34029</v>
      </c>
      <c r="D533" s="3">
        <v>66.022000000000006</v>
      </c>
      <c r="E533" s="3">
        <v>0.18664439999999999</v>
      </c>
      <c r="F533" s="3">
        <v>67.316299999999998</v>
      </c>
      <c r="G533" s="3">
        <v>87.490080000000006</v>
      </c>
      <c r="H533" s="3">
        <v>38.306019999999997</v>
      </c>
      <c r="I533" s="3">
        <v>42.350709999999999</v>
      </c>
      <c r="J533" s="3">
        <v>15.404540000000001</v>
      </c>
      <c r="K533" s="3">
        <v>11.73868</v>
      </c>
      <c r="L533" s="3">
        <v>42.693750000000001</v>
      </c>
      <c r="M533" s="3">
        <v>71.46172</v>
      </c>
      <c r="N533" s="3">
        <v>64.965159999999997</v>
      </c>
      <c r="O533" s="3">
        <v>65.559560000000005</v>
      </c>
      <c r="P533" s="3">
        <v>56.363770000000002</v>
      </c>
      <c r="S533" s="3">
        <v>72.098550000000003</v>
      </c>
      <c r="T533" s="3">
        <v>72.56</v>
      </c>
      <c r="V533" s="3">
        <v>66.478250000000003</v>
      </c>
      <c r="W533" s="3">
        <v>63</v>
      </c>
      <c r="X533" s="3">
        <v>45.950960000000002</v>
      </c>
      <c r="Y533" s="3">
        <v>16.355969999999999</v>
      </c>
      <c r="Z533" s="3">
        <v>12.24668</v>
      </c>
      <c r="AA533" s="3">
        <v>20.14873</v>
      </c>
      <c r="AB533" s="3">
        <v>94.193870000000004</v>
      </c>
      <c r="AC533" s="3">
        <v>42.989139999999999</v>
      </c>
      <c r="AD533" s="3">
        <v>44.020099999999999</v>
      </c>
      <c r="AE533" s="3">
        <v>59.976570000000002</v>
      </c>
      <c r="AF533" s="3">
        <v>96.4</v>
      </c>
      <c r="AG533" s="3">
        <v>48.843000000000004</v>
      </c>
      <c r="AI533" s="3">
        <v>64.768619999999999</v>
      </c>
      <c r="AJ533" s="3">
        <v>22.148710000000001</v>
      </c>
      <c r="AK533" s="3">
        <v>15.01301</v>
      </c>
      <c r="AL533" s="3">
        <v>64.042689999999993</v>
      </c>
      <c r="AM533" s="3">
        <v>64.8</v>
      </c>
      <c r="AN533" s="3">
        <v>50.808489999999999</v>
      </c>
      <c r="AO533" s="3">
        <v>41.836219999999997</v>
      </c>
      <c r="AP533" s="3">
        <v>21.24024</v>
      </c>
      <c r="AQ533" s="3">
        <v>57.727930000000001</v>
      </c>
      <c r="AT533" s="3">
        <v>31.19586</v>
      </c>
      <c r="AU533" s="3">
        <v>29.44903</v>
      </c>
      <c r="AV533" s="3">
        <v>77.604349999999997</v>
      </c>
      <c r="AW533" s="3">
        <v>0.1965904</v>
      </c>
      <c r="AX533" s="3">
        <v>60.586370000000002</v>
      </c>
      <c r="AY533" s="3">
        <v>27.229810000000001</v>
      </c>
    </row>
    <row r="534" spans="1:51" x14ac:dyDescent="0.2">
      <c r="A534" s="3" t="s">
        <v>431</v>
      </c>
      <c r="B534" s="49">
        <v>34060</v>
      </c>
      <c r="D534" s="3">
        <v>66.078360000000004</v>
      </c>
      <c r="E534" s="3">
        <v>0.23843809999999999</v>
      </c>
      <c r="F534" s="3">
        <v>67.316299999999998</v>
      </c>
      <c r="G534" s="3">
        <v>87.755939999999995</v>
      </c>
      <c r="H534" s="3">
        <v>38.84281</v>
      </c>
      <c r="I534" s="3">
        <v>43.574390000000001</v>
      </c>
      <c r="J534" s="3">
        <v>15.70843</v>
      </c>
      <c r="K534" s="3">
        <v>11.85623</v>
      </c>
      <c r="L534" s="3">
        <v>42.933329999999998</v>
      </c>
      <c r="M534" s="3">
        <v>71.648309999999995</v>
      </c>
      <c r="N534" s="3">
        <v>65.034710000000004</v>
      </c>
      <c r="O534" s="3">
        <v>65.701920000000001</v>
      </c>
      <c r="P534" s="3">
        <v>56.610810000000001</v>
      </c>
      <c r="S534" s="3">
        <v>72.361630000000005</v>
      </c>
      <c r="T534" s="3">
        <v>72.650000000000006</v>
      </c>
      <c r="V534" s="3">
        <v>66.714079999999996</v>
      </c>
      <c r="W534" s="3">
        <v>63.4</v>
      </c>
      <c r="X534" s="3">
        <v>46.558909999999997</v>
      </c>
      <c r="Y534" s="3">
        <v>16.489080000000001</v>
      </c>
      <c r="Z534" s="3">
        <v>12.265420000000001</v>
      </c>
      <c r="AA534" s="3">
        <v>20.31456</v>
      </c>
      <c r="AB534" s="3">
        <v>94.991280000000003</v>
      </c>
      <c r="AC534" s="3">
        <v>42.864040000000003</v>
      </c>
      <c r="AD534" s="3">
        <v>44.62312</v>
      </c>
      <c r="AE534" s="3">
        <v>60.23621</v>
      </c>
      <c r="AF534" s="3">
        <v>97.1</v>
      </c>
      <c r="AG534" s="3">
        <v>49.127000000000002</v>
      </c>
      <c r="AI534" s="3">
        <v>64.910759999999996</v>
      </c>
      <c r="AJ534" s="3">
        <v>22.223089999999999</v>
      </c>
      <c r="AK534" s="3">
        <v>15.099589999999999</v>
      </c>
      <c r="AL534" s="3">
        <v>64.278800000000004</v>
      </c>
      <c r="AM534" s="3">
        <v>64.900000000000006</v>
      </c>
      <c r="AN534" s="3">
        <v>51.044960000000003</v>
      </c>
      <c r="AO534" s="3">
        <v>42.084609999999998</v>
      </c>
      <c r="AP534" s="3">
        <v>21.732559999999999</v>
      </c>
      <c r="AQ534" s="3">
        <v>58.054360000000003</v>
      </c>
      <c r="AT534" s="3">
        <v>31.568480000000001</v>
      </c>
      <c r="AU534" s="3">
        <v>29.67859</v>
      </c>
      <c r="AV534" s="3">
        <v>77.929869999999994</v>
      </c>
      <c r="AW534" s="3">
        <v>0.2052128</v>
      </c>
      <c r="AX534" s="3">
        <v>60.755130000000001</v>
      </c>
      <c r="AY534" s="3">
        <v>27.96575</v>
      </c>
    </row>
    <row r="535" spans="1:51" x14ac:dyDescent="0.2">
      <c r="A535" s="3" t="s">
        <v>432</v>
      </c>
      <c r="B535" s="49">
        <v>34090</v>
      </c>
      <c r="D535" s="3">
        <v>66.184030000000007</v>
      </c>
      <c r="E535" s="3">
        <v>0.3044616</v>
      </c>
      <c r="F535" s="3">
        <v>67.474320000000006</v>
      </c>
      <c r="G535" s="3">
        <v>87.807429999999997</v>
      </c>
      <c r="H535" s="3">
        <v>39.409370000000003</v>
      </c>
      <c r="I535" s="3">
        <v>44.226739999999999</v>
      </c>
      <c r="J535" s="3">
        <v>15.96556</v>
      </c>
      <c r="K535" s="3">
        <v>11.97076</v>
      </c>
      <c r="L535" s="3">
        <v>43.077080000000002</v>
      </c>
      <c r="M535" s="3">
        <v>71.741600000000005</v>
      </c>
      <c r="N535" s="3">
        <v>65.417270000000002</v>
      </c>
      <c r="O535" s="3">
        <v>65.844279999999998</v>
      </c>
      <c r="P535" s="3">
        <v>56.766979999999997</v>
      </c>
      <c r="S535" s="3">
        <v>72.4011</v>
      </c>
      <c r="T535" s="3">
        <v>72.75</v>
      </c>
      <c r="V535" s="3">
        <v>66.823459999999997</v>
      </c>
      <c r="W535" s="3">
        <v>63.6</v>
      </c>
      <c r="X535" s="3">
        <v>46.663379999999997</v>
      </c>
      <c r="Y535" s="3">
        <v>16.55564</v>
      </c>
      <c r="Z535" s="3">
        <v>12.27792</v>
      </c>
      <c r="AA535" s="3">
        <v>20.397480000000002</v>
      </c>
      <c r="AB535" s="3">
        <v>95.689009999999996</v>
      </c>
      <c r="AC535" s="3">
        <v>42.655560000000001</v>
      </c>
      <c r="AD535" s="3">
        <v>44.723619999999997</v>
      </c>
      <c r="AE535" s="3">
        <v>60.443919999999999</v>
      </c>
      <c r="AF535" s="3">
        <v>97.2</v>
      </c>
      <c r="AG535" s="3">
        <v>49.29</v>
      </c>
      <c r="AI535" s="3">
        <v>65.046970000000002</v>
      </c>
      <c r="AJ535" s="3">
        <v>22.167300000000001</v>
      </c>
      <c r="AK535" s="3">
        <v>15.1859</v>
      </c>
      <c r="AL535" s="3">
        <v>64.219769999999997</v>
      </c>
      <c r="AM535" s="3">
        <v>64.900000000000006</v>
      </c>
      <c r="AN535" s="3">
        <v>51.192590000000003</v>
      </c>
      <c r="AO535" s="3">
        <v>42.283230000000003</v>
      </c>
      <c r="AP535" s="3">
        <v>22.15455</v>
      </c>
      <c r="AQ535" s="3">
        <v>58.326039999999999</v>
      </c>
      <c r="AT535" s="3">
        <v>31.73244</v>
      </c>
      <c r="AU535" s="3">
        <v>30.285270000000001</v>
      </c>
      <c r="AV535" s="3">
        <v>77.747960000000006</v>
      </c>
      <c r="AW535" s="3">
        <v>0.2149037</v>
      </c>
      <c r="AX535" s="3">
        <v>60.83952</v>
      </c>
      <c r="AY535" s="3">
        <v>28.057739999999999</v>
      </c>
    </row>
    <row r="536" spans="1:51" x14ac:dyDescent="0.2">
      <c r="A536" s="3" t="s">
        <v>433</v>
      </c>
      <c r="B536" s="49">
        <v>34121</v>
      </c>
      <c r="D536" s="3">
        <v>66.191079999999999</v>
      </c>
      <c r="E536" s="3">
        <v>0.39601330000000001</v>
      </c>
      <c r="F536" s="3">
        <v>67.474320000000006</v>
      </c>
      <c r="G536" s="3">
        <v>87.784970000000001</v>
      </c>
      <c r="H536" s="3">
        <v>39.604179999999999</v>
      </c>
      <c r="I536" s="3">
        <v>44.165550000000003</v>
      </c>
      <c r="J536" s="3">
        <v>16.210999999999999</v>
      </c>
      <c r="K536" s="3">
        <v>12.12649</v>
      </c>
      <c r="L536" s="3">
        <v>43.508339999999997</v>
      </c>
      <c r="M536" s="3">
        <v>71.928179999999998</v>
      </c>
      <c r="N536" s="3">
        <v>65.382490000000004</v>
      </c>
      <c r="O536" s="3">
        <v>65.986660000000001</v>
      </c>
      <c r="P536" s="3">
        <v>56.907919999999997</v>
      </c>
      <c r="S536" s="3">
        <v>72.302440000000004</v>
      </c>
      <c r="T536" s="3">
        <v>72.709999999999994</v>
      </c>
      <c r="V536" s="3">
        <v>66.907719999999998</v>
      </c>
      <c r="W536" s="3">
        <v>63.6</v>
      </c>
      <c r="X536" s="3">
        <v>47.184280000000001</v>
      </c>
      <c r="Y536" s="3">
        <v>16.59723</v>
      </c>
      <c r="Z536" s="3">
        <v>12.30916</v>
      </c>
      <c r="AA536" s="3">
        <v>20.729140000000001</v>
      </c>
      <c r="AB536" s="3">
        <v>96.386740000000003</v>
      </c>
      <c r="AC536" s="3">
        <v>42.69726</v>
      </c>
      <c r="AD536" s="3">
        <v>44.924619999999997</v>
      </c>
      <c r="AE536" s="3">
        <v>60.80742</v>
      </c>
      <c r="AF536" s="3">
        <v>97.1</v>
      </c>
      <c r="AG536" s="3">
        <v>49.533000000000001</v>
      </c>
      <c r="AI536" s="3">
        <v>65.088430000000002</v>
      </c>
      <c r="AJ536" s="3">
        <v>22.678709999999999</v>
      </c>
      <c r="AK536" s="3">
        <v>15.27108</v>
      </c>
      <c r="AL536" s="3">
        <v>63.983669999999996</v>
      </c>
      <c r="AM536" s="3">
        <v>65</v>
      </c>
      <c r="AN536" s="3">
        <v>51.290700000000001</v>
      </c>
      <c r="AO536" s="3">
        <v>42.406170000000003</v>
      </c>
      <c r="AP536" s="3">
        <v>22.435880000000001</v>
      </c>
      <c r="AQ536" s="3">
        <v>58.459400000000002</v>
      </c>
      <c r="AT536" s="3">
        <v>31.866579999999999</v>
      </c>
      <c r="AU536" s="3">
        <v>30.46564</v>
      </c>
      <c r="AV536" s="3">
        <v>77.492649999999998</v>
      </c>
      <c r="AW536" s="3">
        <v>0.2188426</v>
      </c>
      <c r="AX536" s="3">
        <v>60.923900000000003</v>
      </c>
      <c r="AY536" s="3">
        <v>28.195730000000001</v>
      </c>
    </row>
    <row r="537" spans="1:51" x14ac:dyDescent="0.2">
      <c r="A537" s="3" t="s">
        <v>434</v>
      </c>
      <c r="B537" s="49">
        <v>34151</v>
      </c>
      <c r="D537" s="3">
        <v>66.627840000000006</v>
      </c>
      <c r="E537" s="3">
        <v>0.51766849999999998</v>
      </c>
      <c r="F537" s="3">
        <v>67.632339999999999</v>
      </c>
      <c r="G537" s="3">
        <v>87.730599999999995</v>
      </c>
      <c r="H537" s="3">
        <v>39.9938</v>
      </c>
      <c r="I537" s="3">
        <v>43.859540000000003</v>
      </c>
      <c r="J537" s="3">
        <v>16.409700000000001</v>
      </c>
      <c r="K537" s="3">
        <v>12.260109999999999</v>
      </c>
      <c r="L537" s="3">
        <v>43.604170000000003</v>
      </c>
      <c r="M537" s="3">
        <v>72.301349999999999</v>
      </c>
      <c r="N537" s="3">
        <v>65.27816</v>
      </c>
      <c r="O537" s="3">
        <v>66.200199999999995</v>
      </c>
      <c r="P537" s="3">
        <v>57.111429999999999</v>
      </c>
      <c r="S537" s="3">
        <v>72.118279999999999</v>
      </c>
      <c r="T537" s="3">
        <v>72.77</v>
      </c>
      <c r="V537" s="3">
        <v>66.990700000000004</v>
      </c>
      <c r="W537" s="3">
        <v>63.4</v>
      </c>
      <c r="X537" s="3">
        <v>46.271999999999998</v>
      </c>
      <c r="Y537" s="3">
        <v>16.688749999999999</v>
      </c>
      <c r="Z537" s="3">
        <v>12.39664</v>
      </c>
      <c r="AA537" s="3">
        <v>20.977889999999999</v>
      </c>
      <c r="AB537" s="3">
        <v>96.785449999999997</v>
      </c>
      <c r="AC537" s="3">
        <v>42.905740000000002</v>
      </c>
      <c r="AD537" s="3">
        <v>44.924619999999997</v>
      </c>
      <c r="AE537" s="3">
        <v>61.015129999999999</v>
      </c>
      <c r="AF537" s="3">
        <v>97.4</v>
      </c>
      <c r="AG537" s="3">
        <v>49.493000000000002</v>
      </c>
      <c r="AI537" s="3">
        <v>65.319410000000005</v>
      </c>
      <c r="AJ537" s="3">
        <v>22.86468</v>
      </c>
      <c r="AK537" s="3">
        <v>15.34446</v>
      </c>
      <c r="AL537" s="3">
        <v>64.396850000000001</v>
      </c>
      <c r="AM537" s="3">
        <v>64.900000000000006</v>
      </c>
      <c r="AN537" s="3">
        <v>51.429400000000001</v>
      </c>
      <c r="AO537" s="3">
        <v>42.621740000000003</v>
      </c>
      <c r="AP537" s="3">
        <v>22.717210000000001</v>
      </c>
      <c r="AQ537" s="3">
        <v>58.80274</v>
      </c>
      <c r="AT537" s="3">
        <v>32.224299999999999</v>
      </c>
      <c r="AU537" s="3">
        <v>30.6952</v>
      </c>
      <c r="AV537" s="3">
        <v>77.342659999999995</v>
      </c>
      <c r="AW537" s="3">
        <v>0.22952629999999999</v>
      </c>
      <c r="AX537" s="3">
        <v>60.923900000000003</v>
      </c>
      <c r="AY537" s="3">
        <v>28.425719999999998</v>
      </c>
    </row>
    <row r="538" spans="1:51" x14ac:dyDescent="0.2">
      <c r="A538" s="3" t="s">
        <v>435</v>
      </c>
      <c r="B538" s="49">
        <v>34182</v>
      </c>
      <c r="D538" s="3">
        <v>66.909620000000004</v>
      </c>
      <c r="E538" s="3">
        <v>0.68829209999999996</v>
      </c>
      <c r="F538" s="3">
        <v>67.711349999999996</v>
      </c>
      <c r="G538" s="3">
        <v>88.163120000000006</v>
      </c>
      <c r="H538" s="3">
        <v>40.847900000000003</v>
      </c>
      <c r="I538" s="3">
        <v>44.799500000000002</v>
      </c>
      <c r="J538" s="3">
        <v>16.620080000000002</v>
      </c>
      <c r="K538" s="3">
        <v>12.30532</v>
      </c>
      <c r="L538" s="3">
        <v>43.7</v>
      </c>
      <c r="M538" s="3">
        <v>72.301349999999999</v>
      </c>
      <c r="N538" s="3">
        <v>65.382490000000004</v>
      </c>
      <c r="O538" s="3">
        <v>66.271389999999997</v>
      </c>
      <c r="P538" s="3">
        <v>57.453159999999997</v>
      </c>
      <c r="S538" s="3">
        <v>72.026200000000003</v>
      </c>
      <c r="T538" s="3">
        <v>72.77</v>
      </c>
      <c r="V538" s="3">
        <v>67.1297</v>
      </c>
      <c r="W538" s="3">
        <v>63.7</v>
      </c>
      <c r="X538" s="3">
        <v>46.458629999999999</v>
      </c>
      <c r="Y538" s="3">
        <v>16.97993</v>
      </c>
      <c r="Z538" s="3">
        <v>12.43413</v>
      </c>
      <c r="AA538" s="3">
        <v>21.22664</v>
      </c>
      <c r="AB538" s="3">
        <v>96.984800000000007</v>
      </c>
      <c r="AC538" s="3">
        <v>42.989139999999999</v>
      </c>
      <c r="AD538" s="3">
        <v>45.226129999999998</v>
      </c>
      <c r="AE538" s="3">
        <v>61.067050000000002</v>
      </c>
      <c r="AF538" s="3">
        <v>97.6</v>
      </c>
      <c r="AG538" s="3">
        <v>49.655000000000001</v>
      </c>
      <c r="AI538" s="3">
        <v>65.514849999999996</v>
      </c>
      <c r="AJ538" s="3">
        <v>22.483450000000001</v>
      </c>
      <c r="AK538" s="3">
        <v>15.426589999999999</v>
      </c>
      <c r="AL538" s="3">
        <v>64.810029999999998</v>
      </c>
      <c r="AM538" s="3">
        <v>64.8</v>
      </c>
      <c r="AN538" s="3">
        <v>51.588169999999998</v>
      </c>
      <c r="AO538" s="3">
        <v>42.779820000000001</v>
      </c>
      <c r="AP538" s="3">
        <v>23.209530000000001</v>
      </c>
      <c r="AQ538" s="3">
        <v>59.030639999999998</v>
      </c>
      <c r="AT538" s="3">
        <v>32.99935</v>
      </c>
      <c r="AU538" s="3">
        <v>30.908359999999998</v>
      </c>
      <c r="AV538" s="3">
        <v>77.425640000000001</v>
      </c>
      <c r="AW538" s="3">
        <v>0.2356559</v>
      </c>
      <c r="AX538" s="3">
        <v>61.092660000000002</v>
      </c>
      <c r="AY538" s="3">
        <v>28.56371</v>
      </c>
    </row>
    <row r="539" spans="1:51" x14ac:dyDescent="0.2">
      <c r="A539" s="3" t="s">
        <v>436</v>
      </c>
      <c r="B539" s="49">
        <v>34213</v>
      </c>
      <c r="D539" s="3">
        <v>66.789860000000004</v>
      </c>
      <c r="E539" s="3">
        <v>0.93394359999999998</v>
      </c>
      <c r="F539" s="3">
        <v>67.711349999999996</v>
      </c>
      <c r="G539" s="3">
        <v>88.108959999999996</v>
      </c>
      <c r="H539" s="3">
        <v>41.323439999999998</v>
      </c>
      <c r="I539" s="3">
        <v>45.975490000000001</v>
      </c>
      <c r="J539" s="3">
        <v>16.807079999999999</v>
      </c>
      <c r="K539" s="3">
        <v>12.267139999999999</v>
      </c>
      <c r="L539" s="3">
        <v>44.131250000000001</v>
      </c>
      <c r="M539" s="3">
        <v>72.20805</v>
      </c>
      <c r="N539" s="3">
        <v>65.591160000000002</v>
      </c>
      <c r="O539" s="3">
        <v>66.342569999999995</v>
      </c>
      <c r="P539" s="3">
        <v>57.778019999999998</v>
      </c>
      <c r="S539" s="3">
        <v>72.17747</v>
      </c>
      <c r="T539" s="3">
        <v>73</v>
      </c>
      <c r="V539" s="3">
        <v>67.246729999999999</v>
      </c>
      <c r="W539" s="3">
        <v>64</v>
      </c>
      <c r="X539" s="3">
        <v>47.639020000000002</v>
      </c>
      <c r="Y539" s="3">
        <v>17.46245</v>
      </c>
      <c r="Z539" s="3">
        <v>12.46537</v>
      </c>
      <c r="AA539" s="3">
        <v>21.475390000000001</v>
      </c>
      <c r="AB539" s="3">
        <v>97.283829999999995</v>
      </c>
      <c r="AC539" s="3">
        <v>42.905740000000002</v>
      </c>
      <c r="AD539" s="3">
        <v>45.728639999999999</v>
      </c>
      <c r="AE539" s="3">
        <v>61.222839999999998</v>
      </c>
      <c r="AF539" s="3">
        <v>97.7</v>
      </c>
      <c r="AG539" s="3">
        <v>49.898000000000003</v>
      </c>
      <c r="AI539" s="3">
        <v>65.591849999999994</v>
      </c>
      <c r="AJ539" s="3">
        <v>22.939070000000001</v>
      </c>
      <c r="AK539" s="3">
        <v>15.540839999999999</v>
      </c>
      <c r="AL539" s="3">
        <v>65.223209999999995</v>
      </c>
      <c r="AM539" s="3">
        <v>65.099999999999994</v>
      </c>
      <c r="AN539" s="3">
        <v>51.785339999999998</v>
      </c>
      <c r="AO539" s="3">
        <v>43.048560000000002</v>
      </c>
      <c r="AP539" s="3">
        <v>23.772189999999998</v>
      </c>
      <c r="AQ539" s="3">
        <v>59.198819999999998</v>
      </c>
      <c r="AT539" s="3">
        <v>33.804209999999998</v>
      </c>
      <c r="AU539" s="3">
        <v>31.556039999999999</v>
      </c>
      <c r="AV539" s="3">
        <v>78.11497</v>
      </c>
      <c r="AW539" s="3">
        <v>0.24883240000000001</v>
      </c>
      <c r="AX539" s="3">
        <v>61.219239999999999</v>
      </c>
      <c r="AY539" s="3">
        <v>28.6557</v>
      </c>
    </row>
    <row r="540" spans="1:51" x14ac:dyDescent="0.2">
      <c r="A540" s="3" t="s">
        <v>437</v>
      </c>
      <c r="B540" s="49">
        <v>34243</v>
      </c>
      <c r="D540" s="3">
        <v>66.867360000000005</v>
      </c>
      <c r="E540" s="3">
        <v>1.250737</v>
      </c>
      <c r="F540" s="3">
        <v>67.869370000000004</v>
      </c>
      <c r="G540" s="3">
        <v>88.17465</v>
      </c>
      <c r="H540" s="3">
        <v>42.386809999999997</v>
      </c>
      <c r="I540" s="3">
        <v>46.30959</v>
      </c>
      <c r="J540" s="3">
        <v>16.982399999999998</v>
      </c>
      <c r="K540" s="3">
        <v>12.384690000000001</v>
      </c>
      <c r="L540" s="3">
        <v>44.514580000000002</v>
      </c>
      <c r="M540" s="3">
        <v>72.20805</v>
      </c>
      <c r="N540" s="3">
        <v>65.765050000000002</v>
      </c>
      <c r="O540" s="3">
        <v>66.484930000000006</v>
      </c>
      <c r="P540" s="3">
        <v>57.993499999999997</v>
      </c>
      <c r="S540" s="3">
        <v>72.276129999999995</v>
      </c>
      <c r="T540" s="3">
        <v>73.13</v>
      </c>
      <c r="V540" s="3">
        <v>67.41377</v>
      </c>
      <c r="W540" s="3">
        <v>64</v>
      </c>
      <c r="X540" s="3">
        <v>48.542250000000003</v>
      </c>
      <c r="Y540" s="3">
        <v>17.74531</v>
      </c>
      <c r="Z540" s="3">
        <v>12.54035</v>
      </c>
      <c r="AA540" s="3">
        <v>21.724139999999998</v>
      </c>
      <c r="AB540" s="3">
        <v>97.68253</v>
      </c>
      <c r="AC540" s="3">
        <v>43.155920000000002</v>
      </c>
      <c r="AD540" s="3">
        <v>46.331659999999999</v>
      </c>
      <c r="AE540" s="3">
        <v>61.534399999999998</v>
      </c>
      <c r="AF540" s="3">
        <v>97.6</v>
      </c>
      <c r="AG540" s="3">
        <v>50.1</v>
      </c>
      <c r="AI540" s="3">
        <v>65.787289999999999</v>
      </c>
      <c r="AJ540" s="3">
        <v>23.813110000000002</v>
      </c>
      <c r="AK540" s="3">
        <v>15.6044</v>
      </c>
      <c r="AL540" s="3">
        <v>65.223209999999995</v>
      </c>
      <c r="AM540" s="3">
        <v>65.099999999999994</v>
      </c>
      <c r="AN540" s="3">
        <v>52.021320000000003</v>
      </c>
      <c r="AO540" s="3">
        <v>43.345039999999997</v>
      </c>
      <c r="AP540" s="3">
        <v>24.194179999999999</v>
      </c>
      <c r="AQ540" s="3">
        <v>59.51529</v>
      </c>
      <c r="AT540" s="3">
        <v>34.29607</v>
      </c>
      <c r="AU540" s="3">
        <v>32.367690000000003</v>
      </c>
      <c r="AV540" s="3">
        <v>78.347939999999994</v>
      </c>
      <c r="AW540" s="3">
        <v>0.2659803</v>
      </c>
      <c r="AX540" s="3">
        <v>61.472389999999997</v>
      </c>
      <c r="AY540" s="3">
        <v>28.885680000000001</v>
      </c>
    </row>
    <row r="541" spans="1:51" x14ac:dyDescent="0.2">
      <c r="A541" s="3" t="s">
        <v>438</v>
      </c>
      <c r="B541" s="49">
        <v>34274</v>
      </c>
      <c r="D541" s="3">
        <v>66.958939999999998</v>
      </c>
      <c r="E541" s="3">
        <v>1.6954990000000001</v>
      </c>
      <c r="F541" s="3">
        <v>68.185410000000005</v>
      </c>
      <c r="G541" s="3">
        <v>88.055890000000005</v>
      </c>
      <c r="H541" s="3">
        <v>42.423389999999998</v>
      </c>
      <c r="I541" s="3">
        <v>46.710990000000002</v>
      </c>
      <c r="J541" s="3">
        <v>17.204470000000001</v>
      </c>
      <c r="K541" s="3">
        <v>12.51831</v>
      </c>
      <c r="L541" s="3">
        <v>44.85</v>
      </c>
      <c r="M541" s="3">
        <v>72.301349999999999</v>
      </c>
      <c r="N541" s="3">
        <v>65.869380000000007</v>
      </c>
      <c r="O541" s="3">
        <v>66.627300000000005</v>
      </c>
      <c r="P541" s="3">
        <v>58.090899999999998</v>
      </c>
      <c r="S541" s="3">
        <v>72.170900000000003</v>
      </c>
      <c r="T541" s="3">
        <v>73.2</v>
      </c>
      <c r="V541" s="3">
        <v>67.417199999999994</v>
      </c>
      <c r="W541" s="3">
        <v>63.8</v>
      </c>
      <c r="X541" s="3">
        <v>48.920389999999998</v>
      </c>
      <c r="Y541" s="3">
        <v>17.84515</v>
      </c>
      <c r="Z541" s="3">
        <v>12.59033</v>
      </c>
      <c r="AA541" s="3">
        <v>21.97289</v>
      </c>
      <c r="AB541" s="3">
        <v>97.981560000000002</v>
      </c>
      <c r="AC541" s="3">
        <v>43.114220000000003</v>
      </c>
      <c r="AD541" s="3">
        <v>46.733669999999996</v>
      </c>
      <c r="AE541" s="3">
        <v>61.74212</v>
      </c>
      <c r="AF541" s="3">
        <v>97.1</v>
      </c>
      <c r="AG541" s="3">
        <v>50.018999999999998</v>
      </c>
      <c r="AI541" s="3">
        <v>66.012339999999995</v>
      </c>
      <c r="AJ541" s="3">
        <v>25.905249999999999</v>
      </c>
      <c r="AK541" s="3">
        <v>15.67323</v>
      </c>
      <c r="AL541" s="3">
        <v>65.223209999999995</v>
      </c>
      <c r="AM541" s="3">
        <v>65.099999999999994</v>
      </c>
      <c r="AN541" s="3">
        <v>52.141219999999997</v>
      </c>
      <c r="AO541" s="3">
        <v>43.597160000000002</v>
      </c>
      <c r="AP541" s="3">
        <v>25.178830000000001</v>
      </c>
      <c r="AQ541" s="3">
        <v>59.8855</v>
      </c>
      <c r="AT541" s="3">
        <v>34.668689999999998</v>
      </c>
      <c r="AU541" s="3">
        <v>33.113759999999999</v>
      </c>
      <c r="AV541" s="3">
        <v>78.379850000000005</v>
      </c>
      <c r="AW541" s="3">
        <v>0.28298780000000001</v>
      </c>
      <c r="AX541" s="3">
        <v>61.514580000000002</v>
      </c>
      <c r="AY541" s="3">
        <v>28.93167</v>
      </c>
    </row>
    <row r="542" spans="1:51" x14ac:dyDescent="0.2">
      <c r="A542" s="3" t="s">
        <v>439</v>
      </c>
      <c r="B542" s="49">
        <v>34304</v>
      </c>
      <c r="D542" s="3">
        <v>67.057559999999995</v>
      </c>
      <c r="E542" s="3">
        <v>2.320122</v>
      </c>
      <c r="F542" s="3">
        <v>68.027389999999997</v>
      </c>
      <c r="G542" s="3">
        <v>88.165909999999997</v>
      </c>
      <c r="H542" s="3">
        <v>42.50761</v>
      </c>
      <c r="I542" s="3">
        <v>48.12294</v>
      </c>
      <c r="J542" s="3">
        <v>17.40316</v>
      </c>
      <c r="K542" s="3">
        <v>12.630839999999999</v>
      </c>
      <c r="L542" s="3">
        <v>45.329169999999998</v>
      </c>
      <c r="M542" s="3">
        <v>72.487930000000006</v>
      </c>
      <c r="N542" s="3">
        <v>65.730270000000004</v>
      </c>
      <c r="O542" s="3">
        <v>66.698490000000007</v>
      </c>
      <c r="P542" s="3">
        <v>58.366790000000002</v>
      </c>
      <c r="S542" s="3">
        <v>72.124859999999998</v>
      </c>
      <c r="T542" s="3">
        <v>73.17</v>
      </c>
      <c r="V542" s="3">
        <v>67.462590000000006</v>
      </c>
      <c r="W542" s="3">
        <v>64</v>
      </c>
      <c r="X542" s="3">
        <v>49.389760000000003</v>
      </c>
      <c r="Y542" s="3">
        <v>18.094729999999998</v>
      </c>
      <c r="Z542" s="3">
        <v>12.65907</v>
      </c>
      <c r="AA542" s="3">
        <v>21.889970000000002</v>
      </c>
      <c r="AB542" s="3">
        <v>98.18092</v>
      </c>
      <c r="AC542" s="3">
        <v>43.322710000000001</v>
      </c>
      <c r="AD542" s="3">
        <v>47.035179999999997</v>
      </c>
      <c r="AE542" s="3">
        <v>61.845970000000001</v>
      </c>
      <c r="AF542" s="3">
        <v>97.2</v>
      </c>
      <c r="AG542" s="3">
        <v>50.302999999999997</v>
      </c>
      <c r="AI542" s="3">
        <v>66.077489999999997</v>
      </c>
      <c r="AJ542" s="3">
        <v>27.22561</v>
      </c>
      <c r="AK542" s="3">
        <v>15.79274</v>
      </c>
      <c r="AL542" s="3">
        <v>64.928079999999994</v>
      </c>
      <c r="AM542" s="3">
        <v>65</v>
      </c>
      <c r="AN542" s="3">
        <v>52.262070000000001</v>
      </c>
      <c r="AO542" s="3">
        <v>43.794539999999998</v>
      </c>
      <c r="AP542" s="3">
        <v>26.585460000000001</v>
      </c>
      <c r="AQ542" s="3">
        <v>60.038760000000003</v>
      </c>
      <c r="AT542" s="3">
        <v>34.892270000000003</v>
      </c>
      <c r="AU542" s="3">
        <v>33.687660000000001</v>
      </c>
      <c r="AV542" s="3">
        <v>78.079859999999996</v>
      </c>
      <c r="AW542" s="3">
        <v>0.29322900000000002</v>
      </c>
      <c r="AX542" s="3">
        <v>61.514580000000002</v>
      </c>
      <c r="AY542" s="3">
        <v>29.023669999999999</v>
      </c>
    </row>
    <row r="543" spans="1:51" x14ac:dyDescent="0.2">
      <c r="A543" s="3" t="s">
        <v>440</v>
      </c>
      <c r="B543" s="49">
        <v>34335</v>
      </c>
      <c r="D543" s="3">
        <v>67.332300000000004</v>
      </c>
      <c r="E543" s="3">
        <v>3.2785639999999998</v>
      </c>
      <c r="F543" s="3">
        <v>68.027389999999997</v>
      </c>
      <c r="G543" s="3">
        <v>88.269069999999999</v>
      </c>
      <c r="H543" s="3">
        <v>42.95082</v>
      </c>
      <c r="I543" s="3">
        <v>50.071080000000002</v>
      </c>
      <c r="J543" s="3">
        <v>17.952490000000001</v>
      </c>
      <c r="K543" s="3">
        <v>12.741350000000001</v>
      </c>
      <c r="L543" s="3">
        <v>46.431249999999999</v>
      </c>
      <c r="M543" s="3">
        <v>72.861099999999993</v>
      </c>
      <c r="N543" s="3">
        <v>65.79983</v>
      </c>
      <c r="O543" s="3">
        <v>66.983220000000003</v>
      </c>
      <c r="P543" s="3">
        <v>58.956650000000003</v>
      </c>
      <c r="S543" s="3">
        <v>71.934119999999993</v>
      </c>
      <c r="T543" s="3">
        <v>73.260000000000005</v>
      </c>
      <c r="V543" s="3">
        <v>67.634150000000005</v>
      </c>
      <c r="W543" s="3">
        <v>64</v>
      </c>
      <c r="X543" s="3">
        <v>49.162739999999999</v>
      </c>
      <c r="Y543" s="3">
        <v>18.668769999999999</v>
      </c>
      <c r="Z543" s="3">
        <v>12.82152</v>
      </c>
      <c r="AA543" s="3">
        <v>21.80706</v>
      </c>
      <c r="AB543" s="3">
        <v>98.679289999999995</v>
      </c>
      <c r="AC543" s="3">
        <v>43.572890000000001</v>
      </c>
      <c r="AD543" s="3">
        <v>47.437190000000001</v>
      </c>
      <c r="AE543" s="3">
        <v>62.157539999999997</v>
      </c>
      <c r="AF543" s="3">
        <v>97.3</v>
      </c>
      <c r="AG543" s="3">
        <v>50.953000000000003</v>
      </c>
      <c r="AI543" s="3">
        <v>66.095259999999996</v>
      </c>
      <c r="AJ543" s="3">
        <v>28.257729999999999</v>
      </c>
      <c r="AK543" s="3">
        <v>15.91517</v>
      </c>
      <c r="AL543" s="3">
        <v>65.164180000000002</v>
      </c>
      <c r="AM543" s="3">
        <v>64.900000000000006</v>
      </c>
      <c r="AN543" s="3">
        <v>52.481090000000002</v>
      </c>
      <c r="AO543" s="3">
        <v>44.057099999999998</v>
      </c>
      <c r="AP543" s="3">
        <v>27.07779</v>
      </c>
      <c r="AQ543" s="3">
        <v>60.772219999999997</v>
      </c>
      <c r="AT543" s="3">
        <v>35.354320000000001</v>
      </c>
      <c r="AU543" s="3">
        <v>34.335329999999999</v>
      </c>
      <c r="AV543" s="3">
        <v>78.322410000000005</v>
      </c>
      <c r="AW543" s="3">
        <v>0.30615740000000002</v>
      </c>
      <c r="AX543" s="3">
        <v>61.683340000000001</v>
      </c>
      <c r="AY543" s="3">
        <v>29.437639999999998</v>
      </c>
    </row>
    <row r="544" spans="1:51" x14ac:dyDescent="0.2">
      <c r="A544" s="3" t="s">
        <v>441</v>
      </c>
      <c r="B544" s="49">
        <v>34366</v>
      </c>
      <c r="D544" s="3">
        <v>67.55068</v>
      </c>
      <c r="E544" s="3">
        <v>4.5989449999999996</v>
      </c>
      <c r="F544" s="3">
        <v>67.474320000000006</v>
      </c>
      <c r="G544" s="3">
        <v>88.627359999999996</v>
      </c>
      <c r="H544" s="3">
        <v>43.084380000000003</v>
      </c>
      <c r="I544" s="3">
        <v>51.227910000000001</v>
      </c>
      <c r="J544" s="3">
        <v>18.607009999999999</v>
      </c>
      <c r="K544" s="3">
        <v>12.89406</v>
      </c>
      <c r="L544" s="3">
        <v>46.622920000000001</v>
      </c>
      <c r="M544" s="3">
        <v>73.420850000000002</v>
      </c>
      <c r="N544" s="3">
        <v>66.008499999999998</v>
      </c>
      <c r="O544" s="3">
        <v>67.267939999999996</v>
      </c>
      <c r="P544" s="3">
        <v>58.977870000000003</v>
      </c>
      <c r="S544" s="3">
        <v>72.203779999999995</v>
      </c>
      <c r="T544" s="3">
        <v>73.47</v>
      </c>
      <c r="V544" s="3">
        <v>67.83605</v>
      </c>
      <c r="W544" s="3">
        <v>64.2</v>
      </c>
      <c r="X544" s="3">
        <v>49.347279999999998</v>
      </c>
      <c r="Y544" s="3">
        <v>18.926670000000001</v>
      </c>
      <c r="Z544" s="3">
        <v>13.04646</v>
      </c>
      <c r="AA544" s="3">
        <v>21.97289</v>
      </c>
      <c r="AB544" s="3">
        <v>98.778970000000001</v>
      </c>
      <c r="AC544" s="3">
        <v>43.739669999999997</v>
      </c>
      <c r="AD544" s="3">
        <v>47.638190000000002</v>
      </c>
      <c r="AE544" s="3">
        <v>62.417180000000002</v>
      </c>
      <c r="AF544" s="3">
        <v>97.3</v>
      </c>
      <c r="AG544" s="3">
        <v>51.52</v>
      </c>
      <c r="AI544" s="3">
        <v>66.267009999999999</v>
      </c>
      <c r="AJ544" s="3">
        <v>29.22476</v>
      </c>
      <c r="AK544" s="3">
        <v>15.997030000000001</v>
      </c>
      <c r="AL544" s="3">
        <v>65.518330000000006</v>
      </c>
      <c r="AM544" s="3">
        <v>65.099999999999994</v>
      </c>
      <c r="AN544" s="3">
        <v>52.723260000000003</v>
      </c>
      <c r="AO544" s="3">
        <v>44.404949999999999</v>
      </c>
      <c r="AP544" s="3">
        <v>27.359110000000001</v>
      </c>
      <c r="AQ544" s="3">
        <v>61.1066</v>
      </c>
      <c r="AT544" s="3">
        <v>35.622599999999998</v>
      </c>
      <c r="AU544" s="3">
        <v>34.753459999999997</v>
      </c>
      <c r="AV544" s="3">
        <v>78.564949999999996</v>
      </c>
      <c r="AW544" s="3">
        <v>0.32609320000000003</v>
      </c>
      <c r="AX544" s="3">
        <v>61.894289999999998</v>
      </c>
      <c r="AY544" s="3">
        <v>29.529630000000001</v>
      </c>
    </row>
    <row r="545" spans="1:51" x14ac:dyDescent="0.2">
      <c r="A545" s="3" t="s">
        <v>442</v>
      </c>
      <c r="B545" s="49">
        <v>34394</v>
      </c>
      <c r="D545" s="3">
        <v>67.55068</v>
      </c>
      <c r="E545" s="3">
        <v>6.565016</v>
      </c>
      <c r="F545" s="3">
        <v>67.474320000000006</v>
      </c>
      <c r="G545" s="3">
        <v>88.62885</v>
      </c>
      <c r="H545" s="3">
        <v>43.569279999999999</v>
      </c>
      <c r="I545" s="3">
        <v>51.837269999999997</v>
      </c>
      <c r="J545" s="3">
        <v>19.02777</v>
      </c>
      <c r="K545" s="3">
        <v>13.06184</v>
      </c>
      <c r="L545" s="3">
        <v>46.71875</v>
      </c>
      <c r="M545" s="3">
        <v>73.514139999999998</v>
      </c>
      <c r="N545" s="3">
        <v>66.078050000000005</v>
      </c>
      <c r="O545" s="3">
        <v>67.481499999999997</v>
      </c>
      <c r="P545" s="3">
        <v>59.17268</v>
      </c>
      <c r="S545" s="3">
        <v>72.355059999999995</v>
      </c>
      <c r="T545" s="3">
        <v>73.64</v>
      </c>
      <c r="V545" s="3">
        <v>68.038060000000002</v>
      </c>
      <c r="W545" s="3">
        <v>64.400000000000006</v>
      </c>
      <c r="X545" s="3">
        <v>50.566670000000002</v>
      </c>
      <c r="Y545" s="3">
        <v>19.118020000000001</v>
      </c>
      <c r="Z545" s="3">
        <v>13.133940000000001</v>
      </c>
      <c r="AA545" s="3">
        <v>22.138729999999999</v>
      </c>
      <c r="AB545" s="3">
        <v>98.280590000000004</v>
      </c>
      <c r="AC545" s="3">
        <v>44.114939999999997</v>
      </c>
      <c r="AD545" s="3">
        <v>48.140709999999999</v>
      </c>
      <c r="AE545" s="3">
        <v>62.572960000000002</v>
      </c>
      <c r="AF545" s="3">
        <v>97.7</v>
      </c>
      <c r="AG545" s="3">
        <v>51.966000000000001</v>
      </c>
      <c r="AI545" s="3">
        <v>66.243319999999997</v>
      </c>
      <c r="AJ545" s="3">
        <v>29.736170000000001</v>
      </c>
      <c r="AK545" s="3">
        <v>16.079280000000001</v>
      </c>
      <c r="AL545" s="3">
        <v>65.931510000000003</v>
      </c>
      <c r="AM545" s="3">
        <v>65.400000000000006</v>
      </c>
      <c r="AN545" s="3">
        <v>52.966589999999997</v>
      </c>
      <c r="AO545" s="3">
        <v>44.682519999999997</v>
      </c>
      <c r="AP545" s="3">
        <v>27.921769999999999</v>
      </c>
      <c r="AQ545" s="3">
        <v>61.245930000000001</v>
      </c>
      <c r="AT545" s="3">
        <v>35.786560000000001</v>
      </c>
      <c r="AU545" s="3">
        <v>35.269970000000001</v>
      </c>
      <c r="AV545" s="3">
        <v>78.855360000000005</v>
      </c>
      <c r="AW545" s="3">
        <v>0.34507969999999999</v>
      </c>
      <c r="AX545" s="3">
        <v>62.105249999999998</v>
      </c>
      <c r="AY545" s="3">
        <v>29.713609999999999</v>
      </c>
    </row>
    <row r="546" spans="1:51" x14ac:dyDescent="0.2">
      <c r="A546" s="3" t="s">
        <v>443</v>
      </c>
      <c r="B546" s="49">
        <v>34425</v>
      </c>
      <c r="D546" s="3">
        <v>67.670439999999999</v>
      </c>
      <c r="E546" s="3">
        <v>9.3670259999999992</v>
      </c>
      <c r="F546" s="3">
        <v>67.474320000000006</v>
      </c>
      <c r="G546" s="3">
        <v>88.675060000000002</v>
      </c>
      <c r="H546" s="3">
        <v>43.783650000000002</v>
      </c>
      <c r="I546" s="3">
        <v>53.030029999999996</v>
      </c>
      <c r="J546" s="3">
        <v>19.471900000000002</v>
      </c>
      <c r="K546" s="3">
        <v>13.18843</v>
      </c>
      <c r="L546" s="3">
        <v>46.910420000000002</v>
      </c>
      <c r="M546" s="3">
        <v>73.607439999999997</v>
      </c>
      <c r="N546" s="3">
        <v>66.356279999999998</v>
      </c>
      <c r="O546" s="3">
        <v>67.552679999999995</v>
      </c>
      <c r="P546" s="3">
        <v>59.405569999999997</v>
      </c>
      <c r="S546" s="3">
        <v>72.506330000000005</v>
      </c>
      <c r="T546" s="3">
        <v>73.84</v>
      </c>
      <c r="V546" s="3">
        <v>68.170950000000005</v>
      </c>
      <c r="W546" s="3">
        <v>64.900000000000006</v>
      </c>
      <c r="X546" s="3">
        <v>51.327129999999997</v>
      </c>
      <c r="Y546" s="3">
        <v>19.350960000000001</v>
      </c>
      <c r="Z546" s="3">
        <v>13.171430000000001</v>
      </c>
      <c r="AA546" s="3">
        <v>22.304559999999999</v>
      </c>
      <c r="AB546" s="3">
        <v>99.57638</v>
      </c>
      <c r="AC546" s="3">
        <v>44.240029999999997</v>
      </c>
      <c r="AD546" s="3">
        <v>49.14573</v>
      </c>
      <c r="AE546" s="3">
        <v>62.676819999999999</v>
      </c>
      <c r="AF546" s="3">
        <v>97.9</v>
      </c>
      <c r="AG546" s="3">
        <v>52.046999999999997</v>
      </c>
      <c r="AI546" s="3">
        <v>66.302549999999997</v>
      </c>
      <c r="AJ546" s="3">
        <v>30.535830000000001</v>
      </c>
      <c r="AK546" s="3">
        <v>16.15803</v>
      </c>
      <c r="AL546" s="3">
        <v>66.049570000000003</v>
      </c>
      <c r="AM546" s="3">
        <v>65.5</v>
      </c>
      <c r="AN546" s="3">
        <v>53.398440000000001</v>
      </c>
      <c r="AO546" s="3">
        <v>45.493220000000001</v>
      </c>
      <c r="AP546" s="3">
        <v>28.695419999999999</v>
      </c>
      <c r="AQ546" s="3">
        <v>61.59225</v>
      </c>
      <c r="AT546" s="3">
        <v>35.935609999999997</v>
      </c>
      <c r="AU546" s="3">
        <v>36.122610000000002</v>
      </c>
      <c r="AV546" s="3">
        <v>79.174499999999995</v>
      </c>
      <c r="AW546" s="3">
        <v>0.42577229999999999</v>
      </c>
      <c r="AX546" s="3">
        <v>62.189630000000001</v>
      </c>
      <c r="AY546" s="3">
        <v>29.897600000000001</v>
      </c>
    </row>
    <row r="547" spans="1:51" x14ac:dyDescent="0.2">
      <c r="A547" s="3" t="s">
        <v>444</v>
      </c>
      <c r="B547" s="49">
        <v>34455</v>
      </c>
      <c r="D547" s="3">
        <v>67.87473</v>
      </c>
      <c r="E547" s="3">
        <v>13.49127</v>
      </c>
      <c r="F547" s="3">
        <v>67.316299999999998</v>
      </c>
      <c r="G547" s="3">
        <v>88.124660000000006</v>
      </c>
      <c r="H547" s="3">
        <v>44.408070000000002</v>
      </c>
      <c r="I547" s="3">
        <v>53.647030000000001</v>
      </c>
      <c r="J547" s="3">
        <v>19.775790000000001</v>
      </c>
      <c r="K547" s="3">
        <v>13.368270000000001</v>
      </c>
      <c r="L547" s="3">
        <v>47.102089999999997</v>
      </c>
      <c r="M547" s="3">
        <v>73.794020000000003</v>
      </c>
      <c r="N547" s="3">
        <v>66.669269999999997</v>
      </c>
      <c r="O547" s="3">
        <v>67.766229999999993</v>
      </c>
      <c r="P547" s="3">
        <v>59.526919999999997</v>
      </c>
      <c r="S547" s="3">
        <v>72.512910000000005</v>
      </c>
      <c r="T547" s="3">
        <v>74</v>
      </c>
      <c r="V547" s="3">
        <v>68.271159999999995</v>
      </c>
      <c r="W547" s="3">
        <v>65.099999999999994</v>
      </c>
      <c r="X547" s="3">
        <v>51.689959999999999</v>
      </c>
      <c r="Y547" s="3">
        <v>19.5839</v>
      </c>
      <c r="Z547" s="3">
        <v>13.23391</v>
      </c>
      <c r="AA547" s="3">
        <v>22.55331</v>
      </c>
      <c r="AB547" s="3">
        <v>100.4735</v>
      </c>
      <c r="AC547" s="3">
        <v>44.406820000000003</v>
      </c>
      <c r="AD547" s="3">
        <v>49.648240000000001</v>
      </c>
      <c r="AE547" s="3">
        <v>63.040309999999998</v>
      </c>
      <c r="AF547" s="3">
        <v>98</v>
      </c>
      <c r="AG547" s="3">
        <v>52.088000000000001</v>
      </c>
      <c r="AI547" s="3">
        <v>66.432850000000002</v>
      </c>
      <c r="AJ547" s="3">
        <v>30.600919999999999</v>
      </c>
      <c r="AK547" s="3">
        <v>16.2361</v>
      </c>
      <c r="AL547" s="3">
        <v>66.108590000000007</v>
      </c>
      <c r="AM547" s="3">
        <v>65.5</v>
      </c>
      <c r="AN547" s="3">
        <v>53.614820000000002</v>
      </c>
      <c r="AO547" s="3">
        <v>45.90325</v>
      </c>
      <c r="AP547" s="3">
        <v>29.187740000000002</v>
      </c>
      <c r="AQ547" s="3">
        <v>61.730580000000003</v>
      </c>
      <c r="AT547" s="3">
        <v>36.144280000000002</v>
      </c>
      <c r="AU547" s="3">
        <v>36.51614</v>
      </c>
      <c r="AV547" s="3">
        <v>79.353219999999993</v>
      </c>
      <c r="AW547" s="3">
        <v>0.46089740000000001</v>
      </c>
      <c r="AX547" s="3">
        <v>62.231819999999999</v>
      </c>
      <c r="AY547" s="3">
        <v>30.081579999999999</v>
      </c>
    </row>
    <row r="548" spans="1:51" x14ac:dyDescent="0.2">
      <c r="A548" s="3" t="s">
        <v>445</v>
      </c>
      <c r="B548" s="49">
        <v>34486</v>
      </c>
      <c r="D548" s="3">
        <v>68.015630000000002</v>
      </c>
      <c r="E548" s="3">
        <v>19.890170000000001</v>
      </c>
      <c r="F548" s="3">
        <v>67.474320000000006</v>
      </c>
      <c r="G548" s="3">
        <v>88.263400000000004</v>
      </c>
      <c r="H548" s="3">
        <v>44.644559999999998</v>
      </c>
      <c r="I548" s="3">
        <v>54.14696</v>
      </c>
      <c r="J548" s="3">
        <v>19.95111</v>
      </c>
      <c r="K548" s="3">
        <v>13.585279999999999</v>
      </c>
      <c r="L548" s="3">
        <v>47.677079999999997</v>
      </c>
      <c r="M548" s="3">
        <v>73.887309999999999</v>
      </c>
      <c r="N548" s="3">
        <v>66.738829999999993</v>
      </c>
      <c r="O548" s="3">
        <v>67.837410000000006</v>
      </c>
      <c r="P548" s="3">
        <v>59.59113</v>
      </c>
      <c r="S548" s="3">
        <v>73.229810000000001</v>
      </c>
      <c r="T548" s="3">
        <v>73.97</v>
      </c>
      <c r="V548" s="3">
        <v>68.368849999999995</v>
      </c>
      <c r="W548" s="3">
        <v>65.099999999999994</v>
      </c>
      <c r="X548" s="3">
        <v>52.050690000000003</v>
      </c>
      <c r="Y548" s="3">
        <v>19.783570000000001</v>
      </c>
      <c r="Z548" s="3">
        <v>13.252660000000001</v>
      </c>
      <c r="AA548" s="3">
        <v>22.967890000000001</v>
      </c>
      <c r="AB548" s="3">
        <v>100.5731</v>
      </c>
      <c r="AC548" s="3">
        <v>44.823779999999999</v>
      </c>
      <c r="AD548" s="3">
        <v>50.452260000000003</v>
      </c>
      <c r="AE548" s="3">
        <v>63.144170000000003</v>
      </c>
      <c r="AF548" s="3">
        <v>97.6</v>
      </c>
      <c r="AG548" s="3">
        <v>52.453000000000003</v>
      </c>
      <c r="AI548" s="3">
        <v>66.468379999999996</v>
      </c>
      <c r="AJ548" s="3">
        <v>31.22391</v>
      </c>
      <c r="AK548" s="3">
        <v>16.317340000000002</v>
      </c>
      <c r="AL548" s="3">
        <v>65.931510000000003</v>
      </c>
      <c r="AM548" s="3">
        <v>65.7</v>
      </c>
      <c r="AN548" s="3">
        <v>53.737099999999998</v>
      </c>
      <c r="AO548" s="3">
        <v>46.018839999999997</v>
      </c>
      <c r="AP548" s="3">
        <v>29.89106</v>
      </c>
      <c r="AQ548" s="3">
        <v>61.817169999999997</v>
      </c>
      <c r="AT548" s="3">
        <v>36.323129999999999</v>
      </c>
      <c r="AU548" s="3">
        <v>37.049039999999998</v>
      </c>
      <c r="AV548" s="3">
        <v>79.369169999999997</v>
      </c>
      <c r="AW548" s="3">
        <v>0.469916</v>
      </c>
      <c r="AX548" s="3">
        <v>62.442779999999999</v>
      </c>
      <c r="AY548" s="3">
        <v>30.26557</v>
      </c>
    </row>
    <row r="549" spans="1:51" x14ac:dyDescent="0.2">
      <c r="A549" s="3" t="s">
        <v>446</v>
      </c>
      <c r="B549" s="49">
        <v>34516</v>
      </c>
      <c r="D549" s="3">
        <v>68.438299999999998</v>
      </c>
      <c r="E549" s="3">
        <v>21.250689999999999</v>
      </c>
      <c r="F549" s="3">
        <v>67.711349999999996</v>
      </c>
      <c r="G549" s="3">
        <v>88.248099999999994</v>
      </c>
      <c r="H549" s="3">
        <v>44.911679999999997</v>
      </c>
      <c r="I549" s="3">
        <v>54.385829999999999</v>
      </c>
      <c r="J549" s="3">
        <v>20.138110000000001</v>
      </c>
      <c r="K549" s="3">
        <v>13.71087</v>
      </c>
      <c r="L549" s="3">
        <v>47.820839999999997</v>
      </c>
      <c r="M549" s="3">
        <v>74.073899999999995</v>
      </c>
      <c r="N549" s="3">
        <v>66.599720000000005</v>
      </c>
      <c r="O549" s="3">
        <v>67.979770000000002</v>
      </c>
      <c r="P549" s="3">
        <v>59.824570000000001</v>
      </c>
      <c r="S549" s="3">
        <v>73.262699999999995</v>
      </c>
      <c r="T549" s="3">
        <v>73.959999999999994</v>
      </c>
      <c r="V549" s="3">
        <v>68.432429999999997</v>
      </c>
      <c r="W549" s="3">
        <v>64.7</v>
      </c>
      <c r="X549" s="3">
        <v>51.689959999999999</v>
      </c>
      <c r="Y549" s="3">
        <v>20.033149999999999</v>
      </c>
      <c r="Z549" s="3">
        <v>13.433859999999999</v>
      </c>
      <c r="AA549" s="3">
        <v>23.29956</v>
      </c>
      <c r="AB549" s="3">
        <v>101.2709</v>
      </c>
      <c r="AC549" s="3">
        <v>45.157359999999997</v>
      </c>
      <c r="AD549" s="3">
        <v>50.954770000000003</v>
      </c>
      <c r="AE549" s="3">
        <v>63.299950000000003</v>
      </c>
      <c r="AF549" s="3">
        <v>97.2</v>
      </c>
      <c r="AG549" s="3">
        <v>52.9</v>
      </c>
      <c r="AI549" s="3">
        <v>66.746740000000003</v>
      </c>
      <c r="AJ549" s="3">
        <v>31.56795</v>
      </c>
      <c r="AK549" s="3">
        <v>16.389710000000001</v>
      </c>
      <c r="AL549" s="3">
        <v>66.167619999999999</v>
      </c>
      <c r="AM549" s="3">
        <v>65.8</v>
      </c>
      <c r="AN549" s="3">
        <v>53.876240000000003</v>
      </c>
      <c r="AO549" s="3">
        <v>46.179299999999998</v>
      </c>
      <c r="AP549" s="3">
        <v>30.31305</v>
      </c>
      <c r="AQ549" s="3">
        <v>61.921660000000003</v>
      </c>
      <c r="AT549" s="3">
        <v>36.591419999999999</v>
      </c>
      <c r="AU549" s="3">
        <v>37.565550000000002</v>
      </c>
      <c r="AV549" s="3">
        <v>79.385130000000004</v>
      </c>
      <c r="AW549" s="3">
        <v>0.48463050000000002</v>
      </c>
      <c r="AX549" s="3">
        <v>62.611539999999998</v>
      </c>
      <c r="AY549" s="3">
        <v>30.725529999999999</v>
      </c>
    </row>
    <row r="550" spans="1:51" x14ac:dyDescent="0.2">
      <c r="A550" s="3" t="s">
        <v>447</v>
      </c>
      <c r="B550" s="49">
        <v>34547</v>
      </c>
      <c r="D550" s="3">
        <v>68.543970000000002</v>
      </c>
      <c r="E550" s="3">
        <v>21.646039999999999</v>
      </c>
      <c r="F550" s="3">
        <v>67.790360000000007</v>
      </c>
      <c r="G550" s="3">
        <v>88.594560000000001</v>
      </c>
      <c r="H550" s="3">
        <v>45.41019</v>
      </c>
      <c r="I550" s="3">
        <v>56.357770000000002</v>
      </c>
      <c r="J550" s="3">
        <v>20.325119999999998</v>
      </c>
      <c r="K550" s="3">
        <v>13.963039999999999</v>
      </c>
      <c r="L550" s="3">
        <v>48.15625</v>
      </c>
      <c r="M550" s="3">
        <v>74.260480000000001</v>
      </c>
      <c r="N550" s="3">
        <v>66.843159999999997</v>
      </c>
      <c r="O550" s="3">
        <v>68.122150000000005</v>
      </c>
      <c r="P550" s="3">
        <v>60.210920000000002</v>
      </c>
      <c r="S550" s="3">
        <v>73.374510000000001</v>
      </c>
      <c r="T550" s="3">
        <v>73.95</v>
      </c>
      <c r="V550" s="3">
        <v>68.669290000000004</v>
      </c>
      <c r="W550" s="3">
        <v>65.099999999999994</v>
      </c>
      <c r="X550" s="3">
        <v>51.841769999999997</v>
      </c>
      <c r="Y550" s="3">
        <v>20.307690000000001</v>
      </c>
      <c r="Z550" s="3">
        <v>13.552569999999999</v>
      </c>
      <c r="AA550" s="3">
        <v>23.548310000000001</v>
      </c>
      <c r="AB550" s="3">
        <v>101.7692</v>
      </c>
      <c r="AC550" s="3">
        <v>45.157359999999997</v>
      </c>
      <c r="AD550" s="3">
        <v>51.557789999999997</v>
      </c>
      <c r="AE550" s="3">
        <v>63.403799999999997</v>
      </c>
      <c r="AF550" s="3">
        <v>97.6</v>
      </c>
      <c r="AG550" s="3">
        <v>53.305999999999997</v>
      </c>
      <c r="AI550" s="3">
        <v>66.817809999999994</v>
      </c>
      <c r="AJ550" s="3">
        <v>32.181640000000002</v>
      </c>
      <c r="AK550" s="3">
        <v>16.466100000000001</v>
      </c>
      <c r="AL550" s="3">
        <v>66.46275</v>
      </c>
      <c r="AM550" s="3">
        <v>65.8</v>
      </c>
      <c r="AN550" s="3">
        <v>54.115900000000003</v>
      </c>
      <c r="AO550" s="3">
        <v>46.418349999999997</v>
      </c>
      <c r="AP550" s="3">
        <v>30.80538</v>
      </c>
      <c r="AQ550" s="3">
        <v>62.036110000000001</v>
      </c>
      <c r="AT550" s="3">
        <v>37.083280000000002</v>
      </c>
      <c r="AU550" s="3">
        <v>37.860689999999998</v>
      </c>
      <c r="AV550" s="3">
        <v>79.407470000000004</v>
      </c>
      <c r="AW550" s="3">
        <v>0.4983957</v>
      </c>
      <c r="AX550" s="3">
        <v>62.864690000000003</v>
      </c>
      <c r="AY550" s="3">
        <v>31.185500000000001</v>
      </c>
    </row>
    <row r="551" spans="1:51" x14ac:dyDescent="0.2">
      <c r="A551" s="3" t="s">
        <v>448</v>
      </c>
      <c r="B551" s="49">
        <v>34578</v>
      </c>
      <c r="D551" s="3">
        <v>68.431259999999995</v>
      </c>
      <c r="E551" s="3">
        <v>21.977119999999999</v>
      </c>
      <c r="F551" s="3">
        <v>67.869370000000004</v>
      </c>
      <c r="G551" s="3">
        <v>88.630439999999993</v>
      </c>
      <c r="H551" s="3">
        <v>45.633920000000003</v>
      </c>
      <c r="I551" s="3">
        <v>58.526809999999998</v>
      </c>
      <c r="J551" s="3">
        <v>20.558869999999999</v>
      </c>
      <c r="K551" s="3">
        <v>14.261430000000001</v>
      </c>
      <c r="L551" s="3">
        <v>48.779170000000001</v>
      </c>
      <c r="M551" s="3">
        <v>74.073899999999995</v>
      </c>
      <c r="N551" s="3">
        <v>66.912719999999993</v>
      </c>
      <c r="O551" s="3">
        <v>68.193330000000003</v>
      </c>
      <c r="P551" s="3">
        <v>60.394300000000001</v>
      </c>
      <c r="S551" s="3">
        <v>73.552090000000007</v>
      </c>
      <c r="T551" s="3">
        <v>74.180000000000007</v>
      </c>
      <c r="V551" s="3">
        <v>68.812600000000003</v>
      </c>
      <c r="W551" s="3">
        <v>65.2</v>
      </c>
      <c r="X551" s="3">
        <v>53.218539999999997</v>
      </c>
      <c r="Y551" s="3">
        <v>20.773579999999999</v>
      </c>
      <c r="Z551" s="3">
        <v>13.627549999999999</v>
      </c>
      <c r="AA551" s="3">
        <v>23.87997</v>
      </c>
      <c r="AB551" s="3">
        <v>101.5699</v>
      </c>
      <c r="AC551" s="3">
        <v>45.282440000000001</v>
      </c>
      <c r="AD551" s="3">
        <v>52.160800000000002</v>
      </c>
      <c r="AE551" s="3">
        <v>63.611519999999999</v>
      </c>
      <c r="AF551" s="3">
        <v>97.9</v>
      </c>
      <c r="AG551" s="3">
        <v>53.143000000000001</v>
      </c>
      <c r="AI551" s="3">
        <v>67.031019999999998</v>
      </c>
      <c r="AJ551" s="3">
        <v>32.497790000000002</v>
      </c>
      <c r="AK551" s="3">
        <v>16.583200000000001</v>
      </c>
      <c r="AL551" s="3">
        <v>66.993970000000004</v>
      </c>
      <c r="AM551" s="3">
        <v>66.2</v>
      </c>
      <c r="AN551" s="3">
        <v>54.357979999999998</v>
      </c>
      <c r="AO551" s="3">
        <v>46.754959999999997</v>
      </c>
      <c r="AP551" s="3">
        <v>32.212020000000003</v>
      </c>
      <c r="AQ551" s="3">
        <v>62.092829999999999</v>
      </c>
      <c r="AT551" s="3">
        <v>37.962670000000003</v>
      </c>
      <c r="AU551" s="3">
        <v>38.516570000000002</v>
      </c>
      <c r="AV551" s="3">
        <v>80.125529999999998</v>
      </c>
      <c r="AW551" s="3">
        <v>0.52924879999999996</v>
      </c>
      <c r="AX551" s="3">
        <v>63.033450000000002</v>
      </c>
      <c r="AY551" s="3">
        <v>31.553460000000001</v>
      </c>
    </row>
    <row r="552" spans="1:51" x14ac:dyDescent="0.2">
      <c r="A552" s="3" t="s">
        <v>449</v>
      </c>
      <c r="B552" s="49">
        <v>34608</v>
      </c>
      <c r="D552" s="3">
        <v>68.290369999999996</v>
      </c>
      <c r="E552" s="3">
        <v>22.552969999999998</v>
      </c>
      <c r="F552" s="3">
        <v>67.711349999999996</v>
      </c>
      <c r="G552" s="3">
        <v>88.557490000000001</v>
      </c>
      <c r="H552" s="3">
        <v>45.903590000000001</v>
      </c>
      <c r="I552" s="3">
        <v>59.137340000000002</v>
      </c>
      <c r="J552" s="3">
        <v>20.780940000000001</v>
      </c>
      <c r="K552" s="3">
        <v>14.46739</v>
      </c>
      <c r="L552" s="3">
        <v>49.258339999999997</v>
      </c>
      <c r="M552" s="3">
        <v>73.980609999999999</v>
      </c>
      <c r="N552" s="3">
        <v>67.051829999999995</v>
      </c>
      <c r="O552" s="3">
        <v>68.33569</v>
      </c>
      <c r="P552" s="3">
        <v>60.525440000000003</v>
      </c>
      <c r="S552" s="3">
        <v>73.617869999999996</v>
      </c>
      <c r="T552" s="3">
        <v>74.34</v>
      </c>
      <c r="V552" s="3">
        <v>68.896850000000001</v>
      </c>
      <c r="W552" s="3">
        <v>65.099999999999994</v>
      </c>
      <c r="X552" s="3">
        <v>53.712989999999998</v>
      </c>
      <c r="Y552" s="3">
        <v>21.214510000000001</v>
      </c>
      <c r="Z552" s="3">
        <v>13.746270000000001</v>
      </c>
      <c r="AA552" s="3">
        <v>23.962890000000002</v>
      </c>
      <c r="AB552" s="3">
        <v>101.9686</v>
      </c>
      <c r="AC552" s="3">
        <v>45.657710000000002</v>
      </c>
      <c r="AD552" s="3">
        <v>52.864319999999999</v>
      </c>
      <c r="AE552" s="3">
        <v>63.923079999999999</v>
      </c>
      <c r="AF552" s="3">
        <v>98.4</v>
      </c>
      <c r="AG552" s="3">
        <v>52.981000000000002</v>
      </c>
      <c r="AI552" s="3">
        <v>67.143550000000005</v>
      </c>
      <c r="AJ552" s="3">
        <v>32.91621</v>
      </c>
      <c r="AK552" s="3">
        <v>16.670259999999999</v>
      </c>
      <c r="AL552" s="3">
        <v>67.052999999999997</v>
      </c>
      <c r="AM552" s="3">
        <v>66.2</v>
      </c>
      <c r="AN552" s="3">
        <v>54.582610000000003</v>
      </c>
      <c r="AO552" s="3">
        <v>47.119199999999999</v>
      </c>
      <c r="AP552" s="3">
        <v>33.126330000000003</v>
      </c>
      <c r="AQ552" s="3">
        <v>62.33267</v>
      </c>
      <c r="AT552" s="3">
        <v>38.454529999999998</v>
      </c>
      <c r="AU552" s="3">
        <v>39.139659999999999</v>
      </c>
      <c r="AV552" s="3">
        <v>80.211690000000004</v>
      </c>
      <c r="AW552" s="3">
        <v>0.56769650000000005</v>
      </c>
      <c r="AX552" s="3">
        <v>63.075650000000003</v>
      </c>
      <c r="AY552" s="3">
        <v>31.69145</v>
      </c>
    </row>
    <row r="553" spans="1:51" x14ac:dyDescent="0.2">
      <c r="A553" s="3" t="s">
        <v>450</v>
      </c>
      <c r="B553" s="49">
        <v>34639</v>
      </c>
      <c r="D553" s="3">
        <v>68.290369999999996</v>
      </c>
      <c r="E553" s="3">
        <v>23.186599999999999</v>
      </c>
      <c r="F553" s="3">
        <v>68.106399999999994</v>
      </c>
      <c r="G553" s="3">
        <v>88.551230000000004</v>
      </c>
      <c r="H553" s="3">
        <v>46.180070000000001</v>
      </c>
      <c r="I553" s="3">
        <v>59.556519999999999</v>
      </c>
      <c r="J553" s="3">
        <v>21.014700000000001</v>
      </c>
      <c r="K553" s="3">
        <v>14.6844</v>
      </c>
      <c r="L553" s="3">
        <v>49.641669999999998</v>
      </c>
      <c r="M553" s="3">
        <v>74.073899999999995</v>
      </c>
      <c r="N553" s="3">
        <v>67.225719999999995</v>
      </c>
      <c r="O553" s="3">
        <v>68.33569</v>
      </c>
      <c r="P553" s="3">
        <v>60.630459999999999</v>
      </c>
      <c r="S553" s="3">
        <v>73.400819999999996</v>
      </c>
      <c r="T553" s="3">
        <v>74.349999999999994</v>
      </c>
      <c r="V553" s="3">
        <v>68.966290000000001</v>
      </c>
      <c r="W553" s="3">
        <v>65.2</v>
      </c>
      <c r="X553" s="3">
        <v>53.923299999999998</v>
      </c>
      <c r="Y553" s="3">
        <v>21.61384</v>
      </c>
      <c r="Z553" s="3">
        <v>13.80875</v>
      </c>
      <c r="AA553" s="3">
        <v>24.128720000000001</v>
      </c>
      <c r="AB553" s="3">
        <v>102.2676</v>
      </c>
      <c r="AC553" s="3">
        <v>45.532620000000001</v>
      </c>
      <c r="AD553" s="3">
        <v>53.567839999999997</v>
      </c>
      <c r="AE553" s="3">
        <v>64.182720000000003</v>
      </c>
      <c r="AF553" s="3">
        <v>98.1</v>
      </c>
      <c r="AG553" s="3">
        <v>53.063000000000002</v>
      </c>
      <c r="AI553" s="3">
        <v>67.333070000000006</v>
      </c>
      <c r="AJ553" s="3">
        <v>33.567100000000003</v>
      </c>
      <c r="AK553" s="3">
        <v>16.75938</v>
      </c>
      <c r="AL553" s="3">
        <v>66.875919999999994</v>
      </c>
      <c r="AM553" s="3">
        <v>66.2</v>
      </c>
      <c r="AN553" s="3">
        <v>54.780189999999997</v>
      </c>
      <c r="AO553" s="3">
        <v>47.47775</v>
      </c>
      <c r="AP553" s="3">
        <v>33.688989999999997</v>
      </c>
      <c r="AQ553" s="3">
        <v>62.454090000000001</v>
      </c>
      <c r="AT553" s="3">
        <v>38.707909999999998</v>
      </c>
      <c r="AU553" s="3">
        <v>39.87753</v>
      </c>
      <c r="AV553" s="3">
        <v>80.154250000000005</v>
      </c>
      <c r="AW553" s="3">
        <v>0.60377080000000005</v>
      </c>
      <c r="AX553" s="3">
        <v>63.160029999999999</v>
      </c>
      <c r="AY553" s="3">
        <v>31.783449999999998</v>
      </c>
    </row>
    <row r="554" spans="1:51" x14ac:dyDescent="0.2">
      <c r="A554" s="3" t="s">
        <v>451</v>
      </c>
      <c r="B554" s="49">
        <v>34669</v>
      </c>
      <c r="D554" s="3">
        <v>68.304450000000003</v>
      </c>
      <c r="E554" s="3">
        <v>23.583110000000001</v>
      </c>
      <c r="F554" s="3">
        <v>68.185410000000005</v>
      </c>
      <c r="G554" s="3">
        <v>88.536320000000003</v>
      </c>
      <c r="H554" s="3">
        <v>46.310220000000001</v>
      </c>
      <c r="I554" s="3">
        <v>60.394289999999998</v>
      </c>
      <c r="J554" s="3">
        <v>21.330269999999999</v>
      </c>
      <c r="K554" s="3">
        <v>15.139519999999999</v>
      </c>
      <c r="L554" s="3">
        <v>49.977089999999997</v>
      </c>
      <c r="M554" s="3">
        <v>74.260480000000001</v>
      </c>
      <c r="N554" s="3">
        <v>67.225719999999995</v>
      </c>
      <c r="O554" s="3">
        <v>68.478059999999999</v>
      </c>
      <c r="P554" s="3">
        <v>60.89819</v>
      </c>
      <c r="S554" s="3">
        <v>73.302160000000001</v>
      </c>
      <c r="T554" s="3">
        <v>74.33</v>
      </c>
      <c r="V554" s="3">
        <v>68.992239999999995</v>
      </c>
      <c r="W554" s="3">
        <v>65.5</v>
      </c>
      <c r="X554" s="3">
        <v>54.657989999999998</v>
      </c>
      <c r="Y554" s="3">
        <v>21.92998</v>
      </c>
      <c r="Z554" s="3">
        <v>13.88373</v>
      </c>
      <c r="AA554" s="3">
        <v>23.962890000000002</v>
      </c>
      <c r="AB554" s="3">
        <v>102.06829999999999</v>
      </c>
      <c r="AC554" s="3">
        <v>45.866199999999999</v>
      </c>
      <c r="AD554" s="3">
        <v>53.969850000000001</v>
      </c>
      <c r="AE554" s="3">
        <v>64.338499999999996</v>
      </c>
      <c r="AF554" s="3">
        <v>97.8</v>
      </c>
      <c r="AG554" s="3">
        <v>53.103999999999999</v>
      </c>
      <c r="AI554" s="3">
        <v>67.404139999999998</v>
      </c>
      <c r="AJ554" s="3">
        <v>34.376060000000003</v>
      </c>
      <c r="AK554" s="3">
        <v>16.906369999999999</v>
      </c>
      <c r="AL554" s="3">
        <v>66.63982</v>
      </c>
      <c r="AM554" s="3">
        <v>66.2</v>
      </c>
      <c r="AN554" s="3">
        <v>54.989890000000003</v>
      </c>
      <c r="AO554" s="3">
        <v>47.924639999999997</v>
      </c>
      <c r="AP554" s="3">
        <v>34.32197</v>
      </c>
      <c r="AQ554" s="3">
        <v>62.644170000000003</v>
      </c>
      <c r="AT554" s="3">
        <v>38.946390000000001</v>
      </c>
      <c r="AU554" s="3">
        <v>40.254660000000001</v>
      </c>
      <c r="AV554" s="3">
        <v>80.007450000000006</v>
      </c>
      <c r="AW554" s="3">
        <v>0.64601580000000003</v>
      </c>
      <c r="AX554" s="3">
        <v>63.160029999999999</v>
      </c>
      <c r="AY554" s="3">
        <v>31.875440000000001</v>
      </c>
    </row>
    <row r="555" spans="1:51" x14ac:dyDescent="0.2">
      <c r="A555" s="3" t="s">
        <v>452</v>
      </c>
      <c r="B555" s="49">
        <v>34700</v>
      </c>
      <c r="D555" s="3">
        <v>68.593279999999993</v>
      </c>
      <c r="E555" s="3">
        <v>23.984020000000001</v>
      </c>
      <c r="F555" s="3">
        <v>68.422439999999995</v>
      </c>
      <c r="G555" s="3">
        <v>89.164839999999998</v>
      </c>
      <c r="H555" s="3">
        <v>46.60371</v>
      </c>
      <c r="I555" s="3">
        <v>62.138210000000001</v>
      </c>
      <c r="J555" s="3">
        <v>21.727650000000001</v>
      </c>
      <c r="K555" s="3">
        <v>15.77247</v>
      </c>
      <c r="L555" s="3">
        <v>50.6</v>
      </c>
      <c r="M555" s="3">
        <v>74.540360000000007</v>
      </c>
      <c r="N555" s="3">
        <v>67.260499999999993</v>
      </c>
      <c r="O555" s="3">
        <v>68.691599999999994</v>
      </c>
      <c r="P555" s="3">
        <v>61.529400000000003</v>
      </c>
      <c r="S555" s="3">
        <v>73.275859999999994</v>
      </c>
      <c r="T555" s="3">
        <v>74.52</v>
      </c>
      <c r="V555" s="3">
        <v>69.200710000000001</v>
      </c>
      <c r="W555" s="3">
        <v>65.5</v>
      </c>
      <c r="X555" s="3">
        <v>54.405900000000003</v>
      </c>
      <c r="Y555" s="3">
        <v>22.795200000000001</v>
      </c>
      <c r="Z555" s="3">
        <v>14.03994</v>
      </c>
      <c r="AA555" s="3">
        <v>23.962890000000002</v>
      </c>
      <c r="AB555" s="3">
        <v>101.1712</v>
      </c>
      <c r="AC555" s="3">
        <v>46.158070000000002</v>
      </c>
      <c r="AD555" s="3">
        <v>54.070349999999998</v>
      </c>
      <c r="AE555" s="3">
        <v>64.598140000000001</v>
      </c>
      <c r="AF555" s="3">
        <v>97.8</v>
      </c>
      <c r="AG555" s="3">
        <v>53.600999999999999</v>
      </c>
      <c r="AI555" s="3">
        <v>67.641040000000004</v>
      </c>
      <c r="AJ555" s="3">
        <v>35.57555</v>
      </c>
      <c r="AK555" s="3">
        <v>17.542719999999999</v>
      </c>
      <c r="AL555" s="3">
        <v>66.757869999999997</v>
      </c>
      <c r="AM555" s="3">
        <v>66.599999999999994</v>
      </c>
      <c r="AN555" s="3">
        <v>55.34628</v>
      </c>
      <c r="AO555" s="3">
        <v>48.269170000000003</v>
      </c>
      <c r="AP555" s="3">
        <v>35.728610000000003</v>
      </c>
      <c r="AQ555" s="3">
        <v>63.539839999999998</v>
      </c>
      <c r="AS555" s="3">
        <v>66.551569999999998</v>
      </c>
      <c r="AT555" s="3">
        <v>39.497869999999999</v>
      </c>
      <c r="AU555" s="3">
        <v>41.066310000000001</v>
      </c>
      <c r="AV555" s="3">
        <v>80.307429999999997</v>
      </c>
      <c r="AW555" s="3">
        <v>0.69158339999999996</v>
      </c>
      <c r="AX555" s="3">
        <v>63.413170000000001</v>
      </c>
      <c r="AY555" s="3">
        <v>32.289409999999997</v>
      </c>
    </row>
    <row r="556" spans="1:51" x14ac:dyDescent="0.2">
      <c r="A556" s="3" t="s">
        <v>453</v>
      </c>
      <c r="B556" s="49">
        <v>34731</v>
      </c>
      <c r="D556" s="3">
        <v>68.78349</v>
      </c>
      <c r="E556" s="3">
        <v>24.228570000000001</v>
      </c>
      <c r="F556" s="3">
        <v>68.738479999999996</v>
      </c>
      <c r="G556" s="3">
        <v>89.959829999999997</v>
      </c>
      <c r="H556" s="3">
        <v>46.839359999999999</v>
      </c>
      <c r="I556" s="3">
        <v>62.702959999999997</v>
      </c>
      <c r="J556" s="3">
        <v>22.487359999999999</v>
      </c>
      <c r="K556" s="3">
        <v>16.005549999999999</v>
      </c>
      <c r="L556" s="3">
        <v>51.1</v>
      </c>
      <c r="M556" s="3">
        <v>74.913529999999994</v>
      </c>
      <c r="N556" s="3">
        <v>67.538730000000001</v>
      </c>
      <c r="O556" s="3">
        <v>68.976339999999993</v>
      </c>
      <c r="P556" s="3">
        <v>61.830860000000001</v>
      </c>
      <c r="S556" s="3">
        <v>73.474360000000004</v>
      </c>
      <c r="T556" s="3">
        <v>74.75</v>
      </c>
      <c r="V556" s="3">
        <v>69.425089999999997</v>
      </c>
      <c r="W556" s="3">
        <v>65.7</v>
      </c>
      <c r="X556" s="3">
        <v>54.277070000000002</v>
      </c>
      <c r="Y556" s="3">
        <v>23.435790000000001</v>
      </c>
      <c r="Z556" s="3">
        <v>14.22114</v>
      </c>
      <c r="AA556" s="3">
        <v>24.128720000000001</v>
      </c>
      <c r="AB556" s="3">
        <v>99.875399999999999</v>
      </c>
      <c r="AC556" s="3">
        <v>46.324860000000001</v>
      </c>
      <c r="AD556" s="3">
        <v>54.170850000000002</v>
      </c>
      <c r="AE556" s="3">
        <v>65.065489999999997</v>
      </c>
      <c r="AF556" s="3">
        <v>97.5</v>
      </c>
      <c r="AG556" s="3">
        <v>53.82</v>
      </c>
      <c r="AI556" s="3">
        <v>67.744150000000005</v>
      </c>
      <c r="AJ556" s="3">
        <v>36.700650000000003</v>
      </c>
      <c r="AK556" s="3">
        <v>18.28622</v>
      </c>
      <c r="AL556" s="3">
        <v>67.112020000000001</v>
      </c>
      <c r="AM556" s="3">
        <v>66.8</v>
      </c>
      <c r="AN556" s="3">
        <v>55.707740000000001</v>
      </c>
      <c r="AO556" s="3">
        <v>48.648850000000003</v>
      </c>
      <c r="AP556" s="3">
        <v>36.50226</v>
      </c>
      <c r="AQ556" s="3">
        <v>63.902090000000001</v>
      </c>
      <c r="AS556" s="3">
        <v>66.899410000000003</v>
      </c>
      <c r="AT556" s="3">
        <v>39.664879999999997</v>
      </c>
      <c r="AU556" s="3">
        <v>41.550020000000004</v>
      </c>
      <c r="AV556" s="3">
        <v>80.594660000000005</v>
      </c>
      <c r="AW556" s="3">
        <v>0.72528440000000005</v>
      </c>
      <c r="AX556" s="3">
        <v>63.666319999999999</v>
      </c>
      <c r="AY556" s="3">
        <v>32.427390000000003</v>
      </c>
    </row>
    <row r="557" spans="1:51" x14ac:dyDescent="0.2">
      <c r="A557" s="3" t="s">
        <v>454</v>
      </c>
      <c r="B557" s="49">
        <v>34759</v>
      </c>
      <c r="D557" s="3">
        <v>68.727130000000002</v>
      </c>
      <c r="E557" s="3">
        <v>24.604189999999999</v>
      </c>
      <c r="F557" s="3">
        <v>68.896500000000003</v>
      </c>
      <c r="G557" s="3">
        <v>90.014989999999997</v>
      </c>
      <c r="H557" s="3">
        <v>47.125190000000003</v>
      </c>
      <c r="I557" s="3">
        <v>62.878610000000002</v>
      </c>
      <c r="J557" s="3">
        <v>23.08344</v>
      </c>
      <c r="K557" s="3">
        <v>16.138169999999999</v>
      </c>
      <c r="L557" s="3">
        <v>51.1</v>
      </c>
      <c r="M557" s="3">
        <v>74.913529999999994</v>
      </c>
      <c r="N557" s="3">
        <v>67.747389999999996</v>
      </c>
      <c r="O557" s="3">
        <v>69.261070000000004</v>
      </c>
      <c r="P557" s="3">
        <v>62.191090000000003</v>
      </c>
      <c r="S557" s="3">
        <v>73.444950000000006</v>
      </c>
      <c r="T557" s="3">
        <v>74.98</v>
      </c>
      <c r="V557" s="3">
        <v>69.617159999999998</v>
      </c>
      <c r="W557" s="3">
        <v>66</v>
      </c>
      <c r="X557" s="3">
        <v>55.561920000000001</v>
      </c>
      <c r="Y557" s="3">
        <v>24.367570000000001</v>
      </c>
      <c r="Z557" s="3">
        <v>14.308619999999999</v>
      </c>
      <c r="AA557" s="3">
        <v>24.294560000000001</v>
      </c>
      <c r="AB557" s="3">
        <v>98.280590000000004</v>
      </c>
      <c r="AC557" s="3">
        <v>46.49165</v>
      </c>
      <c r="AD557" s="3">
        <v>54.070349999999998</v>
      </c>
      <c r="AE557" s="3">
        <v>65.636700000000005</v>
      </c>
      <c r="AF557" s="3">
        <v>97.4</v>
      </c>
      <c r="AG557" s="3">
        <v>54.368000000000002</v>
      </c>
      <c r="AI557" s="3">
        <v>67.764769999999999</v>
      </c>
      <c r="AJ557" s="3">
        <v>37.658380000000001</v>
      </c>
      <c r="AK557" s="3">
        <v>19.36421</v>
      </c>
      <c r="AL557" s="3">
        <v>67.466179999999994</v>
      </c>
      <c r="AM557" s="3">
        <v>67.2</v>
      </c>
      <c r="AN557" s="3">
        <v>56.094720000000002</v>
      </c>
      <c r="AO557" s="3">
        <v>48.995820000000002</v>
      </c>
      <c r="AP557" s="3">
        <v>37.135249999999999</v>
      </c>
      <c r="AQ557" s="3">
        <v>64.199650000000005</v>
      </c>
      <c r="AS557" s="3">
        <v>66.841440000000006</v>
      </c>
      <c r="AT557" s="3">
        <v>39.790129999999998</v>
      </c>
      <c r="AU557" s="3">
        <v>41.689399999999999</v>
      </c>
      <c r="AV557" s="3">
        <v>80.913799999999995</v>
      </c>
      <c r="AW557" s="3">
        <v>0.75803609999999999</v>
      </c>
      <c r="AX557" s="3">
        <v>63.877270000000003</v>
      </c>
      <c r="AY557" s="3">
        <v>32.795360000000002</v>
      </c>
    </row>
    <row r="558" spans="1:51" x14ac:dyDescent="0.2">
      <c r="A558" s="3" t="s">
        <v>455</v>
      </c>
      <c r="B558" s="49">
        <v>34790</v>
      </c>
      <c r="D558" s="3">
        <v>68.832800000000006</v>
      </c>
      <c r="E558" s="3">
        <v>25.202089999999998</v>
      </c>
      <c r="F558" s="3">
        <v>69.133529999999993</v>
      </c>
      <c r="G558" s="3">
        <v>90.090720000000005</v>
      </c>
      <c r="H558" s="3">
        <v>47.411879999999996</v>
      </c>
      <c r="I558" s="3">
        <v>64.007249999999999</v>
      </c>
      <c r="J558" s="3">
        <v>23.597709999999999</v>
      </c>
      <c r="K558" s="3">
        <v>16.229600000000001</v>
      </c>
      <c r="L558" s="3">
        <v>51.6</v>
      </c>
      <c r="M558" s="3">
        <v>75.006820000000005</v>
      </c>
      <c r="N558" s="3">
        <v>67.956059999999994</v>
      </c>
      <c r="O558" s="3">
        <v>69.40343</v>
      </c>
      <c r="P558" s="3">
        <v>62.52084</v>
      </c>
      <c r="S558" s="3">
        <v>73.444950000000006</v>
      </c>
      <c r="T558" s="3">
        <v>75.069999999999993</v>
      </c>
      <c r="V558" s="3">
        <v>69.836160000000007</v>
      </c>
      <c r="W558" s="3">
        <v>66.400000000000006</v>
      </c>
      <c r="X558" s="3">
        <v>56.150370000000002</v>
      </c>
      <c r="Y558" s="3">
        <v>25.00817</v>
      </c>
      <c r="Z558" s="3">
        <v>14.546049999999999</v>
      </c>
      <c r="AA558" s="3">
        <v>24.46039</v>
      </c>
      <c r="AB558" s="3">
        <v>97.881879999999995</v>
      </c>
      <c r="AC558" s="3">
        <v>46.74183</v>
      </c>
      <c r="AD558" s="3">
        <v>54.572859999999999</v>
      </c>
      <c r="AE558" s="3">
        <v>65.896339999999995</v>
      </c>
      <c r="AF558" s="3">
        <v>97.7</v>
      </c>
      <c r="AG558" s="3">
        <v>54.695999999999998</v>
      </c>
      <c r="AI558" s="3">
        <v>67.771640000000005</v>
      </c>
      <c r="AJ558" s="3">
        <v>38.383650000000003</v>
      </c>
      <c r="AK558" s="3">
        <v>20.907219999999999</v>
      </c>
      <c r="AL558" s="3">
        <v>67.584230000000005</v>
      </c>
      <c r="AM558" s="3">
        <v>67.2</v>
      </c>
      <c r="AN558" s="3">
        <v>56.579770000000003</v>
      </c>
      <c r="AO558" s="3">
        <v>49.353009999999998</v>
      </c>
      <c r="AP558" s="3">
        <v>37.979230000000001</v>
      </c>
      <c r="AQ558" s="3">
        <v>64.476309999999998</v>
      </c>
      <c r="AS558" s="3">
        <v>66.957369999999997</v>
      </c>
      <c r="AT558" s="3">
        <v>39.957149999999999</v>
      </c>
      <c r="AU558" s="3">
        <v>41.615609999999997</v>
      </c>
      <c r="AV558" s="3">
        <v>81.446749999999994</v>
      </c>
      <c r="AW558" s="3">
        <v>0.8021798</v>
      </c>
      <c r="AX558" s="3">
        <v>64.088229999999996</v>
      </c>
      <c r="AY558" s="3">
        <v>33.209330000000001</v>
      </c>
    </row>
    <row r="559" spans="1:51" x14ac:dyDescent="0.2">
      <c r="A559" s="3" t="s">
        <v>456</v>
      </c>
      <c r="B559" s="49">
        <v>34820</v>
      </c>
      <c r="D559" s="3">
        <v>68.811670000000007</v>
      </c>
      <c r="E559" s="3">
        <v>25.874919999999999</v>
      </c>
      <c r="F559" s="3">
        <v>69.291550000000001</v>
      </c>
      <c r="G559" s="3">
        <v>89.92107</v>
      </c>
      <c r="H559" s="3">
        <v>47.701970000000003</v>
      </c>
      <c r="I559" s="3">
        <v>64.537379999999999</v>
      </c>
      <c r="J559" s="3">
        <v>23.9834</v>
      </c>
      <c r="K559" s="3">
        <v>16.371259999999999</v>
      </c>
      <c r="L559" s="3">
        <v>51.8</v>
      </c>
      <c r="M559" s="3">
        <v>75.006820000000005</v>
      </c>
      <c r="N559" s="3">
        <v>68.234279999999998</v>
      </c>
      <c r="O559" s="3">
        <v>69.474620000000002</v>
      </c>
      <c r="P559" s="3">
        <v>62.545879999999997</v>
      </c>
      <c r="S559" s="3">
        <v>73.555229999999995</v>
      </c>
      <c r="T559" s="3">
        <v>75.180000000000007</v>
      </c>
      <c r="V559" s="3">
        <v>69.992289999999997</v>
      </c>
      <c r="W559" s="3">
        <v>66.7</v>
      </c>
      <c r="X559" s="3">
        <v>56.678939999999997</v>
      </c>
      <c r="Y559" s="3">
        <v>25.623799999999999</v>
      </c>
      <c r="Z559" s="3">
        <v>14.621029999999999</v>
      </c>
      <c r="AA559" s="3">
        <v>24.874970000000001</v>
      </c>
      <c r="AB559" s="3">
        <v>97.782210000000006</v>
      </c>
      <c r="AC559" s="3">
        <v>46.49165</v>
      </c>
      <c r="AD559" s="3">
        <v>55.175879999999999</v>
      </c>
      <c r="AE559" s="3">
        <v>66.311760000000007</v>
      </c>
      <c r="AF559" s="3">
        <v>97.9</v>
      </c>
      <c r="AG559" s="3">
        <v>54.805999999999997</v>
      </c>
      <c r="AI559" s="3">
        <v>67.86788</v>
      </c>
      <c r="AJ559" s="3">
        <v>38.91366</v>
      </c>
      <c r="AK559" s="3">
        <v>21.78106</v>
      </c>
      <c r="AL559" s="3">
        <v>67.466179999999994</v>
      </c>
      <c r="AM559" s="3">
        <v>67.3</v>
      </c>
      <c r="AN559" s="3">
        <v>56.870229999999999</v>
      </c>
      <c r="AO559" s="3">
        <v>49.593890000000002</v>
      </c>
      <c r="AP559" s="3">
        <v>38.682549999999999</v>
      </c>
      <c r="AQ559" s="3">
        <v>64.426550000000006</v>
      </c>
      <c r="AS559" s="3">
        <v>66.841440000000006</v>
      </c>
      <c r="AT559" s="3">
        <v>40.12415</v>
      </c>
      <c r="AU559" s="3">
        <v>42.058329999999998</v>
      </c>
      <c r="AV559" s="3">
        <v>81.536109999999994</v>
      </c>
      <c r="AW559" s="3">
        <v>0.82876090000000002</v>
      </c>
      <c r="AX559" s="3">
        <v>64.21481</v>
      </c>
      <c r="AY559" s="3">
        <v>33.347320000000003</v>
      </c>
    </row>
    <row r="560" spans="1:51" x14ac:dyDescent="0.2">
      <c r="A560" s="3" t="s">
        <v>457</v>
      </c>
      <c r="B560" s="49">
        <v>34851</v>
      </c>
      <c r="D560" s="3">
        <v>68.882109999999997</v>
      </c>
      <c r="E560" s="3">
        <v>26.459589999999999</v>
      </c>
      <c r="F560" s="3">
        <v>69.291550000000001</v>
      </c>
      <c r="G560" s="3">
        <v>90.099459999999993</v>
      </c>
      <c r="H560" s="3">
        <v>48.0533</v>
      </c>
      <c r="I560" s="3">
        <v>64.001710000000003</v>
      </c>
      <c r="J560" s="3">
        <v>24.275600000000001</v>
      </c>
      <c r="K560" s="3">
        <v>16.616399999999999</v>
      </c>
      <c r="L560" s="3">
        <v>52.4</v>
      </c>
      <c r="M560" s="3">
        <v>75.100110000000001</v>
      </c>
      <c r="N560" s="3">
        <v>68.129949999999994</v>
      </c>
      <c r="O560" s="3">
        <v>69.68817</v>
      </c>
      <c r="P560" s="3">
        <v>62.60519</v>
      </c>
      <c r="S560" s="3">
        <v>73.805189999999996</v>
      </c>
      <c r="T560" s="3">
        <v>75.180000000000007</v>
      </c>
      <c r="V560" s="3">
        <v>70.100700000000003</v>
      </c>
      <c r="W560" s="3">
        <v>66.8</v>
      </c>
      <c r="X560" s="3">
        <v>56.986049999999999</v>
      </c>
      <c r="Y560" s="3">
        <v>25.923300000000001</v>
      </c>
      <c r="Z560" s="3">
        <v>14.64603</v>
      </c>
      <c r="AA560" s="3">
        <v>25.37247</v>
      </c>
      <c r="AB560" s="3">
        <v>97.084469999999996</v>
      </c>
      <c r="AC560" s="3">
        <v>46.575040000000001</v>
      </c>
      <c r="AD560" s="3">
        <v>55.276380000000003</v>
      </c>
      <c r="AE560" s="3">
        <v>66.727180000000004</v>
      </c>
      <c r="AF560" s="3">
        <v>97.8</v>
      </c>
      <c r="AG560" s="3">
        <v>54.643000000000001</v>
      </c>
      <c r="AI560" s="3">
        <v>67.915999999999997</v>
      </c>
      <c r="AJ560" s="3">
        <v>39.490160000000003</v>
      </c>
      <c r="AK560" s="3">
        <v>22.472329999999999</v>
      </c>
      <c r="AL560" s="3">
        <v>67.348129999999998</v>
      </c>
      <c r="AM560" s="3">
        <v>67.5</v>
      </c>
      <c r="AN560" s="3">
        <v>57.082149999999999</v>
      </c>
      <c r="AO560" s="3">
        <v>49.781849999999999</v>
      </c>
      <c r="AP560" s="3">
        <v>39.034210000000002</v>
      </c>
      <c r="AQ560" s="3">
        <v>64.28922</v>
      </c>
      <c r="AS560" s="3">
        <v>66.725489999999994</v>
      </c>
      <c r="AT560" s="3">
        <v>40.12415</v>
      </c>
      <c r="AU560" s="3">
        <v>42.27149</v>
      </c>
      <c r="AV560" s="3">
        <v>81.446749999999994</v>
      </c>
      <c r="AW560" s="3">
        <v>0.85012069999999995</v>
      </c>
      <c r="AX560" s="3">
        <v>64.341380000000001</v>
      </c>
      <c r="AY560" s="3">
        <v>33.301319999999997</v>
      </c>
    </row>
    <row r="561" spans="1:51" x14ac:dyDescent="0.2">
      <c r="A561" s="3" t="s">
        <v>458</v>
      </c>
      <c r="B561" s="49">
        <v>34881</v>
      </c>
      <c r="D561" s="3">
        <v>69.255480000000006</v>
      </c>
      <c r="E561" s="3">
        <v>27.083939999999998</v>
      </c>
      <c r="F561" s="3">
        <v>69.449560000000005</v>
      </c>
      <c r="G561" s="3">
        <v>90.038740000000004</v>
      </c>
      <c r="H561" s="3">
        <v>48.454830000000001</v>
      </c>
      <c r="I561" s="3">
        <v>63.468269999999997</v>
      </c>
      <c r="J561" s="3">
        <v>24.462599999999998</v>
      </c>
      <c r="K561" s="3">
        <v>16.896709999999999</v>
      </c>
      <c r="L561" s="3">
        <v>52.4</v>
      </c>
      <c r="M561" s="3">
        <v>75.286699999999996</v>
      </c>
      <c r="N561" s="3">
        <v>67.816950000000006</v>
      </c>
      <c r="O561" s="3">
        <v>69.68817</v>
      </c>
      <c r="P561" s="3">
        <v>62.614980000000003</v>
      </c>
      <c r="S561" s="3">
        <v>73.78313</v>
      </c>
      <c r="T561" s="3">
        <v>75.040000000000006</v>
      </c>
      <c r="V561" s="3">
        <v>70.060739999999996</v>
      </c>
      <c r="W561" s="3">
        <v>66.599999999999994</v>
      </c>
      <c r="X561" s="3">
        <v>56.087699999999998</v>
      </c>
      <c r="Y561" s="3">
        <v>26.147919999999999</v>
      </c>
      <c r="Z561" s="3">
        <v>14.746</v>
      </c>
      <c r="AA561" s="3">
        <v>25.95289</v>
      </c>
      <c r="AB561" s="3">
        <v>96.586100000000002</v>
      </c>
      <c r="AC561" s="3">
        <v>47.075400000000002</v>
      </c>
      <c r="AD561" s="3">
        <v>55.37688</v>
      </c>
      <c r="AE561" s="3">
        <v>66.831040000000002</v>
      </c>
      <c r="AF561" s="3">
        <v>97.3</v>
      </c>
      <c r="AG561" s="3">
        <v>54.805999999999997</v>
      </c>
      <c r="AI561" s="3">
        <v>67.9435</v>
      </c>
      <c r="AJ561" s="3">
        <v>39.592440000000003</v>
      </c>
      <c r="AK561" s="3">
        <v>22.93045</v>
      </c>
      <c r="AL561" s="3">
        <v>67.348129999999998</v>
      </c>
      <c r="AM561" s="3">
        <v>67.400000000000006</v>
      </c>
      <c r="AN561" s="3">
        <v>57.177250000000001</v>
      </c>
      <c r="AO561" s="3">
        <v>49.87321</v>
      </c>
      <c r="AP561" s="3">
        <v>38.682549999999999</v>
      </c>
      <c r="AQ561" s="3">
        <v>64.310109999999995</v>
      </c>
      <c r="AS561" s="3">
        <v>66.783460000000005</v>
      </c>
      <c r="AT561" s="3">
        <v>40.541679999999999</v>
      </c>
      <c r="AU561" s="3">
        <v>42.312480000000001</v>
      </c>
      <c r="AV561" s="3">
        <v>81.366969999999995</v>
      </c>
      <c r="AW561" s="3">
        <v>0.87622710000000004</v>
      </c>
      <c r="AX561" s="3">
        <v>64.341380000000001</v>
      </c>
      <c r="AY561" s="3">
        <v>33.485309999999998</v>
      </c>
    </row>
    <row r="562" spans="1:51" x14ac:dyDescent="0.2">
      <c r="A562" s="3" t="s">
        <v>459</v>
      </c>
      <c r="B562" s="49">
        <v>34912</v>
      </c>
      <c r="D562" s="3">
        <v>69.424549999999996</v>
      </c>
      <c r="E562" s="3">
        <v>27.352139999999999</v>
      </c>
      <c r="F562" s="3">
        <v>69.291550000000001</v>
      </c>
      <c r="G562" s="3">
        <v>90.323980000000006</v>
      </c>
      <c r="H562" s="3">
        <v>49.251080000000002</v>
      </c>
      <c r="I562" s="3">
        <v>64.529650000000004</v>
      </c>
      <c r="J562" s="3">
        <v>24.62623</v>
      </c>
      <c r="K562" s="3">
        <v>17.084579999999999</v>
      </c>
      <c r="L562" s="3">
        <v>52.4</v>
      </c>
      <c r="M562" s="3">
        <v>75.286699999999996</v>
      </c>
      <c r="N562" s="3">
        <v>67.921279999999996</v>
      </c>
      <c r="O562" s="3">
        <v>69.759349999999998</v>
      </c>
      <c r="P562" s="3">
        <v>62.791829999999997</v>
      </c>
      <c r="S562" s="3">
        <v>73.599329999999995</v>
      </c>
      <c r="T562" s="3">
        <v>75.400000000000006</v>
      </c>
      <c r="V562" s="3">
        <v>70.217789999999994</v>
      </c>
      <c r="W562" s="3">
        <v>66.900000000000006</v>
      </c>
      <c r="X562" s="3">
        <v>56.164299999999997</v>
      </c>
      <c r="Y562" s="3">
        <v>26.239439999999998</v>
      </c>
      <c r="Z562" s="3">
        <v>14.79599</v>
      </c>
      <c r="AA562" s="3">
        <v>26.11872</v>
      </c>
      <c r="AB562" s="3">
        <v>96.287059999999997</v>
      </c>
      <c r="AC562" s="3">
        <v>47.200490000000002</v>
      </c>
      <c r="AD562" s="3">
        <v>55.979900000000001</v>
      </c>
      <c r="AE562" s="3">
        <v>67.038749999999993</v>
      </c>
      <c r="AF562" s="3">
        <v>97.4</v>
      </c>
      <c r="AG562" s="3">
        <v>55.134999999999998</v>
      </c>
      <c r="AI562" s="3">
        <v>67.922870000000003</v>
      </c>
      <c r="AJ562" s="3">
        <v>39.48086</v>
      </c>
      <c r="AK562" s="3">
        <v>23.3108</v>
      </c>
      <c r="AL562" s="3">
        <v>67.466179999999994</v>
      </c>
      <c r="AM562" s="3">
        <v>67.3</v>
      </c>
      <c r="AN562" s="3">
        <v>57.41498</v>
      </c>
      <c r="AO562" s="3">
        <v>50.128549999999997</v>
      </c>
      <c r="AP562" s="3">
        <v>38.823219999999999</v>
      </c>
      <c r="AQ562" s="3">
        <v>64.576830000000001</v>
      </c>
      <c r="AS562" s="3">
        <v>66.667519999999996</v>
      </c>
      <c r="AT562" s="3">
        <v>40.708689999999997</v>
      </c>
      <c r="AU562" s="3">
        <v>42.173110000000001</v>
      </c>
      <c r="AV562" s="3">
        <v>81.264849999999996</v>
      </c>
      <c r="AW562" s="3">
        <v>0.91420009999999996</v>
      </c>
      <c r="AX562" s="3">
        <v>64.510140000000007</v>
      </c>
      <c r="AY562" s="3">
        <v>33.577300000000001</v>
      </c>
    </row>
    <row r="563" spans="1:51" x14ac:dyDescent="0.2">
      <c r="A563" s="3" t="s">
        <v>460</v>
      </c>
      <c r="B563" s="49">
        <v>34943</v>
      </c>
      <c r="D563" s="3">
        <v>69.248429999999999</v>
      </c>
      <c r="E563" s="3">
        <v>27.622900000000001</v>
      </c>
      <c r="F563" s="3">
        <v>69.370549999999994</v>
      </c>
      <c r="G563" s="3">
        <v>90.401309999999995</v>
      </c>
      <c r="H563" s="3">
        <v>49.54372</v>
      </c>
      <c r="I563" s="3">
        <v>66.252340000000004</v>
      </c>
      <c r="J563" s="3">
        <v>24.83661</v>
      </c>
      <c r="K563" s="3">
        <v>17.401050000000001</v>
      </c>
      <c r="L563" s="3">
        <v>52.8</v>
      </c>
      <c r="M563" s="3">
        <v>75.286699999999996</v>
      </c>
      <c r="N563" s="3">
        <v>68.303839999999994</v>
      </c>
      <c r="O563" s="3">
        <v>69.972899999999996</v>
      </c>
      <c r="P563" s="3">
        <v>63.038879999999999</v>
      </c>
      <c r="S563" s="3">
        <v>73.614040000000003</v>
      </c>
      <c r="T563" s="3">
        <v>75.67</v>
      </c>
      <c r="V563" s="3">
        <v>70.400739999999999</v>
      </c>
      <c r="W563" s="3">
        <v>67.2</v>
      </c>
      <c r="X563" s="3">
        <v>57.491630000000001</v>
      </c>
      <c r="Y563" s="3">
        <v>26.755240000000001</v>
      </c>
      <c r="Z563" s="3">
        <v>14.845969999999999</v>
      </c>
      <c r="AA563" s="3">
        <v>26.284549999999999</v>
      </c>
      <c r="AB563" s="3">
        <v>95.589330000000004</v>
      </c>
      <c r="AC563" s="3">
        <v>47.200490000000002</v>
      </c>
      <c r="AD563" s="3">
        <v>56.582920000000001</v>
      </c>
      <c r="AE563" s="3">
        <v>67.19453</v>
      </c>
      <c r="AF563" s="3">
        <v>98</v>
      </c>
      <c r="AG563" s="3">
        <v>55.628</v>
      </c>
      <c r="AI563" s="3">
        <v>68.046610000000001</v>
      </c>
      <c r="AJ563" s="3">
        <v>40.196829999999999</v>
      </c>
      <c r="AK563" s="3">
        <v>23.79299</v>
      </c>
      <c r="AL563" s="3">
        <v>67.997410000000002</v>
      </c>
      <c r="AM563" s="3">
        <v>67.7</v>
      </c>
      <c r="AN563" s="3">
        <v>57.777670000000001</v>
      </c>
      <c r="AO563" s="3">
        <v>50.580379999999998</v>
      </c>
      <c r="AP563" s="3">
        <v>40.018859999999997</v>
      </c>
      <c r="AQ563" s="3">
        <v>64.664400000000001</v>
      </c>
      <c r="AS563" s="3">
        <v>66.725489999999994</v>
      </c>
      <c r="AT563" s="3">
        <v>41.251469999999998</v>
      </c>
      <c r="AU563" s="3">
        <v>42.615830000000003</v>
      </c>
      <c r="AV563" s="3">
        <v>81.807370000000006</v>
      </c>
      <c r="AW563" s="3">
        <v>0.98445020000000005</v>
      </c>
      <c r="AX563" s="3">
        <v>64.636709999999994</v>
      </c>
      <c r="AY563" s="3">
        <v>33.6233</v>
      </c>
    </row>
    <row r="564" spans="1:51" x14ac:dyDescent="0.2">
      <c r="A564" s="3" t="s">
        <v>461</v>
      </c>
      <c r="B564" s="49">
        <v>34973</v>
      </c>
      <c r="D564" s="3">
        <v>69.121629999999996</v>
      </c>
      <c r="E564" s="3">
        <v>28.012450000000001</v>
      </c>
      <c r="F564" s="3">
        <v>69.291550000000001</v>
      </c>
      <c r="G564" s="3">
        <v>90.303210000000007</v>
      </c>
      <c r="H564" s="3">
        <v>49.927390000000003</v>
      </c>
      <c r="I564" s="3">
        <v>66.292959999999994</v>
      </c>
      <c r="J564" s="3">
        <v>25.058679999999999</v>
      </c>
      <c r="K564" s="3">
        <v>17.920480000000001</v>
      </c>
      <c r="L564" s="3">
        <v>53.2</v>
      </c>
      <c r="M564" s="3">
        <v>75.100110000000001</v>
      </c>
      <c r="N564" s="3">
        <v>68.338620000000006</v>
      </c>
      <c r="O564" s="3">
        <v>69.972899999999996</v>
      </c>
      <c r="P564" s="3">
        <v>63.156410000000001</v>
      </c>
      <c r="S564" s="3">
        <v>73.555229999999995</v>
      </c>
      <c r="T564" s="3">
        <v>75.75</v>
      </c>
      <c r="V564" s="3">
        <v>70.482010000000002</v>
      </c>
      <c r="W564" s="3">
        <v>67.099999999999994</v>
      </c>
      <c r="X564" s="3">
        <v>57.924790000000002</v>
      </c>
      <c r="Y564" s="3">
        <v>27.37088</v>
      </c>
      <c r="Z564" s="3">
        <v>14.94595</v>
      </c>
      <c r="AA564" s="3">
        <v>26.450389999999999</v>
      </c>
      <c r="AB564" s="3">
        <v>95.888360000000006</v>
      </c>
      <c r="AC564" s="3">
        <v>47.283880000000003</v>
      </c>
      <c r="AD564" s="3">
        <v>57.185929999999999</v>
      </c>
      <c r="AE564" s="3">
        <v>67.454170000000005</v>
      </c>
      <c r="AF564" s="3">
        <v>97.7</v>
      </c>
      <c r="AG564" s="3">
        <v>55.354999999999997</v>
      </c>
      <c r="AI564" s="3">
        <v>68.13597</v>
      </c>
      <c r="AJ564" s="3">
        <v>40.81982</v>
      </c>
      <c r="AK564" s="3">
        <v>24.282550000000001</v>
      </c>
      <c r="AL564" s="3">
        <v>67.938389999999998</v>
      </c>
      <c r="AM564" s="3">
        <v>67.7</v>
      </c>
      <c r="AN564" s="3">
        <v>58.03069</v>
      </c>
      <c r="AO564" s="3">
        <v>50.872990000000001</v>
      </c>
      <c r="AP564" s="3">
        <v>40.722180000000002</v>
      </c>
      <c r="AQ564" s="3">
        <v>64.886330000000001</v>
      </c>
      <c r="AS564" s="3">
        <v>67.015349999999998</v>
      </c>
      <c r="AT564" s="3">
        <v>41.460239999999999</v>
      </c>
      <c r="AU564" s="3">
        <v>42.828989999999997</v>
      </c>
      <c r="AV564" s="3">
        <v>81.989279999999994</v>
      </c>
      <c r="AW564" s="3">
        <v>1.0466310000000001</v>
      </c>
      <c r="AX564" s="3">
        <v>64.847669999999994</v>
      </c>
      <c r="AY564" s="3">
        <v>33.715290000000003</v>
      </c>
    </row>
    <row r="565" spans="1:51" x14ac:dyDescent="0.2">
      <c r="A565" s="3" t="s">
        <v>462</v>
      </c>
      <c r="B565" s="49">
        <v>35004</v>
      </c>
      <c r="D565" s="3">
        <v>69.290700000000001</v>
      </c>
      <c r="E565" s="3">
        <v>28.42427</v>
      </c>
      <c r="F565" s="3">
        <v>69.528570000000002</v>
      </c>
      <c r="G565" s="3">
        <v>90.235919999999993</v>
      </c>
      <c r="H565" s="3">
        <v>49.963120000000004</v>
      </c>
      <c r="I565" s="3">
        <v>66.226849999999999</v>
      </c>
      <c r="J565" s="3">
        <v>25.24569</v>
      </c>
      <c r="K565" s="3">
        <v>18.344449999999998</v>
      </c>
      <c r="L565" s="3">
        <v>53.6</v>
      </c>
      <c r="M565" s="3">
        <v>75.100110000000001</v>
      </c>
      <c r="N565" s="3">
        <v>68.477729999999994</v>
      </c>
      <c r="O565" s="3">
        <v>70.044079999999994</v>
      </c>
      <c r="P565" s="3">
        <v>63.324010000000001</v>
      </c>
      <c r="S565" s="3">
        <v>73.349369999999993</v>
      </c>
      <c r="T565" s="3">
        <v>75.81</v>
      </c>
      <c r="V565" s="3">
        <v>70.469740000000002</v>
      </c>
      <c r="W565" s="3">
        <v>67.099999999999994</v>
      </c>
      <c r="X565" s="3">
        <v>58.151809999999998</v>
      </c>
      <c r="Y565" s="3">
        <v>27.80349</v>
      </c>
      <c r="Z565" s="3">
        <v>15.008430000000001</v>
      </c>
      <c r="AA565" s="3">
        <v>26.616219999999998</v>
      </c>
      <c r="AB565" s="3">
        <v>95.589330000000004</v>
      </c>
      <c r="AC565" s="3">
        <v>47.367269999999998</v>
      </c>
      <c r="AD565" s="3">
        <v>57.587940000000003</v>
      </c>
      <c r="AE565" s="3">
        <v>67.817670000000007</v>
      </c>
      <c r="AF565" s="3">
        <v>97.4</v>
      </c>
      <c r="AG565" s="3">
        <v>55.244999999999997</v>
      </c>
      <c r="AI565" s="3">
        <v>68.22533</v>
      </c>
      <c r="AJ565" s="3">
        <v>41.628779999999999</v>
      </c>
      <c r="AK565" s="3">
        <v>24.881309999999999</v>
      </c>
      <c r="AL565" s="3">
        <v>67.938389999999998</v>
      </c>
      <c r="AM565" s="3">
        <v>67.599999999999994</v>
      </c>
      <c r="AN565" s="3">
        <v>58.210819999999998</v>
      </c>
      <c r="AO565" s="3">
        <v>51.15831</v>
      </c>
      <c r="AP565" s="3">
        <v>41.284829999999999</v>
      </c>
      <c r="AQ565" s="3">
        <v>64.932109999999994</v>
      </c>
      <c r="AS565" s="3">
        <v>66.841440000000006</v>
      </c>
      <c r="AT565" s="3">
        <v>41.62724</v>
      </c>
      <c r="AU565" s="3">
        <v>43.427480000000003</v>
      </c>
      <c r="AV565" s="3">
        <v>81.957369999999997</v>
      </c>
      <c r="AW565" s="3">
        <v>1.095996</v>
      </c>
      <c r="AX565" s="3">
        <v>64.805480000000003</v>
      </c>
      <c r="AY565" s="3">
        <v>33.807290000000002</v>
      </c>
    </row>
    <row r="566" spans="1:51" x14ac:dyDescent="0.2">
      <c r="A566" s="3" t="s">
        <v>463</v>
      </c>
      <c r="B566" s="49">
        <v>35034</v>
      </c>
      <c r="D566" s="3">
        <v>69.304789999999997</v>
      </c>
      <c r="E566" s="3">
        <v>28.867650000000001</v>
      </c>
      <c r="F566" s="3">
        <v>69.370549999999994</v>
      </c>
      <c r="G566" s="3">
        <v>90.261070000000004</v>
      </c>
      <c r="H566" s="3">
        <v>50.106879999999997</v>
      </c>
      <c r="I566" s="3">
        <v>66.494110000000006</v>
      </c>
      <c r="J566" s="3">
        <v>25.47944</v>
      </c>
      <c r="K566" s="3">
        <v>18.556439999999998</v>
      </c>
      <c r="L566" s="3">
        <v>53.8</v>
      </c>
      <c r="M566" s="3">
        <v>75.379990000000006</v>
      </c>
      <c r="N566" s="3">
        <v>68.442949999999996</v>
      </c>
      <c r="O566" s="3">
        <v>70.186449999999994</v>
      </c>
      <c r="P566" s="3">
        <v>63.52861</v>
      </c>
      <c r="S566" s="3">
        <v>73.275859999999994</v>
      </c>
      <c r="T566" s="3">
        <v>75.88</v>
      </c>
      <c r="V566" s="3">
        <v>70.511240000000001</v>
      </c>
      <c r="W566" s="3">
        <v>67.5</v>
      </c>
      <c r="X566" s="3">
        <v>58.987479999999998</v>
      </c>
      <c r="Y566" s="3">
        <v>28.13626</v>
      </c>
      <c r="Z566" s="3">
        <v>15.12715</v>
      </c>
      <c r="AA566" s="3">
        <v>26.284549999999999</v>
      </c>
      <c r="AB566" s="3">
        <v>95.389979999999994</v>
      </c>
      <c r="AC566" s="3">
        <v>47.617449999999998</v>
      </c>
      <c r="AD566" s="3">
        <v>58.190959999999997</v>
      </c>
      <c r="AE566" s="3">
        <v>67.921520000000001</v>
      </c>
      <c r="AF566" s="3">
        <v>97.4</v>
      </c>
      <c r="AG566" s="3">
        <v>55.628</v>
      </c>
      <c r="AI566" s="3">
        <v>68.252830000000003</v>
      </c>
      <c r="AJ566" s="3">
        <v>42.326160000000002</v>
      </c>
      <c r="AK566" s="3">
        <v>25.691949999999999</v>
      </c>
      <c r="AL566" s="3">
        <v>67.761309999999995</v>
      </c>
      <c r="AM566" s="3">
        <v>67.599999999999994</v>
      </c>
      <c r="AN566" s="3">
        <v>58.450409999999998</v>
      </c>
      <c r="AO566" s="3">
        <v>51.464660000000002</v>
      </c>
      <c r="AP566" s="3">
        <v>41.917819999999999</v>
      </c>
      <c r="AQ566" s="3">
        <v>64.865430000000003</v>
      </c>
      <c r="AS566" s="3">
        <v>66.841440000000006</v>
      </c>
      <c r="AT566" s="3">
        <v>41.752499999999998</v>
      </c>
      <c r="AU566" s="3">
        <v>43.870199999999997</v>
      </c>
      <c r="AV566" s="3">
        <v>81.695679999999996</v>
      </c>
      <c r="AW566" s="3">
        <v>1.137292</v>
      </c>
      <c r="AX566" s="3">
        <v>64.763289999999998</v>
      </c>
      <c r="AY566" s="3">
        <v>34.083260000000003</v>
      </c>
    </row>
    <row r="567" spans="1:51" x14ac:dyDescent="0.2">
      <c r="A567" s="3" t="s">
        <v>464</v>
      </c>
      <c r="B567" s="49">
        <v>35065</v>
      </c>
      <c r="D567" s="3">
        <v>69.938800000000001</v>
      </c>
      <c r="E567" s="3">
        <v>29.25441</v>
      </c>
      <c r="F567" s="3">
        <v>69.528570000000002</v>
      </c>
      <c r="G567" s="3">
        <v>90.518780000000007</v>
      </c>
      <c r="H567" s="3">
        <v>50.243850000000002</v>
      </c>
      <c r="I567" s="3">
        <v>67.730649999999997</v>
      </c>
      <c r="J567" s="3">
        <v>26.12227</v>
      </c>
      <c r="K567" s="3">
        <v>18.79053</v>
      </c>
      <c r="L567" s="3">
        <v>55.1</v>
      </c>
      <c r="M567" s="3">
        <v>75.566569999999999</v>
      </c>
      <c r="N567" s="3">
        <v>68.373400000000004</v>
      </c>
      <c r="O567" s="3">
        <v>70.400000000000006</v>
      </c>
      <c r="P567" s="3">
        <v>63.917140000000003</v>
      </c>
      <c r="R567" s="3">
        <v>71.599999999999994</v>
      </c>
      <c r="S567" s="3">
        <v>73.540520000000001</v>
      </c>
      <c r="T567" s="3">
        <v>75.97</v>
      </c>
      <c r="U567" s="3">
        <v>47.230229999999999</v>
      </c>
      <c r="V567" s="3">
        <v>70.753860000000003</v>
      </c>
      <c r="W567" s="3">
        <v>67.400000000000006</v>
      </c>
      <c r="X567" s="3">
        <v>58.957540000000002</v>
      </c>
      <c r="Y567" s="3">
        <v>29.375859999999999</v>
      </c>
      <c r="Z567" s="3">
        <v>15.59577</v>
      </c>
      <c r="AA567" s="3">
        <v>26.11872</v>
      </c>
      <c r="AB567" s="3">
        <v>95.389979999999994</v>
      </c>
      <c r="AC567" s="3">
        <v>48.2012</v>
      </c>
      <c r="AD567" s="3">
        <v>58.693469999999998</v>
      </c>
      <c r="AE567" s="3">
        <v>68.203739999999996</v>
      </c>
      <c r="AF567" s="3">
        <v>97.3</v>
      </c>
      <c r="AG567" s="3">
        <v>56.176000000000002</v>
      </c>
      <c r="AI567" s="3">
        <v>68.328450000000004</v>
      </c>
      <c r="AJ567" s="3">
        <v>43.813899999999997</v>
      </c>
      <c r="AK567" s="3">
        <v>26.615559999999999</v>
      </c>
      <c r="AL567" s="3">
        <v>68.03</v>
      </c>
      <c r="AM567" s="3">
        <v>67.3</v>
      </c>
      <c r="AN567" s="3">
        <v>58.874299999999998</v>
      </c>
      <c r="AO567" s="3">
        <v>51.888910000000003</v>
      </c>
      <c r="AP567" s="3">
        <v>43.324460000000002</v>
      </c>
      <c r="AQ567" s="3">
        <v>65.167969999999997</v>
      </c>
      <c r="AS567" s="3">
        <v>67.015349999999998</v>
      </c>
      <c r="AT567" s="3">
        <v>42.003019999999999</v>
      </c>
      <c r="AU567" s="3">
        <v>44.468690000000002</v>
      </c>
      <c r="AV567" s="3">
        <v>81.577600000000004</v>
      </c>
      <c r="AW567" s="3">
        <v>1.231749</v>
      </c>
      <c r="AX567" s="3">
        <v>65.143010000000004</v>
      </c>
      <c r="AY567" s="3">
        <v>34.497230000000002</v>
      </c>
    </row>
    <row r="568" spans="1:51" x14ac:dyDescent="0.2">
      <c r="A568" s="3" t="s">
        <v>465</v>
      </c>
      <c r="B568" s="49">
        <v>35096</v>
      </c>
      <c r="D568" s="3">
        <v>70.077550000000002</v>
      </c>
      <c r="E568" s="3">
        <v>29.555800000000001</v>
      </c>
      <c r="F568" s="3">
        <v>69.607579999999999</v>
      </c>
      <c r="G568" s="3">
        <v>90.663780000000003</v>
      </c>
      <c r="H568" s="3">
        <v>50.504159999999999</v>
      </c>
      <c r="I568" s="3">
        <v>68.534329999999997</v>
      </c>
      <c r="J568" s="3">
        <v>27.17418</v>
      </c>
      <c r="K568" s="3">
        <v>18.983429999999998</v>
      </c>
      <c r="L568" s="3">
        <v>55.4</v>
      </c>
      <c r="M568" s="3">
        <v>76.03304</v>
      </c>
      <c r="N568" s="3">
        <v>68.755949999999999</v>
      </c>
      <c r="O568" s="3">
        <v>70.709999999999994</v>
      </c>
      <c r="P568" s="3">
        <v>64.091260000000005</v>
      </c>
      <c r="R568" s="3">
        <v>71.8</v>
      </c>
      <c r="S568" s="3">
        <v>73.834590000000006</v>
      </c>
      <c r="T568" s="3">
        <v>76.260000000000005</v>
      </c>
      <c r="U568" s="3">
        <v>47.508629999999997</v>
      </c>
      <c r="V568" s="3">
        <v>70.959699999999998</v>
      </c>
      <c r="W568" s="3">
        <v>67.7</v>
      </c>
      <c r="X568" s="3">
        <v>58.864919999999998</v>
      </c>
      <c r="Y568" s="3">
        <v>30.058050000000001</v>
      </c>
      <c r="Z568" s="3">
        <v>15.801959999999999</v>
      </c>
      <c r="AA568" s="3">
        <v>26.201640000000001</v>
      </c>
      <c r="AB568" s="3">
        <v>94.891599999999997</v>
      </c>
      <c r="AC568" s="3">
        <v>48.910049999999998</v>
      </c>
      <c r="AD568" s="3">
        <v>59.396979999999999</v>
      </c>
      <c r="AE568" s="3">
        <v>68.469909999999999</v>
      </c>
      <c r="AF568" s="3">
        <v>97.1</v>
      </c>
      <c r="AG568" s="3">
        <v>56.396999999999998</v>
      </c>
      <c r="AI568" s="3">
        <v>68.404060000000001</v>
      </c>
      <c r="AJ568" s="3">
        <v>44.576369999999997</v>
      </c>
      <c r="AK568" s="3">
        <v>27.23676</v>
      </c>
      <c r="AL568" s="3">
        <v>68.290000000000006</v>
      </c>
      <c r="AM568" s="3">
        <v>67.400000000000006</v>
      </c>
      <c r="AN568" s="3">
        <v>59.178190000000001</v>
      </c>
      <c r="AO568" s="3">
        <v>52.252490000000002</v>
      </c>
      <c r="AP568" s="3">
        <v>43.957439999999998</v>
      </c>
      <c r="AQ568" s="3">
        <v>65.551119999999997</v>
      </c>
      <c r="AS568" s="3">
        <v>67.421149999999997</v>
      </c>
      <c r="AT568" s="3">
        <v>42.128270000000001</v>
      </c>
      <c r="AU568" s="3">
        <v>45.00159</v>
      </c>
      <c r="AV568" s="3">
        <v>81.673339999999996</v>
      </c>
      <c r="AW568" s="3">
        <v>1.287285</v>
      </c>
      <c r="AX568" s="3">
        <v>65.353970000000004</v>
      </c>
      <c r="AY568" s="3">
        <v>34.543219999999998</v>
      </c>
    </row>
    <row r="569" spans="1:51" x14ac:dyDescent="0.2">
      <c r="A569" s="3" t="s">
        <v>466</v>
      </c>
      <c r="B569" s="49">
        <v>35125</v>
      </c>
      <c r="D569" s="3">
        <v>70.127110000000002</v>
      </c>
      <c r="E569" s="3">
        <v>29.659269999999999</v>
      </c>
      <c r="F569" s="3">
        <v>69.92362</v>
      </c>
      <c r="G569" s="3">
        <v>90.823790000000002</v>
      </c>
      <c r="H569" s="3">
        <v>50.870809999999999</v>
      </c>
      <c r="I569" s="3">
        <v>69.040710000000004</v>
      </c>
      <c r="J569" s="3">
        <v>27.746880000000001</v>
      </c>
      <c r="K569" s="3">
        <v>19.088920000000002</v>
      </c>
      <c r="L569" s="3">
        <v>55.7</v>
      </c>
      <c r="M569" s="3">
        <v>76.03304</v>
      </c>
      <c r="N569" s="3">
        <v>69.138509999999997</v>
      </c>
      <c r="O569" s="3">
        <v>71.010000000000005</v>
      </c>
      <c r="P569" s="3">
        <v>64.318719999999999</v>
      </c>
      <c r="R569" s="3">
        <v>72.099999999999994</v>
      </c>
      <c r="S569" s="3">
        <v>73.871350000000007</v>
      </c>
      <c r="T569" s="3">
        <v>76.75</v>
      </c>
      <c r="U569" s="3">
        <v>47.83802</v>
      </c>
      <c r="V569" s="3">
        <v>71.242000000000004</v>
      </c>
      <c r="W569" s="3">
        <v>67.900000000000006</v>
      </c>
      <c r="X569" s="3">
        <v>60.474290000000003</v>
      </c>
      <c r="Y569" s="3">
        <v>30.62377</v>
      </c>
      <c r="Z569" s="3">
        <v>15.695740000000001</v>
      </c>
      <c r="AA569" s="3">
        <v>26.450389999999999</v>
      </c>
      <c r="AB569" s="3">
        <v>94.393219999999999</v>
      </c>
      <c r="AC569" s="3">
        <v>49.660580000000003</v>
      </c>
      <c r="AD569" s="3">
        <v>60</v>
      </c>
      <c r="AE569" s="3">
        <v>68.736069999999998</v>
      </c>
      <c r="AF569" s="3">
        <v>97.3</v>
      </c>
      <c r="AG569" s="3">
        <v>56.78</v>
      </c>
      <c r="AI569" s="3">
        <v>68.472800000000007</v>
      </c>
      <c r="AJ569" s="3">
        <v>45.26444</v>
      </c>
      <c r="AK569" s="3">
        <v>27.83634</v>
      </c>
      <c r="AL569" s="3">
        <v>68.92</v>
      </c>
      <c r="AM569" s="3">
        <v>67.7</v>
      </c>
      <c r="AN569" s="3">
        <v>59.556690000000003</v>
      </c>
      <c r="AO569" s="3">
        <v>52.633000000000003</v>
      </c>
      <c r="AP569" s="3">
        <v>44.590429999999998</v>
      </c>
      <c r="AQ569" s="3">
        <v>65.783000000000001</v>
      </c>
      <c r="AS569" s="3">
        <v>67.537090000000006</v>
      </c>
      <c r="AT569" s="3">
        <v>42.253529999999998</v>
      </c>
      <c r="AU569" s="3">
        <v>45.698459999999997</v>
      </c>
      <c r="AV569" s="3">
        <v>82.04992</v>
      </c>
      <c r="AW569" s="3">
        <v>1.359434</v>
      </c>
      <c r="AX569" s="3">
        <v>65.691490000000002</v>
      </c>
      <c r="AY569" s="3">
        <v>34.819200000000002</v>
      </c>
    </row>
    <row r="570" spans="1:51" x14ac:dyDescent="0.2">
      <c r="A570" s="3" t="s">
        <v>467</v>
      </c>
      <c r="B570" s="49">
        <v>35156</v>
      </c>
      <c r="D570" s="3">
        <v>70.246030000000005</v>
      </c>
      <c r="E570" s="3">
        <v>30.03304</v>
      </c>
      <c r="F570" s="3">
        <v>70.081639999999993</v>
      </c>
      <c r="G570" s="3">
        <v>90.911850000000001</v>
      </c>
      <c r="H570" s="3">
        <v>51.386330000000001</v>
      </c>
      <c r="I570" s="3">
        <v>70.215950000000007</v>
      </c>
      <c r="J570" s="3">
        <v>28.296209999999999</v>
      </c>
      <c r="K570" s="3">
        <v>19.2346</v>
      </c>
      <c r="L570" s="3">
        <v>56</v>
      </c>
      <c r="M570" s="3">
        <v>76.03304</v>
      </c>
      <c r="N570" s="3">
        <v>69.312399999999997</v>
      </c>
      <c r="O570" s="3">
        <v>71.14</v>
      </c>
      <c r="P570" s="3">
        <v>64.683850000000007</v>
      </c>
      <c r="R570" s="3">
        <v>72.42</v>
      </c>
      <c r="S570" s="3">
        <v>73.988979999999998</v>
      </c>
      <c r="T570" s="3">
        <v>76.84</v>
      </c>
      <c r="U570" s="3">
        <v>48.233260000000001</v>
      </c>
      <c r="V570" s="3">
        <v>71.502480000000006</v>
      </c>
      <c r="W570" s="3">
        <v>68.3</v>
      </c>
      <c r="X570" s="3">
        <v>61.089210000000001</v>
      </c>
      <c r="Y570" s="3">
        <v>31.114619999999999</v>
      </c>
      <c r="Z570" s="3">
        <v>15.73948</v>
      </c>
      <c r="AA570" s="3">
        <v>26.86497</v>
      </c>
      <c r="AB570" s="3">
        <v>94.791920000000005</v>
      </c>
      <c r="AC570" s="3">
        <v>50.04842</v>
      </c>
      <c r="AD570" s="3">
        <v>60.904519999999998</v>
      </c>
      <c r="AE570" s="3">
        <v>69.002229999999997</v>
      </c>
      <c r="AF570" s="3">
        <v>97.9</v>
      </c>
      <c r="AG570" s="3">
        <v>57.162999999999997</v>
      </c>
      <c r="AI570" s="3">
        <v>68.624030000000005</v>
      </c>
      <c r="AJ570" s="3">
        <v>45.487609999999997</v>
      </c>
      <c r="AK570" s="3">
        <v>28.627659999999999</v>
      </c>
      <c r="AL570" s="3">
        <v>69.13</v>
      </c>
      <c r="AM570" s="3">
        <v>67.900000000000006</v>
      </c>
      <c r="AN570" s="3">
        <v>59.959969999999998</v>
      </c>
      <c r="AO570" s="3">
        <v>53.027900000000002</v>
      </c>
      <c r="AP570" s="3">
        <v>45.57508</v>
      </c>
      <c r="AQ570" s="3">
        <v>66.311440000000005</v>
      </c>
      <c r="AS570" s="3">
        <v>67.711010000000002</v>
      </c>
      <c r="AT570" s="3">
        <v>42.378790000000002</v>
      </c>
      <c r="AU570" s="3">
        <v>46.370739999999998</v>
      </c>
      <c r="AV570" s="3">
        <v>82.276499999999999</v>
      </c>
      <c r="AW570" s="3">
        <v>1.450569</v>
      </c>
      <c r="AX570" s="3">
        <v>65.944630000000004</v>
      </c>
      <c r="AY570" s="3">
        <v>35.04918</v>
      </c>
    </row>
    <row r="571" spans="1:51" x14ac:dyDescent="0.2">
      <c r="A571" s="3" t="s">
        <v>468</v>
      </c>
      <c r="B571" s="49">
        <v>35186</v>
      </c>
      <c r="D571" s="3">
        <v>70.127110000000002</v>
      </c>
      <c r="E571" s="3">
        <v>30.39939</v>
      </c>
      <c r="F571" s="3">
        <v>70.318669999999997</v>
      </c>
      <c r="G571" s="3">
        <v>90.579800000000006</v>
      </c>
      <c r="H571" s="3">
        <v>51.802320000000002</v>
      </c>
      <c r="I571" s="3">
        <v>70.281210000000002</v>
      </c>
      <c r="J571" s="3">
        <v>28.728660000000001</v>
      </c>
      <c r="K571" s="3">
        <v>19.556090000000001</v>
      </c>
      <c r="L571" s="3">
        <v>56.2</v>
      </c>
      <c r="M571" s="3">
        <v>76.126329999999996</v>
      </c>
      <c r="N571" s="3">
        <v>69.555850000000007</v>
      </c>
      <c r="O571" s="3">
        <v>71.319999999999993</v>
      </c>
      <c r="P571" s="3">
        <v>64.906949999999995</v>
      </c>
      <c r="R571" s="3">
        <v>72.59</v>
      </c>
      <c r="S571" s="3">
        <v>74.143370000000004</v>
      </c>
      <c r="T571" s="3">
        <v>77</v>
      </c>
      <c r="U571" s="3">
        <v>48.493569999999998</v>
      </c>
      <c r="V571" s="3">
        <v>71.662319999999994</v>
      </c>
      <c r="W571" s="3">
        <v>68.599999999999994</v>
      </c>
      <c r="X571" s="3">
        <v>61.60454</v>
      </c>
      <c r="Y571" s="3">
        <v>31.755210000000002</v>
      </c>
      <c r="Z571" s="3">
        <v>15.845700000000001</v>
      </c>
      <c r="AA571" s="3">
        <v>27.196639999999999</v>
      </c>
      <c r="AB571" s="3">
        <v>94.791920000000005</v>
      </c>
      <c r="AC571" s="3">
        <v>50.207099999999997</v>
      </c>
      <c r="AD571" s="3">
        <v>62.01005</v>
      </c>
      <c r="AE571" s="3">
        <v>69.268389999999997</v>
      </c>
      <c r="AF571" s="3">
        <v>98.1</v>
      </c>
      <c r="AG571" s="3">
        <v>57.491999999999997</v>
      </c>
      <c r="AI571" s="3">
        <v>68.685900000000004</v>
      </c>
      <c r="AJ571" s="3">
        <v>45.692169999999997</v>
      </c>
      <c r="AK571" s="3">
        <v>29.149470000000001</v>
      </c>
      <c r="AL571" s="3">
        <v>68.959999999999994</v>
      </c>
      <c r="AM571" s="3">
        <v>68</v>
      </c>
      <c r="AN571" s="3">
        <v>60.21649</v>
      </c>
      <c r="AO571" s="3">
        <v>53.319690000000001</v>
      </c>
      <c r="AP571" s="3">
        <v>46.208069999999999</v>
      </c>
      <c r="AQ571" s="3">
        <v>66.561229999999995</v>
      </c>
      <c r="AS571" s="3">
        <v>67.653040000000004</v>
      </c>
      <c r="AT571" s="3">
        <v>42.5458</v>
      </c>
      <c r="AU571" s="3">
        <v>46.624890000000001</v>
      </c>
      <c r="AV571" s="3">
        <v>82.187150000000003</v>
      </c>
      <c r="AW571" s="3">
        <v>1.5160720000000001</v>
      </c>
      <c r="AX571" s="3">
        <v>66.071209999999994</v>
      </c>
      <c r="AY571" s="3">
        <v>35.279170000000001</v>
      </c>
    </row>
    <row r="572" spans="1:51" x14ac:dyDescent="0.2">
      <c r="A572" s="3" t="s">
        <v>469</v>
      </c>
      <c r="B572" s="49">
        <v>35217</v>
      </c>
      <c r="D572" s="3">
        <v>70.137020000000007</v>
      </c>
      <c r="E572" s="3">
        <v>30.761099999999999</v>
      </c>
      <c r="F572" s="3">
        <v>70.318669999999997</v>
      </c>
      <c r="G572" s="3">
        <v>90.756510000000006</v>
      </c>
      <c r="H572" s="3">
        <v>52.020099999999999</v>
      </c>
      <c r="I572" s="3">
        <v>69.505859999999998</v>
      </c>
      <c r="J572" s="3">
        <v>29.05592</v>
      </c>
      <c r="K572" s="3">
        <v>19.822330000000001</v>
      </c>
      <c r="L572" s="3">
        <v>56.7</v>
      </c>
      <c r="M572" s="3">
        <v>76.219620000000006</v>
      </c>
      <c r="N572" s="3">
        <v>69.486289999999997</v>
      </c>
      <c r="O572" s="3">
        <v>71.33</v>
      </c>
      <c r="P572" s="3">
        <v>64.852530000000002</v>
      </c>
      <c r="R572" s="3">
        <v>72.760000000000005</v>
      </c>
      <c r="S572" s="3">
        <v>74.084559999999996</v>
      </c>
      <c r="T572" s="3">
        <v>76.91</v>
      </c>
      <c r="U572" s="3">
        <v>48.610039999999998</v>
      </c>
      <c r="V572" s="3">
        <v>71.675929999999994</v>
      </c>
      <c r="W572" s="3">
        <v>68.7</v>
      </c>
      <c r="X572" s="3">
        <v>61.764710000000001</v>
      </c>
      <c r="Y572" s="3">
        <v>32.02975</v>
      </c>
      <c r="Z572" s="3">
        <v>15.726979999999999</v>
      </c>
      <c r="AA572" s="3">
        <v>27.611219999999999</v>
      </c>
      <c r="AB572" s="3">
        <v>95.090959999999995</v>
      </c>
      <c r="AC572" s="3">
        <v>50.538159999999998</v>
      </c>
      <c r="AD572" s="3">
        <v>62.412059999999997</v>
      </c>
      <c r="AE572" s="3">
        <v>69.401470000000003</v>
      </c>
      <c r="AF572" s="3">
        <v>97.8</v>
      </c>
      <c r="AG572" s="3">
        <v>57.491999999999997</v>
      </c>
      <c r="AI572" s="3">
        <v>68.692769999999996</v>
      </c>
      <c r="AJ572" s="3">
        <v>46.445340000000002</v>
      </c>
      <c r="AK572" s="3">
        <v>29.624130000000001</v>
      </c>
      <c r="AL572" s="3">
        <v>68.67</v>
      </c>
      <c r="AM572" s="3">
        <v>68.099999999999994</v>
      </c>
      <c r="AN572" s="3">
        <v>60.323880000000003</v>
      </c>
      <c r="AO572" s="3">
        <v>53.465380000000003</v>
      </c>
      <c r="AP572" s="3">
        <v>46.700389999999999</v>
      </c>
      <c r="AQ572" s="3">
        <v>66.530379999999994</v>
      </c>
      <c r="AS572" s="3">
        <v>67.711010000000002</v>
      </c>
      <c r="AT572" s="3">
        <v>42.629300000000001</v>
      </c>
      <c r="AU572" s="3">
        <v>46.723280000000003</v>
      </c>
      <c r="AV572" s="3">
        <v>81.893540000000002</v>
      </c>
      <c r="AW572" s="3">
        <v>1.5545199999999999</v>
      </c>
      <c r="AX572" s="3">
        <v>66.113399999999999</v>
      </c>
      <c r="AY572" s="3">
        <v>35.601140000000001</v>
      </c>
    </row>
    <row r="573" spans="1:51" x14ac:dyDescent="0.2">
      <c r="A573" s="3" t="s">
        <v>470</v>
      </c>
      <c r="B573" s="49">
        <v>35247</v>
      </c>
      <c r="D573" s="3">
        <v>70.5929</v>
      </c>
      <c r="E573" s="3">
        <v>31.102620000000002</v>
      </c>
      <c r="F573" s="3">
        <v>70.318669999999997</v>
      </c>
      <c r="G573" s="3">
        <v>90.629689999999997</v>
      </c>
      <c r="H573" s="3">
        <v>52.171520000000001</v>
      </c>
      <c r="I573" s="3">
        <v>68.736130000000003</v>
      </c>
      <c r="J573" s="3">
        <v>29.500050000000002</v>
      </c>
      <c r="K573" s="3">
        <v>20.054410000000001</v>
      </c>
      <c r="L573" s="3">
        <v>57.3</v>
      </c>
      <c r="M573" s="3">
        <v>76.312910000000002</v>
      </c>
      <c r="N573" s="3">
        <v>69.381950000000003</v>
      </c>
      <c r="O573" s="3">
        <v>71.31</v>
      </c>
      <c r="P573" s="3">
        <v>64.939059999999998</v>
      </c>
      <c r="R573" s="3">
        <v>73.06</v>
      </c>
      <c r="S573" s="3">
        <v>74.165430000000001</v>
      </c>
      <c r="T573" s="3">
        <v>76.77</v>
      </c>
      <c r="U573" s="3">
        <v>48.730980000000002</v>
      </c>
      <c r="V573" s="3">
        <v>71.702169999999995</v>
      </c>
      <c r="W573" s="3">
        <v>68.3</v>
      </c>
      <c r="X573" s="3">
        <v>60.687390000000001</v>
      </c>
      <c r="Y573" s="3">
        <v>32.137909999999998</v>
      </c>
      <c r="Z573" s="3">
        <v>15.8332</v>
      </c>
      <c r="AA573" s="3">
        <v>28.108720000000002</v>
      </c>
      <c r="AB573" s="3">
        <v>95.589330000000004</v>
      </c>
      <c r="AC573" s="3">
        <v>50.864040000000003</v>
      </c>
      <c r="AD573" s="3">
        <v>62.613059999999997</v>
      </c>
      <c r="AE573" s="3">
        <v>69.33493</v>
      </c>
      <c r="AF573" s="3">
        <v>97.7</v>
      </c>
      <c r="AG573" s="3">
        <v>57.765999999999998</v>
      </c>
      <c r="AI573" s="3">
        <v>68.74776</v>
      </c>
      <c r="AJ573" s="3">
        <v>46.603409999999997</v>
      </c>
      <c r="AK573" s="3">
        <v>30.045249999999999</v>
      </c>
      <c r="AL573" s="3">
        <v>68.84</v>
      </c>
      <c r="AM573" s="3">
        <v>68.3</v>
      </c>
      <c r="AN573" s="3">
        <v>60.43712</v>
      </c>
      <c r="AO573" s="3">
        <v>53.510779999999997</v>
      </c>
      <c r="AP573" s="3">
        <v>46.63006</v>
      </c>
      <c r="AQ573" s="3">
        <v>66.628910000000005</v>
      </c>
      <c r="AS573" s="3">
        <v>67.653040000000004</v>
      </c>
      <c r="AT573" s="3">
        <v>42.754559999999998</v>
      </c>
      <c r="AU573" s="3">
        <v>46.862650000000002</v>
      </c>
      <c r="AV573" s="3">
        <v>81.705250000000007</v>
      </c>
      <c r="AW573" s="3">
        <v>1.5877460000000001</v>
      </c>
      <c r="AX573" s="3">
        <v>66.23997</v>
      </c>
      <c r="AY573" s="3">
        <v>35.877119999999998</v>
      </c>
    </row>
    <row r="574" spans="1:51" x14ac:dyDescent="0.2">
      <c r="A574" s="3" t="s">
        <v>471</v>
      </c>
      <c r="B574" s="49">
        <v>35278</v>
      </c>
      <c r="D574" s="3">
        <v>70.771289999999993</v>
      </c>
      <c r="E574" s="3">
        <v>31.239509999999999</v>
      </c>
      <c r="F574" s="3">
        <v>70.318669999999997</v>
      </c>
      <c r="G574" s="3">
        <v>90.864040000000003</v>
      </c>
      <c r="H574" s="3">
        <v>52.394410000000001</v>
      </c>
      <c r="I574" s="3">
        <v>69.756550000000004</v>
      </c>
      <c r="J574" s="3">
        <v>29.827310000000001</v>
      </c>
      <c r="K574" s="3">
        <v>20.246310000000001</v>
      </c>
      <c r="L574" s="3">
        <v>57.4</v>
      </c>
      <c r="M574" s="3">
        <v>76.312910000000002</v>
      </c>
      <c r="N574" s="3">
        <v>69.521060000000006</v>
      </c>
      <c r="O574" s="3">
        <v>71.27</v>
      </c>
      <c r="P574" s="3">
        <v>65.122979999999998</v>
      </c>
      <c r="R574" s="3">
        <v>73.239999999999995</v>
      </c>
      <c r="S574" s="3">
        <v>73.959580000000003</v>
      </c>
      <c r="T574" s="3">
        <v>76.62</v>
      </c>
      <c r="U574" s="3">
        <v>48.931199999999997</v>
      </c>
      <c r="V574" s="3">
        <v>71.786010000000005</v>
      </c>
      <c r="W574" s="3">
        <v>68.7</v>
      </c>
      <c r="X574" s="3">
        <v>60.642119999999998</v>
      </c>
      <c r="Y574" s="3">
        <v>32.237740000000002</v>
      </c>
      <c r="Z574" s="3">
        <v>15.82696</v>
      </c>
      <c r="AA574" s="3">
        <v>28.440380000000001</v>
      </c>
      <c r="AB574" s="3">
        <v>95.489660000000001</v>
      </c>
      <c r="AC574" s="3">
        <v>51.039029999999997</v>
      </c>
      <c r="AD574" s="3">
        <v>62.814070000000001</v>
      </c>
      <c r="AE574" s="3">
        <v>69.401470000000003</v>
      </c>
      <c r="AF574" s="3">
        <v>97.6</v>
      </c>
      <c r="AG574" s="3">
        <v>58.039000000000001</v>
      </c>
      <c r="AI574" s="3">
        <v>68.809629999999999</v>
      </c>
      <c r="AJ574" s="3">
        <v>46.380249999999997</v>
      </c>
      <c r="AK574" s="3">
        <v>30.444590000000002</v>
      </c>
      <c r="AL574" s="3">
        <v>68.75</v>
      </c>
      <c r="AM574" s="3">
        <v>68.3</v>
      </c>
      <c r="AN574" s="3">
        <v>60.632689999999997</v>
      </c>
      <c r="AO574" s="3">
        <v>53.760710000000003</v>
      </c>
      <c r="AP574" s="3">
        <v>46.841050000000003</v>
      </c>
      <c r="AQ574" s="3">
        <v>66.82396</v>
      </c>
      <c r="AS574" s="3">
        <v>67.82696</v>
      </c>
      <c r="AT574" s="3">
        <v>43.00508</v>
      </c>
      <c r="AU574" s="3">
        <v>46.5839</v>
      </c>
      <c r="AV574" s="3">
        <v>81.331860000000006</v>
      </c>
      <c r="AW574" s="3">
        <v>1.6698630000000001</v>
      </c>
      <c r="AX574" s="3">
        <v>66.366550000000004</v>
      </c>
      <c r="AY574" s="3">
        <v>36.061100000000003</v>
      </c>
    </row>
    <row r="575" spans="1:51" x14ac:dyDescent="0.2">
      <c r="A575" s="3" t="s">
        <v>472</v>
      </c>
      <c r="B575" s="49">
        <v>35309</v>
      </c>
      <c r="D575" s="3">
        <v>70.622630000000001</v>
      </c>
      <c r="E575" s="3">
        <v>31.286370000000002</v>
      </c>
      <c r="F575" s="3">
        <v>70.397679999999994</v>
      </c>
      <c r="G575" s="3">
        <v>90.916920000000005</v>
      </c>
      <c r="H575" s="3">
        <v>52.650469999999999</v>
      </c>
      <c r="I575" s="3">
        <v>71.155010000000004</v>
      </c>
      <c r="J575" s="3">
        <v>30.189630000000001</v>
      </c>
      <c r="K575" s="3">
        <v>20.431170000000002</v>
      </c>
      <c r="L575" s="3">
        <v>57.5</v>
      </c>
      <c r="M575" s="3">
        <v>76.312910000000002</v>
      </c>
      <c r="N575" s="3">
        <v>69.868840000000006</v>
      </c>
      <c r="O575" s="3">
        <v>71.44</v>
      </c>
      <c r="P575" s="3">
        <v>65.281869999999998</v>
      </c>
      <c r="R575" s="3">
        <v>73.34</v>
      </c>
      <c r="S575" s="3">
        <v>74.055149999999998</v>
      </c>
      <c r="T575" s="3">
        <v>76.849999999999994</v>
      </c>
      <c r="U575" s="3">
        <v>49.212470000000003</v>
      </c>
      <c r="V575" s="3">
        <v>71.986620000000002</v>
      </c>
      <c r="W575" s="3">
        <v>69</v>
      </c>
      <c r="X575" s="3">
        <v>62.062069999999999</v>
      </c>
      <c r="Y575" s="3">
        <v>32.695300000000003</v>
      </c>
      <c r="Z575" s="3">
        <v>15.8582</v>
      </c>
      <c r="AA575" s="3">
        <v>28.523299999999999</v>
      </c>
      <c r="AB575" s="3">
        <v>95.489660000000001</v>
      </c>
      <c r="AC575" s="3">
        <v>51.275379999999998</v>
      </c>
      <c r="AD575" s="3">
        <v>63.115580000000001</v>
      </c>
      <c r="AE575" s="3">
        <v>69.468010000000007</v>
      </c>
      <c r="AF575" s="3">
        <v>98</v>
      </c>
      <c r="AG575" s="3">
        <v>58.15</v>
      </c>
      <c r="AI575" s="3">
        <v>68.830250000000007</v>
      </c>
      <c r="AJ575" s="3">
        <v>46.687100000000001</v>
      </c>
      <c r="AK575" s="3">
        <v>30.931360000000002</v>
      </c>
      <c r="AL575" s="3">
        <v>69.37</v>
      </c>
      <c r="AM575" s="3">
        <v>68.599999999999994</v>
      </c>
      <c r="AN575" s="3">
        <v>60.949779999999997</v>
      </c>
      <c r="AO575" s="3">
        <v>54.13503</v>
      </c>
      <c r="AP575" s="3">
        <v>47.755369999999999</v>
      </c>
      <c r="AQ575" s="3">
        <v>66.816990000000004</v>
      </c>
      <c r="AS575" s="3">
        <v>67.884929999999997</v>
      </c>
      <c r="AT575" s="3">
        <v>43.380850000000002</v>
      </c>
      <c r="AU575" s="3">
        <v>46.764270000000003</v>
      </c>
      <c r="AV575" s="3">
        <v>81.797799999999995</v>
      </c>
      <c r="AW575" s="3">
        <v>1.7652699999999999</v>
      </c>
      <c r="AX575" s="3">
        <v>66.577500000000001</v>
      </c>
      <c r="AY575" s="3">
        <v>36.429070000000003</v>
      </c>
    </row>
    <row r="576" spans="1:51" x14ac:dyDescent="0.2">
      <c r="A576" s="3" t="s">
        <v>473</v>
      </c>
      <c r="B576" s="49">
        <v>35339</v>
      </c>
      <c r="D576" s="3">
        <v>70.830749999999995</v>
      </c>
      <c r="E576" s="3">
        <v>31.38034</v>
      </c>
      <c r="F576" s="3">
        <v>70.555700000000002</v>
      </c>
      <c r="G576" s="3">
        <v>91.06183</v>
      </c>
      <c r="H576" s="3">
        <v>53.027320000000003</v>
      </c>
      <c r="I576" s="3">
        <v>70.933459999999997</v>
      </c>
      <c r="J576" s="3">
        <v>30.528580000000002</v>
      </c>
      <c r="K576" s="3">
        <v>20.69641</v>
      </c>
      <c r="L576" s="3">
        <v>57.8</v>
      </c>
      <c r="M576" s="3">
        <v>76.312910000000002</v>
      </c>
      <c r="N576" s="3">
        <v>69.973179999999999</v>
      </c>
      <c r="O576" s="3">
        <v>71.52</v>
      </c>
      <c r="P576" s="3">
        <v>65.371110000000002</v>
      </c>
      <c r="R576" s="3">
        <v>73.760000000000005</v>
      </c>
      <c r="S576" s="3">
        <v>74.158079999999998</v>
      </c>
      <c r="T576" s="3">
        <v>77.05</v>
      </c>
      <c r="U576" s="3">
        <v>49.434699999999999</v>
      </c>
      <c r="V576" s="3">
        <v>72.15343</v>
      </c>
      <c r="W576" s="3">
        <v>69.099999999999994</v>
      </c>
      <c r="X576" s="3">
        <v>62.551639999999999</v>
      </c>
      <c r="Y576" s="3">
        <v>33.12791</v>
      </c>
      <c r="Z576" s="3">
        <v>15.920680000000001</v>
      </c>
      <c r="AA576" s="3">
        <v>28.689129999999999</v>
      </c>
      <c r="AB576" s="3">
        <v>96.187389999999994</v>
      </c>
      <c r="AC576" s="3">
        <v>51.759250000000002</v>
      </c>
      <c r="AD576" s="3">
        <v>63.618090000000002</v>
      </c>
      <c r="AE576" s="3">
        <v>69.534549999999996</v>
      </c>
      <c r="AF576" s="3">
        <v>98.2</v>
      </c>
      <c r="AG576" s="3">
        <v>58.15</v>
      </c>
      <c r="AI576" s="3">
        <v>68.960859999999997</v>
      </c>
      <c r="AJ576" s="3">
        <v>47.235700000000001</v>
      </c>
      <c r="AK576" s="3">
        <v>31.317440000000001</v>
      </c>
      <c r="AL576" s="3">
        <v>69.53</v>
      </c>
      <c r="AM576" s="3">
        <v>68.900000000000006</v>
      </c>
      <c r="AN576" s="3">
        <v>61.243899999999996</v>
      </c>
      <c r="AO576" s="3">
        <v>54.499189999999999</v>
      </c>
      <c r="AP576" s="3">
        <v>48.458689999999997</v>
      </c>
      <c r="AQ576" s="3">
        <v>66.780169999999998</v>
      </c>
      <c r="AS576" s="3">
        <v>67.768979999999999</v>
      </c>
      <c r="AT576" s="3">
        <v>43.673119999999997</v>
      </c>
      <c r="AU576" s="3">
        <v>47.206989999999998</v>
      </c>
      <c r="AV576" s="3">
        <v>81.829710000000006</v>
      </c>
      <c r="AW576" s="3">
        <v>1.879664</v>
      </c>
      <c r="AX576" s="3">
        <v>66.788460000000001</v>
      </c>
      <c r="AY576" s="3">
        <v>36.751049999999999</v>
      </c>
    </row>
    <row r="577" spans="1:51" x14ac:dyDescent="0.2">
      <c r="A577" s="3" t="s">
        <v>474</v>
      </c>
      <c r="B577" s="49">
        <v>35370</v>
      </c>
      <c r="D577" s="3">
        <v>70.939769999999996</v>
      </c>
      <c r="E577" s="3">
        <v>31.480799999999999</v>
      </c>
      <c r="F577" s="3">
        <v>70.871740000000003</v>
      </c>
      <c r="G577" s="3">
        <v>90.894360000000006</v>
      </c>
      <c r="H577" s="3">
        <v>53.236600000000003</v>
      </c>
      <c r="I577" s="3">
        <v>70.796499999999995</v>
      </c>
      <c r="J577" s="3">
        <v>30.77402</v>
      </c>
      <c r="K577" s="3">
        <v>20.907389999999999</v>
      </c>
      <c r="L577" s="3">
        <v>58.1</v>
      </c>
      <c r="M577" s="3">
        <v>76.219620000000006</v>
      </c>
      <c r="N577" s="3">
        <v>70.112290000000002</v>
      </c>
      <c r="O577" s="3">
        <v>71.53</v>
      </c>
      <c r="P577" s="3">
        <v>65.374920000000003</v>
      </c>
      <c r="R577" s="3">
        <v>73.91</v>
      </c>
      <c r="S577" s="3">
        <v>73.937520000000006</v>
      </c>
      <c r="T577" s="3">
        <v>76.98</v>
      </c>
      <c r="U577" s="3">
        <v>49.621099999999998</v>
      </c>
      <c r="V577" s="3">
        <v>72.217160000000007</v>
      </c>
      <c r="W577" s="3">
        <v>69.2</v>
      </c>
      <c r="X577" s="3">
        <v>62.511940000000003</v>
      </c>
      <c r="Y577" s="3">
        <v>33.402450000000002</v>
      </c>
      <c r="Z577" s="3">
        <v>15.989409999999999</v>
      </c>
      <c r="AA577" s="3">
        <v>28.93788</v>
      </c>
      <c r="AB577" s="3">
        <v>95.988039999999998</v>
      </c>
      <c r="AC577" s="3">
        <v>51.62032</v>
      </c>
      <c r="AD577" s="3">
        <v>64.020099999999999</v>
      </c>
      <c r="AE577" s="3">
        <v>69.800709999999995</v>
      </c>
      <c r="AF577" s="3">
        <v>97.9</v>
      </c>
      <c r="AG577" s="3">
        <v>58.15</v>
      </c>
      <c r="AI577" s="3">
        <v>69.167079999999999</v>
      </c>
      <c r="AJ577" s="3">
        <v>47.60763</v>
      </c>
      <c r="AK577" s="3">
        <v>31.791930000000001</v>
      </c>
      <c r="AL577" s="3">
        <v>69.45</v>
      </c>
      <c r="AM577" s="3">
        <v>68.8</v>
      </c>
      <c r="AN577" s="3">
        <v>61.442120000000003</v>
      </c>
      <c r="AO577" s="3">
        <v>54.77243</v>
      </c>
      <c r="AP577" s="3">
        <v>49.091670000000001</v>
      </c>
      <c r="AQ577" s="3">
        <v>66.903580000000005</v>
      </c>
      <c r="AS577" s="3">
        <v>67.653040000000004</v>
      </c>
      <c r="AT577" s="3">
        <v>43.840130000000002</v>
      </c>
      <c r="AU577" s="3">
        <v>47.42015</v>
      </c>
      <c r="AV577" s="3">
        <v>81.66695</v>
      </c>
      <c r="AW577" s="3">
        <v>1.9769699999999999</v>
      </c>
      <c r="AX577" s="3">
        <v>66.915030000000002</v>
      </c>
      <c r="AY577" s="3">
        <v>36.889040000000001</v>
      </c>
    </row>
    <row r="578" spans="1:51" x14ac:dyDescent="0.2">
      <c r="A578" s="3" t="s">
        <v>475</v>
      </c>
      <c r="B578" s="49">
        <v>35400</v>
      </c>
      <c r="D578" s="3">
        <v>71.068600000000004</v>
      </c>
      <c r="E578" s="3">
        <v>31.628820000000001</v>
      </c>
      <c r="F578" s="3">
        <v>70.871740000000003</v>
      </c>
      <c r="G578" s="3">
        <v>90.966319999999996</v>
      </c>
      <c r="H578" s="3">
        <v>53.429699999999997</v>
      </c>
      <c r="I578" s="3">
        <v>71.148700000000005</v>
      </c>
      <c r="J578" s="3">
        <v>30.996089999999999</v>
      </c>
      <c r="K578" s="3">
        <v>21.13344</v>
      </c>
      <c r="L578" s="3">
        <v>58.5</v>
      </c>
      <c r="M578" s="3">
        <v>76.499489999999994</v>
      </c>
      <c r="N578" s="3">
        <v>70.042730000000006</v>
      </c>
      <c r="O578" s="3">
        <v>71.73</v>
      </c>
      <c r="P578" s="3">
        <v>65.568629999999999</v>
      </c>
      <c r="R578" s="3">
        <v>74.13</v>
      </c>
      <c r="S578" s="3">
        <v>73.988979999999998</v>
      </c>
      <c r="T578" s="3">
        <v>77.14</v>
      </c>
      <c r="U578" s="3">
        <v>49.849139999999998</v>
      </c>
      <c r="V578" s="3">
        <v>72.285550000000001</v>
      </c>
      <c r="W578" s="3">
        <v>69.400000000000006</v>
      </c>
      <c r="X578" s="3">
        <v>63.287730000000003</v>
      </c>
      <c r="Y578" s="3">
        <v>33.710270000000001</v>
      </c>
      <c r="Z578" s="3">
        <v>16.039400000000001</v>
      </c>
      <c r="AA578" s="3">
        <v>29.020800000000001</v>
      </c>
      <c r="AB578" s="3">
        <v>96.087720000000004</v>
      </c>
      <c r="AC578" s="3">
        <v>51.828800000000001</v>
      </c>
      <c r="AD578" s="3">
        <v>64.52261</v>
      </c>
      <c r="AE578" s="3">
        <v>69.867249999999999</v>
      </c>
      <c r="AF578" s="3">
        <v>98</v>
      </c>
      <c r="AG578" s="3">
        <v>58.368000000000002</v>
      </c>
      <c r="AI578" s="3">
        <v>69.160210000000006</v>
      </c>
      <c r="AJ578" s="3">
        <v>47.877290000000002</v>
      </c>
      <c r="AK578" s="3">
        <v>32.809849999999997</v>
      </c>
      <c r="AL578" s="3">
        <v>69.37</v>
      </c>
      <c r="AM578" s="3">
        <v>68.8</v>
      </c>
      <c r="AN578" s="3">
        <v>61.675840000000001</v>
      </c>
      <c r="AO578" s="3">
        <v>55.070920000000001</v>
      </c>
      <c r="AP578" s="3">
        <v>49.72466</v>
      </c>
      <c r="AQ578" s="3">
        <v>66.935419999999993</v>
      </c>
      <c r="AS578" s="3">
        <v>67.653040000000004</v>
      </c>
      <c r="AT578" s="3">
        <v>44.00714</v>
      </c>
      <c r="AU578" s="3">
        <v>47.813679999999998</v>
      </c>
      <c r="AV578" s="3">
        <v>81.542490000000001</v>
      </c>
      <c r="AW578" s="3">
        <v>2.0443720000000001</v>
      </c>
      <c r="AX578" s="3">
        <v>66.915030000000002</v>
      </c>
      <c r="AY578" s="3">
        <v>37.257010000000001</v>
      </c>
    </row>
    <row r="579" spans="1:51" x14ac:dyDescent="0.2">
      <c r="A579" s="3" t="s">
        <v>476</v>
      </c>
      <c r="B579" s="49">
        <v>35431</v>
      </c>
      <c r="D579" s="3">
        <v>71.564130000000006</v>
      </c>
      <c r="E579" s="3">
        <v>32.002130000000001</v>
      </c>
      <c r="F579" s="3">
        <v>71.029759999999996</v>
      </c>
      <c r="G579" s="3">
        <v>91.270139999999998</v>
      </c>
      <c r="H579" s="3">
        <v>53.699379999999998</v>
      </c>
      <c r="I579" s="3">
        <v>71.726759999999999</v>
      </c>
      <c r="J579" s="3">
        <v>31.510359999999999</v>
      </c>
      <c r="K579" s="3">
        <v>21.568470000000001</v>
      </c>
      <c r="L579" s="3">
        <v>59.2</v>
      </c>
      <c r="M579" s="3">
        <v>77.152529999999999</v>
      </c>
      <c r="N579" s="3">
        <v>70.216620000000006</v>
      </c>
      <c r="O579" s="3">
        <v>71.95</v>
      </c>
      <c r="P579" s="3">
        <v>65.75909</v>
      </c>
      <c r="R579" s="3">
        <v>74.44</v>
      </c>
      <c r="S579" s="3">
        <v>74.033100000000005</v>
      </c>
      <c r="T579" s="3">
        <v>77.31</v>
      </c>
      <c r="U579" s="3">
        <v>50.179740000000002</v>
      </c>
      <c r="V579" s="3">
        <v>72.47363</v>
      </c>
      <c r="W579" s="3">
        <v>69.2</v>
      </c>
      <c r="X579" s="3">
        <v>62.944400000000002</v>
      </c>
      <c r="Y579" s="3">
        <v>34.941549999999999</v>
      </c>
      <c r="Z579" s="3">
        <v>16.314319999999999</v>
      </c>
      <c r="AA579" s="3">
        <v>29.020800000000001</v>
      </c>
      <c r="AB579" s="3">
        <v>95.888360000000006</v>
      </c>
      <c r="AC579" s="3">
        <v>51.828800000000001</v>
      </c>
      <c r="AD579" s="3">
        <v>64.723619999999997</v>
      </c>
      <c r="AE579" s="3">
        <v>70.066869999999994</v>
      </c>
      <c r="AF579" s="3">
        <v>97.9</v>
      </c>
      <c r="AG579" s="3">
        <v>58.808</v>
      </c>
      <c r="AI579" s="3">
        <v>69.249570000000006</v>
      </c>
      <c r="AJ579" s="3">
        <v>48.788519999999998</v>
      </c>
      <c r="AK579" s="3">
        <v>33.653559999999999</v>
      </c>
      <c r="AL579" s="3">
        <v>69.45</v>
      </c>
      <c r="AM579" s="3">
        <v>69.3</v>
      </c>
      <c r="AN579" s="3">
        <v>62.005760000000002</v>
      </c>
      <c r="AO579" s="3">
        <v>55.478169999999999</v>
      </c>
      <c r="AP579" s="3">
        <v>51.131300000000003</v>
      </c>
      <c r="AQ579" s="3">
        <v>67.341459999999998</v>
      </c>
      <c r="AS579" s="3">
        <v>67.595070000000007</v>
      </c>
      <c r="AT579" s="3">
        <v>44.466419999999999</v>
      </c>
      <c r="AU579" s="3">
        <v>48.43676</v>
      </c>
      <c r="AV579" s="3">
        <v>81.526539999999997</v>
      </c>
      <c r="AW579" s="3">
        <v>2.1644610000000002</v>
      </c>
      <c r="AX579" s="3">
        <v>67.125979999999998</v>
      </c>
      <c r="AY579" s="3">
        <v>37.716970000000003</v>
      </c>
    </row>
    <row r="580" spans="1:51" x14ac:dyDescent="0.2">
      <c r="A580" s="3" t="s">
        <v>477</v>
      </c>
      <c r="B580" s="49">
        <v>35462</v>
      </c>
      <c r="D580" s="3">
        <v>71.474940000000004</v>
      </c>
      <c r="E580" s="3">
        <v>32.162219999999998</v>
      </c>
      <c r="F580" s="3">
        <v>71.187780000000004</v>
      </c>
      <c r="G580" s="3">
        <v>91.430149999999998</v>
      </c>
      <c r="H580" s="3">
        <v>54.147689999999997</v>
      </c>
      <c r="I580" s="3">
        <v>72.372259999999997</v>
      </c>
      <c r="J580" s="3">
        <v>32.492130000000003</v>
      </c>
      <c r="K580" s="3">
        <v>21.7041</v>
      </c>
      <c r="L580" s="3">
        <v>59.4</v>
      </c>
      <c r="M580" s="3">
        <v>77.245829999999998</v>
      </c>
      <c r="N580" s="3">
        <v>70.251400000000004</v>
      </c>
      <c r="O580" s="3">
        <v>72.11</v>
      </c>
      <c r="P580" s="3">
        <v>65.714470000000006</v>
      </c>
      <c r="R580" s="3">
        <v>74.31</v>
      </c>
      <c r="S580" s="3">
        <v>74.069850000000002</v>
      </c>
      <c r="T580" s="3">
        <v>77.47</v>
      </c>
      <c r="U580" s="3">
        <v>50.687080000000002</v>
      </c>
      <c r="V580" s="3">
        <v>72.606260000000006</v>
      </c>
      <c r="W580" s="3">
        <v>69.3</v>
      </c>
      <c r="X580" s="3">
        <v>62.722259999999999</v>
      </c>
      <c r="Y580" s="3">
        <v>35.70693</v>
      </c>
      <c r="Z580" s="3">
        <v>16.433039999999998</v>
      </c>
      <c r="AA580" s="3">
        <v>29.020800000000001</v>
      </c>
      <c r="AB580" s="3">
        <v>96.187389999999994</v>
      </c>
      <c r="AC580" s="3">
        <v>51.828800000000001</v>
      </c>
      <c r="AD580" s="3">
        <v>65.427139999999994</v>
      </c>
      <c r="AE580" s="3">
        <v>70.133420000000001</v>
      </c>
      <c r="AF580" s="3">
        <v>97.7</v>
      </c>
      <c r="AG580" s="3">
        <v>59.136000000000003</v>
      </c>
      <c r="AI580" s="3">
        <v>69.455799999999996</v>
      </c>
      <c r="AJ580" s="3">
        <v>48.974490000000003</v>
      </c>
      <c r="AK580" s="3">
        <v>34.219090000000001</v>
      </c>
      <c r="AL580" s="3">
        <v>69.59</v>
      </c>
      <c r="AM580" s="3">
        <v>69.599999999999994</v>
      </c>
      <c r="AN580" s="3">
        <v>62.257010000000001</v>
      </c>
      <c r="AO580" s="3">
        <v>55.746299999999998</v>
      </c>
      <c r="AP580" s="3">
        <v>51.693950000000001</v>
      </c>
      <c r="AQ580" s="3">
        <v>67.455910000000003</v>
      </c>
      <c r="AS580" s="3">
        <v>67.768979999999999</v>
      </c>
      <c r="AT580" s="3">
        <v>44.633429999999997</v>
      </c>
      <c r="AU580" s="3">
        <v>48.764710000000001</v>
      </c>
      <c r="AV580" s="3">
        <v>81.494619999999998</v>
      </c>
      <c r="AW580" s="3">
        <v>2.286924</v>
      </c>
      <c r="AX580" s="3">
        <v>67.336939999999998</v>
      </c>
      <c r="AY580" s="3">
        <v>37.946950000000001</v>
      </c>
    </row>
    <row r="581" spans="1:51" x14ac:dyDescent="0.2">
      <c r="A581" s="3" t="s">
        <v>478</v>
      </c>
      <c r="B581" s="49">
        <v>35490</v>
      </c>
      <c r="D581" s="3">
        <v>71.147890000000004</v>
      </c>
      <c r="E581" s="3">
        <v>32.326250000000002</v>
      </c>
      <c r="F581" s="3">
        <v>71.26679</v>
      </c>
      <c r="G581" s="3">
        <v>91.298659999999998</v>
      </c>
      <c r="H581" s="3">
        <v>54.317830000000001</v>
      </c>
      <c r="I581" s="3">
        <v>71.802340000000001</v>
      </c>
      <c r="J581" s="3">
        <v>32.994709999999998</v>
      </c>
      <c r="K581" s="3">
        <v>21.941199999999998</v>
      </c>
      <c r="L581" s="3">
        <v>59.5</v>
      </c>
      <c r="M581" s="3">
        <v>77.245829999999998</v>
      </c>
      <c r="N581" s="3">
        <v>70.286180000000002</v>
      </c>
      <c r="O581" s="3">
        <v>72.2</v>
      </c>
      <c r="P581" s="3">
        <v>65.747119999999995</v>
      </c>
      <c r="R581" s="3">
        <v>74.59</v>
      </c>
      <c r="S581" s="3">
        <v>74.260999999999996</v>
      </c>
      <c r="T581" s="3">
        <v>77.53</v>
      </c>
      <c r="U581" s="3">
        <v>50.988109999999999</v>
      </c>
      <c r="V581" s="3">
        <v>72.737579999999994</v>
      </c>
      <c r="W581" s="3">
        <v>69.400000000000006</v>
      </c>
      <c r="X581" s="3">
        <v>64.102509999999995</v>
      </c>
      <c r="Y581" s="3">
        <v>36.372489999999999</v>
      </c>
      <c r="Z581" s="3">
        <v>16.43929</v>
      </c>
      <c r="AA581" s="3">
        <v>29.103719999999999</v>
      </c>
      <c r="AB581" s="3">
        <v>95.888360000000006</v>
      </c>
      <c r="AC581" s="3">
        <v>52.049759999999999</v>
      </c>
      <c r="AD581" s="3">
        <v>66.030150000000006</v>
      </c>
      <c r="AE581" s="3">
        <v>70.333029999999994</v>
      </c>
      <c r="AF581" s="3">
        <v>97.8</v>
      </c>
      <c r="AG581" s="3">
        <v>59.354999999999997</v>
      </c>
      <c r="AI581" s="3">
        <v>69.325190000000006</v>
      </c>
      <c r="AJ581" s="3">
        <v>49.179049999999997</v>
      </c>
      <c r="AK581" s="3">
        <v>34.644959999999998</v>
      </c>
      <c r="AL581" s="3">
        <v>70.12</v>
      </c>
      <c r="AM581" s="3">
        <v>69.7</v>
      </c>
      <c r="AN581" s="3">
        <v>62.49579</v>
      </c>
      <c r="AO581" s="3">
        <v>56.031860000000002</v>
      </c>
      <c r="AP581" s="3">
        <v>52.115949999999998</v>
      </c>
      <c r="AQ581" s="3">
        <v>67.544479999999993</v>
      </c>
      <c r="AS581" s="3">
        <v>67.711010000000002</v>
      </c>
      <c r="AT581" s="3">
        <v>44.883940000000003</v>
      </c>
      <c r="AU581" s="3">
        <v>49.018859999999997</v>
      </c>
      <c r="AV581" s="3">
        <v>81.826520000000002</v>
      </c>
      <c r="AW581" s="3">
        <v>2.410336</v>
      </c>
      <c r="AX581" s="3">
        <v>67.505709999999993</v>
      </c>
      <c r="AY581" s="3">
        <v>38.176929999999999</v>
      </c>
    </row>
    <row r="582" spans="1:51" x14ac:dyDescent="0.2">
      <c r="A582" s="3" t="s">
        <v>479</v>
      </c>
      <c r="B582" s="49">
        <v>35521</v>
      </c>
      <c r="D582" s="3">
        <v>71.128069999999994</v>
      </c>
      <c r="E582" s="3">
        <v>32.610700000000001</v>
      </c>
      <c r="F582" s="3">
        <v>71.26679</v>
      </c>
      <c r="G582" s="3">
        <v>91.386520000000004</v>
      </c>
      <c r="H582" s="3">
        <v>54.497329999999998</v>
      </c>
      <c r="I582" s="3">
        <v>72.462860000000006</v>
      </c>
      <c r="J582" s="3">
        <v>33.532350000000001</v>
      </c>
      <c r="K582" s="3">
        <v>22.234570000000001</v>
      </c>
      <c r="L582" s="3">
        <v>59.9</v>
      </c>
      <c r="M582" s="3">
        <v>77.152529999999999</v>
      </c>
      <c r="N582" s="3">
        <v>70.49485</v>
      </c>
      <c r="O582" s="3">
        <v>72.180000000000007</v>
      </c>
      <c r="P582" s="3">
        <v>65.771060000000006</v>
      </c>
      <c r="R582" s="3">
        <v>75.010000000000005</v>
      </c>
      <c r="S582" s="3">
        <v>74.650649999999999</v>
      </c>
      <c r="T582" s="3">
        <v>77.56</v>
      </c>
      <c r="U582" s="3">
        <v>51.310400000000001</v>
      </c>
      <c r="V582" s="3">
        <v>73.009709999999998</v>
      </c>
      <c r="W582" s="3">
        <v>69.7</v>
      </c>
      <c r="X582" s="3">
        <v>64.669380000000004</v>
      </c>
      <c r="Y582" s="3">
        <v>36.87997</v>
      </c>
      <c r="Z582" s="3">
        <v>16.508019999999998</v>
      </c>
      <c r="AA582" s="3">
        <v>29.35247</v>
      </c>
      <c r="AB582" s="3">
        <v>96.785449999999997</v>
      </c>
      <c r="AC582" s="3">
        <v>52.09487</v>
      </c>
      <c r="AD582" s="3">
        <v>66.532660000000007</v>
      </c>
      <c r="AE582" s="3">
        <v>70.399569999999997</v>
      </c>
      <c r="AF582" s="3">
        <v>99.8</v>
      </c>
      <c r="AG582" s="3">
        <v>59.628999999999998</v>
      </c>
      <c r="AI582" s="3">
        <v>69.338939999999994</v>
      </c>
      <c r="AJ582" s="3">
        <v>49.5045</v>
      </c>
      <c r="AK582" s="3">
        <v>35.01925</v>
      </c>
      <c r="AL582" s="3">
        <v>70.2</v>
      </c>
      <c r="AM582" s="3">
        <v>69.7</v>
      </c>
      <c r="AN582" s="3">
        <v>62.837629999999997</v>
      </c>
      <c r="AO582" s="3">
        <v>56.348579999999998</v>
      </c>
      <c r="AP582" s="3">
        <v>52.608269999999997</v>
      </c>
      <c r="AQ582" s="3">
        <v>67.652950000000004</v>
      </c>
      <c r="AS582" s="3">
        <v>67.942899999999995</v>
      </c>
      <c r="AT582" s="3">
        <v>45.134459999999997</v>
      </c>
      <c r="AU582" s="3">
        <v>49.576349999999998</v>
      </c>
      <c r="AV582" s="3">
        <v>82.235020000000006</v>
      </c>
      <c r="AW582" s="3">
        <v>2.569823</v>
      </c>
      <c r="AX582" s="3">
        <v>67.590090000000004</v>
      </c>
      <c r="AY582" s="3">
        <v>38.498910000000002</v>
      </c>
    </row>
    <row r="583" spans="1:51" x14ac:dyDescent="0.2">
      <c r="A583" s="3" t="s">
        <v>480</v>
      </c>
      <c r="B583" s="49">
        <v>35551</v>
      </c>
      <c r="D583" s="3">
        <v>71.237080000000006</v>
      </c>
      <c r="E583" s="3">
        <v>32.744340000000001</v>
      </c>
      <c r="F583" s="3">
        <v>71.345799999999997</v>
      </c>
      <c r="G583" s="3">
        <v>91.102170000000001</v>
      </c>
      <c r="H583" s="3">
        <v>54.62323</v>
      </c>
      <c r="I583" s="3">
        <v>72.249080000000006</v>
      </c>
      <c r="J583" s="3">
        <v>34.069989999999997</v>
      </c>
      <c r="K583" s="3">
        <v>22.348099999999999</v>
      </c>
      <c r="L583" s="3">
        <v>60</v>
      </c>
      <c r="M583" s="3">
        <v>77.339119999999994</v>
      </c>
      <c r="N583" s="3">
        <v>70.981740000000002</v>
      </c>
      <c r="O583" s="3">
        <v>72.38</v>
      </c>
      <c r="P583" s="3">
        <v>65.866839999999996</v>
      </c>
      <c r="R583" s="3">
        <v>75.52</v>
      </c>
      <c r="S583" s="3">
        <v>74.827100000000002</v>
      </c>
      <c r="T583" s="3">
        <v>77.67</v>
      </c>
      <c r="U583" s="3">
        <v>51.449080000000002</v>
      </c>
      <c r="V583" s="3">
        <v>73.072929999999999</v>
      </c>
      <c r="W583" s="3">
        <v>70</v>
      </c>
      <c r="X583" s="3">
        <v>64.940280000000001</v>
      </c>
      <c r="Y583" s="3">
        <v>37.362499999999997</v>
      </c>
      <c r="Z583" s="3">
        <v>16.558009999999999</v>
      </c>
      <c r="AA583" s="3">
        <v>29.186630000000001</v>
      </c>
      <c r="AB583" s="3">
        <v>97.68253</v>
      </c>
      <c r="AC583" s="3">
        <v>51.828800000000001</v>
      </c>
      <c r="AD583" s="3">
        <v>66.83417</v>
      </c>
      <c r="AE583" s="3">
        <v>70.599199999999996</v>
      </c>
      <c r="AF583" s="3">
        <v>100</v>
      </c>
      <c r="AG583" s="3">
        <v>59.683999999999997</v>
      </c>
      <c r="AI583" s="3">
        <v>69.421419999999998</v>
      </c>
      <c r="AJ583" s="3">
        <v>49.829940000000001</v>
      </c>
      <c r="AK583" s="3">
        <v>35.338850000000001</v>
      </c>
      <c r="AL583" s="3">
        <v>70.36</v>
      </c>
      <c r="AM583" s="3">
        <v>69.8</v>
      </c>
      <c r="AN583" s="3">
        <v>63.009639999999997</v>
      </c>
      <c r="AO583" s="3">
        <v>56.664149999999999</v>
      </c>
      <c r="AP583" s="3">
        <v>52.889600000000002</v>
      </c>
      <c r="AQ583" s="3">
        <v>68.063959999999994</v>
      </c>
      <c r="AS583" s="3">
        <v>67.711010000000002</v>
      </c>
      <c r="AT583" s="3">
        <v>45.176209999999998</v>
      </c>
      <c r="AU583" s="3">
        <v>50.388010000000001</v>
      </c>
      <c r="AV583" s="3">
        <v>82.241399999999999</v>
      </c>
      <c r="AW583" s="3">
        <v>2.6903869999999999</v>
      </c>
      <c r="AX583" s="3">
        <v>67.547899999999998</v>
      </c>
      <c r="AY583" s="3">
        <v>38.636890000000001</v>
      </c>
    </row>
    <row r="584" spans="1:51" x14ac:dyDescent="0.2">
      <c r="A584" s="3" t="s">
        <v>481</v>
      </c>
      <c r="B584" s="49">
        <v>35582</v>
      </c>
      <c r="D584" s="3">
        <v>71.356009999999998</v>
      </c>
      <c r="E584" s="3">
        <v>32.921129999999998</v>
      </c>
      <c r="F584" s="3">
        <v>71.503820000000005</v>
      </c>
      <c r="G584" s="3">
        <v>91.193709999999996</v>
      </c>
      <c r="H584" s="3">
        <v>54.753390000000003</v>
      </c>
      <c r="I584" s="3">
        <v>71.452020000000005</v>
      </c>
      <c r="J584" s="3">
        <v>34.490749999999998</v>
      </c>
      <c r="K584" s="3">
        <v>22.52291</v>
      </c>
      <c r="L584" s="3">
        <v>60.6</v>
      </c>
      <c r="M584" s="3">
        <v>77.432410000000004</v>
      </c>
      <c r="N584" s="3">
        <v>71.155619999999999</v>
      </c>
      <c r="O584" s="3">
        <v>72.41</v>
      </c>
      <c r="P584" s="3">
        <v>65.864649999999997</v>
      </c>
      <c r="R584" s="3">
        <v>75.94</v>
      </c>
      <c r="S584" s="3">
        <v>74.922669999999997</v>
      </c>
      <c r="T584" s="3">
        <v>77.650000000000006</v>
      </c>
      <c r="U584" s="3">
        <v>51.585819999999998</v>
      </c>
      <c r="V584" s="3">
        <v>73.140870000000007</v>
      </c>
      <c r="W584" s="3">
        <v>70.099999999999994</v>
      </c>
      <c r="X584" s="3">
        <v>65.184010000000001</v>
      </c>
      <c r="Y584" s="3">
        <v>38.019730000000003</v>
      </c>
      <c r="Z584" s="3">
        <v>16.551760000000002</v>
      </c>
      <c r="AA584" s="3">
        <v>29.435379999999999</v>
      </c>
      <c r="AB584" s="3">
        <v>98.081239999999994</v>
      </c>
      <c r="AC584" s="3">
        <v>52.078980000000001</v>
      </c>
      <c r="AD584" s="3">
        <v>67.638189999999994</v>
      </c>
      <c r="AE584" s="3">
        <v>70.599199999999996</v>
      </c>
      <c r="AF584" s="3">
        <v>100</v>
      </c>
      <c r="AG584" s="3">
        <v>59.792999999999999</v>
      </c>
      <c r="AI584" s="3">
        <v>69.476420000000005</v>
      </c>
      <c r="AJ584" s="3">
        <v>49.941519999999997</v>
      </c>
      <c r="AK584" s="3">
        <v>35.6524</v>
      </c>
      <c r="AL584" s="3">
        <v>70.02</v>
      </c>
      <c r="AM584" s="3">
        <v>70</v>
      </c>
      <c r="AN584" s="3">
        <v>63.157359999999997</v>
      </c>
      <c r="AO584" s="3">
        <v>56.84581</v>
      </c>
      <c r="AP584" s="3">
        <v>53.663249999999998</v>
      </c>
      <c r="AQ584" s="3">
        <v>67.884829999999994</v>
      </c>
      <c r="AS584" s="3">
        <v>67.82696</v>
      </c>
      <c r="AT584" s="3">
        <v>45.301459999999999</v>
      </c>
      <c r="AU584" s="3">
        <v>50.388010000000001</v>
      </c>
      <c r="AV584" s="3">
        <v>82.349909999999994</v>
      </c>
      <c r="AW584" s="3">
        <v>2.767757</v>
      </c>
      <c r="AX584" s="3">
        <v>67.632279999999994</v>
      </c>
      <c r="AY584" s="3">
        <v>38.72889</v>
      </c>
    </row>
    <row r="585" spans="1:51" x14ac:dyDescent="0.2">
      <c r="A585" s="3" t="s">
        <v>482</v>
      </c>
      <c r="B585" s="49">
        <v>35612</v>
      </c>
      <c r="D585" s="3">
        <v>71.930819999999997</v>
      </c>
      <c r="E585" s="3">
        <v>32.993519999999997</v>
      </c>
      <c r="F585" s="3">
        <v>71.503820000000005</v>
      </c>
      <c r="G585" s="3">
        <v>91.094520000000003</v>
      </c>
      <c r="H585" s="3">
        <v>55.083460000000002</v>
      </c>
      <c r="I585" s="3">
        <v>70.591999999999999</v>
      </c>
      <c r="J585" s="3">
        <v>34.78295</v>
      </c>
      <c r="K585" s="3">
        <v>22.716819999999998</v>
      </c>
      <c r="L585" s="3">
        <v>62.7</v>
      </c>
      <c r="M585" s="3">
        <v>78.085459999999998</v>
      </c>
      <c r="N585" s="3">
        <v>70.981740000000002</v>
      </c>
      <c r="O585" s="3">
        <v>72.459999999999994</v>
      </c>
      <c r="P585" s="3">
        <v>65.985460000000003</v>
      </c>
      <c r="R585" s="3">
        <v>76.08</v>
      </c>
      <c r="S585" s="3">
        <v>75.025599999999997</v>
      </c>
      <c r="T585" s="3">
        <v>77.55</v>
      </c>
      <c r="U585" s="3">
        <v>51.699269999999999</v>
      </c>
      <c r="V585" s="3">
        <v>73.198909999999998</v>
      </c>
      <c r="W585" s="3">
        <v>70</v>
      </c>
      <c r="X585" s="3">
        <v>63.971589999999999</v>
      </c>
      <c r="Y585" s="3">
        <v>37.969810000000003</v>
      </c>
      <c r="Z585" s="3">
        <v>16.682970000000001</v>
      </c>
      <c r="AA585" s="3">
        <v>29.68413</v>
      </c>
      <c r="AB585" s="3">
        <v>98.081239999999994</v>
      </c>
      <c r="AC585" s="3">
        <v>52.37086</v>
      </c>
      <c r="AD585" s="3">
        <v>68.341710000000006</v>
      </c>
      <c r="AE585" s="3">
        <v>70.599199999999996</v>
      </c>
      <c r="AF585" s="3">
        <v>99.6</v>
      </c>
      <c r="AG585" s="3">
        <v>59.902999999999999</v>
      </c>
      <c r="AI585" s="3">
        <v>69.641400000000004</v>
      </c>
      <c r="AJ585" s="3">
        <v>50.17398</v>
      </c>
      <c r="AK585" s="3">
        <v>35.963000000000001</v>
      </c>
      <c r="AL585" s="3">
        <v>70.25</v>
      </c>
      <c r="AM585" s="3">
        <v>69.900000000000006</v>
      </c>
      <c r="AN585" s="3">
        <v>63.340200000000003</v>
      </c>
      <c r="AO585" s="3">
        <v>57.191420000000001</v>
      </c>
      <c r="AP585" s="3">
        <v>53.522590000000001</v>
      </c>
      <c r="AQ585" s="3">
        <v>67.903739999999999</v>
      </c>
      <c r="AS585" s="3">
        <v>67.537090000000006</v>
      </c>
      <c r="AT585" s="3">
        <v>45.343220000000002</v>
      </c>
      <c r="AU585" s="3">
        <v>50.683160000000001</v>
      </c>
      <c r="AV585" s="3">
        <v>82.193529999999996</v>
      </c>
      <c r="AW585" s="3">
        <v>2.9410090000000002</v>
      </c>
      <c r="AX585" s="3">
        <v>67.716660000000005</v>
      </c>
      <c r="AY585" s="3">
        <v>39.142859999999999</v>
      </c>
    </row>
    <row r="586" spans="1:51" x14ac:dyDescent="0.2">
      <c r="A586" s="3" t="s">
        <v>483</v>
      </c>
      <c r="B586" s="49">
        <v>35643</v>
      </c>
      <c r="D586" s="3">
        <v>72.069569999999999</v>
      </c>
      <c r="E586" s="3">
        <v>32.987020000000001</v>
      </c>
      <c r="F586" s="3">
        <v>71.582830000000001</v>
      </c>
      <c r="G586" s="3">
        <v>91.295180000000002</v>
      </c>
      <c r="H586" s="3">
        <v>55.307189999999999</v>
      </c>
      <c r="I586" s="3">
        <v>71.081919999999997</v>
      </c>
      <c r="J586" s="3">
        <v>35.180329999999998</v>
      </c>
      <c r="K586" s="3">
        <v>22.968990000000002</v>
      </c>
      <c r="L586" s="3">
        <v>63.1</v>
      </c>
      <c r="M586" s="3">
        <v>78.178749999999994</v>
      </c>
      <c r="N586" s="3">
        <v>71.259960000000007</v>
      </c>
      <c r="O586" s="3">
        <v>72.58</v>
      </c>
      <c r="P586" s="3">
        <v>66.276579999999996</v>
      </c>
      <c r="R586" s="3">
        <v>75.930000000000007</v>
      </c>
      <c r="S586" s="3">
        <v>75.150570000000002</v>
      </c>
      <c r="T586" s="3">
        <v>77.75</v>
      </c>
      <c r="U586" s="3">
        <v>51.942909999999998</v>
      </c>
      <c r="V586" s="3">
        <v>73.330690000000004</v>
      </c>
      <c r="W586" s="3">
        <v>70.3</v>
      </c>
      <c r="X586" s="3">
        <v>64.025210000000001</v>
      </c>
      <c r="Y586" s="3">
        <v>38.036369999999998</v>
      </c>
      <c r="Z586" s="3">
        <v>16.839179999999999</v>
      </c>
      <c r="AA586" s="3">
        <v>29.767050000000001</v>
      </c>
      <c r="AB586" s="3">
        <v>98.081239999999994</v>
      </c>
      <c r="AC586" s="3">
        <v>52.24577</v>
      </c>
      <c r="AD586" s="3">
        <v>68.643219999999999</v>
      </c>
      <c r="AE586" s="3">
        <v>70.665729999999996</v>
      </c>
      <c r="AF586" s="3">
        <v>99.7</v>
      </c>
      <c r="AG586" s="3">
        <v>60.341000000000001</v>
      </c>
      <c r="AI586" s="3">
        <v>69.758260000000007</v>
      </c>
      <c r="AJ586" s="3">
        <v>50.378540000000001</v>
      </c>
      <c r="AK586" s="3">
        <v>36.282760000000003</v>
      </c>
      <c r="AL586" s="3">
        <v>70.44</v>
      </c>
      <c r="AM586" s="3">
        <v>69.8</v>
      </c>
      <c r="AN586" s="3">
        <v>63.60154</v>
      </c>
      <c r="AO586" s="3">
        <v>57.571800000000003</v>
      </c>
      <c r="AP586" s="3">
        <v>53.592919999999999</v>
      </c>
      <c r="AQ586" s="3">
        <v>68.229169999999996</v>
      </c>
      <c r="AS586" s="3">
        <v>67.82696</v>
      </c>
      <c r="AT586" s="3">
        <v>45.760739999999998</v>
      </c>
      <c r="AU586" s="3">
        <v>50.78154</v>
      </c>
      <c r="AV586" s="3">
        <v>82.241399999999999</v>
      </c>
      <c r="AW586" s="3">
        <v>3.1232799999999998</v>
      </c>
      <c r="AX586" s="3">
        <v>67.843230000000005</v>
      </c>
      <c r="AY586" s="3">
        <v>39.188850000000002</v>
      </c>
    </row>
    <row r="587" spans="1:51" x14ac:dyDescent="0.2">
      <c r="A587" s="3" t="s">
        <v>484</v>
      </c>
      <c r="B587" s="49">
        <v>35674</v>
      </c>
      <c r="D587" s="3">
        <v>71.762339999999995</v>
      </c>
      <c r="E587" s="3">
        <v>33.006740000000001</v>
      </c>
      <c r="F587" s="3">
        <v>71.582830000000001</v>
      </c>
      <c r="G587" s="3">
        <v>91.293499999999995</v>
      </c>
      <c r="H587" s="3">
        <v>55.821010000000001</v>
      </c>
      <c r="I587" s="3">
        <v>72.435810000000004</v>
      </c>
      <c r="J587" s="3">
        <v>35.612780000000001</v>
      </c>
      <c r="K587" s="3">
        <v>22.877569999999999</v>
      </c>
      <c r="L587" s="3">
        <v>63.5</v>
      </c>
      <c r="M587" s="3">
        <v>77.992159999999998</v>
      </c>
      <c r="N587" s="3">
        <v>71.468630000000005</v>
      </c>
      <c r="O587" s="3">
        <v>72.650000000000006</v>
      </c>
      <c r="P587" s="3">
        <v>66.604699999999994</v>
      </c>
      <c r="R587" s="3">
        <v>75.91</v>
      </c>
      <c r="S587" s="3">
        <v>75.224100000000007</v>
      </c>
      <c r="T587" s="3">
        <v>77.89</v>
      </c>
      <c r="U587" s="3">
        <v>52.279020000000003</v>
      </c>
      <c r="V587" s="3">
        <v>73.5047</v>
      </c>
      <c r="W587" s="3">
        <v>70.5</v>
      </c>
      <c r="X587" s="3">
        <v>65.115070000000003</v>
      </c>
      <c r="Y587" s="3">
        <v>38.568809999999999</v>
      </c>
      <c r="Z587" s="3">
        <v>17.020379999999999</v>
      </c>
      <c r="AA587" s="3">
        <v>29.932880000000001</v>
      </c>
      <c r="AB587" s="3">
        <v>97.981560000000002</v>
      </c>
      <c r="AC587" s="3">
        <v>52.296529999999997</v>
      </c>
      <c r="AD587" s="3">
        <v>68.643219999999999</v>
      </c>
      <c r="AE587" s="3">
        <v>70.732280000000003</v>
      </c>
      <c r="AF587" s="3">
        <v>100.4</v>
      </c>
      <c r="AG587" s="3">
        <v>60.616999999999997</v>
      </c>
      <c r="AI587" s="3">
        <v>69.964479999999995</v>
      </c>
      <c r="AJ587" s="3">
        <v>50.471530000000001</v>
      </c>
      <c r="AK587" s="3">
        <v>36.734659999999998</v>
      </c>
      <c r="AL587" s="3">
        <v>71.069999999999993</v>
      </c>
      <c r="AM587" s="3">
        <v>70.2</v>
      </c>
      <c r="AN587" s="3">
        <v>63.950760000000002</v>
      </c>
      <c r="AO587" s="3">
        <v>58.02111</v>
      </c>
      <c r="AP587" s="3">
        <v>54.366570000000003</v>
      </c>
      <c r="AQ587" s="3">
        <v>68.18638</v>
      </c>
      <c r="AS587" s="3">
        <v>67.82696</v>
      </c>
      <c r="AT587" s="3">
        <v>45.886000000000003</v>
      </c>
      <c r="AU587" s="3">
        <v>51.060279999999999</v>
      </c>
      <c r="AV587" s="3">
        <v>83.007320000000007</v>
      </c>
      <c r="AW587" s="3">
        <v>3.3515929999999998</v>
      </c>
      <c r="AX587" s="3">
        <v>68.012</v>
      </c>
      <c r="AY587" s="3">
        <v>39.372839999999997</v>
      </c>
    </row>
    <row r="588" spans="1:51" x14ac:dyDescent="0.2">
      <c r="A588" s="3" t="s">
        <v>485</v>
      </c>
      <c r="B588" s="49">
        <v>35704</v>
      </c>
      <c r="D588" s="3">
        <v>71.752430000000004</v>
      </c>
      <c r="E588" s="3">
        <v>33.082610000000003</v>
      </c>
      <c r="F588" s="3">
        <v>71.582830000000001</v>
      </c>
      <c r="G588" s="3">
        <v>91.300250000000005</v>
      </c>
      <c r="H588" s="3">
        <v>56.50497</v>
      </c>
      <c r="I588" s="3">
        <v>71.997470000000007</v>
      </c>
      <c r="J588" s="3">
        <v>35.963419999999999</v>
      </c>
      <c r="K588" s="3">
        <v>22.91675</v>
      </c>
      <c r="L588" s="3">
        <v>63.9</v>
      </c>
      <c r="M588" s="3">
        <v>77.898870000000002</v>
      </c>
      <c r="N588" s="3">
        <v>71.503410000000002</v>
      </c>
      <c r="O588" s="3">
        <v>72.69</v>
      </c>
      <c r="P588" s="3">
        <v>66.580219999999997</v>
      </c>
      <c r="R588" s="3">
        <v>76.17</v>
      </c>
      <c r="S588" s="3">
        <v>75.400540000000007</v>
      </c>
      <c r="T588" s="3">
        <v>77.849999999999994</v>
      </c>
      <c r="U588" s="3">
        <v>52.554450000000003</v>
      </c>
      <c r="V588" s="3">
        <v>73.637889999999999</v>
      </c>
      <c r="W588" s="3">
        <v>70.599999999999994</v>
      </c>
      <c r="X588" s="3">
        <v>65.486949999999993</v>
      </c>
      <c r="Y588" s="3">
        <v>39.001420000000003</v>
      </c>
      <c r="Z588" s="3">
        <v>17.257819999999999</v>
      </c>
      <c r="AA588" s="3">
        <v>30.26455</v>
      </c>
      <c r="AB588" s="3">
        <v>98.18092</v>
      </c>
      <c r="AC588" s="3">
        <v>52.48424</v>
      </c>
      <c r="AD588" s="3">
        <v>69.447239999999994</v>
      </c>
      <c r="AE588" s="3">
        <v>70.931889999999996</v>
      </c>
      <c r="AF588" s="3">
        <v>100.7</v>
      </c>
      <c r="AG588" s="3">
        <v>60.616999999999997</v>
      </c>
      <c r="AI588" s="3">
        <v>70.143199999999993</v>
      </c>
      <c r="AJ588" s="3">
        <v>50.852760000000004</v>
      </c>
      <c r="AK588" s="3">
        <v>37.028239999999997</v>
      </c>
      <c r="AL588" s="3">
        <v>71.14</v>
      </c>
      <c r="AM588" s="3">
        <v>70.3</v>
      </c>
      <c r="AN588" s="3">
        <v>64.266909999999996</v>
      </c>
      <c r="AO588" s="3">
        <v>58.483499999999999</v>
      </c>
      <c r="AP588" s="3">
        <v>54.929220000000001</v>
      </c>
      <c r="AQ588" s="3">
        <v>68.149550000000005</v>
      </c>
      <c r="AS588" s="3">
        <v>67.305210000000002</v>
      </c>
      <c r="AT588" s="3">
        <v>46.261769999999999</v>
      </c>
      <c r="AU588" s="3">
        <v>51.314439999999998</v>
      </c>
      <c r="AV588" s="3">
        <v>83.064769999999996</v>
      </c>
      <c r="AW588" s="3">
        <v>3.6306940000000001</v>
      </c>
      <c r="AX588" s="3">
        <v>68.180760000000006</v>
      </c>
      <c r="AY588" s="3">
        <v>39.556820000000002</v>
      </c>
    </row>
    <row r="589" spans="1:51" x14ac:dyDescent="0.2">
      <c r="A589" s="3" t="s">
        <v>486</v>
      </c>
      <c r="B589" s="49">
        <v>35735</v>
      </c>
      <c r="D589" s="3">
        <v>71.940730000000002</v>
      </c>
      <c r="E589" s="3">
        <v>33.138759999999998</v>
      </c>
      <c r="F589" s="3">
        <v>71.503820000000005</v>
      </c>
      <c r="G589" s="3">
        <v>91.273319999999998</v>
      </c>
      <c r="H589" s="3">
        <v>56.581539999999997</v>
      </c>
      <c r="I589" s="3">
        <v>71.57526</v>
      </c>
      <c r="J589" s="3">
        <v>36.255609999999997</v>
      </c>
      <c r="K589" s="3">
        <v>23.301539999999999</v>
      </c>
      <c r="L589" s="3">
        <v>64.099999999999994</v>
      </c>
      <c r="M589" s="3">
        <v>77.898870000000002</v>
      </c>
      <c r="N589" s="3">
        <v>71.607740000000007</v>
      </c>
      <c r="O589" s="3">
        <v>72.790000000000006</v>
      </c>
      <c r="P589" s="3">
        <v>66.712450000000004</v>
      </c>
      <c r="R589" s="3">
        <v>76.3</v>
      </c>
      <c r="S589" s="3">
        <v>75.363780000000006</v>
      </c>
      <c r="T589" s="3">
        <v>77.98</v>
      </c>
      <c r="U589" s="3">
        <v>52.695700000000002</v>
      </c>
      <c r="V589" s="3">
        <v>73.566829999999996</v>
      </c>
      <c r="W589" s="3">
        <v>70.599999999999994</v>
      </c>
      <c r="X589" s="3">
        <v>65.726500000000001</v>
      </c>
      <c r="Y589" s="3">
        <v>39.475630000000002</v>
      </c>
      <c r="Z589" s="3">
        <v>17.39528</v>
      </c>
      <c r="AA589" s="3">
        <v>30.347470000000001</v>
      </c>
      <c r="AB589" s="3">
        <v>98.479939999999999</v>
      </c>
      <c r="AC589" s="3">
        <v>52.412550000000003</v>
      </c>
      <c r="AD589" s="3">
        <v>69.246229999999997</v>
      </c>
      <c r="AE589" s="3">
        <v>71.198059999999998</v>
      </c>
      <c r="AF589" s="3">
        <v>100</v>
      </c>
      <c r="AG589" s="3">
        <v>60.67</v>
      </c>
      <c r="AI589" s="3">
        <v>70.211939999999998</v>
      </c>
      <c r="AJ589" s="3">
        <v>51.113120000000002</v>
      </c>
      <c r="AK589" s="3">
        <v>37.442480000000003</v>
      </c>
      <c r="AL589" s="3">
        <v>71.17</v>
      </c>
      <c r="AM589" s="3">
        <v>70.400000000000006</v>
      </c>
      <c r="AN589" s="3">
        <v>64.430080000000004</v>
      </c>
      <c r="AO589" s="3">
        <v>58.925109999999997</v>
      </c>
      <c r="AP589" s="3">
        <v>55.56221</v>
      </c>
      <c r="AQ589" s="3">
        <v>68.420240000000007</v>
      </c>
      <c r="AS589" s="3">
        <v>67.537090000000006</v>
      </c>
      <c r="AT589" s="3">
        <v>46.554040000000001</v>
      </c>
      <c r="AU589" s="3">
        <v>51.732559999999999</v>
      </c>
      <c r="AV589" s="3">
        <v>82.927539999999993</v>
      </c>
      <c r="AW589" s="3">
        <v>3.8713479999999998</v>
      </c>
      <c r="AX589" s="3">
        <v>68.138570000000001</v>
      </c>
      <c r="AY589" s="3">
        <v>39.41883</v>
      </c>
    </row>
    <row r="590" spans="1:51" x14ac:dyDescent="0.2">
      <c r="A590" s="3" t="s">
        <v>487</v>
      </c>
      <c r="B590" s="49">
        <v>35765</v>
      </c>
      <c r="D590" s="3">
        <v>71.881270000000001</v>
      </c>
      <c r="E590" s="3">
        <v>33.281219999999998</v>
      </c>
      <c r="F590" s="3">
        <v>71.424809999999994</v>
      </c>
      <c r="G590" s="3">
        <v>91.317740000000001</v>
      </c>
      <c r="H590" s="3">
        <v>56.659799999999997</v>
      </c>
      <c r="I590" s="3">
        <v>71.43329</v>
      </c>
      <c r="J590" s="3">
        <v>36.477679999999999</v>
      </c>
      <c r="K590" s="3">
        <v>23.50047</v>
      </c>
      <c r="L590" s="3">
        <v>64.400000000000006</v>
      </c>
      <c r="M590" s="3">
        <v>78.085459999999998</v>
      </c>
      <c r="N590" s="3">
        <v>71.503410000000002</v>
      </c>
      <c r="O590" s="3">
        <v>72.88</v>
      </c>
      <c r="P590" s="3">
        <v>66.889840000000007</v>
      </c>
      <c r="R590" s="3">
        <v>76.319999999999993</v>
      </c>
      <c r="S590" s="3">
        <v>75.385829999999999</v>
      </c>
      <c r="T590" s="3">
        <v>78.02</v>
      </c>
      <c r="U590" s="3">
        <v>52.939900000000002</v>
      </c>
      <c r="V590" s="3">
        <v>73.526020000000003</v>
      </c>
      <c r="W590" s="3">
        <v>70.7</v>
      </c>
      <c r="X590" s="3">
        <v>66.271780000000007</v>
      </c>
      <c r="Y590" s="3">
        <v>39.908239999999999</v>
      </c>
      <c r="Z590" s="3">
        <v>17.6952</v>
      </c>
      <c r="AA590" s="3">
        <v>30.84496</v>
      </c>
      <c r="AB590" s="3">
        <v>98.778970000000001</v>
      </c>
      <c r="AC590" s="3">
        <v>52.95722</v>
      </c>
      <c r="AD590" s="3">
        <v>69.045230000000004</v>
      </c>
      <c r="AE590" s="3">
        <v>71.198059999999998</v>
      </c>
      <c r="AF590" s="3">
        <v>99.8</v>
      </c>
      <c r="AG590" s="3">
        <v>62.204999999999998</v>
      </c>
      <c r="AI590" s="3">
        <v>70.177570000000003</v>
      </c>
      <c r="AJ590" s="3">
        <v>51.233989999999999</v>
      </c>
      <c r="AK590" s="3">
        <v>37.96707</v>
      </c>
      <c r="AL590" s="3">
        <v>70.95</v>
      </c>
      <c r="AM590" s="3">
        <v>70.400000000000006</v>
      </c>
      <c r="AN590" s="3">
        <v>64.631600000000006</v>
      </c>
      <c r="AO590" s="3">
        <v>59.302720000000001</v>
      </c>
      <c r="AP590" s="3">
        <v>56.124870000000001</v>
      </c>
      <c r="AQ590" s="3">
        <v>68.581469999999996</v>
      </c>
      <c r="AS590" s="3">
        <v>67.36318</v>
      </c>
      <c r="AT590" s="3">
        <v>46.804549999999999</v>
      </c>
      <c r="AU590" s="3">
        <v>52.00311</v>
      </c>
      <c r="AV590" s="3">
        <v>82.886049999999997</v>
      </c>
      <c r="AW590" s="3">
        <v>4.0702309999999997</v>
      </c>
      <c r="AX590" s="3">
        <v>68.054190000000006</v>
      </c>
      <c r="AY590" s="3">
        <v>39.556820000000002</v>
      </c>
    </row>
    <row r="591" spans="1:51" x14ac:dyDescent="0.2">
      <c r="A591" s="3" t="s">
        <v>488</v>
      </c>
      <c r="B591" s="49">
        <v>35796</v>
      </c>
      <c r="D591" s="3">
        <v>71.85154</v>
      </c>
      <c r="E591" s="3">
        <v>33.517400000000002</v>
      </c>
      <c r="F591" s="3">
        <v>71.819850000000002</v>
      </c>
      <c r="G591" s="3">
        <v>91.28425</v>
      </c>
      <c r="H591" s="3">
        <v>57.054519999999997</v>
      </c>
      <c r="I591" s="3">
        <v>71.941940000000002</v>
      </c>
      <c r="J591" s="3">
        <v>37.132199999999997</v>
      </c>
      <c r="K591" s="3">
        <v>23.874210000000001</v>
      </c>
      <c r="L591" s="3">
        <v>66.900000000000006</v>
      </c>
      <c r="M591" s="3">
        <v>78.085459999999998</v>
      </c>
      <c r="N591" s="3">
        <v>71.433850000000007</v>
      </c>
      <c r="O591" s="3">
        <v>72.819999999999993</v>
      </c>
      <c r="P591" s="3">
        <v>67.047640000000001</v>
      </c>
      <c r="Q591" s="3">
        <v>54.141820000000003</v>
      </c>
      <c r="R591" s="3">
        <v>76.680000000000007</v>
      </c>
      <c r="S591" s="3">
        <v>75.466710000000006</v>
      </c>
      <c r="T591" s="3">
        <v>77.78</v>
      </c>
      <c r="U591" s="3">
        <v>53.368220000000001</v>
      </c>
      <c r="V591" s="3">
        <v>73.578209999999999</v>
      </c>
      <c r="W591" s="3">
        <v>70.400000000000006</v>
      </c>
      <c r="X591" s="3">
        <v>65.711879999999994</v>
      </c>
      <c r="Y591" s="3">
        <v>41.114559999999997</v>
      </c>
      <c r="Z591" s="3">
        <v>18.963609999999999</v>
      </c>
      <c r="AA591" s="3">
        <v>31.839960000000001</v>
      </c>
      <c r="AB591" s="3">
        <v>98.778970000000001</v>
      </c>
      <c r="AC591" s="3">
        <v>53.037999999999997</v>
      </c>
      <c r="AD591" s="3">
        <v>69.246229999999997</v>
      </c>
      <c r="AE591" s="3">
        <v>71.397670000000005</v>
      </c>
      <c r="AF591" s="3">
        <v>99.7</v>
      </c>
      <c r="AG591" s="3">
        <v>63.685000000000002</v>
      </c>
      <c r="AI591" s="3">
        <v>70.232569999999996</v>
      </c>
      <c r="AJ591" s="3">
        <v>51.884880000000003</v>
      </c>
      <c r="AK591" s="3">
        <v>38.793100000000003</v>
      </c>
      <c r="AL591" s="3">
        <v>70.709999999999994</v>
      </c>
      <c r="AM591" s="3">
        <v>70.7</v>
      </c>
      <c r="AN591" s="3">
        <v>64.921520000000001</v>
      </c>
      <c r="AO591" s="3">
        <v>59.610039999999998</v>
      </c>
      <c r="AP591" s="3">
        <v>57.883159999999997</v>
      </c>
      <c r="AQ591" s="3">
        <v>68.674019999999999</v>
      </c>
      <c r="AS591" s="3">
        <v>67.768979999999999</v>
      </c>
      <c r="AT591" s="3">
        <v>47.681359999999998</v>
      </c>
      <c r="AU591" s="3">
        <v>52.724580000000003</v>
      </c>
      <c r="AV591" s="3">
        <v>82.0946</v>
      </c>
      <c r="AW591" s="3">
        <v>4.3640480000000004</v>
      </c>
      <c r="AX591" s="3">
        <v>68.180760000000006</v>
      </c>
      <c r="AY591" s="3">
        <v>39.878799999999998</v>
      </c>
    </row>
    <row r="592" spans="1:51" x14ac:dyDescent="0.2">
      <c r="A592" s="3" t="s">
        <v>489</v>
      </c>
      <c r="B592" s="49">
        <v>35827</v>
      </c>
      <c r="D592" s="3">
        <v>72.000200000000007</v>
      </c>
      <c r="E592" s="3">
        <v>33.671689999999998</v>
      </c>
      <c r="F592" s="3">
        <v>71.898859999999999</v>
      </c>
      <c r="G592" s="3">
        <v>91.396259999999998</v>
      </c>
      <c r="H592" s="3">
        <v>56.980510000000002</v>
      </c>
      <c r="I592" s="3">
        <v>72.299890000000005</v>
      </c>
      <c r="J592" s="3">
        <v>38.347729999999999</v>
      </c>
      <c r="K592" s="3">
        <v>24.11533</v>
      </c>
      <c r="L592" s="3">
        <v>67.3</v>
      </c>
      <c r="M592" s="3">
        <v>78.272040000000004</v>
      </c>
      <c r="N592" s="3">
        <v>71.746849999999995</v>
      </c>
      <c r="O592" s="3">
        <v>73</v>
      </c>
      <c r="P592" s="3">
        <v>66.890919999999994</v>
      </c>
      <c r="Q592" s="3">
        <v>54.654519999999998</v>
      </c>
      <c r="R592" s="3">
        <v>76.86</v>
      </c>
      <c r="S592" s="3">
        <v>75.451999999999998</v>
      </c>
      <c r="T592" s="3">
        <v>78.069999999999993</v>
      </c>
      <c r="U592" s="3">
        <v>53.73462</v>
      </c>
      <c r="V592" s="3">
        <v>73.707179999999994</v>
      </c>
      <c r="W592" s="3">
        <v>70.599999999999994</v>
      </c>
      <c r="X592" s="3">
        <v>65.399199999999993</v>
      </c>
      <c r="Y592" s="3">
        <v>41.796750000000003</v>
      </c>
      <c r="Z592" s="3">
        <v>21.362960000000001</v>
      </c>
      <c r="AA592" s="3">
        <v>31.674130000000002</v>
      </c>
      <c r="AB592" s="3">
        <v>98.479939999999999</v>
      </c>
      <c r="AC592" s="3">
        <v>52.954610000000002</v>
      </c>
      <c r="AD592" s="3">
        <v>69.14573</v>
      </c>
      <c r="AE592" s="3">
        <v>71.597300000000004</v>
      </c>
      <c r="AF592" s="3">
        <v>99.6</v>
      </c>
      <c r="AG592" s="3">
        <v>64.781999999999996</v>
      </c>
      <c r="AI592" s="3">
        <v>70.205070000000006</v>
      </c>
      <c r="AJ592" s="3">
        <v>51.97786</v>
      </c>
      <c r="AK592" s="3">
        <v>39.472259999999999</v>
      </c>
      <c r="AL592" s="3">
        <v>71.11</v>
      </c>
      <c r="AM592" s="3">
        <v>71</v>
      </c>
      <c r="AN592" s="3">
        <v>65.191959999999995</v>
      </c>
      <c r="AO592" s="3">
        <v>59.932079999999999</v>
      </c>
      <c r="AP592" s="3">
        <v>58.867809999999999</v>
      </c>
      <c r="AQ592" s="3">
        <v>68.643169999999998</v>
      </c>
      <c r="AS592" s="3">
        <v>67.768979999999999</v>
      </c>
      <c r="AT592" s="3">
        <v>48.01538</v>
      </c>
      <c r="AU592" s="3">
        <v>53.21649</v>
      </c>
      <c r="AV592" s="3">
        <v>81.986090000000004</v>
      </c>
      <c r="AW592" s="3">
        <v>4.5567609999999998</v>
      </c>
      <c r="AX592" s="3">
        <v>68.307329999999993</v>
      </c>
      <c r="AY592" s="3">
        <v>39.970790000000001</v>
      </c>
    </row>
    <row r="593" spans="1:51" x14ac:dyDescent="0.2">
      <c r="A593" s="3" t="s">
        <v>490</v>
      </c>
      <c r="B593" s="49">
        <v>35855</v>
      </c>
      <c r="D593" s="3">
        <v>71.881270000000001</v>
      </c>
      <c r="E593" s="3">
        <v>33.786070000000002</v>
      </c>
      <c r="F593" s="3">
        <v>71.977869999999996</v>
      </c>
      <c r="G593" s="3">
        <v>91.328770000000006</v>
      </c>
      <c r="H593" s="3">
        <v>57.205950000000001</v>
      </c>
      <c r="I593" s="3">
        <v>72.304950000000005</v>
      </c>
      <c r="J593" s="3">
        <v>39.352890000000002</v>
      </c>
      <c r="K593" s="3">
        <v>24.369509999999998</v>
      </c>
      <c r="L593" s="3">
        <v>67.5</v>
      </c>
      <c r="M593" s="3">
        <v>78.178749999999994</v>
      </c>
      <c r="N593" s="3">
        <v>71.885959999999997</v>
      </c>
      <c r="O593" s="3">
        <v>73.099999999999994</v>
      </c>
      <c r="P593" s="3">
        <v>66.921940000000006</v>
      </c>
      <c r="Q593" s="3">
        <v>55.064689999999999</v>
      </c>
      <c r="R593" s="3">
        <v>77.02</v>
      </c>
      <c r="S593" s="3">
        <v>75.613749999999996</v>
      </c>
      <c r="T593" s="3">
        <v>78.2</v>
      </c>
      <c r="U593" s="3">
        <v>53.962730000000001</v>
      </c>
      <c r="V593" s="3">
        <v>73.848939999999999</v>
      </c>
      <c r="W593" s="3">
        <v>70.8</v>
      </c>
      <c r="X593" s="3">
        <v>67.035030000000006</v>
      </c>
      <c r="Y593" s="3">
        <v>42.337510000000002</v>
      </c>
      <c r="Z593" s="3">
        <v>22.4939</v>
      </c>
      <c r="AA593" s="3">
        <v>31.508299999999998</v>
      </c>
      <c r="AB593" s="3">
        <v>97.981560000000002</v>
      </c>
      <c r="AC593" s="3">
        <v>52.954610000000002</v>
      </c>
      <c r="AD593" s="3">
        <v>69.045230000000004</v>
      </c>
      <c r="AE593" s="3">
        <v>71.79692</v>
      </c>
      <c r="AF593" s="3">
        <v>100</v>
      </c>
      <c r="AG593" s="3">
        <v>64.671999999999997</v>
      </c>
      <c r="AI593" s="3">
        <v>70.239440000000002</v>
      </c>
      <c r="AJ593" s="3">
        <v>52.126640000000002</v>
      </c>
      <c r="AK593" s="3">
        <v>39.934640000000002</v>
      </c>
      <c r="AL593" s="3">
        <v>71.7</v>
      </c>
      <c r="AM593" s="3">
        <v>71.400000000000006</v>
      </c>
      <c r="AN593" s="3">
        <v>65.431719999999999</v>
      </c>
      <c r="AO593" s="3">
        <v>60.220030000000001</v>
      </c>
      <c r="AP593" s="3">
        <v>59.219470000000001</v>
      </c>
      <c r="AQ593" s="3">
        <v>68.828270000000003</v>
      </c>
      <c r="AS593" s="3">
        <v>67.36318</v>
      </c>
      <c r="AT593" s="3">
        <v>48.140639999999998</v>
      </c>
      <c r="AU593" s="3">
        <v>53.626420000000003</v>
      </c>
      <c r="AV593" s="3">
        <v>82.110560000000007</v>
      </c>
      <c r="AW593" s="3">
        <v>4.752796</v>
      </c>
      <c r="AX593" s="3">
        <v>68.433909999999997</v>
      </c>
      <c r="AY593" s="3">
        <v>40.246769999999998</v>
      </c>
    </row>
    <row r="594" spans="1:51" x14ac:dyDescent="0.2">
      <c r="A594" s="3" t="s">
        <v>491</v>
      </c>
      <c r="B594" s="49">
        <v>35886</v>
      </c>
      <c r="D594" s="3">
        <v>72.198409999999996</v>
      </c>
      <c r="E594" s="3">
        <v>33.867049999999999</v>
      </c>
      <c r="F594" s="3">
        <v>71.898859999999999</v>
      </c>
      <c r="G594" s="3">
        <v>91.365939999999995</v>
      </c>
      <c r="H594" s="3">
        <v>57.431379999999997</v>
      </c>
      <c r="I594" s="3">
        <v>72.245469999999997</v>
      </c>
      <c r="J594" s="3">
        <v>40.498289999999997</v>
      </c>
      <c r="K594" s="3">
        <v>24.565429999999999</v>
      </c>
      <c r="L594" s="3">
        <v>67.7</v>
      </c>
      <c r="M594" s="3">
        <v>78.272040000000004</v>
      </c>
      <c r="N594" s="3">
        <v>72.059849999999997</v>
      </c>
      <c r="O594" s="3">
        <v>73.28</v>
      </c>
      <c r="P594" s="3">
        <v>67.087909999999994</v>
      </c>
      <c r="Q594" s="3">
        <v>55.321040000000004</v>
      </c>
      <c r="R594" s="3">
        <v>77.44</v>
      </c>
      <c r="S594" s="3">
        <v>75.959280000000007</v>
      </c>
      <c r="T594" s="3">
        <v>78.36</v>
      </c>
      <c r="U594" s="3">
        <v>54.248719999999999</v>
      </c>
      <c r="V594" s="3">
        <v>73.990210000000005</v>
      </c>
      <c r="W594" s="3">
        <v>71.2</v>
      </c>
      <c r="X594" s="3">
        <v>68.123500000000007</v>
      </c>
      <c r="Y594" s="3">
        <v>42.778440000000003</v>
      </c>
      <c r="Z594" s="3">
        <v>23.549859999999999</v>
      </c>
      <c r="AA594" s="3">
        <v>31.75705</v>
      </c>
      <c r="AB594" s="3">
        <v>98.878649999999993</v>
      </c>
      <c r="AC594" s="3">
        <v>52.912909999999997</v>
      </c>
      <c r="AD594" s="3">
        <v>69.949749999999995</v>
      </c>
      <c r="AE594" s="3">
        <v>71.863460000000003</v>
      </c>
      <c r="AF594" s="3">
        <v>100.2</v>
      </c>
      <c r="AG594" s="3">
        <v>64.891000000000005</v>
      </c>
      <c r="AI594" s="3">
        <v>70.088210000000004</v>
      </c>
      <c r="AJ594" s="3">
        <v>52.489269999999998</v>
      </c>
      <c r="AK594" s="3">
        <v>40.30827</v>
      </c>
      <c r="AL594" s="3">
        <v>71.88</v>
      </c>
      <c r="AM594" s="3">
        <v>71.400000000000006</v>
      </c>
      <c r="AN594" s="3">
        <v>65.698009999999996</v>
      </c>
      <c r="AO594" s="3">
        <v>60.572319999999998</v>
      </c>
      <c r="AP594" s="3">
        <v>59.641460000000002</v>
      </c>
      <c r="AQ594" s="3">
        <v>69.319890000000001</v>
      </c>
      <c r="AS594" s="3">
        <v>67.942899999999995</v>
      </c>
      <c r="AT594" s="3">
        <v>48.307639999999999</v>
      </c>
      <c r="AU594" s="3">
        <v>54.093730000000001</v>
      </c>
      <c r="AV594" s="3">
        <v>82.349909999999994</v>
      </c>
      <c r="AW594" s="3">
        <v>4.9744640000000002</v>
      </c>
      <c r="AX594" s="3">
        <v>68.560490000000001</v>
      </c>
      <c r="AY594" s="3">
        <v>40.430750000000003</v>
      </c>
    </row>
    <row r="595" spans="1:51" x14ac:dyDescent="0.2">
      <c r="A595" s="3" t="s">
        <v>492</v>
      </c>
      <c r="B595" s="49">
        <v>35916</v>
      </c>
      <c r="D595" s="3">
        <v>72.555189999999996</v>
      </c>
      <c r="E595" s="3">
        <v>34.03642</v>
      </c>
      <c r="F595" s="3">
        <v>72.135890000000003</v>
      </c>
      <c r="G595" s="3">
        <v>91.177220000000005</v>
      </c>
      <c r="H595" s="3">
        <v>57.536020000000001</v>
      </c>
      <c r="I595" s="3">
        <v>71.526600000000002</v>
      </c>
      <c r="J595" s="3">
        <v>41.129429999999999</v>
      </c>
      <c r="K595" s="3">
        <v>24.751290000000001</v>
      </c>
      <c r="L595" s="3">
        <v>67.7</v>
      </c>
      <c r="M595" s="3">
        <v>78.36533</v>
      </c>
      <c r="N595" s="3">
        <v>72.407629999999997</v>
      </c>
      <c r="O595" s="3">
        <v>73.430000000000007</v>
      </c>
      <c r="P595" s="3">
        <v>67.175510000000003</v>
      </c>
      <c r="Q595" s="3">
        <v>55.526119999999999</v>
      </c>
      <c r="R595" s="3">
        <v>77.81</v>
      </c>
      <c r="S595" s="3">
        <v>75.922520000000006</v>
      </c>
      <c r="T595" s="3">
        <v>78.38</v>
      </c>
      <c r="U595" s="3">
        <v>54.508380000000002</v>
      </c>
      <c r="V595" s="3">
        <v>74.142520000000005</v>
      </c>
      <c r="W595" s="3">
        <v>71.5</v>
      </c>
      <c r="X595" s="3">
        <v>68.376289999999997</v>
      </c>
      <c r="Y595" s="3">
        <v>43.269280000000002</v>
      </c>
      <c r="Z595" s="3">
        <v>24.78078</v>
      </c>
      <c r="AA595" s="3">
        <v>32.254550000000002</v>
      </c>
      <c r="AB595" s="3">
        <v>99.875399999999999</v>
      </c>
      <c r="AC595" s="3">
        <v>52.871220000000001</v>
      </c>
      <c r="AD595" s="3">
        <v>70.251260000000002</v>
      </c>
      <c r="AE595" s="3">
        <v>71.996539999999996</v>
      </c>
      <c r="AF595" s="3">
        <v>100.5</v>
      </c>
      <c r="AG595" s="3">
        <v>64.561999999999998</v>
      </c>
      <c r="AI595" s="3">
        <v>70.321929999999995</v>
      </c>
      <c r="AJ595" s="3">
        <v>52.51717</v>
      </c>
      <c r="AK595" s="3">
        <v>40.629350000000002</v>
      </c>
      <c r="AL595" s="3">
        <v>71.81</v>
      </c>
      <c r="AM595" s="3">
        <v>71.3</v>
      </c>
      <c r="AN595" s="3">
        <v>65.898390000000006</v>
      </c>
      <c r="AO595" s="3">
        <v>60.821950000000001</v>
      </c>
      <c r="AP595" s="3">
        <v>59.852460000000001</v>
      </c>
      <c r="AQ595" s="3">
        <v>69.751810000000006</v>
      </c>
      <c r="AS595" s="3">
        <v>67.653040000000004</v>
      </c>
      <c r="AT595" s="3">
        <v>48.599910000000001</v>
      </c>
      <c r="AU595" s="3">
        <v>54.561050000000002</v>
      </c>
      <c r="AV595" s="3">
        <v>82.49033</v>
      </c>
      <c r="AW595" s="3">
        <v>5.1486650000000003</v>
      </c>
      <c r="AX595" s="3">
        <v>68.687060000000002</v>
      </c>
      <c r="AY595" s="3">
        <v>40.614739999999998</v>
      </c>
    </row>
    <row r="596" spans="1:51" x14ac:dyDescent="0.2">
      <c r="A596" s="3" t="s">
        <v>493</v>
      </c>
      <c r="B596" s="49">
        <v>35947</v>
      </c>
      <c r="D596" s="3">
        <v>72.485820000000004</v>
      </c>
      <c r="E596" s="3">
        <v>34.043140000000001</v>
      </c>
      <c r="F596" s="3">
        <v>72.2149</v>
      </c>
      <c r="G596" s="3">
        <v>91.285740000000004</v>
      </c>
      <c r="H596" s="3">
        <v>57.732529999999997</v>
      </c>
      <c r="I596" s="3">
        <v>70.523139999999998</v>
      </c>
      <c r="J596" s="3">
        <v>41.632010000000001</v>
      </c>
      <c r="K596" s="3">
        <v>24.950220000000002</v>
      </c>
      <c r="L596" s="3">
        <v>68</v>
      </c>
      <c r="M596" s="3">
        <v>78.458629999999999</v>
      </c>
      <c r="N596" s="3">
        <v>72.372860000000003</v>
      </c>
      <c r="O596" s="3">
        <v>73.47</v>
      </c>
      <c r="P596" s="3">
        <v>67.219049999999996</v>
      </c>
      <c r="Q596" s="3">
        <v>55.628660000000004</v>
      </c>
      <c r="R596" s="3">
        <v>77.94</v>
      </c>
      <c r="S596" s="3">
        <v>76.076909999999998</v>
      </c>
      <c r="T596" s="3">
        <v>78.44</v>
      </c>
      <c r="U596" s="3">
        <v>54.665570000000002</v>
      </c>
      <c r="V596" s="3">
        <v>74.162059999999997</v>
      </c>
      <c r="W596" s="3">
        <v>71.400000000000006</v>
      </c>
      <c r="X596" s="3">
        <v>68.570589999999996</v>
      </c>
      <c r="Y596" s="3">
        <v>43.394069999999999</v>
      </c>
      <c r="Z596" s="3">
        <v>25.93047</v>
      </c>
      <c r="AA596" s="3">
        <v>33.083710000000004</v>
      </c>
      <c r="AB596" s="3">
        <v>99.875399999999999</v>
      </c>
      <c r="AC596" s="3">
        <v>53.246479999999998</v>
      </c>
      <c r="AD596" s="3">
        <v>70.552760000000006</v>
      </c>
      <c r="AE596" s="3">
        <v>72.063079999999999</v>
      </c>
      <c r="AF596" s="3">
        <v>100.1</v>
      </c>
      <c r="AG596" s="3">
        <v>64.287999999999997</v>
      </c>
      <c r="AI596" s="3">
        <v>70.287559999999999</v>
      </c>
      <c r="AJ596" s="3">
        <v>52.889099999999999</v>
      </c>
      <c r="AK596" s="3">
        <v>41.109569999999998</v>
      </c>
      <c r="AL596" s="3">
        <v>71.510000000000005</v>
      </c>
      <c r="AM596" s="3">
        <v>71.5</v>
      </c>
      <c r="AN596" s="3">
        <v>65.992819999999995</v>
      </c>
      <c r="AO596" s="3">
        <v>60.952129999999997</v>
      </c>
      <c r="AP596" s="3">
        <v>60.063450000000003</v>
      </c>
      <c r="AQ596" s="3">
        <v>69.841380000000001</v>
      </c>
      <c r="AS596" s="3">
        <v>67.653040000000004</v>
      </c>
      <c r="AT596" s="3">
        <v>48.641669999999998</v>
      </c>
      <c r="AU596" s="3">
        <v>54.561050000000002</v>
      </c>
      <c r="AV596" s="3">
        <v>82.317989999999995</v>
      </c>
      <c r="AW596" s="3">
        <v>5.2739760000000002</v>
      </c>
      <c r="AX596" s="3">
        <v>68.771439999999998</v>
      </c>
      <c r="AY596" s="3">
        <v>40.75273</v>
      </c>
    </row>
    <row r="597" spans="1:51" x14ac:dyDescent="0.2">
      <c r="A597" s="3" t="s">
        <v>494</v>
      </c>
      <c r="B597" s="49">
        <v>35977</v>
      </c>
      <c r="D597" s="3">
        <v>72.664209999999997</v>
      </c>
      <c r="E597" s="3">
        <v>34.002310000000001</v>
      </c>
      <c r="F597" s="3">
        <v>72.2149</v>
      </c>
      <c r="G597" s="3">
        <v>91.162999999999997</v>
      </c>
      <c r="H597" s="3">
        <v>57.979230000000001</v>
      </c>
      <c r="I597" s="3">
        <v>69.603710000000007</v>
      </c>
      <c r="J597" s="3">
        <v>41.8307</v>
      </c>
      <c r="K597" s="3">
        <v>25.374199999999998</v>
      </c>
      <c r="L597" s="3">
        <v>69.3</v>
      </c>
      <c r="M597" s="3">
        <v>78.738500000000002</v>
      </c>
      <c r="N597" s="3">
        <v>72.268519999999995</v>
      </c>
      <c r="O597" s="3">
        <v>73.47</v>
      </c>
      <c r="P597" s="3">
        <v>67.467190000000002</v>
      </c>
      <c r="Q597" s="3">
        <v>55.93629</v>
      </c>
      <c r="R597" s="3">
        <v>77.89</v>
      </c>
      <c r="S597" s="3">
        <v>75.885769999999994</v>
      </c>
      <c r="T597" s="3">
        <v>78.180000000000007</v>
      </c>
      <c r="U597" s="3">
        <v>54.918520000000001</v>
      </c>
      <c r="V597" s="3">
        <v>74.144739999999999</v>
      </c>
      <c r="W597" s="3">
        <v>71.2</v>
      </c>
      <c r="X597" s="3">
        <v>67.236289999999997</v>
      </c>
      <c r="Y597" s="3">
        <v>43.310879999999997</v>
      </c>
      <c r="Z597" s="3">
        <v>28.148610000000001</v>
      </c>
      <c r="AA597" s="3">
        <v>34.078710000000001</v>
      </c>
      <c r="AB597" s="3">
        <v>99.875399999999999</v>
      </c>
      <c r="AC597" s="3">
        <v>53.496659999999999</v>
      </c>
      <c r="AD597" s="3">
        <v>70.452259999999995</v>
      </c>
      <c r="AE597" s="3">
        <v>72.063079999999999</v>
      </c>
      <c r="AF597" s="3">
        <v>99.5</v>
      </c>
      <c r="AG597" s="3">
        <v>64.287999999999997</v>
      </c>
      <c r="AI597" s="3">
        <v>70.431920000000005</v>
      </c>
      <c r="AJ597" s="3">
        <v>52.470680000000002</v>
      </c>
      <c r="AK597" s="3">
        <v>41.505969999999998</v>
      </c>
      <c r="AL597" s="3">
        <v>71.650000000000006</v>
      </c>
      <c r="AM597" s="3">
        <v>71.5</v>
      </c>
      <c r="AN597" s="3">
        <v>66.074100000000001</v>
      </c>
      <c r="AO597" s="3">
        <v>61.090449999999997</v>
      </c>
      <c r="AP597" s="3">
        <v>59.852460000000001</v>
      </c>
      <c r="AQ597" s="3">
        <v>69.986670000000004</v>
      </c>
      <c r="AS597" s="3">
        <v>67.421149999999997</v>
      </c>
      <c r="AT597" s="3">
        <v>48.47466</v>
      </c>
      <c r="AU597" s="3">
        <v>54.561050000000002</v>
      </c>
      <c r="AV597" s="3">
        <v>82.136089999999996</v>
      </c>
      <c r="AW597" s="3">
        <v>5.4510249999999996</v>
      </c>
      <c r="AX597" s="3">
        <v>68.855819999999994</v>
      </c>
      <c r="AY597" s="3">
        <v>41.718649999999997</v>
      </c>
    </row>
    <row r="598" spans="1:51" x14ac:dyDescent="0.2">
      <c r="A598" s="3" t="s">
        <v>495</v>
      </c>
      <c r="B598" s="49">
        <v>36008</v>
      </c>
      <c r="D598" s="3">
        <v>72.386709999999994</v>
      </c>
      <c r="E598" s="3">
        <v>33.828989999999997</v>
      </c>
      <c r="F598" s="3">
        <v>72.2149</v>
      </c>
      <c r="G598" s="3">
        <v>91.422700000000006</v>
      </c>
      <c r="H598" s="3">
        <v>58.175739999999998</v>
      </c>
      <c r="I598" s="3">
        <v>70.086780000000005</v>
      </c>
      <c r="J598" s="3">
        <v>41.842390000000002</v>
      </c>
      <c r="K598" s="3">
        <v>25.886579999999999</v>
      </c>
      <c r="L598" s="3">
        <v>69.099999999999994</v>
      </c>
      <c r="M598" s="3">
        <v>78.551919999999996</v>
      </c>
      <c r="N598" s="3">
        <v>72.372860000000003</v>
      </c>
      <c r="O598" s="3">
        <v>73.489999999999995</v>
      </c>
      <c r="P598" s="3">
        <v>67.647840000000002</v>
      </c>
      <c r="Q598" s="3">
        <v>55.833750000000002</v>
      </c>
      <c r="R598" s="3">
        <v>77.8</v>
      </c>
      <c r="S598" s="3">
        <v>75.996039999999994</v>
      </c>
      <c r="T598" s="3">
        <v>78.23</v>
      </c>
      <c r="U598" s="3">
        <v>55.198340000000002</v>
      </c>
      <c r="V598" s="3">
        <v>74.185810000000004</v>
      </c>
      <c r="W598" s="3">
        <v>71.400000000000006</v>
      </c>
      <c r="X598" s="3">
        <v>67.245350000000002</v>
      </c>
      <c r="Y598" s="3">
        <v>43.152810000000002</v>
      </c>
      <c r="Z598" s="3">
        <v>29.92313</v>
      </c>
      <c r="AA598" s="3">
        <v>34.244540000000001</v>
      </c>
      <c r="AB598" s="3">
        <v>99.676060000000007</v>
      </c>
      <c r="AC598" s="3">
        <v>53.580060000000003</v>
      </c>
      <c r="AD598" s="3">
        <v>70.753770000000003</v>
      </c>
      <c r="AE598" s="3">
        <v>72.129620000000003</v>
      </c>
      <c r="AF598" s="3">
        <v>99.4</v>
      </c>
      <c r="AG598" s="3">
        <v>64.507000000000005</v>
      </c>
      <c r="AI598" s="3">
        <v>70.486919999999998</v>
      </c>
      <c r="AJ598" s="3">
        <v>52.219619999999999</v>
      </c>
      <c r="AK598" s="3">
        <v>41.904980000000002</v>
      </c>
      <c r="AL598" s="3">
        <v>71.66</v>
      </c>
      <c r="AM598" s="3">
        <v>71.3</v>
      </c>
      <c r="AN598" s="3">
        <v>66.202740000000006</v>
      </c>
      <c r="AO598" s="3">
        <v>61.258980000000001</v>
      </c>
      <c r="AP598" s="3">
        <v>59.500799999999998</v>
      </c>
      <c r="AQ598" s="3">
        <v>69.998609999999999</v>
      </c>
      <c r="AS598" s="3">
        <v>66.957369999999997</v>
      </c>
      <c r="AT598" s="3">
        <v>48.349400000000003</v>
      </c>
      <c r="AU598" s="3">
        <v>54.602040000000002</v>
      </c>
      <c r="AV598" s="3">
        <v>81.714830000000006</v>
      </c>
      <c r="AW598" s="3">
        <v>5.6665219999999996</v>
      </c>
      <c r="AX598" s="3">
        <v>68.940200000000004</v>
      </c>
      <c r="AY598" s="3">
        <v>42.178609999999999</v>
      </c>
    </row>
    <row r="599" spans="1:51" x14ac:dyDescent="0.2">
      <c r="A599" s="3" t="s">
        <v>496</v>
      </c>
      <c r="B599" s="49">
        <v>36039</v>
      </c>
      <c r="D599" s="3">
        <v>72.356979999999993</v>
      </c>
      <c r="E599" s="3">
        <v>33.754519999999999</v>
      </c>
      <c r="F599" s="3">
        <v>72.056880000000007</v>
      </c>
      <c r="G599" s="3">
        <v>91.34975</v>
      </c>
      <c r="H599" s="3">
        <v>58.479439999999997</v>
      </c>
      <c r="I599" s="3">
        <v>71.349270000000004</v>
      </c>
      <c r="J599" s="3">
        <v>41.959269999999997</v>
      </c>
      <c r="K599" s="3">
        <v>25.786110000000001</v>
      </c>
      <c r="L599" s="3">
        <v>69.2</v>
      </c>
      <c r="M599" s="3">
        <v>78.36533</v>
      </c>
      <c r="N599" s="3">
        <v>72.651079999999993</v>
      </c>
      <c r="O599" s="3">
        <v>73.47</v>
      </c>
      <c r="P599" s="3">
        <v>67.697909999999993</v>
      </c>
      <c r="Q599" s="3">
        <v>55.833750000000002</v>
      </c>
      <c r="R599" s="3">
        <v>77.84</v>
      </c>
      <c r="S599" s="3">
        <v>76.223950000000002</v>
      </c>
      <c r="T599" s="3">
        <v>78.2</v>
      </c>
      <c r="U599" s="3">
        <v>56.13205</v>
      </c>
      <c r="V599" s="3">
        <v>74.309299999999993</v>
      </c>
      <c r="W599" s="3">
        <v>71.7</v>
      </c>
      <c r="X599" s="3">
        <v>68.516959999999997</v>
      </c>
      <c r="Y599" s="3">
        <v>43.394069999999999</v>
      </c>
      <c r="Z599" s="3">
        <v>31.047830000000001</v>
      </c>
      <c r="AA599" s="3">
        <v>34.824959999999997</v>
      </c>
      <c r="AB599" s="3">
        <v>99.57638</v>
      </c>
      <c r="AC599" s="3">
        <v>53.746839999999999</v>
      </c>
      <c r="AD599" s="3">
        <v>71.758799999999994</v>
      </c>
      <c r="AE599" s="3">
        <v>72.129620000000003</v>
      </c>
      <c r="AF599" s="3">
        <v>100.2</v>
      </c>
      <c r="AG599" s="3">
        <v>64.781999999999996</v>
      </c>
      <c r="AI599" s="3">
        <v>70.425039999999996</v>
      </c>
      <c r="AJ599" s="3">
        <v>52.238219999999998</v>
      </c>
      <c r="AK599" s="3">
        <v>42.584629999999997</v>
      </c>
      <c r="AL599" s="3">
        <v>72.25</v>
      </c>
      <c r="AM599" s="3">
        <v>71.900000000000006</v>
      </c>
      <c r="AN599" s="3">
        <v>66.504589999999993</v>
      </c>
      <c r="AO599" s="3">
        <v>61.649700000000003</v>
      </c>
      <c r="AP599" s="3">
        <v>59.993119999999998</v>
      </c>
      <c r="AQ599" s="3">
        <v>69.915019999999998</v>
      </c>
      <c r="AS599" s="3">
        <v>67.305210000000002</v>
      </c>
      <c r="AT599" s="3">
        <v>48.558160000000001</v>
      </c>
      <c r="AU599" s="3">
        <v>54.651229999999998</v>
      </c>
      <c r="AV599" s="3">
        <v>82.043530000000004</v>
      </c>
      <c r="AW599" s="3">
        <v>6.0472010000000003</v>
      </c>
      <c r="AX599" s="3">
        <v>69.02458</v>
      </c>
      <c r="AY599" s="3">
        <v>42.914549999999998</v>
      </c>
    </row>
    <row r="600" spans="1:51" x14ac:dyDescent="0.2">
      <c r="A600" s="3" t="s">
        <v>497</v>
      </c>
      <c r="B600" s="49">
        <v>36069</v>
      </c>
      <c r="D600" s="3">
        <v>72.366889999999998</v>
      </c>
      <c r="E600" s="3">
        <v>33.761249999999997</v>
      </c>
      <c r="F600" s="3">
        <v>72.372919999999993</v>
      </c>
      <c r="G600" s="3">
        <v>91.331559999999996</v>
      </c>
      <c r="H600" s="3">
        <v>58.945619999999998</v>
      </c>
      <c r="I600" s="3">
        <v>71.205500000000001</v>
      </c>
      <c r="J600" s="3">
        <v>42.11121</v>
      </c>
      <c r="K600" s="3">
        <v>25.866489999999999</v>
      </c>
      <c r="L600" s="3">
        <v>69.099999999999994</v>
      </c>
      <c r="M600" s="3">
        <v>78.272040000000004</v>
      </c>
      <c r="N600" s="3">
        <v>72.685860000000005</v>
      </c>
      <c r="O600" s="3">
        <v>73.45</v>
      </c>
      <c r="P600" s="3">
        <v>67.703890000000001</v>
      </c>
      <c r="Q600" s="3">
        <v>55.93629</v>
      </c>
      <c r="R600" s="3">
        <v>78.05</v>
      </c>
      <c r="S600" s="3">
        <v>76.238650000000007</v>
      </c>
      <c r="T600" s="3">
        <v>78.16</v>
      </c>
      <c r="U600" s="3">
        <v>56.55592</v>
      </c>
      <c r="V600" s="3">
        <v>74.483350000000002</v>
      </c>
      <c r="W600" s="3">
        <v>71.7</v>
      </c>
      <c r="X600" s="3">
        <v>68.554569999999998</v>
      </c>
      <c r="Y600" s="3">
        <v>43.785089999999997</v>
      </c>
      <c r="Z600" s="3">
        <v>30.9666</v>
      </c>
      <c r="AA600" s="3">
        <v>35.902880000000003</v>
      </c>
      <c r="AB600" s="3">
        <v>100.17440000000001</v>
      </c>
      <c r="AC600" s="3">
        <v>53.746839999999999</v>
      </c>
      <c r="AD600" s="3">
        <v>73.969849999999994</v>
      </c>
      <c r="AE600" s="3">
        <v>72.262699999999995</v>
      </c>
      <c r="AF600" s="3">
        <v>100.9</v>
      </c>
      <c r="AG600" s="3">
        <v>65</v>
      </c>
      <c r="AI600" s="3">
        <v>70.480040000000002</v>
      </c>
      <c r="AJ600" s="3">
        <v>52.321899999999999</v>
      </c>
      <c r="AK600" s="3">
        <v>43.194859999999998</v>
      </c>
      <c r="AL600" s="3">
        <v>72.41</v>
      </c>
      <c r="AM600" s="3">
        <v>71.900000000000006</v>
      </c>
      <c r="AN600" s="3">
        <v>66.819239999999994</v>
      </c>
      <c r="AO600" s="3">
        <v>61.978090000000002</v>
      </c>
      <c r="AP600" s="3">
        <v>60.34478</v>
      </c>
      <c r="AQ600" s="3">
        <v>70.164810000000003</v>
      </c>
      <c r="AS600" s="3">
        <v>67.305210000000002</v>
      </c>
      <c r="AT600" s="3">
        <v>49.100940000000001</v>
      </c>
      <c r="AU600" s="3">
        <v>54.815199999999997</v>
      </c>
      <c r="AV600" s="3">
        <v>82.219059999999999</v>
      </c>
      <c r="AW600" s="3">
        <v>6.4131660000000004</v>
      </c>
      <c r="AX600" s="3">
        <v>69.193349999999995</v>
      </c>
      <c r="AY600" s="3">
        <v>43.09854</v>
      </c>
    </row>
    <row r="601" spans="1:51" x14ac:dyDescent="0.2">
      <c r="A601" s="3" t="s">
        <v>498</v>
      </c>
      <c r="B601" s="49">
        <v>36100</v>
      </c>
      <c r="D601" s="3">
        <v>72.356979999999993</v>
      </c>
      <c r="E601" s="3">
        <v>33.720649999999999</v>
      </c>
      <c r="F601" s="3">
        <v>72.372919999999993</v>
      </c>
      <c r="G601" s="3">
        <v>91.183369999999996</v>
      </c>
      <c r="H601" s="3">
        <v>59.00262</v>
      </c>
      <c r="I601" s="3">
        <v>70.716359999999995</v>
      </c>
      <c r="J601" s="3">
        <v>42.181339999999999</v>
      </c>
      <c r="K601" s="3">
        <v>26.207070000000002</v>
      </c>
      <c r="L601" s="3">
        <v>68.900000000000006</v>
      </c>
      <c r="M601" s="3">
        <v>78.272040000000004</v>
      </c>
      <c r="N601" s="3">
        <v>72.824969999999993</v>
      </c>
      <c r="O601" s="3">
        <v>73.45</v>
      </c>
      <c r="P601" s="3">
        <v>67.642939999999996</v>
      </c>
      <c r="Q601" s="3">
        <v>55.885019999999997</v>
      </c>
      <c r="R601" s="3">
        <v>78.260000000000005</v>
      </c>
      <c r="S601" s="3">
        <v>76.047499999999999</v>
      </c>
      <c r="T601" s="3">
        <v>78.11</v>
      </c>
      <c r="U601" s="3">
        <v>56.799149999999997</v>
      </c>
      <c r="V601" s="3">
        <v>74.482619999999997</v>
      </c>
      <c r="W601" s="3">
        <v>71.8</v>
      </c>
      <c r="X601" s="3">
        <v>68.500249999999994</v>
      </c>
      <c r="Y601" s="3">
        <v>43.901560000000003</v>
      </c>
      <c r="Z601" s="3">
        <v>30.991589999999999</v>
      </c>
      <c r="AA601" s="3">
        <v>36.317459999999997</v>
      </c>
      <c r="AB601" s="3">
        <v>100.0748</v>
      </c>
      <c r="AC601" s="3">
        <v>53.580060000000003</v>
      </c>
      <c r="AD601" s="3">
        <v>74.874369999999999</v>
      </c>
      <c r="AE601" s="3">
        <v>72.329239999999999</v>
      </c>
      <c r="AF601" s="3">
        <v>100.8</v>
      </c>
      <c r="AG601" s="3">
        <v>64.781999999999996</v>
      </c>
      <c r="AI601" s="3">
        <v>70.521289999999993</v>
      </c>
      <c r="AJ601" s="3">
        <v>52.545059999999999</v>
      </c>
      <c r="AK601" s="3">
        <v>43.959820000000001</v>
      </c>
      <c r="AL601" s="3">
        <v>72.41</v>
      </c>
      <c r="AM601" s="3">
        <v>72</v>
      </c>
      <c r="AN601" s="3">
        <v>66.963250000000002</v>
      </c>
      <c r="AO601" s="3">
        <v>62.223779999999998</v>
      </c>
      <c r="AP601" s="3">
        <v>60.626109999999997</v>
      </c>
      <c r="AQ601" s="3">
        <v>70.510140000000007</v>
      </c>
      <c r="AS601" s="3">
        <v>67.073319999999995</v>
      </c>
      <c r="AT601" s="3">
        <v>49.309699999999999</v>
      </c>
      <c r="AU601" s="3">
        <v>55.020159999999997</v>
      </c>
      <c r="AV601" s="3">
        <v>82.011619999999994</v>
      </c>
      <c r="AW601" s="3">
        <v>6.6884699999999997</v>
      </c>
      <c r="AX601" s="3">
        <v>69.193349999999995</v>
      </c>
      <c r="AY601" s="3">
        <v>43.09854</v>
      </c>
    </row>
    <row r="602" spans="1:51" x14ac:dyDescent="0.2">
      <c r="A602" s="3" t="s">
        <v>499</v>
      </c>
      <c r="B602" s="49">
        <v>36130</v>
      </c>
      <c r="D602" s="3">
        <v>72.297520000000006</v>
      </c>
      <c r="E602" s="3">
        <v>33.832009999999997</v>
      </c>
      <c r="F602" s="3">
        <v>72.135890000000003</v>
      </c>
      <c r="G602" s="3">
        <v>91.163889999999995</v>
      </c>
      <c r="H602" s="3">
        <v>59.302909999999997</v>
      </c>
      <c r="I602" s="3">
        <v>70.718959999999996</v>
      </c>
      <c r="J602" s="3">
        <v>42.567039999999999</v>
      </c>
      <c r="K602" s="3">
        <v>26.40399</v>
      </c>
      <c r="L602" s="3">
        <v>68.8</v>
      </c>
      <c r="M602" s="3">
        <v>78.36533</v>
      </c>
      <c r="N602" s="3">
        <v>72.72063</v>
      </c>
      <c r="O602" s="3">
        <v>73.489999999999995</v>
      </c>
      <c r="P602" s="3">
        <v>67.830129999999997</v>
      </c>
      <c r="Q602" s="3">
        <v>55.987560000000002</v>
      </c>
      <c r="R602" s="3">
        <v>78.239999999999995</v>
      </c>
      <c r="S602" s="3">
        <v>76.003389999999996</v>
      </c>
      <c r="T602" s="3">
        <v>78.19</v>
      </c>
      <c r="U602" s="3">
        <v>57.086010000000002</v>
      </c>
      <c r="V602" s="3">
        <v>74.443960000000004</v>
      </c>
      <c r="W602" s="3">
        <v>72</v>
      </c>
      <c r="X602" s="3">
        <v>68.835909999999998</v>
      </c>
      <c r="Y602" s="3">
        <v>44.018030000000003</v>
      </c>
      <c r="Z602" s="3">
        <v>31.42897</v>
      </c>
      <c r="AA602" s="3">
        <v>35.571210000000001</v>
      </c>
      <c r="AB602" s="3">
        <v>99.975080000000005</v>
      </c>
      <c r="AC602" s="3">
        <v>53.913629999999998</v>
      </c>
      <c r="AD602" s="3">
        <v>74.974879999999999</v>
      </c>
      <c r="AE602" s="3">
        <v>72.395780000000002</v>
      </c>
      <c r="AF602" s="3">
        <v>100.4</v>
      </c>
      <c r="AG602" s="3">
        <v>64.671999999999997</v>
      </c>
      <c r="AI602" s="3">
        <v>70.459419999999994</v>
      </c>
      <c r="AJ602" s="3">
        <v>52.647350000000003</v>
      </c>
      <c r="AK602" s="3">
        <v>45.032420000000002</v>
      </c>
      <c r="AL602" s="3">
        <v>72.209999999999994</v>
      </c>
      <c r="AM602" s="3">
        <v>72.099999999999994</v>
      </c>
      <c r="AN602" s="3">
        <v>67.096050000000005</v>
      </c>
      <c r="AO602" s="3">
        <v>62.477829999999997</v>
      </c>
      <c r="AP602" s="3">
        <v>60.8371</v>
      </c>
      <c r="AQ602" s="3">
        <v>70.758939999999996</v>
      </c>
      <c r="AS602" s="3">
        <v>66.725489999999994</v>
      </c>
      <c r="AT602" s="3">
        <v>49.434959999999997</v>
      </c>
      <c r="AU602" s="3">
        <v>55.389099999999999</v>
      </c>
      <c r="AV602" s="3">
        <v>81.880780000000001</v>
      </c>
      <c r="AW602" s="3">
        <v>6.908239</v>
      </c>
      <c r="AX602" s="3">
        <v>69.151160000000004</v>
      </c>
      <c r="AY602" s="3">
        <v>43.09854</v>
      </c>
    </row>
    <row r="603" spans="1:51" x14ac:dyDescent="0.2">
      <c r="A603" s="3" t="s">
        <v>500</v>
      </c>
      <c r="B603" s="49">
        <v>36161</v>
      </c>
      <c r="D603" s="3">
        <v>72.545280000000005</v>
      </c>
      <c r="E603" s="3">
        <v>34.068899999999999</v>
      </c>
      <c r="F603" s="3">
        <v>72.293909999999997</v>
      </c>
      <c r="G603" s="3">
        <v>91.350840000000005</v>
      </c>
      <c r="H603" s="3">
        <v>59.105550000000001</v>
      </c>
      <c r="I603" s="3">
        <v>71.078639999999993</v>
      </c>
      <c r="J603" s="3">
        <v>43.513750000000002</v>
      </c>
      <c r="K603" s="3">
        <v>26.879200000000001</v>
      </c>
      <c r="L603" s="3">
        <v>69.3</v>
      </c>
      <c r="M603" s="3">
        <v>78.272040000000004</v>
      </c>
      <c r="N603" s="3">
        <v>72.651079999999993</v>
      </c>
      <c r="O603" s="3">
        <v>73.44</v>
      </c>
      <c r="P603" s="3">
        <v>68.079350000000005</v>
      </c>
      <c r="Q603" s="3">
        <v>56.602809999999998</v>
      </c>
      <c r="R603" s="3">
        <v>78.599999999999994</v>
      </c>
      <c r="S603" s="3">
        <v>75.841650000000001</v>
      </c>
      <c r="T603" s="3">
        <v>77.97</v>
      </c>
      <c r="U603" s="3">
        <v>57.283659999999998</v>
      </c>
      <c r="V603" s="3">
        <v>74.462819999999994</v>
      </c>
      <c r="W603" s="3">
        <v>71.8</v>
      </c>
      <c r="X603" s="3">
        <v>68.140910000000005</v>
      </c>
      <c r="Y603" s="3">
        <v>45.124510000000001</v>
      </c>
      <c r="Z603" s="3">
        <v>32.359969999999997</v>
      </c>
      <c r="AA603" s="3">
        <v>34.824959999999997</v>
      </c>
      <c r="AB603" s="3">
        <v>99.57638</v>
      </c>
      <c r="AC603" s="3">
        <v>54.205509999999997</v>
      </c>
      <c r="AD603" s="3">
        <v>74.572860000000006</v>
      </c>
      <c r="AE603" s="3">
        <v>72.462320000000005</v>
      </c>
      <c r="AF603" s="3">
        <v>99.9</v>
      </c>
      <c r="AG603" s="3">
        <v>64.617000000000004</v>
      </c>
      <c r="AI603" s="3">
        <v>69.283940000000001</v>
      </c>
      <c r="AJ603" s="3">
        <v>53.270339999999997</v>
      </c>
      <c r="AK603" s="3">
        <v>46.169609999999999</v>
      </c>
      <c r="AL603" s="3">
        <v>72.25</v>
      </c>
      <c r="AM603" s="3">
        <v>72.400000000000006</v>
      </c>
      <c r="AN603" s="3">
        <v>67.281270000000006</v>
      </c>
      <c r="AO603" s="3">
        <v>62.659469999999999</v>
      </c>
      <c r="AP603" s="3">
        <v>61.751420000000003</v>
      </c>
      <c r="AQ603" s="3">
        <v>70.526060000000001</v>
      </c>
      <c r="AS603" s="3">
        <v>66.645409999999998</v>
      </c>
      <c r="AT603" s="3">
        <v>50.896299999999997</v>
      </c>
      <c r="AU603" s="3">
        <v>55.94659</v>
      </c>
      <c r="AV603" s="3">
        <v>81.912689999999998</v>
      </c>
      <c r="AW603" s="3">
        <v>7.2400279999999997</v>
      </c>
      <c r="AX603" s="3">
        <v>69.319919999999996</v>
      </c>
      <c r="AY603" s="3">
        <v>43.42051</v>
      </c>
    </row>
    <row r="604" spans="1:51" x14ac:dyDescent="0.2">
      <c r="A604" s="3" t="s">
        <v>501</v>
      </c>
      <c r="B604" s="49">
        <v>36192</v>
      </c>
      <c r="D604" s="3">
        <v>72.703850000000003</v>
      </c>
      <c r="E604" s="3">
        <v>34.426659999999998</v>
      </c>
      <c r="F604" s="3">
        <v>72.372919999999993</v>
      </c>
      <c r="G604" s="3">
        <v>91.659530000000004</v>
      </c>
      <c r="H604" s="3">
        <v>59.148090000000003</v>
      </c>
      <c r="I604" s="3">
        <v>71.359989999999996</v>
      </c>
      <c r="J604" s="3">
        <v>44.250079999999997</v>
      </c>
      <c r="K604" s="3">
        <v>27.074110000000001</v>
      </c>
      <c r="L604" s="3">
        <v>69.3</v>
      </c>
      <c r="M604" s="3">
        <v>78.36533</v>
      </c>
      <c r="N604" s="3">
        <v>73.207530000000006</v>
      </c>
      <c r="O604" s="3">
        <v>73.61</v>
      </c>
      <c r="P604" s="3">
        <v>68.119619999999998</v>
      </c>
      <c r="Q604" s="3">
        <v>56.756619999999998</v>
      </c>
      <c r="R604" s="3">
        <v>78.64</v>
      </c>
      <c r="S604" s="3">
        <v>76.025440000000003</v>
      </c>
      <c r="T604" s="3">
        <v>78.209999999999994</v>
      </c>
      <c r="U604" s="3">
        <v>57.455919999999999</v>
      </c>
      <c r="V604" s="3">
        <v>74.5154</v>
      </c>
      <c r="W604" s="3">
        <v>71.900000000000006</v>
      </c>
      <c r="X604" s="3">
        <v>67.811970000000002</v>
      </c>
      <c r="Y604" s="3">
        <v>45.723509999999997</v>
      </c>
      <c r="Z604" s="3">
        <v>32.772359999999999</v>
      </c>
      <c r="AA604" s="3">
        <v>34.410380000000004</v>
      </c>
      <c r="AB604" s="3">
        <v>99.676060000000007</v>
      </c>
      <c r="AC604" s="3">
        <v>54.664169999999999</v>
      </c>
      <c r="AD604" s="3">
        <v>74.070350000000005</v>
      </c>
      <c r="AE604" s="3">
        <v>72.595410000000001</v>
      </c>
      <c r="AF604" s="3">
        <v>99.5</v>
      </c>
      <c r="AG604" s="3">
        <v>64.891000000000005</v>
      </c>
      <c r="AI604" s="3">
        <v>70.562529999999995</v>
      </c>
      <c r="AJ604" s="3">
        <v>53.344720000000002</v>
      </c>
      <c r="AK604" s="3">
        <v>46.790080000000003</v>
      </c>
      <c r="AL604" s="3">
        <v>72.61</v>
      </c>
      <c r="AM604" s="3">
        <v>72.5</v>
      </c>
      <c r="AN604" s="3">
        <v>67.437830000000005</v>
      </c>
      <c r="AO604" s="3">
        <v>62.894820000000003</v>
      </c>
      <c r="AP604" s="3">
        <v>62.103079999999999</v>
      </c>
      <c r="AQ604" s="3">
        <v>70.548959999999994</v>
      </c>
      <c r="AS604" s="3">
        <v>66.512379999999993</v>
      </c>
      <c r="AT604" s="3">
        <v>51.355580000000003</v>
      </c>
      <c r="AU604" s="3">
        <v>56.159759999999999</v>
      </c>
      <c r="AV604" s="3">
        <v>81.906300000000002</v>
      </c>
      <c r="AW604" s="3">
        <v>7.4697649999999998</v>
      </c>
      <c r="AX604" s="3">
        <v>69.404300000000006</v>
      </c>
      <c r="AY604" s="3">
        <v>43.42051</v>
      </c>
    </row>
    <row r="605" spans="1:51" x14ac:dyDescent="0.2">
      <c r="A605" s="3" t="s">
        <v>502</v>
      </c>
      <c r="B605" s="49">
        <v>36220</v>
      </c>
      <c r="D605" s="3">
        <v>72.763310000000004</v>
      </c>
      <c r="E605" s="3">
        <v>34.805300000000003</v>
      </c>
      <c r="F605" s="3">
        <v>72.688959999999994</v>
      </c>
      <c r="G605" s="3">
        <v>91.755340000000004</v>
      </c>
      <c r="H605" s="3">
        <v>59.524090000000001</v>
      </c>
      <c r="I605" s="3">
        <v>71.003460000000004</v>
      </c>
      <c r="J605" s="3">
        <v>44.659149999999997</v>
      </c>
      <c r="K605" s="3">
        <v>26.97364</v>
      </c>
      <c r="L605" s="3">
        <v>69.3</v>
      </c>
      <c r="M605" s="3">
        <v>78.36533</v>
      </c>
      <c r="N605" s="3">
        <v>73.555310000000006</v>
      </c>
      <c r="O605" s="3">
        <v>73.849999999999994</v>
      </c>
      <c r="P605" s="3">
        <v>68.419989999999999</v>
      </c>
      <c r="Q605" s="3">
        <v>57.064239999999998</v>
      </c>
      <c r="R605" s="3">
        <v>78.959999999999994</v>
      </c>
      <c r="S605" s="3">
        <v>76.209239999999994</v>
      </c>
      <c r="T605" s="3">
        <v>78.47</v>
      </c>
      <c r="U605" s="3">
        <v>57.711069999999999</v>
      </c>
      <c r="V605" s="3">
        <v>74.71114</v>
      </c>
      <c r="W605" s="3">
        <v>72.3</v>
      </c>
      <c r="X605" s="3">
        <v>69.313980000000001</v>
      </c>
      <c r="Y605" s="3">
        <v>46.264270000000003</v>
      </c>
      <c r="Z605" s="3">
        <v>32.709879999999998</v>
      </c>
      <c r="AA605" s="3">
        <v>34.327460000000002</v>
      </c>
      <c r="AB605" s="3">
        <v>99.177670000000006</v>
      </c>
      <c r="AC605" s="3">
        <v>55.081130000000002</v>
      </c>
      <c r="AD605" s="3">
        <v>73.869349999999997</v>
      </c>
      <c r="AE605" s="3">
        <v>72.728489999999994</v>
      </c>
      <c r="AF605" s="3">
        <v>99.6</v>
      </c>
      <c r="AG605" s="3">
        <v>65</v>
      </c>
      <c r="AI605" s="3">
        <v>70.645020000000002</v>
      </c>
      <c r="AJ605" s="3">
        <v>53.344720000000002</v>
      </c>
      <c r="AK605" s="3">
        <v>47.224789999999999</v>
      </c>
      <c r="AL605" s="3">
        <v>73.239999999999995</v>
      </c>
      <c r="AM605" s="3">
        <v>73</v>
      </c>
      <c r="AN605" s="3">
        <v>67.716650000000001</v>
      </c>
      <c r="AO605" s="3">
        <v>63.256100000000004</v>
      </c>
      <c r="AP605" s="3">
        <v>62.736060000000002</v>
      </c>
      <c r="AQ605" s="3">
        <v>70.850489999999994</v>
      </c>
      <c r="AS605" s="3">
        <v>66.445880000000002</v>
      </c>
      <c r="AT605" s="3">
        <v>51.480829999999997</v>
      </c>
      <c r="AU605" s="3">
        <v>56.340119999999999</v>
      </c>
      <c r="AV605" s="3">
        <v>82.215869999999995</v>
      </c>
      <c r="AW605" s="3">
        <v>7.7725999999999997</v>
      </c>
      <c r="AX605" s="3">
        <v>69.615260000000006</v>
      </c>
      <c r="AY605" s="3">
        <v>43.42051</v>
      </c>
    </row>
    <row r="606" spans="1:51" x14ac:dyDescent="0.2">
      <c r="A606" s="3" t="s">
        <v>503</v>
      </c>
      <c r="B606" s="49">
        <v>36251</v>
      </c>
      <c r="D606" s="3">
        <v>73.040809999999993</v>
      </c>
      <c r="E606" s="3">
        <v>35.000190000000003</v>
      </c>
      <c r="F606" s="3">
        <v>73.084010000000006</v>
      </c>
      <c r="G606" s="3">
        <v>91.908389999999997</v>
      </c>
      <c r="H606" s="3">
        <v>59.74783</v>
      </c>
      <c r="I606" s="3">
        <v>70.65607</v>
      </c>
      <c r="J606" s="3">
        <v>45.009790000000002</v>
      </c>
      <c r="K606" s="3">
        <v>27.006799999999998</v>
      </c>
      <c r="L606" s="3">
        <v>69.400000000000006</v>
      </c>
      <c r="M606" s="3">
        <v>78.738500000000002</v>
      </c>
      <c r="N606" s="3">
        <v>73.76397</v>
      </c>
      <c r="O606" s="3">
        <v>74.11</v>
      </c>
      <c r="P606" s="3">
        <v>68.673019999999994</v>
      </c>
      <c r="Q606" s="3">
        <v>57.166780000000003</v>
      </c>
      <c r="R606" s="3">
        <v>79.41</v>
      </c>
      <c r="S606" s="3">
        <v>76.767979999999994</v>
      </c>
      <c r="T606" s="3">
        <v>78.69</v>
      </c>
      <c r="U606" s="3">
        <v>58.074660000000002</v>
      </c>
      <c r="V606" s="3">
        <v>75.145430000000005</v>
      </c>
      <c r="W606" s="3">
        <v>72.599999999999994</v>
      </c>
      <c r="X606" s="3">
        <v>70.035020000000003</v>
      </c>
      <c r="Y606" s="3">
        <v>46.796709999999997</v>
      </c>
      <c r="Z606" s="3">
        <v>32.49118</v>
      </c>
      <c r="AA606" s="3">
        <v>34.410380000000004</v>
      </c>
      <c r="AB606" s="3">
        <v>99.975080000000005</v>
      </c>
      <c r="AC606" s="3">
        <v>54.830950000000001</v>
      </c>
      <c r="AD606" s="3">
        <v>74.070350000000005</v>
      </c>
      <c r="AE606" s="3">
        <v>72.928100000000001</v>
      </c>
      <c r="AF606" s="3">
        <v>100.1</v>
      </c>
      <c r="AG606" s="3">
        <v>65.164000000000001</v>
      </c>
      <c r="AI606" s="3">
        <v>70.981849999999994</v>
      </c>
      <c r="AJ606" s="3">
        <v>53.270339999999997</v>
      </c>
      <c r="AK606" s="3">
        <v>47.658180000000002</v>
      </c>
      <c r="AL606" s="3">
        <v>73.400000000000006</v>
      </c>
      <c r="AM606" s="3">
        <v>73.2</v>
      </c>
      <c r="AN606" s="3">
        <v>68.165940000000006</v>
      </c>
      <c r="AO606" s="3">
        <v>63.675960000000003</v>
      </c>
      <c r="AP606" s="3">
        <v>63.228389999999997</v>
      </c>
      <c r="AQ606" s="3">
        <v>71.301320000000004</v>
      </c>
      <c r="AS606" s="3">
        <v>66.379360000000005</v>
      </c>
      <c r="AT606" s="3">
        <v>51.731349999999999</v>
      </c>
      <c r="AU606" s="3">
        <v>56.553280000000001</v>
      </c>
      <c r="AV606" s="3">
        <v>82.397769999999994</v>
      </c>
      <c r="AW606" s="3">
        <v>8.1509060000000009</v>
      </c>
      <c r="AX606" s="3">
        <v>70.121549999999999</v>
      </c>
      <c r="AY606" s="3">
        <v>43.512500000000003</v>
      </c>
    </row>
    <row r="607" spans="1:51" x14ac:dyDescent="0.2">
      <c r="A607" s="3" t="s">
        <v>504</v>
      </c>
      <c r="B607" s="49">
        <v>36281</v>
      </c>
      <c r="D607" s="3">
        <v>73.169650000000004</v>
      </c>
      <c r="E607" s="3">
        <v>35.105289999999997</v>
      </c>
      <c r="F607" s="3">
        <v>73.24203</v>
      </c>
      <c r="G607" s="3">
        <v>91.702169999999995</v>
      </c>
      <c r="H607" s="3">
        <v>59.818440000000002</v>
      </c>
      <c r="I607" s="3">
        <v>69.953010000000006</v>
      </c>
      <c r="J607" s="3">
        <v>45.231859999999998</v>
      </c>
      <c r="K607" s="3">
        <v>27.225819999999999</v>
      </c>
      <c r="L607" s="3">
        <v>69.400000000000006</v>
      </c>
      <c r="M607" s="3">
        <v>78.738500000000002</v>
      </c>
      <c r="N607" s="3">
        <v>73.903080000000003</v>
      </c>
      <c r="O607" s="3">
        <v>74.16</v>
      </c>
      <c r="P607" s="3">
        <v>68.670850000000002</v>
      </c>
      <c r="Q607" s="3">
        <v>57.371859999999998</v>
      </c>
      <c r="R607" s="3">
        <v>79.540000000000006</v>
      </c>
      <c r="S607" s="3">
        <v>76.959130000000002</v>
      </c>
      <c r="T607" s="3">
        <v>78.7</v>
      </c>
      <c r="U607" s="3">
        <v>58.203339999999997</v>
      </c>
      <c r="V607" s="3">
        <v>75.1768</v>
      </c>
      <c r="W607" s="3">
        <v>72.8</v>
      </c>
      <c r="X607" s="3">
        <v>69.998580000000004</v>
      </c>
      <c r="Y607" s="3">
        <v>47.104529999999997</v>
      </c>
      <c r="Z607" s="3">
        <v>32.397460000000002</v>
      </c>
      <c r="AA607" s="3">
        <v>34.742040000000003</v>
      </c>
      <c r="AB607" s="3">
        <v>100.3738</v>
      </c>
      <c r="AC607" s="3">
        <v>54.830950000000001</v>
      </c>
      <c r="AD607" s="3">
        <v>74.472359999999995</v>
      </c>
      <c r="AE607" s="3">
        <v>73.061179999999993</v>
      </c>
      <c r="AF607" s="3">
        <v>100.1</v>
      </c>
      <c r="AG607" s="3">
        <v>65.055000000000007</v>
      </c>
      <c r="AI607" s="3">
        <v>71.181200000000004</v>
      </c>
      <c r="AJ607" s="3">
        <v>53.502800000000001</v>
      </c>
      <c r="AK607" s="3">
        <v>47.944879999999998</v>
      </c>
      <c r="AL607" s="3">
        <v>73.42</v>
      </c>
      <c r="AM607" s="3">
        <v>73.099999999999994</v>
      </c>
      <c r="AN607" s="3">
        <v>68.267520000000005</v>
      </c>
      <c r="AO607" s="3">
        <v>63.865830000000003</v>
      </c>
      <c r="AP607" s="3">
        <v>63.650379999999998</v>
      </c>
      <c r="AQ607" s="3">
        <v>71.385909999999996</v>
      </c>
      <c r="AS607" s="3">
        <v>66.711920000000006</v>
      </c>
      <c r="AT607" s="3">
        <v>51.856610000000003</v>
      </c>
      <c r="AU607" s="3">
        <v>56.897620000000003</v>
      </c>
      <c r="AV607" s="3">
        <v>82.554150000000007</v>
      </c>
      <c r="AW607" s="3">
        <v>8.3906109999999998</v>
      </c>
      <c r="AX607" s="3">
        <v>70.121549999999999</v>
      </c>
      <c r="AY607" s="3">
        <v>43.46651</v>
      </c>
    </row>
    <row r="608" spans="1:51" x14ac:dyDescent="0.2">
      <c r="A608" s="3" t="s">
        <v>505</v>
      </c>
      <c r="B608" s="49">
        <v>36312</v>
      </c>
      <c r="D608" s="3">
        <v>73.030900000000003</v>
      </c>
      <c r="E608" s="3">
        <v>35.171880000000002</v>
      </c>
      <c r="F608" s="3">
        <v>73.400049999999993</v>
      </c>
      <c r="G608" s="3">
        <v>91.809809999999999</v>
      </c>
      <c r="H608" s="3">
        <v>59.901809999999998</v>
      </c>
      <c r="I608" s="3">
        <v>69.042159999999996</v>
      </c>
      <c r="J608" s="3">
        <v>45.360419999999998</v>
      </c>
      <c r="K608" s="3">
        <v>27.604579999999999</v>
      </c>
      <c r="L608" s="3">
        <v>69.400000000000006</v>
      </c>
      <c r="M608" s="3">
        <v>78.831789999999998</v>
      </c>
      <c r="N608" s="3">
        <v>74.111750000000001</v>
      </c>
      <c r="O608" s="3">
        <v>74.16</v>
      </c>
      <c r="P608" s="3">
        <v>68.685540000000003</v>
      </c>
      <c r="Q608" s="3">
        <v>57.371859999999998</v>
      </c>
      <c r="R608" s="3">
        <v>79.5</v>
      </c>
      <c r="S608" s="3">
        <v>76.915019999999998</v>
      </c>
      <c r="T608" s="3">
        <v>78.69</v>
      </c>
      <c r="U608" s="3">
        <v>58.246389999999998</v>
      </c>
      <c r="V608" s="3">
        <v>75.154740000000004</v>
      </c>
      <c r="W608" s="3">
        <v>72.7</v>
      </c>
      <c r="X608" s="3">
        <v>70.001040000000003</v>
      </c>
      <c r="Y608" s="3">
        <v>47.337479999999999</v>
      </c>
      <c r="Z608" s="3">
        <v>32.291240000000002</v>
      </c>
      <c r="AA608" s="3">
        <v>34.824959999999997</v>
      </c>
      <c r="AB608" s="3">
        <v>100.3738</v>
      </c>
      <c r="AC608" s="3">
        <v>55.039439999999999</v>
      </c>
      <c r="AD608" s="3">
        <v>74.673370000000006</v>
      </c>
      <c r="AE608" s="3">
        <v>73.061179999999993</v>
      </c>
      <c r="AF608" s="3">
        <v>99.8</v>
      </c>
      <c r="AG608" s="3">
        <v>64.671999999999997</v>
      </c>
      <c r="AI608" s="3">
        <v>71.146829999999994</v>
      </c>
      <c r="AJ608" s="3">
        <v>53.893329999999999</v>
      </c>
      <c r="AK608" s="3">
        <v>48.259900000000002</v>
      </c>
      <c r="AL608" s="3">
        <v>73.14</v>
      </c>
      <c r="AM608" s="3">
        <v>73.2</v>
      </c>
      <c r="AN608" s="3">
        <v>68.322909999999993</v>
      </c>
      <c r="AO608" s="3">
        <v>64.008269999999996</v>
      </c>
      <c r="AP608" s="3">
        <v>63.791040000000002</v>
      </c>
      <c r="AQ608" s="3">
        <v>71.495379999999997</v>
      </c>
      <c r="AS608" s="3">
        <v>66.578900000000004</v>
      </c>
      <c r="AT608" s="3">
        <v>52.107120000000002</v>
      </c>
      <c r="AU608" s="3">
        <v>56.897620000000003</v>
      </c>
      <c r="AV608" s="3">
        <v>82.675420000000003</v>
      </c>
      <c r="AW608" s="3">
        <v>8.6635410000000004</v>
      </c>
      <c r="AX608" s="3">
        <v>70.121549999999999</v>
      </c>
      <c r="AY608" s="3">
        <v>43.696489999999997</v>
      </c>
    </row>
    <row r="609" spans="1:51" x14ac:dyDescent="0.2">
      <c r="A609" s="3" t="s">
        <v>506</v>
      </c>
      <c r="B609" s="49">
        <v>36342</v>
      </c>
      <c r="D609" s="3">
        <v>73.139920000000004</v>
      </c>
      <c r="E609" s="3">
        <v>35.555160000000001</v>
      </c>
      <c r="F609" s="3">
        <v>73.558070000000001</v>
      </c>
      <c r="G609" s="3">
        <v>91.833060000000003</v>
      </c>
      <c r="H609" s="3">
        <v>59.943489999999997</v>
      </c>
      <c r="I609" s="3">
        <v>68.629260000000002</v>
      </c>
      <c r="J609" s="3">
        <v>45.500680000000003</v>
      </c>
      <c r="K609" s="3">
        <v>27.673909999999999</v>
      </c>
      <c r="L609" s="3">
        <v>70</v>
      </c>
      <c r="M609" s="3">
        <v>79.20496</v>
      </c>
      <c r="N609" s="3">
        <v>73.972639999999998</v>
      </c>
      <c r="O609" s="3">
        <v>74.260000000000005</v>
      </c>
      <c r="P609" s="3">
        <v>68.983189999999993</v>
      </c>
      <c r="Q609" s="3">
        <v>57.371859999999998</v>
      </c>
      <c r="R609" s="3">
        <v>79.58</v>
      </c>
      <c r="S609" s="3">
        <v>76.782679999999999</v>
      </c>
      <c r="T609" s="3">
        <v>78.48</v>
      </c>
      <c r="U609" s="3">
        <v>58.416179999999997</v>
      </c>
      <c r="V609" s="3">
        <v>75.255399999999995</v>
      </c>
      <c r="W609" s="3">
        <v>72.400000000000006</v>
      </c>
      <c r="X609" s="3">
        <v>68.638750000000002</v>
      </c>
      <c r="Y609" s="3">
        <v>47.670250000000003</v>
      </c>
      <c r="Z609" s="3">
        <v>31.947579999999999</v>
      </c>
      <c r="AA609" s="3">
        <v>35.15663</v>
      </c>
      <c r="AB609" s="3">
        <v>100.2741</v>
      </c>
      <c r="AC609" s="3">
        <v>55.456400000000002</v>
      </c>
      <c r="AD609" s="3">
        <v>74.874369999999999</v>
      </c>
      <c r="AE609" s="3">
        <v>73.260800000000003</v>
      </c>
      <c r="AF609" s="3">
        <v>99.4</v>
      </c>
      <c r="AG609" s="3">
        <v>64.451999999999998</v>
      </c>
      <c r="AI609" s="3">
        <v>70.260059999999996</v>
      </c>
      <c r="AJ609" s="3">
        <v>53.391219999999997</v>
      </c>
      <c r="AK609" s="3">
        <v>48.578850000000003</v>
      </c>
      <c r="AL609" s="3">
        <v>73.06</v>
      </c>
      <c r="AM609" s="3">
        <v>73</v>
      </c>
      <c r="AN609" s="3">
        <v>68.48827</v>
      </c>
      <c r="AO609" s="3">
        <v>64.203460000000007</v>
      </c>
      <c r="AP609" s="3">
        <v>63.58005</v>
      </c>
      <c r="AQ609" s="3">
        <v>71.47945</v>
      </c>
      <c r="AS609" s="3">
        <v>66.578900000000004</v>
      </c>
      <c r="AT609" s="3">
        <v>55.071550000000002</v>
      </c>
      <c r="AU609" s="3">
        <v>57.82405</v>
      </c>
      <c r="AV609" s="3">
        <v>82.314800000000005</v>
      </c>
      <c r="AW609" s="3">
        <v>8.9943810000000006</v>
      </c>
      <c r="AX609" s="3">
        <v>70.332499999999996</v>
      </c>
      <c r="AY609" s="3">
        <v>43.742489999999997</v>
      </c>
    </row>
    <row r="610" spans="1:51" x14ac:dyDescent="0.2">
      <c r="A610" s="3" t="s">
        <v>507</v>
      </c>
      <c r="B610" s="49">
        <v>36373</v>
      </c>
      <c r="D610" s="3">
        <v>73.050719999999998</v>
      </c>
      <c r="E610" s="3">
        <v>35.75423</v>
      </c>
      <c r="F610" s="3">
        <v>73.716089999999994</v>
      </c>
      <c r="G610" s="3">
        <v>92.287450000000007</v>
      </c>
      <c r="H610" s="3">
        <v>60.061729999999997</v>
      </c>
      <c r="I610" s="3">
        <v>69.175640000000001</v>
      </c>
      <c r="J610" s="3">
        <v>45.722740000000002</v>
      </c>
      <c r="K610" s="3">
        <v>27.837669999999999</v>
      </c>
      <c r="L610" s="3">
        <v>70.099999999999994</v>
      </c>
      <c r="M610" s="3">
        <v>79.111670000000004</v>
      </c>
      <c r="N610" s="3">
        <v>74.355189999999993</v>
      </c>
      <c r="O610" s="3">
        <v>74.349999999999994</v>
      </c>
      <c r="P610" s="3">
        <v>69.277029999999996</v>
      </c>
      <c r="Q610" s="3">
        <v>57.269329999999997</v>
      </c>
      <c r="R610" s="3">
        <v>79.47</v>
      </c>
      <c r="S610" s="3">
        <v>76.834149999999994</v>
      </c>
      <c r="T610" s="3">
        <v>78.61</v>
      </c>
      <c r="U610" s="3">
        <v>58.640479999999997</v>
      </c>
      <c r="V610" s="3">
        <v>75.403899999999993</v>
      </c>
      <c r="W610" s="3">
        <v>72.599999999999994</v>
      </c>
      <c r="X610" s="3">
        <v>68.576679999999996</v>
      </c>
      <c r="Y610" s="3">
        <v>47.84496</v>
      </c>
      <c r="Z610" s="3">
        <v>31.65391</v>
      </c>
      <c r="AA610" s="3">
        <v>35.32246</v>
      </c>
      <c r="AB610" s="3">
        <v>100.3738</v>
      </c>
      <c r="AC610" s="3">
        <v>55.581490000000002</v>
      </c>
      <c r="AD610" s="3">
        <v>75.276380000000003</v>
      </c>
      <c r="AE610" s="3">
        <v>73.327349999999996</v>
      </c>
      <c r="AF610" s="3">
        <v>99.7</v>
      </c>
      <c r="AG610" s="3">
        <v>65.111000000000004</v>
      </c>
      <c r="AI610" s="3">
        <v>71.40804</v>
      </c>
      <c r="AJ610" s="3">
        <v>53.30753</v>
      </c>
      <c r="AK610" s="3">
        <v>48.85228</v>
      </c>
      <c r="AL610" s="3">
        <v>73.459999999999994</v>
      </c>
      <c r="AM610" s="3">
        <v>72.7</v>
      </c>
      <c r="AN610" s="3">
        <v>68.727360000000004</v>
      </c>
      <c r="AO610" s="3">
        <v>64.481350000000006</v>
      </c>
      <c r="AP610" s="3">
        <v>63.931710000000002</v>
      </c>
      <c r="AQ610" s="3">
        <v>71.367999999999995</v>
      </c>
      <c r="AS610" s="3">
        <v>66.445880000000002</v>
      </c>
      <c r="AT610" s="3">
        <v>55.363819999999997</v>
      </c>
      <c r="AU610" s="3">
        <v>58.340560000000004</v>
      </c>
      <c r="AV610" s="3">
        <v>82.314800000000005</v>
      </c>
      <c r="AW610" s="3">
        <v>9.3726870000000009</v>
      </c>
      <c r="AX610" s="3">
        <v>70.501270000000005</v>
      </c>
      <c r="AY610" s="3">
        <v>43.558500000000002</v>
      </c>
    </row>
    <row r="611" spans="1:51" x14ac:dyDescent="0.2">
      <c r="A611" s="3" t="s">
        <v>508</v>
      </c>
      <c r="B611" s="49">
        <v>36404</v>
      </c>
      <c r="D611" s="3">
        <v>73.209289999999996</v>
      </c>
      <c r="E611" s="3">
        <v>35.865139999999997</v>
      </c>
      <c r="F611" s="3">
        <v>73.953119999999998</v>
      </c>
      <c r="G611" s="3">
        <v>92.461879999999994</v>
      </c>
      <c r="H611" s="3">
        <v>60.197850000000003</v>
      </c>
      <c r="I611" s="3">
        <v>70.778469999999999</v>
      </c>
      <c r="J611" s="3">
        <v>45.874690000000001</v>
      </c>
      <c r="K611" s="3">
        <v>28.020520000000001</v>
      </c>
      <c r="L611" s="3">
        <v>70</v>
      </c>
      <c r="M611" s="3">
        <v>78.925089999999997</v>
      </c>
      <c r="N611" s="3">
        <v>74.702969999999993</v>
      </c>
      <c r="O611" s="3">
        <v>74.430000000000007</v>
      </c>
      <c r="P611" s="3">
        <v>69.410349999999994</v>
      </c>
      <c r="Q611" s="3">
        <v>57.371859999999998</v>
      </c>
      <c r="R611" s="3">
        <v>79.56</v>
      </c>
      <c r="S611" s="3">
        <v>77.091459999999998</v>
      </c>
      <c r="T611" s="3">
        <v>78.739999999999995</v>
      </c>
      <c r="U611" s="3">
        <v>59.022350000000003</v>
      </c>
      <c r="V611" s="3">
        <v>75.645560000000003</v>
      </c>
      <c r="W611" s="3">
        <v>72.8</v>
      </c>
      <c r="X611" s="3">
        <v>69.903220000000005</v>
      </c>
      <c r="Y611" s="3">
        <v>48.10286</v>
      </c>
      <c r="Z611" s="3">
        <v>31.435220000000001</v>
      </c>
      <c r="AA611" s="3">
        <v>35.571210000000001</v>
      </c>
      <c r="AB611" s="3">
        <v>100.2741</v>
      </c>
      <c r="AC611" s="3">
        <v>55.831670000000003</v>
      </c>
      <c r="AD611" s="3">
        <v>75.47739</v>
      </c>
      <c r="AE611" s="3">
        <v>73.460430000000002</v>
      </c>
      <c r="AF611" s="3">
        <v>100</v>
      </c>
      <c r="AG611" s="3">
        <v>65.275000000000006</v>
      </c>
      <c r="AI611" s="3">
        <v>71.586770000000001</v>
      </c>
      <c r="AJ611" s="3">
        <v>53.465600000000002</v>
      </c>
      <c r="AK611" s="3">
        <v>49.32432</v>
      </c>
      <c r="AL611" s="3">
        <v>73.8</v>
      </c>
      <c r="AM611" s="3">
        <v>73.400000000000006</v>
      </c>
      <c r="AN611" s="3">
        <v>69.085210000000004</v>
      </c>
      <c r="AO611" s="3">
        <v>64.891959999999997</v>
      </c>
      <c r="AP611" s="3">
        <v>64.846019999999996</v>
      </c>
      <c r="AQ611" s="3">
        <v>71.352069999999998</v>
      </c>
      <c r="AS611" s="3">
        <v>66.379360000000005</v>
      </c>
      <c r="AT611" s="3">
        <v>55.697839999999999</v>
      </c>
      <c r="AU611" s="3">
        <v>58.775080000000003</v>
      </c>
      <c r="AV611" s="3">
        <v>82.898820000000001</v>
      </c>
      <c r="AW611" s="3">
        <v>9.9337389999999992</v>
      </c>
      <c r="AX611" s="3">
        <v>70.838800000000006</v>
      </c>
      <c r="AY611" s="3">
        <v>43.742489999999997</v>
      </c>
    </row>
    <row r="612" spans="1:51" x14ac:dyDescent="0.2">
      <c r="A612" s="3" t="s">
        <v>509</v>
      </c>
      <c r="B612" s="49">
        <v>36434</v>
      </c>
      <c r="D612" s="3">
        <v>73.308400000000006</v>
      </c>
      <c r="E612" s="3">
        <v>36.292029999999997</v>
      </c>
      <c r="F612" s="3">
        <v>74.032129999999995</v>
      </c>
      <c r="G612" s="3">
        <v>92.460880000000003</v>
      </c>
      <c r="H612" s="3">
        <v>60.411369999999998</v>
      </c>
      <c r="I612" s="3">
        <v>70.778270000000006</v>
      </c>
      <c r="J612" s="3">
        <v>46.038310000000003</v>
      </c>
      <c r="K612" s="3">
        <v>28.43244</v>
      </c>
      <c r="L612" s="3">
        <v>70.099999999999994</v>
      </c>
      <c r="M612" s="3">
        <v>78.831789999999998</v>
      </c>
      <c r="N612" s="3">
        <v>74.842089999999999</v>
      </c>
      <c r="O612" s="3">
        <v>74.47</v>
      </c>
      <c r="P612" s="3">
        <v>69.384230000000002</v>
      </c>
      <c r="Q612" s="3">
        <v>57.525680000000001</v>
      </c>
      <c r="R612" s="3">
        <v>79.88</v>
      </c>
      <c r="S612" s="3">
        <v>77.253200000000007</v>
      </c>
      <c r="T612" s="3">
        <v>78.790000000000006</v>
      </c>
      <c r="U612" s="3">
        <v>59.318269999999998</v>
      </c>
      <c r="V612" s="3">
        <v>75.752309999999994</v>
      </c>
      <c r="W612" s="3">
        <v>72.8</v>
      </c>
      <c r="X612" s="3">
        <v>70.096860000000007</v>
      </c>
      <c r="Y612" s="3">
        <v>48.385719999999999</v>
      </c>
      <c r="Z612" s="3">
        <v>31.453970000000002</v>
      </c>
      <c r="AA612" s="3">
        <v>36.234540000000003</v>
      </c>
      <c r="AB612" s="3">
        <v>100.3738</v>
      </c>
      <c r="AC612" s="3">
        <v>55.873370000000001</v>
      </c>
      <c r="AD612" s="3">
        <v>75.979900000000001</v>
      </c>
      <c r="AE612" s="3">
        <v>73.726590000000002</v>
      </c>
      <c r="AF612" s="3">
        <v>100.2</v>
      </c>
      <c r="AG612" s="3">
        <v>65.768000000000001</v>
      </c>
      <c r="AI612" s="3">
        <v>71.792990000000003</v>
      </c>
      <c r="AJ612" s="3">
        <v>53.818939999999998</v>
      </c>
      <c r="AK612" s="3">
        <v>49.636719999999997</v>
      </c>
      <c r="AL612" s="3">
        <v>73.86</v>
      </c>
      <c r="AM612" s="3">
        <v>73.7</v>
      </c>
      <c r="AN612" s="3">
        <v>69.34948</v>
      </c>
      <c r="AO612" s="3">
        <v>65.276679999999999</v>
      </c>
      <c r="AP612" s="3">
        <v>65.549340000000001</v>
      </c>
      <c r="AQ612" s="3">
        <v>71.54813</v>
      </c>
      <c r="AS612" s="3">
        <v>66.512379999999993</v>
      </c>
      <c r="AT612" s="3">
        <v>55.990099999999998</v>
      </c>
      <c r="AU612" s="3">
        <v>59.053829999999998</v>
      </c>
      <c r="AV612" s="3">
        <v>82.994560000000007</v>
      </c>
      <c r="AW612" s="3">
        <v>10.562189999999999</v>
      </c>
      <c r="AX612" s="3">
        <v>70.965369999999993</v>
      </c>
      <c r="AY612" s="3">
        <v>43.834479999999999</v>
      </c>
    </row>
    <row r="613" spans="1:51" x14ac:dyDescent="0.2">
      <c r="A613" s="3" t="s">
        <v>510</v>
      </c>
      <c r="B613" s="49">
        <v>36465</v>
      </c>
      <c r="D613" s="3">
        <v>73.46696</v>
      </c>
      <c r="E613" s="3">
        <v>36.636809999999997</v>
      </c>
      <c r="F613" s="3">
        <v>73.953119999999998</v>
      </c>
      <c r="G613" s="3">
        <v>92.372730000000004</v>
      </c>
      <c r="H613" s="3">
        <v>60.512599999999999</v>
      </c>
      <c r="I613" s="3">
        <v>70.079920000000001</v>
      </c>
      <c r="J613" s="3">
        <v>46.260379999999998</v>
      </c>
      <c r="K613" s="3">
        <v>28.69868</v>
      </c>
      <c r="L613" s="3">
        <v>70.3</v>
      </c>
      <c r="M613" s="3">
        <v>79.018379999999993</v>
      </c>
      <c r="N613" s="3">
        <v>74.981200000000001</v>
      </c>
      <c r="O613" s="3">
        <v>74.569999999999993</v>
      </c>
      <c r="P613" s="3">
        <v>69.495779999999996</v>
      </c>
      <c r="Q613" s="3">
        <v>57.679490000000001</v>
      </c>
      <c r="R613" s="3">
        <v>80.03</v>
      </c>
      <c r="S613" s="3">
        <v>77.245850000000004</v>
      </c>
      <c r="T613" s="3">
        <v>78.819999999999993</v>
      </c>
      <c r="U613" s="3">
        <v>59.446899999999999</v>
      </c>
      <c r="V613" s="3">
        <v>75.751679999999993</v>
      </c>
      <c r="W613" s="3">
        <v>72.900000000000006</v>
      </c>
      <c r="X613" s="3">
        <v>70.276039999999995</v>
      </c>
      <c r="Y613" s="3">
        <v>48.560429999999997</v>
      </c>
      <c r="Z613" s="3">
        <v>31.485209999999999</v>
      </c>
      <c r="AA613" s="3">
        <v>36.317459999999997</v>
      </c>
      <c r="AB613" s="3">
        <v>100.2741</v>
      </c>
      <c r="AC613" s="3">
        <v>55.998460000000001</v>
      </c>
      <c r="AD613" s="3">
        <v>75.879390000000001</v>
      </c>
      <c r="AE613" s="3">
        <v>73.859660000000005</v>
      </c>
      <c r="AF613" s="3">
        <v>99.6</v>
      </c>
      <c r="AG613" s="3">
        <v>65.658000000000001</v>
      </c>
      <c r="AI613" s="3">
        <v>71.854860000000002</v>
      </c>
      <c r="AJ613" s="3">
        <v>54.246670000000002</v>
      </c>
      <c r="AK613" s="3">
        <v>50.078139999999998</v>
      </c>
      <c r="AL613" s="3">
        <v>73.95</v>
      </c>
      <c r="AM613" s="3">
        <v>74</v>
      </c>
      <c r="AN613" s="3">
        <v>69.487189999999998</v>
      </c>
      <c r="AO613" s="3">
        <v>65.607860000000002</v>
      </c>
      <c r="AP613" s="3">
        <v>66.111999999999995</v>
      </c>
      <c r="AQ613" s="3">
        <v>71.965109999999996</v>
      </c>
      <c r="AS613" s="3">
        <v>66.379360000000005</v>
      </c>
      <c r="AT613" s="3">
        <v>56.198869999999999</v>
      </c>
      <c r="AU613" s="3">
        <v>59.33258</v>
      </c>
      <c r="AV613" s="3">
        <v>82.767970000000005</v>
      </c>
      <c r="AW613" s="3">
        <v>11.006</v>
      </c>
      <c r="AX613" s="3">
        <v>71.007570000000001</v>
      </c>
      <c r="AY613" s="3">
        <v>43.926470000000002</v>
      </c>
    </row>
    <row r="614" spans="1:51" x14ac:dyDescent="0.2">
      <c r="A614" s="3" t="s">
        <v>511</v>
      </c>
      <c r="B614" s="49">
        <v>36495</v>
      </c>
      <c r="D614" s="3">
        <v>73.694900000000004</v>
      </c>
      <c r="E614" s="3">
        <v>36.856520000000003</v>
      </c>
      <c r="F614" s="3">
        <v>74.032129999999995</v>
      </c>
      <c r="G614" s="3">
        <v>92.684600000000003</v>
      </c>
      <c r="H614" s="3">
        <v>60.672530000000002</v>
      </c>
      <c r="I614" s="3">
        <v>70.011769999999999</v>
      </c>
      <c r="J614" s="3">
        <v>46.505830000000003</v>
      </c>
      <c r="K614" s="3">
        <v>29.07443</v>
      </c>
      <c r="L614" s="3">
        <v>70.400000000000006</v>
      </c>
      <c r="M614" s="3">
        <v>79.298259999999999</v>
      </c>
      <c r="N614" s="3">
        <v>75.050759999999997</v>
      </c>
      <c r="O614" s="3">
        <v>74.83</v>
      </c>
      <c r="P614" s="3">
        <v>69.809209999999993</v>
      </c>
      <c r="Q614" s="3">
        <v>58.140929999999997</v>
      </c>
      <c r="R614" s="3">
        <v>80.11</v>
      </c>
      <c r="S614" s="3">
        <v>77.547280000000001</v>
      </c>
      <c r="T614" s="3">
        <v>79.17</v>
      </c>
      <c r="U614" s="3">
        <v>59.592570000000002</v>
      </c>
      <c r="V614" s="3">
        <v>75.794529999999995</v>
      </c>
      <c r="W614" s="3">
        <v>73.099999999999994</v>
      </c>
      <c r="X614" s="3">
        <v>70.725049999999996</v>
      </c>
      <c r="Y614" s="3">
        <v>48.951439999999998</v>
      </c>
      <c r="Z614" s="3">
        <v>32.035060000000001</v>
      </c>
      <c r="AA614" s="3">
        <v>35.73704</v>
      </c>
      <c r="AB614" s="3">
        <v>100.0748</v>
      </c>
      <c r="AC614" s="3">
        <v>56.415419999999997</v>
      </c>
      <c r="AD614" s="3">
        <v>75.879390000000001</v>
      </c>
      <c r="AE614" s="3">
        <v>73.926209999999998</v>
      </c>
      <c r="AF614" s="3">
        <v>99.3</v>
      </c>
      <c r="AG614" s="3">
        <v>65.548000000000002</v>
      </c>
      <c r="AI614" s="3">
        <v>72.129819999999995</v>
      </c>
      <c r="AJ614" s="3">
        <v>54.330350000000003</v>
      </c>
      <c r="AK614" s="3">
        <v>50.579810000000002</v>
      </c>
      <c r="AL614" s="3">
        <v>73.7</v>
      </c>
      <c r="AM614" s="3">
        <v>74.099999999999994</v>
      </c>
      <c r="AN614" s="3">
        <v>69.715190000000007</v>
      </c>
      <c r="AO614" s="3">
        <v>66.127309999999994</v>
      </c>
      <c r="AP614" s="3">
        <v>66.67465</v>
      </c>
      <c r="AQ614" s="3">
        <v>72.144239999999996</v>
      </c>
      <c r="AS614" s="3">
        <v>66.578900000000004</v>
      </c>
      <c r="AT614" s="3">
        <v>56.449379999999998</v>
      </c>
      <c r="AU614" s="3">
        <v>59.824489999999997</v>
      </c>
      <c r="AV614" s="3">
        <v>82.956270000000004</v>
      </c>
      <c r="AW614" s="3">
        <v>11.66056</v>
      </c>
      <c r="AX614" s="3">
        <v>71.007570000000001</v>
      </c>
      <c r="AY614" s="3">
        <v>44.064459999999997</v>
      </c>
    </row>
    <row r="615" spans="1:51" x14ac:dyDescent="0.2">
      <c r="A615" s="3" t="s">
        <v>512</v>
      </c>
      <c r="B615" s="49">
        <v>36526</v>
      </c>
      <c r="D615" s="3">
        <v>73.833650000000006</v>
      </c>
      <c r="E615" s="3">
        <v>37.085050000000003</v>
      </c>
      <c r="F615" s="3">
        <v>73.874110000000002</v>
      </c>
      <c r="G615" s="3">
        <v>92.799099999999996</v>
      </c>
      <c r="H615" s="3">
        <v>60.778869999999998</v>
      </c>
      <c r="I615" s="3">
        <v>70.936490000000006</v>
      </c>
      <c r="J615" s="3">
        <v>47.101909999999997</v>
      </c>
      <c r="K615" s="3">
        <v>29.591840000000001</v>
      </c>
      <c r="L615" s="3">
        <v>71.599999999999994</v>
      </c>
      <c r="M615" s="3">
        <v>79.484840000000005</v>
      </c>
      <c r="N615" s="3">
        <v>74.946420000000003</v>
      </c>
      <c r="O615" s="3">
        <v>74.86</v>
      </c>
      <c r="P615" s="3">
        <v>70.038839999999993</v>
      </c>
      <c r="Q615" s="3">
        <v>58.448549999999997</v>
      </c>
      <c r="R615" s="3">
        <v>80.36</v>
      </c>
      <c r="S615" s="3">
        <v>77.561980000000005</v>
      </c>
      <c r="T615" s="3">
        <v>79.17</v>
      </c>
      <c r="U615" s="3">
        <v>59.848210000000002</v>
      </c>
      <c r="V615" s="3">
        <v>75.887699999999995</v>
      </c>
      <c r="W615" s="3">
        <v>72.599999999999994</v>
      </c>
      <c r="X615" s="3">
        <v>69.933419999999998</v>
      </c>
      <c r="Y615" s="3">
        <v>49.666910000000001</v>
      </c>
      <c r="Z615" s="3">
        <v>32.453699999999998</v>
      </c>
      <c r="AA615" s="3">
        <v>35.73704</v>
      </c>
      <c r="AB615" s="3">
        <v>99.875399999999999</v>
      </c>
      <c r="AC615" s="3">
        <v>56.540509999999998</v>
      </c>
      <c r="AD615" s="3">
        <v>75.47739</v>
      </c>
      <c r="AE615" s="3">
        <v>74.059290000000004</v>
      </c>
      <c r="AF615" s="3">
        <v>99.2</v>
      </c>
      <c r="AG615" s="3">
        <v>65.838999999999999</v>
      </c>
      <c r="AI615" s="3">
        <v>71.511150000000001</v>
      </c>
      <c r="AJ615" s="3">
        <v>54.916150000000002</v>
      </c>
      <c r="AK615" s="3">
        <v>51.258969999999998</v>
      </c>
      <c r="AL615" s="3">
        <v>73.55</v>
      </c>
      <c r="AM615" s="3">
        <v>74.5</v>
      </c>
      <c r="AN615" s="3">
        <v>69.936700000000002</v>
      </c>
      <c r="AO615" s="3">
        <v>66.345089999999999</v>
      </c>
      <c r="AP615" s="3">
        <v>67.870289999999997</v>
      </c>
      <c r="AQ615" s="3">
        <v>72.002920000000003</v>
      </c>
      <c r="AS615" s="3">
        <v>66.645409999999998</v>
      </c>
      <c r="AT615" s="3">
        <v>57.827219999999997</v>
      </c>
      <c r="AU615" s="3">
        <v>60.3</v>
      </c>
      <c r="AV615" s="3">
        <v>82.279690000000002</v>
      </c>
      <c r="AW615" s="3">
        <v>12.22683</v>
      </c>
      <c r="AX615" s="3">
        <v>71.218519999999998</v>
      </c>
      <c r="AY615" s="3">
        <v>44.570419999999999</v>
      </c>
    </row>
    <row r="616" spans="1:51" x14ac:dyDescent="0.2">
      <c r="A616" s="3" t="s">
        <v>513</v>
      </c>
      <c r="B616" s="49">
        <v>36557</v>
      </c>
      <c r="D616" s="3">
        <v>74.111149999999995</v>
      </c>
      <c r="E616" s="3">
        <v>37.133310000000002</v>
      </c>
      <c r="F616" s="3">
        <v>74.348169999999996</v>
      </c>
      <c r="G616" s="3">
        <v>93.147840000000002</v>
      </c>
      <c r="H616" s="3">
        <v>61.117449999999998</v>
      </c>
      <c r="I616" s="3">
        <v>71.859499999999997</v>
      </c>
      <c r="J616" s="3">
        <v>48.188870000000001</v>
      </c>
      <c r="K616" s="3">
        <v>30.02084</v>
      </c>
      <c r="L616" s="3">
        <v>71.8</v>
      </c>
      <c r="M616" s="3">
        <v>79.578130000000002</v>
      </c>
      <c r="N616" s="3">
        <v>75.403880000000001</v>
      </c>
      <c r="O616" s="3">
        <v>75.099999999999994</v>
      </c>
      <c r="P616" s="3">
        <v>70.137879999999996</v>
      </c>
      <c r="Q616" s="3">
        <v>58.49982</v>
      </c>
      <c r="R616" s="3">
        <v>80.3</v>
      </c>
      <c r="S616" s="3">
        <v>78.139629999999997</v>
      </c>
      <c r="T616" s="3">
        <v>79.27</v>
      </c>
      <c r="U616" s="3">
        <v>60.130969999999998</v>
      </c>
      <c r="V616" s="3">
        <v>76.162689999999998</v>
      </c>
      <c r="W616" s="3">
        <v>72.8</v>
      </c>
      <c r="X616" s="3">
        <v>69.785169999999994</v>
      </c>
      <c r="Y616" s="3">
        <v>50.259070000000001</v>
      </c>
      <c r="Z616" s="3">
        <v>32.47869</v>
      </c>
      <c r="AA616" s="3">
        <v>35.654130000000002</v>
      </c>
      <c r="AB616" s="3">
        <v>99.875399999999999</v>
      </c>
      <c r="AC616" s="3">
        <v>56.248629999999999</v>
      </c>
      <c r="AD616" s="3">
        <v>75.276380000000003</v>
      </c>
      <c r="AE616" s="3">
        <v>74.325450000000004</v>
      </c>
      <c r="AF616" s="3">
        <v>98.9</v>
      </c>
      <c r="AG616" s="3">
        <v>66.040000000000006</v>
      </c>
      <c r="AI616" s="3">
        <v>72.446029999999993</v>
      </c>
      <c r="AJ616" s="3">
        <v>55.195099999999996</v>
      </c>
      <c r="AK616" s="3">
        <v>51.713650000000001</v>
      </c>
      <c r="AL616" s="3">
        <v>74</v>
      </c>
      <c r="AM616" s="3">
        <v>74.8</v>
      </c>
      <c r="AN616" s="3">
        <v>70.267030000000005</v>
      </c>
      <c r="AO616" s="3">
        <v>66.666880000000006</v>
      </c>
      <c r="AP616" s="3">
        <v>68.432950000000005</v>
      </c>
      <c r="AQ616" s="3">
        <v>71.838719999999995</v>
      </c>
      <c r="AS616" s="3">
        <v>66.179820000000007</v>
      </c>
      <c r="AT616" s="3">
        <v>59.789589999999997</v>
      </c>
      <c r="AU616" s="3">
        <v>60.89</v>
      </c>
      <c r="AV616" s="3">
        <v>82.669039999999995</v>
      </c>
      <c r="AW616" s="3">
        <v>12.67966</v>
      </c>
      <c r="AX616" s="3">
        <v>71.640429999999995</v>
      </c>
      <c r="AY616" s="3">
        <v>44.432429999999997</v>
      </c>
    </row>
    <row r="617" spans="1:51" x14ac:dyDescent="0.2">
      <c r="A617" s="3" t="s">
        <v>514</v>
      </c>
      <c r="B617" s="49">
        <v>36586</v>
      </c>
      <c r="D617" s="3">
        <v>74.39855</v>
      </c>
      <c r="E617" s="3">
        <v>37.214979999999997</v>
      </c>
      <c r="F617" s="3">
        <v>74.901240000000001</v>
      </c>
      <c r="G617" s="3">
        <v>93.116039999999998</v>
      </c>
      <c r="H617" s="3">
        <v>61.562359999999998</v>
      </c>
      <c r="I617" s="3">
        <v>70.861459999999994</v>
      </c>
      <c r="J617" s="3">
        <v>49.007019999999997</v>
      </c>
      <c r="K617" s="3">
        <v>30.224789999999999</v>
      </c>
      <c r="L617" s="3">
        <v>71.8</v>
      </c>
      <c r="M617" s="3">
        <v>79.578130000000002</v>
      </c>
      <c r="N617" s="3">
        <v>75.937579999999997</v>
      </c>
      <c r="O617" s="3">
        <v>75.37</v>
      </c>
      <c r="P617" s="3">
        <v>70.415940000000006</v>
      </c>
      <c r="Q617" s="3">
        <v>58.858719999999998</v>
      </c>
      <c r="R617" s="3">
        <v>80.5</v>
      </c>
      <c r="S617" s="3">
        <v>78.606480000000005</v>
      </c>
      <c r="T617" s="3">
        <v>79.64</v>
      </c>
      <c r="U617" s="3">
        <v>60.425820000000002</v>
      </c>
      <c r="V617" s="3">
        <v>76.58699</v>
      </c>
      <c r="W617" s="3">
        <v>73</v>
      </c>
      <c r="X617" s="3">
        <v>71.493250000000003</v>
      </c>
      <c r="Y617" s="3">
        <v>50.703180000000003</v>
      </c>
      <c r="Z617" s="3">
        <v>32.32873</v>
      </c>
      <c r="AA617" s="3">
        <v>35.985790000000001</v>
      </c>
      <c r="AB617" s="3">
        <v>99.377020000000002</v>
      </c>
      <c r="AC617" s="3">
        <v>56.623910000000002</v>
      </c>
      <c r="AD617" s="3">
        <v>74.974879999999999</v>
      </c>
      <c r="AE617" s="3">
        <v>74.525069999999999</v>
      </c>
      <c r="AF617" s="3">
        <v>99.1</v>
      </c>
      <c r="AG617" s="3">
        <v>66.372</v>
      </c>
      <c r="AI617" s="3">
        <v>72.631630000000001</v>
      </c>
      <c r="AJ617" s="3">
        <v>55.074219999999997</v>
      </c>
      <c r="AK617" s="3">
        <v>52.000349999999997</v>
      </c>
      <c r="AL617" s="3">
        <v>74.66</v>
      </c>
      <c r="AM617" s="3">
        <v>74.900000000000006</v>
      </c>
      <c r="AN617" s="3">
        <v>70.694239999999994</v>
      </c>
      <c r="AO617" s="3">
        <v>67.001480000000001</v>
      </c>
      <c r="AP617" s="3">
        <v>69.065939999999998</v>
      </c>
      <c r="AQ617" s="3">
        <v>71.947199999999995</v>
      </c>
      <c r="AS617" s="3">
        <v>65.91377</v>
      </c>
      <c r="AT617" s="3">
        <v>59.998339999999999</v>
      </c>
      <c r="AU617" s="3">
        <v>61.43</v>
      </c>
      <c r="AV617" s="3">
        <v>83.064769999999996</v>
      </c>
      <c r="AW617" s="3">
        <v>13.049899999999999</v>
      </c>
      <c r="AX617" s="3">
        <v>72.231099999999998</v>
      </c>
      <c r="AY617" s="3">
        <v>44.892400000000002</v>
      </c>
    </row>
    <row r="618" spans="1:51" x14ac:dyDescent="0.2">
      <c r="A618" s="3" t="s">
        <v>515</v>
      </c>
      <c r="B618" s="49">
        <v>36617</v>
      </c>
      <c r="D618" s="3">
        <v>74.537300000000002</v>
      </c>
      <c r="E618" s="3">
        <v>37.371360000000003</v>
      </c>
      <c r="F618" s="3">
        <v>74.664209999999997</v>
      </c>
      <c r="G618" s="3">
        <v>93.197329999999994</v>
      </c>
      <c r="H618" s="3">
        <v>61.858409999999999</v>
      </c>
      <c r="I618" s="3">
        <v>70.444100000000006</v>
      </c>
      <c r="J618" s="3">
        <v>49.497909999999997</v>
      </c>
      <c r="K618" s="3">
        <v>30.118289999999998</v>
      </c>
      <c r="L618" s="3">
        <v>71.7</v>
      </c>
      <c r="M618" s="3">
        <v>79.578130000000002</v>
      </c>
      <c r="N618" s="3">
        <v>76.013819999999996</v>
      </c>
      <c r="O618" s="3">
        <v>75.45</v>
      </c>
      <c r="P618" s="3">
        <v>70.708690000000004</v>
      </c>
      <c r="Q618" s="3">
        <v>58.961260000000003</v>
      </c>
      <c r="R618" s="3">
        <v>80.98</v>
      </c>
      <c r="S618" s="3">
        <v>78.796390000000002</v>
      </c>
      <c r="T618" s="3">
        <v>79.64</v>
      </c>
      <c r="U618" s="3">
        <v>60.575130000000001</v>
      </c>
      <c r="V618" s="3">
        <v>76.648160000000004</v>
      </c>
      <c r="W618" s="3">
        <v>73.3</v>
      </c>
      <c r="X618" s="3">
        <v>71.838560000000001</v>
      </c>
      <c r="Y618" s="3">
        <v>51.147300000000001</v>
      </c>
      <c r="Z618" s="3">
        <v>32.509929999999997</v>
      </c>
      <c r="AA618" s="3">
        <v>36.317459999999997</v>
      </c>
      <c r="AB618" s="3">
        <v>99.875399999999999</v>
      </c>
      <c r="AC618" s="3">
        <v>56.707299999999996</v>
      </c>
      <c r="AD618" s="3">
        <v>75.37688</v>
      </c>
      <c r="AE618" s="3">
        <v>74.591610000000003</v>
      </c>
      <c r="AF618" s="3">
        <v>99.3</v>
      </c>
      <c r="AG618" s="3">
        <v>66.105999999999995</v>
      </c>
      <c r="AI618" s="3">
        <v>72.906589999999994</v>
      </c>
      <c r="AJ618" s="3">
        <v>55.269489999999998</v>
      </c>
      <c r="AK618" s="3">
        <v>52.296210000000002</v>
      </c>
      <c r="AL618" s="3">
        <v>74.78</v>
      </c>
      <c r="AM618" s="3">
        <v>75.099999999999994</v>
      </c>
      <c r="AN618" s="3">
        <v>70.830039999999997</v>
      </c>
      <c r="AO618" s="3">
        <v>67.209090000000003</v>
      </c>
      <c r="AP618" s="3">
        <v>69.347269999999995</v>
      </c>
      <c r="AQ618" s="3">
        <v>72.786140000000003</v>
      </c>
      <c r="AS618" s="3">
        <v>65.847260000000006</v>
      </c>
      <c r="AT618" s="3">
        <v>59.998339999999999</v>
      </c>
      <c r="AU618" s="3">
        <v>61.78</v>
      </c>
      <c r="AV618" s="3">
        <v>82.991370000000003</v>
      </c>
      <c r="AW618" s="3">
        <v>13.353210000000001</v>
      </c>
      <c r="AX618" s="3">
        <v>72.273300000000006</v>
      </c>
      <c r="AY618" s="3">
        <v>45.490349999999999</v>
      </c>
    </row>
    <row r="619" spans="1:51" x14ac:dyDescent="0.2">
      <c r="A619" s="3" t="s">
        <v>516</v>
      </c>
      <c r="B619" s="49">
        <v>36647</v>
      </c>
      <c r="D619" s="3">
        <v>74.755330000000001</v>
      </c>
      <c r="E619" s="3">
        <v>37.375070000000001</v>
      </c>
      <c r="F619" s="3">
        <v>74.980249999999998</v>
      </c>
      <c r="G619" s="3">
        <v>93.151520000000005</v>
      </c>
      <c r="H619" s="3">
        <v>61.989409999999999</v>
      </c>
      <c r="I619" s="3">
        <v>70.022959999999998</v>
      </c>
      <c r="J619" s="3">
        <v>49.755040000000001</v>
      </c>
      <c r="K619" s="3">
        <v>30.095179999999999</v>
      </c>
      <c r="L619" s="3">
        <v>71.8</v>
      </c>
      <c r="M619" s="3">
        <v>79.484840000000005</v>
      </c>
      <c r="N619" s="3">
        <v>76.318790000000007</v>
      </c>
      <c r="O619" s="3">
        <v>75.540000000000006</v>
      </c>
      <c r="P619" s="3">
        <v>70.826229999999995</v>
      </c>
      <c r="Q619" s="3">
        <v>59.012529999999998</v>
      </c>
      <c r="R619" s="3">
        <v>81.39</v>
      </c>
      <c r="S619" s="3">
        <v>79.033779999999993</v>
      </c>
      <c r="T619" s="3">
        <v>79.8</v>
      </c>
      <c r="U619" s="3">
        <v>60.707360000000001</v>
      </c>
      <c r="V619" s="3">
        <v>76.752269999999996</v>
      </c>
      <c r="W619" s="3">
        <v>73.5</v>
      </c>
      <c r="X619" s="3">
        <v>72.047629999999998</v>
      </c>
      <c r="Y619" s="3">
        <v>51.369349999999997</v>
      </c>
      <c r="Z619" s="3">
        <v>32.784849999999999</v>
      </c>
      <c r="AA619" s="3">
        <v>36.483289999999997</v>
      </c>
      <c r="AB619" s="3">
        <v>100.5731</v>
      </c>
      <c r="AC619" s="3">
        <v>56.790689999999998</v>
      </c>
      <c r="AD619" s="3">
        <v>75.879390000000001</v>
      </c>
      <c r="AE619" s="3">
        <v>74.857770000000002</v>
      </c>
      <c r="AF619" s="3">
        <v>99.4</v>
      </c>
      <c r="AG619" s="3">
        <v>65.772999999999996</v>
      </c>
      <c r="AI619" s="3">
        <v>72.995959999999997</v>
      </c>
      <c r="AJ619" s="3">
        <v>55.148609999999998</v>
      </c>
      <c r="AK619" s="3">
        <v>52.491709999999998</v>
      </c>
      <c r="AL619" s="3">
        <v>75.02</v>
      </c>
      <c r="AM619" s="3">
        <v>75.2</v>
      </c>
      <c r="AN619" s="3">
        <v>70.973150000000004</v>
      </c>
      <c r="AO619" s="3">
        <v>67.426860000000005</v>
      </c>
      <c r="AP619" s="3">
        <v>69.839590000000001</v>
      </c>
      <c r="AQ619" s="3">
        <v>73.196160000000006</v>
      </c>
      <c r="AS619" s="3">
        <v>65.714240000000004</v>
      </c>
      <c r="AT619" s="3">
        <v>60.16536</v>
      </c>
      <c r="AU619" s="3">
        <v>62.04</v>
      </c>
      <c r="AV619" s="3">
        <v>83.387100000000004</v>
      </c>
      <c r="AW619" s="3">
        <v>13.6494</v>
      </c>
      <c r="AX619" s="3">
        <v>72.357680000000002</v>
      </c>
      <c r="AY619" s="3">
        <v>45.674329999999998</v>
      </c>
    </row>
    <row r="620" spans="1:51" x14ac:dyDescent="0.2">
      <c r="A620" s="3" t="s">
        <v>517</v>
      </c>
      <c r="B620" s="49">
        <v>36678</v>
      </c>
      <c r="D620" s="3">
        <v>75.032830000000004</v>
      </c>
      <c r="E620" s="3">
        <v>37.46114</v>
      </c>
      <c r="F620" s="3">
        <v>75.454310000000007</v>
      </c>
      <c r="G620" s="3">
        <v>93.498279999999994</v>
      </c>
      <c r="H620" s="3">
        <v>62.131480000000003</v>
      </c>
      <c r="I620" s="3">
        <v>69.387370000000004</v>
      </c>
      <c r="J620" s="3">
        <v>49.74335</v>
      </c>
      <c r="K620" s="3">
        <v>30.502079999999999</v>
      </c>
      <c r="L620" s="3">
        <v>72.3</v>
      </c>
      <c r="M620" s="3">
        <v>79.858009999999993</v>
      </c>
      <c r="N620" s="3">
        <v>76.547520000000006</v>
      </c>
      <c r="O620" s="3">
        <v>75.8</v>
      </c>
      <c r="P620" s="3">
        <v>71.040629999999993</v>
      </c>
      <c r="Q620" s="3">
        <v>59.217610000000001</v>
      </c>
      <c r="R620" s="3">
        <v>81.69</v>
      </c>
      <c r="S620" s="3">
        <v>79.223690000000005</v>
      </c>
      <c r="T620" s="3">
        <v>80</v>
      </c>
      <c r="U620" s="3">
        <v>60.930970000000002</v>
      </c>
      <c r="V620" s="3">
        <v>77.034700000000001</v>
      </c>
      <c r="W620" s="3">
        <v>73.599999999999994</v>
      </c>
      <c r="X620" s="3">
        <v>71.770390000000006</v>
      </c>
      <c r="Y620" s="3">
        <v>51.665430000000001</v>
      </c>
      <c r="Z620" s="3">
        <v>32.947310000000002</v>
      </c>
      <c r="AA620" s="3">
        <v>36.649120000000003</v>
      </c>
      <c r="AB620" s="3">
        <v>100.6728</v>
      </c>
      <c r="AC620" s="3">
        <v>57.666319999999999</v>
      </c>
      <c r="AD620" s="3">
        <v>76.180909999999997</v>
      </c>
      <c r="AE620" s="3">
        <v>75.057389999999998</v>
      </c>
      <c r="AF620" s="3">
        <v>99.2</v>
      </c>
      <c r="AG620" s="3">
        <v>66.105999999999995</v>
      </c>
      <c r="AI620" s="3">
        <v>73.470269999999999</v>
      </c>
      <c r="AJ620" s="3">
        <v>55.195099999999996</v>
      </c>
      <c r="AK620" s="3">
        <v>52.802630000000001</v>
      </c>
      <c r="AL620" s="3">
        <v>74.94</v>
      </c>
      <c r="AM620" s="3">
        <v>75.599999999999994</v>
      </c>
      <c r="AN620" s="3">
        <v>71.235830000000007</v>
      </c>
      <c r="AO620" s="3">
        <v>67.65034</v>
      </c>
      <c r="AP620" s="3">
        <v>70.331909999999993</v>
      </c>
      <c r="AQ620" s="3">
        <v>73.562389999999994</v>
      </c>
      <c r="AS620" s="3">
        <v>65.780749999999998</v>
      </c>
      <c r="AT620" s="3">
        <v>60.123600000000003</v>
      </c>
      <c r="AU620" s="3">
        <v>62.44</v>
      </c>
      <c r="AV620" s="3">
        <v>83.371139999999997</v>
      </c>
      <c r="AW620" s="3">
        <v>13.741960000000001</v>
      </c>
      <c r="AX620" s="3">
        <v>72.737399999999994</v>
      </c>
      <c r="AY620" s="3">
        <v>45.950310000000002</v>
      </c>
    </row>
    <row r="621" spans="1:51" x14ac:dyDescent="0.2">
      <c r="A621" s="3" t="s">
        <v>518</v>
      </c>
      <c r="B621" s="49">
        <v>36708</v>
      </c>
      <c r="D621" s="3">
        <v>75.181489999999997</v>
      </c>
      <c r="E621" s="3">
        <v>38.06438</v>
      </c>
      <c r="F621" s="3">
        <v>75.691339999999997</v>
      </c>
      <c r="G621" s="3">
        <v>93.567549999999997</v>
      </c>
      <c r="H621" s="3">
        <v>62.213999999999999</v>
      </c>
      <c r="I621" s="3">
        <v>68.972409999999996</v>
      </c>
      <c r="J621" s="3">
        <v>49.731670000000001</v>
      </c>
      <c r="K621" s="3">
        <v>30.903949999999998</v>
      </c>
      <c r="L621" s="3">
        <v>72.7</v>
      </c>
      <c r="M621" s="3">
        <v>80.231179999999995</v>
      </c>
      <c r="N621" s="3">
        <v>76.242549999999994</v>
      </c>
      <c r="O621" s="3">
        <v>75.87</v>
      </c>
      <c r="P621" s="3">
        <v>71.472139999999996</v>
      </c>
      <c r="Q621" s="3">
        <v>59.730319999999999</v>
      </c>
      <c r="R621" s="3">
        <v>81.75</v>
      </c>
      <c r="S621" s="3">
        <v>78.970470000000006</v>
      </c>
      <c r="T621" s="3">
        <v>79.87</v>
      </c>
      <c r="U621" s="3">
        <v>61.141219999999997</v>
      </c>
      <c r="V621" s="3">
        <v>77.124889999999994</v>
      </c>
      <c r="W621" s="3">
        <v>73.3</v>
      </c>
      <c r="X621" s="3">
        <v>70.518720000000002</v>
      </c>
      <c r="Y621" s="3">
        <v>52.183570000000003</v>
      </c>
      <c r="Z621" s="3">
        <v>33.372199999999999</v>
      </c>
      <c r="AA621" s="3">
        <v>36.897880000000001</v>
      </c>
      <c r="AB621" s="3">
        <v>100.5731</v>
      </c>
      <c r="AC621" s="3">
        <v>58.041589999999999</v>
      </c>
      <c r="AD621" s="3">
        <v>76.381910000000005</v>
      </c>
      <c r="AE621" s="3">
        <v>75.190470000000005</v>
      </c>
      <c r="AF621" s="3">
        <v>98.9</v>
      </c>
      <c r="AG621" s="3">
        <v>66.372</v>
      </c>
      <c r="AI621" s="3">
        <v>72.679749999999999</v>
      </c>
      <c r="AJ621" s="3">
        <v>54.916150000000002</v>
      </c>
      <c r="AK621" s="3">
        <v>53.008609999999997</v>
      </c>
      <c r="AL621" s="3">
        <v>74.75</v>
      </c>
      <c r="AM621" s="3">
        <v>75.3</v>
      </c>
      <c r="AN621" s="3">
        <v>71.415149999999997</v>
      </c>
      <c r="AO621" s="3">
        <v>67.79598</v>
      </c>
      <c r="AP621" s="3">
        <v>70.82423</v>
      </c>
      <c r="AQ621" s="3">
        <v>73.804209999999998</v>
      </c>
      <c r="AS621" s="3">
        <v>65.581209999999999</v>
      </c>
      <c r="AT621" s="3">
        <v>60.123600000000003</v>
      </c>
      <c r="AU621" s="3">
        <v>62.96</v>
      </c>
      <c r="AV621" s="3">
        <v>82.975409999999997</v>
      </c>
      <c r="AW621" s="3">
        <v>14.05049</v>
      </c>
      <c r="AX621" s="3">
        <v>72.906170000000003</v>
      </c>
      <c r="AY621" s="3">
        <v>46.364280000000001</v>
      </c>
    </row>
    <row r="622" spans="1:51" x14ac:dyDescent="0.2">
      <c r="A622" s="3" t="s">
        <v>519</v>
      </c>
      <c r="B622" s="49">
        <v>36739</v>
      </c>
      <c r="D622" s="3">
        <v>75.151759999999996</v>
      </c>
      <c r="E622" s="3">
        <v>38.56297</v>
      </c>
      <c r="F622" s="3">
        <v>75.61233</v>
      </c>
      <c r="G622" s="3">
        <v>93.325450000000004</v>
      </c>
      <c r="H622" s="3">
        <v>62.374780000000001</v>
      </c>
      <c r="I622" s="3">
        <v>69.383170000000007</v>
      </c>
      <c r="J622" s="3">
        <v>49.883609999999997</v>
      </c>
      <c r="K622" s="3">
        <v>31.107900000000001</v>
      </c>
      <c r="L622" s="3">
        <v>72.8</v>
      </c>
      <c r="M622" s="3">
        <v>80.044589999999999</v>
      </c>
      <c r="N622" s="3">
        <v>76.166309999999996</v>
      </c>
      <c r="O622" s="3">
        <v>75.930000000000007</v>
      </c>
      <c r="P622" s="3">
        <v>71.771969999999996</v>
      </c>
      <c r="Q622" s="3">
        <v>59.832859999999997</v>
      </c>
      <c r="R622" s="3">
        <v>81.62</v>
      </c>
      <c r="S622" s="3">
        <v>79.286990000000003</v>
      </c>
      <c r="T622" s="3">
        <v>80.02</v>
      </c>
      <c r="U622" s="3">
        <v>61.263420000000004</v>
      </c>
      <c r="V622" s="3">
        <v>77.146990000000002</v>
      </c>
      <c r="W622" s="3">
        <v>73.3</v>
      </c>
      <c r="X622" s="3">
        <v>70.628619999999998</v>
      </c>
      <c r="Y622" s="3">
        <v>52.479640000000003</v>
      </c>
      <c r="Z622" s="3">
        <v>33.540900000000001</v>
      </c>
      <c r="AA622" s="3">
        <v>36.732039999999998</v>
      </c>
      <c r="AB622" s="3">
        <v>100.77249999999999</v>
      </c>
      <c r="AC622" s="3">
        <v>57.916499999999999</v>
      </c>
      <c r="AD622" s="3">
        <v>75.879390000000001</v>
      </c>
      <c r="AE622" s="3">
        <v>75.257009999999994</v>
      </c>
      <c r="AF622" s="3">
        <v>99.2</v>
      </c>
      <c r="AG622" s="3">
        <v>66.703999999999994</v>
      </c>
      <c r="AI622" s="3">
        <v>73.648989999999998</v>
      </c>
      <c r="AJ622" s="3">
        <v>54.6</v>
      </c>
      <c r="AK622" s="3">
        <v>53.299880000000002</v>
      </c>
      <c r="AL622" s="3">
        <v>75.08</v>
      </c>
      <c r="AM622" s="3">
        <v>75.3</v>
      </c>
      <c r="AN622" s="3">
        <v>71.505979999999994</v>
      </c>
      <c r="AO622" s="3">
        <v>67.913539999999998</v>
      </c>
      <c r="AP622" s="3">
        <v>70.613240000000005</v>
      </c>
      <c r="AQ622" s="3">
        <v>73.833079999999995</v>
      </c>
      <c r="AS622" s="3">
        <v>65.647729999999996</v>
      </c>
      <c r="AT622" s="3">
        <v>60.16536</v>
      </c>
      <c r="AU622" s="3">
        <v>63.13</v>
      </c>
      <c r="AV622" s="3">
        <v>83.032859999999999</v>
      </c>
      <c r="AW622" s="3">
        <v>14.355689999999999</v>
      </c>
      <c r="AX622" s="3">
        <v>72.906170000000003</v>
      </c>
      <c r="AY622" s="3">
        <v>46.548259999999999</v>
      </c>
    </row>
    <row r="623" spans="1:51" x14ac:dyDescent="0.2">
      <c r="A623" s="3" t="s">
        <v>520</v>
      </c>
      <c r="B623" s="49">
        <v>36770</v>
      </c>
      <c r="D623" s="3">
        <v>75.677019999999999</v>
      </c>
      <c r="E623" s="3">
        <v>38.651600000000002</v>
      </c>
      <c r="F623" s="3">
        <v>75.928370000000001</v>
      </c>
      <c r="G623" s="3">
        <v>93.793260000000004</v>
      </c>
      <c r="H623" s="3">
        <v>62.754190000000001</v>
      </c>
      <c r="I623" s="3">
        <v>70.778469999999999</v>
      </c>
      <c r="J623" s="3">
        <v>50.093989999999998</v>
      </c>
      <c r="K623" s="3">
        <v>31.225449999999999</v>
      </c>
      <c r="L623" s="3">
        <v>72.8</v>
      </c>
      <c r="M623" s="3">
        <v>80.231179999999995</v>
      </c>
      <c r="N623" s="3">
        <v>76.7</v>
      </c>
      <c r="O623" s="3">
        <v>76.260000000000005</v>
      </c>
      <c r="P623" s="3">
        <v>71.957520000000002</v>
      </c>
      <c r="Q623" s="3">
        <v>60.089210000000001</v>
      </c>
      <c r="R623" s="3">
        <v>81.739999999999995</v>
      </c>
      <c r="S623" s="3">
        <v>79.959580000000003</v>
      </c>
      <c r="T623" s="3">
        <v>80.430000000000007</v>
      </c>
      <c r="U623" s="3">
        <v>61.637909999999998</v>
      </c>
      <c r="V623" s="3">
        <v>77.452889999999996</v>
      </c>
      <c r="W623" s="3">
        <v>73.8</v>
      </c>
      <c r="X623" s="3">
        <v>72.09966</v>
      </c>
      <c r="Y623" s="3">
        <v>53.071800000000003</v>
      </c>
      <c r="Z623" s="3">
        <v>33.52216</v>
      </c>
      <c r="AA623" s="3">
        <v>36.814959999999999</v>
      </c>
      <c r="AB623" s="3">
        <v>100.5731</v>
      </c>
      <c r="AC623" s="3">
        <v>58.124980000000001</v>
      </c>
      <c r="AD623" s="3">
        <v>75.47739</v>
      </c>
      <c r="AE623" s="3">
        <v>75.390090000000001</v>
      </c>
      <c r="AF623" s="3">
        <v>99.1</v>
      </c>
      <c r="AG623" s="3">
        <v>67.569999999999993</v>
      </c>
      <c r="AI623" s="3">
        <v>74.033940000000001</v>
      </c>
      <c r="AJ623" s="3">
        <v>54.646500000000003</v>
      </c>
      <c r="AK623" s="3">
        <v>53.689239999999998</v>
      </c>
      <c r="AL623" s="3">
        <v>75.989999999999995</v>
      </c>
      <c r="AM623" s="3">
        <v>76</v>
      </c>
      <c r="AN623" s="3">
        <v>71.879959999999997</v>
      </c>
      <c r="AO623" s="3">
        <v>68.357410000000002</v>
      </c>
      <c r="AP623" s="3">
        <v>71.316559999999996</v>
      </c>
      <c r="AQ623" s="3">
        <v>73.766400000000004</v>
      </c>
      <c r="AS623" s="3">
        <v>65.581209999999999</v>
      </c>
      <c r="AT623" s="3">
        <v>60.541130000000003</v>
      </c>
      <c r="AU623" s="3">
        <v>64.010000000000005</v>
      </c>
      <c r="AV623" s="3">
        <v>83.620069999999998</v>
      </c>
      <c r="AW623" s="3">
        <v>14.797129999999999</v>
      </c>
      <c r="AX623" s="3">
        <v>73.285880000000006</v>
      </c>
      <c r="AY623" s="3">
        <v>46.778239999999997</v>
      </c>
    </row>
    <row r="624" spans="1:51" x14ac:dyDescent="0.2">
      <c r="A624" s="3" t="s">
        <v>521</v>
      </c>
      <c r="B624" s="49">
        <v>36800</v>
      </c>
      <c r="D624" s="3">
        <v>75.488720000000001</v>
      </c>
      <c r="E624" s="3">
        <v>38.705660000000002</v>
      </c>
      <c r="F624" s="3">
        <v>76.086389999999994</v>
      </c>
      <c r="G624" s="3">
        <v>93.692779999999999</v>
      </c>
      <c r="H624" s="3">
        <v>63.133600000000001</v>
      </c>
      <c r="I624" s="3">
        <v>70.778270000000006</v>
      </c>
      <c r="J624" s="3">
        <v>50.175800000000002</v>
      </c>
      <c r="K624" s="3">
        <v>31.423369999999998</v>
      </c>
      <c r="L624" s="3">
        <v>73</v>
      </c>
      <c r="M624" s="3">
        <v>80.137889999999999</v>
      </c>
      <c r="N624" s="3">
        <v>76.852490000000003</v>
      </c>
      <c r="O624" s="3">
        <v>76.3</v>
      </c>
      <c r="P624" s="3">
        <v>72.141440000000003</v>
      </c>
      <c r="Q624" s="3">
        <v>60.653190000000002</v>
      </c>
      <c r="R624" s="3">
        <v>81.86</v>
      </c>
      <c r="S624" s="3">
        <v>80.030799999999999</v>
      </c>
      <c r="T624" s="3">
        <v>80.33</v>
      </c>
      <c r="U624" s="3">
        <v>61.852409999999999</v>
      </c>
      <c r="V624" s="3">
        <v>77.533779999999993</v>
      </c>
      <c r="W624" s="3">
        <v>73.8</v>
      </c>
      <c r="X624" s="3">
        <v>72.921999999999997</v>
      </c>
      <c r="Y624" s="3">
        <v>53.367870000000003</v>
      </c>
      <c r="Z624" s="3">
        <v>33.909550000000003</v>
      </c>
      <c r="AA624" s="3">
        <v>37.22954</v>
      </c>
      <c r="AB624" s="3">
        <v>100.77249999999999</v>
      </c>
      <c r="AC624" s="3">
        <v>58.333460000000002</v>
      </c>
      <c r="AD624" s="3">
        <v>75.879390000000001</v>
      </c>
      <c r="AE624" s="3">
        <v>75.65625</v>
      </c>
      <c r="AF624" s="3">
        <v>99.1</v>
      </c>
      <c r="AG624" s="3">
        <v>67.504000000000005</v>
      </c>
      <c r="AI624" s="3">
        <v>74.267660000000006</v>
      </c>
      <c r="AJ624" s="3">
        <v>54.878959999999999</v>
      </c>
      <c r="AK624" s="3">
        <v>54.05894</v>
      </c>
      <c r="AL624" s="3">
        <v>76.12</v>
      </c>
      <c r="AM624" s="3">
        <v>76</v>
      </c>
      <c r="AN624" s="3">
        <v>72.048820000000006</v>
      </c>
      <c r="AO624" s="3">
        <v>68.574380000000005</v>
      </c>
      <c r="AP624" s="3">
        <v>71.87921</v>
      </c>
      <c r="AQ624" s="3">
        <v>74.066950000000006</v>
      </c>
      <c r="AS624" s="3">
        <v>65.514700000000005</v>
      </c>
      <c r="AT624" s="3">
        <v>60.791649999999997</v>
      </c>
      <c r="AU624" s="3">
        <v>64.38</v>
      </c>
      <c r="AV624" s="3">
        <v>83.80198</v>
      </c>
      <c r="AW624" s="3">
        <v>15.255660000000001</v>
      </c>
      <c r="AX624" s="3">
        <v>73.412450000000007</v>
      </c>
      <c r="AY624" s="3">
        <v>46.916229999999999</v>
      </c>
    </row>
    <row r="625" spans="1:51" x14ac:dyDescent="0.2">
      <c r="A625" s="3" t="s">
        <v>522</v>
      </c>
      <c r="B625" s="49">
        <v>36831</v>
      </c>
      <c r="D625" s="3">
        <v>75.73648</v>
      </c>
      <c r="E625" s="3">
        <v>38.829549999999998</v>
      </c>
      <c r="F625" s="3">
        <v>76.323409999999996</v>
      </c>
      <c r="G625" s="3">
        <v>94.139319999999998</v>
      </c>
      <c r="H625" s="3">
        <v>63.34713</v>
      </c>
      <c r="I625" s="3">
        <v>70.990949999999998</v>
      </c>
      <c r="J625" s="3">
        <v>50.339440000000003</v>
      </c>
      <c r="K625" s="3">
        <v>31.683579999999999</v>
      </c>
      <c r="L625" s="3">
        <v>73.099999999999994</v>
      </c>
      <c r="M625" s="3">
        <v>80.231179999999995</v>
      </c>
      <c r="N625" s="3">
        <v>76.928730000000002</v>
      </c>
      <c r="O625" s="3">
        <v>76.459999999999994</v>
      </c>
      <c r="P625" s="3">
        <v>72.321010000000001</v>
      </c>
      <c r="Q625" s="3">
        <v>60.960810000000002</v>
      </c>
      <c r="R625" s="3">
        <v>82.2</v>
      </c>
      <c r="S625" s="3">
        <v>80.007059999999996</v>
      </c>
      <c r="T625" s="3">
        <v>80.510000000000005</v>
      </c>
      <c r="U625" s="3">
        <v>62.023139999999998</v>
      </c>
      <c r="V625" s="3">
        <v>77.5869</v>
      </c>
      <c r="W625" s="3">
        <v>74</v>
      </c>
      <c r="X625" s="3">
        <v>73.258899999999997</v>
      </c>
      <c r="Y625" s="3">
        <v>53.737969999999997</v>
      </c>
      <c r="Z625" s="3">
        <v>34.359430000000003</v>
      </c>
      <c r="AA625" s="3">
        <v>37.312460000000002</v>
      </c>
      <c r="AB625" s="3">
        <v>100.4735</v>
      </c>
      <c r="AC625" s="3">
        <v>58.29177</v>
      </c>
      <c r="AD625" s="3">
        <v>75.879390000000001</v>
      </c>
      <c r="AE625" s="3">
        <v>75.855869999999996</v>
      </c>
      <c r="AF625" s="3">
        <v>98.8</v>
      </c>
      <c r="AG625" s="3">
        <v>67.103999999999999</v>
      </c>
      <c r="AI625" s="3">
        <v>74.480760000000004</v>
      </c>
      <c r="AJ625" s="3">
        <v>55.111409999999999</v>
      </c>
      <c r="AK625" s="3">
        <v>54.521160000000002</v>
      </c>
      <c r="AL625" s="3">
        <v>76.11</v>
      </c>
      <c r="AM625" s="3">
        <v>76.400000000000006</v>
      </c>
      <c r="AN625" s="3">
        <v>72.200530000000001</v>
      </c>
      <c r="AO625" s="3">
        <v>68.900859999999994</v>
      </c>
      <c r="AP625" s="3">
        <v>72.160550000000001</v>
      </c>
      <c r="AQ625" s="3">
        <v>74.652119999999996</v>
      </c>
      <c r="AS625" s="3">
        <v>65.381680000000003</v>
      </c>
      <c r="AT625" s="3">
        <v>61.042160000000003</v>
      </c>
      <c r="AU625" s="3">
        <v>65.11</v>
      </c>
      <c r="AV625" s="3">
        <v>83.849850000000004</v>
      </c>
      <c r="AW625" s="3">
        <v>15.82193</v>
      </c>
      <c r="AX625" s="3">
        <v>73.454639999999998</v>
      </c>
      <c r="AY625" s="3">
        <v>47.008220000000001</v>
      </c>
    </row>
    <row r="626" spans="1:51" x14ac:dyDescent="0.2">
      <c r="A626" s="3" t="s">
        <v>523</v>
      </c>
      <c r="B626" s="49">
        <v>36861</v>
      </c>
      <c r="D626" s="3">
        <v>75.538269999999997</v>
      </c>
      <c r="E626" s="3">
        <v>39.058549999999997</v>
      </c>
      <c r="F626" s="3">
        <v>76.402420000000006</v>
      </c>
      <c r="G626" s="3">
        <v>94.068759999999997</v>
      </c>
      <c r="H626" s="3">
        <v>63.418579999999999</v>
      </c>
      <c r="I626" s="3">
        <v>71.061940000000007</v>
      </c>
      <c r="J626" s="3">
        <v>50.573189999999997</v>
      </c>
      <c r="K626" s="3">
        <v>32.054310000000001</v>
      </c>
      <c r="L626" s="3">
        <v>73.2</v>
      </c>
      <c r="M626" s="3">
        <v>80.884219999999999</v>
      </c>
      <c r="N626" s="3">
        <v>76.852490000000003</v>
      </c>
      <c r="O626" s="3">
        <v>76.75</v>
      </c>
      <c r="P626" s="3">
        <v>72.571330000000003</v>
      </c>
      <c r="Q626" s="3">
        <v>61.06335</v>
      </c>
      <c r="R626" s="3">
        <v>82.15</v>
      </c>
      <c r="S626" s="3">
        <v>79.888369999999995</v>
      </c>
      <c r="T626" s="3">
        <v>80.47</v>
      </c>
      <c r="U626" s="3">
        <v>62.16348</v>
      </c>
      <c r="V626" s="3">
        <v>77.642179999999996</v>
      </c>
      <c r="W626" s="3">
        <v>74</v>
      </c>
      <c r="X626" s="3">
        <v>73.487409999999997</v>
      </c>
      <c r="Y626" s="3">
        <v>53.886009999999999</v>
      </c>
      <c r="Z626" s="3">
        <v>35.027999999999999</v>
      </c>
      <c r="AA626" s="3">
        <v>36.980789999999999</v>
      </c>
      <c r="AB626" s="3">
        <v>100.2741</v>
      </c>
      <c r="AC626" s="3">
        <v>58.917209999999997</v>
      </c>
      <c r="AD626" s="3">
        <v>75.879390000000001</v>
      </c>
      <c r="AE626" s="3">
        <v>75.922420000000002</v>
      </c>
      <c r="AF626" s="3">
        <v>98.9</v>
      </c>
      <c r="AG626" s="3">
        <v>67.37</v>
      </c>
      <c r="AI626" s="3">
        <v>74.631990000000002</v>
      </c>
      <c r="AJ626" s="3">
        <v>55.30668</v>
      </c>
      <c r="AK626" s="3">
        <v>55.111409999999999</v>
      </c>
      <c r="AL626" s="3">
        <v>75.66</v>
      </c>
      <c r="AM626" s="3">
        <v>76.3</v>
      </c>
      <c r="AN626" s="3">
        <v>72.333410000000001</v>
      </c>
      <c r="AO626" s="3">
        <v>69.144639999999995</v>
      </c>
      <c r="AP626" s="3">
        <v>72.301209999999998</v>
      </c>
      <c r="AQ626" s="3">
        <v>74.929779999999994</v>
      </c>
      <c r="AS626" s="3">
        <v>65.381680000000003</v>
      </c>
      <c r="AT626" s="3">
        <v>61.16742</v>
      </c>
      <c r="AU626" s="3">
        <v>65.14</v>
      </c>
      <c r="AV626" s="3">
        <v>83.766869999999997</v>
      </c>
      <c r="AW626" s="3">
        <v>16.2121</v>
      </c>
      <c r="AX626" s="3">
        <v>73.412450000000007</v>
      </c>
      <c r="AY626" s="3">
        <v>47.146210000000004</v>
      </c>
    </row>
    <row r="627" spans="1:51" x14ac:dyDescent="0.2">
      <c r="A627" s="3" t="s">
        <v>524</v>
      </c>
      <c r="B627" s="49">
        <v>36892</v>
      </c>
      <c r="D627" s="3">
        <v>75.458979999999997</v>
      </c>
      <c r="E627" s="3">
        <v>39.281280000000002</v>
      </c>
      <c r="F627" s="3">
        <v>76.086389999999994</v>
      </c>
      <c r="G627" s="3">
        <v>94.001270000000005</v>
      </c>
      <c r="H627" s="3">
        <v>63.632109999999997</v>
      </c>
      <c r="I627" s="3">
        <v>71.787719999999993</v>
      </c>
      <c r="J627" s="3">
        <v>51.099139999999998</v>
      </c>
      <c r="K627" s="3">
        <v>32.499380000000002</v>
      </c>
      <c r="L627" s="3">
        <v>74.599999999999994</v>
      </c>
      <c r="M627" s="3">
        <v>80.604339999999993</v>
      </c>
      <c r="N627" s="3">
        <v>76.7</v>
      </c>
      <c r="O627" s="3">
        <v>76.430000000000007</v>
      </c>
      <c r="P627" s="3">
        <v>72.596900000000005</v>
      </c>
      <c r="Q627" s="3">
        <v>61.832410000000003</v>
      </c>
      <c r="R627" s="3">
        <v>82.43</v>
      </c>
      <c r="S627" s="3">
        <v>79.832980000000006</v>
      </c>
      <c r="T627" s="3">
        <v>80.13</v>
      </c>
      <c r="U627" s="3">
        <v>62.38382</v>
      </c>
      <c r="V627" s="3">
        <v>77.826539999999994</v>
      </c>
      <c r="W627" s="3">
        <v>73.5</v>
      </c>
      <c r="X627" s="3">
        <v>72.31429</v>
      </c>
      <c r="Y627" s="3">
        <v>54.700220000000002</v>
      </c>
      <c r="Z627" s="3">
        <v>35.140470000000001</v>
      </c>
      <c r="AA627" s="3">
        <v>36.897880000000001</v>
      </c>
      <c r="AB627" s="3">
        <v>99.975080000000005</v>
      </c>
      <c r="AC627" s="3">
        <v>59.626060000000003</v>
      </c>
      <c r="AD627" s="3">
        <v>75.37688</v>
      </c>
      <c r="AE627" s="3">
        <v>76.255110000000002</v>
      </c>
      <c r="AF627" s="3">
        <v>98.9</v>
      </c>
      <c r="AG627" s="3">
        <v>68.102999999999994</v>
      </c>
      <c r="AI627" s="3">
        <v>73.587130000000002</v>
      </c>
      <c r="AJ627" s="3">
        <v>55.660020000000003</v>
      </c>
      <c r="AK627" s="3">
        <v>55.416930000000001</v>
      </c>
      <c r="AL627" s="3">
        <v>76.31</v>
      </c>
      <c r="AM627" s="3">
        <v>76.900000000000006</v>
      </c>
      <c r="AN627" s="3">
        <v>72.574950000000001</v>
      </c>
      <c r="AO627" s="3">
        <v>69.181370000000001</v>
      </c>
      <c r="AP627" s="3">
        <v>72.863860000000003</v>
      </c>
      <c r="AQ627" s="3">
        <v>75.205439999999996</v>
      </c>
      <c r="AS627" s="3">
        <v>65.315160000000006</v>
      </c>
      <c r="AT627" s="3">
        <v>62.294730000000001</v>
      </c>
      <c r="AU627" s="3">
        <v>65.38</v>
      </c>
      <c r="AV627" s="3">
        <v>83.517939999999996</v>
      </c>
      <c r="AW627" s="3">
        <v>16.618410000000001</v>
      </c>
      <c r="AX627" s="3">
        <v>73.876559999999998</v>
      </c>
      <c r="AY627" s="3">
        <v>47.744160000000001</v>
      </c>
    </row>
    <row r="628" spans="1:51" x14ac:dyDescent="0.2">
      <c r="A628" s="3" t="s">
        <v>525</v>
      </c>
      <c r="B628" s="49">
        <v>36923</v>
      </c>
      <c r="D628" s="3">
        <v>75.786029999999997</v>
      </c>
      <c r="E628" s="3">
        <v>39.462020000000003</v>
      </c>
      <c r="F628" s="3">
        <v>76.481430000000003</v>
      </c>
      <c r="G628" s="3">
        <v>93.874049999999997</v>
      </c>
      <c r="H628" s="3">
        <v>63.436450000000001</v>
      </c>
      <c r="I628" s="3">
        <v>71.859499999999997</v>
      </c>
      <c r="J628" s="3">
        <v>52.069229999999997</v>
      </c>
      <c r="K628" s="3">
        <v>32.874130000000001</v>
      </c>
      <c r="L628" s="3">
        <v>74.599999999999994</v>
      </c>
      <c r="M628" s="3">
        <v>81.070800000000006</v>
      </c>
      <c r="N628" s="3">
        <v>77.3</v>
      </c>
      <c r="O628" s="3">
        <v>76.66</v>
      </c>
      <c r="P628" s="3">
        <v>72.835239999999999</v>
      </c>
      <c r="Q628" s="3">
        <v>62.037489999999998</v>
      </c>
      <c r="R628" s="3">
        <v>82.02</v>
      </c>
      <c r="S628" s="3">
        <v>80.323580000000007</v>
      </c>
      <c r="T628" s="3">
        <v>80.349999999999994</v>
      </c>
      <c r="U628" s="3">
        <v>62.575989999999997</v>
      </c>
      <c r="V628" s="3">
        <v>78.069040000000001</v>
      </c>
      <c r="W628" s="3">
        <v>73.7</v>
      </c>
      <c r="X628" s="3">
        <v>72.242609999999999</v>
      </c>
      <c r="Y628" s="3">
        <v>55.44041</v>
      </c>
      <c r="Z628" s="3">
        <v>35.440379999999998</v>
      </c>
      <c r="AA628" s="3">
        <v>36.732039999999998</v>
      </c>
      <c r="AB628" s="3">
        <v>99.57638</v>
      </c>
      <c r="AC628" s="3">
        <v>60.50168</v>
      </c>
      <c r="AD628" s="3">
        <v>75.37688</v>
      </c>
      <c r="AE628" s="3">
        <v>76.521280000000004</v>
      </c>
      <c r="AF628" s="3">
        <v>98.6</v>
      </c>
      <c r="AG628" s="3">
        <v>68.435000000000002</v>
      </c>
      <c r="AI628" s="3">
        <v>74.522000000000006</v>
      </c>
      <c r="AJ628" s="3">
        <v>55.548439999999999</v>
      </c>
      <c r="AK628" s="3">
        <v>55.38026</v>
      </c>
      <c r="AL628" s="3">
        <v>76.98</v>
      </c>
      <c r="AM628" s="3">
        <v>77.5</v>
      </c>
      <c r="AN628" s="3">
        <v>72.829130000000006</v>
      </c>
      <c r="AO628" s="3">
        <v>69.510149999999996</v>
      </c>
      <c r="AP628" s="3">
        <v>72.934200000000004</v>
      </c>
      <c r="AQ628" s="3">
        <v>75.298000000000002</v>
      </c>
      <c r="AS628" s="3">
        <v>65.182140000000004</v>
      </c>
      <c r="AT628" s="3">
        <v>63.756070000000001</v>
      </c>
      <c r="AU628" s="3">
        <v>66.13</v>
      </c>
      <c r="AV628" s="3">
        <v>83.821119999999993</v>
      </c>
      <c r="AW628" s="3">
        <v>16.917449999999999</v>
      </c>
      <c r="AX628" s="3">
        <v>74.171899999999994</v>
      </c>
      <c r="AY628" s="3">
        <v>47.882150000000003</v>
      </c>
    </row>
    <row r="629" spans="1:51" x14ac:dyDescent="0.2">
      <c r="A629" s="3" t="s">
        <v>526</v>
      </c>
      <c r="B629" s="49">
        <v>36951</v>
      </c>
      <c r="D629" s="3">
        <v>75.954509999999999</v>
      </c>
      <c r="E629" s="3">
        <v>39.611899999999999</v>
      </c>
      <c r="F629" s="3">
        <v>76.718459999999993</v>
      </c>
      <c r="G629" s="3">
        <v>94.024630000000002</v>
      </c>
      <c r="H629" s="3">
        <v>63.73845</v>
      </c>
      <c r="I629" s="3">
        <v>71.428349999999995</v>
      </c>
      <c r="J629" s="3">
        <v>52.840629999999997</v>
      </c>
      <c r="K629" s="3">
        <v>33.435749999999999</v>
      </c>
      <c r="L629" s="3">
        <v>74.7</v>
      </c>
      <c r="M629" s="3">
        <v>81.070800000000006</v>
      </c>
      <c r="N629" s="3">
        <v>77.7</v>
      </c>
      <c r="O629" s="3">
        <v>77.069999999999993</v>
      </c>
      <c r="P629" s="3">
        <v>73.142139999999998</v>
      </c>
      <c r="Q629" s="3">
        <v>62.293849999999999</v>
      </c>
      <c r="R629" s="3">
        <v>82.32</v>
      </c>
      <c r="S629" s="3">
        <v>80.758780000000002</v>
      </c>
      <c r="T629" s="3">
        <v>80.709999999999994</v>
      </c>
      <c r="U629" s="3">
        <v>62.856630000000003</v>
      </c>
      <c r="V629" s="3">
        <v>78.195570000000004</v>
      </c>
      <c r="W629" s="3">
        <v>73.900000000000006</v>
      </c>
      <c r="X629" s="3">
        <v>73.659009999999995</v>
      </c>
      <c r="Y629" s="3">
        <v>55.958550000000002</v>
      </c>
      <c r="Z629" s="3">
        <v>35.759050000000002</v>
      </c>
      <c r="AA629" s="3">
        <v>36.897880000000001</v>
      </c>
      <c r="AB629" s="3">
        <v>98.778970000000001</v>
      </c>
      <c r="AC629" s="3">
        <v>61.210529999999999</v>
      </c>
      <c r="AD629" s="3">
        <v>75.47739</v>
      </c>
      <c r="AE629" s="3">
        <v>76.587810000000005</v>
      </c>
      <c r="AF629" s="3">
        <v>98.4</v>
      </c>
      <c r="AG629" s="3">
        <v>69.034999999999997</v>
      </c>
      <c r="AI629" s="3">
        <v>74.728229999999996</v>
      </c>
      <c r="AJ629" s="3">
        <v>55.818089999999998</v>
      </c>
      <c r="AK629" s="3">
        <v>55.731140000000003</v>
      </c>
      <c r="AL629" s="3">
        <v>77.7</v>
      </c>
      <c r="AM629" s="3">
        <v>77.7</v>
      </c>
      <c r="AN629" s="3">
        <v>73.111660000000001</v>
      </c>
      <c r="AO629" s="3">
        <v>69.957459999999998</v>
      </c>
      <c r="AP629" s="3">
        <v>73.285849999999996</v>
      </c>
      <c r="AQ629" s="3">
        <v>75.628399999999999</v>
      </c>
      <c r="AS629" s="3">
        <v>65.182140000000004</v>
      </c>
      <c r="AT629" s="3">
        <v>64.257099999999994</v>
      </c>
      <c r="AU629" s="3">
        <v>66.84</v>
      </c>
      <c r="AV629" s="3">
        <v>84.440250000000006</v>
      </c>
      <c r="AW629" s="3">
        <v>17.94462</v>
      </c>
      <c r="AX629" s="3">
        <v>74.34066</v>
      </c>
      <c r="AY629" s="3">
        <v>48.204129999999999</v>
      </c>
    </row>
    <row r="630" spans="1:51" x14ac:dyDescent="0.2">
      <c r="A630" s="3" t="s">
        <v>527</v>
      </c>
      <c r="B630" s="49">
        <v>36982</v>
      </c>
      <c r="D630" s="3">
        <v>76.608599999999996</v>
      </c>
      <c r="E630" s="3">
        <v>39.841589999999997</v>
      </c>
      <c r="F630" s="3">
        <v>77.271529999999998</v>
      </c>
      <c r="G630" s="3">
        <v>94.284620000000004</v>
      </c>
      <c r="H630" s="3">
        <v>64.029380000000003</v>
      </c>
      <c r="I630" s="3">
        <v>71.571209999999994</v>
      </c>
      <c r="J630" s="3">
        <v>53.436709999999998</v>
      </c>
      <c r="K630" s="3">
        <v>33.855699999999999</v>
      </c>
      <c r="L630" s="3">
        <v>74.900000000000006</v>
      </c>
      <c r="M630" s="3">
        <v>81.443969999999993</v>
      </c>
      <c r="N630" s="3">
        <v>78</v>
      </c>
      <c r="O630" s="3">
        <v>77.540000000000006</v>
      </c>
      <c r="P630" s="3">
        <v>73.521960000000007</v>
      </c>
      <c r="Q630" s="3">
        <v>62.704009999999997</v>
      </c>
      <c r="R630" s="3">
        <v>82.87</v>
      </c>
      <c r="S630" s="3">
        <v>81.130690000000001</v>
      </c>
      <c r="T630" s="3">
        <v>81.099999999999994</v>
      </c>
      <c r="U630" s="3">
        <v>63.313369999999999</v>
      </c>
      <c r="V630" s="3">
        <v>78.523709999999994</v>
      </c>
      <c r="W630" s="3">
        <v>74.400000000000006</v>
      </c>
      <c r="X630" s="3">
        <v>74.352069999999998</v>
      </c>
      <c r="Y630" s="3">
        <v>56.402659999999997</v>
      </c>
      <c r="Z630" s="3">
        <v>35.927750000000003</v>
      </c>
      <c r="AA630" s="3">
        <v>37.146630000000002</v>
      </c>
      <c r="AB630" s="3">
        <v>99.377020000000002</v>
      </c>
      <c r="AC630" s="3">
        <v>61.472200000000001</v>
      </c>
      <c r="AD630" s="3">
        <v>76.180909999999997</v>
      </c>
      <c r="AE630" s="3">
        <v>76.920519999999996</v>
      </c>
      <c r="AF630" s="3">
        <v>98.6</v>
      </c>
      <c r="AG630" s="3">
        <v>69.301000000000002</v>
      </c>
      <c r="AI630" s="3">
        <v>74.961939999999998</v>
      </c>
      <c r="AJ630" s="3">
        <v>56.013359999999999</v>
      </c>
      <c r="AK630" s="3">
        <v>56.012259999999998</v>
      </c>
      <c r="AL630" s="3">
        <v>78.13</v>
      </c>
      <c r="AM630" s="3">
        <v>78</v>
      </c>
      <c r="AN630" s="3">
        <v>73.611350000000002</v>
      </c>
      <c r="AO630" s="3">
        <v>70.737179999999995</v>
      </c>
      <c r="AP630" s="3">
        <v>73.848510000000005</v>
      </c>
      <c r="AQ630" s="3">
        <v>76.055340000000001</v>
      </c>
      <c r="AS630" s="3">
        <v>65.182140000000004</v>
      </c>
      <c r="AT630" s="3">
        <v>64.549369999999996</v>
      </c>
      <c r="AU630" s="3">
        <v>67.28</v>
      </c>
      <c r="AV630" s="3">
        <v>85.174260000000004</v>
      </c>
      <c r="AW630" s="3">
        <v>19.799130000000002</v>
      </c>
      <c r="AX630" s="3">
        <v>74.635990000000007</v>
      </c>
      <c r="AY630" s="3">
        <v>48.434109999999997</v>
      </c>
    </row>
    <row r="631" spans="1:51" x14ac:dyDescent="0.2">
      <c r="A631" s="3" t="s">
        <v>528</v>
      </c>
      <c r="B631" s="49">
        <v>37012</v>
      </c>
      <c r="D631" s="3">
        <v>77.094220000000007</v>
      </c>
      <c r="E631" s="3">
        <v>40.004919999999998</v>
      </c>
      <c r="F631" s="3">
        <v>77.90361</v>
      </c>
      <c r="G631" s="3">
        <v>94.796360000000007</v>
      </c>
      <c r="H631" s="3">
        <v>64.307559999999995</v>
      </c>
      <c r="I631" s="3">
        <v>71.213350000000005</v>
      </c>
      <c r="J631" s="3">
        <v>53.670459999999999</v>
      </c>
      <c r="K631" s="3">
        <v>34.086779999999997</v>
      </c>
      <c r="L631" s="3">
        <v>75.400000000000006</v>
      </c>
      <c r="M631" s="3">
        <v>81.723849999999999</v>
      </c>
      <c r="N631" s="3">
        <v>78.400000000000006</v>
      </c>
      <c r="O631" s="3">
        <v>77.900000000000006</v>
      </c>
      <c r="P631" s="3">
        <v>73.800020000000004</v>
      </c>
      <c r="Q631" s="3">
        <v>63.114179999999998</v>
      </c>
      <c r="R631" s="3">
        <v>83.25</v>
      </c>
      <c r="S631" s="3">
        <v>81.668760000000006</v>
      </c>
      <c r="T631" s="3">
        <v>81.599999999999994</v>
      </c>
      <c r="U631" s="3">
        <v>63.660229999999999</v>
      </c>
      <c r="V631" s="3">
        <v>78.857290000000006</v>
      </c>
      <c r="W631" s="3">
        <v>74.900000000000006</v>
      </c>
      <c r="X631" s="3">
        <v>74.666290000000004</v>
      </c>
      <c r="Y631" s="3">
        <v>56.9208</v>
      </c>
      <c r="Z631" s="3">
        <v>36.333889999999997</v>
      </c>
      <c r="AA631" s="3">
        <v>37.39537</v>
      </c>
      <c r="AB631" s="3">
        <v>99.975080000000005</v>
      </c>
      <c r="AC631" s="3">
        <v>61.66919</v>
      </c>
      <c r="AD631" s="3">
        <v>76.482410000000002</v>
      </c>
      <c r="AE631" s="3">
        <v>77.120140000000006</v>
      </c>
      <c r="AF631" s="3">
        <v>98.7</v>
      </c>
      <c r="AG631" s="3">
        <v>69.233999999999995</v>
      </c>
      <c r="AI631" s="3">
        <v>75.381259999999997</v>
      </c>
      <c r="AJ631" s="3">
        <v>56.608449999999998</v>
      </c>
      <c r="AK631" s="3">
        <v>56.140790000000003</v>
      </c>
      <c r="AL631" s="3">
        <v>78.39</v>
      </c>
      <c r="AM631" s="3">
        <v>78.400000000000006</v>
      </c>
      <c r="AN631" s="3">
        <v>74.000079999999997</v>
      </c>
      <c r="AO631" s="3">
        <v>71.298050000000003</v>
      </c>
      <c r="AP631" s="3">
        <v>74.692490000000006</v>
      </c>
      <c r="AQ631" s="3">
        <v>76.69126</v>
      </c>
      <c r="AS631" s="3">
        <v>65.049109999999999</v>
      </c>
      <c r="AT631" s="3">
        <v>64.758129999999994</v>
      </c>
      <c r="AU631" s="3">
        <v>68.06</v>
      </c>
      <c r="AV631" s="3">
        <v>85.751900000000006</v>
      </c>
      <c r="AW631" s="3">
        <v>20.799710000000001</v>
      </c>
      <c r="AX631" s="3">
        <v>74.973529999999997</v>
      </c>
      <c r="AY631" s="3">
        <v>48.618099999999998</v>
      </c>
    </row>
    <row r="632" spans="1:51" x14ac:dyDescent="0.2">
      <c r="A632" s="3" t="s">
        <v>529</v>
      </c>
      <c r="B632" s="49">
        <v>37043</v>
      </c>
      <c r="D632" s="3">
        <v>77.232969999999995</v>
      </c>
      <c r="E632" s="3">
        <v>40.213039999999999</v>
      </c>
      <c r="F632" s="3">
        <v>77.982619999999997</v>
      </c>
      <c r="G632" s="3">
        <v>94.975949999999997</v>
      </c>
      <c r="H632" s="3">
        <v>64.343289999999996</v>
      </c>
      <c r="I632" s="3">
        <v>70.358800000000002</v>
      </c>
      <c r="J632" s="3">
        <v>53.693840000000002</v>
      </c>
      <c r="K632" s="3">
        <v>34.182220000000001</v>
      </c>
      <c r="L632" s="3">
        <v>76.2</v>
      </c>
      <c r="M632" s="3">
        <v>81.817139999999995</v>
      </c>
      <c r="N632" s="3">
        <v>78.3</v>
      </c>
      <c r="O632" s="3">
        <v>78.02</v>
      </c>
      <c r="P632" s="3">
        <v>74.048699999999997</v>
      </c>
      <c r="Q632" s="3">
        <v>63.267989999999998</v>
      </c>
      <c r="R632" s="3">
        <v>83.43</v>
      </c>
      <c r="S632" s="3">
        <v>81.660849999999996</v>
      </c>
      <c r="T632" s="3">
        <v>81.650000000000006</v>
      </c>
      <c r="U632" s="3">
        <v>63.837020000000003</v>
      </c>
      <c r="V632" s="3">
        <v>78.934960000000004</v>
      </c>
      <c r="W632" s="3">
        <v>75</v>
      </c>
      <c r="X632" s="3">
        <v>74.586579999999998</v>
      </c>
      <c r="Y632" s="3">
        <v>57.068840000000002</v>
      </c>
      <c r="Z632" s="3">
        <v>36.939979999999998</v>
      </c>
      <c r="AA632" s="3">
        <v>37.892879999999998</v>
      </c>
      <c r="AB632" s="3">
        <v>99.975080000000005</v>
      </c>
      <c r="AC632" s="3">
        <v>62.044460000000001</v>
      </c>
      <c r="AD632" s="3">
        <v>76.683419999999998</v>
      </c>
      <c r="AE632" s="3">
        <v>77.319760000000002</v>
      </c>
      <c r="AF632" s="3">
        <v>98.4</v>
      </c>
      <c r="AG632" s="3">
        <v>69.433999999999997</v>
      </c>
      <c r="AI632" s="3">
        <v>75.608109999999996</v>
      </c>
      <c r="AJ632" s="3">
        <v>56.878100000000003</v>
      </c>
      <c r="AK632" s="3">
        <v>56.273580000000003</v>
      </c>
      <c r="AL632" s="3">
        <v>78.09</v>
      </c>
      <c r="AM632" s="3">
        <v>78.400000000000006</v>
      </c>
      <c r="AN632" s="3">
        <v>74.13897</v>
      </c>
      <c r="AO632" s="3">
        <v>71.53604</v>
      </c>
      <c r="AP632" s="3">
        <v>74.622159999999994</v>
      </c>
      <c r="AQ632" s="3">
        <v>76.891300000000001</v>
      </c>
      <c r="AS632" s="3">
        <v>65.049109999999999</v>
      </c>
      <c r="AT632" s="3">
        <v>64.925139999999999</v>
      </c>
      <c r="AU632" s="3">
        <v>68.33</v>
      </c>
      <c r="AV632" s="3">
        <v>85.627430000000004</v>
      </c>
      <c r="AW632" s="3">
        <v>21.451429999999998</v>
      </c>
      <c r="AX632" s="3">
        <v>75.100099999999998</v>
      </c>
      <c r="AY632" s="3">
        <v>48.848080000000003</v>
      </c>
    </row>
    <row r="633" spans="1:51" x14ac:dyDescent="0.2">
      <c r="A633" s="3" t="s">
        <v>530</v>
      </c>
      <c r="B633" s="49">
        <v>37073</v>
      </c>
      <c r="D633" s="3">
        <v>77.173509999999993</v>
      </c>
      <c r="E633" s="3">
        <v>40.74783</v>
      </c>
      <c r="F633" s="3">
        <v>77.745590000000007</v>
      </c>
      <c r="G633" s="3">
        <v>94.832239999999999</v>
      </c>
      <c r="H633" s="3">
        <v>64.219089999999994</v>
      </c>
      <c r="I633" s="3">
        <v>70.007000000000005</v>
      </c>
      <c r="J633" s="3">
        <v>53.752279999999999</v>
      </c>
      <c r="K633" s="3">
        <v>34.390189999999997</v>
      </c>
      <c r="L633" s="3">
        <v>77</v>
      </c>
      <c r="M633" s="3">
        <v>81.910430000000005</v>
      </c>
      <c r="N633" s="3">
        <v>78.099999999999994</v>
      </c>
      <c r="O633" s="3">
        <v>77.84</v>
      </c>
      <c r="P633" s="3">
        <v>74.230450000000005</v>
      </c>
      <c r="Q633" s="3">
        <v>63.524349999999998</v>
      </c>
      <c r="R633" s="3">
        <v>83.52</v>
      </c>
      <c r="S633" s="3">
        <v>81.051559999999995</v>
      </c>
      <c r="T633" s="3">
        <v>81.48</v>
      </c>
      <c r="U633" s="3">
        <v>63.839779999999998</v>
      </c>
      <c r="V633" s="3">
        <v>78.74239</v>
      </c>
      <c r="W633" s="3">
        <v>74.5</v>
      </c>
      <c r="X633" s="3">
        <v>73.284210000000002</v>
      </c>
      <c r="Y633" s="3">
        <v>57.142859999999999</v>
      </c>
      <c r="Z633" s="3">
        <v>37.721020000000003</v>
      </c>
      <c r="AA633" s="3">
        <v>38.390369999999997</v>
      </c>
      <c r="AB633" s="3">
        <v>100.3738</v>
      </c>
      <c r="AC633" s="3">
        <v>62.169539999999998</v>
      </c>
      <c r="AD633" s="3">
        <v>77.085430000000002</v>
      </c>
      <c r="AE633" s="3">
        <v>77.386300000000006</v>
      </c>
      <c r="AF633" s="3">
        <v>98.1</v>
      </c>
      <c r="AG633" s="3">
        <v>69.566999999999993</v>
      </c>
      <c r="AI633" s="3">
        <v>74.865710000000007</v>
      </c>
      <c r="AJ633" s="3">
        <v>56.636339999999997</v>
      </c>
      <c r="AK633" s="3">
        <v>56.127369999999999</v>
      </c>
      <c r="AL633" s="3">
        <v>77.98</v>
      </c>
      <c r="AM633" s="3">
        <v>77.400000000000006</v>
      </c>
      <c r="AN633" s="3">
        <v>74.038989999999998</v>
      </c>
      <c r="AO633" s="3">
        <v>71.55265</v>
      </c>
      <c r="AP633" s="3">
        <v>74.411159999999995</v>
      </c>
      <c r="AQ633" s="3">
        <v>76.977869999999996</v>
      </c>
      <c r="AS633" s="3">
        <v>64.916089999999997</v>
      </c>
      <c r="AT633" s="3">
        <v>64.966899999999995</v>
      </c>
      <c r="AU633" s="3">
        <v>68.48</v>
      </c>
      <c r="AV633" s="3">
        <v>85.190219999999997</v>
      </c>
      <c r="AW633" s="3">
        <v>21.965009999999999</v>
      </c>
      <c r="AX633" s="3">
        <v>74.889139999999998</v>
      </c>
      <c r="AY633" s="3">
        <v>48.802079999999997</v>
      </c>
    </row>
    <row r="634" spans="1:51" x14ac:dyDescent="0.2">
      <c r="A634" s="3" t="s">
        <v>531</v>
      </c>
      <c r="B634" s="49">
        <v>37104</v>
      </c>
      <c r="D634" s="3">
        <v>77.163600000000002</v>
      </c>
      <c r="E634" s="3">
        <v>41.032969999999999</v>
      </c>
      <c r="F634" s="3">
        <v>77.745590000000007</v>
      </c>
      <c r="G634" s="3">
        <v>94.306190000000001</v>
      </c>
      <c r="H634" s="3">
        <v>64.734610000000004</v>
      </c>
      <c r="I634" s="3">
        <v>70.076999999999998</v>
      </c>
      <c r="J634" s="3">
        <v>53.892530000000001</v>
      </c>
      <c r="K634" s="3">
        <v>34.663460000000001</v>
      </c>
      <c r="L634" s="3">
        <v>76.900000000000006</v>
      </c>
      <c r="M634" s="3">
        <v>81.723849999999999</v>
      </c>
      <c r="N634" s="3">
        <v>78.099999999999994</v>
      </c>
      <c r="O634" s="3">
        <v>77.78</v>
      </c>
      <c r="P634" s="3">
        <v>74.41001</v>
      </c>
      <c r="Q634" s="3">
        <v>63.473080000000003</v>
      </c>
      <c r="R634" s="3">
        <v>83.46</v>
      </c>
      <c r="S634" s="3">
        <v>81.304770000000005</v>
      </c>
      <c r="T634" s="3">
        <v>81.48</v>
      </c>
      <c r="U634" s="3">
        <v>63.966850000000001</v>
      </c>
      <c r="V634" s="3">
        <v>78.787670000000006</v>
      </c>
      <c r="W634" s="3">
        <v>74.8</v>
      </c>
      <c r="X634" s="3">
        <v>73.302279999999996</v>
      </c>
      <c r="Y634" s="3">
        <v>56.994819999999997</v>
      </c>
      <c r="Z634" s="3">
        <v>37.646039999999999</v>
      </c>
      <c r="AA634" s="3">
        <v>38.639119999999998</v>
      </c>
      <c r="AB634" s="3">
        <v>100.5731</v>
      </c>
      <c r="AC634" s="3">
        <v>62.169539999999998</v>
      </c>
      <c r="AD634" s="3">
        <v>77.286429999999996</v>
      </c>
      <c r="AE634" s="3">
        <v>77.386300000000006</v>
      </c>
      <c r="AF634" s="3">
        <v>98.5</v>
      </c>
      <c r="AG634" s="3">
        <v>69.832999999999998</v>
      </c>
      <c r="AI634" s="3">
        <v>75.731840000000005</v>
      </c>
      <c r="AJ634" s="3">
        <v>56.264409999999998</v>
      </c>
      <c r="AK634" s="3">
        <v>56.459910000000001</v>
      </c>
      <c r="AL634" s="3">
        <v>78.27</v>
      </c>
      <c r="AM634" s="3">
        <v>77.3</v>
      </c>
      <c r="AN634" s="3">
        <v>74.161420000000007</v>
      </c>
      <c r="AO634" s="3">
        <v>71.716239999999999</v>
      </c>
      <c r="AP634" s="3">
        <v>74.200159999999997</v>
      </c>
      <c r="AQ634" s="3">
        <v>76.829589999999996</v>
      </c>
      <c r="AS634" s="3">
        <v>64.849580000000003</v>
      </c>
      <c r="AT634" s="3">
        <v>64.883390000000006</v>
      </c>
      <c r="AU634" s="3">
        <v>68.45</v>
      </c>
      <c r="AV634" s="3">
        <v>85.400850000000005</v>
      </c>
      <c r="AW634" s="3">
        <v>22.61055</v>
      </c>
      <c r="AX634" s="3">
        <v>74.889139999999998</v>
      </c>
      <c r="AY634" s="3">
        <v>48.710090000000001</v>
      </c>
    </row>
    <row r="635" spans="1:51" x14ac:dyDescent="0.2">
      <c r="A635" s="3" t="s">
        <v>532</v>
      </c>
      <c r="B635" s="49">
        <v>37135</v>
      </c>
      <c r="D635" s="3">
        <v>77.381630000000001</v>
      </c>
      <c r="E635" s="3">
        <v>41.147820000000003</v>
      </c>
      <c r="F635" s="3">
        <v>77.90361</v>
      </c>
      <c r="G635" s="3">
        <v>94.426349999999999</v>
      </c>
      <c r="H635" s="3">
        <v>65.209299999999999</v>
      </c>
      <c r="I635" s="3">
        <v>70.707700000000003</v>
      </c>
      <c r="J635" s="3">
        <v>54.09122</v>
      </c>
      <c r="K635" s="3">
        <v>34.874450000000003</v>
      </c>
      <c r="L635" s="3">
        <v>76.2</v>
      </c>
      <c r="M635" s="3">
        <v>81.723849999999999</v>
      </c>
      <c r="N635" s="3">
        <v>78.400000000000006</v>
      </c>
      <c r="O635" s="3">
        <v>77.989999999999995</v>
      </c>
      <c r="P635" s="3">
        <v>74.400220000000004</v>
      </c>
      <c r="Q635" s="3">
        <v>63.524349999999998</v>
      </c>
      <c r="R635" s="3">
        <v>83.63</v>
      </c>
      <c r="S635" s="3">
        <v>81.890330000000006</v>
      </c>
      <c r="T635" s="3">
        <v>81.63</v>
      </c>
      <c r="U635" s="3">
        <v>64.270259999999993</v>
      </c>
      <c r="V635" s="3">
        <v>78.987369999999999</v>
      </c>
      <c r="W635" s="3">
        <v>75</v>
      </c>
      <c r="X635" s="3">
        <v>74.702389999999994</v>
      </c>
      <c r="Y635" s="3">
        <v>57.290900000000001</v>
      </c>
      <c r="Z635" s="3">
        <v>37.883470000000003</v>
      </c>
      <c r="AA635" s="3">
        <v>38.55621</v>
      </c>
      <c r="AB635" s="3">
        <v>100.3738</v>
      </c>
      <c r="AC635" s="3">
        <v>62.211239999999997</v>
      </c>
      <c r="AD635" s="3">
        <v>77.487430000000003</v>
      </c>
      <c r="AE635" s="3">
        <v>77.386300000000006</v>
      </c>
      <c r="AF635" s="3">
        <v>98.3</v>
      </c>
      <c r="AG635" s="3">
        <v>69.766999999999996</v>
      </c>
      <c r="AI635" s="3">
        <v>75.821209999999994</v>
      </c>
      <c r="AJ635" s="3">
        <v>56.636339999999997</v>
      </c>
      <c r="AK635" s="3">
        <v>56.985489999999999</v>
      </c>
      <c r="AL635" s="3">
        <v>79.23</v>
      </c>
      <c r="AM635" s="3">
        <v>77.7</v>
      </c>
      <c r="AN635" s="3">
        <v>74.492469999999997</v>
      </c>
      <c r="AO635" s="3">
        <v>72.164079999999998</v>
      </c>
      <c r="AP635" s="3">
        <v>74.411159999999995</v>
      </c>
      <c r="AQ635" s="3">
        <v>76.802719999999994</v>
      </c>
      <c r="AS635" s="3">
        <v>64.849580000000003</v>
      </c>
      <c r="AT635" s="3">
        <v>65.00864</v>
      </c>
      <c r="AU635" s="3">
        <v>69.05</v>
      </c>
      <c r="AV635" s="3">
        <v>86.118899999999996</v>
      </c>
      <c r="AW635" s="3">
        <v>23.941980000000001</v>
      </c>
      <c r="AX635" s="3">
        <v>75.226669999999999</v>
      </c>
      <c r="AY635" s="3">
        <v>48.848080000000003</v>
      </c>
    </row>
    <row r="636" spans="1:51" x14ac:dyDescent="0.2">
      <c r="A636" s="3" t="s">
        <v>533</v>
      </c>
      <c r="B636" s="49">
        <v>37165</v>
      </c>
      <c r="D636" s="3">
        <v>77.262699999999995</v>
      </c>
      <c r="E636" s="3">
        <v>41.489339999999999</v>
      </c>
      <c r="F636" s="3">
        <v>77.508560000000003</v>
      </c>
      <c r="G636" s="3">
        <v>94.283230000000003</v>
      </c>
      <c r="H636" s="3">
        <v>65.297780000000003</v>
      </c>
      <c r="I636" s="3">
        <v>70.919820000000001</v>
      </c>
      <c r="J636" s="3">
        <v>54.19641</v>
      </c>
      <c r="K636" s="3">
        <v>34.871429999999997</v>
      </c>
      <c r="L636" s="3">
        <v>76.2</v>
      </c>
      <c r="M636" s="3">
        <v>81.630549999999999</v>
      </c>
      <c r="N636" s="3">
        <v>78.5</v>
      </c>
      <c r="O636" s="3">
        <v>78.06</v>
      </c>
      <c r="P636" s="3">
        <v>74.322400000000002</v>
      </c>
      <c r="Q636" s="3">
        <v>63.524349999999998</v>
      </c>
      <c r="R636" s="3">
        <v>84.06</v>
      </c>
      <c r="S636" s="3">
        <v>81.708330000000004</v>
      </c>
      <c r="T636" s="3">
        <v>81.680000000000007</v>
      </c>
      <c r="U636" s="3">
        <v>64.415130000000005</v>
      </c>
      <c r="V636" s="3">
        <v>78.827070000000006</v>
      </c>
      <c r="W636" s="3">
        <v>74.900000000000006</v>
      </c>
      <c r="X636" s="3">
        <v>74.939040000000006</v>
      </c>
      <c r="Y636" s="3">
        <v>57.438929999999999</v>
      </c>
      <c r="Z636" s="3">
        <v>38.139650000000003</v>
      </c>
      <c r="AA636" s="3">
        <v>38.804949999999998</v>
      </c>
      <c r="AB636" s="3">
        <v>100.77249999999999</v>
      </c>
      <c r="AC636" s="3">
        <v>62.336329999999997</v>
      </c>
      <c r="AD636" s="3">
        <v>77.487430000000003</v>
      </c>
      <c r="AE636" s="3">
        <v>77.519379999999998</v>
      </c>
      <c r="AF636" s="3">
        <v>98.3</v>
      </c>
      <c r="AG636" s="3">
        <v>69.766999999999996</v>
      </c>
      <c r="AI636" s="3">
        <v>75.951809999999995</v>
      </c>
      <c r="AJ636" s="3">
        <v>56.710729999999998</v>
      </c>
      <c r="AK636" s="3">
        <v>57.243029999999997</v>
      </c>
      <c r="AL636" s="3">
        <v>79.150000000000006</v>
      </c>
      <c r="AM636" s="3">
        <v>77.7</v>
      </c>
      <c r="AN636" s="3">
        <v>74.544979999999995</v>
      </c>
      <c r="AO636" s="3">
        <v>72.497439999999997</v>
      </c>
      <c r="AP636" s="3">
        <v>74.692490000000006</v>
      </c>
      <c r="AQ636" s="3">
        <v>77.100279999999998</v>
      </c>
      <c r="AS636" s="3">
        <v>64.916089999999997</v>
      </c>
      <c r="AT636" s="3">
        <v>65.050399999999996</v>
      </c>
      <c r="AU636" s="3">
        <v>69.37</v>
      </c>
      <c r="AV636" s="3">
        <v>85.885930000000002</v>
      </c>
      <c r="AW636" s="3">
        <v>25.395869999999999</v>
      </c>
      <c r="AX636" s="3">
        <v>74.973529999999997</v>
      </c>
      <c r="AY636" s="3">
        <v>48.802079999999997</v>
      </c>
    </row>
    <row r="637" spans="1:51" x14ac:dyDescent="0.2">
      <c r="A637" s="3" t="s">
        <v>534</v>
      </c>
      <c r="B637" s="49">
        <v>37196</v>
      </c>
      <c r="D637" s="3">
        <v>77.351900000000001</v>
      </c>
      <c r="E637" s="3">
        <v>41.783999999999999</v>
      </c>
      <c r="F637" s="3">
        <v>76.797470000000004</v>
      </c>
      <c r="G637" s="3">
        <v>94.409450000000007</v>
      </c>
      <c r="H637" s="3">
        <v>65.291820000000001</v>
      </c>
      <c r="I637" s="3">
        <v>70.777979999999999</v>
      </c>
      <c r="J637" s="3">
        <v>54.254849999999998</v>
      </c>
      <c r="K637" s="3">
        <v>35.180869999999999</v>
      </c>
      <c r="L637" s="3">
        <v>76.2</v>
      </c>
      <c r="M637" s="3">
        <v>81.443969999999993</v>
      </c>
      <c r="N637" s="3">
        <v>78.3</v>
      </c>
      <c r="O637" s="3">
        <v>78.010000000000005</v>
      </c>
      <c r="P637" s="3">
        <v>74.266900000000007</v>
      </c>
      <c r="Q637" s="3">
        <v>63.524349999999998</v>
      </c>
      <c r="R637" s="3">
        <v>84.3</v>
      </c>
      <c r="S637" s="3">
        <v>81.344340000000003</v>
      </c>
      <c r="T637" s="3">
        <v>81.459999999999994</v>
      </c>
      <c r="U637" s="3">
        <v>64.509510000000006</v>
      </c>
      <c r="V637" s="3">
        <v>78.657309999999995</v>
      </c>
      <c r="W637" s="3">
        <v>74.900000000000006</v>
      </c>
      <c r="X637" s="3">
        <v>75.018649999999994</v>
      </c>
      <c r="Y637" s="3">
        <v>57.512949999999996</v>
      </c>
      <c r="Z637" s="3">
        <v>38.795729999999999</v>
      </c>
      <c r="AA637" s="3">
        <v>39.136620000000001</v>
      </c>
      <c r="AB637" s="3">
        <v>100.2741</v>
      </c>
      <c r="AC637" s="3">
        <v>62.586509999999997</v>
      </c>
      <c r="AD637" s="3">
        <v>77.085430000000002</v>
      </c>
      <c r="AE637" s="3">
        <v>77.652460000000005</v>
      </c>
      <c r="AF637" s="3">
        <v>97.8</v>
      </c>
      <c r="AG637" s="3">
        <v>69.367999999999995</v>
      </c>
      <c r="AI637" s="3">
        <v>76.061800000000005</v>
      </c>
      <c r="AJ637" s="3">
        <v>56.840910000000001</v>
      </c>
      <c r="AK637" s="3">
        <v>57.458669999999998</v>
      </c>
      <c r="AL637" s="3">
        <v>79.05</v>
      </c>
      <c r="AM637" s="3">
        <v>77.7</v>
      </c>
      <c r="AN637" s="3">
        <v>74.526020000000003</v>
      </c>
      <c r="AO637" s="3">
        <v>72.708100000000002</v>
      </c>
      <c r="AP637" s="3">
        <v>74.762829999999994</v>
      </c>
      <c r="AQ637" s="3">
        <v>77.612809999999996</v>
      </c>
      <c r="AS637" s="3">
        <v>64.849580000000003</v>
      </c>
      <c r="AT637" s="3">
        <v>65.00864</v>
      </c>
      <c r="AU637" s="3">
        <v>69.66</v>
      </c>
      <c r="AV637" s="3">
        <v>85.917850000000001</v>
      </c>
      <c r="AW637" s="3">
        <v>26.469080000000002</v>
      </c>
      <c r="AX637" s="3">
        <v>74.846950000000007</v>
      </c>
      <c r="AY637" s="3">
        <v>49.032060000000001</v>
      </c>
    </row>
    <row r="638" spans="1:51" x14ac:dyDescent="0.2">
      <c r="A638" s="3" t="s">
        <v>535</v>
      </c>
      <c r="B638" s="49">
        <v>37226</v>
      </c>
      <c r="D638" s="3">
        <v>77.183419999999998</v>
      </c>
      <c r="E638" s="3">
        <v>42.055680000000002</v>
      </c>
      <c r="F638" s="3">
        <v>76.955489999999998</v>
      </c>
      <c r="G638" s="3">
        <v>94.374660000000006</v>
      </c>
      <c r="H638" s="3">
        <v>65.090199999999996</v>
      </c>
      <c r="I638" s="3">
        <v>70.848759999999999</v>
      </c>
      <c r="J638" s="3">
        <v>54.441859999999998</v>
      </c>
      <c r="K638" s="3">
        <v>35.565669999999997</v>
      </c>
      <c r="L638" s="3">
        <v>76.2</v>
      </c>
      <c r="M638" s="3">
        <v>82.190309999999997</v>
      </c>
      <c r="N638" s="3">
        <v>78.5</v>
      </c>
      <c r="O638" s="3">
        <v>78.36</v>
      </c>
      <c r="P638" s="3">
        <v>74.536249999999995</v>
      </c>
      <c r="Q638" s="3">
        <v>63.62688</v>
      </c>
      <c r="R638" s="3">
        <v>84.15</v>
      </c>
      <c r="S638" s="3">
        <v>81.31268</v>
      </c>
      <c r="T638" s="3">
        <v>81.56</v>
      </c>
      <c r="U638" s="3">
        <v>64.609729999999999</v>
      </c>
      <c r="V638" s="3">
        <v>78.577560000000005</v>
      </c>
      <c r="W638" s="3">
        <v>75</v>
      </c>
      <c r="X638" s="3">
        <v>75.725120000000004</v>
      </c>
      <c r="Y638" s="3">
        <v>57.512949999999996</v>
      </c>
      <c r="Z638" s="3">
        <v>39.420560000000002</v>
      </c>
      <c r="AA638" s="3">
        <v>38.887869999999999</v>
      </c>
      <c r="AB638" s="3">
        <v>100.0748</v>
      </c>
      <c r="AC638" s="3">
        <v>62.378030000000003</v>
      </c>
      <c r="AD638" s="3">
        <v>76.984920000000002</v>
      </c>
      <c r="AE638" s="3">
        <v>77.718999999999994</v>
      </c>
      <c r="AF638" s="3">
        <v>97.7</v>
      </c>
      <c r="AG638" s="3">
        <v>69.501000000000005</v>
      </c>
      <c r="AI638" s="3">
        <v>75.917439999999999</v>
      </c>
      <c r="AJ638" s="3">
        <v>57.064070000000001</v>
      </c>
      <c r="AK638" s="3">
        <v>57.538240000000002</v>
      </c>
      <c r="AL638" s="3">
        <v>78.81</v>
      </c>
      <c r="AM638" s="3">
        <v>77.900000000000006</v>
      </c>
      <c r="AN638" s="3">
        <v>74.572879999999998</v>
      </c>
      <c r="AO638" s="3">
        <v>73.098389999999995</v>
      </c>
      <c r="AP638" s="3">
        <v>74.903490000000005</v>
      </c>
      <c r="AQ638" s="3">
        <v>77.765069999999994</v>
      </c>
      <c r="AS638" s="3">
        <v>64.982600000000005</v>
      </c>
      <c r="AT638" s="3">
        <v>65.175659999999993</v>
      </c>
      <c r="AU638" s="3">
        <v>69.73</v>
      </c>
      <c r="AV638" s="3">
        <v>85.994439999999997</v>
      </c>
      <c r="AW638" s="3">
        <v>27.32253</v>
      </c>
      <c r="AX638" s="3">
        <v>74.551609999999997</v>
      </c>
      <c r="AY638" s="3">
        <v>49.308039999999998</v>
      </c>
    </row>
    <row r="639" spans="1:51" x14ac:dyDescent="0.2">
      <c r="A639" s="3" t="s">
        <v>536</v>
      </c>
      <c r="B639" s="49">
        <v>37257</v>
      </c>
      <c r="D639" s="3">
        <v>77.64922</v>
      </c>
      <c r="E639" s="3">
        <v>42.274470000000001</v>
      </c>
      <c r="F639" s="3">
        <v>77.113510000000005</v>
      </c>
      <c r="G639" s="3">
        <v>94.49145</v>
      </c>
      <c r="H639" s="3">
        <v>65.037459999999996</v>
      </c>
      <c r="I639" s="3">
        <v>71.061300000000003</v>
      </c>
      <c r="J639" s="3">
        <v>54.874310000000001</v>
      </c>
      <c r="K639" s="3">
        <v>35.963520000000003</v>
      </c>
      <c r="L639" s="3">
        <v>77.5</v>
      </c>
      <c r="M639" s="3">
        <v>82.283600000000007</v>
      </c>
      <c r="N639" s="3">
        <v>78.599999999999994</v>
      </c>
      <c r="O639" s="3">
        <v>78.45</v>
      </c>
      <c r="P639" s="3">
        <v>74.433840000000004</v>
      </c>
      <c r="Q639" s="3">
        <v>64.447220000000002</v>
      </c>
      <c r="R639" s="3">
        <v>84.39</v>
      </c>
      <c r="S639" s="3">
        <v>81.652940000000001</v>
      </c>
      <c r="T639" s="3">
        <v>81.94</v>
      </c>
      <c r="U639" s="3">
        <v>64.858840000000001</v>
      </c>
      <c r="V639" s="3">
        <v>78.697909999999993</v>
      </c>
      <c r="W639" s="3">
        <v>74.8</v>
      </c>
      <c r="X639" s="3">
        <v>75.522009999999995</v>
      </c>
      <c r="Y639" s="3">
        <v>58.253149999999998</v>
      </c>
      <c r="Z639" s="3">
        <v>40.257829999999998</v>
      </c>
      <c r="AA639" s="3">
        <v>38.72204</v>
      </c>
      <c r="AB639" s="3">
        <v>99.775729999999996</v>
      </c>
      <c r="AC639" s="3">
        <v>62.794989999999999</v>
      </c>
      <c r="AD639" s="3">
        <v>77.78895</v>
      </c>
      <c r="AE639" s="3">
        <v>78.051699999999997</v>
      </c>
      <c r="AF639" s="3">
        <v>97.5</v>
      </c>
      <c r="AG639" s="3">
        <v>69.900000000000006</v>
      </c>
      <c r="AI639" s="3">
        <v>75.291899999999998</v>
      </c>
      <c r="AJ639" s="3">
        <v>57.566180000000003</v>
      </c>
      <c r="AK639" s="3">
        <v>58.069389999999999</v>
      </c>
      <c r="AL639" s="3">
        <v>79.38</v>
      </c>
      <c r="AM639" s="3">
        <v>78</v>
      </c>
      <c r="AN639" s="3">
        <v>74.827029999999993</v>
      </c>
      <c r="AO639" s="3">
        <v>73.453209999999999</v>
      </c>
      <c r="AP639" s="3">
        <v>75.536479999999997</v>
      </c>
      <c r="AQ639" s="3">
        <v>77.889470000000003</v>
      </c>
      <c r="AS639" s="3">
        <v>65.115620000000007</v>
      </c>
      <c r="AT639" s="3">
        <v>66.0107</v>
      </c>
      <c r="AU639" s="3">
        <v>70.849999999999994</v>
      </c>
      <c r="AV639" s="3">
        <v>85.783810000000003</v>
      </c>
      <c r="AW639" s="3">
        <v>28.775939999999999</v>
      </c>
      <c r="AX639" s="3">
        <v>74.720380000000006</v>
      </c>
      <c r="AY639" s="3">
        <v>50.13597</v>
      </c>
    </row>
    <row r="640" spans="1:51" x14ac:dyDescent="0.2">
      <c r="A640" s="3" t="s">
        <v>537</v>
      </c>
      <c r="B640" s="49">
        <v>37288</v>
      </c>
      <c r="D640" s="3">
        <v>77.778049999999993</v>
      </c>
      <c r="E640" s="3">
        <v>42.426670000000001</v>
      </c>
      <c r="F640" s="3">
        <v>77.587569999999999</v>
      </c>
      <c r="G640" s="3">
        <v>94.488460000000003</v>
      </c>
      <c r="H640" s="3">
        <v>65.043409999999994</v>
      </c>
      <c r="I640" s="3">
        <v>71.842979999999997</v>
      </c>
      <c r="J640" s="3">
        <v>55.563890000000001</v>
      </c>
      <c r="K640" s="3">
        <v>36.12527</v>
      </c>
      <c r="L640" s="3">
        <v>77.5</v>
      </c>
      <c r="M640" s="3">
        <v>82.563479999999998</v>
      </c>
      <c r="N640" s="3">
        <v>79.2</v>
      </c>
      <c r="O640" s="3">
        <v>78.58</v>
      </c>
      <c r="P640" s="3">
        <v>74.498699999999999</v>
      </c>
      <c r="Q640" s="3">
        <v>64.806110000000004</v>
      </c>
      <c r="R640" s="3">
        <v>84.1</v>
      </c>
      <c r="S640" s="3">
        <v>81.779539999999997</v>
      </c>
      <c r="T640" s="3">
        <v>82.04</v>
      </c>
      <c r="U640" s="3">
        <v>65.062380000000005</v>
      </c>
      <c r="V640" s="3">
        <v>78.896199999999993</v>
      </c>
      <c r="W640" s="3">
        <v>75</v>
      </c>
      <c r="X640" s="3">
        <v>74.722499999999997</v>
      </c>
      <c r="Y640" s="3">
        <v>58.845300000000002</v>
      </c>
      <c r="Z640" s="3">
        <v>40.713949999999997</v>
      </c>
      <c r="AA640" s="3">
        <v>38.639119999999998</v>
      </c>
      <c r="AB640" s="3">
        <v>99.676060000000007</v>
      </c>
      <c r="AC640" s="3">
        <v>63.295349999999999</v>
      </c>
      <c r="AD640" s="3">
        <v>78.492459999999994</v>
      </c>
      <c r="AE640" s="3">
        <v>78.317859999999996</v>
      </c>
      <c r="AF640" s="3">
        <v>97</v>
      </c>
      <c r="AG640" s="3">
        <v>70.233000000000004</v>
      </c>
      <c r="AI640" s="3">
        <v>76.213030000000003</v>
      </c>
      <c r="AJ640" s="3">
        <v>57.380209999999998</v>
      </c>
      <c r="AK640" s="3">
        <v>58.032060000000001</v>
      </c>
      <c r="AL640" s="3">
        <v>79.81</v>
      </c>
      <c r="AM640" s="3">
        <v>78.099999999999994</v>
      </c>
      <c r="AN640" s="3">
        <v>75.026259999999994</v>
      </c>
      <c r="AO640" s="3">
        <v>73.677090000000007</v>
      </c>
      <c r="AP640" s="3">
        <v>75.606800000000007</v>
      </c>
      <c r="AQ640" s="3">
        <v>77.755120000000005</v>
      </c>
      <c r="AS640" s="3">
        <v>65.182140000000004</v>
      </c>
      <c r="AT640" s="3">
        <v>66.255420000000001</v>
      </c>
      <c r="AU640" s="3">
        <v>71.5</v>
      </c>
      <c r="AV640" s="3">
        <v>85.991249999999994</v>
      </c>
      <c r="AW640" s="3">
        <v>29.28051</v>
      </c>
      <c r="AX640" s="3">
        <v>75.015720000000002</v>
      </c>
      <c r="AY640" s="3">
        <v>50.741259999999997</v>
      </c>
    </row>
    <row r="641" spans="1:51" x14ac:dyDescent="0.2">
      <c r="A641" s="3" t="s">
        <v>538</v>
      </c>
      <c r="B641" s="49">
        <v>37316</v>
      </c>
      <c r="D641" s="3">
        <v>77.986180000000004</v>
      </c>
      <c r="E641" s="3">
        <v>42.681190000000001</v>
      </c>
      <c r="F641" s="3">
        <v>78.140640000000005</v>
      </c>
      <c r="G641" s="3">
        <v>94.50367</v>
      </c>
      <c r="H641" s="3">
        <v>65.387090000000001</v>
      </c>
      <c r="I641" s="3">
        <v>70.909019999999998</v>
      </c>
      <c r="J641" s="3">
        <v>55.949579999999997</v>
      </c>
      <c r="K641" s="3">
        <v>36.407589999999999</v>
      </c>
      <c r="L641" s="3">
        <v>77.5</v>
      </c>
      <c r="M641" s="3">
        <v>82.750060000000005</v>
      </c>
      <c r="N641" s="3">
        <v>79.7</v>
      </c>
      <c r="O641" s="3">
        <v>79.02</v>
      </c>
      <c r="P641" s="3">
        <v>75.114459999999994</v>
      </c>
      <c r="Q641" s="3">
        <v>64.959919999999997</v>
      </c>
      <c r="R641" s="3">
        <v>84.35</v>
      </c>
      <c r="S641" s="3">
        <v>82.214749999999995</v>
      </c>
      <c r="T641" s="3">
        <v>82.4</v>
      </c>
      <c r="U641" s="3">
        <v>65.328670000000002</v>
      </c>
      <c r="V641" s="3">
        <v>79.242840000000001</v>
      </c>
      <c r="W641" s="3">
        <v>75.2</v>
      </c>
      <c r="X641" s="3">
        <v>76.612700000000004</v>
      </c>
      <c r="Y641" s="3">
        <v>59.289409999999997</v>
      </c>
      <c r="Z641" s="3">
        <v>40.838920000000002</v>
      </c>
      <c r="AA641" s="3">
        <v>38.804949999999998</v>
      </c>
      <c r="AB641" s="3">
        <v>98.878649999999993</v>
      </c>
      <c r="AC641" s="3">
        <v>63.628920000000001</v>
      </c>
      <c r="AD641" s="3">
        <v>78.793970000000002</v>
      </c>
      <c r="AE641" s="3">
        <v>78.517489999999995</v>
      </c>
      <c r="AF641" s="3">
        <v>97.2</v>
      </c>
      <c r="AG641" s="3">
        <v>70.632000000000005</v>
      </c>
      <c r="AI641" s="3">
        <v>76.274889999999999</v>
      </c>
      <c r="AJ641" s="3">
        <v>57.603369999999998</v>
      </c>
      <c r="AK641" s="3">
        <v>58.328899999999997</v>
      </c>
      <c r="AL641" s="3">
        <v>80.52</v>
      </c>
      <c r="AM641" s="3">
        <v>78.400000000000006</v>
      </c>
      <c r="AN641" s="3">
        <v>75.387039999999999</v>
      </c>
      <c r="AO641" s="3">
        <v>74.014660000000006</v>
      </c>
      <c r="AP641" s="3">
        <v>75.747470000000007</v>
      </c>
      <c r="AQ641" s="3">
        <v>78.090500000000006</v>
      </c>
      <c r="AS641" s="3">
        <v>65.115620000000007</v>
      </c>
      <c r="AT641" s="3">
        <v>66.316599999999994</v>
      </c>
      <c r="AU641" s="3">
        <v>71.97</v>
      </c>
      <c r="AV641" s="3">
        <v>86.728449999999995</v>
      </c>
      <c r="AW641" s="3">
        <v>29.628910000000001</v>
      </c>
      <c r="AX641" s="3">
        <v>75.437629999999999</v>
      </c>
      <c r="AY641" s="3">
        <v>51.250259999999997</v>
      </c>
    </row>
    <row r="642" spans="1:51" x14ac:dyDescent="0.2">
      <c r="A642" s="3" t="s">
        <v>539</v>
      </c>
      <c r="B642" s="49">
        <v>37347</v>
      </c>
      <c r="D642" s="3">
        <v>78.006</v>
      </c>
      <c r="E642" s="3">
        <v>43.022709999999996</v>
      </c>
      <c r="F642" s="3">
        <v>78.614689999999996</v>
      </c>
      <c r="G642" s="3">
        <v>95.319130000000001</v>
      </c>
      <c r="H642" s="3">
        <v>65.630390000000006</v>
      </c>
      <c r="I642" s="3">
        <v>70.696299999999994</v>
      </c>
      <c r="J642" s="3">
        <v>56.463850000000001</v>
      </c>
      <c r="K642" s="3">
        <v>36.470880000000001</v>
      </c>
      <c r="L642" s="3">
        <v>77.5</v>
      </c>
      <c r="M642" s="3">
        <v>82.656769999999995</v>
      </c>
      <c r="N642" s="3">
        <v>80</v>
      </c>
      <c r="O642" s="3">
        <v>79.38</v>
      </c>
      <c r="P642" s="3">
        <v>76.134379999999993</v>
      </c>
      <c r="Q642" s="3">
        <v>65.57517</v>
      </c>
      <c r="R642" s="3">
        <v>84.79</v>
      </c>
      <c r="S642" s="3">
        <v>82.555009999999996</v>
      </c>
      <c r="T642" s="3">
        <v>82.71</v>
      </c>
      <c r="U642" s="3">
        <v>65.642240000000001</v>
      </c>
      <c r="V642" s="3">
        <v>79.582800000000006</v>
      </c>
      <c r="W642" s="3">
        <v>75.599999999999994</v>
      </c>
      <c r="X642" s="3">
        <v>77.202789999999993</v>
      </c>
      <c r="Y642" s="3">
        <v>59.807549999999999</v>
      </c>
      <c r="Z642" s="3">
        <v>40.757689999999997</v>
      </c>
      <c r="AA642" s="3">
        <v>38.887869999999999</v>
      </c>
      <c r="AB642" s="3">
        <v>99.277349999999998</v>
      </c>
      <c r="AC642" s="3">
        <v>63.79571</v>
      </c>
      <c r="AD642" s="3">
        <v>80</v>
      </c>
      <c r="AE642" s="3">
        <v>78.717100000000002</v>
      </c>
      <c r="AF642" s="3">
        <v>97.5</v>
      </c>
      <c r="AG642" s="3">
        <v>71.031999999999996</v>
      </c>
      <c r="AI642" s="3">
        <v>76.570480000000003</v>
      </c>
      <c r="AJ642" s="3">
        <v>57.64987</v>
      </c>
      <c r="AK642" s="3">
        <v>58.647530000000003</v>
      </c>
      <c r="AL642" s="3">
        <v>80.900000000000006</v>
      </c>
      <c r="AM642" s="3">
        <v>78.5</v>
      </c>
      <c r="AN642" s="3">
        <v>75.778559999999999</v>
      </c>
      <c r="AO642" s="3">
        <v>74.375600000000006</v>
      </c>
      <c r="AP642" s="3">
        <v>76.099130000000002</v>
      </c>
      <c r="AQ642" s="3">
        <v>78.724429999999998</v>
      </c>
      <c r="AS642" s="3">
        <v>65.049109999999999</v>
      </c>
      <c r="AT642" s="3">
        <v>66.561300000000003</v>
      </c>
      <c r="AU642" s="3">
        <v>72.959999999999994</v>
      </c>
      <c r="AV642" s="3">
        <v>87.105029999999999</v>
      </c>
      <c r="AW642" s="3">
        <v>30.2379</v>
      </c>
      <c r="AX642" s="3">
        <v>75.859539999999996</v>
      </c>
      <c r="AY642" s="3">
        <v>52.123800000000003</v>
      </c>
    </row>
    <row r="643" spans="1:51" x14ac:dyDescent="0.2">
      <c r="A643" s="3" t="s">
        <v>540</v>
      </c>
      <c r="B643" s="49">
        <v>37377</v>
      </c>
      <c r="D643" s="3">
        <v>78.124920000000003</v>
      </c>
      <c r="E643" s="3">
        <v>43.112960000000001</v>
      </c>
      <c r="F643" s="3">
        <v>78.772710000000004</v>
      </c>
      <c r="G643" s="3">
        <v>95.410669999999996</v>
      </c>
      <c r="H643" s="3">
        <v>65.689940000000007</v>
      </c>
      <c r="I643" s="3">
        <v>70.484210000000004</v>
      </c>
      <c r="J643" s="3">
        <v>56.802799999999998</v>
      </c>
      <c r="K643" s="3">
        <v>36.69894</v>
      </c>
      <c r="L643" s="3">
        <v>77.400000000000006</v>
      </c>
      <c r="M643" s="3">
        <v>82.750060000000005</v>
      </c>
      <c r="N643" s="3">
        <v>80</v>
      </c>
      <c r="O643" s="3">
        <v>79.52</v>
      </c>
      <c r="P643" s="3">
        <v>76.407830000000004</v>
      </c>
      <c r="Q643" s="3">
        <v>65.728980000000007</v>
      </c>
      <c r="R643" s="3">
        <v>85.35</v>
      </c>
      <c r="S643" s="3">
        <v>82.736999999999995</v>
      </c>
      <c r="T643" s="3">
        <v>82.81</v>
      </c>
      <c r="U643" s="3">
        <v>65.7697</v>
      </c>
      <c r="V643" s="3">
        <v>79.663780000000003</v>
      </c>
      <c r="W643" s="3">
        <v>75.8</v>
      </c>
      <c r="X643" s="3">
        <v>77.193939999999998</v>
      </c>
      <c r="Y643" s="3">
        <v>60.103630000000003</v>
      </c>
      <c r="Z643" s="3">
        <v>41.088850000000001</v>
      </c>
      <c r="AA643" s="3">
        <v>39.136620000000001</v>
      </c>
      <c r="AB643" s="3">
        <v>99.676060000000007</v>
      </c>
      <c r="AC643" s="3">
        <v>63.79571</v>
      </c>
      <c r="AD643" s="3">
        <v>80.804019999999994</v>
      </c>
      <c r="AE643" s="3">
        <v>78.916730000000001</v>
      </c>
      <c r="AF643" s="3">
        <v>97.8</v>
      </c>
      <c r="AG643" s="3">
        <v>71.298000000000002</v>
      </c>
      <c r="AI643" s="3">
        <v>76.797330000000002</v>
      </c>
      <c r="AJ643" s="3">
        <v>57.75215</v>
      </c>
      <c r="AK643" s="3">
        <v>58.766399999999997</v>
      </c>
      <c r="AL643" s="3">
        <v>80.92</v>
      </c>
      <c r="AM643" s="3">
        <v>78.7</v>
      </c>
      <c r="AN643" s="3">
        <v>75.884879999999995</v>
      </c>
      <c r="AO643" s="3">
        <v>74.528000000000006</v>
      </c>
      <c r="AP643" s="3">
        <v>75.958470000000005</v>
      </c>
      <c r="AQ643" s="3">
        <v>79.243920000000003</v>
      </c>
      <c r="AS643" s="3">
        <v>65.049109999999999</v>
      </c>
      <c r="AT643" s="3">
        <v>66.683660000000003</v>
      </c>
      <c r="AU643" s="3">
        <v>73.180000000000007</v>
      </c>
      <c r="AV643" s="3">
        <v>87.328429999999997</v>
      </c>
      <c r="AW643" s="3">
        <v>30.413060000000002</v>
      </c>
      <c r="AX643" s="3">
        <v>75.859539999999996</v>
      </c>
      <c r="AY643" s="3">
        <v>52.378300000000003</v>
      </c>
    </row>
    <row r="644" spans="1:51" x14ac:dyDescent="0.2">
      <c r="A644" s="3" t="s">
        <v>541</v>
      </c>
      <c r="B644" s="49">
        <v>37408</v>
      </c>
      <c r="D644" s="3">
        <v>77.906890000000004</v>
      </c>
      <c r="E644" s="3">
        <v>43.293930000000003</v>
      </c>
      <c r="F644" s="3">
        <v>78.930729999999997</v>
      </c>
      <c r="G644" s="3">
        <v>95.285439999999994</v>
      </c>
      <c r="H644" s="3">
        <v>65.606579999999994</v>
      </c>
      <c r="I644" s="3">
        <v>69.849850000000004</v>
      </c>
      <c r="J644" s="3">
        <v>57.04824</v>
      </c>
      <c r="K644" s="3">
        <v>36.933039999999998</v>
      </c>
      <c r="L644" s="3">
        <v>77.099999999999994</v>
      </c>
      <c r="M644" s="3">
        <v>82.750060000000005</v>
      </c>
      <c r="N644" s="3">
        <v>80</v>
      </c>
      <c r="O644" s="3">
        <v>79.489999999999995</v>
      </c>
      <c r="P644" s="3">
        <v>76.411820000000006</v>
      </c>
      <c r="Q644" s="3">
        <v>65.677710000000005</v>
      </c>
      <c r="R644" s="3">
        <v>85.61</v>
      </c>
      <c r="S644" s="3">
        <v>82.562920000000005</v>
      </c>
      <c r="T644" s="3">
        <v>82.8</v>
      </c>
      <c r="U644" s="3">
        <v>65.809039999999996</v>
      </c>
      <c r="V644" s="3">
        <v>79.686980000000005</v>
      </c>
      <c r="W644" s="3">
        <v>75.8</v>
      </c>
      <c r="X644" s="3">
        <v>77.055610000000001</v>
      </c>
      <c r="Y644" s="3">
        <v>59.807549999999999</v>
      </c>
      <c r="Z644" s="3">
        <v>41.213819999999998</v>
      </c>
      <c r="AA644" s="3">
        <v>39.468290000000003</v>
      </c>
      <c r="AB644" s="3">
        <v>99.875399999999999</v>
      </c>
      <c r="AC644" s="3">
        <v>64.629639999999995</v>
      </c>
      <c r="AD644" s="3">
        <v>81.809039999999996</v>
      </c>
      <c r="AE644" s="3">
        <v>78.983270000000005</v>
      </c>
      <c r="AF644" s="3">
        <v>97.7</v>
      </c>
      <c r="AG644" s="3">
        <v>71.230999999999995</v>
      </c>
      <c r="AI644" s="3">
        <v>76.914180000000002</v>
      </c>
      <c r="AJ644" s="3">
        <v>57.436</v>
      </c>
      <c r="AK644" s="3">
        <v>59.052930000000003</v>
      </c>
      <c r="AL644" s="3">
        <v>80.650000000000006</v>
      </c>
      <c r="AM644" s="3">
        <v>78.7</v>
      </c>
      <c r="AN644" s="3">
        <v>75.916070000000005</v>
      </c>
      <c r="AO644" s="3">
        <v>74.522930000000002</v>
      </c>
      <c r="AP644" s="3">
        <v>75.677139999999994</v>
      </c>
      <c r="AQ644" s="3">
        <v>79.499690000000001</v>
      </c>
      <c r="AS644" s="3">
        <v>64.916089999999997</v>
      </c>
      <c r="AT644" s="3">
        <v>66.438950000000006</v>
      </c>
      <c r="AU644" s="3">
        <v>73.010000000000005</v>
      </c>
      <c r="AV644" s="3">
        <v>87.200779999999995</v>
      </c>
      <c r="AW644" s="3">
        <v>30.590579999999999</v>
      </c>
      <c r="AX644" s="3">
        <v>75.901730000000001</v>
      </c>
      <c r="AY644" s="3">
        <v>52.825389999999999</v>
      </c>
    </row>
    <row r="645" spans="1:51" x14ac:dyDescent="0.2">
      <c r="A645" s="3" t="s">
        <v>542</v>
      </c>
      <c r="B645" s="49">
        <v>37438</v>
      </c>
      <c r="D645" s="3">
        <v>78.164569999999998</v>
      </c>
      <c r="E645" s="3">
        <v>43.809229999999999</v>
      </c>
      <c r="F645" s="3">
        <v>79.404790000000006</v>
      </c>
      <c r="G645" s="3">
        <v>94.783240000000006</v>
      </c>
      <c r="H645" s="3">
        <v>65.897509999999997</v>
      </c>
      <c r="I645" s="3">
        <v>69.360900000000001</v>
      </c>
      <c r="J645" s="3">
        <v>57.059930000000001</v>
      </c>
      <c r="K645" s="3">
        <v>37.474559999999997</v>
      </c>
      <c r="L645" s="3">
        <v>77.5</v>
      </c>
      <c r="M645" s="3">
        <v>82.843350000000001</v>
      </c>
      <c r="N645" s="3">
        <v>79.8</v>
      </c>
      <c r="O645" s="3">
        <v>79.41</v>
      </c>
      <c r="P645" s="3">
        <v>75.880899999999997</v>
      </c>
      <c r="Q645" s="3">
        <v>65.472629999999995</v>
      </c>
      <c r="R645" s="3">
        <v>85.67</v>
      </c>
      <c r="S645" s="3">
        <v>82.412570000000002</v>
      </c>
      <c r="T645" s="3">
        <v>82.8</v>
      </c>
      <c r="U645" s="3">
        <v>65.894260000000003</v>
      </c>
      <c r="V645" s="3">
        <v>79.713459999999998</v>
      </c>
      <c r="W645" s="3">
        <v>75.599999999999994</v>
      </c>
      <c r="X645" s="3">
        <v>75.730869999999996</v>
      </c>
      <c r="Y645" s="3">
        <v>59.733530000000002</v>
      </c>
      <c r="Z645" s="3">
        <v>41.501240000000003</v>
      </c>
      <c r="AA645" s="3">
        <v>39.882869999999997</v>
      </c>
      <c r="AB645" s="3">
        <v>100.3738</v>
      </c>
      <c r="AC645" s="3">
        <v>64.963210000000004</v>
      </c>
      <c r="AD645" s="3">
        <v>82.412059999999997</v>
      </c>
      <c r="AE645" s="3">
        <v>79.116349999999997</v>
      </c>
      <c r="AF645" s="3">
        <v>97.3</v>
      </c>
      <c r="AG645" s="3">
        <v>71.031999999999996</v>
      </c>
      <c r="AI645" s="3">
        <v>76.371129999999994</v>
      </c>
      <c r="AJ645" s="3">
        <v>57.203539999999997</v>
      </c>
      <c r="AK645" s="3">
        <v>59.222450000000002</v>
      </c>
      <c r="AL645" s="3">
        <v>80.540000000000006</v>
      </c>
      <c r="AM645" s="3">
        <v>78.599999999999994</v>
      </c>
      <c r="AN645" s="3">
        <v>75.937389999999994</v>
      </c>
      <c r="AO645" s="3">
        <v>74.490570000000005</v>
      </c>
      <c r="AP645" s="3">
        <v>75.325479999999999</v>
      </c>
      <c r="AQ645" s="3">
        <v>79.636020000000002</v>
      </c>
      <c r="AS645" s="3">
        <v>65.115620000000007</v>
      </c>
      <c r="AT645" s="3">
        <v>66.255420000000001</v>
      </c>
      <c r="AU645" s="3">
        <v>73.400000000000006</v>
      </c>
      <c r="AV645" s="3">
        <v>86.891210000000001</v>
      </c>
      <c r="AW645" s="3">
        <v>31.03154</v>
      </c>
      <c r="AX645" s="3">
        <v>75.986109999999996</v>
      </c>
      <c r="AY645" s="3">
        <v>53.664540000000002</v>
      </c>
    </row>
    <row r="646" spans="1:51" x14ac:dyDescent="0.2">
      <c r="A646" s="3" t="s">
        <v>543</v>
      </c>
      <c r="B646" s="49">
        <v>37469</v>
      </c>
      <c r="D646" s="3">
        <v>78.134829999999994</v>
      </c>
      <c r="E646" s="3">
        <v>44.093910000000001</v>
      </c>
      <c r="F646" s="3">
        <v>79.720830000000007</v>
      </c>
      <c r="G646" s="3">
        <v>94.751840000000001</v>
      </c>
      <c r="H646" s="3">
        <v>66.145920000000004</v>
      </c>
      <c r="I646" s="3">
        <v>69.568979999999996</v>
      </c>
      <c r="J646" s="3">
        <v>57.118369999999999</v>
      </c>
      <c r="K646" s="3">
        <v>37.91863</v>
      </c>
      <c r="L646" s="3">
        <v>77.400000000000006</v>
      </c>
      <c r="M646" s="3">
        <v>82.750060000000005</v>
      </c>
      <c r="N646" s="3">
        <v>79.900000000000006</v>
      </c>
      <c r="O646" s="3">
        <v>79.459999999999994</v>
      </c>
      <c r="P646" s="3">
        <v>76.098460000000003</v>
      </c>
      <c r="Q646" s="3">
        <v>65.165009999999995</v>
      </c>
      <c r="R646" s="3">
        <v>85.58</v>
      </c>
      <c r="S646" s="3">
        <v>82.412570000000002</v>
      </c>
      <c r="T646" s="3">
        <v>82.99</v>
      </c>
      <c r="U646" s="3">
        <v>66.104960000000005</v>
      </c>
      <c r="V646" s="3">
        <v>79.925340000000006</v>
      </c>
      <c r="W646" s="3">
        <v>75.8</v>
      </c>
      <c r="X646" s="3">
        <v>75.900379999999998</v>
      </c>
      <c r="Y646" s="3">
        <v>59.58549</v>
      </c>
      <c r="Z646" s="3">
        <v>41.62621</v>
      </c>
      <c r="AA646" s="3">
        <v>40.131619999999998</v>
      </c>
      <c r="AB646" s="3">
        <v>101.0715</v>
      </c>
      <c r="AC646" s="3">
        <v>65.380179999999996</v>
      </c>
      <c r="AD646" s="3">
        <v>82.110550000000003</v>
      </c>
      <c r="AE646" s="3">
        <v>79.249430000000004</v>
      </c>
      <c r="AF646" s="3">
        <v>97.6</v>
      </c>
      <c r="AG646" s="3">
        <v>71.498000000000005</v>
      </c>
      <c r="AI646" s="3">
        <v>77.127279999999999</v>
      </c>
      <c r="AJ646" s="3">
        <v>56.76652</v>
      </c>
      <c r="AK646" s="3">
        <v>59.447620000000001</v>
      </c>
      <c r="AL646" s="3">
        <v>80.81</v>
      </c>
      <c r="AM646" s="3">
        <v>78.3</v>
      </c>
      <c r="AN646" s="3">
        <v>76.156729999999996</v>
      </c>
      <c r="AO646" s="3">
        <v>74.656170000000003</v>
      </c>
      <c r="AP646" s="3">
        <v>75.044150000000002</v>
      </c>
      <c r="AQ646" s="3">
        <v>79.694739999999996</v>
      </c>
      <c r="AS646" s="3">
        <v>65.248649999999998</v>
      </c>
      <c r="AT646" s="3">
        <v>66.622479999999996</v>
      </c>
      <c r="AU646" s="3">
        <v>73.459999999999994</v>
      </c>
      <c r="AV646" s="3">
        <v>86.942279999999997</v>
      </c>
      <c r="AW646" s="3">
        <v>31.70936</v>
      </c>
      <c r="AX646" s="3">
        <v>76.239260000000002</v>
      </c>
      <c r="AY646" s="3">
        <v>53.953429999999997</v>
      </c>
    </row>
    <row r="647" spans="1:51" x14ac:dyDescent="0.2">
      <c r="A647" s="3" t="s">
        <v>544</v>
      </c>
      <c r="B647" s="49">
        <v>37500</v>
      </c>
      <c r="D647" s="3">
        <v>78.352869999999996</v>
      </c>
      <c r="E647" s="3">
        <v>44.411299999999997</v>
      </c>
      <c r="F647" s="3">
        <v>79.720830000000007</v>
      </c>
      <c r="G647" s="3">
        <v>94.89555</v>
      </c>
      <c r="H647" s="3">
        <v>66.703969999999998</v>
      </c>
      <c r="I647" s="3">
        <v>70.264669999999995</v>
      </c>
      <c r="J647" s="3">
        <v>57.317059999999998</v>
      </c>
      <c r="K647" s="3">
        <v>38.069330000000001</v>
      </c>
      <c r="L647" s="3">
        <v>77</v>
      </c>
      <c r="M647" s="3">
        <v>82.750060000000005</v>
      </c>
      <c r="N647" s="3">
        <v>80.3</v>
      </c>
      <c r="O647" s="3">
        <v>79.66</v>
      </c>
      <c r="P647" s="3">
        <v>76.38288</v>
      </c>
      <c r="Q647" s="3">
        <v>65.216279999999998</v>
      </c>
      <c r="R647" s="3">
        <v>85.67</v>
      </c>
      <c r="S647" s="3">
        <v>82.713260000000005</v>
      </c>
      <c r="T647" s="3">
        <v>83.14</v>
      </c>
      <c r="U647" s="3">
        <v>66.335530000000006</v>
      </c>
      <c r="V647" s="3">
        <v>80.030429999999996</v>
      </c>
      <c r="W647" s="3">
        <v>76</v>
      </c>
      <c r="X647" s="3">
        <v>77.333439999999996</v>
      </c>
      <c r="Y647" s="3">
        <v>59.955590000000001</v>
      </c>
      <c r="Z647" s="3">
        <v>41.876139999999999</v>
      </c>
      <c r="AA647" s="3">
        <v>40.21454</v>
      </c>
      <c r="AB647" s="3">
        <v>100.87220000000001</v>
      </c>
      <c r="AC647" s="3">
        <v>65.838840000000005</v>
      </c>
      <c r="AD647" s="3">
        <v>82.412059999999997</v>
      </c>
      <c r="AE647" s="3">
        <v>79.382509999999996</v>
      </c>
      <c r="AF647" s="3">
        <v>97.6</v>
      </c>
      <c r="AG647" s="3">
        <v>71.897999999999996</v>
      </c>
      <c r="AI647" s="3">
        <v>77.354129999999998</v>
      </c>
      <c r="AJ647" s="3">
        <v>57.203539999999997</v>
      </c>
      <c r="AK647" s="3">
        <v>59.805190000000003</v>
      </c>
      <c r="AL647" s="3">
        <v>81.69</v>
      </c>
      <c r="AM647" s="3">
        <v>78.8</v>
      </c>
      <c r="AN647" s="3">
        <v>76.37209</v>
      </c>
      <c r="AO647" s="3">
        <v>74.989519999999999</v>
      </c>
      <c r="AP647" s="3">
        <v>75.255139999999997</v>
      </c>
      <c r="AQ647" s="3">
        <v>79.647970000000001</v>
      </c>
      <c r="AS647" s="3">
        <v>65.315160000000006</v>
      </c>
      <c r="AT647" s="3">
        <v>66.806020000000004</v>
      </c>
      <c r="AU647" s="3">
        <v>74.02</v>
      </c>
      <c r="AV647" s="3">
        <v>87.602890000000002</v>
      </c>
      <c r="AW647" s="3">
        <v>32.811999999999998</v>
      </c>
      <c r="AX647" s="3">
        <v>76.365830000000003</v>
      </c>
      <c r="AY647" s="3">
        <v>54.428040000000003</v>
      </c>
    </row>
    <row r="648" spans="1:51" x14ac:dyDescent="0.2">
      <c r="A648" s="3" t="s">
        <v>545</v>
      </c>
      <c r="B648" s="49">
        <v>37530</v>
      </c>
      <c r="D648" s="3">
        <v>78.263670000000005</v>
      </c>
      <c r="E648" s="3">
        <v>44.993189999999998</v>
      </c>
      <c r="F648" s="3">
        <v>79.957859999999997</v>
      </c>
      <c r="G648" s="3">
        <v>95.449629999999999</v>
      </c>
      <c r="H648" s="3">
        <v>67.284999999999997</v>
      </c>
      <c r="I648" s="3">
        <v>70.405199999999994</v>
      </c>
      <c r="J648" s="3">
        <v>57.64432</v>
      </c>
      <c r="K648" s="3">
        <v>38.319490000000002</v>
      </c>
      <c r="L648" s="3">
        <v>76.7</v>
      </c>
      <c r="M648" s="3">
        <v>82.656769999999995</v>
      </c>
      <c r="N648" s="3">
        <v>80.5</v>
      </c>
      <c r="O648" s="3">
        <v>79.849999999999994</v>
      </c>
      <c r="P648" s="3">
        <v>77.139340000000004</v>
      </c>
      <c r="Q648" s="3">
        <v>65.57517</v>
      </c>
      <c r="R648" s="3">
        <v>85.7</v>
      </c>
      <c r="S648" s="3">
        <v>82.926910000000007</v>
      </c>
      <c r="T648" s="3">
        <v>83.27</v>
      </c>
      <c r="U648" s="3">
        <v>66.552989999999994</v>
      </c>
      <c r="V648" s="3">
        <v>80.110820000000004</v>
      </c>
      <c r="W648" s="3">
        <v>76.099999999999994</v>
      </c>
      <c r="X648" s="3">
        <v>77.734380000000002</v>
      </c>
      <c r="Y648" s="3">
        <v>60.251669999999997</v>
      </c>
      <c r="Z648" s="3">
        <v>42.082329999999999</v>
      </c>
      <c r="AA648" s="3">
        <v>40.380369999999999</v>
      </c>
      <c r="AB648" s="3">
        <v>100.6728</v>
      </c>
      <c r="AC648" s="3">
        <v>65.963930000000005</v>
      </c>
      <c r="AD648" s="3">
        <v>82.914569999999998</v>
      </c>
      <c r="AE648" s="3">
        <v>79.582130000000006</v>
      </c>
      <c r="AF648" s="3">
        <v>97.4</v>
      </c>
      <c r="AG648" s="3">
        <v>71.697000000000003</v>
      </c>
      <c r="AI648" s="3">
        <v>77.635959999999997</v>
      </c>
      <c r="AJ648" s="3">
        <v>57.640569999999997</v>
      </c>
      <c r="AK648" s="3">
        <v>60.06879</v>
      </c>
      <c r="AL648" s="3">
        <v>81.489999999999995</v>
      </c>
      <c r="AM648" s="3">
        <v>79.099999999999994</v>
      </c>
      <c r="AN648" s="3">
        <v>76.552419999999998</v>
      </c>
      <c r="AO648" s="3">
        <v>75.276600000000002</v>
      </c>
      <c r="AP648" s="3">
        <v>75.466139999999996</v>
      </c>
      <c r="AQ648" s="3">
        <v>80.161479999999997</v>
      </c>
      <c r="AS648" s="3">
        <v>65.315160000000006</v>
      </c>
      <c r="AT648" s="3">
        <v>66.806020000000004</v>
      </c>
      <c r="AU648" s="3">
        <v>74.36</v>
      </c>
      <c r="AV648" s="3">
        <v>87.886920000000003</v>
      </c>
      <c r="AW648" s="3">
        <v>33.890430000000002</v>
      </c>
      <c r="AX648" s="3">
        <v>76.492400000000004</v>
      </c>
      <c r="AY648" s="3">
        <v>55.239669999999997</v>
      </c>
    </row>
    <row r="649" spans="1:51" x14ac:dyDescent="0.2">
      <c r="A649" s="3" t="s">
        <v>546</v>
      </c>
      <c r="B649" s="49">
        <v>37561</v>
      </c>
      <c r="D649" s="3">
        <v>78.204210000000003</v>
      </c>
      <c r="E649" s="3">
        <v>46.352080000000001</v>
      </c>
      <c r="F649" s="3">
        <v>80.194890000000001</v>
      </c>
      <c r="G649" s="3">
        <v>95.273809999999997</v>
      </c>
      <c r="H649" s="3">
        <v>67.225449999999995</v>
      </c>
      <c r="I649" s="3">
        <v>70.334789999999998</v>
      </c>
      <c r="J649" s="3">
        <v>58.088459999999998</v>
      </c>
      <c r="K649" s="3">
        <v>38.715339999999998</v>
      </c>
      <c r="L649" s="3">
        <v>76.599999999999994</v>
      </c>
      <c r="M649" s="3">
        <v>82.376890000000003</v>
      </c>
      <c r="N649" s="3">
        <v>80.5</v>
      </c>
      <c r="O649" s="3">
        <v>79.790000000000006</v>
      </c>
      <c r="P649" s="3">
        <v>77.259100000000004</v>
      </c>
      <c r="Q649" s="3">
        <v>65.472629999999995</v>
      </c>
      <c r="R649" s="3">
        <v>85.76</v>
      </c>
      <c r="S649" s="3">
        <v>82.665790000000001</v>
      </c>
      <c r="T649" s="3">
        <v>83.27</v>
      </c>
      <c r="U649" s="3">
        <v>66.754869999999997</v>
      </c>
      <c r="V649" s="3">
        <v>80.111649999999997</v>
      </c>
      <c r="W649" s="3">
        <v>76.099999999999994</v>
      </c>
      <c r="X649" s="3">
        <v>77.751099999999994</v>
      </c>
      <c r="Y649" s="3">
        <v>60.251669999999997</v>
      </c>
      <c r="Z649" s="3">
        <v>42.832129999999999</v>
      </c>
      <c r="AA649" s="3">
        <v>40.546199999999999</v>
      </c>
      <c r="AB649" s="3">
        <v>100.2741</v>
      </c>
      <c r="AC649" s="3">
        <v>66.869630000000001</v>
      </c>
      <c r="AD649" s="3">
        <v>82.21105</v>
      </c>
      <c r="AE649" s="3">
        <v>79.848290000000006</v>
      </c>
      <c r="AF649" s="3">
        <v>97.4</v>
      </c>
      <c r="AG649" s="3">
        <v>71.763999999999996</v>
      </c>
      <c r="AI649" s="3">
        <v>77.704700000000003</v>
      </c>
      <c r="AJ649" s="3">
        <v>57.742849999999997</v>
      </c>
      <c r="AK649" s="3">
        <v>60.554600000000001</v>
      </c>
      <c r="AL649" s="3">
        <v>81.25</v>
      </c>
      <c r="AM649" s="3">
        <v>79.400000000000006</v>
      </c>
      <c r="AN649" s="3">
        <v>76.633560000000003</v>
      </c>
      <c r="AO649" s="3">
        <v>75.394220000000004</v>
      </c>
      <c r="AP649" s="3">
        <v>75.395809999999997</v>
      </c>
      <c r="AQ649" s="3">
        <v>80.742679999999993</v>
      </c>
      <c r="AS649" s="3">
        <v>65.381680000000003</v>
      </c>
      <c r="AT649" s="3">
        <v>66.806020000000004</v>
      </c>
      <c r="AU649" s="3">
        <v>74.36</v>
      </c>
      <c r="AV649" s="3">
        <v>87.673100000000005</v>
      </c>
      <c r="AW649" s="3">
        <v>34.87726</v>
      </c>
      <c r="AX649" s="3">
        <v>76.492400000000004</v>
      </c>
      <c r="AY649" s="3">
        <v>55.899990000000003</v>
      </c>
    </row>
    <row r="650" spans="1:51" x14ac:dyDescent="0.2">
      <c r="A650" s="3" t="s">
        <v>547</v>
      </c>
      <c r="B650" s="49">
        <v>37591</v>
      </c>
      <c r="D650" s="3">
        <v>78.243849999999995</v>
      </c>
      <c r="E650" s="3">
        <v>47.325369999999999</v>
      </c>
      <c r="F650" s="3">
        <v>79.87885</v>
      </c>
      <c r="G650" s="3">
        <v>95.215369999999993</v>
      </c>
      <c r="H650" s="3">
        <v>66.928560000000004</v>
      </c>
      <c r="I650" s="3">
        <v>70.5458</v>
      </c>
      <c r="J650" s="3">
        <v>58.252090000000003</v>
      </c>
      <c r="K650" s="3">
        <v>39.009709999999998</v>
      </c>
      <c r="L650" s="3">
        <v>76.7</v>
      </c>
      <c r="M650" s="3">
        <v>83.123230000000007</v>
      </c>
      <c r="N650" s="3">
        <v>80.5</v>
      </c>
      <c r="O650" s="3">
        <v>80.17</v>
      </c>
      <c r="P650" s="3">
        <v>77.51558</v>
      </c>
      <c r="Q650" s="3">
        <v>65.370090000000005</v>
      </c>
      <c r="R650" s="3">
        <v>85.82</v>
      </c>
      <c r="S650" s="3">
        <v>82.657880000000006</v>
      </c>
      <c r="T650" s="3">
        <v>83.41</v>
      </c>
      <c r="U650" s="3">
        <v>66.885620000000003</v>
      </c>
      <c r="V650" s="3">
        <v>80.105019999999996</v>
      </c>
      <c r="W650" s="3">
        <v>76.3</v>
      </c>
      <c r="X650" s="3">
        <v>78.290319999999994</v>
      </c>
      <c r="Y650" s="3">
        <v>60.325679999999998</v>
      </c>
      <c r="Z650" s="3">
        <v>43.331989999999998</v>
      </c>
      <c r="AA650" s="3">
        <v>40.131619999999998</v>
      </c>
      <c r="AB650" s="3">
        <v>99.775729999999996</v>
      </c>
      <c r="AC650" s="3">
        <v>67.852230000000006</v>
      </c>
      <c r="AD650" s="3">
        <v>82.010050000000007</v>
      </c>
      <c r="AE650" s="3">
        <v>79.914829999999995</v>
      </c>
      <c r="AF650" s="3">
        <v>97.4</v>
      </c>
      <c r="AG650" s="3">
        <v>72.096000000000004</v>
      </c>
      <c r="AI650" s="3">
        <v>77.615340000000003</v>
      </c>
      <c r="AJ650" s="3">
        <v>57.854430000000001</v>
      </c>
      <c r="AK650" s="3">
        <v>60.818199999999997</v>
      </c>
      <c r="AL650" s="3">
        <v>80.97</v>
      </c>
      <c r="AM650" s="3">
        <v>80</v>
      </c>
      <c r="AN650" s="3">
        <v>76.699579999999997</v>
      </c>
      <c r="AO650" s="3">
        <v>75.699039999999997</v>
      </c>
      <c r="AP650" s="3">
        <v>75.466139999999996</v>
      </c>
      <c r="AQ650" s="3">
        <v>80.854140000000001</v>
      </c>
      <c r="AS650" s="3">
        <v>65.448189999999997</v>
      </c>
      <c r="AT650" s="3">
        <v>67.295439999999999</v>
      </c>
      <c r="AU650" s="3">
        <v>74.790000000000006</v>
      </c>
      <c r="AV650" s="3">
        <v>87.784800000000004</v>
      </c>
      <c r="AW650" s="3">
        <v>35.450650000000003</v>
      </c>
      <c r="AX650" s="3">
        <v>76.323639999999997</v>
      </c>
      <c r="AY650" s="3">
        <v>55.968780000000002</v>
      </c>
    </row>
    <row r="651" spans="1:51" x14ac:dyDescent="0.2">
      <c r="A651" s="3" t="s">
        <v>548</v>
      </c>
      <c r="B651" s="49">
        <v>37622</v>
      </c>
      <c r="D651" s="3">
        <v>78.590720000000005</v>
      </c>
      <c r="E651" s="3">
        <v>48.390309999999999</v>
      </c>
      <c r="F651" s="3">
        <v>80.589939999999999</v>
      </c>
      <c r="G651" s="3">
        <v>95.291499999999999</v>
      </c>
      <c r="H651" s="3">
        <v>66.994060000000005</v>
      </c>
      <c r="I651" s="3">
        <v>71.321799999999996</v>
      </c>
      <c r="J651" s="3">
        <v>58.92998</v>
      </c>
      <c r="K651" s="3">
        <v>39.261879999999998</v>
      </c>
      <c r="L651" s="3">
        <v>77.099999999999994</v>
      </c>
      <c r="M651" s="3">
        <v>83.123230000000007</v>
      </c>
      <c r="N651" s="3">
        <v>80.599999999999994</v>
      </c>
      <c r="O651" s="3">
        <v>80.14</v>
      </c>
      <c r="P651" s="3">
        <v>77.197230000000005</v>
      </c>
      <c r="Q651" s="3">
        <v>66.087879999999998</v>
      </c>
      <c r="R651" s="3">
        <v>86.12</v>
      </c>
      <c r="S651" s="3">
        <v>82.760739999999998</v>
      </c>
      <c r="T651" s="3">
        <v>83.57</v>
      </c>
      <c r="U651" s="3">
        <v>67.168329999999997</v>
      </c>
      <c r="V651" s="3">
        <v>80.289569999999998</v>
      </c>
      <c r="W651" s="3">
        <v>75.900000000000006</v>
      </c>
      <c r="X651" s="3">
        <v>77.890119999999996</v>
      </c>
      <c r="Y651" s="3">
        <v>61.06588</v>
      </c>
      <c r="Z651" s="3">
        <v>43.74438</v>
      </c>
      <c r="AA651" s="3">
        <v>40.04871</v>
      </c>
      <c r="AB651" s="3">
        <v>99.676060000000007</v>
      </c>
      <c r="AC651" s="3">
        <v>70.151150000000001</v>
      </c>
      <c r="AD651" s="3">
        <v>82.21105</v>
      </c>
      <c r="AE651" s="3">
        <v>80.247529999999998</v>
      </c>
      <c r="AF651" s="3">
        <v>97.1</v>
      </c>
      <c r="AG651" s="3">
        <v>72.563999999999993</v>
      </c>
      <c r="AI651" s="3">
        <v>77.031040000000004</v>
      </c>
      <c r="AJ651" s="3">
        <v>58.384439999999998</v>
      </c>
      <c r="AK651" s="3">
        <v>61.064059999999998</v>
      </c>
      <c r="AL651" s="3">
        <v>81.25</v>
      </c>
      <c r="AM651" s="3">
        <v>81.900000000000006</v>
      </c>
      <c r="AN651" s="3">
        <v>76.9452</v>
      </c>
      <c r="AO651" s="3">
        <v>75.860900000000001</v>
      </c>
      <c r="AP651" s="3">
        <v>75.747470000000007</v>
      </c>
      <c r="AQ651" s="3">
        <v>80.973560000000006</v>
      </c>
      <c r="AS651" s="3">
        <v>65.448189999999997</v>
      </c>
      <c r="AT651" s="3">
        <v>70.843739999999997</v>
      </c>
      <c r="AU651" s="3">
        <v>75.52</v>
      </c>
      <c r="AV651" s="3">
        <v>88.068820000000002</v>
      </c>
      <c r="AW651" s="3">
        <v>36.368169999999999</v>
      </c>
      <c r="AX651" s="3">
        <v>76.661169999999998</v>
      </c>
      <c r="AY651" s="3">
        <v>56.422739999999997</v>
      </c>
    </row>
    <row r="652" spans="1:51" x14ac:dyDescent="0.2">
      <c r="A652" s="3" t="s">
        <v>549</v>
      </c>
      <c r="B652" s="49">
        <v>37653</v>
      </c>
      <c r="D652" s="3">
        <v>79.135800000000003</v>
      </c>
      <c r="E652" s="3">
        <v>49.150149999999996</v>
      </c>
      <c r="F652" s="3">
        <v>81.222020000000001</v>
      </c>
      <c r="G652" s="3">
        <v>95.385319999999993</v>
      </c>
      <c r="H652" s="3">
        <v>67.534260000000003</v>
      </c>
      <c r="I652" s="3">
        <v>71.963700000000003</v>
      </c>
      <c r="J652" s="3">
        <v>59.584499999999998</v>
      </c>
      <c r="K652" s="3">
        <v>39.58137</v>
      </c>
      <c r="L652" s="3">
        <v>77.3</v>
      </c>
      <c r="M652" s="3">
        <v>83.589690000000004</v>
      </c>
      <c r="N652" s="3">
        <v>81.400000000000006</v>
      </c>
      <c r="O652" s="3">
        <v>80.459999999999994</v>
      </c>
      <c r="P652" s="3">
        <v>77.360889999999998</v>
      </c>
      <c r="Q652" s="3">
        <v>66.344229999999996</v>
      </c>
      <c r="R652" s="3">
        <v>85.8</v>
      </c>
      <c r="S652" s="3">
        <v>83.306730000000002</v>
      </c>
      <c r="T652" s="3">
        <v>84.15</v>
      </c>
      <c r="U652" s="3">
        <v>67.556970000000007</v>
      </c>
      <c r="V652" s="3">
        <v>80.716250000000002</v>
      </c>
      <c r="W652" s="3">
        <v>76.099999999999994</v>
      </c>
      <c r="X652" s="3">
        <v>77.965069999999997</v>
      </c>
      <c r="Y652" s="3">
        <v>61.509990000000002</v>
      </c>
      <c r="Z652" s="3">
        <v>43.825609999999998</v>
      </c>
      <c r="AA652" s="3">
        <v>40.131619999999998</v>
      </c>
      <c r="AB652" s="3">
        <v>99.676060000000007</v>
      </c>
      <c r="AC652" s="3">
        <v>71.106750000000005</v>
      </c>
      <c r="AD652" s="3">
        <v>82.512569999999997</v>
      </c>
      <c r="AE652" s="3">
        <v>80.380610000000004</v>
      </c>
      <c r="AF652" s="3">
        <v>96.8</v>
      </c>
      <c r="AG652" s="3">
        <v>72.962000000000003</v>
      </c>
      <c r="AI652" s="3">
        <v>78.08278</v>
      </c>
      <c r="AJ652" s="3">
        <v>58.570399999999999</v>
      </c>
      <c r="AK652" s="3">
        <v>61.23368</v>
      </c>
      <c r="AL652" s="3">
        <v>81.75</v>
      </c>
      <c r="AM652" s="3">
        <v>82</v>
      </c>
      <c r="AN652" s="3">
        <v>77.339579999999998</v>
      </c>
      <c r="AO652" s="3">
        <v>76.210390000000004</v>
      </c>
      <c r="AP652" s="3">
        <v>75.817800000000005</v>
      </c>
      <c r="AQ652" s="3">
        <v>80.960620000000006</v>
      </c>
      <c r="AS652" s="3">
        <v>65.381680000000003</v>
      </c>
      <c r="AT652" s="3">
        <v>71.271990000000002</v>
      </c>
      <c r="AU652" s="3">
        <v>75.900000000000006</v>
      </c>
      <c r="AV652" s="3">
        <v>88.847520000000003</v>
      </c>
      <c r="AW652" s="3">
        <v>36.928449999999998</v>
      </c>
      <c r="AX652" s="3">
        <v>77.251850000000005</v>
      </c>
      <c r="AY652" s="3">
        <v>56.360840000000003</v>
      </c>
    </row>
    <row r="653" spans="1:51" x14ac:dyDescent="0.2">
      <c r="A653" s="3" t="s">
        <v>550</v>
      </c>
      <c r="B653" s="49">
        <v>37681</v>
      </c>
      <c r="D653" s="3">
        <v>79.353830000000002</v>
      </c>
      <c r="E653" s="3">
        <v>49.754770000000001</v>
      </c>
      <c r="F653" s="3">
        <v>81.459050000000005</v>
      </c>
      <c r="G653" s="3">
        <v>95.769159999999999</v>
      </c>
      <c r="H653" s="3">
        <v>68.322850000000003</v>
      </c>
      <c r="I653" s="3">
        <v>71.531909999999996</v>
      </c>
      <c r="J653" s="3">
        <v>60.203949999999999</v>
      </c>
      <c r="K653" s="3">
        <v>39.837569999999999</v>
      </c>
      <c r="L653" s="3">
        <v>77.2</v>
      </c>
      <c r="M653" s="3">
        <v>83.682980000000001</v>
      </c>
      <c r="N653" s="3">
        <v>82</v>
      </c>
      <c r="O653" s="3">
        <v>80.930000000000007</v>
      </c>
      <c r="P653" s="3">
        <v>77.897800000000004</v>
      </c>
      <c r="Q653" s="3">
        <v>66.498050000000006</v>
      </c>
      <c r="R653" s="3">
        <v>86.07</v>
      </c>
      <c r="S653" s="3">
        <v>83.536199999999994</v>
      </c>
      <c r="T653" s="3">
        <v>84.49</v>
      </c>
      <c r="U653" s="3">
        <v>67.919240000000002</v>
      </c>
      <c r="V653" s="3">
        <v>81.087190000000007</v>
      </c>
      <c r="W653" s="3">
        <v>76.400000000000006</v>
      </c>
      <c r="X653" s="3">
        <v>79.735789999999994</v>
      </c>
      <c r="Y653" s="3">
        <v>62.028129999999997</v>
      </c>
      <c r="Z653" s="3">
        <v>43.74438</v>
      </c>
      <c r="AA653" s="3">
        <v>40.380369999999999</v>
      </c>
      <c r="AB653" s="3">
        <v>99.177670000000006</v>
      </c>
      <c r="AC653" s="3">
        <v>71.747979999999998</v>
      </c>
      <c r="AD653" s="3">
        <v>82.713570000000004</v>
      </c>
      <c r="AE653" s="3">
        <v>80.646770000000004</v>
      </c>
      <c r="AF653" s="3">
        <v>97.1</v>
      </c>
      <c r="AG653" s="3">
        <v>73.828000000000003</v>
      </c>
      <c r="AI653" s="3">
        <v>78.302750000000003</v>
      </c>
      <c r="AJ653" s="3">
        <v>58.88655</v>
      </c>
      <c r="AK653" s="3">
        <v>61.62021</v>
      </c>
      <c r="AL653" s="3">
        <v>82.53</v>
      </c>
      <c r="AM653" s="3">
        <v>81.400000000000006</v>
      </c>
      <c r="AN653" s="3">
        <v>77.749679999999998</v>
      </c>
      <c r="AO653" s="3">
        <v>76.578559999999996</v>
      </c>
      <c r="AP653" s="3">
        <v>76.028790000000001</v>
      </c>
      <c r="AQ653" s="3">
        <v>81.017349999999993</v>
      </c>
      <c r="AS653" s="3">
        <v>65.381680000000003</v>
      </c>
      <c r="AT653" s="3">
        <v>71.577870000000004</v>
      </c>
      <c r="AU653" s="3">
        <v>76.44</v>
      </c>
      <c r="AV653" s="3">
        <v>89.303889999999996</v>
      </c>
      <c r="AW653" s="3">
        <v>37.653739999999999</v>
      </c>
      <c r="AX653" s="3">
        <v>77.715940000000003</v>
      </c>
      <c r="AY653" s="3">
        <v>56.691000000000003</v>
      </c>
    </row>
    <row r="654" spans="1:51" x14ac:dyDescent="0.2">
      <c r="A654" s="3" t="s">
        <v>551</v>
      </c>
      <c r="B654" s="49">
        <v>37712</v>
      </c>
      <c r="D654" s="3">
        <v>79.155619999999999</v>
      </c>
      <c r="E654" s="3">
        <v>50.237360000000002</v>
      </c>
      <c r="F654" s="3">
        <v>80.90598</v>
      </c>
      <c r="G654" s="3">
        <v>95.959479999999999</v>
      </c>
      <c r="H654" s="3">
        <v>68.257350000000002</v>
      </c>
      <c r="I654" s="3">
        <v>71.388850000000005</v>
      </c>
      <c r="J654" s="3">
        <v>60.893540000000002</v>
      </c>
      <c r="K654" s="3">
        <v>40.221350000000001</v>
      </c>
      <c r="L654" s="3">
        <v>77.400000000000006</v>
      </c>
      <c r="M654" s="3">
        <v>83.403109999999998</v>
      </c>
      <c r="N654" s="3">
        <v>81.900000000000006</v>
      </c>
      <c r="O654" s="3">
        <v>81.05</v>
      </c>
      <c r="P654" s="3">
        <v>78.53152</v>
      </c>
      <c r="Q654" s="3">
        <v>66.395499999999998</v>
      </c>
      <c r="R654" s="3">
        <v>86.61</v>
      </c>
      <c r="S654" s="3">
        <v>83.433329999999998</v>
      </c>
      <c r="T654" s="3">
        <v>84.37</v>
      </c>
      <c r="U654" s="3">
        <v>68.028360000000006</v>
      </c>
      <c r="V654" s="3">
        <v>81.014690000000002</v>
      </c>
      <c r="W654" s="3">
        <v>76.8</v>
      </c>
      <c r="X654" s="3">
        <v>79.809039999999996</v>
      </c>
      <c r="Y654" s="3">
        <v>62.102150000000002</v>
      </c>
      <c r="Z654" s="3">
        <v>43.869349999999997</v>
      </c>
      <c r="AA654" s="3">
        <v>40.877870000000001</v>
      </c>
      <c r="AB654" s="3">
        <v>99.775729999999996</v>
      </c>
      <c r="AC654" s="3">
        <v>72.431910000000002</v>
      </c>
      <c r="AD654" s="3">
        <v>82.512569999999997</v>
      </c>
      <c r="AE654" s="3">
        <v>80.84639</v>
      </c>
      <c r="AF654" s="3">
        <v>97.4</v>
      </c>
      <c r="AG654" s="3">
        <v>73.694999999999993</v>
      </c>
      <c r="AI654" s="3">
        <v>78.254630000000006</v>
      </c>
      <c r="AJ654" s="3">
        <v>59.072519999999997</v>
      </c>
      <c r="AK654" s="3">
        <v>61.725409999999997</v>
      </c>
      <c r="AL654" s="3">
        <v>82.61</v>
      </c>
      <c r="AM654" s="3">
        <v>80.8</v>
      </c>
      <c r="AN654" s="3">
        <v>77.746340000000004</v>
      </c>
      <c r="AO654" s="3">
        <v>76.701679999999996</v>
      </c>
      <c r="AP654" s="3">
        <v>76.169460000000001</v>
      </c>
      <c r="AQ654" s="3">
        <v>81.640339999999995</v>
      </c>
      <c r="AS654" s="3">
        <v>65.315160000000006</v>
      </c>
      <c r="AT654" s="3">
        <v>71.700230000000005</v>
      </c>
      <c r="AU654" s="3">
        <v>76.819999999999993</v>
      </c>
      <c r="AV654" s="3">
        <v>88.987939999999995</v>
      </c>
      <c r="AW654" s="3">
        <v>38.025979999999997</v>
      </c>
      <c r="AX654" s="3">
        <v>77.547179999999997</v>
      </c>
      <c r="AY654" s="3">
        <v>56.821689999999997</v>
      </c>
    </row>
    <row r="655" spans="1:51" x14ac:dyDescent="0.2">
      <c r="A655" s="3" t="s">
        <v>552</v>
      </c>
      <c r="B655" s="49">
        <v>37742</v>
      </c>
      <c r="D655" s="3">
        <v>78.93759</v>
      </c>
      <c r="E655" s="3">
        <v>50.543849999999999</v>
      </c>
      <c r="F655" s="3">
        <v>80.984989999999996</v>
      </c>
      <c r="G655" s="3">
        <v>95.805729999999997</v>
      </c>
      <c r="H655" s="3">
        <v>67.996189999999999</v>
      </c>
      <c r="I655" s="3">
        <v>70.889129999999994</v>
      </c>
      <c r="J655" s="3">
        <v>61.197420000000001</v>
      </c>
      <c r="K655" s="3">
        <v>40.43233</v>
      </c>
      <c r="L655" s="3">
        <v>77.400000000000006</v>
      </c>
      <c r="M655" s="3">
        <v>83.216520000000003</v>
      </c>
      <c r="N655" s="3">
        <v>81.8</v>
      </c>
      <c r="O655" s="3">
        <v>81</v>
      </c>
      <c r="P655" s="3">
        <v>78.458659999999995</v>
      </c>
      <c r="Q655" s="3">
        <v>66.190420000000003</v>
      </c>
      <c r="R655" s="3">
        <v>87.15</v>
      </c>
      <c r="S655" s="3">
        <v>83.330470000000005</v>
      </c>
      <c r="T655" s="3">
        <v>84.27</v>
      </c>
      <c r="U655" s="3">
        <v>68.017269999999996</v>
      </c>
      <c r="V655" s="3">
        <v>80.957639999999998</v>
      </c>
      <c r="W655" s="3">
        <v>76.8</v>
      </c>
      <c r="X655" s="3">
        <v>80.141469999999998</v>
      </c>
      <c r="Y655" s="3">
        <v>62.250190000000003</v>
      </c>
      <c r="Z655" s="3">
        <v>43.994320000000002</v>
      </c>
      <c r="AA655" s="3">
        <v>40.960790000000003</v>
      </c>
      <c r="AB655" s="3">
        <v>100.3738</v>
      </c>
      <c r="AC655" s="3">
        <v>73.069860000000006</v>
      </c>
      <c r="AD655" s="3">
        <v>82.110550000000003</v>
      </c>
      <c r="AE655" s="3">
        <v>81.046009999999995</v>
      </c>
      <c r="AF655" s="3">
        <v>97.6</v>
      </c>
      <c r="AG655" s="3">
        <v>73.561999999999998</v>
      </c>
      <c r="AI655" s="3">
        <v>78.282129999999995</v>
      </c>
      <c r="AJ655" s="3">
        <v>59.174799999999998</v>
      </c>
      <c r="AK655" s="3">
        <v>61.526240000000001</v>
      </c>
      <c r="AL655" s="3">
        <v>82.55</v>
      </c>
      <c r="AM655" s="3">
        <v>80.3</v>
      </c>
      <c r="AN655" s="3">
        <v>77.705449999999999</v>
      </c>
      <c r="AO655" s="3">
        <v>76.714309999999998</v>
      </c>
      <c r="AP655" s="3">
        <v>76.169460000000001</v>
      </c>
      <c r="AQ655" s="3">
        <v>82.100110000000001</v>
      </c>
      <c r="AS655" s="3">
        <v>65.381680000000003</v>
      </c>
      <c r="AT655" s="3">
        <v>71.761409999999998</v>
      </c>
      <c r="AU655" s="3">
        <v>77.19</v>
      </c>
      <c r="AV655" s="3">
        <v>88.882620000000003</v>
      </c>
      <c r="AW655" s="3">
        <v>38.390540000000001</v>
      </c>
      <c r="AX655" s="3">
        <v>77.420609999999996</v>
      </c>
      <c r="AY655" s="3">
        <v>56.821689999999997</v>
      </c>
    </row>
    <row r="656" spans="1:51" x14ac:dyDescent="0.2">
      <c r="A656" s="3" t="s">
        <v>553</v>
      </c>
      <c r="B656" s="49">
        <v>37773</v>
      </c>
      <c r="D656" s="3">
        <v>79.165530000000004</v>
      </c>
      <c r="E656" s="3">
        <v>50.467979999999997</v>
      </c>
      <c r="F656" s="3">
        <v>80.984989999999996</v>
      </c>
      <c r="G656" s="3">
        <v>95.807720000000003</v>
      </c>
      <c r="H656" s="3">
        <v>67.996189999999999</v>
      </c>
      <c r="I656" s="3">
        <v>70.038460000000001</v>
      </c>
      <c r="J656" s="3">
        <v>61.162350000000004</v>
      </c>
      <c r="K656" s="3">
        <v>40.703600000000002</v>
      </c>
      <c r="L656" s="3">
        <v>77.400000000000006</v>
      </c>
      <c r="M656" s="3">
        <v>83.496399999999994</v>
      </c>
      <c r="N656" s="3">
        <v>81.8</v>
      </c>
      <c r="O656" s="3">
        <v>81.099999999999994</v>
      </c>
      <c r="P656" s="3">
        <v>78.510559999999998</v>
      </c>
      <c r="Q656" s="3">
        <v>65.882800000000003</v>
      </c>
      <c r="R656" s="3">
        <v>87.38</v>
      </c>
      <c r="S656" s="3">
        <v>83.235510000000005</v>
      </c>
      <c r="T656" s="3">
        <v>84.43</v>
      </c>
      <c r="U656" s="3">
        <v>68.018159999999995</v>
      </c>
      <c r="V656" s="3">
        <v>81.005880000000005</v>
      </c>
      <c r="W656" s="3">
        <v>76.7</v>
      </c>
      <c r="X656" s="3">
        <v>79.994259999999997</v>
      </c>
      <c r="Y656" s="3">
        <v>62.398220000000002</v>
      </c>
      <c r="Z656" s="3">
        <v>44.075539999999997</v>
      </c>
      <c r="AA656" s="3">
        <v>41.209539999999997</v>
      </c>
      <c r="AB656" s="3">
        <v>100.77249999999999</v>
      </c>
      <c r="AC656" s="3">
        <v>73.720939999999999</v>
      </c>
      <c r="AD656" s="3">
        <v>81.608040000000003</v>
      </c>
      <c r="AE656" s="3">
        <v>81.112560000000002</v>
      </c>
      <c r="AF656" s="3">
        <v>97.3</v>
      </c>
      <c r="AG656" s="3">
        <v>73.361999999999995</v>
      </c>
      <c r="AI656" s="3">
        <v>78.282129999999995</v>
      </c>
      <c r="AJ656" s="3">
        <v>59.583930000000002</v>
      </c>
      <c r="AK656" s="3">
        <v>61.577069999999999</v>
      </c>
      <c r="AL656" s="3">
        <v>82.17</v>
      </c>
      <c r="AM656" s="3">
        <v>80.099999999999994</v>
      </c>
      <c r="AN656" s="3">
        <v>77.731999999999999</v>
      </c>
      <c r="AO656" s="3">
        <v>76.769589999999994</v>
      </c>
      <c r="AP656" s="3">
        <v>76.099130000000002</v>
      </c>
      <c r="AQ656" s="3">
        <v>82.096130000000002</v>
      </c>
      <c r="AS656" s="3">
        <v>65.448189999999997</v>
      </c>
      <c r="AT656" s="3">
        <v>72.067300000000003</v>
      </c>
      <c r="AU656" s="3">
        <v>77.39</v>
      </c>
      <c r="AV656" s="3">
        <v>88.636889999999994</v>
      </c>
      <c r="AW656" s="3">
        <v>38.421250000000001</v>
      </c>
      <c r="AX656" s="3">
        <v>77.504990000000006</v>
      </c>
      <c r="AY656" s="3">
        <v>56.718510000000002</v>
      </c>
    </row>
    <row r="657" spans="1:51" x14ac:dyDescent="0.2">
      <c r="A657" s="3" t="s">
        <v>554</v>
      </c>
      <c r="B657" s="49">
        <v>37803</v>
      </c>
      <c r="D657" s="3">
        <v>79.314189999999996</v>
      </c>
      <c r="E657" s="3">
        <v>50.568899999999999</v>
      </c>
      <c r="F657" s="3">
        <v>81.063999999999993</v>
      </c>
      <c r="G657" s="3">
        <v>95.039659999999998</v>
      </c>
      <c r="H657" s="3">
        <v>67.937479999999994</v>
      </c>
      <c r="I657" s="3">
        <v>69.688270000000003</v>
      </c>
      <c r="J657" s="3">
        <v>61.068849999999998</v>
      </c>
      <c r="K657" s="3">
        <v>41.030119999999997</v>
      </c>
      <c r="L657" s="3">
        <v>77.5</v>
      </c>
      <c r="M657" s="3">
        <v>83.682980000000001</v>
      </c>
      <c r="N657" s="3">
        <v>81.3</v>
      </c>
      <c r="O657" s="3">
        <v>80.98</v>
      </c>
      <c r="P657" s="3">
        <v>78.018550000000005</v>
      </c>
      <c r="Q657" s="3">
        <v>65.985339999999994</v>
      </c>
      <c r="R657" s="3">
        <v>87.48</v>
      </c>
      <c r="S657" s="3">
        <v>82.800309999999996</v>
      </c>
      <c r="T657" s="3">
        <v>84.34</v>
      </c>
      <c r="U657" s="3">
        <v>68.03837</v>
      </c>
      <c r="V657" s="3">
        <v>81.04701</v>
      </c>
      <c r="W657" s="3">
        <v>76.599999999999994</v>
      </c>
      <c r="X657" s="3">
        <v>78.451179999999994</v>
      </c>
      <c r="Y657" s="3">
        <v>62.546259999999997</v>
      </c>
      <c r="Z657" s="3">
        <v>44.075539999999997</v>
      </c>
      <c r="AA657" s="3">
        <v>41.541200000000003</v>
      </c>
      <c r="AB657" s="3">
        <v>100.5731</v>
      </c>
      <c r="AC657" s="3">
        <v>75.293340000000001</v>
      </c>
      <c r="AD657" s="3">
        <v>81.105530000000002</v>
      </c>
      <c r="AE657" s="3">
        <v>81.245639999999995</v>
      </c>
      <c r="AF657" s="3">
        <v>97.1</v>
      </c>
      <c r="AG657" s="3">
        <v>73.296000000000006</v>
      </c>
      <c r="AI657" s="3">
        <v>77.608469999999997</v>
      </c>
      <c r="AJ657" s="3">
        <v>59.379359999999998</v>
      </c>
      <c r="AK657" s="3">
        <v>61.666310000000003</v>
      </c>
      <c r="AL657" s="3">
        <v>82.24</v>
      </c>
      <c r="AM657" s="3">
        <v>79.8</v>
      </c>
      <c r="AN657" s="3">
        <v>77.722980000000007</v>
      </c>
      <c r="AO657" s="3">
        <v>76.669790000000006</v>
      </c>
      <c r="AP657" s="3">
        <v>75.817800000000005</v>
      </c>
      <c r="AQ657" s="3">
        <v>81.8553</v>
      </c>
      <c r="AS657" s="3">
        <v>65.847260000000006</v>
      </c>
      <c r="AT657" s="3">
        <v>72.006119999999996</v>
      </c>
      <c r="AU657" s="3">
        <v>77.760000000000005</v>
      </c>
      <c r="AV657" s="3">
        <v>88.330520000000007</v>
      </c>
      <c r="AW657" s="3">
        <v>38.348329999999997</v>
      </c>
      <c r="AX657" s="3">
        <v>77.589370000000002</v>
      </c>
      <c r="AY657" s="3">
        <v>56.42962</v>
      </c>
    </row>
    <row r="658" spans="1:51" x14ac:dyDescent="0.2">
      <c r="A658" s="3" t="s">
        <v>555</v>
      </c>
      <c r="B658" s="49">
        <v>37834</v>
      </c>
      <c r="D658" s="3">
        <v>79.532219999999995</v>
      </c>
      <c r="E658" s="3">
        <v>50.740830000000003</v>
      </c>
      <c r="F658" s="3">
        <v>81.301029999999997</v>
      </c>
      <c r="G658" s="3">
        <v>95.260890000000003</v>
      </c>
      <c r="H658" s="3">
        <v>68.049769999999995</v>
      </c>
      <c r="I658" s="3">
        <v>70.176090000000002</v>
      </c>
      <c r="J658" s="3">
        <v>61.267539999999997</v>
      </c>
      <c r="K658" s="3">
        <v>41.199910000000003</v>
      </c>
      <c r="L658" s="3">
        <v>77.3</v>
      </c>
      <c r="M658" s="3">
        <v>83.682980000000001</v>
      </c>
      <c r="N658" s="3">
        <v>81.3</v>
      </c>
      <c r="O658" s="3">
        <v>81.099999999999994</v>
      </c>
      <c r="P658" s="3">
        <v>78.375829999999993</v>
      </c>
      <c r="Q658" s="3">
        <v>65.985339999999994</v>
      </c>
      <c r="R658" s="3">
        <v>87.31</v>
      </c>
      <c r="S658" s="3">
        <v>82.911090000000002</v>
      </c>
      <c r="T658" s="3">
        <v>84.54</v>
      </c>
      <c r="U658" s="3">
        <v>68.198390000000003</v>
      </c>
      <c r="V658" s="3">
        <v>81.283450000000002</v>
      </c>
      <c r="W658" s="3">
        <v>76.8</v>
      </c>
      <c r="X658" s="3">
        <v>78.419070000000005</v>
      </c>
      <c r="Y658" s="3">
        <v>62.398220000000002</v>
      </c>
      <c r="Z658" s="3">
        <v>44.369210000000002</v>
      </c>
      <c r="AA658" s="3">
        <v>41.375369999999997</v>
      </c>
      <c r="AB658" s="3">
        <v>100.6728</v>
      </c>
      <c r="AC658" s="3">
        <v>76.597719999999995</v>
      </c>
      <c r="AD658" s="3">
        <v>81.206029999999998</v>
      </c>
      <c r="AE658" s="3">
        <v>81.445250000000001</v>
      </c>
      <c r="AF658" s="3">
        <v>97.3</v>
      </c>
      <c r="AG658" s="3">
        <v>73.628</v>
      </c>
      <c r="AI658" s="3">
        <v>78.639579999999995</v>
      </c>
      <c r="AJ658" s="3">
        <v>58.737780000000001</v>
      </c>
      <c r="AK658" s="3">
        <v>61.851300000000002</v>
      </c>
      <c r="AL658" s="3">
        <v>82.5</v>
      </c>
      <c r="AM658" s="3">
        <v>80</v>
      </c>
      <c r="AN658" s="3">
        <v>77.932370000000006</v>
      </c>
      <c r="AO658" s="3">
        <v>76.797700000000006</v>
      </c>
      <c r="AP658" s="3">
        <v>75.536479999999997</v>
      </c>
      <c r="AQ658" s="3">
        <v>81.895099999999999</v>
      </c>
      <c r="AS658" s="3">
        <v>65.714240000000004</v>
      </c>
      <c r="AT658" s="3">
        <v>72.740250000000003</v>
      </c>
      <c r="AU658" s="3">
        <v>77.48</v>
      </c>
      <c r="AV658" s="3">
        <v>88.304990000000004</v>
      </c>
      <c r="AW658" s="3">
        <v>38.409730000000003</v>
      </c>
      <c r="AX658" s="3">
        <v>77.884709999999998</v>
      </c>
      <c r="AY658" s="3">
        <v>56.553429999999999</v>
      </c>
    </row>
    <row r="659" spans="1:51" x14ac:dyDescent="0.2">
      <c r="A659" s="3" t="s">
        <v>556</v>
      </c>
      <c r="B659" s="49">
        <v>37865</v>
      </c>
      <c r="D659" s="3">
        <v>79.760159999999999</v>
      </c>
      <c r="E659" s="3">
        <v>51.13664</v>
      </c>
      <c r="F659" s="3">
        <v>81.459050000000005</v>
      </c>
      <c r="G659" s="3">
        <v>95.398840000000007</v>
      </c>
      <c r="H659" s="3">
        <v>68.179929999999999</v>
      </c>
      <c r="I659" s="3">
        <v>71.018199999999993</v>
      </c>
      <c r="J659" s="3">
        <v>61.39611</v>
      </c>
      <c r="K659" s="3">
        <v>41.254170000000002</v>
      </c>
      <c r="L659" s="3">
        <v>77</v>
      </c>
      <c r="M659" s="3">
        <v>83.589690000000004</v>
      </c>
      <c r="N659" s="3">
        <v>81.8</v>
      </c>
      <c r="O659" s="3">
        <v>81.39</v>
      </c>
      <c r="P659" s="3">
        <v>78.61036</v>
      </c>
      <c r="Q659" s="3">
        <v>66.139139999999998</v>
      </c>
      <c r="R659" s="3">
        <v>87.38</v>
      </c>
      <c r="S659" s="3">
        <v>83.251339999999999</v>
      </c>
      <c r="T659" s="3">
        <v>84.86</v>
      </c>
      <c r="U659" s="3">
        <v>68.476500000000001</v>
      </c>
      <c r="V659" s="3">
        <v>81.47784</v>
      </c>
      <c r="W659" s="3">
        <v>77</v>
      </c>
      <c r="X659" s="3">
        <v>79.912980000000005</v>
      </c>
      <c r="Y659" s="3">
        <v>62.768320000000003</v>
      </c>
      <c r="Z659" s="3">
        <v>44.531669999999998</v>
      </c>
      <c r="AA659" s="3">
        <v>41.375369999999997</v>
      </c>
      <c r="AB659" s="3">
        <v>100.6728</v>
      </c>
      <c r="AC659" s="3">
        <v>77.783929999999998</v>
      </c>
      <c r="AD659" s="3">
        <v>80.804019999999994</v>
      </c>
      <c r="AE659" s="3">
        <v>81.578329999999994</v>
      </c>
      <c r="AF659" s="3">
        <v>97.4</v>
      </c>
      <c r="AG659" s="3">
        <v>74.293999999999997</v>
      </c>
      <c r="AI659" s="3">
        <v>78.990160000000003</v>
      </c>
      <c r="AJ659" s="3">
        <v>59.007429999999999</v>
      </c>
      <c r="AK659" s="3">
        <v>62.21951</v>
      </c>
      <c r="AL659" s="3">
        <v>83.31</v>
      </c>
      <c r="AM659" s="3">
        <v>80.400000000000006</v>
      </c>
      <c r="AN659" s="3">
        <v>78.180679999999995</v>
      </c>
      <c r="AO659" s="3">
        <v>77.054239999999993</v>
      </c>
      <c r="AP659" s="3">
        <v>75.888130000000004</v>
      </c>
      <c r="AQ659" s="3">
        <v>82.050349999999995</v>
      </c>
      <c r="AS659" s="3">
        <v>65.847260000000006</v>
      </c>
      <c r="AT659" s="3">
        <v>73.168499999999995</v>
      </c>
      <c r="AU659" s="3">
        <v>77.7</v>
      </c>
      <c r="AV659" s="3">
        <v>88.946449999999999</v>
      </c>
      <c r="AW659" s="3">
        <v>38.927799999999998</v>
      </c>
      <c r="AX659" s="3">
        <v>78.137860000000003</v>
      </c>
      <c r="AY659" s="3">
        <v>56.16825</v>
      </c>
    </row>
    <row r="660" spans="1:51" x14ac:dyDescent="0.2">
      <c r="A660" s="3" t="s">
        <v>557</v>
      </c>
      <c r="B660" s="49">
        <v>37895</v>
      </c>
      <c r="D660" s="3">
        <v>79.502489999999995</v>
      </c>
      <c r="E660" s="3">
        <v>51.284889999999997</v>
      </c>
      <c r="F660" s="3">
        <v>81.222020000000001</v>
      </c>
      <c r="G660" s="3">
        <v>95.882750000000001</v>
      </c>
      <c r="H660" s="3">
        <v>68.073589999999996</v>
      </c>
      <c r="I660" s="3">
        <v>71.657359999999997</v>
      </c>
      <c r="J660" s="3">
        <v>61.442860000000003</v>
      </c>
      <c r="K660" s="3">
        <v>41.735399999999998</v>
      </c>
      <c r="L660" s="3">
        <v>77</v>
      </c>
      <c r="M660" s="3">
        <v>83.589690000000004</v>
      </c>
      <c r="N660" s="3">
        <v>81.599999999999994</v>
      </c>
      <c r="O660" s="3">
        <v>81.510000000000005</v>
      </c>
      <c r="P660" s="3">
        <v>79.140280000000004</v>
      </c>
      <c r="Q660" s="3">
        <v>66.241690000000006</v>
      </c>
      <c r="R660" s="3">
        <v>87.75</v>
      </c>
      <c r="S660" s="3">
        <v>83.164299999999997</v>
      </c>
      <c r="T660" s="3">
        <v>85.04</v>
      </c>
      <c r="U660" s="3">
        <v>68.616510000000005</v>
      </c>
      <c r="V660" s="3">
        <v>81.445920000000001</v>
      </c>
      <c r="W660" s="3">
        <v>77.099999999999994</v>
      </c>
      <c r="X660" s="3">
        <v>80.200209999999998</v>
      </c>
      <c r="Y660" s="3">
        <v>63.212440000000001</v>
      </c>
      <c r="Z660" s="3">
        <v>44.781599999999997</v>
      </c>
      <c r="AA660" s="3">
        <v>41.707039999999999</v>
      </c>
      <c r="AB660" s="3">
        <v>101.0715</v>
      </c>
      <c r="AC660" s="3">
        <v>78.210589999999996</v>
      </c>
      <c r="AD660" s="3">
        <v>80.804019999999994</v>
      </c>
      <c r="AE660" s="3">
        <v>81.644869999999997</v>
      </c>
      <c r="AF660" s="3">
        <v>97.4</v>
      </c>
      <c r="AG660" s="3">
        <v>74.36</v>
      </c>
      <c r="AI660" s="3">
        <v>78.942040000000006</v>
      </c>
      <c r="AJ660" s="3">
        <v>59.518839999999997</v>
      </c>
      <c r="AK660" s="3">
        <v>62.44764</v>
      </c>
      <c r="AL660" s="3">
        <v>83.08</v>
      </c>
      <c r="AM660" s="3">
        <v>80.400000000000006</v>
      </c>
      <c r="AN660" s="3">
        <v>78.22139</v>
      </c>
      <c r="AO660" s="3">
        <v>77.207729999999998</v>
      </c>
      <c r="AP660" s="3">
        <v>76.310130000000001</v>
      </c>
      <c r="AQ660" s="3">
        <v>82.496200000000002</v>
      </c>
      <c r="AS660" s="3">
        <v>65.714240000000004</v>
      </c>
      <c r="AT660" s="3">
        <v>73.229669999999999</v>
      </c>
      <c r="AU660" s="3">
        <v>77.95</v>
      </c>
      <c r="AV660" s="3">
        <v>89.007090000000005</v>
      </c>
      <c r="AW660" s="3">
        <v>39.288519999999998</v>
      </c>
      <c r="AX660" s="3">
        <v>78.053470000000004</v>
      </c>
      <c r="AY660" s="3">
        <v>55.734909999999999</v>
      </c>
    </row>
    <row r="661" spans="1:51" x14ac:dyDescent="0.2">
      <c r="A661" s="3" t="s">
        <v>558</v>
      </c>
      <c r="B661" s="49">
        <v>37926</v>
      </c>
      <c r="D661" s="3">
        <v>79.651150000000001</v>
      </c>
      <c r="E661" s="3">
        <v>51.45937</v>
      </c>
      <c r="F661" s="3">
        <v>81.459050000000005</v>
      </c>
      <c r="G661" s="3">
        <v>95.762200000000007</v>
      </c>
      <c r="H661" s="3">
        <v>67.866029999999995</v>
      </c>
      <c r="I661" s="3">
        <v>72.373940000000005</v>
      </c>
      <c r="J661" s="3">
        <v>61.653239999999997</v>
      </c>
      <c r="K661" s="3">
        <v>42.32817</v>
      </c>
      <c r="L661" s="3">
        <v>77.400000000000006</v>
      </c>
      <c r="M661" s="3">
        <v>83.403109999999998</v>
      </c>
      <c r="N661" s="3">
        <v>81.8</v>
      </c>
      <c r="O661" s="3">
        <v>81.540000000000006</v>
      </c>
      <c r="P661" s="3">
        <v>79.397760000000005</v>
      </c>
      <c r="Q661" s="3">
        <v>66.139139999999998</v>
      </c>
      <c r="R661" s="3">
        <v>88.21</v>
      </c>
      <c r="S661" s="3">
        <v>83.085170000000005</v>
      </c>
      <c r="T661" s="3">
        <v>85.14</v>
      </c>
      <c r="U661" s="3">
        <v>68.671589999999995</v>
      </c>
      <c r="V661" s="3">
        <v>81.287350000000004</v>
      </c>
      <c r="W661" s="3">
        <v>77.099999999999994</v>
      </c>
      <c r="X661" s="3">
        <v>80.35181</v>
      </c>
      <c r="Y661" s="3">
        <v>63.582529999999998</v>
      </c>
      <c r="Z661" s="3">
        <v>45.200240000000001</v>
      </c>
      <c r="AA661" s="3">
        <v>41.789949999999997</v>
      </c>
      <c r="AB661" s="3">
        <v>100.4735</v>
      </c>
      <c r="AC661" s="3">
        <v>78.611760000000004</v>
      </c>
      <c r="AD661" s="3">
        <v>80.703509999999994</v>
      </c>
      <c r="AE661" s="3">
        <v>81.844499999999996</v>
      </c>
      <c r="AF661" s="3">
        <v>96.9</v>
      </c>
      <c r="AG661" s="3">
        <v>74.227000000000004</v>
      </c>
      <c r="AI661" s="3">
        <v>79.134510000000006</v>
      </c>
      <c r="AJ661" s="3">
        <v>59.834980000000002</v>
      </c>
      <c r="AK661" s="3">
        <v>62.965960000000003</v>
      </c>
      <c r="AL661" s="3">
        <v>82.87</v>
      </c>
      <c r="AM661" s="3">
        <v>80.5</v>
      </c>
      <c r="AN661" s="3">
        <v>78.168499999999995</v>
      </c>
      <c r="AO661" s="3">
        <v>77.309809999999999</v>
      </c>
      <c r="AP661" s="3">
        <v>76.521119999999996</v>
      </c>
      <c r="AQ661" s="3">
        <v>82.725089999999994</v>
      </c>
      <c r="AS661" s="3">
        <v>65.714240000000004</v>
      </c>
      <c r="AT661" s="3">
        <v>73.352029999999999</v>
      </c>
      <c r="AU661" s="3">
        <v>78.14</v>
      </c>
      <c r="AV661" s="3">
        <v>88.82199</v>
      </c>
      <c r="AW661" s="3">
        <v>39.787399999999998</v>
      </c>
      <c r="AX661" s="3">
        <v>77.842510000000004</v>
      </c>
      <c r="AY661" s="3">
        <v>55.102110000000003</v>
      </c>
    </row>
    <row r="662" spans="1:51" x14ac:dyDescent="0.2">
      <c r="A662" s="3" t="s">
        <v>559</v>
      </c>
      <c r="B662" s="49">
        <v>37956</v>
      </c>
      <c r="D662" s="3">
        <v>79.601590000000002</v>
      </c>
      <c r="E662" s="3">
        <v>51.726880000000001</v>
      </c>
      <c r="F662" s="3">
        <v>81.538060000000002</v>
      </c>
      <c r="G662" s="3">
        <v>95.780779999999993</v>
      </c>
      <c r="H662" s="3">
        <v>67.646550000000005</v>
      </c>
      <c r="I662" s="3">
        <v>72.808179999999993</v>
      </c>
      <c r="J662" s="3">
        <v>62.027250000000002</v>
      </c>
      <c r="K662" s="3">
        <v>42.858640000000001</v>
      </c>
      <c r="L662" s="3">
        <v>77.5</v>
      </c>
      <c r="M662" s="3">
        <v>84.056150000000002</v>
      </c>
      <c r="N662" s="3">
        <v>81.599999999999994</v>
      </c>
      <c r="O662" s="3">
        <v>81.790000000000006</v>
      </c>
      <c r="P662" s="3">
        <v>79.534480000000002</v>
      </c>
      <c r="Q662" s="3">
        <v>66.036609999999996</v>
      </c>
      <c r="R662" s="3">
        <v>88.71</v>
      </c>
      <c r="S662" s="3">
        <v>83.156390000000002</v>
      </c>
      <c r="T662" s="3">
        <v>85.23</v>
      </c>
      <c r="U662" s="3">
        <v>68.796390000000002</v>
      </c>
      <c r="V662" s="3">
        <v>81.339609999999993</v>
      </c>
      <c r="W662" s="3">
        <v>77.3</v>
      </c>
      <c r="X662" s="3">
        <v>80.698130000000006</v>
      </c>
      <c r="Y662" s="3">
        <v>63.73057</v>
      </c>
      <c r="Z662" s="3">
        <v>45.568890000000003</v>
      </c>
      <c r="AA662" s="3">
        <v>41.624119999999998</v>
      </c>
      <c r="AB662" s="3">
        <v>100.3738</v>
      </c>
      <c r="AC662" s="3">
        <v>78.148179999999996</v>
      </c>
      <c r="AD662" s="3">
        <v>80.502510000000001</v>
      </c>
      <c r="AE662" s="3">
        <v>81.911029999999997</v>
      </c>
      <c r="AF662" s="3">
        <v>97</v>
      </c>
      <c r="AG662" s="3">
        <v>74.561000000000007</v>
      </c>
      <c r="AI662" s="3">
        <v>79.216999999999999</v>
      </c>
      <c r="AJ662" s="3">
        <v>59.946559999999998</v>
      </c>
      <c r="AK662" s="3">
        <v>63.236649999999997</v>
      </c>
      <c r="AL662" s="3">
        <v>82.34</v>
      </c>
      <c r="AM662" s="3">
        <v>80.5</v>
      </c>
      <c r="AN662" s="3">
        <v>78.243250000000003</v>
      </c>
      <c r="AO662" s="3">
        <v>77.500039999999998</v>
      </c>
      <c r="AP662" s="3">
        <v>76.661779999999993</v>
      </c>
      <c r="AQ662" s="3">
        <v>82.772869999999998</v>
      </c>
      <c r="AS662" s="3">
        <v>65.847260000000006</v>
      </c>
      <c r="AT662" s="3">
        <v>73.474379999999996</v>
      </c>
      <c r="AU662" s="3">
        <v>78.239999999999995</v>
      </c>
      <c r="AV662" s="3">
        <v>88.901769999999999</v>
      </c>
      <c r="AW662" s="3">
        <v>39.956249999999997</v>
      </c>
      <c r="AX662" s="3">
        <v>77.758129999999994</v>
      </c>
      <c r="AY662" s="3">
        <v>55.053959999999996</v>
      </c>
    </row>
    <row r="663" spans="1:51" x14ac:dyDescent="0.2">
      <c r="A663" s="3" t="s">
        <v>560</v>
      </c>
      <c r="B663" s="49">
        <v>37987</v>
      </c>
      <c r="D663" s="3">
        <v>79.839449999999999</v>
      </c>
      <c r="E663" s="3">
        <v>52.119900000000001</v>
      </c>
      <c r="F663" s="3">
        <v>81.617069999999998</v>
      </c>
      <c r="G663" s="3">
        <v>95.455789999999993</v>
      </c>
      <c r="H663" s="3">
        <v>67.522350000000003</v>
      </c>
      <c r="I663" s="3">
        <v>73.609070000000003</v>
      </c>
      <c r="J663" s="3">
        <v>62.57658</v>
      </c>
      <c r="K663" s="3">
        <v>43.589039999999997</v>
      </c>
      <c r="L663" s="3">
        <v>78.900000000000006</v>
      </c>
      <c r="M663" s="3">
        <v>84.056150000000002</v>
      </c>
      <c r="N663" s="3">
        <v>81.599999999999994</v>
      </c>
      <c r="O663" s="3">
        <v>81.61</v>
      </c>
      <c r="P663" s="3">
        <v>78.976609999999994</v>
      </c>
      <c r="Q663" s="3">
        <v>66.395499999999998</v>
      </c>
      <c r="R663" s="3">
        <v>89.06</v>
      </c>
      <c r="S663" s="3">
        <v>82.926910000000007</v>
      </c>
      <c r="T663" s="3">
        <v>85.23</v>
      </c>
      <c r="U663" s="3">
        <v>69.035989999999998</v>
      </c>
      <c r="V663" s="3">
        <v>81.518649999999994</v>
      </c>
      <c r="W663" s="3">
        <v>77</v>
      </c>
      <c r="X663" s="3">
        <v>80.170169999999999</v>
      </c>
      <c r="Y663" s="3">
        <v>65.062920000000005</v>
      </c>
      <c r="Z663" s="3">
        <v>45.862560000000002</v>
      </c>
      <c r="AA663" s="3">
        <v>41.789949999999997</v>
      </c>
      <c r="AB663" s="3">
        <v>100.17440000000001</v>
      </c>
      <c r="AC663" s="3">
        <v>78.48903</v>
      </c>
      <c r="AD663" s="3">
        <v>80.301509999999993</v>
      </c>
      <c r="AE663" s="3">
        <v>82.044110000000003</v>
      </c>
      <c r="AF663" s="3">
        <v>96.8</v>
      </c>
      <c r="AG663" s="3">
        <v>75.027000000000001</v>
      </c>
      <c r="AI663" s="3">
        <v>78.653329999999997</v>
      </c>
      <c r="AJ663" s="3">
        <v>60.66254</v>
      </c>
      <c r="AK663" s="3">
        <v>63.629669999999997</v>
      </c>
      <c r="AL663" s="3">
        <v>82.35</v>
      </c>
      <c r="AM663" s="3">
        <v>80.400000000000006</v>
      </c>
      <c r="AN663" s="3">
        <v>78.432280000000006</v>
      </c>
      <c r="AO663" s="3">
        <v>77.500429999999994</v>
      </c>
      <c r="AP663" s="3">
        <v>76.943119999999993</v>
      </c>
      <c r="AQ663" s="3">
        <v>82.777839999999998</v>
      </c>
      <c r="AS663" s="3">
        <v>66.046800000000005</v>
      </c>
      <c r="AT663" s="3">
        <v>76.716800000000006</v>
      </c>
      <c r="AU663" s="3">
        <v>78.53</v>
      </c>
      <c r="AV663" s="3">
        <v>88.707099999999997</v>
      </c>
      <c r="AW663" s="3">
        <v>40.221040000000002</v>
      </c>
      <c r="AX663" s="3">
        <v>78.137860000000003</v>
      </c>
      <c r="AY663" s="3">
        <v>55.294699999999999</v>
      </c>
    </row>
    <row r="664" spans="1:51" x14ac:dyDescent="0.2">
      <c r="A664" s="3" t="s">
        <v>561</v>
      </c>
      <c r="B664" s="49">
        <v>38018</v>
      </c>
      <c r="D664" s="3">
        <v>80.136759999999995</v>
      </c>
      <c r="E664" s="3">
        <v>52.437759999999997</v>
      </c>
      <c r="F664" s="3">
        <v>81.775090000000006</v>
      </c>
      <c r="G664" s="3">
        <v>95.471789999999999</v>
      </c>
      <c r="H664" s="3">
        <v>67.528300000000002</v>
      </c>
      <c r="I664" s="3">
        <v>73.461849999999998</v>
      </c>
      <c r="J664" s="3">
        <v>63.324599999999997</v>
      </c>
      <c r="K664" s="3">
        <v>44.15166</v>
      </c>
      <c r="L664" s="3">
        <v>79.099999999999994</v>
      </c>
      <c r="M664" s="3">
        <v>84.242739999999998</v>
      </c>
      <c r="N664" s="3">
        <v>82.2</v>
      </c>
      <c r="O664" s="3">
        <v>81.8</v>
      </c>
      <c r="P664" s="3">
        <v>79.012540000000001</v>
      </c>
      <c r="Q664" s="3">
        <v>66.651859999999999</v>
      </c>
      <c r="R664" s="3">
        <v>88.94</v>
      </c>
      <c r="S664" s="3">
        <v>83.393770000000004</v>
      </c>
      <c r="T664" s="3">
        <v>85.59</v>
      </c>
      <c r="U664" s="3">
        <v>69.252219999999994</v>
      </c>
      <c r="V664" s="3">
        <v>81.82884</v>
      </c>
      <c r="W664" s="3">
        <v>77.2</v>
      </c>
      <c r="X664" s="3">
        <v>79.921909999999997</v>
      </c>
      <c r="Y664" s="3">
        <v>65.877129999999994</v>
      </c>
      <c r="Z664" s="3">
        <v>45.818820000000002</v>
      </c>
      <c r="AA664" s="3">
        <v>41.789949999999997</v>
      </c>
      <c r="AB664" s="3">
        <v>100.0748</v>
      </c>
      <c r="AC664" s="3">
        <v>79.399010000000004</v>
      </c>
      <c r="AD664" s="3">
        <v>80.502510000000001</v>
      </c>
      <c r="AE664" s="3">
        <v>82.243740000000003</v>
      </c>
      <c r="AF664" s="3">
        <v>96.8</v>
      </c>
      <c r="AG664" s="3">
        <v>75.358999999999995</v>
      </c>
      <c r="AI664" s="3">
        <v>79.670689999999993</v>
      </c>
      <c r="AJ664" s="3">
        <v>61.090260000000001</v>
      </c>
      <c r="AK664" s="3">
        <v>64.010289999999998</v>
      </c>
      <c r="AL664" s="3">
        <v>82.72</v>
      </c>
      <c r="AM664" s="3">
        <v>80.5</v>
      </c>
      <c r="AN664" s="3">
        <v>78.720470000000006</v>
      </c>
      <c r="AO664" s="3">
        <v>77.705410000000001</v>
      </c>
      <c r="AP664" s="3">
        <v>77.013440000000003</v>
      </c>
      <c r="AQ664" s="3">
        <v>82.652439999999999</v>
      </c>
      <c r="AS664" s="3">
        <v>66.113309999999998</v>
      </c>
      <c r="AT664" s="3">
        <v>77.328580000000002</v>
      </c>
      <c r="AU664" s="3">
        <v>78.63</v>
      </c>
      <c r="AV664" s="3">
        <v>88.493279999999999</v>
      </c>
      <c r="AW664" s="3">
        <v>40.428269999999998</v>
      </c>
      <c r="AX664" s="3">
        <v>78.55977</v>
      </c>
      <c r="AY664" s="3">
        <v>55.466659999999997</v>
      </c>
    </row>
    <row r="665" spans="1:51" x14ac:dyDescent="0.2">
      <c r="A665" s="3" t="s">
        <v>562</v>
      </c>
      <c r="B665" s="49">
        <v>38047</v>
      </c>
      <c r="D665" s="3">
        <v>80.245779999999996</v>
      </c>
      <c r="E665" s="3">
        <v>52.684159999999999</v>
      </c>
      <c r="F665" s="3">
        <v>82.091130000000007</v>
      </c>
      <c r="G665" s="3">
        <v>95.676220000000001</v>
      </c>
      <c r="H665" s="3">
        <v>67.812430000000006</v>
      </c>
      <c r="I665" s="3">
        <v>73.682239999999993</v>
      </c>
      <c r="J665" s="3">
        <v>63.944049999999997</v>
      </c>
      <c r="K665" s="3">
        <v>44.355609999999999</v>
      </c>
      <c r="L665" s="3">
        <v>79.099999999999994</v>
      </c>
      <c r="M665" s="3">
        <v>84.52261</v>
      </c>
      <c r="N665" s="3">
        <v>82.5</v>
      </c>
      <c r="O665" s="3">
        <v>82.32</v>
      </c>
      <c r="P665" s="3">
        <v>79.564409999999995</v>
      </c>
      <c r="Q665" s="3">
        <v>66.754390000000001</v>
      </c>
      <c r="R665" s="3">
        <v>89.27</v>
      </c>
      <c r="S665" s="3">
        <v>83.108909999999995</v>
      </c>
      <c r="T665" s="3">
        <v>85.93</v>
      </c>
      <c r="U665" s="3">
        <v>69.586650000000006</v>
      </c>
      <c r="V665" s="3">
        <v>82.217299999999994</v>
      </c>
      <c r="W665" s="3">
        <v>77.3</v>
      </c>
      <c r="X665" s="3">
        <v>81.900090000000006</v>
      </c>
      <c r="Y665" s="3">
        <v>66.247219999999999</v>
      </c>
      <c r="Z665" s="3">
        <v>45.98753</v>
      </c>
      <c r="AA665" s="3">
        <v>41.789949999999997</v>
      </c>
      <c r="AB665" s="3">
        <v>99.377020000000002</v>
      </c>
      <c r="AC665" s="3">
        <v>80.488370000000003</v>
      </c>
      <c r="AD665" s="3">
        <v>80.402010000000004</v>
      </c>
      <c r="AE665" s="3">
        <v>82.509900000000002</v>
      </c>
      <c r="AF665" s="3">
        <v>97</v>
      </c>
      <c r="AG665" s="3">
        <v>76.090999999999994</v>
      </c>
      <c r="AI665" s="3">
        <v>79.705060000000003</v>
      </c>
      <c r="AJ665" s="3">
        <v>61.703949999999999</v>
      </c>
      <c r="AK665" s="3">
        <v>64.227199999999996</v>
      </c>
      <c r="AL665" s="3">
        <v>83.44</v>
      </c>
      <c r="AM665" s="3">
        <v>80.900000000000006</v>
      </c>
      <c r="AN665" s="3">
        <v>79.113500000000002</v>
      </c>
      <c r="AO665" s="3">
        <v>78.041070000000005</v>
      </c>
      <c r="AP665" s="3">
        <v>77.224440000000001</v>
      </c>
      <c r="AQ665" s="3">
        <v>82.843519999999998</v>
      </c>
      <c r="AS665" s="3">
        <v>65.980289999999997</v>
      </c>
      <c r="AT665" s="3">
        <v>77.45093</v>
      </c>
      <c r="AU665" s="3">
        <v>79.12</v>
      </c>
      <c r="AV665" s="3">
        <v>89.160269999999997</v>
      </c>
      <c r="AW665" s="3">
        <v>40.815860000000001</v>
      </c>
      <c r="AX665" s="3">
        <v>79.066059999999993</v>
      </c>
      <c r="AY665" s="3">
        <v>55.728029999999997</v>
      </c>
    </row>
    <row r="666" spans="1:51" x14ac:dyDescent="0.2">
      <c r="A666" s="3" t="s">
        <v>563</v>
      </c>
      <c r="B666" s="49">
        <v>38078</v>
      </c>
      <c r="D666" s="3">
        <v>80.681849999999997</v>
      </c>
      <c r="E666" s="3">
        <v>52.879049999999999</v>
      </c>
      <c r="F666" s="3">
        <v>82.24915</v>
      </c>
      <c r="G666" s="3">
        <v>96.483350000000002</v>
      </c>
      <c r="H666" s="3">
        <v>68.061679999999996</v>
      </c>
      <c r="I666" s="3">
        <v>74.050650000000005</v>
      </c>
      <c r="J666" s="3">
        <v>64.236249999999998</v>
      </c>
      <c r="K666" s="3">
        <v>44.761499999999998</v>
      </c>
      <c r="L666" s="3">
        <v>79.099999999999994</v>
      </c>
      <c r="M666" s="3">
        <v>84.802480000000003</v>
      </c>
      <c r="N666" s="3">
        <v>82.6</v>
      </c>
      <c r="O666" s="3">
        <v>82.74</v>
      </c>
      <c r="P666" s="3">
        <v>80.653210000000001</v>
      </c>
      <c r="Q666" s="3">
        <v>67.267110000000002</v>
      </c>
      <c r="R666" s="3">
        <v>90.08</v>
      </c>
      <c r="S666" s="3">
        <v>83.12473</v>
      </c>
      <c r="T666" s="3">
        <v>86.15</v>
      </c>
      <c r="U666" s="3">
        <v>69.831729999999993</v>
      </c>
      <c r="V666" s="3">
        <v>82.440569999999994</v>
      </c>
      <c r="W666" s="3">
        <v>77.599999999999994</v>
      </c>
      <c r="X666" s="3">
        <v>82.133660000000006</v>
      </c>
      <c r="Y666" s="3">
        <v>66.395259999999993</v>
      </c>
      <c r="Z666" s="3">
        <v>46.443649999999998</v>
      </c>
      <c r="AA666" s="3">
        <v>41.789949999999997</v>
      </c>
      <c r="AB666" s="3">
        <v>100.2741</v>
      </c>
      <c r="AC666" s="3">
        <v>80.623369999999994</v>
      </c>
      <c r="AD666" s="3">
        <v>81.306529999999995</v>
      </c>
      <c r="AE666" s="3">
        <v>82.709519999999998</v>
      </c>
      <c r="AF666" s="3">
        <v>97</v>
      </c>
      <c r="AG666" s="3">
        <v>76.090999999999994</v>
      </c>
      <c r="AI666" s="3">
        <v>79.925030000000007</v>
      </c>
      <c r="AJ666" s="3">
        <v>62.057290000000002</v>
      </c>
      <c r="AK666" s="3">
        <v>64.324119999999994</v>
      </c>
      <c r="AL666" s="3">
        <v>83.71</v>
      </c>
      <c r="AM666" s="3">
        <v>81</v>
      </c>
      <c r="AN666" s="3">
        <v>79.367239999999995</v>
      </c>
      <c r="AO666" s="3">
        <v>78.375320000000002</v>
      </c>
      <c r="AP666" s="3">
        <v>77.857429999999994</v>
      </c>
      <c r="AQ666" s="3">
        <v>83.548109999999994</v>
      </c>
      <c r="AS666" s="3">
        <v>65.714240000000004</v>
      </c>
      <c r="AT666" s="3">
        <v>77.45093</v>
      </c>
      <c r="AU666" s="3">
        <v>79.48</v>
      </c>
      <c r="AV666" s="3">
        <v>89.179419999999993</v>
      </c>
      <c r="AW666" s="3">
        <v>41.01925</v>
      </c>
      <c r="AX666" s="3">
        <v>79.319209999999998</v>
      </c>
      <c r="AY666" s="3">
        <v>55.789940000000001</v>
      </c>
    </row>
    <row r="667" spans="1:51" x14ac:dyDescent="0.2">
      <c r="A667" s="3" t="s">
        <v>564</v>
      </c>
      <c r="B667" s="49">
        <v>38108</v>
      </c>
      <c r="D667" s="3">
        <v>80.989069999999998</v>
      </c>
      <c r="E667" s="3">
        <v>53.148650000000004</v>
      </c>
      <c r="F667" s="3">
        <v>82.960229999999996</v>
      </c>
      <c r="G667" s="3">
        <v>96.706270000000004</v>
      </c>
      <c r="H667" s="3">
        <v>68.417270000000002</v>
      </c>
      <c r="I667" s="3">
        <v>73.976600000000005</v>
      </c>
      <c r="J667" s="3">
        <v>64.481700000000004</v>
      </c>
      <c r="K667" s="3">
        <v>45.060890000000001</v>
      </c>
      <c r="L667" s="3">
        <v>79.5</v>
      </c>
      <c r="M667" s="3">
        <v>84.989069999999998</v>
      </c>
      <c r="N667" s="3">
        <v>82.9</v>
      </c>
      <c r="O667" s="3">
        <v>83.01</v>
      </c>
      <c r="P667" s="3">
        <v>81.129239999999996</v>
      </c>
      <c r="Q667" s="3">
        <v>68.651409999999998</v>
      </c>
      <c r="R667" s="3">
        <v>90.4</v>
      </c>
      <c r="S667" s="3">
        <v>83.24342</v>
      </c>
      <c r="T667" s="3">
        <v>86.47</v>
      </c>
      <c r="U667" s="3">
        <v>70.115589999999997</v>
      </c>
      <c r="V667" s="3">
        <v>82.811329999999998</v>
      </c>
      <c r="W667" s="3">
        <v>77.900000000000006</v>
      </c>
      <c r="X667" s="3">
        <v>82.49297</v>
      </c>
      <c r="Y667" s="3">
        <v>66.98742</v>
      </c>
      <c r="Z667" s="3">
        <v>46.85604</v>
      </c>
      <c r="AA667" s="3">
        <v>42.12162</v>
      </c>
      <c r="AB667" s="3">
        <v>100.5731</v>
      </c>
      <c r="AC667" s="3">
        <v>81.041290000000004</v>
      </c>
      <c r="AD667" s="3">
        <v>81.608040000000003</v>
      </c>
      <c r="AE667" s="3">
        <v>82.909139999999994</v>
      </c>
      <c r="AF667" s="3">
        <v>97.1</v>
      </c>
      <c r="AG667" s="3">
        <v>76.025000000000006</v>
      </c>
      <c r="AI667" s="3">
        <v>80.096890000000002</v>
      </c>
      <c r="AJ667" s="3">
        <v>62.847650000000002</v>
      </c>
      <c r="AK667" s="3">
        <v>64.162769999999995</v>
      </c>
      <c r="AL667" s="3">
        <v>83.85</v>
      </c>
      <c r="AM667" s="3">
        <v>81.099999999999994</v>
      </c>
      <c r="AN667" s="3">
        <v>79.689220000000006</v>
      </c>
      <c r="AO667" s="3">
        <v>78.673490000000001</v>
      </c>
      <c r="AP667" s="3">
        <v>78.631079999999997</v>
      </c>
      <c r="AQ667" s="3">
        <v>84.094470000000001</v>
      </c>
      <c r="AS667" s="3">
        <v>65.647729999999996</v>
      </c>
      <c r="AT667" s="3">
        <v>77.756820000000005</v>
      </c>
      <c r="AU667" s="3">
        <v>80.16</v>
      </c>
      <c r="AV667" s="3">
        <v>89.399630000000002</v>
      </c>
      <c r="AW667" s="3">
        <v>41.195770000000003</v>
      </c>
      <c r="AX667" s="3">
        <v>79.78331</v>
      </c>
      <c r="AY667" s="3">
        <v>55.796819999999997</v>
      </c>
    </row>
    <row r="668" spans="1:51" x14ac:dyDescent="0.2">
      <c r="A668" s="3" t="s">
        <v>565</v>
      </c>
      <c r="B668" s="49">
        <v>38139</v>
      </c>
      <c r="D668" s="3">
        <v>80.949430000000007</v>
      </c>
      <c r="E668" s="3">
        <v>53.5259</v>
      </c>
      <c r="F668" s="3">
        <v>83.039240000000007</v>
      </c>
      <c r="G668" s="3">
        <v>96.873140000000006</v>
      </c>
      <c r="H668" s="3">
        <v>68.714169999999996</v>
      </c>
      <c r="I668" s="3">
        <v>73.458759999999998</v>
      </c>
      <c r="J668" s="3">
        <v>64.86739</v>
      </c>
      <c r="K668" s="3">
        <v>45.542140000000003</v>
      </c>
      <c r="L668" s="3">
        <v>79.599999999999994</v>
      </c>
      <c r="M668" s="3">
        <v>84.989069999999998</v>
      </c>
      <c r="N668" s="3">
        <v>82.7</v>
      </c>
      <c r="O668" s="3">
        <v>83.05</v>
      </c>
      <c r="P668" s="3">
        <v>81.257980000000003</v>
      </c>
      <c r="Q668" s="3">
        <v>68.856489999999994</v>
      </c>
      <c r="R668" s="3">
        <v>90.96</v>
      </c>
      <c r="S668" s="3">
        <v>83.188029999999998</v>
      </c>
      <c r="T668" s="3">
        <v>86.5</v>
      </c>
      <c r="U668" s="3">
        <v>70.252930000000006</v>
      </c>
      <c r="V668" s="3">
        <v>82.988060000000004</v>
      </c>
      <c r="W668" s="3">
        <v>77.900000000000006</v>
      </c>
      <c r="X668" s="3">
        <v>82.249759999999995</v>
      </c>
      <c r="Y668" s="3">
        <v>67.061440000000005</v>
      </c>
      <c r="Z668" s="3">
        <v>47.06223</v>
      </c>
      <c r="AA668" s="3">
        <v>42.453290000000003</v>
      </c>
      <c r="AB668" s="3">
        <v>100.3738</v>
      </c>
      <c r="AC668" s="3">
        <v>81.68853</v>
      </c>
      <c r="AD668" s="3">
        <v>81.608040000000003</v>
      </c>
      <c r="AE668" s="3">
        <v>83.04222</v>
      </c>
      <c r="AF668" s="3">
        <v>97.3</v>
      </c>
      <c r="AG668" s="3">
        <v>76.025000000000006</v>
      </c>
      <c r="AI668" s="3">
        <v>80.303110000000004</v>
      </c>
      <c r="AJ668" s="3">
        <v>63.22889</v>
      </c>
      <c r="AK668" s="3">
        <v>64.265609999999995</v>
      </c>
      <c r="AL668" s="3">
        <v>83.31</v>
      </c>
      <c r="AM668" s="3">
        <v>81.099999999999994</v>
      </c>
      <c r="AN668" s="3">
        <v>79.834159999999997</v>
      </c>
      <c r="AO668" s="3">
        <v>78.712829999999997</v>
      </c>
      <c r="AP668" s="3">
        <v>79.334400000000002</v>
      </c>
      <c r="AQ668" s="3">
        <v>84.283559999999994</v>
      </c>
      <c r="AS668" s="3">
        <v>65.581209999999999</v>
      </c>
      <c r="AT668" s="3">
        <v>77.879170000000002</v>
      </c>
      <c r="AU668" s="3">
        <v>80.42</v>
      </c>
      <c r="AV668" s="3">
        <v>89.010279999999995</v>
      </c>
      <c r="AW668" s="3">
        <v>41.142040000000001</v>
      </c>
      <c r="AX668" s="3">
        <v>80.036450000000002</v>
      </c>
      <c r="AY668" s="3">
        <v>55.844970000000004</v>
      </c>
    </row>
    <row r="669" spans="1:51" x14ac:dyDescent="0.2">
      <c r="A669" s="3" t="s">
        <v>566</v>
      </c>
      <c r="B669" s="49">
        <v>38169</v>
      </c>
      <c r="D669" s="3">
        <v>81.226929999999996</v>
      </c>
      <c r="E669" s="3">
        <v>54.012889999999999</v>
      </c>
      <c r="F669" s="3">
        <v>82.960229999999996</v>
      </c>
      <c r="G669" s="3">
        <v>95.859300000000005</v>
      </c>
      <c r="H669" s="3">
        <v>68.874099999999999</v>
      </c>
      <c r="I669" s="3">
        <v>73.311840000000004</v>
      </c>
      <c r="J669" s="3">
        <v>64.855710000000002</v>
      </c>
      <c r="K669" s="3">
        <v>46.131889999999999</v>
      </c>
      <c r="L669" s="3">
        <v>79.900000000000006</v>
      </c>
      <c r="M669" s="3">
        <v>85.175650000000005</v>
      </c>
      <c r="N669" s="3">
        <v>82.4</v>
      </c>
      <c r="O669" s="3">
        <v>82.88</v>
      </c>
      <c r="P669" s="3">
        <v>80.641229999999993</v>
      </c>
      <c r="Q669" s="3">
        <v>68.702680000000001</v>
      </c>
      <c r="R669" s="3">
        <v>91.3</v>
      </c>
      <c r="S669" s="3">
        <v>83.069339999999997</v>
      </c>
      <c r="T669" s="3">
        <v>86.36</v>
      </c>
      <c r="U669" s="3">
        <v>70.275819999999996</v>
      </c>
      <c r="V669" s="3">
        <v>82.878569999999996</v>
      </c>
      <c r="W669" s="3">
        <v>77.7</v>
      </c>
      <c r="X669" s="3">
        <v>80.754519999999999</v>
      </c>
      <c r="Y669" s="3">
        <v>67.061440000000005</v>
      </c>
      <c r="Z669" s="3">
        <v>47.27467</v>
      </c>
      <c r="AA669" s="3">
        <v>42.867870000000003</v>
      </c>
      <c r="AB669" s="3">
        <v>100.9718</v>
      </c>
      <c r="AC669" s="3">
        <v>82.603620000000006</v>
      </c>
      <c r="AD669" s="3">
        <v>81.507540000000006</v>
      </c>
      <c r="AE669" s="3">
        <v>83.108760000000004</v>
      </c>
      <c r="AF669" s="3">
        <v>97</v>
      </c>
      <c r="AG669" s="3">
        <v>76.491</v>
      </c>
      <c r="AI669" s="3">
        <v>79.491969999999995</v>
      </c>
      <c r="AJ669" s="3">
        <v>63.33117</v>
      </c>
      <c r="AK669" s="3">
        <v>64.434049999999999</v>
      </c>
      <c r="AL669" s="3">
        <v>83.19</v>
      </c>
      <c r="AM669" s="3">
        <v>81</v>
      </c>
      <c r="AN669" s="3">
        <v>79.749470000000002</v>
      </c>
      <c r="AO669" s="3">
        <v>78.616020000000006</v>
      </c>
      <c r="AP669" s="3">
        <v>79.264070000000004</v>
      </c>
      <c r="AQ669" s="3">
        <v>84.12433</v>
      </c>
      <c r="AS669" s="3">
        <v>65.980289999999997</v>
      </c>
      <c r="AT669" s="3">
        <v>78.123890000000003</v>
      </c>
      <c r="AU669" s="3">
        <v>80.7</v>
      </c>
      <c r="AV669" s="3">
        <v>88.876239999999996</v>
      </c>
      <c r="AW669" s="3">
        <v>41.337760000000003</v>
      </c>
      <c r="AX669" s="3">
        <v>79.909880000000001</v>
      </c>
      <c r="AY669" s="3">
        <v>55.955019999999998</v>
      </c>
    </row>
    <row r="670" spans="1:51" x14ac:dyDescent="0.2">
      <c r="A670" s="3" t="s">
        <v>567</v>
      </c>
      <c r="B670" s="49">
        <v>38200</v>
      </c>
      <c r="D670" s="3">
        <v>81.326030000000003</v>
      </c>
      <c r="E670" s="3">
        <v>54.3855</v>
      </c>
      <c r="F670" s="3">
        <v>82.802220000000005</v>
      </c>
      <c r="G670" s="3">
        <v>96.214500000000001</v>
      </c>
      <c r="H670" s="3">
        <v>69.135270000000006</v>
      </c>
      <c r="I670" s="3">
        <v>73.825029999999998</v>
      </c>
      <c r="J670" s="3">
        <v>64.86739</v>
      </c>
      <c r="K670" s="3">
        <v>46.577959999999997</v>
      </c>
      <c r="L670" s="3">
        <v>79.900000000000006</v>
      </c>
      <c r="M670" s="3">
        <v>85.268940000000001</v>
      </c>
      <c r="N670" s="3">
        <v>82.2</v>
      </c>
      <c r="O670" s="3">
        <v>83.04</v>
      </c>
      <c r="P670" s="3">
        <v>80.997510000000005</v>
      </c>
      <c r="Q670" s="3">
        <v>68.600139999999996</v>
      </c>
      <c r="R670" s="3">
        <v>91.22</v>
      </c>
      <c r="S670" s="3">
        <v>83.282989999999998</v>
      </c>
      <c r="T670" s="3">
        <v>86.55</v>
      </c>
      <c r="U670" s="3">
        <v>70.459959999999995</v>
      </c>
      <c r="V670" s="3">
        <v>82.95599</v>
      </c>
      <c r="W670" s="3">
        <v>77.900000000000006</v>
      </c>
      <c r="X670" s="3">
        <v>80.555139999999994</v>
      </c>
      <c r="Y670" s="3">
        <v>66.839380000000006</v>
      </c>
      <c r="Z670" s="3">
        <v>47.312159999999999</v>
      </c>
      <c r="AA670" s="3">
        <v>43.282449999999997</v>
      </c>
      <c r="AB670" s="3">
        <v>101.0715</v>
      </c>
      <c r="AC670" s="3">
        <v>83.216809999999995</v>
      </c>
      <c r="AD670" s="3">
        <v>81.608040000000003</v>
      </c>
      <c r="AE670" s="3">
        <v>83.30838</v>
      </c>
      <c r="AF670" s="3">
        <v>97.1</v>
      </c>
      <c r="AG670" s="3">
        <v>77.156000000000006</v>
      </c>
      <c r="AI670" s="3">
        <v>80.426839999999999</v>
      </c>
      <c r="AJ670" s="3">
        <v>63.284680000000002</v>
      </c>
      <c r="AK670" s="3">
        <v>64.831810000000004</v>
      </c>
      <c r="AL670" s="3">
        <v>83.47</v>
      </c>
      <c r="AM670" s="3">
        <v>80.8</v>
      </c>
      <c r="AN670" s="3">
        <v>79.865870000000001</v>
      </c>
      <c r="AO670" s="3">
        <v>78.76567</v>
      </c>
      <c r="AP670" s="3">
        <v>78.912409999999994</v>
      </c>
      <c r="AQ670" s="3">
        <v>83.831739999999996</v>
      </c>
      <c r="AS670" s="3">
        <v>65.980289999999997</v>
      </c>
      <c r="AT670" s="3">
        <v>78.001530000000002</v>
      </c>
      <c r="AU670" s="3">
        <v>80.34</v>
      </c>
      <c r="AV670" s="3">
        <v>88.770930000000007</v>
      </c>
      <c r="AW670" s="3">
        <v>41.652439999999999</v>
      </c>
      <c r="AX670" s="3">
        <v>79.952070000000006</v>
      </c>
      <c r="AY670" s="3">
        <v>55.844970000000004</v>
      </c>
    </row>
    <row r="671" spans="1:51" x14ac:dyDescent="0.2">
      <c r="A671" s="3" t="s">
        <v>568</v>
      </c>
      <c r="B671" s="49">
        <v>38231</v>
      </c>
      <c r="D671" s="3">
        <v>81.385499999999993</v>
      </c>
      <c r="E671" s="3">
        <v>54.565080000000002</v>
      </c>
      <c r="F671" s="3">
        <v>82.960229999999996</v>
      </c>
      <c r="G671" s="3">
        <v>96.220070000000007</v>
      </c>
      <c r="H671" s="3">
        <v>69.171000000000006</v>
      </c>
      <c r="I671" s="3">
        <v>74.637100000000004</v>
      </c>
      <c r="J671" s="3">
        <v>65.066090000000003</v>
      </c>
      <c r="K671" s="3">
        <v>46.93965</v>
      </c>
      <c r="L671" s="3">
        <v>79.2</v>
      </c>
      <c r="M671" s="3">
        <v>85.082359999999994</v>
      </c>
      <c r="N671" s="3">
        <v>82.7</v>
      </c>
      <c r="O671" s="3">
        <v>83.14</v>
      </c>
      <c r="P671" s="3">
        <v>81.142210000000006</v>
      </c>
      <c r="Q671" s="3">
        <v>68.702680000000001</v>
      </c>
      <c r="R671" s="3">
        <v>91.08</v>
      </c>
      <c r="S671" s="3">
        <v>83.607410000000002</v>
      </c>
      <c r="T671" s="3">
        <v>86.63</v>
      </c>
      <c r="U671" s="3">
        <v>70.659030000000001</v>
      </c>
      <c r="V671" s="3">
        <v>83.076849999999993</v>
      </c>
      <c r="W671" s="3">
        <v>77.900000000000006</v>
      </c>
      <c r="X671" s="3">
        <v>82.167500000000004</v>
      </c>
      <c r="Y671" s="3">
        <v>66.913399999999996</v>
      </c>
      <c r="Z671" s="3">
        <v>47.312159999999999</v>
      </c>
      <c r="AA671" s="3">
        <v>43.365369999999999</v>
      </c>
      <c r="AB671" s="3">
        <v>101.47020000000001</v>
      </c>
      <c r="AC671" s="3">
        <v>83.606399999999994</v>
      </c>
      <c r="AD671" s="3">
        <v>81.507540000000006</v>
      </c>
      <c r="AE671" s="3">
        <v>83.30838</v>
      </c>
      <c r="AF671" s="3">
        <v>97.4</v>
      </c>
      <c r="AG671" s="3">
        <v>77.156000000000006</v>
      </c>
      <c r="AI671" s="3">
        <v>80.564319999999995</v>
      </c>
      <c r="AJ671" s="3">
        <v>63.55433</v>
      </c>
      <c r="AK671" s="3">
        <v>65.367859999999993</v>
      </c>
      <c r="AL671" s="3">
        <v>84.2</v>
      </c>
      <c r="AM671" s="3">
        <v>81.3</v>
      </c>
      <c r="AN671" s="3">
        <v>80.031559999999999</v>
      </c>
      <c r="AO671" s="3">
        <v>78.878820000000005</v>
      </c>
      <c r="AP671" s="3">
        <v>79.123400000000004</v>
      </c>
      <c r="AQ671" s="3">
        <v>83.765069999999994</v>
      </c>
      <c r="AS671" s="3">
        <v>65.847260000000006</v>
      </c>
      <c r="AT671" s="3">
        <v>78.001530000000002</v>
      </c>
      <c r="AU671" s="3">
        <v>80.25</v>
      </c>
      <c r="AV671" s="3">
        <v>89.418769999999995</v>
      </c>
      <c r="AW671" s="3">
        <v>42.047699999999999</v>
      </c>
      <c r="AX671" s="3">
        <v>80.120829999999998</v>
      </c>
      <c r="AY671" s="3">
        <v>55.858719999999998</v>
      </c>
    </row>
    <row r="672" spans="1:51" x14ac:dyDescent="0.2">
      <c r="A672" s="3" t="s">
        <v>569</v>
      </c>
      <c r="B672" s="49">
        <v>38261</v>
      </c>
      <c r="D672" s="3">
        <v>81.78192</v>
      </c>
      <c r="E672" s="3">
        <v>54.805210000000002</v>
      </c>
      <c r="F672" s="3">
        <v>83.118250000000003</v>
      </c>
      <c r="G672" s="3">
        <v>97.122200000000007</v>
      </c>
      <c r="H672" s="3">
        <v>69.372609999999995</v>
      </c>
      <c r="I672" s="3">
        <v>74.637100000000004</v>
      </c>
      <c r="J672" s="3">
        <v>65.054400000000001</v>
      </c>
      <c r="K672" s="3">
        <v>47.292290000000001</v>
      </c>
      <c r="L672" s="3">
        <v>79.599999999999994</v>
      </c>
      <c r="M672" s="3">
        <v>85.175650000000005</v>
      </c>
      <c r="N672" s="3">
        <v>83</v>
      </c>
      <c r="O672" s="3">
        <v>83.46</v>
      </c>
      <c r="P672" s="3">
        <v>81.976519999999994</v>
      </c>
      <c r="Q672" s="3">
        <v>68.959040000000002</v>
      </c>
      <c r="R672" s="3">
        <v>91.28</v>
      </c>
      <c r="S672" s="3">
        <v>83.876459999999994</v>
      </c>
      <c r="T672" s="3">
        <v>86.85</v>
      </c>
      <c r="U672" s="3">
        <v>70.999589999999998</v>
      </c>
      <c r="V672" s="3">
        <v>83.410740000000004</v>
      </c>
      <c r="W672" s="3">
        <v>78.099999999999994</v>
      </c>
      <c r="X672" s="3">
        <v>82.795400000000001</v>
      </c>
      <c r="Y672" s="3">
        <v>67.209469999999996</v>
      </c>
      <c r="Z672" s="3">
        <v>47.562100000000001</v>
      </c>
      <c r="AA672" s="3">
        <v>43.61412</v>
      </c>
      <c r="AB672" s="3">
        <v>101.7692</v>
      </c>
      <c r="AC672" s="3">
        <v>83.367440000000002</v>
      </c>
      <c r="AD672" s="3">
        <v>81.507540000000006</v>
      </c>
      <c r="AE672" s="3">
        <v>83.30838</v>
      </c>
      <c r="AF672" s="3">
        <v>97.9</v>
      </c>
      <c r="AG672" s="3">
        <v>77.156000000000006</v>
      </c>
      <c r="AI672" s="3">
        <v>80.880529999999993</v>
      </c>
      <c r="AJ672" s="3">
        <v>63.833280000000002</v>
      </c>
      <c r="AK672" s="3">
        <v>65.820580000000007</v>
      </c>
      <c r="AL672" s="3">
        <v>84.23</v>
      </c>
      <c r="AM672" s="3">
        <v>81.5</v>
      </c>
      <c r="AN672" s="3">
        <v>80.402100000000004</v>
      </c>
      <c r="AO672" s="3">
        <v>79.205960000000005</v>
      </c>
      <c r="AP672" s="3">
        <v>79.615719999999996</v>
      </c>
      <c r="AQ672" s="3">
        <v>84.305449999999993</v>
      </c>
      <c r="AS672" s="3">
        <v>65.980289999999997</v>
      </c>
      <c r="AT672" s="3">
        <v>78.062709999999996</v>
      </c>
      <c r="AU672" s="3">
        <v>80.489999999999995</v>
      </c>
      <c r="AV672" s="3">
        <v>89.68365</v>
      </c>
      <c r="AW672" s="3">
        <v>42.991729999999997</v>
      </c>
      <c r="AX672" s="3">
        <v>80.542749999999998</v>
      </c>
      <c r="AY672" s="3">
        <v>56.016919999999999</v>
      </c>
    </row>
    <row r="673" spans="1:51" x14ac:dyDescent="0.2">
      <c r="A673" s="3" t="s">
        <v>570</v>
      </c>
      <c r="B673" s="49">
        <v>38292</v>
      </c>
      <c r="D673" s="3">
        <v>81.682820000000007</v>
      </c>
      <c r="E673" s="3">
        <v>55.183390000000003</v>
      </c>
      <c r="F673" s="3">
        <v>83.434290000000004</v>
      </c>
      <c r="G673" s="3">
        <v>97.215320000000006</v>
      </c>
      <c r="H673" s="3">
        <v>69.550409999999999</v>
      </c>
      <c r="I673" s="3">
        <v>74.41319</v>
      </c>
      <c r="J673" s="3">
        <v>65.241399999999999</v>
      </c>
      <c r="K673" s="3">
        <v>47.95337</v>
      </c>
      <c r="L673" s="3">
        <v>79.599999999999994</v>
      </c>
      <c r="M673" s="3">
        <v>84.989069999999998</v>
      </c>
      <c r="N673" s="3">
        <v>82.8</v>
      </c>
      <c r="O673" s="3">
        <v>83.4</v>
      </c>
      <c r="P673" s="3">
        <v>82.181110000000004</v>
      </c>
      <c r="Q673" s="3">
        <v>69.215389999999999</v>
      </c>
      <c r="R673" s="3">
        <v>91.35</v>
      </c>
      <c r="S673" s="3">
        <v>83.504549999999995</v>
      </c>
      <c r="T673" s="3">
        <v>86.9</v>
      </c>
      <c r="U673" s="3">
        <v>71.058080000000004</v>
      </c>
      <c r="V673" s="3">
        <v>83.431120000000007</v>
      </c>
      <c r="W673" s="3">
        <v>78.3</v>
      </c>
      <c r="X673" s="3">
        <v>82.876890000000003</v>
      </c>
      <c r="Y673" s="3">
        <v>67.28349</v>
      </c>
      <c r="Z673" s="3">
        <v>48.018219999999999</v>
      </c>
      <c r="AA673" s="3">
        <v>43.531199999999998</v>
      </c>
      <c r="AB673" s="3">
        <v>101.37050000000001</v>
      </c>
      <c r="AC673" s="3">
        <v>84.311070000000001</v>
      </c>
      <c r="AD673" s="3">
        <v>81.407039999999995</v>
      </c>
      <c r="AE673" s="3">
        <v>83.374920000000003</v>
      </c>
      <c r="AF673" s="3">
        <v>97.7</v>
      </c>
      <c r="AG673" s="3">
        <v>76.691000000000003</v>
      </c>
      <c r="AI673" s="3">
        <v>81.066130000000001</v>
      </c>
      <c r="AJ673" s="3">
        <v>64.140129999999999</v>
      </c>
      <c r="AK673" s="3">
        <v>66.382050000000007</v>
      </c>
      <c r="AL673" s="3">
        <v>83.98</v>
      </c>
      <c r="AM673" s="3">
        <v>81.5</v>
      </c>
      <c r="AN673" s="3">
        <v>80.461879999999994</v>
      </c>
      <c r="AO673" s="3">
        <v>79.293210000000002</v>
      </c>
      <c r="AP673" s="3">
        <v>79.826719999999995</v>
      </c>
      <c r="AQ673" s="3">
        <v>84.766229999999993</v>
      </c>
      <c r="AS673" s="3">
        <v>66.113309999999998</v>
      </c>
      <c r="AT673" s="3">
        <v>78.001530000000002</v>
      </c>
      <c r="AU673" s="3">
        <v>80.959999999999994</v>
      </c>
      <c r="AV673" s="3">
        <v>89.169849999999997</v>
      </c>
      <c r="AW673" s="3">
        <v>43.55585</v>
      </c>
      <c r="AX673" s="3">
        <v>80.584940000000003</v>
      </c>
      <c r="AY673" s="3">
        <v>56.347079999999998</v>
      </c>
    </row>
    <row r="674" spans="1:51" x14ac:dyDescent="0.2">
      <c r="A674" s="3" t="s">
        <v>571</v>
      </c>
      <c r="B674" s="49">
        <v>38322</v>
      </c>
      <c r="D674" s="3">
        <v>81.415229999999994</v>
      </c>
      <c r="E674" s="3">
        <v>55.657859999999999</v>
      </c>
      <c r="F674" s="3">
        <v>83.276269999999997</v>
      </c>
      <c r="G674" s="3">
        <v>97.056299999999993</v>
      </c>
      <c r="H674" s="3">
        <v>69.289240000000007</v>
      </c>
      <c r="I674" s="3">
        <v>74.4876</v>
      </c>
      <c r="J674" s="3">
        <v>65.440089999999998</v>
      </c>
      <c r="K674" s="3">
        <v>48.485849999999999</v>
      </c>
      <c r="L674" s="3">
        <v>79.599999999999994</v>
      </c>
      <c r="M674" s="3">
        <v>85.921989999999994</v>
      </c>
      <c r="N674" s="3">
        <v>82.6</v>
      </c>
      <c r="O674" s="3">
        <v>83.72</v>
      </c>
      <c r="P674" s="3">
        <v>82.101259999999996</v>
      </c>
      <c r="Q674" s="3">
        <v>69.369200000000006</v>
      </c>
      <c r="R674" s="3">
        <v>90.97</v>
      </c>
      <c r="S674" s="3">
        <v>83.512469999999993</v>
      </c>
      <c r="T674" s="3">
        <v>87</v>
      </c>
      <c r="U674" s="3">
        <v>71.05932</v>
      </c>
      <c r="V674" s="3">
        <v>83.333020000000005</v>
      </c>
      <c r="W674" s="3">
        <v>78.599999999999994</v>
      </c>
      <c r="X674" s="3">
        <v>83.193610000000007</v>
      </c>
      <c r="Y674" s="3">
        <v>67.209469999999996</v>
      </c>
      <c r="Z674" s="3">
        <v>48.518090000000001</v>
      </c>
      <c r="AA674" s="3">
        <v>43.199539999999999</v>
      </c>
      <c r="AB674" s="3">
        <v>101.2709</v>
      </c>
      <c r="AC674" s="3">
        <v>84.787409999999994</v>
      </c>
      <c r="AD674" s="3">
        <v>81.507540000000006</v>
      </c>
      <c r="AE674" s="3">
        <v>83.574539999999999</v>
      </c>
      <c r="AF674" s="3">
        <v>97.2</v>
      </c>
      <c r="AG674" s="3">
        <v>76.823999999999998</v>
      </c>
      <c r="AI674" s="3">
        <v>80.921779999999998</v>
      </c>
      <c r="AJ674" s="3">
        <v>64.335400000000007</v>
      </c>
      <c r="AK674" s="3">
        <v>66.519170000000003</v>
      </c>
      <c r="AL674" s="3">
        <v>83.25</v>
      </c>
      <c r="AM674" s="3">
        <v>81.400000000000006</v>
      </c>
      <c r="AN674" s="3">
        <v>80.398079999999993</v>
      </c>
      <c r="AO674" s="3">
        <v>79.519639999999995</v>
      </c>
      <c r="AP674" s="3">
        <v>79.897049999999993</v>
      </c>
      <c r="AQ674" s="3">
        <v>84.831909999999993</v>
      </c>
      <c r="AS674" s="3">
        <v>66.113309999999998</v>
      </c>
      <c r="AT674" s="3">
        <v>77.879170000000002</v>
      </c>
      <c r="AU674" s="3">
        <v>80.739999999999995</v>
      </c>
      <c r="AV674" s="3">
        <v>89.150700000000001</v>
      </c>
      <c r="AW674" s="3">
        <v>43.694000000000003</v>
      </c>
      <c r="AX674" s="3">
        <v>80.289599999999993</v>
      </c>
      <c r="AY674" s="3">
        <v>56.264539999999997</v>
      </c>
    </row>
    <row r="675" spans="1:51" x14ac:dyDescent="0.2">
      <c r="A675" s="3" t="s">
        <v>572</v>
      </c>
      <c r="B675" s="49">
        <v>38353</v>
      </c>
      <c r="D675" s="3">
        <v>81.643169999999998</v>
      </c>
      <c r="E675" s="3">
        <v>55.980589999999999</v>
      </c>
      <c r="F675" s="3">
        <v>83.19726</v>
      </c>
      <c r="G675" s="3">
        <v>96.605890000000002</v>
      </c>
      <c r="H675" s="3">
        <v>69.069760000000002</v>
      </c>
      <c r="I675" s="3">
        <v>74.934529999999995</v>
      </c>
      <c r="J675" s="3">
        <v>65.977739999999997</v>
      </c>
      <c r="K675" s="3">
        <v>49.436279999999996</v>
      </c>
      <c r="L675" s="3">
        <v>80.2</v>
      </c>
      <c r="M675" s="3">
        <v>85.268940000000001</v>
      </c>
      <c r="N675" s="3">
        <v>82.4</v>
      </c>
      <c r="O675" s="3">
        <v>83.2</v>
      </c>
      <c r="P675" s="3">
        <v>81.409670000000006</v>
      </c>
      <c r="Q675" s="3">
        <v>69.215389999999999</v>
      </c>
      <c r="R675" s="3">
        <v>90.85</v>
      </c>
      <c r="S675" s="3">
        <v>83.085170000000005</v>
      </c>
      <c r="T675" s="3">
        <v>86.52</v>
      </c>
      <c r="U675" s="3">
        <v>71.186269999999993</v>
      </c>
      <c r="V675" s="3">
        <v>83.290949999999995</v>
      </c>
      <c r="W675" s="3">
        <v>78.3</v>
      </c>
      <c r="X675" s="3">
        <v>83.402119999999996</v>
      </c>
      <c r="Y675" s="3">
        <v>67.727609999999999</v>
      </c>
      <c r="Z675" s="3">
        <v>49.180410000000002</v>
      </c>
      <c r="AA675" s="3">
        <v>43.61412</v>
      </c>
      <c r="AB675" s="3">
        <v>100.77249999999999</v>
      </c>
      <c r="AC675" s="3">
        <v>84.997960000000006</v>
      </c>
      <c r="AD675" s="3">
        <v>81.005030000000005</v>
      </c>
      <c r="AE675" s="3">
        <v>83.574539999999999</v>
      </c>
      <c r="AF675" s="3">
        <v>97</v>
      </c>
      <c r="AG675" s="3">
        <v>77.58</v>
      </c>
      <c r="AI675" s="3">
        <v>80.2</v>
      </c>
      <c r="AJ675" s="3">
        <v>64.688730000000007</v>
      </c>
      <c r="AK675" s="3">
        <v>66.521529999999998</v>
      </c>
      <c r="AL675" s="3">
        <v>83.58</v>
      </c>
      <c r="AM675" s="3">
        <v>81.2</v>
      </c>
      <c r="AN675" s="3">
        <v>80.394649999999999</v>
      </c>
      <c r="AO675" s="3">
        <v>79.284239999999997</v>
      </c>
      <c r="AP675" s="3">
        <v>79.967380000000006</v>
      </c>
      <c r="AQ675" s="3">
        <v>84.446770000000001</v>
      </c>
      <c r="AS675" s="3">
        <v>66.046800000000005</v>
      </c>
      <c r="AT675" s="3">
        <v>79.163899999999998</v>
      </c>
      <c r="AU675" s="3">
        <v>80.22</v>
      </c>
      <c r="AV675" s="3">
        <v>88.684759999999997</v>
      </c>
      <c r="AW675" s="3">
        <v>43.935760000000002</v>
      </c>
      <c r="AX675" s="3">
        <v>80.458370000000002</v>
      </c>
      <c r="AY675" s="3">
        <v>56.436500000000002</v>
      </c>
    </row>
    <row r="676" spans="1:51" x14ac:dyDescent="0.2">
      <c r="A676" s="3" t="s">
        <v>573</v>
      </c>
      <c r="B676" s="49">
        <v>38384</v>
      </c>
      <c r="D676" s="3">
        <v>82.188249999999996</v>
      </c>
      <c r="E676" s="3">
        <v>56.310969999999998</v>
      </c>
      <c r="F676" s="3">
        <v>83.513300000000001</v>
      </c>
      <c r="G676" s="3">
        <v>96.818179999999998</v>
      </c>
      <c r="H676" s="3">
        <v>69.004260000000002</v>
      </c>
      <c r="I676" s="3">
        <v>76.283360000000002</v>
      </c>
      <c r="J676" s="3">
        <v>66.655619999999999</v>
      </c>
      <c r="K676" s="3">
        <v>49.976799999999997</v>
      </c>
      <c r="L676" s="3">
        <v>80.400000000000006</v>
      </c>
      <c r="M676" s="3">
        <v>85.642110000000002</v>
      </c>
      <c r="N676" s="3">
        <v>83.2</v>
      </c>
      <c r="O676" s="3">
        <v>83.5</v>
      </c>
      <c r="P676" s="3">
        <v>81.620239999999995</v>
      </c>
      <c r="Q676" s="3">
        <v>69.625559999999993</v>
      </c>
      <c r="R676" s="3">
        <v>90.32</v>
      </c>
      <c r="S676" s="3">
        <v>83.672039999999996</v>
      </c>
      <c r="T676" s="3">
        <v>87.05</v>
      </c>
      <c r="U676" s="3">
        <v>71.507800000000003</v>
      </c>
      <c r="V676" s="3">
        <v>83.629409999999993</v>
      </c>
      <c r="W676" s="3">
        <v>78.5</v>
      </c>
      <c r="X676" s="3">
        <v>82.397279999999995</v>
      </c>
      <c r="Y676" s="3">
        <v>68.023690000000002</v>
      </c>
      <c r="Z676" s="3">
        <v>49.099179999999997</v>
      </c>
      <c r="AA676" s="3">
        <v>43.531199999999998</v>
      </c>
      <c r="AB676" s="3">
        <v>100.77249999999999</v>
      </c>
      <c r="AC676" s="3">
        <v>85.336979999999997</v>
      </c>
      <c r="AD676" s="3">
        <v>81.105530000000002</v>
      </c>
      <c r="AE676" s="3">
        <v>83.840710000000001</v>
      </c>
      <c r="AF676" s="3">
        <v>96.7</v>
      </c>
      <c r="AG676" s="3">
        <v>77.894999999999996</v>
      </c>
      <c r="AI676" s="3">
        <v>81.459999999999994</v>
      </c>
      <c r="AJ676" s="3">
        <v>65.301500000000004</v>
      </c>
      <c r="AK676" s="3">
        <v>66.743160000000003</v>
      </c>
      <c r="AL676" s="3">
        <v>84.1</v>
      </c>
      <c r="AM676" s="3">
        <v>81.3</v>
      </c>
      <c r="AN676" s="3">
        <v>80.691479999999999</v>
      </c>
      <c r="AO676" s="3">
        <v>79.544399999999996</v>
      </c>
      <c r="AP676" s="3">
        <v>79.897049999999993</v>
      </c>
      <c r="AQ676" s="3">
        <v>84.410939999999997</v>
      </c>
      <c r="AS676" s="3">
        <v>65.980289999999997</v>
      </c>
      <c r="AT676" s="3">
        <v>79.408619999999999</v>
      </c>
      <c r="AU676" s="3">
        <v>80.680000000000007</v>
      </c>
      <c r="AV676" s="3">
        <v>89.102829999999997</v>
      </c>
      <c r="AW676" s="3">
        <v>43.943440000000002</v>
      </c>
      <c r="AX676" s="3">
        <v>80.922460000000001</v>
      </c>
      <c r="AY676" s="3">
        <v>56.464010000000002</v>
      </c>
    </row>
    <row r="677" spans="1:51" x14ac:dyDescent="0.2">
      <c r="A677" s="3" t="s">
        <v>574</v>
      </c>
      <c r="B677" s="49">
        <v>38412</v>
      </c>
      <c r="D677" s="3">
        <v>82.713509999999999</v>
      </c>
      <c r="E677" s="3">
        <v>56.654350000000001</v>
      </c>
      <c r="F677" s="3">
        <v>83.987359999999995</v>
      </c>
      <c r="G677" s="3">
        <v>97.055109999999999</v>
      </c>
      <c r="H677" s="3">
        <v>69.443209999999993</v>
      </c>
      <c r="I677" s="3">
        <v>75.596800000000002</v>
      </c>
      <c r="J677" s="3">
        <v>67.158199999999994</v>
      </c>
      <c r="K677" s="3">
        <v>50.393740000000001</v>
      </c>
      <c r="L677" s="3">
        <v>80.3</v>
      </c>
      <c r="M677" s="3">
        <v>86.015280000000004</v>
      </c>
      <c r="N677" s="3">
        <v>83.7</v>
      </c>
      <c r="O677" s="3">
        <v>84.12</v>
      </c>
      <c r="P677" s="3">
        <v>82.265929999999997</v>
      </c>
      <c r="Q677" s="3">
        <v>70.08699</v>
      </c>
      <c r="R677" s="3">
        <v>90.73</v>
      </c>
      <c r="S677" s="3">
        <v>83.923569999999998</v>
      </c>
      <c r="T677" s="3">
        <v>87.6</v>
      </c>
      <c r="U677" s="3">
        <v>71.881140000000002</v>
      </c>
      <c r="V677" s="3">
        <v>84.142769999999999</v>
      </c>
      <c r="W677" s="3">
        <v>78.8</v>
      </c>
      <c r="X677" s="3">
        <v>84.269220000000004</v>
      </c>
      <c r="Y677" s="3">
        <v>68.467799999999997</v>
      </c>
      <c r="Z677" s="3">
        <v>50.055169999999997</v>
      </c>
      <c r="AA677" s="3">
        <v>43.531199999999998</v>
      </c>
      <c r="AB677" s="3">
        <v>100.0748</v>
      </c>
      <c r="AC677" s="3">
        <v>85.073880000000003</v>
      </c>
      <c r="AD677" s="3">
        <v>81.005030000000005</v>
      </c>
      <c r="AE677" s="3">
        <v>84.106859999999998</v>
      </c>
      <c r="AF677" s="3">
        <v>97</v>
      </c>
      <c r="AG677" s="3">
        <v>78.364999999999995</v>
      </c>
      <c r="AI677" s="3">
        <v>81.61</v>
      </c>
      <c r="AJ677" s="3">
        <v>65.680139999999994</v>
      </c>
      <c r="AK677" s="3">
        <v>67.043989999999994</v>
      </c>
      <c r="AL677" s="3">
        <v>84.88</v>
      </c>
      <c r="AM677" s="3">
        <v>81.7</v>
      </c>
      <c r="AN677" s="3">
        <v>81.164330000000007</v>
      </c>
      <c r="AO677" s="3">
        <v>79.936260000000004</v>
      </c>
      <c r="AP677" s="3">
        <v>79.967380000000006</v>
      </c>
      <c r="AQ677" s="3">
        <v>84.699550000000002</v>
      </c>
      <c r="AS677" s="3">
        <v>65.980289999999997</v>
      </c>
      <c r="AT677" s="3">
        <v>79.347430000000003</v>
      </c>
      <c r="AU677" s="3">
        <v>81.58</v>
      </c>
      <c r="AV677" s="3">
        <v>89.278350000000003</v>
      </c>
      <c r="AW677" s="3">
        <v>44.05856</v>
      </c>
      <c r="AX677" s="3">
        <v>81.555329999999998</v>
      </c>
      <c r="AY677" s="3">
        <v>56.807929999999999</v>
      </c>
    </row>
    <row r="678" spans="1:51" x14ac:dyDescent="0.2">
      <c r="A678" s="3" t="s">
        <v>575</v>
      </c>
      <c r="B678" s="49">
        <v>38443</v>
      </c>
      <c r="D678" s="3">
        <v>82.901809999999998</v>
      </c>
      <c r="E678" s="3">
        <v>57.14714</v>
      </c>
      <c r="F678" s="3">
        <v>84.22439</v>
      </c>
      <c r="G678" s="3">
        <v>97.849500000000006</v>
      </c>
      <c r="H678" s="3">
        <v>70.065929999999994</v>
      </c>
      <c r="I678" s="3">
        <v>75.370009999999994</v>
      </c>
      <c r="J678" s="3">
        <v>67.462090000000003</v>
      </c>
      <c r="K678" s="3">
        <v>50.876989999999999</v>
      </c>
      <c r="L678" s="3">
        <v>80.400000000000006</v>
      </c>
      <c r="M678" s="3">
        <v>85.828699999999998</v>
      </c>
      <c r="N678" s="3">
        <v>84.1</v>
      </c>
      <c r="O678" s="3">
        <v>84.47</v>
      </c>
      <c r="P678" s="3">
        <v>83.450519999999997</v>
      </c>
      <c r="Q678" s="3">
        <v>70.394620000000003</v>
      </c>
      <c r="R678" s="3">
        <v>91.08</v>
      </c>
      <c r="S678" s="3">
        <v>84.007409999999993</v>
      </c>
      <c r="T678" s="3">
        <v>87.77</v>
      </c>
      <c r="U678" s="3">
        <v>72.222239999999999</v>
      </c>
      <c r="V678" s="3">
        <v>84.496560000000002</v>
      </c>
      <c r="W678" s="3">
        <v>79.099999999999994</v>
      </c>
      <c r="X678" s="3">
        <v>84.912899999999993</v>
      </c>
      <c r="Y678" s="3">
        <v>68.985939999999999</v>
      </c>
      <c r="Z678" s="3">
        <v>50.21763</v>
      </c>
      <c r="AA678" s="3">
        <v>43.862870000000001</v>
      </c>
      <c r="AB678" s="3">
        <v>100.87220000000001</v>
      </c>
      <c r="AC678" s="3">
        <v>84.513570000000001</v>
      </c>
      <c r="AD678" s="3">
        <v>81.507540000000006</v>
      </c>
      <c r="AE678" s="3">
        <v>84.239940000000004</v>
      </c>
      <c r="AF678" s="3">
        <v>97.1</v>
      </c>
      <c r="AG678" s="3">
        <v>78.444000000000003</v>
      </c>
      <c r="AI678" s="3">
        <v>81.900000000000006</v>
      </c>
      <c r="AJ678" s="3">
        <v>66.362570000000005</v>
      </c>
      <c r="AK678" s="3">
        <v>67.282759999999996</v>
      </c>
      <c r="AL678" s="3">
        <v>85.03</v>
      </c>
      <c r="AM678" s="3">
        <v>82.1</v>
      </c>
      <c r="AN678" s="3">
        <v>81.529859999999999</v>
      </c>
      <c r="AO678" s="3">
        <v>80.195849999999993</v>
      </c>
      <c r="AP678" s="3">
        <v>80.319050000000004</v>
      </c>
      <c r="AQ678" s="3">
        <v>85.275760000000005</v>
      </c>
      <c r="AS678" s="3">
        <v>65.847260000000006</v>
      </c>
      <c r="AT678" s="3">
        <v>79.530969999999996</v>
      </c>
      <c r="AU678" s="3">
        <v>81.61</v>
      </c>
      <c r="AV678" s="3">
        <v>89.409199999999998</v>
      </c>
      <c r="AW678" s="3">
        <v>44.373240000000003</v>
      </c>
      <c r="AX678" s="3">
        <v>82.103809999999996</v>
      </c>
      <c r="AY678" s="3">
        <v>56.979889999999997</v>
      </c>
    </row>
    <row r="679" spans="1:51" x14ac:dyDescent="0.2">
      <c r="A679" s="3" t="s">
        <v>576</v>
      </c>
      <c r="B679" s="49">
        <v>38473</v>
      </c>
      <c r="D679" s="3">
        <v>83.030649999999994</v>
      </c>
      <c r="E679" s="3">
        <v>57.42718</v>
      </c>
      <c r="F679" s="3">
        <v>84.303399999999996</v>
      </c>
      <c r="G679" s="3">
        <v>97.752399999999994</v>
      </c>
      <c r="H679" s="3">
        <v>70.255629999999996</v>
      </c>
      <c r="I679" s="3">
        <v>75.219269999999995</v>
      </c>
      <c r="J679" s="3">
        <v>67.730909999999994</v>
      </c>
      <c r="K679" s="3">
        <v>51.57423</v>
      </c>
      <c r="L679" s="3">
        <v>80.5</v>
      </c>
      <c r="M679" s="3">
        <v>86.015280000000004</v>
      </c>
      <c r="N679" s="3">
        <v>84.1</v>
      </c>
      <c r="O679" s="3">
        <v>84.66</v>
      </c>
      <c r="P679" s="3">
        <v>83.610200000000006</v>
      </c>
      <c r="Q679" s="3">
        <v>70.548419999999993</v>
      </c>
      <c r="R679" s="3">
        <v>91.41</v>
      </c>
      <c r="S679" s="3">
        <v>83.755880000000005</v>
      </c>
      <c r="T679" s="3">
        <v>87.83</v>
      </c>
      <c r="U679" s="3">
        <v>72.262829999999994</v>
      </c>
      <c r="V679" s="3">
        <v>84.524510000000006</v>
      </c>
      <c r="W679" s="3">
        <v>79.400000000000006</v>
      </c>
      <c r="X679" s="3">
        <v>85.16113</v>
      </c>
      <c r="Y679" s="3">
        <v>69.356030000000004</v>
      </c>
      <c r="Z679" s="3">
        <v>50.32385</v>
      </c>
      <c r="AA679" s="3">
        <v>43.697029999999998</v>
      </c>
      <c r="AB679" s="3">
        <v>101.6696</v>
      </c>
      <c r="AC679" s="3">
        <v>84.723789999999994</v>
      </c>
      <c r="AD679" s="3">
        <v>81.809039999999996</v>
      </c>
      <c r="AE679" s="3">
        <v>84.506100000000004</v>
      </c>
      <c r="AF679" s="3">
        <v>97.2</v>
      </c>
      <c r="AG679" s="3">
        <v>78.364999999999995</v>
      </c>
      <c r="AI679" s="3">
        <v>82.01</v>
      </c>
      <c r="AJ679" s="3">
        <v>66.829269999999994</v>
      </c>
      <c r="AK679" s="3">
        <v>67.113730000000004</v>
      </c>
      <c r="AL679" s="3">
        <v>84.98</v>
      </c>
      <c r="AM679" s="3">
        <v>82.4</v>
      </c>
      <c r="AN679" s="3">
        <v>81.577579999999998</v>
      </c>
      <c r="AO679" s="3">
        <v>80.398650000000004</v>
      </c>
      <c r="AP679" s="3">
        <v>80.53004</v>
      </c>
      <c r="AQ679" s="3">
        <v>85.631039999999999</v>
      </c>
      <c r="AS679" s="3">
        <v>65.847260000000006</v>
      </c>
      <c r="AT679" s="3">
        <v>79.592150000000004</v>
      </c>
      <c r="AU679" s="3">
        <v>81.88</v>
      </c>
      <c r="AV679" s="3">
        <v>89.469830000000002</v>
      </c>
      <c r="AW679" s="3">
        <v>44.780009999999997</v>
      </c>
      <c r="AX679" s="3">
        <v>82.01943</v>
      </c>
      <c r="AY679" s="3">
        <v>56.842320000000001</v>
      </c>
    </row>
    <row r="680" spans="1:51" x14ac:dyDescent="0.2">
      <c r="A680" s="3" t="s">
        <v>577</v>
      </c>
      <c r="B680" s="49">
        <v>38504</v>
      </c>
      <c r="D680" s="3">
        <v>83.278409999999994</v>
      </c>
      <c r="E680" s="3">
        <v>57.415579999999999</v>
      </c>
      <c r="F680" s="3">
        <v>84.461420000000004</v>
      </c>
      <c r="G680" s="3">
        <v>97.532660000000007</v>
      </c>
      <c r="H680" s="3">
        <v>70.546570000000003</v>
      </c>
      <c r="I680" s="3">
        <v>74.617519999999999</v>
      </c>
      <c r="J680" s="3">
        <v>67.99973</v>
      </c>
      <c r="K680" s="3">
        <v>51.81033</v>
      </c>
      <c r="L680" s="3">
        <v>81</v>
      </c>
      <c r="M680" s="3">
        <v>86.10857</v>
      </c>
      <c r="N680" s="3">
        <v>84.2</v>
      </c>
      <c r="O680" s="3">
        <v>84.75</v>
      </c>
      <c r="P680" s="3">
        <v>83.805800000000005</v>
      </c>
      <c r="Q680" s="3">
        <v>71.009860000000003</v>
      </c>
      <c r="R680" s="3">
        <v>91.51</v>
      </c>
      <c r="S680" s="3">
        <v>83.839730000000003</v>
      </c>
      <c r="T680" s="3">
        <v>87.93</v>
      </c>
      <c r="U680" s="3">
        <v>72.264359999999996</v>
      </c>
      <c r="V680" s="3">
        <v>84.525270000000006</v>
      </c>
      <c r="W680" s="3">
        <v>79.400000000000006</v>
      </c>
      <c r="X680" s="3">
        <v>84.980130000000003</v>
      </c>
      <c r="Y680" s="3">
        <v>69.578090000000003</v>
      </c>
      <c r="Z680" s="3">
        <v>50.573779999999999</v>
      </c>
      <c r="AA680" s="3">
        <v>43.862870000000001</v>
      </c>
      <c r="AB680" s="3">
        <v>102.06829999999999</v>
      </c>
      <c r="AC680" s="3">
        <v>84.713509999999999</v>
      </c>
      <c r="AD680" s="3">
        <v>81.909549999999996</v>
      </c>
      <c r="AE680" s="3">
        <v>84.506100000000004</v>
      </c>
      <c r="AF680" s="3">
        <v>96.8</v>
      </c>
      <c r="AG680" s="3">
        <v>78.129000000000005</v>
      </c>
      <c r="AI680" s="3">
        <v>82.05</v>
      </c>
      <c r="AJ680" s="3">
        <v>67.221530000000001</v>
      </c>
      <c r="AK680" s="3">
        <v>67.049310000000006</v>
      </c>
      <c r="AL680" s="3">
        <v>84.7</v>
      </c>
      <c r="AM680" s="3">
        <v>82.4</v>
      </c>
      <c r="AN680" s="3">
        <v>81.583349999999996</v>
      </c>
      <c r="AO680" s="3">
        <v>80.451369999999997</v>
      </c>
      <c r="AP680" s="3">
        <v>80.38937</v>
      </c>
      <c r="AQ680" s="3">
        <v>85.651949999999999</v>
      </c>
      <c r="AS680" s="3">
        <v>65.980289999999997</v>
      </c>
      <c r="AT680" s="3">
        <v>79.836860000000001</v>
      </c>
      <c r="AU680" s="3">
        <v>81.93</v>
      </c>
      <c r="AV680" s="3">
        <v>89.501750000000001</v>
      </c>
      <c r="AW680" s="3">
        <v>44.826070000000001</v>
      </c>
      <c r="AX680" s="3">
        <v>82.061620000000005</v>
      </c>
      <c r="AY680" s="3">
        <v>56.725389999999997</v>
      </c>
    </row>
    <row r="681" spans="1:51" x14ac:dyDescent="0.2">
      <c r="A681" s="3" t="s">
        <v>578</v>
      </c>
      <c r="B681" s="49">
        <v>38534</v>
      </c>
      <c r="D681" s="3">
        <v>83.773939999999996</v>
      </c>
      <c r="E681" s="3">
        <v>57.559199999999997</v>
      </c>
      <c r="F681" s="3">
        <v>84.619439999999997</v>
      </c>
      <c r="G681" s="3">
        <v>96.999160000000003</v>
      </c>
      <c r="H681" s="3">
        <v>70.979579999999999</v>
      </c>
      <c r="I681" s="3">
        <v>74.617519999999999</v>
      </c>
      <c r="J681" s="3">
        <v>68.034790000000001</v>
      </c>
      <c r="K681" s="3">
        <v>52.474429999999998</v>
      </c>
      <c r="L681" s="3">
        <v>81.2</v>
      </c>
      <c r="M681" s="3">
        <v>86.481740000000002</v>
      </c>
      <c r="N681" s="3">
        <v>84.1</v>
      </c>
      <c r="O681" s="3">
        <v>84.66</v>
      </c>
      <c r="P681" s="3">
        <v>83.292850000000001</v>
      </c>
      <c r="Q681" s="3">
        <v>71.266210000000001</v>
      </c>
      <c r="R681" s="3">
        <v>91.69</v>
      </c>
      <c r="S681" s="3">
        <v>83.504360000000005</v>
      </c>
      <c r="T681" s="3">
        <v>87.8</v>
      </c>
      <c r="U681" s="3">
        <v>72.492450000000005</v>
      </c>
      <c r="V681" s="3">
        <v>84.787620000000004</v>
      </c>
      <c r="W681" s="3">
        <v>79.5</v>
      </c>
      <c r="X681" s="3">
        <v>83.93741</v>
      </c>
      <c r="Y681" s="3">
        <v>69.578090000000003</v>
      </c>
      <c r="Z681" s="3">
        <v>50.967419999999997</v>
      </c>
      <c r="AA681" s="3">
        <v>44.609119999999997</v>
      </c>
      <c r="AB681" s="3">
        <v>101.9686</v>
      </c>
      <c r="AC681" s="3">
        <v>85.356160000000003</v>
      </c>
      <c r="AD681" s="3">
        <v>82.713570000000004</v>
      </c>
      <c r="AE681" s="3">
        <v>84.838809999999995</v>
      </c>
      <c r="AF681" s="3">
        <v>96.7</v>
      </c>
      <c r="AG681" s="3">
        <v>78.444000000000003</v>
      </c>
      <c r="AI681" s="3">
        <v>81.53</v>
      </c>
      <c r="AJ681" s="3">
        <v>67.198359999999994</v>
      </c>
      <c r="AK681" s="3">
        <v>67.311719999999994</v>
      </c>
      <c r="AL681" s="3">
        <v>84.57</v>
      </c>
      <c r="AM681" s="3">
        <v>82.2</v>
      </c>
      <c r="AN681" s="3">
        <v>81.775630000000007</v>
      </c>
      <c r="AO681" s="3">
        <v>80.450389999999999</v>
      </c>
      <c r="AP681" s="3">
        <v>80.248710000000003</v>
      </c>
      <c r="AQ681" s="3">
        <v>85.909700000000001</v>
      </c>
      <c r="AS681" s="3">
        <v>66.179820000000007</v>
      </c>
      <c r="AT681" s="3">
        <v>79.653329999999997</v>
      </c>
      <c r="AU681" s="3">
        <v>82.5</v>
      </c>
      <c r="AV681" s="3">
        <v>89.169849999999997</v>
      </c>
      <c r="AW681" s="3">
        <v>44.568950000000001</v>
      </c>
      <c r="AX681" s="3">
        <v>82.44135</v>
      </c>
      <c r="AY681" s="3">
        <v>57.144970000000001</v>
      </c>
    </row>
    <row r="682" spans="1:51" x14ac:dyDescent="0.2">
      <c r="A682" s="3" t="s">
        <v>579</v>
      </c>
      <c r="B682" s="49">
        <v>38565</v>
      </c>
      <c r="D682" s="3">
        <v>83.863140000000001</v>
      </c>
      <c r="E682" s="3">
        <v>57.657110000000003</v>
      </c>
      <c r="F682" s="3">
        <v>84.935479999999998</v>
      </c>
      <c r="G682" s="3">
        <v>97.138890000000004</v>
      </c>
      <c r="H682" s="3">
        <v>71.187150000000003</v>
      </c>
      <c r="I682" s="3">
        <v>74.766750000000002</v>
      </c>
      <c r="J682" s="3">
        <v>68.034790000000001</v>
      </c>
      <c r="K682" s="3">
        <v>53.130490000000002</v>
      </c>
      <c r="L682" s="3">
        <v>81.2</v>
      </c>
      <c r="M682" s="3">
        <v>86.575040000000001</v>
      </c>
      <c r="N682" s="3">
        <v>84.1</v>
      </c>
      <c r="O682" s="3">
        <v>84.86</v>
      </c>
      <c r="P682" s="3">
        <v>83.658100000000005</v>
      </c>
      <c r="Q682" s="3">
        <v>71.471299999999999</v>
      </c>
      <c r="R682" s="3">
        <v>91.19</v>
      </c>
      <c r="S682" s="3">
        <v>83.839730000000003</v>
      </c>
      <c r="T682" s="3">
        <v>88.14</v>
      </c>
      <c r="U682" s="3">
        <v>72.717669999999998</v>
      </c>
      <c r="V682" s="3">
        <v>85.100729999999999</v>
      </c>
      <c r="W682" s="3">
        <v>79.7</v>
      </c>
      <c r="X682" s="3">
        <v>83.561970000000002</v>
      </c>
      <c r="Y682" s="3">
        <v>69.207989999999995</v>
      </c>
      <c r="Z682" s="3">
        <v>51.248600000000003</v>
      </c>
      <c r="AA682" s="3">
        <v>44.774949999999997</v>
      </c>
      <c r="AB682" s="3">
        <v>102.16800000000001</v>
      </c>
      <c r="AC682" s="3">
        <v>85.401799999999994</v>
      </c>
      <c r="AD682" s="3">
        <v>82.914569999999998</v>
      </c>
      <c r="AE682" s="3">
        <v>84.971890000000002</v>
      </c>
      <c r="AF682" s="3">
        <v>96.8</v>
      </c>
      <c r="AG682" s="3">
        <v>78.679000000000002</v>
      </c>
      <c r="AI682" s="3">
        <v>82.62</v>
      </c>
      <c r="AJ682" s="3">
        <v>67.127210000000005</v>
      </c>
      <c r="AK682" s="3">
        <v>67.392099999999999</v>
      </c>
      <c r="AL682" s="3">
        <v>84.96</v>
      </c>
      <c r="AM682" s="3">
        <v>82.3</v>
      </c>
      <c r="AN682" s="3">
        <v>82.042559999999995</v>
      </c>
      <c r="AO682" s="3">
        <v>80.633709999999994</v>
      </c>
      <c r="AP682" s="3">
        <v>80.178380000000004</v>
      </c>
      <c r="AQ682" s="3">
        <v>86.004239999999996</v>
      </c>
      <c r="AS682" s="3">
        <v>66.246340000000004</v>
      </c>
      <c r="AT682" s="3">
        <v>79.592150000000004</v>
      </c>
      <c r="AU682" s="3">
        <v>81.97</v>
      </c>
      <c r="AV682" s="3">
        <v>89.342179999999999</v>
      </c>
      <c r="AW682" s="3">
        <v>44.948860000000003</v>
      </c>
      <c r="AX682" s="3">
        <v>82.863249999999994</v>
      </c>
      <c r="AY682" s="3">
        <v>57.241259999999997</v>
      </c>
    </row>
    <row r="683" spans="1:51" x14ac:dyDescent="0.2">
      <c r="A683" s="3" t="s">
        <v>580</v>
      </c>
      <c r="B683" s="49">
        <v>38596</v>
      </c>
      <c r="D683" s="3">
        <v>83.952330000000003</v>
      </c>
      <c r="E683" s="3">
        <v>57.858960000000003</v>
      </c>
      <c r="F683" s="3">
        <v>85.646559999999994</v>
      </c>
      <c r="G683" s="3">
        <v>97.563869999999994</v>
      </c>
      <c r="H683" s="3">
        <v>71.89237</v>
      </c>
      <c r="I683" s="3">
        <v>75.290120000000002</v>
      </c>
      <c r="J683" s="3">
        <v>68.326989999999995</v>
      </c>
      <c r="K683" s="3">
        <v>53.221910000000001</v>
      </c>
      <c r="L683" s="3">
        <v>81</v>
      </c>
      <c r="M683" s="3">
        <v>86.668329999999997</v>
      </c>
      <c r="N683" s="3">
        <v>84.7</v>
      </c>
      <c r="O683" s="3">
        <v>85.3</v>
      </c>
      <c r="P683" s="3">
        <v>84.172060000000002</v>
      </c>
      <c r="Q683" s="3">
        <v>72.086550000000003</v>
      </c>
      <c r="R683" s="3">
        <v>91.42</v>
      </c>
      <c r="S683" s="3">
        <v>84.258930000000007</v>
      </c>
      <c r="T683" s="3">
        <v>88.48</v>
      </c>
      <c r="U683" s="3">
        <v>73.231080000000006</v>
      </c>
      <c r="V683" s="3">
        <v>85.773150000000001</v>
      </c>
      <c r="W683" s="3">
        <v>79.900000000000006</v>
      </c>
      <c r="X683" s="3">
        <v>85.401570000000007</v>
      </c>
      <c r="Y683" s="3">
        <v>69.356030000000004</v>
      </c>
      <c r="Z683" s="3">
        <v>51.598500000000001</v>
      </c>
      <c r="AA683" s="3">
        <v>44.940779999999997</v>
      </c>
      <c r="AB683" s="3">
        <v>101.9686</v>
      </c>
      <c r="AC683" s="3">
        <v>85.682689999999994</v>
      </c>
      <c r="AD683" s="3">
        <v>83.015079999999998</v>
      </c>
      <c r="AE683" s="3">
        <v>84.971890000000002</v>
      </c>
      <c r="AF683" s="3">
        <v>97.1</v>
      </c>
      <c r="AG683" s="3">
        <v>79.070999999999998</v>
      </c>
      <c r="AI683" s="3">
        <v>82.89</v>
      </c>
      <c r="AJ683" s="3">
        <v>68.145600000000002</v>
      </c>
      <c r="AK683" s="3">
        <v>67.662189999999995</v>
      </c>
      <c r="AL683" s="3">
        <v>85.73</v>
      </c>
      <c r="AM683" s="3">
        <v>82.9</v>
      </c>
      <c r="AN683" s="3">
        <v>82.639189999999999</v>
      </c>
      <c r="AO683" s="3">
        <v>80.942729999999997</v>
      </c>
      <c r="AP683" s="3">
        <v>80.53004</v>
      </c>
      <c r="AQ683" s="3">
        <v>86.169439999999994</v>
      </c>
      <c r="AS683" s="3">
        <v>66.379360000000005</v>
      </c>
      <c r="AT683" s="3">
        <v>79.775679999999994</v>
      </c>
      <c r="AU683" s="3">
        <v>82.83</v>
      </c>
      <c r="AV683" s="3">
        <v>89.954930000000004</v>
      </c>
      <c r="AW683" s="3">
        <v>45.409370000000003</v>
      </c>
      <c r="AX683" s="3">
        <v>83.875839999999997</v>
      </c>
      <c r="AY683" s="3">
        <v>57.289409999999997</v>
      </c>
    </row>
    <row r="684" spans="1:51" x14ac:dyDescent="0.2">
      <c r="A684" s="3" t="s">
        <v>581</v>
      </c>
      <c r="B684" s="49">
        <v>38626</v>
      </c>
      <c r="D684" s="3">
        <v>83.803669999999997</v>
      </c>
      <c r="E684" s="3">
        <v>58.292819999999999</v>
      </c>
      <c r="F684" s="3">
        <v>85.251509999999996</v>
      </c>
      <c r="G684" s="3">
        <v>98.417000000000002</v>
      </c>
      <c r="H684" s="3">
        <v>72.242859999999993</v>
      </c>
      <c r="I684" s="3">
        <v>75.591279999999998</v>
      </c>
      <c r="J684" s="3">
        <v>68.490620000000007</v>
      </c>
      <c r="K684" s="3">
        <v>53.881979999999999</v>
      </c>
      <c r="L684" s="3">
        <v>81.7</v>
      </c>
      <c r="M684" s="3">
        <v>86.761619999999994</v>
      </c>
      <c r="N684" s="3">
        <v>84.7</v>
      </c>
      <c r="O684" s="3">
        <v>85.52</v>
      </c>
      <c r="P684" s="3">
        <v>84.856669999999994</v>
      </c>
      <c r="Q684" s="3">
        <v>72.035269999999997</v>
      </c>
      <c r="R684" s="3">
        <v>91.44</v>
      </c>
      <c r="S684" s="3">
        <v>84.175089999999997</v>
      </c>
      <c r="T684" s="3">
        <v>88.46</v>
      </c>
      <c r="U684" s="3">
        <v>73.596819999999994</v>
      </c>
      <c r="V684" s="3">
        <v>85.880619999999993</v>
      </c>
      <c r="W684" s="3">
        <v>80</v>
      </c>
      <c r="X684" s="3">
        <v>85.970860000000002</v>
      </c>
      <c r="Y684" s="3">
        <v>69.356030000000004</v>
      </c>
      <c r="Z684" s="3">
        <v>56.091030000000003</v>
      </c>
      <c r="AA684" s="3">
        <v>45.438279999999999</v>
      </c>
      <c r="AB684" s="3">
        <v>102.467</v>
      </c>
      <c r="AC684" s="3">
        <v>84.905360000000002</v>
      </c>
      <c r="AD684" s="3">
        <v>83.618089999999995</v>
      </c>
      <c r="AE684" s="3">
        <v>85.171509999999998</v>
      </c>
      <c r="AF684" s="3">
        <v>97.1</v>
      </c>
      <c r="AG684" s="3">
        <v>78.914000000000001</v>
      </c>
      <c r="AI684" s="3">
        <v>83.35</v>
      </c>
      <c r="AJ684" s="3">
        <v>68.697680000000005</v>
      </c>
      <c r="AK684" s="3">
        <v>67.828270000000003</v>
      </c>
      <c r="AL684" s="3">
        <v>85.66</v>
      </c>
      <c r="AM684" s="3">
        <v>83</v>
      </c>
      <c r="AN684" s="3">
        <v>82.809560000000005</v>
      </c>
      <c r="AO684" s="3">
        <v>81.193899999999999</v>
      </c>
      <c r="AP684" s="3">
        <v>80.881699999999995</v>
      </c>
      <c r="AQ684" s="3">
        <v>86.572490000000002</v>
      </c>
      <c r="AS684" s="3">
        <v>66.645409999999998</v>
      </c>
      <c r="AT684" s="3">
        <v>80.632170000000002</v>
      </c>
      <c r="AU684" s="3">
        <v>82.98</v>
      </c>
      <c r="AV684" s="3">
        <v>90.114490000000004</v>
      </c>
      <c r="AW684" s="3">
        <v>46.222920000000002</v>
      </c>
      <c r="AX684" s="3">
        <v>84.044600000000003</v>
      </c>
      <c r="AY684" s="3">
        <v>57.35819</v>
      </c>
    </row>
    <row r="685" spans="1:51" x14ac:dyDescent="0.2">
      <c r="A685" s="3" t="s">
        <v>582</v>
      </c>
      <c r="B685" s="49">
        <v>38657</v>
      </c>
      <c r="D685" s="3">
        <v>83.773939999999996</v>
      </c>
      <c r="E685" s="3">
        <v>58.613460000000003</v>
      </c>
      <c r="F685" s="3">
        <v>85.093500000000006</v>
      </c>
      <c r="G685" s="3">
        <v>98.140410000000003</v>
      </c>
      <c r="H685" s="3">
        <v>72.070170000000005</v>
      </c>
      <c r="I685" s="3">
        <v>75.364509999999996</v>
      </c>
      <c r="J685" s="3">
        <v>68.572429999999997</v>
      </c>
      <c r="K685" s="3">
        <v>54.75806</v>
      </c>
      <c r="L685" s="3">
        <v>81.5</v>
      </c>
      <c r="M685" s="3">
        <v>86.481740000000002</v>
      </c>
      <c r="N685" s="3">
        <v>84.4</v>
      </c>
      <c r="O685" s="3">
        <v>85.33</v>
      </c>
      <c r="P685" s="3">
        <v>84.985410000000002</v>
      </c>
      <c r="Q685" s="3">
        <v>71.932730000000006</v>
      </c>
      <c r="R685" s="3">
        <v>91.63</v>
      </c>
      <c r="S685" s="3">
        <v>84.007409999999993</v>
      </c>
      <c r="T685" s="3">
        <v>88.28</v>
      </c>
      <c r="U685" s="3">
        <v>73.464740000000006</v>
      </c>
      <c r="V685" s="3">
        <v>85.421099999999996</v>
      </c>
      <c r="W685" s="3">
        <v>80</v>
      </c>
      <c r="X685" s="3">
        <v>85.795249999999996</v>
      </c>
      <c r="Y685" s="3">
        <v>69.504069999999999</v>
      </c>
      <c r="Z685" s="3">
        <v>56.828330000000001</v>
      </c>
      <c r="AA685" s="3">
        <v>45.85286</v>
      </c>
      <c r="AB685" s="3">
        <v>102.2676</v>
      </c>
      <c r="AC685" s="3">
        <v>85.899339999999995</v>
      </c>
      <c r="AD685" s="3">
        <v>83.517589999999998</v>
      </c>
      <c r="AE685" s="3">
        <v>85.238039999999998</v>
      </c>
      <c r="AF685" s="3">
        <v>96.7</v>
      </c>
      <c r="AG685" s="3">
        <v>78.599999999999994</v>
      </c>
      <c r="AI685" s="3">
        <v>83.08</v>
      </c>
      <c r="AJ685" s="3">
        <v>68.889809999999997</v>
      </c>
      <c r="AK685" s="3">
        <v>68.316450000000003</v>
      </c>
      <c r="AL685" s="3">
        <v>85.44</v>
      </c>
      <c r="AM685" s="3">
        <v>83</v>
      </c>
      <c r="AN685" s="3">
        <v>82.511039999999994</v>
      </c>
      <c r="AO685" s="3">
        <v>81.176320000000004</v>
      </c>
      <c r="AP685" s="3">
        <v>80.741039999999998</v>
      </c>
      <c r="AQ685" s="3">
        <v>86.935739999999996</v>
      </c>
      <c r="AS685" s="3">
        <v>66.844949999999997</v>
      </c>
      <c r="AT685" s="3">
        <v>80.632170000000002</v>
      </c>
      <c r="AU685" s="3">
        <v>82.6</v>
      </c>
      <c r="AV685" s="3">
        <v>89.897480000000002</v>
      </c>
      <c r="AW685" s="3">
        <v>46.871459999999999</v>
      </c>
      <c r="AX685" s="3">
        <v>83.369540000000001</v>
      </c>
      <c r="AY685" s="3">
        <v>57.344439999999999</v>
      </c>
    </row>
    <row r="686" spans="1:51" x14ac:dyDescent="0.2">
      <c r="A686" s="3" t="s">
        <v>583</v>
      </c>
      <c r="B686" s="49">
        <v>38687</v>
      </c>
      <c r="D686" s="3">
        <v>83.764030000000005</v>
      </c>
      <c r="E686" s="3">
        <v>58.824359999999999</v>
      </c>
      <c r="F686" s="3">
        <v>85.014489999999995</v>
      </c>
      <c r="G686" s="3">
        <v>98.033069999999995</v>
      </c>
      <c r="H686" s="3">
        <v>71.827719999999999</v>
      </c>
      <c r="I686" s="3">
        <v>75.665959999999998</v>
      </c>
      <c r="J686" s="3">
        <v>68.607489999999999</v>
      </c>
      <c r="K686" s="3">
        <v>55.310639999999999</v>
      </c>
      <c r="L686" s="3">
        <v>81.400000000000006</v>
      </c>
      <c r="M686" s="3">
        <v>87.134789999999995</v>
      </c>
      <c r="N686" s="3">
        <v>84.5</v>
      </c>
      <c r="O686" s="3">
        <v>85.62</v>
      </c>
      <c r="P686" s="3">
        <v>85.168040000000005</v>
      </c>
      <c r="Q686" s="3">
        <v>71.830190000000002</v>
      </c>
      <c r="R686" s="3">
        <v>91.76</v>
      </c>
      <c r="S686" s="3">
        <v>84.007409999999993</v>
      </c>
      <c r="T686" s="3">
        <v>88.39</v>
      </c>
      <c r="U686" s="3">
        <v>73.473780000000005</v>
      </c>
      <c r="V686" s="3">
        <v>85.329009999999997</v>
      </c>
      <c r="W686" s="3">
        <v>80.3</v>
      </c>
      <c r="X686" s="3">
        <v>86.206469999999996</v>
      </c>
      <c r="Y686" s="3">
        <v>69.504069999999999</v>
      </c>
      <c r="Z686" s="3">
        <v>56.803339999999999</v>
      </c>
      <c r="AA686" s="3">
        <v>45.604109999999999</v>
      </c>
      <c r="AB686" s="3">
        <v>101.9686</v>
      </c>
      <c r="AC686" s="3">
        <v>86.728070000000002</v>
      </c>
      <c r="AD686" s="3">
        <v>83.417079999999999</v>
      </c>
      <c r="AE686" s="3">
        <v>85.238039999999998</v>
      </c>
      <c r="AF686" s="3">
        <v>96.8</v>
      </c>
      <c r="AG686" s="3">
        <v>78.835999999999999</v>
      </c>
      <c r="AI686" s="3">
        <v>82.93</v>
      </c>
      <c r="AJ686" s="3">
        <v>68.815179999999998</v>
      </c>
      <c r="AK686" s="3">
        <v>68.736080000000001</v>
      </c>
      <c r="AL686" s="3">
        <v>84.98</v>
      </c>
      <c r="AM686" s="3">
        <v>82.9</v>
      </c>
      <c r="AN686" s="3">
        <v>82.479699999999994</v>
      </c>
      <c r="AO686" s="3">
        <v>81.371110000000002</v>
      </c>
      <c r="AP686" s="3">
        <v>80.600369999999998</v>
      </c>
      <c r="AQ686" s="3">
        <v>87.021320000000003</v>
      </c>
      <c r="AS686" s="3">
        <v>66.911460000000005</v>
      </c>
      <c r="AT686" s="3">
        <v>80.754519999999999</v>
      </c>
      <c r="AU686" s="3">
        <v>82.57</v>
      </c>
      <c r="AV686" s="3">
        <v>89.938959999999994</v>
      </c>
      <c r="AW686" s="3">
        <v>47.06718</v>
      </c>
      <c r="AX686" s="3">
        <v>83.032020000000003</v>
      </c>
      <c r="AY686" s="3">
        <v>57.399459999999998</v>
      </c>
    </row>
    <row r="687" spans="1:51" x14ac:dyDescent="0.2">
      <c r="A687" s="3" t="s">
        <v>584</v>
      </c>
      <c r="B687" s="49">
        <v>38718</v>
      </c>
      <c r="D687" s="3">
        <v>83.783850000000001</v>
      </c>
      <c r="E687" s="3">
        <v>59.17145</v>
      </c>
      <c r="F687" s="3">
        <v>85.48854</v>
      </c>
      <c r="G687" s="3">
        <v>97.852879999999999</v>
      </c>
      <c r="H687" s="3">
        <v>71.886420000000001</v>
      </c>
      <c r="I687" s="3">
        <v>76.649619999999999</v>
      </c>
      <c r="J687" s="3">
        <v>68.98151</v>
      </c>
      <c r="K687" s="3">
        <v>55.95966</v>
      </c>
      <c r="L687" s="3">
        <v>82.6</v>
      </c>
      <c r="M687" s="3">
        <v>86.854910000000004</v>
      </c>
      <c r="N687" s="3">
        <v>84.2</v>
      </c>
      <c r="O687" s="3">
        <v>85.24</v>
      </c>
      <c r="P687" s="3">
        <v>84.821740000000005</v>
      </c>
      <c r="Q687" s="3">
        <v>72.445440000000005</v>
      </c>
      <c r="R687" s="3">
        <v>92</v>
      </c>
      <c r="S687" s="3">
        <v>83.755880000000005</v>
      </c>
      <c r="T687" s="3">
        <v>88.3</v>
      </c>
      <c r="U687" s="3">
        <v>73.788340000000005</v>
      </c>
      <c r="V687" s="3">
        <v>85.67192</v>
      </c>
      <c r="W687" s="3">
        <v>80</v>
      </c>
      <c r="X687" s="3">
        <v>86.108220000000003</v>
      </c>
      <c r="Y687" s="3">
        <v>69.578090000000003</v>
      </c>
      <c r="Z687" s="3">
        <v>57.57188</v>
      </c>
      <c r="AA687" s="3">
        <v>45.5212</v>
      </c>
      <c r="AB687" s="3">
        <v>101.8689</v>
      </c>
      <c r="AC687" s="3">
        <v>87.410740000000004</v>
      </c>
      <c r="AD687" s="3">
        <v>83.115579999999994</v>
      </c>
      <c r="AE687" s="3">
        <v>85.437669999999997</v>
      </c>
      <c r="AF687" s="3">
        <v>96.9</v>
      </c>
      <c r="AG687" s="3">
        <v>79.305999999999997</v>
      </c>
      <c r="AI687" s="3">
        <v>82.51</v>
      </c>
      <c r="AJ687" s="3">
        <v>69.548810000000003</v>
      </c>
      <c r="AK687" s="3">
        <v>69.139150000000001</v>
      </c>
      <c r="AL687" s="3">
        <v>84.68</v>
      </c>
      <c r="AM687" s="3">
        <v>82.7</v>
      </c>
      <c r="AN687" s="3">
        <v>82.773570000000007</v>
      </c>
      <c r="AO687" s="3">
        <v>81.288470000000004</v>
      </c>
      <c r="AP687" s="3">
        <v>80.74888</v>
      </c>
      <c r="AQ687" s="3">
        <v>86.728740000000002</v>
      </c>
      <c r="AS687" s="3">
        <v>67.044489999999996</v>
      </c>
      <c r="AT687" s="3">
        <v>82.406319999999994</v>
      </c>
      <c r="AU687" s="3">
        <v>82.13</v>
      </c>
      <c r="AV687" s="3">
        <v>89.227289999999996</v>
      </c>
      <c r="AW687" s="3">
        <v>47.420229999999997</v>
      </c>
      <c r="AX687" s="3">
        <v>83.66489</v>
      </c>
      <c r="AY687" s="3">
        <v>57.619570000000003</v>
      </c>
    </row>
    <row r="688" spans="1:51" x14ac:dyDescent="0.2">
      <c r="A688" s="3" t="s">
        <v>585</v>
      </c>
      <c r="B688" s="49">
        <v>38749</v>
      </c>
      <c r="D688" s="3">
        <v>84.150540000000007</v>
      </c>
      <c r="E688" s="3">
        <v>59.41413</v>
      </c>
      <c r="F688" s="3">
        <v>85.330520000000007</v>
      </c>
      <c r="G688" s="3">
        <v>98.157799999999995</v>
      </c>
      <c r="H688" s="3">
        <v>71.821759999999998</v>
      </c>
      <c r="I688" s="3">
        <v>77.032870000000003</v>
      </c>
      <c r="J688" s="3">
        <v>69.437330000000003</v>
      </c>
      <c r="K688" s="3">
        <v>56.454970000000003</v>
      </c>
      <c r="L688" s="3">
        <v>82.6</v>
      </c>
      <c r="M688" s="3">
        <v>87.228080000000006</v>
      </c>
      <c r="N688" s="3">
        <v>85</v>
      </c>
      <c r="O688" s="3">
        <v>85.48</v>
      </c>
      <c r="P688" s="3">
        <v>84.862660000000005</v>
      </c>
      <c r="Q688" s="3">
        <v>72.804339999999996</v>
      </c>
      <c r="R688" s="3">
        <v>91.51</v>
      </c>
      <c r="S688" s="3">
        <v>84.426609999999997</v>
      </c>
      <c r="T688" s="3">
        <v>88.64</v>
      </c>
      <c r="U688" s="3">
        <v>73.972610000000003</v>
      </c>
      <c r="V688" s="3">
        <v>85.808549999999997</v>
      </c>
      <c r="W688" s="3">
        <v>80.2</v>
      </c>
      <c r="X688" s="3">
        <v>85.062200000000004</v>
      </c>
      <c r="Y688" s="3">
        <v>69.726129999999998</v>
      </c>
      <c r="Z688" s="3">
        <v>57.909289999999999</v>
      </c>
      <c r="AA688" s="3">
        <v>45.5212</v>
      </c>
      <c r="AB688" s="3">
        <v>102.06829999999999</v>
      </c>
      <c r="AC688" s="3">
        <v>88.209789999999998</v>
      </c>
      <c r="AD688" s="3">
        <v>83.618089999999995</v>
      </c>
      <c r="AE688" s="3">
        <v>85.637289999999993</v>
      </c>
      <c r="AF688" s="3">
        <v>96.6</v>
      </c>
      <c r="AG688" s="3">
        <v>79.463999999999999</v>
      </c>
      <c r="AI688" s="3">
        <v>83.88</v>
      </c>
      <c r="AJ688" s="3">
        <v>69.803120000000007</v>
      </c>
      <c r="AK688" s="3">
        <v>69.24494</v>
      </c>
      <c r="AL688" s="3">
        <v>85.01</v>
      </c>
      <c r="AM688" s="3">
        <v>83.4</v>
      </c>
      <c r="AN688" s="3">
        <v>82.913749999999993</v>
      </c>
      <c r="AO688" s="3">
        <v>81.514960000000002</v>
      </c>
      <c r="AP688" s="3">
        <v>80.74888</v>
      </c>
      <c r="AQ688" s="3">
        <v>86.906880000000001</v>
      </c>
      <c r="AS688" s="3">
        <v>67.044489999999996</v>
      </c>
      <c r="AT688" s="3">
        <v>82.895740000000004</v>
      </c>
      <c r="AU688" s="3">
        <v>82.43</v>
      </c>
      <c r="AV688" s="3">
        <v>89.645359999999997</v>
      </c>
      <c r="AW688" s="3">
        <v>47.52384</v>
      </c>
      <c r="AX688" s="3">
        <v>83.833650000000006</v>
      </c>
      <c r="AY688" s="3">
        <v>57.695230000000002</v>
      </c>
    </row>
    <row r="689" spans="1:51" x14ac:dyDescent="0.2">
      <c r="A689" s="3" t="s">
        <v>586</v>
      </c>
      <c r="B689" s="49">
        <v>38777</v>
      </c>
      <c r="D689" s="3">
        <v>84.120810000000006</v>
      </c>
      <c r="E689" s="3">
        <v>59.669580000000003</v>
      </c>
      <c r="F689" s="3">
        <v>85.804580000000001</v>
      </c>
      <c r="G689" s="3">
        <v>98.053640000000001</v>
      </c>
      <c r="H689" s="3">
        <v>72.242859999999993</v>
      </c>
      <c r="I689" s="3">
        <v>76.339579999999998</v>
      </c>
      <c r="J689" s="3">
        <v>69.916529999999995</v>
      </c>
      <c r="K689" s="3">
        <v>56.550420000000003</v>
      </c>
      <c r="L689" s="3">
        <v>82.6</v>
      </c>
      <c r="M689" s="3">
        <v>87.228080000000006</v>
      </c>
      <c r="N689" s="3">
        <v>85.3</v>
      </c>
      <c r="O689" s="3">
        <v>85.98</v>
      </c>
      <c r="P689" s="3">
        <v>85.463440000000006</v>
      </c>
      <c r="Q689" s="3">
        <v>72.855609999999999</v>
      </c>
      <c r="R689" s="3">
        <v>91.79</v>
      </c>
      <c r="S689" s="3">
        <v>84.678120000000007</v>
      </c>
      <c r="T689" s="3">
        <v>88.89</v>
      </c>
      <c r="U689" s="3">
        <v>74.208640000000003</v>
      </c>
      <c r="V689" s="3">
        <v>86.152919999999995</v>
      </c>
      <c r="W689" s="3">
        <v>80.400000000000006</v>
      </c>
      <c r="X689" s="3">
        <v>87.05247</v>
      </c>
      <c r="Y689" s="3">
        <v>70.096220000000002</v>
      </c>
      <c r="Z689" s="3">
        <v>57.928040000000003</v>
      </c>
      <c r="AA689" s="3">
        <v>45.5212</v>
      </c>
      <c r="AB689" s="3">
        <v>101.37050000000001</v>
      </c>
      <c r="AC689" s="3">
        <v>88.67004</v>
      </c>
      <c r="AD689" s="3">
        <v>83.919600000000003</v>
      </c>
      <c r="AE689" s="3">
        <v>85.836910000000003</v>
      </c>
      <c r="AF689" s="3">
        <v>96.8</v>
      </c>
      <c r="AG689" s="3">
        <v>79.933999999999997</v>
      </c>
      <c r="AI689" s="3">
        <v>84.04</v>
      </c>
      <c r="AJ689" s="3">
        <v>69.975160000000002</v>
      </c>
      <c r="AK689" s="3">
        <v>69.331829999999997</v>
      </c>
      <c r="AL689" s="3">
        <v>85.68</v>
      </c>
      <c r="AM689" s="3">
        <v>83.6</v>
      </c>
      <c r="AN689" s="3">
        <v>83.251990000000006</v>
      </c>
      <c r="AO689" s="3">
        <v>81.773619999999994</v>
      </c>
      <c r="AP689" s="3">
        <v>80.667479999999998</v>
      </c>
      <c r="AQ689" s="3">
        <v>88.003579999999999</v>
      </c>
      <c r="AS689" s="3">
        <v>67.377039999999994</v>
      </c>
      <c r="AT689" s="3">
        <v>82.895740000000004</v>
      </c>
      <c r="AU689" s="3">
        <v>83.12</v>
      </c>
      <c r="AV689" s="3">
        <v>90.280439999999999</v>
      </c>
      <c r="AW689" s="3">
        <v>47.654319999999998</v>
      </c>
      <c r="AX689" s="3">
        <v>84.297749999999994</v>
      </c>
      <c r="AY689" s="3">
        <v>57.867190000000001</v>
      </c>
    </row>
    <row r="690" spans="1:51" x14ac:dyDescent="0.2">
      <c r="A690" s="3" t="s">
        <v>587</v>
      </c>
      <c r="B690" s="49">
        <v>38808</v>
      </c>
      <c r="D690" s="3">
        <v>84.527150000000006</v>
      </c>
      <c r="E690" s="3">
        <v>59.79486</v>
      </c>
      <c r="F690" s="3">
        <v>86.278639999999996</v>
      </c>
      <c r="G690" s="3">
        <v>98.885900000000007</v>
      </c>
      <c r="H690" s="3">
        <v>72.704790000000003</v>
      </c>
      <c r="I690" s="3">
        <v>76.492260000000002</v>
      </c>
      <c r="J690" s="3">
        <v>70.243790000000004</v>
      </c>
      <c r="K690" s="3">
        <v>56.793550000000003</v>
      </c>
      <c r="L690" s="3">
        <v>82.6</v>
      </c>
      <c r="M690" s="3">
        <v>87.507959999999997</v>
      </c>
      <c r="N690" s="3">
        <v>85.7</v>
      </c>
      <c r="O690" s="3">
        <v>86.55</v>
      </c>
      <c r="P690" s="3">
        <v>86.668989999999994</v>
      </c>
      <c r="Q690" s="3">
        <v>73.419579999999996</v>
      </c>
      <c r="R690" s="3">
        <v>92.68</v>
      </c>
      <c r="S690" s="3">
        <v>85.097319999999996</v>
      </c>
      <c r="T690" s="3">
        <v>89.27</v>
      </c>
      <c r="U690" s="3">
        <v>74.66301</v>
      </c>
      <c r="V690" s="3">
        <v>86.69932</v>
      </c>
      <c r="W690" s="3">
        <v>80.900000000000006</v>
      </c>
      <c r="X690" s="3">
        <v>87.692670000000007</v>
      </c>
      <c r="Y690" s="3">
        <v>70.614360000000005</v>
      </c>
      <c r="Z690" s="3">
        <v>57.953029999999998</v>
      </c>
      <c r="AA690" s="3">
        <v>45.903730000000003</v>
      </c>
      <c r="AB690" s="3">
        <v>101.9686</v>
      </c>
      <c r="AC690" s="3">
        <v>88.751170000000002</v>
      </c>
      <c r="AD690" s="3">
        <v>84.62312</v>
      </c>
      <c r="AE690" s="3">
        <v>86.103070000000002</v>
      </c>
      <c r="AF690" s="3">
        <v>97</v>
      </c>
      <c r="AG690" s="3">
        <v>80.013000000000005</v>
      </c>
      <c r="AI690" s="3">
        <v>84.3</v>
      </c>
      <c r="AJ690" s="3">
        <v>70.394970000000001</v>
      </c>
      <c r="AK690" s="3">
        <v>69.433480000000003</v>
      </c>
      <c r="AL690" s="3">
        <v>86.07</v>
      </c>
      <c r="AM690" s="3">
        <v>84.3</v>
      </c>
      <c r="AN690" s="3">
        <v>83.795140000000004</v>
      </c>
      <c r="AO690" s="3">
        <v>82.260949999999994</v>
      </c>
      <c r="AP690" s="3">
        <v>81.155879999999996</v>
      </c>
      <c r="AQ690" s="3">
        <v>88.458370000000002</v>
      </c>
      <c r="AS690" s="3">
        <v>67.443560000000005</v>
      </c>
      <c r="AT690" s="3">
        <v>83.079279999999997</v>
      </c>
      <c r="AU690" s="3">
        <v>83.79</v>
      </c>
      <c r="AV690" s="3">
        <v>90.736810000000006</v>
      </c>
      <c r="AW690" s="3">
        <v>48.291339999999998</v>
      </c>
      <c r="AX690" s="3">
        <v>85.015000000000001</v>
      </c>
      <c r="AY690" s="3">
        <v>58.004750000000001</v>
      </c>
    </row>
    <row r="691" spans="1:51" x14ac:dyDescent="0.2">
      <c r="A691" s="3" t="s">
        <v>588</v>
      </c>
      <c r="B691" s="49">
        <v>38838</v>
      </c>
      <c r="D691" s="3">
        <v>84.844279999999998</v>
      </c>
      <c r="E691" s="3">
        <v>59.85472</v>
      </c>
      <c r="F691" s="3">
        <v>86.673689999999993</v>
      </c>
      <c r="G691" s="3">
        <v>99.083690000000004</v>
      </c>
      <c r="H691" s="3">
        <v>72.882580000000004</v>
      </c>
      <c r="I691" s="3">
        <v>76.415760000000006</v>
      </c>
      <c r="J691" s="3">
        <v>70.465860000000006</v>
      </c>
      <c r="K691" s="3">
        <v>57.693739999999998</v>
      </c>
      <c r="L691" s="3">
        <v>83</v>
      </c>
      <c r="M691" s="3">
        <v>87.507959999999997</v>
      </c>
      <c r="N691" s="3">
        <v>85.8</v>
      </c>
      <c r="O691" s="3">
        <v>86.79</v>
      </c>
      <c r="P691" s="3">
        <v>86.981350000000006</v>
      </c>
      <c r="Q691" s="3">
        <v>73.829750000000004</v>
      </c>
      <c r="R691" s="3">
        <v>93.06</v>
      </c>
      <c r="S691" s="3">
        <v>85.181160000000006</v>
      </c>
      <c r="T691" s="3">
        <v>89.65</v>
      </c>
      <c r="U691" s="3">
        <v>74.947659999999999</v>
      </c>
      <c r="V691" s="3">
        <v>87.056160000000006</v>
      </c>
      <c r="W691" s="3">
        <v>81.3</v>
      </c>
      <c r="X691" s="3">
        <v>87.828199999999995</v>
      </c>
      <c r="Y691" s="3">
        <v>71.280529999999999</v>
      </c>
      <c r="Z691" s="3">
        <v>58.171720000000001</v>
      </c>
      <c r="AA691" s="3">
        <v>46.286259999999999</v>
      </c>
      <c r="AB691" s="3">
        <v>102.3673</v>
      </c>
      <c r="AC691" s="3">
        <v>88.999510000000001</v>
      </c>
      <c r="AD691" s="3">
        <v>84.62312</v>
      </c>
      <c r="AE691" s="3">
        <v>86.369230000000002</v>
      </c>
      <c r="AF691" s="3">
        <v>97.3</v>
      </c>
      <c r="AG691" s="3">
        <v>80.168999999999997</v>
      </c>
      <c r="AI691" s="3">
        <v>84.59</v>
      </c>
      <c r="AJ691" s="3">
        <v>71.258920000000003</v>
      </c>
      <c r="AK691" s="3">
        <v>69.124369999999999</v>
      </c>
      <c r="AL691" s="3">
        <v>86.15</v>
      </c>
      <c r="AM691" s="3">
        <v>84.3</v>
      </c>
      <c r="AN691" s="3">
        <v>84.113470000000007</v>
      </c>
      <c r="AO691" s="3">
        <v>82.584789999999998</v>
      </c>
      <c r="AP691" s="3">
        <v>81.644279999999995</v>
      </c>
      <c r="AQ691" s="3">
        <v>88.838539999999995</v>
      </c>
      <c r="AS691" s="3">
        <v>67.31053</v>
      </c>
      <c r="AT691" s="3">
        <v>83.446340000000006</v>
      </c>
      <c r="AU691" s="3">
        <v>84.52</v>
      </c>
      <c r="AV691" s="3">
        <v>90.877229999999997</v>
      </c>
      <c r="AW691" s="3">
        <v>49.197000000000003</v>
      </c>
      <c r="AX691" s="3">
        <v>85.436909999999997</v>
      </c>
      <c r="AY691" s="3">
        <v>58.22486</v>
      </c>
    </row>
    <row r="692" spans="1:51" x14ac:dyDescent="0.2">
      <c r="A692" s="3" t="s">
        <v>589</v>
      </c>
      <c r="B692" s="49">
        <v>38869</v>
      </c>
      <c r="D692" s="3">
        <v>84.834370000000007</v>
      </c>
      <c r="E692" s="3">
        <v>59.728969999999997</v>
      </c>
      <c r="F692" s="3">
        <v>86.51567</v>
      </c>
      <c r="G692" s="3">
        <v>99.056250000000006</v>
      </c>
      <c r="H692" s="3">
        <v>73.309629999999999</v>
      </c>
      <c r="I692" s="3">
        <v>76.033680000000004</v>
      </c>
      <c r="J692" s="3">
        <v>70.676240000000007</v>
      </c>
      <c r="K692" s="3">
        <v>58.245310000000003</v>
      </c>
      <c r="L692" s="3">
        <v>83.2</v>
      </c>
      <c r="M692" s="3">
        <v>87.694540000000003</v>
      </c>
      <c r="N692" s="3">
        <v>86</v>
      </c>
      <c r="O692" s="3">
        <v>86.85</v>
      </c>
      <c r="P692" s="3">
        <v>87.11309</v>
      </c>
      <c r="Q692" s="3">
        <v>74.086100000000002</v>
      </c>
      <c r="R692" s="3">
        <v>93.18</v>
      </c>
      <c r="S692" s="3">
        <v>85.265000000000001</v>
      </c>
      <c r="T692" s="3">
        <v>89.65</v>
      </c>
      <c r="U692" s="3">
        <v>75.085579999999993</v>
      </c>
      <c r="V692" s="3">
        <v>87.180779999999999</v>
      </c>
      <c r="W692" s="3">
        <v>81.5</v>
      </c>
      <c r="X692" s="3">
        <v>87.728970000000004</v>
      </c>
      <c r="Y692" s="3">
        <v>71.502589999999998</v>
      </c>
      <c r="Z692" s="3">
        <v>58.434150000000002</v>
      </c>
      <c r="AA692" s="3">
        <v>47.051319999999997</v>
      </c>
      <c r="AB692" s="3">
        <v>101.9686</v>
      </c>
      <c r="AC692" s="3">
        <v>89.548850000000002</v>
      </c>
      <c r="AD692" s="3">
        <v>84.723619999999997</v>
      </c>
      <c r="AE692" s="3">
        <v>86.435779999999994</v>
      </c>
      <c r="AF692" s="3">
        <v>97.3</v>
      </c>
      <c r="AG692" s="3">
        <v>80.013000000000005</v>
      </c>
      <c r="AI692" s="3">
        <v>84.65</v>
      </c>
      <c r="AJ692" s="3">
        <v>71.451740000000001</v>
      </c>
      <c r="AK692" s="3">
        <v>69.184070000000006</v>
      </c>
      <c r="AL692" s="3">
        <v>85.84</v>
      </c>
      <c r="AM692" s="3">
        <v>84.2</v>
      </c>
      <c r="AN692" s="3">
        <v>84.212289999999996</v>
      </c>
      <c r="AO692" s="3">
        <v>82.669439999999994</v>
      </c>
      <c r="AP692" s="3">
        <v>81.400080000000003</v>
      </c>
      <c r="AQ692" s="3">
        <v>88.796750000000003</v>
      </c>
      <c r="AS692" s="3">
        <v>67.377039999999994</v>
      </c>
      <c r="AT692" s="3">
        <v>83.50752</v>
      </c>
      <c r="AU692" s="3">
        <v>84.28</v>
      </c>
      <c r="AV692" s="3">
        <v>90.851690000000005</v>
      </c>
      <c r="AW692" s="3">
        <v>49.362009999999998</v>
      </c>
      <c r="AX692" s="3">
        <v>85.605670000000003</v>
      </c>
      <c r="AY692" s="3">
        <v>58.651310000000002</v>
      </c>
    </row>
    <row r="693" spans="1:51" x14ac:dyDescent="0.2">
      <c r="A693" s="3" t="s">
        <v>590</v>
      </c>
      <c r="B693" s="49">
        <v>38899</v>
      </c>
      <c r="D693" s="3">
        <v>85.121769999999998</v>
      </c>
      <c r="E693" s="3">
        <v>59.84243</v>
      </c>
      <c r="F693" s="3">
        <v>86.594679999999997</v>
      </c>
      <c r="G693" s="3">
        <v>98.381129999999999</v>
      </c>
      <c r="H693" s="3">
        <v>73.706909999999993</v>
      </c>
      <c r="I693" s="3">
        <v>75.805580000000006</v>
      </c>
      <c r="J693" s="3">
        <v>70.968429999999998</v>
      </c>
      <c r="K693" s="3">
        <v>58.784820000000003</v>
      </c>
      <c r="L693" s="3">
        <v>83.6</v>
      </c>
      <c r="M693" s="3">
        <v>88.067710000000005</v>
      </c>
      <c r="N693" s="3">
        <v>85.8</v>
      </c>
      <c r="O693" s="3">
        <v>86.75</v>
      </c>
      <c r="P693" s="3">
        <v>86.595140000000001</v>
      </c>
      <c r="Q693" s="3">
        <v>74.496269999999996</v>
      </c>
      <c r="R693" s="3">
        <v>93.2</v>
      </c>
      <c r="S693" s="3">
        <v>85.097319999999996</v>
      </c>
      <c r="T693" s="3">
        <v>89.5</v>
      </c>
      <c r="U693" s="3">
        <v>75.212069999999997</v>
      </c>
      <c r="V693" s="3">
        <v>87.331699999999998</v>
      </c>
      <c r="W693" s="3">
        <v>81.5</v>
      </c>
      <c r="X693" s="3">
        <v>87.165260000000004</v>
      </c>
      <c r="Y693" s="3">
        <v>71.650630000000007</v>
      </c>
      <c r="Z693" s="3">
        <v>58.696579999999997</v>
      </c>
      <c r="AA693" s="3">
        <v>47.43385</v>
      </c>
      <c r="AB693" s="3">
        <v>101.47020000000001</v>
      </c>
      <c r="AC693" s="3">
        <v>89.844920000000002</v>
      </c>
      <c r="AD693" s="3">
        <v>84.824119999999994</v>
      </c>
      <c r="AE693" s="3">
        <v>86.701930000000004</v>
      </c>
      <c r="AF693" s="3">
        <v>97</v>
      </c>
      <c r="AG693" s="3">
        <v>80.325999999999993</v>
      </c>
      <c r="AI693" s="3">
        <v>83.92</v>
      </c>
      <c r="AJ693" s="3">
        <v>71.86712</v>
      </c>
      <c r="AK693" s="3">
        <v>69.37379</v>
      </c>
      <c r="AL693" s="3">
        <v>85.68</v>
      </c>
      <c r="AM693" s="3">
        <v>83.9</v>
      </c>
      <c r="AN693" s="3">
        <v>84.350980000000007</v>
      </c>
      <c r="AO693" s="3">
        <v>82.721850000000003</v>
      </c>
      <c r="AP693" s="3">
        <v>81.481480000000005</v>
      </c>
      <c r="AQ693" s="3">
        <v>88.590739999999997</v>
      </c>
      <c r="AS693" s="3">
        <v>67.643100000000004</v>
      </c>
      <c r="AT693" s="3">
        <v>83.62988</v>
      </c>
      <c r="AU693" s="3">
        <v>84.09</v>
      </c>
      <c r="AV693" s="3">
        <v>90.695319999999995</v>
      </c>
      <c r="AW693" s="3">
        <v>49.780299999999997</v>
      </c>
      <c r="AX693" s="3">
        <v>85.858819999999994</v>
      </c>
      <c r="AY693" s="3">
        <v>59.057139999999997</v>
      </c>
    </row>
    <row r="694" spans="1:51" x14ac:dyDescent="0.2">
      <c r="A694" s="3" t="s">
        <v>591</v>
      </c>
      <c r="B694" s="49">
        <v>38930</v>
      </c>
      <c r="D694" s="3">
        <v>85.230789999999999</v>
      </c>
      <c r="E694" s="3">
        <v>59.87236</v>
      </c>
      <c r="F694" s="3">
        <v>86.752700000000004</v>
      </c>
      <c r="G694" s="3">
        <v>98.549480000000003</v>
      </c>
      <c r="H694" s="3">
        <v>73.902569999999997</v>
      </c>
      <c r="I694" s="3">
        <v>76.033000000000001</v>
      </c>
      <c r="J694" s="3">
        <v>71.248940000000005</v>
      </c>
      <c r="K694" s="3">
        <v>59.301229999999997</v>
      </c>
      <c r="L694" s="3">
        <v>83.8</v>
      </c>
      <c r="M694" s="3">
        <v>87.881129999999999</v>
      </c>
      <c r="N694" s="3">
        <v>85.8</v>
      </c>
      <c r="O694" s="3">
        <v>86.83</v>
      </c>
      <c r="P694" s="3">
        <v>86.771780000000007</v>
      </c>
      <c r="Q694" s="3">
        <v>75.060239999999993</v>
      </c>
      <c r="R694" s="3">
        <v>92.93</v>
      </c>
      <c r="S694" s="3">
        <v>85.432680000000005</v>
      </c>
      <c r="T694" s="3">
        <v>89.8</v>
      </c>
      <c r="U694" s="3">
        <v>75.378010000000003</v>
      </c>
      <c r="V694" s="3">
        <v>87.545090000000002</v>
      </c>
      <c r="W694" s="3">
        <v>81.8</v>
      </c>
      <c r="X694" s="3">
        <v>86.516670000000005</v>
      </c>
      <c r="Y694" s="3">
        <v>71.650630000000007</v>
      </c>
      <c r="Z694" s="3">
        <v>58.884030000000003</v>
      </c>
      <c r="AA694" s="3">
        <v>47.43385</v>
      </c>
      <c r="AC694" s="3">
        <v>89.860659999999996</v>
      </c>
      <c r="AD694" s="3">
        <v>84.824119999999994</v>
      </c>
      <c r="AE694" s="3">
        <v>86.835009999999997</v>
      </c>
      <c r="AF694" s="3">
        <v>97.7</v>
      </c>
      <c r="AG694" s="3">
        <v>80.796999999999997</v>
      </c>
      <c r="AI694" s="3">
        <v>84.94</v>
      </c>
      <c r="AJ694" s="3">
        <v>71.701759999999993</v>
      </c>
      <c r="AK694" s="3">
        <v>69.727810000000005</v>
      </c>
      <c r="AL694" s="3">
        <v>86.13</v>
      </c>
      <c r="AM694" s="3">
        <v>83.9</v>
      </c>
      <c r="AN694" s="3">
        <v>84.548509999999993</v>
      </c>
      <c r="AO694" s="3">
        <v>82.815489999999997</v>
      </c>
      <c r="AP694" s="3">
        <v>81.72569</v>
      </c>
      <c r="AQ694" s="3">
        <v>88.454400000000007</v>
      </c>
      <c r="AS694" s="3">
        <v>67.31053</v>
      </c>
      <c r="AT694" s="3">
        <v>83.691059999999993</v>
      </c>
      <c r="AU694" s="3">
        <v>84.62</v>
      </c>
      <c r="AV694" s="3">
        <v>90.755949999999999</v>
      </c>
      <c r="AW694" s="3">
        <v>49.56156</v>
      </c>
      <c r="AX694" s="3">
        <v>86.027590000000004</v>
      </c>
      <c r="AY694" s="3">
        <v>59.462960000000002</v>
      </c>
    </row>
    <row r="695" spans="1:51" x14ac:dyDescent="0.2">
      <c r="A695" s="3" t="s">
        <v>592</v>
      </c>
      <c r="B695" s="49">
        <v>38961</v>
      </c>
      <c r="D695" s="3">
        <v>84.983019999999996</v>
      </c>
      <c r="E695" s="3">
        <v>59.998109999999997</v>
      </c>
      <c r="F695" s="3">
        <v>86.278639999999996</v>
      </c>
      <c r="G695" s="3">
        <v>98.338489999999993</v>
      </c>
      <c r="H695" s="3">
        <v>73.914479999999998</v>
      </c>
      <c r="I695" s="3">
        <v>76.413160000000005</v>
      </c>
      <c r="J695" s="3">
        <v>71.459320000000005</v>
      </c>
      <c r="K695" s="3">
        <v>59.203769999999999</v>
      </c>
      <c r="L695" s="3">
        <v>83.2</v>
      </c>
      <c r="M695" s="3">
        <v>87.601249999999993</v>
      </c>
      <c r="N695" s="3">
        <v>86.1</v>
      </c>
      <c r="O695" s="3">
        <v>86.83</v>
      </c>
      <c r="P695" s="3">
        <v>86.629069999999999</v>
      </c>
      <c r="Q695" s="3">
        <v>74.803889999999996</v>
      </c>
      <c r="R695" s="3">
        <v>93.06</v>
      </c>
      <c r="S695" s="3">
        <v>85.51652</v>
      </c>
      <c r="T695" s="3">
        <v>89.6</v>
      </c>
      <c r="U695" s="3">
        <v>75.398240000000001</v>
      </c>
      <c r="V695" s="3">
        <v>87.257400000000004</v>
      </c>
      <c r="W695" s="3">
        <v>81.900000000000006</v>
      </c>
      <c r="X695" s="3">
        <v>87.903859999999995</v>
      </c>
      <c r="Y695" s="3">
        <v>73.427090000000007</v>
      </c>
      <c r="Z695" s="3">
        <v>59.108960000000003</v>
      </c>
      <c r="AA695" s="3">
        <v>47.816380000000002</v>
      </c>
      <c r="AC695" s="3">
        <v>90.178889999999996</v>
      </c>
      <c r="AD695" s="3">
        <v>84.020099999999999</v>
      </c>
      <c r="AE695" s="3">
        <v>86.768469999999994</v>
      </c>
      <c r="AF695" s="3">
        <v>97.7</v>
      </c>
      <c r="AG695" s="3">
        <v>81.031999999999996</v>
      </c>
      <c r="AI695" s="3">
        <v>84.85</v>
      </c>
      <c r="AJ695" s="3">
        <v>72.193340000000006</v>
      </c>
      <c r="AK695" s="3">
        <v>70.431709999999995</v>
      </c>
      <c r="AL695" s="3">
        <v>86.46</v>
      </c>
      <c r="AM695" s="3">
        <v>85.1</v>
      </c>
      <c r="AN695" s="3">
        <v>84.430909999999997</v>
      </c>
      <c r="AO695" s="3">
        <v>82.884140000000002</v>
      </c>
      <c r="AP695" s="3">
        <v>81.807079999999999</v>
      </c>
      <c r="AQ695" s="3">
        <v>88.823610000000002</v>
      </c>
      <c r="AS695" s="3">
        <v>67.975660000000005</v>
      </c>
      <c r="AT695" s="3">
        <v>83.446340000000006</v>
      </c>
      <c r="AU695" s="3">
        <v>84.93</v>
      </c>
      <c r="AV695" s="3">
        <v>91.285719999999998</v>
      </c>
      <c r="AW695" s="3">
        <v>50.198590000000003</v>
      </c>
      <c r="AX695" s="3">
        <v>85.605670000000003</v>
      </c>
      <c r="AY695" s="3">
        <v>59.614280000000001</v>
      </c>
    </row>
    <row r="696" spans="1:51" x14ac:dyDescent="0.2">
      <c r="A696" s="3" t="s">
        <v>593</v>
      </c>
      <c r="B696" s="49">
        <v>38991</v>
      </c>
      <c r="D696" s="3">
        <v>84.814549999999997</v>
      </c>
      <c r="E696" s="3">
        <v>60.196010000000001</v>
      </c>
      <c r="F696" s="3">
        <v>86.120620000000002</v>
      </c>
      <c r="G696" s="3">
        <v>98.671629999999993</v>
      </c>
      <c r="H696" s="3">
        <v>73.724779999999996</v>
      </c>
      <c r="I696" s="3">
        <v>76.489580000000004</v>
      </c>
      <c r="J696" s="3">
        <v>71.354129999999998</v>
      </c>
      <c r="K696" s="3">
        <v>59.316299999999998</v>
      </c>
      <c r="L696" s="3">
        <v>82.7</v>
      </c>
      <c r="M696" s="3">
        <v>87.694540000000003</v>
      </c>
      <c r="N696" s="3">
        <v>86</v>
      </c>
      <c r="O696" s="3">
        <v>86.9</v>
      </c>
      <c r="P696" s="3">
        <v>86.984350000000006</v>
      </c>
      <c r="Q696" s="3">
        <v>74.701350000000005</v>
      </c>
      <c r="R696" s="3">
        <v>93.35</v>
      </c>
      <c r="S696" s="3">
        <v>85.768039999999999</v>
      </c>
      <c r="T696" s="3">
        <v>89.4</v>
      </c>
      <c r="U696" s="3">
        <v>75.417079999999999</v>
      </c>
      <c r="V696" s="3">
        <v>86.968230000000005</v>
      </c>
      <c r="W696" s="3">
        <v>82</v>
      </c>
      <c r="X696" s="3">
        <v>88.388869999999997</v>
      </c>
      <c r="Y696" s="3">
        <v>73.723169999999996</v>
      </c>
      <c r="Z696" s="3">
        <v>59.62133</v>
      </c>
      <c r="AA696" s="3">
        <v>48.581449999999997</v>
      </c>
      <c r="AC696" s="3">
        <v>90.440939999999998</v>
      </c>
      <c r="AD696" s="3">
        <v>83.517589999999998</v>
      </c>
      <c r="AE696" s="3">
        <v>86.701930000000004</v>
      </c>
      <c r="AF696" s="3">
        <v>97.5</v>
      </c>
      <c r="AG696" s="3">
        <v>80.64</v>
      </c>
      <c r="AI696" s="3">
        <v>84.64</v>
      </c>
      <c r="AJ696" s="3">
        <v>72.577979999999997</v>
      </c>
      <c r="AK696" s="3">
        <v>70.739630000000005</v>
      </c>
      <c r="AL696" s="3">
        <v>86.24</v>
      </c>
      <c r="AM696" s="3">
        <v>85.2</v>
      </c>
      <c r="AN696" s="3">
        <v>84.255859999999998</v>
      </c>
      <c r="AO696" s="3">
        <v>82.976680000000002</v>
      </c>
      <c r="AP696" s="3">
        <v>81.72569</v>
      </c>
      <c r="AQ696" s="3">
        <v>88.886309999999995</v>
      </c>
      <c r="AS696" s="3">
        <v>68.37473</v>
      </c>
      <c r="AT696" s="3">
        <v>83.62988</v>
      </c>
      <c r="AU696" s="3">
        <v>84.23</v>
      </c>
      <c r="AV696" s="3">
        <v>91.295299999999997</v>
      </c>
      <c r="AW696" s="3">
        <v>50.835619999999999</v>
      </c>
      <c r="AX696" s="3">
        <v>85.141570000000002</v>
      </c>
      <c r="AY696" s="3">
        <v>59.930680000000002</v>
      </c>
    </row>
    <row r="697" spans="1:51" x14ac:dyDescent="0.2">
      <c r="A697" s="3" t="s">
        <v>594</v>
      </c>
      <c r="B697" s="49">
        <v>39022</v>
      </c>
      <c r="D697" s="3">
        <v>85.022670000000005</v>
      </c>
      <c r="E697" s="3">
        <v>60.382550000000002</v>
      </c>
      <c r="F697" s="3">
        <v>86.278639999999996</v>
      </c>
      <c r="G697" s="3">
        <v>98.628789999999995</v>
      </c>
      <c r="H697" s="3">
        <v>73.600570000000005</v>
      </c>
      <c r="I697" s="3">
        <v>76.719049999999996</v>
      </c>
      <c r="J697" s="3">
        <v>71.517759999999996</v>
      </c>
      <c r="K697" s="3">
        <v>59.918100000000003</v>
      </c>
      <c r="L697" s="3">
        <v>82.7</v>
      </c>
      <c r="M697" s="3">
        <v>87.694540000000003</v>
      </c>
      <c r="N697" s="3">
        <v>85.9</v>
      </c>
      <c r="O697" s="3">
        <v>86.94</v>
      </c>
      <c r="P697" s="3">
        <v>87.199910000000003</v>
      </c>
      <c r="Q697" s="3">
        <v>75.265330000000006</v>
      </c>
      <c r="R697" s="3">
        <v>93.63</v>
      </c>
      <c r="S697" s="3">
        <v>85.768039999999999</v>
      </c>
      <c r="T697" s="3">
        <v>89.5</v>
      </c>
      <c r="U697" s="3">
        <v>75.447010000000006</v>
      </c>
      <c r="V697" s="3">
        <v>86.873390000000001</v>
      </c>
      <c r="W697" s="3">
        <v>82.2</v>
      </c>
      <c r="X697" s="3">
        <v>88.305509999999998</v>
      </c>
      <c r="Y697" s="3">
        <v>73.945229999999995</v>
      </c>
      <c r="Z697" s="3">
        <v>59.821269999999998</v>
      </c>
      <c r="AA697" s="3">
        <v>48.581449999999997</v>
      </c>
      <c r="AC697" s="3">
        <v>91.342259999999996</v>
      </c>
      <c r="AD697" s="3">
        <v>83.316580000000002</v>
      </c>
      <c r="AE697" s="3">
        <v>86.768469999999994</v>
      </c>
      <c r="AF697" s="3">
        <v>97</v>
      </c>
      <c r="AG697" s="3">
        <v>80.248000000000005</v>
      </c>
      <c r="AI697" s="3">
        <v>84.73</v>
      </c>
      <c r="AJ697" s="3">
        <v>73.279070000000004</v>
      </c>
      <c r="AK697" s="3">
        <v>71.110789999999994</v>
      </c>
      <c r="AL697" s="3">
        <v>86.1</v>
      </c>
      <c r="AM697" s="3">
        <v>85.1</v>
      </c>
      <c r="AN697" s="3">
        <v>84.23227</v>
      </c>
      <c r="AO697" s="3">
        <v>83.126379999999997</v>
      </c>
      <c r="AP697" s="3">
        <v>81.807079999999999</v>
      </c>
      <c r="AQ697" s="3">
        <v>89.006730000000005</v>
      </c>
      <c r="AS697" s="3">
        <v>68.707300000000004</v>
      </c>
      <c r="AT697" s="3">
        <v>84.119290000000007</v>
      </c>
      <c r="AU697" s="3">
        <v>84.51</v>
      </c>
      <c r="AV697" s="3">
        <v>91.41019</v>
      </c>
      <c r="AW697" s="3">
        <v>51.491840000000003</v>
      </c>
      <c r="AX697" s="3">
        <v>85.015000000000001</v>
      </c>
      <c r="AY697" s="3">
        <v>59.930680000000002</v>
      </c>
    </row>
    <row r="698" spans="1:51" x14ac:dyDescent="0.2">
      <c r="A698" s="3" t="s">
        <v>595</v>
      </c>
      <c r="B698" s="49">
        <v>39052</v>
      </c>
      <c r="D698" s="3">
        <v>85.141589999999994</v>
      </c>
      <c r="E698" s="3">
        <v>60.672339999999998</v>
      </c>
      <c r="F698" s="3">
        <v>86.436660000000003</v>
      </c>
      <c r="G698" s="3">
        <v>98.641909999999996</v>
      </c>
      <c r="H698" s="3">
        <v>73.672030000000007</v>
      </c>
      <c r="I698" s="3">
        <v>77.793109999999999</v>
      </c>
      <c r="J698" s="3">
        <v>71.681389999999993</v>
      </c>
      <c r="K698" s="3">
        <v>60.527940000000001</v>
      </c>
      <c r="L698" s="3">
        <v>82.8</v>
      </c>
      <c r="M698" s="3">
        <v>88.347589999999997</v>
      </c>
      <c r="N698" s="3">
        <v>86</v>
      </c>
      <c r="O698" s="3">
        <v>87.27</v>
      </c>
      <c r="P698" s="3">
        <v>87.438429999999997</v>
      </c>
      <c r="Q698" s="3">
        <v>75.521680000000003</v>
      </c>
      <c r="R698" s="3">
        <v>93.74</v>
      </c>
      <c r="S698" s="3">
        <v>85.851879999999994</v>
      </c>
      <c r="T698" s="3">
        <v>89.71</v>
      </c>
      <c r="U698" s="3">
        <v>75.724689999999995</v>
      </c>
      <c r="V698" s="3">
        <v>87.067059999999998</v>
      </c>
      <c r="W698" s="3">
        <v>82.6</v>
      </c>
      <c r="X698" s="3">
        <v>88.714100000000002</v>
      </c>
      <c r="Y698" s="3">
        <v>74.019239999999996</v>
      </c>
      <c r="Z698" s="3">
        <v>60.552320000000002</v>
      </c>
      <c r="AA698" s="3">
        <v>48.581449999999997</v>
      </c>
      <c r="AC698" s="3">
        <v>92.31223</v>
      </c>
      <c r="AD698" s="3">
        <v>83.316580000000002</v>
      </c>
      <c r="AE698" s="3">
        <v>86.835009999999997</v>
      </c>
      <c r="AF698" s="3">
        <v>97.1</v>
      </c>
      <c r="AG698" s="3">
        <v>80.483000000000004</v>
      </c>
      <c r="AI698" s="3">
        <v>84.86</v>
      </c>
      <c r="AJ698" s="3">
        <v>73.519220000000004</v>
      </c>
      <c r="AK698" s="3">
        <v>71.522139999999993</v>
      </c>
      <c r="AL698" s="3">
        <v>85.79</v>
      </c>
      <c r="AM698" s="3">
        <v>84.7</v>
      </c>
      <c r="AN698" s="3">
        <v>84.415139999999994</v>
      </c>
      <c r="AO698" s="3">
        <v>83.371250000000003</v>
      </c>
      <c r="AP698" s="3">
        <v>81.72569</v>
      </c>
      <c r="AQ698" s="3">
        <v>89.203770000000006</v>
      </c>
      <c r="AS698" s="3">
        <v>68.840320000000006</v>
      </c>
      <c r="AT698" s="3">
        <v>84.119290000000007</v>
      </c>
      <c r="AU698" s="3">
        <v>84.87</v>
      </c>
      <c r="AV698" s="3">
        <v>91.41019</v>
      </c>
      <c r="AW698" s="3">
        <v>51.610799999999998</v>
      </c>
      <c r="AX698" s="3">
        <v>85.141570000000002</v>
      </c>
      <c r="AY698" s="3">
        <v>60.164540000000002</v>
      </c>
    </row>
    <row r="699" spans="1:51" x14ac:dyDescent="0.2">
      <c r="A699" s="3" t="s">
        <v>596</v>
      </c>
      <c r="B699" s="49">
        <v>39083</v>
      </c>
      <c r="D699" s="3">
        <v>85.181240000000003</v>
      </c>
      <c r="E699" s="3">
        <v>60.93938</v>
      </c>
      <c r="F699" s="3">
        <v>86.436660000000003</v>
      </c>
      <c r="G699" s="3">
        <v>97.952870000000004</v>
      </c>
      <c r="H699" s="3">
        <v>73.897469999999998</v>
      </c>
      <c r="I699" s="3">
        <v>78.33766</v>
      </c>
      <c r="J699" s="3">
        <v>72.230720000000005</v>
      </c>
      <c r="K699" s="3">
        <v>61.10463</v>
      </c>
      <c r="L699" s="3">
        <v>83.6</v>
      </c>
      <c r="M699" s="3">
        <v>88.347589999999997</v>
      </c>
      <c r="N699" s="3">
        <v>85.7</v>
      </c>
      <c r="O699" s="3">
        <v>86.83</v>
      </c>
      <c r="P699" s="3">
        <v>86.850620000000006</v>
      </c>
      <c r="Q699" s="3">
        <v>76.136920000000003</v>
      </c>
      <c r="R699" s="3">
        <v>94.28</v>
      </c>
      <c r="S699" s="3">
        <v>85.684200000000004</v>
      </c>
      <c r="T699" s="3">
        <v>89.4</v>
      </c>
      <c r="U699" s="3">
        <v>75.848010000000002</v>
      </c>
      <c r="V699" s="3">
        <v>87.135580000000004</v>
      </c>
      <c r="W699" s="3">
        <v>82.1</v>
      </c>
      <c r="X699" s="3">
        <v>88.459239999999994</v>
      </c>
      <c r="Y699" s="3">
        <v>74.907480000000007</v>
      </c>
      <c r="Z699" s="3">
        <v>61.177149999999997</v>
      </c>
      <c r="AA699" s="3">
        <v>48.581449999999997</v>
      </c>
      <c r="AC699" s="3">
        <v>93.020740000000004</v>
      </c>
      <c r="AD699" s="3">
        <v>83.216080000000005</v>
      </c>
      <c r="AE699" s="3">
        <v>86.90155</v>
      </c>
      <c r="AF699" s="3">
        <v>96.9</v>
      </c>
      <c r="AG699" s="3">
        <v>80.64</v>
      </c>
      <c r="AI699" s="3">
        <v>84.38</v>
      </c>
      <c r="AJ699" s="3">
        <v>74.509839999999997</v>
      </c>
      <c r="AK699" s="3">
        <v>71.891530000000003</v>
      </c>
      <c r="AL699" s="3">
        <v>85.89</v>
      </c>
      <c r="AM699" s="3">
        <v>83.7</v>
      </c>
      <c r="AN699" s="3">
        <v>84.494290000000007</v>
      </c>
      <c r="AO699" s="3">
        <v>83.264470000000003</v>
      </c>
      <c r="AP699" s="3">
        <v>82.051280000000006</v>
      </c>
      <c r="AQ699" s="3">
        <v>88.959950000000006</v>
      </c>
      <c r="AS699" s="3">
        <v>69.438929999999999</v>
      </c>
      <c r="AT699" s="3">
        <v>84.914599999999993</v>
      </c>
      <c r="AU699" s="3">
        <v>84.36</v>
      </c>
      <c r="AV699" s="3">
        <v>90.957009999999997</v>
      </c>
      <c r="AW699" s="3">
        <v>52.128860000000003</v>
      </c>
      <c r="AX699" s="3">
        <v>85.401470000000003</v>
      </c>
      <c r="AY699" s="3">
        <v>60.604759999999999</v>
      </c>
    </row>
    <row r="700" spans="1:51" x14ac:dyDescent="0.2">
      <c r="A700" s="3" t="s">
        <v>597</v>
      </c>
      <c r="B700" s="49">
        <v>39114</v>
      </c>
      <c r="D700" s="3">
        <v>85.637119999999996</v>
      </c>
      <c r="E700" s="3">
        <v>61.207590000000003</v>
      </c>
      <c r="F700" s="3">
        <v>87.068740000000005</v>
      </c>
      <c r="G700" s="3">
        <v>98.146569999999997</v>
      </c>
      <c r="H700" s="3">
        <v>73.772419999999997</v>
      </c>
      <c r="I700" s="3">
        <v>79.121039999999994</v>
      </c>
      <c r="J700" s="3">
        <v>73.083929999999995</v>
      </c>
      <c r="K700" s="3">
        <v>61.320630000000001</v>
      </c>
      <c r="L700" s="3">
        <v>83.8</v>
      </c>
      <c r="M700" s="3">
        <v>88.720749999999995</v>
      </c>
      <c r="N700" s="3">
        <v>86.6</v>
      </c>
      <c r="O700" s="3">
        <v>87.08</v>
      </c>
      <c r="P700" s="3">
        <v>86.910499999999999</v>
      </c>
      <c r="Q700" s="3">
        <v>76.239469999999997</v>
      </c>
      <c r="R700" s="3">
        <v>93.81</v>
      </c>
      <c r="S700" s="3">
        <v>86.271079999999998</v>
      </c>
      <c r="T700" s="3">
        <v>89.57</v>
      </c>
      <c r="U700" s="3">
        <v>76.198070000000001</v>
      </c>
      <c r="V700" s="3">
        <v>87.441479999999999</v>
      </c>
      <c r="W700" s="3">
        <v>82.4</v>
      </c>
      <c r="X700" s="3">
        <v>87.335329999999999</v>
      </c>
      <c r="Y700" s="3">
        <v>75.869730000000004</v>
      </c>
      <c r="Z700" s="3">
        <v>61.558300000000003</v>
      </c>
      <c r="AA700" s="3">
        <v>48.963979999999999</v>
      </c>
      <c r="AC700" s="3">
        <v>93.00949</v>
      </c>
      <c r="AD700" s="3">
        <v>82.914569999999998</v>
      </c>
      <c r="AE700" s="3">
        <v>87.167720000000003</v>
      </c>
      <c r="AF700" s="3">
        <v>96.4</v>
      </c>
      <c r="AG700" s="3">
        <v>81.188999999999993</v>
      </c>
      <c r="AI700" s="3">
        <v>85.56</v>
      </c>
      <c r="AJ700" s="3">
        <v>74.89067</v>
      </c>
      <c r="AK700" s="3">
        <v>72.092479999999995</v>
      </c>
      <c r="AL700" s="3">
        <v>86.28</v>
      </c>
      <c r="AM700" s="3">
        <v>84</v>
      </c>
      <c r="AN700" s="3">
        <v>84.781390000000002</v>
      </c>
      <c r="AO700" s="3">
        <v>83.518320000000003</v>
      </c>
      <c r="AP700" s="3">
        <v>82.295479999999998</v>
      </c>
      <c r="AQ700" s="3">
        <v>88.94502</v>
      </c>
      <c r="AS700" s="3">
        <v>69.039860000000004</v>
      </c>
      <c r="AT700" s="3">
        <v>85.098140000000001</v>
      </c>
      <c r="AU700" s="3">
        <v>84.21</v>
      </c>
      <c r="AV700" s="3">
        <v>91.416560000000004</v>
      </c>
      <c r="AW700" s="3">
        <v>52.351439999999997</v>
      </c>
      <c r="AX700" s="3">
        <v>85.858400000000003</v>
      </c>
      <c r="AY700" s="3">
        <v>60.529089999999997</v>
      </c>
    </row>
    <row r="701" spans="1:51" x14ac:dyDescent="0.2">
      <c r="A701" s="3" t="s">
        <v>598</v>
      </c>
      <c r="B701" s="49">
        <v>39142</v>
      </c>
      <c r="D701" s="3">
        <v>85.647030000000001</v>
      </c>
      <c r="E701" s="3">
        <v>61.43403</v>
      </c>
      <c r="F701" s="3">
        <v>87.779820000000001</v>
      </c>
      <c r="G701" s="3">
        <v>98.222999999999999</v>
      </c>
      <c r="H701" s="3">
        <v>74.08717</v>
      </c>
      <c r="I701" s="3">
        <v>78.883669999999995</v>
      </c>
      <c r="J701" s="3">
        <v>73.972210000000004</v>
      </c>
      <c r="K701" s="3">
        <v>61.7637</v>
      </c>
      <c r="L701" s="3">
        <v>84.1</v>
      </c>
      <c r="M701" s="3">
        <v>88.907330000000002</v>
      </c>
      <c r="N701" s="3">
        <v>87</v>
      </c>
      <c r="O701" s="3">
        <v>87.66</v>
      </c>
      <c r="P701" s="3">
        <v>87.569159999999997</v>
      </c>
      <c r="Q701" s="3">
        <v>77.059799999999996</v>
      </c>
      <c r="R701" s="3">
        <v>94.2</v>
      </c>
      <c r="S701" s="3">
        <v>86.857960000000006</v>
      </c>
      <c r="T701" s="3">
        <v>89.95</v>
      </c>
      <c r="U701" s="3">
        <v>76.559889999999996</v>
      </c>
      <c r="V701" s="3">
        <v>88.019810000000007</v>
      </c>
      <c r="W701" s="3">
        <v>82.8</v>
      </c>
      <c r="X701" s="3">
        <v>89.343959999999996</v>
      </c>
      <c r="Y701" s="3">
        <v>76.461879999999994</v>
      </c>
      <c r="Z701" s="3">
        <v>61.702010000000001</v>
      </c>
      <c r="AA701" s="3">
        <v>48.581449999999997</v>
      </c>
      <c r="AC701" s="3">
        <v>93.478160000000003</v>
      </c>
      <c r="AD701" s="3">
        <v>83.115579999999994</v>
      </c>
      <c r="AE701" s="3">
        <v>87.300799999999995</v>
      </c>
      <c r="AF701" s="3">
        <v>96.7</v>
      </c>
      <c r="AG701" s="3">
        <v>81.66</v>
      </c>
      <c r="AI701" s="3">
        <v>85.84</v>
      </c>
      <c r="AJ701" s="3">
        <v>75.937489999999997</v>
      </c>
      <c r="AK701" s="3">
        <v>72.248500000000007</v>
      </c>
      <c r="AL701" s="3">
        <v>87.22</v>
      </c>
      <c r="AM701" s="3">
        <v>84.5</v>
      </c>
      <c r="AN701" s="3">
        <v>85.329329999999999</v>
      </c>
      <c r="AO701" s="3">
        <v>83.940290000000005</v>
      </c>
      <c r="AP701" s="3">
        <v>82.702479999999994</v>
      </c>
      <c r="AQ701" s="3">
        <v>90.055660000000003</v>
      </c>
      <c r="AS701" s="3">
        <v>69.305909999999997</v>
      </c>
      <c r="AT701" s="3">
        <v>85.159319999999994</v>
      </c>
      <c r="AU701" s="3">
        <v>85.06</v>
      </c>
      <c r="AV701" s="3">
        <v>92.016540000000006</v>
      </c>
      <c r="AW701" s="3">
        <v>52.831130000000002</v>
      </c>
      <c r="AX701" s="3">
        <v>86.640199999999993</v>
      </c>
      <c r="AY701" s="3">
        <v>60.94867</v>
      </c>
    </row>
    <row r="702" spans="1:51" x14ac:dyDescent="0.2">
      <c r="A702" s="3" t="s">
        <v>599</v>
      </c>
      <c r="B702" s="49">
        <v>39173</v>
      </c>
      <c r="D702" s="3">
        <v>86.033550000000005</v>
      </c>
      <c r="E702" s="3">
        <v>61.587620000000001</v>
      </c>
      <c r="F702" s="3">
        <v>88.174869999999999</v>
      </c>
      <c r="G702" s="3">
        <v>99.334829999999997</v>
      </c>
      <c r="H702" s="3">
        <v>74.513369999999995</v>
      </c>
      <c r="I702" s="3">
        <v>78.804789999999997</v>
      </c>
      <c r="J702" s="3">
        <v>74.626720000000006</v>
      </c>
      <c r="K702" s="3">
        <v>62.334359999999997</v>
      </c>
      <c r="L702" s="3">
        <v>84.7</v>
      </c>
      <c r="M702" s="3">
        <v>89.37379</v>
      </c>
      <c r="N702" s="3">
        <v>87.1</v>
      </c>
      <c r="O702" s="3">
        <v>88.22</v>
      </c>
      <c r="P702" s="3">
        <v>88.778700000000001</v>
      </c>
      <c r="Q702" s="3">
        <v>77.46996</v>
      </c>
      <c r="R702" s="3">
        <v>95.37</v>
      </c>
      <c r="S702" s="3">
        <v>87.277150000000006</v>
      </c>
      <c r="T702" s="3">
        <v>90.39</v>
      </c>
      <c r="U702" s="3">
        <v>76.944689999999994</v>
      </c>
      <c r="V702" s="3">
        <v>88.483530000000002</v>
      </c>
      <c r="W702" s="3">
        <v>83.1</v>
      </c>
      <c r="X702" s="3">
        <v>89.909610000000001</v>
      </c>
      <c r="Y702" s="3">
        <v>76.757959999999997</v>
      </c>
      <c r="Z702" s="3">
        <v>61.602040000000002</v>
      </c>
      <c r="AA702" s="3">
        <v>48.963979999999999</v>
      </c>
      <c r="AC702" s="3">
        <v>92.796700000000001</v>
      </c>
      <c r="AD702" s="3">
        <v>83.517589999999998</v>
      </c>
      <c r="AE702" s="3">
        <v>87.433880000000002</v>
      </c>
      <c r="AF702" s="3">
        <v>97</v>
      </c>
      <c r="AG702" s="3">
        <v>81.972999999999999</v>
      </c>
      <c r="AI702" s="3">
        <v>86.06</v>
      </c>
      <c r="AJ702" s="3">
        <v>76.625249999999994</v>
      </c>
      <c r="AK702" s="3">
        <v>72.205359999999999</v>
      </c>
      <c r="AL702" s="3">
        <v>87.64</v>
      </c>
      <c r="AM702" s="3">
        <v>84.5</v>
      </c>
      <c r="AN702" s="3">
        <v>85.809629999999999</v>
      </c>
      <c r="AO702" s="3">
        <v>84.422179999999997</v>
      </c>
      <c r="AP702" s="3">
        <v>83.109480000000005</v>
      </c>
      <c r="AQ702" s="3">
        <v>90.878680000000003</v>
      </c>
      <c r="AS702" s="3">
        <v>69.372420000000005</v>
      </c>
      <c r="AT702" s="3">
        <v>85.342849999999999</v>
      </c>
      <c r="AU702" s="3">
        <v>85.99</v>
      </c>
      <c r="AV702" s="3">
        <v>92.482479999999995</v>
      </c>
      <c r="AW702" s="3">
        <v>53.468159999999997</v>
      </c>
      <c r="AX702" s="3">
        <v>87.203029999999998</v>
      </c>
      <c r="AY702" s="3">
        <v>61.46454</v>
      </c>
    </row>
    <row r="703" spans="1:51" x14ac:dyDescent="0.2">
      <c r="A703" s="3" t="s">
        <v>600</v>
      </c>
      <c r="B703" s="49">
        <v>39203</v>
      </c>
      <c r="D703" s="3">
        <v>85.934439999999995</v>
      </c>
      <c r="E703" s="3">
        <v>61.760010000000001</v>
      </c>
      <c r="F703" s="3">
        <v>88.569919999999996</v>
      </c>
      <c r="G703" s="3">
        <v>99.5672</v>
      </c>
      <c r="H703" s="3">
        <v>74.976150000000004</v>
      </c>
      <c r="I703" s="3">
        <v>79.041210000000007</v>
      </c>
      <c r="J703" s="3">
        <v>74.860470000000007</v>
      </c>
      <c r="K703" s="3">
        <v>62.983379999999997</v>
      </c>
      <c r="L703" s="3">
        <v>85</v>
      </c>
      <c r="M703" s="3">
        <v>89.37379</v>
      </c>
      <c r="N703" s="3">
        <v>87.3</v>
      </c>
      <c r="O703" s="3">
        <v>88.43</v>
      </c>
      <c r="P703" s="3">
        <v>89.023210000000006</v>
      </c>
      <c r="Q703" s="3">
        <v>78.033940000000001</v>
      </c>
      <c r="R703" s="3">
        <v>95.88</v>
      </c>
      <c r="S703" s="3">
        <v>87.193309999999997</v>
      </c>
      <c r="T703" s="3">
        <v>90.61</v>
      </c>
      <c r="U703" s="3">
        <v>77.253119999999996</v>
      </c>
      <c r="V703" s="3">
        <v>88.876990000000006</v>
      </c>
      <c r="W703" s="3">
        <v>83.3</v>
      </c>
      <c r="X703" s="3">
        <v>90.131200000000007</v>
      </c>
      <c r="Y703" s="3">
        <v>77.350110000000001</v>
      </c>
      <c r="Z703" s="3">
        <v>61.664520000000003</v>
      </c>
      <c r="AA703" s="3">
        <v>49.346510000000002</v>
      </c>
      <c r="AC703" s="3">
        <v>92.654179999999997</v>
      </c>
      <c r="AD703" s="3">
        <v>83.517589999999998</v>
      </c>
      <c r="AE703" s="3">
        <v>87.700040000000001</v>
      </c>
      <c r="AF703" s="3">
        <v>97.3</v>
      </c>
      <c r="AG703" s="3">
        <v>82.052000000000007</v>
      </c>
      <c r="AI703" s="3">
        <v>86.21</v>
      </c>
      <c r="AJ703" s="3">
        <v>77.076880000000003</v>
      </c>
      <c r="AK703" s="3">
        <v>71.853110000000001</v>
      </c>
      <c r="AL703" s="3">
        <v>87.7</v>
      </c>
      <c r="AM703" s="3">
        <v>84.6</v>
      </c>
      <c r="AN703" s="3">
        <v>86.119209999999995</v>
      </c>
      <c r="AO703" s="3">
        <v>84.609579999999994</v>
      </c>
      <c r="AP703" s="3">
        <v>83.516490000000005</v>
      </c>
      <c r="AQ703" s="3">
        <v>91.011039999999994</v>
      </c>
      <c r="AS703" s="3">
        <v>69.305909999999997</v>
      </c>
      <c r="AT703" s="3">
        <v>85.342849999999999</v>
      </c>
      <c r="AU703" s="3">
        <v>87.02</v>
      </c>
      <c r="AV703" s="3">
        <v>92.383539999999996</v>
      </c>
      <c r="AW703" s="3">
        <v>53.736789999999999</v>
      </c>
      <c r="AX703" s="3">
        <v>87.735900000000001</v>
      </c>
      <c r="AY703" s="3">
        <v>61.746549999999999</v>
      </c>
    </row>
    <row r="704" spans="1:51" x14ac:dyDescent="0.2">
      <c r="A704" s="3" t="s">
        <v>601</v>
      </c>
      <c r="B704" s="49">
        <v>39234</v>
      </c>
      <c r="D704" s="3">
        <v>85.924530000000004</v>
      </c>
      <c r="E704" s="3">
        <v>61.932859999999998</v>
      </c>
      <c r="F704" s="3">
        <v>88.411900000000003</v>
      </c>
      <c r="G704" s="3">
        <v>99.681190000000001</v>
      </c>
      <c r="H704" s="3">
        <v>75.676270000000002</v>
      </c>
      <c r="I704" s="3">
        <v>79.357380000000006</v>
      </c>
      <c r="J704" s="3">
        <v>74.94229</v>
      </c>
      <c r="K704" s="3">
        <v>63.34205</v>
      </c>
      <c r="L704" s="3">
        <v>85.2</v>
      </c>
      <c r="M704" s="3">
        <v>89.37379</v>
      </c>
      <c r="N704" s="3">
        <v>87.2</v>
      </c>
      <c r="O704" s="3">
        <v>88.52</v>
      </c>
      <c r="P704" s="3">
        <v>89.186869999999999</v>
      </c>
      <c r="Q704" s="3">
        <v>78.392840000000007</v>
      </c>
      <c r="R704" s="3">
        <v>95.94</v>
      </c>
      <c r="S704" s="3">
        <v>87.360990000000001</v>
      </c>
      <c r="T704" s="3">
        <v>90.72</v>
      </c>
      <c r="U704" s="3">
        <v>77.424289999999999</v>
      </c>
      <c r="V704" s="3">
        <v>88.978520000000003</v>
      </c>
      <c r="W704" s="3">
        <v>83.5</v>
      </c>
      <c r="X704" s="3">
        <v>90.04034</v>
      </c>
      <c r="Y704" s="3">
        <v>77.646190000000004</v>
      </c>
      <c r="Z704" s="3">
        <v>61.808230000000002</v>
      </c>
      <c r="AA704" s="3">
        <v>49.729039999999998</v>
      </c>
      <c r="AC704" s="3">
        <v>93.369969999999995</v>
      </c>
      <c r="AD704" s="3">
        <v>84.120609999999999</v>
      </c>
      <c r="AE704" s="3">
        <v>87.899659999999997</v>
      </c>
      <c r="AF704" s="3">
        <v>97.1</v>
      </c>
      <c r="AG704" s="3">
        <v>82.052000000000007</v>
      </c>
      <c r="AI704" s="3">
        <v>86.37</v>
      </c>
      <c r="AJ704" s="3">
        <v>77.737620000000007</v>
      </c>
      <c r="AK704" s="3">
        <v>71.939400000000006</v>
      </c>
      <c r="AL704" s="3">
        <v>87.34</v>
      </c>
      <c r="AM704" s="3">
        <v>84.5</v>
      </c>
      <c r="AN704" s="3">
        <v>86.2059</v>
      </c>
      <c r="AO704" s="3">
        <v>84.681960000000004</v>
      </c>
      <c r="AP704" s="3">
        <v>83.516490000000005</v>
      </c>
      <c r="AQ704" s="3">
        <v>90.964259999999996</v>
      </c>
      <c r="AS704" s="3">
        <v>69.438929999999999</v>
      </c>
      <c r="AT704" s="3">
        <v>85.587559999999996</v>
      </c>
      <c r="AU704" s="3">
        <v>87.34</v>
      </c>
      <c r="AV704" s="3">
        <v>92.533540000000002</v>
      </c>
      <c r="AW704" s="3">
        <v>53.606310000000001</v>
      </c>
      <c r="AX704" s="3">
        <v>87.905929999999998</v>
      </c>
      <c r="AY704" s="3">
        <v>62.18676</v>
      </c>
    </row>
    <row r="705" spans="1:51" x14ac:dyDescent="0.2">
      <c r="A705" s="3" t="s">
        <v>602</v>
      </c>
      <c r="B705" s="49">
        <v>39264</v>
      </c>
      <c r="D705" s="3">
        <v>86.291219999999996</v>
      </c>
      <c r="E705" s="3">
        <v>62.081580000000002</v>
      </c>
      <c r="F705" s="3">
        <v>88.49091</v>
      </c>
      <c r="G705" s="3">
        <v>99.089740000000006</v>
      </c>
      <c r="H705" s="3">
        <v>76.530370000000005</v>
      </c>
      <c r="I705" s="3">
        <v>80.07159</v>
      </c>
      <c r="J705" s="3">
        <v>75.070849999999993</v>
      </c>
      <c r="K705" s="3">
        <v>63.930790000000002</v>
      </c>
      <c r="L705" s="3">
        <v>85.6</v>
      </c>
      <c r="M705" s="3">
        <v>89.840260000000001</v>
      </c>
      <c r="N705" s="3">
        <v>86.8</v>
      </c>
      <c r="O705" s="3">
        <v>88.31</v>
      </c>
      <c r="P705" s="3">
        <v>88.537189999999995</v>
      </c>
      <c r="Q705" s="3">
        <v>79.264430000000004</v>
      </c>
      <c r="R705" s="3">
        <v>95.89</v>
      </c>
      <c r="S705" s="3">
        <v>87.277150000000006</v>
      </c>
      <c r="T705" s="3">
        <v>90.49</v>
      </c>
      <c r="U705" s="3">
        <v>77.574650000000005</v>
      </c>
      <c r="V705" s="3">
        <v>88.96454</v>
      </c>
      <c r="W705" s="3">
        <v>83.1</v>
      </c>
      <c r="X705" s="3">
        <v>89.363820000000004</v>
      </c>
      <c r="Y705" s="3">
        <v>77.646190000000004</v>
      </c>
      <c r="Z705" s="3">
        <v>62.251860000000001</v>
      </c>
      <c r="AA705" s="3">
        <v>50.494100000000003</v>
      </c>
      <c r="AC705" s="3">
        <v>93.618170000000006</v>
      </c>
      <c r="AD705" s="3">
        <v>85.025120000000001</v>
      </c>
      <c r="AE705" s="3">
        <v>88.099279999999993</v>
      </c>
      <c r="AF705" s="3">
        <v>97</v>
      </c>
      <c r="AG705" s="3">
        <v>82.366</v>
      </c>
      <c r="AI705" s="3">
        <v>85.48</v>
      </c>
      <c r="AJ705" s="3">
        <v>78.664550000000006</v>
      </c>
      <c r="AK705" s="3">
        <v>72.244960000000006</v>
      </c>
      <c r="AL705" s="3">
        <v>86.93</v>
      </c>
      <c r="AM705" s="3">
        <v>84.3</v>
      </c>
      <c r="AN705" s="3">
        <v>86.192409999999995</v>
      </c>
      <c r="AO705" s="3">
        <v>84.562380000000005</v>
      </c>
      <c r="AP705" s="3">
        <v>83.272289999999998</v>
      </c>
      <c r="AQ705" s="3">
        <v>90.701530000000005</v>
      </c>
      <c r="AS705" s="3">
        <v>70.237080000000006</v>
      </c>
      <c r="AT705" s="3">
        <v>85.526380000000003</v>
      </c>
      <c r="AU705" s="3">
        <v>87.36</v>
      </c>
      <c r="AV705" s="3">
        <v>92.386740000000003</v>
      </c>
      <c r="AW705" s="3">
        <v>53.214880000000001</v>
      </c>
      <c r="AX705" s="3">
        <v>87.883570000000006</v>
      </c>
      <c r="AY705" s="3">
        <v>62.723269999999999</v>
      </c>
    </row>
    <row r="706" spans="1:51" x14ac:dyDescent="0.2">
      <c r="A706" s="3" t="s">
        <v>603</v>
      </c>
      <c r="B706" s="49">
        <v>39295</v>
      </c>
      <c r="D706" s="3">
        <v>86.182209999999998</v>
      </c>
      <c r="E706" s="3">
        <v>62.373449999999998</v>
      </c>
      <c r="F706" s="3">
        <v>88.253879999999995</v>
      </c>
      <c r="G706" s="3">
        <v>98.978930000000005</v>
      </c>
      <c r="H706" s="3">
        <v>77.360650000000007</v>
      </c>
      <c r="I706" s="3">
        <v>81.032449999999997</v>
      </c>
      <c r="J706" s="3">
        <v>74.965670000000003</v>
      </c>
      <c r="K706" s="3">
        <v>64.378879999999995</v>
      </c>
      <c r="L706" s="3">
        <v>85.9</v>
      </c>
      <c r="M706" s="3">
        <v>89.746960000000001</v>
      </c>
      <c r="N706" s="3">
        <v>86.6</v>
      </c>
      <c r="O706" s="3">
        <v>88.37</v>
      </c>
      <c r="P706" s="3">
        <v>88.658950000000004</v>
      </c>
      <c r="Q706" s="3">
        <v>79.315700000000007</v>
      </c>
      <c r="R706" s="3">
        <v>95.41</v>
      </c>
      <c r="S706" s="3">
        <v>87.360990000000001</v>
      </c>
      <c r="T706" s="3">
        <v>90.86</v>
      </c>
      <c r="U706" s="3">
        <v>77.7453</v>
      </c>
      <c r="V706" s="3">
        <v>88.96884</v>
      </c>
      <c r="W706" s="3">
        <v>83.4</v>
      </c>
      <c r="X706" s="3">
        <v>88.703710000000001</v>
      </c>
      <c r="Y706" s="3">
        <v>77.57217</v>
      </c>
      <c r="Z706" s="3">
        <v>62.714239999999997</v>
      </c>
      <c r="AA706" s="3">
        <v>50.876629999999999</v>
      </c>
      <c r="AC706" s="3">
        <v>93.914550000000006</v>
      </c>
      <c r="AD706" s="3">
        <v>85.527640000000005</v>
      </c>
      <c r="AE706" s="3">
        <v>88.23236</v>
      </c>
      <c r="AF706" s="3">
        <v>97.5</v>
      </c>
      <c r="AG706" s="3">
        <v>82.444000000000003</v>
      </c>
      <c r="AI706" s="3">
        <v>86.53</v>
      </c>
      <c r="AJ706" s="3">
        <v>78.948769999999996</v>
      </c>
      <c r="AK706" s="3">
        <v>72.539280000000005</v>
      </c>
      <c r="AL706" s="3">
        <v>87.08</v>
      </c>
      <c r="AM706" s="3">
        <v>84.2</v>
      </c>
      <c r="AN706" s="3">
        <v>86.212450000000004</v>
      </c>
      <c r="AO706" s="3">
        <v>84.637619999999998</v>
      </c>
      <c r="AP706" s="3">
        <v>82.946690000000004</v>
      </c>
      <c r="AQ706" s="3">
        <v>90.27261</v>
      </c>
      <c r="AS706" s="3">
        <v>70.702669999999998</v>
      </c>
      <c r="AT706" s="3">
        <v>85.587559999999996</v>
      </c>
      <c r="AU706" s="3">
        <v>87.62</v>
      </c>
      <c r="AV706" s="3">
        <v>92.36121</v>
      </c>
      <c r="AW706" s="3">
        <v>53.226390000000002</v>
      </c>
      <c r="AX706" s="3">
        <v>87.722399999999993</v>
      </c>
      <c r="AY706" s="3">
        <v>63.122219999999999</v>
      </c>
    </row>
    <row r="707" spans="1:51" x14ac:dyDescent="0.2">
      <c r="A707" s="3" t="s">
        <v>604</v>
      </c>
      <c r="B707" s="49">
        <v>39326</v>
      </c>
      <c r="D707" s="3">
        <v>86.261489999999995</v>
      </c>
      <c r="E707" s="3">
        <v>62.48574</v>
      </c>
      <c r="F707" s="3">
        <v>88.411900000000003</v>
      </c>
      <c r="G707" s="3">
        <v>99.073149999999998</v>
      </c>
      <c r="H707" s="3">
        <v>78.237719999999996</v>
      </c>
      <c r="I707" s="3">
        <v>81.275540000000007</v>
      </c>
      <c r="J707" s="3">
        <v>75.024109999999993</v>
      </c>
      <c r="K707" s="3">
        <v>64.786779999999993</v>
      </c>
      <c r="L707" s="3">
        <v>85.6</v>
      </c>
      <c r="M707" s="3">
        <v>89.933549999999997</v>
      </c>
      <c r="N707" s="3">
        <v>87.2</v>
      </c>
      <c r="O707" s="3">
        <v>88.71</v>
      </c>
      <c r="P707" s="3">
        <v>88.950360000000003</v>
      </c>
      <c r="Q707" s="3">
        <v>80.187309999999997</v>
      </c>
      <c r="R707" s="3">
        <v>95.55</v>
      </c>
      <c r="S707" s="3">
        <v>87.780190000000005</v>
      </c>
      <c r="T707" s="3">
        <v>90.96</v>
      </c>
      <c r="U707" s="3">
        <v>77.998519999999999</v>
      </c>
      <c r="V707" s="3">
        <v>89.140420000000006</v>
      </c>
      <c r="W707" s="3">
        <v>83.5</v>
      </c>
      <c r="X707" s="3">
        <v>90.470299999999995</v>
      </c>
      <c r="Y707" s="3">
        <v>78.090299999999999</v>
      </c>
      <c r="Z707" s="3">
        <v>63.220350000000003</v>
      </c>
      <c r="AA707" s="3">
        <v>50.876629999999999</v>
      </c>
      <c r="AC707" s="3">
        <v>93.96902</v>
      </c>
      <c r="AD707" s="3">
        <v>85.226129999999998</v>
      </c>
      <c r="AE707" s="3">
        <v>88.23236</v>
      </c>
      <c r="AF707" s="3">
        <v>97.5</v>
      </c>
      <c r="AG707" s="3">
        <v>82.915000000000006</v>
      </c>
      <c r="AI707" s="3">
        <v>86.62</v>
      </c>
      <c r="AJ707" s="3">
        <v>80.412549999999996</v>
      </c>
      <c r="AK707" s="3">
        <v>73.102519999999998</v>
      </c>
      <c r="AL707" s="3">
        <v>87.59</v>
      </c>
      <c r="AM707" s="3">
        <v>84.8</v>
      </c>
      <c r="AN707" s="3">
        <v>86.461510000000004</v>
      </c>
      <c r="AO707" s="3">
        <v>84.91386</v>
      </c>
      <c r="AP707" s="3">
        <v>83.597890000000007</v>
      </c>
      <c r="AQ707" s="3">
        <v>90.676649999999995</v>
      </c>
      <c r="AS707" s="3">
        <v>71.307929999999999</v>
      </c>
      <c r="AT707" s="3">
        <v>85.832269999999994</v>
      </c>
      <c r="AU707" s="3">
        <v>87.92</v>
      </c>
      <c r="AV707" s="3">
        <v>93.283519999999996</v>
      </c>
      <c r="AW707" s="3">
        <v>53.77516</v>
      </c>
      <c r="AX707" s="3">
        <v>87.964160000000007</v>
      </c>
      <c r="AY707" s="3">
        <v>63.479889999999997</v>
      </c>
    </row>
    <row r="708" spans="1:51" x14ac:dyDescent="0.2">
      <c r="A708" s="3" t="s">
        <v>605</v>
      </c>
      <c r="B708" s="49">
        <v>39356</v>
      </c>
      <c r="D708" s="3">
        <v>86.717380000000006</v>
      </c>
      <c r="E708" s="3">
        <v>62.673209999999997</v>
      </c>
      <c r="F708" s="3">
        <v>88.174869999999999</v>
      </c>
      <c r="G708" s="3">
        <v>99.919120000000007</v>
      </c>
      <c r="H708" s="3">
        <v>78.481020000000001</v>
      </c>
      <c r="I708" s="3">
        <v>81.519369999999995</v>
      </c>
      <c r="J708" s="3">
        <v>75.035799999999995</v>
      </c>
      <c r="K708" s="3">
        <v>65.15549</v>
      </c>
      <c r="L708" s="3">
        <v>86.1</v>
      </c>
      <c r="M708" s="3">
        <v>90.120130000000003</v>
      </c>
      <c r="N708" s="3">
        <v>87.5</v>
      </c>
      <c r="O708" s="3">
        <v>89.15</v>
      </c>
      <c r="P708" s="3">
        <v>90.103009999999998</v>
      </c>
      <c r="Q708" s="3">
        <v>81.007639999999995</v>
      </c>
      <c r="R708" s="3">
        <v>96.14</v>
      </c>
      <c r="S708" s="3">
        <v>88.031720000000007</v>
      </c>
      <c r="T708" s="3">
        <v>91.19</v>
      </c>
      <c r="U708" s="3">
        <v>78.354470000000006</v>
      </c>
      <c r="V708" s="3">
        <v>89.341470000000001</v>
      </c>
      <c r="W708" s="3">
        <v>83.8</v>
      </c>
      <c r="X708" s="3">
        <v>91.125259999999997</v>
      </c>
      <c r="Y708" s="3">
        <v>78.756479999999996</v>
      </c>
      <c r="Z708" s="3">
        <v>63.720210000000002</v>
      </c>
      <c r="AA708" s="3">
        <v>51.259160000000001</v>
      </c>
      <c r="AC708" s="3">
        <v>94.226969999999994</v>
      </c>
      <c r="AD708" s="3">
        <v>85.326629999999994</v>
      </c>
      <c r="AE708" s="3">
        <v>88.498519999999999</v>
      </c>
      <c r="AF708" s="3">
        <v>97.8</v>
      </c>
      <c r="AG708" s="3">
        <v>83.072000000000003</v>
      </c>
      <c r="AI708" s="3">
        <v>87.11</v>
      </c>
      <c r="AJ708" s="3">
        <v>82.151380000000003</v>
      </c>
      <c r="AK708" s="3">
        <v>73.3874</v>
      </c>
      <c r="AL708" s="3">
        <v>87.63</v>
      </c>
      <c r="AM708" s="3">
        <v>85</v>
      </c>
      <c r="AN708" s="3">
        <v>86.757570000000001</v>
      </c>
      <c r="AO708" s="3">
        <v>85.360129999999998</v>
      </c>
      <c r="AP708" s="3">
        <v>84.086280000000002</v>
      </c>
      <c r="AQ708" s="3">
        <v>91.175250000000005</v>
      </c>
      <c r="AS708" s="3">
        <v>72.032910000000001</v>
      </c>
      <c r="AT708" s="3">
        <v>86.321690000000004</v>
      </c>
      <c r="AU708" s="3">
        <v>88.5</v>
      </c>
      <c r="AV708" s="3">
        <v>93.778180000000006</v>
      </c>
      <c r="AW708" s="3">
        <v>54.749890000000001</v>
      </c>
      <c r="AX708" s="3">
        <v>88.152330000000006</v>
      </c>
      <c r="AY708" s="3">
        <v>64.064539999999994</v>
      </c>
    </row>
    <row r="709" spans="1:51" x14ac:dyDescent="0.2">
      <c r="A709" s="3" t="s">
        <v>606</v>
      </c>
      <c r="B709" s="49">
        <v>39387</v>
      </c>
      <c r="D709" s="3">
        <v>87.53004</v>
      </c>
      <c r="E709" s="3">
        <v>62.911250000000003</v>
      </c>
      <c r="F709" s="3">
        <v>88.411900000000003</v>
      </c>
      <c r="G709" s="3">
        <v>100.3747</v>
      </c>
      <c r="H709" s="3">
        <v>79.073949999999996</v>
      </c>
      <c r="I709" s="3">
        <v>82.090010000000007</v>
      </c>
      <c r="J709" s="3">
        <v>75.398120000000006</v>
      </c>
      <c r="K709" s="3">
        <v>65.964259999999996</v>
      </c>
      <c r="L709" s="3">
        <v>86.9</v>
      </c>
      <c r="M709" s="3">
        <v>90.586590000000001</v>
      </c>
      <c r="N709" s="3">
        <v>88</v>
      </c>
      <c r="O709" s="3">
        <v>89.63</v>
      </c>
      <c r="P709" s="3">
        <v>90.748699999999999</v>
      </c>
      <c r="Q709" s="3">
        <v>82.135599999999997</v>
      </c>
      <c r="R709" s="3">
        <v>96.49</v>
      </c>
      <c r="S709" s="3">
        <v>88.283230000000003</v>
      </c>
      <c r="T709" s="3">
        <v>91.69</v>
      </c>
      <c r="U709" s="3">
        <v>78.739559999999997</v>
      </c>
      <c r="V709" s="3">
        <v>89.736559999999997</v>
      </c>
      <c r="W709" s="3">
        <v>84.1</v>
      </c>
      <c r="X709" s="3">
        <v>91.778469999999999</v>
      </c>
      <c r="Y709" s="3">
        <v>79.200590000000005</v>
      </c>
      <c r="Z709" s="3">
        <v>63.838929999999998</v>
      </c>
      <c r="AA709" s="3">
        <v>51.259160000000001</v>
      </c>
      <c r="AC709" s="3">
        <v>95.766040000000004</v>
      </c>
      <c r="AD709" s="3">
        <v>85.527640000000005</v>
      </c>
      <c r="AE709" s="3">
        <v>88.831220000000002</v>
      </c>
      <c r="AF709" s="3">
        <v>97.6</v>
      </c>
      <c r="AG709" s="3">
        <v>83.072000000000003</v>
      </c>
      <c r="AI709" s="3">
        <v>87.44</v>
      </c>
      <c r="AJ709" s="3">
        <v>83.312510000000003</v>
      </c>
      <c r="AK709" s="3">
        <v>73.90513</v>
      </c>
      <c r="AL709" s="3">
        <v>87.76</v>
      </c>
      <c r="AM709" s="3">
        <v>86.4</v>
      </c>
      <c r="AN709" s="3">
        <v>87.184250000000006</v>
      </c>
      <c r="AO709" s="3">
        <v>85.879469999999998</v>
      </c>
      <c r="AP709" s="3">
        <v>84.656080000000003</v>
      </c>
      <c r="AQ709" s="3">
        <v>91.491709999999998</v>
      </c>
      <c r="AS709" s="3">
        <v>72.831059999999994</v>
      </c>
      <c r="AT709" s="3">
        <v>86.749939999999995</v>
      </c>
      <c r="AU709" s="3">
        <v>89.3</v>
      </c>
      <c r="AV709" s="3">
        <v>94.384529999999998</v>
      </c>
      <c r="AW709" s="3">
        <v>55.816719999999997</v>
      </c>
      <c r="AX709" s="3">
        <v>88.675920000000005</v>
      </c>
      <c r="AY709" s="3">
        <v>64.264020000000002</v>
      </c>
    </row>
    <row r="710" spans="1:51" x14ac:dyDescent="0.2">
      <c r="A710" s="3" t="s">
        <v>607</v>
      </c>
      <c r="B710" s="49">
        <v>39417</v>
      </c>
      <c r="D710" s="3">
        <v>87.767899999999997</v>
      </c>
      <c r="E710" s="3">
        <v>63.376899999999999</v>
      </c>
      <c r="F710" s="3">
        <v>88.49091</v>
      </c>
      <c r="G710" s="3">
        <v>100.6187</v>
      </c>
      <c r="H710" s="3">
        <v>79.435500000000005</v>
      </c>
      <c r="I710" s="3">
        <v>82.910910000000001</v>
      </c>
      <c r="J710" s="3">
        <v>75.760440000000003</v>
      </c>
      <c r="K710" s="3">
        <v>67.06841</v>
      </c>
      <c r="L710" s="3">
        <v>87.3</v>
      </c>
      <c r="M710" s="3">
        <v>91.146349999999998</v>
      </c>
      <c r="N710" s="3">
        <v>88</v>
      </c>
      <c r="O710" s="3">
        <v>89.98</v>
      </c>
      <c r="P710" s="3">
        <v>91.128929999999997</v>
      </c>
      <c r="Q710" s="3">
        <v>82.750839999999997</v>
      </c>
      <c r="R710" s="3">
        <v>96.63</v>
      </c>
      <c r="S710" s="3">
        <v>88.115549999999999</v>
      </c>
      <c r="T710" s="3">
        <v>92.03</v>
      </c>
      <c r="U710" s="3">
        <v>78.986689999999996</v>
      </c>
      <c r="V710" s="3">
        <v>89.846249999999998</v>
      </c>
      <c r="W710" s="3">
        <v>84.5</v>
      </c>
      <c r="X710" s="3">
        <v>92.158910000000006</v>
      </c>
      <c r="Y710" s="3">
        <v>79.496669999999995</v>
      </c>
      <c r="Z710" s="3">
        <v>64.538740000000004</v>
      </c>
      <c r="AA710" s="3">
        <v>51.259160000000001</v>
      </c>
      <c r="AC710" s="3">
        <v>95.959339999999997</v>
      </c>
      <c r="AD710" s="3">
        <v>86.130650000000003</v>
      </c>
      <c r="AE710" s="3">
        <v>89.097380000000001</v>
      </c>
      <c r="AF710" s="3">
        <v>97.8</v>
      </c>
      <c r="AG710" s="3">
        <v>83.385999999999996</v>
      </c>
      <c r="AI710" s="3">
        <v>87.71</v>
      </c>
      <c r="AJ710" s="3">
        <v>83.858170000000001</v>
      </c>
      <c r="AK710" s="3">
        <v>74.21069</v>
      </c>
      <c r="AL710" s="3">
        <v>87.39</v>
      </c>
      <c r="AM710" s="3">
        <v>87.1</v>
      </c>
      <c r="AN710" s="3">
        <v>87.331100000000006</v>
      </c>
      <c r="AO710" s="3">
        <v>86.201809999999995</v>
      </c>
      <c r="AP710" s="3">
        <v>84.900279999999995</v>
      </c>
      <c r="AQ710" s="3">
        <v>91.595209999999994</v>
      </c>
      <c r="AS710" s="3">
        <v>73.29665</v>
      </c>
      <c r="AT710" s="3">
        <v>86.994640000000004</v>
      </c>
      <c r="AU710" s="3">
        <v>89.69</v>
      </c>
      <c r="AV710" s="3">
        <v>94.56644</v>
      </c>
      <c r="AW710" s="3">
        <v>55.939520000000002</v>
      </c>
      <c r="AX710" s="3">
        <v>88.616420000000005</v>
      </c>
      <c r="AY710" s="3">
        <v>64.717979999999997</v>
      </c>
    </row>
    <row r="711" spans="1:51" x14ac:dyDescent="0.2">
      <c r="A711" s="3" t="s">
        <v>608</v>
      </c>
      <c r="B711" s="49">
        <v>39448</v>
      </c>
      <c r="D711" s="3">
        <v>88.124669999999995</v>
      </c>
      <c r="E711" s="3">
        <v>63.719119999999997</v>
      </c>
      <c r="F711" s="3">
        <v>88.332890000000006</v>
      </c>
      <c r="G711" s="3">
        <v>100.3295</v>
      </c>
      <c r="H711" s="3">
        <v>79.406580000000005</v>
      </c>
      <c r="I711" s="3">
        <v>83.905839999999998</v>
      </c>
      <c r="J711" s="3">
        <v>76.566890000000001</v>
      </c>
      <c r="K711" s="3">
        <v>67.558689999999999</v>
      </c>
      <c r="L711" s="3">
        <v>89.9</v>
      </c>
      <c r="M711" s="3">
        <v>90.866470000000007</v>
      </c>
      <c r="N711" s="3">
        <v>88.2</v>
      </c>
      <c r="O711" s="3">
        <v>89.67</v>
      </c>
      <c r="P711" s="3">
        <v>90.565079999999995</v>
      </c>
      <c r="Q711" s="3">
        <v>84.545310000000001</v>
      </c>
      <c r="R711" s="3">
        <v>96.95</v>
      </c>
      <c r="S711" s="3">
        <v>89.037790000000001</v>
      </c>
      <c r="T711" s="3">
        <v>91.92</v>
      </c>
      <c r="U711" s="3">
        <v>79.307140000000004</v>
      </c>
      <c r="V711" s="3">
        <v>90.025630000000007</v>
      </c>
      <c r="W711" s="3">
        <v>84.1</v>
      </c>
      <c r="X711" s="3">
        <v>91.90598</v>
      </c>
      <c r="Y711" s="3">
        <v>80.236859999999993</v>
      </c>
      <c r="Z711" s="3">
        <v>65.682180000000002</v>
      </c>
      <c r="AA711" s="3">
        <v>51.259160000000001</v>
      </c>
      <c r="AC711" s="3">
        <v>96.130669999999995</v>
      </c>
      <c r="AD711" s="3">
        <v>86.130650000000003</v>
      </c>
      <c r="AE711" s="3">
        <v>89.496619999999993</v>
      </c>
      <c r="AF711" s="3">
        <v>97.6</v>
      </c>
      <c r="AG711" s="3">
        <v>83.777000000000001</v>
      </c>
      <c r="AI711" s="3">
        <v>87.2</v>
      </c>
      <c r="AJ711" s="3">
        <v>86.246430000000004</v>
      </c>
      <c r="AK711" s="3">
        <v>74.554659999999998</v>
      </c>
      <c r="AL711" s="3">
        <v>87.63</v>
      </c>
      <c r="AM711" s="3">
        <v>86.7</v>
      </c>
      <c r="AN711" s="3">
        <v>87.545479999999998</v>
      </c>
      <c r="AO711" s="3">
        <v>86.200289999999995</v>
      </c>
      <c r="AP711" s="3">
        <v>85.470089999999999</v>
      </c>
      <c r="AQ711" s="3">
        <v>91.479770000000002</v>
      </c>
      <c r="AS711" s="3">
        <v>74.294330000000002</v>
      </c>
      <c r="AT711" s="3">
        <v>88.157020000000003</v>
      </c>
      <c r="AU711" s="3">
        <v>89.74</v>
      </c>
      <c r="AV711" s="3">
        <v>93.864339999999999</v>
      </c>
      <c r="AW711" s="3">
        <v>56.388509999999997</v>
      </c>
      <c r="AX711" s="3">
        <v>89.056899999999999</v>
      </c>
      <c r="AY711" s="3">
        <v>65.619039999999998</v>
      </c>
    </row>
    <row r="712" spans="1:51" x14ac:dyDescent="0.2">
      <c r="A712" s="3" t="s">
        <v>609</v>
      </c>
      <c r="B712" s="49">
        <v>39479</v>
      </c>
      <c r="D712" s="3">
        <v>88.758949999999999</v>
      </c>
      <c r="E712" s="3">
        <v>64.031409999999994</v>
      </c>
      <c r="F712" s="3">
        <v>88.648929999999993</v>
      </c>
      <c r="G712" s="3">
        <v>100.46729999999999</v>
      </c>
      <c r="H712" s="3">
        <v>79.726439999999997</v>
      </c>
      <c r="I712" s="3">
        <v>86.087389999999999</v>
      </c>
      <c r="J712" s="3">
        <v>77.723990000000001</v>
      </c>
      <c r="K712" s="3">
        <v>68.310199999999995</v>
      </c>
      <c r="L712" s="3">
        <v>90.2</v>
      </c>
      <c r="M712" s="3">
        <v>91.239639999999994</v>
      </c>
      <c r="N712" s="3">
        <v>89.3</v>
      </c>
      <c r="O712" s="3">
        <v>89.98</v>
      </c>
      <c r="P712" s="3">
        <v>90.705799999999996</v>
      </c>
      <c r="Q712" s="3">
        <v>84.852940000000004</v>
      </c>
      <c r="R712" s="3">
        <v>96.39</v>
      </c>
      <c r="S712" s="3">
        <v>89.456990000000005</v>
      </c>
      <c r="T712" s="3">
        <v>92.12</v>
      </c>
      <c r="U712" s="3">
        <v>79.786360000000002</v>
      </c>
      <c r="V712" s="3">
        <v>90.254959999999997</v>
      </c>
      <c r="W712" s="3">
        <v>84.6</v>
      </c>
      <c r="X712" s="3">
        <v>91.209770000000006</v>
      </c>
      <c r="Y712" s="3">
        <v>81.12509</v>
      </c>
      <c r="Z712" s="3">
        <v>66.113309999999998</v>
      </c>
      <c r="AA712" s="3">
        <v>51.6417</v>
      </c>
      <c r="AC712" s="3">
        <v>96.084770000000006</v>
      </c>
      <c r="AD712" s="3">
        <v>85.829149999999998</v>
      </c>
      <c r="AE712" s="3">
        <v>89.696240000000003</v>
      </c>
      <c r="AF712" s="3">
        <v>97.4</v>
      </c>
      <c r="AG712" s="3">
        <v>84.091999999999999</v>
      </c>
      <c r="AI712" s="3">
        <v>88.18</v>
      </c>
      <c r="AJ712" s="3">
        <v>87.380459999999999</v>
      </c>
      <c r="AK712" s="3">
        <v>74.776290000000003</v>
      </c>
      <c r="AL712" s="3">
        <v>88.22</v>
      </c>
      <c r="AM712" s="3">
        <v>87.2</v>
      </c>
      <c r="AN712" s="3">
        <v>87.811940000000007</v>
      </c>
      <c r="AO712" s="3">
        <v>86.568330000000003</v>
      </c>
      <c r="AP712" s="3">
        <v>85.795680000000004</v>
      </c>
      <c r="AQ712" s="3">
        <v>91.488730000000004</v>
      </c>
      <c r="AS712" s="3">
        <v>75.025970000000001</v>
      </c>
      <c r="AT712" s="3">
        <v>88.524090000000001</v>
      </c>
      <c r="AU712" s="3">
        <v>89.71</v>
      </c>
      <c r="AV712" s="3">
        <v>94.253680000000003</v>
      </c>
      <c r="AW712" s="3">
        <v>57.117640000000002</v>
      </c>
      <c r="AX712" s="3">
        <v>89.315539999999999</v>
      </c>
      <c r="AY712" s="3">
        <v>65.946039999999996</v>
      </c>
    </row>
    <row r="713" spans="1:51" x14ac:dyDescent="0.2">
      <c r="A713" s="3" t="s">
        <v>610</v>
      </c>
      <c r="B713" s="49">
        <v>39508</v>
      </c>
      <c r="D713" s="3">
        <v>89.403139999999993</v>
      </c>
      <c r="E713" s="3">
        <v>64.338819999999998</v>
      </c>
      <c r="F713" s="3">
        <v>88.964969999999994</v>
      </c>
      <c r="G713" s="3">
        <v>100.80710000000001</v>
      </c>
      <c r="H713" s="3">
        <v>80.390829999999994</v>
      </c>
      <c r="I713" s="3">
        <v>85.484780000000001</v>
      </c>
      <c r="J713" s="3">
        <v>78.343440000000001</v>
      </c>
      <c r="K713" s="3">
        <v>68.579440000000005</v>
      </c>
      <c r="L713" s="3">
        <v>90.1</v>
      </c>
      <c r="M713" s="3">
        <v>91.706100000000006</v>
      </c>
      <c r="N713" s="3">
        <v>89.7</v>
      </c>
      <c r="O713" s="3">
        <v>90.87</v>
      </c>
      <c r="P713" s="3">
        <v>91.511150000000001</v>
      </c>
      <c r="Q713" s="3">
        <v>85.468190000000007</v>
      </c>
      <c r="R713" s="3">
        <v>96.88</v>
      </c>
      <c r="S713" s="3">
        <v>90.211550000000003</v>
      </c>
      <c r="T713" s="3">
        <v>92.81</v>
      </c>
      <c r="U713" s="3">
        <v>80.366309999999999</v>
      </c>
      <c r="V713" s="3">
        <v>90.892269999999996</v>
      </c>
      <c r="W713" s="3">
        <v>84.9</v>
      </c>
      <c r="X713" s="3">
        <v>93.305629999999994</v>
      </c>
      <c r="Y713" s="3">
        <v>81.569209999999998</v>
      </c>
      <c r="Z713" s="3">
        <v>66.744389999999996</v>
      </c>
      <c r="AA713" s="3">
        <v>52.406759999999998</v>
      </c>
      <c r="AC713" s="3">
        <v>96.615110000000001</v>
      </c>
      <c r="AD713" s="3">
        <v>86.231160000000003</v>
      </c>
      <c r="AE713" s="3">
        <v>90.162030000000001</v>
      </c>
      <c r="AF713" s="3">
        <v>97.9</v>
      </c>
      <c r="AG713" s="3">
        <v>84.876000000000005</v>
      </c>
      <c r="AI713" s="3">
        <v>88.84</v>
      </c>
      <c r="AJ713" s="3">
        <v>88.665670000000006</v>
      </c>
      <c r="AK713" s="3">
        <v>75.318250000000006</v>
      </c>
      <c r="AL713" s="3">
        <v>89.09</v>
      </c>
      <c r="AM713" s="3">
        <v>87.2</v>
      </c>
      <c r="AN713" s="3">
        <v>88.444090000000003</v>
      </c>
      <c r="AO713" s="3">
        <v>87.140569999999997</v>
      </c>
      <c r="AP713" s="3">
        <v>86.121279999999999</v>
      </c>
      <c r="AQ713" s="3">
        <v>92.843180000000004</v>
      </c>
      <c r="AS713" s="3">
        <v>75.957149999999999</v>
      </c>
      <c r="AT713" s="3">
        <v>88.768799999999999</v>
      </c>
      <c r="AU713" s="3">
        <v>90.88</v>
      </c>
      <c r="AV713" s="3">
        <v>95.153649999999999</v>
      </c>
      <c r="AW713" s="3">
        <v>57.666400000000003</v>
      </c>
      <c r="AX713" s="3">
        <v>90.089740000000006</v>
      </c>
      <c r="AY713" s="3">
        <v>66.818049999999999</v>
      </c>
    </row>
    <row r="714" spans="1:51" x14ac:dyDescent="0.2">
      <c r="A714" s="3" t="s">
        <v>611</v>
      </c>
      <c r="B714" s="49">
        <v>39539</v>
      </c>
      <c r="D714" s="3">
        <v>89.611260000000001</v>
      </c>
      <c r="E714" s="3">
        <v>64.692639999999997</v>
      </c>
      <c r="F714" s="3">
        <v>89.676060000000007</v>
      </c>
      <c r="G714" s="3">
        <v>101.6036</v>
      </c>
      <c r="H714" s="3">
        <v>80.698779999999999</v>
      </c>
      <c r="I714" s="3">
        <v>85.570269999999994</v>
      </c>
      <c r="J714" s="3">
        <v>78.90446</v>
      </c>
      <c r="K714" s="3">
        <v>69.158140000000003</v>
      </c>
      <c r="L714" s="3">
        <v>90.4</v>
      </c>
      <c r="M714" s="3">
        <v>91.51952</v>
      </c>
      <c r="N714" s="3">
        <v>90</v>
      </c>
      <c r="O714" s="3">
        <v>91.17</v>
      </c>
      <c r="P714" s="3">
        <v>92.49615</v>
      </c>
      <c r="Q714" s="3">
        <v>86.339789999999994</v>
      </c>
      <c r="R714" s="3">
        <v>98.01</v>
      </c>
      <c r="S714" s="3">
        <v>90.379230000000007</v>
      </c>
      <c r="T714" s="3">
        <v>93.12</v>
      </c>
      <c r="U714" s="3">
        <v>80.789540000000002</v>
      </c>
      <c r="V714" s="3">
        <v>91.284319999999994</v>
      </c>
      <c r="W714" s="3">
        <v>85.6</v>
      </c>
      <c r="X714" s="3">
        <v>93.896810000000002</v>
      </c>
      <c r="Y714" s="3">
        <v>81.865290000000002</v>
      </c>
      <c r="Z714" s="3">
        <v>67.125540000000001</v>
      </c>
      <c r="AA714" s="3">
        <v>52.789290000000001</v>
      </c>
      <c r="AC714" s="3">
        <v>96.352260000000001</v>
      </c>
      <c r="AD714" s="3">
        <v>87.437190000000001</v>
      </c>
      <c r="AE714" s="3">
        <v>90.361649999999997</v>
      </c>
      <c r="AF714" s="3">
        <v>97.8</v>
      </c>
      <c r="AG714" s="3">
        <v>85.346999999999994</v>
      </c>
      <c r="AI714" s="3">
        <v>89.06</v>
      </c>
      <c r="AJ714" s="3">
        <v>90.034189999999995</v>
      </c>
      <c r="AK714" s="3">
        <v>75.489649999999997</v>
      </c>
      <c r="AL714" s="3">
        <v>89.42</v>
      </c>
      <c r="AM714" s="3">
        <v>87.2</v>
      </c>
      <c r="AN714" s="3">
        <v>88.887110000000007</v>
      </c>
      <c r="AO714" s="3">
        <v>87.547449999999998</v>
      </c>
      <c r="AP714" s="3">
        <v>86.446879999999993</v>
      </c>
      <c r="AQ714" s="3">
        <v>93.133769999999998</v>
      </c>
      <c r="AS714" s="3">
        <v>76.62227</v>
      </c>
      <c r="AT714" s="3">
        <v>88.952330000000003</v>
      </c>
      <c r="AU714" s="3">
        <v>91.58</v>
      </c>
      <c r="AV714" s="3">
        <v>95.571719999999999</v>
      </c>
      <c r="AW714" s="3">
        <v>58.633459999999999</v>
      </c>
      <c r="AX714" s="3">
        <v>90.636120000000005</v>
      </c>
      <c r="AY714" s="3">
        <v>67.254069999999999</v>
      </c>
    </row>
    <row r="715" spans="1:51" x14ac:dyDescent="0.2">
      <c r="A715" s="3" t="s">
        <v>612</v>
      </c>
      <c r="B715" s="49">
        <v>39569</v>
      </c>
      <c r="D715" s="3">
        <v>90.414019999999994</v>
      </c>
      <c r="E715" s="3">
        <v>65.203770000000006</v>
      </c>
      <c r="F715" s="3">
        <v>90.545169999999999</v>
      </c>
      <c r="G715" s="3">
        <v>102.41030000000001</v>
      </c>
      <c r="H715" s="3">
        <v>81.630290000000002</v>
      </c>
      <c r="I715" s="3">
        <v>85.227980000000002</v>
      </c>
      <c r="J715" s="3">
        <v>79.640789999999996</v>
      </c>
      <c r="K715" s="3">
        <v>70.476280000000003</v>
      </c>
      <c r="L715" s="3">
        <v>90.8</v>
      </c>
      <c r="M715" s="3">
        <v>92.079269999999994</v>
      </c>
      <c r="N715" s="3">
        <v>90.3</v>
      </c>
      <c r="O715" s="3">
        <v>91.74</v>
      </c>
      <c r="P715" s="3">
        <v>93.120890000000003</v>
      </c>
      <c r="Q715" s="3">
        <v>86.852490000000003</v>
      </c>
      <c r="R715" s="3">
        <v>98.45</v>
      </c>
      <c r="S715" s="3">
        <v>90.882260000000002</v>
      </c>
      <c r="T715" s="3">
        <v>93.62</v>
      </c>
      <c r="U715" s="3">
        <v>81.326319999999996</v>
      </c>
      <c r="V715" s="3">
        <v>91.983369999999994</v>
      </c>
      <c r="W715" s="3">
        <v>86.1</v>
      </c>
      <c r="X715" s="3">
        <v>94.556340000000006</v>
      </c>
      <c r="Y715" s="3">
        <v>82.753519999999995</v>
      </c>
      <c r="Z715" s="3">
        <v>68.069029999999998</v>
      </c>
      <c r="AA715" s="3">
        <v>53.171819999999997</v>
      </c>
      <c r="AC715" s="3">
        <v>96.684520000000006</v>
      </c>
      <c r="AD715" s="3">
        <v>88.040199999999999</v>
      </c>
      <c r="AE715" s="3">
        <v>90.827430000000007</v>
      </c>
      <c r="AF715" s="3">
        <v>98.6</v>
      </c>
      <c r="AG715" s="3">
        <v>86.052000000000007</v>
      </c>
      <c r="AI715" s="3">
        <v>89.64</v>
      </c>
      <c r="AJ715" s="3">
        <v>90.877110000000002</v>
      </c>
      <c r="AK715" s="3">
        <v>75.408090000000001</v>
      </c>
      <c r="AL715" s="3">
        <v>89.74</v>
      </c>
      <c r="AM715" s="3">
        <v>87.2</v>
      </c>
      <c r="AN715" s="3">
        <v>89.523560000000003</v>
      </c>
      <c r="AO715" s="3">
        <v>88.109989999999996</v>
      </c>
      <c r="AP715" s="3">
        <v>87.098079999999996</v>
      </c>
      <c r="AQ715" s="3">
        <v>93.541799999999995</v>
      </c>
      <c r="AS715" s="3">
        <v>76.489239999999995</v>
      </c>
      <c r="AT715" s="3">
        <v>89.258219999999994</v>
      </c>
      <c r="AU715" s="3">
        <v>92.57</v>
      </c>
      <c r="AV715" s="3">
        <v>95.948300000000003</v>
      </c>
      <c r="AW715" s="3">
        <v>59.508420000000001</v>
      </c>
      <c r="AX715" s="3">
        <v>91.399349999999998</v>
      </c>
      <c r="AY715" s="3">
        <v>67.79907</v>
      </c>
    </row>
    <row r="716" spans="1:51" x14ac:dyDescent="0.2">
      <c r="A716" s="3" t="s">
        <v>613</v>
      </c>
      <c r="B716" s="49">
        <v>39600</v>
      </c>
      <c r="D716" s="3">
        <v>90.909540000000007</v>
      </c>
      <c r="E716" s="3">
        <v>65.686350000000004</v>
      </c>
      <c r="F716" s="3">
        <v>91.177250000000001</v>
      </c>
      <c r="G716" s="3">
        <v>102.5836</v>
      </c>
      <c r="H716" s="3">
        <v>82.845939999999999</v>
      </c>
      <c r="I716" s="3">
        <v>85.05753</v>
      </c>
      <c r="J716" s="3">
        <v>80.330380000000005</v>
      </c>
      <c r="K716" s="3">
        <v>71.46087</v>
      </c>
      <c r="L716" s="3">
        <v>91</v>
      </c>
      <c r="M716" s="3">
        <v>92.26585</v>
      </c>
      <c r="N716" s="3">
        <v>90.5</v>
      </c>
      <c r="O716" s="3">
        <v>92.09</v>
      </c>
      <c r="P716" s="3">
        <v>93.656800000000004</v>
      </c>
      <c r="Q716" s="3">
        <v>87.365200000000002</v>
      </c>
      <c r="R716" s="3">
        <v>98.36</v>
      </c>
      <c r="S716" s="3">
        <v>91.217619999999997</v>
      </c>
      <c r="T716" s="3">
        <v>93.96</v>
      </c>
      <c r="U716" s="3">
        <v>81.825590000000005</v>
      </c>
      <c r="V716" s="3">
        <v>92.669290000000004</v>
      </c>
      <c r="W716" s="3">
        <v>86.6</v>
      </c>
      <c r="X716" s="3">
        <v>94.461690000000004</v>
      </c>
      <c r="Y716" s="3">
        <v>82.827539999999999</v>
      </c>
      <c r="Z716" s="3">
        <v>68.78134</v>
      </c>
      <c r="AA716" s="3">
        <v>53.554349999999999</v>
      </c>
      <c r="AC716" s="3">
        <v>97.008070000000004</v>
      </c>
      <c r="AD716" s="3">
        <v>88.140699999999995</v>
      </c>
      <c r="AE716" s="3">
        <v>91.226669999999999</v>
      </c>
      <c r="AF716" s="3">
        <v>99</v>
      </c>
      <c r="AG716" s="3">
        <v>86.600999999999999</v>
      </c>
      <c r="AI716" s="3">
        <v>90.08</v>
      </c>
      <c r="AJ716" s="3">
        <v>91.499409999999997</v>
      </c>
      <c r="AK716" s="3">
        <v>75.720150000000004</v>
      </c>
      <c r="AL716" s="3">
        <v>89.58</v>
      </c>
      <c r="AM716" s="3">
        <v>87.4</v>
      </c>
      <c r="AN716" s="3">
        <v>90.09066</v>
      </c>
      <c r="AO716" s="3">
        <v>88.386899999999997</v>
      </c>
      <c r="AP716" s="3">
        <v>87.260890000000003</v>
      </c>
      <c r="AQ716" s="3">
        <v>94.010540000000006</v>
      </c>
      <c r="AS716" s="3">
        <v>76.821809999999999</v>
      </c>
      <c r="AT716" s="3">
        <v>89.564109999999999</v>
      </c>
      <c r="AU716" s="3">
        <v>93.41</v>
      </c>
      <c r="AV716" s="3">
        <v>96.404660000000007</v>
      </c>
      <c r="AW716" s="3">
        <v>59.293509999999998</v>
      </c>
      <c r="AX716" s="3">
        <v>92.32038</v>
      </c>
      <c r="AY716" s="3">
        <v>68.780090000000001</v>
      </c>
    </row>
    <row r="717" spans="1:51" x14ac:dyDescent="0.2">
      <c r="A717" s="3" t="s">
        <v>614</v>
      </c>
      <c r="B717" s="49">
        <v>39630</v>
      </c>
      <c r="D717" s="3">
        <v>91.385249999999999</v>
      </c>
      <c r="E717" s="3">
        <v>66.034369999999996</v>
      </c>
      <c r="F717" s="3">
        <v>91.493290000000002</v>
      </c>
      <c r="G717" s="3">
        <v>102.1365</v>
      </c>
      <c r="H717" s="3">
        <v>83.782560000000004</v>
      </c>
      <c r="I717" s="3">
        <v>85.142589999999998</v>
      </c>
      <c r="J717" s="3">
        <v>80.716070000000002</v>
      </c>
      <c r="K717" s="3">
        <v>72.988979999999998</v>
      </c>
      <c r="L717" s="3">
        <v>91.5</v>
      </c>
      <c r="M717" s="3">
        <v>92.825609999999998</v>
      </c>
      <c r="N717" s="3">
        <v>90.3</v>
      </c>
      <c r="O717" s="3">
        <v>91.95</v>
      </c>
      <c r="P717" s="3">
        <v>93.206710000000001</v>
      </c>
      <c r="Q717" s="3">
        <v>87.980450000000005</v>
      </c>
      <c r="R717" s="3">
        <v>98.3</v>
      </c>
      <c r="S717" s="3">
        <v>91.049940000000007</v>
      </c>
      <c r="T717" s="3">
        <v>93.76</v>
      </c>
      <c r="U717" s="3">
        <v>82.220320000000001</v>
      </c>
      <c r="V717" s="3">
        <v>93.038989999999998</v>
      </c>
      <c r="W717" s="3">
        <v>86.6</v>
      </c>
      <c r="X717" s="3">
        <v>93.728260000000006</v>
      </c>
      <c r="Y717" s="3">
        <v>82.827539999999999</v>
      </c>
      <c r="Z717" s="3">
        <v>69.72484</v>
      </c>
      <c r="AA717" s="3">
        <v>54.701949999999997</v>
      </c>
      <c r="AC717" s="3">
        <v>97.013109999999998</v>
      </c>
      <c r="AD717" s="3">
        <v>89.14573</v>
      </c>
      <c r="AE717" s="3">
        <v>91.692449999999994</v>
      </c>
      <c r="AF717" s="3">
        <v>99.2</v>
      </c>
      <c r="AG717" s="3">
        <v>87.228999999999999</v>
      </c>
      <c r="AI717" s="3">
        <v>89.64</v>
      </c>
      <c r="AJ717" s="3">
        <v>91.776730000000001</v>
      </c>
      <c r="AK717" s="3">
        <v>76.142139999999998</v>
      </c>
      <c r="AL717" s="3">
        <v>89.72</v>
      </c>
      <c r="AM717" s="3">
        <v>87.9</v>
      </c>
      <c r="AN717" s="3">
        <v>90.424589999999995</v>
      </c>
      <c r="AO717" s="3">
        <v>88.491889999999998</v>
      </c>
      <c r="AP717" s="3">
        <v>87.260890000000003</v>
      </c>
      <c r="AQ717" s="3">
        <v>93.466170000000005</v>
      </c>
      <c r="AS717" s="3">
        <v>78.019030000000001</v>
      </c>
      <c r="AT717" s="3">
        <v>89.686459999999997</v>
      </c>
      <c r="AU717" s="3">
        <v>93.37</v>
      </c>
      <c r="AV717" s="3">
        <v>96.206800000000001</v>
      </c>
      <c r="AW717" s="3">
        <v>59.63505</v>
      </c>
      <c r="AX717" s="3">
        <v>92.805160000000001</v>
      </c>
      <c r="AY717" s="3">
        <v>69.761099999999999</v>
      </c>
    </row>
    <row r="718" spans="1:51" x14ac:dyDescent="0.2">
      <c r="A718" s="3" t="s">
        <v>615</v>
      </c>
      <c r="B718" s="49">
        <v>39661</v>
      </c>
      <c r="D718" s="3">
        <v>90.830250000000007</v>
      </c>
      <c r="E718" s="3">
        <v>66.219279999999998</v>
      </c>
      <c r="F718" s="3">
        <v>91.335269999999994</v>
      </c>
      <c r="G718" s="3">
        <v>101.8706</v>
      </c>
      <c r="H718" s="3">
        <v>84.559250000000006</v>
      </c>
      <c r="I718" s="3">
        <v>85.05744</v>
      </c>
      <c r="J718" s="3">
        <v>80.868020000000001</v>
      </c>
      <c r="K718" s="3">
        <v>74.295069999999996</v>
      </c>
      <c r="L718" s="3">
        <v>91.4</v>
      </c>
      <c r="M718" s="3">
        <v>92.545730000000006</v>
      </c>
      <c r="N718" s="3">
        <v>90.4</v>
      </c>
      <c r="O718" s="3">
        <v>91.82</v>
      </c>
      <c r="P718" s="3">
        <v>93.00712</v>
      </c>
      <c r="Q718" s="3">
        <v>88.082989999999995</v>
      </c>
      <c r="R718" s="3">
        <v>97.84</v>
      </c>
      <c r="S718" s="3">
        <v>91.469139999999996</v>
      </c>
      <c r="T718" s="3">
        <v>93.73</v>
      </c>
      <c r="U718" s="3">
        <v>82.259540000000001</v>
      </c>
      <c r="V718" s="3">
        <v>92.882710000000003</v>
      </c>
      <c r="W718" s="3">
        <v>87.1</v>
      </c>
      <c r="X718" s="3">
        <v>92.847660000000005</v>
      </c>
      <c r="Y718" s="3">
        <v>82.60548</v>
      </c>
      <c r="Z718" s="3">
        <v>70.08099</v>
      </c>
      <c r="AA718" s="3">
        <v>55.467010000000002</v>
      </c>
      <c r="AC718" s="3">
        <v>97.360309999999998</v>
      </c>
      <c r="AD718" s="3">
        <v>89.949749999999995</v>
      </c>
      <c r="AE718" s="3">
        <v>91.825530000000001</v>
      </c>
      <c r="AF718" s="3">
        <v>99.5</v>
      </c>
      <c r="AG718" s="3">
        <v>87.072000000000003</v>
      </c>
      <c r="AI718" s="3">
        <v>89.99</v>
      </c>
      <c r="AJ718" s="3">
        <v>91.376130000000003</v>
      </c>
      <c r="AK718" s="3">
        <v>76.581850000000003</v>
      </c>
      <c r="AL718" s="3">
        <v>89.89</v>
      </c>
      <c r="AM718" s="3">
        <v>88</v>
      </c>
      <c r="AN718" s="3">
        <v>90.312970000000007</v>
      </c>
      <c r="AO718" s="3">
        <v>88.461039999999997</v>
      </c>
      <c r="AP718" s="3">
        <v>86.935289999999995</v>
      </c>
      <c r="AQ718" s="3">
        <v>92.994450000000001</v>
      </c>
      <c r="AS718" s="3">
        <v>78.418109999999999</v>
      </c>
      <c r="AT718" s="3">
        <v>89.87</v>
      </c>
      <c r="AU718" s="3">
        <v>92.84</v>
      </c>
      <c r="AV718" s="3">
        <v>96.372749999999996</v>
      </c>
      <c r="AW718" s="3">
        <v>59.489229999999999</v>
      </c>
      <c r="AX718" s="3">
        <v>92.434719999999999</v>
      </c>
      <c r="AY718" s="3">
        <v>70.197109999999995</v>
      </c>
    </row>
    <row r="719" spans="1:51" x14ac:dyDescent="0.2">
      <c r="A719" s="3" t="s">
        <v>616</v>
      </c>
      <c r="B719" s="49">
        <v>39692</v>
      </c>
      <c r="D719" s="3">
        <v>90.978909999999999</v>
      </c>
      <c r="E719" s="3">
        <v>66.39143</v>
      </c>
      <c r="F719" s="3">
        <v>91.414280000000005</v>
      </c>
      <c r="G719" s="3">
        <v>101.97320000000001</v>
      </c>
      <c r="H719" s="3">
        <v>85.460980000000006</v>
      </c>
      <c r="I719" s="3">
        <v>85.05744</v>
      </c>
      <c r="J719" s="3">
        <v>80.716070000000002</v>
      </c>
      <c r="K719" s="3">
        <v>75.001360000000005</v>
      </c>
      <c r="L719" s="3">
        <v>91.2</v>
      </c>
      <c r="M719" s="3">
        <v>92.452439999999996</v>
      </c>
      <c r="N719" s="3">
        <v>90.8</v>
      </c>
      <c r="O719" s="3">
        <v>92</v>
      </c>
      <c r="P719" s="3">
        <v>92.988159999999993</v>
      </c>
      <c r="Q719" s="3">
        <v>88.595699999999994</v>
      </c>
      <c r="R719" s="3">
        <v>98.17</v>
      </c>
      <c r="S719" s="3">
        <v>91.888339999999999</v>
      </c>
      <c r="T719" s="3">
        <v>93.67</v>
      </c>
      <c r="U719" s="3">
        <v>82.409310000000005</v>
      </c>
      <c r="V719" s="3">
        <v>92.817629999999994</v>
      </c>
      <c r="W719" s="3">
        <v>87.5</v>
      </c>
      <c r="X719" s="3">
        <v>94.663219999999995</v>
      </c>
      <c r="Y719" s="3">
        <v>82.60548</v>
      </c>
      <c r="Z719" s="3">
        <v>70.762050000000002</v>
      </c>
      <c r="AA719" s="3">
        <v>55.849539999999998</v>
      </c>
      <c r="AC719" s="3">
        <v>97.859520000000003</v>
      </c>
      <c r="AD719" s="3">
        <v>89.949749999999995</v>
      </c>
      <c r="AE719" s="3">
        <v>91.559370000000001</v>
      </c>
      <c r="AF719" s="3">
        <v>99.5</v>
      </c>
      <c r="AG719" s="3">
        <v>87.150999999999996</v>
      </c>
      <c r="AI719" s="3">
        <v>90.09</v>
      </c>
      <c r="AJ719" s="3">
        <v>92.376390000000001</v>
      </c>
      <c r="AK719" s="3">
        <v>77.103719999999996</v>
      </c>
      <c r="AL719" s="3">
        <v>90.28</v>
      </c>
      <c r="AM719" s="3">
        <v>89.3</v>
      </c>
      <c r="AN719" s="3">
        <v>90.353980000000007</v>
      </c>
      <c r="AO719" s="3">
        <v>88.618650000000002</v>
      </c>
      <c r="AP719" s="3">
        <v>87.179490000000001</v>
      </c>
      <c r="AQ719" s="3">
        <v>93.491050000000001</v>
      </c>
      <c r="AS719" s="3">
        <v>78.684150000000002</v>
      </c>
      <c r="AT719" s="3">
        <v>90.420590000000004</v>
      </c>
      <c r="AU719" s="3">
        <v>92.79</v>
      </c>
      <c r="AV719" s="3">
        <v>97.362080000000006</v>
      </c>
      <c r="AW719" s="3">
        <v>59.757849999999998</v>
      </c>
      <c r="AX719" s="3">
        <v>92.306880000000007</v>
      </c>
      <c r="AY719" s="3">
        <v>70.633120000000005</v>
      </c>
    </row>
    <row r="720" spans="1:51" x14ac:dyDescent="0.2">
      <c r="A720" s="3" t="s">
        <v>617</v>
      </c>
      <c r="B720" s="49">
        <v>39722</v>
      </c>
      <c r="D720" s="3">
        <v>90.810429999999997</v>
      </c>
      <c r="E720" s="3">
        <v>66.690269999999998</v>
      </c>
      <c r="F720" s="3">
        <v>90.466160000000002</v>
      </c>
      <c r="G720" s="3">
        <v>102.5151</v>
      </c>
      <c r="H720" s="3">
        <v>86.213849999999994</v>
      </c>
      <c r="I720" s="3">
        <v>84.802269999999993</v>
      </c>
      <c r="J720" s="3">
        <v>80.996579999999994</v>
      </c>
      <c r="K720" s="3">
        <v>75.778980000000004</v>
      </c>
      <c r="L720" s="3">
        <v>91.2</v>
      </c>
      <c r="M720" s="3">
        <v>92.26585</v>
      </c>
      <c r="N720" s="3">
        <v>90.7</v>
      </c>
      <c r="O720" s="3">
        <v>92.03</v>
      </c>
      <c r="P720" s="3">
        <v>93.307509999999994</v>
      </c>
      <c r="Q720" s="3">
        <v>88.954589999999996</v>
      </c>
      <c r="R720" s="3">
        <v>98.82</v>
      </c>
      <c r="S720" s="3">
        <v>91.888339999999999</v>
      </c>
      <c r="T720" s="3">
        <v>93.62</v>
      </c>
      <c r="U720" s="3">
        <v>82.324070000000006</v>
      </c>
      <c r="V720" s="3">
        <v>92.214230000000001</v>
      </c>
      <c r="W720" s="3">
        <v>87.3</v>
      </c>
      <c r="X720" s="3">
        <v>94.664500000000004</v>
      </c>
      <c r="Y720" s="3">
        <v>82.753519999999995</v>
      </c>
      <c r="Z720" s="3">
        <v>71.080719999999999</v>
      </c>
      <c r="AA720" s="3">
        <v>56.614600000000003</v>
      </c>
      <c r="AC720" s="3">
        <v>97.158469999999994</v>
      </c>
      <c r="AD720" s="3">
        <v>89.949749999999995</v>
      </c>
      <c r="AE720" s="3">
        <v>91.559370000000001</v>
      </c>
      <c r="AF720" s="3">
        <v>99.4</v>
      </c>
      <c r="AG720" s="3">
        <v>87.072000000000003</v>
      </c>
      <c r="AI720" s="3">
        <v>89.95</v>
      </c>
      <c r="AJ720" s="3">
        <v>93.478679999999997</v>
      </c>
      <c r="AK720" s="3">
        <v>77.629140000000007</v>
      </c>
      <c r="AL720" s="3">
        <v>90.07</v>
      </c>
      <c r="AM720" s="3">
        <v>89.6</v>
      </c>
      <c r="AN720" s="3">
        <v>90.019779999999997</v>
      </c>
      <c r="AO720" s="3">
        <v>88.744190000000003</v>
      </c>
      <c r="AP720" s="3">
        <v>87.505089999999996</v>
      </c>
      <c r="AQ720" s="3">
        <v>93.34675</v>
      </c>
      <c r="AS720" s="3">
        <v>79.881379999999993</v>
      </c>
      <c r="AT720" s="3">
        <v>90.787660000000002</v>
      </c>
      <c r="AU720" s="3">
        <v>92.79</v>
      </c>
      <c r="AV720" s="3">
        <v>97.515259999999998</v>
      </c>
      <c r="AW720" s="3">
        <v>61.312049999999999</v>
      </c>
      <c r="AX720" s="3">
        <v>91.374459999999999</v>
      </c>
      <c r="AY720" s="3">
        <v>70.851119999999995</v>
      </c>
    </row>
    <row r="721" spans="1:51" x14ac:dyDescent="0.2">
      <c r="A721" s="3" t="s">
        <v>618</v>
      </c>
      <c r="B721" s="49">
        <v>39753</v>
      </c>
      <c r="D721" s="3">
        <v>90.275270000000006</v>
      </c>
      <c r="E721" s="3">
        <v>66.930400000000006</v>
      </c>
      <c r="F721" s="3">
        <v>90.150120000000001</v>
      </c>
      <c r="G721" s="3">
        <v>101.8323</v>
      </c>
      <c r="H721" s="3">
        <v>86.101560000000006</v>
      </c>
      <c r="I721" s="3">
        <v>84.123850000000004</v>
      </c>
      <c r="J721" s="3">
        <v>81.218649999999997</v>
      </c>
      <c r="K721" s="3">
        <v>76.715350000000001</v>
      </c>
      <c r="L721" s="3">
        <v>90.7</v>
      </c>
      <c r="M721" s="3">
        <v>91.799390000000002</v>
      </c>
      <c r="N721" s="3">
        <v>90.4</v>
      </c>
      <c r="O721" s="3">
        <v>91.59</v>
      </c>
      <c r="P721" s="3">
        <v>92.911320000000003</v>
      </c>
      <c r="Q721" s="3">
        <v>88.698229999999995</v>
      </c>
      <c r="R721" s="3">
        <v>99.05</v>
      </c>
      <c r="S721" s="3">
        <v>91.469139999999996</v>
      </c>
      <c r="T721" s="3">
        <v>93.18</v>
      </c>
      <c r="U721" s="3">
        <v>81.749489999999994</v>
      </c>
      <c r="V721" s="3">
        <v>91.045299999999997</v>
      </c>
      <c r="W721" s="3">
        <v>87.3</v>
      </c>
      <c r="X721" s="3">
        <v>94.410679999999999</v>
      </c>
      <c r="Y721" s="3">
        <v>82.531459999999996</v>
      </c>
      <c r="Z721" s="3">
        <v>71.168189999999996</v>
      </c>
      <c r="AA721" s="3">
        <v>56.614600000000003</v>
      </c>
      <c r="AC721" s="3">
        <v>97.81926</v>
      </c>
      <c r="AD721" s="3">
        <v>89.447239999999994</v>
      </c>
      <c r="AE721" s="3">
        <v>91.226669999999999</v>
      </c>
      <c r="AF721" s="3">
        <v>98.6</v>
      </c>
      <c r="AG721" s="3">
        <v>86.837000000000003</v>
      </c>
      <c r="AI721" s="3">
        <v>89.19</v>
      </c>
      <c r="AJ721" s="3">
        <v>93.137389999999996</v>
      </c>
      <c r="AK721" s="3">
        <v>78.511529999999993</v>
      </c>
      <c r="AL721" s="3">
        <v>89.74</v>
      </c>
      <c r="AM721" s="3">
        <v>89.1</v>
      </c>
      <c r="AN721" s="3">
        <v>89.191879999999998</v>
      </c>
      <c r="AO721" s="3">
        <v>88.495249999999999</v>
      </c>
      <c r="AP721" s="3">
        <v>87.667879999999997</v>
      </c>
      <c r="AQ721" s="3">
        <v>92.751630000000006</v>
      </c>
      <c r="AS721" s="3">
        <v>79.748350000000002</v>
      </c>
      <c r="AT721" s="3">
        <v>90.971199999999996</v>
      </c>
      <c r="AU721" s="3">
        <v>92.12</v>
      </c>
      <c r="AV721" s="3">
        <v>96.717410000000001</v>
      </c>
      <c r="AW721" s="3">
        <v>61.82244</v>
      </c>
      <c r="AX721" s="3">
        <v>89.624369999999999</v>
      </c>
      <c r="AY721" s="3">
        <v>70.851119999999995</v>
      </c>
    </row>
    <row r="722" spans="1:51" x14ac:dyDescent="0.2">
      <c r="A722" s="3" t="s">
        <v>619</v>
      </c>
      <c r="B722" s="49">
        <v>39783</v>
      </c>
      <c r="D722" s="3">
        <v>90.077060000000003</v>
      </c>
      <c r="E722" s="3">
        <v>67.117869999999996</v>
      </c>
      <c r="F722" s="3">
        <v>89.518039999999999</v>
      </c>
      <c r="G722" s="3">
        <v>101.3241</v>
      </c>
      <c r="H722" s="3">
        <v>85.069659999999999</v>
      </c>
      <c r="I722" s="3">
        <v>83.955600000000004</v>
      </c>
      <c r="J722" s="3">
        <v>81.580969999999994</v>
      </c>
      <c r="K722" s="3">
        <v>76.392849999999996</v>
      </c>
      <c r="L722" s="3">
        <v>90.5</v>
      </c>
      <c r="M722" s="3">
        <v>92.172560000000004</v>
      </c>
      <c r="N722" s="3">
        <v>90.1</v>
      </c>
      <c r="O722" s="3">
        <v>91.47</v>
      </c>
      <c r="P722" s="3">
        <v>92.434280000000001</v>
      </c>
      <c r="Q722" s="3">
        <v>88.493160000000003</v>
      </c>
      <c r="R722" s="3">
        <v>98.87</v>
      </c>
      <c r="S722" s="3">
        <v>91.133780000000002</v>
      </c>
      <c r="T722" s="3">
        <v>92.95</v>
      </c>
      <c r="U722" s="3">
        <v>81.418170000000003</v>
      </c>
      <c r="V722" s="3">
        <v>90.450450000000004</v>
      </c>
      <c r="W722" s="3">
        <v>87.1</v>
      </c>
      <c r="X722" s="3">
        <v>93.970789999999994</v>
      </c>
      <c r="Y722" s="3">
        <v>82.235380000000006</v>
      </c>
      <c r="Z722" s="3">
        <v>71.143199999999993</v>
      </c>
      <c r="AA722" s="3">
        <v>56.23207</v>
      </c>
      <c r="AC722" s="3">
        <v>98.057270000000003</v>
      </c>
      <c r="AD722" s="3">
        <v>89.447239999999994</v>
      </c>
      <c r="AE722" s="3">
        <v>91.093590000000006</v>
      </c>
      <c r="AF722" s="3">
        <v>98.2</v>
      </c>
      <c r="AG722" s="3">
        <v>86.837000000000003</v>
      </c>
      <c r="AI722" s="3">
        <v>88.67</v>
      </c>
      <c r="AJ722" s="3">
        <v>92.694339999999997</v>
      </c>
      <c r="AK722" s="3">
        <v>79.055269999999993</v>
      </c>
      <c r="AL722" s="3">
        <v>89.09</v>
      </c>
      <c r="AM722" s="3">
        <v>89</v>
      </c>
      <c r="AN722" s="3">
        <v>88.727270000000004</v>
      </c>
      <c r="AO722" s="3">
        <v>88.309389999999993</v>
      </c>
      <c r="AP722" s="3">
        <v>87.586489999999998</v>
      </c>
      <c r="AQ722" s="3">
        <v>92.309759999999997</v>
      </c>
      <c r="AS722" s="3">
        <v>79.881379999999993</v>
      </c>
      <c r="AT722" s="3">
        <v>90.787660000000002</v>
      </c>
      <c r="AU722" s="3">
        <v>91.55</v>
      </c>
      <c r="AV722" s="3">
        <v>95.418530000000004</v>
      </c>
      <c r="AW722" s="3">
        <v>61.569159999999997</v>
      </c>
      <c r="AX722" s="3">
        <v>88.697429999999997</v>
      </c>
      <c r="AY722" s="3">
        <v>70.74212</v>
      </c>
    </row>
    <row r="723" spans="1:51" x14ac:dyDescent="0.2">
      <c r="A723" s="3" t="s">
        <v>620</v>
      </c>
      <c r="B723" s="49">
        <v>39814</v>
      </c>
      <c r="D723" s="3">
        <v>90.166250000000005</v>
      </c>
      <c r="E723" s="3">
        <v>67.439899999999994</v>
      </c>
      <c r="F723" s="3">
        <v>89.281009999999995</v>
      </c>
      <c r="G723" s="3">
        <v>100.46899999999999</v>
      </c>
      <c r="H723" s="3">
        <v>84.42313</v>
      </c>
      <c r="I723" s="3">
        <v>84.711200000000005</v>
      </c>
      <c r="J723" s="3">
        <v>82.060169999999999</v>
      </c>
      <c r="K723" s="3">
        <v>76.680179999999993</v>
      </c>
      <c r="L723" s="3">
        <v>91.9</v>
      </c>
      <c r="M723" s="3">
        <v>91.706100000000006</v>
      </c>
      <c r="N723" s="3">
        <v>89.8</v>
      </c>
      <c r="O723" s="3">
        <v>90.73</v>
      </c>
      <c r="P723" s="3">
        <v>91.295590000000004</v>
      </c>
      <c r="Q723" s="3">
        <v>87.980450000000005</v>
      </c>
      <c r="R723" s="3">
        <v>99.17</v>
      </c>
      <c r="S723" s="3">
        <v>90.966099999999997</v>
      </c>
      <c r="T723" s="3">
        <v>92.57</v>
      </c>
      <c r="U723" s="3">
        <v>81.586089999999999</v>
      </c>
      <c r="V723" s="3">
        <v>90.477779999999996</v>
      </c>
      <c r="W723" s="3">
        <v>86.6</v>
      </c>
      <c r="X723" s="3">
        <v>93.519729999999996</v>
      </c>
      <c r="Y723" s="3">
        <v>82.753519999999995</v>
      </c>
      <c r="Z723" s="3">
        <v>71.093220000000002</v>
      </c>
      <c r="AA723" s="3">
        <v>56.614600000000003</v>
      </c>
      <c r="AC723" s="3">
        <v>98.359570000000005</v>
      </c>
      <c r="AD723" s="3">
        <v>88.944730000000007</v>
      </c>
      <c r="AE723" s="3">
        <v>90.960509999999999</v>
      </c>
      <c r="AF723" s="3">
        <v>97.6</v>
      </c>
      <c r="AG723" s="3">
        <v>86.915999999999997</v>
      </c>
      <c r="AI723" s="3">
        <v>87.67</v>
      </c>
      <c r="AJ723" s="3">
        <v>94.72784</v>
      </c>
      <c r="AK723" s="3">
        <v>79.238479999999996</v>
      </c>
      <c r="AL723" s="3">
        <v>89.32</v>
      </c>
      <c r="AM723" s="3">
        <v>88.7</v>
      </c>
      <c r="AN723" s="3">
        <v>88.728650000000002</v>
      </c>
      <c r="AO723" s="3">
        <v>88.016220000000004</v>
      </c>
      <c r="AP723" s="3">
        <v>87.993480000000005</v>
      </c>
      <c r="AQ723" s="3">
        <v>91.716629999999995</v>
      </c>
      <c r="AS723" s="3">
        <v>80.147419999999997</v>
      </c>
      <c r="AT723" s="3">
        <v>91.154730000000001</v>
      </c>
      <c r="AU723" s="3">
        <v>91.13</v>
      </c>
      <c r="AV723" s="3">
        <v>95.06429</v>
      </c>
      <c r="AW723" s="3">
        <v>61.745690000000003</v>
      </c>
      <c r="AX723" s="3">
        <v>89.083479999999994</v>
      </c>
      <c r="AY723" s="3">
        <v>71.178120000000007</v>
      </c>
    </row>
    <row r="724" spans="1:51" x14ac:dyDescent="0.2">
      <c r="A724" s="3" t="s">
        <v>621</v>
      </c>
      <c r="B724" s="49">
        <v>39845</v>
      </c>
      <c r="D724" s="3">
        <v>90.473479999999995</v>
      </c>
      <c r="E724" s="3">
        <v>67.810879999999997</v>
      </c>
      <c r="F724" s="3">
        <v>89.913089999999997</v>
      </c>
      <c r="G724" s="3">
        <v>100.706</v>
      </c>
      <c r="H724" s="3">
        <v>83.323809999999995</v>
      </c>
      <c r="I724" s="3">
        <v>84.711200000000005</v>
      </c>
      <c r="J724" s="3">
        <v>82.749759999999995</v>
      </c>
      <c r="K724" s="3">
        <v>77.01876</v>
      </c>
      <c r="L724" s="3">
        <v>91.9</v>
      </c>
      <c r="M724" s="3">
        <v>92.26585</v>
      </c>
      <c r="N724" s="3">
        <v>90.9</v>
      </c>
      <c r="O724" s="3">
        <v>91.1</v>
      </c>
      <c r="P724" s="3">
        <v>91.305570000000003</v>
      </c>
      <c r="Q724" s="3">
        <v>87.672820000000002</v>
      </c>
      <c r="R724" s="3">
        <v>98.34</v>
      </c>
      <c r="S724" s="3">
        <v>91.049940000000007</v>
      </c>
      <c r="T724" s="3">
        <v>92.92</v>
      </c>
      <c r="U724" s="3">
        <v>81.902000000000001</v>
      </c>
      <c r="V724" s="3">
        <v>90.843059999999994</v>
      </c>
      <c r="W724" s="3">
        <v>87.2</v>
      </c>
      <c r="X724" s="3">
        <v>92.666020000000003</v>
      </c>
      <c r="Y724" s="3">
        <v>83.567729999999997</v>
      </c>
      <c r="Z724" s="3">
        <v>71.243170000000006</v>
      </c>
      <c r="AA724" s="3">
        <v>56.614600000000003</v>
      </c>
      <c r="AC724" s="3">
        <v>98.433269999999993</v>
      </c>
      <c r="AD724" s="3">
        <v>88.844220000000007</v>
      </c>
      <c r="AE724" s="3">
        <v>91.160129999999995</v>
      </c>
      <c r="AF724" s="3">
        <v>97.3</v>
      </c>
      <c r="AG724" s="3">
        <v>87.543000000000006</v>
      </c>
      <c r="AI724" s="3">
        <v>89.23</v>
      </c>
      <c r="AJ724" s="3">
        <v>95.749709999999993</v>
      </c>
      <c r="AK724" s="3">
        <v>79.413420000000002</v>
      </c>
      <c r="AL724" s="3">
        <v>89.95</v>
      </c>
      <c r="AM724" s="3">
        <v>89.4</v>
      </c>
      <c r="AN724" s="3">
        <v>89.042519999999996</v>
      </c>
      <c r="AO724" s="3">
        <v>88.332880000000003</v>
      </c>
      <c r="AP724" s="3">
        <v>88.807490000000001</v>
      </c>
      <c r="AQ724" s="3">
        <v>91.667860000000005</v>
      </c>
      <c r="AS724" s="3">
        <v>80.213939999999994</v>
      </c>
      <c r="AT724" s="3">
        <v>91.154730000000001</v>
      </c>
      <c r="AU724" s="3">
        <v>91.61</v>
      </c>
      <c r="AV724" s="3">
        <v>95.08663</v>
      </c>
      <c r="AW724" s="3">
        <v>61.534619999999997</v>
      </c>
      <c r="AX724" s="3">
        <v>89.526489999999995</v>
      </c>
      <c r="AY724" s="3">
        <v>71.832139999999995</v>
      </c>
    </row>
    <row r="725" spans="1:51" x14ac:dyDescent="0.2">
      <c r="A725" s="3" t="s">
        <v>622</v>
      </c>
      <c r="B725" s="49">
        <v>39873</v>
      </c>
      <c r="D725" s="3">
        <v>89.958129999999997</v>
      </c>
      <c r="E725" s="3">
        <v>67.946380000000005</v>
      </c>
      <c r="F725" s="3">
        <v>90.071110000000004</v>
      </c>
      <c r="G725" s="3">
        <v>100.3796</v>
      </c>
      <c r="H725" s="3">
        <v>83.357119999999995</v>
      </c>
      <c r="I725" s="3">
        <v>84.457070000000002</v>
      </c>
      <c r="J725" s="3">
        <v>83.158829999999995</v>
      </c>
      <c r="K725" s="3">
        <v>77.029809999999998</v>
      </c>
      <c r="L725" s="3">
        <v>92.1</v>
      </c>
      <c r="M725" s="3">
        <v>92.079269999999994</v>
      </c>
      <c r="N725" s="3">
        <v>91.2</v>
      </c>
      <c r="O725" s="3">
        <v>91.44</v>
      </c>
      <c r="P725" s="3">
        <v>91.455269999999999</v>
      </c>
      <c r="Q725" s="3">
        <v>87.211389999999994</v>
      </c>
      <c r="R725" s="3">
        <v>98.69</v>
      </c>
      <c r="S725" s="3">
        <v>91.049940000000007</v>
      </c>
      <c r="T725" s="3">
        <v>93.09</v>
      </c>
      <c r="U725" s="3">
        <v>82.142449999999997</v>
      </c>
      <c r="V725" s="3">
        <v>91.012240000000006</v>
      </c>
      <c r="W725" s="3">
        <v>87.3</v>
      </c>
      <c r="X725" s="3">
        <v>94.51437</v>
      </c>
      <c r="Y725" s="3">
        <v>83.937820000000002</v>
      </c>
      <c r="Z725" s="3">
        <v>71.399379999999994</v>
      </c>
      <c r="AA725" s="3">
        <v>56.614600000000003</v>
      </c>
      <c r="AC725" s="3">
        <v>98.777180000000001</v>
      </c>
      <c r="AD725" s="3">
        <v>89.246229999999997</v>
      </c>
      <c r="AE725" s="3">
        <v>91.226669999999999</v>
      </c>
      <c r="AF725" s="3">
        <v>97.6</v>
      </c>
      <c r="AG725" s="3">
        <v>88.17</v>
      </c>
      <c r="AI725" s="3">
        <v>89.07</v>
      </c>
      <c r="AJ725" s="3">
        <v>95.974410000000006</v>
      </c>
      <c r="AK725" s="3">
        <v>79.870279999999994</v>
      </c>
      <c r="AL725" s="3">
        <v>90.85</v>
      </c>
      <c r="AM725" s="3">
        <v>89.4</v>
      </c>
      <c r="AN725" s="3">
        <v>89.278300000000002</v>
      </c>
      <c r="AO725" s="3">
        <v>88.532589999999999</v>
      </c>
      <c r="AP725" s="3">
        <v>89.458690000000004</v>
      </c>
      <c r="AQ725" s="3">
        <v>92.396339999999995</v>
      </c>
      <c r="AS725" s="3">
        <v>80.479990000000001</v>
      </c>
      <c r="AT725" s="3">
        <v>90.910020000000003</v>
      </c>
      <c r="AU725" s="3">
        <v>92.48</v>
      </c>
      <c r="AV725" s="3">
        <v>95.357889999999998</v>
      </c>
      <c r="AW725" s="3">
        <v>62.213859999999997</v>
      </c>
      <c r="AX725" s="3">
        <v>89.744190000000003</v>
      </c>
      <c r="AY725" s="3">
        <v>72.922160000000005</v>
      </c>
    </row>
    <row r="726" spans="1:51" x14ac:dyDescent="0.2">
      <c r="A726" s="3" t="s">
        <v>623</v>
      </c>
      <c r="B726" s="49">
        <v>39904</v>
      </c>
      <c r="D726" s="3">
        <v>90.146429999999995</v>
      </c>
      <c r="E726" s="3">
        <v>68.272589999999994</v>
      </c>
      <c r="F726" s="3">
        <v>89.992099999999994</v>
      </c>
      <c r="G726" s="3">
        <v>101.2645</v>
      </c>
      <c r="H726" s="3">
        <v>83.232200000000006</v>
      </c>
      <c r="I726" s="3">
        <v>84.288150000000002</v>
      </c>
      <c r="J726" s="3">
        <v>83.42765</v>
      </c>
      <c r="K726" s="3">
        <v>77.283990000000003</v>
      </c>
      <c r="L726" s="3">
        <v>92</v>
      </c>
      <c r="M726" s="3">
        <v>92.172560000000004</v>
      </c>
      <c r="N726" s="3">
        <v>91.1</v>
      </c>
      <c r="O726" s="3">
        <v>91.76</v>
      </c>
      <c r="P726" s="3">
        <v>92.348460000000003</v>
      </c>
      <c r="Q726" s="3">
        <v>86.596140000000005</v>
      </c>
      <c r="R726" s="3">
        <v>99.69</v>
      </c>
      <c r="S726" s="3">
        <v>91.049940000000007</v>
      </c>
      <c r="T726" s="3">
        <v>93.24</v>
      </c>
      <c r="U726" s="3">
        <v>82.403390000000002</v>
      </c>
      <c r="V726" s="3">
        <v>91.191199999999995</v>
      </c>
      <c r="W726" s="3">
        <v>87.5</v>
      </c>
      <c r="X726" s="3">
        <v>94.799059999999997</v>
      </c>
      <c r="Y726" s="3">
        <v>84.603999999999999</v>
      </c>
      <c r="Z726" s="3">
        <v>71.180689999999998</v>
      </c>
      <c r="AA726" s="3">
        <v>57.379660000000001</v>
      </c>
      <c r="AC726" s="3">
        <v>98.624790000000004</v>
      </c>
      <c r="AD726" s="3">
        <v>90.150760000000005</v>
      </c>
      <c r="AE726" s="3">
        <v>91.426289999999995</v>
      </c>
      <c r="AF726" s="3">
        <v>97.7</v>
      </c>
      <c r="AG726" s="3">
        <v>88.405000000000001</v>
      </c>
      <c r="AI726" s="3">
        <v>89.3</v>
      </c>
      <c r="AJ726" s="3">
        <v>95.605590000000007</v>
      </c>
      <c r="AK726" s="3">
        <v>80.149829999999994</v>
      </c>
      <c r="AL726" s="3">
        <v>91.05</v>
      </c>
      <c r="AM726" s="3">
        <v>89.7</v>
      </c>
      <c r="AN726" s="3">
        <v>89.494820000000004</v>
      </c>
      <c r="AO726" s="3">
        <v>88.766390000000001</v>
      </c>
      <c r="AP726" s="3">
        <v>90.109889999999993</v>
      </c>
      <c r="AQ726" s="3">
        <v>92.627229999999997</v>
      </c>
      <c r="AS726" s="3">
        <v>80.613010000000003</v>
      </c>
      <c r="AT726" s="3">
        <v>90.848839999999996</v>
      </c>
      <c r="AU726" s="3">
        <v>92.61</v>
      </c>
      <c r="AV726" s="3">
        <v>95.5047</v>
      </c>
      <c r="AW726" s="3">
        <v>62.225380000000001</v>
      </c>
      <c r="AX726" s="3">
        <v>89.968230000000005</v>
      </c>
      <c r="AY726" s="3">
        <v>73.249160000000003</v>
      </c>
    </row>
    <row r="727" spans="1:51" x14ac:dyDescent="0.2">
      <c r="A727" s="3" t="s">
        <v>624</v>
      </c>
      <c r="B727" s="49">
        <v>39934</v>
      </c>
      <c r="D727" s="3">
        <v>90.077060000000003</v>
      </c>
      <c r="E727" s="3">
        <v>68.593459999999993</v>
      </c>
      <c r="F727" s="3">
        <v>90.624179999999996</v>
      </c>
      <c r="G727" s="3">
        <v>101.426</v>
      </c>
      <c r="H727" s="3">
        <v>83.04898</v>
      </c>
      <c r="I727" s="3">
        <v>84.035290000000003</v>
      </c>
      <c r="J727" s="3">
        <v>83.439340000000001</v>
      </c>
      <c r="K727" s="3">
        <v>77.187550000000002</v>
      </c>
      <c r="L727" s="3">
        <v>92</v>
      </c>
      <c r="M727" s="3">
        <v>92.079269999999994</v>
      </c>
      <c r="N727" s="3">
        <v>91.4</v>
      </c>
      <c r="O727" s="3">
        <v>91.8</v>
      </c>
      <c r="P727" s="3">
        <v>92.316519999999997</v>
      </c>
      <c r="Q727" s="3">
        <v>86.596140000000005</v>
      </c>
      <c r="R727" s="3">
        <v>99.64</v>
      </c>
      <c r="S727" s="3">
        <v>90.882260000000002</v>
      </c>
      <c r="T727" s="3">
        <v>93.38</v>
      </c>
      <c r="U727" s="3">
        <v>82.567539999999994</v>
      </c>
      <c r="V727" s="3">
        <v>91.381680000000003</v>
      </c>
      <c r="W727" s="3">
        <v>87.9</v>
      </c>
      <c r="X727" s="3">
        <v>95.023769999999999</v>
      </c>
      <c r="Y727" s="3">
        <v>85.86233</v>
      </c>
      <c r="Z727" s="3">
        <v>71.211929999999995</v>
      </c>
      <c r="AA727" s="3">
        <v>57.762189999999997</v>
      </c>
      <c r="AC727" s="3">
        <v>98.852580000000003</v>
      </c>
      <c r="AD727" s="3">
        <v>90.552760000000006</v>
      </c>
      <c r="AE727" s="3">
        <v>91.625910000000005</v>
      </c>
      <c r="AF727" s="3">
        <v>97.5</v>
      </c>
      <c r="AG727" s="3">
        <v>88.405000000000001</v>
      </c>
      <c r="AI727" s="3">
        <v>89.38</v>
      </c>
      <c r="AJ727" s="3">
        <v>95.119630000000001</v>
      </c>
      <c r="AK727" s="3">
        <v>79.916380000000004</v>
      </c>
      <c r="AL727" s="3">
        <v>91.17</v>
      </c>
      <c r="AM727" s="3">
        <v>89.9</v>
      </c>
      <c r="AN727" s="3">
        <v>89.649940000000001</v>
      </c>
      <c r="AO727" s="3">
        <v>88.928600000000003</v>
      </c>
      <c r="AP727" s="3">
        <v>90.598290000000006</v>
      </c>
      <c r="AQ727" s="3">
        <v>92.446100000000001</v>
      </c>
      <c r="AS727" s="3">
        <v>80.67953</v>
      </c>
      <c r="AT727" s="3">
        <v>90.910020000000003</v>
      </c>
      <c r="AU727" s="3">
        <v>93.21</v>
      </c>
      <c r="AV727" s="3">
        <v>95.258960000000002</v>
      </c>
      <c r="AW727" s="3">
        <v>62.624479999999998</v>
      </c>
      <c r="AX727" s="3">
        <v>90.228129999999993</v>
      </c>
      <c r="AY727" s="3">
        <v>73.467160000000007</v>
      </c>
    </row>
    <row r="728" spans="1:51" x14ac:dyDescent="0.2">
      <c r="A728" s="3" t="s">
        <v>625</v>
      </c>
      <c r="B728" s="49">
        <v>39965</v>
      </c>
      <c r="D728" s="3">
        <v>89.908580000000001</v>
      </c>
      <c r="E728" s="3">
        <v>68.840320000000006</v>
      </c>
      <c r="F728" s="3">
        <v>90.940219999999997</v>
      </c>
      <c r="G728" s="3">
        <v>101.608</v>
      </c>
      <c r="H728" s="3">
        <v>83.332139999999995</v>
      </c>
      <c r="I728" s="3">
        <v>83.615110000000001</v>
      </c>
      <c r="J728" s="3">
        <v>83.392589999999998</v>
      </c>
      <c r="K728" s="3">
        <v>77.318150000000003</v>
      </c>
      <c r="L728" s="3">
        <v>92</v>
      </c>
      <c r="M728" s="3">
        <v>92.35915</v>
      </c>
      <c r="N728" s="3">
        <v>91.6</v>
      </c>
      <c r="O728" s="3">
        <v>91.99</v>
      </c>
      <c r="P728" s="3">
        <v>92.72269</v>
      </c>
      <c r="Q728" s="3">
        <v>86.544870000000003</v>
      </c>
      <c r="R728" s="3">
        <v>99.72</v>
      </c>
      <c r="S728" s="3">
        <v>91.133780000000002</v>
      </c>
      <c r="T728" s="3">
        <v>93.5</v>
      </c>
      <c r="U728" s="3">
        <v>82.905249999999995</v>
      </c>
      <c r="V728" s="3">
        <v>91.854939999999999</v>
      </c>
      <c r="W728" s="3">
        <v>88.1</v>
      </c>
      <c r="X728" s="3">
        <v>94.959320000000005</v>
      </c>
      <c r="Y728" s="3">
        <v>85.86233</v>
      </c>
      <c r="Z728" s="3">
        <v>71.29316</v>
      </c>
      <c r="AA728" s="3">
        <v>58.527259999999998</v>
      </c>
      <c r="AC728" s="3">
        <v>98.734189999999998</v>
      </c>
      <c r="AD728" s="3">
        <v>91.356780000000001</v>
      </c>
      <c r="AE728" s="3">
        <v>91.692449999999994</v>
      </c>
      <c r="AF728" s="3">
        <v>97.3</v>
      </c>
      <c r="AG728" s="3">
        <v>88.326999999999998</v>
      </c>
      <c r="AI728" s="3">
        <v>89.83</v>
      </c>
      <c r="AJ728" s="3">
        <v>94.598159999999993</v>
      </c>
      <c r="AK728" s="3">
        <v>80.063550000000006</v>
      </c>
      <c r="AL728" s="3">
        <v>90.85</v>
      </c>
      <c r="AM728" s="3">
        <v>90.4</v>
      </c>
      <c r="AN728" s="3">
        <v>90.014660000000006</v>
      </c>
      <c r="AO728" s="3">
        <v>89.072730000000007</v>
      </c>
      <c r="AP728" s="3">
        <v>90.761089999999996</v>
      </c>
      <c r="AQ728" s="3">
        <v>92.51576</v>
      </c>
      <c r="AS728" s="3">
        <v>80.812550000000002</v>
      </c>
      <c r="AT728" s="3">
        <v>91.154730000000001</v>
      </c>
      <c r="AU728" s="3">
        <v>93.68</v>
      </c>
      <c r="AV728" s="3">
        <v>95.488749999999996</v>
      </c>
      <c r="AW728" s="3">
        <v>62.693550000000002</v>
      </c>
      <c r="AX728" s="3">
        <v>91.003169999999997</v>
      </c>
      <c r="AY728" s="3">
        <v>73.685169999999999</v>
      </c>
    </row>
    <row r="729" spans="1:51" x14ac:dyDescent="0.2">
      <c r="A729" s="3" t="s">
        <v>626</v>
      </c>
      <c r="B729" s="49">
        <v>39995</v>
      </c>
      <c r="D729" s="3">
        <v>89.849109999999996</v>
      </c>
      <c r="E729" s="3">
        <v>69.005520000000004</v>
      </c>
      <c r="F729" s="3">
        <v>90.624179999999996</v>
      </c>
      <c r="G729" s="3">
        <v>100.9337</v>
      </c>
      <c r="H729" s="3">
        <v>82.974019999999996</v>
      </c>
      <c r="I729" s="3">
        <v>83.615110000000001</v>
      </c>
      <c r="J729" s="3">
        <v>83.357519999999994</v>
      </c>
      <c r="K729" s="3">
        <v>78.027460000000005</v>
      </c>
      <c r="L729" s="3">
        <v>91.7</v>
      </c>
      <c r="M729" s="3">
        <v>92.35915</v>
      </c>
      <c r="N729" s="3">
        <v>91.2</v>
      </c>
      <c r="O729" s="3">
        <v>91.38</v>
      </c>
      <c r="P729" s="3">
        <v>91.931299999999993</v>
      </c>
      <c r="Q729" s="3">
        <v>87.365200000000002</v>
      </c>
      <c r="R729" s="3">
        <v>99.81</v>
      </c>
      <c r="S729" s="3">
        <v>90.546909999999997</v>
      </c>
      <c r="T729" s="3">
        <v>93.08</v>
      </c>
      <c r="U729" s="3">
        <v>83.128879999999995</v>
      </c>
      <c r="V729" s="3">
        <v>91.693370000000002</v>
      </c>
      <c r="W729" s="3">
        <v>88</v>
      </c>
      <c r="X729" s="3">
        <v>94.26079</v>
      </c>
      <c r="Y729" s="3">
        <v>87.046629999999993</v>
      </c>
      <c r="Z729" s="3">
        <v>71.611819999999994</v>
      </c>
      <c r="AA729" s="3">
        <v>61.204970000000003</v>
      </c>
      <c r="AC729" s="3">
        <v>98.866200000000006</v>
      </c>
      <c r="AD729" s="3">
        <v>92.261309999999995</v>
      </c>
      <c r="AE729" s="3">
        <v>91.692449999999994</v>
      </c>
      <c r="AF729" s="3">
        <v>97</v>
      </c>
      <c r="AG729" s="3">
        <v>88.641000000000005</v>
      </c>
      <c r="AI729" s="3">
        <v>89.03</v>
      </c>
      <c r="AJ729" s="3">
        <v>94.027429999999995</v>
      </c>
      <c r="AK729" s="3">
        <v>80.281630000000007</v>
      </c>
      <c r="AL729" s="3">
        <v>89.89</v>
      </c>
      <c r="AM729" s="3">
        <v>89.9</v>
      </c>
      <c r="AN729" s="3">
        <v>89.881900000000002</v>
      </c>
      <c r="AO729" s="3">
        <v>88.857609999999994</v>
      </c>
      <c r="AP729" s="3">
        <v>90.842489999999998</v>
      </c>
      <c r="AQ729" s="3">
        <v>92.024140000000003</v>
      </c>
      <c r="AS729" s="3">
        <v>81.278139999999993</v>
      </c>
      <c r="AT729" s="3">
        <v>91.154730000000001</v>
      </c>
      <c r="AU729" s="3">
        <v>92.8</v>
      </c>
      <c r="AV729" s="3">
        <v>95.048330000000007</v>
      </c>
      <c r="AW729" s="3">
        <v>62.85089</v>
      </c>
      <c r="AX729" s="3">
        <v>90.858890000000002</v>
      </c>
      <c r="AY729" s="3">
        <v>74.448179999999994</v>
      </c>
    </row>
    <row r="730" spans="1:51" x14ac:dyDescent="0.2">
      <c r="A730" s="3" t="s">
        <v>627</v>
      </c>
      <c r="B730" s="49">
        <v>40026</v>
      </c>
      <c r="D730" s="3">
        <v>90.126609999999999</v>
      </c>
      <c r="E730" s="3">
        <v>69.108990000000006</v>
      </c>
      <c r="F730" s="3">
        <v>90.624179999999996</v>
      </c>
      <c r="G730" s="3">
        <v>101.0454</v>
      </c>
      <c r="H730" s="3">
        <v>82.59093</v>
      </c>
      <c r="I730" s="3">
        <v>84.033190000000005</v>
      </c>
      <c r="J730" s="3">
        <v>83.392589999999998</v>
      </c>
      <c r="K730" s="3">
        <v>78.53783</v>
      </c>
      <c r="L730" s="3">
        <v>91.5</v>
      </c>
      <c r="M730" s="3">
        <v>92.545730000000006</v>
      </c>
      <c r="N730" s="3">
        <v>91.4</v>
      </c>
      <c r="O730" s="3">
        <v>91.69</v>
      </c>
      <c r="P730" s="3">
        <v>92.252650000000003</v>
      </c>
      <c r="Q730" s="3">
        <v>87.365200000000002</v>
      </c>
      <c r="R730" s="3">
        <v>99.36</v>
      </c>
      <c r="S730" s="3">
        <v>90.798419999999993</v>
      </c>
      <c r="T730" s="3">
        <v>93.56</v>
      </c>
      <c r="U730" s="3">
        <v>83.407380000000003</v>
      </c>
      <c r="V730" s="3">
        <v>91.927639999999997</v>
      </c>
      <c r="W730" s="3">
        <v>88.3</v>
      </c>
      <c r="X730" s="3">
        <v>93.567890000000006</v>
      </c>
      <c r="Y730" s="3">
        <v>86.750559999999993</v>
      </c>
      <c r="Z730" s="3">
        <v>72.011709999999994</v>
      </c>
      <c r="AA730" s="3">
        <v>61.970039999999997</v>
      </c>
      <c r="AC730" s="3">
        <v>98.366780000000006</v>
      </c>
      <c r="AD730" s="3">
        <v>92.763819999999996</v>
      </c>
      <c r="AE730" s="3">
        <v>91.958609999999993</v>
      </c>
      <c r="AF730" s="3">
        <v>97.3</v>
      </c>
      <c r="AG730" s="3">
        <v>88.954999999999998</v>
      </c>
      <c r="AI730" s="3">
        <v>90.2</v>
      </c>
      <c r="AJ730" s="3">
        <v>93.05932</v>
      </c>
      <c r="AK730" s="3">
        <v>80.473709999999997</v>
      </c>
      <c r="AL730" s="3">
        <v>90.14</v>
      </c>
      <c r="AM730" s="3">
        <v>89.7</v>
      </c>
      <c r="AN730" s="3">
        <v>90.066739999999996</v>
      </c>
      <c r="AO730" s="3">
        <v>89.021389999999997</v>
      </c>
      <c r="AP730" s="3">
        <v>90.516890000000004</v>
      </c>
      <c r="AQ730" s="3">
        <v>91.757429999999999</v>
      </c>
      <c r="AS730" s="3">
        <v>81.610690000000005</v>
      </c>
      <c r="AT730" s="3">
        <v>91.03237</v>
      </c>
      <c r="AU730" s="3">
        <v>92.85</v>
      </c>
      <c r="AV730" s="3">
        <v>95.246200000000002</v>
      </c>
      <c r="AW730" s="3">
        <v>62.662849999999999</v>
      </c>
      <c r="AX730" s="3">
        <v>91.062669999999997</v>
      </c>
      <c r="AY730" s="3">
        <v>74.666179999999997</v>
      </c>
    </row>
    <row r="731" spans="1:51" x14ac:dyDescent="0.2">
      <c r="A731" s="3" t="s">
        <v>628</v>
      </c>
      <c r="B731" s="49">
        <v>40057</v>
      </c>
      <c r="D731" s="3">
        <v>89.888760000000005</v>
      </c>
      <c r="E731" s="3">
        <v>69.274879999999996</v>
      </c>
      <c r="F731" s="3">
        <v>90.624179999999996</v>
      </c>
      <c r="G731" s="3">
        <v>101.0325</v>
      </c>
      <c r="H731" s="3">
        <v>83.53201</v>
      </c>
      <c r="I731" s="3">
        <v>84.369320000000002</v>
      </c>
      <c r="J731" s="3">
        <v>83.310770000000005</v>
      </c>
      <c r="K731" s="3">
        <v>78.626239999999996</v>
      </c>
      <c r="L731" s="3">
        <v>91.2</v>
      </c>
      <c r="M731" s="3">
        <v>92.26585</v>
      </c>
      <c r="N731" s="3">
        <v>91.6</v>
      </c>
      <c r="O731" s="3">
        <v>91.71</v>
      </c>
      <c r="P731" s="3">
        <v>92.034099999999995</v>
      </c>
      <c r="Q731" s="3">
        <v>87.160120000000006</v>
      </c>
      <c r="R731" s="3">
        <v>99.44</v>
      </c>
      <c r="S731" s="3">
        <v>90.966099999999997</v>
      </c>
      <c r="T731" s="3">
        <v>93.33</v>
      </c>
      <c r="U731" s="3">
        <v>83.557500000000005</v>
      </c>
      <c r="V731" s="3">
        <v>91.908749999999998</v>
      </c>
      <c r="W731" s="3">
        <v>88.3</v>
      </c>
      <c r="X731" s="3">
        <v>95.338719999999995</v>
      </c>
      <c r="Y731" s="3">
        <v>86.676540000000003</v>
      </c>
      <c r="Z731" s="3">
        <v>72.767759999999996</v>
      </c>
      <c r="AA731" s="3">
        <v>62.35257</v>
      </c>
      <c r="AC731" s="3">
        <v>98.668629999999993</v>
      </c>
      <c r="AD731" s="3">
        <v>92.462310000000002</v>
      </c>
      <c r="AE731" s="3">
        <v>91.759</v>
      </c>
      <c r="AF731" s="3">
        <v>97.3</v>
      </c>
      <c r="AG731" s="3">
        <v>89.034000000000006</v>
      </c>
      <c r="AI731" s="3">
        <v>90.1</v>
      </c>
      <c r="AJ731" s="3">
        <v>92.849109999999996</v>
      </c>
      <c r="AK731" s="3">
        <v>80.877369999999999</v>
      </c>
      <c r="AL731" s="3">
        <v>90.62</v>
      </c>
      <c r="AM731" s="3">
        <v>90.4</v>
      </c>
      <c r="AN731" s="3">
        <v>90.103880000000004</v>
      </c>
      <c r="AO731" s="3">
        <v>88.994119999999995</v>
      </c>
      <c r="AP731" s="3">
        <v>90.516890000000004</v>
      </c>
      <c r="AQ731" s="3">
        <v>91.934569999999994</v>
      </c>
      <c r="AS731" s="3">
        <v>82.142799999999994</v>
      </c>
      <c r="AT731" s="3">
        <v>91.03237</v>
      </c>
      <c r="AU731" s="3">
        <v>92.68</v>
      </c>
      <c r="AV731" s="3">
        <v>95.5398</v>
      </c>
      <c r="AW731" s="3">
        <v>62.908450000000002</v>
      </c>
      <c r="AX731" s="3">
        <v>91.119619999999998</v>
      </c>
      <c r="AY731" s="3">
        <v>74.884190000000004</v>
      </c>
    </row>
    <row r="732" spans="1:51" x14ac:dyDescent="0.2">
      <c r="A732" s="3" t="s">
        <v>629</v>
      </c>
      <c r="B732" s="49">
        <v>40087</v>
      </c>
      <c r="D732" s="3">
        <v>89.928399999999996</v>
      </c>
      <c r="E732" s="3">
        <v>69.46884</v>
      </c>
      <c r="F732" s="3">
        <v>90.545169999999999</v>
      </c>
      <c r="G732" s="3">
        <v>101.6605</v>
      </c>
      <c r="H732" s="3">
        <v>83.523690000000002</v>
      </c>
      <c r="I732" s="3">
        <v>84.287030000000001</v>
      </c>
      <c r="J732" s="3">
        <v>83.193889999999996</v>
      </c>
      <c r="K732" s="3">
        <v>78.810100000000006</v>
      </c>
      <c r="L732" s="3">
        <v>91.1</v>
      </c>
      <c r="M732" s="3">
        <v>92.26585</v>
      </c>
      <c r="N732" s="3">
        <v>91.6</v>
      </c>
      <c r="O732" s="3">
        <v>91.92</v>
      </c>
      <c r="P732" s="3">
        <v>92.690759999999997</v>
      </c>
      <c r="Q732" s="3">
        <v>87.057580000000002</v>
      </c>
      <c r="R732" s="3">
        <v>99.85</v>
      </c>
      <c r="S732" s="3">
        <v>90.463070000000002</v>
      </c>
      <c r="T732" s="3">
        <v>93.42</v>
      </c>
      <c r="U732" s="3">
        <v>83.735889999999998</v>
      </c>
      <c r="V732" s="3">
        <v>91.925960000000003</v>
      </c>
      <c r="W732" s="3">
        <v>88.4</v>
      </c>
      <c r="X732" s="3">
        <v>95.818950000000001</v>
      </c>
      <c r="Y732" s="3">
        <v>86.676540000000003</v>
      </c>
      <c r="Z732" s="3">
        <v>72.90522</v>
      </c>
      <c r="AA732" s="3">
        <v>63.117629999999998</v>
      </c>
      <c r="AC732" s="3">
        <v>97.952830000000006</v>
      </c>
      <c r="AD732" s="3">
        <v>92.663309999999996</v>
      </c>
      <c r="AE732" s="3">
        <v>91.825530000000001</v>
      </c>
      <c r="AF732" s="3">
        <v>96.9</v>
      </c>
      <c r="AG732" s="3">
        <v>88.798000000000002</v>
      </c>
      <c r="AI732" s="3">
        <v>90.02</v>
      </c>
      <c r="AJ732" s="3">
        <v>92.67407</v>
      </c>
      <c r="AK732" s="3">
        <v>81.122060000000005</v>
      </c>
      <c r="AL732" s="3">
        <v>90.7</v>
      </c>
      <c r="AM732" s="3">
        <v>90.2</v>
      </c>
      <c r="AN732" s="3">
        <v>90.207800000000006</v>
      </c>
      <c r="AO732" s="3">
        <v>89.241069999999993</v>
      </c>
      <c r="AP732" s="3">
        <v>90.598290000000006</v>
      </c>
      <c r="AQ732" s="3">
        <v>91.986320000000006</v>
      </c>
      <c r="AS732" s="3">
        <v>82.674899999999994</v>
      </c>
      <c r="AT732" s="3">
        <v>91.154730000000001</v>
      </c>
      <c r="AU732" s="3">
        <v>92.79</v>
      </c>
      <c r="AV732" s="3">
        <v>95.779160000000005</v>
      </c>
      <c r="AW732" s="3">
        <v>64.424279999999996</v>
      </c>
      <c r="AX732" s="3">
        <v>91.207380000000001</v>
      </c>
      <c r="AY732" s="3">
        <v>74.884190000000004</v>
      </c>
    </row>
    <row r="733" spans="1:51" x14ac:dyDescent="0.2">
      <c r="A733" s="3" t="s">
        <v>630</v>
      </c>
      <c r="B733" s="49">
        <v>40118</v>
      </c>
      <c r="D733" s="3">
        <v>90.166250000000005</v>
      </c>
      <c r="E733" s="3">
        <v>69.753749999999997</v>
      </c>
      <c r="F733" s="3">
        <v>91.019229999999993</v>
      </c>
      <c r="G733" s="3">
        <v>101.8567</v>
      </c>
      <c r="H733" s="3">
        <v>83.190560000000005</v>
      </c>
      <c r="I733" s="3">
        <v>84.540660000000003</v>
      </c>
      <c r="J733" s="3">
        <v>83.147139999999993</v>
      </c>
      <c r="K733" s="3">
        <v>78.684520000000006</v>
      </c>
      <c r="L733" s="3">
        <v>91.2</v>
      </c>
      <c r="M733" s="3">
        <v>92.172560000000004</v>
      </c>
      <c r="N733" s="3">
        <v>91.6</v>
      </c>
      <c r="O733" s="3">
        <v>92.02</v>
      </c>
      <c r="P733" s="3">
        <v>93.192740000000001</v>
      </c>
      <c r="Q733" s="3">
        <v>86.852490000000003</v>
      </c>
      <c r="R733" s="3">
        <v>99.75</v>
      </c>
      <c r="S733" s="3">
        <v>90.546909999999997</v>
      </c>
      <c r="T733" s="3">
        <v>93.55</v>
      </c>
      <c r="U733" s="3">
        <v>83.998019999999997</v>
      </c>
      <c r="V733" s="3">
        <v>91.972679999999997</v>
      </c>
      <c r="W733" s="3">
        <v>88.6</v>
      </c>
      <c r="X733" s="3">
        <v>96.295969999999997</v>
      </c>
      <c r="Y733" s="3">
        <v>86.898589999999999</v>
      </c>
      <c r="Z733" s="3">
        <v>72.886470000000003</v>
      </c>
      <c r="AA733" s="3">
        <v>64.265219999999999</v>
      </c>
      <c r="AC733" s="3">
        <v>98.608829999999998</v>
      </c>
      <c r="AD733" s="3">
        <v>92.864320000000006</v>
      </c>
      <c r="AE733" s="3">
        <v>91.825530000000001</v>
      </c>
      <c r="AF733" s="3">
        <v>96.7</v>
      </c>
      <c r="AG733" s="3">
        <v>88.954999999999998</v>
      </c>
      <c r="AI733" s="3">
        <v>90.38</v>
      </c>
      <c r="AJ733" s="3">
        <v>92.052310000000006</v>
      </c>
      <c r="AK733" s="3">
        <v>81.542860000000005</v>
      </c>
      <c r="AL733" s="3">
        <v>90.61</v>
      </c>
      <c r="AM733" s="3">
        <v>90.5</v>
      </c>
      <c r="AN733" s="3">
        <v>90.321770000000001</v>
      </c>
      <c r="AO733" s="3">
        <v>89.428920000000005</v>
      </c>
      <c r="AP733" s="3">
        <v>90.842489999999998</v>
      </c>
      <c r="AQ733" s="3">
        <v>92.203280000000007</v>
      </c>
      <c r="AS733" s="3">
        <v>82.940950000000001</v>
      </c>
      <c r="AT733" s="3">
        <v>91.338260000000005</v>
      </c>
      <c r="AU733" s="3">
        <v>93.6</v>
      </c>
      <c r="AV733" s="3">
        <v>95.756820000000005</v>
      </c>
      <c r="AW733" s="3">
        <v>65.241669999999999</v>
      </c>
      <c r="AX733" s="3">
        <v>91.271929999999998</v>
      </c>
      <c r="AY733" s="3">
        <v>74.884190000000004</v>
      </c>
    </row>
    <row r="734" spans="1:51" x14ac:dyDescent="0.2">
      <c r="A734" s="3" t="s">
        <v>631</v>
      </c>
      <c r="B734" s="49">
        <v>40148</v>
      </c>
      <c r="D734" s="3">
        <v>90.314909999999998</v>
      </c>
      <c r="E734" s="3">
        <v>70.011759999999995</v>
      </c>
      <c r="F734" s="3">
        <v>90.703190000000006</v>
      </c>
      <c r="G734" s="3">
        <v>101.6105</v>
      </c>
      <c r="H734" s="3">
        <v>82.874080000000006</v>
      </c>
      <c r="I734" s="3">
        <v>85.386139999999997</v>
      </c>
      <c r="J734" s="3">
        <v>83.205579999999998</v>
      </c>
      <c r="K734" s="3">
        <v>79.484250000000003</v>
      </c>
      <c r="L734" s="3">
        <v>91.4</v>
      </c>
      <c r="M734" s="3">
        <v>92.918890000000005</v>
      </c>
      <c r="N734" s="3">
        <v>91.4</v>
      </c>
      <c r="O734" s="3">
        <v>92.31</v>
      </c>
      <c r="P734" s="3">
        <v>93.168790000000001</v>
      </c>
      <c r="Q734" s="3">
        <v>87.006309999999999</v>
      </c>
      <c r="R734" s="3">
        <v>99.65</v>
      </c>
      <c r="S734" s="3">
        <v>90.630740000000003</v>
      </c>
      <c r="T734" s="3">
        <v>93.8</v>
      </c>
      <c r="U734" s="3">
        <v>84.185500000000005</v>
      </c>
      <c r="V734" s="3">
        <v>91.962010000000006</v>
      </c>
      <c r="W734" s="3">
        <v>88.9</v>
      </c>
      <c r="X734" s="3">
        <v>96.453400000000002</v>
      </c>
      <c r="Y734" s="3">
        <v>86.824579999999997</v>
      </c>
      <c r="Z734" s="3">
        <v>73.123909999999995</v>
      </c>
      <c r="AA734" s="3">
        <v>64.647750000000002</v>
      </c>
      <c r="AC734" s="3">
        <v>99.612189999999998</v>
      </c>
      <c r="AD734" s="3">
        <v>92.864320000000006</v>
      </c>
      <c r="AE734" s="3">
        <v>92.025149999999996</v>
      </c>
      <c r="AF734" s="3">
        <v>96.5</v>
      </c>
      <c r="AG734" s="3">
        <v>89.269000000000005</v>
      </c>
      <c r="AI734" s="3">
        <v>90.26</v>
      </c>
      <c r="AJ734" s="3">
        <v>91.610960000000006</v>
      </c>
      <c r="AK734" s="3">
        <v>81.880330000000001</v>
      </c>
      <c r="AL734" s="3">
        <v>90.08</v>
      </c>
      <c r="AM734" s="3">
        <v>90.8</v>
      </c>
      <c r="AN734" s="3">
        <v>90.342839999999995</v>
      </c>
      <c r="AO734" s="3">
        <v>89.664370000000005</v>
      </c>
      <c r="AP734" s="3">
        <v>90.842489999999998</v>
      </c>
      <c r="AQ734" s="3">
        <v>92.266970000000001</v>
      </c>
      <c r="AS734" s="3">
        <v>83.273510000000002</v>
      </c>
      <c r="AT734" s="3">
        <v>91.277079999999998</v>
      </c>
      <c r="AU734" s="3">
        <v>93.17</v>
      </c>
      <c r="AV734" s="3">
        <v>95.967449999999999</v>
      </c>
      <c r="AW734" s="3">
        <v>65.587040000000002</v>
      </c>
      <c r="AX734" s="3">
        <v>91.111180000000004</v>
      </c>
      <c r="AY734" s="3">
        <v>75.102189999999993</v>
      </c>
    </row>
    <row r="735" spans="1:51" x14ac:dyDescent="0.2">
      <c r="A735" s="3" t="s">
        <v>632</v>
      </c>
      <c r="B735" s="49">
        <v>40179</v>
      </c>
      <c r="D735" s="3">
        <v>90.721239999999995</v>
      </c>
      <c r="E735" s="3">
        <v>70.536799999999999</v>
      </c>
      <c r="F735" s="3">
        <v>90.940219999999997</v>
      </c>
      <c r="G735" s="3">
        <v>101.49760000000001</v>
      </c>
      <c r="H735" s="3">
        <v>83.307149999999993</v>
      </c>
      <c r="I735" s="3">
        <v>85.893420000000006</v>
      </c>
      <c r="J735" s="3">
        <v>83.778279999999995</v>
      </c>
      <c r="K735" s="3">
        <v>80.777270000000001</v>
      </c>
      <c r="L735" s="3">
        <v>92.5</v>
      </c>
      <c r="M735" s="3">
        <v>92.35915</v>
      </c>
      <c r="N735" s="3">
        <v>91.6</v>
      </c>
      <c r="O735" s="3">
        <v>91.56</v>
      </c>
      <c r="P735" s="3">
        <v>92.234690000000001</v>
      </c>
      <c r="Q735" s="3">
        <v>87.365200000000002</v>
      </c>
      <c r="R735" s="3">
        <v>99.98</v>
      </c>
      <c r="S735" s="3">
        <v>90.798419999999993</v>
      </c>
      <c r="T735" s="3">
        <v>93.59</v>
      </c>
      <c r="U735" s="3">
        <v>84.523939999999996</v>
      </c>
      <c r="V735" s="3">
        <v>92.093400000000003</v>
      </c>
      <c r="W735" s="3">
        <v>88.8</v>
      </c>
      <c r="X735" s="3">
        <v>95.742779999999996</v>
      </c>
      <c r="Y735" s="3">
        <v>88.082899999999995</v>
      </c>
      <c r="Z735" s="3">
        <v>73.736239999999995</v>
      </c>
      <c r="AA735" s="3">
        <v>65.795349999999999</v>
      </c>
      <c r="AC735" s="3">
        <v>99.771010000000004</v>
      </c>
      <c r="AD735" s="3">
        <v>92.261309999999995</v>
      </c>
      <c r="AE735" s="3">
        <v>92.158230000000003</v>
      </c>
      <c r="AF735" s="3">
        <v>96.6</v>
      </c>
      <c r="AG735" s="3">
        <v>89.974000000000004</v>
      </c>
      <c r="AI735" s="3">
        <v>89.52</v>
      </c>
      <c r="AJ735" s="3">
        <v>91.770269999999996</v>
      </c>
      <c r="AK735" s="3">
        <v>82.770409999999998</v>
      </c>
      <c r="AL735" s="3">
        <v>90.05</v>
      </c>
      <c r="AM735" s="3">
        <v>90.9</v>
      </c>
      <c r="AN735" s="3">
        <v>90.539820000000006</v>
      </c>
      <c r="AO735" s="3">
        <v>89.601259999999996</v>
      </c>
      <c r="AP735" s="3">
        <v>91.412289999999999</v>
      </c>
      <c r="AQ735" s="3">
        <v>91.82311</v>
      </c>
      <c r="AS735" s="3">
        <v>83.473050000000001</v>
      </c>
      <c r="AT735" s="3">
        <v>91.521799999999999</v>
      </c>
      <c r="AU735" s="3">
        <v>92.43</v>
      </c>
      <c r="AV735" s="3">
        <v>95.361090000000004</v>
      </c>
      <c r="AW735" s="3">
        <v>66.799700000000001</v>
      </c>
      <c r="AX735" s="3">
        <v>91.422550000000001</v>
      </c>
      <c r="AY735" s="3">
        <v>75.320189999999997</v>
      </c>
    </row>
    <row r="736" spans="1:51" x14ac:dyDescent="0.2">
      <c r="A736" s="3" t="s">
        <v>633</v>
      </c>
      <c r="B736" s="49">
        <v>40210</v>
      </c>
      <c r="D736" s="3">
        <v>91.107749999999996</v>
      </c>
      <c r="E736" s="3">
        <v>71.0869</v>
      </c>
      <c r="F736" s="3">
        <v>91.335269999999994</v>
      </c>
      <c r="G736" s="3">
        <v>101.64530000000001</v>
      </c>
      <c r="H736" s="3">
        <v>83.535960000000003</v>
      </c>
      <c r="I736" s="3">
        <v>86.929140000000004</v>
      </c>
      <c r="J736" s="3">
        <v>84.479550000000003</v>
      </c>
      <c r="K736" s="3">
        <v>81.331850000000003</v>
      </c>
      <c r="L736" s="3">
        <v>92.5</v>
      </c>
      <c r="M736" s="3">
        <v>92.732320000000001</v>
      </c>
      <c r="N736" s="3">
        <v>92.7</v>
      </c>
      <c r="O736" s="3">
        <v>91.85</v>
      </c>
      <c r="P736" s="3">
        <v>92.067019999999999</v>
      </c>
      <c r="Q736" s="3">
        <v>87.570279999999997</v>
      </c>
      <c r="R736" s="3">
        <v>99.05</v>
      </c>
      <c r="S736" s="3">
        <v>91.092569999999995</v>
      </c>
      <c r="T736" s="3">
        <v>94.11</v>
      </c>
      <c r="U736" s="3">
        <v>84.739649999999997</v>
      </c>
      <c r="V736" s="3">
        <v>92.206469999999996</v>
      </c>
      <c r="W736" s="3">
        <v>89</v>
      </c>
      <c r="X736" s="3">
        <v>95.233059999999995</v>
      </c>
      <c r="Y736" s="3">
        <v>88.304959999999994</v>
      </c>
      <c r="Z736" s="3">
        <v>73.967429999999993</v>
      </c>
      <c r="AA736" s="3">
        <v>65.030280000000005</v>
      </c>
      <c r="AC736" s="3">
        <v>100.0497</v>
      </c>
      <c r="AD736" s="3">
        <v>92.060299999999998</v>
      </c>
      <c r="AE736" s="3">
        <v>92.224770000000007</v>
      </c>
      <c r="AF736" s="3">
        <v>96.6</v>
      </c>
      <c r="AG736" s="3">
        <v>90.156000000000006</v>
      </c>
      <c r="AI736" s="3">
        <v>90.59</v>
      </c>
      <c r="AJ736" s="3">
        <v>91.748810000000006</v>
      </c>
      <c r="AK736" s="3">
        <v>83.249139999999997</v>
      </c>
      <c r="AL736" s="3">
        <v>90.69</v>
      </c>
      <c r="AM736" s="3">
        <v>92</v>
      </c>
      <c r="AN736" s="3">
        <v>90.711370000000002</v>
      </c>
      <c r="AO736" s="3">
        <v>89.913349999999994</v>
      </c>
      <c r="AP736" s="3">
        <v>91.575090000000003</v>
      </c>
      <c r="AQ736" s="3">
        <v>91.853970000000004</v>
      </c>
      <c r="AS736" s="3">
        <v>83.872119999999995</v>
      </c>
      <c r="AT736" s="3">
        <v>91.521799999999999</v>
      </c>
      <c r="AU736" s="3">
        <v>92.8</v>
      </c>
      <c r="AV736" s="3">
        <v>95.93553</v>
      </c>
      <c r="AW736" s="3">
        <v>67.766750000000002</v>
      </c>
      <c r="AX736" s="3">
        <v>91.445340000000002</v>
      </c>
      <c r="AY736" s="3">
        <v>75.756200000000007</v>
      </c>
    </row>
    <row r="737" spans="1:51" x14ac:dyDescent="0.2">
      <c r="A737" s="3" t="s">
        <v>634</v>
      </c>
      <c r="B737" s="49">
        <v>40238</v>
      </c>
      <c r="D737" s="3">
        <v>91.444710000000001</v>
      </c>
      <c r="E737" s="3">
        <v>71.456490000000002</v>
      </c>
      <c r="F737" s="3">
        <v>91.335269999999994</v>
      </c>
      <c r="G737" s="3">
        <v>101.7846</v>
      </c>
      <c r="H737" s="3">
        <v>83.612229999999997</v>
      </c>
      <c r="I737" s="3">
        <v>86.31617</v>
      </c>
      <c r="J737" s="3">
        <v>84.689930000000004</v>
      </c>
      <c r="K737" s="3">
        <v>81.529769999999999</v>
      </c>
      <c r="L737" s="3">
        <v>92.7</v>
      </c>
      <c r="M737" s="3">
        <v>93.198769999999996</v>
      </c>
      <c r="N737" s="3">
        <v>93.3</v>
      </c>
      <c r="O737" s="3">
        <v>92.86</v>
      </c>
      <c r="P737" s="3">
        <v>92.749639999999999</v>
      </c>
      <c r="Q737" s="3">
        <v>88.646969999999996</v>
      </c>
      <c r="R737" s="3">
        <v>99.34</v>
      </c>
      <c r="S737" s="3">
        <v>91.616510000000005</v>
      </c>
      <c r="T737" s="3">
        <v>94.57</v>
      </c>
      <c r="U737" s="3">
        <v>85.052160000000001</v>
      </c>
      <c r="V737" s="3">
        <v>92.554239999999993</v>
      </c>
      <c r="W737" s="3">
        <v>89.4</v>
      </c>
      <c r="X737" s="3">
        <v>98.231290000000001</v>
      </c>
      <c r="Y737" s="3">
        <v>88.897109999999998</v>
      </c>
      <c r="Z737" s="3">
        <v>73.84872</v>
      </c>
      <c r="AA737" s="3">
        <v>65.030280000000005</v>
      </c>
      <c r="AC737" s="3">
        <v>100.2889</v>
      </c>
      <c r="AD737" s="3">
        <v>92.160799999999995</v>
      </c>
      <c r="AE737" s="3">
        <v>92.490939999999995</v>
      </c>
      <c r="AF737" s="3">
        <v>96.8</v>
      </c>
      <c r="AG737" s="3">
        <v>90.337999999999994</v>
      </c>
      <c r="AI737" s="3">
        <v>91.1</v>
      </c>
      <c r="AJ737" s="3">
        <v>92.190340000000006</v>
      </c>
      <c r="AK737" s="3">
        <v>83.840159999999997</v>
      </c>
      <c r="AL737" s="3">
        <v>91.77</v>
      </c>
      <c r="AM737" s="3">
        <v>92.5</v>
      </c>
      <c r="AN737" s="3">
        <v>91.101640000000003</v>
      </c>
      <c r="AO737" s="3">
        <v>90.424090000000007</v>
      </c>
      <c r="AP737" s="3">
        <v>91.819289999999995</v>
      </c>
      <c r="AQ737" s="3">
        <v>92.919809999999998</v>
      </c>
      <c r="AS737" s="3">
        <v>84.271190000000004</v>
      </c>
      <c r="AT737" s="3">
        <v>91.644149999999996</v>
      </c>
      <c r="AU737" s="3">
        <v>93.79</v>
      </c>
      <c r="AV737" s="3">
        <v>96.165310000000005</v>
      </c>
      <c r="AW737" s="3">
        <v>68.162019999999998</v>
      </c>
      <c r="AX737" s="3">
        <v>91.820840000000004</v>
      </c>
      <c r="AY737" s="3">
        <v>76.410210000000006</v>
      </c>
    </row>
    <row r="738" spans="1:51" x14ac:dyDescent="0.2">
      <c r="A738" s="3" t="s">
        <v>635</v>
      </c>
      <c r="B738" s="49">
        <v>40269</v>
      </c>
      <c r="D738" s="3">
        <v>91.761849999999995</v>
      </c>
      <c r="E738" s="3">
        <v>71.863910000000004</v>
      </c>
      <c r="F738" s="3">
        <v>91.651309999999995</v>
      </c>
      <c r="G738" s="3">
        <v>102.6545</v>
      </c>
      <c r="H738" s="3">
        <v>83.993570000000005</v>
      </c>
      <c r="I738" s="3">
        <v>86.492310000000003</v>
      </c>
      <c r="J738" s="3">
        <v>85.075630000000004</v>
      </c>
      <c r="K738" s="3">
        <v>81.578000000000003</v>
      </c>
      <c r="L738" s="3">
        <v>93.1</v>
      </c>
      <c r="M738" s="3">
        <v>93.292060000000006</v>
      </c>
      <c r="N738" s="3">
        <v>93.4</v>
      </c>
      <c r="O738" s="3">
        <v>93.24</v>
      </c>
      <c r="P738" s="3">
        <v>93.737629999999996</v>
      </c>
      <c r="Q738" s="3">
        <v>89.057130000000001</v>
      </c>
      <c r="R738" s="3">
        <v>100.13</v>
      </c>
      <c r="S738" s="3">
        <v>91.919849999999997</v>
      </c>
      <c r="T738" s="3">
        <v>94.81</v>
      </c>
      <c r="U738" s="3">
        <v>85.264570000000006</v>
      </c>
      <c r="V738" s="3">
        <v>92.747960000000006</v>
      </c>
      <c r="W738" s="3">
        <v>89.9</v>
      </c>
      <c r="X738" s="3">
        <v>99.387550000000005</v>
      </c>
      <c r="Y738" s="3">
        <v>89.41525</v>
      </c>
      <c r="Z738" s="3">
        <v>73.961190000000002</v>
      </c>
      <c r="AA738" s="3">
        <v>65.030280000000005</v>
      </c>
      <c r="AC738" s="3">
        <v>100.4691</v>
      </c>
      <c r="AD738" s="3">
        <v>92.864320000000006</v>
      </c>
      <c r="AE738" s="3">
        <v>92.823629999999994</v>
      </c>
      <c r="AF738" s="3">
        <v>96.9</v>
      </c>
      <c r="AG738" s="3">
        <v>90.701999999999998</v>
      </c>
      <c r="AI738" s="3">
        <v>91.37</v>
      </c>
      <c r="AJ738" s="3">
        <v>92.997640000000004</v>
      </c>
      <c r="AK738" s="3">
        <v>83.573009999999996</v>
      </c>
      <c r="AL738" s="3">
        <v>92.08</v>
      </c>
      <c r="AM738" s="3">
        <v>92.7</v>
      </c>
      <c r="AN738" s="3">
        <v>91.347660000000005</v>
      </c>
      <c r="AO738" s="3">
        <v>90.811359999999993</v>
      </c>
      <c r="AP738" s="3">
        <v>92.226299999999995</v>
      </c>
      <c r="AQ738" s="3">
        <v>93.297979999999995</v>
      </c>
      <c r="AS738" s="3">
        <v>84.53725</v>
      </c>
      <c r="AT738" s="3">
        <v>91.950040000000001</v>
      </c>
      <c r="AU738" s="3">
        <v>94.74</v>
      </c>
      <c r="AV738" s="3">
        <v>96.178079999999994</v>
      </c>
      <c r="AW738" s="3">
        <v>68.568790000000007</v>
      </c>
      <c r="AX738" s="3">
        <v>91.980320000000006</v>
      </c>
      <c r="AY738" s="3">
        <v>76.410210000000006</v>
      </c>
    </row>
    <row r="739" spans="1:51" x14ac:dyDescent="0.2">
      <c r="A739" s="3" t="s">
        <v>636</v>
      </c>
      <c r="B739" s="49">
        <v>40299</v>
      </c>
      <c r="D739" s="3">
        <v>92.128540000000001</v>
      </c>
      <c r="E739" s="3">
        <v>72.172939999999997</v>
      </c>
      <c r="F739" s="3">
        <v>91.888339999999999</v>
      </c>
      <c r="G739" s="3">
        <v>102.5485</v>
      </c>
      <c r="H739" s="3">
        <v>84.298649999999995</v>
      </c>
      <c r="I739" s="3">
        <v>86.407759999999996</v>
      </c>
      <c r="J739" s="3">
        <v>85.169139999999999</v>
      </c>
      <c r="K739" s="3">
        <v>81.998949999999994</v>
      </c>
      <c r="L739" s="3">
        <v>93.2</v>
      </c>
      <c r="M739" s="3">
        <v>93.198769999999996</v>
      </c>
      <c r="N739" s="3">
        <v>93.4</v>
      </c>
      <c r="O739" s="3">
        <v>93.35</v>
      </c>
      <c r="P739" s="3">
        <v>93.946209999999994</v>
      </c>
      <c r="Q739" s="3">
        <v>89.210949999999997</v>
      </c>
      <c r="R739" s="3">
        <v>100.28</v>
      </c>
      <c r="S739" s="3">
        <v>91.800349999999995</v>
      </c>
      <c r="T739" s="3">
        <v>94.92</v>
      </c>
      <c r="U739" s="3">
        <v>85.409800000000004</v>
      </c>
      <c r="V739" s="3">
        <v>92.802170000000004</v>
      </c>
      <c r="W739" s="3">
        <v>90.1</v>
      </c>
      <c r="X739" s="3">
        <v>100.181</v>
      </c>
      <c r="Y739" s="3">
        <v>90.229460000000003</v>
      </c>
      <c r="Z739" s="3">
        <v>74.173630000000003</v>
      </c>
      <c r="AA739" s="3">
        <v>65.795349999999999</v>
      </c>
      <c r="AC739" s="3">
        <v>100.9982</v>
      </c>
      <c r="AD739" s="3">
        <v>93.266329999999996</v>
      </c>
      <c r="AE739" s="3">
        <v>92.890169999999998</v>
      </c>
      <c r="AF739" s="3">
        <v>96.8</v>
      </c>
      <c r="AG739" s="3">
        <v>90.793000000000006</v>
      </c>
      <c r="AI739" s="3">
        <v>91.54</v>
      </c>
      <c r="AJ739" s="3">
        <v>92.923919999999995</v>
      </c>
      <c r="AK739" s="3">
        <v>83.046419999999998</v>
      </c>
      <c r="AL739" s="3">
        <v>92.04</v>
      </c>
      <c r="AM739" s="3">
        <v>92.2</v>
      </c>
      <c r="AN739" s="3">
        <v>91.388480000000001</v>
      </c>
      <c r="AO739" s="3">
        <v>90.890360000000001</v>
      </c>
      <c r="AP739" s="3">
        <v>92.470489999999998</v>
      </c>
      <c r="AQ739" s="3">
        <v>93.424369999999996</v>
      </c>
      <c r="AS739" s="3">
        <v>85.002830000000003</v>
      </c>
      <c r="AT739" s="3">
        <v>92.011219999999994</v>
      </c>
      <c r="AU739" s="3">
        <v>95.09</v>
      </c>
      <c r="AV739" s="3">
        <v>96.356800000000007</v>
      </c>
      <c r="AW739" s="3">
        <v>68.3232</v>
      </c>
      <c r="AX739" s="3">
        <v>92.051630000000003</v>
      </c>
      <c r="AY739" s="3">
        <v>76.628209999999996</v>
      </c>
    </row>
    <row r="740" spans="1:51" x14ac:dyDescent="0.2">
      <c r="A740" s="3" t="s">
        <v>637</v>
      </c>
      <c r="B740" s="49">
        <v>40330</v>
      </c>
      <c r="D740" s="3">
        <v>92.118629999999996</v>
      </c>
      <c r="E740" s="3">
        <v>72.172939999999997</v>
      </c>
      <c r="F740" s="3">
        <v>91.809330000000003</v>
      </c>
      <c r="G740" s="3">
        <v>102.10209999999999</v>
      </c>
      <c r="H740" s="3">
        <v>84.298649999999995</v>
      </c>
      <c r="I740" s="3">
        <v>85.886380000000003</v>
      </c>
      <c r="J740" s="3">
        <v>85.262630000000001</v>
      </c>
      <c r="K740" s="3">
        <v>82.197879999999998</v>
      </c>
      <c r="L740" s="3">
        <v>93.2</v>
      </c>
      <c r="M740" s="3">
        <v>93.198769999999996</v>
      </c>
      <c r="N740" s="3">
        <v>93.3</v>
      </c>
      <c r="O740" s="3">
        <v>93.35</v>
      </c>
      <c r="P740" s="3">
        <v>94.113870000000006</v>
      </c>
      <c r="Q740" s="3">
        <v>89.621110000000002</v>
      </c>
      <c r="R740" s="3">
        <v>100.18</v>
      </c>
      <c r="S740" s="3">
        <v>91.892269999999996</v>
      </c>
      <c r="T740" s="3">
        <v>94.91</v>
      </c>
      <c r="U740" s="3">
        <v>85.434550000000002</v>
      </c>
      <c r="V740" s="3">
        <v>92.732050000000001</v>
      </c>
      <c r="W740" s="3">
        <v>90.2</v>
      </c>
      <c r="X740" s="3">
        <v>99.917950000000005</v>
      </c>
      <c r="Y740" s="3">
        <v>90.377489999999995</v>
      </c>
      <c r="Z740" s="3">
        <v>74.892179999999996</v>
      </c>
      <c r="AA740" s="3">
        <v>66.560410000000005</v>
      </c>
      <c r="AC740" s="3">
        <v>100.6067</v>
      </c>
      <c r="AD740" s="3">
        <v>93.567840000000004</v>
      </c>
      <c r="AE740" s="3">
        <v>92.890169999999998</v>
      </c>
      <c r="AF740" s="3">
        <v>96.6</v>
      </c>
      <c r="AG740" s="3">
        <v>90.701999999999998</v>
      </c>
      <c r="AI740" s="3">
        <v>91.53</v>
      </c>
      <c r="AJ740" s="3">
        <v>93.295140000000004</v>
      </c>
      <c r="AK740" s="3">
        <v>83.020409999999998</v>
      </c>
      <c r="AL740" s="3">
        <v>91.6</v>
      </c>
      <c r="AM740" s="3">
        <v>92.1</v>
      </c>
      <c r="AN740" s="3">
        <v>91.324510000000004</v>
      </c>
      <c r="AO740" s="3">
        <v>90.869780000000006</v>
      </c>
      <c r="AP740" s="3">
        <v>92.714690000000004</v>
      </c>
      <c r="AQ740" s="3">
        <v>93.602509999999995</v>
      </c>
      <c r="AS740" s="3">
        <v>85.268879999999996</v>
      </c>
      <c r="AT740" s="3">
        <v>92.011219999999994</v>
      </c>
      <c r="AU740" s="3">
        <v>95.39</v>
      </c>
      <c r="AV740" s="3">
        <v>96.372749999999996</v>
      </c>
      <c r="AW740" s="3">
        <v>67.939449999999994</v>
      </c>
      <c r="AX740" s="3">
        <v>91.961759999999998</v>
      </c>
      <c r="AY740" s="3">
        <v>76.628209999999996</v>
      </c>
    </row>
    <row r="741" spans="1:51" x14ac:dyDescent="0.2">
      <c r="A741" s="3" t="s">
        <v>638</v>
      </c>
      <c r="B741" s="49">
        <v>40360</v>
      </c>
      <c r="D741" s="3">
        <v>92.158270000000002</v>
      </c>
      <c r="E741" s="3">
        <v>72.180139999999994</v>
      </c>
      <c r="F741" s="3">
        <v>92.283379999999994</v>
      </c>
      <c r="G741" s="3">
        <v>101.35599999999999</v>
      </c>
      <c r="H741" s="3">
        <v>84.843419999999995</v>
      </c>
      <c r="I741" s="3">
        <v>86.231620000000007</v>
      </c>
      <c r="J741" s="3">
        <v>85.22757</v>
      </c>
      <c r="K741" s="3">
        <v>82.461110000000005</v>
      </c>
      <c r="L741" s="3">
        <v>93.5</v>
      </c>
      <c r="M741" s="3">
        <v>93.385350000000003</v>
      </c>
      <c r="N741" s="3">
        <v>93.2</v>
      </c>
      <c r="O741" s="3">
        <v>92.95</v>
      </c>
      <c r="P741" s="3">
        <v>93.691730000000007</v>
      </c>
      <c r="Q741" s="3">
        <v>89.877459999999999</v>
      </c>
      <c r="R741" s="3">
        <v>100.27</v>
      </c>
      <c r="S741" s="3">
        <v>91.267210000000006</v>
      </c>
      <c r="T741" s="3">
        <v>94.64</v>
      </c>
      <c r="U741" s="3">
        <v>85.624219999999994</v>
      </c>
      <c r="V741" s="3">
        <v>92.706119999999999</v>
      </c>
      <c r="W741" s="3">
        <v>90</v>
      </c>
      <c r="X741" s="3">
        <v>99.438860000000005</v>
      </c>
      <c r="Y741" s="3">
        <v>90.525540000000007</v>
      </c>
      <c r="Z741" s="3">
        <v>76.066860000000005</v>
      </c>
      <c r="AA741" s="3">
        <v>68.090530000000001</v>
      </c>
      <c r="AC741" s="3">
        <v>100.66160000000001</v>
      </c>
      <c r="AD741" s="3">
        <v>93.969849999999994</v>
      </c>
      <c r="AE741" s="3">
        <v>93.222880000000004</v>
      </c>
      <c r="AF741" s="3">
        <v>96.1</v>
      </c>
      <c r="AG741" s="3">
        <v>90.884</v>
      </c>
      <c r="AI741" s="3">
        <v>91.23</v>
      </c>
      <c r="AJ741" s="3">
        <v>93.483770000000007</v>
      </c>
      <c r="AK741" s="3">
        <v>83.200670000000002</v>
      </c>
      <c r="AL741" s="3">
        <v>91.34</v>
      </c>
      <c r="AM741" s="3">
        <v>91.6</v>
      </c>
      <c r="AN741" s="3">
        <v>91.294640000000001</v>
      </c>
      <c r="AO741" s="3">
        <v>90.760630000000006</v>
      </c>
      <c r="AP741" s="3">
        <v>92.551900000000003</v>
      </c>
      <c r="AQ741" s="3">
        <v>93.761740000000003</v>
      </c>
      <c r="AS741" s="3">
        <v>86.133539999999996</v>
      </c>
      <c r="AT741" s="3">
        <v>92.133570000000006</v>
      </c>
      <c r="AU741" s="3">
        <v>94.68</v>
      </c>
      <c r="AV741" s="3">
        <v>96.075950000000006</v>
      </c>
      <c r="AW741" s="3">
        <v>67.613259999999997</v>
      </c>
      <c r="AX741" s="3">
        <v>91.981160000000003</v>
      </c>
      <c r="AY741" s="3">
        <v>77.064220000000006</v>
      </c>
    </row>
    <row r="742" spans="1:51" x14ac:dyDescent="0.2">
      <c r="A742" s="3" t="s">
        <v>639</v>
      </c>
      <c r="B742" s="49">
        <v>40391</v>
      </c>
      <c r="D742" s="3">
        <v>92.217740000000006</v>
      </c>
      <c r="E742" s="3">
        <v>72.208910000000003</v>
      </c>
      <c r="F742" s="3">
        <v>92.204369999999997</v>
      </c>
      <c r="G742" s="3">
        <v>101.3419</v>
      </c>
      <c r="H742" s="3">
        <v>84.756259999999997</v>
      </c>
      <c r="I742" s="3">
        <v>86.745949999999993</v>
      </c>
      <c r="J742" s="3">
        <v>85.321079999999995</v>
      </c>
      <c r="K742" s="3">
        <v>82.62688</v>
      </c>
      <c r="L742" s="3">
        <v>93.2</v>
      </c>
      <c r="M742" s="3">
        <v>93.478650000000002</v>
      </c>
      <c r="N742" s="3">
        <v>93.6</v>
      </c>
      <c r="O742" s="3">
        <v>93.13</v>
      </c>
      <c r="P742" s="3">
        <v>93.928250000000006</v>
      </c>
      <c r="Q742" s="3">
        <v>89.877459999999999</v>
      </c>
      <c r="R742" s="3">
        <v>99.72</v>
      </c>
      <c r="S742" s="3">
        <v>91.72681</v>
      </c>
      <c r="T742" s="3">
        <v>94.86</v>
      </c>
      <c r="U742" s="3">
        <v>85.820449999999994</v>
      </c>
      <c r="V742" s="3">
        <v>92.849429999999998</v>
      </c>
      <c r="W742" s="3">
        <v>90.4</v>
      </c>
      <c r="X742" s="3">
        <v>98.748620000000003</v>
      </c>
      <c r="Y742" s="3">
        <v>90.007400000000004</v>
      </c>
      <c r="Z742" s="3">
        <v>76.647959999999998</v>
      </c>
      <c r="AA742" s="3">
        <v>68.090530000000001</v>
      </c>
      <c r="AC742" s="3">
        <v>100.32429999999999</v>
      </c>
      <c r="AD742" s="3">
        <v>94.371859999999998</v>
      </c>
      <c r="AE742" s="3">
        <v>93.422499999999999</v>
      </c>
      <c r="AF742" s="3">
        <v>96.2</v>
      </c>
      <c r="AG742" s="3">
        <v>91.34</v>
      </c>
      <c r="AI742" s="3">
        <v>92.21</v>
      </c>
      <c r="AJ742" s="3">
        <v>92.823220000000006</v>
      </c>
      <c r="AK742" s="3">
        <v>83.431759999999997</v>
      </c>
      <c r="AL742" s="3">
        <v>91.48</v>
      </c>
      <c r="AM742" s="3">
        <v>91.4</v>
      </c>
      <c r="AN742" s="3">
        <v>91.428569999999993</v>
      </c>
      <c r="AO742" s="3">
        <v>90.900819999999996</v>
      </c>
      <c r="AP742" s="3">
        <v>92.144890000000004</v>
      </c>
      <c r="AQ742" s="3">
        <v>93.574650000000005</v>
      </c>
      <c r="AS742" s="3">
        <v>86.479410000000001</v>
      </c>
      <c r="AT742" s="3">
        <v>92.011219999999994</v>
      </c>
      <c r="AU742" s="3">
        <v>94.97</v>
      </c>
      <c r="AV742" s="3">
        <v>96.082340000000002</v>
      </c>
      <c r="AW742" s="3">
        <v>67.885720000000006</v>
      </c>
      <c r="AX742" s="3">
        <v>92.108159999999998</v>
      </c>
      <c r="AY742" s="3">
        <v>77.173230000000004</v>
      </c>
    </row>
    <row r="743" spans="1:51" x14ac:dyDescent="0.2">
      <c r="A743" s="3" t="s">
        <v>640</v>
      </c>
      <c r="B743" s="49">
        <v>40422</v>
      </c>
      <c r="D743" s="3">
        <v>92.505139999999997</v>
      </c>
      <c r="E743" s="3">
        <v>72.533720000000002</v>
      </c>
      <c r="F743" s="3">
        <v>92.362390000000005</v>
      </c>
      <c r="G743" s="3">
        <v>101.3185</v>
      </c>
      <c r="H743" s="3">
        <v>85.09402</v>
      </c>
      <c r="I743" s="3">
        <v>87.267330000000001</v>
      </c>
      <c r="J743" s="3">
        <v>85.204189999999997</v>
      </c>
      <c r="K743" s="3">
        <v>82.55856</v>
      </c>
      <c r="L743" s="3">
        <v>93</v>
      </c>
      <c r="M743" s="3">
        <v>93.385350000000003</v>
      </c>
      <c r="N743" s="3">
        <v>93.9</v>
      </c>
      <c r="O743" s="3">
        <v>93.42</v>
      </c>
      <c r="P743" s="3">
        <v>93.993120000000005</v>
      </c>
      <c r="Q743" s="3">
        <v>90.646519999999995</v>
      </c>
      <c r="R743" s="3">
        <v>99.78</v>
      </c>
      <c r="S743" s="3">
        <v>92.232380000000006</v>
      </c>
      <c r="T743" s="3">
        <v>94.79</v>
      </c>
      <c r="U743" s="3">
        <v>86.103070000000002</v>
      </c>
      <c r="V743" s="3">
        <v>92.884029999999996</v>
      </c>
      <c r="W743" s="3">
        <v>90.4</v>
      </c>
      <c r="X743" s="3">
        <v>100.6499</v>
      </c>
      <c r="Y743" s="3">
        <v>89.859359999999995</v>
      </c>
      <c r="Z743" s="3">
        <v>76.985370000000003</v>
      </c>
      <c r="AA743" s="3">
        <v>68.473060000000004</v>
      </c>
      <c r="AC743" s="3">
        <v>100.6567</v>
      </c>
      <c r="AD743" s="3">
        <v>94.673370000000006</v>
      </c>
      <c r="AE743" s="3">
        <v>93.222880000000004</v>
      </c>
      <c r="AF743" s="3">
        <v>96.4</v>
      </c>
      <c r="AG743" s="3">
        <v>92.067999999999998</v>
      </c>
      <c r="AI743" s="3">
        <v>92.24</v>
      </c>
      <c r="AJ743" s="3">
        <v>93.239710000000002</v>
      </c>
      <c r="AK743" s="3">
        <v>83.869110000000006</v>
      </c>
      <c r="AL743" s="3">
        <v>92.05</v>
      </c>
      <c r="AM743" s="3">
        <v>92</v>
      </c>
      <c r="AN743" s="3">
        <v>91.570139999999995</v>
      </c>
      <c r="AO743" s="3">
        <v>91.054169999999999</v>
      </c>
      <c r="AP743" s="3">
        <v>92.714690000000004</v>
      </c>
      <c r="AQ743" s="3">
        <v>93.745819999999995</v>
      </c>
      <c r="AS743" s="3">
        <v>86.998199999999997</v>
      </c>
      <c r="AT743" s="3">
        <v>92.011219999999994</v>
      </c>
      <c r="AU743" s="3">
        <v>94.49</v>
      </c>
      <c r="AV743" s="3">
        <v>96.892939999999996</v>
      </c>
      <c r="AW743" s="3">
        <v>68.718459999999993</v>
      </c>
      <c r="AX743" s="3">
        <v>92.161739999999995</v>
      </c>
      <c r="AY743" s="3">
        <v>77.282229999999998</v>
      </c>
    </row>
    <row r="744" spans="1:51" x14ac:dyDescent="0.2">
      <c r="A744" s="3" t="s">
        <v>641</v>
      </c>
      <c r="B744" s="49">
        <v>40452</v>
      </c>
      <c r="D744" s="3">
        <v>92.633979999999994</v>
      </c>
      <c r="E744" s="3">
        <v>73.077799999999996</v>
      </c>
      <c r="F744" s="3">
        <v>92.757440000000003</v>
      </c>
      <c r="G744" s="3">
        <v>101.85769999999999</v>
      </c>
      <c r="H744" s="3">
        <v>85.181179999999998</v>
      </c>
      <c r="I744" s="3">
        <v>87.880300000000005</v>
      </c>
      <c r="J744" s="3">
        <v>85.134069999999994</v>
      </c>
      <c r="K744" s="3">
        <v>82.949380000000005</v>
      </c>
      <c r="L744" s="3">
        <v>92.8</v>
      </c>
      <c r="M744" s="3">
        <v>93.478650000000002</v>
      </c>
      <c r="N744" s="3">
        <v>93.8</v>
      </c>
      <c r="O744" s="3">
        <v>93.71</v>
      </c>
      <c r="P744" s="3">
        <v>94.852369999999993</v>
      </c>
      <c r="Q744" s="3">
        <v>91.159229999999994</v>
      </c>
      <c r="R744" s="3">
        <v>100.13</v>
      </c>
      <c r="S744" s="3">
        <v>92.600049999999996</v>
      </c>
      <c r="T744" s="3">
        <v>94.91</v>
      </c>
      <c r="U744" s="3">
        <v>86.456299999999999</v>
      </c>
      <c r="V744" s="3">
        <v>93.042270000000002</v>
      </c>
      <c r="W744" s="3">
        <v>90.6</v>
      </c>
      <c r="X744" s="3">
        <v>100.8095</v>
      </c>
      <c r="Y744" s="3">
        <v>90.229460000000003</v>
      </c>
      <c r="Z744" s="3">
        <v>77.035349999999994</v>
      </c>
      <c r="AA744" s="3">
        <v>69.238129999999998</v>
      </c>
      <c r="AC744" s="3">
        <v>100.0573</v>
      </c>
      <c r="AD744" s="3">
        <v>94.974879999999999</v>
      </c>
      <c r="AE744" s="3">
        <v>93.422499999999999</v>
      </c>
      <c r="AF744" s="3">
        <v>96.7</v>
      </c>
      <c r="AG744" s="3">
        <v>92.067999999999998</v>
      </c>
      <c r="AI744" s="3">
        <v>92.34</v>
      </c>
      <c r="AJ744" s="3">
        <v>93.591229999999996</v>
      </c>
      <c r="AK744" s="3">
        <v>84.386849999999995</v>
      </c>
      <c r="AL744" s="3">
        <v>92.13</v>
      </c>
      <c r="AM744" s="3">
        <v>92.1</v>
      </c>
      <c r="AN744" s="3">
        <v>91.811070000000001</v>
      </c>
      <c r="AO744" s="3">
        <v>91.380679999999998</v>
      </c>
      <c r="AP744" s="3">
        <v>93.203090000000003</v>
      </c>
      <c r="AQ744" s="3">
        <v>94.145880000000005</v>
      </c>
      <c r="AS744" s="3">
        <v>87.463790000000003</v>
      </c>
      <c r="AT744" s="3">
        <v>92.011219999999994</v>
      </c>
      <c r="AU744" s="3">
        <v>94.54</v>
      </c>
      <c r="AV744" s="3">
        <v>97.202510000000004</v>
      </c>
      <c r="AW744" s="3">
        <v>69.977170000000001</v>
      </c>
      <c r="AX744" s="3">
        <v>92.276499999999999</v>
      </c>
      <c r="AY744" s="3">
        <v>77.391229999999993</v>
      </c>
    </row>
    <row r="745" spans="1:51" x14ac:dyDescent="0.2">
      <c r="A745" s="3" t="s">
        <v>642</v>
      </c>
      <c r="B745" s="49">
        <v>40483</v>
      </c>
      <c r="D745" s="3">
        <v>92.75291</v>
      </c>
      <c r="E745" s="3">
        <v>73.684269999999998</v>
      </c>
      <c r="F745" s="3">
        <v>92.836449999999999</v>
      </c>
      <c r="G745" s="3">
        <v>102.1022</v>
      </c>
      <c r="H745" s="3">
        <v>85.235659999999996</v>
      </c>
      <c r="I745" s="3">
        <v>88.845550000000003</v>
      </c>
      <c r="J745" s="3">
        <v>85.297700000000006</v>
      </c>
      <c r="K745" s="3">
        <v>83.493920000000003</v>
      </c>
      <c r="L745" s="3">
        <v>93</v>
      </c>
      <c r="M745" s="3">
        <v>93.571939999999998</v>
      </c>
      <c r="N745" s="3">
        <v>93.9</v>
      </c>
      <c r="O745" s="3">
        <v>93.79</v>
      </c>
      <c r="P745" s="3">
        <v>95.366330000000005</v>
      </c>
      <c r="Q745" s="3">
        <v>91.466849999999994</v>
      </c>
      <c r="R745" s="3">
        <v>100.09</v>
      </c>
      <c r="S745" s="3">
        <v>92.829849999999993</v>
      </c>
      <c r="T745" s="3">
        <v>95.02</v>
      </c>
      <c r="U745" s="3">
        <v>86.70599</v>
      </c>
      <c r="V745" s="3">
        <v>93.067670000000007</v>
      </c>
      <c r="W745" s="3">
        <v>90.9</v>
      </c>
      <c r="X745" s="3">
        <v>101.0311</v>
      </c>
      <c r="Y745" s="3">
        <v>90.525540000000007</v>
      </c>
      <c r="Z745" s="3">
        <v>77.497730000000004</v>
      </c>
      <c r="AA745" s="3">
        <v>69.620660000000001</v>
      </c>
      <c r="AC745" s="3">
        <v>100.74720000000001</v>
      </c>
      <c r="AD745" s="3">
        <v>94.974879999999999</v>
      </c>
      <c r="AE745" s="3">
        <v>93.422499999999999</v>
      </c>
      <c r="AF745" s="3">
        <v>96.4</v>
      </c>
      <c r="AG745" s="3">
        <v>91.613</v>
      </c>
      <c r="AI745" s="3">
        <v>92.47</v>
      </c>
      <c r="AJ745" s="3">
        <v>93.809439999999995</v>
      </c>
      <c r="AK745" s="3">
        <v>85.062970000000007</v>
      </c>
      <c r="AL745" s="3">
        <v>92.02</v>
      </c>
      <c r="AM745" s="3">
        <v>92.3</v>
      </c>
      <c r="AN745" s="3">
        <v>91.875460000000004</v>
      </c>
      <c r="AO745" s="3">
        <v>91.526929999999993</v>
      </c>
      <c r="AP745" s="3">
        <v>93.284490000000005</v>
      </c>
      <c r="AQ745" s="3">
        <v>94.311080000000004</v>
      </c>
      <c r="AS745" s="3">
        <v>87.729839999999996</v>
      </c>
      <c r="AT745" s="3">
        <v>92.255930000000006</v>
      </c>
      <c r="AU745" s="3">
        <v>94.83</v>
      </c>
      <c r="AV745" s="3">
        <v>97.524829999999994</v>
      </c>
      <c r="AW745" s="3">
        <v>69.996350000000007</v>
      </c>
      <c r="AX745" s="3">
        <v>92.31532</v>
      </c>
      <c r="AY745" s="3">
        <v>77.500230000000002</v>
      </c>
    </row>
    <row r="746" spans="1:51" x14ac:dyDescent="0.2">
      <c r="A746" s="3" t="s">
        <v>643</v>
      </c>
      <c r="B746" s="49">
        <v>40513</v>
      </c>
      <c r="D746" s="3">
        <v>93.119600000000005</v>
      </c>
      <c r="E746" s="3">
        <v>74.148529999999994</v>
      </c>
      <c r="F746" s="3">
        <v>92.836449999999999</v>
      </c>
      <c r="G746" s="3">
        <v>102.1384</v>
      </c>
      <c r="H746" s="3">
        <v>85.344620000000006</v>
      </c>
      <c r="I746" s="3">
        <v>89.289429999999996</v>
      </c>
      <c r="J746" s="3">
        <v>85.858710000000002</v>
      </c>
      <c r="K746" s="3">
        <v>84.113810000000001</v>
      </c>
      <c r="L746" s="3">
        <v>93.5</v>
      </c>
      <c r="M746" s="3">
        <v>94.131690000000006</v>
      </c>
      <c r="N746" s="3">
        <v>94</v>
      </c>
      <c r="O746" s="3">
        <v>94.36</v>
      </c>
      <c r="P746" s="3">
        <v>95.953130000000002</v>
      </c>
      <c r="Q746" s="3">
        <v>91.979560000000006</v>
      </c>
      <c r="R746" s="3">
        <v>99.9</v>
      </c>
      <c r="S746" s="3">
        <v>93.215909999999994</v>
      </c>
      <c r="T746" s="3">
        <v>95.45</v>
      </c>
      <c r="U746" s="3">
        <v>87.134129999999999</v>
      </c>
      <c r="V746" s="3">
        <v>93.287379999999999</v>
      </c>
      <c r="W746" s="3">
        <v>91.7</v>
      </c>
      <c r="X746" s="3">
        <v>101.4432</v>
      </c>
      <c r="Y746" s="3">
        <v>90.895629999999997</v>
      </c>
      <c r="Z746" s="3">
        <v>78.210030000000003</v>
      </c>
      <c r="AA746" s="3">
        <v>70.768249999999995</v>
      </c>
      <c r="AC746" s="3">
        <v>101.1153</v>
      </c>
      <c r="AD746" s="3">
        <v>95.47739</v>
      </c>
      <c r="AE746" s="3">
        <v>93.755200000000002</v>
      </c>
      <c r="AF746" s="3">
        <v>96.2</v>
      </c>
      <c r="AG746" s="3">
        <v>91.977000000000004</v>
      </c>
      <c r="AI746" s="3">
        <v>92.76</v>
      </c>
      <c r="AJ746" s="3">
        <v>93.939830000000001</v>
      </c>
      <c r="AK746" s="3">
        <v>85.484369999999998</v>
      </c>
      <c r="AL746" s="3">
        <v>91.82</v>
      </c>
      <c r="AM746" s="3">
        <v>93.3</v>
      </c>
      <c r="AN746" s="3">
        <v>92.116050000000001</v>
      </c>
      <c r="AO746" s="3">
        <v>91.947860000000006</v>
      </c>
      <c r="AP746" s="3">
        <v>93.691490000000002</v>
      </c>
      <c r="AQ746" s="3">
        <v>94.58775</v>
      </c>
      <c r="AS746" s="3">
        <v>87.796350000000004</v>
      </c>
      <c r="AT746" s="3">
        <v>92.500640000000004</v>
      </c>
      <c r="AU746" s="3">
        <v>94.9</v>
      </c>
      <c r="AV746" s="3">
        <v>98.210980000000006</v>
      </c>
      <c r="AW746" s="3">
        <v>69.785290000000003</v>
      </c>
      <c r="AX746" s="3">
        <v>92.473960000000005</v>
      </c>
      <c r="AY746" s="3">
        <v>77.609229999999997</v>
      </c>
    </row>
    <row r="747" spans="1:51" x14ac:dyDescent="0.2">
      <c r="A747" s="3" t="s">
        <v>644</v>
      </c>
      <c r="B747" s="49">
        <v>40544</v>
      </c>
      <c r="D747" s="3">
        <v>93.644850000000005</v>
      </c>
      <c r="E747" s="3">
        <v>74.764060000000001</v>
      </c>
      <c r="F747" s="3">
        <v>93.073480000000004</v>
      </c>
      <c r="G747" s="3">
        <v>101.78019999999999</v>
      </c>
      <c r="H747" s="3">
        <v>85.573430000000002</v>
      </c>
      <c r="I747" s="3">
        <v>90.184229999999999</v>
      </c>
      <c r="J747" s="3">
        <v>86.630110000000002</v>
      </c>
      <c r="K747" s="3">
        <v>84.682460000000006</v>
      </c>
      <c r="L747" s="3">
        <v>94.1</v>
      </c>
      <c r="M747" s="3">
        <v>93.94511</v>
      </c>
      <c r="N747" s="3">
        <v>94.1</v>
      </c>
      <c r="O747" s="3">
        <v>93.69</v>
      </c>
      <c r="P747" s="3">
        <v>95.250559999999993</v>
      </c>
      <c r="Q747" s="3">
        <v>91.928290000000004</v>
      </c>
      <c r="R747" s="3">
        <v>99.79</v>
      </c>
      <c r="S747" s="3">
        <v>93.556020000000004</v>
      </c>
      <c r="T747" s="3">
        <v>95.22</v>
      </c>
      <c r="U747" s="3">
        <v>87.583759999999998</v>
      </c>
      <c r="V747" s="3">
        <v>93.526679999999999</v>
      </c>
      <c r="W747" s="3">
        <v>91.8</v>
      </c>
      <c r="X747" s="3">
        <v>100.72199999999999</v>
      </c>
      <c r="Y747" s="3">
        <v>91.561809999999994</v>
      </c>
      <c r="Z747" s="3">
        <v>78.909840000000003</v>
      </c>
      <c r="AA747" s="3">
        <v>71.915840000000003</v>
      </c>
      <c r="AC747" s="3">
        <v>101.32089999999999</v>
      </c>
      <c r="AD747" s="3">
        <v>95.577889999999996</v>
      </c>
      <c r="AE747" s="3">
        <v>94.139529999999993</v>
      </c>
      <c r="AF747" s="3">
        <v>96.1</v>
      </c>
      <c r="AG747" s="3">
        <v>93.07</v>
      </c>
      <c r="AI747" s="3">
        <v>92.35</v>
      </c>
      <c r="AJ747" s="3">
        <v>95.148929999999993</v>
      </c>
      <c r="AK747" s="3">
        <v>85.900819999999996</v>
      </c>
      <c r="AL747" s="3">
        <v>91.72</v>
      </c>
      <c r="AM747" s="3">
        <v>92.7</v>
      </c>
      <c r="AN747" s="3">
        <v>92.388120000000001</v>
      </c>
      <c r="AO747" s="3">
        <v>91.982420000000005</v>
      </c>
      <c r="AP747" s="3">
        <v>94.831090000000003</v>
      </c>
      <c r="AQ747" s="3">
        <v>95.13212</v>
      </c>
      <c r="AS747" s="3">
        <v>89.483999999999995</v>
      </c>
      <c r="AT747" s="3">
        <v>94.274789999999996</v>
      </c>
      <c r="AU747" s="3">
        <v>94.12</v>
      </c>
      <c r="AV747" s="3">
        <v>97.703550000000007</v>
      </c>
      <c r="AW747" s="3">
        <v>70.073099999999997</v>
      </c>
      <c r="AX747" s="3">
        <v>92.914429999999996</v>
      </c>
      <c r="AY747" s="3">
        <v>78.045230000000004</v>
      </c>
    </row>
    <row r="748" spans="1:51" x14ac:dyDescent="0.2">
      <c r="A748" s="3" t="s">
        <v>645</v>
      </c>
      <c r="B748" s="49">
        <v>40575</v>
      </c>
      <c r="D748" s="3">
        <v>94.189930000000004</v>
      </c>
      <c r="E748" s="3">
        <v>75.362179999999995</v>
      </c>
      <c r="F748" s="3">
        <v>93.310509999999994</v>
      </c>
      <c r="G748" s="3">
        <v>102.1639</v>
      </c>
      <c r="H748" s="3">
        <v>85.769540000000006</v>
      </c>
      <c r="I748" s="3">
        <v>91.33717</v>
      </c>
      <c r="J748" s="3">
        <v>87.156059999999997</v>
      </c>
      <c r="K748" s="3">
        <v>85.052180000000007</v>
      </c>
      <c r="L748" s="3">
        <v>94.2</v>
      </c>
      <c r="M748" s="3">
        <v>94.504859999999994</v>
      </c>
      <c r="N748" s="3">
        <v>95.2</v>
      </c>
      <c r="O748" s="3">
        <v>94.08</v>
      </c>
      <c r="P748" s="3">
        <v>95.371319999999997</v>
      </c>
      <c r="Q748" s="3">
        <v>92.543539999999993</v>
      </c>
      <c r="R748" s="3">
        <v>98.46</v>
      </c>
      <c r="S748" s="3">
        <v>94.125919999999994</v>
      </c>
      <c r="T748" s="3">
        <v>95.67</v>
      </c>
      <c r="U748" s="3">
        <v>87.917670000000001</v>
      </c>
      <c r="V748" s="3">
        <v>93.919359999999998</v>
      </c>
      <c r="W748" s="3">
        <v>92.3</v>
      </c>
      <c r="X748" s="3">
        <v>99.411670000000001</v>
      </c>
      <c r="Y748" s="3">
        <v>91.931899999999999</v>
      </c>
      <c r="Z748" s="3">
        <v>79.016069999999999</v>
      </c>
      <c r="AA748" s="3">
        <v>70.768249999999995</v>
      </c>
      <c r="AC748" s="3">
        <v>101.7354</v>
      </c>
      <c r="AD748" s="3">
        <v>95.879390000000001</v>
      </c>
      <c r="AE748" s="3">
        <v>94.418599999999998</v>
      </c>
      <c r="AF748" s="3">
        <v>96.1</v>
      </c>
      <c r="AG748" s="3">
        <v>93.706999999999994</v>
      </c>
      <c r="AI748" s="3">
        <v>93.82</v>
      </c>
      <c r="AJ748" s="3">
        <v>95.413700000000006</v>
      </c>
      <c r="AK748" s="3">
        <v>86.223070000000007</v>
      </c>
      <c r="AL748" s="3">
        <v>92.41</v>
      </c>
      <c r="AM748" s="3">
        <v>93.1</v>
      </c>
      <c r="AN748" s="3">
        <v>92.764359999999996</v>
      </c>
      <c r="AO748" s="3">
        <v>92.380830000000003</v>
      </c>
      <c r="AP748" s="3">
        <v>94.993899999999996</v>
      </c>
      <c r="AQ748" s="3">
        <v>95.127139999999997</v>
      </c>
      <c r="AS748" s="3">
        <v>89.773910000000001</v>
      </c>
      <c r="AT748" s="3">
        <v>94.580680000000001</v>
      </c>
      <c r="AU748" s="3">
        <v>94.1</v>
      </c>
      <c r="AV748" s="3">
        <v>98.300330000000002</v>
      </c>
      <c r="AW748" s="3">
        <v>70.583500000000001</v>
      </c>
      <c r="AX748" s="3">
        <v>93.372630000000001</v>
      </c>
      <c r="AY748" s="3">
        <v>78.48124</v>
      </c>
    </row>
    <row r="749" spans="1:51" x14ac:dyDescent="0.2">
      <c r="A749" s="3" t="s">
        <v>646</v>
      </c>
      <c r="B749" s="49">
        <v>40603</v>
      </c>
      <c r="D749" s="3">
        <v>94.665639999999996</v>
      </c>
      <c r="E749" s="3">
        <v>75.957530000000006</v>
      </c>
      <c r="F749" s="3">
        <v>94.337630000000004</v>
      </c>
      <c r="G749" s="3">
        <v>102.8068</v>
      </c>
      <c r="H749" s="3">
        <v>86.423270000000002</v>
      </c>
      <c r="I749" s="3">
        <v>91.153829999999999</v>
      </c>
      <c r="J749" s="3">
        <v>87.38982</v>
      </c>
      <c r="K749" s="3">
        <v>85.266170000000002</v>
      </c>
      <c r="L749" s="3">
        <v>94.3</v>
      </c>
      <c r="M749" s="3">
        <v>95.064610000000002</v>
      </c>
      <c r="N749" s="3">
        <v>95.8</v>
      </c>
      <c r="O749" s="3">
        <v>95.35</v>
      </c>
      <c r="P749" s="3">
        <v>96.084869999999995</v>
      </c>
      <c r="Q749" s="3">
        <v>93.261330000000001</v>
      </c>
      <c r="R749" s="3">
        <v>99</v>
      </c>
      <c r="S749" s="3">
        <v>94.64067</v>
      </c>
      <c r="T749" s="3">
        <v>96.45</v>
      </c>
      <c r="U749" s="3">
        <v>88.470519999999993</v>
      </c>
      <c r="V749" s="3">
        <v>94.629019999999997</v>
      </c>
      <c r="W749" s="3">
        <v>92.6</v>
      </c>
      <c r="X749" s="3">
        <v>102.6516</v>
      </c>
      <c r="Y749" s="3">
        <v>92.968170000000001</v>
      </c>
      <c r="Z749" s="3">
        <v>78.759879999999995</v>
      </c>
      <c r="AA749" s="3">
        <v>70.768249999999995</v>
      </c>
      <c r="AC749" s="3">
        <v>101.9228</v>
      </c>
      <c r="AD749" s="3">
        <v>96.080399999999997</v>
      </c>
      <c r="AE749" s="3">
        <v>94.790700000000001</v>
      </c>
      <c r="AF749" s="3">
        <v>96.3</v>
      </c>
      <c r="AG749" s="3">
        <v>94.072000000000003</v>
      </c>
      <c r="AI749" s="3">
        <v>94.5</v>
      </c>
      <c r="AJ749" s="3">
        <v>96.092579999999998</v>
      </c>
      <c r="AK749" s="3">
        <v>86.388480000000001</v>
      </c>
      <c r="AL749" s="3">
        <v>93.46</v>
      </c>
      <c r="AM749" s="3">
        <v>93.4</v>
      </c>
      <c r="AN749" s="3">
        <v>93.429760000000002</v>
      </c>
      <c r="AO749" s="3">
        <v>93.010760000000005</v>
      </c>
      <c r="AP749" s="3">
        <v>95.889300000000006</v>
      </c>
      <c r="AQ749" s="3">
        <v>96.657740000000004</v>
      </c>
      <c r="AS749" s="3">
        <v>89.967179999999999</v>
      </c>
      <c r="AT749" s="3">
        <v>94.947749999999999</v>
      </c>
      <c r="AU749" s="3">
        <v>95.59</v>
      </c>
      <c r="AV749" s="3">
        <v>98.967330000000004</v>
      </c>
      <c r="AW749" s="3">
        <v>70.878979999999999</v>
      </c>
      <c r="AX749" s="3">
        <v>94.283109999999994</v>
      </c>
      <c r="AY749" s="3">
        <v>79.462260000000001</v>
      </c>
    </row>
    <row r="750" spans="1:51" x14ac:dyDescent="0.2">
      <c r="A750" s="3" t="s">
        <v>647</v>
      </c>
      <c r="B750" s="49">
        <v>40634</v>
      </c>
      <c r="D750" s="3">
        <v>94.893590000000003</v>
      </c>
      <c r="E750" s="3">
        <v>76.542429999999996</v>
      </c>
      <c r="F750" s="3">
        <v>94.653670000000005</v>
      </c>
      <c r="G750" s="3">
        <v>102.9203</v>
      </c>
      <c r="H750" s="3">
        <v>86.695660000000004</v>
      </c>
      <c r="I750" s="3">
        <v>91.245500000000007</v>
      </c>
      <c r="J750" s="3">
        <v>87.495009999999994</v>
      </c>
      <c r="K750" s="3">
        <v>85.397790000000001</v>
      </c>
      <c r="L750" s="3">
        <v>94.5</v>
      </c>
      <c r="M750" s="3">
        <v>95.064610000000002</v>
      </c>
      <c r="N750" s="3">
        <v>96.2</v>
      </c>
      <c r="O750" s="3">
        <v>95.89</v>
      </c>
      <c r="P750" s="3">
        <v>97.280439999999999</v>
      </c>
      <c r="Q750" s="3">
        <v>93.876570000000001</v>
      </c>
      <c r="R750" s="3">
        <v>100.01</v>
      </c>
      <c r="S750" s="3">
        <v>94.824510000000004</v>
      </c>
      <c r="T750" s="3">
        <v>96.78</v>
      </c>
      <c r="U750" s="3">
        <v>88.893649999999994</v>
      </c>
      <c r="V750" s="3">
        <v>95.100719999999995</v>
      </c>
      <c r="W750" s="3">
        <v>93.3</v>
      </c>
      <c r="X750" s="3">
        <v>103.2919</v>
      </c>
      <c r="Y750" s="3">
        <v>93.560329999999993</v>
      </c>
      <c r="Z750" s="3">
        <v>78.516199999999998</v>
      </c>
      <c r="AA750" s="3">
        <v>71.150779999999997</v>
      </c>
      <c r="AC750" s="3">
        <v>101.6067</v>
      </c>
      <c r="AD750" s="3">
        <v>96.582920000000001</v>
      </c>
      <c r="AE750" s="3">
        <v>95.255809999999997</v>
      </c>
      <c r="AF750" s="3">
        <v>96.5</v>
      </c>
      <c r="AG750" s="3">
        <v>94.162999999999997</v>
      </c>
      <c r="AI750" s="3">
        <v>94.78</v>
      </c>
      <c r="AJ750" s="3">
        <v>97.189819999999997</v>
      </c>
      <c r="AK750" s="3">
        <v>86.381619999999998</v>
      </c>
      <c r="AL750" s="3">
        <v>93.96</v>
      </c>
      <c r="AM750" s="3">
        <v>93.9</v>
      </c>
      <c r="AN750" s="3">
        <v>93.894180000000006</v>
      </c>
      <c r="AO750" s="3">
        <v>93.472719999999995</v>
      </c>
      <c r="AP750" s="3">
        <v>96.377690000000001</v>
      </c>
      <c r="AQ750" s="3">
        <v>97.064769999999996</v>
      </c>
      <c r="AS750" s="3">
        <v>90.257090000000005</v>
      </c>
      <c r="AT750" s="3">
        <v>95.375979999999998</v>
      </c>
      <c r="AU750" s="3">
        <v>96.35</v>
      </c>
      <c r="AV750" s="3">
        <v>99.391779999999997</v>
      </c>
      <c r="AW750" s="3">
        <v>71.492990000000006</v>
      </c>
      <c r="AX750" s="3">
        <v>94.890240000000006</v>
      </c>
      <c r="AY750" s="3">
        <v>79.680260000000004</v>
      </c>
    </row>
    <row r="751" spans="1:51" x14ac:dyDescent="0.2">
      <c r="A751" s="3" t="s">
        <v>648</v>
      </c>
      <c r="B751" s="49">
        <v>40664</v>
      </c>
      <c r="D751" s="3">
        <v>95.210719999999995</v>
      </c>
      <c r="E751" s="3">
        <v>76.902280000000005</v>
      </c>
      <c r="F751" s="3">
        <v>95.285749999999993</v>
      </c>
      <c r="G751" s="3">
        <v>102.9269</v>
      </c>
      <c r="H751" s="3">
        <v>87.044319999999999</v>
      </c>
      <c r="I751" s="3">
        <v>91.33717</v>
      </c>
      <c r="J751" s="3">
        <v>87.740459999999999</v>
      </c>
      <c r="K751" s="3">
        <v>85.971459999999993</v>
      </c>
      <c r="L751" s="3">
        <v>95</v>
      </c>
      <c r="M751" s="3">
        <v>95.064610000000002</v>
      </c>
      <c r="N751" s="3">
        <v>96.3</v>
      </c>
      <c r="O751" s="3">
        <v>95.9</v>
      </c>
      <c r="P751" s="3">
        <v>97.247510000000005</v>
      </c>
      <c r="Q751" s="3">
        <v>94.030389999999997</v>
      </c>
      <c r="R751" s="3">
        <v>100.42</v>
      </c>
      <c r="S751" s="3">
        <v>94.870469999999997</v>
      </c>
      <c r="T751" s="3">
        <v>96.83</v>
      </c>
      <c r="U751" s="3">
        <v>89.149540000000002</v>
      </c>
      <c r="V751" s="3">
        <v>95.381870000000006</v>
      </c>
      <c r="W751" s="3">
        <v>93.5</v>
      </c>
      <c r="X751" s="3">
        <v>103.4764</v>
      </c>
      <c r="Y751" s="3">
        <v>93.782390000000007</v>
      </c>
      <c r="Z751" s="3">
        <v>78.609920000000002</v>
      </c>
      <c r="AA751" s="3">
        <v>71.53331</v>
      </c>
      <c r="AC751" s="3">
        <v>101.9665</v>
      </c>
      <c r="AD751" s="3">
        <v>97.085430000000002</v>
      </c>
      <c r="AE751" s="3">
        <v>95.348839999999996</v>
      </c>
      <c r="AF751" s="3">
        <v>96.4</v>
      </c>
      <c r="AG751" s="3">
        <v>94.344999999999999</v>
      </c>
      <c r="AI751" s="3">
        <v>94.83</v>
      </c>
      <c r="AJ751" s="3">
        <v>97.536869999999993</v>
      </c>
      <c r="AK751" s="3">
        <v>85.744829999999993</v>
      </c>
      <c r="AL751" s="3">
        <v>94.03</v>
      </c>
      <c r="AM751" s="3">
        <v>93.7</v>
      </c>
      <c r="AN751" s="3">
        <v>94.161540000000002</v>
      </c>
      <c r="AO751" s="3">
        <v>93.731859999999998</v>
      </c>
      <c r="AP751" s="3">
        <v>96.947490000000002</v>
      </c>
      <c r="AQ751" s="3">
        <v>97.015010000000004</v>
      </c>
      <c r="AS751" s="3">
        <v>90.353719999999996</v>
      </c>
      <c r="AT751" s="3">
        <v>95.681880000000007</v>
      </c>
      <c r="AU751" s="3">
        <v>97.15</v>
      </c>
      <c r="AV751" s="3">
        <v>99.576880000000003</v>
      </c>
      <c r="AW751" s="3">
        <v>73.223709999999997</v>
      </c>
      <c r="AX751" s="3">
        <v>95.336619999999996</v>
      </c>
      <c r="AY751" s="3">
        <v>80.11627</v>
      </c>
    </row>
    <row r="752" spans="1:51" x14ac:dyDescent="0.2">
      <c r="A752" s="3" t="s">
        <v>649</v>
      </c>
      <c r="B752" s="49">
        <v>40695</v>
      </c>
      <c r="D752" s="3">
        <v>95.508039999999994</v>
      </c>
      <c r="E752" s="3">
        <v>77.017589999999998</v>
      </c>
      <c r="F752" s="3">
        <v>94.653670000000005</v>
      </c>
      <c r="G752" s="3">
        <v>102.6782</v>
      </c>
      <c r="H752" s="3">
        <v>87.196849999999998</v>
      </c>
      <c r="I752" s="3">
        <v>91.612170000000006</v>
      </c>
      <c r="J752" s="3">
        <v>88.020960000000002</v>
      </c>
      <c r="K752" s="3">
        <v>86.452699999999993</v>
      </c>
      <c r="L752" s="3">
        <v>94.9</v>
      </c>
      <c r="M752" s="3">
        <v>95.157910000000001</v>
      </c>
      <c r="N752" s="3">
        <v>96.1</v>
      </c>
      <c r="O752" s="3">
        <v>95.89</v>
      </c>
      <c r="P752" s="3">
        <v>97.110789999999994</v>
      </c>
      <c r="Q752" s="3">
        <v>94.030389999999997</v>
      </c>
      <c r="R752" s="3">
        <v>100.7</v>
      </c>
      <c r="S752" s="3">
        <v>95.146230000000003</v>
      </c>
      <c r="T752" s="3">
        <v>96.91</v>
      </c>
      <c r="U752" s="3">
        <v>89.210880000000003</v>
      </c>
      <c r="V752" s="3">
        <v>95.307779999999994</v>
      </c>
      <c r="W752" s="3">
        <v>93.5</v>
      </c>
      <c r="X752" s="3">
        <v>103.254</v>
      </c>
      <c r="Y752" s="3">
        <v>93.560329999999993</v>
      </c>
      <c r="Z752" s="3">
        <v>79.041049999999998</v>
      </c>
      <c r="AA752" s="3">
        <v>72.298379999999995</v>
      </c>
      <c r="AC752" s="3">
        <v>102.45699999999999</v>
      </c>
      <c r="AD752" s="3">
        <v>97.487430000000003</v>
      </c>
      <c r="AE752" s="3">
        <v>95.441860000000005</v>
      </c>
      <c r="AF752" s="3">
        <v>96.3</v>
      </c>
      <c r="AG752" s="3">
        <v>94.527000000000001</v>
      </c>
      <c r="AI752" s="3">
        <v>94.75</v>
      </c>
      <c r="AJ752" s="3">
        <v>97.786779999999993</v>
      </c>
      <c r="AK752" s="3">
        <v>85.740549999999999</v>
      </c>
      <c r="AL752" s="3">
        <v>93.57</v>
      </c>
      <c r="AM752" s="3">
        <v>93.4</v>
      </c>
      <c r="AN752" s="3">
        <v>94.06071</v>
      </c>
      <c r="AO752" s="3">
        <v>93.610309999999998</v>
      </c>
      <c r="AP752" s="3">
        <v>96.540499999999994</v>
      </c>
      <c r="AQ752" s="3">
        <v>96.790099999999995</v>
      </c>
      <c r="AS752" s="3">
        <v>90.643619999999999</v>
      </c>
      <c r="AT752" s="3">
        <v>95.620699999999999</v>
      </c>
      <c r="AU752" s="3">
        <v>96.66</v>
      </c>
      <c r="AV752" s="3">
        <v>99.340720000000005</v>
      </c>
      <c r="AW752" s="3">
        <v>72.176060000000007</v>
      </c>
      <c r="AX752" s="3">
        <v>95.234520000000003</v>
      </c>
      <c r="AY752" s="3">
        <v>80.552279999999996</v>
      </c>
    </row>
    <row r="753" spans="1:51" x14ac:dyDescent="0.2">
      <c r="A753" s="3" t="s">
        <v>650</v>
      </c>
      <c r="B753" s="49">
        <v>40725</v>
      </c>
      <c r="D753" s="3">
        <v>95.617059999999995</v>
      </c>
      <c r="E753" s="3">
        <v>77.140789999999996</v>
      </c>
      <c r="F753" s="3">
        <v>94.811689999999999</v>
      </c>
      <c r="G753" s="3">
        <v>101.83450000000001</v>
      </c>
      <c r="H753" s="3">
        <v>87.305809999999994</v>
      </c>
      <c r="I753" s="3">
        <v>92.014049999999997</v>
      </c>
      <c r="J753" s="3">
        <v>88.149529999999999</v>
      </c>
      <c r="K753" s="3">
        <v>86.744060000000005</v>
      </c>
      <c r="L753" s="3">
        <v>95.1</v>
      </c>
      <c r="M753" s="3">
        <v>95.344489999999993</v>
      </c>
      <c r="N753" s="3">
        <v>96</v>
      </c>
      <c r="O753" s="3">
        <v>95.34</v>
      </c>
      <c r="P753" s="3">
        <v>96.589839999999995</v>
      </c>
      <c r="Q753" s="3">
        <v>94.491820000000004</v>
      </c>
      <c r="R753" s="3">
        <v>100.66</v>
      </c>
      <c r="S753" s="3">
        <v>94.879660000000001</v>
      </c>
      <c r="T753" s="3">
        <v>96.48</v>
      </c>
      <c r="U753" s="3">
        <v>89.387780000000006</v>
      </c>
      <c r="V753" s="3">
        <v>95.366810000000001</v>
      </c>
      <c r="W753" s="3">
        <v>93.5</v>
      </c>
      <c r="X753" s="3">
        <v>101.82340000000001</v>
      </c>
      <c r="Y753" s="3">
        <v>93.264250000000004</v>
      </c>
      <c r="Z753" s="3">
        <v>79.57217</v>
      </c>
      <c r="AA753" s="3">
        <v>73.828500000000005</v>
      </c>
      <c r="AC753" s="3">
        <v>102.4539</v>
      </c>
      <c r="AD753" s="3">
        <v>97.185929999999999</v>
      </c>
      <c r="AE753" s="3">
        <v>95.720929999999996</v>
      </c>
      <c r="AF753" s="3">
        <v>96.3</v>
      </c>
      <c r="AG753" s="3">
        <v>94.981999999999999</v>
      </c>
      <c r="AI753" s="3">
        <v>93.88</v>
      </c>
      <c r="AJ753" s="3">
        <v>97.516930000000002</v>
      </c>
      <c r="AK753" s="3">
        <v>86.151929999999993</v>
      </c>
      <c r="AL753" s="3">
        <v>94.04</v>
      </c>
      <c r="AM753" s="3">
        <v>93.1</v>
      </c>
      <c r="AN753" s="3">
        <v>94.099249999999998</v>
      </c>
      <c r="AO753" s="3">
        <v>93.495919999999998</v>
      </c>
      <c r="AP753" s="3">
        <v>96.2149</v>
      </c>
      <c r="AQ753" s="3">
        <v>96.717449999999999</v>
      </c>
      <c r="AS753" s="3">
        <v>90.836889999999997</v>
      </c>
      <c r="AT753" s="3">
        <v>95.559520000000006</v>
      </c>
      <c r="AU753" s="3">
        <v>95.57</v>
      </c>
      <c r="AV753" s="3">
        <v>99.292850000000001</v>
      </c>
      <c r="AW753" s="3">
        <v>71.880579999999995</v>
      </c>
      <c r="AX753" s="3">
        <v>95.318899999999999</v>
      </c>
      <c r="AY753" s="3">
        <v>81.206280000000007</v>
      </c>
    </row>
    <row r="754" spans="1:51" x14ac:dyDescent="0.2">
      <c r="A754" s="3" t="s">
        <v>651</v>
      </c>
      <c r="B754" s="49">
        <v>40756</v>
      </c>
      <c r="D754" s="3">
        <v>95.537769999999995</v>
      </c>
      <c r="E754" s="3">
        <v>77.426159999999996</v>
      </c>
      <c r="F754" s="3">
        <v>95.048720000000003</v>
      </c>
      <c r="G754" s="3">
        <v>101.5367</v>
      </c>
      <c r="H754" s="3">
        <v>87.447450000000003</v>
      </c>
      <c r="I754" s="3">
        <v>92.275450000000006</v>
      </c>
      <c r="J754" s="3">
        <v>88.114459999999994</v>
      </c>
      <c r="K754" s="3">
        <v>86.966089999999994</v>
      </c>
      <c r="L754" s="3">
        <v>94.9</v>
      </c>
      <c r="M754" s="3">
        <v>95.437780000000004</v>
      </c>
      <c r="N754" s="3">
        <v>96</v>
      </c>
      <c r="O754" s="3">
        <v>95.52</v>
      </c>
      <c r="P754" s="3">
        <v>96.709599999999995</v>
      </c>
      <c r="Q754" s="3">
        <v>94.799449999999993</v>
      </c>
      <c r="R754" s="3">
        <v>100.14</v>
      </c>
      <c r="S754" s="3">
        <v>95.247339999999994</v>
      </c>
      <c r="T754" s="3">
        <v>96.98</v>
      </c>
      <c r="U754" s="3">
        <v>89.631230000000002</v>
      </c>
      <c r="V754" s="3">
        <v>95.619669999999999</v>
      </c>
      <c r="W754" s="3">
        <v>93.9</v>
      </c>
      <c r="X754" s="3">
        <v>100.3965</v>
      </c>
      <c r="Y754" s="3">
        <v>93.19023</v>
      </c>
      <c r="Z754" s="3">
        <v>80.315709999999996</v>
      </c>
      <c r="AA754" s="3">
        <v>74.211029999999994</v>
      </c>
      <c r="AC754" s="3">
        <v>102.4179</v>
      </c>
      <c r="AD754" s="3">
        <v>97.68844</v>
      </c>
      <c r="AE754" s="3">
        <v>96</v>
      </c>
      <c r="AF754" s="3">
        <v>96.4</v>
      </c>
      <c r="AG754" s="3">
        <v>95.62</v>
      </c>
      <c r="AI754" s="3">
        <v>95.22</v>
      </c>
      <c r="AJ754" s="3">
        <v>97.176109999999994</v>
      </c>
      <c r="AK754" s="3">
        <v>86.288210000000007</v>
      </c>
      <c r="AL754" s="3">
        <v>94.19</v>
      </c>
      <c r="AM754" s="3">
        <v>92.6</v>
      </c>
      <c r="AN754" s="3">
        <v>94.315160000000006</v>
      </c>
      <c r="AO754" s="3">
        <v>93.684650000000005</v>
      </c>
      <c r="AP754" s="3">
        <v>96.2149</v>
      </c>
      <c r="AQ754" s="3">
        <v>96.293499999999995</v>
      </c>
      <c r="AS754" s="3">
        <v>91.030169999999998</v>
      </c>
      <c r="AT754" s="3">
        <v>95.620699999999999</v>
      </c>
      <c r="AU754" s="3">
        <v>95.82</v>
      </c>
      <c r="AV754" s="3">
        <v>99.324759999999998</v>
      </c>
      <c r="AW754" s="3">
        <v>72.402479999999997</v>
      </c>
      <c r="AX754" s="3">
        <v>95.58175</v>
      </c>
      <c r="AY754" s="3">
        <v>81.206280000000007</v>
      </c>
    </row>
    <row r="755" spans="1:51" x14ac:dyDescent="0.2">
      <c r="A755" s="3" t="s">
        <v>652</v>
      </c>
      <c r="B755" s="49">
        <v>40787</v>
      </c>
      <c r="D755" s="3">
        <v>95.795450000000002</v>
      </c>
      <c r="E755" s="3">
        <v>77.836590000000001</v>
      </c>
      <c r="F755" s="3">
        <v>95.285749999999993</v>
      </c>
      <c r="G755" s="3">
        <v>101.81059999999999</v>
      </c>
      <c r="H755" s="3">
        <v>87.883269999999996</v>
      </c>
      <c r="I755" s="3">
        <v>92.711129999999997</v>
      </c>
      <c r="J755" s="3">
        <v>88.394970000000001</v>
      </c>
      <c r="K755" s="3">
        <v>86.830460000000002</v>
      </c>
      <c r="L755" s="3">
        <v>94.7</v>
      </c>
      <c r="M755" s="3">
        <v>95.624369999999999</v>
      </c>
      <c r="N755" s="3">
        <v>96.3</v>
      </c>
      <c r="O755" s="3">
        <v>96.22</v>
      </c>
      <c r="P755" s="3">
        <v>96.946119999999993</v>
      </c>
      <c r="Q755" s="3">
        <v>95.312150000000003</v>
      </c>
      <c r="R755" s="3">
        <v>100.08</v>
      </c>
      <c r="S755" s="3">
        <v>95.642600000000002</v>
      </c>
      <c r="T755" s="3">
        <v>96.91</v>
      </c>
      <c r="U755" s="3">
        <v>90.01482</v>
      </c>
      <c r="V755" s="3">
        <v>95.763729999999995</v>
      </c>
      <c r="W755" s="3">
        <v>94.5</v>
      </c>
      <c r="X755" s="3">
        <v>103.72329999999999</v>
      </c>
      <c r="Y755" s="3">
        <v>93.116209999999995</v>
      </c>
      <c r="Z755" s="3">
        <v>80.534400000000005</v>
      </c>
      <c r="AA755" s="3">
        <v>75.358620000000002</v>
      </c>
      <c r="AC755" s="3">
        <v>102.56229999999999</v>
      </c>
      <c r="AD755" s="3">
        <v>97.487430000000003</v>
      </c>
      <c r="AE755" s="3">
        <v>96</v>
      </c>
      <c r="AF755" s="3">
        <v>96.4</v>
      </c>
      <c r="AG755" s="3">
        <v>95.528999999999996</v>
      </c>
      <c r="AI755" s="3">
        <v>95.32</v>
      </c>
      <c r="AJ755" s="3">
        <v>97.545649999999995</v>
      </c>
      <c r="AK755" s="3">
        <v>86.499899999999997</v>
      </c>
      <c r="AL755" s="3">
        <v>94.53</v>
      </c>
      <c r="AM755" s="3">
        <v>93.4</v>
      </c>
      <c r="AN755" s="3">
        <v>94.509879999999995</v>
      </c>
      <c r="AO755" s="3">
        <v>94.003780000000006</v>
      </c>
      <c r="AP755" s="3">
        <v>96.296300000000002</v>
      </c>
      <c r="AQ755" s="3">
        <v>97.078699999999998</v>
      </c>
      <c r="AS755" s="3">
        <v>91.416700000000006</v>
      </c>
      <c r="AT755" s="3">
        <v>95.926590000000004</v>
      </c>
      <c r="AU755" s="3">
        <v>96.43</v>
      </c>
      <c r="AV755" s="3">
        <v>100.0205</v>
      </c>
      <c r="AW755" s="3">
        <v>72.947410000000005</v>
      </c>
      <c r="AX755" s="3">
        <v>95.726889999999997</v>
      </c>
      <c r="AY755" s="3">
        <v>81.642300000000006</v>
      </c>
    </row>
    <row r="756" spans="1:51" x14ac:dyDescent="0.2">
      <c r="A756" s="3" t="s">
        <v>653</v>
      </c>
      <c r="B756" s="49">
        <v>40817</v>
      </c>
      <c r="D756" s="3">
        <v>95.944109999999995</v>
      </c>
      <c r="E756" s="3">
        <v>78.171390000000002</v>
      </c>
      <c r="F756" s="3">
        <v>95.443770000000001</v>
      </c>
      <c r="G756" s="3">
        <v>101.7431</v>
      </c>
      <c r="H756" s="3">
        <v>88.308199999999999</v>
      </c>
      <c r="I756" s="3">
        <v>92.798259999999999</v>
      </c>
      <c r="J756" s="3">
        <v>88.558599999999998</v>
      </c>
      <c r="K756" s="3">
        <v>87.036420000000007</v>
      </c>
      <c r="L756" s="3">
        <v>94.9</v>
      </c>
      <c r="M756" s="3">
        <v>95.624369999999999</v>
      </c>
      <c r="N756" s="3">
        <v>96.4</v>
      </c>
      <c r="O756" s="3">
        <v>96.55</v>
      </c>
      <c r="P756" s="3">
        <v>97.710560000000001</v>
      </c>
      <c r="Q756" s="3">
        <v>95.158339999999995</v>
      </c>
      <c r="R756" s="3">
        <v>100.24</v>
      </c>
      <c r="S756" s="3">
        <v>95.881590000000003</v>
      </c>
      <c r="T756" s="3">
        <v>97.14</v>
      </c>
      <c r="U756" s="3">
        <v>90.194019999999995</v>
      </c>
      <c r="V756" s="3">
        <v>95.724130000000002</v>
      </c>
      <c r="W756" s="3">
        <v>94.5</v>
      </c>
      <c r="X756" s="3">
        <v>103.8321</v>
      </c>
      <c r="Y756" s="3">
        <v>93.782390000000007</v>
      </c>
      <c r="Z756" s="3">
        <v>80.44068</v>
      </c>
      <c r="AA756" s="3">
        <v>75.741159999999994</v>
      </c>
      <c r="AC756" s="3">
        <v>101.97629999999999</v>
      </c>
      <c r="AD756" s="3">
        <v>97.587940000000003</v>
      </c>
      <c r="AE756" s="3">
        <v>96.558139999999995</v>
      </c>
      <c r="AF756" s="3">
        <v>96.5</v>
      </c>
      <c r="AG756" s="3">
        <v>95.346999999999994</v>
      </c>
      <c r="AI756" s="3">
        <v>95.46</v>
      </c>
      <c r="AJ756" s="3">
        <v>97.746340000000004</v>
      </c>
      <c r="AK756" s="3">
        <v>87.083550000000002</v>
      </c>
      <c r="AL756" s="3">
        <v>94.57</v>
      </c>
      <c r="AM756" s="3">
        <v>93.3</v>
      </c>
      <c r="AN756" s="3">
        <v>94.635120000000001</v>
      </c>
      <c r="AO756" s="3">
        <v>94.448719999999994</v>
      </c>
      <c r="AP756" s="3">
        <v>96.947490000000002</v>
      </c>
      <c r="AQ756" s="3">
        <v>98.098780000000005</v>
      </c>
      <c r="AS756" s="3">
        <v>91.609979999999993</v>
      </c>
      <c r="AT756" s="3">
        <v>96.110119999999995</v>
      </c>
      <c r="AU756" s="3">
        <v>97.11</v>
      </c>
      <c r="AV756" s="3">
        <v>100.02370000000001</v>
      </c>
      <c r="AW756" s="3">
        <v>75.334339999999997</v>
      </c>
      <c r="AX756" s="3">
        <v>95.529430000000005</v>
      </c>
      <c r="AY756" s="3">
        <v>82.187299999999993</v>
      </c>
    </row>
    <row r="757" spans="1:51" x14ac:dyDescent="0.2">
      <c r="A757" s="3" t="s">
        <v>654</v>
      </c>
      <c r="B757" s="49">
        <v>40848</v>
      </c>
      <c r="D757" s="3">
        <v>96.320710000000005</v>
      </c>
      <c r="E757" s="3">
        <v>78.577870000000004</v>
      </c>
      <c r="F757" s="3">
        <v>95.522779999999997</v>
      </c>
      <c r="G757" s="3">
        <v>101.5655</v>
      </c>
      <c r="H757" s="3">
        <v>88.591480000000004</v>
      </c>
      <c r="I757" s="3">
        <v>92.623990000000006</v>
      </c>
      <c r="J757" s="3">
        <v>88.675479999999993</v>
      </c>
      <c r="K757" s="3">
        <v>87.297640000000001</v>
      </c>
      <c r="L757" s="3">
        <v>95.3</v>
      </c>
      <c r="M757" s="3">
        <v>95.810950000000005</v>
      </c>
      <c r="N757" s="3">
        <v>96.3</v>
      </c>
      <c r="O757" s="3">
        <v>96.64</v>
      </c>
      <c r="P757" s="3">
        <v>98.106759999999994</v>
      </c>
      <c r="Q757" s="3">
        <v>95.26088</v>
      </c>
      <c r="R757" s="3">
        <v>100.35</v>
      </c>
      <c r="S757" s="3">
        <v>95.945930000000004</v>
      </c>
      <c r="T757" s="3">
        <v>97.41</v>
      </c>
      <c r="U757" s="3">
        <v>90.291460000000001</v>
      </c>
      <c r="V757" s="3">
        <v>95.650940000000006</v>
      </c>
      <c r="W757" s="3">
        <v>94.7</v>
      </c>
      <c r="X757" s="3">
        <v>103.9914</v>
      </c>
      <c r="Y757" s="3">
        <v>94.374529999999993</v>
      </c>
      <c r="Z757" s="3">
        <v>80.715609999999998</v>
      </c>
      <c r="AA757" s="3">
        <v>76.123689999999996</v>
      </c>
      <c r="AC757" s="3">
        <v>102.7101</v>
      </c>
      <c r="AD757" s="3">
        <v>97.487430000000003</v>
      </c>
      <c r="AE757" s="3">
        <v>96.465119999999999</v>
      </c>
      <c r="AF757" s="3">
        <v>95.9</v>
      </c>
      <c r="AG757" s="3">
        <v>95.438000000000002</v>
      </c>
      <c r="AI757" s="3">
        <v>95.76</v>
      </c>
      <c r="AJ757" s="3">
        <v>97.705209999999994</v>
      </c>
      <c r="AK757" s="3">
        <v>88.025450000000006</v>
      </c>
      <c r="AL757" s="3">
        <v>94.28</v>
      </c>
      <c r="AM757" s="3">
        <v>93.3</v>
      </c>
      <c r="AN757" s="3">
        <v>94.701149999999998</v>
      </c>
      <c r="AO757" s="3">
        <v>94.72681</v>
      </c>
      <c r="AP757" s="3">
        <v>97.598690000000005</v>
      </c>
      <c r="AQ757" s="3">
        <v>98.021150000000006</v>
      </c>
      <c r="AS757" s="3">
        <v>91.803250000000006</v>
      </c>
      <c r="AT757" s="3">
        <v>96.538359999999997</v>
      </c>
      <c r="AU757" s="3">
        <v>97.37</v>
      </c>
      <c r="AV757" s="3">
        <v>100.2598</v>
      </c>
      <c r="AW757" s="3">
        <v>76.635260000000002</v>
      </c>
      <c r="AX757" s="3">
        <v>95.448849999999993</v>
      </c>
      <c r="AY757" s="3">
        <v>82.296300000000002</v>
      </c>
    </row>
    <row r="758" spans="1:51" x14ac:dyDescent="0.2">
      <c r="A758" s="3" t="s">
        <v>655</v>
      </c>
      <c r="B758" s="49">
        <v>40878</v>
      </c>
      <c r="D758" s="3">
        <v>96.360349999999997</v>
      </c>
      <c r="E758" s="3">
        <v>78.970669999999998</v>
      </c>
      <c r="F758" s="3">
        <v>94.969710000000006</v>
      </c>
      <c r="G758" s="3">
        <v>101.4084</v>
      </c>
      <c r="H758" s="3">
        <v>89.125360000000001</v>
      </c>
      <c r="I758" s="3">
        <v>92.885390000000001</v>
      </c>
      <c r="J758" s="3">
        <v>89.049490000000006</v>
      </c>
      <c r="K758" s="3">
        <v>88.097359999999995</v>
      </c>
      <c r="L758" s="3">
        <v>95.7</v>
      </c>
      <c r="M758" s="3">
        <v>95.997540000000001</v>
      </c>
      <c r="N758" s="3">
        <v>96.3</v>
      </c>
      <c r="O758" s="3">
        <v>96.96</v>
      </c>
      <c r="P758" s="3">
        <v>98.234499999999997</v>
      </c>
      <c r="Q758" s="3">
        <v>95.414699999999996</v>
      </c>
      <c r="R758" s="3">
        <v>99.97</v>
      </c>
      <c r="S758" s="3">
        <v>95.918360000000007</v>
      </c>
      <c r="T758" s="3">
        <v>97.8</v>
      </c>
      <c r="U758" s="3">
        <v>90.344539999999995</v>
      </c>
      <c r="V758" s="3">
        <v>95.5989</v>
      </c>
      <c r="W758" s="3">
        <v>95</v>
      </c>
      <c r="X758" s="3">
        <v>103.8931</v>
      </c>
      <c r="Y758" s="3">
        <v>94.596599999999995</v>
      </c>
      <c r="Z758" s="3">
        <v>81.171729999999997</v>
      </c>
      <c r="AA758" s="3">
        <v>75.358620000000002</v>
      </c>
      <c r="AC758" s="3">
        <v>102.7677</v>
      </c>
      <c r="AD758" s="3">
        <v>97.487430000000003</v>
      </c>
      <c r="AE758" s="3">
        <v>96.837209999999999</v>
      </c>
      <c r="AF758" s="3">
        <v>96</v>
      </c>
      <c r="AG758" s="3">
        <v>95.802000000000007</v>
      </c>
      <c r="AI758" s="3">
        <v>95.71</v>
      </c>
      <c r="AJ758" s="3">
        <v>97.723650000000006</v>
      </c>
      <c r="AK758" s="3">
        <v>88.748810000000006</v>
      </c>
      <c r="AL758" s="3">
        <v>94.04</v>
      </c>
      <c r="AM758" s="3">
        <v>93.4</v>
      </c>
      <c r="AN758" s="3">
        <v>94.738299999999995</v>
      </c>
      <c r="AO758" s="3">
        <v>94.961259999999996</v>
      </c>
      <c r="AP758" s="3">
        <v>98.005700000000004</v>
      </c>
      <c r="AQ758" s="3">
        <v>98.004230000000007</v>
      </c>
      <c r="AS758" s="3">
        <v>91.803250000000006</v>
      </c>
      <c r="AT758" s="3">
        <v>96.599540000000005</v>
      </c>
      <c r="AU758" s="3">
        <v>96.8</v>
      </c>
      <c r="AV758" s="3">
        <v>100.4577</v>
      </c>
      <c r="AW758" s="3">
        <v>77.076580000000007</v>
      </c>
      <c r="AX758" s="3">
        <v>95.213419999999999</v>
      </c>
      <c r="AY758" s="3">
        <v>82.514309999999995</v>
      </c>
    </row>
    <row r="759" spans="1:51" x14ac:dyDescent="0.2">
      <c r="A759" s="3" t="s">
        <v>656</v>
      </c>
      <c r="B759" s="49">
        <v>40909</v>
      </c>
      <c r="D759" s="3">
        <v>97.063999999999993</v>
      </c>
      <c r="E759" s="3">
        <v>79.412890000000004</v>
      </c>
      <c r="F759" s="3">
        <v>95.364760000000004</v>
      </c>
      <c r="G759" s="3">
        <v>100.97669999999999</v>
      </c>
      <c r="H759" s="3">
        <v>89.201629999999994</v>
      </c>
      <c r="I759" s="3">
        <v>94.27955</v>
      </c>
      <c r="J759" s="3">
        <v>89.703999999999994</v>
      </c>
      <c r="K759" s="3">
        <v>88.251080000000002</v>
      </c>
      <c r="L759" s="3">
        <v>97.4</v>
      </c>
      <c r="M759" s="3">
        <v>95.904240000000001</v>
      </c>
      <c r="N759" s="3">
        <v>96.7</v>
      </c>
      <c r="O759" s="3">
        <v>96.18</v>
      </c>
      <c r="P759" s="3">
        <v>97.153689999999997</v>
      </c>
      <c r="Q759" s="3">
        <v>96.081209999999999</v>
      </c>
      <c r="R759" s="3">
        <v>99.97</v>
      </c>
      <c r="S759" s="3">
        <v>96.525030000000001</v>
      </c>
      <c r="T759" s="3">
        <v>97.46</v>
      </c>
      <c r="U759" s="3">
        <v>90.650700000000001</v>
      </c>
      <c r="V759" s="3">
        <v>95.83493</v>
      </c>
      <c r="W759" s="3">
        <v>94.7</v>
      </c>
      <c r="X759" s="3">
        <v>103.0586</v>
      </c>
      <c r="Y759" s="3">
        <v>96.521100000000004</v>
      </c>
      <c r="Z759" s="3">
        <v>81.790310000000005</v>
      </c>
      <c r="AA759" s="3">
        <v>75.741159999999994</v>
      </c>
      <c r="AC759" s="3">
        <v>103.2937</v>
      </c>
      <c r="AD759" s="3">
        <v>97.487430000000003</v>
      </c>
      <c r="AE759" s="3">
        <v>97.116280000000003</v>
      </c>
      <c r="AF759" s="3">
        <v>96.2</v>
      </c>
      <c r="AG759" s="3">
        <v>96.183999999999997</v>
      </c>
      <c r="AI759" s="3">
        <v>95.06</v>
      </c>
      <c r="AJ759" s="3">
        <v>98.543520000000001</v>
      </c>
      <c r="AK759" s="3">
        <v>89.377030000000005</v>
      </c>
      <c r="AL759" s="3">
        <v>93.99</v>
      </c>
      <c r="AM759" s="3">
        <v>93.2</v>
      </c>
      <c r="AN759" s="3">
        <v>94.964820000000003</v>
      </c>
      <c r="AO759" s="3">
        <v>94.917259999999999</v>
      </c>
      <c r="AP759" s="3">
        <v>98.656899999999993</v>
      </c>
      <c r="AQ759" s="3">
        <v>98.471969999999999</v>
      </c>
      <c r="AS759" s="3">
        <v>91.803250000000006</v>
      </c>
      <c r="AT759" s="3">
        <v>97.945449999999994</v>
      </c>
      <c r="AU759" s="3">
        <v>96.3</v>
      </c>
      <c r="AV759" s="3">
        <v>99.522630000000007</v>
      </c>
      <c r="AW759" s="3">
        <v>77.510220000000004</v>
      </c>
      <c r="AX759" s="3">
        <v>95.632379999999998</v>
      </c>
      <c r="AY759" s="3">
        <v>82.950310000000002</v>
      </c>
    </row>
    <row r="760" spans="1:51" x14ac:dyDescent="0.2">
      <c r="A760" s="3" t="s">
        <v>657</v>
      </c>
      <c r="B760" s="49">
        <v>40940</v>
      </c>
      <c r="D760" s="3">
        <v>97.638810000000007</v>
      </c>
      <c r="E760" s="3">
        <v>79.770189999999999</v>
      </c>
      <c r="F760" s="3">
        <v>95.759810000000002</v>
      </c>
      <c r="G760" s="3">
        <v>101.2612</v>
      </c>
      <c r="H760" s="3">
        <v>89.550290000000004</v>
      </c>
      <c r="I760" s="3">
        <v>94.192409999999995</v>
      </c>
      <c r="J760" s="3">
        <v>90.253330000000005</v>
      </c>
      <c r="K760" s="3">
        <v>88.49924</v>
      </c>
      <c r="L760" s="3">
        <v>97.7</v>
      </c>
      <c r="M760" s="3">
        <v>96.557289999999995</v>
      </c>
      <c r="N760" s="3">
        <v>97.8</v>
      </c>
      <c r="O760" s="3">
        <v>96.66</v>
      </c>
      <c r="P760" s="3">
        <v>97.254490000000004</v>
      </c>
      <c r="Q760" s="3">
        <v>96.440110000000004</v>
      </c>
      <c r="R760" s="3">
        <v>98.71</v>
      </c>
      <c r="S760" s="3">
        <v>97.058170000000004</v>
      </c>
      <c r="T760" s="3">
        <v>97.86</v>
      </c>
      <c r="U760" s="3">
        <v>90.974320000000006</v>
      </c>
      <c r="V760" s="3">
        <v>96.249099999999999</v>
      </c>
      <c r="W760" s="3">
        <v>95.2</v>
      </c>
      <c r="X760" s="3">
        <v>101.49760000000001</v>
      </c>
      <c r="Y760" s="3">
        <v>97.335300000000004</v>
      </c>
      <c r="Z760" s="3">
        <v>81.827799999999996</v>
      </c>
      <c r="AA760" s="3">
        <v>76.123689999999996</v>
      </c>
      <c r="AC760" s="3">
        <v>103.49469999999999</v>
      </c>
      <c r="AD760" s="3">
        <v>97.487430000000003</v>
      </c>
      <c r="AE760" s="3">
        <v>97.488370000000003</v>
      </c>
      <c r="AF760" s="3">
        <v>96.4</v>
      </c>
      <c r="AG760" s="3">
        <v>96.549000000000007</v>
      </c>
      <c r="AI760" s="3">
        <v>96.67</v>
      </c>
      <c r="AJ760" s="3">
        <v>98.677869999999999</v>
      </c>
      <c r="AK760" s="3">
        <v>89.558719999999994</v>
      </c>
      <c r="AL760" s="3">
        <v>94.7</v>
      </c>
      <c r="AM760" s="3">
        <v>94.2</v>
      </c>
      <c r="AN760" s="3">
        <v>95.349360000000004</v>
      </c>
      <c r="AO760" s="3">
        <v>95.355419999999995</v>
      </c>
      <c r="AP760" s="3">
        <v>99.063900000000004</v>
      </c>
      <c r="AQ760" s="3">
        <v>98.551580000000001</v>
      </c>
      <c r="AS760" s="3">
        <v>91.996510000000001</v>
      </c>
      <c r="AT760" s="3">
        <v>98.190160000000006</v>
      </c>
      <c r="AU760" s="3">
        <v>96.84</v>
      </c>
      <c r="AV760" s="3">
        <v>100.1832</v>
      </c>
      <c r="AW760" s="3">
        <v>77.947689999999994</v>
      </c>
      <c r="AX760" s="3">
        <v>96.053439999999995</v>
      </c>
      <c r="AY760" s="3">
        <v>83.386319999999998</v>
      </c>
    </row>
    <row r="761" spans="1:51" x14ac:dyDescent="0.2">
      <c r="A761" s="3" t="s">
        <v>658</v>
      </c>
      <c r="B761" s="49">
        <v>40969</v>
      </c>
      <c r="D761" s="3">
        <v>97.84693</v>
      </c>
      <c r="E761" s="3">
        <v>79.937700000000007</v>
      </c>
      <c r="F761" s="3">
        <v>96.154859999999999</v>
      </c>
      <c r="G761" s="3">
        <v>101.8258</v>
      </c>
      <c r="H761" s="3">
        <v>89.702830000000006</v>
      </c>
      <c r="I761" s="3">
        <v>94.366680000000002</v>
      </c>
      <c r="J761" s="3">
        <v>90.358519999999999</v>
      </c>
      <c r="K761" s="3">
        <v>88.853890000000007</v>
      </c>
      <c r="L761" s="3">
        <v>97.8</v>
      </c>
      <c r="M761" s="3">
        <v>97.11703</v>
      </c>
      <c r="N761" s="3">
        <v>98.3</v>
      </c>
      <c r="O761" s="3">
        <v>97.91</v>
      </c>
      <c r="P761" s="3">
        <v>97.90916</v>
      </c>
      <c r="Q761" s="3">
        <v>97.362979999999993</v>
      </c>
      <c r="R761" s="3">
        <v>98.85</v>
      </c>
      <c r="S761" s="3">
        <v>97.425839999999994</v>
      </c>
      <c r="T761" s="3">
        <v>98.67</v>
      </c>
      <c r="U761" s="3">
        <v>91.56223</v>
      </c>
      <c r="V761" s="3">
        <v>96.859669999999994</v>
      </c>
      <c r="W761" s="3">
        <v>95.4</v>
      </c>
      <c r="X761" s="3">
        <v>104.3711</v>
      </c>
      <c r="Y761" s="3">
        <v>98.075500000000005</v>
      </c>
      <c r="Z761" s="3">
        <v>81.884029999999996</v>
      </c>
      <c r="AA761" s="3">
        <v>76.888750000000002</v>
      </c>
      <c r="AC761" s="3">
        <v>103.49630000000001</v>
      </c>
      <c r="AD761" s="3">
        <v>97.78895</v>
      </c>
      <c r="AE761" s="3">
        <v>97.953490000000002</v>
      </c>
      <c r="AF761" s="3">
        <v>96.8</v>
      </c>
      <c r="AG761" s="3">
        <v>96.575999999999993</v>
      </c>
      <c r="AI761" s="3">
        <v>97</v>
      </c>
      <c r="AJ761" s="3">
        <v>99.254940000000005</v>
      </c>
      <c r="AK761" s="3">
        <v>89.610150000000004</v>
      </c>
      <c r="AL761" s="3">
        <v>95.78</v>
      </c>
      <c r="AM761" s="3">
        <v>94.1</v>
      </c>
      <c r="AN761" s="3">
        <v>95.898529999999994</v>
      </c>
      <c r="AO761" s="3">
        <v>95.920140000000004</v>
      </c>
      <c r="AP761" s="3">
        <v>99.552300000000002</v>
      </c>
      <c r="AQ761" s="3">
        <v>99.701030000000003</v>
      </c>
      <c r="AS761" s="3">
        <v>92.286420000000007</v>
      </c>
      <c r="AT761" s="3">
        <v>98.496049999999997</v>
      </c>
      <c r="AU761" s="3">
        <v>97.8</v>
      </c>
      <c r="AV761" s="3">
        <v>100.4641</v>
      </c>
      <c r="AW761" s="3">
        <v>78.270049999999998</v>
      </c>
      <c r="AX761" s="3">
        <v>96.782929999999993</v>
      </c>
      <c r="AY761" s="3">
        <v>84.258330000000001</v>
      </c>
    </row>
    <row r="762" spans="1:51" x14ac:dyDescent="0.2">
      <c r="A762" s="3" t="s">
        <v>659</v>
      </c>
      <c r="B762" s="49">
        <v>41000</v>
      </c>
      <c r="D762" s="3">
        <v>97.916309999999996</v>
      </c>
      <c r="E762" s="3">
        <v>80.449290000000005</v>
      </c>
      <c r="F762" s="3">
        <v>96.549909999999997</v>
      </c>
      <c r="G762" s="3">
        <v>101.90179999999999</v>
      </c>
      <c r="H762" s="3">
        <v>89.746409999999997</v>
      </c>
      <c r="I762" s="3">
        <v>94.27955</v>
      </c>
      <c r="J762" s="3">
        <v>90.487089999999995</v>
      </c>
      <c r="K762" s="3">
        <v>89.417509999999993</v>
      </c>
      <c r="L762" s="3">
        <v>97.8</v>
      </c>
      <c r="M762" s="3">
        <v>96.930459999999997</v>
      </c>
      <c r="N762" s="3">
        <v>98.3</v>
      </c>
      <c r="O762" s="3">
        <v>98.36</v>
      </c>
      <c r="P762" s="3">
        <v>99.284369999999996</v>
      </c>
      <c r="Q762" s="3">
        <v>97.670599999999993</v>
      </c>
      <c r="R762" s="3">
        <v>99.89</v>
      </c>
      <c r="S762" s="3">
        <v>97.765950000000004</v>
      </c>
      <c r="T762" s="3">
        <v>98.8</v>
      </c>
      <c r="U762" s="3">
        <v>91.968090000000004</v>
      </c>
      <c r="V762" s="3">
        <v>97.10378</v>
      </c>
      <c r="W762" s="3">
        <v>95.9</v>
      </c>
      <c r="X762" s="3">
        <v>105.2576</v>
      </c>
      <c r="Y762" s="3">
        <v>98.889709999999994</v>
      </c>
      <c r="Z762" s="3">
        <v>82.05274</v>
      </c>
      <c r="AA762" s="3">
        <v>78.418869999999998</v>
      </c>
      <c r="AC762" s="3">
        <v>103.4632</v>
      </c>
      <c r="AD762" s="3">
        <v>98.693470000000005</v>
      </c>
      <c r="AE762" s="3">
        <v>98.418599999999998</v>
      </c>
      <c r="AF762" s="3">
        <v>96.9</v>
      </c>
      <c r="AG762" s="3">
        <v>96.566999999999993</v>
      </c>
      <c r="AI762" s="3">
        <v>97.32</v>
      </c>
      <c r="AJ762" s="3">
        <v>99.869320000000002</v>
      </c>
      <c r="AK762" s="3">
        <v>89.329030000000003</v>
      </c>
      <c r="AL762" s="3">
        <v>96.17</v>
      </c>
      <c r="AM762" s="3">
        <v>94.2</v>
      </c>
      <c r="AN762" s="3">
        <v>96.193719999999999</v>
      </c>
      <c r="AO762" s="3">
        <v>96.340909999999994</v>
      </c>
      <c r="AP762" s="3">
        <v>100.1221</v>
      </c>
      <c r="AQ762" s="3">
        <v>99.981669999999994</v>
      </c>
      <c r="AS762" s="3">
        <v>92.479690000000005</v>
      </c>
      <c r="AT762" s="3">
        <v>98.801940000000002</v>
      </c>
      <c r="AU762" s="3">
        <v>98.9</v>
      </c>
      <c r="AV762" s="3">
        <v>100.68429999999999</v>
      </c>
      <c r="AW762" s="3">
        <v>79.455839999999995</v>
      </c>
      <c r="AX762" s="3">
        <v>97.075320000000005</v>
      </c>
      <c r="AY762" s="3">
        <v>84.694339999999997</v>
      </c>
    </row>
    <row r="763" spans="1:51" x14ac:dyDescent="0.2">
      <c r="A763" s="3" t="s">
        <v>660</v>
      </c>
      <c r="B763" s="49">
        <v>41030</v>
      </c>
      <c r="D763" s="3">
        <v>97.886570000000006</v>
      </c>
      <c r="E763" s="3">
        <v>80.738839999999996</v>
      </c>
      <c r="F763" s="3">
        <v>96.4709</v>
      </c>
      <c r="G763" s="3">
        <v>101.8837</v>
      </c>
      <c r="H763" s="3">
        <v>89.768199999999993</v>
      </c>
      <c r="I763" s="3">
        <v>94.018140000000002</v>
      </c>
      <c r="J763" s="3">
        <v>90.75591</v>
      </c>
      <c r="K763" s="3">
        <v>90.300619999999995</v>
      </c>
      <c r="L763" s="3">
        <v>98</v>
      </c>
      <c r="M763" s="3">
        <v>96.930459999999997</v>
      </c>
      <c r="N763" s="3">
        <v>98.4</v>
      </c>
      <c r="O763" s="3">
        <v>98.23</v>
      </c>
      <c r="P763" s="3">
        <v>99.136669999999995</v>
      </c>
      <c r="Q763" s="3">
        <v>97.619330000000005</v>
      </c>
      <c r="R763" s="3">
        <v>100.12</v>
      </c>
      <c r="S763" s="3">
        <v>97.775139999999993</v>
      </c>
      <c r="T763" s="3">
        <v>98.75</v>
      </c>
      <c r="U763" s="3">
        <v>91.937349999999995</v>
      </c>
      <c r="V763" s="3">
        <v>96.997380000000007</v>
      </c>
      <c r="W763" s="3">
        <v>95.9</v>
      </c>
      <c r="X763" s="3">
        <v>104.91589999999999</v>
      </c>
      <c r="Y763" s="3">
        <v>98.667659999999998</v>
      </c>
      <c r="Z763" s="3">
        <v>82.108980000000003</v>
      </c>
      <c r="AA763" s="3">
        <v>78.801400000000001</v>
      </c>
      <c r="AC763" s="3">
        <v>103.736</v>
      </c>
      <c r="AD763" s="3">
        <v>98.693470000000005</v>
      </c>
      <c r="AE763" s="3">
        <v>98.418599999999998</v>
      </c>
      <c r="AF763" s="3">
        <v>96.6</v>
      </c>
      <c r="AG763" s="3">
        <v>96.74</v>
      </c>
      <c r="AI763" s="3">
        <v>97.18</v>
      </c>
      <c r="AJ763" s="3">
        <v>99.712410000000006</v>
      </c>
      <c r="AK763" s="3">
        <v>89.047070000000005</v>
      </c>
      <c r="AL763" s="3">
        <v>96.03</v>
      </c>
      <c r="AM763" s="3">
        <v>94.2</v>
      </c>
      <c r="AN763" s="3">
        <v>96.100880000000004</v>
      </c>
      <c r="AO763" s="3">
        <v>96.298389999999998</v>
      </c>
      <c r="AP763" s="3">
        <v>100.28489999999999</v>
      </c>
      <c r="AQ763" s="3">
        <v>99.631360000000001</v>
      </c>
      <c r="AS763" s="3">
        <v>92.672960000000003</v>
      </c>
      <c r="AT763" s="3">
        <v>98.863110000000006</v>
      </c>
      <c r="AU763" s="3">
        <v>99.49</v>
      </c>
      <c r="AV763" s="3">
        <v>100.60129999999999</v>
      </c>
      <c r="AW763" s="3">
        <v>79.286990000000003</v>
      </c>
      <c r="AX763" s="3">
        <v>96.961399999999998</v>
      </c>
      <c r="AY763" s="3">
        <v>84.694339999999997</v>
      </c>
    </row>
    <row r="764" spans="1:51" x14ac:dyDescent="0.2">
      <c r="A764" s="3" t="s">
        <v>661</v>
      </c>
      <c r="B764" s="49">
        <v>41061</v>
      </c>
      <c r="D764" s="3">
        <v>97.658630000000002</v>
      </c>
      <c r="E764" s="3">
        <v>80.803340000000006</v>
      </c>
      <c r="F764" s="3">
        <v>96.075850000000003</v>
      </c>
      <c r="G764" s="3">
        <v>101.5963</v>
      </c>
      <c r="H764" s="3">
        <v>89.506709999999998</v>
      </c>
      <c r="I764" s="3">
        <v>93.495339999999999</v>
      </c>
      <c r="J764" s="3">
        <v>90.837720000000004</v>
      </c>
      <c r="K764" s="3">
        <v>90.442279999999997</v>
      </c>
      <c r="L764" s="3">
        <v>98.2</v>
      </c>
      <c r="M764" s="3">
        <v>96.743870000000001</v>
      </c>
      <c r="N764" s="3">
        <v>98.2</v>
      </c>
      <c r="O764" s="3">
        <v>98.15</v>
      </c>
      <c r="P764" s="3">
        <v>98.952039999999997</v>
      </c>
      <c r="Q764" s="3">
        <v>97.670599999999993</v>
      </c>
      <c r="R764" s="3">
        <v>100.49</v>
      </c>
      <c r="S764" s="3">
        <v>97.839489999999998</v>
      </c>
      <c r="T764" s="3">
        <v>98.78</v>
      </c>
      <c r="U764" s="3">
        <v>91.910359999999997</v>
      </c>
      <c r="V764" s="3">
        <v>96.816479999999999</v>
      </c>
      <c r="W764" s="3">
        <v>95.6</v>
      </c>
      <c r="X764" s="3">
        <v>104.599</v>
      </c>
      <c r="Y764" s="3">
        <v>98.741680000000002</v>
      </c>
      <c r="Z764" s="3">
        <v>82.621340000000004</v>
      </c>
      <c r="AA764" s="3">
        <v>79.566469999999995</v>
      </c>
      <c r="AC764" s="3">
        <v>103.87139999999999</v>
      </c>
      <c r="AD764" s="3">
        <v>98.391959999999997</v>
      </c>
      <c r="AE764" s="3">
        <v>98.604650000000007</v>
      </c>
      <c r="AF764" s="3">
        <v>96.1</v>
      </c>
      <c r="AG764" s="3">
        <v>96.602999999999994</v>
      </c>
      <c r="AI764" s="3">
        <v>97.11</v>
      </c>
      <c r="AJ764" s="3">
        <v>99.645849999999996</v>
      </c>
      <c r="AK764" s="3">
        <v>89.457589999999996</v>
      </c>
      <c r="AL764" s="3">
        <v>95.57</v>
      </c>
      <c r="AM764" s="3">
        <v>93.7</v>
      </c>
      <c r="AN764" s="3">
        <v>95.939189999999996</v>
      </c>
      <c r="AO764" s="3">
        <v>96.134540000000001</v>
      </c>
      <c r="AP764" s="3">
        <v>100.4477</v>
      </c>
      <c r="AQ764" s="3">
        <v>99.413420000000002</v>
      </c>
      <c r="AS764" s="3">
        <v>93.156139999999994</v>
      </c>
      <c r="AT764" s="3">
        <v>99.04665</v>
      </c>
      <c r="AU764" s="3">
        <v>98.87</v>
      </c>
      <c r="AV764" s="3">
        <v>100.3524</v>
      </c>
      <c r="AW764" s="3">
        <v>78.57705</v>
      </c>
      <c r="AX764" s="3">
        <v>96.819209999999998</v>
      </c>
      <c r="AY764" s="3">
        <v>85.021349999999998</v>
      </c>
    </row>
    <row r="765" spans="1:51" x14ac:dyDescent="0.2">
      <c r="A765" s="3" t="s">
        <v>662</v>
      </c>
      <c r="B765" s="49">
        <v>41091</v>
      </c>
      <c r="D765" s="3">
        <v>97.837019999999995</v>
      </c>
      <c r="E765" s="3">
        <v>81.150890000000004</v>
      </c>
      <c r="F765" s="3">
        <v>95.996840000000006</v>
      </c>
      <c r="G765" s="3">
        <v>101.1073</v>
      </c>
      <c r="H765" s="3">
        <v>89.495810000000006</v>
      </c>
      <c r="I765" s="3">
        <v>93.582470000000001</v>
      </c>
      <c r="J765" s="3">
        <v>90.814350000000005</v>
      </c>
      <c r="K765" s="3">
        <v>90.16901</v>
      </c>
      <c r="L765" s="3">
        <v>98.1</v>
      </c>
      <c r="M765" s="3">
        <v>97.11703</v>
      </c>
      <c r="N765" s="3">
        <v>98.2</v>
      </c>
      <c r="O765" s="3">
        <v>97.64</v>
      </c>
      <c r="P765" s="3">
        <v>98.720510000000004</v>
      </c>
      <c r="Q765" s="3">
        <v>97.926959999999994</v>
      </c>
      <c r="R765" s="3">
        <v>100.66</v>
      </c>
      <c r="S765" s="3">
        <v>97.655640000000005</v>
      </c>
      <c r="T765" s="3">
        <v>98.35</v>
      </c>
      <c r="U765" s="3">
        <v>92.042090000000002</v>
      </c>
      <c r="V765" s="3">
        <v>96.708089999999999</v>
      </c>
      <c r="W765" s="3">
        <v>95.7</v>
      </c>
      <c r="X765" s="3">
        <v>103.18680000000001</v>
      </c>
      <c r="Y765" s="3">
        <v>98.667659999999998</v>
      </c>
      <c r="Z765" s="3">
        <v>83.202430000000007</v>
      </c>
      <c r="AA765" s="3">
        <v>81.096590000000006</v>
      </c>
      <c r="AC765" s="3">
        <v>104.36279999999999</v>
      </c>
      <c r="AD765" s="3">
        <v>98.492459999999994</v>
      </c>
      <c r="AE765" s="3">
        <v>98.697680000000005</v>
      </c>
      <c r="AF765" s="3">
        <v>95.8</v>
      </c>
      <c r="AG765" s="3">
        <v>96.385000000000005</v>
      </c>
      <c r="AI765" s="3">
        <v>96.2</v>
      </c>
      <c r="AJ765" s="3">
        <v>99.152429999999995</v>
      </c>
      <c r="AK765" s="3">
        <v>89.959819999999993</v>
      </c>
      <c r="AL765" s="3">
        <v>96.2</v>
      </c>
      <c r="AM765" s="3">
        <v>93.3</v>
      </c>
      <c r="AN765" s="3">
        <v>95.868709999999993</v>
      </c>
      <c r="AO765" s="3">
        <v>96.076840000000004</v>
      </c>
      <c r="AP765" s="3">
        <v>99.959299999999999</v>
      </c>
      <c r="AQ765" s="3">
        <v>99.397499999999994</v>
      </c>
      <c r="AS765" s="3">
        <v>93.349400000000003</v>
      </c>
      <c r="AT765" s="3">
        <v>99.04665</v>
      </c>
      <c r="AU765" s="3">
        <v>97.86</v>
      </c>
      <c r="AV765" s="3">
        <v>99.963040000000007</v>
      </c>
      <c r="AW765" s="3">
        <v>78.396680000000003</v>
      </c>
      <c r="AX765" s="3">
        <v>96.661420000000007</v>
      </c>
      <c r="AY765" s="3">
        <v>85.130350000000007</v>
      </c>
    </row>
    <row r="766" spans="1:51" x14ac:dyDescent="0.2">
      <c r="A766" s="3" t="s">
        <v>663</v>
      </c>
      <c r="B766" s="49">
        <v>41122</v>
      </c>
      <c r="D766" s="3">
        <v>98.263180000000006</v>
      </c>
      <c r="E766" s="3">
        <v>81.483599999999996</v>
      </c>
      <c r="F766" s="3">
        <v>96.233869999999996</v>
      </c>
      <c r="G766" s="3">
        <v>101.07680000000001</v>
      </c>
      <c r="H766" s="3">
        <v>89.691929999999999</v>
      </c>
      <c r="I766" s="3">
        <v>94.192999999999998</v>
      </c>
      <c r="J766" s="3">
        <v>90.849410000000006</v>
      </c>
      <c r="K766" s="3">
        <v>90.646230000000003</v>
      </c>
      <c r="L766" s="3">
        <v>98</v>
      </c>
      <c r="M766" s="3">
        <v>97.490200000000002</v>
      </c>
      <c r="N766" s="3">
        <v>98.5</v>
      </c>
      <c r="O766" s="3">
        <v>98.02</v>
      </c>
      <c r="P766" s="3">
        <v>99.277379999999994</v>
      </c>
      <c r="Q766" s="3">
        <v>98.388390000000001</v>
      </c>
      <c r="R766" s="3">
        <v>100.24</v>
      </c>
      <c r="S766" s="3">
        <v>97.839489999999998</v>
      </c>
      <c r="T766" s="3">
        <v>99</v>
      </c>
      <c r="U766" s="3">
        <v>92.494889999999998</v>
      </c>
      <c r="V766" s="3">
        <v>97.163719999999998</v>
      </c>
      <c r="W766" s="3">
        <v>96.1</v>
      </c>
      <c r="X766" s="3">
        <v>102.1447</v>
      </c>
      <c r="Y766" s="3">
        <v>98.815690000000004</v>
      </c>
      <c r="Z766" s="3">
        <v>83.995959999999997</v>
      </c>
      <c r="AA766" s="3">
        <v>81.861649999999997</v>
      </c>
      <c r="AC766" s="3">
        <v>104.1931</v>
      </c>
      <c r="AD766" s="3">
        <v>99.497489999999999</v>
      </c>
      <c r="AE766" s="3">
        <v>99.069770000000005</v>
      </c>
      <c r="AF766" s="3">
        <v>96</v>
      </c>
      <c r="AG766" s="3">
        <v>96.831000000000003</v>
      </c>
      <c r="AI766" s="3">
        <v>97.68</v>
      </c>
      <c r="AJ766" s="3">
        <v>98.863609999999994</v>
      </c>
      <c r="AK766" s="3">
        <v>90.229799999999997</v>
      </c>
      <c r="AL766" s="3">
        <v>96.32</v>
      </c>
      <c r="AM766" s="3">
        <v>92.9</v>
      </c>
      <c r="AN766" s="3">
        <v>96.253950000000003</v>
      </c>
      <c r="AO766" s="3">
        <v>96.398669999999996</v>
      </c>
      <c r="AP766" s="3">
        <v>99.633700000000005</v>
      </c>
      <c r="AQ766" s="3">
        <v>99.256180000000001</v>
      </c>
      <c r="AS766" s="3">
        <v>93.639309999999995</v>
      </c>
      <c r="AT766" s="3">
        <v>99.107830000000007</v>
      </c>
      <c r="AU766" s="3">
        <v>98.56</v>
      </c>
      <c r="AV766" s="3">
        <v>100.0652</v>
      </c>
      <c r="AW766" s="3">
        <v>78.834159999999997</v>
      </c>
      <c r="AX766" s="3">
        <v>97.199359999999999</v>
      </c>
      <c r="AY766" s="3">
        <v>85.457350000000005</v>
      </c>
    </row>
    <row r="767" spans="1:51" x14ac:dyDescent="0.2">
      <c r="A767" s="3" t="s">
        <v>664</v>
      </c>
      <c r="B767" s="49">
        <v>41153</v>
      </c>
      <c r="D767" s="3">
        <v>98.431659999999994</v>
      </c>
      <c r="E767" s="3">
        <v>81.948080000000004</v>
      </c>
      <c r="F767" s="3">
        <v>96.391890000000004</v>
      </c>
      <c r="G767" s="3">
        <v>101.3918</v>
      </c>
      <c r="H767" s="3">
        <v>90.378349999999998</v>
      </c>
      <c r="I767" s="3">
        <v>94.482110000000006</v>
      </c>
      <c r="J767" s="3">
        <v>91.118229999999997</v>
      </c>
      <c r="K767" s="3">
        <v>90.708529999999996</v>
      </c>
      <c r="L767" s="3">
        <v>97.9</v>
      </c>
      <c r="M767" s="3">
        <v>97.583500000000001</v>
      </c>
      <c r="N767" s="3">
        <v>98.7</v>
      </c>
      <c r="O767" s="3">
        <v>98.73</v>
      </c>
      <c r="P767" s="3">
        <v>100.2544</v>
      </c>
      <c r="Q767" s="3">
        <v>98.9011</v>
      </c>
      <c r="R767" s="3">
        <v>100.25</v>
      </c>
      <c r="S767" s="3">
        <v>98.225549999999998</v>
      </c>
      <c r="T767" s="3">
        <v>98.76</v>
      </c>
      <c r="U767" s="3">
        <v>92.917770000000004</v>
      </c>
      <c r="V767" s="3">
        <v>97.434100000000001</v>
      </c>
      <c r="W767" s="3">
        <v>96.4</v>
      </c>
      <c r="X767" s="3">
        <v>104.6615</v>
      </c>
      <c r="Y767" s="3">
        <v>99.259799999999998</v>
      </c>
      <c r="Z767" s="3">
        <v>84.008459999999999</v>
      </c>
      <c r="AA767" s="3">
        <v>82.24418</v>
      </c>
      <c r="AC767" s="3">
        <v>104.4811</v>
      </c>
      <c r="AD767" s="3">
        <v>99.497489999999999</v>
      </c>
      <c r="AE767" s="3">
        <v>99.069770000000005</v>
      </c>
      <c r="AF767" s="3">
        <v>96.1</v>
      </c>
      <c r="AG767" s="3">
        <v>97.522999999999996</v>
      </c>
      <c r="AI767" s="3">
        <v>98.1</v>
      </c>
      <c r="AJ767" s="3">
        <v>99.321619999999996</v>
      </c>
      <c r="AK767" s="3">
        <v>90.627470000000002</v>
      </c>
      <c r="AL767" s="3">
        <v>96.72</v>
      </c>
      <c r="AM767" s="3">
        <v>93.9</v>
      </c>
      <c r="AN767" s="3">
        <v>96.598159999999993</v>
      </c>
      <c r="AO767" s="3">
        <v>96.710449999999994</v>
      </c>
      <c r="AP767" s="3">
        <v>99.715100000000007</v>
      </c>
      <c r="AQ767" s="3">
        <v>99.87518</v>
      </c>
      <c r="AS767" s="3">
        <v>94.122479999999996</v>
      </c>
      <c r="AT767" s="3">
        <v>99.413709999999995</v>
      </c>
      <c r="AU767" s="3">
        <v>99.6</v>
      </c>
      <c r="AV767" s="3">
        <v>100.46729999999999</v>
      </c>
      <c r="AW767" s="3">
        <v>79.647710000000004</v>
      </c>
      <c r="AX767" s="3">
        <v>97.633080000000007</v>
      </c>
      <c r="AY767" s="3">
        <v>86.111369999999994</v>
      </c>
    </row>
    <row r="768" spans="1:51" x14ac:dyDescent="0.2">
      <c r="A768" s="3" t="s">
        <v>665</v>
      </c>
      <c r="B768" s="49">
        <v>41183</v>
      </c>
      <c r="D768" s="3">
        <v>98.610050000000001</v>
      </c>
      <c r="E768" s="3">
        <v>82.43159</v>
      </c>
      <c r="F768" s="3">
        <v>96.549909999999997</v>
      </c>
      <c r="G768" s="3">
        <v>101.517</v>
      </c>
      <c r="H768" s="3">
        <v>90.890429999999995</v>
      </c>
      <c r="I768" s="3">
        <v>94.383380000000002</v>
      </c>
      <c r="J768" s="3">
        <v>91.258480000000006</v>
      </c>
      <c r="K768" s="3">
        <v>91.112399999999994</v>
      </c>
      <c r="L768" s="3">
        <v>98.2</v>
      </c>
      <c r="M768" s="3">
        <v>97.583500000000001</v>
      </c>
      <c r="N768" s="3">
        <v>98.7</v>
      </c>
      <c r="O768" s="3">
        <v>98.96</v>
      </c>
      <c r="P768" s="3">
        <v>101.1057</v>
      </c>
      <c r="Q768" s="3">
        <v>99.054910000000007</v>
      </c>
      <c r="R768" s="3">
        <v>100.56</v>
      </c>
      <c r="S768" s="3">
        <v>98.372619999999998</v>
      </c>
      <c r="T768" s="3">
        <v>98.94</v>
      </c>
      <c r="U768" s="3">
        <v>93.141909999999996</v>
      </c>
      <c r="V768" s="3">
        <v>97.459460000000007</v>
      </c>
      <c r="W768" s="3">
        <v>96.8</v>
      </c>
      <c r="X768" s="3">
        <v>105.51819999999999</v>
      </c>
      <c r="Y768" s="3">
        <v>99.407839999999993</v>
      </c>
      <c r="Z768" s="3">
        <v>84.145920000000004</v>
      </c>
      <c r="AA768" s="3">
        <v>83.009249999999994</v>
      </c>
      <c r="AC768" s="3">
        <v>104.3946</v>
      </c>
      <c r="AD768" s="3">
        <v>99.296490000000006</v>
      </c>
      <c r="AE768" s="3">
        <v>99.069770000000005</v>
      </c>
      <c r="AF768" s="3">
        <v>96.1</v>
      </c>
      <c r="AG768" s="3">
        <v>97.340999999999994</v>
      </c>
      <c r="AI768" s="3">
        <v>98.23</v>
      </c>
      <c r="AJ768" s="3">
        <v>99.313569999999999</v>
      </c>
      <c r="AK768" s="3">
        <v>91.085989999999995</v>
      </c>
      <c r="AL768" s="3">
        <v>97.29</v>
      </c>
      <c r="AM768" s="3">
        <v>94.3</v>
      </c>
      <c r="AN768" s="3">
        <v>96.746930000000006</v>
      </c>
      <c r="AO768" s="3">
        <v>97.079250000000002</v>
      </c>
      <c r="AP768" s="3">
        <v>100.1221</v>
      </c>
      <c r="AQ768" s="3">
        <v>100.1887</v>
      </c>
      <c r="AS768" s="3">
        <v>94.702290000000005</v>
      </c>
      <c r="AT768" s="3">
        <v>99.780779999999993</v>
      </c>
      <c r="AU768" s="3">
        <v>99.74</v>
      </c>
      <c r="AV768" s="3">
        <v>100.39709999999999</v>
      </c>
      <c r="AW768" s="3">
        <v>81.209590000000006</v>
      </c>
      <c r="AX768" s="3">
        <v>97.595110000000005</v>
      </c>
      <c r="AY768" s="3">
        <v>86.765370000000004</v>
      </c>
    </row>
    <row r="769" spans="1:51" x14ac:dyDescent="0.2">
      <c r="A769" s="3" t="s">
        <v>666</v>
      </c>
      <c r="B769" s="49">
        <v>41214</v>
      </c>
      <c r="D769" s="3">
        <v>98.50103</v>
      </c>
      <c r="E769" s="3">
        <v>82.926249999999996</v>
      </c>
      <c r="F769" s="3">
        <v>96.312880000000007</v>
      </c>
      <c r="G769" s="3">
        <v>101.1841</v>
      </c>
      <c r="H769" s="3">
        <v>90.476410000000001</v>
      </c>
      <c r="I769" s="3">
        <v>94.540949999999995</v>
      </c>
      <c r="J769" s="3">
        <v>91.14161</v>
      </c>
      <c r="K769" s="3">
        <v>91.850849999999994</v>
      </c>
      <c r="L769" s="3">
        <v>97.9</v>
      </c>
      <c r="M769" s="3">
        <v>97.676789999999997</v>
      </c>
      <c r="N769" s="3">
        <v>98.5</v>
      </c>
      <c r="O769" s="3">
        <v>98.76</v>
      </c>
      <c r="P769" s="3">
        <v>100.98090000000001</v>
      </c>
      <c r="Q769" s="3">
        <v>98.747280000000003</v>
      </c>
      <c r="R769" s="3">
        <v>100.82</v>
      </c>
      <c r="S769" s="3">
        <v>98.050899999999999</v>
      </c>
      <c r="T769" s="3">
        <v>98.79</v>
      </c>
      <c r="U769" s="3">
        <v>93.090059999999994</v>
      </c>
      <c r="V769" s="3">
        <v>97.160610000000005</v>
      </c>
      <c r="W769" s="3">
        <v>97</v>
      </c>
      <c r="X769" s="3">
        <v>105.0034</v>
      </c>
      <c r="Y769" s="3">
        <v>99.259799999999998</v>
      </c>
      <c r="Z769" s="3">
        <v>84.202160000000006</v>
      </c>
      <c r="AA769" s="3">
        <v>83.391779999999997</v>
      </c>
      <c r="AC769" s="3">
        <v>105.00790000000001</v>
      </c>
      <c r="AD769" s="3">
        <v>98.894469999999998</v>
      </c>
      <c r="AE769" s="3">
        <v>98.883719999999997</v>
      </c>
      <c r="AF769" s="3">
        <v>95.8</v>
      </c>
      <c r="AG769" s="3">
        <v>96.995000000000005</v>
      </c>
      <c r="AI769" s="3">
        <v>98.16</v>
      </c>
      <c r="AJ769" s="3">
        <v>99.238799999999998</v>
      </c>
      <c r="AK769" s="3">
        <v>91.704790000000003</v>
      </c>
      <c r="AL769" s="3">
        <v>96.89</v>
      </c>
      <c r="AM769" s="3">
        <v>94.4</v>
      </c>
      <c r="AN769" s="3">
        <v>96.531580000000005</v>
      </c>
      <c r="AO769" s="3">
        <v>97.0518</v>
      </c>
      <c r="AP769" s="3">
        <v>100.20350000000001</v>
      </c>
      <c r="AQ769" s="3">
        <v>99.873199999999997</v>
      </c>
      <c r="AS769" s="3">
        <v>94.895560000000003</v>
      </c>
      <c r="AT769" s="3">
        <v>99.780779999999993</v>
      </c>
      <c r="AU769" s="3">
        <v>99.67</v>
      </c>
      <c r="AV769" s="3">
        <v>100.15130000000001</v>
      </c>
      <c r="AW769" s="3">
        <v>81.516589999999994</v>
      </c>
      <c r="AX769" s="3">
        <v>97.1327</v>
      </c>
      <c r="AY769" s="3">
        <v>86.983379999999997</v>
      </c>
    </row>
    <row r="770" spans="1:51" x14ac:dyDescent="0.2">
      <c r="A770" s="3" t="s">
        <v>667</v>
      </c>
      <c r="B770" s="49">
        <v>41244</v>
      </c>
      <c r="D770" s="3">
        <v>98.510940000000005</v>
      </c>
      <c r="E770" s="3">
        <v>83.581450000000004</v>
      </c>
      <c r="F770" s="3">
        <v>95.759810000000002</v>
      </c>
      <c r="G770" s="3">
        <v>100.9678</v>
      </c>
      <c r="H770" s="3">
        <v>90.454610000000002</v>
      </c>
      <c r="I770" s="3">
        <v>95.236609999999999</v>
      </c>
      <c r="J770" s="3">
        <v>91.223420000000004</v>
      </c>
      <c r="K770" s="3">
        <v>92.106030000000004</v>
      </c>
      <c r="L770" s="3">
        <v>98</v>
      </c>
      <c r="M770" s="3">
        <v>97.956670000000003</v>
      </c>
      <c r="N770" s="3">
        <v>98.3</v>
      </c>
      <c r="O770" s="3">
        <v>99.11</v>
      </c>
      <c r="P770" s="3">
        <v>101.0518</v>
      </c>
      <c r="Q770" s="3">
        <v>98.696010000000001</v>
      </c>
      <c r="R770" s="3">
        <v>100.53</v>
      </c>
      <c r="S770" s="3">
        <v>98.179590000000005</v>
      </c>
      <c r="T770" s="3">
        <v>99.1</v>
      </c>
      <c r="U770" s="3">
        <v>93.290440000000004</v>
      </c>
      <c r="V770" s="3">
        <v>97.073319999999995</v>
      </c>
      <c r="W770" s="3">
        <v>97.3</v>
      </c>
      <c r="X770" s="3">
        <v>104.7285</v>
      </c>
      <c r="Y770" s="3">
        <v>99.333820000000003</v>
      </c>
      <c r="Z770" s="3">
        <v>84.658289999999994</v>
      </c>
      <c r="AA770" s="3">
        <v>83.77431</v>
      </c>
      <c r="AC770" s="3">
        <v>105.6</v>
      </c>
      <c r="AD770" s="3">
        <v>98.994969999999995</v>
      </c>
      <c r="AE770" s="3">
        <v>99.069770000000005</v>
      </c>
      <c r="AF770" s="3">
        <v>95.8</v>
      </c>
      <c r="AG770" s="3">
        <v>97.168000000000006</v>
      </c>
      <c r="AI770" s="3">
        <v>97.93</v>
      </c>
      <c r="AJ770" s="3">
        <v>99.282449999999997</v>
      </c>
      <c r="AK770" s="3">
        <v>91.915629999999993</v>
      </c>
      <c r="AL770" s="3">
        <v>96.76</v>
      </c>
      <c r="AM770" s="3">
        <v>94.7</v>
      </c>
      <c r="AN770" s="3">
        <v>96.498130000000003</v>
      </c>
      <c r="AO770" s="3">
        <v>97.239220000000003</v>
      </c>
      <c r="AP770" s="3">
        <v>100.28489999999999</v>
      </c>
      <c r="AQ770" s="3">
        <v>99.885140000000007</v>
      </c>
      <c r="AS770" s="3">
        <v>95.088840000000005</v>
      </c>
      <c r="AT770" s="3">
        <v>99.7196</v>
      </c>
      <c r="AU770" s="3">
        <v>99.39</v>
      </c>
      <c r="AV770" s="3">
        <v>100.4034</v>
      </c>
      <c r="AW770" s="3">
        <v>81.827420000000004</v>
      </c>
      <c r="AX770" s="3">
        <v>96.871110000000002</v>
      </c>
      <c r="AY770" s="3">
        <v>87.310379999999995</v>
      </c>
    </row>
    <row r="771" spans="1:51" x14ac:dyDescent="0.2">
      <c r="A771" s="3" t="s">
        <v>668</v>
      </c>
      <c r="B771" s="49">
        <v>41275</v>
      </c>
      <c r="D771" s="3">
        <v>98.481210000000004</v>
      </c>
      <c r="E771" s="3">
        <v>84.300219999999996</v>
      </c>
      <c r="F771" s="3">
        <v>95.838819999999998</v>
      </c>
      <c r="G771" s="3">
        <v>100.70440000000001</v>
      </c>
      <c r="H771" s="3">
        <v>90.618049999999997</v>
      </c>
      <c r="I771" s="3">
        <v>96.188550000000006</v>
      </c>
      <c r="J771" s="3">
        <v>91.492239999999995</v>
      </c>
      <c r="K771" s="3">
        <v>93.313659999999999</v>
      </c>
      <c r="L771" s="3">
        <v>99.3</v>
      </c>
      <c r="M771" s="3">
        <v>97.490200000000002</v>
      </c>
      <c r="N771" s="3">
        <v>97.9</v>
      </c>
      <c r="O771" s="3">
        <v>98.09</v>
      </c>
      <c r="P771" s="3">
        <v>99.760409999999993</v>
      </c>
      <c r="Q771" s="3">
        <v>99.362530000000007</v>
      </c>
      <c r="R771" s="3">
        <v>101.04</v>
      </c>
      <c r="S771" s="3">
        <v>98.096860000000007</v>
      </c>
      <c r="T771" s="3">
        <v>98.6</v>
      </c>
      <c r="U771" s="3">
        <v>93.558890000000005</v>
      </c>
      <c r="V771" s="3">
        <v>97.163579999999996</v>
      </c>
      <c r="W771" s="3">
        <v>97</v>
      </c>
      <c r="X771" s="3">
        <v>103.2689</v>
      </c>
      <c r="Y771" s="3">
        <v>100.148</v>
      </c>
      <c r="Z771" s="3">
        <v>85.167400000000001</v>
      </c>
      <c r="AA771" s="3">
        <v>84.539370000000005</v>
      </c>
      <c r="AC771" s="3">
        <v>105.6367</v>
      </c>
      <c r="AD771" s="3">
        <v>98.894469999999998</v>
      </c>
      <c r="AE771" s="3">
        <v>99.255809999999997</v>
      </c>
      <c r="AF771" s="3">
        <v>95.9</v>
      </c>
      <c r="AG771" s="3">
        <v>97.751000000000005</v>
      </c>
      <c r="AI771" s="3">
        <v>97.05</v>
      </c>
      <c r="AJ771" s="3">
        <v>99.120069999999998</v>
      </c>
      <c r="AK771" s="3">
        <v>92.285870000000003</v>
      </c>
      <c r="AL771" s="3">
        <v>96.78</v>
      </c>
      <c r="AM771" s="3">
        <v>94.5</v>
      </c>
      <c r="AN771" s="3">
        <v>96.600059999999999</v>
      </c>
      <c r="AO771" s="3">
        <v>97.051090000000002</v>
      </c>
      <c r="AP771" s="3">
        <v>100.3663</v>
      </c>
      <c r="AQ771" s="3">
        <v>98.644130000000004</v>
      </c>
      <c r="AS771" s="3">
        <v>96.151820000000001</v>
      </c>
      <c r="AT771" s="3">
        <v>100.3314</v>
      </c>
      <c r="AU771" s="3">
        <v>98.62</v>
      </c>
      <c r="AV771" s="3">
        <v>99.570499999999996</v>
      </c>
      <c r="AW771" s="3">
        <v>83.174390000000002</v>
      </c>
      <c r="AX771" s="3">
        <v>97.157589999999999</v>
      </c>
      <c r="AY771" s="3">
        <v>87.528390000000002</v>
      </c>
    </row>
    <row r="772" spans="1:51" x14ac:dyDescent="0.2">
      <c r="A772" s="3" t="s">
        <v>669</v>
      </c>
      <c r="B772" s="49">
        <v>41306</v>
      </c>
      <c r="D772" s="3">
        <v>98.798349999999999</v>
      </c>
      <c r="E772" s="3">
        <v>84.806010000000001</v>
      </c>
      <c r="F772" s="3">
        <v>96.944950000000006</v>
      </c>
      <c r="G772" s="3">
        <v>101.0018</v>
      </c>
      <c r="H772" s="3">
        <v>90.71611</v>
      </c>
      <c r="I772" s="3">
        <v>97.246269999999996</v>
      </c>
      <c r="J772" s="3">
        <v>91.901309999999995</v>
      </c>
      <c r="K772" s="3">
        <v>94.266099999999994</v>
      </c>
      <c r="L772" s="3">
        <v>99.4</v>
      </c>
      <c r="M772" s="3">
        <v>98.049959999999999</v>
      </c>
      <c r="N772" s="3">
        <v>99</v>
      </c>
      <c r="O772" s="3">
        <v>98.45</v>
      </c>
      <c r="P772" s="3">
        <v>99.933049999999994</v>
      </c>
      <c r="Q772" s="3">
        <v>99.977779999999996</v>
      </c>
      <c r="R772" s="3">
        <v>100.35</v>
      </c>
      <c r="S772" s="3">
        <v>98.675960000000003</v>
      </c>
      <c r="T772" s="3">
        <v>98.88</v>
      </c>
      <c r="U772" s="3">
        <v>94.162130000000005</v>
      </c>
      <c r="V772" s="3">
        <v>97.727000000000004</v>
      </c>
      <c r="W772" s="3">
        <v>97.5</v>
      </c>
      <c r="X772" s="3">
        <v>101.563</v>
      </c>
      <c r="Y772" s="3">
        <v>100.074</v>
      </c>
      <c r="Z772" s="3">
        <v>85.765299999999996</v>
      </c>
      <c r="AA772" s="3">
        <v>85.304429999999996</v>
      </c>
      <c r="AC772" s="3">
        <v>105.5598</v>
      </c>
      <c r="AD772" s="3">
        <v>98.894469999999998</v>
      </c>
      <c r="AE772" s="3">
        <v>99.348839999999996</v>
      </c>
      <c r="AF772" s="3">
        <v>95.7</v>
      </c>
      <c r="AG772" s="3">
        <v>98.078000000000003</v>
      </c>
      <c r="AI772" s="3">
        <v>98.9</v>
      </c>
      <c r="AJ772" s="3">
        <v>98.991410000000002</v>
      </c>
      <c r="AK772" s="3">
        <v>92.740110000000001</v>
      </c>
      <c r="AL772" s="3">
        <v>97.54</v>
      </c>
      <c r="AM772" s="3">
        <v>95.1</v>
      </c>
      <c r="AN772" s="3">
        <v>97.074529999999996</v>
      </c>
      <c r="AO772" s="3">
        <v>97.361339999999998</v>
      </c>
      <c r="AP772" s="3">
        <v>100.3663</v>
      </c>
      <c r="AQ772" s="3">
        <v>98.525710000000004</v>
      </c>
      <c r="AS772" s="3">
        <v>96.234780000000001</v>
      </c>
      <c r="AT772" s="3">
        <v>100.3314</v>
      </c>
      <c r="AU772" s="3">
        <v>99.42</v>
      </c>
      <c r="AV772" s="3">
        <v>100.0141</v>
      </c>
      <c r="AW772" s="3">
        <v>83.423839999999998</v>
      </c>
      <c r="AX772" s="3">
        <v>97.953310000000002</v>
      </c>
      <c r="AY772" s="3">
        <v>88.291399999999996</v>
      </c>
    </row>
    <row r="773" spans="1:51" x14ac:dyDescent="0.2">
      <c r="A773" s="3" t="s">
        <v>670</v>
      </c>
      <c r="B773" s="49">
        <v>41334</v>
      </c>
      <c r="D773" s="3">
        <v>98.937100000000001</v>
      </c>
      <c r="E773" s="3">
        <v>85.204610000000002</v>
      </c>
      <c r="F773" s="3">
        <v>97.102969999999999</v>
      </c>
      <c r="G773" s="3">
        <v>101.2213</v>
      </c>
      <c r="H773" s="3">
        <v>91.064769999999996</v>
      </c>
      <c r="I773" s="3">
        <v>96.371889999999993</v>
      </c>
      <c r="J773" s="3">
        <v>92.088319999999996</v>
      </c>
      <c r="K773" s="3">
        <v>94.368579999999994</v>
      </c>
      <c r="L773" s="3">
        <v>99.5</v>
      </c>
      <c r="M773" s="3">
        <v>98.516419999999997</v>
      </c>
      <c r="N773" s="3">
        <v>99.3</v>
      </c>
      <c r="O773" s="3">
        <v>99.61</v>
      </c>
      <c r="P773" s="3">
        <v>100.2843</v>
      </c>
      <c r="Q773" s="3">
        <v>100.74679999999999</v>
      </c>
      <c r="R773" s="3">
        <v>100.75</v>
      </c>
      <c r="S773" s="3">
        <v>99.126360000000005</v>
      </c>
      <c r="T773" s="3">
        <v>99.63</v>
      </c>
      <c r="U773" s="3">
        <v>94.445179999999993</v>
      </c>
      <c r="V773" s="3">
        <v>98.020679999999999</v>
      </c>
      <c r="W773" s="3">
        <v>97.8</v>
      </c>
      <c r="X773" s="3">
        <v>104.1502</v>
      </c>
      <c r="Y773" s="3">
        <v>100.2961</v>
      </c>
      <c r="Z773" s="3">
        <v>86.172200000000004</v>
      </c>
      <c r="AA773" s="3">
        <v>85.686959999999999</v>
      </c>
      <c r="AC773" s="3">
        <v>106.20610000000001</v>
      </c>
      <c r="AD773" s="3">
        <v>99.095470000000006</v>
      </c>
      <c r="AE773" s="3">
        <v>99.534880000000001</v>
      </c>
      <c r="AF773" s="3">
        <v>95.9</v>
      </c>
      <c r="AG773" s="3">
        <v>97.986999999999995</v>
      </c>
      <c r="AI773" s="3">
        <v>98.91</v>
      </c>
      <c r="AJ773" s="3">
        <v>99.477400000000003</v>
      </c>
      <c r="AK773" s="3">
        <v>93.420609999999996</v>
      </c>
      <c r="AL773" s="3">
        <v>98.58</v>
      </c>
      <c r="AM773" s="3">
        <v>95.4</v>
      </c>
      <c r="AN773" s="3">
        <v>97.404719999999998</v>
      </c>
      <c r="AO773" s="3">
        <v>97.840209999999999</v>
      </c>
      <c r="AP773" s="3">
        <v>100.5291</v>
      </c>
      <c r="AQ773" s="3">
        <v>100.1538</v>
      </c>
      <c r="AS773" s="3">
        <v>96.214039999999997</v>
      </c>
      <c r="AT773" s="3">
        <v>100.3926</v>
      </c>
      <c r="AU773" s="3">
        <v>99.73</v>
      </c>
      <c r="AV773" s="3">
        <v>100.4162</v>
      </c>
      <c r="AW773" s="3">
        <v>83.976439999999997</v>
      </c>
      <c r="AX773" s="3">
        <v>98.209410000000005</v>
      </c>
      <c r="AY773" s="3">
        <v>89.381420000000006</v>
      </c>
    </row>
    <row r="774" spans="1:51" x14ac:dyDescent="0.2">
      <c r="A774" s="3" t="s">
        <v>671</v>
      </c>
      <c r="B774" s="49">
        <v>41365</v>
      </c>
      <c r="D774" s="3">
        <v>98.897450000000006</v>
      </c>
      <c r="E774" s="3">
        <v>85.673270000000002</v>
      </c>
      <c r="F774" s="3">
        <v>96.944950000000006</v>
      </c>
      <c r="G774" s="3">
        <v>101.25539999999999</v>
      </c>
      <c r="H774" s="3">
        <v>90.62894</v>
      </c>
      <c r="I774" s="3">
        <v>96.562420000000003</v>
      </c>
      <c r="J774" s="3">
        <v>92.310389999999998</v>
      </c>
      <c r="K774" s="3">
        <v>95.057789999999997</v>
      </c>
      <c r="L774" s="3">
        <v>99.5</v>
      </c>
      <c r="M774" s="3">
        <v>98.049959999999999</v>
      </c>
      <c r="N774" s="3">
        <v>99.1</v>
      </c>
      <c r="O774" s="3">
        <v>99.52</v>
      </c>
      <c r="P774" s="3">
        <v>100.6596</v>
      </c>
      <c r="Q774" s="3">
        <v>100.6443</v>
      </c>
      <c r="R774" s="3">
        <v>101.43</v>
      </c>
      <c r="S774" s="3">
        <v>99.273430000000005</v>
      </c>
      <c r="T774" s="3">
        <v>99.48</v>
      </c>
      <c r="U774" s="3">
        <v>94.582989999999995</v>
      </c>
      <c r="V774" s="3">
        <v>97.960009999999997</v>
      </c>
      <c r="W774" s="3">
        <v>98</v>
      </c>
      <c r="X774" s="3">
        <v>104.6335</v>
      </c>
      <c r="Y774" s="3">
        <v>100.5181</v>
      </c>
      <c r="Z774" s="3">
        <v>86.213719999999995</v>
      </c>
      <c r="AA774" s="3">
        <v>86.452029999999993</v>
      </c>
      <c r="AC774" s="3">
        <v>106.2615</v>
      </c>
      <c r="AD774" s="3">
        <v>99.497489999999999</v>
      </c>
      <c r="AE774" s="3">
        <v>99.534880000000001</v>
      </c>
      <c r="AF774" s="3">
        <v>96.2</v>
      </c>
      <c r="AG774" s="3">
        <v>97.850999999999999</v>
      </c>
      <c r="AI774" s="3">
        <v>99</v>
      </c>
      <c r="AJ774" s="3">
        <v>99.514089999999996</v>
      </c>
      <c r="AK774" s="3">
        <v>93.482320000000001</v>
      </c>
      <c r="AL774" s="3">
        <v>98.67</v>
      </c>
      <c r="AM774" s="3">
        <v>95.9</v>
      </c>
      <c r="AN774" s="3">
        <v>97.406289999999998</v>
      </c>
      <c r="AO774" s="3">
        <v>97.867410000000007</v>
      </c>
      <c r="AP774" s="3">
        <v>100.9361</v>
      </c>
      <c r="AQ774" s="3">
        <v>100.1648</v>
      </c>
      <c r="AS774" s="3">
        <v>96.214039999999997</v>
      </c>
      <c r="AT774" s="3">
        <v>100.3926</v>
      </c>
      <c r="AU774" s="3">
        <v>100.39</v>
      </c>
      <c r="AV774" s="3">
        <v>100.2183</v>
      </c>
      <c r="AW774" s="3">
        <v>84.329490000000007</v>
      </c>
      <c r="AX774" s="3">
        <v>98.107309999999998</v>
      </c>
      <c r="AY774" s="3">
        <v>89.599419999999995</v>
      </c>
    </row>
    <row r="775" spans="1:51" x14ac:dyDescent="0.2">
      <c r="A775" s="3" t="s">
        <v>672</v>
      </c>
      <c r="B775" s="49">
        <v>41395</v>
      </c>
      <c r="D775" s="3">
        <v>99.046109999999999</v>
      </c>
      <c r="E775" s="3">
        <v>85.990200000000002</v>
      </c>
      <c r="F775" s="3">
        <v>97.181979999999996</v>
      </c>
      <c r="G775" s="3">
        <v>101.3668</v>
      </c>
      <c r="H775" s="3">
        <v>90.618049999999997</v>
      </c>
      <c r="I775" s="3">
        <v>95.984059999999999</v>
      </c>
      <c r="J775" s="3">
        <v>92.579210000000003</v>
      </c>
      <c r="K775" s="3">
        <v>95.071849999999998</v>
      </c>
      <c r="L775" s="3">
        <v>99.3</v>
      </c>
      <c r="M775" s="3">
        <v>98.42313</v>
      </c>
      <c r="N775" s="3">
        <v>99.2</v>
      </c>
      <c r="O775" s="3">
        <v>99.63</v>
      </c>
      <c r="P775" s="3">
        <v>100.84520000000001</v>
      </c>
      <c r="Q775" s="3">
        <v>100.8494</v>
      </c>
      <c r="R775" s="3">
        <v>101.97</v>
      </c>
      <c r="S775" s="3">
        <v>99.291820000000001</v>
      </c>
      <c r="T775" s="3">
        <v>99.54</v>
      </c>
      <c r="U775" s="3">
        <v>94.695790000000002</v>
      </c>
      <c r="V775" s="3">
        <v>98.129559999999998</v>
      </c>
      <c r="W775" s="3">
        <v>98.2</v>
      </c>
      <c r="X775" s="3">
        <v>104.444</v>
      </c>
      <c r="Y775" s="3">
        <v>100.44410000000001</v>
      </c>
      <c r="Z775" s="3">
        <v>86.296760000000006</v>
      </c>
      <c r="AA775" s="3">
        <v>87.217089999999999</v>
      </c>
      <c r="AC775" s="3">
        <v>106.4542</v>
      </c>
      <c r="AD775" s="3">
        <v>99.597989999999996</v>
      </c>
      <c r="AE775" s="3">
        <v>99.534880000000001</v>
      </c>
      <c r="AF775" s="3">
        <v>96.3</v>
      </c>
      <c r="AG775" s="3">
        <v>97.850999999999999</v>
      </c>
      <c r="AI775" s="3">
        <v>98.78</v>
      </c>
      <c r="AJ775" s="3">
        <v>99.587950000000006</v>
      </c>
      <c r="AK775" s="3">
        <v>93.171199999999999</v>
      </c>
      <c r="AL775" s="3">
        <v>98.69</v>
      </c>
      <c r="AM775" s="3">
        <v>96</v>
      </c>
      <c r="AN775" s="3">
        <v>97.531779999999998</v>
      </c>
      <c r="AO775" s="3">
        <v>98.002650000000003</v>
      </c>
      <c r="AP775" s="3">
        <v>100.85469999999999</v>
      </c>
      <c r="AQ775" s="3">
        <v>100.336</v>
      </c>
      <c r="AS775" s="3">
        <v>96.203670000000002</v>
      </c>
      <c r="AT775" s="3">
        <v>100.5149</v>
      </c>
      <c r="AU775" s="3">
        <v>100.71</v>
      </c>
      <c r="AV775" s="3">
        <v>100.3811</v>
      </c>
      <c r="AW775" s="3">
        <v>84.452290000000005</v>
      </c>
      <c r="AX775" s="3">
        <v>98.281980000000004</v>
      </c>
      <c r="AY775" s="3">
        <v>89.381420000000006</v>
      </c>
    </row>
    <row r="776" spans="1:51" x14ac:dyDescent="0.2">
      <c r="A776" s="3" t="s">
        <v>673</v>
      </c>
      <c r="B776" s="49">
        <v>41426</v>
      </c>
      <c r="D776" s="3">
        <v>99.214590000000001</v>
      </c>
      <c r="E776" s="3">
        <v>86.213859999999997</v>
      </c>
      <c r="F776" s="3">
        <v>97.181979999999996</v>
      </c>
      <c r="G776" s="3">
        <v>101.4663</v>
      </c>
      <c r="H776" s="3">
        <v>91.195509999999999</v>
      </c>
      <c r="I776" s="3">
        <v>95.984059999999999</v>
      </c>
      <c r="J776" s="3">
        <v>92.801280000000006</v>
      </c>
      <c r="K776" s="3">
        <v>95.088930000000005</v>
      </c>
      <c r="L776" s="3">
        <v>99.7</v>
      </c>
      <c r="M776" s="3">
        <v>98.516419999999997</v>
      </c>
      <c r="N776" s="3">
        <v>99.1</v>
      </c>
      <c r="O776" s="3">
        <v>99.73</v>
      </c>
      <c r="P776" s="3">
        <v>100.9939</v>
      </c>
      <c r="Q776" s="3">
        <v>101.3621</v>
      </c>
      <c r="R776" s="3">
        <v>101.9</v>
      </c>
      <c r="S776" s="3">
        <v>99.227469999999997</v>
      </c>
      <c r="T776" s="3">
        <v>99.7</v>
      </c>
      <c r="U776" s="3">
        <v>94.942670000000007</v>
      </c>
      <c r="V776" s="3">
        <v>98.279859999999999</v>
      </c>
      <c r="W776" s="3">
        <v>98</v>
      </c>
      <c r="X776" s="3">
        <v>104.19759999999999</v>
      </c>
      <c r="Y776" s="3">
        <v>100.6662</v>
      </c>
      <c r="Z776" s="3">
        <v>87.177000000000007</v>
      </c>
      <c r="AA776" s="3">
        <v>88.364680000000007</v>
      </c>
      <c r="AC776" s="3">
        <v>106.7269</v>
      </c>
      <c r="AD776" s="3">
        <v>100.402</v>
      </c>
      <c r="AE776" s="3">
        <v>99.813959999999994</v>
      </c>
      <c r="AF776" s="3">
        <v>96.3</v>
      </c>
      <c r="AG776" s="3">
        <v>97.731999999999999</v>
      </c>
      <c r="AI776" s="3">
        <v>99.11</v>
      </c>
      <c r="AJ776" s="3">
        <v>99.800560000000004</v>
      </c>
      <c r="AK776" s="3">
        <v>93.114639999999994</v>
      </c>
      <c r="AL776" s="3">
        <v>98.32</v>
      </c>
      <c r="AM776" s="3">
        <v>95.7</v>
      </c>
      <c r="AN776" s="3">
        <v>97.668180000000007</v>
      </c>
      <c r="AO776" s="3">
        <v>98.106759999999994</v>
      </c>
      <c r="AP776" s="3">
        <v>100.85469999999999</v>
      </c>
      <c r="AQ776" s="3">
        <v>100.3877</v>
      </c>
      <c r="AS776" s="3">
        <v>96.255520000000004</v>
      </c>
      <c r="AT776" s="3">
        <v>100.6373</v>
      </c>
      <c r="AU776" s="3">
        <v>100.76</v>
      </c>
      <c r="AV776" s="3">
        <v>100.2056</v>
      </c>
      <c r="AW776" s="3">
        <v>85.096990000000005</v>
      </c>
      <c r="AX776" s="3">
        <v>98.517830000000004</v>
      </c>
      <c r="AY776" s="3">
        <v>89.708420000000004</v>
      </c>
    </row>
    <row r="777" spans="1:51" x14ac:dyDescent="0.2">
      <c r="A777" s="3" t="s">
        <v>674</v>
      </c>
      <c r="B777" s="49">
        <v>41456</v>
      </c>
      <c r="D777" s="3">
        <v>99.313689999999994</v>
      </c>
      <c r="E777" s="3">
        <v>86.239609999999999</v>
      </c>
      <c r="F777" s="3">
        <v>97.260990000000007</v>
      </c>
      <c r="G777" s="3">
        <v>101.1045</v>
      </c>
      <c r="H777" s="3">
        <v>91.435209999999998</v>
      </c>
      <c r="I777" s="3">
        <v>96.078969999999998</v>
      </c>
      <c r="J777" s="3">
        <v>92.836340000000007</v>
      </c>
      <c r="K777" s="3">
        <v>95.411429999999996</v>
      </c>
      <c r="L777" s="3">
        <v>99.5</v>
      </c>
      <c r="M777" s="3">
        <v>98.982879999999994</v>
      </c>
      <c r="N777" s="3">
        <v>98.8</v>
      </c>
      <c r="O777" s="3">
        <v>99.2</v>
      </c>
      <c r="P777" s="3">
        <v>100.473</v>
      </c>
      <c r="Q777" s="3">
        <v>101.25960000000001</v>
      </c>
      <c r="R777" s="3">
        <v>101.97</v>
      </c>
      <c r="S777" s="3">
        <v>99.209090000000003</v>
      </c>
      <c r="T777" s="3">
        <v>99.4</v>
      </c>
      <c r="U777" s="3">
        <v>95.196860000000001</v>
      </c>
      <c r="V777" s="3">
        <v>98.358670000000004</v>
      </c>
      <c r="W777" s="3">
        <v>98</v>
      </c>
      <c r="X777" s="3">
        <v>102.47280000000001</v>
      </c>
      <c r="Y777" s="3">
        <v>100.37009999999999</v>
      </c>
      <c r="Z777" s="3">
        <v>89.809420000000003</v>
      </c>
      <c r="AA777" s="3">
        <v>89.894810000000007</v>
      </c>
      <c r="AC777" s="3">
        <v>107.3314</v>
      </c>
      <c r="AD777" s="3">
        <v>100.70350000000001</v>
      </c>
      <c r="AE777" s="3">
        <v>99.906970000000001</v>
      </c>
      <c r="AF777" s="3">
        <v>96.5</v>
      </c>
      <c r="AG777" s="3">
        <v>97.941999999999993</v>
      </c>
      <c r="AI777" s="3">
        <v>97.97</v>
      </c>
      <c r="AJ777" s="3">
        <v>99.475629999999995</v>
      </c>
      <c r="AK777" s="3">
        <v>93.083789999999993</v>
      </c>
      <c r="AL777" s="3">
        <v>99.15</v>
      </c>
      <c r="AM777" s="3">
        <v>96.1</v>
      </c>
      <c r="AN777" s="3">
        <v>97.747529999999998</v>
      </c>
      <c r="AO777" s="3">
        <v>98.132959999999997</v>
      </c>
      <c r="AP777" s="3">
        <v>101.1803</v>
      </c>
      <c r="AQ777" s="3">
        <v>100.15089999999999</v>
      </c>
      <c r="AS777" s="3">
        <v>96.774019999999993</v>
      </c>
      <c r="AT777" s="3">
        <v>100.5761</v>
      </c>
      <c r="AU777" s="3">
        <v>100.44</v>
      </c>
      <c r="AV777" s="3">
        <v>100.0652</v>
      </c>
      <c r="AW777" s="3">
        <v>85.361789999999999</v>
      </c>
      <c r="AX777" s="3">
        <v>98.556640000000002</v>
      </c>
      <c r="AY777" s="3">
        <v>90.580439999999996</v>
      </c>
    </row>
    <row r="778" spans="1:51" x14ac:dyDescent="0.2">
      <c r="A778" s="3" t="s">
        <v>675</v>
      </c>
      <c r="B778" s="49">
        <v>41487</v>
      </c>
      <c r="D778" s="3">
        <v>99.254230000000007</v>
      </c>
      <c r="E778" s="3">
        <v>86.446560000000005</v>
      </c>
      <c r="F778" s="3">
        <v>97.260990000000007</v>
      </c>
      <c r="G778" s="3">
        <v>101.0318</v>
      </c>
      <c r="H778" s="3">
        <v>91.653120000000001</v>
      </c>
      <c r="I778" s="3">
        <v>96.562280000000001</v>
      </c>
      <c r="J778" s="3">
        <v>92.906469999999999</v>
      </c>
      <c r="K778" s="3">
        <v>95.456639999999993</v>
      </c>
      <c r="L778" s="3">
        <v>99.3</v>
      </c>
      <c r="M778" s="3">
        <v>98.982879999999994</v>
      </c>
      <c r="N778" s="3">
        <v>98.9</v>
      </c>
      <c r="O778" s="3">
        <v>99.32</v>
      </c>
      <c r="P778" s="3">
        <v>100.78530000000001</v>
      </c>
      <c r="Q778" s="3">
        <v>101.25960000000001</v>
      </c>
      <c r="R778" s="3">
        <v>101.61</v>
      </c>
      <c r="S778" s="3">
        <v>99.05283</v>
      </c>
      <c r="T778" s="3">
        <v>99.86</v>
      </c>
      <c r="U778" s="3">
        <v>95.463980000000006</v>
      </c>
      <c r="V778" s="3">
        <v>98.541359999999997</v>
      </c>
      <c r="W778" s="3">
        <v>98.4</v>
      </c>
      <c r="X778" s="3">
        <v>100.8428</v>
      </c>
      <c r="Y778" s="3">
        <v>100.148</v>
      </c>
      <c r="Z778" s="3">
        <v>90.697969999999998</v>
      </c>
      <c r="AA778" s="3">
        <v>90.659869999999998</v>
      </c>
      <c r="AC778" s="3">
        <v>107.5975</v>
      </c>
      <c r="AD778" s="3">
        <v>100.9045</v>
      </c>
      <c r="AE778" s="3">
        <v>100.2791</v>
      </c>
      <c r="AF778" s="3">
        <v>96.8</v>
      </c>
      <c r="AG778" s="3">
        <v>98.287999999999997</v>
      </c>
      <c r="AI778" s="3">
        <v>99.4</v>
      </c>
      <c r="AJ778" s="3">
        <v>98.660380000000004</v>
      </c>
      <c r="AK778" s="3">
        <v>93.348619999999997</v>
      </c>
      <c r="AL778" s="3">
        <v>99.03</v>
      </c>
      <c r="AM778" s="3">
        <v>96</v>
      </c>
      <c r="AN778" s="3">
        <v>97.885940000000005</v>
      </c>
      <c r="AO778" s="3">
        <v>98.240660000000005</v>
      </c>
      <c r="AP778" s="3">
        <v>100.85469999999999</v>
      </c>
      <c r="AQ778" s="3">
        <v>99.408439999999999</v>
      </c>
      <c r="AS778" s="3">
        <v>96.73254</v>
      </c>
      <c r="AT778" s="3">
        <v>100.4537</v>
      </c>
      <c r="AU778" s="3">
        <v>100.78</v>
      </c>
      <c r="AV778" s="3">
        <v>100.15770000000001</v>
      </c>
      <c r="AW778" s="3">
        <v>85.273520000000005</v>
      </c>
      <c r="AX778" s="3">
        <v>98.675200000000004</v>
      </c>
      <c r="AY778" s="3">
        <v>90.907439999999994</v>
      </c>
    </row>
    <row r="779" spans="1:51" x14ac:dyDescent="0.2">
      <c r="A779" s="3" t="s">
        <v>676</v>
      </c>
      <c r="B779" s="49">
        <v>41518</v>
      </c>
      <c r="D779" s="3">
        <v>99.313689999999994</v>
      </c>
      <c r="E779" s="3">
        <v>86.749110000000002</v>
      </c>
      <c r="F779" s="3">
        <v>97.41901</v>
      </c>
      <c r="G779" s="3">
        <v>101.3357</v>
      </c>
      <c r="H779" s="3">
        <v>92.154319999999998</v>
      </c>
      <c r="I779" s="3">
        <v>97.331869999999995</v>
      </c>
      <c r="J779" s="3">
        <v>93.186970000000002</v>
      </c>
      <c r="K779" s="3">
        <v>95.581220000000002</v>
      </c>
      <c r="L779" s="3">
        <v>98.9</v>
      </c>
      <c r="M779" s="3">
        <v>98.982879999999994</v>
      </c>
      <c r="N779" s="3">
        <v>99.2</v>
      </c>
      <c r="O779" s="3">
        <v>99.8</v>
      </c>
      <c r="P779" s="3">
        <v>100.5967</v>
      </c>
      <c r="Q779" s="3">
        <v>100.9007</v>
      </c>
      <c r="R779" s="3">
        <v>101.81</v>
      </c>
      <c r="S779" s="3">
        <v>99.402119999999996</v>
      </c>
      <c r="T779" s="3">
        <v>99.63</v>
      </c>
      <c r="U779" s="3">
        <v>95.784649999999999</v>
      </c>
      <c r="V779" s="3">
        <v>98.63982</v>
      </c>
      <c r="W779" s="3">
        <v>98.7</v>
      </c>
      <c r="X779" s="3">
        <v>103.4868</v>
      </c>
      <c r="Y779" s="3">
        <v>100.59220000000001</v>
      </c>
      <c r="Z779" s="3">
        <v>90.473749999999995</v>
      </c>
      <c r="AA779" s="3">
        <v>91.042400000000001</v>
      </c>
      <c r="AC779" s="3">
        <v>108.38760000000001</v>
      </c>
      <c r="AD779" s="3">
        <v>100.9045</v>
      </c>
      <c r="AE779" s="3">
        <v>100</v>
      </c>
      <c r="AF779" s="3">
        <v>97.1</v>
      </c>
      <c r="AG779" s="3">
        <v>98.478999999999999</v>
      </c>
      <c r="AI779" s="3">
        <v>99.57</v>
      </c>
      <c r="AJ779" s="3">
        <v>98.933120000000002</v>
      </c>
      <c r="AK779" s="3">
        <v>93.700010000000006</v>
      </c>
      <c r="AL779" s="3">
        <v>99.08</v>
      </c>
      <c r="AM779" s="3">
        <v>96.4</v>
      </c>
      <c r="AN779" s="3">
        <v>98.038070000000005</v>
      </c>
      <c r="AO779" s="3">
        <v>98.367450000000005</v>
      </c>
      <c r="AP779" s="3">
        <v>100.9361</v>
      </c>
      <c r="AQ779" s="3">
        <v>99.990629999999996</v>
      </c>
      <c r="AS779" s="3">
        <v>96.825869999999995</v>
      </c>
      <c r="AT779" s="3">
        <v>100.3926</v>
      </c>
      <c r="AU779" s="3">
        <v>101.03</v>
      </c>
      <c r="AV779" s="3">
        <v>100.54389999999999</v>
      </c>
      <c r="AW779" s="3">
        <v>85.925899999999999</v>
      </c>
      <c r="AX779" s="3">
        <v>98.789959999999994</v>
      </c>
      <c r="AY779" s="3">
        <v>91.343440000000001</v>
      </c>
    </row>
    <row r="780" spans="1:51" x14ac:dyDescent="0.2">
      <c r="A780" s="3" t="s">
        <v>677</v>
      </c>
      <c r="B780" s="49">
        <v>41548</v>
      </c>
      <c r="D780" s="3">
        <v>99.234409999999997</v>
      </c>
      <c r="E780" s="3">
        <v>87.243530000000007</v>
      </c>
      <c r="F780" s="3">
        <v>97.181979999999996</v>
      </c>
      <c r="G780" s="3">
        <v>101.25790000000001</v>
      </c>
      <c r="H780" s="3">
        <v>92.285060000000001</v>
      </c>
      <c r="I780" s="3">
        <v>97.429599999999994</v>
      </c>
      <c r="J780" s="3">
        <v>92.94153</v>
      </c>
      <c r="K780" s="3">
        <v>94.853840000000005</v>
      </c>
      <c r="L780" s="3">
        <v>99.1</v>
      </c>
      <c r="M780" s="3">
        <v>98.796300000000002</v>
      </c>
      <c r="N780" s="3">
        <v>99.3</v>
      </c>
      <c r="O780" s="3">
        <v>99.68</v>
      </c>
      <c r="P780" s="3">
        <v>101.00490000000001</v>
      </c>
      <c r="Q780" s="3">
        <v>100.593</v>
      </c>
      <c r="R780" s="3">
        <v>102.17</v>
      </c>
      <c r="S780" s="3">
        <v>99.54</v>
      </c>
      <c r="T780" s="3">
        <v>99.5</v>
      </c>
      <c r="U780" s="3">
        <v>95.935720000000003</v>
      </c>
      <c r="V780" s="3">
        <v>98.474800000000002</v>
      </c>
      <c r="W780" s="3">
        <v>98.8</v>
      </c>
      <c r="X780" s="3">
        <v>103.4205</v>
      </c>
      <c r="Y780" s="3">
        <v>100.2961</v>
      </c>
      <c r="Z780" s="3">
        <v>90.639830000000003</v>
      </c>
      <c r="AA780" s="3">
        <v>92.189989999999995</v>
      </c>
      <c r="AC780" s="3">
        <v>107.92959999999999</v>
      </c>
      <c r="AD780" s="3">
        <v>101.206</v>
      </c>
      <c r="AE780" s="3">
        <v>99.813959999999994</v>
      </c>
      <c r="AF780" s="3">
        <v>97.2</v>
      </c>
      <c r="AG780" s="3">
        <v>98.179000000000002</v>
      </c>
      <c r="AI780" s="3">
        <v>99.37</v>
      </c>
      <c r="AJ780" s="3">
        <v>99.277630000000002</v>
      </c>
      <c r="AK780" s="3">
        <v>94.145679999999999</v>
      </c>
      <c r="AL780" s="3">
        <v>98.8</v>
      </c>
      <c r="AM780" s="3">
        <v>96.6</v>
      </c>
      <c r="AN780" s="3">
        <v>98.003259999999997</v>
      </c>
      <c r="AO780" s="3">
        <v>98.474789999999999</v>
      </c>
      <c r="AP780" s="3">
        <v>101.0989</v>
      </c>
      <c r="AQ780" s="3">
        <v>99.941860000000005</v>
      </c>
      <c r="AS780" s="3">
        <v>97.251050000000006</v>
      </c>
      <c r="AT780" s="3">
        <v>100.3926</v>
      </c>
      <c r="AU780" s="3">
        <v>101.07</v>
      </c>
      <c r="AV780" s="3">
        <v>100.3364</v>
      </c>
      <c r="AW780" s="3">
        <v>87.47242</v>
      </c>
      <c r="AX780" s="3">
        <v>98.535550000000001</v>
      </c>
      <c r="AY780" s="3">
        <v>91.561449999999994</v>
      </c>
    </row>
    <row r="781" spans="1:51" x14ac:dyDescent="0.2">
      <c r="A781" s="3" t="s">
        <v>678</v>
      </c>
      <c r="B781" s="49">
        <v>41579</v>
      </c>
      <c r="D781" s="3">
        <v>99.303780000000003</v>
      </c>
      <c r="E781" s="3">
        <v>87.714740000000006</v>
      </c>
      <c r="F781" s="3">
        <v>97.181979999999996</v>
      </c>
      <c r="G781" s="3">
        <v>101.2649</v>
      </c>
      <c r="H781" s="3">
        <v>92.622829999999993</v>
      </c>
      <c r="I781" s="3">
        <v>97.331800000000001</v>
      </c>
      <c r="J781" s="3">
        <v>92.742840000000001</v>
      </c>
      <c r="K781" s="3">
        <v>95.013580000000005</v>
      </c>
      <c r="L781" s="3">
        <v>99</v>
      </c>
      <c r="M781" s="3">
        <v>98.982879999999994</v>
      </c>
      <c r="N781" s="3">
        <v>99.1</v>
      </c>
      <c r="O781" s="3">
        <v>99.6</v>
      </c>
      <c r="P781" s="3">
        <v>101.2154</v>
      </c>
      <c r="Q781" s="3">
        <v>100.1829</v>
      </c>
      <c r="R781" s="3">
        <v>102.29</v>
      </c>
      <c r="S781" s="3">
        <v>99.392930000000007</v>
      </c>
      <c r="T781" s="3">
        <v>99.46</v>
      </c>
      <c r="U781" s="3">
        <v>96.012129999999999</v>
      </c>
      <c r="V781" s="3">
        <v>98.375140000000002</v>
      </c>
      <c r="W781" s="3">
        <v>98.8</v>
      </c>
      <c r="X781" s="3">
        <v>102.0085</v>
      </c>
      <c r="Y781" s="3">
        <v>100.2221</v>
      </c>
      <c r="Z781" s="3">
        <v>90.78931</v>
      </c>
      <c r="AA781" s="3">
        <v>92.955060000000003</v>
      </c>
      <c r="AC781" s="3">
        <v>108.1378</v>
      </c>
      <c r="AD781" s="3">
        <v>100.804</v>
      </c>
      <c r="AE781" s="3">
        <v>99.534880000000001</v>
      </c>
      <c r="AF781" s="3">
        <v>97.3</v>
      </c>
      <c r="AG781" s="3">
        <v>98.16</v>
      </c>
      <c r="AI781" s="3">
        <v>99.37</v>
      </c>
      <c r="AJ781" s="3">
        <v>98.819519999999997</v>
      </c>
      <c r="AK781" s="3">
        <v>95.023300000000006</v>
      </c>
      <c r="AL781" s="3">
        <v>98.31</v>
      </c>
      <c r="AM781" s="3">
        <v>96.7</v>
      </c>
      <c r="AN781" s="3">
        <v>97.950779999999995</v>
      </c>
      <c r="AO781" s="3">
        <v>98.429299999999998</v>
      </c>
      <c r="AP781" s="3">
        <v>100.9361</v>
      </c>
      <c r="AQ781" s="3">
        <v>99.719939999999994</v>
      </c>
      <c r="AS781" s="3">
        <v>97.396230000000003</v>
      </c>
      <c r="AT781" s="3">
        <v>100.2702</v>
      </c>
      <c r="AU781" s="3">
        <v>100.94</v>
      </c>
      <c r="AV781" s="3">
        <v>100.2726</v>
      </c>
      <c r="AW781" s="3">
        <v>87.480090000000004</v>
      </c>
      <c r="AX781" s="3">
        <v>98.334299999999999</v>
      </c>
      <c r="AY781" s="3">
        <v>91.670450000000002</v>
      </c>
    </row>
    <row r="782" spans="1:51" x14ac:dyDescent="0.2">
      <c r="A782" s="3" t="s">
        <v>679</v>
      </c>
      <c r="B782" s="49">
        <v>41609</v>
      </c>
      <c r="D782" s="3">
        <v>99.462350000000001</v>
      </c>
      <c r="E782" s="3">
        <v>88.521680000000003</v>
      </c>
      <c r="F782" s="3">
        <v>96.944950000000006</v>
      </c>
      <c r="G782" s="3">
        <v>101.0356</v>
      </c>
      <c r="H782" s="3">
        <v>93.1785</v>
      </c>
      <c r="I782" s="3">
        <v>97.623800000000003</v>
      </c>
      <c r="J782" s="3">
        <v>92.988280000000003</v>
      </c>
      <c r="K782" s="3">
        <v>95.494820000000004</v>
      </c>
      <c r="L782" s="3">
        <v>99.4</v>
      </c>
      <c r="M782" s="3">
        <v>99.356049999999996</v>
      </c>
      <c r="N782" s="3">
        <v>99</v>
      </c>
      <c r="O782" s="3">
        <v>99.95</v>
      </c>
      <c r="P782" s="3">
        <v>101.30629999999999</v>
      </c>
      <c r="Q782" s="3">
        <v>100.08029999999999</v>
      </c>
      <c r="R782" s="3">
        <v>102.17</v>
      </c>
      <c r="S782" s="3">
        <v>99.760599999999997</v>
      </c>
      <c r="T782" s="3">
        <v>99.8</v>
      </c>
      <c r="U782" s="3">
        <v>96.080889999999997</v>
      </c>
      <c r="V782" s="3">
        <v>98.467519999999993</v>
      </c>
      <c r="W782" s="3">
        <v>99.2</v>
      </c>
      <c r="X782" s="3">
        <v>102.9372</v>
      </c>
      <c r="Y782" s="3">
        <v>99.70393</v>
      </c>
      <c r="Z782" s="3">
        <v>91.196209999999994</v>
      </c>
      <c r="AA782" s="3">
        <v>91.424930000000003</v>
      </c>
      <c r="AC782" s="3">
        <v>108.70229999999999</v>
      </c>
      <c r="AD782" s="3">
        <v>100.9045</v>
      </c>
      <c r="AE782" s="3">
        <v>99.720929999999996</v>
      </c>
      <c r="AF782" s="3">
        <v>97.4</v>
      </c>
      <c r="AG782" s="3">
        <v>98.278999999999996</v>
      </c>
      <c r="AI782" s="3">
        <v>99.44</v>
      </c>
      <c r="AJ782" s="3">
        <v>98.867859999999993</v>
      </c>
      <c r="AK782" s="3">
        <v>95.568389999999994</v>
      </c>
      <c r="AL782" s="3">
        <v>98.36</v>
      </c>
      <c r="AM782" s="3">
        <v>96.6</v>
      </c>
      <c r="AN782" s="3">
        <v>98.082409999999996</v>
      </c>
      <c r="AO782" s="3">
        <v>98.698260000000005</v>
      </c>
      <c r="AP782" s="3">
        <v>101.0175</v>
      </c>
      <c r="AQ782" s="3">
        <v>100.0802</v>
      </c>
      <c r="AS782" s="3">
        <v>97.510310000000004</v>
      </c>
      <c r="AT782" s="3">
        <v>100.1478</v>
      </c>
      <c r="AU782" s="3">
        <v>100.06</v>
      </c>
      <c r="AV782" s="3">
        <v>100.5407</v>
      </c>
      <c r="AW782" s="3">
        <v>87.883030000000005</v>
      </c>
      <c r="AX782" s="3">
        <v>98.325860000000006</v>
      </c>
      <c r="AY782" s="3">
        <v>91.888459999999995</v>
      </c>
    </row>
    <row r="783" spans="1:51" x14ac:dyDescent="0.2">
      <c r="A783" s="3" t="s">
        <v>680</v>
      </c>
      <c r="B783" s="49">
        <v>41640</v>
      </c>
      <c r="D783" s="3">
        <v>99.601100000000002</v>
      </c>
      <c r="E783" s="3">
        <v>89.008449999999996</v>
      </c>
      <c r="F783" s="3">
        <v>97.260990000000007</v>
      </c>
      <c r="G783" s="3">
        <v>100.7591</v>
      </c>
      <c r="H783" s="3">
        <v>93.341930000000005</v>
      </c>
      <c r="I783" s="3">
        <v>98.6</v>
      </c>
      <c r="J783" s="3">
        <v>93.444109999999995</v>
      </c>
      <c r="K783" s="3">
        <v>96.210149999999999</v>
      </c>
      <c r="L783" s="3">
        <v>99.5</v>
      </c>
      <c r="M783" s="3">
        <v>98.796300000000002</v>
      </c>
      <c r="N783" s="3">
        <v>98.9</v>
      </c>
      <c r="O783" s="3">
        <v>98.84</v>
      </c>
      <c r="P783" s="3">
        <v>99.959000000000003</v>
      </c>
      <c r="Q783" s="3">
        <v>100.4392</v>
      </c>
      <c r="R783" s="3">
        <v>102.49</v>
      </c>
      <c r="S783" s="3">
        <v>99.696269999999998</v>
      </c>
      <c r="T783" s="3">
        <v>99.24</v>
      </c>
      <c r="U783" s="3">
        <v>96.207369999999997</v>
      </c>
      <c r="V783" s="3">
        <v>98.543139999999994</v>
      </c>
      <c r="W783" s="3">
        <v>98.7</v>
      </c>
      <c r="X783" s="3">
        <v>101.7526</v>
      </c>
      <c r="Y783" s="3">
        <v>100.074</v>
      </c>
      <c r="Z783" s="3">
        <v>92.1678</v>
      </c>
      <c r="AA783" s="3">
        <v>90.659869999999998</v>
      </c>
      <c r="AC783" s="3">
        <v>109.0967</v>
      </c>
      <c r="AD783" s="3">
        <v>100.3015</v>
      </c>
      <c r="AE783" s="3">
        <v>99.906970000000001</v>
      </c>
      <c r="AF783" s="3">
        <v>97.2</v>
      </c>
      <c r="AG783" s="3">
        <v>98.807000000000002</v>
      </c>
      <c r="AI783" s="3">
        <v>98.54</v>
      </c>
      <c r="AJ783" s="3">
        <v>99.508359999999996</v>
      </c>
      <c r="AK783" s="3">
        <v>96.422870000000003</v>
      </c>
      <c r="AL783" s="3">
        <v>98.15</v>
      </c>
      <c r="AM783" s="3">
        <v>96.6</v>
      </c>
      <c r="AN783" s="3">
        <v>98.196299999999994</v>
      </c>
      <c r="AO783" s="3">
        <v>98.45796</v>
      </c>
      <c r="AP783" s="3">
        <v>101.0989</v>
      </c>
      <c r="AQ783" s="3">
        <v>98.701859999999996</v>
      </c>
      <c r="AS783" s="3">
        <v>97.894000000000005</v>
      </c>
      <c r="AT783" s="3">
        <v>100.3314</v>
      </c>
      <c r="AU783" s="3">
        <v>99.44</v>
      </c>
      <c r="AV783" s="3">
        <v>99.375820000000004</v>
      </c>
      <c r="AW783" s="3">
        <v>89.621430000000004</v>
      </c>
      <c r="AX783" s="3">
        <v>98.691659999999999</v>
      </c>
      <c r="AY783" s="3">
        <v>92.542469999999994</v>
      </c>
    </row>
    <row r="784" spans="1:51" x14ac:dyDescent="0.2">
      <c r="A784" s="3" t="s">
        <v>681</v>
      </c>
      <c r="B784" s="49">
        <v>41671</v>
      </c>
      <c r="D784" s="3">
        <v>99.75967</v>
      </c>
      <c r="E784" s="3">
        <v>89.622579999999999</v>
      </c>
      <c r="F784" s="3">
        <v>98.051090000000002</v>
      </c>
      <c r="G784" s="3">
        <v>100.8593</v>
      </c>
      <c r="H784" s="3">
        <v>93.799539999999993</v>
      </c>
      <c r="I784" s="3">
        <v>99.1</v>
      </c>
      <c r="J784" s="3">
        <v>94.028499999999994</v>
      </c>
      <c r="K784" s="3">
        <v>96.848119999999994</v>
      </c>
      <c r="L784" s="3">
        <v>99.6</v>
      </c>
      <c r="M784" s="3">
        <v>99.26276</v>
      </c>
      <c r="N784" s="3">
        <v>99.5</v>
      </c>
      <c r="O784" s="3">
        <v>99.14</v>
      </c>
      <c r="P784" s="3">
        <v>99.915090000000006</v>
      </c>
      <c r="Q784" s="3">
        <v>100.593</v>
      </c>
      <c r="R784" s="3">
        <v>101.75</v>
      </c>
      <c r="S784" s="3">
        <v>99.944450000000003</v>
      </c>
      <c r="T784" s="3">
        <v>99.79</v>
      </c>
      <c r="U784" s="3">
        <v>96.582470000000001</v>
      </c>
      <c r="V784" s="3">
        <v>98.872770000000003</v>
      </c>
      <c r="W784" s="3">
        <v>99.1</v>
      </c>
      <c r="X784" s="3">
        <v>100.3974</v>
      </c>
      <c r="Y784" s="3">
        <v>100.148</v>
      </c>
      <c r="Z784" s="3">
        <v>92.408619999999999</v>
      </c>
      <c r="AA784" s="3">
        <v>91.042400000000001</v>
      </c>
      <c r="AC784" s="3">
        <v>109.3485</v>
      </c>
      <c r="AD784" s="3">
        <v>100.1005</v>
      </c>
      <c r="AE784" s="3">
        <v>99.813959999999994</v>
      </c>
      <c r="AF784" s="3">
        <v>97.2</v>
      </c>
      <c r="AG784" s="3">
        <v>99.070999999999998</v>
      </c>
      <c r="AI784" s="3">
        <v>99.75</v>
      </c>
      <c r="AJ784" s="3">
        <v>99.46172</v>
      </c>
      <c r="AK784" s="3">
        <v>96.66713</v>
      </c>
      <c r="AL784" s="3">
        <v>98.57</v>
      </c>
      <c r="AM784" s="3">
        <v>97.1</v>
      </c>
      <c r="AN784" s="3">
        <v>98.485240000000005</v>
      </c>
      <c r="AO784" s="3">
        <v>98.718000000000004</v>
      </c>
      <c r="AP784" s="3">
        <v>101.1803</v>
      </c>
      <c r="AQ784" s="3">
        <v>98.444109999999995</v>
      </c>
      <c r="AS784" s="3">
        <v>98.184359999999998</v>
      </c>
      <c r="AT784" s="3">
        <v>100.2702</v>
      </c>
      <c r="AU784" s="3">
        <v>99.54</v>
      </c>
      <c r="AV784" s="3">
        <v>99.793890000000005</v>
      </c>
      <c r="AW784" s="3">
        <v>90.005179999999996</v>
      </c>
      <c r="AX784" s="3">
        <v>99.056610000000006</v>
      </c>
      <c r="AY784" s="3">
        <v>93.523480000000006</v>
      </c>
    </row>
    <row r="785" spans="1:51" x14ac:dyDescent="0.2">
      <c r="A785" s="3" t="s">
        <v>682</v>
      </c>
      <c r="B785" s="49">
        <v>41699</v>
      </c>
      <c r="D785" s="3">
        <v>99.819130000000001</v>
      </c>
      <c r="E785" s="3">
        <v>90.447149999999993</v>
      </c>
      <c r="F785" s="3">
        <v>98.604159999999993</v>
      </c>
      <c r="G785" s="3">
        <v>101.2242</v>
      </c>
      <c r="H785" s="3">
        <v>94.584010000000006</v>
      </c>
      <c r="I785" s="3">
        <v>98.6</v>
      </c>
      <c r="J785" s="3">
        <v>94.390820000000005</v>
      </c>
      <c r="K785" s="3">
        <v>97.443899999999999</v>
      </c>
      <c r="L785" s="3">
        <v>99.6</v>
      </c>
      <c r="M785" s="3">
        <v>99.542630000000003</v>
      </c>
      <c r="N785" s="3">
        <v>99.6</v>
      </c>
      <c r="O785" s="3">
        <v>100.07</v>
      </c>
      <c r="P785" s="3">
        <v>100.1386</v>
      </c>
      <c r="Q785" s="3">
        <v>100.9007</v>
      </c>
      <c r="R785" s="3">
        <v>101.94</v>
      </c>
      <c r="S785" s="3">
        <v>100.1742</v>
      </c>
      <c r="T785" s="3">
        <v>100.24</v>
      </c>
      <c r="U785" s="3">
        <v>97.020160000000004</v>
      </c>
      <c r="V785" s="3">
        <v>99.356290000000001</v>
      </c>
      <c r="W785" s="3">
        <v>99.3</v>
      </c>
      <c r="X785" s="3">
        <v>102.74760000000001</v>
      </c>
      <c r="Y785" s="3">
        <v>100.37009999999999</v>
      </c>
      <c r="Z785" s="3">
        <v>92.483360000000005</v>
      </c>
      <c r="AA785" s="3">
        <v>91.424930000000003</v>
      </c>
      <c r="AC785" s="3">
        <v>109.7578</v>
      </c>
      <c r="AD785" s="3">
        <v>100.402</v>
      </c>
      <c r="AE785" s="3">
        <v>99.906970000000001</v>
      </c>
      <c r="AF785" s="3">
        <v>97.5</v>
      </c>
      <c r="AG785" s="3">
        <v>99.253</v>
      </c>
      <c r="AI785" s="3">
        <v>99.74</v>
      </c>
      <c r="AJ785" s="3">
        <v>99.78519</v>
      </c>
      <c r="AK785" s="3">
        <v>96.931960000000004</v>
      </c>
      <c r="AL785" s="3">
        <v>99.39</v>
      </c>
      <c r="AM785" s="3">
        <v>97.3</v>
      </c>
      <c r="AN785" s="3">
        <v>98.950969999999998</v>
      </c>
      <c r="AO785" s="3">
        <v>99.109020000000001</v>
      </c>
      <c r="AP785" s="3">
        <v>101.2617</v>
      </c>
      <c r="AQ785" s="3">
        <v>99.787610000000001</v>
      </c>
      <c r="AS785" s="3">
        <v>98.194730000000007</v>
      </c>
      <c r="AT785" s="3">
        <v>100.209</v>
      </c>
      <c r="AU785" s="3">
        <v>100.31</v>
      </c>
      <c r="AV785" s="3">
        <v>99.787509999999997</v>
      </c>
      <c r="AW785" s="3">
        <v>91.018289999999993</v>
      </c>
      <c r="AX785" s="3">
        <v>99.69453</v>
      </c>
      <c r="AY785" s="3">
        <v>94.722499999999997</v>
      </c>
    </row>
    <row r="786" spans="1:51" x14ac:dyDescent="0.2">
      <c r="A786" s="3" t="s">
        <v>683</v>
      </c>
      <c r="B786" s="49">
        <v>41730</v>
      </c>
      <c r="D786" s="3">
        <v>99.511899999999997</v>
      </c>
      <c r="E786" s="3">
        <v>91.053169999999994</v>
      </c>
      <c r="F786" s="3">
        <v>98.920199999999994</v>
      </c>
      <c r="G786" s="3">
        <v>101.2938</v>
      </c>
      <c r="H786" s="3">
        <v>95.172380000000004</v>
      </c>
      <c r="I786" s="3">
        <v>98.2</v>
      </c>
      <c r="J786" s="3">
        <v>94.823269999999994</v>
      </c>
      <c r="K786" s="3">
        <v>98.555080000000004</v>
      </c>
      <c r="L786" s="3">
        <v>99.6</v>
      </c>
      <c r="M786" s="3">
        <v>99.356049999999996</v>
      </c>
      <c r="N786" s="3">
        <v>99.8</v>
      </c>
      <c r="O786" s="3">
        <v>100.22</v>
      </c>
      <c r="P786" s="3">
        <v>101.02979999999999</v>
      </c>
      <c r="Q786" s="3">
        <v>100.8494</v>
      </c>
      <c r="R786" s="3">
        <v>102.88</v>
      </c>
      <c r="S786" s="3">
        <v>100.32129999999999</v>
      </c>
      <c r="T786" s="3">
        <v>100.2</v>
      </c>
      <c r="U786" s="3">
        <v>97.423649999999995</v>
      </c>
      <c r="V786" s="3">
        <v>99.831599999999995</v>
      </c>
      <c r="W786" s="3">
        <v>99.6</v>
      </c>
      <c r="X786" s="3">
        <v>103.22150000000001</v>
      </c>
      <c r="Y786" s="3">
        <v>100.44410000000001</v>
      </c>
      <c r="Z786" s="3">
        <v>92.466750000000005</v>
      </c>
      <c r="AA786" s="3">
        <v>92.57253</v>
      </c>
      <c r="AC786" s="3">
        <v>109.5162</v>
      </c>
      <c r="AD786" s="3">
        <v>100.5025</v>
      </c>
      <c r="AE786" s="3">
        <v>100.093</v>
      </c>
      <c r="AF786" s="3">
        <v>99.5</v>
      </c>
      <c r="AG786" s="3">
        <v>99.316999999999993</v>
      </c>
      <c r="AI786" s="3">
        <v>99.77</v>
      </c>
      <c r="AJ786" s="3">
        <v>100.2452</v>
      </c>
      <c r="AK786" s="3">
        <v>96.75112</v>
      </c>
      <c r="AL786" s="3">
        <v>99.85</v>
      </c>
      <c r="AM786" s="3">
        <v>97.7</v>
      </c>
      <c r="AN786" s="3">
        <v>99.389110000000002</v>
      </c>
      <c r="AO786" s="3">
        <v>99.356620000000007</v>
      </c>
      <c r="AP786" s="3">
        <v>101.2617</v>
      </c>
      <c r="AQ786" s="3">
        <v>100.0235</v>
      </c>
      <c r="AS786" s="3">
        <v>98.671760000000006</v>
      </c>
      <c r="AT786" s="3">
        <v>100.2702</v>
      </c>
      <c r="AU786" s="3">
        <v>100.82</v>
      </c>
      <c r="AV786" s="3">
        <v>100.1737</v>
      </c>
      <c r="AW786" s="3">
        <v>92.242450000000005</v>
      </c>
      <c r="AX786" s="3">
        <v>100.0232</v>
      </c>
      <c r="AY786" s="3">
        <v>95.158510000000007</v>
      </c>
    </row>
    <row r="787" spans="1:51" x14ac:dyDescent="0.2">
      <c r="A787" s="3" t="s">
        <v>684</v>
      </c>
      <c r="B787" s="49">
        <v>41760</v>
      </c>
      <c r="D787" s="3">
        <v>99.402889999999999</v>
      </c>
      <c r="E787" s="3">
        <v>91.471950000000007</v>
      </c>
      <c r="F787" s="3">
        <v>99.394260000000003</v>
      </c>
      <c r="G787" s="3">
        <v>101.59050000000001</v>
      </c>
      <c r="H787" s="3">
        <v>95.49924</v>
      </c>
      <c r="I787" s="3">
        <v>98.3</v>
      </c>
      <c r="J787" s="3">
        <v>95.290790000000001</v>
      </c>
      <c r="K787" s="3">
        <v>99.075500000000005</v>
      </c>
      <c r="L787" s="3">
        <v>99.7</v>
      </c>
      <c r="M787" s="3">
        <v>99.26276</v>
      </c>
      <c r="N787" s="3">
        <v>99.7</v>
      </c>
      <c r="O787" s="3">
        <v>100.11</v>
      </c>
      <c r="P787" s="3">
        <v>101.0528</v>
      </c>
      <c r="Q787" s="3">
        <v>100.95189999999999</v>
      </c>
      <c r="R787" s="3">
        <v>103.32</v>
      </c>
      <c r="S787" s="3">
        <v>100.0731</v>
      </c>
      <c r="T787" s="3">
        <v>100.22</v>
      </c>
      <c r="U787" s="3">
        <v>97.670720000000003</v>
      </c>
      <c r="V787" s="3">
        <v>100.083</v>
      </c>
      <c r="W787" s="3">
        <v>99.6</v>
      </c>
      <c r="X787" s="3">
        <v>102.39700000000001</v>
      </c>
      <c r="Y787" s="3">
        <v>100.2961</v>
      </c>
      <c r="Z787" s="3">
        <v>92.616230000000002</v>
      </c>
      <c r="AA787" s="3">
        <v>93.337590000000006</v>
      </c>
      <c r="AC787" s="3">
        <v>109.8235</v>
      </c>
      <c r="AD787" s="3">
        <v>100.60299999999999</v>
      </c>
      <c r="AE787" s="3">
        <v>100</v>
      </c>
      <c r="AF787" s="3">
        <v>99.9</v>
      </c>
      <c r="AG787" s="3">
        <v>99.480999999999995</v>
      </c>
      <c r="AI787" s="3">
        <v>99.8</v>
      </c>
      <c r="AJ787" s="3">
        <v>100.1835</v>
      </c>
      <c r="AK787" s="3">
        <v>96.441730000000007</v>
      </c>
      <c r="AL787" s="3">
        <v>99.51</v>
      </c>
      <c r="AM787" s="3">
        <v>97.8</v>
      </c>
      <c r="AN787" s="3">
        <v>99.576610000000002</v>
      </c>
      <c r="AO787" s="3">
        <v>99.347020000000001</v>
      </c>
      <c r="AP787" s="3">
        <v>101.1803</v>
      </c>
      <c r="AQ787" s="3">
        <v>99.896090000000001</v>
      </c>
      <c r="AS787" s="3">
        <v>98.796199999999999</v>
      </c>
      <c r="AT787" s="3">
        <v>100.5149</v>
      </c>
      <c r="AU787" s="3">
        <v>101.42</v>
      </c>
      <c r="AV787" s="3">
        <v>100.2247</v>
      </c>
      <c r="AW787" s="3">
        <v>92.607020000000006</v>
      </c>
      <c r="AX787" s="3">
        <v>100.3725</v>
      </c>
      <c r="AY787" s="3">
        <v>95.485510000000005</v>
      </c>
    </row>
    <row r="788" spans="1:51" x14ac:dyDescent="0.2">
      <c r="A788" s="3" t="s">
        <v>685</v>
      </c>
      <c r="B788" s="49">
        <v>41791</v>
      </c>
      <c r="D788" s="3">
        <v>99.482169999999996</v>
      </c>
      <c r="E788" s="3">
        <v>91.837829999999997</v>
      </c>
      <c r="F788" s="3">
        <v>99.473269999999999</v>
      </c>
      <c r="G788" s="3">
        <v>101.5167</v>
      </c>
      <c r="H788" s="3">
        <v>95.542820000000006</v>
      </c>
      <c r="I788" s="3">
        <v>98.2</v>
      </c>
      <c r="J788" s="3">
        <v>95.372600000000006</v>
      </c>
      <c r="K788" s="3">
        <v>99.453249999999997</v>
      </c>
      <c r="L788" s="3">
        <v>99.7</v>
      </c>
      <c r="M788" s="3">
        <v>99.542630000000003</v>
      </c>
      <c r="N788" s="3">
        <v>99.7</v>
      </c>
      <c r="O788" s="3">
        <v>100.22</v>
      </c>
      <c r="P788" s="3">
        <v>101.08069999999999</v>
      </c>
      <c r="Q788" s="3">
        <v>101.00320000000001</v>
      </c>
      <c r="R788" s="3">
        <v>103.9</v>
      </c>
      <c r="S788" s="3">
        <v>100.1467</v>
      </c>
      <c r="T788" s="3">
        <v>100.18</v>
      </c>
      <c r="U788" s="3">
        <v>97.861270000000005</v>
      </c>
      <c r="V788" s="3">
        <v>100.2161</v>
      </c>
      <c r="W788" s="3">
        <v>99.8</v>
      </c>
      <c r="X788" s="3">
        <v>103.0604</v>
      </c>
      <c r="Y788" s="3">
        <v>100.37009999999999</v>
      </c>
      <c r="Z788" s="3">
        <v>93.01482</v>
      </c>
      <c r="AA788" s="3">
        <v>94.102649999999997</v>
      </c>
      <c r="AC788" s="3">
        <v>109.92149999999999</v>
      </c>
      <c r="AD788" s="3">
        <v>100.9045</v>
      </c>
      <c r="AE788" s="3">
        <v>100.093</v>
      </c>
      <c r="AF788" s="3">
        <v>99.8</v>
      </c>
      <c r="AG788" s="3">
        <v>99.352999999999994</v>
      </c>
      <c r="AI788" s="3">
        <v>99.96</v>
      </c>
      <c r="AJ788" s="3">
        <v>100.4738</v>
      </c>
      <c r="AK788" s="3">
        <v>96.608850000000004</v>
      </c>
      <c r="AL788" s="3">
        <v>99.24</v>
      </c>
      <c r="AM788" s="3">
        <v>97.5</v>
      </c>
      <c r="AN788" s="3">
        <v>99.692639999999997</v>
      </c>
      <c r="AO788" s="3">
        <v>99.467849999999999</v>
      </c>
      <c r="AP788" s="3">
        <v>101.1803</v>
      </c>
      <c r="AQ788" s="3">
        <v>99.966740000000001</v>
      </c>
      <c r="AS788" s="3">
        <v>98.754720000000006</v>
      </c>
      <c r="AT788" s="3">
        <v>100.5761</v>
      </c>
      <c r="AU788" s="3">
        <v>101.53</v>
      </c>
      <c r="AV788" s="3">
        <v>100.43219999999999</v>
      </c>
      <c r="AW788" s="3">
        <v>92.894840000000002</v>
      </c>
      <c r="AX788" s="3">
        <v>100.5595</v>
      </c>
      <c r="AY788" s="3">
        <v>95.812520000000006</v>
      </c>
    </row>
    <row r="789" spans="1:51" x14ac:dyDescent="0.2">
      <c r="A789" s="3" t="s">
        <v>686</v>
      </c>
      <c r="B789" s="49">
        <v>41821</v>
      </c>
      <c r="D789" s="3">
        <v>99.650649999999999</v>
      </c>
      <c r="E789" s="3">
        <v>91.847110000000001</v>
      </c>
      <c r="F789" s="3">
        <v>99.315250000000006</v>
      </c>
      <c r="G789" s="3">
        <v>101.1367</v>
      </c>
      <c r="H789" s="3">
        <v>95.771630000000002</v>
      </c>
      <c r="I789" s="3">
        <v>98.2</v>
      </c>
      <c r="J789" s="3">
        <v>95.524540000000002</v>
      </c>
      <c r="K789" s="3">
        <v>100.3595</v>
      </c>
      <c r="L789" s="3">
        <v>100</v>
      </c>
      <c r="M789" s="3">
        <v>99.822509999999994</v>
      </c>
      <c r="N789" s="3">
        <v>99.5</v>
      </c>
      <c r="O789" s="3">
        <v>99.57</v>
      </c>
      <c r="P789" s="3">
        <v>100.1307</v>
      </c>
      <c r="Q789" s="3">
        <v>100.8494</v>
      </c>
      <c r="R789" s="3">
        <v>104.03</v>
      </c>
      <c r="S789" s="3">
        <v>100.0364</v>
      </c>
      <c r="T789" s="3">
        <v>99.86</v>
      </c>
      <c r="U789" s="3">
        <v>98.033879999999996</v>
      </c>
      <c r="V789" s="3">
        <v>100.187</v>
      </c>
      <c r="W789" s="3">
        <v>99.6</v>
      </c>
      <c r="X789" s="3">
        <v>101.78100000000001</v>
      </c>
      <c r="Y789" s="3">
        <v>100.5181</v>
      </c>
      <c r="Z789" s="3">
        <v>93.878460000000004</v>
      </c>
      <c r="AA789" s="3">
        <v>96.397829999999999</v>
      </c>
      <c r="AC789" s="3">
        <v>110.32</v>
      </c>
      <c r="AD789" s="3">
        <v>101.005</v>
      </c>
      <c r="AE789" s="3">
        <v>100</v>
      </c>
      <c r="AF789" s="3">
        <v>99.9</v>
      </c>
      <c r="AG789" s="3">
        <v>99.498999999999995</v>
      </c>
      <c r="AI789" s="3">
        <v>98.94</v>
      </c>
      <c r="AJ789" s="3">
        <v>100.0986</v>
      </c>
      <c r="AK789" s="3">
        <v>96.874529999999993</v>
      </c>
      <c r="AL789" s="3">
        <v>100.05</v>
      </c>
      <c r="AM789" s="3">
        <v>98.3</v>
      </c>
      <c r="AN789" s="3">
        <v>99.679029999999997</v>
      </c>
      <c r="AO789" s="3">
        <v>99.374920000000003</v>
      </c>
      <c r="AP789" s="3">
        <v>101.0175</v>
      </c>
      <c r="AQ789" s="3">
        <v>99.277079999999998</v>
      </c>
      <c r="AS789" s="3">
        <v>98.972499999999997</v>
      </c>
      <c r="AT789" s="3">
        <v>100.4537</v>
      </c>
      <c r="AU789" s="3">
        <v>100.42</v>
      </c>
      <c r="AV789" s="3">
        <v>100.1035</v>
      </c>
      <c r="AW789" s="3">
        <v>93.316959999999995</v>
      </c>
      <c r="AX789" s="3">
        <v>100.5202</v>
      </c>
      <c r="AY789" s="3">
        <v>96.575530000000001</v>
      </c>
    </row>
    <row r="790" spans="1:51" x14ac:dyDescent="0.2">
      <c r="A790" s="3" t="s">
        <v>687</v>
      </c>
      <c r="B790" s="49">
        <v>41852</v>
      </c>
      <c r="D790" s="3">
        <v>99.274060000000006</v>
      </c>
      <c r="E790" s="3">
        <v>92.076809999999995</v>
      </c>
      <c r="F790" s="3">
        <v>99.315250000000006</v>
      </c>
      <c r="G790" s="3">
        <v>101.1041</v>
      </c>
      <c r="H790" s="3">
        <v>96.076710000000006</v>
      </c>
      <c r="I790" s="3">
        <v>98.4</v>
      </c>
      <c r="J790" s="3">
        <v>95.711550000000003</v>
      </c>
      <c r="K790" s="3">
        <v>100.693</v>
      </c>
      <c r="L790" s="3">
        <v>99.9</v>
      </c>
      <c r="M790" s="3">
        <v>99.822509999999994</v>
      </c>
      <c r="N790" s="3">
        <v>99.4</v>
      </c>
      <c r="O790" s="3">
        <v>99.68</v>
      </c>
      <c r="P790" s="3">
        <v>100.28830000000001</v>
      </c>
      <c r="Q790" s="3">
        <v>100.54179999999999</v>
      </c>
      <c r="R790" s="3">
        <v>103.86</v>
      </c>
      <c r="S790" s="3">
        <v>100.18340000000001</v>
      </c>
      <c r="T790" s="3">
        <v>100.3</v>
      </c>
      <c r="U790" s="3">
        <v>98.135059999999996</v>
      </c>
      <c r="V790" s="3">
        <v>100.16849999999999</v>
      </c>
      <c r="W790" s="3">
        <v>99.9</v>
      </c>
      <c r="X790" s="3">
        <v>100.5395</v>
      </c>
      <c r="Y790" s="3">
        <v>100.2961</v>
      </c>
      <c r="Z790" s="3">
        <v>94.318569999999994</v>
      </c>
      <c r="AA790" s="3">
        <v>96.780360000000002</v>
      </c>
      <c r="AC790" s="3">
        <v>110.4552</v>
      </c>
      <c r="AD790" s="3">
        <v>100.9045</v>
      </c>
      <c r="AE790" s="3">
        <v>100.18600000000001</v>
      </c>
      <c r="AF790" s="3">
        <v>100</v>
      </c>
      <c r="AG790" s="3">
        <v>99.671999999999997</v>
      </c>
      <c r="AI790" s="3">
        <v>99.99</v>
      </c>
      <c r="AJ790" s="3">
        <v>99.482489999999999</v>
      </c>
      <c r="AK790" s="3">
        <v>97.222499999999997</v>
      </c>
      <c r="AL790" s="3">
        <v>99.98</v>
      </c>
      <c r="AM790" s="3">
        <v>97.9</v>
      </c>
      <c r="AN790" s="3">
        <v>99.673230000000004</v>
      </c>
      <c r="AO790" s="3">
        <v>99.446820000000002</v>
      </c>
      <c r="AP790" s="3">
        <v>100.6105</v>
      </c>
      <c r="AQ790" s="3">
        <v>99.051169999999999</v>
      </c>
      <c r="AS790" s="3">
        <v>99.107309999999998</v>
      </c>
      <c r="AT790" s="3">
        <v>100.2702</v>
      </c>
      <c r="AU790" s="3">
        <v>100.42</v>
      </c>
      <c r="AV790" s="3">
        <v>100.0013</v>
      </c>
      <c r="AW790" s="3">
        <v>93.40522</v>
      </c>
      <c r="AX790" s="3">
        <v>100.3523</v>
      </c>
      <c r="AY790" s="3">
        <v>96.793530000000004</v>
      </c>
    </row>
    <row r="791" spans="1:51" x14ac:dyDescent="0.2">
      <c r="A791" s="3" t="s">
        <v>688</v>
      </c>
      <c r="B791" s="49">
        <v>41883</v>
      </c>
      <c r="D791" s="3">
        <v>99.194770000000005</v>
      </c>
      <c r="E791" s="3">
        <v>92.601619999999997</v>
      </c>
      <c r="F791" s="3">
        <v>99.394260000000003</v>
      </c>
      <c r="G791" s="3">
        <v>101.24679999999999</v>
      </c>
      <c r="H791" s="3">
        <v>96.88297</v>
      </c>
      <c r="I791" s="3">
        <v>98.9</v>
      </c>
      <c r="J791" s="3">
        <v>95.851799999999997</v>
      </c>
      <c r="K791" s="3">
        <v>100.5544</v>
      </c>
      <c r="L791" s="3">
        <v>99.6</v>
      </c>
      <c r="M791" s="3">
        <v>99.822509999999994</v>
      </c>
      <c r="N791" s="3">
        <v>99.7</v>
      </c>
      <c r="O791" s="3">
        <v>100.12</v>
      </c>
      <c r="P791" s="3">
        <v>100.441</v>
      </c>
      <c r="Q791" s="3">
        <v>100.33669999999999</v>
      </c>
      <c r="R791" s="3">
        <v>103.97</v>
      </c>
      <c r="S791" s="3">
        <v>100.72580000000001</v>
      </c>
      <c r="T791" s="3">
        <v>99.92</v>
      </c>
      <c r="U791" s="3">
        <v>98.378969999999995</v>
      </c>
      <c r="V791" s="3">
        <v>100.215</v>
      </c>
      <c r="W791" s="3">
        <v>100</v>
      </c>
      <c r="X791" s="3">
        <v>102.62439999999999</v>
      </c>
      <c r="Y791" s="3">
        <v>100.074</v>
      </c>
      <c r="Z791" s="3">
        <v>94.575999999999993</v>
      </c>
      <c r="AA791" s="3">
        <v>96.780360000000002</v>
      </c>
      <c r="AC791" s="3">
        <v>110.58839999999999</v>
      </c>
      <c r="AD791" s="3">
        <v>100.60299999999999</v>
      </c>
      <c r="AE791" s="3">
        <v>99.813959999999994</v>
      </c>
      <c r="AF791" s="3">
        <v>100.3</v>
      </c>
      <c r="AG791" s="3">
        <v>99.608000000000004</v>
      </c>
      <c r="AI791" s="3">
        <v>99.9</v>
      </c>
      <c r="AJ791" s="3">
        <v>99.965360000000004</v>
      </c>
      <c r="AK791" s="3">
        <v>97.651889999999995</v>
      </c>
      <c r="AL791" s="3">
        <v>99.96</v>
      </c>
      <c r="AM791" s="3">
        <v>98.5</v>
      </c>
      <c r="AN791" s="3">
        <v>99.763930000000002</v>
      </c>
      <c r="AO791" s="3">
        <v>99.463610000000003</v>
      </c>
      <c r="AP791" s="3">
        <v>100.6105</v>
      </c>
      <c r="AQ791" s="3">
        <v>99.617429999999999</v>
      </c>
      <c r="AS791" s="3">
        <v>99.09693</v>
      </c>
      <c r="AT791" s="3">
        <v>100.3314</v>
      </c>
      <c r="AU791" s="3">
        <v>100.67</v>
      </c>
      <c r="AV791" s="3">
        <v>100.1609</v>
      </c>
      <c r="AW791" s="3">
        <v>93.535700000000006</v>
      </c>
      <c r="AX791" s="3">
        <v>100.4278</v>
      </c>
      <c r="AY791" s="3">
        <v>96.793530000000004</v>
      </c>
    </row>
    <row r="792" spans="1:51" x14ac:dyDescent="0.2">
      <c r="A792" s="3" t="s">
        <v>689</v>
      </c>
      <c r="B792" s="49">
        <v>41913</v>
      </c>
      <c r="D792" s="3">
        <v>99.323599999999999</v>
      </c>
      <c r="E792" s="3">
        <v>92.990470000000002</v>
      </c>
      <c r="F792" s="3">
        <v>99.473269999999999</v>
      </c>
      <c r="G792" s="3">
        <v>101.245</v>
      </c>
      <c r="H792" s="3">
        <v>97.885360000000006</v>
      </c>
      <c r="I792" s="3">
        <v>98.9</v>
      </c>
      <c r="J792" s="3">
        <v>96.003739999999993</v>
      </c>
      <c r="K792" s="3">
        <v>100.26300000000001</v>
      </c>
      <c r="L792" s="3">
        <v>99.8</v>
      </c>
      <c r="M792" s="3">
        <v>99.542630000000003</v>
      </c>
      <c r="N792" s="3">
        <v>99.8</v>
      </c>
      <c r="O792" s="3">
        <v>100.06</v>
      </c>
      <c r="P792" s="3">
        <v>100.9091</v>
      </c>
      <c r="Q792" s="3">
        <v>100.33669999999999</v>
      </c>
      <c r="R792" s="3">
        <v>104.35</v>
      </c>
      <c r="S792" s="3">
        <v>100.55110000000001</v>
      </c>
      <c r="T792" s="3">
        <v>99.95</v>
      </c>
      <c r="U792" s="3">
        <v>98.414150000000006</v>
      </c>
      <c r="V792" s="3">
        <v>100.02930000000001</v>
      </c>
      <c r="W792" s="3">
        <v>100.1</v>
      </c>
      <c r="X792" s="3">
        <v>101.6862</v>
      </c>
      <c r="Y792" s="3">
        <v>99.851960000000005</v>
      </c>
      <c r="Z792" s="3">
        <v>95.016120000000001</v>
      </c>
      <c r="AA792" s="3">
        <v>96.780360000000002</v>
      </c>
      <c r="AC792" s="3">
        <v>109.7625</v>
      </c>
      <c r="AD792" s="3">
        <v>100.9045</v>
      </c>
      <c r="AE792" s="3">
        <v>99.906970000000001</v>
      </c>
      <c r="AF792" s="3">
        <v>100</v>
      </c>
      <c r="AG792" s="3">
        <v>99.308000000000007</v>
      </c>
      <c r="AI792" s="3">
        <v>99.67</v>
      </c>
      <c r="AJ792" s="3">
        <v>99.947670000000002</v>
      </c>
      <c r="AK792" s="3">
        <v>98.191829999999996</v>
      </c>
      <c r="AL792" s="3">
        <v>99.84</v>
      </c>
      <c r="AM792" s="3">
        <v>98.6</v>
      </c>
      <c r="AN792" s="3">
        <v>99.728070000000002</v>
      </c>
      <c r="AO792" s="3">
        <v>99.629379999999998</v>
      </c>
      <c r="AP792" s="3">
        <v>100.6105</v>
      </c>
      <c r="AQ792" s="3">
        <v>99.945849999999993</v>
      </c>
      <c r="AS792" s="3">
        <v>99.273219999999995</v>
      </c>
      <c r="AT792" s="3">
        <v>100.3926</v>
      </c>
      <c r="AU792" s="3">
        <v>100.91</v>
      </c>
      <c r="AV792" s="3">
        <v>100.21510000000001</v>
      </c>
      <c r="AW792" s="3">
        <v>95.312470000000005</v>
      </c>
      <c r="AX792" s="3">
        <v>100.1755</v>
      </c>
      <c r="AY792" s="3">
        <v>97.011539999999997</v>
      </c>
    </row>
    <row r="793" spans="1:51" x14ac:dyDescent="0.2">
      <c r="A793" s="3" t="s">
        <v>690</v>
      </c>
      <c r="B793" s="49">
        <v>41944</v>
      </c>
      <c r="D793" s="3">
        <v>99.194770000000005</v>
      </c>
      <c r="E793" s="3">
        <v>93.464699999999993</v>
      </c>
      <c r="F793" s="3">
        <v>99.078220000000002</v>
      </c>
      <c r="G793" s="3">
        <v>101.2056</v>
      </c>
      <c r="H793" s="3">
        <v>97.918049999999994</v>
      </c>
      <c r="I793" s="3">
        <v>98.6</v>
      </c>
      <c r="J793" s="3">
        <v>96.132310000000004</v>
      </c>
      <c r="K793" s="3">
        <v>100.6066</v>
      </c>
      <c r="L793" s="3">
        <v>99.5</v>
      </c>
      <c r="M793" s="3">
        <v>99.542630000000003</v>
      </c>
      <c r="N793" s="3">
        <v>99.6</v>
      </c>
      <c r="O793" s="3">
        <v>99.88</v>
      </c>
      <c r="P793" s="3">
        <v>100.83920000000001</v>
      </c>
      <c r="Q793" s="3">
        <v>99.567620000000005</v>
      </c>
      <c r="R793" s="3">
        <v>104.62</v>
      </c>
      <c r="S793" s="3">
        <v>100.35809999999999</v>
      </c>
      <c r="T793" s="3">
        <v>99.78</v>
      </c>
      <c r="U793" s="3">
        <v>98.299589999999995</v>
      </c>
      <c r="V793" s="3">
        <v>99.62885</v>
      </c>
      <c r="W793" s="3">
        <v>99.9</v>
      </c>
      <c r="X793" s="3">
        <v>100.73860000000001</v>
      </c>
      <c r="Y793" s="3">
        <v>99.481859999999998</v>
      </c>
      <c r="Z793" s="3">
        <v>96.44444</v>
      </c>
      <c r="AA793" s="3">
        <v>96.780360000000002</v>
      </c>
      <c r="AC793" s="3">
        <v>110.7749</v>
      </c>
      <c r="AD793" s="3">
        <v>100.70350000000001</v>
      </c>
      <c r="AE793" s="3">
        <v>99.720929999999996</v>
      </c>
      <c r="AF793" s="3">
        <v>99.6</v>
      </c>
      <c r="AG793" s="3">
        <v>99.108000000000004</v>
      </c>
      <c r="AI793" s="3">
        <v>99.44</v>
      </c>
      <c r="AJ793" s="3">
        <v>99.697010000000006</v>
      </c>
      <c r="AK793" s="3">
        <v>98.983750000000001</v>
      </c>
      <c r="AL793" s="3">
        <v>99.25</v>
      </c>
      <c r="AM793" s="3">
        <v>98.6</v>
      </c>
      <c r="AN793" s="3">
        <v>99.449359999999999</v>
      </c>
      <c r="AO793" s="3">
        <v>99.502489999999995</v>
      </c>
      <c r="AP793" s="3">
        <v>100.4477</v>
      </c>
      <c r="AQ793" s="3">
        <v>99.738849999999999</v>
      </c>
      <c r="AS793" s="3">
        <v>99.387299999999996</v>
      </c>
      <c r="AT793" s="3">
        <v>100.2702</v>
      </c>
      <c r="AU793" s="3">
        <v>100.67</v>
      </c>
      <c r="AV793" s="3">
        <v>100.0684</v>
      </c>
      <c r="AW793" s="3">
        <v>95.485159999999993</v>
      </c>
      <c r="AX793" s="3">
        <v>99.634630000000001</v>
      </c>
      <c r="AY793" s="3">
        <v>97.011539999999997</v>
      </c>
    </row>
    <row r="794" spans="1:51" x14ac:dyDescent="0.2">
      <c r="A794" s="3" t="s">
        <v>691</v>
      </c>
      <c r="B794" s="49">
        <v>41974</v>
      </c>
      <c r="D794" s="3">
        <v>99.085750000000004</v>
      </c>
      <c r="E794" s="3">
        <v>94.193680000000001</v>
      </c>
      <c r="F794" s="3">
        <v>98.367130000000003</v>
      </c>
      <c r="G794" s="3">
        <v>100.7038</v>
      </c>
      <c r="H794" s="3">
        <v>97.514920000000004</v>
      </c>
      <c r="I794" s="3">
        <v>99</v>
      </c>
      <c r="J794" s="3">
        <v>96.389430000000004</v>
      </c>
      <c r="K794" s="3">
        <v>100.39060000000001</v>
      </c>
      <c r="L794" s="3">
        <v>99.5</v>
      </c>
      <c r="M794" s="3">
        <v>99.542630000000003</v>
      </c>
      <c r="N794" s="3">
        <v>99.4</v>
      </c>
      <c r="O794" s="3">
        <v>99.78</v>
      </c>
      <c r="P794" s="3">
        <v>100.2514</v>
      </c>
      <c r="Q794" s="3">
        <v>99.567620000000005</v>
      </c>
      <c r="R794" s="3">
        <v>104.11</v>
      </c>
      <c r="S794" s="3">
        <v>100.2294</v>
      </c>
      <c r="T794" s="3">
        <v>99.86</v>
      </c>
      <c r="U794" s="3">
        <v>98.402739999999994</v>
      </c>
      <c r="V794" s="3">
        <v>99.310850000000002</v>
      </c>
      <c r="W794" s="3">
        <v>99.9</v>
      </c>
      <c r="X794" s="3">
        <v>100.2543</v>
      </c>
      <c r="Y794" s="3">
        <v>98.815690000000004</v>
      </c>
      <c r="Z794" s="3">
        <v>98.819429999999997</v>
      </c>
      <c r="AA794" s="3">
        <v>96.780360000000002</v>
      </c>
      <c r="AC794" s="3">
        <v>111.01860000000001</v>
      </c>
      <c r="AD794" s="3">
        <v>100.70350000000001</v>
      </c>
      <c r="AE794" s="3">
        <v>99.720929999999996</v>
      </c>
      <c r="AF794" s="3">
        <v>99.7</v>
      </c>
      <c r="AG794" s="3">
        <v>99.097999999999999</v>
      </c>
      <c r="AI794" s="3">
        <v>98.83</v>
      </c>
      <c r="AJ794" s="3">
        <v>99.063820000000007</v>
      </c>
      <c r="AK794" s="3">
        <v>99.46884</v>
      </c>
      <c r="AL794" s="3">
        <v>99.05</v>
      </c>
      <c r="AM794" s="3">
        <v>98.6</v>
      </c>
      <c r="AN794" s="3">
        <v>99.189459999999997</v>
      </c>
      <c r="AO794" s="3">
        <v>99.367590000000007</v>
      </c>
      <c r="AP794" s="3">
        <v>100.1221</v>
      </c>
      <c r="AQ794" s="3">
        <v>99.722920000000002</v>
      </c>
      <c r="AS794" s="3">
        <v>99.366550000000004</v>
      </c>
      <c r="AT794" s="3">
        <v>100.02549999999999</v>
      </c>
      <c r="AU794" s="3">
        <v>100.2</v>
      </c>
      <c r="AV794" s="3">
        <v>100.2247</v>
      </c>
      <c r="AW794" s="3">
        <v>95.063029999999998</v>
      </c>
      <c r="AX794" s="3">
        <v>99.069689999999994</v>
      </c>
      <c r="AY794" s="3">
        <v>96.793530000000004</v>
      </c>
    </row>
    <row r="795" spans="1:51" x14ac:dyDescent="0.2">
      <c r="A795" s="3" t="s">
        <v>692</v>
      </c>
      <c r="B795" s="49">
        <v>42005</v>
      </c>
      <c r="D795" s="3">
        <v>98.956919999999997</v>
      </c>
      <c r="E795" s="3">
        <v>95.361630000000005</v>
      </c>
      <c r="F795" s="3">
        <v>98.209109999999995</v>
      </c>
      <c r="G795" s="3">
        <v>100.27030000000001</v>
      </c>
      <c r="H795" s="3">
        <v>97.580280000000002</v>
      </c>
      <c r="I795" s="3">
        <v>99.3</v>
      </c>
      <c r="J795" s="3">
        <v>97.008899999999997</v>
      </c>
      <c r="K795" s="3">
        <v>100.4298</v>
      </c>
      <c r="L795" s="3">
        <v>99.5</v>
      </c>
      <c r="M795" s="3">
        <v>98.516419999999997</v>
      </c>
      <c r="N795" s="3">
        <v>98.8</v>
      </c>
      <c r="O795" s="3">
        <v>98.24</v>
      </c>
      <c r="P795" s="3">
        <v>98.640680000000003</v>
      </c>
      <c r="Q795" s="3">
        <v>99.15746</v>
      </c>
      <c r="R795" s="3">
        <v>104.08</v>
      </c>
      <c r="S795" s="3">
        <v>99.54</v>
      </c>
      <c r="T795" s="3">
        <v>98.86</v>
      </c>
      <c r="U795" s="3">
        <v>98.317939999999993</v>
      </c>
      <c r="V795" s="3">
        <v>98.809200000000004</v>
      </c>
      <c r="W795" s="3">
        <v>99.2</v>
      </c>
      <c r="X795" s="3">
        <v>98.866399999999999</v>
      </c>
      <c r="Y795" s="3">
        <v>98.593639999999994</v>
      </c>
      <c r="Z795" s="3">
        <v>98.578609999999998</v>
      </c>
      <c r="AA795" s="3">
        <v>97.162899999999993</v>
      </c>
      <c r="AC795" s="3">
        <v>111.5684</v>
      </c>
      <c r="AD795" s="3">
        <v>99.799000000000007</v>
      </c>
      <c r="AE795" s="3">
        <v>99.348839999999996</v>
      </c>
      <c r="AF795" s="3">
        <v>99.6</v>
      </c>
      <c r="AG795" s="3">
        <v>99.77</v>
      </c>
      <c r="AI795" s="3">
        <v>98.19</v>
      </c>
      <c r="AJ795" s="3">
        <v>99.125290000000007</v>
      </c>
      <c r="AK795" s="3">
        <v>99.37885</v>
      </c>
      <c r="AL795" s="3">
        <v>98.15</v>
      </c>
      <c r="AM795" s="3">
        <v>98.6</v>
      </c>
      <c r="AN795" s="3">
        <v>98.778840000000002</v>
      </c>
      <c r="AO795" s="3">
        <v>98.721950000000007</v>
      </c>
      <c r="AP795" s="3">
        <v>99.959299999999999</v>
      </c>
      <c r="AQ795" s="3">
        <v>98.313739999999996</v>
      </c>
      <c r="AS795" s="3">
        <v>99.418409999999994</v>
      </c>
      <c r="AT795" s="3">
        <v>99.903139999999993</v>
      </c>
      <c r="AU795" s="3">
        <v>98.92</v>
      </c>
      <c r="AV795" s="3">
        <v>99.171580000000006</v>
      </c>
      <c r="AW795" s="3">
        <v>96.110669999999999</v>
      </c>
      <c r="AX795" s="3">
        <v>98.603480000000005</v>
      </c>
      <c r="AY795" s="3">
        <v>96.684529999999995</v>
      </c>
    </row>
    <row r="796" spans="1:51" x14ac:dyDescent="0.2">
      <c r="A796" s="3" t="s">
        <v>693</v>
      </c>
      <c r="B796" s="49">
        <v>42036</v>
      </c>
      <c r="D796" s="3">
        <v>99.363240000000005</v>
      </c>
      <c r="E796" s="3">
        <v>96.524940000000001</v>
      </c>
      <c r="F796" s="3">
        <v>99.078220000000002</v>
      </c>
      <c r="G796" s="3">
        <v>100.0125</v>
      </c>
      <c r="H796" s="3">
        <v>97.928939999999997</v>
      </c>
      <c r="I796" s="3">
        <v>100.5</v>
      </c>
      <c r="J796" s="3">
        <v>98.119230000000002</v>
      </c>
      <c r="K796" s="3">
        <v>100.264</v>
      </c>
      <c r="L796" s="3">
        <v>99.7</v>
      </c>
      <c r="M796" s="3">
        <v>99.216539999999995</v>
      </c>
      <c r="N796" s="3">
        <v>99.8</v>
      </c>
      <c r="O796" s="3">
        <v>98.85</v>
      </c>
      <c r="P796" s="3">
        <v>98.842269999999999</v>
      </c>
      <c r="Q796" s="3">
        <v>99.721429999999998</v>
      </c>
      <c r="R796" s="3">
        <v>103.22</v>
      </c>
      <c r="S796" s="3">
        <v>99.79</v>
      </c>
      <c r="T796" s="3">
        <v>99.52</v>
      </c>
      <c r="U796" s="3">
        <v>98.838279999999997</v>
      </c>
      <c r="V796" s="3">
        <v>99.201440000000005</v>
      </c>
      <c r="W796" s="3">
        <v>99.5</v>
      </c>
      <c r="X796" s="3">
        <v>98.231710000000007</v>
      </c>
      <c r="Y796" s="3">
        <v>99.111770000000007</v>
      </c>
      <c r="Z796" s="3">
        <v>98.221530000000001</v>
      </c>
      <c r="AA796" s="3">
        <v>96.780360000000002</v>
      </c>
      <c r="AC796" s="3">
        <v>112.1658</v>
      </c>
      <c r="AD796" s="3">
        <v>99.095470000000006</v>
      </c>
      <c r="AE796" s="3">
        <v>99.720929999999996</v>
      </c>
      <c r="AF796" s="3">
        <v>99.4</v>
      </c>
      <c r="AG796" s="3">
        <v>99.71</v>
      </c>
      <c r="AI796" s="3">
        <v>99.84</v>
      </c>
      <c r="AJ796" s="3">
        <v>99.392979999999994</v>
      </c>
      <c r="AK796" s="3">
        <v>99.567409999999995</v>
      </c>
      <c r="AL796" s="3">
        <v>98.69</v>
      </c>
      <c r="AM796" s="3">
        <v>98.9</v>
      </c>
      <c r="AN796" s="3">
        <v>99.130970000000005</v>
      </c>
      <c r="AO796" s="3">
        <v>99.143630000000002</v>
      </c>
      <c r="AP796" s="3">
        <v>99.877899999999997</v>
      </c>
      <c r="AQ796" s="3">
        <v>98.240089999999995</v>
      </c>
      <c r="AS796" s="3">
        <v>99.511740000000003</v>
      </c>
      <c r="AT796" s="3">
        <v>99.780779999999993</v>
      </c>
      <c r="AU796" s="3">
        <v>99.15</v>
      </c>
      <c r="AV796" s="3">
        <v>99.867289999999997</v>
      </c>
      <c r="AW796" s="3">
        <v>96.79759</v>
      </c>
      <c r="AX796" s="3">
        <v>99.031720000000007</v>
      </c>
      <c r="AY796" s="3">
        <v>97.338539999999995</v>
      </c>
    </row>
    <row r="797" spans="1:51" x14ac:dyDescent="0.2">
      <c r="A797" s="3" t="s">
        <v>694</v>
      </c>
      <c r="B797" s="49">
        <v>42064</v>
      </c>
      <c r="D797" s="3">
        <v>99.422709999999995</v>
      </c>
      <c r="E797" s="3">
        <v>97.799149999999997</v>
      </c>
      <c r="F797" s="3">
        <v>99.78931</v>
      </c>
      <c r="G797" s="3">
        <v>100.3387</v>
      </c>
      <c r="H797" s="3">
        <v>98.539090000000002</v>
      </c>
      <c r="I797" s="3">
        <v>99.9</v>
      </c>
      <c r="J797" s="3">
        <v>98.691940000000002</v>
      </c>
      <c r="K797" s="3">
        <v>100.4127</v>
      </c>
      <c r="L797" s="3">
        <v>99.8</v>
      </c>
      <c r="M797" s="3">
        <v>99.716620000000006</v>
      </c>
      <c r="N797" s="3">
        <v>100.2</v>
      </c>
      <c r="O797" s="3">
        <v>100</v>
      </c>
      <c r="P797" s="3">
        <v>99.473979999999997</v>
      </c>
      <c r="Q797" s="3">
        <v>100.33669999999999</v>
      </c>
      <c r="R797" s="3">
        <v>103.57</v>
      </c>
      <c r="S797" s="3">
        <v>100.12</v>
      </c>
      <c r="T797" s="3">
        <v>100.17</v>
      </c>
      <c r="U797" s="3">
        <v>99.323750000000004</v>
      </c>
      <c r="V797" s="3">
        <v>99.692750000000004</v>
      </c>
      <c r="W797" s="3">
        <v>99.6</v>
      </c>
      <c r="X797" s="3">
        <v>100.54940000000001</v>
      </c>
      <c r="Y797" s="3">
        <v>99.70393</v>
      </c>
      <c r="Z797" s="3">
        <v>98.387609999999995</v>
      </c>
      <c r="AA797" s="3">
        <v>97.162899999999993</v>
      </c>
      <c r="AD797" s="3">
        <v>99.396990000000002</v>
      </c>
      <c r="AE797" s="3">
        <v>99.813959999999994</v>
      </c>
      <c r="AF797" s="3">
        <v>99.7</v>
      </c>
      <c r="AG797" s="3">
        <v>99.72</v>
      </c>
      <c r="AI797" s="3">
        <v>99.98</v>
      </c>
      <c r="AJ797" s="3">
        <v>100.21250000000001</v>
      </c>
      <c r="AK797" s="3">
        <v>99.972790000000003</v>
      </c>
      <c r="AL797" s="3">
        <v>99.75</v>
      </c>
      <c r="AM797" s="3">
        <v>99.2</v>
      </c>
      <c r="AN797" s="3">
        <v>99.633859999999999</v>
      </c>
      <c r="AO797" s="3">
        <v>99.663250000000005</v>
      </c>
      <c r="AP797" s="3">
        <v>100.0407</v>
      </c>
      <c r="AQ797" s="3">
        <v>100.0971</v>
      </c>
      <c r="AS797" s="3">
        <v>99.605069999999998</v>
      </c>
      <c r="AT797" s="3">
        <v>99.903139999999993</v>
      </c>
      <c r="AU797" s="3">
        <v>100.03</v>
      </c>
      <c r="AV797" s="3">
        <v>99.950270000000003</v>
      </c>
      <c r="AW797" s="3">
        <v>97.945009999999996</v>
      </c>
      <c r="AX797" s="3">
        <v>99.621120000000005</v>
      </c>
      <c r="AY797" s="3">
        <v>98.537559999999999</v>
      </c>
    </row>
    <row r="798" spans="1:51" x14ac:dyDescent="0.2">
      <c r="A798" s="3" t="s">
        <v>695</v>
      </c>
      <c r="B798" s="49">
        <v>42095</v>
      </c>
      <c r="D798" s="3">
        <v>99.799310000000006</v>
      </c>
      <c r="E798" s="3">
        <v>98.493560000000002</v>
      </c>
      <c r="F798" s="3">
        <v>99.710300000000004</v>
      </c>
      <c r="G798" s="3">
        <v>100.1567</v>
      </c>
      <c r="H798" s="3">
        <v>99.116550000000004</v>
      </c>
      <c r="I798" s="3">
        <v>99.7</v>
      </c>
      <c r="J798" s="3">
        <v>99.229579999999999</v>
      </c>
      <c r="K798" s="3">
        <v>100.3344</v>
      </c>
      <c r="L798" s="3">
        <v>100.1</v>
      </c>
      <c r="M798" s="3">
        <v>100.2167</v>
      </c>
      <c r="N798" s="3">
        <v>100.3</v>
      </c>
      <c r="O798" s="3">
        <v>100.43</v>
      </c>
      <c r="P798" s="3">
        <v>100.38809999999999</v>
      </c>
      <c r="Q798" s="3">
        <v>100.79810000000001</v>
      </c>
      <c r="R798" s="3">
        <v>104.5</v>
      </c>
      <c r="S798" s="3">
        <v>100.11</v>
      </c>
      <c r="T798" s="3">
        <v>100.28</v>
      </c>
      <c r="U798" s="3">
        <v>99.626099999999994</v>
      </c>
      <c r="V798" s="3">
        <v>99.948610000000002</v>
      </c>
      <c r="W798" s="3">
        <v>99.9</v>
      </c>
      <c r="X798" s="3">
        <v>101.04689999999999</v>
      </c>
      <c r="Y798" s="3">
        <v>100.074</v>
      </c>
      <c r="Z798" s="3">
        <v>98.744690000000006</v>
      </c>
      <c r="AA798" s="3">
        <v>97.927959999999999</v>
      </c>
      <c r="AD798" s="3">
        <v>100</v>
      </c>
      <c r="AE798" s="3">
        <v>100</v>
      </c>
      <c r="AF798" s="3">
        <v>100.2</v>
      </c>
      <c r="AG798" s="3">
        <v>99.75</v>
      </c>
      <c r="AI798" s="3">
        <v>100.03</v>
      </c>
      <c r="AJ798" s="3">
        <v>100.7893</v>
      </c>
      <c r="AK798" s="3">
        <v>99.71396</v>
      </c>
      <c r="AL798" s="3">
        <v>100.39</v>
      </c>
      <c r="AM798" s="3">
        <v>99.6</v>
      </c>
      <c r="AN798" s="3">
        <v>99.943860000000001</v>
      </c>
      <c r="AO798" s="3">
        <v>100.121</v>
      </c>
      <c r="AP798" s="3">
        <v>100.4477</v>
      </c>
      <c r="AQ798" s="3">
        <v>100.42149999999999</v>
      </c>
      <c r="AS798" s="3">
        <v>99.667289999999994</v>
      </c>
      <c r="AT798" s="3">
        <v>100.08669999999999</v>
      </c>
      <c r="AU798" s="3">
        <v>100.11</v>
      </c>
      <c r="AV798" s="3">
        <v>99.940700000000007</v>
      </c>
      <c r="AW798" s="3">
        <v>99.541420000000002</v>
      </c>
      <c r="AX798" s="3">
        <v>99.823639999999997</v>
      </c>
      <c r="AY798" s="3">
        <v>99.51858</v>
      </c>
    </row>
    <row r="799" spans="1:51" x14ac:dyDescent="0.2">
      <c r="A799" s="3" t="s">
        <v>696</v>
      </c>
      <c r="B799" s="49">
        <v>42125</v>
      </c>
      <c r="D799" s="3">
        <v>99.957880000000003</v>
      </c>
      <c r="E799" s="3">
        <v>99.222309999999993</v>
      </c>
      <c r="F799" s="3">
        <v>100.2634</v>
      </c>
      <c r="G799" s="3">
        <v>100.3899</v>
      </c>
      <c r="H799" s="3">
        <v>99.290890000000005</v>
      </c>
      <c r="I799" s="3">
        <v>99.5</v>
      </c>
      <c r="J799" s="3">
        <v>99.486710000000002</v>
      </c>
      <c r="K799" s="3">
        <v>100.039</v>
      </c>
      <c r="L799" s="3">
        <v>100.4</v>
      </c>
      <c r="M799" s="3">
        <v>100.41670000000001</v>
      </c>
      <c r="N799" s="3">
        <v>100.4</v>
      </c>
      <c r="O799" s="3">
        <v>100.71</v>
      </c>
      <c r="P799" s="3">
        <v>100.8682</v>
      </c>
      <c r="Q799" s="3">
        <v>101.00320000000001</v>
      </c>
      <c r="R799" s="3">
        <v>105.26</v>
      </c>
      <c r="S799" s="3">
        <v>100.03</v>
      </c>
      <c r="T799" s="3">
        <v>100.52</v>
      </c>
      <c r="U799" s="3">
        <v>99.944069999999996</v>
      </c>
      <c r="V799" s="3">
        <v>100.3305</v>
      </c>
      <c r="W799" s="3">
        <v>100.1</v>
      </c>
      <c r="X799" s="3">
        <v>100.19929999999999</v>
      </c>
      <c r="Y799" s="3">
        <v>100.8142</v>
      </c>
      <c r="Z799" s="3">
        <v>99.234629999999996</v>
      </c>
      <c r="AA799" s="3">
        <v>98.693020000000004</v>
      </c>
      <c r="AD799" s="3">
        <v>100.20099999999999</v>
      </c>
      <c r="AE799" s="3">
        <v>100.093</v>
      </c>
      <c r="AF799" s="3">
        <v>100.4</v>
      </c>
      <c r="AG799" s="3">
        <v>100.03</v>
      </c>
      <c r="AI799" s="3">
        <v>100.45</v>
      </c>
      <c r="AJ799" s="3">
        <v>101.35209999999999</v>
      </c>
      <c r="AK799" s="3">
        <v>99.216009999999997</v>
      </c>
      <c r="AL799" s="3">
        <v>100.61</v>
      </c>
      <c r="AM799" s="3">
        <v>99.8</v>
      </c>
      <c r="AN799" s="3">
        <v>100.2591</v>
      </c>
      <c r="AO799" s="3">
        <v>100.3562</v>
      </c>
      <c r="AP799" s="3">
        <v>100.4477</v>
      </c>
      <c r="AQ799" s="3">
        <v>100.84950000000001</v>
      </c>
      <c r="AS799" s="3">
        <v>99.791730000000001</v>
      </c>
      <c r="AT799" s="3">
        <v>100.4537</v>
      </c>
      <c r="AU799" s="3">
        <v>100.88</v>
      </c>
      <c r="AV799" s="3">
        <v>100.2854</v>
      </c>
      <c r="AW799" s="3">
        <v>100.10169999999999</v>
      </c>
      <c r="AX799" s="3">
        <v>100.3325</v>
      </c>
      <c r="AY799" s="3">
        <v>99.627579999999995</v>
      </c>
    </row>
    <row r="800" spans="1:51" x14ac:dyDescent="0.2">
      <c r="A800" s="3" t="s">
        <v>697</v>
      </c>
      <c r="B800" s="49">
        <v>42156</v>
      </c>
      <c r="D800" s="3">
        <v>100.1065</v>
      </c>
      <c r="E800" s="3">
        <v>100.0063</v>
      </c>
      <c r="F800" s="3">
        <v>100.5004</v>
      </c>
      <c r="G800" s="3">
        <v>100.4637</v>
      </c>
      <c r="H800" s="3">
        <v>99.770290000000003</v>
      </c>
      <c r="I800" s="3">
        <v>99.5</v>
      </c>
      <c r="J800" s="3">
        <v>99.591899999999995</v>
      </c>
      <c r="K800" s="3">
        <v>100.468</v>
      </c>
      <c r="L800" s="3">
        <v>100.5</v>
      </c>
      <c r="M800" s="3">
        <v>100.41670000000001</v>
      </c>
      <c r="N800" s="3">
        <v>100.3</v>
      </c>
      <c r="O800" s="3">
        <v>100.72</v>
      </c>
      <c r="P800" s="3">
        <v>101.13760000000001</v>
      </c>
      <c r="Q800" s="3">
        <v>100.8494</v>
      </c>
      <c r="R800" s="3">
        <v>105.44</v>
      </c>
      <c r="S800" s="3">
        <v>100.03</v>
      </c>
      <c r="T800" s="3">
        <v>100.44</v>
      </c>
      <c r="U800" s="3">
        <v>100.1925</v>
      </c>
      <c r="V800" s="3">
        <v>100.5145</v>
      </c>
      <c r="W800" s="3">
        <v>100.1</v>
      </c>
      <c r="X800" s="3">
        <v>100.83759999999999</v>
      </c>
      <c r="Y800" s="3">
        <v>100.9622</v>
      </c>
      <c r="Z800" s="3">
        <v>99.766099999999994</v>
      </c>
      <c r="AA800" s="3">
        <v>99.840609999999998</v>
      </c>
      <c r="AD800" s="3">
        <v>100.5025</v>
      </c>
      <c r="AE800" s="3">
        <v>100.2791</v>
      </c>
      <c r="AF800" s="3">
        <v>100.2</v>
      </c>
      <c r="AG800" s="3">
        <v>100.05</v>
      </c>
      <c r="AI800" s="3">
        <v>100.64</v>
      </c>
      <c r="AJ800" s="3">
        <v>101.107</v>
      </c>
      <c r="AK800" s="3">
        <v>99.382279999999994</v>
      </c>
      <c r="AL800" s="3">
        <v>100.23</v>
      </c>
      <c r="AM800" s="3">
        <v>100.1</v>
      </c>
      <c r="AN800" s="3">
        <v>100.3985</v>
      </c>
      <c r="AO800" s="3">
        <v>100.3472</v>
      </c>
      <c r="AP800" s="3">
        <v>100.4477</v>
      </c>
      <c r="AQ800" s="3">
        <v>100.7689</v>
      </c>
      <c r="AS800" s="3">
        <v>99.936909999999997</v>
      </c>
      <c r="AT800" s="3">
        <v>100.5149</v>
      </c>
      <c r="AU800" s="3">
        <v>100.79</v>
      </c>
      <c r="AV800" s="3">
        <v>99.994950000000003</v>
      </c>
      <c r="AW800" s="3">
        <v>99.587459999999993</v>
      </c>
      <c r="AX800" s="3">
        <v>100.68389999999999</v>
      </c>
      <c r="AY800" s="3">
        <v>100.1726</v>
      </c>
    </row>
    <row r="801" spans="1:51" x14ac:dyDescent="0.2">
      <c r="A801" s="3" t="s">
        <v>698</v>
      </c>
      <c r="B801" s="49">
        <v>42186</v>
      </c>
      <c r="D801" s="3">
        <v>100.1065</v>
      </c>
      <c r="E801" s="3">
        <v>100.6262</v>
      </c>
      <c r="F801" s="3">
        <v>100.57940000000001</v>
      </c>
      <c r="G801" s="3">
        <v>99.846279999999993</v>
      </c>
      <c r="H801" s="3">
        <v>100.18429999999999</v>
      </c>
      <c r="I801" s="3">
        <v>99.9</v>
      </c>
      <c r="J801" s="3">
        <v>99.778909999999996</v>
      </c>
      <c r="K801" s="3">
        <v>100.0369</v>
      </c>
      <c r="L801" s="3">
        <v>100.4</v>
      </c>
      <c r="M801" s="3">
        <v>100.6168</v>
      </c>
      <c r="N801" s="3">
        <v>100.2</v>
      </c>
      <c r="O801" s="3">
        <v>100.11</v>
      </c>
      <c r="P801" s="3">
        <v>100.1985</v>
      </c>
      <c r="Q801" s="3">
        <v>100.4905</v>
      </c>
      <c r="R801" s="3">
        <v>105.57</v>
      </c>
      <c r="S801" s="3">
        <v>99.81</v>
      </c>
      <c r="T801" s="3">
        <v>100.03</v>
      </c>
      <c r="U801" s="3">
        <v>100.3266</v>
      </c>
      <c r="V801" s="3">
        <v>100.4883</v>
      </c>
      <c r="W801" s="3">
        <v>100</v>
      </c>
      <c r="X801" s="3">
        <v>99.507779999999997</v>
      </c>
      <c r="Y801" s="3">
        <v>100.9622</v>
      </c>
      <c r="Z801" s="3">
        <v>100.6962</v>
      </c>
      <c r="AA801" s="3">
        <v>100.6057</v>
      </c>
      <c r="AD801" s="3">
        <v>100.70350000000001</v>
      </c>
      <c r="AE801" s="3">
        <v>100.18600000000001</v>
      </c>
      <c r="AF801" s="3">
        <v>100.1</v>
      </c>
      <c r="AG801" s="3">
        <v>100.23</v>
      </c>
      <c r="AI801" s="3">
        <v>99.58</v>
      </c>
      <c r="AJ801" s="3">
        <v>100.11579999999999</v>
      </c>
      <c r="AK801" s="3">
        <v>99.527979999999999</v>
      </c>
      <c r="AL801" s="3">
        <v>101</v>
      </c>
      <c r="AM801" s="3">
        <v>100.1</v>
      </c>
      <c r="AN801" s="3">
        <v>100.3665</v>
      </c>
      <c r="AO801" s="3">
        <v>100.1927</v>
      </c>
      <c r="AP801" s="3">
        <v>100.3663</v>
      </c>
      <c r="AQ801" s="3">
        <v>100.0384</v>
      </c>
      <c r="AS801" s="3">
        <v>100.11320000000001</v>
      </c>
      <c r="AT801" s="3">
        <v>100.2702</v>
      </c>
      <c r="AU801" s="3">
        <v>99.99</v>
      </c>
      <c r="AV801" s="3">
        <v>100.0269</v>
      </c>
      <c r="AW801" s="3">
        <v>99.675730000000001</v>
      </c>
      <c r="AX801" s="3">
        <v>100.69070000000001</v>
      </c>
      <c r="AY801" s="3">
        <v>101.0446</v>
      </c>
    </row>
    <row r="802" spans="1:51" x14ac:dyDescent="0.2">
      <c r="A802" s="3" t="s">
        <v>699</v>
      </c>
      <c r="B802" s="49">
        <v>42217</v>
      </c>
      <c r="D802" s="3">
        <v>100.1759</v>
      </c>
      <c r="E802" s="3">
        <v>100.8476</v>
      </c>
      <c r="F802" s="3">
        <v>100.57940000000001</v>
      </c>
      <c r="G802" s="3">
        <v>99.686160000000001</v>
      </c>
      <c r="H802" s="3">
        <v>100.8707</v>
      </c>
      <c r="I802" s="3">
        <v>100.4</v>
      </c>
      <c r="J802" s="3">
        <v>100.2581</v>
      </c>
      <c r="K802" s="3">
        <v>99.949539999999999</v>
      </c>
      <c r="L802" s="3">
        <v>100.2</v>
      </c>
      <c r="M802" s="3">
        <v>100.6168</v>
      </c>
      <c r="N802" s="3">
        <v>100</v>
      </c>
      <c r="O802" s="3">
        <v>100.12</v>
      </c>
      <c r="P802" s="3">
        <v>99.865189999999998</v>
      </c>
      <c r="Q802" s="3">
        <v>100.1829</v>
      </c>
      <c r="R802" s="3">
        <v>105.22</v>
      </c>
      <c r="S802" s="3">
        <v>99.99</v>
      </c>
      <c r="T802" s="3">
        <v>100.35</v>
      </c>
      <c r="U802" s="3">
        <v>100.4508</v>
      </c>
      <c r="V802" s="3">
        <v>100.4736</v>
      </c>
      <c r="W802" s="3">
        <v>100.3</v>
      </c>
      <c r="X802" s="3">
        <v>99.073009999999996</v>
      </c>
      <c r="Y802" s="3">
        <v>100.37009999999999</v>
      </c>
      <c r="Z802" s="3">
        <v>101.0865</v>
      </c>
      <c r="AA802" s="3">
        <v>100.98820000000001</v>
      </c>
      <c r="AD802" s="3">
        <v>100.5025</v>
      </c>
      <c r="AE802" s="3">
        <v>100.3721</v>
      </c>
      <c r="AF802" s="3">
        <v>100.2</v>
      </c>
      <c r="AG802" s="3">
        <v>100.37</v>
      </c>
      <c r="AI802" s="3">
        <v>100.54</v>
      </c>
      <c r="AJ802" s="3">
        <v>99.583430000000007</v>
      </c>
      <c r="AK802" s="3">
        <v>99.737949999999998</v>
      </c>
      <c r="AL802" s="3">
        <v>100.69</v>
      </c>
      <c r="AM802" s="3">
        <v>99.9</v>
      </c>
      <c r="AN802" s="3">
        <v>100.3595</v>
      </c>
      <c r="AO802" s="3">
        <v>100.2393</v>
      </c>
      <c r="AP802" s="3">
        <v>99.959299999999999</v>
      </c>
      <c r="AQ802" s="3">
        <v>99.703019999999995</v>
      </c>
      <c r="AS802" s="3">
        <v>100.0925</v>
      </c>
      <c r="AT802" s="3">
        <v>100.08669999999999</v>
      </c>
      <c r="AU802" s="3">
        <v>100.11</v>
      </c>
      <c r="AV802" s="3">
        <v>99.828990000000005</v>
      </c>
      <c r="AW802" s="3">
        <v>100.0748</v>
      </c>
      <c r="AX802" s="3">
        <v>100.54810000000001</v>
      </c>
      <c r="AY802" s="3">
        <v>101.1536</v>
      </c>
    </row>
    <row r="803" spans="1:51" x14ac:dyDescent="0.2">
      <c r="A803" s="3" t="s">
        <v>700</v>
      </c>
      <c r="B803" s="49">
        <v>42248</v>
      </c>
      <c r="D803" s="3">
        <v>100.2453</v>
      </c>
      <c r="E803" s="3">
        <v>101.3921</v>
      </c>
      <c r="F803" s="3">
        <v>100.42140000000001</v>
      </c>
      <c r="G803" s="3">
        <v>99.785150000000002</v>
      </c>
      <c r="H803" s="3">
        <v>101.3828</v>
      </c>
      <c r="I803" s="3">
        <v>100.5</v>
      </c>
      <c r="J803" s="3">
        <v>100.98269999999999</v>
      </c>
      <c r="K803" s="3">
        <v>99.685460000000006</v>
      </c>
      <c r="L803" s="3">
        <v>100</v>
      </c>
      <c r="M803" s="3">
        <v>100.41670000000001</v>
      </c>
      <c r="N803" s="3">
        <v>100.2</v>
      </c>
      <c r="O803" s="3">
        <v>100.32</v>
      </c>
      <c r="P803" s="3">
        <v>99.558819999999997</v>
      </c>
      <c r="Q803" s="3">
        <v>99.618889999999993</v>
      </c>
      <c r="R803" s="3">
        <v>105.31</v>
      </c>
      <c r="S803" s="3">
        <v>100.13</v>
      </c>
      <c r="T803" s="3">
        <v>99.95</v>
      </c>
      <c r="U803" s="3">
        <v>100.5937</v>
      </c>
      <c r="V803" s="3">
        <v>100.32259999999999</v>
      </c>
      <c r="W803" s="3">
        <v>100.2</v>
      </c>
      <c r="X803" s="3">
        <v>100.8563</v>
      </c>
      <c r="Y803" s="3">
        <v>99.70393</v>
      </c>
      <c r="Z803" s="3">
        <v>101.03660000000001</v>
      </c>
      <c r="AA803" s="3">
        <v>101.7533</v>
      </c>
      <c r="AD803" s="3">
        <v>100.1005</v>
      </c>
      <c r="AE803" s="3">
        <v>100</v>
      </c>
      <c r="AF803" s="3">
        <v>100.3</v>
      </c>
      <c r="AG803" s="3">
        <v>100.11</v>
      </c>
      <c r="AI803" s="3">
        <v>100.38</v>
      </c>
      <c r="AJ803" s="3">
        <v>99.442530000000005</v>
      </c>
      <c r="AK803" s="3">
        <v>100.1116</v>
      </c>
      <c r="AL803" s="3">
        <v>100.5</v>
      </c>
      <c r="AM803" s="3">
        <v>100.6</v>
      </c>
      <c r="AN803" s="3">
        <v>100.3052</v>
      </c>
      <c r="AO803" s="3">
        <v>100.18989999999999</v>
      </c>
      <c r="AP803" s="3">
        <v>99.633700000000005</v>
      </c>
      <c r="AQ803" s="3">
        <v>100.4892</v>
      </c>
      <c r="AS803" s="3">
        <v>100.248</v>
      </c>
      <c r="AT803" s="3">
        <v>99.780779999999993</v>
      </c>
      <c r="AU803" s="3">
        <v>100.03</v>
      </c>
      <c r="AV803" s="3">
        <v>100.22790000000001</v>
      </c>
      <c r="AW803" s="3">
        <v>100.96899999999999</v>
      </c>
      <c r="AX803" s="3">
        <v>100.39149999999999</v>
      </c>
      <c r="AY803" s="3">
        <v>101.1536</v>
      </c>
    </row>
    <row r="804" spans="1:51" x14ac:dyDescent="0.2">
      <c r="A804" s="3" t="s">
        <v>701</v>
      </c>
      <c r="B804" s="49">
        <v>42278</v>
      </c>
      <c r="D804" s="3">
        <v>100.59220000000001</v>
      </c>
      <c r="E804" s="3">
        <v>102.2234</v>
      </c>
      <c r="F804" s="3">
        <v>100.5004</v>
      </c>
      <c r="G804" s="3">
        <v>99.86824</v>
      </c>
      <c r="H804" s="3">
        <v>101.79689999999999</v>
      </c>
      <c r="I804" s="3">
        <v>100.1</v>
      </c>
      <c r="J804" s="3">
        <v>101.6606</v>
      </c>
      <c r="K804" s="3">
        <v>99.40455</v>
      </c>
      <c r="L804" s="3">
        <v>100</v>
      </c>
      <c r="M804" s="3">
        <v>100.41670000000001</v>
      </c>
      <c r="N804" s="3">
        <v>100.1</v>
      </c>
      <c r="O804" s="3">
        <v>100.45</v>
      </c>
      <c r="P804" s="3">
        <v>100.1955</v>
      </c>
      <c r="Q804" s="3">
        <v>99.721429999999998</v>
      </c>
      <c r="R804" s="3">
        <v>105.49</v>
      </c>
      <c r="S804" s="3">
        <v>100.29</v>
      </c>
      <c r="T804" s="3">
        <v>100.01</v>
      </c>
      <c r="U804" s="3">
        <v>100.7732</v>
      </c>
      <c r="V804" s="3">
        <v>100.309</v>
      </c>
      <c r="W804" s="3">
        <v>100.3</v>
      </c>
      <c r="X804" s="3">
        <v>100.75360000000001</v>
      </c>
      <c r="Y804" s="3">
        <v>100</v>
      </c>
      <c r="Z804" s="3">
        <v>100.95359999999999</v>
      </c>
      <c r="AA804" s="3">
        <v>102.90089999999999</v>
      </c>
      <c r="AD804" s="3">
        <v>100.20099999999999</v>
      </c>
      <c r="AE804" s="3">
        <v>100.18600000000001</v>
      </c>
      <c r="AF804" s="3">
        <v>100.2</v>
      </c>
      <c r="AG804" s="3">
        <v>100.11</v>
      </c>
      <c r="AI804" s="3">
        <v>100.2</v>
      </c>
      <c r="AJ804" s="3">
        <v>99.743939999999995</v>
      </c>
      <c r="AK804" s="3">
        <v>100.6267</v>
      </c>
      <c r="AL804" s="3">
        <v>100.41</v>
      </c>
      <c r="AM804" s="3">
        <v>101</v>
      </c>
      <c r="AN804" s="3">
        <v>100.4113</v>
      </c>
      <c r="AO804" s="3">
        <v>100.43859999999999</v>
      </c>
      <c r="AP804" s="3">
        <v>99.715100000000007</v>
      </c>
      <c r="AQ804" s="3">
        <v>100.5788</v>
      </c>
      <c r="AS804" s="3">
        <v>100.4451</v>
      </c>
      <c r="AT804" s="3">
        <v>99.84196</v>
      </c>
      <c r="AU804" s="3">
        <v>100.06</v>
      </c>
      <c r="AV804" s="3">
        <v>100.3013</v>
      </c>
      <c r="AW804" s="3">
        <v>102.5385</v>
      </c>
      <c r="AX804" s="3">
        <v>100.3464</v>
      </c>
      <c r="AY804" s="3">
        <v>101.3716</v>
      </c>
    </row>
    <row r="805" spans="1:51" x14ac:dyDescent="0.2">
      <c r="A805" s="3" t="s">
        <v>702</v>
      </c>
      <c r="B805" s="49">
        <v>42309</v>
      </c>
      <c r="D805" s="3">
        <v>100.7012</v>
      </c>
      <c r="E805" s="3">
        <v>103.25579999999999</v>
      </c>
      <c r="F805" s="3">
        <v>100.42140000000001</v>
      </c>
      <c r="G805" s="3">
        <v>99.796279999999996</v>
      </c>
      <c r="H805" s="3">
        <v>101.7642</v>
      </c>
      <c r="I805" s="3">
        <v>100.1</v>
      </c>
      <c r="J805" s="3">
        <v>102.2801</v>
      </c>
      <c r="K805" s="3">
        <v>99.395309999999995</v>
      </c>
      <c r="L805" s="3">
        <v>99.6</v>
      </c>
      <c r="M805" s="3">
        <v>99.716620000000006</v>
      </c>
      <c r="N805" s="3">
        <v>99.9</v>
      </c>
      <c r="O805" s="3">
        <v>100.01</v>
      </c>
      <c r="P805" s="3">
        <v>100.5628</v>
      </c>
      <c r="Q805" s="3">
        <v>99.424059999999997</v>
      </c>
      <c r="R805" s="3">
        <v>105.67</v>
      </c>
      <c r="S805" s="3">
        <v>100.11</v>
      </c>
      <c r="T805" s="3">
        <v>99.82</v>
      </c>
      <c r="U805" s="3">
        <v>100.7747</v>
      </c>
      <c r="V805" s="3">
        <v>100.05500000000001</v>
      </c>
      <c r="W805" s="3">
        <v>100.3</v>
      </c>
      <c r="X805" s="3">
        <v>99.991410000000002</v>
      </c>
      <c r="Y805" s="3">
        <v>100</v>
      </c>
      <c r="Z805" s="3">
        <v>101.16119999999999</v>
      </c>
      <c r="AA805" s="3">
        <v>103.2834</v>
      </c>
      <c r="AD805" s="3">
        <v>99.799000000000007</v>
      </c>
      <c r="AE805" s="3">
        <v>99.813959999999994</v>
      </c>
      <c r="AF805" s="3">
        <v>99.9</v>
      </c>
      <c r="AG805" s="3">
        <v>99.92</v>
      </c>
      <c r="AI805" s="3">
        <v>100.26</v>
      </c>
      <c r="AJ805" s="3">
        <v>99.730819999999994</v>
      </c>
      <c r="AK805" s="3">
        <v>101.17610000000001</v>
      </c>
      <c r="AL805" s="3">
        <v>99.85</v>
      </c>
      <c r="AM805" s="3">
        <v>101.3</v>
      </c>
      <c r="AN805" s="3">
        <v>100.2685</v>
      </c>
      <c r="AO805" s="3">
        <v>100.2919</v>
      </c>
      <c r="AP805" s="3">
        <v>99.633700000000005</v>
      </c>
      <c r="AQ805" s="3">
        <v>100.3807</v>
      </c>
      <c r="AS805" s="3">
        <v>100.57989999999999</v>
      </c>
      <c r="AT805" s="3">
        <v>99.84196</v>
      </c>
      <c r="AU805" s="3">
        <v>100.19</v>
      </c>
      <c r="AV805" s="3">
        <v>100.129</v>
      </c>
      <c r="AW805" s="3">
        <v>103.2216</v>
      </c>
      <c r="AX805" s="3">
        <v>100.13460000000001</v>
      </c>
      <c r="AY805" s="3">
        <v>101.5896</v>
      </c>
    </row>
    <row r="806" spans="1:51" x14ac:dyDescent="0.2">
      <c r="A806" s="3" t="s">
        <v>703</v>
      </c>
      <c r="B806" s="49">
        <v>42339</v>
      </c>
      <c r="D806" s="3">
        <v>100.5723</v>
      </c>
      <c r="E806" s="3">
        <v>104.247</v>
      </c>
      <c r="F806" s="3">
        <v>99.947329999999994</v>
      </c>
      <c r="G806" s="3">
        <v>99.386219999999994</v>
      </c>
      <c r="H806" s="3">
        <v>101.77509999999999</v>
      </c>
      <c r="I806" s="3">
        <v>100.6</v>
      </c>
      <c r="J806" s="3">
        <v>102.91119999999999</v>
      </c>
      <c r="K806" s="3">
        <v>99.580370000000002</v>
      </c>
      <c r="L806" s="3">
        <v>99.5</v>
      </c>
      <c r="M806" s="3">
        <v>99.716620000000006</v>
      </c>
      <c r="N806" s="3">
        <v>99.8</v>
      </c>
      <c r="O806" s="3">
        <v>100.03</v>
      </c>
      <c r="P806" s="3">
        <v>100.2684</v>
      </c>
      <c r="Q806" s="3">
        <v>98.696010000000001</v>
      </c>
      <c r="R806" s="3">
        <v>105.42</v>
      </c>
      <c r="S806" s="3">
        <v>99.99</v>
      </c>
      <c r="T806" s="3">
        <v>100.04</v>
      </c>
      <c r="U806" s="3">
        <v>100.8385</v>
      </c>
      <c r="V806" s="3">
        <v>99.854489999999998</v>
      </c>
      <c r="W806" s="3">
        <v>100.4</v>
      </c>
      <c r="X806" s="3">
        <v>100.0865</v>
      </c>
      <c r="Y806" s="3">
        <v>99.70393</v>
      </c>
      <c r="Z806" s="3">
        <v>102.1328</v>
      </c>
      <c r="AA806" s="3">
        <v>102.90089999999999</v>
      </c>
      <c r="AD806" s="3">
        <v>99.698490000000007</v>
      </c>
      <c r="AE806" s="3">
        <v>99.813959999999994</v>
      </c>
      <c r="AF806" s="3">
        <v>99.8</v>
      </c>
      <c r="AG806" s="3">
        <v>100.22</v>
      </c>
      <c r="AI806" s="3">
        <v>99.91</v>
      </c>
      <c r="AJ806" s="3">
        <v>99.404300000000006</v>
      </c>
      <c r="AK806" s="3">
        <v>101.5883</v>
      </c>
      <c r="AL806" s="3">
        <v>99.73</v>
      </c>
      <c r="AM806" s="3">
        <v>100.9</v>
      </c>
      <c r="AN806" s="3">
        <v>100.1438</v>
      </c>
      <c r="AO806" s="3">
        <v>100.29430000000001</v>
      </c>
      <c r="AP806" s="3">
        <v>99.4709</v>
      </c>
      <c r="AQ806" s="3">
        <v>100.119</v>
      </c>
      <c r="AS806" s="3">
        <v>100.5902</v>
      </c>
      <c r="AT806" s="3">
        <v>99.536069999999995</v>
      </c>
      <c r="AU806" s="3">
        <v>99.75</v>
      </c>
      <c r="AV806" s="3">
        <v>100.2758</v>
      </c>
      <c r="AW806" s="3">
        <v>103.4365</v>
      </c>
      <c r="AX806" s="3">
        <v>99.792420000000007</v>
      </c>
      <c r="AY806" s="3">
        <v>101.80759999999999</v>
      </c>
    </row>
    <row r="807" spans="1:51" x14ac:dyDescent="0.2">
      <c r="A807" s="3" t="s">
        <v>704</v>
      </c>
      <c r="B807" s="49">
        <v>42370</v>
      </c>
      <c r="D807" s="3">
        <v>100.6814</v>
      </c>
      <c r="E807" s="3">
        <v>105.57089999999999</v>
      </c>
      <c r="F807" s="3">
        <v>100.1844</v>
      </c>
      <c r="G807" s="3">
        <v>99.000100000000003</v>
      </c>
      <c r="H807" s="3">
        <v>102.25449999999999</v>
      </c>
      <c r="I807" s="3">
        <v>101.1</v>
      </c>
      <c r="J807" s="3">
        <v>104.2437</v>
      </c>
      <c r="K807" s="3">
        <v>100.2564</v>
      </c>
      <c r="L807" s="3">
        <v>100.1</v>
      </c>
      <c r="M807" s="3">
        <v>99.016499999999994</v>
      </c>
      <c r="N807" s="3">
        <v>99.4</v>
      </c>
      <c r="O807" s="3">
        <v>98.56</v>
      </c>
      <c r="P807" s="3">
        <v>98.356250000000003</v>
      </c>
      <c r="Q807" s="3">
        <v>98.59348</v>
      </c>
      <c r="R807" s="3">
        <v>105.76</v>
      </c>
      <c r="S807" s="3">
        <v>99.57</v>
      </c>
      <c r="T807" s="3">
        <v>99.08</v>
      </c>
      <c r="U807" s="3">
        <v>100.8642</v>
      </c>
      <c r="V807" s="3">
        <v>99.750829999999993</v>
      </c>
      <c r="W807" s="3">
        <v>99.9</v>
      </c>
      <c r="X807" s="3">
        <v>98.140090000000001</v>
      </c>
      <c r="Y807" s="3">
        <v>99.555890000000005</v>
      </c>
      <c r="Z807" s="3">
        <v>102.6559</v>
      </c>
      <c r="AA807" s="3">
        <v>102.90089999999999</v>
      </c>
      <c r="AD807" s="3">
        <v>99.195980000000006</v>
      </c>
      <c r="AE807" s="3">
        <v>99.6</v>
      </c>
      <c r="AF807" s="3">
        <v>99.5</v>
      </c>
      <c r="AG807" s="3">
        <v>100.39</v>
      </c>
      <c r="AI807" s="3">
        <v>98.71</v>
      </c>
      <c r="AJ807" s="3">
        <v>98.846100000000007</v>
      </c>
      <c r="AK807" s="3">
        <v>101.9757</v>
      </c>
      <c r="AL807" s="3">
        <v>98.71</v>
      </c>
      <c r="AM807" s="3">
        <v>101.5</v>
      </c>
      <c r="AN807" s="3">
        <v>100.0578</v>
      </c>
      <c r="AO807" s="3">
        <v>99.822909999999993</v>
      </c>
      <c r="AP807" s="3">
        <v>98.982500000000002</v>
      </c>
      <c r="AQ807" s="3">
        <v>99.081019999999995</v>
      </c>
      <c r="AS807" s="3">
        <v>101.928</v>
      </c>
      <c r="AT807" s="3">
        <v>99.291359999999997</v>
      </c>
      <c r="AU807" s="3">
        <v>98.38</v>
      </c>
      <c r="AV807" s="3">
        <v>99.931120000000007</v>
      </c>
      <c r="AW807" s="3">
        <v>105.3169</v>
      </c>
      <c r="AX807" s="3">
        <v>99.957390000000004</v>
      </c>
      <c r="AY807" s="3">
        <v>102.67959999999999</v>
      </c>
    </row>
    <row r="808" spans="1:51" x14ac:dyDescent="0.2">
      <c r="A808" s="3" t="s">
        <v>705</v>
      </c>
      <c r="B808" s="49">
        <v>42401</v>
      </c>
      <c r="D808" s="3">
        <v>100.74079999999999</v>
      </c>
      <c r="E808" s="3">
        <v>106.521</v>
      </c>
      <c r="F808" s="3">
        <v>100.42140000000001</v>
      </c>
      <c r="G808" s="3">
        <v>99.183869999999999</v>
      </c>
      <c r="H808" s="3">
        <v>102.5378</v>
      </c>
      <c r="I808" s="3">
        <v>102.7</v>
      </c>
      <c r="J808" s="3">
        <v>105.5761</v>
      </c>
      <c r="K808" s="3">
        <v>100.23180000000001</v>
      </c>
      <c r="L808" s="3">
        <v>100.2</v>
      </c>
      <c r="M808" s="3">
        <v>99.316550000000007</v>
      </c>
      <c r="N808" s="3">
        <v>100.1</v>
      </c>
      <c r="O808" s="3">
        <v>98.73</v>
      </c>
      <c r="P808" s="3">
        <v>98.008960000000002</v>
      </c>
      <c r="Q808" s="3">
        <v>99.259990000000002</v>
      </c>
      <c r="R808" s="3">
        <v>105</v>
      </c>
      <c r="S808" s="3">
        <v>99.7</v>
      </c>
      <c r="T808" s="3">
        <v>99.33</v>
      </c>
      <c r="U808" s="3">
        <v>101.19629999999999</v>
      </c>
      <c r="V808" s="3">
        <v>99.863470000000007</v>
      </c>
      <c r="W808" s="3">
        <v>100.1</v>
      </c>
      <c r="X808" s="3">
        <v>97.725009999999997</v>
      </c>
      <c r="Y808" s="3">
        <v>99.407839999999993</v>
      </c>
      <c r="Z808" s="3">
        <v>102.5646</v>
      </c>
      <c r="AA808" s="3">
        <v>102.1358</v>
      </c>
      <c r="AD808" s="3">
        <v>98.894469999999998</v>
      </c>
      <c r="AE808" s="3">
        <v>99.4</v>
      </c>
      <c r="AF808" s="3">
        <v>99.6</v>
      </c>
      <c r="AG808" s="3">
        <v>100.82</v>
      </c>
      <c r="AI808" s="3">
        <v>100.01</v>
      </c>
      <c r="AJ808" s="3">
        <v>98.913920000000005</v>
      </c>
      <c r="AK808" s="3">
        <v>102.4222</v>
      </c>
      <c r="AL808" s="3">
        <v>99.3</v>
      </c>
      <c r="AM808" s="3">
        <v>102.1</v>
      </c>
      <c r="AN808" s="3">
        <v>100.19110000000001</v>
      </c>
      <c r="AO808" s="3">
        <v>99.919529999999995</v>
      </c>
      <c r="AP808" s="3">
        <v>98.9011</v>
      </c>
      <c r="AQ808" s="3">
        <v>98.637169999999998</v>
      </c>
      <c r="AS808" s="3">
        <v>102.0732</v>
      </c>
      <c r="AT808" s="3">
        <v>99.352540000000005</v>
      </c>
      <c r="AU808" s="3">
        <v>98.42</v>
      </c>
      <c r="AV808" s="3">
        <v>100.2534</v>
      </c>
      <c r="AW808" s="3">
        <v>105.29389999999999</v>
      </c>
      <c r="AX808" s="3">
        <v>100.0397</v>
      </c>
      <c r="AY808" s="3">
        <v>104.0966</v>
      </c>
    </row>
    <row r="809" spans="1:51" x14ac:dyDescent="0.2">
      <c r="A809" s="3" t="s">
        <v>706</v>
      </c>
      <c r="B809" s="49">
        <v>42430</v>
      </c>
      <c r="D809" s="3">
        <v>101.65260000000001</v>
      </c>
      <c r="E809" s="3">
        <v>106.9789</v>
      </c>
      <c r="F809" s="3">
        <v>101.0535</v>
      </c>
      <c r="G809" s="3">
        <v>99.475070000000002</v>
      </c>
      <c r="H809" s="3">
        <v>102.93</v>
      </c>
      <c r="I809" s="3">
        <v>102.2</v>
      </c>
      <c r="J809" s="3">
        <v>106.56950000000001</v>
      </c>
      <c r="K809" s="3">
        <v>99.321770000000001</v>
      </c>
      <c r="L809" s="3">
        <v>100.1</v>
      </c>
      <c r="M809" s="3">
        <v>100.0167</v>
      </c>
      <c r="N809" s="3">
        <v>100.2</v>
      </c>
      <c r="O809" s="3">
        <v>99.96</v>
      </c>
      <c r="P809" s="3">
        <v>98.637680000000003</v>
      </c>
      <c r="Q809" s="3">
        <v>100.08029999999999</v>
      </c>
      <c r="S809" s="3">
        <v>100.08</v>
      </c>
      <c r="T809" s="3">
        <v>100.02</v>
      </c>
      <c r="U809" s="3">
        <v>101.5393</v>
      </c>
      <c r="V809" s="3">
        <v>100.2784</v>
      </c>
      <c r="W809" s="3">
        <v>100.4</v>
      </c>
      <c r="X809" s="3">
        <v>99.040649999999999</v>
      </c>
      <c r="Y809" s="3">
        <v>99.481859999999998</v>
      </c>
      <c r="Z809" s="3">
        <v>102.76390000000001</v>
      </c>
      <c r="AA809" s="3">
        <v>102.5183</v>
      </c>
      <c r="AD809" s="3">
        <v>98.693470000000005</v>
      </c>
      <c r="AE809" s="3">
        <v>99.6</v>
      </c>
      <c r="AF809" s="3">
        <v>99.7</v>
      </c>
      <c r="AG809" s="3">
        <v>100.56</v>
      </c>
      <c r="AI809" s="3">
        <v>100.03</v>
      </c>
      <c r="AJ809" s="3">
        <v>99.641400000000004</v>
      </c>
      <c r="AK809" s="3">
        <v>102.5731</v>
      </c>
      <c r="AL809" s="3">
        <v>100.31</v>
      </c>
      <c r="AM809" s="3">
        <v>102.5</v>
      </c>
      <c r="AN809" s="3">
        <v>100.5796</v>
      </c>
      <c r="AO809" s="3">
        <v>100.4007</v>
      </c>
      <c r="AP809" s="3">
        <v>98.982500000000002</v>
      </c>
      <c r="AQ809" s="3">
        <v>100.54689999999999</v>
      </c>
      <c r="AS809" s="3">
        <v>102.1872</v>
      </c>
      <c r="AT809" s="3">
        <v>99.352540000000005</v>
      </c>
      <c r="AU809" s="3">
        <v>99.15</v>
      </c>
      <c r="AV809" s="3">
        <v>100.7513</v>
      </c>
      <c r="AW809" s="3">
        <v>105.2516</v>
      </c>
      <c r="AX809" s="3">
        <v>100.4704</v>
      </c>
      <c r="AY809" s="3">
        <v>104.9687</v>
      </c>
    </row>
    <row r="810" spans="1:51" x14ac:dyDescent="0.2">
      <c r="A810" s="3" t="s">
        <v>707</v>
      </c>
      <c r="B810" s="49">
        <v>42461</v>
      </c>
      <c r="D810" s="3">
        <v>101.831</v>
      </c>
      <c r="E810" s="3">
        <v>107.63160000000001</v>
      </c>
      <c r="F810" s="3">
        <v>101.3695</v>
      </c>
      <c r="G810" s="3">
        <v>99.804239999999993</v>
      </c>
      <c r="H810" s="3">
        <v>103.2677</v>
      </c>
      <c r="I810" s="3">
        <v>102</v>
      </c>
      <c r="J810" s="3">
        <v>107.0955</v>
      </c>
      <c r="K810" s="3">
        <v>99.412769999999995</v>
      </c>
      <c r="L810" s="3">
        <v>100.7</v>
      </c>
      <c r="M810" s="3">
        <v>100.11669999999999</v>
      </c>
      <c r="N810" s="3">
        <v>100.3</v>
      </c>
      <c r="O810" s="3">
        <v>100.17</v>
      </c>
      <c r="P810" s="3">
        <v>99.329279999999997</v>
      </c>
      <c r="Q810" s="3">
        <v>100.0291</v>
      </c>
      <c r="S810" s="3">
        <v>100.37</v>
      </c>
      <c r="T810" s="3">
        <v>100.09</v>
      </c>
      <c r="U810" s="3">
        <v>101.8472</v>
      </c>
      <c r="V810" s="3">
        <v>100.60429999999999</v>
      </c>
      <c r="W810" s="3">
        <v>100.6</v>
      </c>
      <c r="X810" s="3">
        <v>99.775580000000005</v>
      </c>
      <c r="Y810" s="3">
        <v>100.2961</v>
      </c>
      <c r="Z810" s="3">
        <v>102.2989</v>
      </c>
      <c r="AA810" s="3">
        <v>103.66589999999999</v>
      </c>
      <c r="AD810" s="3">
        <v>99.095470000000006</v>
      </c>
      <c r="AE810" s="3">
        <v>99.5</v>
      </c>
      <c r="AF810" s="3">
        <v>99.9</v>
      </c>
      <c r="AG810" s="3">
        <v>100.75</v>
      </c>
      <c r="AI810" s="3">
        <v>100.1</v>
      </c>
      <c r="AJ810" s="3">
        <v>99.991259999999997</v>
      </c>
      <c r="AK810" s="3">
        <v>102.2483</v>
      </c>
      <c r="AL810" s="3">
        <v>100.4</v>
      </c>
      <c r="AM810" s="3">
        <v>102.9</v>
      </c>
      <c r="AN810" s="3">
        <v>100.901</v>
      </c>
      <c r="AO810" s="3">
        <v>100.65089999999999</v>
      </c>
      <c r="AP810" s="3">
        <v>99.308099999999996</v>
      </c>
      <c r="AQ810" s="3">
        <v>100.89919999999999</v>
      </c>
      <c r="AS810" s="3">
        <v>102.1872</v>
      </c>
      <c r="AT810" s="3">
        <v>99.658420000000007</v>
      </c>
      <c r="AU810" s="3">
        <v>99.54</v>
      </c>
      <c r="AV810" s="3">
        <v>100.73220000000001</v>
      </c>
      <c r="AW810" s="3">
        <v>106.0767</v>
      </c>
      <c r="AX810" s="3">
        <v>100.9468</v>
      </c>
      <c r="AY810" s="3">
        <v>105.94970000000001</v>
      </c>
    </row>
    <row r="811" spans="1:51" x14ac:dyDescent="0.2">
      <c r="A811" s="3" t="s">
        <v>708</v>
      </c>
      <c r="B811" s="49">
        <v>42491</v>
      </c>
      <c r="D811" s="3">
        <v>102.158</v>
      </c>
      <c r="E811" s="3">
        <v>108.471</v>
      </c>
      <c r="F811" s="3">
        <v>101.7645</v>
      </c>
      <c r="G811" s="3">
        <v>99.948239999999998</v>
      </c>
      <c r="H811" s="3">
        <v>103.4966</v>
      </c>
      <c r="I811" s="3">
        <v>101.6</v>
      </c>
      <c r="J811" s="3">
        <v>107.6448</v>
      </c>
      <c r="K811" s="3">
        <v>99.605760000000004</v>
      </c>
      <c r="L811" s="3">
        <v>100.5</v>
      </c>
      <c r="M811" s="3">
        <v>100.6168</v>
      </c>
      <c r="N811" s="3">
        <v>100.5</v>
      </c>
      <c r="O811" s="3">
        <v>100.59</v>
      </c>
      <c r="P811" s="3">
        <v>99.871179999999995</v>
      </c>
      <c r="Q811" s="3">
        <v>100.08029999999999</v>
      </c>
      <c r="S811" s="3">
        <v>100.34</v>
      </c>
      <c r="T811" s="3">
        <v>100.5</v>
      </c>
      <c r="U811" s="3">
        <v>102.1724</v>
      </c>
      <c r="V811" s="3">
        <v>100.961</v>
      </c>
      <c r="W811" s="3">
        <v>100.8</v>
      </c>
      <c r="X811" s="3">
        <v>99.328479999999999</v>
      </c>
      <c r="Y811" s="3">
        <v>100.59220000000001</v>
      </c>
      <c r="Z811" s="3">
        <v>102.5397</v>
      </c>
      <c r="AA811" s="3">
        <v>105.196</v>
      </c>
      <c r="AD811" s="3">
        <v>99.396990000000002</v>
      </c>
      <c r="AE811" s="3">
        <v>99.8</v>
      </c>
      <c r="AF811" s="3">
        <v>100</v>
      </c>
      <c r="AG811" s="3">
        <v>100.81</v>
      </c>
      <c r="AI811" s="3">
        <v>100.42</v>
      </c>
      <c r="AJ811" s="3">
        <v>100.57510000000001</v>
      </c>
      <c r="AK811" s="3">
        <v>101.7923</v>
      </c>
      <c r="AL811" s="3">
        <v>100.58</v>
      </c>
      <c r="AM811" s="3">
        <v>103.2</v>
      </c>
      <c r="AN811" s="3">
        <v>101.2004</v>
      </c>
      <c r="AO811" s="3">
        <v>100.98739999999999</v>
      </c>
      <c r="AP811" s="3">
        <v>99.389499999999998</v>
      </c>
      <c r="AQ811" s="3">
        <v>101.1849</v>
      </c>
      <c r="AS811" s="3">
        <v>102.125</v>
      </c>
      <c r="AT811" s="3">
        <v>99.597239999999999</v>
      </c>
      <c r="AU811" s="3">
        <v>100.48</v>
      </c>
      <c r="AV811" s="3">
        <v>100.9141</v>
      </c>
      <c r="AW811" s="3">
        <v>106.69070000000001</v>
      </c>
      <c r="AX811" s="3">
        <v>101.3552</v>
      </c>
      <c r="AY811" s="3">
        <v>106.1677</v>
      </c>
    </row>
    <row r="812" spans="1:51" x14ac:dyDescent="0.2">
      <c r="A812" s="3" t="s">
        <v>709</v>
      </c>
      <c r="B812" s="49">
        <v>42522</v>
      </c>
      <c r="D812" s="3">
        <v>102.267</v>
      </c>
      <c r="E812" s="3">
        <v>108.8506</v>
      </c>
      <c r="F812" s="3">
        <v>102.0016</v>
      </c>
      <c r="G812" s="3">
        <v>100.0879</v>
      </c>
      <c r="H812" s="3">
        <v>103.96510000000001</v>
      </c>
      <c r="I812" s="3">
        <v>101.4</v>
      </c>
      <c r="J812" s="3">
        <v>108.1591</v>
      </c>
      <c r="K812" s="3">
        <v>99.585480000000004</v>
      </c>
      <c r="L812" s="3">
        <v>100.6</v>
      </c>
      <c r="M812" s="3">
        <v>100.71680000000001</v>
      </c>
      <c r="N812" s="3">
        <v>100.6</v>
      </c>
      <c r="O812" s="3">
        <v>100.77</v>
      </c>
      <c r="P812" s="3">
        <v>100.33320000000001</v>
      </c>
      <c r="Q812" s="3">
        <v>100.4392</v>
      </c>
      <c r="S812" s="3">
        <v>100.39</v>
      </c>
      <c r="T812" s="3">
        <v>100.63</v>
      </c>
      <c r="U812" s="3">
        <v>102.39619999999999</v>
      </c>
      <c r="V812" s="3">
        <v>101.18049999999999</v>
      </c>
      <c r="W812" s="3">
        <v>101</v>
      </c>
      <c r="X812" s="3">
        <v>100.1207</v>
      </c>
      <c r="Y812" s="3">
        <v>100.8142</v>
      </c>
      <c r="Z812" s="3">
        <v>103.2123</v>
      </c>
      <c r="AA812" s="3">
        <v>105.9611</v>
      </c>
      <c r="AD812" s="3">
        <v>99.698490000000007</v>
      </c>
      <c r="AE812" s="3">
        <v>99.9</v>
      </c>
      <c r="AF812" s="3">
        <v>99.9</v>
      </c>
      <c r="AG812" s="3">
        <v>100.79</v>
      </c>
      <c r="AI812" s="3">
        <v>100.66</v>
      </c>
      <c r="AJ812" s="3">
        <v>100.5643</v>
      </c>
      <c r="AK812" s="3">
        <v>101.9046</v>
      </c>
      <c r="AL812" s="3">
        <v>100.26</v>
      </c>
      <c r="AM812" s="3">
        <v>103.8</v>
      </c>
      <c r="AN812" s="3">
        <v>101.4191</v>
      </c>
      <c r="AO812" s="3">
        <v>101.184</v>
      </c>
      <c r="AP812" s="3">
        <v>99.552300000000002</v>
      </c>
      <c r="AQ812" s="3">
        <v>101.3192</v>
      </c>
      <c r="AS812" s="3">
        <v>102.19759999999999</v>
      </c>
      <c r="AT812" s="3">
        <v>99.7196</v>
      </c>
      <c r="AU812" s="3">
        <v>101.03</v>
      </c>
      <c r="AV812" s="3">
        <v>101.0194</v>
      </c>
      <c r="AW812" s="3">
        <v>107.1934</v>
      </c>
      <c r="AX812" s="3">
        <v>101.68810000000001</v>
      </c>
      <c r="AY812" s="3">
        <v>106.7127</v>
      </c>
    </row>
    <row r="813" spans="1:51" x14ac:dyDescent="0.2">
      <c r="A813" s="3" t="s">
        <v>710</v>
      </c>
      <c r="B813" s="49">
        <v>42552</v>
      </c>
      <c r="D813" s="3">
        <v>102.386</v>
      </c>
      <c r="E813" s="3">
        <v>109.41670000000001</v>
      </c>
      <c r="F813" s="3">
        <v>101.8436</v>
      </c>
      <c r="G813" s="3">
        <v>99.643720000000002</v>
      </c>
      <c r="H813" s="3">
        <v>104.2157</v>
      </c>
      <c r="I813" s="3">
        <v>101.6</v>
      </c>
      <c r="J813" s="3">
        <v>108.7201</v>
      </c>
      <c r="K813" s="3">
        <v>100.51260000000001</v>
      </c>
      <c r="L813" s="3">
        <v>100.9</v>
      </c>
      <c r="M813" s="3">
        <v>101.1169</v>
      </c>
      <c r="N813" s="3">
        <v>100.5</v>
      </c>
      <c r="O813" s="3">
        <v>100.28</v>
      </c>
      <c r="P813" s="3">
        <v>99.603719999999996</v>
      </c>
      <c r="Q813" s="3">
        <v>100.4392</v>
      </c>
      <c r="S813" s="3">
        <v>100.32</v>
      </c>
      <c r="T813" s="3">
        <v>100.25</v>
      </c>
      <c r="U813" s="3">
        <v>102.49890000000001</v>
      </c>
      <c r="V813" s="3">
        <v>101.06010000000001</v>
      </c>
      <c r="W813" s="3">
        <v>100.9</v>
      </c>
      <c r="X813" s="3">
        <v>98.469549999999998</v>
      </c>
      <c r="Y813" s="3">
        <v>100.59220000000001</v>
      </c>
      <c r="Z813" s="3">
        <v>103.9265</v>
      </c>
      <c r="AA813" s="3">
        <v>107.1087</v>
      </c>
      <c r="AD813" s="3">
        <v>100.1005</v>
      </c>
      <c r="AE813" s="3">
        <v>100.1</v>
      </c>
      <c r="AF813" s="3">
        <v>99.6</v>
      </c>
      <c r="AG813" s="3">
        <v>100.6</v>
      </c>
      <c r="AI813" s="3">
        <v>99.55</v>
      </c>
      <c r="AJ813" s="3">
        <v>100.23869999999999</v>
      </c>
      <c r="AK813" s="3">
        <v>102.1703</v>
      </c>
      <c r="AL813" s="3">
        <v>100.76</v>
      </c>
      <c r="AM813" s="3">
        <v>104.5</v>
      </c>
      <c r="AN813" s="3">
        <v>101.36369999999999</v>
      </c>
      <c r="AO813" s="3">
        <v>101.2098</v>
      </c>
      <c r="AP813" s="3">
        <v>99.226699999999994</v>
      </c>
      <c r="AQ813" s="3">
        <v>100.6494</v>
      </c>
      <c r="AS813" s="3">
        <v>102.37390000000001</v>
      </c>
      <c r="AT813" s="3">
        <v>99.352540000000005</v>
      </c>
      <c r="AU813" s="3">
        <v>100.2</v>
      </c>
      <c r="AV813" s="3">
        <v>101.08</v>
      </c>
      <c r="AW813" s="3">
        <v>108.4406</v>
      </c>
      <c r="AX813" s="3">
        <v>101.5235</v>
      </c>
      <c r="AY813" s="3">
        <v>107.5847</v>
      </c>
    </row>
    <row r="814" spans="1:51" x14ac:dyDescent="0.2">
      <c r="A814" s="3" t="s">
        <v>711</v>
      </c>
      <c r="B814" s="49">
        <v>42583</v>
      </c>
      <c r="D814" s="3">
        <v>102.3364</v>
      </c>
      <c r="E814" s="3">
        <v>109.8981</v>
      </c>
      <c r="F814" s="3">
        <v>101.6855</v>
      </c>
      <c r="G814" s="3">
        <v>99.543539999999993</v>
      </c>
      <c r="H814" s="3">
        <v>104.2701</v>
      </c>
      <c r="I814" s="3">
        <v>101.7</v>
      </c>
      <c r="J814" s="3">
        <v>108.3811</v>
      </c>
      <c r="K814" s="3">
        <v>100.54510000000001</v>
      </c>
      <c r="L814" s="3">
        <v>100.8</v>
      </c>
      <c r="M814" s="3">
        <v>101.0168</v>
      </c>
      <c r="N814" s="3">
        <v>100.2</v>
      </c>
      <c r="O814" s="3">
        <v>100.34</v>
      </c>
      <c r="P814" s="3">
        <v>99.731459999999998</v>
      </c>
      <c r="Q814" s="3">
        <v>100.4905</v>
      </c>
      <c r="S814" s="3">
        <v>100.37</v>
      </c>
      <c r="T814" s="3">
        <v>100.58</v>
      </c>
      <c r="U814" s="3">
        <v>102.5116</v>
      </c>
      <c r="V814" s="3">
        <v>101.16240000000001</v>
      </c>
      <c r="W814" s="3">
        <v>101.2</v>
      </c>
      <c r="X814" s="3">
        <v>98.133889999999994</v>
      </c>
      <c r="Y814" s="3">
        <v>100.2221</v>
      </c>
      <c r="Z814" s="3">
        <v>103.90989999999999</v>
      </c>
      <c r="AA814" s="3">
        <v>106.3436</v>
      </c>
      <c r="AD814" s="3">
        <v>99.799000000000007</v>
      </c>
      <c r="AE814" s="3">
        <v>100.3</v>
      </c>
      <c r="AF814" s="3">
        <v>99.7</v>
      </c>
      <c r="AG814" s="3">
        <v>100.86</v>
      </c>
      <c r="AI814" s="3">
        <v>100.7</v>
      </c>
      <c r="AJ814" s="3">
        <v>99.559209999999993</v>
      </c>
      <c r="AK814" s="3">
        <v>102.45820000000001</v>
      </c>
      <c r="AL814" s="3">
        <v>100.88</v>
      </c>
      <c r="AM814" s="3">
        <v>103.9</v>
      </c>
      <c r="AN814" s="3">
        <v>101.4295</v>
      </c>
      <c r="AO814" s="3">
        <v>101.238</v>
      </c>
      <c r="AP814" s="3">
        <v>99.063900000000004</v>
      </c>
      <c r="AQ814" s="3">
        <v>100.42449999999999</v>
      </c>
      <c r="AS814" s="3">
        <v>102.1561</v>
      </c>
      <c r="AT814" s="3">
        <v>99.230180000000004</v>
      </c>
      <c r="AU814" s="3">
        <v>100.16</v>
      </c>
      <c r="AV814" s="3">
        <v>100.9683</v>
      </c>
      <c r="AW814" s="3">
        <v>108.1259</v>
      </c>
      <c r="AX814" s="3">
        <v>101.6168</v>
      </c>
      <c r="AY814" s="3">
        <v>107.4757</v>
      </c>
    </row>
    <row r="815" spans="1:51" x14ac:dyDescent="0.2">
      <c r="A815" s="3" t="s">
        <v>712</v>
      </c>
      <c r="B815" s="49">
        <v>42614</v>
      </c>
      <c r="D815" s="3">
        <v>102.11839999999999</v>
      </c>
      <c r="E815" s="3">
        <v>109.98609999999999</v>
      </c>
      <c r="F815" s="3">
        <v>101.7645</v>
      </c>
      <c r="G815" s="3">
        <v>99.604069999999993</v>
      </c>
      <c r="H815" s="3">
        <v>104.52070000000001</v>
      </c>
      <c r="I815" s="3">
        <v>102.4</v>
      </c>
      <c r="J815" s="3">
        <v>108.3227</v>
      </c>
      <c r="K815" s="3">
        <v>100.07</v>
      </c>
      <c r="L815" s="3">
        <v>100.5</v>
      </c>
      <c r="M815" s="3">
        <v>101.0168</v>
      </c>
      <c r="N815" s="3">
        <v>100.2</v>
      </c>
      <c r="O815" s="3">
        <v>100.72</v>
      </c>
      <c r="P815" s="3">
        <v>99.736450000000005</v>
      </c>
      <c r="Q815" s="3">
        <v>100.6956</v>
      </c>
      <c r="S815" s="3">
        <v>100.54</v>
      </c>
      <c r="T815" s="3">
        <v>100.34</v>
      </c>
      <c r="U815" s="3">
        <v>102.7713</v>
      </c>
      <c r="V815" s="3">
        <v>101.3098</v>
      </c>
      <c r="W815" s="3">
        <v>101.5</v>
      </c>
      <c r="X815" s="3">
        <v>99.878230000000002</v>
      </c>
      <c r="Y815" s="3">
        <v>100.37009999999999</v>
      </c>
      <c r="Z815" s="3">
        <v>104.14239999999999</v>
      </c>
      <c r="AA815" s="3">
        <v>105.9611</v>
      </c>
      <c r="AD815" s="3">
        <v>99.698490000000007</v>
      </c>
      <c r="AE815" s="3">
        <v>100.1</v>
      </c>
      <c r="AF815" s="3">
        <v>99.8</v>
      </c>
      <c r="AG815" s="3">
        <v>101.46</v>
      </c>
      <c r="AI815" s="3">
        <v>100.75</v>
      </c>
      <c r="AJ815" s="3">
        <v>100.01390000000001</v>
      </c>
      <c r="AK815" s="3">
        <v>103.0839</v>
      </c>
      <c r="AL815" s="3">
        <v>100.57</v>
      </c>
      <c r="AM815" s="3">
        <v>104.2</v>
      </c>
      <c r="AN815" s="3">
        <v>101.6022</v>
      </c>
      <c r="AO815" s="3">
        <v>101.2927</v>
      </c>
      <c r="AP815" s="3">
        <v>99.063900000000004</v>
      </c>
      <c r="AQ815" s="3">
        <v>101.12220000000001</v>
      </c>
      <c r="AS815" s="3">
        <v>102.1561</v>
      </c>
      <c r="AT815" s="3">
        <v>99.291359999999997</v>
      </c>
      <c r="AU815" s="3">
        <v>100.24</v>
      </c>
      <c r="AV815" s="3">
        <v>101.1375</v>
      </c>
      <c r="AW815" s="3">
        <v>108.32170000000001</v>
      </c>
      <c r="AX815" s="3">
        <v>101.861</v>
      </c>
      <c r="AY815" s="3">
        <v>107.69370000000001</v>
      </c>
    </row>
    <row r="816" spans="1:51" x14ac:dyDescent="0.2">
      <c r="A816" s="3" t="s">
        <v>713</v>
      </c>
      <c r="B816" s="49">
        <v>42644</v>
      </c>
      <c r="D816" s="3">
        <v>102.4157</v>
      </c>
      <c r="E816" s="3">
        <v>110.27209999999999</v>
      </c>
      <c r="F816" s="3">
        <v>102.0016</v>
      </c>
      <c r="G816" s="3">
        <v>99.655749999999998</v>
      </c>
      <c r="H816" s="3">
        <v>104.6951</v>
      </c>
      <c r="I816" s="3">
        <v>102.3</v>
      </c>
      <c r="J816" s="3">
        <v>108.2526</v>
      </c>
      <c r="K816" s="3">
        <v>99.953059999999994</v>
      </c>
      <c r="L816" s="3">
        <v>100.8</v>
      </c>
      <c r="M816" s="3">
        <v>101.2169</v>
      </c>
      <c r="N816" s="3">
        <v>100.4</v>
      </c>
      <c r="O816" s="3">
        <v>100.96</v>
      </c>
      <c r="P816" s="3">
        <v>100.87609999999999</v>
      </c>
      <c r="Q816" s="3">
        <v>100.33669999999999</v>
      </c>
      <c r="S816" s="3">
        <v>100.75</v>
      </c>
      <c r="T816" s="3">
        <v>100.37</v>
      </c>
      <c r="U816" s="3">
        <v>103.01139999999999</v>
      </c>
      <c r="V816" s="3">
        <v>101.4866</v>
      </c>
      <c r="W816" s="3">
        <v>101.6</v>
      </c>
      <c r="X816" s="3">
        <v>100.2672</v>
      </c>
      <c r="Y816" s="3">
        <v>100.9622</v>
      </c>
      <c r="Z816" s="3">
        <v>104.2919</v>
      </c>
      <c r="AA816" s="3">
        <v>106.3436</v>
      </c>
      <c r="AD816" s="3">
        <v>99.899500000000003</v>
      </c>
      <c r="AE816" s="3">
        <v>100</v>
      </c>
      <c r="AF816" s="3">
        <v>100.4</v>
      </c>
      <c r="AG816" s="3">
        <v>101.6</v>
      </c>
      <c r="AI816" s="3">
        <v>100.72</v>
      </c>
      <c r="AJ816" s="3">
        <v>100.7835</v>
      </c>
      <c r="AK816" s="3">
        <v>103.70950000000001</v>
      </c>
      <c r="AL816" s="3">
        <v>100.83</v>
      </c>
      <c r="AM816" s="3">
        <v>104.7</v>
      </c>
      <c r="AN816" s="3">
        <v>101.8852</v>
      </c>
      <c r="AO816" s="3">
        <v>101.6461</v>
      </c>
      <c r="AP816" s="3">
        <v>99.552300000000002</v>
      </c>
      <c r="AQ816" s="3">
        <v>101.46850000000001</v>
      </c>
      <c r="AS816" s="3">
        <v>102.01090000000001</v>
      </c>
      <c r="AT816" s="3">
        <v>99.536069999999995</v>
      </c>
      <c r="AU816" s="3">
        <v>100.69</v>
      </c>
      <c r="AV816" s="3">
        <v>101.4853</v>
      </c>
      <c r="AW816" s="3">
        <v>109.8797</v>
      </c>
      <c r="AX816" s="3">
        <v>101.988</v>
      </c>
      <c r="AY816" s="3">
        <v>108.23869999999999</v>
      </c>
    </row>
    <row r="817" spans="1:51" x14ac:dyDescent="0.2">
      <c r="A817" s="3" t="s">
        <v>714</v>
      </c>
      <c r="B817" s="49">
        <v>42675</v>
      </c>
      <c r="D817" s="3">
        <v>102.4851</v>
      </c>
      <c r="E817" s="3">
        <v>110.47069999999999</v>
      </c>
      <c r="F817" s="3">
        <v>101.6065</v>
      </c>
      <c r="G817" s="3">
        <v>99.458669999999998</v>
      </c>
      <c r="H817" s="3">
        <v>104.7495</v>
      </c>
      <c r="I817" s="3">
        <v>102.4</v>
      </c>
      <c r="J817" s="3">
        <v>108.3811</v>
      </c>
      <c r="K817" s="3">
        <v>99.952290000000005</v>
      </c>
      <c r="L817" s="3">
        <v>101.2</v>
      </c>
      <c r="M817" s="3">
        <v>100.5168</v>
      </c>
      <c r="N817" s="3">
        <v>100.3</v>
      </c>
      <c r="O817" s="3">
        <v>100.6</v>
      </c>
      <c r="P817" s="3">
        <v>101.2414</v>
      </c>
      <c r="Q817" s="3">
        <v>100.4392</v>
      </c>
      <c r="S817" s="3">
        <v>100.77</v>
      </c>
      <c r="T817" s="3">
        <v>100.35</v>
      </c>
      <c r="U817" s="3">
        <v>102.96339999999999</v>
      </c>
      <c r="V817" s="3">
        <v>101.3279</v>
      </c>
      <c r="W817" s="3">
        <v>101.8</v>
      </c>
      <c r="X817" s="3">
        <v>99.103260000000006</v>
      </c>
      <c r="Y817" s="3">
        <v>101.0363</v>
      </c>
      <c r="Z817" s="3">
        <v>104.7818</v>
      </c>
      <c r="AA817" s="3">
        <v>105.9611</v>
      </c>
      <c r="AD817" s="3">
        <v>99.497489999999999</v>
      </c>
      <c r="AE817" s="3">
        <v>99.9</v>
      </c>
      <c r="AF817" s="3">
        <v>100.4</v>
      </c>
      <c r="AG817" s="3">
        <v>101.45</v>
      </c>
      <c r="AI817" s="3">
        <v>100.8</v>
      </c>
      <c r="AJ817" s="3">
        <v>100.98860000000001</v>
      </c>
      <c r="AK817" s="3">
        <v>104.52030000000001</v>
      </c>
      <c r="AL817" s="3">
        <v>100.49</v>
      </c>
      <c r="AM817" s="3">
        <v>104.9</v>
      </c>
      <c r="AN817" s="3">
        <v>101.82</v>
      </c>
      <c r="AO817" s="3">
        <v>101.59059999999999</v>
      </c>
      <c r="AP817" s="3">
        <v>99.633700000000005</v>
      </c>
      <c r="AQ817" s="3">
        <v>100.958</v>
      </c>
      <c r="AS817" s="3">
        <v>101.86579999999999</v>
      </c>
      <c r="AT817" s="3">
        <v>99.658420000000007</v>
      </c>
      <c r="AU817" s="3">
        <v>100.8</v>
      </c>
      <c r="AV817" s="3">
        <v>101.5172</v>
      </c>
      <c r="AW817" s="3">
        <v>110.44759999999999</v>
      </c>
      <c r="AX817" s="3">
        <v>101.82940000000001</v>
      </c>
      <c r="AY817" s="3">
        <v>108.56570000000001</v>
      </c>
    </row>
    <row r="818" spans="1:51" x14ac:dyDescent="0.2">
      <c r="A818" s="3" t="s">
        <v>715</v>
      </c>
      <c r="B818" s="49">
        <v>42705</v>
      </c>
      <c r="D818" s="3">
        <v>102.6139</v>
      </c>
      <c r="E818" s="3">
        <v>110.80200000000001</v>
      </c>
      <c r="F818" s="3">
        <v>101.4485</v>
      </c>
      <c r="G818" s="3">
        <v>99.379549999999995</v>
      </c>
      <c r="H818" s="3">
        <v>104.5316</v>
      </c>
      <c r="I818" s="3">
        <v>102.6</v>
      </c>
      <c r="J818" s="3">
        <v>108.8253</v>
      </c>
      <c r="K818" s="3">
        <v>100.34229999999999</v>
      </c>
      <c r="L818" s="3">
        <v>101.5</v>
      </c>
      <c r="M818" s="3">
        <v>101.2169</v>
      </c>
      <c r="N818" s="3">
        <v>100.3</v>
      </c>
      <c r="O818" s="3">
        <v>101.13</v>
      </c>
      <c r="P818" s="3">
        <v>101.84220000000001</v>
      </c>
      <c r="Q818" s="3">
        <v>100.9007</v>
      </c>
      <c r="S818" s="3">
        <v>101.02</v>
      </c>
      <c r="T818" s="3">
        <v>100.65</v>
      </c>
      <c r="U818" s="3">
        <v>103.1183</v>
      </c>
      <c r="V818" s="3">
        <v>101.4327</v>
      </c>
      <c r="W818" s="3">
        <v>102.2</v>
      </c>
      <c r="X818" s="3">
        <v>100.1095</v>
      </c>
      <c r="Y818" s="3">
        <v>101.4064</v>
      </c>
      <c r="Z818" s="3">
        <v>105.22190000000001</v>
      </c>
      <c r="AA818" s="3">
        <v>105.196</v>
      </c>
      <c r="AD818" s="3">
        <v>99.497489999999999</v>
      </c>
      <c r="AE818" s="3">
        <v>100.3</v>
      </c>
      <c r="AF818" s="3">
        <v>100.1</v>
      </c>
      <c r="AG818" s="3">
        <v>101.56</v>
      </c>
      <c r="AI818" s="3">
        <v>101.04</v>
      </c>
      <c r="AJ818" s="3">
        <v>101.5716</v>
      </c>
      <c r="AK818" s="3">
        <v>105.002</v>
      </c>
      <c r="AL818" s="3">
        <v>100.71</v>
      </c>
      <c r="AM818" s="3">
        <v>104.4</v>
      </c>
      <c r="AN818" s="3">
        <v>102.0287</v>
      </c>
      <c r="AO818" s="3">
        <v>102.1451</v>
      </c>
      <c r="AP818" s="3">
        <v>100.3663</v>
      </c>
      <c r="AQ818" s="3">
        <v>100.9978</v>
      </c>
      <c r="AS818" s="3">
        <v>101.565</v>
      </c>
      <c r="AT818" s="3">
        <v>99.7196</v>
      </c>
      <c r="AU818" s="3">
        <v>100.26</v>
      </c>
      <c r="AV818" s="3">
        <v>102.0215</v>
      </c>
      <c r="AW818" s="3">
        <v>112.2628</v>
      </c>
      <c r="AX818" s="3">
        <v>101.8627</v>
      </c>
      <c r="AY818" s="3">
        <v>109.0017</v>
      </c>
    </row>
    <row r="819" spans="1:51" x14ac:dyDescent="0.2">
      <c r="A819" s="3" t="s">
        <v>716</v>
      </c>
      <c r="B819" s="49">
        <v>42736</v>
      </c>
      <c r="D819" s="3">
        <v>103.3473</v>
      </c>
      <c r="E819" s="3">
        <v>111.2231</v>
      </c>
      <c r="F819" s="3">
        <v>102.3176</v>
      </c>
      <c r="G819" s="3">
        <v>99.345569999999995</v>
      </c>
      <c r="H819" s="3">
        <v>105.09820000000001</v>
      </c>
      <c r="I819" s="3">
        <v>103.7</v>
      </c>
      <c r="J819" s="3">
        <v>109.9473</v>
      </c>
      <c r="K819" s="3">
        <v>100.91379999999999</v>
      </c>
      <c r="L819" s="3">
        <v>102.3</v>
      </c>
      <c r="M819" s="3">
        <v>100.6168</v>
      </c>
      <c r="N819" s="3">
        <v>100.3</v>
      </c>
      <c r="O819" s="3">
        <v>100.26</v>
      </c>
      <c r="P819" s="3">
        <v>101.28230000000001</v>
      </c>
      <c r="Q819" s="3">
        <v>101.3108</v>
      </c>
      <c r="S819" s="3">
        <v>100.41</v>
      </c>
      <c r="T819" s="3">
        <v>100.41</v>
      </c>
      <c r="U819" s="3">
        <v>103.4761</v>
      </c>
      <c r="V819" s="3">
        <v>101.70740000000001</v>
      </c>
      <c r="W819" s="3">
        <v>101.8</v>
      </c>
      <c r="X819" s="3">
        <v>99.27901</v>
      </c>
      <c r="Y819" s="3">
        <v>101.8505</v>
      </c>
      <c r="Z819" s="3">
        <v>106.2433</v>
      </c>
      <c r="AA819" s="3">
        <v>104.8135</v>
      </c>
      <c r="AD819" s="3">
        <v>99.296490000000006</v>
      </c>
      <c r="AE819" s="3">
        <v>100.6</v>
      </c>
      <c r="AF819" s="3">
        <v>100</v>
      </c>
      <c r="AG819" s="3">
        <v>102.64</v>
      </c>
      <c r="AI819" s="3">
        <v>100.39</v>
      </c>
      <c r="AJ819" s="3">
        <v>101.7133</v>
      </c>
      <c r="AK819" s="3">
        <v>106.7872</v>
      </c>
      <c r="AL819" s="3">
        <v>100.35</v>
      </c>
      <c r="AM819" s="3">
        <v>104.3</v>
      </c>
      <c r="AN819" s="3">
        <v>102.4218</v>
      </c>
      <c r="AO819" s="3">
        <v>102.1476</v>
      </c>
      <c r="AP819" s="3">
        <v>100.77330000000001</v>
      </c>
      <c r="AQ819" s="3">
        <v>100.3997</v>
      </c>
      <c r="AS819" s="3">
        <v>101.3887</v>
      </c>
      <c r="AT819" s="3">
        <v>99.964309999999998</v>
      </c>
      <c r="AU819" s="3">
        <v>99.66</v>
      </c>
      <c r="AV819" s="3">
        <v>101.3257</v>
      </c>
      <c r="AW819" s="3">
        <v>115.0258</v>
      </c>
      <c r="AX819" s="3">
        <v>102.4564</v>
      </c>
      <c r="AY819" s="3">
        <v>109.6557</v>
      </c>
    </row>
    <row r="820" spans="1:51" x14ac:dyDescent="0.2">
      <c r="A820" s="3" t="s">
        <v>717</v>
      </c>
      <c r="B820" s="49">
        <v>42767</v>
      </c>
      <c r="D820" s="3">
        <v>103.7338</v>
      </c>
      <c r="E820" s="3">
        <v>111.5902</v>
      </c>
      <c r="F820" s="3">
        <v>102.4756</v>
      </c>
      <c r="G820" s="3">
        <v>99.824610000000007</v>
      </c>
      <c r="H820" s="3">
        <v>105.3488</v>
      </c>
      <c r="I820" s="3">
        <v>103.5</v>
      </c>
      <c r="J820" s="3">
        <v>111.04600000000001</v>
      </c>
      <c r="K820" s="3">
        <v>101.3197</v>
      </c>
      <c r="L820" s="3">
        <v>102.7</v>
      </c>
      <c r="M820" s="3">
        <v>101.2169</v>
      </c>
      <c r="N820" s="3">
        <v>101.1</v>
      </c>
      <c r="O820" s="3">
        <v>100.66</v>
      </c>
      <c r="P820" s="3">
        <v>100.9171</v>
      </c>
      <c r="Q820" s="3">
        <v>102.6439</v>
      </c>
      <c r="S820" s="3">
        <v>100.92</v>
      </c>
      <c r="T820" s="3">
        <v>100.53</v>
      </c>
      <c r="U820" s="3">
        <v>103.6995</v>
      </c>
      <c r="V820" s="3">
        <v>101.99930000000001</v>
      </c>
      <c r="W820" s="3">
        <v>102.4</v>
      </c>
      <c r="X820" s="3">
        <v>98.995810000000006</v>
      </c>
      <c r="Y820" s="3">
        <v>102.2206</v>
      </c>
      <c r="Z820" s="3">
        <v>106.49250000000001</v>
      </c>
      <c r="AA820" s="3">
        <v>104.8135</v>
      </c>
      <c r="AD820" s="3">
        <v>99.296490000000006</v>
      </c>
      <c r="AE820" s="3">
        <v>101</v>
      </c>
      <c r="AF820" s="3">
        <v>99.8</v>
      </c>
      <c r="AG820" s="3">
        <v>102.92</v>
      </c>
      <c r="AI820" s="3">
        <v>101.77</v>
      </c>
      <c r="AJ820" s="3">
        <v>102.1341</v>
      </c>
      <c r="AK820" s="3">
        <v>107.40430000000001</v>
      </c>
      <c r="AL820" s="3">
        <v>101.09</v>
      </c>
      <c r="AM820" s="3">
        <v>104.7</v>
      </c>
      <c r="AN820" s="3">
        <v>102.74120000000001</v>
      </c>
      <c r="AO820" s="3">
        <v>102.5621</v>
      </c>
      <c r="AP820" s="3">
        <v>101.0989</v>
      </c>
      <c r="AQ820" s="3">
        <v>100.1688</v>
      </c>
      <c r="AS820" s="3">
        <v>101.4924</v>
      </c>
      <c r="AT820" s="3">
        <v>100.4537</v>
      </c>
      <c r="AU820" s="3">
        <v>100.64</v>
      </c>
      <c r="AV820" s="3">
        <v>102.03740000000001</v>
      </c>
      <c r="AW820" s="3">
        <v>115.95829999999999</v>
      </c>
      <c r="AX820" s="3">
        <v>102.7787</v>
      </c>
      <c r="AY820" s="3">
        <v>110.8548</v>
      </c>
    </row>
    <row r="821" spans="1:51" x14ac:dyDescent="0.2">
      <c r="A821" s="3" t="s">
        <v>718</v>
      </c>
      <c r="B821" s="49">
        <v>42795</v>
      </c>
      <c r="D821" s="3">
        <v>103.9717</v>
      </c>
      <c r="E821" s="3">
        <v>111.8691</v>
      </c>
      <c r="F821" s="3">
        <v>102.6337</v>
      </c>
      <c r="G821" s="3">
        <v>100.04</v>
      </c>
      <c r="H821" s="3">
        <v>105.75190000000001</v>
      </c>
      <c r="I821" s="3">
        <v>103.2</v>
      </c>
      <c r="J821" s="3">
        <v>111.5719</v>
      </c>
      <c r="K821" s="3">
        <v>100.8927</v>
      </c>
      <c r="L821" s="3">
        <v>102.7</v>
      </c>
      <c r="M821" s="3">
        <v>101.4169</v>
      </c>
      <c r="N821" s="3">
        <v>101.2</v>
      </c>
      <c r="O821" s="3">
        <v>101.49</v>
      </c>
      <c r="P821" s="3">
        <v>100.8961</v>
      </c>
      <c r="Q821" s="3">
        <v>102.9002</v>
      </c>
      <c r="S821" s="3">
        <v>100.91</v>
      </c>
      <c r="T821" s="3">
        <v>101.17</v>
      </c>
      <c r="U821" s="3">
        <v>103.91549999999999</v>
      </c>
      <c r="V821" s="3">
        <v>102.1444</v>
      </c>
      <c r="W821" s="3">
        <v>102.7</v>
      </c>
      <c r="X821" s="3">
        <v>100.7698</v>
      </c>
      <c r="Y821" s="3">
        <v>102.14660000000001</v>
      </c>
      <c r="Z821" s="3">
        <v>106.4759</v>
      </c>
      <c r="AA821" s="3">
        <v>105.196</v>
      </c>
      <c r="AD821" s="3">
        <v>99.597989999999996</v>
      </c>
      <c r="AE821" s="3">
        <v>101</v>
      </c>
      <c r="AF821" s="3">
        <v>99.9</v>
      </c>
      <c r="AG821" s="3">
        <v>102.85</v>
      </c>
      <c r="AI821" s="3">
        <v>101.78</v>
      </c>
      <c r="AJ821" s="3">
        <v>103.0262</v>
      </c>
      <c r="AK821" s="3">
        <v>108.0634</v>
      </c>
      <c r="AL821" s="3">
        <v>101.44</v>
      </c>
      <c r="AM821" s="3">
        <v>105</v>
      </c>
      <c r="AN821" s="3">
        <v>102.953</v>
      </c>
      <c r="AO821" s="3">
        <v>102.9117</v>
      </c>
      <c r="AP821" s="3">
        <v>101.0175</v>
      </c>
      <c r="AQ821" s="3">
        <v>101.9243</v>
      </c>
      <c r="AS821" s="3">
        <v>101.4302</v>
      </c>
      <c r="AT821" s="3">
        <v>100.3314</v>
      </c>
      <c r="AU821" s="3">
        <v>100.99</v>
      </c>
      <c r="AV821" s="3">
        <v>102.0215</v>
      </c>
      <c r="AW821" s="3">
        <v>117.13639999999999</v>
      </c>
      <c r="AX821" s="3">
        <v>102.8622</v>
      </c>
      <c r="AY821" s="3">
        <v>111.3998</v>
      </c>
    </row>
    <row r="822" spans="1:51" x14ac:dyDescent="0.2">
      <c r="A822" s="3" t="s">
        <v>719</v>
      </c>
      <c r="B822" s="49">
        <v>42826</v>
      </c>
      <c r="D822" s="3">
        <v>104.15</v>
      </c>
      <c r="E822" s="3">
        <v>112.0257</v>
      </c>
      <c r="F822" s="3">
        <v>103.0287</v>
      </c>
      <c r="G822" s="3">
        <v>100.2411</v>
      </c>
      <c r="H822" s="3">
        <v>106.0134</v>
      </c>
      <c r="I822" s="3">
        <v>103.2</v>
      </c>
      <c r="J822" s="3">
        <v>112.08620000000001</v>
      </c>
      <c r="K822" s="3">
        <v>101.047</v>
      </c>
      <c r="L822" s="3">
        <v>102.7</v>
      </c>
      <c r="M822" s="3">
        <v>101.81699999999999</v>
      </c>
      <c r="N822" s="3">
        <v>101.4</v>
      </c>
      <c r="O822" s="3">
        <v>102.07</v>
      </c>
      <c r="P822" s="3">
        <v>101.8661</v>
      </c>
      <c r="Q822" s="3">
        <v>103.20780000000001</v>
      </c>
      <c r="S822" s="3">
        <v>101.22</v>
      </c>
      <c r="T822" s="3">
        <v>101.26</v>
      </c>
      <c r="U822" s="3">
        <v>104.26390000000001</v>
      </c>
      <c r="V822" s="3">
        <v>102.4785</v>
      </c>
      <c r="W822" s="3">
        <v>103.2</v>
      </c>
      <c r="X822" s="3">
        <v>101.41370000000001</v>
      </c>
      <c r="Y822" s="3">
        <v>102.5167</v>
      </c>
      <c r="Z822" s="3">
        <v>106.5672</v>
      </c>
      <c r="AA822" s="3">
        <v>105.9611</v>
      </c>
      <c r="AD822" s="3">
        <v>99.799000000000007</v>
      </c>
      <c r="AE822" s="3">
        <v>101.4</v>
      </c>
      <c r="AF822" s="3">
        <v>100.3</v>
      </c>
      <c r="AG822" s="3">
        <v>102.72</v>
      </c>
      <c r="AI822" s="3">
        <v>102.04</v>
      </c>
      <c r="AJ822" s="3">
        <v>103.41330000000001</v>
      </c>
      <c r="AK822" s="3">
        <v>108.1962</v>
      </c>
      <c r="AL822" s="3">
        <v>101.98</v>
      </c>
      <c r="AM822" s="3">
        <v>105.2</v>
      </c>
      <c r="AN822" s="3">
        <v>103.3199</v>
      </c>
      <c r="AO822" s="3">
        <v>103.4141</v>
      </c>
      <c r="AP822" s="3">
        <v>101.34310000000001</v>
      </c>
      <c r="AQ822" s="3">
        <v>102.8956</v>
      </c>
      <c r="AS822" s="3">
        <v>101.5132</v>
      </c>
      <c r="AT822" s="3">
        <v>100.4537</v>
      </c>
      <c r="AU822" s="3">
        <v>101.3</v>
      </c>
      <c r="AV822" s="3">
        <v>102.6151</v>
      </c>
      <c r="AW822" s="3">
        <v>118.66759999999999</v>
      </c>
      <c r="AX822" s="3">
        <v>103.1673</v>
      </c>
      <c r="AY822" s="3">
        <v>111.50879999999999</v>
      </c>
    </row>
    <row r="823" spans="1:51" x14ac:dyDescent="0.2">
      <c r="A823" s="3" t="s">
        <v>720</v>
      </c>
      <c r="B823" s="49">
        <v>42856</v>
      </c>
      <c r="D823" s="3">
        <v>104.0609</v>
      </c>
      <c r="E823" s="3">
        <v>112.373</v>
      </c>
      <c r="F823" s="3">
        <v>103.10769999999999</v>
      </c>
      <c r="G823" s="3">
        <v>100.42740000000001</v>
      </c>
      <c r="H823" s="3">
        <v>106.1442</v>
      </c>
      <c r="I823" s="3">
        <v>103.3</v>
      </c>
      <c r="J823" s="3">
        <v>112.3433</v>
      </c>
      <c r="K823" s="3">
        <v>101.27030000000001</v>
      </c>
      <c r="L823" s="3">
        <v>102.9</v>
      </c>
      <c r="M823" s="3">
        <v>101.81699999999999</v>
      </c>
      <c r="N823" s="3">
        <v>101.3</v>
      </c>
      <c r="O823" s="3">
        <v>101.98</v>
      </c>
      <c r="P823" s="3">
        <v>101.8043</v>
      </c>
      <c r="Q823" s="3">
        <v>103.41289999999999</v>
      </c>
      <c r="S823" s="3">
        <v>101.06</v>
      </c>
      <c r="T823" s="3">
        <v>101.31</v>
      </c>
      <c r="U823" s="3">
        <v>104.3921</v>
      </c>
      <c r="V823" s="3">
        <v>102.55589999999999</v>
      </c>
      <c r="W823" s="3">
        <v>103.5</v>
      </c>
      <c r="X823" s="3">
        <v>100.5134</v>
      </c>
      <c r="Y823" s="3">
        <v>102.73869999999999</v>
      </c>
      <c r="Z823" s="3">
        <v>106.9824</v>
      </c>
      <c r="AA823" s="3">
        <v>106.3436</v>
      </c>
      <c r="AD823" s="3">
        <v>100.20099999999999</v>
      </c>
      <c r="AE823" s="3">
        <v>101.2</v>
      </c>
      <c r="AF823" s="3">
        <v>100.4</v>
      </c>
      <c r="AG823" s="3">
        <v>102.83</v>
      </c>
      <c r="AI823" s="3">
        <v>102.12</v>
      </c>
      <c r="AJ823" s="3">
        <v>103.43129999999999</v>
      </c>
      <c r="AK823" s="3">
        <v>108.0668</v>
      </c>
      <c r="AL823" s="3">
        <v>101.65</v>
      </c>
      <c r="AM823" s="3">
        <v>105.4</v>
      </c>
      <c r="AN823" s="3">
        <v>103.3866</v>
      </c>
      <c r="AO823" s="3">
        <v>103.46</v>
      </c>
      <c r="AP823" s="3">
        <v>101.34310000000001</v>
      </c>
      <c r="AQ823" s="3">
        <v>102.6528</v>
      </c>
      <c r="AS823" s="3">
        <v>101.36799999999999</v>
      </c>
      <c r="AT823" s="3">
        <v>100.69840000000001</v>
      </c>
      <c r="AU823" s="3">
        <v>102</v>
      </c>
      <c r="AV823" s="3">
        <v>102.6789</v>
      </c>
      <c r="AW823" s="3">
        <v>119.1972</v>
      </c>
      <c r="AX823" s="3">
        <v>103.2555</v>
      </c>
      <c r="AY823" s="3">
        <v>111.83580000000001</v>
      </c>
    </row>
    <row r="824" spans="1:51" x14ac:dyDescent="0.2">
      <c r="A824" s="3" t="s">
        <v>721</v>
      </c>
      <c r="B824" s="49">
        <v>42887</v>
      </c>
      <c r="D824" s="3">
        <v>103.9023</v>
      </c>
      <c r="E824" s="3">
        <v>112.11450000000001</v>
      </c>
      <c r="F824" s="3">
        <v>103.0287</v>
      </c>
      <c r="G824" s="3">
        <v>100.28530000000001</v>
      </c>
      <c r="H824" s="3">
        <v>105.73009999999999</v>
      </c>
      <c r="I824" s="3">
        <v>103.1</v>
      </c>
      <c r="J824" s="3">
        <v>112.47190000000001</v>
      </c>
      <c r="K824" s="3">
        <v>101.3524</v>
      </c>
      <c r="L824" s="3">
        <v>102.9</v>
      </c>
      <c r="M824" s="3">
        <v>102.117</v>
      </c>
      <c r="N824" s="3">
        <v>101.2</v>
      </c>
      <c r="O824" s="3">
        <v>102.08</v>
      </c>
      <c r="P824" s="3">
        <v>101.84820000000001</v>
      </c>
      <c r="Q824" s="3">
        <v>103.3616</v>
      </c>
      <c r="S824" s="3">
        <v>101.14</v>
      </c>
      <c r="T824" s="3">
        <v>101.32</v>
      </c>
      <c r="U824" s="3">
        <v>104.4927</v>
      </c>
      <c r="V824" s="3">
        <v>102.6039</v>
      </c>
      <c r="W824" s="3">
        <v>103.5</v>
      </c>
      <c r="X824" s="3">
        <v>101.13800000000001</v>
      </c>
      <c r="Y824" s="3">
        <v>102.7239</v>
      </c>
      <c r="Z824" s="3">
        <v>107.72150000000001</v>
      </c>
      <c r="AA824" s="3">
        <v>107.1087</v>
      </c>
      <c r="AD824" s="3">
        <v>99.497489999999999</v>
      </c>
      <c r="AE824" s="3">
        <v>101.1</v>
      </c>
      <c r="AF824" s="3">
        <v>100.2</v>
      </c>
      <c r="AG824" s="3">
        <v>102.61</v>
      </c>
      <c r="AI824" s="3">
        <v>102.17</v>
      </c>
      <c r="AJ824" s="3">
        <v>103.6067</v>
      </c>
      <c r="AK824" s="3">
        <v>108.3385</v>
      </c>
      <c r="AL824" s="3">
        <v>101.37</v>
      </c>
      <c r="AM824" s="3">
        <v>105.8</v>
      </c>
      <c r="AN824" s="3">
        <v>103.4101</v>
      </c>
      <c r="AO824" s="3">
        <v>103.47069999999999</v>
      </c>
      <c r="AP824" s="3">
        <v>101.1803</v>
      </c>
      <c r="AQ824" s="3">
        <v>102.2398</v>
      </c>
      <c r="AS824" s="3">
        <v>101.63760000000001</v>
      </c>
      <c r="AT824" s="3">
        <v>100.69840000000001</v>
      </c>
      <c r="AU824" s="3">
        <v>101.96</v>
      </c>
      <c r="AV824" s="3">
        <v>102.75230000000001</v>
      </c>
      <c r="AW824" s="3">
        <v>118.87869999999999</v>
      </c>
      <c r="AX824" s="3">
        <v>103.34910000000001</v>
      </c>
      <c r="AY824" s="3">
        <v>112.0538</v>
      </c>
    </row>
    <row r="825" spans="1:51" x14ac:dyDescent="0.2">
      <c r="A825" s="3" t="s">
        <v>722</v>
      </c>
      <c r="B825" s="49">
        <v>42917</v>
      </c>
      <c r="D825" s="3">
        <v>104.20950000000001</v>
      </c>
      <c r="E825" s="3">
        <v>112.3837</v>
      </c>
      <c r="F825" s="3">
        <v>103.0287</v>
      </c>
      <c r="G825" s="3">
        <v>99.971800000000002</v>
      </c>
      <c r="H825" s="3">
        <v>105.9807</v>
      </c>
      <c r="I825" s="3">
        <v>103</v>
      </c>
      <c r="J825" s="3">
        <v>112.4134</v>
      </c>
      <c r="K825" s="3">
        <v>101.6816</v>
      </c>
      <c r="L825" s="3">
        <v>103.4</v>
      </c>
      <c r="M825" s="3">
        <v>102.5171</v>
      </c>
      <c r="N825" s="3">
        <v>102</v>
      </c>
      <c r="O825" s="3">
        <v>101.62</v>
      </c>
      <c r="P825" s="3">
        <v>101.1456</v>
      </c>
      <c r="Q825" s="3">
        <v>104.0282</v>
      </c>
      <c r="S825" s="3">
        <v>100.85</v>
      </c>
      <c r="T825" s="3">
        <v>100.97</v>
      </c>
      <c r="U825" s="3">
        <v>104.6</v>
      </c>
      <c r="V825" s="3">
        <v>102.57210000000001</v>
      </c>
      <c r="W825" s="3">
        <v>103.5</v>
      </c>
      <c r="X825" s="3">
        <v>99.453729999999993</v>
      </c>
      <c r="Y825" s="3">
        <v>102.76090000000001</v>
      </c>
      <c r="Z825" s="3">
        <v>107.95399999999999</v>
      </c>
      <c r="AA825" s="3">
        <v>109.0214</v>
      </c>
      <c r="AD825" s="3">
        <v>99.396990000000002</v>
      </c>
      <c r="AE825" s="3">
        <v>101.2</v>
      </c>
      <c r="AF825" s="3">
        <v>100.1</v>
      </c>
      <c r="AG825" s="3">
        <v>102.78</v>
      </c>
      <c r="AI825" s="3">
        <v>101.46</v>
      </c>
      <c r="AJ825" s="3">
        <v>102.89319999999999</v>
      </c>
      <c r="AK825" s="3">
        <v>108.7482</v>
      </c>
      <c r="AL825" s="3">
        <v>102.11</v>
      </c>
      <c r="AM825" s="3">
        <v>106.1</v>
      </c>
      <c r="AN825" s="3">
        <v>103.4068</v>
      </c>
      <c r="AO825" s="3">
        <v>103.4602</v>
      </c>
      <c r="AP825" s="3">
        <v>101.0175</v>
      </c>
      <c r="AQ825" s="3">
        <v>101.55710000000001</v>
      </c>
      <c r="AS825" s="3">
        <v>101.5754</v>
      </c>
      <c r="AT825" s="3">
        <v>100.75960000000001</v>
      </c>
      <c r="AU825" s="3">
        <v>101.23</v>
      </c>
      <c r="AV825" s="3">
        <v>103.30119999999999</v>
      </c>
      <c r="AW825" s="3">
        <v>119.0552</v>
      </c>
      <c r="AX825" s="3">
        <v>103.2778</v>
      </c>
      <c r="AY825" s="3">
        <v>112.2718</v>
      </c>
    </row>
    <row r="826" spans="1:51" x14ac:dyDescent="0.2">
      <c r="A826" s="3" t="s">
        <v>723</v>
      </c>
      <c r="B826" s="49">
        <v>42948</v>
      </c>
      <c r="D826" s="3">
        <v>104.27889999999999</v>
      </c>
      <c r="E826" s="3">
        <v>112.5971</v>
      </c>
      <c r="F826" s="3">
        <v>103.10769999999999</v>
      </c>
      <c r="G826" s="3">
        <v>100.0042</v>
      </c>
      <c r="H826" s="3">
        <v>106.1986</v>
      </c>
      <c r="I826" s="3">
        <v>103.5</v>
      </c>
      <c r="J826" s="3">
        <v>112.5654</v>
      </c>
      <c r="K826" s="3">
        <v>101.45950000000001</v>
      </c>
      <c r="L826" s="3">
        <v>103.3</v>
      </c>
      <c r="M826" s="3">
        <v>102.61709999999999</v>
      </c>
      <c r="N826" s="3">
        <v>101.7</v>
      </c>
      <c r="O826" s="3">
        <v>101.89</v>
      </c>
      <c r="P826" s="3">
        <v>101.3472</v>
      </c>
      <c r="Q826" s="3">
        <v>104.4383</v>
      </c>
      <c r="S826" s="3">
        <v>101.11</v>
      </c>
      <c r="T826" s="3">
        <v>101.49</v>
      </c>
      <c r="U826" s="3">
        <v>104.8511</v>
      </c>
      <c r="V826" s="3">
        <v>102.86709999999999</v>
      </c>
      <c r="W826" s="3">
        <v>104</v>
      </c>
      <c r="X826" s="3">
        <v>99.009590000000003</v>
      </c>
      <c r="Y826" s="3">
        <v>102.8053</v>
      </c>
      <c r="Z826" s="3">
        <v>107.8793</v>
      </c>
      <c r="AA826" s="3">
        <v>109.0214</v>
      </c>
      <c r="AD826" s="3">
        <v>99.698490000000007</v>
      </c>
      <c r="AE826" s="3">
        <v>101.5</v>
      </c>
      <c r="AF826" s="3">
        <v>100.3</v>
      </c>
      <c r="AG826" s="3">
        <v>103.37</v>
      </c>
      <c r="AI826" s="3">
        <v>102.68</v>
      </c>
      <c r="AJ826" s="3">
        <v>102.6504</v>
      </c>
      <c r="AK826" s="3">
        <v>109.2855</v>
      </c>
      <c r="AL826" s="3">
        <v>102.27</v>
      </c>
      <c r="AM826" s="3">
        <v>105.3</v>
      </c>
      <c r="AN826" s="3">
        <v>103.682</v>
      </c>
      <c r="AO826" s="3">
        <v>103.69929999999999</v>
      </c>
      <c r="AP826" s="3">
        <v>100.9361</v>
      </c>
      <c r="AQ826" s="3">
        <v>101.565</v>
      </c>
      <c r="AS826" s="3">
        <v>101.3991</v>
      </c>
      <c r="AT826" s="3">
        <v>100.75960000000001</v>
      </c>
      <c r="AU826" s="3">
        <v>101.36</v>
      </c>
      <c r="AV826" s="3">
        <v>103.1384</v>
      </c>
      <c r="AW826" s="3">
        <v>119.673</v>
      </c>
      <c r="AX826" s="3">
        <v>103.58710000000001</v>
      </c>
      <c r="AY826" s="3">
        <v>112.38079999999999</v>
      </c>
    </row>
    <row r="827" spans="1:51" x14ac:dyDescent="0.2">
      <c r="A827" s="3" t="s">
        <v>724</v>
      </c>
      <c r="B827" s="49">
        <v>42979</v>
      </c>
      <c r="D827" s="3">
        <v>104.1699</v>
      </c>
      <c r="E827" s="3">
        <v>112.77719999999999</v>
      </c>
      <c r="F827" s="3">
        <v>103.3447</v>
      </c>
      <c r="G827" s="3">
        <v>100.25360000000001</v>
      </c>
      <c r="H827" s="3">
        <v>106.0352</v>
      </c>
      <c r="I827" s="3">
        <v>104.1</v>
      </c>
      <c r="J827" s="3">
        <v>112.6238</v>
      </c>
      <c r="K827" s="3">
        <v>101.7124</v>
      </c>
      <c r="L827" s="3">
        <v>103.2</v>
      </c>
      <c r="M827" s="3">
        <v>102.7171</v>
      </c>
      <c r="N827" s="3">
        <v>101.8</v>
      </c>
      <c r="O827" s="3">
        <v>102.29</v>
      </c>
      <c r="P827" s="3">
        <v>101.52379999999999</v>
      </c>
      <c r="Q827" s="3">
        <v>104.3871</v>
      </c>
      <c r="S827" s="3">
        <v>101.32</v>
      </c>
      <c r="T827" s="3">
        <v>101.33</v>
      </c>
      <c r="U827" s="3">
        <v>105.2179</v>
      </c>
      <c r="V827" s="3">
        <v>103.21</v>
      </c>
      <c r="W827" s="3">
        <v>104.3</v>
      </c>
      <c r="X827" s="3">
        <v>100.88160000000001</v>
      </c>
      <c r="Y827" s="3">
        <v>102.9016</v>
      </c>
      <c r="Z827" s="3">
        <v>108.0204</v>
      </c>
      <c r="AA827" s="3">
        <v>109.0214</v>
      </c>
      <c r="AD827" s="3">
        <v>99.799000000000007</v>
      </c>
      <c r="AE827" s="3">
        <v>101.2</v>
      </c>
      <c r="AF827" s="3">
        <v>100.5</v>
      </c>
      <c r="AG827" s="3">
        <v>103.49</v>
      </c>
      <c r="AI827" s="3">
        <v>102.52</v>
      </c>
      <c r="AJ827" s="3">
        <v>102.9198</v>
      </c>
      <c r="AK827" s="3">
        <v>109.6275</v>
      </c>
      <c r="AL827" s="3">
        <v>102.03</v>
      </c>
      <c r="AM827" s="3">
        <v>105.9</v>
      </c>
      <c r="AN827" s="3">
        <v>104.0098</v>
      </c>
      <c r="AO827" s="3">
        <v>103.8771</v>
      </c>
      <c r="AP827" s="3">
        <v>101.34310000000001</v>
      </c>
      <c r="AQ827" s="3">
        <v>102.5274</v>
      </c>
      <c r="AS827" s="3">
        <v>101.35760000000001</v>
      </c>
      <c r="AT827" s="3">
        <v>100.9432</v>
      </c>
      <c r="AU827" s="3">
        <v>101.6</v>
      </c>
      <c r="AV827" s="3">
        <v>103.27889999999999</v>
      </c>
      <c r="AW827" s="3">
        <v>120.4521</v>
      </c>
      <c r="AX827" s="3">
        <v>104.1356</v>
      </c>
      <c r="AY827" s="3">
        <v>112.9258</v>
      </c>
    </row>
    <row r="828" spans="1:51" x14ac:dyDescent="0.2">
      <c r="A828" s="3" t="s">
        <v>725</v>
      </c>
      <c r="B828" s="49">
        <v>43009</v>
      </c>
      <c r="D828" s="3">
        <v>104.46720000000001</v>
      </c>
      <c r="E828" s="3">
        <v>113.2509</v>
      </c>
      <c r="F828" s="3">
        <v>103.4238</v>
      </c>
      <c r="G828" s="3">
        <v>100.31440000000001</v>
      </c>
      <c r="H828" s="3">
        <v>106.6563</v>
      </c>
      <c r="I828" s="3">
        <v>104.2</v>
      </c>
      <c r="J828" s="3">
        <v>112.63549999999999</v>
      </c>
      <c r="K828" s="3">
        <v>102.2774</v>
      </c>
      <c r="L828" s="3">
        <v>103.7</v>
      </c>
      <c r="M828" s="3">
        <v>102.5171</v>
      </c>
      <c r="N828" s="3">
        <v>101.9</v>
      </c>
      <c r="O828" s="3">
        <v>102.34</v>
      </c>
      <c r="P828" s="3">
        <v>102.4599</v>
      </c>
      <c r="Q828" s="3">
        <v>104.1307</v>
      </c>
      <c r="S828" s="3">
        <v>101.3</v>
      </c>
      <c r="T828" s="3">
        <v>101.43</v>
      </c>
      <c r="U828" s="3">
        <v>105.4122</v>
      </c>
      <c r="V828" s="3">
        <v>103.17189999999999</v>
      </c>
      <c r="W828" s="3">
        <v>104.4</v>
      </c>
      <c r="X828" s="3">
        <v>100.98350000000001</v>
      </c>
      <c r="Y828" s="3">
        <v>103.1828</v>
      </c>
      <c r="Z828" s="3">
        <v>108.0287</v>
      </c>
      <c r="AA828" s="3">
        <v>109.7864</v>
      </c>
      <c r="AD828" s="3">
        <v>100.1005</v>
      </c>
      <c r="AE828" s="3">
        <v>101</v>
      </c>
      <c r="AF828" s="3">
        <v>100.6</v>
      </c>
      <c r="AG828" s="3">
        <v>103.39</v>
      </c>
      <c r="AI828" s="3">
        <v>102.63</v>
      </c>
      <c r="AJ828" s="3">
        <v>103.613</v>
      </c>
      <c r="AK828" s="3">
        <v>110.31740000000001</v>
      </c>
      <c r="AL828" s="3">
        <v>102.17</v>
      </c>
      <c r="AM828" s="3">
        <v>106</v>
      </c>
      <c r="AN828" s="3">
        <v>104.15009999999999</v>
      </c>
      <c r="AO828" s="3">
        <v>104.17740000000001</v>
      </c>
      <c r="AP828" s="3">
        <v>101.83150000000001</v>
      </c>
      <c r="AQ828" s="3">
        <v>102.8807</v>
      </c>
      <c r="AS828" s="3">
        <v>100.8287</v>
      </c>
      <c r="AT828" s="3">
        <v>101.249</v>
      </c>
      <c r="AU828" s="3">
        <v>101.72</v>
      </c>
      <c r="AV828" s="3">
        <v>103.20229999999999</v>
      </c>
      <c r="AW828" s="3">
        <v>122.9541</v>
      </c>
      <c r="AX828" s="3">
        <v>104.0697</v>
      </c>
      <c r="AY828" s="3">
        <v>113.25279999999999</v>
      </c>
    </row>
    <row r="829" spans="1:51" x14ac:dyDescent="0.2">
      <c r="A829" s="3" t="s">
        <v>726</v>
      </c>
      <c r="B829" s="49">
        <v>43040</v>
      </c>
      <c r="D829" s="3">
        <v>104.60590000000001</v>
      </c>
      <c r="E829" s="3">
        <v>113.5681</v>
      </c>
      <c r="F829" s="3">
        <v>103.7398</v>
      </c>
      <c r="G829" s="3">
        <v>100.2415</v>
      </c>
      <c r="H829" s="3">
        <v>106.7543</v>
      </c>
      <c r="I829" s="3">
        <v>104.2</v>
      </c>
      <c r="J829" s="3">
        <v>112.8342</v>
      </c>
      <c r="K829" s="3">
        <v>102.44240000000001</v>
      </c>
      <c r="L829" s="3">
        <v>103.8</v>
      </c>
      <c r="M829" s="3">
        <v>102.117</v>
      </c>
      <c r="N829" s="3">
        <v>101.6</v>
      </c>
      <c r="O829" s="3">
        <v>102.14</v>
      </c>
      <c r="P829" s="3">
        <v>102.928</v>
      </c>
      <c r="Q829" s="3">
        <v>104.6947</v>
      </c>
      <c r="S829" s="3">
        <v>101.55</v>
      </c>
      <c r="T829" s="3">
        <v>101.53</v>
      </c>
      <c r="U829" s="3">
        <v>105.532</v>
      </c>
      <c r="V829" s="3">
        <v>103.2011</v>
      </c>
      <c r="W829" s="3">
        <v>104.7</v>
      </c>
      <c r="X829" s="3">
        <v>100.23560000000001</v>
      </c>
      <c r="Y829" s="3">
        <v>103.55289999999999</v>
      </c>
      <c r="Z829" s="3">
        <v>108.24460000000001</v>
      </c>
      <c r="AA829" s="3">
        <v>110.169</v>
      </c>
      <c r="AD829" s="3">
        <v>99.799000000000007</v>
      </c>
      <c r="AE829" s="3">
        <v>100.8</v>
      </c>
      <c r="AF829" s="3">
        <v>100.9</v>
      </c>
      <c r="AG829" s="3">
        <v>102.62</v>
      </c>
      <c r="AI829" s="3">
        <v>102.35</v>
      </c>
      <c r="AJ829" s="3">
        <v>103.7432</v>
      </c>
      <c r="AK829" s="3">
        <v>111.4547</v>
      </c>
      <c r="AL829" s="3">
        <v>102</v>
      </c>
      <c r="AM829" s="3">
        <v>106.1</v>
      </c>
      <c r="AN829" s="3">
        <v>104.2741</v>
      </c>
      <c r="AO829" s="3">
        <v>104.3402</v>
      </c>
      <c r="AP829" s="3">
        <v>102.3199</v>
      </c>
      <c r="AQ829" s="3">
        <v>102.5224</v>
      </c>
      <c r="AS829" s="3">
        <v>100.1339</v>
      </c>
      <c r="AT829" s="3">
        <v>101.5549</v>
      </c>
      <c r="AU829" s="3">
        <v>102.02</v>
      </c>
      <c r="AV829" s="3">
        <v>103.41289999999999</v>
      </c>
      <c r="AW829" s="3">
        <v>124.7885</v>
      </c>
      <c r="AX829" s="3">
        <v>104.0723</v>
      </c>
      <c r="AY829" s="3">
        <v>113.3618</v>
      </c>
    </row>
    <row r="830" spans="1:51" x14ac:dyDescent="0.2">
      <c r="A830" s="3" t="s">
        <v>727</v>
      </c>
      <c r="B830" s="49">
        <v>43070</v>
      </c>
      <c r="D830" s="3">
        <v>104.80410000000001</v>
      </c>
      <c r="E830" s="3">
        <v>114.06780000000001</v>
      </c>
      <c r="F830" s="3">
        <v>103.3447</v>
      </c>
      <c r="G830" s="3">
        <v>100.21299999999999</v>
      </c>
      <c r="H830" s="3">
        <v>106.90689999999999</v>
      </c>
      <c r="I830" s="3">
        <v>104.5</v>
      </c>
      <c r="J830" s="3">
        <v>113.2666</v>
      </c>
      <c r="K830" s="3">
        <v>102.92529999999999</v>
      </c>
      <c r="L830" s="3">
        <v>103.9</v>
      </c>
      <c r="M830" s="3">
        <v>102.61709999999999</v>
      </c>
      <c r="N830" s="3">
        <v>101.3</v>
      </c>
      <c r="O830" s="3">
        <v>102.49</v>
      </c>
      <c r="P830" s="3">
        <v>102.97490000000001</v>
      </c>
      <c r="Q830" s="3">
        <v>104.33580000000001</v>
      </c>
      <c r="S830" s="3">
        <v>101.51</v>
      </c>
      <c r="T830" s="3">
        <v>101.85</v>
      </c>
      <c r="U830" s="3">
        <v>105.678</v>
      </c>
      <c r="V830" s="3">
        <v>103.2961</v>
      </c>
      <c r="W830" s="3">
        <v>105</v>
      </c>
      <c r="X830" s="3">
        <v>100.7624</v>
      </c>
      <c r="Y830" s="3">
        <v>103.62690000000001</v>
      </c>
      <c r="Z830" s="3">
        <v>109.01690000000001</v>
      </c>
      <c r="AA830" s="3">
        <v>109.40389999999999</v>
      </c>
      <c r="AD830" s="3">
        <v>99.899500000000003</v>
      </c>
      <c r="AE830" s="3">
        <v>101.2</v>
      </c>
      <c r="AF830" s="3">
        <v>101.2</v>
      </c>
      <c r="AG830" s="3">
        <v>102.99</v>
      </c>
      <c r="AI830" s="3">
        <v>102.41</v>
      </c>
      <c r="AJ830" s="3">
        <v>103.7569</v>
      </c>
      <c r="AK830" s="3">
        <v>112.1138</v>
      </c>
      <c r="AL830" s="3">
        <v>101.97</v>
      </c>
      <c r="AM830" s="3">
        <v>106.1</v>
      </c>
      <c r="AN830" s="3">
        <v>104.42700000000001</v>
      </c>
      <c r="AO830" s="3">
        <v>104.66419999999999</v>
      </c>
      <c r="AP830" s="3">
        <v>102.5641</v>
      </c>
      <c r="AQ830" s="3">
        <v>102.4786</v>
      </c>
      <c r="AS830" s="3">
        <v>100.43470000000001</v>
      </c>
      <c r="AT830" s="3">
        <v>101.5549</v>
      </c>
      <c r="AU830" s="3">
        <v>102.01</v>
      </c>
      <c r="AV830" s="3">
        <v>103.7927</v>
      </c>
      <c r="AW830" s="3">
        <v>125.6442</v>
      </c>
      <c r="AX830" s="3">
        <v>104.0111</v>
      </c>
      <c r="AY830" s="3">
        <v>113.9068</v>
      </c>
    </row>
    <row r="831" spans="1:51" x14ac:dyDescent="0.2">
      <c r="A831" s="3" t="s">
        <v>728</v>
      </c>
      <c r="B831" s="49">
        <v>43101</v>
      </c>
      <c r="D831" s="3">
        <v>105.1114</v>
      </c>
      <c r="E831" s="3">
        <v>114.39870000000001</v>
      </c>
      <c r="F831" s="3">
        <v>104.0558</v>
      </c>
      <c r="G831" s="3">
        <v>100.0809</v>
      </c>
      <c r="H831" s="3">
        <v>107.39709999999999</v>
      </c>
      <c r="I831" s="3">
        <v>105.2</v>
      </c>
      <c r="J831" s="3">
        <v>113.9796</v>
      </c>
      <c r="K831" s="3">
        <v>103.3436</v>
      </c>
      <c r="L831" s="3">
        <v>104.5</v>
      </c>
      <c r="M831" s="3">
        <v>102.017</v>
      </c>
      <c r="N831" s="3">
        <v>101</v>
      </c>
      <c r="O831" s="3">
        <v>101.56</v>
      </c>
      <c r="P831" s="3">
        <v>101.86409999999999</v>
      </c>
      <c r="Q831" s="3">
        <v>104.7972</v>
      </c>
      <c r="S831" s="3">
        <v>101.21</v>
      </c>
      <c r="T831" s="3">
        <v>101.75</v>
      </c>
      <c r="U831" s="3">
        <v>106.0378</v>
      </c>
      <c r="V831" s="3">
        <v>103.5742</v>
      </c>
      <c r="W831" s="3">
        <v>104.5</v>
      </c>
      <c r="X831" s="3">
        <v>99.104979999999998</v>
      </c>
      <c r="Y831" s="3">
        <v>103.923</v>
      </c>
      <c r="Z831" s="3">
        <v>109.6979</v>
      </c>
      <c r="AA831" s="3">
        <v>110.169</v>
      </c>
      <c r="AD831" s="3">
        <v>99.396990000000002</v>
      </c>
      <c r="AE831" s="3">
        <v>101.5</v>
      </c>
      <c r="AF831" s="3">
        <v>101.3</v>
      </c>
      <c r="AG831" s="3">
        <v>103.42</v>
      </c>
      <c r="AI831" s="3">
        <v>101.53</v>
      </c>
      <c r="AJ831" s="3">
        <v>103.7456</v>
      </c>
      <c r="AK831" s="3">
        <v>112.70950000000001</v>
      </c>
      <c r="AL831" s="3">
        <v>101.82</v>
      </c>
      <c r="AM831" s="3">
        <v>106</v>
      </c>
      <c r="AN831" s="3">
        <v>104.6665</v>
      </c>
      <c r="AO831" s="3">
        <v>104.4581</v>
      </c>
      <c r="AP831" s="3">
        <v>102.8897</v>
      </c>
      <c r="AQ831" s="3">
        <v>101.43559999999999</v>
      </c>
      <c r="AS831" s="3">
        <v>104.5827</v>
      </c>
      <c r="AT831" s="3">
        <v>102.4114</v>
      </c>
      <c r="AU831" s="3">
        <v>101.18</v>
      </c>
      <c r="AV831" s="3">
        <v>102.9246</v>
      </c>
      <c r="AW831" s="3">
        <v>126.926</v>
      </c>
      <c r="AX831" s="3">
        <v>104.57769999999999</v>
      </c>
      <c r="AY831" s="3">
        <v>114.3428</v>
      </c>
    </row>
    <row r="832" spans="1:51" x14ac:dyDescent="0.2">
      <c r="A832" s="3" t="s">
        <v>729</v>
      </c>
      <c r="B832" s="49">
        <v>43132</v>
      </c>
      <c r="D832" s="3">
        <v>105.26990000000001</v>
      </c>
      <c r="E832" s="3">
        <v>114.76479999999999</v>
      </c>
      <c r="F832" s="3">
        <v>104.6879</v>
      </c>
      <c r="G832" s="3">
        <v>100.4515</v>
      </c>
      <c r="H832" s="3">
        <v>107.4516</v>
      </c>
      <c r="I832" s="3">
        <v>106.5</v>
      </c>
      <c r="J832" s="3">
        <v>114.7861</v>
      </c>
      <c r="K832" s="3">
        <v>103.56140000000001</v>
      </c>
      <c r="L832" s="3">
        <v>104.5</v>
      </c>
      <c r="M832" s="3">
        <v>102.3171</v>
      </c>
      <c r="N832" s="3">
        <v>101.7</v>
      </c>
      <c r="O832" s="3">
        <v>101.78</v>
      </c>
      <c r="P832" s="3">
        <v>102.0009</v>
      </c>
      <c r="Q832" s="3">
        <v>105.7714</v>
      </c>
      <c r="S832" s="3">
        <v>101.52</v>
      </c>
      <c r="T832" s="3">
        <v>101.72</v>
      </c>
      <c r="U832" s="3">
        <v>106.4988</v>
      </c>
      <c r="V832" s="3">
        <v>103.91970000000001</v>
      </c>
      <c r="W832" s="3">
        <v>104.9</v>
      </c>
      <c r="X832" s="3">
        <v>99.05471</v>
      </c>
      <c r="Y832" s="3">
        <v>104.1451</v>
      </c>
      <c r="Z832" s="3">
        <v>109.8806</v>
      </c>
      <c r="AA832" s="3">
        <v>109.7864</v>
      </c>
      <c r="AD832" s="3">
        <v>99.497489999999999</v>
      </c>
      <c r="AE832" s="3">
        <v>101.5</v>
      </c>
      <c r="AF832" s="3">
        <v>101.3</v>
      </c>
      <c r="AG832" s="3">
        <v>104.21</v>
      </c>
      <c r="AI832" s="3">
        <v>102.81</v>
      </c>
      <c r="AJ832" s="3">
        <v>103.9752</v>
      </c>
      <c r="AK832" s="3">
        <v>113.13890000000001</v>
      </c>
      <c r="AL832" s="3">
        <v>102.31</v>
      </c>
      <c r="AM832" s="3">
        <v>107</v>
      </c>
      <c r="AN832" s="3">
        <v>105.018</v>
      </c>
      <c r="AO832" s="3">
        <v>104.70650000000001</v>
      </c>
      <c r="AP832" s="3">
        <v>102.6455</v>
      </c>
      <c r="AQ832" s="3">
        <v>100.747</v>
      </c>
      <c r="AS832" s="3">
        <v>104.479</v>
      </c>
      <c r="AT832" s="3">
        <v>102.595</v>
      </c>
      <c r="AU832" s="3">
        <v>101.87</v>
      </c>
      <c r="AV832" s="3">
        <v>103.6778</v>
      </c>
      <c r="AW832" s="3">
        <v>127.8546</v>
      </c>
      <c r="AX832" s="3">
        <v>105.05200000000001</v>
      </c>
      <c r="AY832" s="3">
        <v>115.1058</v>
      </c>
    </row>
    <row r="833" spans="1:51" x14ac:dyDescent="0.2">
      <c r="A833" s="3" t="s">
        <v>767</v>
      </c>
      <c r="B833" s="49">
        <v>43160</v>
      </c>
      <c r="D833" s="3">
        <v>105.4186</v>
      </c>
      <c r="E833" s="3">
        <v>114.8681</v>
      </c>
      <c r="F833" s="3">
        <v>105.004</v>
      </c>
      <c r="G833" s="3">
        <v>100.8357</v>
      </c>
      <c r="H833" s="3">
        <v>107.6695</v>
      </c>
      <c r="I833" s="3">
        <v>105.3</v>
      </c>
      <c r="J833" s="3">
        <v>115.06659999999999</v>
      </c>
      <c r="K833" s="3">
        <v>103.529</v>
      </c>
      <c r="L833" s="3">
        <v>104.4</v>
      </c>
      <c r="M833" s="3">
        <v>102.91719999999999</v>
      </c>
      <c r="N833" s="3">
        <v>101.7</v>
      </c>
      <c r="O833" s="3">
        <v>102.91</v>
      </c>
      <c r="P833" s="3">
        <v>102.1216</v>
      </c>
      <c r="Q833" s="3">
        <v>105.82259999999999</v>
      </c>
      <c r="S833" s="3">
        <v>101.73</v>
      </c>
      <c r="T833" s="3">
        <v>102.75</v>
      </c>
      <c r="U833" s="3">
        <v>106.6157</v>
      </c>
      <c r="V833" s="3">
        <v>104.1829</v>
      </c>
      <c r="W833" s="3">
        <v>105.1</v>
      </c>
      <c r="X833" s="3">
        <v>100.5342</v>
      </c>
      <c r="Y833" s="3">
        <v>104.2191</v>
      </c>
      <c r="Z833" s="3">
        <v>110.09650000000001</v>
      </c>
      <c r="AA833" s="3">
        <v>109.7864</v>
      </c>
      <c r="AD833" s="3">
        <v>99.799000000000007</v>
      </c>
      <c r="AE833" s="3">
        <v>101.8</v>
      </c>
      <c r="AF833" s="3">
        <v>101</v>
      </c>
      <c r="AG833" s="3">
        <v>104.1</v>
      </c>
      <c r="AI833" s="3">
        <v>102.9</v>
      </c>
      <c r="AJ833" s="3">
        <v>105.265</v>
      </c>
      <c r="AK833" s="3">
        <v>113.5048</v>
      </c>
      <c r="AL833" s="3">
        <v>102.47</v>
      </c>
      <c r="AM833" s="3">
        <v>107.3</v>
      </c>
      <c r="AN833" s="3">
        <v>105.301</v>
      </c>
      <c r="AO833" s="3">
        <v>105.2081</v>
      </c>
      <c r="AP833" s="3">
        <v>102.5641</v>
      </c>
      <c r="AQ833" s="3">
        <v>102.6259</v>
      </c>
      <c r="AS833" s="3">
        <v>104.3442</v>
      </c>
      <c r="AT833" s="3">
        <v>102.77849999999999</v>
      </c>
      <c r="AU833" s="3">
        <v>102.16</v>
      </c>
      <c r="AV833" s="3">
        <v>103.9618</v>
      </c>
      <c r="AW833" s="3">
        <v>129.12479999999999</v>
      </c>
      <c r="AX833" s="3">
        <v>105.2895</v>
      </c>
      <c r="AY833" s="3">
        <v>115.54179999999999</v>
      </c>
    </row>
    <row r="834" spans="1:51" x14ac:dyDescent="0.2">
      <c r="A834" s="3" t="s">
        <v>875</v>
      </c>
      <c r="B834" s="49">
        <v>43191</v>
      </c>
      <c r="D834" s="3">
        <v>105.73569999999999</v>
      </c>
      <c r="E834" s="3">
        <v>115.1207</v>
      </c>
      <c r="F834" s="3">
        <v>105.32</v>
      </c>
      <c r="G834" s="3">
        <v>101.0463</v>
      </c>
      <c r="H834" s="3">
        <v>108.0073</v>
      </c>
      <c r="I834" s="3">
        <v>105.1</v>
      </c>
      <c r="J834" s="3">
        <v>115.5925</v>
      </c>
      <c r="K834" s="3">
        <v>103.4473</v>
      </c>
      <c r="L834" s="3">
        <v>104.7</v>
      </c>
      <c r="M834" s="3">
        <v>103.1172</v>
      </c>
      <c r="N834" s="3">
        <v>102.2</v>
      </c>
      <c r="O834" s="3">
        <v>103.32</v>
      </c>
      <c r="P834" s="3">
        <v>102.9649</v>
      </c>
      <c r="Q834" s="3">
        <v>106.2328</v>
      </c>
      <c r="S834" s="3">
        <v>101.98</v>
      </c>
      <c r="T834" s="3">
        <v>102.92</v>
      </c>
      <c r="U834" s="3">
        <v>106.9254</v>
      </c>
      <c r="V834" s="3">
        <v>104.4823</v>
      </c>
      <c r="W834" s="3">
        <v>105.5</v>
      </c>
      <c r="X834" s="3">
        <v>101.4515</v>
      </c>
      <c r="Y834" s="3">
        <v>104.8853</v>
      </c>
      <c r="Z834" s="3">
        <v>110.20440000000001</v>
      </c>
      <c r="AA834" s="3">
        <v>110.169</v>
      </c>
      <c r="AD834" s="3">
        <v>100.20099999999999</v>
      </c>
      <c r="AE834" s="3">
        <v>101.9</v>
      </c>
      <c r="AF834" s="3">
        <v>100.9</v>
      </c>
      <c r="AG834" s="3">
        <v>104.29</v>
      </c>
      <c r="AI834" s="3">
        <v>103.13</v>
      </c>
      <c r="AJ834" s="3">
        <v>105.48050000000001</v>
      </c>
      <c r="AK834" s="3">
        <v>113.12</v>
      </c>
      <c r="AL834" s="3">
        <v>103.11</v>
      </c>
      <c r="AM834" s="3">
        <v>107.7</v>
      </c>
      <c r="AN834" s="3">
        <v>105.6649</v>
      </c>
      <c r="AO834" s="3">
        <v>105.7081</v>
      </c>
      <c r="AP834" s="3">
        <v>103.05249999999999</v>
      </c>
      <c r="AQ834" s="3">
        <v>103.3036</v>
      </c>
      <c r="AS834" s="3">
        <v>104.04349999999999</v>
      </c>
      <c r="AT834" s="3">
        <v>103.3903</v>
      </c>
      <c r="AU834" s="3">
        <v>102.86</v>
      </c>
      <c r="AV834" s="3">
        <v>104.3895</v>
      </c>
      <c r="AW834" s="3">
        <v>131.54249999999999</v>
      </c>
      <c r="AX834" s="3">
        <v>105.708</v>
      </c>
      <c r="AY834" s="3">
        <v>116.3048</v>
      </c>
    </row>
    <row r="835" spans="1:51" x14ac:dyDescent="0.2">
      <c r="A835" s="3" t="s">
        <v>888</v>
      </c>
      <c r="B835" s="49">
        <v>43221</v>
      </c>
      <c r="D835" s="3">
        <v>105.9538</v>
      </c>
      <c r="E835" s="3">
        <v>115.5813</v>
      </c>
      <c r="F835" s="3">
        <v>105.399</v>
      </c>
      <c r="G835" s="3">
        <v>101.43089999999999</v>
      </c>
      <c r="H835" s="3">
        <v>108.3124</v>
      </c>
      <c r="I835" s="3">
        <v>104.9</v>
      </c>
      <c r="J835" s="3">
        <v>115.8964</v>
      </c>
      <c r="K835" s="3">
        <v>103.3321</v>
      </c>
      <c r="L835" s="3">
        <v>105.2</v>
      </c>
      <c r="M835" s="3">
        <v>103.9173</v>
      </c>
      <c r="N835" s="3">
        <v>102.4</v>
      </c>
      <c r="O835" s="3">
        <v>103.97</v>
      </c>
      <c r="P835" s="3">
        <v>103.893</v>
      </c>
      <c r="Q835" s="3">
        <v>106.54040000000001</v>
      </c>
      <c r="S835" s="3">
        <v>102.09</v>
      </c>
      <c r="T835" s="3">
        <v>103.36</v>
      </c>
      <c r="U835" s="3">
        <v>107.26600000000001</v>
      </c>
      <c r="V835" s="3">
        <v>104.8903</v>
      </c>
      <c r="W835" s="3">
        <v>105.9</v>
      </c>
      <c r="X835" s="3">
        <v>101.1223</v>
      </c>
      <c r="Y835" s="3">
        <v>105.5514</v>
      </c>
      <c r="Z835" s="3">
        <v>110.43689999999999</v>
      </c>
      <c r="AA835" s="3">
        <v>110.5515</v>
      </c>
      <c r="AD835" s="3">
        <v>100.70350000000001</v>
      </c>
      <c r="AE835" s="3">
        <v>102.2</v>
      </c>
      <c r="AF835" s="3">
        <v>101</v>
      </c>
      <c r="AG835" s="3">
        <v>104.34</v>
      </c>
      <c r="AI835" s="3">
        <v>103.48</v>
      </c>
      <c r="AJ835" s="3">
        <v>105.80329999999999</v>
      </c>
      <c r="AK835" s="3">
        <v>112.9366</v>
      </c>
      <c r="AL835" s="3">
        <v>103.42</v>
      </c>
      <c r="AM835" s="3">
        <v>107.8</v>
      </c>
      <c r="AN835" s="3">
        <v>106.0762</v>
      </c>
      <c r="AO835" s="3">
        <v>106.30719999999999</v>
      </c>
      <c r="AP835" s="3">
        <v>103.2967</v>
      </c>
      <c r="AQ835" s="3">
        <v>103.7236</v>
      </c>
      <c r="AS835" s="3">
        <v>103.80500000000001</v>
      </c>
      <c r="AT835" s="3">
        <v>103.3903</v>
      </c>
      <c r="AU835" s="3">
        <v>104.07</v>
      </c>
      <c r="AV835" s="3">
        <v>104.63200000000001</v>
      </c>
      <c r="AW835" s="3">
        <v>133.67609999999999</v>
      </c>
      <c r="AX835" s="3">
        <v>106.1477</v>
      </c>
      <c r="AY835" s="3">
        <v>116.6318</v>
      </c>
    </row>
    <row r="836" spans="1:51" x14ac:dyDescent="0.2">
      <c r="A836" s="3" t="s">
        <v>889</v>
      </c>
      <c r="B836" s="49">
        <v>43252</v>
      </c>
      <c r="D836" s="3">
        <v>106.0628</v>
      </c>
      <c r="E836" s="3">
        <v>117.0376</v>
      </c>
      <c r="F836" s="3">
        <v>105.557</v>
      </c>
      <c r="G836" s="3">
        <v>101.43510000000001</v>
      </c>
      <c r="H836" s="3">
        <v>108.4213</v>
      </c>
      <c r="I836" s="3">
        <v>104.9</v>
      </c>
      <c r="J836" s="3">
        <v>116.07170000000001</v>
      </c>
      <c r="K836" s="3">
        <v>103.5154</v>
      </c>
      <c r="L836" s="3">
        <v>105.6</v>
      </c>
      <c r="M836" s="3">
        <v>104.01730000000001</v>
      </c>
      <c r="N836" s="3">
        <v>102.3</v>
      </c>
      <c r="O836" s="3">
        <v>104.09</v>
      </c>
      <c r="P836" s="3">
        <v>104.1645</v>
      </c>
      <c r="Q836" s="3">
        <v>107.5146</v>
      </c>
      <c r="S836" s="3">
        <v>102.32</v>
      </c>
      <c r="T836" s="3">
        <v>103.37</v>
      </c>
      <c r="U836" s="3">
        <v>107.6101</v>
      </c>
      <c r="V836" s="3">
        <v>105.00149999999999</v>
      </c>
      <c r="W836" s="3">
        <v>105.9</v>
      </c>
      <c r="X836" s="3">
        <v>102.1206</v>
      </c>
      <c r="Y836" s="3">
        <v>105.92149999999999</v>
      </c>
      <c r="Z836" s="3">
        <v>111.0847</v>
      </c>
      <c r="AA836" s="3">
        <v>111.3165</v>
      </c>
      <c r="AD836" s="3">
        <v>100.804</v>
      </c>
      <c r="AE836" s="3">
        <v>102.4</v>
      </c>
      <c r="AF836" s="3">
        <v>100.9</v>
      </c>
      <c r="AG836" s="3">
        <v>104.13</v>
      </c>
      <c r="AI836" s="3">
        <v>103.65</v>
      </c>
      <c r="AJ836" s="3">
        <v>106.4696</v>
      </c>
      <c r="AK836" s="3">
        <v>113.3728</v>
      </c>
      <c r="AL836" s="3">
        <v>103.1</v>
      </c>
      <c r="AM836" s="3">
        <v>108.5</v>
      </c>
      <c r="AN836" s="3">
        <v>106.2915</v>
      </c>
      <c r="AO836" s="3">
        <v>106.6754</v>
      </c>
      <c r="AP836" s="3">
        <v>103.3781</v>
      </c>
      <c r="AQ836" s="3">
        <v>103.7903</v>
      </c>
      <c r="AS836" s="3">
        <v>104.002</v>
      </c>
      <c r="AT836" s="3">
        <v>103.51260000000001</v>
      </c>
      <c r="AU836" s="3">
        <v>104.07</v>
      </c>
      <c r="AV836" s="3">
        <v>104.8745</v>
      </c>
      <c r="AW836" s="3">
        <v>137.16829999999999</v>
      </c>
      <c r="AX836" s="3">
        <v>106.3168</v>
      </c>
      <c r="AY836" s="3">
        <v>116.9589</v>
      </c>
    </row>
    <row r="837" spans="1:51" x14ac:dyDescent="0.2">
      <c r="A837" s="3" t="s">
        <v>890</v>
      </c>
      <c r="B837" s="49">
        <v>43282</v>
      </c>
      <c r="D837" s="3">
        <v>106.4691</v>
      </c>
      <c r="E837" s="3">
        <v>117.4239</v>
      </c>
      <c r="F837" s="3">
        <v>106.1101</v>
      </c>
      <c r="G837" s="3">
        <v>101.20180000000001</v>
      </c>
      <c r="H837" s="3">
        <v>108.8027</v>
      </c>
      <c r="I837" s="3">
        <v>105.2</v>
      </c>
      <c r="J837" s="3">
        <v>115.9198</v>
      </c>
      <c r="K837" s="3">
        <v>103.801</v>
      </c>
      <c r="L837" s="3">
        <v>105.8</v>
      </c>
      <c r="M837" s="3">
        <v>104.4174</v>
      </c>
      <c r="N837" s="3">
        <v>103.1</v>
      </c>
      <c r="O837" s="3">
        <v>103.85</v>
      </c>
      <c r="P837" s="3">
        <v>103.41800000000001</v>
      </c>
      <c r="Q837" s="3">
        <v>107.66840000000001</v>
      </c>
      <c r="S837" s="3">
        <v>102.23</v>
      </c>
      <c r="T837" s="3">
        <v>103.28</v>
      </c>
      <c r="U837" s="3">
        <v>108.10380000000001</v>
      </c>
      <c r="V837" s="3">
        <v>105.0877</v>
      </c>
      <c r="W837" s="3">
        <v>105.9</v>
      </c>
      <c r="X837" s="3">
        <v>100.301</v>
      </c>
      <c r="Y837" s="3">
        <v>106.2176</v>
      </c>
      <c r="Z837" s="3">
        <v>111.39190000000001</v>
      </c>
      <c r="AA837" s="3">
        <v>115.14190000000001</v>
      </c>
      <c r="AD837" s="3">
        <v>100.804</v>
      </c>
      <c r="AE837" s="3">
        <v>102.7</v>
      </c>
      <c r="AF837" s="3">
        <v>101</v>
      </c>
      <c r="AG837" s="3">
        <v>103.93</v>
      </c>
      <c r="AI837" s="3">
        <v>102.94</v>
      </c>
      <c r="AJ837" s="3">
        <v>105.614</v>
      </c>
      <c r="AK837" s="3">
        <v>113.98050000000001</v>
      </c>
      <c r="AL837" s="3">
        <v>104.28</v>
      </c>
      <c r="AM837" s="3">
        <v>109.3</v>
      </c>
      <c r="AN837" s="3">
        <v>106.38930000000001</v>
      </c>
      <c r="AO837" s="3">
        <v>106.7796</v>
      </c>
      <c r="AP837" s="3">
        <v>103.1339</v>
      </c>
      <c r="AQ837" s="3">
        <v>103.15730000000001</v>
      </c>
      <c r="AS837" s="3">
        <v>103.85680000000001</v>
      </c>
      <c r="AT837" s="3">
        <v>103.3903</v>
      </c>
      <c r="AU837" s="3">
        <v>103.12</v>
      </c>
      <c r="AV837" s="3">
        <v>105.4203</v>
      </c>
      <c r="AW837" s="3">
        <v>137.92429999999999</v>
      </c>
      <c r="AX837" s="3">
        <v>106.324</v>
      </c>
      <c r="AY837" s="3">
        <v>117.93989999999999</v>
      </c>
    </row>
    <row r="838" spans="1:51" x14ac:dyDescent="0.2">
      <c r="A838" s="3" t="s">
        <v>892</v>
      </c>
      <c r="B838" s="49">
        <v>43313</v>
      </c>
      <c r="D838" s="3">
        <v>106.6178</v>
      </c>
      <c r="E838" s="3">
        <v>117.31829999999999</v>
      </c>
      <c r="F838" s="3">
        <v>106.0311</v>
      </c>
      <c r="G838" s="3">
        <v>101.18519999999999</v>
      </c>
      <c r="H838" s="3">
        <v>108.9988</v>
      </c>
      <c r="I838" s="3">
        <v>105.9</v>
      </c>
      <c r="J838" s="3">
        <v>116.06</v>
      </c>
      <c r="K838" s="3">
        <v>103.7325</v>
      </c>
      <c r="L838" s="3">
        <v>105.9</v>
      </c>
      <c r="M838" s="3">
        <v>104.51739999999999</v>
      </c>
      <c r="N838" s="3">
        <v>102.7</v>
      </c>
      <c r="O838" s="3">
        <v>104.01</v>
      </c>
      <c r="P838" s="3">
        <v>103.56570000000001</v>
      </c>
      <c r="Q838" s="3">
        <v>108.1811</v>
      </c>
      <c r="S838" s="3">
        <v>102.38</v>
      </c>
      <c r="T838" s="3">
        <v>103.78</v>
      </c>
      <c r="U838" s="3">
        <v>108.44110000000001</v>
      </c>
      <c r="V838" s="3">
        <v>105.29349999999999</v>
      </c>
      <c r="W838" s="3">
        <v>106.5</v>
      </c>
      <c r="X838" s="3">
        <v>99.970020000000005</v>
      </c>
      <c r="Y838" s="3">
        <v>106.2916</v>
      </c>
      <c r="Z838" s="3">
        <v>111.3338</v>
      </c>
      <c r="AA838" s="3">
        <v>115.14190000000001</v>
      </c>
      <c r="AD838" s="3">
        <v>100.9045</v>
      </c>
      <c r="AE838" s="3">
        <v>103.1</v>
      </c>
      <c r="AF838" s="3">
        <v>101.6</v>
      </c>
      <c r="AG838" s="3">
        <v>104.85</v>
      </c>
      <c r="AI838" s="3">
        <v>104.34</v>
      </c>
      <c r="AJ838" s="3">
        <v>105.5419</v>
      </c>
      <c r="AK838" s="3">
        <v>114.6455</v>
      </c>
      <c r="AL838" s="3">
        <v>104.4</v>
      </c>
      <c r="AM838" s="3">
        <v>108.9</v>
      </c>
      <c r="AN838" s="3">
        <v>106.6806</v>
      </c>
      <c r="AO838" s="3">
        <v>107.2283</v>
      </c>
      <c r="AP838" s="3">
        <v>103.1339</v>
      </c>
      <c r="AQ838" s="3">
        <v>102.801</v>
      </c>
      <c r="AS838" s="3">
        <v>103.7116</v>
      </c>
      <c r="AT838" s="3">
        <v>103.63500000000001</v>
      </c>
      <c r="AU838" s="3">
        <v>103.2</v>
      </c>
      <c r="AV838" s="3">
        <v>105.1969</v>
      </c>
      <c r="AW838" s="3">
        <v>141.09020000000001</v>
      </c>
      <c r="AX838" s="3">
        <v>106.3831</v>
      </c>
      <c r="AY838" s="3">
        <v>117.8309</v>
      </c>
    </row>
    <row r="839" spans="1:51" x14ac:dyDescent="0.2">
      <c r="A839" s="3" t="s">
        <v>893</v>
      </c>
      <c r="B839" s="49">
        <v>43344</v>
      </c>
      <c r="D839" s="3">
        <v>106.6178</v>
      </c>
      <c r="E839" s="3">
        <v>117.8814</v>
      </c>
      <c r="F839" s="3">
        <v>105.636</v>
      </c>
      <c r="G839" s="3">
        <v>101.24550000000001</v>
      </c>
      <c r="H839" s="3">
        <v>109.36920000000001</v>
      </c>
      <c r="I839" s="3">
        <v>106.6</v>
      </c>
      <c r="J839" s="3">
        <v>116.247</v>
      </c>
      <c r="K839" s="3">
        <v>103.962</v>
      </c>
      <c r="L839" s="3">
        <v>105.6</v>
      </c>
      <c r="M839" s="3">
        <v>104.7175</v>
      </c>
      <c r="N839" s="3">
        <v>102.4</v>
      </c>
      <c r="O839" s="3">
        <v>104.42</v>
      </c>
      <c r="P839" s="3">
        <v>103.8182</v>
      </c>
      <c r="Q839" s="3">
        <v>108.1811</v>
      </c>
      <c r="S839" s="3">
        <v>102.6</v>
      </c>
      <c r="T839" s="3">
        <v>103.56</v>
      </c>
      <c r="U839" s="3">
        <v>108.9547</v>
      </c>
      <c r="V839" s="3">
        <v>105.34050000000001</v>
      </c>
      <c r="W839" s="3">
        <v>106.6</v>
      </c>
      <c r="X839" s="3">
        <v>101.9816</v>
      </c>
      <c r="Y839" s="3">
        <v>106.5877</v>
      </c>
      <c r="Z839" s="3">
        <v>111.1345</v>
      </c>
      <c r="AA839" s="3">
        <v>115.14190000000001</v>
      </c>
      <c r="AD839" s="3">
        <v>101.005</v>
      </c>
      <c r="AE839" s="3">
        <v>102.6</v>
      </c>
      <c r="AF839" s="3">
        <v>101.7</v>
      </c>
      <c r="AG839" s="3">
        <v>105.65</v>
      </c>
      <c r="AI839" s="3">
        <v>104.58</v>
      </c>
      <c r="AJ839" s="3">
        <v>106.2163</v>
      </c>
      <c r="AK839" s="3">
        <v>115.13030000000001</v>
      </c>
      <c r="AL839" s="3">
        <v>103.95</v>
      </c>
      <c r="AM839" s="3">
        <v>109.5</v>
      </c>
      <c r="AN839" s="3">
        <v>107.0412</v>
      </c>
      <c r="AO839" s="3">
        <v>107.95610000000001</v>
      </c>
      <c r="AP839" s="3">
        <v>103.3781</v>
      </c>
      <c r="AQ839" s="3">
        <v>103.96040000000001</v>
      </c>
      <c r="AS839" s="3">
        <v>103.48350000000001</v>
      </c>
      <c r="AT839" s="3">
        <v>103.6962</v>
      </c>
      <c r="AU839" s="3">
        <v>103.63</v>
      </c>
      <c r="AV839" s="3">
        <v>105.6788</v>
      </c>
      <c r="AW839" s="3">
        <v>149.98560000000001</v>
      </c>
      <c r="AX839" s="3">
        <v>106.5067</v>
      </c>
      <c r="AY839" s="3">
        <v>118.3759</v>
      </c>
    </row>
    <row r="840" spans="1:51" x14ac:dyDescent="0.2">
      <c r="A840" s="3" t="s">
        <v>894</v>
      </c>
      <c r="B840" s="49">
        <v>43374</v>
      </c>
      <c r="D840" s="3">
        <v>107.3412</v>
      </c>
      <c r="E840" s="3">
        <v>118.4118</v>
      </c>
      <c r="F840" s="3">
        <v>105.9521</v>
      </c>
      <c r="G840" s="3">
        <v>101.42440000000001</v>
      </c>
      <c r="H840" s="3">
        <v>109.7615</v>
      </c>
      <c r="I840" s="3">
        <v>106.8</v>
      </c>
      <c r="J840" s="3">
        <v>116.3873</v>
      </c>
      <c r="K840" s="3">
        <v>104.3505</v>
      </c>
      <c r="L840" s="3">
        <v>106</v>
      </c>
      <c r="M840" s="3">
        <v>104.9175</v>
      </c>
      <c r="N840" s="3">
        <v>102.7</v>
      </c>
      <c r="O840" s="3">
        <v>104.68</v>
      </c>
      <c r="P840" s="3">
        <v>104.7782</v>
      </c>
      <c r="Q840" s="3">
        <v>108.74509999999999</v>
      </c>
      <c r="S840" s="3">
        <v>102.85</v>
      </c>
      <c r="T840" s="3">
        <v>103.67</v>
      </c>
      <c r="U840" s="3">
        <v>109.3573</v>
      </c>
      <c r="V840" s="3">
        <v>105.5254</v>
      </c>
      <c r="W840" s="3">
        <v>106.7</v>
      </c>
      <c r="X840" s="3">
        <v>102.76949999999999</v>
      </c>
      <c r="Y840" s="3">
        <v>107.1799</v>
      </c>
      <c r="Z840" s="3">
        <v>111.4417</v>
      </c>
      <c r="AA840" s="3">
        <v>115.5244</v>
      </c>
      <c r="AD840" s="3">
        <v>101.3065</v>
      </c>
      <c r="AE840" s="3">
        <v>102.6</v>
      </c>
      <c r="AF840" s="3">
        <v>102</v>
      </c>
      <c r="AG840" s="3">
        <v>105.46</v>
      </c>
      <c r="AI840" s="3">
        <v>104.69</v>
      </c>
      <c r="AJ840" s="3">
        <v>106.931</v>
      </c>
      <c r="AK840" s="3">
        <v>115.727</v>
      </c>
      <c r="AL840" s="3">
        <v>104.32</v>
      </c>
      <c r="AM840" s="3">
        <v>109.3</v>
      </c>
      <c r="AN840" s="3">
        <v>107.3815</v>
      </c>
      <c r="AO840" s="3">
        <v>108.48269999999999</v>
      </c>
      <c r="AP840" s="3">
        <v>103.7851</v>
      </c>
      <c r="AQ840" s="3">
        <v>103.8669</v>
      </c>
      <c r="AS840" s="3">
        <v>102.98569999999999</v>
      </c>
      <c r="AT840" s="3">
        <v>103.7573</v>
      </c>
      <c r="AU840" s="3">
        <v>103.96</v>
      </c>
      <c r="AV840" s="3">
        <v>105.54470000000001</v>
      </c>
      <c r="AW840" s="3">
        <v>153.9881</v>
      </c>
      <c r="AX840" s="3">
        <v>106.6949</v>
      </c>
      <c r="AY840" s="3">
        <v>118.9209</v>
      </c>
    </row>
    <row r="841" spans="1:51" x14ac:dyDescent="0.2">
      <c r="A841" s="3" t="s">
        <v>895</v>
      </c>
      <c r="B841" s="49">
        <v>43405</v>
      </c>
      <c r="D841" s="3">
        <v>107.5097</v>
      </c>
      <c r="E841" s="3">
        <v>118.1631</v>
      </c>
      <c r="F841" s="3">
        <v>105.47799999999999</v>
      </c>
      <c r="G841" s="3">
        <v>101.1657</v>
      </c>
      <c r="H841" s="3">
        <v>109.7615</v>
      </c>
      <c r="I841" s="3">
        <v>106.4</v>
      </c>
      <c r="J841" s="3">
        <v>116.5275</v>
      </c>
      <c r="K841" s="3">
        <v>104.7908</v>
      </c>
      <c r="L841" s="3">
        <v>105.9</v>
      </c>
      <c r="M841" s="3">
        <v>104.2174</v>
      </c>
      <c r="N841" s="3">
        <v>102.4</v>
      </c>
      <c r="O841" s="3">
        <v>104.1</v>
      </c>
      <c r="P841" s="3">
        <v>104.6634</v>
      </c>
      <c r="Q841" s="3">
        <v>108.1811</v>
      </c>
      <c r="S841" s="3">
        <v>102.83</v>
      </c>
      <c r="T841" s="3">
        <v>103.45</v>
      </c>
      <c r="U841" s="3">
        <v>109.14100000000001</v>
      </c>
      <c r="V841" s="3">
        <v>105.208</v>
      </c>
      <c r="W841" s="3">
        <v>106.9</v>
      </c>
      <c r="X841" s="3">
        <v>101.2247</v>
      </c>
      <c r="Y841" s="3">
        <v>106.8098</v>
      </c>
      <c r="Z841" s="3">
        <v>111.7407</v>
      </c>
      <c r="AA841" s="3">
        <v>115.5244</v>
      </c>
      <c r="AD841" s="3">
        <v>101.005</v>
      </c>
      <c r="AE841" s="3">
        <v>102.4</v>
      </c>
      <c r="AF841" s="3">
        <v>101.8</v>
      </c>
      <c r="AG841" s="3">
        <v>104.71</v>
      </c>
      <c r="AI841" s="3">
        <v>104.66</v>
      </c>
      <c r="AJ841" s="3">
        <v>106.8039</v>
      </c>
      <c r="AK841" s="3">
        <v>116.7115</v>
      </c>
      <c r="AL841" s="3">
        <v>104.07</v>
      </c>
      <c r="AM841" s="3">
        <v>109.8</v>
      </c>
      <c r="AN841" s="3">
        <v>107.089</v>
      </c>
      <c r="AO841" s="3">
        <v>108.1113</v>
      </c>
      <c r="AP841" s="3">
        <v>103.7851</v>
      </c>
      <c r="AQ841" s="3">
        <v>103.4021</v>
      </c>
      <c r="AS841" s="3">
        <v>102.768</v>
      </c>
      <c r="AT841" s="3">
        <v>103.6962</v>
      </c>
      <c r="AU841" s="3">
        <v>104.06</v>
      </c>
      <c r="AV841" s="3">
        <v>105.4426</v>
      </c>
      <c r="AW841" s="3">
        <v>151.7662</v>
      </c>
      <c r="AX841" s="3">
        <v>106.33750000000001</v>
      </c>
      <c r="AY841" s="3">
        <v>119.13890000000001</v>
      </c>
    </row>
    <row r="842" spans="1:51" x14ac:dyDescent="0.2">
      <c r="A842" s="3" t="s">
        <v>896</v>
      </c>
      <c r="B842" s="49">
        <v>43435</v>
      </c>
      <c r="D842" s="3">
        <v>107.2521</v>
      </c>
      <c r="E842" s="3">
        <v>118.3403</v>
      </c>
      <c r="F842" s="3">
        <v>105.399</v>
      </c>
      <c r="G842" s="3">
        <v>100.90600000000001</v>
      </c>
      <c r="H842" s="3">
        <v>109.6525</v>
      </c>
      <c r="I842" s="3">
        <v>106.5</v>
      </c>
      <c r="J842" s="3">
        <v>116.87820000000001</v>
      </c>
      <c r="K842" s="3">
        <v>105.01179999999999</v>
      </c>
      <c r="L842" s="3">
        <v>106</v>
      </c>
      <c r="M842" s="3">
        <v>104.2174</v>
      </c>
      <c r="N842" s="3">
        <v>102.1</v>
      </c>
      <c r="O842" s="3">
        <v>104.05</v>
      </c>
      <c r="P842" s="3">
        <v>104.1934</v>
      </c>
      <c r="Q842" s="3">
        <v>107.9247</v>
      </c>
      <c r="S842" s="3">
        <v>102.71</v>
      </c>
      <c r="T842" s="3">
        <v>103.47</v>
      </c>
      <c r="U842" s="3">
        <v>109.11499999999999</v>
      </c>
      <c r="V842" s="3">
        <v>104.98990000000001</v>
      </c>
      <c r="W842" s="3">
        <v>107.1</v>
      </c>
      <c r="X842" s="3">
        <v>101.32989999999999</v>
      </c>
      <c r="Y842" s="3">
        <v>106.4397</v>
      </c>
      <c r="Z842" s="3">
        <v>112.4299</v>
      </c>
      <c r="AA842" s="3">
        <v>115.14190000000001</v>
      </c>
      <c r="AD842" s="3">
        <v>100.70350000000001</v>
      </c>
      <c r="AE842" s="3">
        <v>102.3</v>
      </c>
      <c r="AF842" s="3">
        <v>101.5</v>
      </c>
      <c r="AG842" s="3">
        <v>104.35</v>
      </c>
      <c r="AI842" s="3">
        <v>104.32</v>
      </c>
      <c r="AJ842" s="3">
        <v>106.4038</v>
      </c>
      <c r="AK842" s="3">
        <v>117.5295</v>
      </c>
      <c r="AL842" s="3">
        <v>103.97</v>
      </c>
      <c r="AM842" s="3">
        <v>109.8</v>
      </c>
      <c r="AN842" s="3">
        <v>106.9183</v>
      </c>
      <c r="AO842" s="3">
        <v>108.0271</v>
      </c>
      <c r="AP842" s="3">
        <v>103.7851</v>
      </c>
      <c r="AQ842" s="3">
        <v>103.1593</v>
      </c>
      <c r="AS842" s="3">
        <v>102.3532</v>
      </c>
      <c r="AT842" s="3">
        <v>103.57380000000001</v>
      </c>
      <c r="AU842" s="3">
        <v>103.46</v>
      </c>
      <c r="AV842" s="3">
        <v>105.9117</v>
      </c>
      <c r="AW842" s="3">
        <v>151.15219999999999</v>
      </c>
      <c r="AX842" s="3">
        <v>105.9979</v>
      </c>
      <c r="AY842" s="3">
        <v>118.9209</v>
      </c>
    </row>
    <row r="843" spans="1:51" x14ac:dyDescent="0.2">
      <c r="A843" s="3" t="s">
        <v>973</v>
      </c>
      <c r="B843" s="49">
        <v>43466</v>
      </c>
      <c r="D843" s="3">
        <v>107.2025</v>
      </c>
      <c r="E843" s="3">
        <v>118.71899999999999</v>
      </c>
      <c r="F843" s="3">
        <v>105.557</v>
      </c>
      <c r="G843" s="3">
        <v>100.64149999999999</v>
      </c>
      <c r="H843" s="3">
        <v>109.7724</v>
      </c>
      <c r="I843" s="3">
        <v>107</v>
      </c>
      <c r="J843" s="3">
        <v>117.5795</v>
      </c>
      <c r="K843" s="3">
        <v>105.06570000000001</v>
      </c>
      <c r="L843" s="3">
        <v>107.1</v>
      </c>
      <c r="M843" s="3">
        <v>103.41719999999999</v>
      </c>
      <c r="N843" s="3">
        <v>102.3</v>
      </c>
      <c r="O843" s="3">
        <v>102.97</v>
      </c>
      <c r="P843" s="3">
        <v>102.8621</v>
      </c>
      <c r="Q843" s="3">
        <v>107.66840000000001</v>
      </c>
      <c r="S843" s="3">
        <v>102.31</v>
      </c>
      <c r="T843" s="3">
        <v>103.01</v>
      </c>
      <c r="U843" s="3">
        <v>109.3895</v>
      </c>
      <c r="V843" s="3">
        <v>104.9653</v>
      </c>
      <c r="W843" s="3">
        <v>106.4</v>
      </c>
      <c r="X843" s="3">
        <v>99.54</v>
      </c>
      <c r="Y843" s="3">
        <v>106.73569999999999</v>
      </c>
      <c r="Z843" s="3">
        <v>112.7953</v>
      </c>
      <c r="AA843" s="3">
        <v>117.437</v>
      </c>
      <c r="AD843" s="3">
        <v>100.60299999999999</v>
      </c>
      <c r="AE843" s="3">
        <v>102.4</v>
      </c>
      <c r="AF843" s="3">
        <v>101.5</v>
      </c>
      <c r="AG843" s="3">
        <v>104.24</v>
      </c>
      <c r="AI843" s="3">
        <v>103.4</v>
      </c>
      <c r="AJ843" s="3">
        <v>106.9089</v>
      </c>
      <c r="AK843" s="3">
        <v>117.62990000000001</v>
      </c>
      <c r="AL843" s="3">
        <v>104.05</v>
      </c>
      <c r="AM843" s="3">
        <v>109.3</v>
      </c>
      <c r="AN843" s="3">
        <v>106.8733</v>
      </c>
      <c r="AO843" s="3">
        <v>107.63120000000001</v>
      </c>
      <c r="AP843" s="3">
        <v>103.54089999999999</v>
      </c>
      <c r="AQ843" s="3">
        <v>101.9183</v>
      </c>
      <c r="AS843" s="3">
        <v>101.2747</v>
      </c>
      <c r="AT843" s="3">
        <v>104.675</v>
      </c>
      <c r="AU843" s="3">
        <v>102.32</v>
      </c>
      <c r="AV843" s="3">
        <v>104.8554</v>
      </c>
      <c r="AW843" s="3">
        <v>152.76009999999999</v>
      </c>
      <c r="AX843" s="3">
        <v>106.2</v>
      </c>
      <c r="AY843" s="3">
        <v>118.81189999999999</v>
      </c>
    </row>
    <row r="844" spans="1:51" x14ac:dyDescent="0.2">
      <c r="A844" s="3" t="s">
        <v>974</v>
      </c>
      <c r="B844" s="49">
        <v>43497</v>
      </c>
      <c r="D844" s="3">
        <v>107.54940000000001</v>
      </c>
      <c r="E844" s="3">
        <v>119.2294</v>
      </c>
      <c r="F844" s="3">
        <v>106.2681</v>
      </c>
      <c r="G844" s="3">
        <v>101.03279999999999</v>
      </c>
      <c r="H844" s="3">
        <v>109.816</v>
      </c>
      <c r="I844" s="3">
        <v>108.1</v>
      </c>
      <c r="J844" s="3">
        <v>118.2573</v>
      </c>
      <c r="K844" s="3">
        <v>105.1516</v>
      </c>
      <c r="L844" s="3">
        <v>107.3</v>
      </c>
      <c r="M844" s="3">
        <v>103.8173</v>
      </c>
      <c r="N844" s="3">
        <v>102.8</v>
      </c>
      <c r="O844" s="3">
        <v>103.3</v>
      </c>
      <c r="P844" s="3">
        <v>103.1126</v>
      </c>
      <c r="Q844" s="3">
        <v>107.8222</v>
      </c>
      <c r="S844" s="3">
        <v>102.8</v>
      </c>
      <c r="T844" s="3">
        <v>103.06</v>
      </c>
      <c r="U844" s="3">
        <v>109.8798</v>
      </c>
      <c r="V844" s="3">
        <v>105.3211</v>
      </c>
      <c r="W844" s="3">
        <v>106.8</v>
      </c>
      <c r="X844" s="3">
        <v>99.6691</v>
      </c>
      <c r="Y844" s="3">
        <v>107.3279</v>
      </c>
      <c r="Z844" s="3">
        <v>112.70399999999999</v>
      </c>
      <c r="AA844" s="3">
        <v>117.437</v>
      </c>
      <c r="AD844" s="3">
        <v>100.70350000000001</v>
      </c>
      <c r="AE844" s="3">
        <v>102.5</v>
      </c>
      <c r="AF844" s="3">
        <v>101.5</v>
      </c>
      <c r="AG844" s="3">
        <v>104.69</v>
      </c>
      <c r="AI844" s="3">
        <v>104.97</v>
      </c>
      <c r="AJ844" s="3">
        <v>106.97580000000001</v>
      </c>
      <c r="AK844" s="3">
        <v>117.5968</v>
      </c>
      <c r="AL844" s="3">
        <v>104.97</v>
      </c>
      <c r="AM844" s="3">
        <v>110.2</v>
      </c>
      <c r="AN844" s="3">
        <v>107.2124</v>
      </c>
      <c r="AO844" s="3">
        <v>107.9436</v>
      </c>
      <c r="AP844" s="3">
        <v>103.9479</v>
      </c>
      <c r="AQ844" s="3">
        <v>101.6934</v>
      </c>
      <c r="AS844" s="3">
        <v>101.0984</v>
      </c>
      <c r="AT844" s="3">
        <v>104.91970000000001</v>
      </c>
      <c r="AU844" s="3">
        <v>103.11</v>
      </c>
      <c r="AV844" s="3">
        <v>105.6405</v>
      </c>
      <c r="AW844" s="3">
        <v>153.00569999999999</v>
      </c>
      <c r="AX844" s="3">
        <v>106.6489</v>
      </c>
      <c r="AY844" s="3">
        <v>119.7929</v>
      </c>
    </row>
    <row r="845" spans="1:51" x14ac:dyDescent="0.2">
      <c r="A845" s="3" t="s">
        <v>975</v>
      </c>
      <c r="B845" s="49">
        <v>43525</v>
      </c>
      <c r="D845" s="3">
        <v>107.8764</v>
      </c>
      <c r="E845" s="3">
        <v>120.1236</v>
      </c>
      <c r="F845" s="3">
        <v>106.97920000000001</v>
      </c>
      <c r="G845" s="3">
        <v>101.57080000000001</v>
      </c>
      <c r="H845" s="3">
        <v>110.3389</v>
      </c>
      <c r="I845" s="3">
        <v>107.7</v>
      </c>
      <c r="J845" s="3">
        <v>118.77160000000001</v>
      </c>
      <c r="K845" s="3">
        <v>104.99930000000001</v>
      </c>
      <c r="L845" s="3">
        <v>107.5</v>
      </c>
      <c r="M845" s="3">
        <v>104.2174</v>
      </c>
      <c r="N845" s="3">
        <v>102.9</v>
      </c>
      <c r="O845" s="3">
        <v>104.35</v>
      </c>
      <c r="P845" s="3">
        <v>103.48779999999999</v>
      </c>
      <c r="Q845" s="3">
        <v>108.1811</v>
      </c>
      <c r="S845" s="3">
        <v>102.87</v>
      </c>
      <c r="T845" s="3">
        <v>103.89</v>
      </c>
      <c r="U845" s="3">
        <v>110.372</v>
      </c>
      <c r="V845" s="3">
        <v>105.8092</v>
      </c>
      <c r="W845" s="3">
        <v>107</v>
      </c>
      <c r="X845" s="3">
        <v>101.4823</v>
      </c>
      <c r="Y845" s="3">
        <v>108.0681</v>
      </c>
      <c r="Z845" s="3">
        <v>112.82850000000001</v>
      </c>
      <c r="AA845" s="3">
        <v>118.2021</v>
      </c>
      <c r="AD845" s="3">
        <v>101.206</v>
      </c>
      <c r="AE845" s="3">
        <v>102.8</v>
      </c>
      <c r="AF845" s="3">
        <v>101.5</v>
      </c>
      <c r="AG845" s="3">
        <v>104.49</v>
      </c>
      <c r="AI845" s="3">
        <v>105.14</v>
      </c>
      <c r="AJ845" s="3">
        <v>108.1824</v>
      </c>
      <c r="AK845" s="3">
        <v>118.0498</v>
      </c>
      <c r="AL845" s="3">
        <v>105.37</v>
      </c>
      <c r="AM845" s="3">
        <v>110.4</v>
      </c>
      <c r="AN845" s="3">
        <v>107.7016</v>
      </c>
      <c r="AO845" s="3">
        <v>108.4842</v>
      </c>
      <c r="AP845" s="3">
        <v>104.2735</v>
      </c>
      <c r="AQ845" s="3">
        <v>103.49469999999999</v>
      </c>
      <c r="AS845" s="3">
        <v>100.99469999999999</v>
      </c>
      <c r="AT845" s="3">
        <v>105.53149999999999</v>
      </c>
      <c r="AU845" s="3">
        <v>103.83</v>
      </c>
      <c r="AV845" s="3">
        <v>105.8862</v>
      </c>
      <c r="AW845" s="3">
        <v>154.57910000000001</v>
      </c>
      <c r="AX845" s="3">
        <v>107.2505</v>
      </c>
      <c r="AY845" s="3">
        <v>120.7739</v>
      </c>
    </row>
    <row r="846" spans="1:51" x14ac:dyDescent="0.2">
      <c r="A846" s="3" t="s">
        <v>976</v>
      </c>
      <c r="B846" s="49">
        <v>43556</v>
      </c>
      <c r="D846" s="3">
        <v>107.9359</v>
      </c>
      <c r="E846" s="3">
        <v>120.8083</v>
      </c>
      <c r="F846" s="3">
        <v>107.4533</v>
      </c>
      <c r="G846" s="3">
        <v>101.7617</v>
      </c>
      <c r="H846" s="3">
        <v>110.6331</v>
      </c>
      <c r="I846" s="3">
        <v>107.8</v>
      </c>
      <c r="J846" s="3">
        <v>119.35599999999999</v>
      </c>
      <c r="K846" s="3">
        <v>105.5887</v>
      </c>
      <c r="L846" s="3">
        <v>107.6</v>
      </c>
      <c r="M846" s="3">
        <v>105.2175</v>
      </c>
      <c r="N846" s="3">
        <v>103.2</v>
      </c>
      <c r="O846" s="3">
        <v>105.1</v>
      </c>
      <c r="P846" s="3">
        <v>104.5307</v>
      </c>
      <c r="Q846" s="3">
        <v>109.61669999999999</v>
      </c>
      <c r="S846" s="3">
        <v>103.47</v>
      </c>
      <c r="T846" s="3">
        <v>104.22</v>
      </c>
      <c r="U846" s="3">
        <v>110.9813</v>
      </c>
      <c r="V846" s="3">
        <v>106.34820000000001</v>
      </c>
      <c r="W846" s="3">
        <v>107.6</v>
      </c>
      <c r="X846" s="3">
        <v>102.4866</v>
      </c>
      <c r="Y846" s="3">
        <v>109.0303</v>
      </c>
      <c r="Z846" s="3">
        <v>113.32680000000001</v>
      </c>
      <c r="AA846" s="3">
        <v>119.3497</v>
      </c>
      <c r="AD846" s="3">
        <v>101.50749999999999</v>
      </c>
      <c r="AE846" s="3">
        <v>103</v>
      </c>
      <c r="AF846" s="3">
        <v>101.8</v>
      </c>
      <c r="AG846" s="3">
        <v>104.87</v>
      </c>
      <c r="AI846" s="3">
        <v>105.33</v>
      </c>
      <c r="AJ846" s="3">
        <v>109.1061</v>
      </c>
      <c r="AK846" s="3">
        <v>118.1125</v>
      </c>
      <c r="AL846" s="3">
        <v>106.08</v>
      </c>
      <c r="AM846" s="3">
        <v>110.8</v>
      </c>
      <c r="AN846" s="3">
        <v>108.28789999999999</v>
      </c>
      <c r="AO846" s="3">
        <v>109.2433</v>
      </c>
      <c r="AP846" s="3">
        <v>105.4131</v>
      </c>
      <c r="AQ846" s="3">
        <v>104.0998</v>
      </c>
      <c r="AS846" s="3">
        <v>101.04649999999999</v>
      </c>
      <c r="AT846" s="3">
        <v>105.7762</v>
      </c>
      <c r="AU846" s="3">
        <v>104.64</v>
      </c>
      <c r="AV846" s="3">
        <v>106.6266</v>
      </c>
      <c r="AW846" s="3">
        <v>157.19630000000001</v>
      </c>
      <c r="AX846" s="3">
        <v>107.8184</v>
      </c>
      <c r="AY846" s="3">
        <v>121.42789999999999</v>
      </c>
    </row>
    <row r="847" spans="1:51" x14ac:dyDescent="0.2">
      <c r="A847" s="3" t="s">
        <v>977</v>
      </c>
      <c r="B847" s="49">
        <v>43586</v>
      </c>
      <c r="D847" s="3">
        <v>107.95569999999999</v>
      </c>
      <c r="E847" s="3">
        <v>120.9653</v>
      </c>
      <c r="F847" s="3">
        <v>107.9273</v>
      </c>
      <c r="G847" s="3">
        <v>102.0742</v>
      </c>
      <c r="H847" s="3">
        <v>111.29770000000001</v>
      </c>
      <c r="I847" s="3">
        <v>107.8</v>
      </c>
      <c r="J847" s="3">
        <v>119.73</v>
      </c>
      <c r="K847" s="3">
        <v>105.73139999999999</v>
      </c>
      <c r="L847" s="3">
        <v>108.3</v>
      </c>
      <c r="M847" s="3">
        <v>105.41759999999999</v>
      </c>
      <c r="N847" s="3">
        <v>103.1</v>
      </c>
      <c r="O847" s="3">
        <v>105.24</v>
      </c>
      <c r="P847" s="3">
        <v>104.7343</v>
      </c>
      <c r="Q847" s="3">
        <v>109.873</v>
      </c>
      <c r="S847" s="3">
        <v>103.29</v>
      </c>
      <c r="T847" s="3">
        <v>104.33</v>
      </c>
      <c r="U847" s="3">
        <v>111.26519999999999</v>
      </c>
      <c r="V847" s="3">
        <v>106.5432</v>
      </c>
      <c r="W847" s="3">
        <v>107.9</v>
      </c>
      <c r="X847" s="3">
        <v>101.35209999999999</v>
      </c>
      <c r="Y847" s="3">
        <v>109.6965</v>
      </c>
      <c r="Z847" s="3">
        <v>114.09910000000001</v>
      </c>
      <c r="AA847" s="3">
        <v>120.1148</v>
      </c>
      <c r="AD847" s="3">
        <v>102.2111</v>
      </c>
      <c r="AE847" s="3">
        <v>103</v>
      </c>
      <c r="AF847" s="3">
        <v>101.8</v>
      </c>
      <c r="AG847" s="3">
        <v>105.05</v>
      </c>
      <c r="AI847" s="3">
        <v>105.62</v>
      </c>
      <c r="AJ847" s="3">
        <v>109.34399999999999</v>
      </c>
      <c r="AK847" s="3">
        <v>117.77249999999999</v>
      </c>
      <c r="AL847" s="3">
        <v>105.94</v>
      </c>
      <c r="AM847" s="3">
        <v>110.5</v>
      </c>
      <c r="AN847" s="3">
        <v>108.4838</v>
      </c>
      <c r="AO847" s="3">
        <v>109.47199999999999</v>
      </c>
      <c r="AP847" s="3">
        <v>105.65730000000001</v>
      </c>
      <c r="AQ847" s="3">
        <v>104.1605</v>
      </c>
      <c r="AS847" s="3">
        <v>101.0776</v>
      </c>
      <c r="AT847" s="3">
        <v>106.1433</v>
      </c>
      <c r="AU847" s="3">
        <v>105.56</v>
      </c>
      <c r="AV847" s="3">
        <v>106.8947</v>
      </c>
      <c r="AW847" s="3">
        <v>158.6891</v>
      </c>
      <c r="AX847" s="3">
        <v>108.0479</v>
      </c>
      <c r="AY847" s="3">
        <v>121.75490000000001</v>
      </c>
    </row>
    <row r="848" spans="1:51" x14ac:dyDescent="0.2">
      <c r="A848" s="3" t="s">
        <v>978</v>
      </c>
      <c r="B848" s="49">
        <v>43617</v>
      </c>
      <c r="D848" s="3">
        <v>107.89619999999999</v>
      </c>
      <c r="E848" s="3">
        <v>120.9774</v>
      </c>
      <c r="F848" s="3">
        <v>107.69029999999999</v>
      </c>
      <c r="G848" s="3">
        <v>102.044</v>
      </c>
      <c r="H848" s="3">
        <v>111.3522</v>
      </c>
      <c r="I848" s="3">
        <v>107.7</v>
      </c>
      <c r="J848" s="3">
        <v>120.0573</v>
      </c>
      <c r="K848" s="3">
        <v>106.0219</v>
      </c>
      <c r="L848" s="3">
        <v>108.5</v>
      </c>
      <c r="M848" s="3">
        <v>105.7176</v>
      </c>
      <c r="N848" s="3">
        <v>102.9</v>
      </c>
      <c r="O848" s="3">
        <v>105.41</v>
      </c>
      <c r="P848" s="3">
        <v>104.61150000000001</v>
      </c>
      <c r="Q848" s="3">
        <v>110.07810000000001</v>
      </c>
      <c r="S848" s="3">
        <v>103.36</v>
      </c>
      <c r="T848" s="3">
        <v>104.58</v>
      </c>
      <c r="U848" s="3">
        <v>111.3974</v>
      </c>
      <c r="V848" s="3">
        <v>106.5719</v>
      </c>
      <c r="W848" s="3">
        <v>107.9</v>
      </c>
      <c r="X848" s="3">
        <v>101.8369</v>
      </c>
      <c r="Y848" s="3">
        <v>109.47450000000001</v>
      </c>
      <c r="Z848" s="3">
        <v>114.7302</v>
      </c>
      <c r="AA848" s="3">
        <v>120.8798</v>
      </c>
      <c r="AD848" s="3">
        <v>101.608</v>
      </c>
      <c r="AE848" s="3">
        <v>103.1</v>
      </c>
      <c r="AF848" s="3">
        <v>101.6</v>
      </c>
      <c r="AG848" s="3">
        <v>104.88</v>
      </c>
      <c r="AI848" s="3">
        <v>105.55</v>
      </c>
      <c r="AJ848" s="3">
        <v>109.7107</v>
      </c>
      <c r="AK848" s="3">
        <v>117.84780000000001</v>
      </c>
      <c r="AL848" s="3">
        <v>105.84</v>
      </c>
      <c r="AM848" s="3">
        <v>110.6</v>
      </c>
      <c r="AN848" s="3">
        <v>108.5102</v>
      </c>
      <c r="AO848" s="3">
        <v>109.5865</v>
      </c>
      <c r="AP848" s="3">
        <v>105.9829</v>
      </c>
      <c r="AQ848" s="3">
        <v>104.1923</v>
      </c>
      <c r="AS848" s="3">
        <v>101.3058</v>
      </c>
      <c r="AT848" s="3">
        <v>106.20440000000001</v>
      </c>
      <c r="AU848" s="3">
        <v>105.93</v>
      </c>
      <c r="AV848" s="3">
        <v>106.7415</v>
      </c>
      <c r="AW848" s="3">
        <v>158.7313</v>
      </c>
      <c r="AX848" s="3">
        <v>108.06950000000001</v>
      </c>
      <c r="AY848" s="3">
        <v>122.1909</v>
      </c>
    </row>
    <row r="849" spans="1:51" x14ac:dyDescent="0.2">
      <c r="A849" s="3" t="s">
        <v>979</v>
      </c>
      <c r="B849" s="49">
        <v>43647</v>
      </c>
      <c r="D849" s="3">
        <v>107.9854</v>
      </c>
      <c r="E849" s="3">
        <v>121.2073</v>
      </c>
      <c r="F849" s="3">
        <v>108.2433</v>
      </c>
      <c r="G849" s="3">
        <v>101.51730000000001</v>
      </c>
      <c r="H849" s="3">
        <v>111.6028</v>
      </c>
      <c r="I849" s="3">
        <v>108.1</v>
      </c>
      <c r="J849" s="3">
        <v>120.31440000000001</v>
      </c>
      <c r="K849" s="3">
        <v>106.8001</v>
      </c>
      <c r="L849" s="3">
        <v>108.9</v>
      </c>
      <c r="M849" s="3">
        <v>106.21769999999999</v>
      </c>
      <c r="N849" s="3">
        <v>103.5</v>
      </c>
      <c r="O849" s="3">
        <v>104.91</v>
      </c>
      <c r="P849" s="3">
        <v>103.9629</v>
      </c>
      <c r="Q849" s="3">
        <v>109.9243</v>
      </c>
      <c r="S849" s="3">
        <v>103.08</v>
      </c>
      <c r="T849" s="3">
        <v>104.38</v>
      </c>
      <c r="U849" s="3">
        <v>111.6716</v>
      </c>
      <c r="V849" s="3">
        <v>106.736</v>
      </c>
      <c r="W849" s="3">
        <v>108</v>
      </c>
      <c r="X849" s="3">
        <v>100.34780000000001</v>
      </c>
      <c r="Y849" s="3">
        <v>109.6965</v>
      </c>
      <c r="Z849" s="3">
        <v>115.0873</v>
      </c>
      <c r="AA849" s="3">
        <v>122.0274</v>
      </c>
      <c r="AD849" s="3">
        <v>101.3065</v>
      </c>
      <c r="AE849" s="3">
        <v>103.1</v>
      </c>
      <c r="AF849" s="3">
        <v>101.6</v>
      </c>
      <c r="AG849" s="3">
        <v>104.56</v>
      </c>
      <c r="AI849" s="3">
        <v>104.83</v>
      </c>
      <c r="AJ849" s="3">
        <v>108.6572</v>
      </c>
      <c r="AK849" s="3">
        <v>118.29049999999999</v>
      </c>
      <c r="AL849" s="3">
        <v>106.9</v>
      </c>
      <c r="AM849" s="3">
        <v>111.4</v>
      </c>
      <c r="AN849" s="3">
        <v>108.681</v>
      </c>
      <c r="AO849" s="3">
        <v>109.7368</v>
      </c>
      <c r="AP849" s="3">
        <v>105.9829</v>
      </c>
      <c r="AQ849" s="3">
        <v>102.8319</v>
      </c>
      <c r="AS849" s="3">
        <v>101.58580000000001</v>
      </c>
      <c r="AT849" s="3">
        <v>106.32680000000001</v>
      </c>
      <c r="AU849" s="3">
        <v>105.18</v>
      </c>
      <c r="AV849" s="3">
        <v>107.16589999999999</v>
      </c>
      <c r="AW849" s="3">
        <v>160.88419999999999</v>
      </c>
      <c r="AX849" s="3">
        <v>108.25</v>
      </c>
      <c r="AY849" s="3">
        <v>122.62690000000001</v>
      </c>
    </row>
    <row r="850" spans="1:51" x14ac:dyDescent="0.2">
      <c r="A850" s="3" t="s">
        <v>980</v>
      </c>
      <c r="B850" s="49">
        <v>43678</v>
      </c>
      <c r="D850" s="3">
        <v>107.96559999999999</v>
      </c>
      <c r="E850" s="3">
        <v>121.3407</v>
      </c>
      <c r="F850" s="3">
        <v>108.0853</v>
      </c>
      <c r="G850" s="3">
        <v>101.50700000000001</v>
      </c>
      <c r="H850" s="3">
        <v>111.8098</v>
      </c>
      <c r="I850" s="3">
        <v>108.9</v>
      </c>
      <c r="J850" s="3">
        <v>120.4196</v>
      </c>
      <c r="K850" s="3">
        <v>106.6949</v>
      </c>
      <c r="L850" s="3">
        <v>109</v>
      </c>
      <c r="M850" s="3">
        <v>106.0177</v>
      </c>
      <c r="N850" s="3">
        <v>103.1</v>
      </c>
      <c r="O850" s="3">
        <v>105.06</v>
      </c>
      <c r="P850" s="3">
        <v>103.905</v>
      </c>
      <c r="Q850" s="3">
        <v>110.6934</v>
      </c>
      <c r="S850" s="3">
        <v>103.5</v>
      </c>
      <c r="T850" s="3">
        <v>104.86</v>
      </c>
      <c r="U850" s="3">
        <v>111.9663</v>
      </c>
      <c r="V850" s="3">
        <v>106.80549999999999</v>
      </c>
      <c r="W850" s="3">
        <v>108.3</v>
      </c>
      <c r="X850" s="3">
        <v>99.799719999999994</v>
      </c>
      <c r="Y850" s="3">
        <v>109.5485</v>
      </c>
      <c r="Z850" s="3">
        <v>115.2201</v>
      </c>
      <c r="AA850" s="3">
        <v>122.40989999999999</v>
      </c>
      <c r="AD850" s="3">
        <v>101.50749999999999</v>
      </c>
      <c r="AE850" s="3">
        <v>103.5</v>
      </c>
      <c r="AF850" s="3">
        <v>101.8</v>
      </c>
      <c r="AG850" s="3">
        <v>104.81</v>
      </c>
      <c r="AI850" s="3">
        <v>106.06</v>
      </c>
      <c r="AJ850" s="3">
        <v>108.8734</v>
      </c>
      <c r="AK850" s="3">
        <v>118.2711</v>
      </c>
      <c r="AL850" s="3">
        <v>107.37</v>
      </c>
      <c r="AM850" s="3">
        <v>110.6</v>
      </c>
      <c r="AN850" s="3">
        <v>108.77</v>
      </c>
      <c r="AO850" s="3">
        <v>109.92919999999999</v>
      </c>
      <c r="AP850" s="3">
        <v>105.9829</v>
      </c>
      <c r="AQ850" s="3">
        <v>102.7135</v>
      </c>
      <c r="AS850" s="3">
        <v>101.78279999999999</v>
      </c>
      <c r="AT850" s="3">
        <v>106.5715</v>
      </c>
      <c r="AU850" s="3">
        <v>105.57</v>
      </c>
      <c r="AV850" s="3">
        <v>106.71599999999999</v>
      </c>
      <c r="AW850" s="3">
        <v>162.26570000000001</v>
      </c>
      <c r="AX850" s="3">
        <v>108.24460000000001</v>
      </c>
      <c r="AY850" s="3">
        <v>122.9539</v>
      </c>
    </row>
    <row r="851" spans="1:51" x14ac:dyDescent="0.2">
      <c r="A851" s="3" t="s">
        <v>1411</v>
      </c>
      <c r="B851" s="49">
        <v>43709</v>
      </c>
      <c r="D851" s="3">
        <v>107.4701</v>
      </c>
      <c r="E851" s="3">
        <v>121.29219999999999</v>
      </c>
      <c r="F851" s="3">
        <v>107.6113</v>
      </c>
      <c r="G851" s="3">
        <v>101.39570000000001</v>
      </c>
      <c r="H851" s="3">
        <v>111.8207</v>
      </c>
      <c r="I851" s="3">
        <v>109.8</v>
      </c>
      <c r="J851" s="3">
        <v>120.6884</v>
      </c>
      <c r="K851" s="3">
        <v>106.5913</v>
      </c>
      <c r="L851" s="3">
        <v>108.4</v>
      </c>
      <c r="M851" s="3">
        <v>106.0177</v>
      </c>
      <c r="N851" s="3">
        <v>102.9</v>
      </c>
      <c r="O851" s="3">
        <v>105.29</v>
      </c>
      <c r="P851" s="3">
        <v>103.905</v>
      </c>
      <c r="Q851" s="3">
        <v>110.5395</v>
      </c>
      <c r="S851" s="3">
        <v>103.54</v>
      </c>
      <c r="T851" s="3">
        <v>104.5</v>
      </c>
      <c r="U851" s="3">
        <v>112.35890000000001</v>
      </c>
      <c r="V851" s="3">
        <v>106.7954</v>
      </c>
      <c r="W851" s="3">
        <v>108.4</v>
      </c>
      <c r="X851" s="3">
        <v>101.9057</v>
      </c>
      <c r="Y851" s="3">
        <v>109.6225</v>
      </c>
      <c r="Z851" s="3">
        <v>114.9046</v>
      </c>
      <c r="AA851" s="3">
        <v>123.175</v>
      </c>
      <c r="AD851" s="3">
        <v>101.3065</v>
      </c>
      <c r="AE851" s="3">
        <v>102.9</v>
      </c>
      <c r="AF851" s="3">
        <v>101.9</v>
      </c>
      <c r="AG851" s="3">
        <v>105.2</v>
      </c>
      <c r="AI851" s="3">
        <v>105.9</v>
      </c>
      <c r="AJ851" s="3">
        <v>108.9301</v>
      </c>
      <c r="AK851" s="3">
        <v>118.5814</v>
      </c>
      <c r="AL851" s="3">
        <v>106.7</v>
      </c>
      <c r="AM851" s="3">
        <v>111.1</v>
      </c>
      <c r="AN851" s="3">
        <v>108.8369</v>
      </c>
      <c r="AO851" s="3">
        <v>109.9637</v>
      </c>
      <c r="AP851" s="3">
        <v>105.9829</v>
      </c>
      <c r="AQ851" s="3">
        <v>103.84399999999999</v>
      </c>
      <c r="AS851" s="3">
        <v>102.0213</v>
      </c>
      <c r="AT851" s="3">
        <v>106.6939</v>
      </c>
      <c r="AU851" s="3">
        <v>105.37</v>
      </c>
      <c r="AV851" s="3">
        <v>107.21380000000001</v>
      </c>
      <c r="AW851" s="3">
        <v>163.87739999999999</v>
      </c>
      <c r="AX851" s="3">
        <v>108.32940000000001</v>
      </c>
      <c r="AY851" s="3">
        <v>123.28100000000001</v>
      </c>
    </row>
    <row r="852" spans="1:51" x14ac:dyDescent="0.2">
      <c r="A852" s="3" t="s">
        <v>1412</v>
      </c>
      <c r="B852" s="49">
        <v>43739</v>
      </c>
      <c r="D852" s="3">
        <v>107.8566</v>
      </c>
      <c r="E852" s="3">
        <v>121.4136</v>
      </c>
      <c r="F852" s="3">
        <v>107.9273</v>
      </c>
      <c r="G852" s="3">
        <v>101.1677</v>
      </c>
      <c r="H852" s="3">
        <v>112.736</v>
      </c>
      <c r="I852" s="3">
        <v>110.8</v>
      </c>
      <c r="J852" s="3">
        <v>120.8871</v>
      </c>
      <c r="K852" s="3">
        <v>106.51309999999999</v>
      </c>
      <c r="L852" s="3">
        <v>108.9</v>
      </c>
      <c r="M852" s="3">
        <v>106.1177</v>
      </c>
      <c r="N852" s="3">
        <v>103.3</v>
      </c>
      <c r="O852" s="3">
        <v>105.44</v>
      </c>
      <c r="P852" s="3">
        <v>104.91289999999999</v>
      </c>
      <c r="Q852" s="3">
        <v>110.437</v>
      </c>
      <c r="S852" s="3">
        <v>103.62</v>
      </c>
      <c r="T852" s="3">
        <v>104.46</v>
      </c>
      <c r="U852" s="3">
        <v>112.88800000000001</v>
      </c>
      <c r="V852" s="3">
        <v>106.97539999999999</v>
      </c>
      <c r="W852" s="3">
        <v>108.3</v>
      </c>
      <c r="X852" s="3">
        <v>102.038</v>
      </c>
      <c r="Y852" s="3">
        <v>110.28870000000001</v>
      </c>
      <c r="Z852" s="3">
        <v>114.9295</v>
      </c>
      <c r="AA852" s="3">
        <v>124.32259999999999</v>
      </c>
      <c r="AD852" s="3">
        <v>101.7085</v>
      </c>
      <c r="AE852" s="3">
        <v>102.8</v>
      </c>
      <c r="AF852" s="3">
        <v>102.2</v>
      </c>
      <c r="AG852" s="3">
        <v>105.46</v>
      </c>
      <c r="AI852" s="3">
        <v>105.89</v>
      </c>
      <c r="AJ852" s="3">
        <v>109.3437</v>
      </c>
      <c r="AK852" s="3">
        <v>119.2214</v>
      </c>
      <c r="AL852" s="3">
        <v>107.16</v>
      </c>
      <c r="AM852" s="3">
        <v>111.3</v>
      </c>
      <c r="AN852" s="3">
        <v>109.1537</v>
      </c>
      <c r="AO852" s="3">
        <v>110.2971</v>
      </c>
      <c r="AP852" s="3">
        <v>106.22709999999999</v>
      </c>
      <c r="AQ852" s="3">
        <v>103.8828</v>
      </c>
      <c r="AS852" s="3">
        <v>102.0732</v>
      </c>
      <c r="AT852" s="3">
        <v>106.6327</v>
      </c>
      <c r="AU852" s="3">
        <v>105.44</v>
      </c>
      <c r="AV852" s="3">
        <v>107.24250000000001</v>
      </c>
      <c r="AW852" s="3">
        <v>167.1585</v>
      </c>
      <c r="AX852" s="3">
        <v>108.577</v>
      </c>
      <c r="AY852" s="3">
        <v>123.28100000000001</v>
      </c>
    </row>
    <row r="853" spans="1:51" x14ac:dyDescent="0.2">
      <c r="A853" s="3" t="s">
        <v>1413</v>
      </c>
      <c r="B853" s="49">
        <v>43770</v>
      </c>
      <c r="D853" s="3">
        <v>107.926</v>
      </c>
      <c r="E853" s="3">
        <v>122.03279999999999</v>
      </c>
      <c r="F853" s="3">
        <v>107.7693</v>
      </c>
      <c r="G853" s="3">
        <v>101.033</v>
      </c>
      <c r="H853" s="3">
        <v>112.8231</v>
      </c>
      <c r="I853" s="3">
        <v>111.2</v>
      </c>
      <c r="J853" s="3">
        <v>121.0157</v>
      </c>
      <c r="K853" s="3">
        <v>106.73560000000001</v>
      </c>
      <c r="L853" s="3">
        <v>109.2</v>
      </c>
      <c r="M853" s="3">
        <v>105.3176</v>
      </c>
      <c r="N853" s="3">
        <v>103.1</v>
      </c>
      <c r="O853" s="3">
        <v>105.1</v>
      </c>
      <c r="P853" s="3">
        <v>105.09059999999999</v>
      </c>
      <c r="Q853" s="3">
        <v>110.1806</v>
      </c>
      <c r="S853" s="3">
        <v>103.52</v>
      </c>
      <c r="T853" s="3">
        <v>104.52</v>
      </c>
      <c r="U853" s="3">
        <v>113.1383</v>
      </c>
      <c r="V853" s="3">
        <v>106.8814</v>
      </c>
      <c r="W853" s="3">
        <v>108.5</v>
      </c>
      <c r="X853" s="3">
        <v>101.4502</v>
      </c>
      <c r="Y853" s="3">
        <v>110.3627</v>
      </c>
      <c r="Z853" s="3">
        <v>115.0956</v>
      </c>
      <c r="AA853" s="3">
        <v>125.47020000000001</v>
      </c>
      <c r="AD853" s="3">
        <v>101.3065</v>
      </c>
      <c r="AE853" s="3">
        <v>102.6</v>
      </c>
      <c r="AF853" s="3">
        <v>102.3</v>
      </c>
      <c r="AG853" s="3">
        <v>104.87</v>
      </c>
      <c r="AI853" s="3">
        <v>105.93</v>
      </c>
      <c r="AJ853" s="3">
        <v>109.0625</v>
      </c>
      <c r="AK853" s="3">
        <v>120.1831</v>
      </c>
      <c r="AL853" s="3">
        <v>106.73</v>
      </c>
      <c r="AM853" s="3">
        <v>111.6</v>
      </c>
      <c r="AN853" s="3">
        <v>109.12130000000001</v>
      </c>
      <c r="AO853" s="3">
        <v>110.2045</v>
      </c>
      <c r="AP853" s="3">
        <v>106.3085</v>
      </c>
      <c r="AQ853" s="3">
        <v>103.7296</v>
      </c>
      <c r="AS853" s="3">
        <v>101.9383</v>
      </c>
      <c r="AT853" s="3">
        <v>106.755</v>
      </c>
      <c r="AU853" s="3">
        <v>105.52</v>
      </c>
      <c r="AV853" s="3">
        <v>107.3447</v>
      </c>
      <c r="AW853" s="3">
        <v>167.7955</v>
      </c>
      <c r="AX853" s="3">
        <v>108.5188</v>
      </c>
      <c r="AY853" s="3">
        <v>123.39</v>
      </c>
    </row>
    <row r="854" spans="1:51" x14ac:dyDescent="0.2">
      <c r="A854" s="3" t="s">
        <v>1414</v>
      </c>
      <c r="B854" s="49">
        <v>43800</v>
      </c>
      <c r="D854" s="3">
        <v>108.0647</v>
      </c>
      <c r="E854" s="3">
        <v>123.4363</v>
      </c>
      <c r="F854" s="3">
        <v>107.7693</v>
      </c>
      <c r="G854" s="3">
        <v>101.0633</v>
      </c>
      <c r="H854" s="3">
        <v>112.943</v>
      </c>
      <c r="I854" s="3">
        <v>111.2</v>
      </c>
      <c r="J854" s="3">
        <v>121.31959999999999</v>
      </c>
      <c r="K854" s="3">
        <v>106.61060000000001</v>
      </c>
      <c r="L854" s="3">
        <v>109.4</v>
      </c>
      <c r="M854" s="3">
        <v>105.8176</v>
      </c>
      <c r="N854" s="3">
        <v>102.9</v>
      </c>
      <c r="O854" s="3">
        <v>105.43</v>
      </c>
      <c r="P854" s="3">
        <v>105.0147</v>
      </c>
      <c r="Q854" s="3">
        <v>109.82170000000001</v>
      </c>
      <c r="S854" s="3">
        <v>103.65</v>
      </c>
      <c r="T854" s="3">
        <v>104.98</v>
      </c>
      <c r="U854" s="3">
        <v>113.42659999999999</v>
      </c>
      <c r="V854" s="3">
        <v>106.91119999999999</v>
      </c>
      <c r="W854" s="3">
        <v>108.5</v>
      </c>
      <c r="X854" s="3">
        <v>102.1203</v>
      </c>
      <c r="Y854" s="3">
        <v>110.6588</v>
      </c>
      <c r="Z854" s="3">
        <v>115.4859</v>
      </c>
      <c r="AA854" s="3">
        <v>126.2353</v>
      </c>
      <c r="AD854" s="3">
        <v>101.3065</v>
      </c>
      <c r="AE854" s="3">
        <v>102.8</v>
      </c>
      <c r="AF854" s="3">
        <v>102.3</v>
      </c>
      <c r="AG854" s="3">
        <v>105.12</v>
      </c>
      <c r="AI854" s="3">
        <v>106.08</v>
      </c>
      <c r="AJ854" s="3">
        <v>108.81100000000001</v>
      </c>
      <c r="AK854" s="3">
        <v>120.8539</v>
      </c>
      <c r="AL854" s="3">
        <v>106.8</v>
      </c>
      <c r="AM854" s="3">
        <v>111.3</v>
      </c>
      <c r="AN854" s="3">
        <v>109.23699999999999</v>
      </c>
      <c r="AO854" s="3">
        <v>110.5322</v>
      </c>
      <c r="AP854" s="3">
        <v>107.1225</v>
      </c>
      <c r="AQ854" s="3">
        <v>103.59220000000001</v>
      </c>
      <c r="AS854" s="3">
        <v>102.1665</v>
      </c>
      <c r="AT854" s="3">
        <v>106.6327</v>
      </c>
      <c r="AU854" s="3">
        <v>105.35</v>
      </c>
      <c r="AV854" s="3">
        <v>107.7659</v>
      </c>
      <c r="AW854" s="3">
        <v>169.0427</v>
      </c>
      <c r="AX854" s="3">
        <v>108.42010000000001</v>
      </c>
      <c r="AY854" s="3">
        <v>123.717</v>
      </c>
    </row>
    <row r="855" spans="1:51" x14ac:dyDescent="0.2">
      <c r="A855" s="3" t="s">
        <v>1415</v>
      </c>
      <c r="B855" s="49">
        <v>43831</v>
      </c>
      <c r="D855" s="3">
        <v>108.7089</v>
      </c>
      <c r="E855" s="3">
        <v>123.69540000000001</v>
      </c>
      <c r="F855" s="3">
        <v>108.0853</v>
      </c>
      <c r="G855" s="3">
        <v>100.8451</v>
      </c>
      <c r="H855" s="3">
        <v>113.5749</v>
      </c>
      <c r="I855" s="3">
        <v>112.8</v>
      </c>
      <c r="J855" s="3">
        <v>121.8338</v>
      </c>
      <c r="K855" s="3">
        <v>106.7287</v>
      </c>
      <c r="L855" s="3">
        <v>111</v>
      </c>
      <c r="M855" s="3">
        <v>105.2175</v>
      </c>
      <c r="N855" s="3">
        <v>103</v>
      </c>
      <c r="O855" s="3">
        <v>104.37</v>
      </c>
      <c r="P855" s="3">
        <v>103.99079999999999</v>
      </c>
      <c r="Q855" s="3">
        <v>109.41160000000001</v>
      </c>
      <c r="S855" s="3">
        <v>103.32</v>
      </c>
      <c r="T855" s="3">
        <v>104.54</v>
      </c>
      <c r="U855" s="3">
        <v>113.7792</v>
      </c>
      <c r="V855" s="3">
        <v>107.0586</v>
      </c>
      <c r="W855" s="3">
        <v>108.3</v>
      </c>
      <c r="X855" s="3">
        <v>100.39919999999999</v>
      </c>
      <c r="Y855" s="3">
        <v>111.69499999999999</v>
      </c>
      <c r="Z855" s="3">
        <v>115.818</v>
      </c>
      <c r="AA855" s="3">
        <v>126.2353</v>
      </c>
      <c r="AD855" s="3">
        <v>100.9045</v>
      </c>
      <c r="AE855" s="3">
        <v>102.9</v>
      </c>
      <c r="AF855" s="3">
        <v>102.2</v>
      </c>
      <c r="AG855" s="3">
        <v>105.79</v>
      </c>
      <c r="AI855" s="3">
        <v>105.4</v>
      </c>
      <c r="AJ855" s="3">
        <v>109.2358</v>
      </c>
      <c r="AK855" s="3">
        <v>121.4392</v>
      </c>
      <c r="AL855" s="3">
        <v>105.97</v>
      </c>
      <c r="AM855" s="3">
        <v>111.3</v>
      </c>
      <c r="AN855" s="3">
        <v>109.4157</v>
      </c>
      <c r="AO855" s="3">
        <v>110.37820000000001</v>
      </c>
      <c r="AP855" s="3">
        <v>108.0993</v>
      </c>
      <c r="AQ855" s="3">
        <v>102.7334</v>
      </c>
      <c r="AS855" s="3">
        <v>102.01090000000001</v>
      </c>
      <c r="AT855" s="3">
        <v>107.8562</v>
      </c>
      <c r="AU855" s="3">
        <v>104.45</v>
      </c>
      <c r="AV855" s="3">
        <v>106.2149</v>
      </c>
      <c r="AW855" s="3">
        <v>171.32599999999999</v>
      </c>
      <c r="AX855" s="3">
        <v>108.8407</v>
      </c>
      <c r="AY855" s="3">
        <v>124.044</v>
      </c>
    </row>
    <row r="856" spans="1:51" x14ac:dyDescent="0.2">
      <c r="A856" s="3" t="s">
        <v>1416</v>
      </c>
      <c r="B856" s="49">
        <v>43862</v>
      </c>
      <c r="D856" s="3">
        <v>108.7287</v>
      </c>
      <c r="E856" s="3">
        <v>124.0047</v>
      </c>
      <c r="F856" s="3">
        <v>108.5594</v>
      </c>
      <c r="G856" s="3">
        <v>100.9699</v>
      </c>
      <c r="H856" s="3">
        <v>114.087</v>
      </c>
      <c r="I856" s="3">
        <v>113.7</v>
      </c>
      <c r="J856" s="3">
        <v>122.652</v>
      </c>
      <c r="K856" s="3">
        <v>107.0339</v>
      </c>
      <c r="L856" s="3">
        <v>111.3</v>
      </c>
      <c r="M856" s="3">
        <v>105.6176</v>
      </c>
      <c r="N856" s="3">
        <v>103.6</v>
      </c>
      <c r="O856" s="3">
        <v>104.56</v>
      </c>
      <c r="P856" s="3">
        <v>103.86709999999999</v>
      </c>
      <c r="Q856" s="3">
        <v>109.9243</v>
      </c>
      <c r="S856" s="3">
        <v>103.67</v>
      </c>
      <c r="T856" s="3">
        <v>104.53</v>
      </c>
      <c r="U856" s="3">
        <v>114.08799999999999</v>
      </c>
      <c r="V856" s="3">
        <v>107.27379999999999</v>
      </c>
      <c r="W856" s="3">
        <v>108.6</v>
      </c>
      <c r="X856" s="3">
        <v>99.897660000000002</v>
      </c>
      <c r="Y856" s="3">
        <v>112.0651</v>
      </c>
      <c r="Z856" s="3">
        <v>116.14190000000001</v>
      </c>
      <c r="AA856" s="3">
        <v>125.47020000000001</v>
      </c>
      <c r="AD856" s="3">
        <v>100.804</v>
      </c>
      <c r="AE856" s="3">
        <v>102.8</v>
      </c>
      <c r="AF856" s="3">
        <v>102</v>
      </c>
      <c r="AG856" s="3">
        <v>105.8</v>
      </c>
      <c r="AI856" s="3">
        <v>106.73</v>
      </c>
      <c r="AJ856" s="3">
        <v>109.38330000000001</v>
      </c>
      <c r="AK856" s="3">
        <v>121.9434</v>
      </c>
      <c r="AL856" s="3">
        <v>106.64</v>
      </c>
      <c r="AM856" s="3">
        <v>111.2</v>
      </c>
      <c r="AN856" s="3">
        <v>109.64709999999999</v>
      </c>
      <c r="AO856" s="3">
        <v>110.5956</v>
      </c>
      <c r="AP856" s="3">
        <v>108.8319</v>
      </c>
      <c r="AQ856" s="3">
        <v>102.0795</v>
      </c>
      <c r="AS856" s="3">
        <v>102.3428</v>
      </c>
      <c r="AT856" s="3">
        <v>107.9786</v>
      </c>
      <c r="AU856" s="3">
        <v>105.14</v>
      </c>
      <c r="AV856" s="3">
        <v>106.7415</v>
      </c>
      <c r="AW856" s="3">
        <v>171.92850000000001</v>
      </c>
      <c r="AX856" s="3">
        <v>109.139</v>
      </c>
      <c r="AY856" s="3">
        <v>125.24299999999999</v>
      </c>
    </row>
    <row r="857" spans="1:51" x14ac:dyDescent="0.2">
      <c r="A857" s="3" t="s">
        <v>1417</v>
      </c>
      <c r="B857" s="49">
        <v>43891</v>
      </c>
      <c r="D857" s="3">
        <v>108.55029999999999</v>
      </c>
      <c r="E857" s="3">
        <v>124.0915</v>
      </c>
      <c r="F857" s="3">
        <v>107.9273</v>
      </c>
      <c r="G857" s="3">
        <v>101.0476</v>
      </c>
      <c r="H857" s="3">
        <v>114.4683</v>
      </c>
      <c r="I857" s="3">
        <v>112.3</v>
      </c>
      <c r="J857" s="3">
        <v>123.3415</v>
      </c>
      <c r="K857" s="3">
        <v>107.00149999999999</v>
      </c>
      <c r="L857" s="3">
        <v>111.2</v>
      </c>
      <c r="M857" s="3">
        <v>105.7176</v>
      </c>
      <c r="N857" s="3">
        <v>103.3</v>
      </c>
      <c r="O857" s="3">
        <v>105.13</v>
      </c>
      <c r="P857" s="3">
        <v>103.4689</v>
      </c>
      <c r="Q857" s="3">
        <v>109.15519999999999</v>
      </c>
      <c r="S857" s="3">
        <v>103.49</v>
      </c>
      <c r="T857" s="3">
        <v>104.59</v>
      </c>
      <c r="U857" s="3">
        <v>113.87690000000001</v>
      </c>
      <c r="V857" s="3">
        <v>107.1223</v>
      </c>
      <c r="W857" s="3">
        <v>108.6</v>
      </c>
      <c r="X857" s="3">
        <v>101.4785</v>
      </c>
      <c r="Y857" s="3">
        <v>112.2872</v>
      </c>
      <c r="Z857" s="3">
        <v>116.25230000000001</v>
      </c>
      <c r="AA857" s="3">
        <v>124.7051</v>
      </c>
      <c r="AD857" s="3">
        <v>101.206</v>
      </c>
      <c r="AE857" s="3">
        <v>102.9</v>
      </c>
      <c r="AF857" s="3">
        <v>101.9</v>
      </c>
      <c r="AG857" s="3">
        <v>105.54</v>
      </c>
      <c r="AI857" s="3">
        <v>106.04</v>
      </c>
      <c r="AJ857" s="3">
        <v>109.7016</v>
      </c>
      <c r="AK857" s="3">
        <v>121.8853</v>
      </c>
      <c r="AL857" s="3">
        <v>106.85</v>
      </c>
      <c r="AM857" s="3">
        <v>111.2</v>
      </c>
      <c r="AN857" s="3">
        <v>109.57250000000001</v>
      </c>
      <c r="AO857" s="3">
        <v>110.723</v>
      </c>
      <c r="AP857" s="3">
        <v>109.0761</v>
      </c>
      <c r="AQ857" s="3">
        <v>103.54349999999999</v>
      </c>
      <c r="AS857" s="3">
        <v>102.488</v>
      </c>
      <c r="AT857" s="3">
        <v>107.9786</v>
      </c>
      <c r="AU857" s="3">
        <v>104.32</v>
      </c>
      <c r="AV857" s="3">
        <v>106.5628</v>
      </c>
      <c r="AW857" s="3">
        <v>172.9109</v>
      </c>
      <c r="AX857" s="3">
        <v>108.9015</v>
      </c>
      <c r="AY857" s="3">
        <v>125.679</v>
      </c>
    </row>
    <row r="858" spans="1:51" x14ac:dyDescent="0.2">
      <c r="A858" s="3" t="s">
        <v>1418</v>
      </c>
      <c r="B858" s="49">
        <v>43922</v>
      </c>
      <c r="D858" s="3">
        <v>108.55029999999999</v>
      </c>
      <c r="E858" s="3">
        <v>123.7068</v>
      </c>
      <c r="F858" s="3">
        <v>107.2162</v>
      </c>
      <c r="G858" s="3">
        <v>100.6799</v>
      </c>
      <c r="H858" s="3">
        <v>114.4139</v>
      </c>
      <c r="I858" s="3">
        <v>111.3</v>
      </c>
      <c r="J858" s="3">
        <v>123.5402</v>
      </c>
      <c r="K858" s="3">
        <v>106.52970000000001</v>
      </c>
      <c r="L858" s="3">
        <v>111</v>
      </c>
      <c r="M858" s="3">
        <v>106.1177</v>
      </c>
      <c r="N858" s="3">
        <v>103.2</v>
      </c>
      <c r="O858" s="3">
        <v>105.43</v>
      </c>
      <c r="P858" s="3">
        <v>103.7812</v>
      </c>
      <c r="Q858" s="3">
        <v>108.74509999999999</v>
      </c>
      <c r="S858" s="3">
        <v>103.14</v>
      </c>
      <c r="T858" s="3">
        <v>104.56</v>
      </c>
      <c r="U858" s="3">
        <v>113.6631</v>
      </c>
      <c r="V858" s="3">
        <v>106.7247</v>
      </c>
      <c r="W858" s="3">
        <v>108.6</v>
      </c>
      <c r="X858" s="3">
        <v>101.0155</v>
      </c>
      <c r="Y858" s="3">
        <v>111.621</v>
      </c>
      <c r="Z858" s="3">
        <v>116.3411</v>
      </c>
      <c r="AA858" s="3">
        <v>125.8527</v>
      </c>
      <c r="AD858" s="3">
        <v>100.9045</v>
      </c>
      <c r="AE858" s="3">
        <v>103</v>
      </c>
      <c r="AF858" s="3">
        <v>101.9</v>
      </c>
      <c r="AG858" s="3">
        <v>104.95</v>
      </c>
      <c r="AI858" s="3">
        <v>105.98</v>
      </c>
      <c r="AJ858" s="3">
        <v>109.1467</v>
      </c>
      <c r="AK858" s="3">
        <v>120.6497</v>
      </c>
      <c r="AL858" s="3">
        <v>107.34</v>
      </c>
      <c r="AM858" s="3">
        <v>111.7</v>
      </c>
      <c r="AN858" s="3">
        <v>109.2483</v>
      </c>
      <c r="AO858" s="3">
        <v>110.8917</v>
      </c>
      <c r="AP858" s="3">
        <v>108.99469999999999</v>
      </c>
      <c r="AQ858" s="3">
        <v>103.8719</v>
      </c>
      <c r="AS858" s="3">
        <v>102.3635</v>
      </c>
      <c r="AT858" s="3">
        <v>107.9786</v>
      </c>
      <c r="AU858" s="3">
        <v>103.36</v>
      </c>
      <c r="AV858" s="3">
        <v>106.24039999999999</v>
      </c>
      <c r="AW858" s="3">
        <v>174.38839999999999</v>
      </c>
      <c r="AX858" s="3">
        <v>108.1733</v>
      </c>
    </row>
    <row r="859" spans="1:51" x14ac:dyDescent="0.2">
      <c r="A859" s="3" t="s">
        <v>1419</v>
      </c>
      <c r="B859" s="49">
        <v>43952</v>
      </c>
      <c r="D859" s="3">
        <v>108.471</v>
      </c>
      <c r="G859" s="3">
        <v>100.7222</v>
      </c>
      <c r="H859" s="3">
        <v>114.35939999999999</v>
      </c>
      <c r="N859" s="3">
        <v>103.1</v>
      </c>
      <c r="Q859" s="3">
        <v>108.0273</v>
      </c>
      <c r="X859" s="3">
        <v>100.19450000000001</v>
      </c>
      <c r="Y859" s="3">
        <v>112.1392</v>
      </c>
      <c r="AG859" s="3">
        <v>104.71</v>
      </c>
      <c r="AI859" s="3">
        <v>105.82</v>
      </c>
      <c r="AJ859" s="3">
        <v>108.7079</v>
      </c>
      <c r="AK859" s="3">
        <v>121.11409999999999</v>
      </c>
      <c r="AL859" s="3">
        <v>107.18</v>
      </c>
      <c r="AM859" s="3">
        <v>111.9</v>
      </c>
      <c r="AV859" s="3">
        <v>106.8819</v>
      </c>
      <c r="AW859" s="3">
        <v>176.7638</v>
      </c>
      <c r="AX859" s="3">
        <v>108.1754</v>
      </c>
    </row>
  </sheetData>
  <phoneticPr fontId="7"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AC8F7D-B493-40C1-8D76-A76CD51D5945}">
  <sheetPr codeName="Sheet7">
    <tabColor theme="1" tint="0.499984740745262"/>
  </sheetPr>
  <dimension ref="A1:AY859"/>
  <sheetViews>
    <sheetView workbookViewId="0">
      <pane xSplit="2" ySplit="1" topLeftCell="C657" activePane="bottomRight" state="frozen"/>
      <selection pane="topRight" activeCell="H1" sqref="H1"/>
      <selection pane="bottomLeft" activeCell="A2" sqref="A2"/>
      <selection pane="bottomRight" activeCell="F868" sqref="F868"/>
    </sheetView>
  </sheetViews>
  <sheetFormatPr baseColWidth="10" defaultColWidth="9.1640625" defaultRowHeight="15" x14ac:dyDescent="0.2"/>
  <cols>
    <col min="1" max="1" width="9.1640625" style="3"/>
    <col min="2" max="2" width="11.1640625" style="3" customWidth="1"/>
    <col min="3" max="5" width="9.1640625" style="3"/>
    <col min="6" max="6" width="10.6640625" style="3" bestFit="1" customWidth="1"/>
    <col min="7" max="16384" width="9.1640625" style="3"/>
  </cols>
  <sheetData>
    <row r="1" spans="1:51" x14ac:dyDescent="0.2">
      <c r="B1" s="3" t="s">
        <v>3</v>
      </c>
      <c r="C1" s="3" t="s">
        <v>7</v>
      </c>
      <c r="D1" s="3" t="s">
        <v>730</v>
      </c>
      <c r="E1" s="3" t="s">
        <v>854</v>
      </c>
      <c r="F1" s="3" t="s">
        <v>768</v>
      </c>
      <c r="G1" s="3" t="s">
        <v>850</v>
      </c>
      <c r="H1" s="3" t="s">
        <v>855</v>
      </c>
      <c r="I1" s="3" t="s">
        <v>856</v>
      </c>
      <c r="J1" s="3" t="s">
        <v>867</v>
      </c>
      <c r="K1" s="3" t="s">
        <v>873</v>
      </c>
      <c r="L1" s="3" t="s">
        <v>829</v>
      </c>
      <c r="M1" s="3" t="s">
        <v>833</v>
      </c>
      <c r="N1" s="3" t="s">
        <v>830</v>
      </c>
      <c r="O1" s="3" t="s">
        <v>871</v>
      </c>
      <c r="P1" s="3" t="s">
        <v>848</v>
      </c>
      <c r="Q1" s="3" t="s">
        <v>857</v>
      </c>
      <c r="R1" s="3" t="s">
        <v>870</v>
      </c>
      <c r="S1" s="3" t="s">
        <v>831</v>
      </c>
      <c r="T1" s="3" t="s">
        <v>832</v>
      </c>
      <c r="U1" s="3" t="s">
        <v>874</v>
      </c>
      <c r="V1" s="3" t="s">
        <v>865</v>
      </c>
      <c r="W1" s="3" t="s">
        <v>852</v>
      </c>
      <c r="X1" s="3" t="s">
        <v>834</v>
      </c>
      <c r="Y1" s="3" t="s">
        <v>835</v>
      </c>
      <c r="Z1" s="3" t="s">
        <v>859</v>
      </c>
      <c r="AA1" s="3" t="s">
        <v>858</v>
      </c>
      <c r="AB1" s="3" t="s">
        <v>837</v>
      </c>
      <c r="AC1" s="3" t="s">
        <v>836</v>
      </c>
      <c r="AD1" s="3" t="s">
        <v>860</v>
      </c>
      <c r="AE1" s="3" t="s">
        <v>838</v>
      </c>
      <c r="AF1" s="3" t="s">
        <v>839</v>
      </c>
      <c r="AG1" s="3" t="s">
        <v>840</v>
      </c>
      <c r="AH1" s="3" t="s">
        <v>872</v>
      </c>
      <c r="AI1" s="3" t="s">
        <v>841</v>
      </c>
      <c r="AJ1" s="3" t="s">
        <v>868</v>
      </c>
      <c r="AK1" s="3" t="s">
        <v>842</v>
      </c>
      <c r="AL1" s="3" t="s">
        <v>843</v>
      </c>
      <c r="AM1" s="3" t="s">
        <v>844</v>
      </c>
      <c r="AN1" s="3" t="s">
        <v>864</v>
      </c>
      <c r="AO1" s="3" t="s">
        <v>866</v>
      </c>
      <c r="AP1" s="3" t="s">
        <v>845</v>
      </c>
      <c r="AQ1" s="3" t="s">
        <v>846</v>
      </c>
      <c r="AR1" s="3" t="s">
        <v>861</v>
      </c>
      <c r="AS1" s="3" t="s">
        <v>869</v>
      </c>
      <c r="AT1" s="3" t="s">
        <v>847</v>
      </c>
      <c r="AU1" s="3" t="s">
        <v>862</v>
      </c>
      <c r="AV1" s="3" t="s">
        <v>849</v>
      </c>
      <c r="AW1" s="3" t="s">
        <v>851</v>
      </c>
      <c r="AX1" s="3" t="s">
        <v>853</v>
      </c>
      <c r="AY1" s="3" t="s">
        <v>863</v>
      </c>
    </row>
    <row r="3" spans="1:51" x14ac:dyDescent="0.2">
      <c r="A3" s="3" t="s">
        <v>876</v>
      </c>
      <c r="B3" s="49">
        <v>17899</v>
      </c>
    </row>
    <row r="4" spans="1:51" x14ac:dyDescent="0.2">
      <c r="A4" s="3" t="s">
        <v>877</v>
      </c>
      <c r="B4" s="49">
        <v>17930</v>
      </c>
    </row>
    <row r="5" spans="1:51" x14ac:dyDescent="0.2">
      <c r="A5" s="3" t="s">
        <v>878</v>
      </c>
      <c r="B5" s="49">
        <v>17958</v>
      </c>
    </row>
    <row r="6" spans="1:51" x14ac:dyDescent="0.2">
      <c r="A6" s="3" t="s">
        <v>879</v>
      </c>
      <c r="B6" s="49">
        <v>17989</v>
      </c>
    </row>
    <row r="7" spans="1:51" x14ac:dyDescent="0.2">
      <c r="A7" s="3" t="s">
        <v>880</v>
      </c>
      <c r="B7" s="49">
        <v>18019</v>
      </c>
    </row>
    <row r="8" spans="1:51" x14ac:dyDescent="0.2">
      <c r="A8" s="3" t="s">
        <v>881</v>
      </c>
      <c r="B8" s="49">
        <v>18050</v>
      </c>
    </row>
    <row r="9" spans="1:51" x14ac:dyDescent="0.2">
      <c r="A9" s="3" t="s">
        <v>882</v>
      </c>
      <c r="B9" s="49">
        <v>18080</v>
      </c>
    </row>
    <row r="10" spans="1:51" x14ac:dyDescent="0.2">
      <c r="A10" s="3" t="s">
        <v>883</v>
      </c>
      <c r="B10" s="49">
        <v>18111</v>
      </c>
    </row>
    <row r="11" spans="1:51" x14ac:dyDescent="0.2">
      <c r="A11" s="3" t="s">
        <v>884</v>
      </c>
      <c r="B11" s="49">
        <v>18142</v>
      </c>
    </row>
    <row r="12" spans="1:51" x14ac:dyDescent="0.2">
      <c r="A12" s="3" t="s">
        <v>885</v>
      </c>
      <c r="B12" s="49">
        <v>18172</v>
      </c>
    </row>
    <row r="13" spans="1:51" x14ac:dyDescent="0.2">
      <c r="A13" s="3" t="s">
        <v>886</v>
      </c>
      <c r="B13" s="49">
        <v>18203</v>
      </c>
    </row>
    <row r="14" spans="1:51" x14ac:dyDescent="0.2">
      <c r="A14" s="3" t="s">
        <v>887</v>
      </c>
      <c r="B14" s="49">
        <v>18233</v>
      </c>
    </row>
    <row r="15" spans="1:51" x14ac:dyDescent="0.2">
      <c r="A15" s="3" t="s">
        <v>769</v>
      </c>
      <c r="B15" s="49">
        <v>18264</v>
      </c>
    </row>
    <row r="16" spans="1:51" x14ac:dyDescent="0.2">
      <c r="A16" s="3" t="s">
        <v>770</v>
      </c>
      <c r="B16" s="49">
        <v>18295</v>
      </c>
    </row>
    <row r="17" spans="1:2" x14ac:dyDescent="0.2">
      <c r="A17" s="3" t="s">
        <v>771</v>
      </c>
      <c r="B17" s="49">
        <v>18323</v>
      </c>
    </row>
    <row r="18" spans="1:2" x14ac:dyDescent="0.2">
      <c r="A18" s="3" t="s">
        <v>772</v>
      </c>
      <c r="B18" s="49">
        <v>18354</v>
      </c>
    </row>
    <row r="19" spans="1:2" x14ac:dyDescent="0.2">
      <c r="A19" s="3" t="s">
        <v>773</v>
      </c>
      <c r="B19" s="49">
        <v>18384</v>
      </c>
    </row>
    <row r="20" spans="1:2" x14ac:dyDescent="0.2">
      <c r="A20" s="3" t="s">
        <v>774</v>
      </c>
      <c r="B20" s="49">
        <v>18415</v>
      </c>
    </row>
    <row r="21" spans="1:2" x14ac:dyDescent="0.2">
      <c r="A21" s="3" t="s">
        <v>775</v>
      </c>
      <c r="B21" s="49">
        <v>18445</v>
      </c>
    </row>
    <row r="22" spans="1:2" x14ac:dyDescent="0.2">
      <c r="A22" s="3" t="s">
        <v>776</v>
      </c>
      <c r="B22" s="49">
        <v>18476</v>
      </c>
    </row>
    <row r="23" spans="1:2" x14ac:dyDescent="0.2">
      <c r="A23" s="3" t="s">
        <v>777</v>
      </c>
      <c r="B23" s="49">
        <v>18507</v>
      </c>
    </row>
    <row r="24" spans="1:2" x14ac:dyDescent="0.2">
      <c r="A24" s="3" t="s">
        <v>778</v>
      </c>
      <c r="B24" s="49">
        <v>18537</v>
      </c>
    </row>
    <row r="25" spans="1:2" x14ac:dyDescent="0.2">
      <c r="A25" s="3" t="s">
        <v>779</v>
      </c>
      <c r="B25" s="49">
        <v>18568</v>
      </c>
    </row>
    <row r="26" spans="1:2" x14ac:dyDescent="0.2">
      <c r="A26" s="3" t="s">
        <v>780</v>
      </c>
      <c r="B26" s="49">
        <v>18598</v>
      </c>
    </row>
    <row r="27" spans="1:2" x14ac:dyDescent="0.2">
      <c r="A27" s="3" t="s">
        <v>781</v>
      </c>
      <c r="B27" s="49">
        <v>18629</v>
      </c>
    </row>
    <row r="28" spans="1:2" x14ac:dyDescent="0.2">
      <c r="A28" s="3" t="s">
        <v>782</v>
      </c>
      <c r="B28" s="49">
        <v>18660</v>
      </c>
    </row>
    <row r="29" spans="1:2" x14ac:dyDescent="0.2">
      <c r="A29" s="3" t="s">
        <v>783</v>
      </c>
      <c r="B29" s="49">
        <v>18688</v>
      </c>
    </row>
    <row r="30" spans="1:2" x14ac:dyDescent="0.2">
      <c r="A30" s="3" t="s">
        <v>784</v>
      </c>
      <c r="B30" s="49">
        <v>18719</v>
      </c>
    </row>
    <row r="31" spans="1:2" x14ac:dyDescent="0.2">
      <c r="A31" s="3" t="s">
        <v>785</v>
      </c>
      <c r="B31" s="49">
        <v>18749</v>
      </c>
    </row>
    <row r="32" spans="1:2" x14ac:dyDescent="0.2">
      <c r="A32" s="3" t="s">
        <v>786</v>
      </c>
      <c r="B32" s="49">
        <v>18780</v>
      </c>
    </row>
    <row r="33" spans="1:2" x14ac:dyDescent="0.2">
      <c r="A33" s="3" t="s">
        <v>787</v>
      </c>
      <c r="B33" s="49">
        <v>18810</v>
      </c>
    </row>
    <row r="34" spans="1:2" x14ac:dyDescent="0.2">
      <c r="A34" s="3" t="s">
        <v>788</v>
      </c>
      <c r="B34" s="49">
        <v>18841</v>
      </c>
    </row>
    <row r="35" spans="1:2" x14ac:dyDescent="0.2">
      <c r="A35" s="3" t="s">
        <v>789</v>
      </c>
      <c r="B35" s="49">
        <v>18872</v>
      </c>
    </row>
    <row r="36" spans="1:2" x14ac:dyDescent="0.2">
      <c r="A36" s="3" t="s">
        <v>790</v>
      </c>
      <c r="B36" s="49">
        <v>18902</v>
      </c>
    </row>
    <row r="37" spans="1:2" x14ac:dyDescent="0.2">
      <c r="A37" s="3" t="s">
        <v>791</v>
      </c>
      <c r="B37" s="49">
        <v>18933</v>
      </c>
    </row>
    <row r="38" spans="1:2" x14ac:dyDescent="0.2">
      <c r="A38" s="3" t="s">
        <v>792</v>
      </c>
      <c r="B38" s="49">
        <v>18963</v>
      </c>
    </row>
    <row r="39" spans="1:2" x14ac:dyDescent="0.2">
      <c r="A39" s="3" t="s">
        <v>793</v>
      </c>
      <c r="B39" s="49">
        <v>18994</v>
      </c>
    </row>
    <row r="40" spans="1:2" x14ac:dyDescent="0.2">
      <c r="A40" s="3" t="s">
        <v>794</v>
      </c>
      <c r="B40" s="49">
        <v>19025</v>
      </c>
    </row>
    <row r="41" spans="1:2" x14ac:dyDescent="0.2">
      <c r="A41" s="3" t="s">
        <v>795</v>
      </c>
      <c r="B41" s="49">
        <v>19054</v>
      </c>
    </row>
    <row r="42" spans="1:2" x14ac:dyDescent="0.2">
      <c r="A42" s="3" t="s">
        <v>796</v>
      </c>
      <c r="B42" s="49">
        <v>19085</v>
      </c>
    </row>
    <row r="43" spans="1:2" x14ac:dyDescent="0.2">
      <c r="A43" s="3" t="s">
        <v>797</v>
      </c>
      <c r="B43" s="49">
        <v>19115</v>
      </c>
    </row>
    <row r="44" spans="1:2" x14ac:dyDescent="0.2">
      <c r="A44" s="3" t="s">
        <v>798</v>
      </c>
      <c r="B44" s="49">
        <v>19146</v>
      </c>
    </row>
    <row r="45" spans="1:2" x14ac:dyDescent="0.2">
      <c r="A45" s="3" t="s">
        <v>799</v>
      </c>
      <c r="B45" s="49">
        <v>19176</v>
      </c>
    </row>
    <row r="46" spans="1:2" x14ac:dyDescent="0.2">
      <c r="A46" s="3" t="s">
        <v>800</v>
      </c>
      <c r="B46" s="49">
        <v>19207</v>
      </c>
    </row>
    <row r="47" spans="1:2" x14ac:dyDescent="0.2">
      <c r="A47" s="3" t="s">
        <v>801</v>
      </c>
      <c r="B47" s="49">
        <v>19238</v>
      </c>
    </row>
    <row r="48" spans="1:2" x14ac:dyDescent="0.2">
      <c r="A48" s="3" t="s">
        <v>802</v>
      </c>
      <c r="B48" s="49">
        <v>19268</v>
      </c>
    </row>
    <row r="49" spans="1:2" x14ac:dyDescent="0.2">
      <c r="A49" s="3" t="s">
        <v>803</v>
      </c>
      <c r="B49" s="49">
        <v>19299</v>
      </c>
    </row>
    <row r="50" spans="1:2" x14ac:dyDescent="0.2">
      <c r="A50" s="3" t="s">
        <v>804</v>
      </c>
      <c r="B50" s="49">
        <v>19329</v>
      </c>
    </row>
    <row r="51" spans="1:2" x14ac:dyDescent="0.2">
      <c r="A51" s="3" t="s">
        <v>805</v>
      </c>
      <c r="B51" s="49">
        <v>19360</v>
      </c>
    </row>
    <row r="52" spans="1:2" x14ac:dyDescent="0.2">
      <c r="A52" s="3" t="s">
        <v>806</v>
      </c>
      <c r="B52" s="49">
        <v>19391</v>
      </c>
    </row>
    <row r="53" spans="1:2" x14ac:dyDescent="0.2">
      <c r="A53" s="3" t="s">
        <v>807</v>
      </c>
      <c r="B53" s="49">
        <v>19419</v>
      </c>
    </row>
    <row r="54" spans="1:2" x14ac:dyDescent="0.2">
      <c r="A54" s="3" t="s">
        <v>808</v>
      </c>
      <c r="B54" s="49">
        <v>19450</v>
      </c>
    </row>
    <row r="55" spans="1:2" x14ac:dyDescent="0.2">
      <c r="A55" s="3" t="s">
        <v>809</v>
      </c>
      <c r="B55" s="49">
        <v>19480</v>
      </c>
    </row>
    <row r="56" spans="1:2" x14ac:dyDescent="0.2">
      <c r="A56" s="3" t="s">
        <v>810</v>
      </c>
      <c r="B56" s="49">
        <v>19511</v>
      </c>
    </row>
    <row r="57" spans="1:2" x14ac:dyDescent="0.2">
      <c r="A57" s="3" t="s">
        <v>811</v>
      </c>
      <c r="B57" s="49">
        <v>19541</v>
      </c>
    </row>
    <row r="58" spans="1:2" x14ac:dyDescent="0.2">
      <c r="A58" s="3" t="s">
        <v>812</v>
      </c>
      <c r="B58" s="49">
        <v>19572</v>
      </c>
    </row>
    <row r="59" spans="1:2" x14ac:dyDescent="0.2">
      <c r="A59" s="3" t="s">
        <v>813</v>
      </c>
      <c r="B59" s="49">
        <v>19603</v>
      </c>
    </row>
    <row r="60" spans="1:2" x14ac:dyDescent="0.2">
      <c r="A60" s="3" t="s">
        <v>814</v>
      </c>
      <c r="B60" s="49">
        <v>19633</v>
      </c>
    </row>
    <row r="61" spans="1:2" x14ac:dyDescent="0.2">
      <c r="A61" s="3" t="s">
        <v>815</v>
      </c>
      <c r="B61" s="49">
        <v>19664</v>
      </c>
    </row>
    <row r="62" spans="1:2" x14ac:dyDescent="0.2">
      <c r="A62" s="3" t="s">
        <v>816</v>
      </c>
      <c r="B62" s="49">
        <v>19694</v>
      </c>
    </row>
    <row r="63" spans="1:2" x14ac:dyDescent="0.2">
      <c r="A63" s="3" t="s">
        <v>817</v>
      </c>
      <c r="B63" s="49">
        <v>19725</v>
      </c>
    </row>
    <row r="64" spans="1:2" x14ac:dyDescent="0.2">
      <c r="A64" s="3" t="s">
        <v>818</v>
      </c>
      <c r="B64" s="49">
        <v>19756</v>
      </c>
    </row>
    <row r="65" spans="1:32" x14ac:dyDescent="0.2">
      <c r="A65" s="3" t="s">
        <v>819</v>
      </c>
      <c r="B65" s="49">
        <v>19784</v>
      </c>
    </row>
    <row r="66" spans="1:32" x14ac:dyDescent="0.2">
      <c r="A66" s="3" t="s">
        <v>820</v>
      </c>
      <c r="B66" s="49">
        <v>19815</v>
      </c>
    </row>
    <row r="67" spans="1:32" x14ac:dyDescent="0.2">
      <c r="A67" s="3" t="s">
        <v>821</v>
      </c>
      <c r="B67" s="49">
        <v>19845</v>
      </c>
    </row>
    <row r="68" spans="1:32" x14ac:dyDescent="0.2">
      <c r="A68" s="3" t="s">
        <v>822</v>
      </c>
      <c r="B68" s="49">
        <v>19876</v>
      </c>
    </row>
    <row r="69" spans="1:32" x14ac:dyDescent="0.2">
      <c r="A69" s="3" t="s">
        <v>823</v>
      </c>
      <c r="B69" s="49">
        <v>19906</v>
      </c>
    </row>
    <row r="70" spans="1:32" x14ac:dyDescent="0.2">
      <c r="A70" s="3" t="s">
        <v>824</v>
      </c>
      <c r="B70" s="49">
        <v>19937</v>
      </c>
    </row>
    <row r="71" spans="1:32" x14ac:dyDescent="0.2">
      <c r="A71" s="3" t="s">
        <v>825</v>
      </c>
      <c r="B71" s="49">
        <v>19968</v>
      </c>
    </row>
    <row r="72" spans="1:32" x14ac:dyDescent="0.2">
      <c r="A72" s="3" t="s">
        <v>826</v>
      </c>
      <c r="B72" s="49">
        <v>19998</v>
      </c>
    </row>
    <row r="73" spans="1:32" x14ac:dyDescent="0.2">
      <c r="A73" s="3" t="s">
        <v>827</v>
      </c>
      <c r="B73" s="49">
        <v>20029</v>
      </c>
    </row>
    <row r="74" spans="1:32" x14ac:dyDescent="0.2">
      <c r="A74" s="3" t="s">
        <v>828</v>
      </c>
      <c r="B74" s="49">
        <v>20059</v>
      </c>
      <c r="G74" s="3" t="s">
        <v>6</v>
      </c>
    </row>
    <row r="75" spans="1:32" x14ac:dyDescent="0.2">
      <c r="A75" s="3" t="s">
        <v>731</v>
      </c>
      <c r="B75" s="49">
        <v>20090</v>
      </c>
      <c r="G75" s="3">
        <v>22.092690000000001</v>
      </c>
      <c r="S75" s="3">
        <v>5.4219030000000004</v>
      </c>
      <c r="AF75" s="3">
        <v>16.657170000000001</v>
      </c>
    </row>
    <row r="76" spans="1:32" x14ac:dyDescent="0.2">
      <c r="A76" s="3" t="s">
        <v>732</v>
      </c>
      <c r="B76" s="49">
        <v>20121</v>
      </c>
      <c r="G76" s="3">
        <v>22.030729999999998</v>
      </c>
      <c r="S76" s="3">
        <v>5.4219030000000004</v>
      </c>
      <c r="AF76" s="3">
        <v>16.643280000000001</v>
      </c>
    </row>
    <row r="77" spans="1:32" x14ac:dyDescent="0.2">
      <c r="A77" s="3" t="s">
        <v>733</v>
      </c>
      <c r="B77" s="49">
        <v>20149</v>
      </c>
      <c r="G77" s="3">
        <v>22.011299999999999</v>
      </c>
      <c r="S77" s="3">
        <v>5.4105480000000004</v>
      </c>
      <c r="AF77" s="3">
        <v>16.584129999999998</v>
      </c>
    </row>
    <row r="78" spans="1:32" x14ac:dyDescent="0.2">
      <c r="A78" s="3" t="s">
        <v>734</v>
      </c>
      <c r="B78" s="49">
        <v>20180</v>
      </c>
      <c r="G78" s="3">
        <v>22.021820000000002</v>
      </c>
      <c r="S78" s="3">
        <v>5.4707350000000003</v>
      </c>
      <c r="AF78" s="3">
        <v>16.72052</v>
      </c>
    </row>
    <row r="79" spans="1:32" x14ac:dyDescent="0.2">
      <c r="A79" s="3" t="s">
        <v>735</v>
      </c>
      <c r="B79" s="49">
        <v>20210</v>
      </c>
      <c r="G79" s="3">
        <v>22.123010000000001</v>
      </c>
      <c r="S79" s="3">
        <v>5.4571249999999996</v>
      </c>
      <c r="AF79" s="3">
        <v>16.613890000000001</v>
      </c>
    </row>
    <row r="80" spans="1:32" x14ac:dyDescent="0.2">
      <c r="A80" s="3" t="s">
        <v>736</v>
      </c>
      <c r="B80" s="49">
        <v>20241</v>
      </c>
      <c r="G80" s="3">
        <v>22.117640000000002</v>
      </c>
      <c r="S80" s="3">
        <v>5.4628439999999996</v>
      </c>
      <c r="AF80" s="3">
        <v>16.627759999999999</v>
      </c>
    </row>
    <row r="81" spans="1:32" x14ac:dyDescent="0.2">
      <c r="A81" s="3" t="s">
        <v>737</v>
      </c>
      <c r="B81" s="49">
        <v>20271</v>
      </c>
      <c r="G81" s="3">
        <v>22.122789999999998</v>
      </c>
      <c r="S81" s="3">
        <v>5.4572089999999998</v>
      </c>
      <c r="AF81" s="3">
        <v>16.591059999999999</v>
      </c>
    </row>
    <row r="82" spans="1:32" x14ac:dyDescent="0.2">
      <c r="A82" s="3" t="s">
        <v>738</v>
      </c>
      <c r="B82" s="49">
        <v>20302</v>
      </c>
      <c r="G82" s="3">
        <v>22.16647</v>
      </c>
      <c r="S82" s="3">
        <v>5.5117589999999996</v>
      </c>
      <c r="AF82" s="3">
        <v>16.672129999999999</v>
      </c>
    </row>
    <row r="83" spans="1:32" x14ac:dyDescent="0.2">
      <c r="A83" s="3" t="s">
        <v>739</v>
      </c>
      <c r="B83" s="49">
        <v>20333</v>
      </c>
      <c r="G83" s="3">
        <v>22.18939</v>
      </c>
      <c r="S83" s="3">
        <v>5.5061239999999998</v>
      </c>
      <c r="AF83" s="3">
        <v>16.739159999999998</v>
      </c>
    </row>
    <row r="84" spans="1:32" x14ac:dyDescent="0.2">
      <c r="A84" s="3" t="s">
        <v>740</v>
      </c>
      <c r="B84" s="49">
        <v>20363</v>
      </c>
      <c r="G84" s="3">
        <v>22.220960000000002</v>
      </c>
      <c r="S84" s="3">
        <v>5.5725930000000004</v>
      </c>
      <c r="AF84" s="3">
        <v>16.820419999999999</v>
      </c>
    </row>
    <row r="85" spans="1:32" x14ac:dyDescent="0.2">
      <c r="A85" s="3" t="s">
        <v>741</v>
      </c>
      <c r="B85" s="49">
        <v>20394</v>
      </c>
      <c r="G85" s="3">
        <v>22.23929</v>
      </c>
      <c r="S85" s="3">
        <v>5.5539110000000003</v>
      </c>
      <c r="AF85" s="3">
        <v>16.455210000000001</v>
      </c>
    </row>
    <row r="86" spans="1:32" x14ac:dyDescent="0.2">
      <c r="A86" s="3" t="s">
        <v>742</v>
      </c>
      <c r="B86" s="49">
        <v>20424</v>
      </c>
      <c r="G86" s="3">
        <v>22.234470000000002</v>
      </c>
      <c r="S86" s="3">
        <v>5.5516569999999996</v>
      </c>
      <c r="AF86" s="3">
        <v>16.382899999999999</v>
      </c>
    </row>
    <row r="87" spans="1:32" x14ac:dyDescent="0.2">
      <c r="A87" s="3" t="s">
        <v>743</v>
      </c>
      <c r="B87" s="49">
        <v>20455</v>
      </c>
      <c r="G87" s="3">
        <v>22.13212</v>
      </c>
      <c r="S87" s="3">
        <v>5.7301289999999998</v>
      </c>
      <c r="AF87" s="3">
        <v>16.47495</v>
      </c>
    </row>
    <row r="88" spans="1:32" x14ac:dyDescent="0.2">
      <c r="A88" s="3" t="s">
        <v>744</v>
      </c>
      <c r="B88" s="49">
        <v>20486</v>
      </c>
      <c r="G88" s="3">
        <v>22.186540000000001</v>
      </c>
      <c r="S88" s="3">
        <v>5.8585060000000002</v>
      </c>
      <c r="AF88" s="3">
        <v>16.572990000000001</v>
      </c>
    </row>
    <row r="89" spans="1:32" x14ac:dyDescent="0.2">
      <c r="A89" s="3" t="s">
        <v>745</v>
      </c>
      <c r="B89" s="49">
        <v>20515</v>
      </c>
      <c r="G89" s="3">
        <v>22.229949999999999</v>
      </c>
      <c r="S89" s="3">
        <v>5.9158749999999998</v>
      </c>
      <c r="AF89" s="3">
        <v>16.628520000000002</v>
      </c>
    </row>
    <row r="90" spans="1:32" x14ac:dyDescent="0.2">
      <c r="A90" s="3" t="s">
        <v>746</v>
      </c>
      <c r="B90" s="49">
        <v>20546</v>
      </c>
      <c r="G90" s="3">
        <v>22.200579999999999</v>
      </c>
      <c r="S90" s="3">
        <v>5.9136199999999999</v>
      </c>
      <c r="AF90" s="3">
        <v>16.700489999999999</v>
      </c>
    </row>
    <row r="91" spans="1:32" x14ac:dyDescent="0.2">
      <c r="A91" s="3" t="s">
        <v>747</v>
      </c>
      <c r="B91" s="49">
        <v>20576</v>
      </c>
      <c r="G91" s="3">
        <v>22.4087</v>
      </c>
      <c r="S91" s="3">
        <v>6.0192579999999998</v>
      </c>
      <c r="AF91" s="3">
        <v>16.650089999999999</v>
      </c>
    </row>
    <row r="92" spans="1:32" x14ac:dyDescent="0.2">
      <c r="A92" s="3" t="s">
        <v>748</v>
      </c>
      <c r="B92" s="49">
        <v>20607</v>
      </c>
      <c r="G92" s="3">
        <v>22.448550000000001</v>
      </c>
      <c r="S92" s="3">
        <v>6.0136209999999997</v>
      </c>
      <c r="AF92" s="3">
        <v>16.935210000000001</v>
      </c>
    </row>
    <row r="93" spans="1:32" x14ac:dyDescent="0.2">
      <c r="A93" s="3" t="s">
        <v>749</v>
      </c>
      <c r="B93" s="49">
        <v>20637</v>
      </c>
      <c r="G93" s="3">
        <v>22.467980000000001</v>
      </c>
      <c r="S93" s="3">
        <v>6.0845989999999999</v>
      </c>
      <c r="AF93" s="3">
        <v>16.675000000000001</v>
      </c>
    </row>
    <row r="94" spans="1:32" x14ac:dyDescent="0.2">
      <c r="A94" s="3" t="s">
        <v>750</v>
      </c>
      <c r="B94" s="49">
        <v>20668</v>
      </c>
      <c r="G94" s="3">
        <v>22.542300000000001</v>
      </c>
      <c r="S94" s="3">
        <v>6.140841</v>
      </c>
      <c r="AF94" s="3">
        <v>16.747669999999999</v>
      </c>
    </row>
    <row r="95" spans="1:32" x14ac:dyDescent="0.2">
      <c r="A95" s="3" t="s">
        <v>751</v>
      </c>
      <c r="B95" s="49">
        <v>20699</v>
      </c>
      <c r="G95" s="3">
        <v>22.566880000000001</v>
      </c>
      <c r="S95" s="3">
        <v>6.1829099999999997</v>
      </c>
      <c r="AF95" s="3">
        <v>16.9011</v>
      </c>
    </row>
    <row r="96" spans="1:32" x14ac:dyDescent="0.2">
      <c r="A96" s="3" t="s">
        <v>752</v>
      </c>
      <c r="B96" s="49">
        <v>20729</v>
      </c>
      <c r="G96" s="3">
        <v>22.587890000000002</v>
      </c>
      <c r="S96" s="3">
        <v>6.1948290000000004</v>
      </c>
      <c r="AF96" s="3">
        <v>16.929950000000002</v>
      </c>
    </row>
    <row r="97" spans="1:50" x14ac:dyDescent="0.2">
      <c r="A97" s="3" t="s">
        <v>753</v>
      </c>
      <c r="B97" s="49">
        <v>20760</v>
      </c>
      <c r="G97" s="3">
        <v>22.626090000000001</v>
      </c>
      <c r="S97" s="3">
        <v>6.4356059999999999</v>
      </c>
      <c r="AF97" s="3">
        <v>16.65128</v>
      </c>
    </row>
    <row r="98" spans="1:50" x14ac:dyDescent="0.2">
      <c r="A98" s="3" t="s">
        <v>754</v>
      </c>
      <c r="B98" s="49">
        <v>20790</v>
      </c>
      <c r="G98" s="3">
        <v>22.633330000000001</v>
      </c>
      <c r="S98" s="3">
        <v>6.4356059999999999</v>
      </c>
      <c r="AF98" s="3">
        <v>16.763960000000001</v>
      </c>
    </row>
    <row r="99" spans="1:50" x14ac:dyDescent="0.2">
      <c r="A99" s="3" t="s">
        <v>755</v>
      </c>
      <c r="B99" s="49">
        <v>20821</v>
      </c>
      <c r="G99" s="3">
        <v>22.62754</v>
      </c>
      <c r="S99" s="3">
        <v>6.5775620000000004</v>
      </c>
      <c r="AF99" s="3">
        <v>16.852180000000001</v>
      </c>
      <c r="AX99" s="3">
        <v>11.76488</v>
      </c>
    </row>
    <row r="100" spans="1:50" x14ac:dyDescent="0.2">
      <c r="A100" s="3" t="s">
        <v>756</v>
      </c>
      <c r="B100" s="49">
        <v>20852</v>
      </c>
      <c r="G100" s="3">
        <v>22.62557</v>
      </c>
      <c r="S100" s="3">
        <v>6.5781260000000001</v>
      </c>
      <c r="AF100" s="3">
        <v>16.785499999999999</v>
      </c>
      <c r="AX100" s="3">
        <v>11.76488</v>
      </c>
    </row>
    <row r="101" spans="1:50" x14ac:dyDescent="0.2">
      <c r="A101" s="3" t="s">
        <v>757</v>
      </c>
      <c r="B101" s="49">
        <v>20880</v>
      </c>
      <c r="G101" s="3">
        <v>22.57892</v>
      </c>
      <c r="S101" s="3">
        <v>6.5786899999999999</v>
      </c>
      <c r="AF101" s="3">
        <v>16.863119999999999</v>
      </c>
      <c r="AX101" s="3">
        <v>11.847440000000001</v>
      </c>
    </row>
    <row r="102" spans="1:50" x14ac:dyDescent="0.2">
      <c r="A102" s="3" t="s">
        <v>758</v>
      </c>
      <c r="B102" s="49">
        <v>20911</v>
      </c>
      <c r="G102" s="3">
        <v>22.667190000000002</v>
      </c>
      <c r="S102" s="3">
        <v>6.6371859999999998</v>
      </c>
      <c r="AF102" s="3">
        <v>17.01033</v>
      </c>
      <c r="AX102" s="3">
        <v>11.888719999999999</v>
      </c>
    </row>
    <row r="103" spans="1:50" x14ac:dyDescent="0.2">
      <c r="A103" s="3" t="s">
        <v>759</v>
      </c>
      <c r="B103" s="49">
        <v>20941</v>
      </c>
      <c r="G103" s="3">
        <v>22.81456</v>
      </c>
      <c r="S103" s="3">
        <v>6.7104179999999998</v>
      </c>
      <c r="AF103" s="3">
        <v>17.169029999999999</v>
      </c>
      <c r="AX103" s="3">
        <v>11.888719999999999</v>
      </c>
    </row>
    <row r="104" spans="1:50" x14ac:dyDescent="0.2">
      <c r="A104" s="3" t="s">
        <v>760</v>
      </c>
      <c r="B104" s="49">
        <v>20972</v>
      </c>
      <c r="G104" s="3">
        <v>22.821290000000001</v>
      </c>
      <c r="S104" s="3">
        <v>6.698499</v>
      </c>
      <c r="AF104" s="3">
        <v>17.09122</v>
      </c>
      <c r="AX104" s="3">
        <v>11.93</v>
      </c>
    </row>
    <row r="105" spans="1:50" x14ac:dyDescent="0.2">
      <c r="A105" s="3" t="s">
        <v>761</v>
      </c>
      <c r="B105" s="49">
        <v>21002</v>
      </c>
      <c r="G105" s="3">
        <v>22.873539999999998</v>
      </c>
      <c r="S105" s="3">
        <v>6.7950350000000004</v>
      </c>
      <c r="AF105" s="3">
        <v>17.242429999999999</v>
      </c>
      <c r="AX105" s="3">
        <v>11.93</v>
      </c>
    </row>
    <row r="106" spans="1:50" x14ac:dyDescent="0.2">
      <c r="A106" s="3" t="s">
        <v>762</v>
      </c>
      <c r="B106" s="49">
        <v>21033</v>
      </c>
      <c r="G106" s="3">
        <v>23.001180000000002</v>
      </c>
      <c r="S106" s="3">
        <v>6.8360599999999998</v>
      </c>
      <c r="AF106" s="3">
        <v>17.356929999999998</v>
      </c>
      <c r="AX106" s="3">
        <v>11.97128</v>
      </c>
    </row>
    <row r="107" spans="1:50" x14ac:dyDescent="0.2">
      <c r="A107" s="3" t="s">
        <v>763</v>
      </c>
      <c r="B107" s="49">
        <v>21064</v>
      </c>
      <c r="G107" s="3">
        <v>23.04054</v>
      </c>
      <c r="S107" s="3">
        <v>6.9041370000000004</v>
      </c>
      <c r="AF107" s="3">
        <v>17.251380000000001</v>
      </c>
      <c r="AX107" s="3">
        <v>12.012560000000001</v>
      </c>
    </row>
    <row r="108" spans="1:50" x14ac:dyDescent="0.2">
      <c r="A108" s="3" t="s">
        <v>764</v>
      </c>
      <c r="B108" s="49">
        <v>21094</v>
      </c>
      <c r="G108" s="3">
        <v>23.126169999999998</v>
      </c>
      <c r="S108" s="3">
        <v>6.9389620000000001</v>
      </c>
      <c r="AF108" s="3">
        <v>17.182179999999999</v>
      </c>
      <c r="AX108" s="3">
        <v>12.053839999999999</v>
      </c>
    </row>
    <row r="109" spans="1:50" x14ac:dyDescent="0.2">
      <c r="A109" s="3" t="s">
        <v>765</v>
      </c>
      <c r="B109" s="49">
        <v>21125</v>
      </c>
      <c r="G109" s="3">
        <v>23.17445</v>
      </c>
      <c r="S109" s="3">
        <v>6.9508809999999999</v>
      </c>
      <c r="AF109" s="3">
        <v>16.96763</v>
      </c>
      <c r="AX109" s="3">
        <v>12.1364</v>
      </c>
    </row>
    <row r="110" spans="1:50" x14ac:dyDescent="0.2">
      <c r="A110" s="3" t="s">
        <v>766</v>
      </c>
      <c r="B110" s="49">
        <v>21155</v>
      </c>
      <c r="G110" s="3">
        <v>23.175509999999999</v>
      </c>
      <c r="S110" s="3">
        <v>7.0229860000000004</v>
      </c>
      <c r="AF110" s="3">
        <v>16.939689999999999</v>
      </c>
      <c r="AX110" s="3">
        <v>12.1364</v>
      </c>
    </row>
    <row r="111" spans="1:50" x14ac:dyDescent="0.2">
      <c r="A111" s="3" t="s">
        <v>8</v>
      </c>
      <c r="B111" s="49">
        <v>21186</v>
      </c>
      <c r="G111" s="3">
        <v>23.131029999999999</v>
      </c>
      <c r="S111" s="3">
        <v>7.0833810000000001</v>
      </c>
      <c r="AF111" s="3">
        <v>17.03631</v>
      </c>
      <c r="AX111" s="3">
        <v>12.1364</v>
      </c>
    </row>
    <row r="112" spans="1:50" x14ac:dyDescent="0.2">
      <c r="A112" s="3" t="s">
        <v>9</v>
      </c>
      <c r="B112" s="49">
        <v>21217</v>
      </c>
      <c r="G112" s="3">
        <v>23.169720000000002</v>
      </c>
      <c r="S112" s="3">
        <v>7.0775249999999996</v>
      </c>
      <c r="AF112" s="3">
        <v>16.879950000000001</v>
      </c>
      <c r="AX112" s="3">
        <v>12.1364</v>
      </c>
    </row>
    <row r="113" spans="1:50" x14ac:dyDescent="0.2">
      <c r="A113" s="3" t="s">
        <v>10</v>
      </c>
      <c r="B113" s="49">
        <v>21245</v>
      </c>
      <c r="G113" s="3">
        <v>23.169160000000002</v>
      </c>
      <c r="S113" s="3">
        <v>7.0613159999999997</v>
      </c>
      <c r="AF113" s="3">
        <v>16.837579999999999</v>
      </c>
      <c r="AX113" s="3">
        <v>12.177680000000001</v>
      </c>
    </row>
    <row r="114" spans="1:50" x14ac:dyDescent="0.2">
      <c r="A114" s="3" t="s">
        <v>11</v>
      </c>
      <c r="B114" s="49">
        <v>21276</v>
      </c>
      <c r="G114" s="3">
        <v>23.191230000000001</v>
      </c>
      <c r="S114" s="3">
        <v>7.1259449999999998</v>
      </c>
      <c r="AF114" s="3">
        <v>16.954360000000001</v>
      </c>
      <c r="AX114" s="3">
        <v>12.177680000000001</v>
      </c>
    </row>
    <row r="115" spans="1:50" x14ac:dyDescent="0.2">
      <c r="A115" s="3" t="s">
        <v>12</v>
      </c>
      <c r="B115" s="49">
        <v>21306</v>
      </c>
      <c r="G115" s="3">
        <v>23.453710000000001</v>
      </c>
      <c r="S115" s="3">
        <v>7.2009270000000001</v>
      </c>
      <c r="AF115" s="3">
        <v>16.976099999999999</v>
      </c>
      <c r="AX115" s="3">
        <v>12.177680000000001</v>
      </c>
    </row>
    <row r="116" spans="1:50" x14ac:dyDescent="0.2">
      <c r="A116" s="3" t="s">
        <v>13</v>
      </c>
      <c r="B116" s="49">
        <v>21337</v>
      </c>
      <c r="G116" s="3">
        <v>23.461089999999999</v>
      </c>
      <c r="S116" s="3">
        <v>7.2171370000000001</v>
      </c>
      <c r="AF116" s="3">
        <v>17.120930000000001</v>
      </c>
      <c r="AX116" s="3">
        <v>12.177680000000001</v>
      </c>
    </row>
    <row r="117" spans="1:50" x14ac:dyDescent="0.2">
      <c r="A117" s="3" t="s">
        <v>14</v>
      </c>
      <c r="B117" s="49">
        <v>21367</v>
      </c>
      <c r="G117" s="3">
        <v>23.457339999999999</v>
      </c>
      <c r="S117" s="3">
        <v>7.1552230000000003</v>
      </c>
      <c r="AF117" s="3">
        <v>17.078759999999999</v>
      </c>
      <c r="AX117" s="3">
        <v>12.218959999999999</v>
      </c>
    </row>
    <row r="118" spans="1:50" x14ac:dyDescent="0.2">
      <c r="A118" s="3" t="s">
        <v>15</v>
      </c>
      <c r="B118" s="49">
        <v>21398</v>
      </c>
      <c r="G118" s="3">
        <v>23.476800000000001</v>
      </c>
      <c r="S118" s="3">
        <v>7.246416</v>
      </c>
      <c r="AF118" s="3">
        <v>17.259920000000001</v>
      </c>
      <c r="AX118" s="3">
        <v>12.218959999999999</v>
      </c>
    </row>
    <row r="119" spans="1:50" x14ac:dyDescent="0.2">
      <c r="A119" s="3" t="s">
        <v>16</v>
      </c>
      <c r="B119" s="49">
        <v>21429</v>
      </c>
      <c r="G119" s="3">
        <v>23.505649999999999</v>
      </c>
      <c r="S119" s="3">
        <v>7.2522710000000004</v>
      </c>
      <c r="AF119" s="3">
        <v>17.134799999999998</v>
      </c>
      <c r="AX119" s="3">
        <v>12.218959999999999</v>
      </c>
    </row>
    <row r="120" spans="1:50" x14ac:dyDescent="0.2">
      <c r="A120" s="3" t="s">
        <v>17</v>
      </c>
      <c r="B120" s="49">
        <v>21459</v>
      </c>
      <c r="G120" s="3">
        <v>23.491409999999998</v>
      </c>
      <c r="S120" s="3">
        <v>7.2684810000000004</v>
      </c>
      <c r="AF120" s="3">
        <v>17.274329999999999</v>
      </c>
      <c r="AX120" s="3">
        <v>12.26024</v>
      </c>
    </row>
    <row r="121" spans="1:50" x14ac:dyDescent="0.2">
      <c r="A121" s="3" t="s">
        <v>18</v>
      </c>
      <c r="B121" s="49">
        <v>21490</v>
      </c>
      <c r="G121" s="3">
        <v>23.50245</v>
      </c>
      <c r="S121" s="3">
        <v>7.2360620000000004</v>
      </c>
      <c r="AF121" s="3">
        <v>17.08221</v>
      </c>
      <c r="AX121" s="3">
        <v>12.3428</v>
      </c>
    </row>
    <row r="122" spans="1:50" x14ac:dyDescent="0.2">
      <c r="A122" s="3" t="s">
        <v>19</v>
      </c>
      <c r="B122" s="49">
        <v>21520</v>
      </c>
      <c r="G122" s="3">
        <v>23.468820000000001</v>
      </c>
      <c r="S122" s="3">
        <v>7.2522710000000004</v>
      </c>
      <c r="AF122" s="3">
        <v>17.101410000000001</v>
      </c>
      <c r="AX122" s="3">
        <v>12.3428</v>
      </c>
    </row>
    <row r="123" spans="1:50" x14ac:dyDescent="0.2">
      <c r="A123" s="3" t="s">
        <v>20</v>
      </c>
      <c r="B123" s="49">
        <v>21551</v>
      </c>
      <c r="G123" s="3">
        <v>23.356339999999999</v>
      </c>
      <c r="S123" s="3">
        <v>7.2522710000000004</v>
      </c>
      <c r="AF123" s="3">
        <v>17.12096</v>
      </c>
      <c r="AX123" s="3">
        <v>12.3428</v>
      </c>
    </row>
    <row r="124" spans="1:50" x14ac:dyDescent="0.2">
      <c r="A124" s="3" t="s">
        <v>21</v>
      </c>
      <c r="B124" s="49">
        <v>21582</v>
      </c>
      <c r="G124" s="3">
        <v>23.29278</v>
      </c>
      <c r="S124" s="3">
        <v>7.2684810000000004</v>
      </c>
      <c r="AF124" s="3">
        <v>17.023599999999998</v>
      </c>
      <c r="AX124" s="3">
        <v>12.3428</v>
      </c>
    </row>
    <row r="125" spans="1:50" x14ac:dyDescent="0.2">
      <c r="A125" s="3" t="s">
        <v>22</v>
      </c>
      <c r="B125" s="49">
        <v>21610</v>
      </c>
      <c r="G125" s="3">
        <v>23.261279999999999</v>
      </c>
      <c r="S125" s="3">
        <v>7.2522710000000004</v>
      </c>
      <c r="AF125" s="3">
        <v>17.10689</v>
      </c>
      <c r="AX125" s="3">
        <v>12.384080000000001</v>
      </c>
    </row>
    <row r="126" spans="1:50" x14ac:dyDescent="0.2">
      <c r="A126" s="3" t="s">
        <v>23</v>
      </c>
      <c r="B126" s="49">
        <v>21641</v>
      </c>
      <c r="G126" s="3">
        <v>23.187639999999998</v>
      </c>
      <c r="S126" s="3">
        <v>7.2567690000000002</v>
      </c>
      <c r="AF126" s="3">
        <v>17.22908</v>
      </c>
      <c r="AX126" s="3">
        <v>12.384080000000001</v>
      </c>
    </row>
    <row r="127" spans="1:50" x14ac:dyDescent="0.2">
      <c r="A127" s="3" t="s">
        <v>24</v>
      </c>
      <c r="B127" s="49">
        <v>21671</v>
      </c>
      <c r="G127" s="3">
        <v>23.276730000000001</v>
      </c>
      <c r="S127" s="3">
        <v>7.2567690000000002</v>
      </c>
      <c r="AF127" s="3">
        <v>17.186389999999999</v>
      </c>
      <c r="AX127" s="3">
        <v>12.42536</v>
      </c>
    </row>
    <row r="128" spans="1:50" x14ac:dyDescent="0.2">
      <c r="A128" s="3" t="s">
        <v>25</v>
      </c>
      <c r="B128" s="49">
        <v>21702</v>
      </c>
      <c r="G128" s="3">
        <v>23.258400000000002</v>
      </c>
      <c r="S128" s="3">
        <v>7.2626249999999999</v>
      </c>
      <c r="AF128" s="3">
        <v>17.286799999999999</v>
      </c>
      <c r="AX128" s="3">
        <v>12.42536</v>
      </c>
    </row>
    <row r="129" spans="1:50" x14ac:dyDescent="0.2">
      <c r="A129" s="3" t="s">
        <v>26</v>
      </c>
      <c r="B129" s="49">
        <v>21732</v>
      </c>
      <c r="G129" s="3">
        <v>23.257339999999999</v>
      </c>
      <c r="S129" s="3">
        <v>7.2639829999999996</v>
      </c>
      <c r="AF129" s="3">
        <v>17.320039999999999</v>
      </c>
      <c r="AX129" s="3">
        <v>12.46664</v>
      </c>
    </row>
    <row r="130" spans="1:50" x14ac:dyDescent="0.2">
      <c r="A130" s="3" t="s">
        <v>27</v>
      </c>
      <c r="B130" s="49">
        <v>21763</v>
      </c>
      <c r="G130" s="3">
        <v>23.312850000000001</v>
      </c>
      <c r="S130" s="3">
        <v>7.2639829999999996</v>
      </c>
      <c r="AF130" s="3">
        <v>17.571149999999999</v>
      </c>
      <c r="AX130" s="3">
        <v>12.46664</v>
      </c>
    </row>
    <row r="131" spans="1:50" x14ac:dyDescent="0.2">
      <c r="A131" s="3" t="s">
        <v>28</v>
      </c>
      <c r="B131" s="49">
        <v>21794</v>
      </c>
      <c r="G131" s="3">
        <v>23.375399999999999</v>
      </c>
      <c r="S131" s="3">
        <v>7.3286119999999997</v>
      </c>
      <c r="AF131" s="3">
        <v>17.401309999999999</v>
      </c>
      <c r="AX131" s="3">
        <v>12.50792</v>
      </c>
    </row>
    <row r="132" spans="1:50" x14ac:dyDescent="0.2">
      <c r="A132" s="3" t="s">
        <v>29</v>
      </c>
      <c r="B132" s="49">
        <v>21824</v>
      </c>
      <c r="G132" s="3">
        <v>23.415510000000001</v>
      </c>
      <c r="S132" s="3">
        <v>7.4947869999999996</v>
      </c>
      <c r="AF132" s="3">
        <v>17.627410000000001</v>
      </c>
      <c r="AX132" s="3">
        <v>12.590479999999999</v>
      </c>
    </row>
    <row r="133" spans="1:50" x14ac:dyDescent="0.2">
      <c r="A133" s="3" t="s">
        <v>30</v>
      </c>
      <c r="B133" s="49">
        <v>21855</v>
      </c>
      <c r="G133" s="3">
        <v>23.43759</v>
      </c>
      <c r="S133" s="3">
        <v>7.4947869999999996</v>
      </c>
      <c r="AF133" s="3">
        <v>17.50543</v>
      </c>
      <c r="AX133" s="3">
        <v>12.590479999999999</v>
      </c>
    </row>
    <row r="134" spans="1:50" x14ac:dyDescent="0.2">
      <c r="A134" s="3" t="s">
        <v>31</v>
      </c>
      <c r="B134" s="49">
        <v>21885</v>
      </c>
      <c r="G134" s="3">
        <v>23.42015</v>
      </c>
      <c r="S134" s="3">
        <v>7.5109959999999996</v>
      </c>
      <c r="AF134" s="3">
        <v>17.502890000000001</v>
      </c>
      <c r="AX134" s="3">
        <v>12.590479999999999</v>
      </c>
    </row>
    <row r="135" spans="1:50" x14ac:dyDescent="0.2">
      <c r="A135" s="3" t="s">
        <v>32</v>
      </c>
      <c r="B135" s="49">
        <v>21916</v>
      </c>
      <c r="G135" s="3">
        <v>23.38531</v>
      </c>
      <c r="S135" s="3">
        <v>7.4830759999999996</v>
      </c>
      <c r="AE135" s="3">
        <v>3.680599</v>
      </c>
      <c r="AF135" s="3">
        <v>17.665620000000001</v>
      </c>
      <c r="AX135" s="3">
        <v>12.590479999999999</v>
      </c>
    </row>
    <row r="136" spans="1:50" x14ac:dyDescent="0.2">
      <c r="A136" s="3" t="s">
        <v>33</v>
      </c>
      <c r="B136" s="49">
        <v>21947</v>
      </c>
      <c r="G136" s="3">
        <v>23.509419999999999</v>
      </c>
      <c r="S136" s="3">
        <v>7.4992850000000004</v>
      </c>
      <c r="AE136" s="3">
        <v>3.6786979999999998</v>
      </c>
      <c r="AF136" s="3">
        <v>17.68516</v>
      </c>
      <c r="AX136" s="3">
        <v>12.63176</v>
      </c>
    </row>
    <row r="137" spans="1:50" x14ac:dyDescent="0.2">
      <c r="A137" s="3" t="s">
        <v>34</v>
      </c>
      <c r="B137" s="49">
        <v>21976</v>
      </c>
      <c r="G137" s="3">
        <v>23.509419999999999</v>
      </c>
      <c r="S137" s="3">
        <v>7.574268</v>
      </c>
      <c r="AE137" s="3">
        <v>3.674534</v>
      </c>
      <c r="AF137" s="3">
        <v>17.63768</v>
      </c>
      <c r="AX137" s="3">
        <v>12.63176</v>
      </c>
    </row>
    <row r="138" spans="1:50" x14ac:dyDescent="0.2">
      <c r="A138" s="3" t="s">
        <v>35</v>
      </c>
      <c r="B138" s="49">
        <v>22007</v>
      </c>
      <c r="G138" s="3">
        <v>23.556509999999999</v>
      </c>
      <c r="S138" s="3">
        <v>7.5580579999999999</v>
      </c>
      <c r="AE138" s="3">
        <v>3.6731180000000001</v>
      </c>
      <c r="AF138" s="3">
        <v>17.776669999999999</v>
      </c>
      <c r="AL138" s="3">
        <v>14.588939999999999</v>
      </c>
      <c r="AX138" s="3">
        <v>12.63176</v>
      </c>
    </row>
    <row r="139" spans="1:50" x14ac:dyDescent="0.2">
      <c r="A139" s="3" t="s">
        <v>36</v>
      </c>
      <c r="B139" s="49">
        <v>22037</v>
      </c>
      <c r="G139" s="3">
        <v>23.68666</v>
      </c>
      <c r="S139" s="3">
        <v>7.5477049999999997</v>
      </c>
      <c r="AE139" s="3">
        <v>3.677152</v>
      </c>
      <c r="AF139" s="3">
        <v>17.910699999999999</v>
      </c>
      <c r="AL139" s="3">
        <v>14.45844</v>
      </c>
      <c r="AX139" s="3">
        <v>12.63176</v>
      </c>
    </row>
    <row r="140" spans="1:50" x14ac:dyDescent="0.2">
      <c r="A140" s="3" t="s">
        <v>37</v>
      </c>
      <c r="B140" s="49">
        <v>22068</v>
      </c>
      <c r="G140" s="3">
        <v>23.70552</v>
      </c>
      <c r="S140" s="3">
        <v>7.5314949999999996</v>
      </c>
      <c r="AE140" s="3">
        <v>3.6726269999999999</v>
      </c>
      <c r="AF140" s="3">
        <v>17.816079999999999</v>
      </c>
      <c r="AL140" s="3">
        <v>14.349119999999999</v>
      </c>
      <c r="AX140" s="3">
        <v>12.63176</v>
      </c>
    </row>
    <row r="141" spans="1:50" x14ac:dyDescent="0.2">
      <c r="A141" s="3" t="s">
        <v>38</v>
      </c>
      <c r="B141" s="49">
        <v>22098</v>
      </c>
      <c r="G141" s="3">
        <v>23.761299999999999</v>
      </c>
      <c r="S141" s="3">
        <v>7.6064780000000001</v>
      </c>
      <c r="AE141" s="3">
        <v>3.6892999999999998</v>
      </c>
      <c r="AF141" s="3">
        <v>17.807690000000001</v>
      </c>
      <c r="AL141" s="3">
        <v>14.33962</v>
      </c>
      <c r="AX141" s="3">
        <v>12.63176</v>
      </c>
    </row>
    <row r="142" spans="1:50" x14ac:dyDescent="0.2">
      <c r="A142" s="3" t="s">
        <v>39</v>
      </c>
      <c r="B142" s="49">
        <v>22129</v>
      </c>
      <c r="G142" s="3">
        <v>23.80387</v>
      </c>
      <c r="S142" s="3">
        <v>7.622687</v>
      </c>
      <c r="AE142" s="3">
        <v>3.7031849999999999</v>
      </c>
      <c r="AF142" s="3">
        <v>17.9527</v>
      </c>
      <c r="AL142" s="3">
        <v>14.2705</v>
      </c>
      <c r="AX142" s="3">
        <v>12.63176</v>
      </c>
    </row>
    <row r="143" spans="1:50" x14ac:dyDescent="0.2">
      <c r="A143" s="3" t="s">
        <v>40</v>
      </c>
      <c r="B143" s="49">
        <v>22160</v>
      </c>
      <c r="G143" s="3">
        <v>23.852150000000002</v>
      </c>
      <c r="S143" s="3">
        <v>7.6168319999999996</v>
      </c>
      <c r="AE143" s="3">
        <v>3.7043020000000002</v>
      </c>
      <c r="AF143" s="3">
        <v>18.042529999999999</v>
      </c>
      <c r="AL143" s="3">
        <v>14.37031</v>
      </c>
      <c r="AX143" s="3">
        <v>12.63176</v>
      </c>
    </row>
    <row r="144" spans="1:50" x14ac:dyDescent="0.2">
      <c r="A144" s="3" t="s">
        <v>41</v>
      </c>
      <c r="B144" s="49">
        <v>22190</v>
      </c>
      <c r="G144" s="3">
        <v>23.893920000000001</v>
      </c>
      <c r="S144" s="3">
        <v>7.6492509999999996</v>
      </c>
      <c r="AE144" s="3">
        <v>3.7056339999999999</v>
      </c>
      <c r="AF144" s="3">
        <v>18.151959999999999</v>
      </c>
      <c r="AL144" s="3">
        <v>14.2705</v>
      </c>
      <c r="AX144" s="3">
        <v>12.714320000000001</v>
      </c>
    </row>
    <row r="145" spans="1:50" x14ac:dyDescent="0.2">
      <c r="A145" s="3" t="s">
        <v>42</v>
      </c>
      <c r="B145" s="49">
        <v>22221</v>
      </c>
      <c r="G145" s="3">
        <v>23.89554</v>
      </c>
      <c r="S145" s="3">
        <v>7.6168319999999996</v>
      </c>
      <c r="AE145" s="3">
        <v>3.717911</v>
      </c>
      <c r="AF145" s="3">
        <v>17.898489999999999</v>
      </c>
      <c r="AL145" s="3">
        <v>14.30118</v>
      </c>
      <c r="AX145" s="3">
        <v>12.714320000000001</v>
      </c>
    </row>
    <row r="146" spans="1:50" x14ac:dyDescent="0.2">
      <c r="A146" s="3" t="s">
        <v>43</v>
      </c>
      <c r="B146" s="49">
        <v>22251</v>
      </c>
      <c r="G146" s="3">
        <v>23.875080000000001</v>
      </c>
      <c r="S146" s="3">
        <v>7.6859590000000004</v>
      </c>
      <c r="AE146" s="3">
        <v>3.72594</v>
      </c>
      <c r="AF146" s="3">
        <v>18.053159999999998</v>
      </c>
      <c r="AL146" s="3">
        <v>14.30118</v>
      </c>
      <c r="AX146" s="3">
        <v>12.714320000000001</v>
      </c>
    </row>
    <row r="147" spans="1:50" x14ac:dyDescent="0.2">
      <c r="A147" s="3" t="s">
        <v>44</v>
      </c>
      <c r="B147" s="49">
        <v>22282</v>
      </c>
      <c r="F147" s="3">
        <v>13.22672</v>
      </c>
      <c r="G147" s="3">
        <v>23.83222</v>
      </c>
      <c r="S147" s="3">
        <v>7.6859590000000004</v>
      </c>
      <c r="AE147" s="3">
        <v>3.7496710000000002</v>
      </c>
      <c r="AF147" s="3">
        <v>18.24343</v>
      </c>
      <c r="AL147" s="3">
        <v>14.37031</v>
      </c>
      <c r="AX147" s="3">
        <v>12.714320000000001</v>
      </c>
    </row>
    <row r="148" spans="1:50" x14ac:dyDescent="0.2">
      <c r="A148" s="3" t="s">
        <v>45</v>
      </c>
      <c r="B148" s="49">
        <v>22313</v>
      </c>
      <c r="F148" s="3">
        <v>13.22672</v>
      </c>
      <c r="G148" s="3">
        <v>23.867439999999998</v>
      </c>
      <c r="S148" s="3">
        <v>7.663894</v>
      </c>
      <c r="AE148" s="3">
        <v>3.7515329999999998</v>
      </c>
      <c r="AF148" s="3">
        <v>18.332740000000001</v>
      </c>
      <c r="AL148" s="3">
        <v>14.37031</v>
      </c>
      <c r="AX148" s="3">
        <v>12.714320000000001</v>
      </c>
    </row>
    <row r="149" spans="1:50" x14ac:dyDescent="0.2">
      <c r="A149" s="3" t="s">
        <v>46</v>
      </c>
      <c r="B149" s="49">
        <v>22341</v>
      </c>
      <c r="F149" s="3">
        <v>13.22672</v>
      </c>
      <c r="G149" s="3">
        <v>23.87013</v>
      </c>
      <c r="S149" s="3">
        <v>7.6801029999999999</v>
      </c>
      <c r="AE149" s="3">
        <v>3.7542810000000002</v>
      </c>
      <c r="AF149" s="3">
        <v>18.288170000000001</v>
      </c>
      <c r="AL149" s="3">
        <v>14.22081</v>
      </c>
      <c r="AX149" s="3">
        <v>12.714320000000001</v>
      </c>
    </row>
    <row r="150" spans="1:50" x14ac:dyDescent="0.2">
      <c r="A150" s="3" t="s">
        <v>47</v>
      </c>
      <c r="B150" s="49">
        <v>22372</v>
      </c>
      <c r="F150" s="3">
        <v>13.22672</v>
      </c>
      <c r="G150" s="3">
        <v>23.875499999999999</v>
      </c>
      <c r="S150" s="3">
        <v>7.663894</v>
      </c>
      <c r="AE150" s="3">
        <v>3.7613789999999998</v>
      </c>
      <c r="AF150" s="3">
        <v>18.538419999999999</v>
      </c>
      <c r="AL150" s="3">
        <v>14.439439999999999</v>
      </c>
      <c r="AX150" s="3">
        <v>12.755599999999999</v>
      </c>
    </row>
    <row r="151" spans="1:50" x14ac:dyDescent="0.2">
      <c r="A151" s="3" t="s">
        <v>48</v>
      </c>
      <c r="B151" s="49">
        <v>22402</v>
      </c>
      <c r="F151" s="3">
        <v>13.259790000000001</v>
      </c>
      <c r="G151" s="3">
        <v>24.07685</v>
      </c>
      <c r="S151" s="3">
        <v>7.663894</v>
      </c>
      <c r="AE151" s="3">
        <v>3.7725559999999998</v>
      </c>
      <c r="AF151" s="3">
        <v>18.49607</v>
      </c>
      <c r="AL151" s="3">
        <v>14.64813</v>
      </c>
      <c r="AX151" s="3">
        <v>12.755599999999999</v>
      </c>
    </row>
    <row r="152" spans="1:50" x14ac:dyDescent="0.2">
      <c r="A152" s="3" t="s">
        <v>49</v>
      </c>
      <c r="B152" s="49">
        <v>22433</v>
      </c>
      <c r="F152" s="3">
        <v>13.25554</v>
      </c>
      <c r="G152" s="3">
        <v>24.107309999999998</v>
      </c>
      <c r="S152" s="3">
        <v>7.6963119999999998</v>
      </c>
      <c r="AE152" s="3">
        <v>3.7694920000000001</v>
      </c>
      <c r="AF152" s="3">
        <v>18.52366</v>
      </c>
      <c r="AL152" s="3">
        <v>14.607939999999999</v>
      </c>
      <c r="AX152" s="3">
        <v>12.755599999999999</v>
      </c>
    </row>
    <row r="153" spans="1:50" x14ac:dyDescent="0.2">
      <c r="A153" s="3" t="s">
        <v>50</v>
      </c>
      <c r="B153" s="49">
        <v>22463</v>
      </c>
      <c r="F153" s="3">
        <v>13.22246</v>
      </c>
      <c r="G153" s="3">
        <v>24.151489999999999</v>
      </c>
      <c r="S153" s="3">
        <v>7.6801029999999999</v>
      </c>
      <c r="AE153" s="3">
        <v>3.78999</v>
      </c>
      <c r="AF153" s="3">
        <v>18.81934</v>
      </c>
      <c r="AL153" s="3">
        <v>14.45844</v>
      </c>
      <c r="AX153" s="3">
        <v>12.79688</v>
      </c>
    </row>
    <row r="154" spans="1:50" x14ac:dyDescent="0.2">
      <c r="A154" s="3" t="s">
        <v>51</v>
      </c>
      <c r="B154" s="49">
        <v>22494</v>
      </c>
      <c r="F154" s="3">
        <v>13.21428</v>
      </c>
      <c r="G154" s="3">
        <v>24.264309999999998</v>
      </c>
      <c r="S154" s="3">
        <v>7.6801029999999999</v>
      </c>
      <c r="AE154" s="3">
        <v>3.7949549999999999</v>
      </c>
      <c r="AF154" s="3">
        <v>18.925799999999999</v>
      </c>
      <c r="AL154" s="3">
        <v>14.538819999999999</v>
      </c>
      <c r="AX154" s="3">
        <v>12.79688</v>
      </c>
    </row>
    <row r="155" spans="1:50" x14ac:dyDescent="0.2">
      <c r="A155" s="3" t="s">
        <v>52</v>
      </c>
      <c r="B155" s="49">
        <v>22525</v>
      </c>
      <c r="F155" s="3">
        <v>13.251609999999999</v>
      </c>
      <c r="G155" s="3">
        <v>24.28782</v>
      </c>
      <c r="S155" s="3">
        <v>7.6963119999999998</v>
      </c>
      <c r="AE155" s="3">
        <v>3.8016529999999999</v>
      </c>
      <c r="AF155" s="3">
        <v>19.045860000000001</v>
      </c>
      <c r="AL155" s="3">
        <v>14.47963</v>
      </c>
      <c r="AX155" s="3">
        <v>12.83816</v>
      </c>
    </row>
    <row r="156" spans="1:50" x14ac:dyDescent="0.2">
      <c r="A156" s="3" t="s">
        <v>53</v>
      </c>
      <c r="B156" s="49">
        <v>22555</v>
      </c>
      <c r="F156" s="3">
        <v>13.23916</v>
      </c>
      <c r="G156" s="3">
        <v>24.38588</v>
      </c>
      <c r="S156" s="3">
        <v>7.7875050000000003</v>
      </c>
      <c r="AE156" s="3">
        <v>3.8129599999999999</v>
      </c>
      <c r="AF156" s="3">
        <v>19.393719999999998</v>
      </c>
      <c r="AL156" s="3">
        <v>14.519819999999999</v>
      </c>
      <c r="AX156" s="3">
        <v>12.879440000000001</v>
      </c>
    </row>
    <row r="157" spans="1:50" x14ac:dyDescent="0.2">
      <c r="A157" s="3" t="s">
        <v>54</v>
      </c>
      <c r="B157" s="49">
        <v>22586</v>
      </c>
      <c r="F157" s="3">
        <v>13.23916</v>
      </c>
      <c r="G157" s="3">
        <v>24.692409999999999</v>
      </c>
      <c r="S157" s="3">
        <v>7.7654399999999999</v>
      </c>
      <c r="AE157" s="3">
        <v>3.833351</v>
      </c>
      <c r="AF157" s="3">
        <v>19.45016</v>
      </c>
      <c r="AL157" s="3">
        <v>14.519819999999999</v>
      </c>
      <c r="AX157" s="3">
        <v>12.879440000000001</v>
      </c>
    </row>
    <row r="158" spans="1:50" x14ac:dyDescent="0.2">
      <c r="A158" s="3" t="s">
        <v>55</v>
      </c>
      <c r="B158" s="49">
        <v>22616</v>
      </c>
      <c r="F158" s="3">
        <v>13.24309</v>
      </c>
      <c r="G158" s="3">
        <v>24.715070000000001</v>
      </c>
      <c r="S158" s="3">
        <v>7.7654399999999999</v>
      </c>
      <c r="AE158" s="3">
        <v>3.8415490000000001</v>
      </c>
      <c r="AF158" s="3">
        <v>19.66329</v>
      </c>
      <c r="AL158" s="3">
        <v>14.470129999999999</v>
      </c>
      <c r="AX158" s="3">
        <v>12.879440000000001</v>
      </c>
    </row>
    <row r="159" spans="1:50" x14ac:dyDescent="0.2">
      <c r="A159" s="3" t="s">
        <v>56</v>
      </c>
      <c r="B159" s="49">
        <v>22647</v>
      </c>
      <c r="F159" s="3">
        <v>13.21428</v>
      </c>
      <c r="G159" s="3">
        <v>24.742010000000001</v>
      </c>
      <c r="M159" s="3">
        <v>24.081299999999999</v>
      </c>
      <c r="S159" s="3">
        <v>7.8242130000000003</v>
      </c>
      <c r="AE159" s="3">
        <v>3.8652799999999998</v>
      </c>
      <c r="AF159" s="3">
        <v>19.757180000000002</v>
      </c>
      <c r="AL159" s="3">
        <v>14.470129999999999</v>
      </c>
      <c r="AX159" s="3">
        <v>12.879440000000001</v>
      </c>
    </row>
    <row r="160" spans="1:50" x14ac:dyDescent="0.2">
      <c r="A160" s="3" t="s">
        <v>57</v>
      </c>
      <c r="B160" s="49">
        <v>22678</v>
      </c>
      <c r="F160" s="3">
        <v>13.21428</v>
      </c>
      <c r="G160" s="3">
        <v>24.8322</v>
      </c>
      <c r="M160" s="3">
        <v>24.152920000000002</v>
      </c>
      <c r="S160" s="3">
        <v>7.8183569999999998</v>
      </c>
      <c r="AE160" s="3">
        <v>3.8946369999999999</v>
      </c>
      <c r="AF160" s="3">
        <v>19.67352</v>
      </c>
      <c r="AL160" s="3">
        <v>14.470129999999999</v>
      </c>
      <c r="AX160" s="3">
        <v>12.879440000000001</v>
      </c>
    </row>
    <row r="161" spans="1:50" x14ac:dyDescent="0.2">
      <c r="A161" s="3" t="s">
        <v>58</v>
      </c>
      <c r="B161" s="49">
        <v>22706</v>
      </c>
      <c r="F161" s="3">
        <v>13.22672</v>
      </c>
      <c r="G161" s="3">
        <v>24.859940000000002</v>
      </c>
      <c r="M161" s="3">
        <v>24.200620000000001</v>
      </c>
      <c r="S161" s="3">
        <v>7.8933400000000002</v>
      </c>
      <c r="AE161" s="3">
        <v>3.9176060000000001</v>
      </c>
      <c r="AF161" s="3">
        <v>19.737269999999999</v>
      </c>
      <c r="AL161" s="3">
        <v>14.619630000000001</v>
      </c>
      <c r="AX161" s="3">
        <v>12.920719999999999</v>
      </c>
    </row>
    <row r="162" spans="1:50" x14ac:dyDescent="0.2">
      <c r="A162" s="3" t="s">
        <v>59</v>
      </c>
      <c r="B162" s="49">
        <v>22737</v>
      </c>
      <c r="F162" s="3">
        <v>13.312469999999999</v>
      </c>
      <c r="G162" s="3">
        <v>24.969550000000002</v>
      </c>
      <c r="M162" s="3">
        <v>24.25168</v>
      </c>
      <c r="S162" s="3">
        <v>7.9683229999999998</v>
      </c>
      <c r="AE162" s="3">
        <v>3.9460259999999998</v>
      </c>
      <c r="AF162" s="3">
        <v>19.93336</v>
      </c>
      <c r="AL162" s="3">
        <v>15.01671</v>
      </c>
      <c r="AX162" s="3">
        <v>12.920719999999999</v>
      </c>
    </row>
    <row r="163" spans="1:50" x14ac:dyDescent="0.2">
      <c r="A163" s="3" t="s">
        <v>60</v>
      </c>
      <c r="B163" s="49">
        <v>22767</v>
      </c>
      <c r="F163" s="3">
        <v>13.33736</v>
      </c>
      <c r="G163" s="3">
        <v>25.17604</v>
      </c>
      <c r="M163" s="3">
        <v>24.256779999999999</v>
      </c>
      <c r="S163" s="3">
        <v>7.9683229999999998</v>
      </c>
      <c r="AE163" s="3">
        <v>3.9496199999999999</v>
      </c>
      <c r="AF163" s="3">
        <v>20.08605</v>
      </c>
      <c r="AL163" s="3">
        <v>14.85726</v>
      </c>
      <c r="AX163" s="3">
        <v>12.962</v>
      </c>
    </row>
    <row r="164" spans="1:50" x14ac:dyDescent="0.2">
      <c r="A164" s="3" t="s">
        <v>61</v>
      </c>
      <c r="B164" s="49">
        <v>22798</v>
      </c>
      <c r="F164" s="3">
        <v>13.41492</v>
      </c>
      <c r="G164" s="3">
        <v>25.221589999999999</v>
      </c>
      <c r="M164" s="3">
        <v>24.22775</v>
      </c>
      <c r="S164" s="3">
        <v>8.0536589999999997</v>
      </c>
      <c r="AE164" s="3">
        <v>3.9595509999999998</v>
      </c>
      <c r="AF164" s="3">
        <v>20.024509999999999</v>
      </c>
      <c r="AL164" s="3">
        <v>14.995520000000001</v>
      </c>
      <c r="AX164" s="3">
        <v>12.962</v>
      </c>
    </row>
    <row r="165" spans="1:50" x14ac:dyDescent="0.2">
      <c r="A165" s="3" t="s">
        <v>62</v>
      </c>
      <c r="B165" s="49">
        <v>22828</v>
      </c>
      <c r="F165" s="3">
        <v>13.390029999999999</v>
      </c>
      <c r="G165" s="3">
        <v>25.292719999999999</v>
      </c>
      <c r="M165" s="3">
        <v>24.294270000000001</v>
      </c>
      <c r="S165" s="3">
        <v>8.1124320000000001</v>
      </c>
      <c r="AE165" s="3">
        <v>3.9839370000000001</v>
      </c>
      <c r="AF165" s="3">
        <v>20.22522</v>
      </c>
      <c r="AL165" s="3">
        <v>14.65807</v>
      </c>
      <c r="AX165" s="3">
        <v>12.962</v>
      </c>
    </row>
    <row r="166" spans="1:50" x14ac:dyDescent="0.2">
      <c r="A166" s="3" t="s">
        <v>63</v>
      </c>
      <c r="B166" s="49">
        <v>22859</v>
      </c>
      <c r="F166" s="3">
        <v>13.480040000000001</v>
      </c>
      <c r="G166" s="3">
        <v>25.406890000000001</v>
      </c>
      <c r="M166" s="3">
        <v>24.229649999999999</v>
      </c>
      <c r="S166" s="3">
        <v>8.1124320000000001</v>
      </c>
      <c r="AE166" s="3">
        <v>3.989347</v>
      </c>
      <c r="AF166" s="3">
        <v>20.263770000000001</v>
      </c>
      <c r="AL166" s="3">
        <v>14.73845</v>
      </c>
      <c r="AX166" s="3">
        <v>12.962</v>
      </c>
    </row>
    <row r="167" spans="1:50" x14ac:dyDescent="0.2">
      <c r="A167" s="3" t="s">
        <v>64</v>
      </c>
      <c r="B167" s="49">
        <v>22890</v>
      </c>
      <c r="F167" s="3">
        <v>13.402469999999999</v>
      </c>
      <c r="G167" s="3">
        <v>25.388359999999999</v>
      </c>
      <c r="M167" s="3">
        <v>24.226299999999998</v>
      </c>
      <c r="S167" s="3">
        <v>8.1065769999999997</v>
      </c>
      <c r="AE167" s="3">
        <v>4.0007390000000003</v>
      </c>
      <c r="AF167" s="3">
        <v>20.210629999999998</v>
      </c>
      <c r="AL167" s="3">
        <v>14.909140000000001</v>
      </c>
      <c r="AX167" s="3">
        <v>13.00328</v>
      </c>
    </row>
    <row r="168" spans="1:50" x14ac:dyDescent="0.2">
      <c r="A168" s="3" t="s">
        <v>65</v>
      </c>
      <c r="B168" s="49">
        <v>22920</v>
      </c>
      <c r="F168" s="3">
        <v>13.50067</v>
      </c>
      <c r="G168" s="3">
        <v>25.36768</v>
      </c>
      <c r="M168" s="3">
        <v>24.29457</v>
      </c>
      <c r="S168" s="3">
        <v>8.1977689999999992</v>
      </c>
      <c r="AE168" s="3">
        <v>4.018472</v>
      </c>
      <c r="AF168" s="3">
        <v>20.354320000000001</v>
      </c>
      <c r="AL168" s="3">
        <v>14.840009999999999</v>
      </c>
      <c r="AX168" s="3">
        <v>13.044560000000001</v>
      </c>
    </row>
    <row r="169" spans="1:50" x14ac:dyDescent="0.2">
      <c r="A169" s="3" t="s">
        <v>66</v>
      </c>
      <c r="B169" s="49">
        <v>22951</v>
      </c>
      <c r="F169" s="3">
        <v>13.50067</v>
      </c>
      <c r="G169" s="3">
        <v>25.457940000000001</v>
      </c>
      <c r="M169" s="3">
        <v>24.349129999999999</v>
      </c>
      <c r="S169" s="3">
        <v>8.2727520000000005</v>
      </c>
      <c r="AE169" s="3">
        <v>4.0407250000000001</v>
      </c>
      <c r="AF169" s="3">
        <v>20.335699999999999</v>
      </c>
      <c r="AL169" s="3">
        <v>14.790319999999999</v>
      </c>
      <c r="AX169" s="3">
        <v>13.044560000000001</v>
      </c>
    </row>
    <row r="170" spans="1:50" x14ac:dyDescent="0.2">
      <c r="A170" s="3" t="s">
        <v>67</v>
      </c>
      <c r="B170" s="49">
        <v>22981</v>
      </c>
      <c r="F170" s="3">
        <v>13.50067</v>
      </c>
      <c r="G170" s="3">
        <v>25.49944</v>
      </c>
      <c r="M170" s="3">
        <v>24.468450000000001</v>
      </c>
      <c r="S170" s="3">
        <v>8.2668959999999991</v>
      </c>
      <c r="AE170" s="3">
        <v>4.100403</v>
      </c>
      <c r="AF170" s="3">
        <v>20.71264</v>
      </c>
      <c r="AL170" s="3">
        <v>14.939830000000001</v>
      </c>
      <c r="AX170" s="3">
        <v>13.044560000000001</v>
      </c>
    </row>
    <row r="171" spans="1:50" x14ac:dyDescent="0.2">
      <c r="A171" s="3" t="s">
        <v>68</v>
      </c>
      <c r="B171" s="49">
        <v>23012</v>
      </c>
      <c r="F171" s="3">
        <v>13.483969999999999</v>
      </c>
      <c r="G171" s="3">
        <v>25.571100000000001</v>
      </c>
      <c r="M171" s="3">
        <v>24.809519999999999</v>
      </c>
      <c r="S171" s="3">
        <v>8.2831060000000001</v>
      </c>
      <c r="AE171" s="3">
        <v>4.14527</v>
      </c>
      <c r="AF171" s="3">
        <v>20.945260000000001</v>
      </c>
      <c r="AL171" s="3">
        <v>14.95926</v>
      </c>
      <c r="AX171" s="3">
        <v>13.00328</v>
      </c>
    </row>
    <row r="172" spans="1:50" x14ac:dyDescent="0.2">
      <c r="A172" s="3" t="s">
        <v>69</v>
      </c>
      <c r="B172" s="49">
        <v>23043</v>
      </c>
      <c r="F172" s="3">
        <v>13.463340000000001</v>
      </c>
      <c r="G172" s="3">
        <v>25.719760000000001</v>
      </c>
      <c r="M172" s="3">
        <v>24.956119999999999</v>
      </c>
      <c r="S172" s="3">
        <v>8.2610410000000005</v>
      </c>
      <c r="AE172" s="3">
        <v>4.1936809999999998</v>
      </c>
      <c r="AF172" s="3">
        <v>21.00375</v>
      </c>
      <c r="AL172" s="3">
        <v>15.21809</v>
      </c>
      <c r="AX172" s="3">
        <v>13.00328</v>
      </c>
    </row>
    <row r="173" spans="1:50" x14ac:dyDescent="0.2">
      <c r="A173" s="3" t="s">
        <v>70</v>
      </c>
      <c r="B173" s="49">
        <v>23071</v>
      </c>
      <c r="F173" s="3">
        <v>13.483969999999999</v>
      </c>
      <c r="G173" s="3">
        <v>25.722439999999999</v>
      </c>
      <c r="M173" s="3">
        <v>24.96123</v>
      </c>
      <c r="S173" s="3">
        <v>8.3301680000000005</v>
      </c>
      <c r="AE173" s="3">
        <v>4.206404</v>
      </c>
      <c r="AF173" s="3">
        <v>21.062239999999999</v>
      </c>
      <c r="AL173" s="3">
        <v>15.26778</v>
      </c>
      <c r="AX173" s="3">
        <v>13.044560000000001</v>
      </c>
    </row>
    <row r="174" spans="1:50" x14ac:dyDescent="0.2">
      <c r="A174" s="3" t="s">
        <v>71</v>
      </c>
      <c r="B174" s="49">
        <v>23102</v>
      </c>
      <c r="F174" s="3">
        <v>13.47578</v>
      </c>
      <c r="G174" s="3">
        <v>25.774909999999998</v>
      </c>
      <c r="M174" s="3">
        <v>25.031110000000002</v>
      </c>
      <c r="S174" s="3">
        <v>8.3889410000000009</v>
      </c>
      <c r="AE174" s="3">
        <v>4.2322509999999998</v>
      </c>
      <c r="AF174" s="3">
        <v>21.242059999999999</v>
      </c>
      <c r="AL174" s="3">
        <v>15.377090000000001</v>
      </c>
      <c r="AX174" s="3">
        <v>13.085839999999999</v>
      </c>
    </row>
    <row r="175" spans="1:50" x14ac:dyDescent="0.2">
      <c r="A175" s="3" t="s">
        <v>72</v>
      </c>
      <c r="B175" s="49">
        <v>23132</v>
      </c>
      <c r="F175" s="3">
        <v>13.48822</v>
      </c>
      <c r="G175" s="3">
        <v>25.958780000000001</v>
      </c>
      <c r="M175" s="3">
        <v>24.981649999999998</v>
      </c>
      <c r="S175" s="3">
        <v>8.3830849999999995</v>
      </c>
      <c r="AE175" s="3">
        <v>4.2350440000000003</v>
      </c>
      <c r="AF175" s="3">
        <v>21.45552</v>
      </c>
      <c r="AL175" s="3">
        <v>15.29846</v>
      </c>
      <c r="AX175" s="3">
        <v>13.085839999999999</v>
      </c>
    </row>
    <row r="176" spans="1:50" x14ac:dyDescent="0.2">
      <c r="A176" s="3" t="s">
        <v>73</v>
      </c>
      <c r="B176" s="49">
        <v>23163</v>
      </c>
      <c r="F176" s="3">
        <v>13.463340000000001</v>
      </c>
      <c r="G176" s="3">
        <v>26.00919</v>
      </c>
      <c r="M176" s="3">
        <v>24.843509999999998</v>
      </c>
      <c r="S176" s="3">
        <v>8.3668759999999995</v>
      </c>
      <c r="AE176" s="3">
        <v>4.2450640000000002</v>
      </c>
      <c r="AF176" s="3">
        <v>21.59442</v>
      </c>
      <c r="AL176" s="3">
        <v>15.36759</v>
      </c>
      <c r="AX176" s="3">
        <v>13.12712</v>
      </c>
    </row>
    <row r="177" spans="1:50" x14ac:dyDescent="0.2">
      <c r="A177" s="3" t="s">
        <v>74</v>
      </c>
      <c r="B177" s="49">
        <v>23193</v>
      </c>
      <c r="F177" s="3">
        <v>13.65546</v>
      </c>
      <c r="G177" s="3">
        <v>26.064119999999999</v>
      </c>
      <c r="M177" s="3">
        <v>24.88625</v>
      </c>
      <c r="S177" s="3">
        <v>8.3830849999999995</v>
      </c>
      <c r="AE177" s="3">
        <v>4.2481730000000004</v>
      </c>
      <c r="AF177" s="3">
        <v>21.474889999999998</v>
      </c>
      <c r="AL177" s="3">
        <v>14.99945</v>
      </c>
      <c r="AX177" s="3">
        <v>13.12712</v>
      </c>
    </row>
    <row r="178" spans="1:50" x14ac:dyDescent="0.2">
      <c r="A178" s="3" t="s">
        <v>75</v>
      </c>
      <c r="B178" s="49">
        <v>23224</v>
      </c>
      <c r="F178" s="3">
        <v>13.729100000000001</v>
      </c>
      <c r="G178" s="3">
        <v>26.153510000000001</v>
      </c>
      <c r="M178" s="3">
        <v>24.85737</v>
      </c>
      <c r="S178" s="3">
        <v>8.4742770000000007</v>
      </c>
      <c r="AE178" s="3">
        <v>4.2667070000000002</v>
      </c>
      <c r="AF178" s="3">
        <v>21.424800000000001</v>
      </c>
      <c r="AL178" s="3">
        <v>15.12002</v>
      </c>
      <c r="AX178" s="3">
        <v>13.1684</v>
      </c>
    </row>
    <row r="179" spans="1:50" x14ac:dyDescent="0.2">
      <c r="A179" s="3" t="s">
        <v>76</v>
      </c>
      <c r="B179" s="49">
        <v>23255</v>
      </c>
      <c r="F179" s="3">
        <v>13.651529999999999</v>
      </c>
      <c r="G179" s="3">
        <v>26.21171</v>
      </c>
      <c r="M179" s="3">
        <v>24.894860000000001</v>
      </c>
      <c r="S179" s="3">
        <v>8.5168420000000005</v>
      </c>
      <c r="AE179" s="3">
        <v>4.2917079999999999</v>
      </c>
      <c r="AF179" s="3">
        <v>21.865939999999998</v>
      </c>
      <c r="AL179" s="3">
        <v>15.269959999999999</v>
      </c>
      <c r="AX179" s="3">
        <v>13.1684</v>
      </c>
    </row>
    <row r="180" spans="1:50" x14ac:dyDescent="0.2">
      <c r="A180" s="3" t="s">
        <v>77</v>
      </c>
      <c r="B180" s="49">
        <v>23285</v>
      </c>
      <c r="F180" s="3">
        <v>13.67642</v>
      </c>
      <c r="G180" s="3">
        <v>26.31625</v>
      </c>
      <c r="M180" s="3">
        <v>25.067139999999998</v>
      </c>
      <c r="S180" s="3">
        <v>8.6771609999999999</v>
      </c>
      <c r="AE180" s="3">
        <v>4.3301319999999999</v>
      </c>
      <c r="AF180" s="3">
        <v>21.747720000000001</v>
      </c>
      <c r="AL180" s="3">
        <v>15.300649999999999</v>
      </c>
      <c r="AX180" s="3">
        <v>13.20969</v>
      </c>
    </row>
    <row r="181" spans="1:50" x14ac:dyDescent="0.2">
      <c r="A181" s="3" t="s">
        <v>78</v>
      </c>
      <c r="B181" s="49">
        <v>23316</v>
      </c>
      <c r="F181" s="3">
        <v>13.76643</v>
      </c>
      <c r="G181" s="3">
        <v>26.498239999999999</v>
      </c>
      <c r="M181" s="3">
        <v>25.097770000000001</v>
      </c>
      <c r="S181" s="3">
        <v>8.6771609999999999</v>
      </c>
      <c r="AE181" s="3">
        <v>4.3497269999999997</v>
      </c>
      <c r="AF181" s="3">
        <v>21.654869999999999</v>
      </c>
      <c r="AL181" s="3">
        <v>15.300649999999999</v>
      </c>
      <c r="AX181" s="3">
        <v>13.250970000000001</v>
      </c>
    </row>
    <row r="182" spans="1:50" x14ac:dyDescent="0.2">
      <c r="A182" s="3" t="s">
        <v>79</v>
      </c>
      <c r="B182" s="49">
        <v>23346</v>
      </c>
      <c r="F182" s="3">
        <v>13.76643</v>
      </c>
      <c r="G182" s="3">
        <v>26.51708</v>
      </c>
      <c r="M182" s="3">
        <v>25.307549999999999</v>
      </c>
      <c r="S182" s="3">
        <v>8.6771609999999999</v>
      </c>
      <c r="AE182" s="3">
        <v>4.3747280000000002</v>
      </c>
      <c r="AF182" s="3">
        <v>21.767250000000001</v>
      </c>
      <c r="AL182" s="3">
        <v>15.40997</v>
      </c>
      <c r="AX182" s="3">
        <v>13.250970000000001</v>
      </c>
    </row>
    <row r="183" spans="1:50" x14ac:dyDescent="0.2">
      <c r="A183" s="3" t="s">
        <v>80</v>
      </c>
      <c r="B183" s="49">
        <v>23377</v>
      </c>
      <c r="F183" s="3">
        <v>13.76643</v>
      </c>
      <c r="G183" s="3">
        <v>26.549430000000001</v>
      </c>
      <c r="M183" s="3">
        <v>25.414909999999999</v>
      </c>
      <c r="S183" s="3">
        <v>9.0286519999999992</v>
      </c>
      <c r="AE183" s="3">
        <v>4.4145899999999996</v>
      </c>
      <c r="AF183" s="3">
        <v>21.822620000000001</v>
      </c>
      <c r="AL183" s="3">
        <v>15.65929</v>
      </c>
      <c r="AX183" s="3">
        <v>13.250970000000001</v>
      </c>
    </row>
    <row r="184" spans="1:50" x14ac:dyDescent="0.2">
      <c r="A184" s="3" t="s">
        <v>81</v>
      </c>
      <c r="B184" s="49">
        <v>23408</v>
      </c>
      <c r="F184" s="3">
        <v>13.76643</v>
      </c>
      <c r="G184" s="3">
        <v>26.621259999999999</v>
      </c>
      <c r="M184" s="3">
        <v>25.4985</v>
      </c>
      <c r="S184" s="3">
        <v>9.1036350000000006</v>
      </c>
      <c r="AE184" s="3">
        <v>4.4250109999999996</v>
      </c>
      <c r="AF184" s="3">
        <v>21.787669999999999</v>
      </c>
      <c r="AL184" s="3">
        <v>15.65929</v>
      </c>
      <c r="AX184" s="3">
        <v>13.250970000000001</v>
      </c>
    </row>
    <row r="185" spans="1:50" x14ac:dyDescent="0.2">
      <c r="A185" s="3" t="s">
        <v>82</v>
      </c>
      <c r="B185" s="49">
        <v>23437</v>
      </c>
      <c r="F185" s="3">
        <v>13.758240000000001</v>
      </c>
      <c r="G185" s="3">
        <v>26.6355</v>
      </c>
      <c r="M185" s="3">
        <v>25.503609999999998</v>
      </c>
      <c r="S185" s="3">
        <v>9.1624079999999992</v>
      </c>
      <c r="AE185" s="3">
        <v>4.44306</v>
      </c>
      <c r="AF185" s="3">
        <v>21.843419999999998</v>
      </c>
      <c r="AL185" s="3">
        <v>15.80879</v>
      </c>
      <c r="AX185" s="3">
        <v>13.292249999999999</v>
      </c>
    </row>
    <row r="186" spans="1:50" x14ac:dyDescent="0.2">
      <c r="A186" s="3" t="s">
        <v>83</v>
      </c>
      <c r="B186" s="49">
        <v>23468</v>
      </c>
      <c r="F186" s="3">
        <v>13.86069</v>
      </c>
      <c r="G186" s="3">
        <v>26.79467</v>
      </c>
      <c r="M186" s="3">
        <v>25.535990000000002</v>
      </c>
      <c r="S186" s="3">
        <v>9.215325</v>
      </c>
      <c r="AE186" s="3">
        <v>4.4533509999999996</v>
      </c>
      <c r="AF186" s="3">
        <v>22.195209999999999</v>
      </c>
      <c r="AL186" s="3">
        <v>16.435749999999999</v>
      </c>
      <c r="AX186" s="3">
        <v>13.292249999999999</v>
      </c>
    </row>
    <row r="187" spans="1:50" x14ac:dyDescent="0.2">
      <c r="A187" s="3" t="s">
        <v>84</v>
      </c>
      <c r="B187" s="49">
        <v>23498</v>
      </c>
      <c r="F187" s="3">
        <v>13.86069</v>
      </c>
      <c r="G187" s="3">
        <v>26.98874</v>
      </c>
      <c r="M187" s="3">
        <v>25.529140000000002</v>
      </c>
      <c r="S187" s="3">
        <v>9.2740989999999996</v>
      </c>
      <c r="AE187" s="3">
        <v>4.4985900000000001</v>
      </c>
      <c r="AF187" s="3">
        <v>22.28951</v>
      </c>
      <c r="AL187" s="3">
        <v>16.096119999999999</v>
      </c>
      <c r="AX187" s="3">
        <v>13.292249999999999</v>
      </c>
    </row>
    <row r="188" spans="1:50" x14ac:dyDescent="0.2">
      <c r="A188" s="3" t="s">
        <v>85</v>
      </c>
      <c r="B188" s="49">
        <v>23529</v>
      </c>
      <c r="F188" s="3">
        <v>13.835800000000001</v>
      </c>
      <c r="G188" s="3">
        <v>26.95776</v>
      </c>
      <c r="M188" s="3">
        <v>25.440439999999999</v>
      </c>
      <c r="S188" s="3">
        <v>9.3711470000000006</v>
      </c>
      <c r="AE188" s="3">
        <v>4.5193380000000003</v>
      </c>
      <c r="AF188" s="3">
        <v>22.256060000000002</v>
      </c>
      <c r="AL188" s="3">
        <v>16.136299999999999</v>
      </c>
      <c r="AX188" s="3">
        <v>13.33353</v>
      </c>
    </row>
    <row r="189" spans="1:50" x14ac:dyDescent="0.2">
      <c r="A189" s="3" t="s">
        <v>86</v>
      </c>
      <c r="B189" s="49">
        <v>23559</v>
      </c>
      <c r="F189" s="3">
        <v>13.888479999999999</v>
      </c>
      <c r="G189" s="3">
        <v>26.97635</v>
      </c>
      <c r="M189" s="3">
        <v>25.52403</v>
      </c>
      <c r="S189" s="3">
        <v>9.3711470000000006</v>
      </c>
      <c r="AE189" s="3">
        <v>4.5439939999999996</v>
      </c>
      <c r="AF189" s="3">
        <v>22.16704</v>
      </c>
      <c r="AL189" s="3">
        <v>16.166989999999998</v>
      </c>
      <c r="AX189" s="3">
        <v>13.33353</v>
      </c>
    </row>
    <row r="190" spans="1:50" x14ac:dyDescent="0.2">
      <c r="A190" s="3" t="s">
        <v>87</v>
      </c>
      <c r="B190" s="49">
        <v>23590</v>
      </c>
      <c r="F190" s="3">
        <v>13.900919999999999</v>
      </c>
      <c r="G190" s="3">
        <v>27.061129999999999</v>
      </c>
      <c r="M190" s="3">
        <v>25.54796</v>
      </c>
      <c r="S190" s="3">
        <v>9.3711470000000006</v>
      </c>
      <c r="AE190" s="3">
        <v>4.5637759999999998</v>
      </c>
      <c r="AF190" s="3">
        <v>22.350549999999998</v>
      </c>
      <c r="AL190" s="3">
        <v>16.35669</v>
      </c>
      <c r="AX190" s="3">
        <v>13.292249999999999</v>
      </c>
    </row>
    <row r="191" spans="1:50" x14ac:dyDescent="0.2">
      <c r="A191" s="3" t="s">
        <v>88</v>
      </c>
      <c r="B191" s="49">
        <v>23621</v>
      </c>
      <c r="F191" s="3">
        <v>13.93825</v>
      </c>
      <c r="G191" s="3">
        <v>27.09994</v>
      </c>
      <c r="M191" s="3">
        <v>25.532640000000001</v>
      </c>
      <c r="S191" s="3">
        <v>9.4240650000000006</v>
      </c>
      <c r="AE191" s="3">
        <v>4.5827960000000001</v>
      </c>
      <c r="AF191" s="3">
        <v>22.675129999999999</v>
      </c>
      <c r="AL191" s="3">
        <v>16.487189999999998</v>
      </c>
      <c r="AX191" s="3">
        <v>13.33353</v>
      </c>
    </row>
    <row r="192" spans="1:50" x14ac:dyDescent="0.2">
      <c r="A192" s="3" t="s">
        <v>89</v>
      </c>
      <c r="B192" s="49">
        <v>23651</v>
      </c>
      <c r="F192" s="3">
        <v>13.98377</v>
      </c>
      <c r="G192" s="3">
        <v>27.190429999999999</v>
      </c>
      <c r="M192" s="3">
        <v>25.63505</v>
      </c>
      <c r="S192" s="3">
        <v>9.4402740000000005</v>
      </c>
      <c r="AE192" s="3">
        <v>4.6018160000000004</v>
      </c>
      <c r="AF192" s="3">
        <v>22.98659</v>
      </c>
      <c r="AL192" s="3">
        <v>16.337689999999998</v>
      </c>
      <c r="AX192" s="3">
        <v>13.37481</v>
      </c>
    </row>
    <row r="193" spans="1:50" x14ac:dyDescent="0.2">
      <c r="A193" s="3" t="s">
        <v>90</v>
      </c>
      <c r="B193" s="49">
        <v>23682</v>
      </c>
      <c r="F193" s="3">
        <v>13.97133</v>
      </c>
      <c r="G193" s="3">
        <v>27.211980000000001</v>
      </c>
      <c r="M193" s="3">
        <v>25.744160000000001</v>
      </c>
      <c r="S193" s="3">
        <v>9.5152570000000001</v>
      </c>
      <c r="AE193" s="3">
        <v>4.6303650000000003</v>
      </c>
      <c r="AF193" s="3">
        <v>22.855910000000002</v>
      </c>
      <c r="AL193" s="3">
        <v>16.337689999999998</v>
      </c>
      <c r="AX193" s="3">
        <v>13.416090000000001</v>
      </c>
    </row>
    <row r="194" spans="1:50" x14ac:dyDescent="0.2">
      <c r="A194" s="3" t="s">
        <v>91</v>
      </c>
      <c r="B194" s="49">
        <v>23712</v>
      </c>
      <c r="F194" s="3">
        <v>14.04889</v>
      </c>
      <c r="G194" s="3">
        <v>27.239730000000002</v>
      </c>
      <c r="M194" s="3">
        <v>25.97101</v>
      </c>
      <c r="S194" s="3">
        <v>9.4990469999999991</v>
      </c>
      <c r="AE194" s="3">
        <v>4.6448609999999997</v>
      </c>
      <c r="AF194" s="3">
        <v>22.867059999999999</v>
      </c>
      <c r="AL194" s="3">
        <v>16.337689999999998</v>
      </c>
      <c r="AX194" s="3">
        <v>13.416090000000001</v>
      </c>
    </row>
    <row r="195" spans="1:50" x14ac:dyDescent="0.2">
      <c r="A195" s="3" t="s">
        <v>92</v>
      </c>
      <c r="B195" s="49">
        <v>23743</v>
      </c>
      <c r="F195" s="3">
        <v>14.05315</v>
      </c>
      <c r="G195" s="3">
        <v>27.277419999999999</v>
      </c>
      <c r="M195" s="3">
        <v>25.993179999999999</v>
      </c>
      <c r="S195" s="3">
        <v>9.5902399999999997</v>
      </c>
      <c r="AE195" s="3">
        <v>4.6708939999999997</v>
      </c>
      <c r="AF195" s="3">
        <v>23.25638</v>
      </c>
      <c r="AL195" s="3">
        <v>16.351230000000001</v>
      </c>
      <c r="AX195" s="3">
        <v>13.457369999999999</v>
      </c>
    </row>
    <row r="196" spans="1:50" x14ac:dyDescent="0.2">
      <c r="A196" s="3" t="s">
        <v>93</v>
      </c>
      <c r="B196" s="49">
        <v>23774</v>
      </c>
      <c r="F196" s="3">
        <v>14.040699999999999</v>
      </c>
      <c r="G196" s="3">
        <v>27.424610000000001</v>
      </c>
      <c r="M196" s="3">
        <v>26.017099999999999</v>
      </c>
      <c r="S196" s="3">
        <v>9.5740309999999997</v>
      </c>
      <c r="AE196" s="3">
        <v>4.6830020000000001</v>
      </c>
      <c r="AF196" s="3">
        <v>23.214210000000001</v>
      </c>
      <c r="AL196" s="3">
        <v>16.47475</v>
      </c>
      <c r="AX196" s="3">
        <v>13.457369999999999</v>
      </c>
    </row>
    <row r="197" spans="1:50" x14ac:dyDescent="0.2">
      <c r="A197" s="3" t="s">
        <v>94</v>
      </c>
      <c r="B197" s="49">
        <v>23802</v>
      </c>
      <c r="F197" s="3">
        <v>14.04889</v>
      </c>
      <c r="G197" s="3">
        <v>27.434059999999999</v>
      </c>
      <c r="M197" s="3">
        <v>26.148389999999999</v>
      </c>
      <c r="S197" s="3">
        <v>9.6328040000000001</v>
      </c>
      <c r="AE197" s="3">
        <v>4.6932479999999996</v>
      </c>
      <c r="AF197" s="3">
        <v>23.322089999999999</v>
      </c>
      <c r="AL197" s="3">
        <v>16.57197</v>
      </c>
      <c r="AX197" s="3">
        <v>13.457369999999999</v>
      </c>
    </row>
    <row r="198" spans="1:50" x14ac:dyDescent="0.2">
      <c r="A198" s="3" t="s">
        <v>95</v>
      </c>
      <c r="B198" s="49">
        <v>23833</v>
      </c>
      <c r="F198" s="3">
        <v>14.151339999999999</v>
      </c>
      <c r="G198" s="3">
        <v>27.537680000000002</v>
      </c>
      <c r="M198" s="3">
        <v>26.207909999999998</v>
      </c>
      <c r="S198" s="3">
        <v>9.7239959999999996</v>
      </c>
      <c r="AE198" s="3">
        <v>4.6995449999999996</v>
      </c>
      <c r="AF198" s="3">
        <v>23.80639</v>
      </c>
      <c r="AL198" s="3">
        <v>16.699870000000001</v>
      </c>
      <c r="AX198" s="3">
        <v>13.49865</v>
      </c>
    </row>
    <row r="199" spans="1:50" x14ac:dyDescent="0.2">
      <c r="A199" s="3" t="s">
        <v>96</v>
      </c>
      <c r="B199" s="49">
        <v>23863</v>
      </c>
      <c r="F199" s="3">
        <v>14.118259999999999</v>
      </c>
      <c r="G199" s="3">
        <v>27.919550000000001</v>
      </c>
      <c r="M199" s="3">
        <v>26.267569999999999</v>
      </c>
      <c r="S199" s="3">
        <v>9.7077869999999997</v>
      </c>
      <c r="AE199" s="3">
        <v>4.708189</v>
      </c>
      <c r="AF199" s="3">
        <v>23.76266</v>
      </c>
      <c r="AL199" s="3">
        <v>16.756039999999999</v>
      </c>
      <c r="AX199" s="3">
        <v>13.49865</v>
      </c>
    </row>
    <row r="200" spans="1:50" x14ac:dyDescent="0.2">
      <c r="A200" s="3" t="s">
        <v>97</v>
      </c>
      <c r="B200" s="49">
        <v>23894</v>
      </c>
      <c r="F200" s="3">
        <v>14.273389999999999</v>
      </c>
      <c r="G200" s="3">
        <v>27.997699999999998</v>
      </c>
      <c r="M200" s="3">
        <v>26.441459999999999</v>
      </c>
      <c r="S200" s="3">
        <v>9.7665600000000001</v>
      </c>
      <c r="AE200" s="3">
        <v>4.7159870000000002</v>
      </c>
      <c r="AF200" s="3">
        <v>23.825869999999998</v>
      </c>
      <c r="AL200" s="3">
        <v>16.792020000000001</v>
      </c>
      <c r="AX200" s="3">
        <v>13.49865</v>
      </c>
    </row>
    <row r="201" spans="1:50" x14ac:dyDescent="0.2">
      <c r="A201" s="3" t="s">
        <v>98</v>
      </c>
      <c r="B201" s="49">
        <v>23924</v>
      </c>
      <c r="F201" s="3">
        <v>14.24424</v>
      </c>
      <c r="G201" s="3">
        <v>28.062899999999999</v>
      </c>
      <c r="M201" s="3">
        <v>26.472090000000001</v>
      </c>
      <c r="S201" s="3">
        <v>9.8415429999999997</v>
      </c>
      <c r="AE201" s="3">
        <v>4.7330550000000002</v>
      </c>
      <c r="AF201" s="3">
        <v>23.73686</v>
      </c>
      <c r="AL201" s="3">
        <v>16.693020000000001</v>
      </c>
      <c r="AX201" s="3">
        <v>13.49865</v>
      </c>
    </row>
    <row r="202" spans="1:50" x14ac:dyDescent="0.2">
      <c r="A202" s="3" t="s">
        <v>99</v>
      </c>
      <c r="B202" s="49">
        <v>23955</v>
      </c>
      <c r="F202" s="3">
        <v>14.28157</v>
      </c>
      <c r="G202" s="3">
        <v>28.229839999999999</v>
      </c>
      <c r="M202" s="3">
        <v>26.51484</v>
      </c>
      <c r="S202" s="3">
        <v>9.8415429999999997</v>
      </c>
      <c r="AE202" s="3">
        <v>4.7412140000000003</v>
      </c>
      <c r="AF202" s="3">
        <v>23.82039</v>
      </c>
      <c r="AL202" s="3">
        <v>16.842739999999999</v>
      </c>
      <c r="AX202" s="3">
        <v>13.49865</v>
      </c>
    </row>
    <row r="203" spans="1:50" x14ac:dyDescent="0.2">
      <c r="A203" s="3" t="s">
        <v>100</v>
      </c>
      <c r="B203" s="49">
        <v>23986</v>
      </c>
      <c r="F203" s="3">
        <v>14.29827</v>
      </c>
      <c r="G203" s="3">
        <v>28.28753</v>
      </c>
      <c r="M203" s="3">
        <v>26.516590000000001</v>
      </c>
      <c r="S203" s="3">
        <v>9.7665600000000001</v>
      </c>
      <c r="AE203" s="3">
        <v>4.7552690000000002</v>
      </c>
      <c r="AF203" s="3">
        <v>24.11777</v>
      </c>
      <c r="AL203" s="3">
        <v>16.913489999999999</v>
      </c>
      <c r="AX203" s="3">
        <v>13.53993</v>
      </c>
    </row>
    <row r="204" spans="1:50" x14ac:dyDescent="0.2">
      <c r="A204" s="3" t="s">
        <v>101</v>
      </c>
      <c r="B204" s="49">
        <v>24016</v>
      </c>
      <c r="F204" s="3">
        <v>14.31072</v>
      </c>
      <c r="G204" s="3">
        <v>28.35539</v>
      </c>
      <c r="M204" s="3">
        <v>26.65138</v>
      </c>
      <c r="S204" s="3">
        <v>9.9327349999999992</v>
      </c>
      <c r="AE204" s="3">
        <v>4.7576599999999996</v>
      </c>
      <c r="AF204" s="3">
        <v>24.47288</v>
      </c>
      <c r="AL204" s="3">
        <v>16.94509</v>
      </c>
      <c r="AX204" s="3">
        <v>13.58121</v>
      </c>
    </row>
    <row r="205" spans="1:50" x14ac:dyDescent="0.2">
      <c r="A205" s="3" t="s">
        <v>102</v>
      </c>
      <c r="B205" s="49">
        <v>24047</v>
      </c>
      <c r="F205" s="3">
        <v>14.37584</v>
      </c>
      <c r="G205" s="3">
        <v>28.546959999999999</v>
      </c>
      <c r="M205" s="3">
        <v>26.746780000000001</v>
      </c>
      <c r="S205" s="3">
        <v>9.9430890000000005</v>
      </c>
      <c r="AE205" s="3">
        <v>4.776065</v>
      </c>
      <c r="AF205" s="3">
        <v>24.298539999999999</v>
      </c>
      <c r="AL205" s="3">
        <v>17.013819999999999</v>
      </c>
      <c r="AX205" s="3">
        <v>13.58121</v>
      </c>
    </row>
    <row r="206" spans="1:50" x14ac:dyDescent="0.2">
      <c r="A206" s="3" t="s">
        <v>103</v>
      </c>
      <c r="B206" s="49">
        <v>24077</v>
      </c>
      <c r="F206" s="3">
        <v>14.44096</v>
      </c>
      <c r="G206" s="3">
        <v>28.595749999999999</v>
      </c>
      <c r="M206" s="3">
        <v>26.884930000000001</v>
      </c>
      <c r="S206" s="3">
        <v>9.9430890000000005</v>
      </c>
      <c r="AE206" s="3">
        <v>4.7937089999999998</v>
      </c>
      <c r="AF206" s="3">
        <v>24.434899999999999</v>
      </c>
      <c r="AL206" s="3">
        <v>17.03265</v>
      </c>
      <c r="AX206" s="3">
        <v>13.622490000000001</v>
      </c>
    </row>
    <row r="207" spans="1:50" x14ac:dyDescent="0.2">
      <c r="A207" s="3" t="s">
        <v>104</v>
      </c>
      <c r="B207" s="49">
        <v>24108</v>
      </c>
      <c r="F207" s="3">
        <v>14.44096</v>
      </c>
      <c r="G207" s="3">
        <v>28.710750000000001</v>
      </c>
      <c r="M207" s="3">
        <v>27.052109999999999</v>
      </c>
      <c r="S207" s="3">
        <v>9.9430890000000005</v>
      </c>
      <c r="AE207" s="3">
        <v>4.806432</v>
      </c>
      <c r="AF207" s="3">
        <v>24.60125</v>
      </c>
      <c r="AL207" s="3">
        <v>17.335470000000001</v>
      </c>
      <c r="AX207" s="3">
        <v>13.58121</v>
      </c>
    </row>
    <row r="208" spans="1:50" x14ac:dyDescent="0.2">
      <c r="A208" s="3" t="s">
        <v>105</v>
      </c>
      <c r="B208" s="49">
        <v>24139</v>
      </c>
      <c r="F208" s="3">
        <v>14.518520000000001</v>
      </c>
      <c r="G208" s="3">
        <v>28.835429999999999</v>
      </c>
      <c r="M208" s="3">
        <v>27.130590000000002</v>
      </c>
      <c r="S208" s="3">
        <v>9.9372330000000009</v>
      </c>
      <c r="AE208" s="3">
        <v>4.809755</v>
      </c>
      <c r="AF208" s="3">
        <v>24.743089999999999</v>
      </c>
      <c r="AL208" s="3">
        <v>17.605080000000001</v>
      </c>
      <c r="AX208" s="3">
        <v>13.622490000000001</v>
      </c>
    </row>
    <row r="209" spans="1:50" x14ac:dyDescent="0.2">
      <c r="A209" s="3" t="s">
        <v>106</v>
      </c>
      <c r="B209" s="49">
        <v>24167</v>
      </c>
      <c r="F209" s="3">
        <v>14.583640000000001</v>
      </c>
      <c r="G209" s="3">
        <v>28.865369999999999</v>
      </c>
      <c r="M209" s="3">
        <v>27.195360000000001</v>
      </c>
      <c r="S209" s="3">
        <v>10.006360000000001</v>
      </c>
      <c r="AE209" s="3">
        <v>4.8084680000000004</v>
      </c>
      <c r="AF209" s="3">
        <v>24.928809999999999</v>
      </c>
      <c r="AL209" s="3">
        <v>17.721399999999999</v>
      </c>
      <c r="AX209" s="3">
        <v>13.66377</v>
      </c>
    </row>
    <row r="210" spans="1:50" x14ac:dyDescent="0.2">
      <c r="A210" s="3" t="s">
        <v>107</v>
      </c>
      <c r="B210" s="49">
        <v>24198</v>
      </c>
      <c r="F210" s="3">
        <v>14.677899999999999</v>
      </c>
      <c r="G210" s="3">
        <v>28.911919999999999</v>
      </c>
      <c r="M210" s="3">
        <v>27.422059999999998</v>
      </c>
      <c r="S210" s="3">
        <v>10.081340000000001</v>
      </c>
      <c r="AE210" s="3">
        <v>4.8225230000000003</v>
      </c>
      <c r="AF210" s="3">
        <v>25.253399999999999</v>
      </c>
      <c r="AL210" s="3">
        <v>17.844629999999999</v>
      </c>
      <c r="AX210" s="3">
        <v>13.74633</v>
      </c>
    </row>
    <row r="211" spans="1:50" x14ac:dyDescent="0.2">
      <c r="A211" s="3" t="s">
        <v>108</v>
      </c>
      <c r="B211" s="49">
        <v>24228</v>
      </c>
      <c r="F211" s="3">
        <v>14.677899999999999</v>
      </c>
      <c r="G211" s="3">
        <v>29.401879999999998</v>
      </c>
      <c r="M211" s="3">
        <v>27.40324</v>
      </c>
      <c r="S211" s="3">
        <v>10.12391</v>
      </c>
      <c r="AE211" s="3">
        <v>4.8288200000000003</v>
      </c>
      <c r="AF211" s="3">
        <v>25.200479999999999</v>
      </c>
      <c r="AL211" s="3">
        <v>17.859649999999998</v>
      </c>
      <c r="AX211" s="3">
        <v>13.787610000000001</v>
      </c>
    </row>
    <row r="212" spans="1:50" x14ac:dyDescent="0.2">
      <c r="A212" s="3" t="s">
        <v>109</v>
      </c>
      <c r="B212" s="49">
        <v>24259</v>
      </c>
      <c r="F212" s="3">
        <v>14.767899999999999</v>
      </c>
      <c r="G212" s="3">
        <v>29.36985</v>
      </c>
      <c r="M212" s="3">
        <v>27.4101</v>
      </c>
      <c r="S212" s="3">
        <v>10.12391</v>
      </c>
      <c r="AE212" s="3">
        <v>4.8309530000000001</v>
      </c>
      <c r="AF212" s="3">
        <v>25.272950000000002</v>
      </c>
      <c r="AL212" s="3">
        <v>17.928260000000002</v>
      </c>
      <c r="AX212" s="3">
        <v>13.828889999999999</v>
      </c>
    </row>
    <row r="213" spans="1:50" x14ac:dyDescent="0.2">
      <c r="A213" s="3" t="s">
        <v>110</v>
      </c>
      <c r="B213" s="49">
        <v>24289</v>
      </c>
      <c r="F213" s="3">
        <v>14.767899999999999</v>
      </c>
      <c r="G213" s="3">
        <v>29.381530000000001</v>
      </c>
      <c r="M213" s="3">
        <v>27.428920000000002</v>
      </c>
      <c r="S213" s="3">
        <v>10.11805</v>
      </c>
      <c r="AE213" s="3">
        <v>4.8345019999999996</v>
      </c>
      <c r="AF213" s="3">
        <v>25.353819999999999</v>
      </c>
      <c r="AL213" s="3">
        <v>17.764099999999999</v>
      </c>
      <c r="AX213" s="3">
        <v>13.87017</v>
      </c>
    </row>
    <row r="214" spans="1:50" x14ac:dyDescent="0.2">
      <c r="A214" s="3" t="s">
        <v>111</v>
      </c>
      <c r="B214" s="49">
        <v>24320</v>
      </c>
      <c r="F214" s="3">
        <v>14.80813</v>
      </c>
      <c r="G214" s="3">
        <v>29.49483</v>
      </c>
      <c r="M214" s="3">
        <v>27.401779999999999</v>
      </c>
      <c r="S214" s="3">
        <v>10.2151</v>
      </c>
      <c r="AE214" s="3">
        <v>4.8487869999999997</v>
      </c>
      <c r="AF214" s="3">
        <v>25.185410000000001</v>
      </c>
      <c r="AL214" s="3">
        <v>17.857700000000001</v>
      </c>
      <c r="AX214" s="3">
        <v>13.91145</v>
      </c>
    </row>
    <row r="215" spans="1:50" x14ac:dyDescent="0.2">
      <c r="A215" s="3" t="s">
        <v>112</v>
      </c>
      <c r="B215" s="49">
        <v>24351</v>
      </c>
      <c r="F215" s="3">
        <v>14.845470000000001</v>
      </c>
      <c r="G215" s="3">
        <v>29.507190000000001</v>
      </c>
      <c r="M215" s="3">
        <v>27.391570000000002</v>
      </c>
      <c r="S215" s="3">
        <v>10.28872</v>
      </c>
      <c r="AE215" s="3">
        <v>4.8562010000000004</v>
      </c>
      <c r="AF215" s="3">
        <v>25.457319999999999</v>
      </c>
      <c r="AL215" s="3">
        <v>17.903400000000001</v>
      </c>
      <c r="AX215" s="3">
        <v>13.952730000000001</v>
      </c>
    </row>
    <row r="216" spans="1:50" x14ac:dyDescent="0.2">
      <c r="A216" s="3" t="s">
        <v>113</v>
      </c>
      <c r="B216" s="49">
        <v>24381</v>
      </c>
      <c r="F216" s="3">
        <v>14.862170000000001</v>
      </c>
      <c r="G216" s="3">
        <v>29.54955</v>
      </c>
      <c r="M216" s="3">
        <v>27.45984</v>
      </c>
      <c r="S216" s="3">
        <v>10.287369999999999</v>
      </c>
      <c r="AE216" s="3">
        <v>4.8695560000000002</v>
      </c>
      <c r="AF216" s="3">
        <v>25.584800000000001</v>
      </c>
      <c r="AL216" s="3">
        <v>17.91273</v>
      </c>
      <c r="AX216" s="3">
        <v>14.03529</v>
      </c>
    </row>
    <row r="217" spans="1:50" x14ac:dyDescent="0.2">
      <c r="A217" s="3" t="s">
        <v>114</v>
      </c>
      <c r="B217" s="49">
        <v>24412</v>
      </c>
      <c r="F217" s="3">
        <v>14.874610000000001</v>
      </c>
      <c r="G217" s="3">
        <v>29.879629999999999</v>
      </c>
      <c r="M217" s="3">
        <v>27.741250000000001</v>
      </c>
      <c r="S217" s="3">
        <v>10.35064</v>
      </c>
      <c r="AE217" s="3">
        <v>4.8948280000000004</v>
      </c>
      <c r="AF217" s="3">
        <v>25.442969999999999</v>
      </c>
      <c r="AL217" s="3">
        <v>17.929880000000001</v>
      </c>
      <c r="AX217" s="3">
        <v>14.07657</v>
      </c>
    </row>
    <row r="218" spans="1:50" x14ac:dyDescent="0.2">
      <c r="A218" s="3" t="s">
        <v>115</v>
      </c>
      <c r="B218" s="49">
        <v>24442</v>
      </c>
      <c r="F218" s="3">
        <v>14.97706</v>
      </c>
      <c r="G218" s="3">
        <v>29.957509999999999</v>
      </c>
      <c r="M218" s="3">
        <v>27.7958</v>
      </c>
      <c r="S218" s="3">
        <v>10.44183</v>
      </c>
      <c r="AE218" s="3">
        <v>4.9370479999999999</v>
      </c>
      <c r="AF218" s="3">
        <v>25.673210000000001</v>
      </c>
      <c r="AL218" s="3">
        <v>17.915900000000001</v>
      </c>
      <c r="AX218" s="3">
        <v>14.07657</v>
      </c>
    </row>
    <row r="219" spans="1:50" x14ac:dyDescent="0.2">
      <c r="A219" s="3" t="s">
        <v>116</v>
      </c>
      <c r="B219" s="49">
        <v>24473</v>
      </c>
      <c r="F219" s="3">
        <v>14.97706</v>
      </c>
      <c r="G219" s="3">
        <v>30.042580000000001</v>
      </c>
      <c r="M219" s="3">
        <v>27.881139999999998</v>
      </c>
      <c r="S219" s="3">
        <v>10.510960000000001</v>
      </c>
      <c r="AE219" s="3">
        <v>5.0005689999999996</v>
      </c>
      <c r="AF219" s="3">
        <v>25.88542</v>
      </c>
      <c r="AI219" s="3">
        <v>18.213010000000001</v>
      </c>
      <c r="AL219" s="3">
        <v>18.07424</v>
      </c>
      <c r="AX219" s="3">
        <v>14.07657</v>
      </c>
    </row>
    <row r="220" spans="1:50" x14ac:dyDescent="0.2">
      <c r="A220" s="3" t="s">
        <v>117</v>
      </c>
      <c r="B220" s="49">
        <v>24504</v>
      </c>
      <c r="F220" s="3">
        <v>15.001950000000001</v>
      </c>
      <c r="G220" s="3">
        <v>30.00376</v>
      </c>
      <c r="M220" s="3">
        <v>27.89311</v>
      </c>
      <c r="S220" s="3">
        <v>10.505100000000001</v>
      </c>
      <c r="AE220" s="3">
        <v>5.0234059999999996</v>
      </c>
      <c r="AF220" s="3">
        <v>25.949349999999999</v>
      </c>
      <c r="AI220" s="3">
        <v>18.207159999999998</v>
      </c>
      <c r="AL220" s="3">
        <v>18.239439999999998</v>
      </c>
      <c r="AX220" s="3">
        <v>14.117850000000001</v>
      </c>
    </row>
    <row r="221" spans="1:50" x14ac:dyDescent="0.2">
      <c r="A221" s="3" t="s">
        <v>118</v>
      </c>
      <c r="B221" s="49">
        <v>24532</v>
      </c>
      <c r="F221" s="3">
        <v>15.108650000000001</v>
      </c>
      <c r="G221" s="3">
        <v>30.025919999999999</v>
      </c>
      <c r="M221" s="3">
        <v>27.952770000000001</v>
      </c>
      <c r="S221" s="3">
        <v>10.47401</v>
      </c>
      <c r="AE221" s="3">
        <v>5.0350820000000001</v>
      </c>
      <c r="AF221" s="3">
        <v>26.011430000000001</v>
      </c>
      <c r="AI221" s="3">
        <v>18.267759999999999</v>
      </c>
      <c r="AL221" s="3">
        <v>18.348510000000001</v>
      </c>
      <c r="AX221" s="3">
        <v>14.159129999999999</v>
      </c>
    </row>
    <row r="222" spans="1:50" x14ac:dyDescent="0.2">
      <c r="A222" s="3" t="s">
        <v>119</v>
      </c>
      <c r="B222" s="49">
        <v>24563</v>
      </c>
      <c r="F222" s="3">
        <v>15.186540000000001</v>
      </c>
      <c r="G222" s="3">
        <v>30.08231</v>
      </c>
      <c r="M222" s="3">
        <v>28.01915</v>
      </c>
      <c r="S222" s="3">
        <v>10.47401</v>
      </c>
      <c r="AE222" s="3">
        <v>5.0413649999999999</v>
      </c>
      <c r="AF222" s="3">
        <v>26.188739999999999</v>
      </c>
      <c r="AI222" s="3">
        <v>18.325389999999999</v>
      </c>
      <c r="AL222" s="3">
        <v>18.482569999999999</v>
      </c>
      <c r="AX222" s="3">
        <v>14.20041</v>
      </c>
    </row>
    <row r="223" spans="1:50" x14ac:dyDescent="0.2">
      <c r="A223" s="3" t="s">
        <v>120</v>
      </c>
      <c r="B223" s="49">
        <v>24593</v>
      </c>
      <c r="F223" s="3">
        <v>15.280799999999999</v>
      </c>
      <c r="G223" s="3">
        <v>30.475930000000002</v>
      </c>
      <c r="M223" s="3">
        <v>28.078810000000001</v>
      </c>
      <c r="S223" s="3">
        <v>10.61359</v>
      </c>
      <c r="AE223" s="3">
        <v>5.055326</v>
      </c>
      <c r="AF223" s="3">
        <v>26.110969999999998</v>
      </c>
      <c r="AI223" s="3">
        <v>18.366890000000001</v>
      </c>
      <c r="AL223" s="3">
        <v>18.486699999999999</v>
      </c>
      <c r="AX223" s="3">
        <v>14.24169</v>
      </c>
    </row>
    <row r="224" spans="1:50" x14ac:dyDescent="0.2">
      <c r="A224" s="3" t="s">
        <v>121</v>
      </c>
      <c r="B224" s="49">
        <v>24624</v>
      </c>
      <c r="F224" s="3">
        <v>15.358370000000001</v>
      </c>
      <c r="G224" s="3">
        <v>30.58419</v>
      </c>
      <c r="M224" s="3">
        <v>28.03782</v>
      </c>
      <c r="S224" s="3">
        <v>10.61359</v>
      </c>
      <c r="AE224" s="3">
        <v>5.0675119999999998</v>
      </c>
      <c r="AF224" s="3">
        <v>26.04457</v>
      </c>
      <c r="AI224" s="3">
        <v>18.338760000000001</v>
      </c>
      <c r="AL224" s="3">
        <v>18.471219999999999</v>
      </c>
      <c r="AX224" s="3">
        <v>14.282970000000001</v>
      </c>
    </row>
    <row r="225" spans="1:50" x14ac:dyDescent="0.2">
      <c r="A225" s="3" t="s">
        <v>122</v>
      </c>
      <c r="B225" s="49">
        <v>24654</v>
      </c>
      <c r="F225" s="3">
        <v>15.3986</v>
      </c>
      <c r="G225" s="3">
        <v>30.64085</v>
      </c>
      <c r="M225" s="3">
        <v>28.031110000000002</v>
      </c>
      <c r="S225" s="3">
        <v>10.5825</v>
      </c>
      <c r="AE225" s="3">
        <v>5.0734170000000001</v>
      </c>
      <c r="AF225" s="3">
        <v>26.014279999999999</v>
      </c>
      <c r="AI225" s="3">
        <v>18.534369999999999</v>
      </c>
      <c r="AL225" s="3">
        <v>18.563659999999999</v>
      </c>
      <c r="AX225" s="3">
        <v>14.324249999999999</v>
      </c>
    </row>
    <row r="226" spans="1:50" x14ac:dyDescent="0.2">
      <c r="A226" s="3" t="s">
        <v>123</v>
      </c>
      <c r="B226" s="49">
        <v>24685</v>
      </c>
      <c r="F226" s="3">
        <v>15.4719</v>
      </c>
      <c r="G226" s="3">
        <v>30.742229999999999</v>
      </c>
      <c r="M226" s="3">
        <v>27.95628</v>
      </c>
      <c r="S226" s="3">
        <v>10.69685</v>
      </c>
      <c r="AE226" s="3">
        <v>5.0793160000000004</v>
      </c>
      <c r="AF226" s="3">
        <v>26.139669999999999</v>
      </c>
      <c r="AI226" s="3">
        <v>18.541830000000001</v>
      </c>
      <c r="AL226" s="3">
        <v>18.67971</v>
      </c>
      <c r="AX226" s="3">
        <v>14.36553</v>
      </c>
    </row>
    <row r="227" spans="1:50" x14ac:dyDescent="0.2">
      <c r="A227" s="3" t="s">
        <v>124</v>
      </c>
      <c r="B227" s="49">
        <v>24716</v>
      </c>
      <c r="F227" s="3">
        <v>15.52168</v>
      </c>
      <c r="G227" s="3">
        <v>30.678159999999998</v>
      </c>
      <c r="M227" s="3">
        <v>27.968240000000002</v>
      </c>
      <c r="S227" s="3">
        <v>10.785959999999999</v>
      </c>
      <c r="AE227" s="3">
        <v>5.1080519999999998</v>
      </c>
      <c r="AF227" s="3">
        <v>26.528189999999999</v>
      </c>
      <c r="AI227" s="3">
        <v>18.652550000000002</v>
      </c>
      <c r="AL227" s="3">
        <v>18.76024</v>
      </c>
      <c r="AX227" s="3">
        <v>14.448090000000001</v>
      </c>
    </row>
    <row r="228" spans="1:50" x14ac:dyDescent="0.2">
      <c r="A228" s="3" t="s">
        <v>125</v>
      </c>
      <c r="B228" s="49">
        <v>24746</v>
      </c>
      <c r="F228" s="3">
        <v>15.546559999999999</v>
      </c>
      <c r="G228" s="3">
        <v>30.660990000000002</v>
      </c>
      <c r="M228" s="3">
        <v>28.043369999999999</v>
      </c>
      <c r="S228" s="3">
        <v>10.785959999999999</v>
      </c>
      <c r="AE228" s="3">
        <v>5.1079850000000002</v>
      </c>
      <c r="AF228" s="3">
        <v>26.8749</v>
      </c>
      <c r="AI228" s="3">
        <v>18.669979999999999</v>
      </c>
      <c r="AL228" s="3">
        <v>18.820450000000001</v>
      </c>
      <c r="AX228" s="3">
        <v>14.53065</v>
      </c>
    </row>
    <row r="229" spans="1:50" x14ac:dyDescent="0.2">
      <c r="A229" s="3" t="s">
        <v>126</v>
      </c>
      <c r="B229" s="49">
        <v>24777</v>
      </c>
      <c r="F229" s="3">
        <v>15.53412</v>
      </c>
      <c r="G229" s="3">
        <v>31.002210000000002</v>
      </c>
      <c r="M229" s="3">
        <v>28.10989</v>
      </c>
      <c r="S229" s="3">
        <v>11.117290000000001</v>
      </c>
      <c r="AE229" s="3">
        <v>5.1178140000000001</v>
      </c>
      <c r="AF229" s="3">
        <v>26.87773</v>
      </c>
      <c r="AI229" s="3">
        <v>18.711580000000001</v>
      </c>
      <c r="AL229" s="3">
        <v>18.825569999999999</v>
      </c>
      <c r="AX229" s="3">
        <v>14.57193</v>
      </c>
    </row>
    <row r="230" spans="1:50" x14ac:dyDescent="0.2">
      <c r="A230" s="3" t="s">
        <v>127</v>
      </c>
      <c r="B230" s="49">
        <v>24807</v>
      </c>
      <c r="F230" s="3">
        <v>15.624129999999999</v>
      </c>
      <c r="G230" s="3">
        <v>31.048770000000001</v>
      </c>
      <c r="M230" s="3">
        <v>28.111640000000001</v>
      </c>
      <c r="S230" s="3">
        <v>11.21003</v>
      </c>
      <c r="AE230" s="3">
        <v>5.1200349999999997</v>
      </c>
      <c r="AF230" s="3">
        <v>27.088180000000001</v>
      </c>
      <c r="AI230" s="3">
        <v>18.73826</v>
      </c>
      <c r="AL230" s="3">
        <v>18.814170000000001</v>
      </c>
      <c r="AX230" s="3">
        <v>14.61321</v>
      </c>
    </row>
    <row r="231" spans="1:50" x14ac:dyDescent="0.2">
      <c r="A231" s="3" t="s">
        <v>128</v>
      </c>
      <c r="B231" s="49">
        <v>24838</v>
      </c>
      <c r="F231" s="3">
        <v>15.68106</v>
      </c>
      <c r="G231" s="3">
        <v>31.07995</v>
      </c>
      <c r="M231" s="3">
        <v>28.31645</v>
      </c>
      <c r="S231" s="3">
        <v>11.409979999999999</v>
      </c>
      <c r="AE231" s="3">
        <v>5.1317079999999997</v>
      </c>
      <c r="AF231" s="3">
        <v>27.232479999999999</v>
      </c>
      <c r="AI231" s="3">
        <v>18.75291</v>
      </c>
      <c r="AL231" s="3">
        <v>18.954899999999999</v>
      </c>
      <c r="AX231" s="3">
        <v>14.654489999999999</v>
      </c>
    </row>
    <row r="232" spans="1:50" x14ac:dyDescent="0.2">
      <c r="A232" s="3" t="s">
        <v>129</v>
      </c>
      <c r="B232" s="49">
        <v>24869</v>
      </c>
      <c r="F232" s="3">
        <v>15.6935</v>
      </c>
      <c r="G232" s="3">
        <v>31.141020000000001</v>
      </c>
      <c r="M232" s="3">
        <v>28.430820000000001</v>
      </c>
      <c r="S232" s="3">
        <v>11.472569999999999</v>
      </c>
      <c r="AE232" s="3">
        <v>5.1339259999999998</v>
      </c>
      <c r="AF232" s="3">
        <v>27.299379999999999</v>
      </c>
      <c r="AI232" s="3">
        <v>18.82771</v>
      </c>
      <c r="AL232" s="3">
        <v>19.089479999999998</v>
      </c>
      <c r="AX232" s="3">
        <v>14.695779999999999</v>
      </c>
    </row>
    <row r="233" spans="1:50" x14ac:dyDescent="0.2">
      <c r="A233" s="3" t="s">
        <v>130</v>
      </c>
      <c r="B233" s="49">
        <v>24898</v>
      </c>
      <c r="F233" s="3">
        <v>15.81265</v>
      </c>
      <c r="G233" s="3">
        <v>31.085360000000001</v>
      </c>
      <c r="M233" s="3">
        <v>28.43928</v>
      </c>
      <c r="S233" s="3">
        <v>11.58821</v>
      </c>
      <c r="AE233" s="3">
        <v>5.1402060000000001</v>
      </c>
      <c r="AF233" s="3">
        <v>27.3659</v>
      </c>
      <c r="AI233" s="3">
        <v>18.844460000000002</v>
      </c>
      <c r="AL233" s="3">
        <v>19.203209999999999</v>
      </c>
      <c r="AX233" s="3">
        <v>14.77834</v>
      </c>
    </row>
    <row r="234" spans="1:50" x14ac:dyDescent="0.2">
      <c r="A234" s="3" t="s">
        <v>131</v>
      </c>
      <c r="B234" s="49">
        <v>24929</v>
      </c>
      <c r="F234" s="3">
        <v>15.779579999999999</v>
      </c>
      <c r="G234" s="3">
        <v>31.114999999999998</v>
      </c>
      <c r="M234" s="3">
        <v>28.469919999999998</v>
      </c>
      <c r="S234" s="3">
        <v>11.60754</v>
      </c>
      <c r="AE234" s="3">
        <v>5.1527719999999997</v>
      </c>
      <c r="AF234" s="3">
        <v>27.54025</v>
      </c>
      <c r="AI234" s="3">
        <v>18.8949</v>
      </c>
      <c r="AL234" s="3">
        <v>19.298300000000001</v>
      </c>
      <c r="AX234" s="3">
        <v>14.81962</v>
      </c>
    </row>
    <row r="235" spans="1:50" x14ac:dyDescent="0.2">
      <c r="A235" s="3" t="s">
        <v>132</v>
      </c>
      <c r="B235" s="49">
        <v>24959</v>
      </c>
      <c r="F235" s="3">
        <v>15.796279999999999</v>
      </c>
      <c r="G235" s="3">
        <v>31.34872</v>
      </c>
      <c r="M235" s="3">
        <v>28.495450000000002</v>
      </c>
      <c r="S235" s="3">
        <v>11.62149</v>
      </c>
      <c r="AE235" s="3">
        <v>5.159503</v>
      </c>
      <c r="AF235" s="3">
        <v>27.658819999999999</v>
      </c>
      <c r="AI235" s="3">
        <v>18.89106</v>
      </c>
      <c r="AL235" s="3">
        <v>19.34187</v>
      </c>
      <c r="AX235" s="3">
        <v>14.860900000000001</v>
      </c>
    </row>
    <row r="236" spans="1:50" x14ac:dyDescent="0.2">
      <c r="A236" s="3" t="s">
        <v>133</v>
      </c>
      <c r="B236" s="49">
        <v>24990</v>
      </c>
      <c r="F236" s="3">
        <v>15.886279999999999</v>
      </c>
      <c r="G236" s="3">
        <v>31.34582</v>
      </c>
      <c r="M236" s="3">
        <v>28.454460000000001</v>
      </c>
      <c r="S236" s="3">
        <v>11.69397</v>
      </c>
      <c r="AE236" s="3">
        <v>5.1545550000000002</v>
      </c>
      <c r="AF236" s="3">
        <v>27.51559</v>
      </c>
      <c r="AI236" s="3">
        <v>18.900749999999999</v>
      </c>
      <c r="AL236" s="3">
        <v>19.343540000000001</v>
      </c>
      <c r="AX236" s="3">
        <v>14.94346</v>
      </c>
    </row>
    <row r="237" spans="1:50" x14ac:dyDescent="0.2">
      <c r="A237" s="3" t="s">
        <v>134</v>
      </c>
      <c r="B237" s="49">
        <v>25020</v>
      </c>
      <c r="F237" s="3">
        <v>16.053850000000001</v>
      </c>
      <c r="G237" s="3">
        <v>31.332560000000001</v>
      </c>
      <c r="M237" s="3">
        <v>28.497199999999999</v>
      </c>
      <c r="S237" s="3">
        <v>11.71781</v>
      </c>
      <c r="AE237" s="3">
        <v>5.1486530000000004</v>
      </c>
      <c r="AF237" s="3">
        <v>27.516829999999999</v>
      </c>
      <c r="AI237" s="3">
        <v>18.920449999999999</v>
      </c>
      <c r="AL237" s="3">
        <v>19.224689999999999</v>
      </c>
      <c r="AX237" s="3">
        <v>15.026020000000001</v>
      </c>
    </row>
    <row r="238" spans="1:50" x14ac:dyDescent="0.2">
      <c r="A238" s="3" t="s">
        <v>135</v>
      </c>
      <c r="B238" s="49">
        <v>25051</v>
      </c>
      <c r="F238" s="3">
        <v>16.110779999999998</v>
      </c>
      <c r="G238" s="3">
        <v>31.433990000000001</v>
      </c>
      <c r="M238" s="3">
        <v>28.446149999999999</v>
      </c>
      <c r="S238" s="3">
        <v>11.731769999999999</v>
      </c>
      <c r="AE238" s="3">
        <v>5.1499839999999999</v>
      </c>
      <c r="AF238" s="3">
        <v>27.700340000000001</v>
      </c>
      <c r="AI238" s="3">
        <v>18.91095</v>
      </c>
      <c r="AL238" s="3">
        <v>19.3797</v>
      </c>
      <c r="AX238" s="3">
        <v>15.067299999999999</v>
      </c>
    </row>
    <row r="239" spans="1:50" x14ac:dyDescent="0.2">
      <c r="A239" s="3" t="s">
        <v>136</v>
      </c>
      <c r="B239" s="49">
        <v>25082</v>
      </c>
      <c r="F239" s="3">
        <v>16.12322</v>
      </c>
      <c r="G239" s="3">
        <v>31.463100000000001</v>
      </c>
      <c r="M239" s="3">
        <v>28.466719999999999</v>
      </c>
      <c r="S239" s="3">
        <v>11.738519999999999</v>
      </c>
      <c r="AE239" s="3">
        <v>5.1575920000000002</v>
      </c>
      <c r="AF239" s="3">
        <v>28.24034</v>
      </c>
      <c r="AI239" s="3">
        <v>18.94312</v>
      </c>
      <c r="AL239" s="3">
        <v>19.445209999999999</v>
      </c>
      <c r="AX239" s="3">
        <v>15.14986</v>
      </c>
    </row>
    <row r="240" spans="1:50" x14ac:dyDescent="0.2">
      <c r="A240" s="3" t="s">
        <v>137</v>
      </c>
      <c r="B240" s="49">
        <v>25112</v>
      </c>
      <c r="F240" s="3">
        <v>16.148109999999999</v>
      </c>
      <c r="G240" s="3">
        <v>31.512730000000001</v>
      </c>
      <c r="M240" s="3">
        <v>28.488890000000001</v>
      </c>
      <c r="S240" s="3">
        <v>11.775880000000001</v>
      </c>
      <c r="AE240" s="3">
        <v>5.1612090000000004</v>
      </c>
      <c r="AF240" s="3">
        <v>28.270150000000001</v>
      </c>
      <c r="AI240" s="3">
        <v>19.016680000000001</v>
      </c>
      <c r="AL240" s="3">
        <v>19.543469999999999</v>
      </c>
      <c r="AX240" s="3">
        <v>15.232419999999999</v>
      </c>
    </row>
    <row r="241" spans="1:50" x14ac:dyDescent="0.2">
      <c r="A241" s="3" t="s">
        <v>138</v>
      </c>
      <c r="B241" s="49">
        <v>25143</v>
      </c>
      <c r="F241" s="3">
        <v>16.328119999999998</v>
      </c>
      <c r="G241" s="3">
        <v>31.839189999999999</v>
      </c>
      <c r="M241" s="3">
        <v>28.68159</v>
      </c>
      <c r="S241" s="3">
        <v>11.76192</v>
      </c>
      <c r="AE241" s="3">
        <v>5.1675560000000003</v>
      </c>
      <c r="AF241" s="3">
        <v>28.390090000000001</v>
      </c>
      <c r="AI241" s="3">
        <v>19.035630000000001</v>
      </c>
      <c r="AL241" s="3">
        <v>19.551300000000001</v>
      </c>
      <c r="AX241" s="3">
        <v>15.31498</v>
      </c>
    </row>
    <row r="242" spans="1:50" x14ac:dyDescent="0.2">
      <c r="A242" s="3" t="s">
        <v>139</v>
      </c>
      <c r="B242" s="49">
        <v>25173</v>
      </c>
      <c r="F242" s="3">
        <v>16.303239999999999</v>
      </c>
      <c r="G242" s="3">
        <v>31.877659999999999</v>
      </c>
      <c r="M242" s="3">
        <v>28.74126</v>
      </c>
      <c r="S242" s="3">
        <v>11.76192</v>
      </c>
      <c r="AE242" s="3">
        <v>5.1779650000000004</v>
      </c>
      <c r="AF242" s="3">
        <v>28.34507</v>
      </c>
      <c r="AI242" s="3">
        <v>19.093170000000001</v>
      </c>
      <c r="AL242" s="3">
        <v>19.589860000000002</v>
      </c>
      <c r="AX242" s="3">
        <v>15.356260000000001</v>
      </c>
    </row>
    <row r="243" spans="1:50" x14ac:dyDescent="0.2">
      <c r="A243" s="3" t="s">
        <v>140</v>
      </c>
      <c r="B243" s="49">
        <v>25204</v>
      </c>
      <c r="F243" s="3">
        <v>16.29505</v>
      </c>
      <c r="G243" s="3">
        <v>31.925280000000001</v>
      </c>
      <c r="M243" s="3">
        <v>28.765029999999999</v>
      </c>
      <c r="S243" s="3">
        <v>11.810549999999999</v>
      </c>
      <c r="AE243" s="3">
        <v>5.191478</v>
      </c>
      <c r="AF243" s="3">
        <v>28.400590000000001</v>
      </c>
      <c r="AI243" s="3">
        <v>19.122620000000001</v>
      </c>
      <c r="AL243" s="3">
        <v>20.30461</v>
      </c>
      <c r="AX243" s="3">
        <v>15.397539999999999</v>
      </c>
    </row>
    <row r="244" spans="1:50" x14ac:dyDescent="0.2">
      <c r="A244" s="3" t="s">
        <v>141</v>
      </c>
      <c r="B244" s="49">
        <v>25235</v>
      </c>
      <c r="F244" s="3">
        <v>16.319939999999999</v>
      </c>
      <c r="G244" s="3">
        <v>31.99408</v>
      </c>
      <c r="M244" s="3">
        <v>28.940670000000001</v>
      </c>
      <c r="S244" s="3">
        <v>11.810549999999999</v>
      </c>
      <c r="AE244" s="3">
        <v>5.2031479999999997</v>
      </c>
      <c r="AF244" s="3">
        <v>28.37574</v>
      </c>
      <c r="AI244" s="3">
        <v>19.134820000000001</v>
      </c>
      <c r="AL244" s="3">
        <v>20.541460000000001</v>
      </c>
      <c r="AX244" s="3">
        <v>15.4801</v>
      </c>
    </row>
    <row r="245" spans="1:50" x14ac:dyDescent="0.2">
      <c r="A245" s="3" t="s">
        <v>142</v>
      </c>
      <c r="B245" s="49">
        <v>25263</v>
      </c>
      <c r="F245" s="3">
        <v>16.42239</v>
      </c>
      <c r="G245" s="3">
        <v>32.002299999999998</v>
      </c>
      <c r="M245" s="3">
        <v>28.98837</v>
      </c>
      <c r="S245" s="3">
        <v>11.791219999999999</v>
      </c>
      <c r="AE245" s="3">
        <v>5.2282710000000003</v>
      </c>
      <c r="AF245" s="3">
        <v>28.579029999999999</v>
      </c>
      <c r="AI245" s="3">
        <v>19.171240000000001</v>
      </c>
      <c r="AL245" s="3">
        <v>20.72278</v>
      </c>
      <c r="AX245" s="3">
        <v>15.60394</v>
      </c>
    </row>
    <row r="246" spans="1:50" x14ac:dyDescent="0.2">
      <c r="A246" s="3" t="s">
        <v>143</v>
      </c>
      <c r="B246" s="49">
        <v>25294</v>
      </c>
      <c r="F246" s="3">
        <v>16.70485</v>
      </c>
      <c r="G246" s="3">
        <v>31.991199999999999</v>
      </c>
      <c r="M246" s="3">
        <v>28.995080000000002</v>
      </c>
      <c r="S246" s="3">
        <v>11.84835</v>
      </c>
      <c r="AE246" s="3">
        <v>5.2445139999999997</v>
      </c>
      <c r="AF246" s="3">
        <v>28.953330000000001</v>
      </c>
      <c r="AI246" s="3">
        <v>19.21772</v>
      </c>
      <c r="AL246" s="3">
        <v>20.944089999999999</v>
      </c>
      <c r="AX246" s="3">
        <v>15.727779999999999</v>
      </c>
    </row>
    <row r="247" spans="1:50" x14ac:dyDescent="0.2">
      <c r="A247" s="3" t="s">
        <v>144</v>
      </c>
      <c r="B247" s="49">
        <v>25324</v>
      </c>
      <c r="F247" s="3">
        <v>16.70485</v>
      </c>
      <c r="G247" s="3">
        <v>32.205069999999999</v>
      </c>
      <c r="M247" s="3">
        <v>29.046140000000001</v>
      </c>
      <c r="S247" s="3">
        <v>11.88754</v>
      </c>
      <c r="AE247" s="3">
        <v>5.2522529999999996</v>
      </c>
      <c r="AF247" s="3">
        <v>29.064119999999999</v>
      </c>
      <c r="AI247" s="3">
        <v>19.291260000000001</v>
      </c>
      <c r="AL247" s="3">
        <v>20.924289999999999</v>
      </c>
      <c r="AX247" s="3">
        <v>15.76906</v>
      </c>
    </row>
    <row r="248" spans="1:50" x14ac:dyDescent="0.2">
      <c r="A248" s="3" t="s">
        <v>145</v>
      </c>
      <c r="B248" s="49">
        <v>25355</v>
      </c>
      <c r="F248" s="3">
        <v>16.745080000000002</v>
      </c>
      <c r="G248" s="3">
        <v>32.307400000000001</v>
      </c>
      <c r="M248" s="3">
        <v>29.05124</v>
      </c>
      <c r="S248" s="3">
        <v>11.89743</v>
      </c>
      <c r="AE248" s="3">
        <v>5.2600559999999996</v>
      </c>
      <c r="AF248" s="3">
        <v>29.080939999999998</v>
      </c>
      <c r="AI248" s="3">
        <v>19.274159999999998</v>
      </c>
      <c r="AL248" s="3">
        <v>20.910299999999999</v>
      </c>
      <c r="AX248" s="3">
        <v>15.81034</v>
      </c>
    </row>
    <row r="249" spans="1:50" x14ac:dyDescent="0.2">
      <c r="A249" s="3" t="s">
        <v>146</v>
      </c>
      <c r="B249" s="49">
        <v>25385</v>
      </c>
      <c r="F249" s="3">
        <v>16.847529999999999</v>
      </c>
      <c r="G249" s="3">
        <v>32.294730000000001</v>
      </c>
      <c r="M249" s="3">
        <v>29.063210000000002</v>
      </c>
      <c r="S249" s="3">
        <v>11.932539999999999</v>
      </c>
      <c r="AE249" s="3">
        <v>5.2888570000000001</v>
      </c>
      <c r="AF249" s="3">
        <v>29.381049999999998</v>
      </c>
      <c r="AI249" s="3">
        <v>19.30762</v>
      </c>
      <c r="AL249" s="3">
        <v>20.690020000000001</v>
      </c>
      <c r="AX249" s="3">
        <v>15.892899999999999</v>
      </c>
    </row>
    <row r="250" spans="1:50" x14ac:dyDescent="0.2">
      <c r="A250" s="3" t="s">
        <v>147</v>
      </c>
      <c r="B250" s="49">
        <v>25416</v>
      </c>
      <c r="F250" s="3">
        <v>16.892019999999999</v>
      </c>
      <c r="G250" s="3">
        <v>32.284379999999999</v>
      </c>
      <c r="M250" s="3">
        <v>29.034330000000001</v>
      </c>
      <c r="S250" s="3">
        <v>11.92127</v>
      </c>
      <c r="AE250" s="3">
        <v>5.3041400000000003</v>
      </c>
      <c r="AF250" s="3">
        <v>29.597819999999999</v>
      </c>
      <c r="AI250" s="3">
        <v>19.28584</v>
      </c>
      <c r="AL250" s="3">
        <v>20.824069999999999</v>
      </c>
      <c r="AX250" s="3">
        <v>15.93418</v>
      </c>
    </row>
    <row r="251" spans="1:50" x14ac:dyDescent="0.2">
      <c r="A251" s="3" t="s">
        <v>148</v>
      </c>
      <c r="B251" s="49">
        <v>25447</v>
      </c>
      <c r="F251" s="3">
        <v>16.933599999999998</v>
      </c>
      <c r="G251" s="3">
        <v>32.320489999999999</v>
      </c>
      <c r="M251" s="3">
        <v>29.0549</v>
      </c>
      <c r="S251" s="3">
        <v>11.92802</v>
      </c>
      <c r="AE251" s="3">
        <v>5.3175829999999999</v>
      </c>
      <c r="AF251" s="3">
        <v>29.819649999999999</v>
      </c>
      <c r="AI251" s="3">
        <v>19.318439999999999</v>
      </c>
      <c r="AL251" s="3">
        <v>20.953530000000001</v>
      </c>
      <c r="AX251" s="3">
        <v>16.058019999999999</v>
      </c>
    </row>
    <row r="252" spans="1:50" x14ac:dyDescent="0.2">
      <c r="A252" s="3" t="s">
        <v>149</v>
      </c>
      <c r="B252" s="49">
        <v>25477</v>
      </c>
      <c r="F252" s="3">
        <v>16.958490000000001</v>
      </c>
      <c r="G252" s="3">
        <v>32.369619999999998</v>
      </c>
      <c r="M252" s="3">
        <v>29.1096</v>
      </c>
      <c r="S252" s="3">
        <v>11.97397</v>
      </c>
      <c r="AE252" s="3">
        <v>5.3350840000000002</v>
      </c>
      <c r="AF252" s="3">
        <v>30.013269999999999</v>
      </c>
      <c r="AI252" s="3">
        <v>19.342610000000001</v>
      </c>
      <c r="AL252" s="3">
        <v>21.060600000000001</v>
      </c>
      <c r="AX252" s="3">
        <v>16.14058</v>
      </c>
    </row>
    <row r="253" spans="1:50" x14ac:dyDescent="0.2">
      <c r="A253" s="3" t="s">
        <v>150</v>
      </c>
      <c r="B253" s="49">
        <v>25508</v>
      </c>
      <c r="F253" s="3">
        <v>16.933599999999998</v>
      </c>
      <c r="G253" s="3">
        <v>32.605789999999999</v>
      </c>
      <c r="M253" s="3">
        <v>29.171019999999999</v>
      </c>
      <c r="S253" s="3">
        <v>11.98748</v>
      </c>
      <c r="AE253" s="3">
        <v>5.3683240000000003</v>
      </c>
      <c r="AF253" s="3">
        <v>29.990130000000001</v>
      </c>
      <c r="AI253" s="3">
        <v>19.36927</v>
      </c>
      <c r="AL253" s="3">
        <v>21.01905</v>
      </c>
      <c r="AX253" s="3">
        <v>16.223140000000001</v>
      </c>
    </row>
    <row r="254" spans="1:50" x14ac:dyDescent="0.2">
      <c r="A254" s="3" t="s">
        <v>151</v>
      </c>
      <c r="B254" s="49">
        <v>25538</v>
      </c>
      <c r="F254" s="3">
        <v>17.126059999999999</v>
      </c>
      <c r="G254" s="3">
        <v>32.668419999999998</v>
      </c>
      <c r="M254" s="3">
        <v>29.363720000000001</v>
      </c>
      <c r="S254" s="3">
        <v>11.98028</v>
      </c>
      <c r="AE254" s="3">
        <v>5.381011</v>
      </c>
      <c r="AF254" s="3">
        <v>30.200579999999999</v>
      </c>
      <c r="AI254" s="3">
        <v>19.542729999999999</v>
      </c>
      <c r="AL254" s="3">
        <v>20.983250000000002</v>
      </c>
      <c r="AX254" s="3">
        <v>16.305710000000001</v>
      </c>
    </row>
    <row r="255" spans="1:50" x14ac:dyDescent="0.2">
      <c r="A255" s="3" t="s">
        <v>152</v>
      </c>
      <c r="B255" s="49">
        <v>25569</v>
      </c>
      <c r="F255" s="3">
        <v>17.22851</v>
      </c>
      <c r="G255" s="3">
        <v>32.724469999999997</v>
      </c>
      <c r="M255" s="3">
        <v>29.699680000000001</v>
      </c>
      <c r="N255" s="3">
        <v>13.817539999999999</v>
      </c>
      <c r="S255" s="3">
        <v>12.08573</v>
      </c>
      <c r="T255" s="3">
        <v>15.017799999999999</v>
      </c>
      <c r="V255" s="3">
        <v>16.443490000000001</v>
      </c>
      <c r="W255" s="3">
        <v>8.9152149999999999</v>
      </c>
      <c r="X255" s="3">
        <v>1.408841</v>
      </c>
      <c r="AD255" s="3">
        <v>1.486219E-3</v>
      </c>
      <c r="AE255" s="3">
        <v>5.3999730000000001</v>
      </c>
      <c r="AF255" s="3">
        <v>30.452459999999999</v>
      </c>
      <c r="AI255" s="3">
        <v>19.702909999999999</v>
      </c>
      <c r="AL255" s="3">
        <v>20.963920000000002</v>
      </c>
      <c r="AN255" s="3">
        <v>7.2918440000000002</v>
      </c>
      <c r="AO255" s="3">
        <v>5.3032729999999999</v>
      </c>
      <c r="AQ255" s="3">
        <v>1.5384100000000001</v>
      </c>
      <c r="AV255" s="3">
        <v>14.10826</v>
      </c>
      <c r="AX255" s="3">
        <v>16.346979999999999</v>
      </c>
    </row>
    <row r="256" spans="1:50" x14ac:dyDescent="0.2">
      <c r="A256" s="3" t="s">
        <v>153</v>
      </c>
      <c r="B256" s="49">
        <v>25600</v>
      </c>
      <c r="F256" s="3">
        <v>17.191179999999999</v>
      </c>
      <c r="G256" s="3">
        <v>32.744169999999997</v>
      </c>
      <c r="M256" s="3">
        <v>29.74738</v>
      </c>
      <c r="N256" s="3">
        <v>13.890879999999999</v>
      </c>
      <c r="S256" s="3">
        <v>12.11753</v>
      </c>
      <c r="T256" s="3">
        <v>15.06156</v>
      </c>
      <c r="V256" s="3">
        <v>16.512139999999999</v>
      </c>
      <c r="W256" s="3">
        <v>8.9528949999999998</v>
      </c>
      <c r="X256" s="3">
        <v>1.408841</v>
      </c>
      <c r="AD256" s="3">
        <v>1.4891290000000001E-3</v>
      </c>
      <c r="AE256" s="3">
        <v>5.4524990000000004</v>
      </c>
      <c r="AF256" s="3">
        <v>30.503419999999998</v>
      </c>
      <c r="AI256" s="3">
        <v>19.808810000000001</v>
      </c>
      <c r="AL256" s="3">
        <v>21.134789999999999</v>
      </c>
      <c r="AN256" s="3">
        <v>7.3221949999999998</v>
      </c>
      <c r="AO256" s="3">
        <v>5.327852</v>
      </c>
      <c r="AQ256" s="3">
        <v>1.5151969999999999</v>
      </c>
      <c r="AV256" s="3">
        <v>14.31235</v>
      </c>
      <c r="AX256" s="3">
        <v>16.429549999999999</v>
      </c>
    </row>
    <row r="257" spans="1:50" x14ac:dyDescent="0.2">
      <c r="A257" s="3" t="s">
        <v>154</v>
      </c>
      <c r="B257" s="49">
        <v>25628</v>
      </c>
      <c r="F257" s="3">
        <v>17.191500000000001</v>
      </c>
      <c r="G257" s="3">
        <v>32.853079999999999</v>
      </c>
      <c r="M257" s="3">
        <v>29.883780000000002</v>
      </c>
      <c r="N257" s="3">
        <v>13.973710000000001</v>
      </c>
      <c r="S257" s="3">
        <v>12.14931</v>
      </c>
      <c r="T257" s="3">
        <v>15.1043</v>
      </c>
      <c r="V257" s="3">
        <v>16.619479999999999</v>
      </c>
      <c r="W257" s="3">
        <v>9.0056740000000008</v>
      </c>
      <c r="X257" s="3">
        <v>1.434123</v>
      </c>
      <c r="AD257" s="3">
        <v>1.497841E-3</v>
      </c>
      <c r="AE257" s="3">
        <v>5.4665189999999999</v>
      </c>
      <c r="AF257" s="3">
        <v>30.776910000000001</v>
      </c>
      <c r="AI257" s="3">
        <v>19.85444</v>
      </c>
      <c r="AL257" s="3">
        <v>21.324580000000001</v>
      </c>
      <c r="AN257" s="3">
        <v>7.3691719999999998</v>
      </c>
      <c r="AO257" s="3">
        <v>5.350422</v>
      </c>
      <c r="AQ257" s="3">
        <v>1.545093</v>
      </c>
      <c r="AV257" s="3">
        <v>14.395210000000001</v>
      </c>
      <c r="AX257" s="3">
        <v>16.55339</v>
      </c>
    </row>
    <row r="258" spans="1:50" x14ac:dyDescent="0.2">
      <c r="A258" s="3" t="s">
        <v>155</v>
      </c>
      <c r="B258" s="49">
        <v>25659</v>
      </c>
      <c r="F258" s="3">
        <v>17.256620000000002</v>
      </c>
      <c r="G258" s="3">
        <v>32.869320000000002</v>
      </c>
      <c r="M258" s="3">
        <v>30.054310000000001</v>
      </c>
      <c r="N258" s="3">
        <v>14.026300000000001</v>
      </c>
      <c r="S258" s="3">
        <v>12.155150000000001</v>
      </c>
      <c r="T258" s="3">
        <v>15.180059999999999</v>
      </c>
      <c r="V258" s="3">
        <v>16.712389999999999</v>
      </c>
      <c r="W258" s="3">
        <v>9.1619489999999999</v>
      </c>
      <c r="X258" s="3">
        <v>1.45634</v>
      </c>
      <c r="AD258" s="3">
        <v>1.5167290000000001E-3</v>
      </c>
      <c r="AE258" s="3">
        <v>5.4863790000000003</v>
      </c>
      <c r="AF258" s="3">
        <v>31.079920000000001</v>
      </c>
      <c r="AI258" s="3">
        <v>19.9481</v>
      </c>
      <c r="AL258" s="3">
        <v>21.4572</v>
      </c>
      <c r="AN258" s="3">
        <v>7.409821</v>
      </c>
      <c r="AO258" s="3">
        <v>5.375178</v>
      </c>
      <c r="AQ258" s="3">
        <v>1.540006</v>
      </c>
      <c r="AV258" s="3">
        <v>14.41994</v>
      </c>
      <c r="AX258" s="3">
        <v>16.635950000000001</v>
      </c>
    </row>
    <row r="259" spans="1:50" x14ac:dyDescent="0.2">
      <c r="A259" s="3" t="s">
        <v>156</v>
      </c>
      <c r="B259" s="49">
        <v>25689</v>
      </c>
      <c r="F259" s="3">
        <v>17.3064</v>
      </c>
      <c r="G259" s="3">
        <v>33.230530000000002</v>
      </c>
      <c r="M259" s="3">
        <v>30.047450000000001</v>
      </c>
      <c r="N259" s="3">
        <v>14.16499</v>
      </c>
      <c r="S259" s="3">
        <v>12.163069999999999</v>
      </c>
      <c r="T259" s="3">
        <v>15.24492</v>
      </c>
      <c r="V259" s="3">
        <v>16.764679999999998</v>
      </c>
      <c r="W259" s="3">
        <v>9.2076720000000005</v>
      </c>
      <c r="X259" s="3">
        <v>1.445441</v>
      </c>
      <c r="AD259" s="3">
        <v>1.538518E-3</v>
      </c>
      <c r="AE259" s="3">
        <v>5.509347</v>
      </c>
      <c r="AF259" s="3">
        <v>31.033329999999999</v>
      </c>
      <c r="AI259" s="3">
        <v>20.069959999999998</v>
      </c>
      <c r="AL259" s="3">
        <v>21.489439999999998</v>
      </c>
      <c r="AN259" s="3">
        <v>7.433567</v>
      </c>
      <c r="AO259" s="3">
        <v>5.386768</v>
      </c>
      <c r="AQ259" s="3">
        <v>1.5261659999999999</v>
      </c>
      <c r="AV259" s="3">
        <v>14.467040000000001</v>
      </c>
      <c r="AX259" s="3">
        <v>16.718509999999998</v>
      </c>
    </row>
    <row r="260" spans="1:50" x14ac:dyDescent="0.2">
      <c r="A260" s="3" t="s">
        <v>157</v>
      </c>
      <c r="B260" s="49">
        <v>25720</v>
      </c>
      <c r="F260" s="3">
        <v>17.281510000000001</v>
      </c>
      <c r="G260" s="3">
        <v>33.306840000000001</v>
      </c>
      <c r="M260" s="3">
        <v>30.096910000000001</v>
      </c>
      <c r="N260" s="3">
        <v>14.192970000000001</v>
      </c>
      <c r="S260" s="3">
        <v>12.21387</v>
      </c>
      <c r="T260" s="3">
        <v>15.31317</v>
      </c>
      <c r="V260" s="3">
        <v>16.852049999999998</v>
      </c>
      <c r="W260" s="3">
        <v>9.2352380000000007</v>
      </c>
      <c r="X260" s="3">
        <v>1.437605</v>
      </c>
      <c r="AD260" s="3">
        <v>1.545785E-3</v>
      </c>
      <c r="AE260" s="3">
        <v>5.52102</v>
      </c>
      <c r="AF260" s="3">
        <v>31.15915</v>
      </c>
      <c r="AI260" s="3">
        <v>20.136230000000001</v>
      </c>
      <c r="AL260" s="3">
        <v>21.52918</v>
      </c>
      <c r="AN260" s="3">
        <v>7.4706190000000001</v>
      </c>
      <c r="AO260" s="3">
        <v>5.3969149999999999</v>
      </c>
      <c r="AQ260" s="3">
        <v>1.5540909999999999</v>
      </c>
      <c r="AV260" s="3">
        <v>14.51742</v>
      </c>
      <c r="AX260" s="3">
        <v>16.84235</v>
      </c>
    </row>
    <row r="261" spans="1:50" x14ac:dyDescent="0.2">
      <c r="A261" s="3" t="s">
        <v>158</v>
      </c>
      <c r="B261" s="49">
        <v>25750</v>
      </c>
      <c r="F261" s="3">
        <v>17.473960000000002</v>
      </c>
      <c r="G261" s="3">
        <v>33.369590000000002</v>
      </c>
      <c r="M261" s="3">
        <v>30.115729999999999</v>
      </c>
      <c r="N261" s="3">
        <v>14.442600000000001</v>
      </c>
      <c r="S261" s="3">
        <v>12.22087</v>
      </c>
      <c r="T261" s="3">
        <v>15.334479999999999</v>
      </c>
      <c r="V261" s="3">
        <v>16.890560000000001</v>
      </c>
      <c r="W261" s="3">
        <v>9.3133590000000002</v>
      </c>
      <c r="X261" s="3">
        <v>1.427996</v>
      </c>
      <c r="AD261" s="3">
        <v>1.5472400000000001E-3</v>
      </c>
      <c r="AE261" s="3">
        <v>5.5255910000000004</v>
      </c>
      <c r="AF261" s="3">
        <v>31.206150000000001</v>
      </c>
      <c r="AI261" s="3">
        <v>20.20815</v>
      </c>
      <c r="AL261" s="3">
        <v>21.574590000000001</v>
      </c>
      <c r="AN261" s="3">
        <v>7.4882939999999998</v>
      </c>
      <c r="AO261" s="3">
        <v>5.4022589999999999</v>
      </c>
      <c r="AQ261" s="3">
        <v>1.5696049999999999</v>
      </c>
      <c r="AV261" s="3">
        <v>14.59829</v>
      </c>
      <c r="AX261" s="3">
        <v>16.88363</v>
      </c>
    </row>
    <row r="262" spans="1:50" x14ac:dyDescent="0.2">
      <c r="A262" s="3" t="s">
        <v>159</v>
      </c>
      <c r="B262" s="49">
        <v>25781</v>
      </c>
      <c r="F262" s="3">
        <v>17.46152</v>
      </c>
      <c r="G262" s="3">
        <v>33.429130000000001</v>
      </c>
      <c r="M262" s="3">
        <v>30.103909999999999</v>
      </c>
      <c r="N262" s="3">
        <v>14.46743</v>
      </c>
      <c r="S262" s="3">
        <v>12.236789999999999</v>
      </c>
      <c r="T262" s="3">
        <v>15.385249999999999</v>
      </c>
      <c r="V262" s="3">
        <v>16.911580000000001</v>
      </c>
      <c r="W262" s="3">
        <v>9.3406230000000008</v>
      </c>
      <c r="X262" s="3">
        <v>1.405778</v>
      </c>
      <c r="AD262" s="3">
        <v>1.545785E-3</v>
      </c>
      <c r="AE262" s="3">
        <v>5.5368120000000003</v>
      </c>
      <c r="AF262" s="3">
        <v>31.146039999999999</v>
      </c>
      <c r="AI262" s="3">
        <v>20.168579999999999</v>
      </c>
      <c r="AL262" s="3">
        <v>21.712119999999999</v>
      </c>
      <c r="AN262" s="3">
        <v>7.4990940000000004</v>
      </c>
      <c r="AO262" s="3">
        <v>5.4098990000000002</v>
      </c>
      <c r="AQ262" s="3">
        <v>1.586203</v>
      </c>
      <c r="AV262" s="3">
        <v>14.65879</v>
      </c>
      <c r="AX262" s="3">
        <v>16.924910000000001</v>
      </c>
    </row>
    <row r="263" spans="1:50" x14ac:dyDescent="0.2">
      <c r="A263" s="3" t="s">
        <v>160</v>
      </c>
      <c r="B263" s="49">
        <v>25812</v>
      </c>
      <c r="F263" s="3">
        <v>17.421289999999999</v>
      </c>
      <c r="G263" s="3">
        <v>33.606319999999997</v>
      </c>
      <c r="M263" s="3">
        <v>30.155259999999998</v>
      </c>
      <c r="N263" s="3">
        <v>14.55968</v>
      </c>
      <c r="S263" s="3">
        <v>12.229139999999999</v>
      </c>
      <c r="T263" s="3">
        <v>15.43754</v>
      </c>
      <c r="V263" s="3">
        <v>17.03668</v>
      </c>
      <c r="W263" s="3">
        <v>9.3825749999999992</v>
      </c>
      <c r="X263" s="3">
        <v>1.434123</v>
      </c>
      <c r="AD263" s="3">
        <v>1.6068059999999999E-3</v>
      </c>
      <c r="AE263" s="3">
        <v>5.579885</v>
      </c>
      <c r="AF263" s="3">
        <v>31.664480000000001</v>
      </c>
      <c r="AI263" s="3">
        <v>20.300529999999998</v>
      </c>
      <c r="AL263" s="3">
        <v>21.929950000000002</v>
      </c>
      <c r="AN263" s="3">
        <v>7.5538959999999999</v>
      </c>
      <c r="AO263" s="3">
        <v>5.4349059999999998</v>
      </c>
      <c r="AQ263" s="3">
        <v>1.60782</v>
      </c>
      <c r="AV263" s="3">
        <v>14.700240000000001</v>
      </c>
      <c r="AX263" s="3">
        <v>17.048749999999998</v>
      </c>
    </row>
    <row r="264" spans="1:50" x14ac:dyDescent="0.2">
      <c r="A264" s="3" t="s">
        <v>161</v>
      </c>
      <c r="B264" s="49">
        <v>25842</v>
      </c>
      <c r="F264" s="3">
        <v>17.446179999999998</v>
      </c>
      <c r="G264" s="3">
        <v>33.710009999999997</v>
      </c>
      <c r="M264" s="3">
        <v>30.29691</v>
      </c>
      <c r="N264" s="3">
        <v>14.602790000000001</v>
      </c>
      <c r="S264" s="3">
        <v>12.252039999999999</v>
      </c>
      <c r="T264" s="3">
        <v>15.495430000000001</v>
      </c>
      <c r="V264" s="3">
        <v>17.16123</v>
      </c>
      <c r="W264" s="3">
        <v>9.4631690000000006</v>
      </c>
      <c r="X264" s="3">
        <v>1.45634</v>
      </c>
      <c r="AD264" s="3">
        <v>1.640217E-3</v>
      </c>
      <c r="AE264" s="3">
        <v>5.6095069999999998</v>
      </c>
      <c r="AF264" s="3">
        <v>32.089210000000001</v>
      </c>
      <c r="AI264" s="3">
        <v>20.336490000000001</v>
      </c>
      <c r="AL264" s="3">
        <v>22.057659999999998</v>
      </c>
      <c r="AN264" s="3">
        <v>7.6091819999999997</v>
      </c>
      <c r="AO264" s="3">
        <v>5.4607060000000001</v>
      </c>
      <c r="AQ264" s="3">
        <v>1.6119479999999999</v>
      </c>
      <c r="AV264" s="3">
        <v>14.78758</v>
      </c>
      <c r="AX264" s="3">
        <v>17.17259</v>
      </c>
    </row>
    <row r="265" spans="1:50" x14ac:dyDescent="0.2">
      <c r="A265" s="3" t="s">
        <v>162</v>
      </c>
      <c r="B265" s="49">
        <v>25873</v>
      </c>
      <c r="F265" s="3">
        <v>17.47532</v>
      </c>
      <c r="G265" s="3">
        <v>34.142650000000003</v>
      </c>
      <c r="M265" s="3">
        <v>30.412880000000001</v>
      </c>
      <c r="N265" s="3">
        <v>14.698079999999999</v>
      </c>
      <c r="S265" s="3">
        <v>12.26942</v>
      </c>
      <c r="T265" s="3">
        <v>15.56012</v>
      </c>
      <c r="V265" s="3">
        <v>17.261839999999999</v>
      </c>
      <c r="W265" s="3">
        <v>9.5322469999999999</v>
      </c>
      <c r="X265" s="3">
        <v>1.4611130000000001</v>
      </c>
      <c r="AD265" s="3">
        <v>1.6620059999999999E-3</v>
      </c>
      <c r="AE265" s="3">
        <v>5.6580399999999997</v>
      </c>
      <c r="AF265" s="3">
        <v>32.149729999999998</v>
      </c>
      <c r="AI265" s="3">
        <v>20.378350000000001</v>
      </c>
      <c r="AL265" s="3">
        <v>22.123560000000001</v>
      </c>
      <c r="AN265" s="3">
        <v>7.6535520000000004</v>
      </c>
      <c r="AO265" s="3">
        <v>5.4920689999999999</v>
      </c>
      <c r="AQ265" s="3">
        <v>1.6237600000000001</v>
      </c>
      <c r="AV265" s="3">
        <v>14.86018</v>
      </c>
      <c r="AX265" s="3">
        <v>17.296430000000001</v>
      </c>
    </row>
    <row r="266" spans="1:50" x14ac:dyDescent="0.2">
      <c r="A266" s="3" t="s">
        <v>163</v>
      </c>
      <c r="B266" s="49">
        <v>25903</v>
      </c>
      <c r="F266" s="3">
        <v>17.397760000000002</v>
      </c>
      <c r="G266" s="3">
        <v>34.259430000000002</v>
      </c>
      <c r="M266" s="3">
        <v>30.629519999999999</v>
      </c>
      <c r="N266" s="3">
        <v>14.68256</v>
      </c>
      <c r="S266" s="3">
        <v>12.306010000000001</v>
      </c>
      <c r="T266" s="3">
        <v>15.60388</v>
      </c>
      <c r="V266" s="3">
        <v>17.344560000000001</v>
      </c>
      <c r="W266" s="3">
        <v>9.5978169999999992</v>
      </c>
      <c r="X266" s="3">
        <v>1.4707220000000001</v>
      </c>
      <c r="AD266" s="3">
        <v>1.6663719999999999E-3</v>
      </c>
      <c r="AE266" s="3">
        <v>5.6738410000000004</v>
      </c>
      <c r="AF266" s="3">
        <v>32.363109999999999</v>
      </c>
      <c r="AI266" s="3">
        <v>20.435590000000001</v>
      </c>
      <c r="AL266" s="3">
        <v>22.178879999999999</v>
      </c>
      <c r="AN266" s="3">
        <v>7.6892230000000001</v>
      </c>
      <c r="AO266" s="3">
        <v>5.5191949999999999</v>
      </c>
      <c r="AQ266" s="3">
        <v>1.6341950000000001</v>
      </c>
      <c r="AV266" s="3">
        <v>14.982519999999999</v>
      </c>
      <c r="AX266" s="3">
        <v>17.378990000000002</v>
      </c>
    </row>
    <row r="267" spans="1:50" x14ac:dyDescent="0.2">
      <c r="A267" s="3" t="s">
        <v>164</v>
      </c>
      <c r="B267" s="49">
        <v>25934</v>
      </c>
      <c r="F267" s="3">
        <v>17.479579999999999</v>
      </c>
      <c r="G267" s="3">
        <v>34.390819999999998</v>
      </c>
      <c r="M267" s="3">
        <v>30.95016</v>
      </c>
      <c r="N267" s="3">
        <v>14.68256</v>
      </c>
      <c r="S267" s="3">
        <v>12.43441</v>
      </c>
      <c r="T267" s="3">
        <v>15.705159999999999</v>
      </c>
      <c r="V267" s="3">
        <v>17.424189999999999</v>
      </c>
      <c r="W267" s="3">
        <v>9.7106980000000007</v>
      </c>
      <c r="X267" s="3">
        <v>1.475276</v>
      </c>
      <c r="AD267" s="3">
        <v>1.679439E-3</v>
      </c>
      <c r="AE267" s="3">
        <v>5.7329129999999999</v>
      </c>
      <c r="AF267" s="3">
        <v>32.608609999999999</v>
      </c>
      <c r="AI267" s="3">
        <v>20.559280000000001</v>
      </c>
      <c r="AL267" s="3">
        <v>22.431920000000002</v>
      </c>
      <c r="AN267" s="3">
        <v>7.734102</v>
      </c>
      <c r="AO267" s="3">
        <v>5.5708399999999996</v>
      </c>
      <c r="AQ267" s="3">
        <v>1.6659280000000001</v>
      </c>
      <c r="AV267" s="3">
        <v>15.400069999999999</v>
      </c>
      <c r="AX267" s="3">
        <v>17.378990000000002</v>
      </c>
    </row>
    <row r="268" spans="1:50" x14ac:dyDescent="0.2">
      <c r="A268" s="3" t="s">
        <v>165</v>
      </c>
      <c r="B268" s="49">
        <v>25965</v>
      </c>
      <c r="F268" s="3">
        <v>17.561399999999999</v>
      </c>
      <c r="G268" s="3">
        <v>34.528010000000002</v>
      </c>
      <c r="M268" s="3">
        <v>31.199169999999999</v>
      </c>
      <c r="N268" s="3">
        <v>14.68572</v>
      </c>
      <c r="S268" s="3">
        <v>12.526160000000001</v>
      </c>
      <c r="T268" s="3">
        <v>15.772600000000001</v>
      </c>
      <c r="V268" s="3">
        <v>17.46189</v>
      </c>
      <c r="W268" s="3">
        <v>9.7588039999999996</v>
      </c>
      <c r="X268" s="3">
        <v>1.4422999999999999</v>
      </c>
      <c r="AD268" s="3">
        <v>1.669273E-3</v>
      </c>
      <c r="AE268" s="3">
        <v>5.759925</v>
      </c>
      <c r="AF268" s="3">
        <v>32.57855</v>
      </c>
      <c r="AI268" s="3">
        <v>20.693079999999998</v>
      </c>
      <c r="AL268" s="3">
        <v>22.80209</v>
      </c>
      <c r="AN268" s="3">
        <v>7.7575229999999999</v>
      </c>
      <c r="AO268" s="3">
        <v>5.6054069999999996</v>
      </c>
      <c r="AQ268" s="3">
        <v>1.6911350000000001</v>
      </c>
      <c r="AV268" s="3">
        <v>15.414709999999999</v>
      </c>
      <c r="AX268" s="3">
        <v>17.378990000000002</v>
      </c>
    </row>
    <row r="269" spans="1:50" x14ac:dyDescent="0.2">
      <c r="A269" s="3" t="s">
        <v>166</v>
      </c>
      <c r="B269" s="49">
        <v>25993</v>
      </c>
      <c r="F269" s="3">
        <v>17.548950000000001</v>
      </c>
      <c r="G269" s="3">
        <v>34.756160000000001</v>
      </c>
      <c r="M269" s="3">
        <v>31.330459999999999</v>
      </c>
      <c r="N269" s="3">
        <v>14.698079999999999</v>
      </c>
      <c r="S269" s="3">
        <v>12.570270000000001</v>
      </c>
      <c r="T269" s="3">
        <v>15.82541</v>
      </c>
      <c r="V269" s="3">
        <v>17.520309999999998</v>
      </c>
      <c r="W269" s="3">
        <v>9.8169450000000005</v>
      </c>
      <c r="X269" s="3">
        <v>1.4707220000000001</v>
      </c>
      <c r="AD269" s="3">
        <v>1.679439E-3</v>
      </c>
      <c r="AE269" s="3">
        <v>5.7847920000000004</v>
      </c>
      <c r="AF269" s="3">
        <v>32.753010000000003</v>
      </c>
      <c r="AI269" s="3">
        <v>20.876329999999999</v>
      </c>
      <c r="AL269" s="3">
        <v>22.95477</v>
      </c>
      <c r="AN269" s="3">
        <v>7.7885390000000001</v>
      </c>
      <c r="AO269" s="3">
        <v>5.635751</v>
      </c>
      <c r="AQ269" s="3">
        <v>1.7295199999999999</v>
      </c>
      <c r="AV269" s="3">
        <v>15.44994</v>
      </c>
      <c r="AX269" s="3">
        <v>17.420269999999999</v>
      </c>
    </row>
    <row r="270" spans="1:50" x14ac:dyDescent="0.2">
      <c r="A270" s="3" t="s">
        <v>167</v>
      </c>
      <c r="B270" s="49">
        <v>26024</v>
      </c>
      <c r="F270" s="3">
        <v>17.683769999999999</v>
      </c>
      <c r="G270" s="3">
        <v>34.811999999999998</v>
      </c>
      <c r="M270" s="3">
        <v>31.546939999999999</v>
      </c>
      <c r="N270" s="3">
        <v>14.846080000000001</v>
      </c>
      <c r="S270" s="3">
        <v>12.68337</v>
      </c>
      <c r="T270" s="3">
        <v>15.918699999999999</v>
      </c>
      <c r="V270" s="3">
        <v>17.630030000000001</v>
      </c>
      <c r="W270" s="3">
        <v>10.0288</v>
      </c>
      <c r="X270" s="3">
        <v>1.4852959999999999</v>
      </c>
      <c r="AD270" s="3">
        <v>1.7012380000000001E-3</v>
      </c>
      <c r="AE270" s="3">
        <v>5.7988650000000002</v>
      </c>
      <c r="AF270" s="3">
        <v>33.204369999999997</v>
      </c>
      <c r="AI270" s="3">
        <v>20.904330000000002</v>
      </c>
      <c r="AL270" s="3">
        <v>23.27946</v>
      </c>
      <c r="AN270" s="3">
        <v>7.8422539999999996</v>
      </c>
      <c r="AO270" s="3">
        <v>5.6891699999999998</v>
      </c>
      <c r="AQ270" s="3">
        <v>1.7660229999999999</v>
      </c>
      <c r="AV270" s="3">
        <v>15.4154</v>
      </c>
      <c r="AX270" s="3">
        <v>17.461549999999999</v>
      </c>
    </row>
    <row r="271" spans="1:50" x14ac:dyDescent="0.2">
      <c r="A271" s="3" t="s">
        <v>168</v>
      </c>
      <c r="B271" s="49">
        <v>26054</v>
      </c>
      <c r="F271" s="3">
        <v>17.671330000000001</v>
      </c>
      <c r="G271" s="3">
        <v>35.315829999999998</v>
      </c>
      <c r="M271" s="3">
        <v>31.615069999999999</v>
      </c>
      <c r="N271" s="3">
        <v>15.083119999999999</v>
      </c>
      <c r="S271" s="3">
        <v>12.714689999999999</v>
      </c>
      <c r="T271" s="3">
        <v>16.012560000000001</v>
      </c>
      <c r="V271" s="3">
        <v>17.736080000000001</v>
      </c>
      <c r="W271" s="3">
        <v>10.0875</v>
      </c>
      <c r="X271" s="3">
        <v>1.4998689999999999</v>
      </c>
      <c r="AD271" s="3">
        <v>1.7085049999999999E-3</v>
      </c>
      <c r="AE271" s="3">
        <v>5.8384020000000003</v>
      </c>
      <c r="AF271" s="3">
        <v>33.455880000000001</v>
      </c>
      <c r="AI271" s="3">
        <v>21.047160000000002</v>
      </c>
      <c r="AL271" s="3">
        <v>23.387039999999999</v>
      </c>
      <c r="AN271" s="3">
        <v>7.8888210000000001</v>
      </c>
      <c r="AO271" s="3">
        <v>5.7233799999999997</v>
      </c>
      <c r="AQ271" s="3">
        <v>1.780675</v>
      </c>
      <c r="AV271" s="3">
        <v>15.368790000000001</v>
      </c>
      <c r="AX271" s="3">
        <v>17.58539</v>
      </c>
    </row>
    <row r="272" spans="1:50" x14ac:dyDescent="0.2">
      <c r="A272" s="3" t="s">
        <v>169</v>
      </c>
      <c r="B272" s="49">
        <v>26085</v>
      </c>
      <c r="F272" s="3">
        <v>17.773779999999999</v>
      </c>
      <c r="G272" s="3">
        <v>35.356879999999997</v>
      </c>
      <c r="M272" s="3">
        <v>31.76343</v>
      </c>
      <c r="N272" s="3">
        <v>15.12612</v>
      </c>
      <c r="S272" s="3">
        <v>13.00761</v>
      </c>
      <c r="T272" s="3">
        <v>16.0657</v>
      </c>
      <c r="V272" s="3">
        <v>17.81005</v>
      </c>
      <c r="W272" s="3">
        <v>10.145250000000001</v>
      </c>
      <c r="X272" s="3">
        <v>1.4714469999999999</v>
      </c>
      <c r="AD272" s="3">
        <v>1.724483E-3</v>
      </c>
      <c r="AE272" s="3">
        <v>5.8409849999999999</v>
      </c>
      <c r="AF272" s="3">
        <v>33.553829999999998</v>
      </c>
      <c r="AI272" s="3">
        <v>21.105609999999999</v>
      </c>
      <c r="AL272" s="3">
        <v>23.417349999999999</v>
      </c>
      <c r="AN272" s="3">
        <v>7.9197329999999999</v>
      </c>
      <c r="AO272" s="3">
        <v>5.7427169999999998</v>
      </c>
      <c r="AQ272" s="3">
        <v>1.7986930000000001</v>
      </c>
      <c r="AV272" s="3">
        <v>15.41699</v>
      </c>
      <c r="AX272" s="3">
        <v>17.667950000000001</v>
      </c>
    </row>
    <row r="273" spans="1:50" x14ac:dyDescent="0.2">
      <c r="A273" s="3" t="s">
        <v>170</v>
      </c>
      <c r="B273" s="49">
        <v>26115</v>
      </c>
      <c r="F273" s="3">
        <v>17.916460000000001</v>
      </c>
      <c r="G273" s="3">
        <v>35.570410000000003</v>
      </c>
      <c r="M273" s="3">
        <v>31.91865</v>
      </c>
      <c r="N273" s="3">
        <v>15.148070000000001</v>
      </c>
      <c r="S273" s="3">
        <v>13.064679999999999</v>
      </c>
      <c r="T273" s="3">
        <v>16.14367</v>
      </c>
      <c r="V273" s="3">
        <v>17.872170000000001</v>
      </c>
      <c r="W273" s="3">
        <v>10.20599</v>
      </c>
      <c r="X273" s="3">
        <v>1.472178</v>
      </c>
      <c r="AD273" s="3">
        <v>1.7288379999999999E-3</v>
      </c>
      <c r="AE273" s="3">
        <v>5.8627880000000001</v>
      </c>
      <c r="AF273" s="3">
        <v>33.638939999999998</v>
      </c>
      <c r="AI273" s="3">
        <v>21.122990000000001</v>
      </c>
      <c r="AL273" s="3">
        <v>23.433959999999999</v>
      </c>
      <c r="AN273" s="3">
        <v>7.962758</v>
      </c>
      <c r="AO273" s="3">
        <v>5.7869520000000003</v>
      </c>
      <c r="AQ273" s="3">
        <v>1.80063</v>
      </c>
      <c r="AV273" s="3">
        <v>15.47099</v>
      </c>
      <c r="AX273" s="3">
        <v>17.709230000000002</v>
      </c>
    </row>
    <row r="274" spans="1:50" x14ac:dyDescent="0.2">
      <c r="A274" s="3" t="s">
        <v>171</v>
      </c>
      <c r="B274" s="49">
        <v>26146</v>
      </c>
      <c r="F274" s="3">
        <v>18.059139999999999</v>
      </c>
      <c r="G274" s="3">
        <v>35.651429999999998</v>
      </c>
      <c r="M274" s="3">
        <v>31.981819999999999</v>
      </c>
      <c r="N274" s="3">
        <v>15.18464</v>
      </c>
      <c r="S274" s="3">
        <v>13.18867</v>
      </c>
      <c r="T274" s="3">
        <v>16.197839999999999</v>
      </c>
      <c r="V274" s="3">
        <v>17.888750000000002</v>
      </c>
      <c r="W274" s="3">
        <v>10.222390000000001</v>
      </c>
      <c r="X274" s="3">
        <v>1.4422999999999999</v>
      </c>
      <c r="AD274" s="3">
        <v>1.733194E-3</v>
      </c>
      <c r="AE274" s="3">
        <v>5.8700609999999998</v>
      </c>
      <c r="AF274" s="3">
        <v>33.60915</v>
      </c>
      <c r="AI274" s="3">
        <v>21.150469999999999</v>
      </c>
      <c r="AL274" s="3">
        <v>23.604839999999999</v>
      </c>
      <c r="AN274" s="3">
        <v>7.9813650000000003</v>
      </c>
      <c r="AO274" s="3">
        <v>5.8096379999999996</v>
      </c>
      <c r="AQ274" s="3">
        <v>1.803698</v>
      </c>
      <c r="AV274" s="3">
        <v>15.64955</v>
      </c>
      <c r="AX274" s="3">
        <v>17.709230000000002</v>
      </c>
    </row>
    <row r="275" spans="1:50" x14ac:dyDescent="0.2">
      <c r="A275" s="3" t="s">
        <v>172</v>
      </c>
      <c r="B275" s="49">
        <v>26177</v>
      </c>
      <c r="F275" s="3">
        <v>18.006460000000001</v>
      </c>
      <c r="G275" s="3">
        <v>35.946959999999997</v>
      </c>
      <c r="M275" s="3">
        <v>32.044980000000002</v>
      </c>
      <c r="N275" s="3">
        <v>15.261039999999999</v>
      </c>
      <c r="S275" s="3">
        <v>13.26482</v>
      </c>
      <c r="T275" s="3">
        <v>16.27224</v>
      </c>
      <c r="V275" s="3">
        <v>17.975960000000001</v>
      </c>
      <c r="W275" s="3">
        <v>10.24788</v>
      </c>
      <c r="X275" s="3">
        <v>1.4707220000000001</v>
      </c>
      <c r="AD275" s="3">
        <v>1.7695160000000001E-3</v>
      </c>
      <c r="AE275" s="3">
        <v>5.9049690000000004</v>
      </c>
      <c r="AF275" s="3">
        <v>34.028280000000002</v>
      </c>
      <c r="AI275" s="3">
        <v>21.25526</v>
      </c>
      <c r="AL275" s="3">
        <v>23.821169999999999</v>
      </c>
      <c r="AN275" s="3">
        <v>8.0257529999999999</v>
      </c>
      <c r="AO275" s="3">
        <v>5.8427829999999998</v>
      </c>
      <c r="AQ275" s="3">
        <v>1.8679950000000001</v>
      </c>
      <c r="AV275" s="3">
        <v>15.647729999999999</v>
      </c>
      <c r="AX275" s="3">
        <v>17.791789999999999</v>
      </c>
    </row>
    <row r="276" spans="1:50" x14ac:dyDescent="0.2">
      <c r="A276" s="3" t="s">
        <v>173</v>
      </c>
      <c r="B276" s="49">
        <v>26207</v>
      </c>
      <c r="F276" s="3">
        <v>18.121359999999999</v>
      </c>
      <c r="G276" s="3">
        <v>36.073230000000002</v>
      </c>
      <c r="M276" s="3">
        <v>32.217269999999999</v>
      </c>
      <c r="N276" s="3">
        <v>15.34754</v>
      </c>
      <c r="S276" s="3">
        <v>13.310040000000001</v>
      </c>
      <c r="T276" s="3">
        <v>16.358740000000001</v>
      </c>
      <c r="V276" s="3">
        <v>18.043530000000001</v>
      </c>
      <c r="W276" s="3">
        <v>10.292389999999999</v>
      </c>
      <c r="X276" s="3">
        <v>1.467624</v>
      </c>
      <c r="AD276" s="3">
        <v>1.8101930000000001E-3</v>
      </c>
      <c r="AE276" s="3">
        <v>5.931864</v>
      </c>
      <c r="AF276" s="3">
        <v>34.203009999999999</v>
      </c>
      <c r="AI276" s="3">
        <v>21.406400000000001</v>
      </c>
      <c r="AL276" s="3">
        <v>24.009429999999998</v>
      </c>
      <c r="AN276" s="3">
        <v>8.0642390000000006</v>
      </c>
      <c r="AO276" s="3">
        <v>5.8810719999999996</v>
      </c>
      <c r="AQ276" s="3">
        <v>1.9013500000000001</v>
      </c>
      <c r="AV276" s="3">
        <v>15.843220000000001</v>
      </c>
      <c r="AX276" s="3">
        <v>17.833069999999999</v>
      </c>
    </row>
    <row r="277" spans="1:50" x14ac:dyDescent="0.2">
      <c r="A277" s="3" t="s">
        <v>174</v>
      </c>
      <c r="B277" s="49">
        <v>26238</v>
      </c>
      <c r="F277" s="3">
        <v>18.11317</v>
      </c>
      <c r="G277" s="3">
        <v>36.628259999999997</v>
      </c>
      <c r="M277" s="3">
        <v>32.256509999999999</v>
      </c>
      <c r="N277" s="3">
        <v>15.477320000000001</v>
      </c>
      <c r="S277" s="3">
        <v>13.381270000000001</v>
      </c>
      <c r="T277" s="3">
        <v>16.422409999999999</v>
      </c>
      <c r="V277" s="3">
        <v>18.082650000000001</v>
      </c>
      <c r="W277" s="3">
        <v>10.34188</v>
      </c>
      <c r="X277" s="3">
        <v>1.5005999999999999</v>
      </c>
      <c r="AD277" s="3">
        <v>1.853782E-3</v>
      </c>
      <c r="AE277" s="3">
        <v>5.9621979999999999</v>
      </c>
      <c r="AF277" s="3">
        <v>34.155880000000003</v>
      </c>
      <c r="AI277" s="3">
        <v>21.491720000000001</v>
      </c>
      <c r="AL277" s="3">
        <v>24.095839999999999</v>
      </c>
      <c r="AN277" s="3">
        <v>8.0901730000000001</v>
      </c>
      <c r="AO277" s="3">
        <v>5.913284</v>
      </c>
      <c r="AQ277" s="3">
        <v>1.9598990000000001</v>
      </c>
      <c r="AV277" s="3">
        <v>15.816409999999999</v>
      </c>
      <c r="AX277" s="3">
        <v>17.874359999999999</v>
      </c>
    </row>
    <row r="278" spans="1:50" x14ac:dyDescent="0.2">
      <c r="A278" s="3" t="s">
        <v>175</v>
      </c>
      <c r="B278" s="49">
        <v>26268</v>
      </c>
      <c r="F278" s="3">
        <v>18.178290000000001</v>
      </c>
      <c r="G278" s="3">
        <v>36.842919999999999</v>
      </c>
      <c r="M278" s="3">
        <v>32.367370000000001</v>
      </c>
      <c r="N278" s="3">
        <v>15.507960000000001</v>
      </c>
      <c r="S278" s="3">
        <v>13.41883</v>
      </c>
      <c r="T278" s="3">
        <v>16.494779999999999</v>
      </c>
      <c r="V278" s="3">
        <v>18.130700000000001</v>
      </c>
      <c r="W278" s="3">
        <v>10.371930000000001</v>
      </c>
      <c r="X278" s="3">
        <v>1.515174</v>
      </c>
      <c r="AD278" s="3">
        <v>1.8726700000000001E-3</v>
      </c>
      <c r="AE278" s="3">
        <v>5.988397</v>
      </c>
      <c r="AF278" s="3">
        <v>34.172809999999998</v>
      </c>
      <c r="AI278" s="3">
        <v>21.571159999999999</v>
      </c>
      <c r="AL278" s="3">
        <v>24.193560000000002</v>
      </c>
      <c r="AN278" s="3">
        <v>8.1127199999999995</v>
      </c>
      <c r="AO278" s="3">
        <v>5.9332269999999996</v>
      </c>
      <c r="AQ278" s="3">
        <v>1.908075</v>
      </c>
      <c r="AV278" s="3">
        <v>15.98739</v>
      </c>
      <c r="AX278" s="3">
        <v>17.91564</v>
      </c>
    </row>
    <row r="279" spans="1:50" x14ac:dyDescent="0.2">
      <c r="A279" s="3" t="s">
        <v>176</v>
      </c>
      <c r="B279" s="49">
        <v>26299</v>
      </c>
      <c r="F279" s="3">
        <v>18.24766</v>
      </c>
      <c r="G279" s="3">
        <v>37.002020000000002</v>
      </c>
      <c r="M279" s="3">
        <v>32.737459999999999</v>
      </c>
      <c r="N279" s="3">
        <v>15.53267</v>
      </c>
      <c r="S279" s="3">
        <v>13.24485</v>
      </c>
      <c r="T279" s="3">
        <v>16.537520000000001</v>
      </c>
      <c r="V279" s="3">
        <v>18.179079999999999</v>
      </c>
      <c r="W279" s="3">
        <v>10.43472</v>
      </c>
      <c r="X279" s="3">
        <v>1.512079</v>
      </c>
      <c r="AD279" s="3">
        <v>1.893004E-3</v>
      </c>
      <c r="AE279" s="3">
        <v>6.0132989999999999</v>
      </c>
      <c r="AF279" s="3">
        <v>34.198909999999998</v>
      </c>
      <c r="AI279" s="3">
        <v>21.682829999999999</v>
      </c>
      <c r="AL279" s="3">
        <v>24.411989999999999</v>
      </c>
      <c r="AN279" s="3">
        <v>8.1394640000000003</v>
      </c>
      <c r="AO279" s="3">
        <v>5.9681610000000003</v>
      </c>
      <c r="AQ279" s="3">
        <v>1.9283360000000001</v>
      </c>
      <c r="AV279" s="3">
        <v>16.114339999999999</v>
      </c>
      <c r="AX279" s="3">
        <v>17.91564</v>
      </c>
    </row>
    <row r="280" spans="1:50" x14ac:dyDescent="0.2">
      <c r="A280" s="3" t="s">
        <v>177</v>
      </c>
      <c r="B280" s="49">
        <v>26330</v>
      </c>
      <c r="F280" s="3">
        <v>18.325220000000002</v>
      </c>
      <c r="G280" s="3">
        <v>37.190770000000001</v>
      </c>
      <c r="M280" s="3">
        <v>32.860289999999999</v>
      </c>
      <c r="N280" s="3">
        <v>15.60355</v>
      </c>
      <c r="S280" s="3">
        <v>13.32615</v>
      </c>
      <c r="T280" s="3">
        <v>16.634709999999998</v>
      </c>
      <c r="V280" s="3">
        <v>18.250209999999999</v>
      </c>
      <c r="W280" s="3">
        <v>10.484400000000001</v>
      </c>
      <c r="X280" s="3">
        <v>1.47912</v>
      </c>
      <c r="AD280" s="3">
        <v>1.890103E-3</v>
      </c>
      <c r="AE280" s="3">
        <v>6.0518020000000003</v>
      </c>
      <c r="AF280" s="3">
        <v>34.442349999999998</v>
      </c>
      <c r="AI280" s="3">
        <v>21.745259999999998</v>
      </c>
      <c r="AL280" s="3">
        <v>24.638190000000002</v>
      </c>
      <c r="AN280" s="3">
        <v>8.1722380000000001</v>
      </c>
      <c r="AO280" s="3">
        <v>5.9958049999999998</v>
      </c>
      <c r="AQ280" s="3">
        <v>1.9702120000000001</v>
      </c>
      <c r="AV280" s="3">
        <v>16.169170000000001</v>
      </c>
      <c r="AX280" s="3">
        <v>17.956910000000001</v>
      </c>
    </row>
    <row r="281" spans="1:50" x14ac:dyDescent="0.2">
      <c r="A281" s="3" t="s">
        <v>178</v>
      </c>
      <c r="B281" s="49">
        <v>26359</v>
      </c>
      <c r="F281" s="3">
        <v>18.444369999999999</v>
      </c>
      <c r="G281" s="3">
        <v>37.360120000000002</v>
      </c>
      <c r="M281" s="3">
        <v>33.092239999999997</v>
      </c>
      <c r="N281" s="3">
        <v>15.698729999999999</v>
      </c>
      <c r="S281" s="3">
        <v>13.394539999999999</v>
      </c>
      <c r="T281" s="3">
        <v>16.711659999999998</v>
      </c>
      <c r="V281" s="3">
        <v>18.318989999999999</v>
      </c>
      <c r="W281" s="3">
        <v>10.506130000000001</v>
      </c>
      <c r="X281" s="3">
        <v>1.5075369999999999</v>
      </c>
      <c r="AD281" s="3">
        <v>1.9148030000000001E-3</v>
      </c>
      <c r="AE281" s="3">
        <v>6.065874</v>
      </c>
      <c r="AF281" s="3">
        <v>34.677460000000004</v>
      </c>
      <c r="AI281" s="3">
        <v>21.787320000000001</v>
      </c>
      <c r="AL281" s="3">
        <v>24.894310000000001</v>
      </c>
      <c r="AN281" s="3">
        <v>8.2094349999999991</v>
      </c>
      <c r="AO281" s="3">
        <v>6.0297179999999999</v>
      </c>
      <c r="AQ281" s="3">
        <v>1.973101</v>
      </c>
      <c r="AV281" s="3">
        <v>16.232620000000001</v>
      </c>
      <c r="AX281" s="3">
        <v>17.998200000000001</v>
      </c>
    </row>
    <row r="282" spans="1:50" x14ac:dyDescent="0.2">
      <c r="A282" s="3" t="s">
        <v>179</v>
      </c>
      <c r="B282" s="49">
        <v>26390</v>
      </c>
      <c r="F282" s="3">
        <v>18.521940000000001</v>
      </c>
      <c r="G282" s="3">
        <v>37.423830000000002</v>
      </c>
      <c r="M282" s="3">
        <v>33.233750000000001</v>
      </c>
      <c r="N282" s="3">
        <v>15.81587</v>
      </c>
      <c r="S282" s="3">
        <v>13.598369999999999</v>
      </c>
      <c r="T282" s="3">
        <v>16.777699999999999</v>
      </c>
      <c r="V282" s="3">
        <v>18.404589999999999</v>
      </c>
      <c r="W282" s="3">
        <v>10.644640000000001</v>
      </c>
      <c r="X282" s="3">
        <v>1.5627219999999999</v>
      </c>
      <c r="AD282" s="3">
        <v>1.9511140000000001E-3</v>
      </c>
      <c r="AE282" s="3">
        <v>6.0763290000000003</v>
      </c>
      <c r="AF282" s="3">
        <v>35.08784</v>
      </c>
      <c r="AI282" s="3">
        <v>21.837620000000001</v>
      </c>
      <c r="AL282" s="3">
        <v>25.29139</v>
      </c>
      <c r="AN282" s="3">
        <v>8.2522549999999999</v>
      </c>
      <c r="AO282" s="3">
        <v>6.0653030000000001</v>
      </c>
      <c r="AQ282" s="3">
        <v>1.972262</v>
      </c>
      <c r="AV282" s="3">
        <v>16.269259999999999</v>
      </c>
      <c r="AX282" s="3">
        <v>18.039480000000001</v>
      </c>
    </row>
    <row r="283" spans="1:50" x14ac:dyDescent="0.2">
      <c r="A283" s="3" t="s">
        <v>180</v>
      </c>
      <c r="B283" s="49">
        <v>26420</v>
      </c>
      <c r="F283" s="3">
        <v>18.54682</v>
      </c>
      <c r="G283" s="3">
        <v>37.865479999999998</v>
      </c>
      <c r="M283" s="3">
        <v>33.197859999999999</v>
      </c>
      <c r="N283" s="3">
        <v>15.9948</v>
      </c>
      <c r="S283" s="3">
        <v>13.7156</v>
      </c>
      <c r="T283" s="3">
        <v>16.865220000000001</v>
      </c>
      <c r="V283" s="3">
        <v>18.481439999999999</v>
      </c>
      <c r="W283" s="3">
        <v>10.69069</v>
      </c>
      <c r="X283" s="3">
        <v>1.548894</v>
      </c>
      <c r="AD283" s="3">
        <v>1.9772689999999998E-3</v>
      </c>
      <c r="AE283" s="3">
        <v>6.1284900000000002</v>
      </c>
      <c r="AF283" s="3">
        <v>35.280059999999999</v>
      </c>
      <c r="AI283" s="3">
        <v>21.921309999999998</v>
      </c>
      <c r="AL283" s="3">
        <v>25.339130000000001</v>
      </c>
      <c r="AN283" s="3">
        <v>8.2883130000000005</v>
      </c>
      <c r="AO283" s="3">
        <v>6.0932139999999997</v>
      </c>
      <c r="AQ283" s="3">
        <v>2.0095329999999998</v>
      </c>
      <c r="AV283" s="3">
        <v>16.363330000000001</v>
      </c>
      <c r="AX283" s="3">
        <v>18.122039999999998</v>
      </c>
    </row>
    <row r="284" spans="1:50" x14ac:dyDescent="0.2">
      <c r="A284" s="3" t="s">
        <v>181</v>
      </c>
      <c r="B284" s="49">
        <v>26451</v>
      </c>
      <c r="F284" s="3">
        <v>18.54682</v>
      </c>
      <c r="G284" s="3">
        <v>38.000480000000003</v>
      </c>
      <c r="M284" s="3">
        <v>33.315429999999999</v>
      </c>
      <c r="N284" s="3">
        <v>16.033619999999999</v>
      </c>
      <c r="S284" s="3">
        <v>13.76488</v>
      </c>
      <c r="T284" s="3">
        <v>16.956299999999999</v>
      </c>
      <c r="V284" s="3">
        <v>18.545280000000002</v>
      </c>
      <c r="W284" s="3">
        <v>10.7415</v>
      </c>
      <c r="X284" s="3">
        <v>1.548894</v>
      </c>
      <c r="AD284" s="3">
        <v>1.988891E-3</v>
      </c>
      <c r="AE284" s="3">
        <v>6.1552680000000004</v>
      </c>
      <c r="AF284" s="3">
        <v>35.510649999999998</v>
      </c>
      <c r="AI284" s="3">
        <v>22.11572</v>
      </c>
      <c r="AL284" s="3">
        <v>25.392530000000001</v>
      </c>
      <c r="AN284" s="3">
        <v>8.3246369999999992</v>
      </c>
      <c r="AO284" s="3">
        <v>6.1303749999999999</v>
      </c>
      <c r="AQ284" s="3">
        <v>1.9842470000000001</v>
      </c>
      <c r="AV284" s="3">
        <v>16.445399999999999</v>
      </c>
      <c r="AX284" s="3">
        <v>18.163319999999999</v>
      </c>
    </row>
    <row r="285" spans="1:50" x14ac:dyDescent="0.2">
      <c r="A285" s="3" t="s">
        <v>182</v>
      </c>
      <c r="B285" s="49">
        <v>26481</v>
      </c>
      <c r="F285" s="3">
        <v>18.742180000000001</v>
      </c>
      <c r="G285" s="3">
        <v>38.028509999999997</v>
      </c>
      <c r="M285" s="3">
        <v>33.608800000000002</v>
      </c>
      <c r="N285" s="3">
        <v>16.06793</v>
      </c>
      <c r="S285" s="3">
        <v>13.892200000000001</v>
      </c>
      <c r="T285" s="3">
        <v>17.107109999999999</v>
      </c>
      <c r="V285" s="3">
        <v>18.62209</v>
      </c>
      <c r="W285" s="3">
        <v>10.788500000000001</v>
      </c>
      <c r="X285" s="3">
        <v>1.546484</v>
      </c>
      <c r="AD285" s="3">
        <v>2.0106799999999999E-3</v>
      </c>
      <c r="AE285" s="3">
        <v>6.1742910000000002</v>
      </c>
      <c r="AF285" s="3">
        <v>35.587159999999997</v>
      </c>
      <c r="AI285" s="3">
        <v>22.302340000000001</v>
      </c>
      <c r="AL285" s="3">
        <v>25.26371</v>
      </c>
      <c r="AN285" s="3">
        <v>8.3655709999999992</v>
      </c>
      <c r="AO285" s="3">
        <v>6.1711850000000004</v>
      </c>
      <c r="AQ285" s="3">
        <v>2.0218759999999998</v>
      </c>
      <c r="AV285" s="3">
        <v>16.518360000000001</v>
      </c>
      <c r="AX285" s="3">
        <v>18.204599999999999</v>
      </c>
    </row>
    <row r="286" spans="1:50" x14ac:dyDescent="0.2">
      <c r="A286" s="3" t="s">
        <v>183</v>
      </c>
      <c r="B286" s="49">
        <v>26512</v>
      </c>
      <c r="F286" s="3">
        <v>18.872420000000002</v>
      </c>
      <c r="G286" s="3">
        <v>38.151020000000003</v>
      </c>
      <c r="M286" s="3">
        <v>33.639580000000002</v>
      </c>
      <c r="N286" s="3">
        <v>16.123280000000001</v>
      </c>
      <c r="S286" s="3">
        <v>13.91376</v>
      </c>
      <c r="T286" s="3">
        <v>17.186150000000001</v>
      </c>
      <c r="V286" s="3">
        <v>18.690950000000001</v>
      </c>
      <c r="W286" s="3">
        <v>10.855449999999999</v>
      </c>
      <c r="X286" s="3">
        <v>1.5242579999999999</v>
      </c>
      <c r="AD286" s="3">
        <v>2.0150459999999999E-3</v>
      </c>
      <c r="AE286" s="3">
        <v>6.2060550000000001</v>
      </c>
      <c r="AF286" s="3">
        <v>35.555869999999999</v>
      </c>
      <c r="AI286" s="3">
        <v>22.368469999999999</v>
      </c>
      <c r="AL286" s="3">
        <v>25.478529999999999</v>
      </c>
      <c r="AN286" s="3">
        <v>8.3958189999999995</v>
      </c>
      <c r="AO286" s="3">
        <v>6.1908459999999996</v>
      </c>
      <c r="AQ286" s="3">
        <v>2.0144139999999999</v>
      </c>
      <c r="AV286" s="3">
        <v>16.567679999999999</v>
      </c>
      <c r="AX286" s="3">
        <v>18.28716</v>
      </c>
    </row>
    <row r="287" spans="1:50" x14ac:dyDescent="0.2">
      <c r="A287" s="3" t="s">
        <v>184</v>
      </c>
      <c r="B287" s="49">
        <v>26543</v>
      </c>
      <c r="F287" s="3">
        <v>18.97486</v>
      </c>
      <c r="G287" s="3">
        <v>38.494819999999997</v>
      </c>
      <c r="M287" s="3">
        <v>33.910609999999998</v>
      </c>
      <c r="N287" s="3">
        <v>16.22663</v>
      </c>
      <c r="S287" s="3">
        <v>13.98936</v>
      </c>
      <c r="T287" s="3">
        <v>17.284739999999999</v>
      </c>
      <c r="V287" s="3">
        <v>18.756150000000002</v>
      </c>
      <c r="W287" s="3">
        <v>10.930859999999999</v>
      </c>
      <c r="X287" s="3">
        <v>1.5526740000000001</v>
      </c>
      <c r="AD287" s="3">
        <v>2.0353799999999998E-3</v>
      </c>
      <c r="AE287" s="3">
        <v>6.2544370000000002</v>
      </c>
      <c r="AF287" s="3">
        <v>35.752049999999997</v>
      </c>
      <c r="AI287" s="3">
        <v>22.476590000000002</v>
      </c>
      <c r="AL287" s="3">
        <v>25.715699999999998</v>
      </c>
      <c r="AN287" s="3">
        <v>8.4306760000000001</v>
      </c>
      <c r="AO287" s="3">
        <v>6.2371600000000003</v>
      </c>
      <c r="AQ287" s="3">
        <v>2.06162</v>
      </c>
      <c r="AV287" s="3">
        <v>16.621960000000001</v>
      </c>
      <c r="AX287" s="3">
        <v>18.28716</v>
      </c>
    </row>
    <row r="288" spans="1:50" x14ac:dyDescent="0.2">
      <c r="A288" s="3" t="s">
        <v>185</v>
      </c>
      <c r="B288" s="49">
        <v>26573</v>
      </c>
      <c r="F288" s="3">
        <v>18.999749999999999</v>
      </c>
      <c r="G288" s="3">
        <v>38.787019999999998</v>
      </c>
      <c r="M288" s="3">
        <v>34.030090000000001</v>
      </c>
      <c r="N288" s="3">
        <v>16.368600000000001</v>
      </c>
      <c r="S288" s="3">
        <v>14.048690000000001</v>
      </c>
      <c r="T288" s="3">
        <v>17.435079999999999</v>
      </c>
      <c r="V288" s="3">
        <v>18.870850000000001</v>
      </c>
      <c r="W288" s="3">
        <v>11.10834</v>
      </c>
      <c r="X288" s="3">
        <v>1.5749010000000001</v>
      </c>
      <c r="AD288" s="3">
        <v>2.078968E-3</v>
      </c>
      <c r="AE288" s="3">
        <v>6.3282600000000002</v>
      </c>
      <c r="AF288" s="3">
        <v>35.927320000000002</v>
      </c>
      <c r="AI288" s="3">
        <v>22.594819999999999</v>
      </c>
      <c r="AL288" s="3">
        <v>26.060369999999999</v>
      </c>
      <c r="AN288" s="3">
        <v>8.4822439999999997</v>
      </c>
      <c r="AO288" s="3">
        <v>6.2912650000000001</v>
      </c>
      <c r="AQ288" s="3">
        <v>2.0710769999999998</v>
      </c>
      <c r="AV288" s="3">
        <v>16.683720000000001</v>
      </c>
      <c r="AX288" s="3">
        <v>18.369720000000001</v>
      </c>
    </row>
    <row r="289" spans="1:50" x14ac:dyDescent="0.2">
      <c r="A289" s="3" t="s">
        <v>186</v>
      </c>
      <c r="B289" s="49">
        <v>26604</v>
      </c>
      <c r="F289" s="3">
        <v>18.999749999999999</v>
      </c>
      <c r="G289" s="3">
        <v>39.165599999999998</v>
      </c>
      <c r="M289" s="3">
        <v>34.217689999999997</v>
      </c>
      <c r="N289" s="3">
        <v>16.519649999999999</v>
      </c>
      <c r="S289" s="3">
        <v>14.150090000000001</v>
      </c>
      <c r="T289" s="3">
        <v>17.550650000000001</v>
      </c>
      <c r="V289" s="3">
        <v>18.944939999999999</v>
      </c>
      <c r="W289" s="3">
        <v>11.139659999999999</v>
      </c>
      <c r="X289" s="3">
        <v>1.5565310000000001</v>
      </c>
      <c r="AD289" s="3">
        <v>2.1065680000000001E-3</v>
      </c>
      <c r="AE289" s="3">
        <v>6.385643</v>
      </c>
      <c r="AF289" s="3">
        <v>36.136200000000002</v>
      </c>
      <c r="AI289" s="3">
        <v>22.728059999999999</v>
      </c>
      <c r="AL289" s="3">
        <v>26.138380000000002</v>
      </c>
      <c r="AN289" s="3">
        <v>8.5147110000000001</v>
      </c>
      <c r="AO289" s="3">
        <v>6.3265779999999996</v>
      </c>
      <c r="AQ289" s="3">
        <v>2.0988739999999999</v>
      </c>
      <c r="AV289" s="3">
        <v>16.698229999999999</v>
      </c>
      <c r="AX289" s="3">
        <v>18.411000000000001</v>
      </c>
    </row>
    <row r="290" spans="1:50" x14ac:dyDescent="0.2">
      <c r="A290" s="3" t="s">
        <v>187</v>
      </c>
      <c r="B290" s="49">
        <v>26634</v>
      </c>
      <c r="F290" s="3">
        <v>19.077310000000001</v>
      </c>
      <c r="G290" s="3">
        <v>39.346049999999998</v>
      </c>
      <c r="M290" s="3">
        <v>34.28931</v>
      </c>
      <c r="N290" s="3">
        <v>16.571840000000002</v>
      </c>
      <c r="S290" s="3">
        <v>14.17925</v>
      </c>
      <c r="T290" s="3">
        <v>17.648530000000001</v>
      </c>
      <c r="V290" s="3">
        <v>19.002980000000001</v>
      </c>
      <c r="W290" s="3">
        <v>11.18078</v>
      </c>
      <c r="X290" s="3">
        <v>1.6071740000000001</v>
      </c>
      <c r="AD290" s="3">
        <v>2.131268E-3</v>
      </c>
      <c r="AE290" s="3">
        <v>6.4102059999999996</v>
      </c>
      <c r="AF290" s="3">
        <v>36.298630000000003</v>
      </c>
      <c r="AI290" s="3">
        <v>22.812989999999999</v>
      </c>
      <c r="AL290" s="3">
        <v>26.158799999999999</v>
      </c>
      <c r="AN290" s="3">
        <v>8.5447109999999995</v>
      </c>
      <c r="AO290" s="3">
        <v>6.3558120000000002</v>
      </c>
      <c r="AQ290" s="3">
        <v>2.1178560000000002</v>
      </c>
      <c r="AV290" s="3">
        <v>16.962209999999999</v>
      </c>
      <c r="AX290" s="3">
        <v>18.452279999999998</v>
      </c>
    </row>
    <row r="291" spans="1:50" x14ac:dyDescent="0.2">
      <c r="A291" s="3" t="s">
        <v>188</v>
      </c>
      <c r="B291" s="49">
        <v>26665</v>
      </c>
      <c r="F291" s="3">
        <v>19.187249999999999</v>
      </c>
      <c r="G291" s="3">
        <v>39.777799999999999</v>
      </c>
      <c r="M291" s="3">
        <v>34.678220000000003</v>
      </c>
      <c r="N291" s="3">
        <v>16.60575</v>
      </c>
      <c r="S291" s="3">
        <v>14.34098</v>
      </c>
      <c r="T291" s="3">
        <v>17.641739999999999</v>
      </c>
      <c r="V291" s="3">
        <v>19.057480000000002</v>
      </c>
      <c r="W291" s="3">
        <v>11.223599999999999</v>
      </c>
      <c r="X291" s="3">
        <v>1.593269</v>
      </c>
      <c r="AD291" s="3">
        <v>2.1661340000000001E-3</v>
      </c>
      <c r="AE291" s="3">
        <v>6.483511</v>
      </c>
      <c r="AF291" s="3">
        <v>36.649180000000001</v>
      </c>
      <c r="AI291" s="3">
        <v>22.900950000000002</v>
      </c>
      <c r="AL291" s="3">
        <v>26.38984</v>
      </c>
      <c r="AN291" s="3">
        <v>8.5803899999999995</v>
      </c>
      <c r="AO291" s="3">
        <v>6.3993950000000002</v>
      </c>
      <c r="AQ291" s="3">
        <v>2.1601140000000001</v>
      </c>
      <c r="AV291" s="3">
        <v>17.02928</v>
      </c>
      <c r="AX291" s="3">
        <v>18.411000000000001</v>
      </c>
    </row>
    <row r="292" spans="1:50" x14ac:dyDescent="0.2">
      <c r="A292" s="3" t="s">
        <v>189</v>
      </c>
      <c r="B292" s="49">
        <v>26696</v>
      </c>
      <c r="F292" s="3">
        <v>19.326000000000001</v>
      </c>
      <c r="G292" s="3">
        <v>40.060690000000001</v>
      </c>
      <c r="M292" s="3">
        <v>34.848750000000003</v>
      </c>
      <c r="N292" s="3">
        <v>16.700030000000002</v>
      </c>
      <c r="S292" s="3">
        <v>14.42755</v>
      </c>
      <c r="T292" s="3">
        <v>17.669699999999999</v>
      </c>
      <c r="V292" s="3">
        <v>19.136649999999999</v>
      </c>
      <c r="W292" s="3">
        <v>11.27182</v>
      </c>
      <c r="X292" s="3">
        <v>1.5780209999999999</v>
      </c>
      <c r="AD292" s="3">
        <v>2.1821119999999999E-3</v>
      </c>
      <c r="AE292" s="3">
        <v>6.5642430000000003</v>
      </c>
      <c r="AF292" s="3">
        <v>36.878010000000003</v>
      </c>
      <c r="AI292" s="3">
        <v>22.996770000000001</v>
      </c>
      <c r="AL292" s="3">
        <v>26.525860000000002</v>
      </c>
      <c r="AN292" s="3">
        <v>8.6185849999999995</v>
      </c>
      <c r="AO292" s="3">
        <v>6.436903</v>
      </c>
      <c r="AQ292" s="3">
        <v>2.246251</v>
      </c>
      <c r="AV292" s="3">
        <v>17.165759999999999</v>
      </c>
      <c r="AX292" s="3">
        <v>18.452279999999998</v>
      </c>
    </row>
    <row r="293" spans="1:50" x14ac:dyDescent="0.2">
      <c r="A293" s="3" t="s">
        <v>190</v>
      </c>
      <c r="B293" s="49">
        <v>26724</v>
      </c>
      <c r="F293" s="3">
        <v>19.326000000000001</v>
      </c>
      <c r="G293" s="3">
        <v>40.461910000000003</v>
      </c>
      <c r="M293" s="3">
        <v>35.137009999999997</v>
      </c>
      <c r="N293" s="3">
        <v>16.801649999999999</v>
      </c>
      <c r="S293" s="3">
        <v>14.467079999999999</v>
      </c>
      <c r="T293" s="3">
        <v>17.757390000000001</v>
      </c>
      <c r="V293" s="3">
        <v>19.271609999999999</v>
      </c>
      <c r="W293" s="3">
        <v>11.308960000000001</v>
      </c>
      <c r="X293" s="3">
        <v>1.636377</v>
      </c>
      <c r="AD293" s="3">
        <v>2.2242450000000001E-3</v>
      </c>
      <c r="AE293" s="3">
        <v>6.6351000000000004</v>
      </c>
      <c r="AF293" s="3">
        <v>37.595359999999999</v>
      </c>
      <c r="AI293" s="3">
        <v>23.102540000000001</v>
      </c>
      <c r="AL293" s="3">
        <v>26.849049999999998</v>
      </c>
      <c r="AN293" s="3">
        <v>8.6767660000000006</v>
      </c>
      <c r="AO293" s="3">
        <v>6.4802710000000001</v>
      </c>
      <c r="AQ293" s="3">
        <v>2.200142</v>
      </c>
      <c r="AV293" s="3">
        <v>17.23874</v>
      </c>
      <c r="AX293" s="3">
        <v>18.534839999999999</v>
      </c>
    </row>
    <row r="294" spans="1:50" x14ac:dyDescent="0.2">
      <c r="A294" s="3" t="s">
        <v>191</v>
      </c>
      <c r="B294" s="49">
        <v>26755</v>
      </c>
      <c r="F294" s="3">
        <v>19.558679999999999</v>
      </c>
      <c r="G294" s="3">
        <v>40.591180000000001</v>
      </c>
      <c r="M294" s="3">
        <v>35.310749999999999</v>
      </c>
      <c r="N294" s="3">
        <v>17.007549999999998</v>
      </c>
      <c r="S294" s="3">
        <v>14.68336</v>
      </c>
      <c r="T294" s="3">
        <v>17.875889999999998</v>
      </c>
      <c r="V294" s="3">
        <v>19.43141</v>
      </c>
      <c r="W294" s="3">
        <v>11.572340000000001</v>
      </c>
      <c r="X294" s="3">
        <v>1.6478379999999999</v>
      </c>
      <c r="AD294" s="3">
        <v>2.3215879999999999E-3</v>
      </c>
      <c r="AE294" s="3">
        <v>6.6906140000000001</v>
      </c>
      <c r="AF294" s="3">
        <v>38.23921</v>
      </c>
      <c r="AI294" s="3">
        <v>23.321380000000001</v>
      </c>
      <c r="AL294" s="3">
        <v>27.36168</v>
      </c>
      <c r="AN294" s="3">
        <v>8.7517230000000001</v>
      </c>
      <c r="AO294" s="3">
        <v>6.5352750000000004</v>
      </c>
      <c r="AQ294" s="3">
        <v>2.21705</v>
      </c>
      <c r="AV294" s="3">
        <v>17.343610000000002</v>
      </c>
      <c r="AX294" s="3">
        <v>18.6174</v>
      </c>
    </row>
    <row r="295" spans="1:50" x14ac:dyDescent="0.2">
      <c r="A295" s="3" t="s">
        <v>192</v>
      </c>
      <c r="B295" s="49">
        <v>26785</v>
      </c>
      <c r="F295" s="3">
        <v>19.619869999999999</v>
      </c>
      <c r="G295" s="3">
        <v>40.977400000000003</v>
      </c>
      <c r="M295" s="3">
        <v>35.544440000000002</v>
      </c>
      <c r="N295" s="3">
        <v>17.214359999999999</v>
      </c>
      <c r="S295" s="3">
        <v>14.85266</v>
      </c>
      <c r="T295" s="3">
        <v>18.050719999999998</v>
      </c>
      <c r="V295" s="3">
        <v>19.583770000000001</v>
      </c>
      <c r="W295" s="3">
        <v>11.63625</v>
      </c>
      <c r="X295" s="3">
        <v>1.687805</v>
      </c>
      <c r="AD295" s="3">
        <v>2.3622650000000001E-3</v>
      </c>
      <c r="AE295" s="3">
        <v>6.7905470000000001</v>
      </c>
      <c r="AF295" s="3">
        <v>38.98415</v>
      </c>
      <c r="AI295" s="3">
        <v>23.610479999999999</v>
      </c>
      <c r="AL295" s="3">
        <v>27.47569</v>
      </c>
      <c r="AN295" s="3">
        <v>8.8230299999999993</v>
      </c>
      <c r="AO295" s="3">
        <v>6.5988249999999997</v>
      </c>
      <c r="AQ295" s="3">
        <v>2.2858559999999999</v>
      </c>
      <c r="AV295" s="3">
        <v>17.405460000000001</v>
      </c>
      <c r="AX295" s="3">
        <v>18.699960000000001</v>
      </c>
    </row>
    <row r="296" spans="1:50" x14ac:dyDescent="0.2">
      <c r="A296" s="3" t="s">
        <v>193</v>
      </c>
      <c r="B296" s="49">
        <v>26816</v>
      </c>
      <c r="F296" s="3">
        <v>19.746179999999999</v>
      </c>
      <c r="G296" s="3">
        <v>41.226309999999998</v>
      </c>
      <c r="M296" s="3">
        <v>35.686079999999997</v>
      </c>
      <c r="N296" s="3">
        <v>17.322310000000002</v>
      </c>
      <c r="S296" s="3">
        <v>14.975630000000001</v>
      </c>
      <c r="T296" s="3">
        <v>18.16112</v>
      </c>
      <c r="V296" s="3">
        <v>19.677849999999999</v>
      </c>
      <c r="W296" s="3">
        <v>11.704129999999999</v>
      </c>
      <c r="X296" s="3">
        <v>1.7170080000000001</v>
      </c>
      <c r="AD296" s="3">
        <v>2.3913210000000001E-3</v>
      </c>
      <c r="AE296" s="3">
        <v>6.8497649999999997</v>
      </c>
      <c r="AF296" s="3">
        <v>39.417209999999997</v>
      </c>
      <c r="AI296" s="3">
        <v>23.648679999999999</v>
      </c>
      <c r="AL296" s="3">
        <v>27.513169999999999</v>
      </c>
      <c r="AN296" s="3">
        <v>8.8737929999999992</v>
      </c>
      <c r="AO296" s="3">
        <v>6.6505590000000003</v>
      </c>
      <c r="AQ296" s="3">
        <v>2.3083849999999999</v>
      </c>
      <c r="AV296" s="3">
        <v>17.52028</v>
      </c>
      <c r="AX296" s="3">
        <v>18.741240000000001</v>
      </c>
    </row>
    <row r="297" spans="1:50" x14ac:dyDescent="0.2">
      <c r="A297" s="3" t="s">
        <v>194</v>
      </c>
      <c r="B297" s="49">
        <v>26846</v>
      </c>
      <c r="F297" s="3">
        <v>19.974930000000001</v>
      </c>
      <c r="G297" s="3">
        <v>41.263469999999998</v>
      </c>
      <c r="M297" s="3">
        <v>35.838090000000001</v>
      </c>
      <c r="N297" s="3">
        <v>17.38635</v>
      </c>
      <c r="S297" s="3">
        <v>15.42395</v>
      </c>
      <c r="T297" s="3">
        <v>18.322659999999999</v>
      </c>
      <c r="V297" s="3">
        <v>19.767430000000001</v>
      </c>
      <c r="W297" s="3">
        <v>11.773630000000001</v>
      </c>
      <c r="X297" s="3">
        <v>1.6981170000000001</v>
      </c>
      <c r="AD297" s="3">
        <v>2.436354E-3</v>
      </c>
      <c r="AE297" s="3">
        <v>6.8849289999999996</v>
      </c>
      <c r="AF297" s="3">
        <v>39.722270000000002</v>
      </c>
      <c r="AI297" s="3">
        <v>23.631139999999998</v>
      </c>
      <c r="AL297" s="3">
        <v>27.42557</v>
      </c>
      <c r="AN297" s="3">
        <v>8.9188069999999993</v>
      </c>
      <c r="AO297" s="3">
        <v>6.6801240000000002</v>
      </c>
      <c r="AQ297" s="3">
        <v>2.3108949999999999</v>
      </c>
      <c r="AV297" s="3">
        <v>17.566569999999999</v>
      </c>
      <c r="AX297" s="3">
        <v>18.782520000000002</v>
      </c>
    </row>
    <row r="298" spans="1:50" x14ac:dyDescent="0.2">
      <c r="A298" s="3" t="s">
        <v>195</v>
      </c>
      <c r="B298" s="49">
        <v>26877</v>
      </c>
      <c r="F298" s="3">
        <v>20.149979999999999</v>
      </c>
      <c r="G298" s="3">
        <v>41.398989999999998</v>
      </c>
      <c r="M298" s="3">
        <v>35.91498</v>
      </c>
      <c r="N298" s="3">
        <v>17.485330000000001</v>
      </c>
      <c r="S298" s="3">
        <v>15.644019999999999</v>
      </c>
      <c r="T298" s="3">
        <v>18.423179999999999</v>
      </c>
      <c r="V298" s="3">
        <v>19.853940000000001</v>
      </c>
      <c r="W298" s="3">
        <v>11.823980000000001</v>
      </c>
      <c r="X298" s="3">
        <v>1.7221390000000001</v>
      </c>
      <c r="AD298" s="3">
        <v>2.4465210000000001E-3</v>
      </c>
      <c r="AE298" s="3">
        <v>6.9267830000000004</v>
      </c>
      <c r="AF298" s="3">
        <v>39.862839999999998</v>
      </c>
      <c r="AI298" s="3">
        <v>23.661020000000001</v>
      </c>
      <c r="AL298" s="3">
        <v>27.57938</v>
      </c>
      <c r="AN298" s="3">
        <v>8.9666479999999993</v>
      </c>
      <c r="AO298" s="3">
        <v>6.718553</v>
      </c>
      <c r="AQ298" s="3">
        <v>2.340525</v>
      </c>
      <c r="AV298" s="3">
        <v>17.60089</v>
      </c>
      <c r="AX298" s="3">
        <v>18.865079999999999</v>
      </c>
    </row>
    <row r="299" spans="1:50" x14ac:dyDescent="0.2">
      <c r="A299" s="3" t="s">
        <v>196</v>
      </c>
      <c r="B299" s="49">
        <v>26908</v>
      </c>
      <c r="F299" s="3">
        <v>20.2318</v>
      </c>
      <c r="G299" s="3">
        <v>41.811579999999999</v>
      </c>
      <c r="M299" s="3">
        <v>35.911769999999997</v>
      </c>
      <c r="N299" s="3">
        <v>17.657419999999998</v>
      </c>
      <c r="S299" s="3">
        <v>15.753550000000001</v>
      </c>
      <c r="T299" s="3">
        <v>18.58662</v>
      </c>
      <c r="V299" s="3">
        <v>20.009499999999999</v>
      </c>
      <c r="W299" s="3">
        <v>11.905810000000001</v>
      </c>
      <c r="X299" s="3">
        <v>1.9729490000000001</v>
      </c>
      <c r="AD299" s="3">
        <v>2.488653E-3</v>
      </c>
      <c r="AE299" s="3">
        <v>6.9670909999999999</v>
      </c>
      <c r="AF299" s="3">
        <v>40.76831</v>
      </c>
      <c r="AI299" s="3">
        <v>23.743320000000001</v>
      </c>
      <c r="AL299" s="3">
        <v>27.87294</v>
      </c>
      <c r="AN299" s="3">
        <v>9.0638299999999994</v>
      </c>
      <c r="AO299" s="3">
        <v>6.8008810000000004</v>
      </c>
      <c r="AQ299" s="3">
        <v>2.4032650000000002</v>
      </c>
      <c r="AV299" s="3">
        <v>17.66142</v>
      </c>
      <c r="AX299" s="3">
        <v>18.98892</v>
      </c>
    </row>
    <row r="300" spans="1:50" x14ac:dyDescent="0.2">
      <c r="A300" s="3" t="s">
        <v>197</v>
      </c>
      <c r="B300" s="49">
        <v>26938</v>
      </c>
      <c r="F300" s="3">
        <v>20.33032</v>
      </c>
      <c r="G300" s="3">
        <v>42.437309999999997</v>
      </c>
      <c r="M300" s="3">
        <v>36.111469999999997</v>
      </c>
      <c r="N300" s="3">
        <v>17.84066</v>
      </c>
      <c r="S300" s="3">
        <v>15.880319999999999</v>
      </c>
      <c r="T300" s="3">
        <v>18.772400000000001</v>
      </c>
      <c r="V300" s="3">
        <v>20.17679</v>
      </c>
      <c r="W300" s="3">
        <v>12.077909999999999</v>
      </c>
      <c r="X300" s="3">
        <v>2.061852</v>
      </c>
      <c r="AD300" s="3">
        <v>2.5220749999999999E-3</v>
      </c>
      <c r="AE300" s="3">
        <v>6.9980969999999996</v>
      </c>
      <c r="AF300" s="3">
        <v>41.121169999999999</v>
      </c>
      <c r="AI300" s="3">
        <v>23.91958</v>
      </c>
      <c r="AL300" s="3">
        <v>28.19042</v>
      </c>
      <c r="AN300" s="3">
        <v>9.1547800000000006</v>
      </c>
      <c r="AO300" s="3">
        <v>6.8749919999999998</v>
      </c>
      <c r="AQ300" s="3">
        <v>2.4635349999999998</v>
      </c>
      <c r="AV300" s="3">
        <v>17.802600000000002</v>
      </c>
      <c r="AX300" s="3">
        <v>19.154039999999998</v>
      </c>
    </row>
    <row r="301" spans="1:50" x14ac:dyDescent="0.2">
      <c r="A301" s="3" t="s">
        <v>198</v>
      </c>
      <c r="B301" s="49">
        <v>26969</v>
      </c>
      <c r="F301" s="3">
        <v>20.493960000000001</v>
      </c>
      <c r="G301" s="3">
        <v>43.232410000000002</v>
      </c>
      <c r="M301" s="3">
        <v>36.345730000000003</v>
      </c>
      <c r="N301" s="3">
        <v>18.130710000000001</v>
      </c>
      <c r="S301" s="3">
        <v>16.000389999999999</v>
      </c>
      <c r="T301" s="3">
        <v>18.888179999999998</v>
      </c>
      <c r="V301" s="3">
        <v>20.306090000000001</v>
      </c>
      <c r="W301" s="3">
        <v>12.15863</v>
      </c>
      <c r="X301" s="3">
        <v>2.0007609999999998</v>
      </c>
      <c r="AD301" s="3">
        <v>2.610696E-3</v>
      </c>
      <c r="AE301" s="3">
        <v>7.0879519999999996</v>
      </c>
      <c r="AF301" s="3">
        <v>41.517490000000002</v>
      </c>
      <c r="AI301" s="3">
        <v>24.062329999999999</v>
      </c>
      <c r="AL301" s="3">
        <v>28.261790000000001</v>
      </c>
      <c r="AN301" s="3">
        <v>9.2157300000000006</v>
      </c>
      <c r="AO301" s="3">
        <v>6.9277620000000004</v>
      </c>
      <c r="AQ301" s="3">
        <v>2.4735309999999999</v>
      </c>
      <c r="AV301" s="3">
        <v>17.953420000000001</v>
      </c>
      <c r="AX301" s="3">
        <v>19.236599999999999</v>
      </c>
    </row>
    <row r="302" spans="1:50" x14ac:dyDescent="0.2">
      <c r="A302" s="3" t="s">
        <v>199</v>
      </c>
      <c r="B302" s="49">
        <v>26999</v>
      </c>
      <c r="F302" s="3">
        <v>20.55547</v>
      </c>
      <c r="G302" s="3">
        <v>43.726680000000002</v>
      </c>
      <c r="M302" s="3">
        <v>36.509830000000001</v>
      </c>
      <c r="N302" s="3">
        <v>18.365780000000001</v>
      </c>
      <c r="S302" s="3">
        <v>16.123860000000001</v>
      </c>
      <c r="T302" s="3">
        <v>19.023499999999999</v>
      </c>
      <c r="V302" s="3">
        <v>20.456880000000002</v>
      </c>
      <c r="W302" s="3">
        <v>12.212619999999999</v>
      </c>
      <c r="X302" s="3">
        <v>2.0611570000000001</v>
      </c>
      <c r="AD302" s="3">
        <v>2.6804289999999998E-3</v>
      </c>
      <c r="AE302" s="3">
        <v>7.1552860000000003</v>
      </c>
      <c r="AF302" s="3">
        <v>42.499180000000003</v>
      </c>
      <c r="AI302" s="3">
        <v>24.206769999999999</v>
      </c>
      <c r="AL302" s="3">
        <v>28.387139999999999</v>
      </c>
      <c r="AN302" s="3">
        <v>9.3078000000000003</v>
      </c>
      <c r="AO302" s="3">
        <v>6.9925009999999999</v>
      </c>
      <c r="AQ302" s="3">
        <v>2.5888399999999998</v>
      </c>
      <c r="AV302" s="3">
        <v>18.083320000000001</v>
      </c>
      <c r="AX302" s="3">
        <v>19.31916</v>
      </c>
    </row>
    <row r="303" spans="1:50" x14ac:dyDescent="0.2">
      <c r="A303" s="3" t="s">
        <v>200</v>
      </c>
      <c r="B303" s="49">
        <v>27030</v>
      </c>
      <c r="F303" s="3">
        <v>20.710599999999999</v>
      </c>
      <c r="G303" s="3">
        <v>43.933779999999999</v>
      </c>
      <c r="M303" s="3">
        <v>36.898319999999998</v>
      </c>
      <c r="N303" s="3">
        <v>18.558029999999999</v>
      </c>
      <c r="S303" s="3">
        <v>16.266919999999999</v>
      </c>
      <c r="T303" s="3">
        <v>19.184229999999999</v>
      </c>
      <c r="V303" s="3">
        <v>20.624880000000001</v>
      </c>
      <c r="W303" s="3">
        <v>12.3681</v>
      </c>
      <c r="X303" s="3">
        <v>2.109496</v>
      </c>
      <c r="AD303" s="3">
        <v>2.750162E-3</v>
      </c>
      <c r="AE303" s="3">
        <v>7.2498310000000004</v>
      </c>
      <c r="AF303" s="3">
        <v>43.849449999999997</v>
      </c>
      <c r="AI303" s="3">
        <v>24.410679999999999</v>
      </c>
      <c r="AL303" s="3">
        <v>28.462250000000001</v>
      </c>
      <c r="AN303" s="3">
        <v>9.3961030000000001</v>
      </c>
      <c r="AO303" s="3">
        <v>7.0647180000000001</v>
      </c>
      <c r="AQ303" s="3">
        <v>2.6142690000000002</v>
      </c>
      <c r="AV303" s="3">
        <v>18.282550000000001</v>
      </c>
      <c r="AX303" s="3">
        <v>19.31916</v>
      </c>
    </row>
    <row r="304" spans="1:50" x14ac:dyDescent="0.2">
      <c r="A304" s="3" t="s">
        <v>201</v>
      </c>
      <c r="B304" s="49">
        <v>27061</v>
      </c>
      <c r="F304" s="3">
        <v>20.84083</v>
      </c>
      <c r="G304" s="3">
        <v>43.758470000000003</v>
      </c>
      <c r="M304" s="3">
        <v>37.246389999999998</v>
      </c>
      <c r="N304" s="3">
        <v>18.604520000000001</v>
      </c>
      <c r="S304" s="3">
        <v>16.54373</v>
      </c>
      <c r="T304" s="3">
        <v>19.377359999999999</v>
      </c>
      <c r="V304" s="3">
        <v>20.85679</v>
      </c>
      <c r="W304" s="3">
        <v>12.46571</v>
      </c>
      <c r="X304" s="3">
        <v>2.064022</v>
      </c>
      <c r="AD304" s="3">
        <v>2.8663830000000001E-3</v>
      </c>
      <c r="AE304" s="3">
        <v>7.3985909999999997</v>
      </c>
      <c r="AF304" s="3">
        <v>45.153550000000003</v>
      </c>
      <c r="AI304" s="3">
        <v>24.845400000000001</v>
      </c>
      <c r="AL304" s="3">
        <v>28.834070000000001</v>
      </c>
      <c r="AN304" s="3">
        <v>9.5014120000000002</v>
      </c>
      <c r="AO304" s="3">
        <v>7.1386909999999997</v>
      </c>
      <c r="AQ304" s="3">
        <v>2.7718989999999999</v>
      </c>
      <c r="AV304" s="3">
        <v>18.588940000000001</v>
      </c>
      <c r="AX304" s="3">
        <v>19.443000000000001</v>
      </c>
    </row>
    <row r="305" spans="1:50" x14ac:dyDescent="0.2">
      <c r="A305" s="3" t="s">
        <v>202</v>
      </c>
      <c r="B305" s="49">
        <v>27089</v>
      </c>
      <c r="F305" s="3">
        <v>21.098410000000001</v>
      </c>
      <c r="G305" s="3">
        <v>43.964359999999999</v>
      </c>
      <c r="M305" s="3">
        <v>37.396210000000004</v>
      </c>
      <c r="N305" s="3">
        <v>18.799949999999999</v>
      </c>
      <c r="S305" s="3">
        <v>16.751270000000002</v>
      </c>
      <c r="T305" s="3">
        <v>19.58549</v>
      </c>
      <c r="V305" s="3">
        <v>21.040669999999999</v>
      </c>
      <c r="W305" s="3">
        <v>12.580399999999999</v>
      </c>
      <c r="X305" s="3">
        <v>2.1570119999999999</v>
      </c>
      <c r="AD305" s="3">
        <v>2.9666269999999999E-3</v>
      </c>
      <c r="AE305" s="3">
        <v>7.5137280000000004</v>
      </c>
      <c r="AF305" s="3">
        <v>45.521039999999999</v>
      </c>
      <c r="AI305" s="3">
        <v>25.069769999999998</v>
      </c>
      <c r="AL305" s="3">
        <v>29.289680000000001</v>
      </c>
      <c r="AN305" s="3">
        <v>9.6077659999999998</v>
      </c>
      <c r="AO305" s="3">
        <v>7.2424929999999996</v>
      </c>
      <c r="AQ305" s="3">
        <v>2.890587</v>
      </c>
      <c r="AV305" s="3">
        <v>18.736139999999999</v>
      </c>
      <c r="AX305" s="3">
        <v>19.608129999999999</v>
      </c>
    </row>
    <row r="306" spans="1:50" x14ac:dyDescent="0.2">
      <c r="A306" s="3" t="s">
        <v>203</v>
      </c>
      <c r="B306" s="49">
        <v>27120</v>
      </c>
      <c r="F306" s="3">
        <v>21.3033</v>
      </c>
      <c r="G306" s="3">
        <v>43.798139999999997</v>
      </c>
      <c r="M306" s="3">
        <v>37.78819</v>
      </c>
      <c r="N306" s="3">
        <v>19.077169999999999</v>
      </c>
      <c r="S306" s="3">
        <v>17.033909999999999</v>
      </c>
      <c r="T306" s="3">
        <v>19.897590000000001</v>
      </c>
      <c r="V306" s="3">
        <v>21.320450000000001</v>
      </c>
      <c r="W306" s="3">
        <v>13.077719999999999</v>
      </c>
      <c r="X306" s="3">
        <v>2.1730499999999999</v>
      </c>
      <c r="AD306" s="3">
        <v>3.0901140000000001E-3</v>
      </c>
      <c r="AE306" s="3">
        <v>7.5939519999999998</v>
      </c>
      <c r="AF306" s="3">
        <v>46.406149999999997</v>
      </c>
      <c r="AI306" s="3">
        <v>25.40192</v>
      </c>
      <c r="AL306" s="3">
        <v>29.779959999999999</v>
      </c>
      <c r="AN306" s="3">
        <v>9.7374019999999994</v>
      </c>
      <c r="AO306" s="3">
        <v>7.3533200000000001</v>
      </c>
      <c r="AQ306" s="3">
        <v>2.7796509999999999</v>
      </c>
      <c r="AV306" s="3">
        <v>18.709040000000002</v>
      </c>
      <c r="AX306" s="3">
        <v>19.773250000000001</v>
      </c>
    </row>
    <row r="307" spans="1:50" x14ac:dyDescent="0.2">
      <c r="A307" s="3" t="s">
        <v>204</v>
      </c>
      <c r="B307" s="49">
        <v>27150</v>
      </c>
      <c r="F307" s="3">
        <v>21.634129999999999</v>
      </c>
      <c r="G307" s="3">
        <v>44.531199999999998</v>
      </c>
      <c r="M307" s="3">
        <v>37.941650000000003</v>
      </c>
      <c r="N307" s="3">
        <v>19.38598</v>
      </c>
      <c r="S307" s="3">
        <v>17.200299999999999</v>
      </c>
      <c r="T307" s="3">
        <v>20.15718</v>
      </c>
      <c r="V307" s="3">
        <v>21.566559999999999</v>
      </c>
      <c r="W307" s="3">
        <v>13.26248</v>
      </c>
      <c r="X307" s="3">
        <v>2.2065679999999999</v>
      </c>
      <c r="AD307" s="3">
        <v>3.1772900000000001E-3</v>
      </c>
      <c r="AE307" s="3">
        <v>7.720726</v>
      </c>
      <c r="AF307" s="3">
        <v>47.141530000000003</v>
      </c>
      <c r="AI307" s="3">
        <v>25.649550000000001</v>
      </c>
      <c r="AL307" s="3">
        <v>29.933540000000001</v>
      </c>
      <c r="AN307" s="3">
        <v>9.8445440000000008</v>
      </c>
      <c r="AO307" s="3">
        <v>7.4349600000000002</v>
      </c>
      <c r="AQ307" s="3">
        <v>2.8179880000000002</v>
      </c>
      <c r="AV307" s="3">
        <v>18.700220000000002</v>
      </c>
      <c r="AX307" s="3">
        <v>19.979649999999999</v>
      </c>
    </row>
    <row r="308" spans="1:50" x14ac:dyDescent="0.2">
      <c r="A308" s="3" t="s">
        <v>205</v>
      </c>
      <c r="B308" s="49">
        <v>27181</v>
      </c>
      <c r="F308" s="3">
        <v>21.760760000000001</v>
      </c>
      <c r="G308" s="3">
        <v>44.711309999999997</v>
      </c>
      <c r="M308" s="3">
        <v>38.084910000000001</v>
      </c>
      <c r="N308" s="3">
        <v>19.793369999999999</v>
      </c>
      <c r="S308" s="3">
        <v>17.334610000000001</v>
      </c>
      <c r="T308" s="3">
        <v>20.40333</v>
      </c>
      <c r="V308" s="3">
        <v>21.7698</v>
      </c>
      <c r="W308" s="3">
        <v>13.36636</v>
      </c>
      <c r="X308" s="3">
        <v>2.2256939999999998</v>
      </c>
      <c r="AD308" s="3">
        <v>3.2223239999999999E-3</v>
      </c>
      <c r="AE308" s="3">
        <v>7.8381400000000001</v>
      </c>
      <c r="AF308" s="3">
        <v>47.185110000000002</v>
      </c>
      <c r="AI308" s="3">
        <v>25.735579999999999</v>
      </c>
      <c r="AL308" s="3">
        <v>30.008130000000001</v>
      </c>
      <c r="AN308" s="3">
        <v>9.9358839999999997</v>
      </c>
      <c r="AO308" s="3">
        <v>7.508038</v>
      </c>
      <c r="AQ308" s="3">
        <v>2.8333330000000001</v>
      </c>
      <c r="AV308" s="3">
        <v>18.864409999999999</v>
      </c>
      <c r="AX308" s="3">
        <v>20.227329999999998</v>
      </c>
    </row>
    <row r="309" spans="1:50" x14ac:dyDescent="0.2">
      <c r="A309" s="3" t="s">
        <v>206</v>
      </c>
      <c r="B309" s="49">
        <v>27211</v>
      </c>
      <c r="F309" s="3">
        <v>21.928329999999999</v>
      </c>
      <c r="G309" s="3">
        <v>44.83887</v>
      </c>
      <c r="M309" s="3">
        <v>38.25909</v>
      </c>
      <c r="N309" s="3">
        <v>20.026959999999999</v>
      </c>
      <c r="S309" s="3">
        <v>17.730689999999999</v>
      </c>
      <c r="T309" s="3">
        <v>20.65212</v>
      </c>
      <c r="V309" s="3">
        <v>22.007069999999999</v>
      </c>
      <c r="W309" s="3">
        <v>13.509740000000001</v>
      </c>
      <c r="X309" s="3">
        <v>2.2366039999999998</v>
      </c>
      <c r="AD309" s="3">
        <v>3.3007779999999999E-3</v>
      </c>
      <c r="AE309" s="3">
        <v>7.9381259999999996</v>
      </c>
      <c r="AF309" s="3">
        <v>48.055050000000001</v>
      </c>
      <c r="AI309" s="3">
        <v>26.0197</v>
      </c>
      <c r="AL309" s="3">
        <v>30.097919999999998</v>
      </c>
      <c r="AN309" s="3">
        <v>10.05151</v>
      </c>
      <c r="AO309" s="3">
        <v>7.5733750000000004</v>
      </c>
      <c r="AQ309" s="3">
        <v>2.8215150000000002</v>
      </c>
      <c r="AV309" s="3">
        <v>18.91948</v>
      </c>
      <c r="AX309" s="3">
        <v>20.433730000000001</v>
      </c>
    </row>
    <row r="310" spans="1:50" x14ac:dyDescent="0.2">
      <c r="A310" s="3" t="s">
        <v>207</v>
      </c>
      <c r="B310" s="49">
        <v>27242</v>
      </c>
      <c r="F310" s="3">
        <v>22.18591</v>
      </c>
      <c r="G310" s="3">
        <v>45.24062</v>
      </c>
      <c r="M310" s="3">
        <v>38.370109999999997</v>
      </c>
      <c r="N310" s="3">
        <v>20.146750000000001</v>
      </c>
      <c r="S310" s="3">
        <v>17.722079999999998</v>
      </c>
      <c r="T310" s="3">
        <v>20.81457</v>
      </c>
      <c r="V310" s="3">
        <v>22.21</v>
      </c>
      <c r="W310" s="3">
        <v>13.494059999999999</v>
      </c>
      <c r="X310" s="3">
        <v>2.1606999999999998</v>
      </c>
      <c r="AD310" s="3">
        <v>3.3414550000000001E-3</v>
      </c>
      <c r="AE310" s="3">
        <v>8.1071720000000003</v>
      </c>
      <c r="AF310" s="3">
        <v>48.225960000000001</v>
      </c>
      <c r="AI310" s="3">
        <v>26.088090000000001</v>
      </c>
      <c r="AL310" s="3">
        <v>30.34253</v>
      </c>
      <c r="AN310" s="3">
        <v>10.1419</v>
      </c>
      <c r="AO310" s="3">
        <v>7.6287159999999998</v>
      </c>
      <c r="AQ310" s="3">
        <v>2.9632170000000002</v>
      </c>
      <c r="AV310" s="3">
        <v>19.094139999999999</v>
      </c>
      <c r="AX310" s="3">
        <v>20.68141</v>
      </c>
    </row>
    <row r="311" spans="1:50" x14ac:dyDescent="0.2">
      <c r="A311" s="3" t="s">
        <v>208</v>
      </c>
      <c r="B311" s="49">
        <v>27273</v>
      </c>
      <c r="F311" s="3">
        <v>22.390799999999999</v>
      </c>
      <c r="G311" s="3">
        <v>45.886389999999999</v>
      </c>
      <c r="M311" s="3">
        <v>38.42306</v>
      </c>
      <c r="N311" s="3">
        <v>20.475809999999999</v>
      </c>
      <c r="S311" s="3">
        <v>17.977150000000002</v>
      </c>
      <c r="T311" s="3">
        <v>21.0731</v>
      </c>
      <c r="V311" s="3">
        <v>22.461649999999999</v>
      </c>
      <c r="W311" s="3">
        <v>13.6584</v>
      </c>
      <c r="X311" s="3">
        <v>2.259865</v>
      </c>
      <c r="AD311" s="3">
        <v>3.4039220000000002E-3</v>
      </c>
      <c r="AE311" s="3">
        <v>8.3335150000000002</v>
      </c>
      <c r="AF311" s="3">
        <v>48.585929999999998</v>
      </c>
      <c r="AI311" s="3">
        <v>26.293939999999999</v>
      </c>
      <c r="AL311" s="3">
        <v>30.862870000000001</v>
      </c>
      <c r="AN311" s="3">
        <v>10.26478</v>
      </c>
      <c r="AO311" s="3">
        <v>7.734782</v>
      </c>
      <c r="AQ311" s="3">
        <v>3.0126240000000002</v>
      </c>
      <c r="AV311" s="3">
        <v>19.286709999999999</v>
      </c>
      <c r="AX311" s="3">
        <v>20.929089999999999</v>
      </c>
    </row>
    <row r="312" spans="1:50" x14ac:dyDescent="0.2">
      <c r="A312" s="3" t="s">
        <v>209</v>
      </c>
      <c r="B312" s="49">
        <v>27303</v>
      </c>
      <c r="F312" s="3">
        <v>22.64838</v>
      </c>
      <c r="G312" s="3">
        <v>46.088929999999998</v>
      </c>
      <c r="M312" s="3">
        <v>38.682429999999997</v>
      </c>
      <c r="N312" s="3">
        <v>20.740960000000001</v>
      </c>
      <c r="S312" s="3">
        <v>18.28284</v>
      </c>
      <c r="T312" s="3">
        <v>21.34666</v>
      </c>
      <c r="V312" s="3">
        <v>22.790050000000001</v>
      </c>
      <c r="W312" s="3">
        <v>13.947380000000001</v>
      </c>
      <c r="X312" s="3">
        <v>2.2759040000000001</v>
      </c>
      <c r="AD312" s="3">
        <v>3.4678439999999999E-3</v>
      </c>
      <c r="AE312" s="3">
        <v>8.4873060000000002</v>
      </c>
      <c r="AF312" s="3">
        <v>49.921860000000002</v>
      </c>
      <c r="AI312" s="3">
        <v>26.551659999999998</v>
      </c>
      <c r="AL312" s="3">
        <v>31.278089999999999</v>
      </c>
      <c r="AN312" s="3">
        <v>10.41682</v>
      </c>
      <c r="AO312" s="3">
        <v>7.83622</v>
      </c>
      <c r="AQ312" s="3">
        <v>2.8827060000000002</v>
      </c>
      <c r="AV312" s="3">
        <v>19.92859</v>
      </c>
      <c r="AX312" s="3">
        <v>21.176780000000001</v>
      </c>
    </row>
    <row r="313" spans="1:50" x14ac:dyDescent="0.2">
      <c r="A313" s="3" t="s">
        <v>210</v>
      </c>
      <c r="B313" s="49">
        <v>27334</v>
      </c>
      <c r="F313" s="3">
        <v>22.815940000000001</v>
      </c>
      <c r="G313" s="3">
        <v>46.850200000000001</v>
      </c>
      <c r="M313" s="3">
        <v>38.939909999999998</v>
      </c>
      <c r="N313" s="3">
        <v>21.045809999999999</v>
      </c>
      <c r="S313" s="3">
        <v>18.472719999999999</v>
      </c>
      <c r="T313" s="3">
        <v>21.55791</v>
      </c>
      <c r="V313" s="3">
        <v>23.024319999999999</v>
      </c>
      <c r="W313" s="3">
        <v>14.14631</v>
      </c>
      <c r="X313" s="3">
        <v>2.3234189999999999</v>
      </c>
      <c r="AD313" s="3">
        <v>3.7351630000000001E-3</v>
      </c>
      <c r="AE313" s="3">
        <v>8.6701630000000005</v>
      </c>
      <c r="AF313" s="3">
        <v>50.281970000000001</v>
      </c>
      <c r="AI313" s="3">
        <v>26.83501</v>
      </c>
      <c r="AL313" s="3">
        <v>31.48556</v>
      </c>
      <c r="AN313" s="3">
        <v>10.53561</v>
      </c>
      <c r="AO313" s="3">
        <v>7.9366300000000001</v>
      </c>
      <c r="AQ313" s="3">
        <v>2.827102</v>
      </c>
      <c r="AV313" s="3">
        <v>20.107420000000001</v>
      </c>
      <c r="AX313" s="3">
        <v>21.383179999999999</v>
      </c>
    </row>
    <row r="314" spans="1:50" x14ac:dyDescent="0.2">
      <c r="A314" s="3" t="s">
        <v>211</v>
      </c>
      <c r="B314" s="49">
        <v>27364</v>
      </c>
      <c r="F314" s="3">
        <v>23.052890000000001</v>
      </c>
      <c r="G314" s="3">
        <v>47.006030000000003</v>
      </c>
      <c r="M314" s="3">
        <v>38.992710000000002</v>
      </c>
      <c r="N314" s="3">
        <v>21.15296</v>
      </c>
      <c r="S314" s="3">
        <v>18.512689999999999</v>
      </c>
      <c r="T314" s="3">
        <v>21.757059999999999</v>
      </c>
      <c r="V314" s="3">
        <v>23.137029999999999</v>
      </c>
      <c r="W314" s="3">
        <v>14.24438</v>
      </c>
      <c r="X314" s="3">
        <v>2.3285480000000001</v>
      </c>
      <c r="AD314" s="3">
        <v>3.9894049999999997E-3</v>
      </c>
      <c r="AE314" s="3">
        <v>8.7369160000000008</v>
      </c>
      <c r="AF314" s="3">
        <v>50.517209999999999</v>
      </c>
      <c r="AI314" s="3">
        <v>26.953029999999998</v>
      </c>
      <c r="AL314" s="3">
        <v>31.587070000000001</v>
      </c>
      <c r="AN314" s="3">
        <v>10.6015</v>
      </c>
      <c r="AO314" s="3">
        <v>8.0020140000000008</v>
      </c>
      <c r="AQ314" s="3">
        <v>2.8320720000000001</v>
      </c>
      <c r="AV314" s="3">
        <v>20.186689999999999</v>
      </c>
      <c r="AX314" s="3">
        <v>21.46574</v>
      </c>
    </row>
    <row r="315" spans="1:50" x14ac:dyDescent="0.2">
      <c r="A315" s="3" t="s">
        <v>212</v>
      </c>
      <c r="B315" s="49">
        <v>27395</v>
      </c>
      <c r="F315" s="3">
        <v>23.02833</v>
      </c>
      <c r="G315" s="3">
        <v>47.258560000000003</v>
      </c>
      <c r="M315" s="3">
        <v>39.332320000000003</v>
      </c>
      <c r="N315" s="3">
        <v>21.1494</v>
      </c>
      <c r="S315" s="3">
        <v>19.147639999999999</v>
      </c>
      <c r="T315" s="3">
        <v>21.977460000000001</v>
      </c>
      <c r="V315" s="3">
        <v>23.303329999999999</v>
      </c>
      <c r="W315" s="3">
        <v>14.43135</v>
      </c>
      <c r="X315" s="3">
        <v>2.3830830000000001</v>
      </c>
      <c r="AD315" s="3">
        <v>4.0591380000000003E-3</v>
      </c>
      <c r="AE315" s="3">
        <v>8.8581719999999997</v>
      </c>
      <c r="AF315" s="3">
        <v>51.10519</v>
      </c>
      <c r="AI315" s="3">
        <v>27.147670000000002</v>
      </c>
      <c r="AL315" s="3">
        <v>31.787230000000001</v>
      </c>
      <c r="AN315" s="3">
        <v>10.70312</v>
      </c>
      <c r="AO315" s="3">
        <v>8.0978049999999993</v>
      </c>
      <c r="AQ315" s="3">
        <v>3.060816</v>
      </c>
      <c r="AV315" s="3">
        <v>20.06447</v>
      </c>
      <c r="AX315" s="3">
        <v>21.548300000000001</v>
      </c>
    </row>
    <row r="316" spans="1:50" x14ac:dyDescent="0.2">
      <c r="A316" s="3" t="s">
        <v>213</v>
      </c>
      <c r="B316" s="49">
        <v>27426</v>
      </c>
      <c r="F316" s="3">
        <v>23.29834</v>
      </c>
      <c r="G316" s="3">
        <v>47.412100000000002</v>
      </c>
      <c r="M316" s="3">
        <v>39.562519999999999</v>
      </c>
      <c r="N316" s="3">
        <v>21.226479999999999</v>
      </c>
      <c r="S316" s="3">
        <v>19.39057</v>
      </c>
      <c r="T316" s="3">
        <v>22.145330000000001</v>
      </c>
      <c r="V316" s="3">
        <v>23.485779999999998</v>
      </c>
      <c r="W316" s="3">
        <v>14.64594</v>
      </c>
      <c r="X316" s="3">
        <v>2.3557869999999999</v>
      </c>
      <c r="AD316" s="3">
        <v>4.0969149999999996E-3</v>
      </c>
      <c r="AE316" s="3">
        <v>9.0148069999999993</v>
      </c>
      <c r="AF316" s="3">
        <v>51.045630000000003</v>
      </c>
      <c r="AI316" s="3">
        <v>27.469760000000001</v>
      </c>
      <c r="AL316" s="3">
        <v>31.914829999999998</v>
      </c>
      <c r="AN316" s="3">
        <v>10.78237</v>
      </c>
      <c r="AO316" s="3">
        <v>8.1706780000000006</v>
      </c>
      <c r="AQ316" s="3">
        <v>2.910148</v>
      </c>
      <c r="AV316" s="3">
        <v>20.294409999999999</v>
      </c>
      <c r="AX316" s="3">
        <v>21.713419999999999</v>
      </c>
    </row>
    <row r="317" spans="1:50" x14ac:dyDescent="0.2">
      <c r="A317" s="3" t="s">
        <v>214</v>
      </c>
      <c r="B317" s="49">
        <v>27454</v>
      </c>
      <c r="F317" s="3">
        <v>23.380490000000002</v>
      </c>
      <c r="G317" s="3">
        <v>47.724449999999997</v>
      </c>
      <c r="M317" s="3">
        <v>39.765430000000002</v>
      </c>
      <c r="N317" s="3">
        <v>21.416730000000001</v>
      </c>
      <c r="S317" s="3">
        <v>19.63128</v>
      </c>
      <c r="T317" s="3">
        <v>22.327500000000001</v>
      </c>
      <c r="V317" s="3">
        <v>23.625250000000001</v>
      </c>
      <c r="W317" s="3">
        <v>14.87252</v>
      </c>
      <c r="X317" s="3">
        <v>2.4708960000000002</v>
      </c>
      <c r="AD317" s="3">
        <v>4.1971580000000003E-3</v>
      </c>
      <c r="AE317" s="3">
        <v>9.0071019999999997</v>
      </c>
      <c r="AF317" s="3">
        <v>51.326770000000003</v>
      </c>
      <c r="AI317" s="3">
        <v>27.69286</v>
      </c>
      <c r="AL317" s="3">
        <v>32.499580000000002</v>
      </c>
      <c r="AN317" s="3">
        <v>10.8627</v>
      </c>
      <c r="AO317" s="3">
        <v>8.2508769999999991</v>
      </c>
      <c r="AQ317" s="3">
        <v>3.0959439999999998</v>
      </c>
      <c r="AV317" s="3">
        <v>20.409099999999999</v>
      </c>
      <c r="AX317" s="3">
        <v>21.837260000000001</v>
      </c>
    </row>
    <row r="318" spans="1:50" x14ac:dyDescent="0.2">
      <c r="A318" s="3" t="s">
        <v>215</v>
      </c>
      <c r="B318" s="49">
        <v>27485</v>
      </c>
      <c r="F318" s="3">
        <v>23.56476</v>
      </c>
      <c r="G318" s="3">
        <v>47.865020000000001</v>
      </c>
      <c r="M318" s="3">
        <v>40.055289999999999</v>
      </c>
      <c r="N318" s="3">
        <v>21.475359999999998</v>
      </c>
      <c r="S318" s="3">
        <v>19.991150000000001</v>
      </c>
      <c r="T318" s="3">
        <v>22.540600000000001</v>
      </c>
      <c r="V318" s="3">
        <v>23.923929999999999</v>
      </c>
      <c r="W318" s="3">
        <v>15.489000000000001</v>
      </c>
      <c r="X318" s="3">
        <v>2.476969</v>
      </c>
      <c r="AD318" s="3">
        <v>4.2828689999999999E-3</v>
      </c>
      <c r="AE318" s="3">
        <v>9.1349350000000005</v>
      </c>
      <c r="AF318" s="3">
        <v>52.45984</v>
      </c>
      <c r="AI318" s="3">
        <v>28.031130000000001</v>
      </c>
      <c r="AL318" s="3">
        <v>32.938859999999998</v>
      </c>
      <c r="AN318" s="3">
        <v>10.99818</v>
      </c>
      <c r="AO318" s="3">
        <v>8.3615739999999992</v>
      </c>
      <c r="AQ318" s="3">
        <v>2.9977659999999999</v>
      </c>
      <c r="AV318" s="3">
        <v>20.458400000000001</v>
      </c>
      <c r="AX318" s="3">
        <v>22.002379999999999</v>
      </c>
    </row>
    <row r="319" spans="1:50" x14ac:dyDescent="0.2">
      <c r="A319" s="3" t="s">
        <v>216</v>
      </c>
      <c r="B319" s="49">
        <v>27515</v>
      </c>
      <c r="F319" s="3">
        <v>23.826589999999999</v>
      </c>
      <c r="G319" s="3">
        <v>48.407730000000001</v>
      </c>
      <c r="M319" s="3">
        <v>40.23939</v>
      </c>
      <c r="N319" s="3">
        <v>21.752130000000001</v>
      </c>
      <c r="S319" s="3">
        <v>20.217359999999999</v>
      </c>
      <c r="T319" s="3">
        <v>22.713049999999999</v>
      </c>
      <c r="V319" s="3">
        <v>24.146750000000001</v>
      </c>
      <c r="W319" s="3">
        <v>16.29626</v>
      </c>
      <c r="X319" s="3">
        <v>2.4739499999999999</v>
      </c>
      <c r="AD319" s="3">
        <v>4.3162900000000004E-3</v>
      </c>
      <c r="AE319" s="3">
        <v>9.2211750000000006</v>
      </c>
      <c r="AF319" s="3">
        <v>52.89508</v>
      </c>
      <c r="AI319" s="3">
        <v>28.198119999999999</v>
      </c>
      <c r="AL319" s="3">
        <v>33.082459999999998</v>
      </c>
      <c r="AN319" s="3">
        <v>11.097659999999999</v>
      </c>
      <c r="AO319" s="3">
        <v>8.4752530000000004</v>
      </c>
      <c r="AQ319" s="3">
        <v>3.0369090000000001</v>
      </c>
      <c r="AV319" s="3">
        <v>20.820270000000001</v>
      </c>
      <c r="AX319" s="3">
        <v>22.08494</v>
      </c>
    </row>
    <row r="320" spans="1:50" x14ac:dyDescent="0.2">
      <c r="A320" s="3" t="s">
        <v>217</v>
      </c>
      <c r="B320" s="49">
        <v>27546</v>
      </c>
      <c r="F320" s="3">
        <v>23.98461</v>
      </c>
      <c r="G320" s="3">
        <v>48.520969999999998</v>
      </c>
      <c r="M320" s="3">
        <v>40.459359999999997</v>
      </c>
      <c r="N320" s="3">
        <v>21.88766</v>
      </c>
      <c r="S320" s="3">
        <v>20.317270000000001</v>
      </c>
      <c r="T320" s="3">
        <v>22.889399999999998</v>
      </c>
      <c r="V320" s="3">
        <v>24.286210000000001</v>
      </c>
      <c r="W320" s="3">
        <v>16.553940000000001</v>
      </c>
      <c r="X320" s="3">
        <v>2.5133570000000001</v>
      </c>
      <c r="AD320" s="3">
        <v>4.3569680000000001E-3</v>
      </c>
      <c r="AE320" s="3">
        <v>9.2945489999999999</v>
      </c>
      <c r="AF320" s="3">
        <v>53.120629999999998</v>
      </c>
      <c r="AI320" s="3">
        <v>28.36178</v>
      </c>
      <c r="AL320" s="3">
        <v>33.099119999999999</v>
      </c>
      <c r="AN320" s="3">
        <v>11.1691</v>
      </c>
      <c r="AO320" s="3">
        <v>8.5493290000000002</v>
      </c>
      <c r="AQ320" s="3">
        <v>3.1683180000000002</v>
      </c>
      <c r="AV320" s="3">
        <v>20.938279999999999</v>
      </c>
      <c r="AX320" s="3">
        <v>22.1675</v>
      </c>
    </row>
    <row r="321" spans="1:50" x14ac:dyDescent="0.2">
      <c r="A321" s="3" t="s">
        <v>218</v>
      </c>
      <c r="B321" s="49">
        <v>27576</v>
      </c>
      <c r="F321" s="3">
        <v>24.18843</v>
      </c>
      <c r="G321" s="3">
        <v>48.454700000000003</v>
      </c>
      <c r="M321" s="3">
        <v>40.459510000000002</v>
      </c>
      <c r="N321" s="3">
        <v>21.950489999999999</v>
      </c>
      <c r="S321" s="3">
        <v>20.666930000000001</v>
      </c>
      <c r="T321" s="3">
        <v>23.076789999999999</v>
      </c>
      <c r="V321" s="3">
        <v>24.408989999999999</v>
      </c>
      <c r="W321" s="3">
        <v>16.746860000000002</v>
      </c>
      <c r="X321" s="3">
        <v>2.520537</v>
      </c>
      <c r="AD321" s="3">
        <v>4.403456E-3</v>
      </c>
      <c r="AE321" s="3">
        <v>9.3311200000000003</v>
      </c>
      <c r="AF321" s="3">
        <v>53.184289999999997</v>
      </c>
      <c r="AI321" s="3">
        <v>28.557939999999999</v>
      </c>
      <c r="AL321" s="3">
        <v>33.313639999999999</v>
      </c>
      <c r="AN321" s="3">
        <v>11.23188</v>
      </c>
      <c r="AO321" s="3">
        <v>8.5983780000000003</v>
      </c>
      <c r="AQ321" s="3">
        <v>3.2123200000000001</v>
      </c>
      <c r="AV321" s="3">
        <v>21.075949999999999</v>
      </c>
      <c r="AX321" s="3">
        <v>22.291340000000002</v>
      </c>
    </row>
    <row r="322" spans="1:50" x14ac:dyDescent="0.2">
      <c r="A322" s="3" t="s">
        <v>219</v>
      </c>
      <c r="B322" s="49">
        <v>27607</v>
      </c>
      <c r="F322" s="3">
        <v>24.433879999999998</v>
      </c>
      <c r="G322" s="3">
        <v>48.580350000000003</v>
      </c>
      <c r="M322" s="3">
        <v>40.440989999999999</v>
      </c>
      <c r="N322" s="3">
        <v>21.993310000000001</v>
      </c>
      <c r="S322" s="3">
        <v>20.868210000000001</v>
      </c>
      <c r="T322" s="3">
        <v>23.221520000000002</v>
      </c>
      <c r="V322" s="3">
        <v>24.490680000000001</v>
      </c>
      <c r="W322" s="3">
        <v>16.889810000000001</v>
      </c>
      <c r="X322" s="3">
        <v>2.458914</v>
      </c>
      <c r="AD322" s="3">
        <v>4.4281559999999999E-3</v>
      </c>
      <c r="AE322" s="3">
        <v>9.3936320000000002</v>
      </c>
      <c r="AF322" s="3">
        <v>52.972000000000001</v>
      </c>
      <c r="AI322" s="3">
        <v>28.65521</v>
      </c>
      <c r="AL322" s="3">
        <v>33.698189999999997</v>
      </c>
      <c r="AN322" s="3">
        <v>11.27332</v>
      </c>
      <c r="AO322" s="3">
        <v>8.633184</v>
      </c>
      <c r="AQ322" s="3">
        <v>3.059196</v>
      </c>
      <c r="AV322" s="3">
        <v>21.31634</v>
      </c>
      <c r="AX322" s="3">
        <v>22.373909999999999</v>
      </c>
    </row>
    <row r="323" spans="1:50" x14ac:dyDescent="0.2">
      <c r="A323" s="3" t="s">
        <v>220</v>
      </c>
      <c r="B323" s="49">
        <v>27638</v>
      </c>
      <c r="F323" s="3">
        <v>24.54091</v>
      </c>
      <c r="G323" s="3">
        <v>48.779229999999998</v>
      </c>
      <c r="M323" s="3">
        <v>40.58117</v>
      </c>
      <c r="N323" s="3">
        <v>22.184200000000001</v>
      </c>
      <c r="S323" s="3">
        <v>21.135480000000001</v>
      </c>
      <c r="T323" s="3">
        <v>23.40493</v>
      </c>
      <c r="V323" s="3">
        <v>24.699300000000001</v>
      </c>
      <c r="W323" s="3">
        <v>17.06221</v>
      </c>
      <c r="X323" s="3">
        <v>2.5982080000000001</v>
      </c>
      <c r="AD323" s="3">
        <v>4.5095109999999999E-3</v>
      </c>
      <c r="AE323" s="3">
        <v>9.4614860000000007</v>
      </c>
      <c r="AF323" s="3">
        <v>53.98771</v>
      </c>
      <c r="AI323" s="3">
        <v>28.809159999999999</v>
      </c>
      <c r="AL323" s="3">
        <v>34.101230000000001</v>
      </c>
      <c r="AN323" s="3">
        <v>11.38083</v>
      </c>
      <c r="AO323" s="3">
        <v>8.7154699999999998</v>
      </c>
      <c r="AQ323" s="3">
        <v>3.275576</v>
      </c>
      <c r="AV323" s="3">
        <v>21.377739999999999</v>
      </c>
      <c r="AX323" s="3">
        <v>22.53903</v>
      </c>
    </row>
    <row r="324" spans="1:50" x14ac:dyDescent="0.2">
      <c r="A324" s="3" t="s">
        <v>221</v>
      </c>
      <c r="B324" s="49">
        <v>27668</v>
      </c>
      <c r="F324" s="3">
        <v>24.733370000000001</v>
      </c>
      <c r="G324" s="3">
        <v>48.825200000000002</v>
      </c>
      <c r="M324" s="3">
        <v>40.61195</v>
      </c>
      <c r="N324" s="3">
        <v>21.628019999999999</v>
      </c>
      <c r="S324" s="3">
        <v>21.532579999999999</v>
      </c>
      <c r="T324" s="3">
        <v>23.587779999999999</v>
      </c>
      <c r="V324" s="3">
        <v>24.870039999999999</v>
      </c>
      <c r="W324" s="3">
        <v>17.339040000000001</v>
      </c>
      <c r="X324" s="3">
        <v>2.6517309999999998</v>
      </c>
      <c r="AD324" s="3">
        <v>4.766653E-3</v>
      </c>
      <c r="AE324" s="3">
        <v>9.5713259999999991</v>
      </c>
      <c r="AF324" s="3">
        <v>54.418849999999999</v>
      </c>
      <c r="AI324" s="3">
        <v>29.240680000000001</v>
      </c>
      <c r="AL324" s="3">
        <v>34.372230000000002</v>
      </c>
      <c r="AN324" s="3">
        <v>11.47598</v>
      </c>
      <c r="AO324" s="3">
        <v>8.7879679999999993</v>
      </c>
      <c r="AQ324" s="3">
        <v>3.244262</v>
      </c>
      <c r="AV324" s="3">
        <v>21.557829999999999</v>
      </c>
      <c r="AX324" s="3">
        <v>22.662870000000002</v>
      </c>
    </row>
    <row r="325" spans="1:50" x14ac:dyDescent="0.2">
      <c r="A325" s="3" t="s">
        <v>222</v>
      </c>
      <c r="B325" s="49">
        <v>27699</v>
      </c>
      <c r="F325" s="3">
        <v>24.983080000000001</v>
      </c>
      <c r="G325" s="3">
        <v>49.046669999999999</v>
      </c>
      <c r="M325" s="3">
        <v>40.784230000000001</v>
      </c>
      <c r="N325" s="3">
        <v>22.013860000000001</v>
      </c>
      <c r="S325" s="3">
        <v>21.75141</v>
      </c>
      <c r="T325" s="3">
        <v>23.7517</v>
      </c>
      <c r="V325" s="3">
        <v>25.03594</v>
      </c>
      <c r="W325" s="3">
        <v>17.50001</v>
      </c>
      <c r="X325" s="3">
        <v>2.6860560000000002</v>
      </c>
      <c r="AB325" s="3">
        <v>13.75897</v>
      </c>
      <c r="AD325" s="3">
        <v>4.9133850000000001E-3</v>
      </c>
      <c r="AE325" s="3">
        <v>9.6906289999999995</v>
      </c>
      <c r="AF325" s="3">
        <v>54.413930000000001</v>
      </c>
      <c r="AI325" s="3">
        <v>29.43826</v>
      </c>
      <c r="AL325" s="3">
        <v>34.444839999999999</v>
      </c>
      <c r="AN325" s="3">
        <v>11.551019999999999</v>
      </c>
      <c r="AO325" s="3">
        <v>8.8554949999999995</v>
      </c>
      <c r="AQ325" s="3">
        <v>3.174836</v>
      </c>
      <c r="AV325" s="3">
        <v>21.770910000000001</v>
      </c>
      <c r="AX325" s="3">
        <v>22.82799</v>
      </c>
    </row>
    <row r="326" spans="1:50" x14ac:dyDescent="0.2">
      <c r="A326" s="3" t="s">
        <v>223</v>
      </c>
      <c r="B326" s="49">
        <v>27729</v>
      </c>
      <c r="F326" s="3">
        <v>25.098299999999998</v>
      </c>
      <c r="G326" s="3">
        <v>49.005020000000002</v>
      </c>
      <c r="M326" s="3">
        <v>40.894950000000001</v>
      </c>
      <c r="N326" s="3">
        <v>22.03876</v>
      </c>
      <c r="S326" s="3">
        <v>21.893219999999999</v>
      </c>
      <c r="T326" s="3">
        <v>23.854299999999999</v>
      </c>
      <c r="V326" s="3">
        <v>25.132829999999998</v>
      </c>
      <c r="W326" s="3">
        <v>17.60718</v>
      </c>
      <c r="X326" s="3">
        <v>2.7163140000000001</v>
      </c>
      <c r="AB326" s="3">
        <v>13.75897</v>
      </c>
      <c r="AD326" s="3">
        <v>5.1923259999999997E-3</v>
      </c>
      <c r="AE326" s="3">
        <v>9.7414620000000003</v>
      </c>
      <c r="AF326" s="3">
        <v>54.575270000000003</v>
      </c>
      <c r="AI326" s="3">
        <v>29.614100000000001</v>
      </c>
      <c r="AL326" s="3">
        <v>34.504109999999997</v>
      </c>
      <c r="AN326" s="3">
        <v>11.61219</v>
      </c>
      <c r="AO326" s="3">
        <v>8.9182900000000007</v>
      </c>
      <c r="AQ326" s="3">
        <v>3.4286720000000002</v>
      </c>
      <c r="AV326" s="3">
        <v>21.85493</v>
      </c>
      <c r="AX326" s="3">
        <v>22.910550000000001</v>
      </c>
    </row>
    <row r="327" spans="1:50" x14ac:dyDescent="0.2">
      <c r="A327" s="3" t="s">
        <v>224</v>
      </c>
      <c r="B327" s="49">
        <v>27760</v>
      </c>
      <c r="F327" s="3">
        <v>25.18045</v>
      </c>
      <c r="G327" s="3">
        <v>49.306220000000003</v>
      </c>
      <c r="M327" s="3">
        <v>41.193420000000003</v>
      </c>
      <c r="N327" s="3">
        <v>22.12425</v>
      </c>
      <c r="P327" s="3">
        <v>8.5253510000000006</v>
      </c>
      <c r="S327" s="3">
        <v>22.55958</v>
      </c>
      <c r="T327" s="3">
        <v>24.155899999999999</v>
      </c>
      <c r="V327" s="3">
        <v>25.346540000000001</v>
      </c>
      <c r="W327" s="3">
        <v>17.761690000000002</v>
      </c>
      <c r="X327" s="3">
        <v>2.7030280000000002</v>
      </c>
      <c r="AB327" s="3">
        <v>14.834569999999999</v>
      </c>
      <c r="AD327" s="3">
        <v>5.0615720000000003E-3</v>
      </c>
      <c r="AE327" s="3">
        <v>9.9443149999999996</v>
      </c>
      <c r="AF327" s="3">
        <v>55.650410000000001</v>
      </c>
      <c r="AI327" s="3">
        <v>30.046140000000001</v>
      </c>
      <c r="AL327" s="3">
        <v>34.77749</v>
      </c>
      <c r="AN327" s="3">
        <v>11.71733</v>
      </c>
      <c r="AO327" s="3">
        <v>9.0009779999999999</v>
      </c>
      <c r="AQ327" s="3">
        <v>3.6276670000000002</v>
      </c>
      <c r="AV327" s="3">
        <v>22.079609999999999</v>
      </c>
      <c r="AX327" s="3">
        <v>22.993110000000001</v>
      </c>
    </row>
    <row r="328" spans="1:50" x14ac:dyDescent="0.2">
      <c r="A328" s="3" t="s">
        <v>225</v>
      </c>
      <c r="B328" s="49">
        <v>27791</v>
      </c>
      <c r="F328" s="3">
        <v>25.39386</v>
      </c>
      <c r="G328" s="3">
        <v>49.320529999999998</v>
      </c>
      <c r="M328" s="3">
        <v>41.426969999999997</v>
      </c>
      <c r="N328" s="3">
        <v>22.23518</v>
      </c>
      <c r="P328" s="3">
        <v>8.6446570000000005</v>
      </c>
      <c r="S328" s="3">
        <v>22.890329999999999</v>
      </c>
      <c r="T328" s="3">
        <v>24.262799999999999</v>
      </c>
      <c r="V328" s="3">
        <v>25.529520000000002</v>
      </c>
      <c r="W328" s="3">
        <v>17.9801</v>
      </c>
      <c r="X328" s="3">
        <v>2.674299</v>
      </c>
      <c r="AB328" s="3">
        <v>14.834569999999999</v>
      </c>
      <c r="AD328" s="3">
        <v>5.0949940000000003E-3</v>
      </c>
      <c r="AE328" s="3">
        <v>10.16846</v>
      </c>
      <c r="AF328" s="3">
        <v>55.908740000000002</v>
      </c>
      <c r="AI328" s="3">
        <v>30.2209</v>
      </c>
      <c r="AL328" s="3">
        <v>34.988059999999997</v>
      </c>
      <c r="AN328" s="3">
        <v>11.80293</v>
      </c>
      <c r="AO328" s="3">
        <v>9.0783919999999991</v>
      </c>
      <c r="AQ328" s="3">
        <v>3.464159</v>
      </c>
      <c r="AV328" s="3">
        <v>22.25178</v>
      </c>
      <c r="AX328" s="3">
        <v>23.116949999999999</v>
      </c>
    </row>
    <row r="329" spans="1:50" x14ac:dyDescent="0.2">
      <c r="A329" s="3" t="s">
        <v>226</v>
      </c>
      <c r="B329" s="49">
        <v>27820</v>
      </c>
      <c r="F329" s="3">
        <v>25.525449999999999</v>
      </c>
      <c r="G329" s="3">
        <v>49.257559999999998</v>
      </c>
      <c r="M329" s="3">
        <v>41.588889999999999</v>
      </c>
      <c r="N329" s="3">
        <v>23.16133</v>
      </c>
      <c r="P329" s="3">
        <v>8.8545239999999996</v>
      </c>
      <c r="S329" s="3">
        <v>23.004280000000001</v>
      </c>
      <c r="T329" s="3">
        <v>24.402979999999999</v>
      </c>
      <c r="V329" s="3">
        <v>25.700430000000001</v>
      </c>
      <c r="W329" s="3">
        <v>18.073910000000001</v>
      </c>
      <c r="X329" s="3">
        <v>2.7969119999999998</v>
      </c>
      <c r="AB329" s="3">
        <v>14.834569999999999</v>
      </c>
      <c r="AD329" s="3">
        <v>5.2083049999999999E-3</v>
      </c>
      <c r="AE329" s="3">
        <v>10.32067</v>
      </c>
      <c r="AF329" s="3">
        <v>56.162570000000002</v>
      </c>
      <c r="AI329" s="3">
        <v>30.302160000000001</v>
      </c>
      <c r="AL329" s="3">
        <v>35.168509999999998</v>
      </c>
      <c r="AN329" s="3">
        <v>11.89728</v>
      </c>
      <c r="AO329" s="3">
        <v>9.1651340000000001</v>
      </c>
      <c r="AQ329" s="3">
        <v>3.566249</v>
      </c>
      <c r="AV329" s="3">
        <v>22.422740000000001</v>
      </c>
      <c r="AX329" s="3">
        <v>23.282070000000001</v>
      </c>
    </row>
    <row r="330" spans="1:50" x14ac:dyDescent="0.2">
      <c r="A330" s="3" t="s">
        <v>227</v>
      </c>
      <c r="B330" s="49">
        <v>27851</v>
      </c>
      <c r="F330" s="3">
        <v>25.65279</v>
      </c>
      <c r="G330" s="3">
        <v>49.26099</v>
      </c>
      <c r="M330" s="3">
        <v>41.732140000000001</v>
      </c>
      <c r="N330" s="3">
        <v>23.248419999999999</v>
      </c>
      <c r="P330" s="3">
        <v>9.1045970000000001</v>
      </c>
      <c r="S330" s="3">
        <v>23.134689999999999</v>
      </c>
      <c r="T330" s="3">
        <v>24.62819</v>
      </c>
      <c r="V330" s="3">
        <v>25.955439999999999</v>
      </c>
      <c r="W330" s="3">
        <v>18.413640000000001</v>
      </c>
      <c r="X330" s="3">
        <v>2.8027890000000002</v>
      </c>
      <c r="AB330" s="3">
        <v>15.71851</v>
      </c>
      <c r="AD330" s="3">
        <v>5.549722E-3</v>
      </c>
      <c r="AE330" s="3">
        <v>10.522930000000001</v>
      </c>
      <c r="AF330" s="3">
        <v>57.516939999999998</v>
      </c>
      <c r="AI330" s="3">
        <v>30.750080000000001</v>
      </c>
      <c r="AL330" s="3">
        <v>36.02834</v>
      </c>
      <c r="AN330" s="3">
        <v>12.01408</v>
      </c>
      <c r="AO330" s="3">
        <v>9.2546479999999995</v>
      </c>
      <c r="AQ330" s="3">
        <v>3.2282350000000002</v>
      </c>
      <c r="AV330" s="3">
        <v>22.597519999999999</v>
      </c>
      <c r="AX330" s="3">
        <v>23.405909999999999</v>
      </c>
    </row>
    <row r="331" spans="1:50" x14ac:dyDescent="0.2">
      <c r="A331" s="3" t="s">
        <v>228</v>
      </c>
      <c r="B331" s="49">
        <v>27881</v>
      </c>
      <c r="F331" s="3">
        <v>25.787279999999999</v>
      </c>
      <c r="G331" s="3">
        <v>49.2699</v>
      </c>
      <c r="M331" s="3">
        <v>41.807130000000001</v>
      </c>
      <c r="N331" s="3">
        <v>23.511489999999998</v>
      </c>
      <c r="P331" s="3">
        <v>9.6805470000000007</v>
      </c>
      <c r="S331" s="3">
        <v>23.119610000000002</v>
      </c>
      <c r="T331" s="3">
        <v>24.782820000000001</v>
      </c>
      <c r="V331" s="3">
        <v>26.140720000000002</v>
      </c>
      <c r="W331" s="3">
        <v>18.59864</v>
      </c>
      <c r="X331" s="3">
        <v>2.8250039999999998</v>
      </c>
      <c r="AB331" s="3">
        <v>15.71851</v>
      </c>
      <c r="AD331" s="3">
        <v>5.6688440000000001E-3</v>
      </c>
      <c r="AE331" s="3">
        <v>10.751289999999999</v>
      </c>
      <c r="AF331" s="3">
        <v>58.05547</v>
      </c>
      <c r="AI331" s="3">
        <v>30.978280000000002</v>
      </c>
      <c r="AL331" s="3">
        <v>36.176459999999999</v>
      </c>
      <c r="AN331" s="3">
        <v>12.11172</v>
      </c>
      <c r="AO331" s="3">
        <v>9.3556749999999997</v>
      </c>
      <c r="AQ331" s="3">
        <v>3.1028030000000002</v>
      </c>
      <c r="AV331" s="3">
        <v>22.81964</v>
      </c>
      <c r="AX331" s="3">
        <v>23.52975</v>
      </c>
    </row>
    <row r="332" spans="1:50" x14ac:dyDescent="0.2">
      <c r="A332" s="3" t="s">
        <v>229</v>
      </c>
      <c r="B332" s="49">
        <v>27912</v>
      </c>
      <c r="D332" s="3">
        <v>30.245290000000001</v>
      </c>
      <c r="F332" s="3">
        <v>25.963360000000002</v>
      </c>
      <c r="G332" s="3">
        <v>49.311810000000001</v>
      </c>
      <c r="M332" s="3">
        <v>41.875399999999999</v>
      </c>
      <c r="N332" s="3">
        <v>23.534680000000002</v>
      </c>
      <c r="P332" s="3">
        <v>9.6147279999999995</v>
      </c>
      <c r="S332" s="3">
        <v>23.184760000000001</v>
      </c>
      <c r="T332" s="3">
        <v>24.877870000000001</v>
      </c>
      <c r="V332" s="3">
        <v>26.246510000000001</v>
      </c>
      <c r="W332" s="3">
        <v>18.70852</v>
      </c>
      <c r="X332" s="3">
        <v>2.8724859999999999</v>
      </c>
      <c r="AB332" s="3">
        <v>15.71851</v>
      </c>
      <c r="AD332" s="3">
        <v>5.7560210000000001E-3</v>
      </c>
      <c r="AE332" s="3">
        <v>10.810779999999999</v>
      </c>
      <c r="AF332" s="3">
        <v>58.374859999999998</v>
      </c>
      <c r="AI332" s="3">
        <v>31.055890000000002</v>
      </c>
      <c r="AL332" s="3">
        <v>36.170769999999997</v>
      </c>
      <c r="AN332" s="3">
        <v>12.18155</v>
      </c>
      <c r="AO332" s="3">
        <v>9.4309519999999996</v>
      </c>
      <c r="AQ332" s="3">
        <v>3.465862</v>
      </c>
      <c r="AV332" s="3">
        <v>22.993690000000001</v>
      </c>
      <c r="AX332" s="3">
        <v>23.612310000000001</v>
      </c>
    </row>
    <row r="333" spans="1:50" x14ac:dyDescent="0.2">
      <c r="A333" s="3" t="s">
        <v>230</v>
      </c>
      <c r="B333" s="49">
        <v>27942</v>
      </c>
      <c r="D333" s="3">
        <v>30.584250000000001</v>
      </c>
      <c r="F333" s="3">
        <v>26.155819999999999</v>
      </c>
      <c r="G333" s="3">
        <v>49.358750000000001</v>
      </c>
      <c r="M333" s="3">
        <v>41.885759999999998</v>
      </c>
      <c r="N333" s="3">
        <v>23.537849999999999</v>
      </c>
      <c r="P333" s="3">
        <v>9.6835439999999995</v>
      </c>
      <c r="S333" s="3">
        <v>23.494779999999999</v>
      </c>
      <c r="T333" s="3">
        <v>25.155629999999999</v>
      </c>
      <c r="V333" s="3">
        <v>26.397680000000001</v>
      </c>
      <c r="W333" s="3">
        <v>18.859059999999999</v>
      </c>
      <c r="X333" s="3">
        <v>2.8336769999999998</v>
      </c>
      <c r="AB333" s="3">
        <v>16.050930000000001</v>
      </c>
      <c r="AD333" s="3">
        <v>6.0785400000000003E-3</v>
      </c>
      <c r="AE333" s="3">
        <v>10.875439999999999</v>
      </c>
      <c r="AF333" s="3">
        <v>58.449860000000001</v>
      </c>
      <c r="AI333" s="3">
        <v>31.28049</v>
      </c>
      <c r="AL333" s="3">
        <v>35.988480000000003</v>
      </c>
      <c r="AN333" s="3">
        <v>12.26599</v>
      </c>
      <c r="AO333" s="3">
        <v>9.4955850000000002</v>
      </c>
      <c r="AQ333" s="3">
        <v>3.9202979999999998</v>
      </c>
      <c r="AV333" s="3">
        <v>23.017710000000001</v>
      </c>
      <c r="AX333" s="3">
        <v>23.777429999999999</v>
      </c>
    </row>
    <row r="334" spans="1:50" x14ac:dyDescent="0.2">
      <c r="A334" s="3" t="s">
        <v>231</v>
      </c>
      <c r="B334" s="49">
        <v>27973</v>
      </c>
      <c r="D334" s="3">
        <v>30.699310000000001</v>
      </c>
      <c r="F334" s="3">
        <v>26.193149999999999</v>
      </c>
      <c r="G334" s="3">
        <v>49.467529999999996</v>
      </c>
      <c r="M334" s="3">
        <v>41.982909999999997</v>
      </c>
      <c r="N334" s="3">
        <v>23.644490000000001</v>
      </c>
      <c r="P334" s="3">
        <v>9.7674009999999996</v>
      </c>
      <c r="S334" s="3">
        <v>23.695419999999999</v>
      </c>
      <c r="T334" s="3">
        <v>25.312999999999999</v>
      </c>
      <c r="V334" s="3">
        <v>26.51305</v>
      </c>
      <c r="W334" s="3">
        <v>19.04148</v>
      </c>
      <c r="X334" s="3">
        <v>2.7851159999999999</v>
      </c>
      <c r="AB334" s="3">
        <v>16.050930000000001</v>
      </c>
      <c r="AD334" s="3">
        <v>6.1351950000000004E-3</v>
      </c>
      <c r="AE334" s="3">
        <v>11.000360000000001</v>
      </c>
      <c r="AF334" s="3">
        <v>58.189889999999998</v>
      </c>
      <c r="AI334" s="3">
        <v>31.519919999999999</v>
      </c>
      <c r="AL334" s="3">
        <v>36.222000000000001</v>
      </c>
      <c r="AN334" s="3">
        <v>12.32668</v>
      </c>
      <c r="AO334" s="3">
        <v>9.5588870000000004</v>
      </c>
      <c r="AQ334" s="3">
        <v>3.9273120000000001</v>
      </c>
      <c r="AV334" s="3">
        <v>23.139500000000002</v>
      </c>
      <c r="AX334" s="3">
        <v>23.90127</v>
      </c>
    </row>
    <row r="335" spans="1:50" x14ac:dyDescent="0.2">
      <c r="A335" s="3" t="s">
        <v>232</v>
      </c>
      <c r="B335" s="49">
        <v>28004</v>
      </c>
      <c r="D335" s="3">
        <v>30.878170000000001</v>
      </c>
      <c r="F335" s="3">
        <v>26.341069999999998</v>
      </c>
      <c r="G335" s="3">
        <v>49.430190000000003</v>
      </c>
      <c r="M335" s="3">
        <v>42.092179999999999</v>
      </c>
      <c r="N335" s="3">
        <v>24.180319999999998</v>
      </c>
      <c r="P335" s="3">
        <v>9.9573750000000008</v>
      </c>
      <c r="S335" s="3">
        <v>23.888629999999999</v>
      </c>
      <c r="T335" s="3">
        <v>25.561119999999999</v>
      </c>
      <c r="V335" s="3">
        <v>26.737179999999999</v>
      </c>
      <c r="W335" s="3">
        <v>19.198799999999999</v>
      </c>
      <c r="X335" s="3">
        <v>2.913834</v>
      </c>
      <c r="AB335" s="3">
        <v>16.050930000000001</v>
      </c>
      <c r="AD335" s="3">
        <v>6.2586930000000001E-3</v>
      </c>
      <c r="AE335" s="3">
        <v>11.163399999999999</v>
      </c>
      <c r="AF335" s="3">
        <v>59.105870000000003</v>
      </c>
      <c r="AI335" s="3">
        <v>31.565670000000001</v>
      </c>
      <c r="AL335" s="3">
        <v>36.606259999999999</v>
      </c>
      <c r="AN335" s="3">
        <v>12.453430000000001</v>
      </c>
      <c r="AO335" s="3">
        <v>9.6578400000000002</v>
      </c>
      <c r="AQ335" s="3">
        <v>4.093121</v>
      </c>
      <c r="AV335" s="3">
        <v>23.214919999999999</v>
      </c>
      <c r="AX335" s="3">
        <v>24.066389999999998</v>
      </c>
    </row>
    <row r="336" spans="1:50" x14ac:dyDescent="0.2">
      <c r="A336" s="3" t="s">
        <v>233</v>
      </c>
      <c r="B336" s="49">
        <v>28034</v>
      </c>
      <c r="D336" s="3">
        <v>31.066880000000001</v>
      </c>
      <c r="F336" s="3">
        <v>26.5214</v>
      </c>
      <c r="G336" s="3">
        <v>49.559719999999999</v>
      </c>
      <c r="M336" s="3">
        <v>42.17577</v>
      </c>
      <c r="N336" s="3">
        <v>24.409210000000002</v>
      </c>
      <c r="P336" s="3">
        <v>10.13341</v>
      </c>
      <c r="S336" s="3">
        <v>24.209689999999998</v>
      </c>
      <c r="T336" s="3">
        <v>25.790489999999998</v>
      </c>
      <c r="V336" s="3">
        <v>26.928270000000001</v>
      </c>
      <c r="W336" s="3">
        <v>19.492660000000001</v>
      </c>
      <c r="X336" s="3">
        <v>2.9449770000000002</v>
      </c>
      <c r="AB336" s="3">
        <v>16.640329999999999</v>
      </c>
      <c r="AD336" s="3">
        <v>6.4795139999999996E-3</v>
      </c>
      <c r="AE336" s="3">
        <v>11.362539999999999</v>
      </c>
      <c r="AF336" s="3">
        <v>59.500549999999997</v>
      </c>
      <c r="AI336" s="3">
        <v>31.818249999999999</v>
      </c>
      <c r="AL336" s="3">
        <v>37.06532</v>
      </c>
      <c r="AN336" s="3">
        <v>12.58971</v>
      </c>
      <c r="AO336" s="3">
        <v>9.7609840000000005</v>
      </c>
      <c r="AQ336" s="3">
        <v>4.2190219999999998</v>
      </c>
      <c r="AV336" s="3">
        <v>23.622900000000001</v>
      </c>
      <c r="AX336" s="3">
        <v>24.190239999999999</v>
      </c>
    </row>
    <row r="337" spans="1:50" x14ac:dyDescent="0.2">
      <c r="A337" s="3" t="s">
        <v>234</v>
      </c>
      <c r="B337" s="49">
        <v>28065</v>
      </c>
      <c r="D337" s="3">
        <v>31.182269999999999</v>
      </c>
      <c r="F337" s="3">
        <v>26.669370000000001</v>
      </c>
      <c r="G337" s="3">
        <v>49.658920000000002</v>
      </c>
      <c r="M337" s="3">
        <v>42.318869999999997</v>
      </c>
      <c r="N337" s="3">
        <v>24.732520000000001</v>
      </c>
      <c r="P337" s="3">
        <v>10.4064</v>
      </c>
      <c r="S337" s="3">
        <v>24.353860000000001</v>
      </c>
      <c r="T337" s="3">
        <v>25.90268</v>
      </c>
      <c r="V337" s="3">
        <v>27.11026</v>
      </c>
      <c r="W337" s="3">
        <v>19.677700000000002</v>
      </c>
      <c r="X337" s="3">
        <v>2.9822250000000001</v>
      </c>
      <c r="AB337" s="3">
        <v>16.640329999999999</v>
      </c>
      <c r="AD337" s="3">
        <v>6.6916229999999998E-3</v>
      </c>
      <c r="AE337" s="3">
        <v>11.60087</v>
      </c>
      <c r="AF337" s="3">
        <v>59.910249999999998</v>
      </c>
      <c r="AI337" s="3">
        <v>32.062539999999998</v>
      </c>
      <c r="AL337" s="3">
        <v>37.204740000000001</v>
      </c>
      <c r="AN337" s="3">
        <v>12.70392</v>
      </c>
      <c r="AO337" s="3">
        <v>9.8553999999999995</v>
      </c>
      <c r="AQ337" s="3">
        <v>4.2329100000000004</v>
      </c>
      <c r="AV337" s="3">
        <v>23.814350000000001</v>
      </c>
      <c r="AX337" s="3">
        <v>24.314080000000001</v>
      </c>
    </row>
    <row r="338" spans="1:50" x14ac:dyDescent="0.2">
      <c r="A338" s="3" t="s">
        <v>235</v>
      </c>
      <c r="B338" s="49">
        <v>28095</v>
      </c>
      <c r="D338" s="3">
        <v>31.32432</v>
      </c>
      <c r="F338" s="3">
        <v>26.75938</v>
      </c>
      <c r="G338" s="3">
        <v>49.761749999999999</v>
      </c>
      <c r="M338" s="3">
        <v>42.388739999999999</v>
      </c>
      <c r="N338" s="3">
        <v>24.78144</v>
      </c>
      <c r="P338" s="3">
        <v>10.481949999999999</v>
      </c>
      <c r="S338" s="3">
        <v>24.429459999999999</v>
      </c>
      <c r="T338" s="3">
        <v>25.986969999999999</v>
      </c>
      <c r="V338" s="3">
        <v>27.196069999999999</v>
      </c>
      <c r="W338" s="3">
        <v>19.920480000000001</v>
      </c>
      <c r="X338" s="3">
        <v>3.0303740000000001</v>
      </c>
      <c r="AB338" s="3">
        <v>16.640329999999999</v>
      </c>
      <c r="AD338" s="3">
        <v>6.8325440000000003E-3</v>
      </c>
      <c r="AE338" s="3">
        <v>11.54449</v>
      </c>
      <c r="AF338" s="3">
        <v>60.853960000000001</v>
      </c>
      <c r="AI338" s="3">
        <v>32.263599999999997</v>
      </c>
      <c r="AL338" s="3">
        <v>37.197119999999998</v>
      </c>
      <c r="AN338" s="3">
        <v>12.771380000000001</v>
      </c>
      <c r="AO338" s="3">
        <v>9.9161409999999997</v>
      </c>
      <c r="AQ338" s="3">
        <v>4.4095620000000002</v>
      </c>
      <c r="AV338" s="3">
        <v>23.852070000000001</v>
      </c>
      <c r="AX338" s="3">
        <v>24.314080000000001</v>
      </c>
    </row>
    <row r="339" spans="1:50" x14ac:dyDescent="0.2">
      <c r="A339" s="3" t="s">
        <v>236</v>
      </c>
      <c r="B339" s="49">
        <v>28126</v>
      </c>
      <c r="D339" s="3">
        <v>31.60219</v>
      </c>
      <c r="F339" s="3">
        <v>26.963570000000001</v>
      </c>
      <c r="G339" s="3">
        <v>49.827120000000001</v>
      </c>
      <c r="M339" s="3">
        <v>42.809890000000003</v>
      </c>
      <c r="N339" s="3">
        <v>24.7621</v>
      </c>
      <c r="P339" s="3">
        <v>10.833399999999999</v>
      </c>
      <c r="S339" s="3">
        <v>24.849170000000001</v>
      </c>
      <c r="T339" s="3">
        <v>26.042349999999999</v>
      </c>
      <c r="V339" s="3">
        <v>27.426410000000001</v>
      </c>
      <c r="W339" s="3">
        <v>20.4331</v>
      </c>
      <c r="X339" s="3">
        <v>3.01397</v>
      </c>
      <c r="AB339" s="3">
        <v>17.212299999999999</v>
      </c>
      <c r="AD339" s="3">
        <v>6.8219020000000003E-3</v>
      </c>
      <c r="AE339" s="3">
        <v>11.82517</v>
      </c>
      <c r="AF339" s="3">
        <v>61.149729999999998</v>
      </c>
      <c r="AI339" s="3">
        <v>32.463389999999997</v>
      </c>
      <c r="AL339" s="3">
        <v>37.231589999999997</v>
      </c>
      <c r="AN339" s="3">
        <v>12.896990000000001</v>
      </c>
      <c r="AO339" s="3">
        <v>10.04561</v>
      </c>
      <c r="AQ339" s="3">
        <v>4.324236</v>
      </c>
      <c r="AV339" s="3">
        <v>24.05986</v>
      </c>
      <c r="AX339" s="3">
        <v>24.437919999999998</v>
      </c>
    </row>
    <row r="340" spans="1:50" x14ac:dyDescent="0.2">
      <c r="A340" s="3" t="s">
        <v>237</v>
      </c>
      <c r="B340" s="49">
        <v>28157</v>
      </c>
      <c r="D340" s="3">
        <v>31.855370000000001</v>
      </c>
      <c r="F340" s="3">
        <v>27.08136</v>
      </c>
      <c r="G340" s="3">
        <v>49.873130000000003</v>
      </c>
      <c r="M340" s="3">
        <v>42.985529999999997</v>
      </c>
      <c r="N340" s="3">
        <v>24.788060000000002</v>
      </c>
      <c r="P340" s="3">
        <v>11.059950000000001</v>
      </c>
      <c r="S340" s="3">
        <v>25.036770000000001</v>
      </c>
      <c r="T340" s="3">
        <v>26.177669999999999</v>
      </c>
      <c r="V340" s="3">
        <v>27.594609999999999</v>
      </c>
      <c r="W340" s="3">
        <v>20.69914</v>
      </c>
      <c r="X340" s="3">
        <v>2.9924059999999999</v>
      </c>
      <c r="AB340" s="3">
        <v>17.212299999999999</v>
      </c>
      <c r="AD340" s="3">
        <v>6.8986179999999996E-3</v>
      </c>
      <c r="AE340" s="3">
        <v>12.069000000000001</v>
      </c>
      <c r="AF340" s="3">
        <v>61.17801</v>
      </c>
      <c r="AI340" s="3">
        <v>32.708950000000002</v>
      </c>
      <c r="AL340" s="3">
        <v>37.49718</v>
      </c>
      <c r="AN340" s="3">
        <v>12.995620000000001</v>
      </c>
      <c r="AO340" s="3">
        <v>10.14866</v>
      </c>
      <c r="AQ340" s="3">
        <v>4.4088349999999998</v>
      </c>
      <c r="AV340" s="3">
        <v>24.378</v>
      </c>
      <c r="AX340" s="3">
        <v>24.56176</v>
      </c>
    </row>
    <row r="341" spans="1:50" x14ac:dyDescent="0.2">
      <c r="A341" s="3" t="s">
        <v>238</v>
      </c>
      <c r="B341" s="49">
        <v>28185</v>
      </c>
      <c r="D341" s="3">
        <v>32.021900000000002</v>
      </c>
      <c r="F341" s="3">
        <v>27.371960000000001</v>
      </c>
      <c r="G341" s="3">
        <v>49.852640000000001</v>
      </c>
      <c r="M341" s="3">
        <v>43.077579999999998</v>
      </c>
      <c r="N341" s="3">
        <v>25.197469999999999</v>
      </c>
      <c r="P341" s="3">
        <v>11.34155</v>
      </c>
      <c r="S341" s="3">
        <v>25.233239999999999</v>
      </c>
      <c r="T341" s="3">
        <v>26.402460000000001</v>
      </c>
      <c r="V341" s="3">
        <v>27.784009999999999</v>
      </c>
      <c r="W341" s="3">
        <v>20.92417</v>
      </c>
      <c r="X341" s="3">
        <v>3.0682649999999998</v>
      </c>
      <c r="AB341" s="3">
        <v>17.212299999999999</v>
      </c>
      <c r="AD341" s="3">
        <v>6.9753339999999997E-3</v>
      </c>
      <c r="AE341" s="3">
        <v>12.22883</v>
      </c>
      <c r="AF341" s="3">
        <v>61.383339999999997</v>
      </c>
      <c r="AI341" s="3">
        <v>32.85716</v>
      </c>
      <c r="AL341" s="3">
        <v>37.706069999999997</v>
      </c>
      <c r="AN341" s="3">
        <v>13.105880000000001</v>
      </c>
      <c r="AO341" s="3">
        <v>10.25403</v>
      </c>
      <c r="AQ341" s="3">
        <v>4.5555060000000003</v>
      </c>
      <c r="AV341" s="3">
        <v>24.59975</v>
      </c>
      <c r="AX341" s="3">
        <v>24.726880000000001</v>
      </c>
    </row>
    <row r="342" spans="1:50" x14ac:dyDescent="0.2">
      <c r="A342" s="3" t="s">
        <v>239</v>
      </c>
      <c r="B342" s="49">
        <v>28216</v>
      </c>
      <c r="D342" s="3">
        <v>32.367989999999999</v>
      </c>
      <c r="F342" s="3">
        <v>27.498270000000002</v>
      </c>
      <c r="G342" s="3">
        <v>49.911299999999997</v>
      </c>
      <c r="M342" s="3">
        <v>43.2395</v>
      </c>
      <c r="N342" s="3">
        <v>25.453479999999999</v>
      </c>
      <c r="P342" s="3">
        <v>11.618510000000001</v>
      </c>
      <c r="S342" s="3">
        <v>25.409849999999999</v>
      </c>
      <c r="T342" s="3">
        <v>26.71771</v>
      </c>
      <c r="V342" s="3">
        <v>28.077459999999999</v>
      </c>
      <c r="W342" s="3">
        <v>21.478929999999998</v>
      </c>
      <c r="X342" s="3">
        <v>3.1349079999999998</v>
      </c>
      <c r="AB342" s="3">
        <v>17.77497</v>
      </c>
      <c r="AD342" s="3">
        <v>7.2054830000000004E-3</v>
      </c>
      <c r="AE342" s="3">
        <v>12.38865</v>
      </c>
      <c r="AF342" s="3">
        <v>62.76981</v>
      </c>
      <c r="AI342" s="3">
        <v>33.183059999999998</v>
      </c>
      <c r="AL342" s="3">
        <v>38.521929999999998</v>
      </c>
      <c r="AN342" s="3">
        <v>13.258050000000001</v>
      </c>
      <c r="AO342" s="3">
        <v>10.39222</v>
      </c>
      <c r="AQ342" s="3">
        <v>4.7180249999999999</v>
      </c>
      <c r="AV342" s="3">
        <v>24.837569999999999</v>
      </c>
      <c r="AX342" s="3">
        <v>24.891999999999999</v>
      </c>
    </row>
    <row r="343" spans="1:50" x14ac:dyDescent="0.2">
      <c r="A343" s="3" t="s">
        <v>240</v>
      </c>
      <c r="B343" s="49">
        <v>28246</v>
      </c>
      <c r="D343" s="3">
        <v>32.605910000000002</v>
      </c>
      <c r="F343" s="3">
        <v>27.83766</v>
      </c>
      <c r="G343" s="3">
        <v>49.926569999999998</v>
      </c>
      <c r="M343" s="3">
        <v>43.381</v>
      </c>
      <c r="N343" s="3">
        <v>25.81157</v>
      </c>
      <c r="P343" s="3">
        <v>11.76637</v>
      </c>
      <c r="S343" s="3">
        <v>25.766020000000001</v>
      </c>
      <c r="T343" s="3">
        <v>26.948460000000001</v>
      </c>
      <c r="V343" s="3">
        <v>28.270399999999999</v>
      </c>
      <c r="W343" s="3">
        <v>21.601510000000001</v>
      </c>
      <c r="X343" s="3">
        <v>3.1834530000000001</v>
      </c>
      <c r="AB343" s="3">
        <v>17.77497</v>
      </c>
      <c r="AD343" s="3">
        <v>7.3648170000000001E-3</v>
      </c>
      <c r="AE343" s="3">
        <v>12.55362</v>
      </c>
      <c r="AF343" s="3">
        <v>63.478960000000001</v>
      </c>
      <c r="AI343" s="3">
        <v>33.320869999999999</v>
      </c>
      <c r="AL343" s="3">
        <v>38.603900000000003</v>
      </c>
      <c r="AN343" s="3">
        <v>13.350339999999999</v>
      </c>
      <c r="AO343" s="3">
        <v>10.46827</v>
      </c>
      <c r="AQ343" s="3">
        <v>4.7408650000000003</v>
      </c>
      <c r="AV343" s="3">
        <v>25.179040000000001</v>
      </c>
      <c r="AX343" s="3">
        <v>25.015840000000001</v>
      </c>
    </row>
    <row r="344" spans="1:50" x14ac:dyDescent="0.2">
      <c r="A344" s="3" t="s">
        <v>241</v>
      </c>
      <c r="B344" s="49">
        <v>28277</v>
      </c>
      <c r="D344" s="3">
        <v>32.80462</v>
      </c>
      <c r="F344" s="3">
        <v>27.877890000000001</v>
      </c>
      <c r="G344" s="3">
        <v>50.130290000000002</v>
      </c>
      <c r="M344" s="3">
        <v>43.57882</v>
      </c>
      <c r="N344" s="3">
        <v>25.923390000000001</v>
      </c>
      <c r="P344" s="3">
        <v>12.028499999999999</v>
      </c>
      <c r="S344" s="3">
        <v>25.831219999999998</v>
      </c>
      <c r="T344" s="3">
        <v>27.142600000000002</v>
      </c>
      <c r="V344" s="3">
        <v>28.416979999999999</v>
      </c>
      <c r="W344" s="3">
        <v>21.75365</v>
      </c>
      <c r="X344" s="3">
        <v>3.195408</v>
      </c>
      <c r="AB344" s="3">
        <v>17.77497</v>
      </c>
      <c r="AD344" s="3">
        <v>7.4828480000000003E-3</v>
      </c>
      <c r="AE344" s="3">
        <v>12.619730000000001</v>
      </c>
      <c r="AF344" s="3">
        <v>63.434150000000002</v>
      </c>
      <c r="AI344" s="3">
        <v>33.525689999999997</v>
      </c>
      <c r="AL344" s="3">
        <v>38.548569999999998</v>
      </c>
      <c r="AN344" s="3">
        <v>13.43581</v>
      </c>
      <c r="AO344" s="3">
        <v>10.549329999999999</v>
      </c>
      <c r="AQ344" s="3">
        <v>4.7575810000000001</v>
      </c>
      <c r="AV344" s="3">
        <v>25.70252</v>
      </c>
      <c r="AX344" s="3">
        <v>25.180959999999999</v>
      </c>
    </row>
    <row r="345" spans="1:50" x14ac:dyDescent="0.2">
      <c r="A345" s="3" t="s">
        <v>242</v>
      </c>
      <c r="B345" s="49">
        <v>28307</v>
      </c>
      <c r="D345" s="3">
        <v>33.035649999999997</v>
      </c>
      <c r="F345" s="3">
        <v>28.200579999999999</v>
      </c>
      <c r="G345" s="3">
        <v>50.162610000000001</v>
      </c>
      <c r="M345" s="3">
        <v>43.531120000000001</v>
      </c>
      <c r="N345" s="3">
        <v>26.055689999999998</v>
      </c>
      <c r="P345" s="3">
        <v>12.23258</v>
      </c>
      <c r="S345" s="3">
        <v>25.993490000000001</v>
      </c>
      <c r="T345" s="3">
        <v>27.388110000000001</v>
      </c>
      <c r="V345" s="3">
        <v>28.514389999999999</v>
      </c>
      <c r="W345" s="3">
        <v>21.839359999999999</v>
      </c>
      <c r="X345" s="3">
        <v>3.2029899999999998</v>
      </c>
      <c r="AB345" s="3">
        <v>17.878489999999999</v>
      </c>
      <c r="AD345" s="3">
        <v>7.5890740000000003E-3</v>
      </c>
      <c r="AE345" s="3">
        <v>12.697839999999999</v>
      </c>
      <c r="AF345" s="3">
        <v>63.441670000000002</v>
      </c>
      <c r="AI345" s="3">
        <v>33.65616</v>
      </c>
      <c r="AL345" s="3">
        <v>38.396650000000001</v>
      </c>
      <c r="AN345" s="3">
        <v>13.507400000000001</v>
      </c>
      <c r="AO345" s="3">
        <v>10.61356</v>
      </c>
      <c r="AQ345" s="3">
        <v>4.8418929999999998</v>
      </c>
      <c r="AV345" s="3">
        <v>25.892810000000001</v>
      </c>
      <c r="AX345" s="3">
        <v>25.26352</v>
      </c>
    </row>
    <row r="346" spans="1:50" x14ac:dyDescent="0.2">
      <c r="A346" s="3" t="s">
        <v>243</v>
      </c>
      <c r="B346" s="49">
        <v>28338</v>
      </c>
      <c r="D346" s="3">
        <v>33.150829999999999</v>
      </c>
      <c r="F346" s="3">
        <v>28.163250000000001</v>
      </c>
      <c r="G346" s="3">
        <v>50.157229999999998</v>
      </c>
      <c r="M346" s="3">
        <v>43.56015</v>
      </c>
      <c r="N346" s="3">
        <v>26.241050000000001</v>
      </c>
      <c r="P346" s="3">
        <v>12.36669</v>
      </c>
      <c r="S346" s="3">
        <v>26.467610000000001</v>
      </c>
      <c r="T346" s="3">
        <v>27.560009999999998</v>
      </c>
      <c r="V346" s="3">
        <v>28.629300000000001</v>
      </c>
      <c r="W346" s="3">
        <v>22.11655</v>
      </c>
      <c r="X346" s="3">
        <v>3.148301</v>
      </c>
      <c r="AB346" s="3">
        <v>17.878489999999999</v>
      </c>
      <c r="AD346" s="3">
        <v>7.8487230000000002E-3</v>
      </c>
      <c r="AE346" s="3">
        <v>12.80444</v>
      </c>
      <c r="AF346" s="3">
        <v>63.21557</v>
      </c>
      <c r="AI346" s="3">
        <v>33.626379999999997</v>
      </c>
      <c r="AL346" s="3">
        <v>38.629480000000001</v>
      </c>
      <c r="AN346" s="3">
        <v>13.5726</v>
      </c>
      <c r="AO346" s="3">
        <v>10.67295</v>
      </c>
      <c r="AQ346" s="3">
        <v>4.9200189999999999</v>
      </c>
      <c r="AV346" s="3">
        <v>25.98546</v>
      </c>
      <c r="AX346" s="3">
        <v>25.387360000000001</v>
      </c>
    </row>
    <row r="347" spans="1:50" x14ac:dyDescent="0.2">
      <c r="A347" s="3" t="s">
        <v>244</v>
      </c>
      <c r="B347" s="49">
        <v>28369</v>
      </c>
      <c r="D347" s="3">
        <v>33.313420000000001</v>
      </c>
      <c r="F347" s="3">
        <v>28.400839999999999</v>
      </c>
      <c r="G347" s="3">
        <v>50.242640000000002</v>
      </c>
      <c r="M347" s="3">
        <v>43.650590000000001</v>
      </c>
      <c r="N347" s="3">
        <v>26.472650000000002</v>
      </c>
      <c r="P347" s="3">
        <v>12.623010000000001</v>
      </c>
      <c r="S347" s="3">
        <v>26.585560000000001</v>
      </c>
      <c r="T347" s="3">
        <v>27.757269999999998</v>
      </c>
      <c r="V347" s="3">
        <v>28.838650000000001</v>
      </c>
      <c r="W347" s="3">
        <v>22.27253</v>
      </c>
      <c r="X347" s="3">
        <v>3.2303030000000001</v>
      </c>
      <c r="AB347" s="3">
        <v>17.878489999999999</v>
      </c>
      <c r="AD347" s="3">
        <v>8.1201859999999997E-3</v>
      </c>
      <c r="AE347" s="3">
        <v>12.95778</v>
      </c>
      <c r="AF347" s="3">
        <v>63.997410000000002</v>
      </c>
      <c r="AI347" s="3">
        <v>33.564810000000001</v>
      </c>
      <c r="AL347" s="3">
        <v>38.967889999999997</v>
      </c>
      <c r="AN347" s="3">
        <v>13.689970000000001</v>
      </c>
      <c r="AO347" s="3">
        <v>10.77605</v>
      </c>
      <c r="AQ347" s="3">
        <v>4.9378289999999998</v>
      </c>
      <c r="AV347" s="3">
        <v>26.20392</v>
      </c>
      <c r="AX347" s="3">
        <v>25.552479999999999</v>
      </c>
    </row>
    <row r="348" spans="1:50" x14ac:dyDescent="0.2">
      <c r="A348" s="3" t="s">
        <v>245</v>
      </c>
      <c r="B348" s="49">
        <v>28399</v>
      </c>
      <c r="D348" s="3">
        <v>33.448219999999999</v>
      </c>
      <c r="F348" s="3">
        <v>28.617159999999998</v>
      </c>
      <c r="G348" s="3">
        <v>50.32206</v>
      </c>
      <c r="M348" s="3">
        <v>43.669409999999999</v>
      </c>
      <c r="N348" s="3">
        <v>26.66366</v>
      </c>
      <c r="P348" s="3">
        <v>12.89181</v>
      </c>
      <c r="S348" s="3">
        <v>26.65644</v>
      </c>
      <c r="T348" s="3">
        <v>27.998830000000002</v>
      </c>
      <c r="V348" s="3">
        <v>28.994060000000001</v>
      </c>
      <c r="W348" s="3">
        <v>22.389109999999999</v>
      </c>
      <c r="X348" s="3">
        <v>3.3222330000000002</v>
      </c>
      <c r="AB348" s="3">
        <v>18.35632</v>
      </c>
      <c r="AD348" s="3">
        <v>8.4270509999999996E-3</v>
      </c>
      <c r="AE348" s="3">
        <v>13.15316</v>
      </c>
      <c r="AF348" s="3">
        <v>64.599999999999994</v>
      </c>
      <c r="AI348" s="3">
        <v>33.734279999999998</v>
      </c>
      <c r="AL348" s="3">
        <v>39.214179999999999</v>
      </c>
      <c r="AN348" s="3">
        <v>13.81086</v>
      </c>
      <c r="AO348" s="3">
        <v>10.916410000000001</v>
      </c>
      <c r="AQ348" s="3">
        <v>5.1064629999999998</v>
      </c>
      <c r="AV348" s="3">
        <v>26.409549999999999</v>
      </c>
      <c r="AX348" s="3">
        <v>25.63505</v>
      </c>
    </row>
    <row r="349" spans="1:50" x14ac:dyDescent="0.2">
      <c r="A349" s="3" t="s">
        <v>246</v>
      </c>
      <c r="B349" s="49">
        <v>28430</v>
      </c>
      <c r="D349" s="3">
        <v>33.610779999999998</v>
      </c>
      <c r="F349" s="3">
        <v>28.776540000000001</v>
      </c>
      <c r="G349" s="3">
        <v>50.329450000000001</v>
      </c>
      <c r="M349" s="3">
        <v>43.753010000000003</v>
      </c>
      <c r="N349" s="3">
        <v>27.699120000000001</v>
      </c>
      <c r="P349" s="3">
        <v>13.143890000000001</v>
      </c>
      <c r="S349" s="3">
        <v>26.756219999999999</v>
      </c>
      <c r="T349" s="3">
        <v>28.12426</v>
      </c>
      <c r="V349" s="3">
        <v>29.11298</v>
      </c>
      <c r="W349" s="3">
        <v>22.543569999999999</v>
      </c>
      <c r="X349" s="3">
        <v>3.3461419999999999</v>
      </c>
      <c r="AB349" s="3">
        <v>18.35632</v>
      </c>
      <c r="AD349" s="3">
        <v>9.3948609999999991E-3</v>
      </c>
      <c r="AE349" s="3">
        <v>13.30198</v>
      </c>
      <c r="AF349" s="3">
        <v>64.360519999999994</v>
      </c>
      <c r="AI349" s="3">
        <v>33.942610000000002</v>
      </c>
      <c r="AL349" s="3">
        <v>39.261279999999999</v>
      </c>
      <c r="AN349" s="3">
        <v>13.90757</v>
      </c>
      <c r="AO349" s="3">
        <v>11.039099999999999</v>
      </c>
      <c r="AQ349" s="3">
        <v>5.1659350000000002</v>
      </c>
      <c r="AV349" s="3">
        <v>26.6585</v>
      </c>
      <c r="AX349" s="3">
        <v>25.758890000000001</v>
      </c>
    </row>
    <row r="350" spans="1:50" x14ac:dyDescent="0.2">
      <c r="A350" s="3" t="s">
        <v>247</v>
      </c>
      <c r="B350" s="49">
        <v>28460</v>
      </c>
      <c r="D350" s="3">
        <v>33.792659999999998</v>
      </c>
      <c r="F350" s="3">
        <v>28.902519999999999</v>
      </c>
      <c r="G350" s="3">
        <v>50.427300000000002</v>
      </c>
      <c r="M350" s="3">
        <v>43.868980000000001</v>
      </c>
      <c r="N350" s="3">
        <v>27.72711</v>
      </c>
      <c r="P350" s="3">
        <v>13.285450000000001</v>
      </c>
      <c r="S350" s="3">
        <v>26.870750000000001</v>
      </c>
      <c r="T350" s="3">
        <v>28.21021</v>
      </c>
      <c r="V350" s="3">
        <v>29.22334</v>
      </c>
      <c r="W350" s="3">
        <v>22.66639</v>
      </c>
      <c r="X350" s="3">
        <v>3.3690069999999999</v>
      </c>
      <c r="AB350" s="3">
        <v>18.35632</v>
      </c>
      <c r="AD350" s="3">
        <v>9.6250199999999998E-3</v>
      </c>
      <c r="AE350" s="3">
        <v>13.358980000000001</v>
      </c>
      <c r="AF350" s="3">
        <v>64.354640000000003</v>
      </c>
      <c r="AI350" s="3">
        <v>33.866230000000002</v>
      </c>
      <c r="AL350" s="3">
        <v>39.261279999999999</v>
      </c>
      <c r="AN350" s="3">
        <v>13.991759999999999</v>
      </c>
      <c r="AO350" s="3">
        <v>11.12796</v>
      </c>
      <c r="AQ350" s="3">
        <v>5.2413049999999997</v>
      </c>
      <c r="AV350" s="3">
        <v>26.885349999999999</v>
      </c>
      <c r="AX350" s="3">
        <v>25.882729999999999</v>
      </c>
    </row>
    <row r="351" spans="1:50" x14ac:dyDescent="0.2">
      <c r="A351" s="3" t="s">
        <v>248</v>
      </c>
      <c r="B351" s="49">
        <v>28491</v>
      </c>
      <c r="D351" s="3">
        <v>34.021529999999998</v>
      </c>
      <c r="F351" s="3">
        <v>29.061900000000001</v>
      </c>
      <c r="G351" s="3">
        <v>50.442169999999997</v>
      </c>
      <c r="M351" s="3">
        <v>44.230609999999999</v>
      </c>
      <c r="N351" s="3">
        <v>27.865030000000001</v>
      </c>
      <c r="P351" s="3">
        <v>13.50508</v>
      </c>
      <c r="S351" s="3">
        <v>27.034669999999998</v>
      </c>
      <c r="T351" s="3">
        <v>28.355409999999999</v>
      </c>
      <c r="V351" s="3">
        <v>29.377459999999999</v>
      </c>
      <c r="W351" s="3">
        <v>22.81889</v>
      </c>
      <c r="X351" s="3">
        <v>3.4134169999999999</v>
      </c>
      <c r="AB351" s="3">
        <v>18.62753</v>
      </c>
      <c r="AD351" s="3">
        <v>9.8551690000000004E-3</v>
      </c>
      <c r="AE351" s="3">
        <v>13.47167</v>
      </c>
      <c r="AF351" s="3">
        <v>64.453959999999995</v>
      </c>
      <c r="AI351" s="3">
        <v>34.00047</v>
      </c>
      <c r="AL351" s="3">
        <v>39.172199999999997</v>
      </c>
      <c r="AN351" s="3">
        <v>14.108840000000001</v>
      </c>
      <c r="AO351" s="3">
        <v>11.243639999999999</v>
      </c>
      <c r="AQ351" s="3">
        <v>5.3950519999999997</v>
      </c>
      <c r="AV351" s="3">
        <v>27.331</v>
      </c>
      <c r="AX351" s="3">
        <v>26.00657</v>
      </c>
    </row>
    <row r="352" spans="1:50" x14ac:dyDescent="0.2">
      <c r="A352" s="3" t="s">
        <v>249</v>
      </c>
      <c r="B352" s="49">
        <v>28522</v>
      </c>
      <c r="D352" s="3">
        <v>34.184989999999999</v>
      </c>
      <c r="F352" s="3">
        <v>29.30735</v>
      </c>
      <c r="G352" s="3">
        <v>50.496580000000002</v>
      </c>
      <c r="M352" s="3">
        <v>44.337969999999999</v>
      </c>
      <c r="N352" s="3">
        <v>28.02469</v>
      </c>
      <c r="P352" s="3">
        <v>13.692360000000001</v>
      </c>
      <c r="S352" s="3">
        <v>27.476489999999998</v>
      </c>
      <c r="T352" s="3">
        <v>28.570789999999999</v>
      </c>
      <c r="V352" s="3">
        <v>29.509930000000001</v>
      </c>
      <c r="W352" s="3">
        <v>22.958300000000001</v>
      </c>
      <c r="X352" s="3">
        <v>3.3409170000000001</v>
      </c>
      <c r="AB352" s="3">
        <v>18.62753</v>
      </c>
      <c r="AD352" s="3">
        <v>1.0014500000000001E-2</v>
      </c>
      <c r="AE352" s="3">
        <v>13.62276</v>
      </c>
      <c r="AF352" s="3">
        <v>64.686199999999999</v>
      </c>
      <c r="AI352" s="3">
        <v>34.089230000000001</v>
      </c>
      <c r="AL352" s="3">
        <v>39.379019999999997</v>
      </c>
      <c r="AN352" s="3">
        <v>14.198600000000001</v>
      </c>
      <c r="AO352" s="3">
        <v>11.339549999999999</v>
      </c>
      <c r="AQ352" s="3">
        <v>5.4121350000000001</v>
      </c>
      <c r="AV352" s="3">
        <v>27.67277</v>
      </c>
      <c r="AX352" s="3">
        <v>26.089130000000001</v>
      </c>
    </row>
    <row r="353" spans="1:50" x14ac:dyDescent="0.2">
      <c r="A353" s="3" t="s">
        <v>250</v>
      </c>
      <c r="B353" s="49">
        <v>28550</v>
      </c>
      <c r="D353" s="3">
        <v>34.334600000000002</v>
      </c>
      <c r="F353" s="3">
        <v>29.458169999999999</v>
      </c>
      <c r="G353" s="3">
        <v>50.538510000000002</v>
      </c>
      <c r="M353" s="3">
        <v>44.450589999999998</v>
      </c>
      <c r="N353" s="3">
        <v>28.230779999999999</v>
      </c>
      <c r="P353" s="3">
        <v>13.963710000000001</v>
      </c>
      <c r="S353" s="3">
        <v>27.52778</v>
      </c>
      <c r="T353" s="3">
        <v>28.842300000000002</v>
      </c>
      <c r="V353" s="3">
        <v>29.739070000000002</v>
      </c>
      <c r="W353" s="3">
        <v>23.12321</v>
      </c>
      <c r="X353" s="3">
        <v>3.4585349999999999</v>
      </c>
      <c r="AB353" s="3">
        <v>18.62753</v>
      </c>
      <c r="AD353" s="3">
        <v>1.0309560000000001E-2</v>
      </c>
      <c r="AE353" s="3">
        <v>13.81814</v>
      </c>
      <c r="AF353" s="3">
        <v>65.234290000000001</v>
      </c>
      <c r="AI353" s="3">
        <v>34.204329999999999</v>
      </c>
      <c r="AL353" s="3">
        <v>39.787379999999999</v>
      </c>
      <c r="AN353" s="3">
        <v>14.31495</v>
      </c>
      <c r="AO353" s="3">
        <v>11.43798</v>
      </c>
      <c r="AQ353" s="3">
        <v>5.4285819999999996</v>
      </c>
      <c r="AV353" s="3">
        <v>27.71265</v>
      </c>
      <c r="AX353" s="3">
        <v>26.295529999999999</v>
      </c>
    </row>
    <row r="354" spans="1:50" x14ac:dyDescent="0.2">
      <c r="A354" s="3" t="s">
        <v>251</v>
      </c>
      <c r="B354" s="49">
        <v>28581</v>
      </c>
      <c r="D354" s="3">
        <v>34.476410000000001</v>
      </c>
      <c r="F354" s="3">
        <v>29.469259999999998</v>
      </c>
      <c r="G354" s="3">
        <v>50.596119999999999</v>
      </c>
      <c r="M354" s="3">
        <v>44.646650000000001</v>
      </c>
      <c r="N354" s="3">
        <v>28.324909999999999</v>
      </c>
      <c r="P354" s="3">
        <v>14.324210000000001</v>
      </c>
      <c r="S354" s="3">
        <v>27.690460000000002</v>
      </c>
      <c r="T354" s="3">
        <v>29.169509999999999</v>
      </c>
      <c r="V354" s="3">
        <v>29.997859999999999</v>
      </c>
      <c r="W354" s="3">
        <v>23.506540000000001</v>
      </c>
      <c r="X354" s="3">
        <v>3.5083850000000001</v>
      </c>
      <c r="AB354" s="3">
        <v>18.951419999999999</v>
      </c>
      <c r="AD354" s="3">
        <v>1.102363E-2</v>
      </c>
      <c r="AE354" s="3">
        <v>13.95459</v>
      </c>
      <c r="AF354" s="3">
        <v>66.042209999999997</v>
      </c>
      <c r="AI354" s="3">
        <v>34.391330000000004</v>
      </c>
      <c r="AL354" s="3">
        <v>40.004939999999998</v>
      </c>
      <c r="AN354" s="3">
        <v>14.45514</v>
      </c>
      <c r="AO354" s="3">
        <v>11.57105</v>
      </c>
      <c r="AQ354" s="3">
        <v>5.6563400000000001</v>
      </c>
      <c r="AV354" s="3">
        <v>27.77486</v>
      </c>
      <c r="AX354" s="3">
        <v>26.501930000000002</v>
      </c>
    </row>
    <row r="355" spans="1:50" x14ac:dyDescent="0.2">
      <c r="A355" s="3" t="s">
        <v>252</v>
      </c>
      <c r="B355" s="49">
        <v>28611</v>
      </c>
      <c r="D355" s="3">
        <v>34.649070000000002</v>
      </c>
      <c r="F355" s="3">
        <v>29.79485</v>
      </c>
      <c r="G355" s="3">
        <v>50.520510000000002</v>
      </c>
      <c r="M355" s="3">
        <v>44.737099999999998</v>
      </c>
      <c r="N355" s="3">
        <v>28.63279</v>
      </c>
      <c r="P355" s="3">
        <v>14.46954</v>
      </c>
      <c r="S355" s="3">
        <v>28.269220000000001</v>
      </c>
      <c r="T355" s="3">
        <v>29.457609999999999</v>
      </c>
      <c r="V355" s="3">
        <v>30.219919999999998</v>
      </c>
      <c r="W355" s="3">
        <v>23.610890000000001</v>
      </c>
      <c r="X355" s="3">
        <v>3.5108169999999999</v>
      </c>
      <c r="AB355" s="3">
        <v>18.951419999999999</v>
      </c>
      <c r="AD355" s="3">
        <v>1.13423E-2</v>
      </c>
      <c r="AE355" s="3">
        <v>14.078099999999999</v>
      </c>
      <c r="AF355" s="3">
        <v>66.648359999999997</v>
      </c>
      <c r="AI355" s="3">
        <v>34.464289999999998</v>
      </c>
      <c r="AL355" s="3">
        <v>40.084420000000001</v>
      </c>
      <c r="AN355" s="3">
        <v>14.57638</v>
      </c>
      <c r="AO355" s="3">
        <v>11.674010000000001</v>
      </c>
      <c r="AQ355" s="3">
        <v>5.708475</v>
      </c>
      <c r="AV355" s="3">
        <v>27.966519999999999</v>
      </c>
      <c r="AX355" s="3">
        <v>26.70833</v>
      </c>
    </row>
    <row r="356" spans="1:50" x14ac:dyDescent="0.2">
      <c r="A356" s="3" t="s">
        <v>253</v>
      </c>
      <c r="B356" s="49">
        <v>28642</v>
      </c>
      <c r="D356" s="3">
        <v>34.712130000000002</v>
      </c>
      <c r="F356" s="3">
        <v>29.998390000000001</v>
      </c>
      <c r="G356" s="3">
        <v>50.577770000000001</v>
      </c>
      <c r="M356" s="3">
        <v>44.921349999999997</v>
      </c>
      <c r="N356" s="3">
        <v>28.724299999999999</v>
      </c>
      <c r="P356" s="3">
        <v>14.60563</v>
      </c>
      <c r="S356" s="3">
        <v>28.319430000000001</v>
      </c>
      <c r="T356" s="3">
        <v>29.67474</v>
      </c>
      <c r="V356" s="3">
        <v>30.42437</v>
      </c>
      <c r="W356" s="3">
        <v>23.722359999999998</v>
      </c>
      <c r="X356" s="3">
        <v>3.6040839999999998</v>
      </c>
      <c r="AB356" s="3">
        <v>18.951419999999999</v>
      </c>
      <c r="AD356" s="3">
        <v>1.1643260000000001E-2</v>
      </c>
      <c r="AE356" s="3">
        <v>14.19003</v>
      </c>
      <c r="AF356" s="3">
        <v>66.628140000000002</v>
      </c>
      <c r="AI356" s="3">
        <v>34.57085</v>
      </c>
      <c r="AL356" s="3">
        <v>40.018520000000002</v>
      </c>
      <c r="AN356" s="3">
        <v>14.701930000000001</v>
      </c>
      <c r="AO356" s="3">
        <v>11.79158</v>
      </c>
      <c r="AQ356" s="3">
        <v>5.7824650000000002</v>
      </c>
      <c r="AV356" s="3">
        <v>28.010950000000001</v>
      </c>
      <c r="AX356" s="3">
        <v>26.956009999999999</v>
      </c>
    </row>
    <row r="357" spans="1:50" x14ac:dyDescent="0.2">
      <c r="A357" s="3" t="s">
        <v>254</v>
      </c>
      <c r="B357" s="49">
        <v>28672</v>
      </c>
      <c r="D357" s="3">
        <v>34.899509999999999</v>
      </c>
      <c r="F357" s="3">
        <v>30.266020000000001</v>
      </c>
      <c r="G357" s="3">
        <v>50.572920000000003</v>
      </c>
      <c r="M357" s="3">
        <v>44.849719999999998</v>
      </c>
      <c r="N357" s="3">
        <v>28.754919999999998</v>
      </c>
      <c r="P357" s="3">
        <v>14.812340000000001</v>
      </c>
      <c r="S357" s="3">
        <v>28.37133</v>
      </c>
      <c r="T357" s="3">
        <v>29.97073</v>
      </c>
      <c r="V357" s="3">
        <v>30.578309999999998</v>
      </c>
      <c r="W357" s="3">
        <v>23.884509999999999</v>
      </c>
      <c r="X357" s="3">
        <v>3.556114</v>
      </c>
      <c r="AB357" s="3">
        <v>19.352889999999999</v>
      </c>
      <c r="AD357" s="3">
        <v>1.1961930000000001E-2</v>
      </c>
      <c r="AE357" s="3">
        <v>14.254429999999999</v>
      </c>
      <c r="AF357" s="3">
        <v>66.791659999999993</v>
      </c>
      <c r="AI357" s="3">
        <v>34.595199999999998</v>
      </c>
      <c r="AL357" s="3">
        <v>40.403390000000002</v>
      </c>
      <c r="AN357" s="3">
        <v>14.79557</v>
      </c>
      <c r="AO357" s="3">
        <v>11.85999</v>
      </c>
      <c r="AQ357" s="3">
        <v>5.8978849999999996</v>
      </c>
      <c r="AV357" s="3">
        <v>28.107530000000001</v>
      </c>
      <c r="AX357" s="3">
        <v>27.12114</v>
      </c>
    </row>
    <row r="358" spans="1:50" x14ac:dyDescent="0.2">
      <c r="A358" s="3" t="s">
        <v>255</v>
      </c>
      <c r="B358" s="49">
        <v>28703</v>
      </c>
      <c r="D358" s="3">
        <v>35.040660000000003</v>
      </c>
      <c r="F358" s="3">
        <v>30.435269999999999</v>
      </c>
      <c r="G358" s="3">
        <v>50.704279999999997</v>
      </c>
      <c r="M358" s="3">
        <v>44.822589999999998</v>
      </c>
      <c r="N358" s="3">
        <v>28.911819999999999</v>
      </c>
      <c r="P358" s="3">
        <v>14.946870000000001</v>
      </c>
      <c r="S358" s="3">
        <v>28.563110000000002</v>
      </c>
      <c r="T358" s="3">
        <v>30.143560000000001</v>
      </c>
      <c r="V358" s="3">
        <v>30.715109999999999</v>
      </c>
      <c r="W358" s="3">
        <v>24.115269999999999</v>
      </c>
      <c r="X358" s="3">
        <v>3.5108410000000001</v>
      </c>
      <c r="AB358" s="3">
        <v>19.352889999999999</v>
      </c>
      <c r="AD358" s="3">
        <v>1.2227490000000001E-2</v>
      </c>
      <c r="AE358" s="3">
        <v>14.34014</v>
      </c>
      <c r="AF358" s="3">
        <v>66.668989999999994</v>
      </c>
      <c r="AI358" s="3">
        <v>34.629489999999997</v>
      </c>
      <c r="AL358" s="3">
        <v>40.589320000000001</v>
      </c>
      <c r="AN358" s="3">
        <v>14.87956</v>
      </c>
      <c r="AO358" s="3">
        <v>11.940149999999999</v>
      </c>
      <c r="AQ358" s="3">
        <v>6.0124940000000002</v>
      </c>
      <c r="AV358" s="3">
        <v>28.071190000000001</v>
      </c>
      <c r="AX358" s="3">
        <v>27.286259999999999</v>
      </c>
    </row>
    <row r="359" spans="1:50" x14ac:dyDescent="0.2">
      <c r="A359" s="3" t="s">
        <v>256</v>
      </c>
      <c r="B359" s="49">
        <v>28734</v>
      </c>
      <c r="D359" s="3">
        <v>35.169080000000001</v>
      </c>
      <c r="F359" s="3">
        <v>30.437280000000001</v>
      </c>
      <c r="G359" s="3">
        <v>50.621749999999999</v>
      </c>
      <c r="M359" s="3">
        <v>44.791960000000003</v>
      </c>
      <c r="N359" s="3">
        <v>29.104849999999999</v>
      </c>
      <c r="P359" s="3">
        <v>15.17543</v>
      </c>
      <c r="S359" s="3">
        <v>28.70598</v>
      </c>
      <c r="T359" s="3">
        <v>30.334420000000001</v>
      </c>
      <c r="V359" s="3">
        <v>30.978819999999999</v>
      </c>
      <c r="W359" s="3">
        <v>24.255880000000001</v>
      </c>
      <c r="X359" s="3">
        <v>3.6383450000000002</v>
      </c>
      <c r="AB359" s="3">
        <v>19.352889999999999</v>
      </c>
      <c r="AD359" s="3">
        <v>1.252255E-2</v>
      </c>
      <c r="AE359" s="3">
        <v>14.597479999999999</v>
      </c>
      <c r="AF359" s="3">
        <v>67.315029999999993</v>
      </c>
      <c r="AI359" s="3">
        <v>34.694180000000003</v>
      </c>
      <c r="AL359" s="3">
        <v>40.99192</v>
      </c>
      <c r="AN359" s="3">
        <v>15.03106</v>
      </c>
      <c r="AO359" s="3">
        <v>12.06578</v>
      </c>
      <c r="AQ359" s="3">
        <v>6.0926130000000001</v>
      </c>
      <c r="AV359" s="3">
        <v>28.26802</v>
      </c>
      <c r="AX359" s="3">
        <v>27.575220000000002</v>
      </c>
    </row>
    <row r="360" spans="1:50" x14ac:dyDescent="0.2">
      <c r="A360" s="3" t="s">
        <v>257</v>
      </c>
      <c r="B360" s="49">
        <v>28764</v>
      </c>
      <c r="D360" s="3">
        <v>35.315750000000001</v>
      </c>
      <c r="F360" s="3">
        <v>30.887309999999999</v>
      </c>
      <c r="G360" s="3">
        <v>50.562519999999999</v>
      </c>
      <c r="M360" s="3">
        <v>44.88926</v>
      </c>
      <c r="N360" s="3">
        <v>29.62246</v>
      </c>
      <c r="P360" s="3">
        <v>15.440899999999999</v>
      </c>
      <c r="S360" s="3">
        <v>28.849060000000001</v>
      </c>
      <c r="T360" s="3">
        <v>30.652550000000002</v>
      </c>
      <c r="V360" s="3">
        <v>31.213830000000002</v>
      </c>
      <c r="W360" s="3">
        <v>24.447369999999999</v>
      </c>
      <c r="X360" s="3">
        <v>3.708831</v>
      </c>
      <c r="AB360" s="3">
        <v>19.750050000000002</v>
      </c>
      <c r="AD360" s="3">
        <v>1.337824E-2</v>
      </c>
      <c r="AE360" s="3">
        <v>14.73279</v>
      </c>
      <c r="AF360" s="3">
        <v>67.836609999999993</v>
      </c>
      <c r="AI360" s="3">
        <v>34.913040000000002</v>
      </c>
      <c r="AL360" s="3">
        <v>41.177570000000003</v>
      </c>
      <c r="AN360" s="3">
        <v>15.18186</v>
      </c>
      <c r="AO360" s="3">
        <v>12.207140000000001</v>
      </c>
      <c r="AQ360" s="3">
        <v>6.2577309999999997</v>
      </c>
      <c r="AV360" s="3">
        <v>28.44445</v>
      </c>
      <c r="AX360" s="3">
        <v>27.78162</v>
      </c>
    </row>
    <row r="361" spans="1:50" x14ac:dyDescent="0.2">
      <c r="A361" s="3" t="s">
        <v>258</v>
      </c>
      <c r="B361" s="49">
        <v>28795</v>
      </c>
      <c r="D361" s="3">
        <v>35.42624</v>
      </c>
      <c r="F361" s="3">
        <v>31.07976</v>
      </c>
      <c r="G361" s="3">
        <v>50.547260000000001</v>
      </c>
      <c r="M361" s="3">
        <v>44.986559999999997</v>
      </c>
      <c r="N361" s="3">
        <v>29.881900000000002</v>
      </c>
      <c r="P361" s="3">
        <v>15.68187</v>
      </c>
      <c r="S361" s="3">
        <v>29.104970000000002</v>
      </c>
      <c r="T361" s="3">
        <v>30.835190000000001</v>
      </c>
      <c r="V361" s="3">
        <v>31.38504</v>
      </c>
      <c r="W361" s="3">
        <v>24.542649999999998</v>
      </c>
      <c r="X361" s="3">
        <v>3.7433550000000002</v>
      </c>
      <c r="AB361" s="3">
        <v>19.750050000000002</v>
      </c>
      <c r="AD361" s="3">
        <v>1.3997870000000001E-2</v>
      </c>
      <c r="AE361" s="3">
        <v>14.91126</v>
      </c>
      <c r="AF361" s="3">
        <v>67.645219999999995</v>
      </c>
      <c r="AI361" s="3">
        <v>35.057009999999998</v>
      </c>
      <c r="AL361" s="3">
        <v>41.201189999999997</v>
      </c>
      <c r="AN361" s="3">
        <v>15.283239999999999</v>
      </c>
      <c r="AO361" s="3">
        <v>12.30561</v>
      </c>
      <c r="AQ361" s="3">
        <v>6.4549529999999997</v>
      </c>
      <c r="AV361" s="3">
        <v>28.548269999999999</v>
      </c>
      <c r="AX361" s="3">
        <v>27.988019999999999</v>
      </c>
    </row>
    <row r="362" spans="1:50" x14ac:dyDescent="0.2">
      <c r="A362" s="3" t="s">
        <v>259</v>
      </c>
      <c r="B362" s="49">
        <v>28825</v>
      </c>
      <c r="D362" s="3">
        <v>35.580379999999998</v>
      </c>
      <c r="F362" s="3">
        <v>31.128509999999999</v>
      </c>
      <c r="G362" s="3">
        <v>50.546080000000003</v>
      </c>
      <c r="M362" s="3">
        <v>45.061689999999999</v>
      </c>
      <c r="N362" s="3">
        <v>29.902349999999998</v>
      </c>
      <c r="P362" s="3">
        <v>15.90485</v>
      </c>
      <c r="S362" s="3">
        <v>29.11065</v>
      </c>
      <c r="T362" s="3">
        <v>31.004719999999999</v>
      </c>
      <c r="V362" s="3">
        <v>31.487020000000001</v>
      </c>
      <c r="W362" s="3">
        <v>24.758970000000001</v>
      </c>
      <c r="X362" s="3">
        <v>3.7992210000000002</v>
      </c>
      <c r="AB362" s="3">
        <v>19.750050000000002</v>
      </c>
      <c r="AD362" s="3">
        <v>1.4434570000000001E-2</v>
      </c>
      <c r="AE362" s="3">
        <v>14.97566</v>
      </c>
      <c r="AF362" s="3">
        <v>67.735519999999994</v>
      </c>
      <c r="AI362" s="3">
        <v>35.042380000000001</v>
      </c>
      <c r="AL362" s="3">
        <v>41.132339999999999</v>
      </c>
      <c r="AN362" s="3">
        <v>15.35416</v>
      </c>
      <c r="AO362" s="3">
        <v>12.39176</v>
      </c>
      <c r="AQ362" s="3">
        <v>6.548171</v>
      </c>
      <c r="AV362" s="3">
        <v>28.735009999999999</v>
      </c>
      <c r="AX362" s="3">
        <v>28.07058</v>
      </c>
    </row>
    <row r="363" spans="1:50" x14ac:dyDescent="0.2">
      <c r="A363" s="3" t="s">
        <v>260</v>
      </c>
      <c r="B363" s="49">
        <v>28856</v>
      </c>
      <c r="D363" s="3">
        <v>35.765590000000003</v>
      </c>
      <c r="F363" s="3">
        <v>31.159849999999999</v>
      </c>
      <c r="G363" s="3">
        <v>50.64658</v>
      </c>
      <c r="M363" s="3">
        <v>45.459350000000001</v>
      </c>
      <c r="N363" s="3">
        <v>29.902349999999998</v>
      </c>
      <c r="P363" s="3">
        <v>16.273199999999999</v>
      </c>
      <c r="S363" s="3">
        <v>29.458359999999999</v>
      </c>
      <c r="T363" s="3">
        <v>31.276679999999999</v>
      </c>
      <c r="V363" s="3">
        <v>31.696429999999999</v>
      </c>
      <c r="W363" s="3">
        <v>25.027290000000001</v>
      </c>
      <c r="X363" s="3">
        <v>3.9312299999999998</v>
      </c>
      <c r="AB363" s="3">
        <v>20.355039999999999</v>
      </c>
      <c r="AD363" s="3">
        <v>1.523125E-2</v>
      </c>
      <c r="AE363" s="3">
        <v>15.25104</v>
      </c>
      <c r="AF363" s="3">
        <v>67.659289999999999</v>
      </c>
      <c r="AI363" s="3">
        <v>35.285020000000003</v>
      </c>
      <c r="AL363" s="3">
        <v>40.939019999999999</v>
      </c>
      <c r="AM363" s="3">
        <v>25.93657</v>
      </c>
      <c r="AN363" s="3">
        <v>15.48531</v>
      </c>
      <c r="AO363" s="3">
        <v>12.53063</v>
      </c>
      <c r="AQ363" s="3">
        <v>6.5771790000000001</v>
      </c>
      <c r="AV363" s="3">
        <v>28.86243</v>
      </c>
      <c r="AX363" s="3">
        <v>28.235700000000001</v>
      </c>
    </row>
    <row r="364" spans="1:50" x14ac:dyDescent="0.2">
      <c r="A364" s="3" t="s">
        <v>261</v>
      </c>
      <c r="B364" s="49">
        <v>28887</v>
      </c>
      <c r="D364" s="3">
        <v>35.853900000000003</v>
      </c>
      <c r="F364" s="3">
        <v>31.52703</v>
      </c>
      <c r="G364" s="3">
        <v>50.921680000000002</v>
      </c>
      <c r="M364" s="3">
        <v>45.452770000000001</v>
      </c>
      <c r="N364" s="3">
        <v>29.998069999999998</v>
      </c>
      <c r="P364" s="3">
        <v>16.495799999999999</v>
      </c>
      <c r="S364" s="3">
        <v>29.77805</v>
      </c>
      <c r="T364" s="3">
        <v>31.46998</v>
      </c>
      <c r="V364" s="3">
        <v>31.90924</v>
      </c>
      <c r="W364" s="3">
        <v>25.25855</v>
      </c>
      <c r="X364" s="3">
        <v>3.8600099999999999</v>
      </c>
      <c r="AB364" s="3">
        <v>20.355039999999999</v>
      </c>
      <c r="AD364" s="3">
        <v>1.554402E-2</v>
      </c>
      <c r="AE364" s="3">
        <v>15.477370000000001</v>
      </c>
      <c r="AF364" s="3">
        <v>67.520769999999999</v>
      </c>
      <c r="AI364" s="3">
        <v>35.442999999999998</v>
      </c>
      <c r="AL364" s="3">
        <v>41.114109999999997</v>
      </c>
      <c r="AM364" s="3">
        <v>26.06522</v>
      </c>
      <c r="AN364" s="3">
        <v>15.600239999999999</v>
      </c>
      <c r="AO364" s="3">
        <v>12.615640000000001</v>
      </c>
      <c r="AQ364" s="3">
        <v>6.6395799999999996</v>
      </c>
      <c r="AV364" s="3">
        <v>29.1069</v>
      </c>
      <c r="AX364" s="3">
        <v>28.48338</v>
      </c>
    </row>
    <row r="365" spans="1:50" x14ac:dyDescent="0.2">
      <c r="A365" s="3" t="s">
        <v>262</v>
      </c>
      <c r="B365" s="49">
        <v>28915</v>
      </c>
      <c r="D365" s="3">
        <v>35.876130000000003</v>
      </c>
      <c r="F365" s="3">
        <v>31.77506</v>
      </c>
      <c r="G365" s="3">
        <v>50.973210000000002</v>
      </c>
      <c r="M365" s="3">
        <v>45.628689999999999</v>
      </c>
      <c r="N365" s="3">
        <v>30.2303</v>
      </c>
      <c r="P365" s="3">
        <v>16.708220000000001</v>
      </c>
      <c r="S365" s="3">
        <v>29.955269999999999</v>
      </c>
      <c r="T365" s="3">
        <v>31.75347</v>
      </c>
      <c r="V365" s="3">
        <v>32.16854</v>
      </c>
      <c r="W365" s="3">
        <v>25.44116</v>
      </c>
      <c r="X365" s="3">
        <v>4.032915</v>
      </c>
      <c r="AB365" s="3">
        <v>20.355039999999999</v>
      </c>
      <c r="AD365" s="3">
        <v>1.624037E-2</v>
      </c>
      <c r="AE365" s="3">
        <v>15.67765</v>
      </c>
      <c r="AF365" s="3">
        <v>68.006420000000006</v>
      </c>
      <c r="AI365" s="3">
        <v>35.456200000000003</v>
      </c>
      <c r="AL365" s="3">
        <v>41.519500000000001</v>
      </c>
      <c r="AM365" s="3">
        <v>26.13101</v>
      </c>
      <c r="AN365" s="3">
        <v>15.73724</v>
      </c>
      <c r="AO365" s="3">
        <v>12.72429</v>
      </c>
      <c r="AQ365" s="3">
        <v>6.6995269999999998</v>
      </c>
      <c r="AV365" s="3">
        <v>29.23518</v>
      </c>
      <c r="AX365" s="3">
        <v>28.731069999999999</v>
      </c>
    </row>
    <row r="366" spans="1:50" x14ac:dyDescent="0.2">
      <c r="A366" s="3" t="s">
        <v>263</v>
      </c>
      <c r="B366" s="49">
        <v>28946</v>
      </c>
      <c r="D366" s="3">
        <v>36.021079999999998</v>
      </c>
      <c r="F366" s="3">
        <v>32.003810000000001</v>
      </c>
      <c r="G366" s="3">
        <v>51.10622</v>
      </c>
      <c r="M366" s="3">
        <v>45.790759999999999</v>
      </c>
      <c r="N366" s="3">
        <v>30.344180000000001</v>
      </c>
      <c r="P366" s="3">
        <v>17.031369999999999</v>
      </c>
      <c r="S366" s="3">
        <v>30.29055</v>
      </c>
      <c r="T366" s="3">
        <v>32.098680000000002</v>
      </c>
      <c r="V366" s="3">
        <v>32.467039999999997</v>
      </c>
      <c r="W366" s="3">
        <v>25.952719999999999</v>
      </c>
      <c r="X366" s="3">
        <v>4.0903850000000004</v>
      </c>
      <c r="AB366" s="3">
        <v>21.128050000000002</v>
      </c>
      <c r="AD366" s="3">
        <v>1.788093E-2</v>
      </c>
      <c r="AE366" s="3">
        <v>15.879659999999999</v>
      </c>
      <c r="AF366" s="3">
        <v>68.61721</v>
      </c>
      <c r="AI366" s="3">
        <v>35.556800000000003</v>
      </c>
      <c r="AL366" s="3">
        <v>41.864159999999998</v>
      </c>
      <c r="AM366" s="3">
        <v>26.248539999999998</v>
      </c>
      <c r="AN366" s="3">
        <v>15.906180000000001</v>
      </c>
      <c r="AO366" s="3">
        <v>12.881819999999999</v>
      </c>
      <c r="AQ366" s="3">
        <v>6.7992049999999997</v>
      </c>
      <c r="AV366" s="3">
        <v>29.446870000000001</v>
      </c>
      <c r="AX366" s="3">
        <v>28.978750000000002</v>
      </c>
    </row>
    <row r="367" spans="1:50" x14ac:dyDescent="0.2">
      <c r="A367" s="3" t="s">
        <v>264</v>
      </c>
      <c r="B367" s="49">
        <v>28976</v>
      </c>
      <c r="D367" s="3">
        <v>36.11712</v>
      </c>
      <c r="F367" s="3">
        <v>32.392980000000001</v>
      </c>
      <c r="G367" s="3">
        <v>51.12247</v>
      </c>
      <c r="M367" s="3">
        <v>45.89141</v>
      </c>
      <c r="N367" s="3">
        <v>30.92483</v>
      </c>
      <c r="P367" s="3">
        <v>17.277180000000001</v>
      </c>
      <c r="S367" s="3">
        <v>30.425160000000002</v>
      </c>
      <c r="T367" s="3">
        <v>32.377450000000003</v>
      </c>
      <c r="V367" s="3">
        <v>32.724229999999999</v>
      </c>
      <c r="W367" s="3">
        <v>26.131889999999999</v>
      </c>
      <c r="X367" s="3">
        <v>4.1174970000000002</v>
      </c>
      <c r="AB367" s="3">
        <v>21.128050000000002</v>
      </c>
      <c r="AD367" s="3">
        <v>1.886645E-2</v>
      </c>
      <c r="AE367" s="3">
        <v>16.05068</v>
      </c>
      <c r="AF367" s="3">
        <v>69.166799999999995</v>
      </c>
      <c r="AI367" s="3">
        <v>35.725090000000002</v>
      </c>
      <c r="AL367" s="3">
        <v>41.900570000000002</v>
      </c>
      <c r="AM367" s="3">
        <v>26.32011</v>
      </c>
      <c r="AN367" s="3">
        <v>16.05104</v>
      </c>
      <c r="AO367" s="3">
        <v>12.99649</v>
      </c>
      <c r="AQ367" s="3">
        <v>6.8888350000000003</v>
      </c>
      <c r="AV367" s="3">
        <v>29.613330000000001</v>
      </c>
      <c r="AX367" s="3">
        <v>29.226430000000001</v>
      </c>
    </row>
    <row r="368" spans="1:50" x14ac:dyDescent="0.2">
      <c r="A368" s="3" t="s">
        <v>265</v>
      </c>
      <c r="B368" s="49">
        <v>29007</v>
      </c>
      <c r="D368" s="3">
        <v>36.219459999999998</v>
      </c>
      <c r="F368" s="3">
        <v>32.597880000000004</v>
      </c>
      <c r="G368" s="3">
        <v>51.325650000000003</v>
      </c>
      <c r="M368" s="3">
        <v>46.045459999999999</v>
      </c>
      <c r="N368" s="3">
        <v>31.110569999999999</v>
      </c>
      <c r="P368" s="3">
        <v>17.459990000000001</v>
      </c>
      <c r="S368" s="3">
        <v>30.56897</v>
      </c>
      <c r="T368" s="3">
        <v>32.639029999999998</v>
      </c>
      <c r="V368" s="3">
        <v>32.94661</v>
      </c>
      <c r="W368" s="3">
        <v>26.388750000000002</v>
      </c>
      <c r="X368" s="3">
        <v>4.2843039999999997</v>
      </c>
      <c r="AB368" s="3">
        <v>21.128050000000002</v>
      </c>
      <c r="AD368" s="3">
        <v>1.9910980000000002E-2</v>
      </c>
      <c r="AE368" s="3">
        <v>16.173999999999999</v>
      </c>
      <c r="AF368" s="3">
        <v>69.216390000000004</v>
      </c>
      <c r="AI368" s="3">
        <v>35.841839999999998</v>
      </c>
      <c r="AL368" s="3">
        <v>41.911749999999998</v>
      </c>
      <c r="AM368" s="3">
        <v>26.402899999999999</v>
      </c>
      <c r="AN368" s="3">
        <v>16.207809999999998</v>
      </c>
      <c r="AO368" s="3">
        <v>13.17118</v>
      </c>
      <c r="AQ368" s="3">
        <v>6.9187209999999997</v>
      </c>
      <c r="AV368" s="3">
        <v>29.683589999999999</v>
      </c>
      <c r="AX368" s="3">
        <v>29.47411</v>
      </c>
    </row>
    <row r="369" spans="1:50" x14ac:dyDescent="0.2">
      <c r="A369" s="3" t="s">
        <v>266</v>
      </c>
      <c r="B369" s="49">
        <v>29037</v>
      </c>
      <c r="D369" s="3">
        <v>36.421219999999998</v>
      </c>
      <c r="F369" s="3">
        <v>32.756230000000002</v>
      </c>
      <c r="G369" s="3">
        <v>51.426049999999996</v>
      </c>
      <c r="M369" s="3">
        <v>46.248660000000001</v>
      </c>
      <c r="N369" s="3">
        <v>31.494610000000002</v>
      </c>
      <c r="P369" s="3">
        <v>17.50348</v>
      </c>
      <c r="S369" s="3">
        <v>30.696000000000002</v>
      </c>
      <c r="T369" s="3">
        <v>33.08155</v>
      </c>
      <c r="V369" s="3">
        <v>33.282179999999997</v>
      </c>
      <c r="W369" s="3">
        <v>27.549710000000001</v>
      </c>
      <c r="X369" s="3">
        <v>4.312011</v>
      </c>
      <c r="AB369" s="3">
        <v>21.989830000000001</v>
      </c>
      <c r="AD369" s="3">
        <v>2.1144349999999999E-2</v>
      </c>
      <c r="AE369" s="3">
        <v>16.327929999999999</v>
      </c>
      <c r="AF369" s="3">
        <v>69.486339999999998</v>
      </c>
      <c r="AI369" s="3">
        <v>35.973840000000003</v>
      </c>
      <c r="AL369" s="3">
        <v>42.096580000000003</v>
      </c>
      <c r="AM369" s="3">
        <v>26.53426</v>
      </c>
      <c r="AN369" s="3">
        <v>16.398109999999999</v>
      </c>
      <c r="AO369" s="3">
        <v>13.3888</v>
      </c>
      <c r="AQ369" s="3">
        <v>6.8973490000000002</v>
      </c>
      <c r="AV369" s="3">
        <v>29.812280000000001</v>
      </c>
      <c r="AX369" s="3">
        <v>29.721789999999999</v>
      </c>
    </row>
    <row r="370" spans="1:50" x14ac:dyDescent="0.2">
      <c r="A370" s="3" t="s">
        <v>267</v>
      </c>
      <c r="B370" s="49">
        <v>29068</v>
      </c>
      <c r="D370" s="3">
        <v>36.453919999999997</v>
      </c>
      <c r="F370" s="3">
        <v>32.912709999999997</v>
      </c>
      <c r="G370" s="3">
        <v>51.583089999999999</v>
      </c>
      <c r="M370" s="3">
        <v>46.391919999999999</v>
      </c>
      <c r="N370" s="3">
        <v>31.985880000000002</v>
      </c>
      <c r="P370" s="3">
        <v>17.663319999999999</v>
      </c>
      <c r="S370" s="3">
        <v>30.87576</v>
      </c>
      <c r="T370" s="3">
        <v>33.34863</v>
      </c>
      <c r="V370" s="3">
        <v>33.483060000000002</v>
      </c>
      <c r="W370" s="3">
        <v>27.78051</v>
      </c>
      <c r="X370" s="3">
        <v>4.2574249999999996</v>
      </c>
      <c r="AB370" s="3">
        <v>21.989830000000001</v>
      </c>
      <c r="AD370" s="3">
        <v>2.22656E-2</v>
      </c>
      <c r="AE370" s="3">
        <v>16.507459999999998</v>
      </c>
      <c r="AF370" s="3">
        <v>68.724320000000006</v>
      </c>
      <c r="AI370" s="3">
        <v>36.065510000000003</v>
      </c>
      <c r="AL370" s="3">
        <v>42.232689999999998</v>
      </c>
      <c r="AM370" s="3">
        <v>26.56869</v>
      </c>
      <c r="AN370" s="3">
        <v>16.514559999999999</v>
      </c>
      <c r="AO370" s="3">
        <v>13.511200000000001</v>
      </c>
      <c r="AQ370" s="3">
        <v>6.9931859999999997</v>
      </c>
      <c r="AV370" s="3">
        <v>30.08652</v>
      </c>
      <c r="AX370" s="3">
        <v>30.010750000000002</v>
      </c>
    </row>
    <row r="371" spans="1:50" x14ac:dyDescent="0.2">
      <c r="A371" s="3" t="s">
        <v>268</v>
      </c>
      <c r="B371" s="49">
        <v>29099</v>
      </c>
      <c r="D371" s="3">
        <v>36.477020000000003</v>
      </c>
      <c r="F371" s="3">
        <v>33.216079999999998</v>
      </c>
      <c r="G371" s="3">
        <v>51.713099999999997</v>
      </c>
      <c r="M371" s="3">
        <v>46.675080000000001</v>
      </c>
      <c r="N371" s="3">
        <v>32.354750000000003</v>
      </c>
      <c r="P371" s="3">
        <v>18.010200000000001</v>
      </c>
      <c r="S371" s="3">
        <v>31.047419999999999</v>
      </c>
      <c r="T371" s="3">
        <v>33.613439999999997</v>
      </c>
      <c r="V371" s="3">
        <v>33.852409999999999</v>
      </c>
      <c r="W371" s="3">
        <v>28.110720000000001</v>
      </c>
      <c r="X371" s="3">
        <v>4.3716670000000004</v>
      </c>
      <c r="AB371" s="3">
        <v>21.989830000000001</v>
      </c>
      <c r="AD371" s="3">
        <v>2.3906159999999999E-2</v>
      </c>
      <c r="AE371" s="3">
        <v>16.94605</v>
      </c>
      <c r="AF371" s="3">
        <v>69.663659999999993</v>
      </c>
      <c r="AI371" s="3">
        <v>36.241630000000001</v>
      </c>
      <c r="AL371" s="3">
        <v>42.657339999999998</v>
      </c>
      <c r="AM371" s="3">
        <v>26.76606</v>
      </c>
      <c r="AN371" s="3">
        <v>16.70665</v>
      </c>
      <c r="AO371" s="3">
        <v>13.69628</v>
      </c>
      <c r="AQ371" s="3">
        <v>7.178833</v>
      </c>
      <c r="AV371" s="3">
        <v>30.231339999999999</v>
      </c>
      <c r="AX371" s="3">
        <v>30.299720000000001</v>
      </c>
    </row>
    <row r="372" spans="1:50" x14ac:dyDescent="0.2">
      <c r="A372" s="3" t="s">
        <v>269</v>
      </c>
      <c r="B372" s="49">
        <v>29129</v>
      </c>
      <c r="D372" s="3">
        <v>36.576140000000002</v>
      </c>
      <c r="F372" s="3">
        <v>33.449089999999998</v>
      </c>
      <c r="G372" s="3">
        <v>51.731400000000001</v>
      </c>
      <c r="M372" s="3">
        <v>46.768729999999998</v>
      </c>
      <c r="N372" s="3">
        <v>32.54927</v>
      </c>
      <c r="P372" s="3">
        <v>18.358720000000002</v>
      </c>
      <c r="S372" s="3">
        <v>31.183530000000001</v>
      </c>
      <c r="T372" s="3">
        <v>34.044130000000003</v>
      </c>
      <c r="V372" s="3">
        <v>34.181240000000003</v>
      </c>
      <c r="W372" s="3">
        <v>28.427520000000001</v>
      </c>
      <c r="X372" s="3">
        <v>4.5252509999999999</v>
      </c>
      <c r="AB372" s="3">
        <v>22.9129</v>
      </c>
      <c r="AD372" s="3">
        <v>2.5983409999999998E-2</v>
      </c>
      <c r="AE372" s="3">
        <v>17.312290000000001</v>
      </c>
      <c r="AF372" s="3">
        <v>70.240030000000004</v>
      </c>
      <c r="AI372" s="3">
        <v>36.529690000000002</v>
      </c>
      <c r="AL372" s="3">
        <v>43.08278</v>
      </c>
      <c r="AM372" s="3">
        <v>26.972149999999999</v>
      </c>
      <c r="AN372" s="3">
        <v>16.917169999999999</v>
      </c>
      <c r="AO372" s="3">
        <v>13.913650000000001</v>
      </c>
      <c r="AQ372" s="3">
        <v>7.366835</v>
      </c>
      <c r="AV372" s="3">
        <v>30.605820000000001</v>
      </c>
      <c r="AX372" s="3">
        <v>30.58868</v>
      </c>
    </row>
    <row r="373" spans="1:50" x14ac:dyDescent="0.2">
      <c r="A373" s="3" t="s">
        <v>270</v>
      </c>
      <c r="B373" s="49">
        <v>29160</v>
      </c>
      <c r="D373" s="3">
        <v>36.676960000000001</v>
      </c>
      <c r="F373" s="3">
        <v>33.834319999999998</v>
      </c>
      <c r="G373" s="3">
        <v>51.91151</v>
      </c>
      <c r="M373" s="3">
        <v>47.033209999999997</v>
      </c>
      <c r="N373" s="3">
        <v>32.851419999999997</v>
      </c>
      <c r="P373" s="3">
        <v>18.57526</v>
      </c>
      <c r="S373" s="3">
        <v>31.414370000000002</v>
      </c>
      <c r="T373" s="3">
        <v>34.300629999999998</v>
      </c>
      <c r="V373" s="3">
        <v>34.500720000000001</v>
      </c>
      <c r="W373" s="3">
        <v>28.63109</v>
      </c>
      <c r="X373" s="3">
        <v>4.5865999999999998</v>
      </c>
      <c r="AB373" s="3">
        <v>22.9129</v>
      </c>
      <c r="AD373" s="3">
        <v>2.776561E-2</v>
      </c>
      <c r="AE373" s="3">
        <v>17.580459999999999</v>
      </c>
      <c r="AF373" s="3">
        <v>70.197810000000004</v>
      </c>
      <c r="AI373" s="3">
        <v>36.814540000000001</v>
      </c>
      <c r="AL373" s="3">
        <v>43.129440000000002</v>
      </c>
      <c r="AM373" s="3">
        <v>27.166370000000001</v>
      </c>
      <c r="AN373" s="3">
        <v>17.110330000000001</v>
      </c>
      <c r="AO373" s="3">
        <v>14.10258</v>
      </c>
      <c r="AQ373" s="3">
        <v>7.4379910000000002</v>
      </c>
      <c r="AV373" s="3">
        <v>31.12265</v>
      </c>
      <c r="AX373" s="3">
        <v>30.9602</v>
      </c>
    </row>
    <row r="374" spans="1:50" x14ac:dyDescent="0.2">
      <c r="A374" s="3" t="s">
        <v>271</v>
      </c>
      <c r="B374" s="49">
        <v>29190</v>
      </c>
      <c r="D374" s="3">
        <v>36.772289999999998</v>
      </c>
      <c r="F374" s="3">
        <v>33.919370000000001</v>
      </c>
      <c r="G374" s="3">
        <v>51.965730000000001</v>
      </c>
      <c r="M374" s="3">
        <v>47.113439999999997</v>
      </c>
      <c r="N374" s="3">
        <v>32.862650000000002</v>
      </c>
      <c r="P374" s="3">
        <v>18.826799999999999</v>
      </c>
      <c r="S374" s="3">
        <v>31.578690000000002</v>
      </c>
      <c r="T374" s="3">
        <v>34.542679999999997</v>
      </c>
      <c r="V374" s="3">
        <v>34.767879999999998</v>
      </c>
      <c r="W374" s="3">
        <v>28.787890000000001</v>
      </c>
      <c r="X374" s="3">
        <v>4.6941839999999999</v>
      </c>
      <c r="AB374" s="3">
        <v>22.9129</v>
      </c>
      <c r="AD374" s="3">
        <v>2.9500579999999998E-2</v>
      </c>
      <c r="AE374" s="3">
        <v>17.929770000000001</v>
      </c>
      <c r="AF374" s="3">
        <v>70.385930000000002</v>
      </c>
      <c r="AI374" s="3">
        <v>36.963569999999997</v>
      </c>
      <c r="AL374" s="3">
        <v>43.157319999999999</v>
      </c>
      <c r="AM374" s="3">
        <v>27.160810000000001</v>
      </c>
      <c r="AN374" s="3">
        <v>17.269639999999999</v>
      </c>
      <c r="AO374" s="3">
        <v>14.25038</v>
      </c>
      <c r="AQ374" s="3">
        <v>7.5021009999999997</v>
      </c>
      <c r="AV374" s="3">
        <v>31.440729999999999</v>
      </c>
      <c r="AX374" s="3">
        <v>31.24916</v>
      </c>
    </row>
    <row r="375" spans="1:50" x14ac:dyDescent="0.2">
      <c r="A375" s="3" t="s">
        <v>272</v>
      </c>
      <c r="B375" s="49">
        <v>29221</v>
      </c>
      <c r="D375" s="3">
        <v>36.994819999999997</v>
      </c>
      <c r="F375" s="3">
        <v>34.0627</v>
      </c>
      <c r="G375" s="3">
        <v>52.058759999999999</v>
      </c>
      <c r="M375" s="3">
        <v>47.214080000000003</v>
      </c>
      <c r="N375" s="3">
        <v>33.07094</v>
      </c>
      <c r="P375" s="3">
        <v>19.047429999999999</v>
      </c>
      <c r="S375" s="3">
        <v>31.97494</v>
      </c>
      <c r="T375" s="3">
        <v>35.060670000000002</v>
      </c>
      <c r="V375" s="3">
        <v>35.206690000000002</v>
      </c>
      <c r="W375" s="3">
        <v>29.61975</v>
      </c>
      <c r="X375" s="3">
        <v>4.8084360000000004</v>
      </c>
      <c r="AB375" s="3">
        <v>23.80706</v>
      </c>
      <c r="AD375" s="3">
        <v>3.1495219999999997E-2</v>
      </c>
      <c r="AE375" s="3">
        <v>18.502490000000002</v>
      </c>
      <c r="AF375" s="3">
        <v>70.83811</v>
      </c>
      <c r="AI375" s="3">
        <v>37.102409999999999</v>
      </c>
      <c r="AK375" s="3">
        <v>6.2461450000000002E-2</v>
      </c>
      <c r="AL375" s="3">
        <v>43.12762</v>
      </c>
      <c r="AM375" s="3">
        <v>27.538530000000002</v>
      </c>
      <c r="AN375" s="3">
        <v>17.55508</v>
      </c>
      <c r="AO375" s="3">
        <v>14.515079999999999</v>
      </c>
      <c r="AQ375" s="3">
        <v>7.5686989999999996</v>
      </c>
      <c r="AV375" s="3">
        <v>32.14358</v>
      </c>
      <c r="AX375" s="3">
        <v>31.62068</v>
      </c>
    </row>
    <row r="376" spans="1:50" x14ac:dyDescent="0.2">
      <c r="A376" s="3" t="s">
        <v>273</v>
      </c>
      <c r="B376" s="49">
        <v>29252</v>
      </c>
      <c r="D376" s="3">
        <v>37.137630000000001</v>
      </c>
      <c r="F376" s="3">
        <v>34.467210000000001</v>
      </c>
      <c r="G376" s="3">
        <v>52.271720000000002</v>
      </c>
      <c r="M376" s="3">
        <v>47.908329999999999</v>
      </c>
      <c r="N376" s="3">
        <v>33.336669999999998</v>
      </c>
      <c r="P376" s="3">
        <v>19.31034</v>
      </c>
      <c r="S376" s="3">
        <v>32.399380000000001</v>
      </c>
      <c r="T376" s="3">
        <v>35.432180000000002</v>
      </c>
      <c r="V376" s="3">
        <v>35.565460000000002</v>
      </c>
      <c r="W376" s="3">
        <v>30.11515</v>
      </c>
      <c r="X376" s="3">
        <v>4.7595219999999996</v>
      </c>
      <c r="AB376" s="3">
        <v>23.80706</v>
      </c>
      <c r="AD376" s="3">
        <v>3.2693199999999999E-2</v>
      </c>
      <c r="AE376" s="3">
        <v>18.827639999999999</v>
      </c>
      <c r="AF376" s="3">
        <v>70.916259999999994</v>
      </c>
      <c r="AI376" s="3">
        <v>37.259869999999999</v>
      </c>
      <c r="AK376" s="3">
        <v>6.4032710000000007E-2</v>
      </c>
      <c r="AL376" s="3">
        <v>43.594679999999997</v>
      </c>
      <c r="AM376" s="3">
        <v>28.119219999999999</v>
      </c>
      <c r="AN376" s="3">
        <v>17.78359</v>
      </c>
      <c r="AO376" s="3">
        <v>14.776350000000001</v>
      </c>
      <c r="AQ376" s="3">
        <v>7.7034339999999997</v>
      </c>
      <c r="AV376" s="3">
        <v>32.615180000000002</v>
      </c>
      <c r="AX376" s="3">
        <v>31.909649999999999</v>
      </c>
    </row>
    <row r="377" spans="1:50" x14ac:dyDescent="0.2">
      <c r="A377" s="3" t="s">
        <v>274</v>
      </c>
      <c r="B377" s="49">
        <v>29281</v>
      </c>
      <c r="D377" s="3">
        <v>37.203690000000002</v>
      </c>
      <c r="F377" s="3">
        <v>34.638660000000002</v>
      </c>
      <c r="G377" s="3">
        <v>52.434829999999998</v>
      </c>
      <c r="M377" s="3">
        <v>48.13006</v>
      </c>
      <c r="N377" s="3">
        <v>33.68535</v>
      </c>
      <c r="P377" s="3">
        <v>19.504760000000001</v>
      </c>
      <c r="S377" s="3">
        <v>32.681019999999997</v>
      </c>
      <c r="T377" s="3">
        <v>35.846800000000002</v>
      </c>
      <c r="V377" s="3">
        <v>35.936</v>
      </c>
      <c r="W377" s="3">
        <v>30.485910000000001</v>
      </c>
      <c r="X377" s="3">
        <v>4.9158350000000004</v>
      </c>
      <c r="AB377" s="3">
        <v>23.80706</v>
      </c>
      <c r="AD377" s="3">
        <v>3.3761329999999999E-2</v>
      </c>
      <c r="AE377" s="3">
        <v>19.045269999999999</v>
      </c>
      <c r="AF377" s="3">
        <v>71.324179999999998</v>
      </c>
      <c r="AI377" s="3">
        <v>37.423340000000003</v>
      </c>
      <c r="AK377" s="3">
        <v>6.5453880000000006E-2</v>
      </c>
      <c r="AL377" s="3">
        <v>44.04166</v>
      </c>
      <c r="AM377" s="3">
        <v>28.531179999999999</v>
      </c>
      <c r="AN377" s="3">
        <v>17.97991</v>
      </c>
      <c r="AO377" s="3">
        <v>14.917630000000001</v>
      </c>
      <c r="AQ377" s="3">
        <v>7.7791519999999998</v>
      </c>
      <c r="AV377" s="3">
        <v>32.787689999999998</v>
      </c>
      <c r="AX377" s="3">
        <v>32.322450000000003</v>
      </c>
    </row>
    <row r="378" spans="1:50" x14ac:dyDescent="0.2">
      <c r="A378" s="3" t="s">
        <v>275</v>
      </c>
      <c r="B378" s="49">
        <v>29312</v>
      </c>
      <c r="D378" s="3">
        <v>37.302849999999999</v>
      </c>
      <c r="F378" s="3">
        <v>34.921439999999997</v>
      </c>
      <c r="G378" s="3">
        <v>52.592260000000003</v>
      </c>
      <c r="M378" s="3">
        <v>48.363759999999999</v>
      </c>
      <c r="N378" s="3">
        <v>33.885590000000001</v>
      </c>
      <c r="P378" s="3">
        <v>19.796690000000002</v>
      </c>
      <c r="S378" s="3">
        <v>33.173360000000002</v>
      </c>
      <c r="T378" s="3">
        <v>36.369680000000002</v>
      </c>
      <c r="V378" s="3">
        <v>36.428640000000001</v>
      </c>
      <c r="W378" s="3">
        <v>31.674900000000001</v>
      </c>
      <c r="X378" s="3">
        <v>5.091755</v>
      </c>
      <c r="AB378" s="3">
        <v>25.687249999999999</v>
      </c>
      <c r="AD378" s="3">
        <v>3.72667E-2</v>
      </c>
      <c r="AE378" s="3">
        <v>19.392119999999998</v>
      </c>
      <c r="AF378" s="3">
        <v>72.04522</v>
      </c>
      <c r="AI378" s="3">
        <v>37.637949999999996</v>
      </c>
      <c r="AK378" s="3">
        <v>6.6579600000000003E-2</v>
      </c>
      <c r="AL378" s="3">
        <v>44.556640000000002</v>
      </c>
      <c r="AM378" s="3">
        <v>28.633900000000001</v>
      </c>
      <c r="AN378" s="3">
        <v>18.236270000000001</v>
      </c>
      <c r="AO378" s="3">
        <v>15.15779</v>
      </c>
      <c r="AQ378" s="3">
        <v>7.829904</v>
      </c>
      <c r="AV378" s="3">
        <v>33.034619999999997</v>
      </c>
      <c r="AX378" s="3">
        <v>32.735250000000001</v>
      </c>
    </row>
    <row r="379" spans="1:50" x14ac:dyDescent="0.2">
      <c r="A379" s="3" t="s">
        <v>276</v>
      </c>
      <c r="B379" s="49">
        <v>29342</v>
      </c>
      <c r="D379" s="3">
        <v>37.477939999999997</v>
      </c>
      <c r="F379" s="3">
        <v>35.350839999999998</v>
      </c>
      <c r="G379" s="3">
        <v>52.817030000000003</v>
      </c>
      <c r="M379" s="3">
        <v>48.563459999999999</v>
      </c>
      <c r="N379" s="3">
        <v>34.393749999999997</v>
      </c>
      <c r="P379" s="3">
        <v>20.04233</v>
      </c>
      <c r="S379" s="3">
        <v>33.314610000000002</v>
      </c>
      <c r="T379" s="3">
        <v>36.637169999999998</v>
      </c>
      <c r="V379" s="3">
        <v>36.804850000000002</v>
      </c>
      <c r="W379" s="3">
        <v>31.891929999999999</v>
      </c>
      <c r="X379" s="3">
        <v>5.1391989999999996</v>
      </c>
      <c r="AB379" s="3">
        <v>25.687249999999999</v>
      </c>
      <c r="AD379" s="3">
        <v>4.0311769999999997E-2</v>
      </c>
      <c r="AE379" s="3">
        <v>19.626090000000001</v>
      </c>
      <c r="AF379" s="3">
        <v>73.081969999999998</v>
      </c>
      <c r="AI379" s="3">
        <v>37.873280000000001</v>
      </c>
      <c r="AK379" s="3">
        <v>6.767099E-2</v>
      </c>
      <c r="AL379" s="3">
        <v>44.644019999999998</v>
      </c>
      <c r="AM379" s="3">
        <v>28.866160000000001</v>
      </c>
      <c r="AN379" s="3">
        <v>18.409320000000001</v>
      </c>
      <c r="AO379" s="3">
        <v>15.24029</v>
      </c>
      <c r="AQ379" s="3">
        <v>7.8983059999999998</v>
      </c>
      <c r="AV379" s="3">
        <v>33.132840000000002</v>
      </c>
      <c r="AX379" s="3">
        <v>33.106769999999997</v>
      </c>
    </row>
    <row r="380" spans="1:50" x14ac:dyDescent="0.2">
      <c r="A380" s="3" t="s">
        <v>277</v>
      </c>
      <c r="B380" s="49">
        <v>29373</v>
      </c>
      <c r="D380" s="3">
        <v>37.641649999999998</v>
      </c>
      <c r="F380" s="3">
        <v>35.672499999999999</v>
      </c>
      <c r="G380" s="3">
        <v>52.892749999999999</v>
      </c>
      <c r="M380" s="3">
        <v>48.718530000000001</v>
      </c>
      <c r="N380" s="3">
        <v>34.470849999999999</v>
      </c>
      <c r="P380" s="3">
        <v>20.156130000000001</v>
      </c>
      <c r="S380" s="3">
        <v>33.463560000000001</v>
      </c>
      <c r="T380" s="3">
        <v>36.910769999999999</v>
      </c>
      <c r="V380" s="3">
        <v>37.123649999999998</v>
      </c>
      <c r="W380" s="3">
        <v>32.01979</v>
      </c>
      <c r="X380" s="3">
        <v>5.3137030000000003</v>
      </c>
      <c r="AB380" s="3">
        <v>25.687249999999999</v>
      </c>
      <c r="AD380" s="3">
        <v>4.2642779999999998E-2</v>
      </c>
      <c r="AE380" s="3">
        <v>19.784549999999999</v>
      </c>
      <c r="AF380" s="3">
        <v>73.647130000000004</v>
      </c>
      <c r="AI380" s="3">
        <v>37.935650000000003</v>
      </c>
      <c r="AK380" s="3">
        <v>6.8710350000000003E-2</v>
      </c>
      <c r="AL380" s="3">
        <v>44.625300000000003</v>
      </c>
      <c r="AM380" s="3">
        <v>29.306319999999999</v>
      </c>
      <c r="AN380" s="3">
        <v>18.604659999999999</v>
      </c>
      <c r="AO380" s="3">
        <v>15.40371</v>
      </c>
      <c r="AQ380" s="3">
        <v>7.9838769999999997</v>
      </c>
      <c r="AV380" s="3">
        <v>33.175409999999999</v>
      </c>
      <c r="AX380" s="3">
        <v>33.478290000000001</v>
      </c>
    </row>
    <row r="381" spans="1:50" x14ac:dyDescent="0.2">
      <c r="A381" s="3" t="s">
        <v>278</v>
      </c>
      <c r="B381" s="49">
        <v>29403</v>
      </c>
      <c r="D381" s="3">
        <v>37.957419999999999</v>
      </c>
      <c r="F381" s="3">
        <v>35.897329999999997</v>
      </c>
      <c r="G381" s="3">
        <v>53.016010000000001</v>
      </c>
      <c r="M381" s="3">
        <v>48.802120000000002</v>
      </c>
      <c r="N381" s="3">
        <v>34.971510000000002</v>
      </c>
      <c r="P381" s="3">
        <v>20.323250000000002</v>
      </c>
      <c r="S381" s="3">
        <v>33.606430000000003</v>
      </c>
      <c r="T381" s="3">
        <v>37.493490000000001</v>
      </c>
      <c r="V381" s="3">
        <v>37.217689999999997</v>
      </c>
      <c r="W381" s="3">
        <v>32.266480000000001</v>
      </c>
      <c r="X381" s="3">
        <v>5.305472</v>
      </c>
      <c r="AB381" s="3">
        <v>26.360130000000002</v>
      </c>
      <c r="AD381" s="3">
        <v>4.4661029999999997E-2</v>
      </c>
      <c r="AE381" s="3">
        <v>20.13589</v>
      </c>
      <c r="AF381" s="3">
        <v>73.695080000000004</v>
      </c>
      <c r="AI381" s="3">
        <v>38.126399999999997</v>
      </c>
      <c r="AK381" s="3">
        <v>7.0301450000000001E-2</v>
      </c>
      <c r="AL381" s="3">
        <v>44.917589999999997</v>
      </c>
      <c r="AM381" s="3">
        <v>29.54956</v>
      </c>
      <c r="AN381" s="3">
        <v>18.697240000000001</v>
      </c>
      <c r="AO381" s="3">
        <v>15.553229999999999</v>
      </c>
      <c r="AQ381" s="3">
        <v>8.0679230000000004</v>
      </c>
      <c r="AV381" s="3">
        <v>33.404139999999998</v>
      </c>
      <c r="AX381" s="3">
        <v>33.395740000000004</v>
      </c>
    </row>
    <row r="382" spans="1:50" x14ac:dyDescent="0.2">
      <c r="A382" s="3" t="s">
        <v>279</v>
      </c>
      <c r="B382" s="49">
        <v>29434</v>
      </c>
      <c r="D382" s="3">
        <v>38.149970000000003</v>
      </c>
      <c r="F382" s="3">
        <v>36.26484</v>
      </c>
      <c r="G382" s="3">
        <v>53.334339999999997</v>
      </c>
      <c r="M382" s="3">
        <v>48.981119999999997</v>
      </c>
      <c r="N382" s="3">
        <v>35.095140000000001</v>
      </c>
      <c r="P382" s="3">
        <v>20.473990000000001</v>
      </c>
      <c r="S382" s="3">
        <v>34.175690000000003</v>
      </c>
      <c r="T382" s="3">
        <v>37.86515</v>
      </c>
      <c r="V382" s="3">
        <v>37.390369999999997</v>
      </c>
      <c r="W382" s="3">
        <v>32.4056</v>
      </c>
      <c r="X382" s="3">
        <v>5.2457399999999996</v>
      </c>
      <c r="AB382" s="3">
        <v>26.360130000000002</v>
      </c>
      <c r="AD382" s="3">
        <v>4.781821E-2</v>
      </c>
      <c r="AE382" s="3">
        <v>20.401199999999999</v>
      </c>
      <c r="AF382" s="3">
        <v>73.270899999999997</v>
      </c>
      <c r="AI382" s="3">
        <v>38.277320000000003</v>
      </c>
      <c r="AK382" s="3">
        <v>7.1648519999999993E-2</v>
      </c>
      <c r="AL382" s="3">
        <v>45.131239999999998</v>
      </c>
      <c r="AM382" s="3">
        <v>29.652280000000001</v>
      </c>
      <c r="AN382" s="3">
        <v>18.817979999999999</v>
      </c>
      <c r="AO382" s="3">
        <v>15.69248</v>
      </c>
      <c r="AQ382" s="3">
        <v>8.1459259999999993</v>
      </c>
      <c r="AV382" s="3">
        <v>33.584510000000002</v>
      </c>
      <c r="AX382" s="3">
        <v>33.560859999999998</v>
      </c>
    </row>
    <row r="383" spans="1:50" x14ac:dyDescent="0.2">
      <c r="A383" s="3" t="s">
        <v>280</v>
      </c>
      <c r="B383" s="49">
        <v>29465</v>
      </c>
      <c r="D383" s="3">
        <v>38.336649999999999</v>
      </c>
      <c r="F383" s="3">
        <v>36.460189999999997</v>
      </c>
      <c r="G383" s="3">
        <v>53.476959999999998</v>
      </c>
      <c r="M383" s="3">
        <v>49.068219999999997</v>
      </c>
      <c r="N383" s="3">
        <v>35.28481</v>
      </c>
      <c r="P383" s="3">
        <v>20.741350000000001</v>
      </c>
      <c r="S383" s="3">
        <v>34.575360000000003</v>
      </c>
      <c r="T383" s="3">
        <v>38.186770000000003</v>
      </c>
      <c r="V383" s="3">
        <v>37.793619999999997</v>
      </c>
      <c r="W383" s="3">
        <v>32.66357</v>
      </c>
      <c r="X383" s="3">
        <v>5.4202630000000003</v>
      </c>
      <c r="AB383" s="3">
        <v>26.360130000000002</v>
      </c>
      <c r="AD383" s="3">
        <v>5.1465219999999999E-2</v>
      </c>
      <c r="AE383" s="3">
        <v>20.85258</v>
      </c>
      <c r="AF383" s="3">
        <v>74.413799999999995</v>
      </c>
      <c r="AI383" s="3">
        <v>38.370660000000001</v>
      </c>
      <c r="AK383" s="3">
        <v>7.2637519999999997E-2</v>
      </c>
      <c r="AL383" s="3">
        <v>45.462060000000001</v>
      </c>
      <c r="AM383" s="3">
        <v>30.043859999999999</v>
      </c>
      <c r="AN383" s="3">
        <v>19.038260000000001</v>
      </c>
      <c r="AO383" s="3">
        <v>15.880739999999999</v>
      </c>
      <c r="AQ383" s="3">
        <v>8.1314949999999993</v>
      </c>
      <c r="AV383" s="3">
        <v>34.635559999999998</v>
      </c>
      <c r="AX383" s="3">
        <v>33.932380000000002</v>
      </c>
    </row>
    <row r="384" spans="1:50" x14ac:dyDescent="0.2">
      <c r="A384" s="3" t="s">
        <v>281</v>
      </c>
      <c r="B384" s="49">
        <v>29495</v>
      </c>
      <c r="D384" s="3">
        <v>38.45008</v>
      </c>
      <c r="F384" s="3">
        <v>36.644350000000003</v>
      </c>
      <c r="G384" s="3">
        <v>53.500259999999997</v>
      </c>
      <c r="M384" s="3">
        <v>49.068510000000003</v>
      </c>
      <c r="N384" s="3">
        <v>35.57188</v>
      </c>
      <c r="P384" s="3">
        <v>20.971419999999998</v>
      </c>
      <c r="S384" s="3">
        <v>34.742849999999997</v>
      </c>
      <c r="T384" s="3">
        <v>38.60942</v>
      </c>
      <c r="V384" s="3">
        <v>38.160519999999998</v>
      </c>
      <c r="W384" s="3">
        <v>32.889389999999999</v>
      </c>
      <c r="X384" s="3">
        <v>5.5992550000000003</v>
      </c>
      <c r="AB384" s="3">
        <v>27.347940000000001</v>
      </c>
      <c r="AD384" s="3">
        <v>5.706555E-2</v>
      </c>
      <c r="AE384" s="3">
        <v>21.30198</v>
      </c>
      <c r="AF384" s="3">
        <v>74.709429999999998</v>
      </c>
      <c r="AI384" s="3">
        <v>38.726170000000003</v>
      </c>
      <c r="AK384" s="3">
        <v>7.4016139999999994E-2</v>
      </c>
      <c r="AL384" s="3">
        <v>45.730289999999997</v>
      </c>
      <c r="AM384" s="3">
        <v>30.186789999999998</v>
      </c>
      <c r="AN384" s="3">
        <v>19.262180000000001</v>
      </c>
      <c r="AO384" s="3">
        <v>16.070550000000001</v>
      </c>
      <c r="AQ384" s="3">
        <v>8.2710640000000009</v>
      </c>
      <c r="AV384" s="3">
        <v>34.988289999999999</v>
      </c>
      <c r="AX384" s="3">
        <v>34.345179999999999</v>
      </c>
    </row>
    <row r="385" spans="1:50" x14ac:dyDescent="0.2">
      <c r="A385" s="3" t="s">
        <v>282</v>
      </c>
      <c r="B385" s="49">
        <v>29526</v>
      </c>
      <c r="D385" s="3">
        <v>38.628979999999999</v>
      </c>
      <c r="F385" s="3">
        <v>37.102519999999998</v>
      </c>
      <c r="G385" s="3">
        <v>53.930300000000003</v>
      </c>
      <c r="M385" s="3">
        <v>49.31606</v>
      </c>
      <c r="N385" s="3">
        <v>35.900509999999997</v>
      </c>
      <c r="P385" s="3">
        <v>21.203209999999999</v>
      </c>
      <c r="S385" s="3">
        <v>35.216090000000001</v>
      </c>
      <c r="T385" s="3">
        <v>38.837739999999997</v>
      </c>
      <c r="V385" s="3">
        <v>38.52366</v>
      </c>
      <c r="W385" s="3">
        <v>33.151719999999997</v>
      </c>
      <c r="X385" s="3">
        <v>5.7366320000000002</v>
      </c>
      <c r="AB385" s="3">
        <v>27.347940000000001</v>
      </c>
      <c r="AD385" s="3">
        <v>6.1845600000000001E-2</v>
      </c>
      <c r="AE385" s="3">
        <v>21.737200000000001</v>
      </c>
      <c r="AF385" s="3">
        <v>74.981290000000001</v>
      </c>
      <c r="AI385" s="3">
        <v>39.040179999999999</v>
      </c>
      <c r="AK385" s="3">
        <v>7.5389040000000004E-2</v>
      </c>
      <c r="AL385" s="3">
        <v>45.788150000000002</v>
      </c>
      <c r="AM385" s="3">
        <v>30.31785</v>
      </c>
      <c r="AN385" s="3">
        <v>19.453430000000001</v>
      </c>
      <c r="AO385" s="3">
        <v>16.23188</v>
      </c>
      <c r="AQ385" s="3">
        <v>8.3674660000000003</v>
      </c>
      <c r="AV385" s="3">
        <v>35.187440000000002</v>
      </c>
      <c r="AX385" s="3">
        <v>34.716709999999999</v>
      </c>
    </row>
    <row r="386" spans="1:50" x14ac:dyDescent="0.2">
      <c r="A386" s="3" t="s">
        <v>283</v>
      </c>
      <c r="B386" s="49">
        <v>29556</v>
      </c>
      <c r="D386" s="3">
        <v>38.741250000000001</v>
      </c>
      <c r="F386" s="3">
        <v>37.212119999999999</v>
      </c>
      <c r="G386" s="3">
        <v>54.053310000000003</v>
      </c>
      <c r="M386" s="3">
        <v>49.640340000000002</v>
      </c>
      <c r="N386" s="3">
        <v>36.002450000000003</v>
      </c>
      <c r="P386" s="3">
        <v>21.30161</v>
      </c>
      <c r="S386" s="3">
        <v>35.600879999999997</v>
      </c>
      <c r="T386" s="3">
        <v>39.153089999999999</v>
      </c>
      <c r="V386" s="3">
        <v>38.726179999999999</v>
      </c>
      <c r="W386" s="3">
        <v>33.283369999999998</v>
      </c>
      <c r="X386" s="3">
        <v>5.8541619999999996</v>
      </c>
      <c r="AB386" s="3">
        <v>27.347940000000001</v>
      </c>
      <c r="AD386" s="3">
        <v>6.5468999999999999E-2</v>
      </c>
      <c r="AE386" s="3">
        <v>21.503399999999999</v>
      </c>
      <c r="AF386" s="3">
        <v>74.84563</v>
      </c>
      <c r="AI386" s="3">
        <v>39.31906</v>
      </c>
      <c r="AK386" s="3">
        <v>7.7234800000000006E-2</v>
      </c>
      <c r="AL386" s="3">
        <v>45.832680000000003</v>
      </c>
      <c r="AM386" s="3">
        <v>30.540710000000001</v>
      </c>
      <c r="AN386" s="3">
        <v>19.61168</v>
      </c>
      <c r="AO386" s="3">
        <v>16.35305</v>
      </c>
      <c r="AQ386" s="3">
        <v>8.595618</v>
      </c>
      <c r="AV386" s="3">
        <v>35.36195</v>
      </c>
      <c r="AX386" s="3">
        <v>35.046950000000002</v>
      </c>
    </row>
    <row r="387" spans="1:50" x14ac:dyDescent="0.2">
      <c r="A387" s="3" t="s">
        <v>284</v>
      </c>
      <c r="B387" s="49">
        <v>29587</v>
      </c>
      <c r="D387" s="3">
        <v>39.037840000000003</v>
      </c>
      <c r="F387" s="3">
        <v>37.687260000000002</v>
      </c>
      <c r="G387" s="3">
        <v>54.375509999999998</v>
      </c>
      <c r="M387" s="3">
        <v>49.995109999999997</v>
      </c>
      <c r="N387" s="3">
        <v>36.117530000000002</v>
      </c>
      <c r="P387" s="3">
        <v>21.570180000000001</v>
      </c>
      <c r="S387" s="3">
        <v>35.974530000000001</v>
      </c>
      <c r="T387" s="3">
        <v>39.590290000000003</v>
      </c>
      <c r="V387" s="3">
        <v>39.00864</v>
      </c>
      <c r="W387" s="3">
        <v>33.374609999999997</v>
      </c>
      <c r="X387" s="3">
        <v>5.9511810000000001</v>
      </c>
      <c r="AB387" s="3">
        <v>29.08915</v>
      </c>
      <c r="AD387" s="3">
        <v>7.1089970000000002E-2</v>
      </c>
      <c r="AE387" s="3">
        <v>22.048590000000001</v>
      </c>
      <c r="AF387" s="3">
        <v>75.146450000000002</v>
      </c>
      <c r="AI387" s="3">
        <v>39.519660000000002</v>
      </c>
      <c r="AK387" s="3">
        <v>8.0113729999999994E-2</v>
      </c>
      <c r="AL387" s="3">
        <v>45.905569999999997</v>
      </c>
      <c r="AM387" s="3">
        <v>31.370889999999999</v>
      </c>
      <c r="AN387" s="3">
        <v>19.80105</v>
      </c>
      <c r="AO387" s="3">
        <v>16.538799999999998</v>
      </c>
      <c r="AQ387" s="3">
        <v>8.8869369999999996</v>
      </c>
      <c r="AV387" s="3">
        <v>35.77637</v>
      </c>
      <c r="AX387" s="3">
        <v>35.212069999999997</v>
      </c>
    </row>
    <row r="388" spans="1:50" x14ac:dyDescent="0.2">
      <c r="A388" s="3" t="s">
        <v>285</v>
      </c>
      <c r="B388" s="49">
        <v>29618</v>
      </c>
      <c r="D388" s="3">
        <v>39.232930000000003</v>
      </c>
      <c r="F388" s="3">
        <v>38.058700000000002</v>
      </c>
      <c r="G388" s="3">
        <v>54.76202</v>
      </c>
      <c r="M388" s="3">
        <v>50.344920000000002</v>
      </c>
      <c r="N388" s="3">
        <v>36.448160000000001</v>
      </c>
      <c r="P388" s="3">
        <v>21.799430000000001</v>
      </c>
      <c r="S388" s="3">
        <v>36.091239999999999</v>
      </c>
      <c r="T388" s="3">
        <v>39.892040000000001</v>
      </c>
      <c r="V388" s="3">
        <v>39.240349999999999</v>
      </c>
      <c r="W388" s="3">
        <v>33.663609999999998</v>
      </c>
      <c r="X388" s="3">
        <v>5.9925230000000003</v>
      </c>
      <c r="AB388" s="3">
        <v>29.08915</v>
      </c>
      <c r="AD388" s="3">
        <v>7.4050149999999995E-2</v>
      </c>
      <c r="AE388" s="3">
        <v>22.48714</v>
      </c>
      <c r="AF388" s="3">
        <v>74.922809999999998</v>
      </c>
      <c r="AI388" s="3">
        <v>39.702159999999999</v>
      </c>
      <c r="AK388" s="3">
        <v>8.2361069999999995E-2</v>
      </c>
      <c r="AL388" s="3">
        <v>46.097850000000001</v>
      </c>
      <c r="AM388" s="3">
        <v>31.699310000000001</v>
      </c>
      <c r="AN388" s="3">
        <v>19.94323</v>
      </c>
      <c r="AO388" s="3">
        <v>16.697610000000001</v>
      </c>
      <c r="AQ388" s="3">
        <v>8.9845089999999992</v>
      </c>
      <c r="AV388" s="3">
        <v>36.502580000000002</v>
      </c>
      <c r="AX388" s="3">
        <v>35.377189999999999</v>
      </c>
    </row>
    <row r="389" spans="1:50" x14ac:dyDescent="0.2">
      <c r="A389" s="3" t="s">
        <v>286</v>
      </c>
      <c r="B389" s="49">
        <v>29646</v>
      </c>
      <c r="D389" s="3">
        <v>39.431530000000002</v>
      </c>
      <c r="F389" s="3">
        <v>38.459879999999998</v>
      </c>
      <c r="G389" s="3">
        <v>54.977829999999997</v>
      </c>
      <c r="M389" s="3">
        <v>50.64528</v>
      </c>
      <c r="N389" s="3">
        <v>37.018889999999999</v>
      </c>
      <c r="P389" s="3">
        <v>21.959309999999999</v>
      </c>
      <c r="S389" s="3">
        <v>36.243299999999998</v>
      </c>
      <c r="T389" s="3">
        <v>40.228349999999999</v>
      </c>
      <c r="V389" s="3">
        <v>39.488250000000001</v>
      </c>
      <c r="W389" s="3">
        <v>34.049689999999998</v>
      </c>
      <c r="X389" s="3">
        <v>6.1476709999999999</v>
      </c>
      <c r="AB389" s="3">
        <v>29.08915</v>
      </c>
      <c r="AD389" s="3">
        <v>7.7374670000000006E-2</v>
      </c>
      <c r="AE389" s="3">
        <v>22.78031</v>
      </c>
      <c r="AF389" s="3">
        <v>75.14931</v>
      </c>
      <c r="AI389" s="3">
        <v>39.997149999999998</v>
      </c>
      <c r="AK389" s="3">
        <v>8.4287609999999999E-2</v>
      </c>
      <c r="AL389" s="3">
        <v>46.404879999999999</v>
      </c>
      <c r="AM389" s="3">
        <v>32.317590000000003</v>
      </c>
      <c r="AN389" s="3">
        <v>20.094629999999999</v>
      </c>
      <c r="AO389" s="3">
        <v>16.850470000000001</v>
      </c>
      <c r="AQ389" s="3">
        <v>9.0723749999999992</v>
      </c>
      <c r="AV389" s="3">
        <v>36.735129999999998</v>
      </c>
      <c r="AX389" s="3">
        <v>35.542310000000001</v>
      </c>
    </row>
    <row r="390" spans="1:50" x14ac:dyDescent="0.2">
      <c r="A390" s="3" t="s">
        <v>287</v>
      </c>
      <c r="B390" s="49">
        <v>29677</v>
      </c>
      <c r="D390" s="3">
        <v>39.582999999999998</v>
      </c>
      <c r="F390" s="3">
        <v>38.705010000000001</v>
      </c>
      <c r="G390" s="3">
        <v>55.08287</v>
      </c>
      <c r="M390" s="3">
        <v>50.909460000000003</v>
      </c>
      <c r="N390" s="3">
        <v>37.383279999999999</v>
      </c>
      <c r="P390" s="3">
        <v>22.30424</v>
      </c>
      <c r="S390" s="3">
        <v>36.367910000000002</v>
      </c>
      <c r="T390" s="3">
        <v>40.792160000000003</v>
      </c>
      <c r="V390" s="3">
        <v>39.912089999999999</v>
      </c>
      <c r="W390" s="3">
        <v>35.289340000000003</v>
      </c>
      <c r="X390" s="3">
        <v>6.2872000000000003</v>
      </c>
      <c r="AB390" s="3">
        <v>30.233229999999999</v>
      </c>
      <c r="AD390" s="3">
        <v>8.8987700000000003E-2</v>
      </c>
      <c r="AE390" s="3">
        <v>23.064520000000002</v>
      </c>
      <c r="AF390" s="3">
        <v>75.917490000000001</v>
      </c>
      <c r="AI390" s="3">
        <v>40.286999999999999</v>
      </c>
      <c r="AK390" s="3">
        <v>8.635002E-2</v>
      </c>
      <c r="AL390" s="3">
        <v>46.826009999999997</v>
      </c>
      <c r="AM390" s="3">
        <v>32.477600000000002</v>
      </c>
      <c r="AN390" s="3">
        <v>20.326910000000002</v>
      </c>
      <c r="AO390" s="3">
        <v>17.072870000000002</v>
      </c>
      <c r="AQ390" s="3">
        <v>9.195392</v>
      </c>
      <c r="AV390" s="3">
        <v>37.041829999999997</v>
      </c>
      <c r="AX390" s="3">
        <v>35.831270000000004</v>
      </c>
    </row>
    <row r="391" spans="1:50" x14ac:dyDescent="0.2">
      <c r="A391" s="3" t="s">
        <v>288</v>
      </c>
      <c r="B391" s="49">
        <v>29707</v>
      </c>
      <c r="D391" s="3">
        <v>39.611089999999997</v>
      </c>
      <c r="F391" s="3">
        <v>39.082709999999999</v>
      </c>
      <c r="G391" s="3">
        <v>55.538589999999999</v>
      </c>
      <c r="M391" s="3">
        <v>51.204430000000002</v>
      </c>
      <c r="N391" s="3">
        <v>38.035420000000002</v>
      </c>
      <c r="P391" s="3">
        <v>22.540320000000001</v>
      </c>
      <c r="S391" s="3">
        <v>36.893230000000003</v>
      </c>
      <c r="T391" s="3">
        <v>41.138399999999997</v>
      </c>
      <c r="V391" s="3">
        <v>40.329729999999998</v>
      </c>
      <c r="W391" s="3">
        <v>35.431449999999998</v>
      </c>
      <c r="X391" s="3">
        <v>6.3380890000000001</v>
      </c>
      <c r="AB391" s="3">
        <v>30.233229999999999</v>
      </c>
      <c r="AD391" s="3">
        <v>9.2949790000000004E-2</v>
      </c>
      <c r="AE391" s="3">
        <v>23.40766</v>
      </c>
      <c r="AF391" s="3">
        <v>76.912030000000001</v>
      </c>
      <c r="AI391" s="3">
        <v>40.596449999999997</v>
      </c>
      <c r="AK391" s="3">
        <v>8.77521E-2</v>
      </c>
      <c r="AL391" s="3">
        <v>47.00394</v>
      </c>
      <c r="AM391" s="3">
        <v>32.589030000000001</v>
      </c>
      <c r="AN391" s="3">
        <v>20.541730000000001</v>
      </c>
      <c r="AO391" s="3">
        <v>17.22128</v>
      </c>
      <c r="AQ391" s="3">
        <v>9.2565760000000008</v>
      </c>
      <c r="AV391" s="3">
        <v>37.195129999999999</v>
      </c>
      <c r="AX391" s="3">
        <v>36.244070000000001</v>
      </c>
    </row>
    <row r="392" spans="1:50" x14ac:dyDescent="0.2">
      <c r="A392" s="3" t="s">
        <v>289</v>
      </c>
      <c r="B392" s="49">
        <v>29738</v>
      </c>
      <c r="D392" s="3">
        <v>39.727530000000002</v>
      </c>
      <c r="F392" s="3">
        <v>39.572859999999999</v>
      </c>
      <c r="G392" s="3">
        <v>55.763930000000002</v>
      </c>
      <c r="M392" s="3">
        <v>51.42456</v>
      </c>
      <c r="N392" s="3">
        <v>38.312750000000001</v>
      </c>
      <c r="P392" s="3">
        <v>22.653600000000001</v>
      </c>
      <c r="S392" s="3">
        <v>37.382269999999998</v>
      </c>
      <c r="T392" s="3">
        <v>41.476320000000001</v>
      </c>
      <c r="V392" s="3">
        <v>40.637230000000002</v>
      </c>
      <c r="W392" s="3">
        <v>35.448169999999998</v>
      </c>
      <c r="X392" s="3">
        <v>6.492394</v>
      </c>
      <c r="AB392" s="3">
        <v>30.233229999999999</v>
      </c>
      <c r="AD392" s="3">
        <v>9.6866350000000004E-2</v>
      </c>
      <c r="AE392" s="3">
        <v>23.63139</v>
      </c>
      <c r="AF392" s="3">
        <v>77.056690000000003</v>
      </c>
      <c r="AI392" s="3">
        <v>41.030749999999998</v>
      </c>
      <c r="AK392" s="3">
        <v>8.9006390000000005E-2</v>
      </c>
      <c r="AL392" s="3">
        <v>47.146419999999999</v>
      </c>
      <c r="AM392" s="3">
        <v>33.00611</v>
      </c>
      <c r="AN392" s="3">
        <v>20.728300000000001</v>
      </c>
      <c r="AO392" s="3">
        <v>17.373200000000001</v>
      </c>
      <c r="AQ392" s="3">
        <v>9.3451170000000001</v>
      </c>
      <c r="AV392" s="3">
        <v>37.333820000000003</v>
      </c>
      <c r="AX392" s="3">
        <v>36.615600000000001</v>
      </c>
    </row>
    <row r="393" spans="1:50" x14ac:dyDescent="0.2">
      <c r="A393" s="3" t="s">
        <v>290</v>
      </c>
      <c r="B393" s="49">
        <v>29768</v>
      </c>
      <c r="D393" s="3">
        <v>39.951949999999997</v>
      </c>
      <c r="F393" s="3">
        <v>39.842170000000003</v>
      </c>
      <c r="G393" s="3">
        <v>55.839350000000003</v>
      </c>
      <c r="M393" s="3">
        <v>51.706400000000002</v>
      </c>
      <c r="N393" s="3">
        <v>38.499809999999997</v>
      </c>
      <c r="P393" s="3">
        <v>22.786210000000001</v>
      </c>
      <c r="S393" s="3">
        <v>37.398319999999998</v>
      </c>
      <c r="T393" s="3">
        <v>42.03425</v>
      </c>
      <c r="V393" s="3">
        <v>40.997549999999997</v>
      </c>
      <c r="W393" s="3">
        <v>35.587670000000003</v>
      </c>
      <c r="X393" s="3">
        <v>6.4541380000000004</v>
      </c>
      <c r="AB393" s="3">
        <v>31.85576</v>
      </c>
      <c r="AD393" s="3">
        <v>0.10401630000000001</v>
      </c>
      <c r="AE393" s="3">
        <v>23.763719999999999</v>
      </c>
      <c r="AF393" s="3">
        <v>76.87773</v>
      </c>
      <c r="AI393" s="3">
        <v>41.191600000000001</v>
      </c>
      <c r="AK393" s="3">
        <v>9.0673359999999995E-2</v>
      </c>
      <c r="AL393" s="3">
        <v>47.568260000000002</v>
      </c>
      <c r="AM393" s="3">
        <v>33.185000000000002</v>
      </c>
      <c r="AN393" s="3">
        <v>20.909500000000001</v>
      </c>
      <c r="AO393" s="3">
        <v>17.465949999999999</v>
      </c>
      <c r="AQ393" s="3">
        <v>9.4847619999999999</v>
      </c>
      <c r="AV393" s="3">
        <v>37.499139999999997</v>
      </c>
      <c r="AX393" s="3">
        <v>37.110959999999999</v>
      </c>
    </row>
    <row r="394" spans="1:50" x14ac:dyDescent="0.2">
      <c r="A394" s="3" t="s">
        <v>291</v>
      </c>
      <c r="B394" s="49">
        <v>29799</v>
      </c>
      <c r="D394" s="3">
        <v>40.042400000000001</v>
      </c>
      <c r="F394" s="3">
        <v>40.235599999999998</v>
      </c>
      <c r="G394" s="3">
        <v>56.465989999999998</v>
      </c>
      <c r="M394" s="3">
        <v>51.783709999999999</v>
      </c>
      <c r="N394" s="3">
        <v>38.558770000000003</v>
      </c>
      <c r="P394" s="3">
        <v>22.965219999999999</v>
      </c>
      <c r="S394" s="3">
        <v>37.478209999999997</v>
      </c>
      <c r="T394" s="3">
        <v>42.498640000000002</v>
      </c>
      <c r="V394" s="3">
        <v>41.238770000000002</v>
      </c>
      <c r="W394" s="3">
        <v>35.80829</v>
      </c>
      <c r="X394" s="3">
        <v>6.3615810000000002</v>
      </c>
      <c r="AB394" s="3">
        <v>31.85576</v>
      </c>
      <c r="AD394" s="3">
        <v>0.1077507</v>
      </c>
      <c r="AE394" s="3">
        <v>23.985389999999999</v>
      </c>
      <c r="AF394" s="3">
        <v>76.256290000000007</v>
      </c>
      <c r="AI394" s="3">
        <v>41.292740000000002</v>
      </c>
      <c r="AK394" s="3">
        <v>9.2517730000000006E-2</v>
      </c>
      <c r="AL394" s="3">
        <v>47.679470000000002</v>
      </c>
      <c r="AM394" s="3">
        <v>33.185000000000002</v>
      </c>
      <c r="AN394" s="3">
        <v>21.049810000000001</v>
      </c>
      <c r="AO394" s="3">
        <v>17.58126</v>
      </c>
      <c r="AQ394" s="3">
        <v>9.5957939999999997</v>
      </c>
      <c r="AV394" s="3">
        <v>37.71528</v>
      </c>
      <c r="AX394" s="3">
        <v>37.441200000000002</v>
      </c>
    </row>
    <row r="395" spans="1:50" x14ac:dyDescent="0.2">
      <c r="A395" s="3" t="s">
        <v>292</v>
      </c>
      <c r="B395" s="49">
        <v>29830</v>
      </c>
      <c r="D395" s="3">
        <v>40.250779999999999</v>
      </c>
      <c r="F395" s="3">
        <v>40.54748</v>
      </c>
      <c r="G395" s="3">
        <v>56.601390000000002</v>
      </c>
      <c r="M395" s="3">
        <v>52.043080000000003</v>
      </c>
      <c r="N395" s="3">
        <v>38.916870000000003</v>
      </c>
      <c r="P395" s="3">
        <v>23.21593</v>
      </c>
      <c r="S395" s="3">
        <v>37.68197</v>
      </c>
      <c r="T395" s="3">
        <v>42.944830000000003</v>
      </c>
      <c r="V395" s="3">
        <v>41.719299999999997</v>
      </c>
      <c r="W395" s="3">
        <v>36.036389999999997</v>
      </c>
      <c r="X395" s="3">
        <v>6.6666369999999997</v>
      </c>
      <c r="AB395" s="3">
        <v>31.85576</v>
      </c>
      <c r="AD395" s="3">
        <v>0.1155838</v>
      </c>
      <c r="AE395" s="3">
        <v>24.312919999999998</v>
      </c>
      <c r="AF395" s="3">
        <v>77.449590000000001</v>
      </c>
      <c r="AI395" s="3">
        <v>41.51643</v>
      </c>
      <c r="AK395" s="3">
        <v>9.4272220000000004E-2</v>
      </c>
      <c r="AL395" s="3">
        <v>48.108690000000003</v>
      </c>
      <c r="AM395" s="3">
        <v>33.547939999999997</v>
      </c>
      <c r="AN395" s="3">
        <v>21.314109999999999</v>
      </c>
      <c r="AO395" s="3">
        <v>17.783069999999999</v>
      </c>
      <c r="AQ395" s="3">
        <v>9.7629180000000009</v>
      </c>
      <c r="AV395" s="3">
        <v>38.037739999999999</v>
      </c>
      <c r="AX395" s="3">
        <v>37.936570000000003</v>
      </c>
    </row>
    <row r="396" spans="1:50" x14ac:dyDescent="0.2">
      <c r="A396" s="3" t="s">
        <v>293</v>
      </c>
      <c r="B396" s="49">
        <v>29860</v>
      </c>
      <c r="D396" s="3">
        <v>40.639629999999997</v>
      </c>
      <c r="F396" s="3">
        <v>41.031230000000001</v>
      </c>
      <c r="G396" s="3">
        <v>56.598109999999998</v>
      </c>
      <c r="M396" s="3">
        <v>52.327840000000002</v>
      </c>
      <c r="N396" s="3">
        <v>39.144539999999999</v>
      </c>
      <c r="P396" s="3">
        <v>23.500219999999999</v>
      </c>
      <c r="S396" s="3">
        <v>38.214280000000002</v>
      </c>
      <c r="T396" s="3">
        <v>43.5334</v>
      </c>
      <c r="V396" s="3">
        <v>42.020800000000001</v>
      </c>
      <c r="W396" s="3">
        <v>36.377220000000001</v>
      </c>
      <c r="X396" s="3">
        <v>6.8318510000000003</v>
      </c>
      <c r="AB396" s="3">
        <v>33.965699999999998</v>
      </c>
      <c r="AD396" s="3">
        <v>0.1266504</v>
      </c>
      <c r="AE396" s="3">
        <v>24.7973</v>
      </c>
      <c r="AF396" s="3">
        <v>77.793850000000006</v>
      </c>
      <c r="AI396" s="3">
        <v>41.736989999999999</v>
      </c>
      <c r="AK396" s="3">
        <v>9.6414509999999995E-2</v>
      </c>
      <c r="AL396" s="3">
        <v>48.631709999999998</v>
      </c>
      <c r="AM396" s="3">
        <v>33.688009999999998</v>
      </c>
      <c r="AN396" s="3">
        <v>21.524730000000002</v>
      </c>
      <c r="AO396" s="3">
        <v>18.011479999999999</v>
      </c>
      <c r="AQ396" s="3">
        <v>9.9396979999999999</v>
      </c>
      <c r="AV396" s="3">
        <v>38.157389999999999</v>
      </c>
      <c r="AX396" s="3">
        <v>38.101680000000002</v>
      </c>
    </row>
    <row r="397" spans="1:50" x14ac:dyDescent="0.2">
      <c r="A397" s="3" t="s">
        <v>294</v>
      </c>
      <c r="B397" s="49">
        <v>29891</v>
      </c>
      <c r="D397" s="3">
        <v>40.855609999999999</v>
      </c>
      <c r="F397" s="3">
        <v>41.478360000000002</v>
      </c>
      <c r="G397" s="3">
        <v>57.248759999999997</v>
      </c>
      <c r="M397" s="3">
        <v>52.513829999999999</v>
      </c>
      <c r="N397" s="3">
        <v>39.684049999999999</v>
      </c>
      <c r="P397" s="3">
        <v>23.78539</v>
      </c>
      <c r="S397" s="3">
        <v>38.232480000000002</v>
      </c>
      <c r="T397" s="3">
        <v>43.923830000000002</v>
      </c>
      <c r="V397" s="3">
        <v>42.28098</v>
      </c>
      <c r="W397" s="3">
        <v>36.810659999999999</v>
      </c>
      <c r="X397" s="3">
        <v>6.9384180000000004</v>
      </c>
      <c r="AB397" s="3">
        <v>33.965699999999998</v>
      </c>
      <c r="AD397" s="3">
        <v>0.1343924</v>
      </c>
      <c r="AE397" s="3">
        <v>25.24043</v>
      </c>
      <c r="AF397" s="3">
        <v>77.896169999999998</v>
      </c>
      <c r="AI397" s="3">
        <v>41.999110000000002</v>
      </c>
      <c r="AK397" s="3">
        <v>9.8371239999999999E-2</v>
      </c>
      <c r="AL397" s="3">
        <v>48.755589999999998</v>
      </c>
      <c r="AM397" s="3">
        <v>33.697040000000001</v>
      </c>
      <c r="AN397" s="3">
        <v>21.686250000000001</v>
      </c>
      <c r="AO397" s="3">
        <v>18.20205</v>
      </c>
      <c r="AQ397" s="3">
        <v>10.07981</v>
      </c>
      <c r="AV397" s="3">
        <v>38.31964</v>
      </c>
      <c r="AX397" s="3">
        <v>38.26681</v>
      </c>
    </row>
    <row r="398" spans="1:50" x14ac:dyDescent="0.2">
      <c r="A398" s="3" t="s">
        <v>295</v>
      </c>
      <c r="B398" s="49">
        <v>29921</v>
      </c>
      <c r="D398" s="3">
        <v>41.137140000000002</v>
      </c>
      <c r="F398" s="3">
        <v>41.655749999999998</v>
      </c>
      <c r="G398" s="3">
        <v>57.348660000000002</v>
      </c>
      <c r="M398" s="3">
        <v>52.578589999999998</v>
      </c>
      <c r="N398" s="3">
        <v>39.906329999999997</v>
      </c>
      <c r="P398" s="3">
        <v>24.11861</v>
      </c>
      <c r="S398" s="3">
        <v>38.346649999999997</v>
      </c>
      <c r="T398" s="3">
        <v>44.172969999999999</v>
      </c>
      <c r="V398" s="3">
        <v>42.441769999999998</v>
      </c>
      <c r="W398" s="3">
        <v>37.088329999999999</v>
      </c>
      <c r="X398" s="3">
        <v>7.054532</v>
      </c>
      <c r="AB398" s="3">
        <v>33.965699999999998</v>
      </c>
      <c r="AD398" s="3">
        <v>0.14063149999999999</v>
      </c>
      <c r="AE398" s="3">
        <v>25.495909999999999</v>
      </c>
      <c r="AF398" s="3">
        <v>77.943719999999999</v>
      </c>
      <c r="AI398" s="3">
        <v>42.151119999999999</v>
      </c>
      <c r="AK398" s="3">
        <v>0.1008655</v>
      </c>
      <c r="AL398" s="3">
        <v>48.805709999999998</v>
      </c>
      <c r="AM398" s="3">
        <v>33.773960000000002</v>
      </c>
      <c r="AN398" s="3">
        <v>21.80817</v>
      </c>
      <c r="AO398" s="3">
        <v>18.32302</v>
      </c>
      <c r="AQ398" s="3">
        <v>10.269170000000001</v>
      </c>
      <c r="AV398" s="3">
        <v>38.119169999999997</v>
      </c>
      <c r="AX398" s="3">
        <v>38.390650000000001</v>
      </c>
    </row>
    <row r="399" spans="1:50" x14ac:dyDescent="0.2">
      <c r="A399" s="3" t="s">
        <v>296</v>
      </c>
      <c r="B399" s="49">
        <v>29952</v>
      </c>
      <c r="D399" s="3">
        <v>41.490699999999997</v>
      </c>
      <c r="F399" s="3">
        <v>41.941760000000002</v>
      </c>
      <c r="G399" s="3">
        <v>57.609439999999999</v>
      </c>
      <c r="M399" s="3">
        <v>52.967640000000003</v>
      </c>
      <c r="N399" s="3">
        <v>40.06944</v>
      </c>
      <c r="P399" s="3">
        <v>24.546230000000001</v>
      </c>
      <c r="S399" s="3">
        <v>39.094029999999997</v>
      </c>
      <c r="T399" s="3">
        <v>44.622810000000001</v>
      </c>
      <c r="V399" s="3">
        <v>42.611640000000001</v>
      </c>
      <c r="W399" s="3">
        <v>37.155169999999998</v>
      </c>
      <c r="X399" s="3">
        <v>7.208609</v>
      </c>
      <c r="AB399" s="3">
        <v>34.7376</v>
      </c>
      <c r="AD399" s="3">
        <v>0.15238119999999999</v>
      </c>
      <c r="AE399" s="3">
        <v>25.88486</v>
      </c>
      <c r="AF399" s="3">
        <v>77.730599999999995</v>
      </c>
      <c r="AI399" s="3">
        <v>42.693359999999998</v>
      </c>
      <c r="AK399" s="3">
        <v>0.1052105</v>
      </c>
      <c r="AL399" s="3">
        <v>48.710839999999997</v>
      </c>
      <c r="AM399" s="3">
        <v>34.864840000000001</v>
      </c>
      <c r="AN399" s="3">
        <v>21.987400000000001</v>
      </c>
      <c r="AO399" s="3">
        <v>18.534510000000001</v>
      </c>
      <c r="AQ399" s="3">
        <v>10.482799999999999</v>
      </c>
      <c r="AV399" s="3">
        <v>38.873100000000001</v>
      </c>
      <c r="AX399" s="3">
        <v>38.473210000000002</v>
      </c>
    </row>
    <row r="400" spans="1:50" x14ac:dyDescent="0.2">
      <c r="A400" s="3" t="s">
        <v>297</v>
      </c>
      <c r="B400" s="49">
        <v>29983</v>
      </c>
      <c r="D400" s="3">
        <v>41.763770000000001</v>
      </c>
      <c r="F400" s="3">
        <v>42.398940000000003</v>
      </c>
      <c r="G400" s="3">
        <v>57.857239999999997</v>
      </c>
      <c r="M400" s="3">
        <v>53.079830000000001</v>
      </c>
      <c r="N400" s="3">
        <v>40.390949999999997</v>
      </c>
      <c r="P400" s="3">
        <v>24.814499999999999</v>
      </c>
      <c r="S400" s="3">
        <v>39.230310000000003</v>
      </c>
      <c r="T400" s="3">
        <v>45.080829999999999</v>
      </c>
      <c r="V400" s="3">
        <v>42.799849999999999</v>
      </c>
      <c r="W400" s="3">
        <v>37.232089999999999</v>
      </c>
      <c r="X400" s="3">
        <v>7.1753390000000001</v>
      </c>
      <c r="AB400" s="3">
        <v>34.7376</v>
      </c>
      <c r="AD400" s="3">
        <v>0.1598955</v>
      </c>
      <c r="AE400" s="3">
        <v>26.352440000000001</v>
      </c>
      <c r="AF400" s="3">
        <v>77.581699999999998</v>
      </c>
      <c r="AI400" s="3">
        <v>43.120669999999997</v>
      </c>
      <c r="AK400" s="3">
        <v>0.11004949999999999</v>
      </c>
      <c r="AL400" s="3">
        <v>48.94023</v>
      </c>
      <c r="AM400" s="3">
        <v>35.03575</v>
      </c>
      <c r="AN400" s="3">
        <v>22.132439999999999</v>
      </c>
      <c r="AO400" s="3">
        <v>18.662610000000001</v>
      </c>
      <c r="AQ400" s="3">
        <v>10.687379999999999</v>
      </c>
      <c r="AV400" s="3">
        <v>39.36683</v>
      </c>
      <c r="AX400" s="3">
        <v>38.597050000000003</v>
      </c>
    </row>
    <row r="401" spans="1:50" x14ac:dyDescent="0.2">
      <c r="A401" s="3" t="s">
        <v>298</v>
      </c>
      <c r="B401" s="49">
        <v>30011</v>
      </c>
      <c r="D401" s="3">
        <v>41.802280000000003</v>
      </c>
      <c r="F401" s="3">
        <v>42.824629999999999</v>
      </c>
      <c r="G401" s="3">
        <v>58.09299</v>
      </c>
      <c r="M401" s="3">
        <v>53.161380000000001</v>
      </c>
      <c r="N401" s="3">
        <v>40.699210000000001</v>
      </c>
      <c r="P401" s="3">
        <v>25.17163</v>
      </c>
      <c r="S401" s="3">
        <v>39.568930000000002</v>
      </c>
      <c r="T401" s="3">
        <v>45.593359999999997</v>
      </c>
      <c r="V401" s="3">
        <v>42.97063</v>
      </c>
      <c r="W401" s="3">
        <v>37.53951</v>
      </c>
      <c r="X401" s="3">
        <v>7.4261689999999998</v>
      </c>
      <c r="AB401" s="3">
        <v>34.7376</v>
      </c>
      <c r="AD401" s="3">
        <v>0.16727320000000001</v>
      </c>
      <c r="AE401" s="3">
        <v>26.60623</v>
      </c>
      <c r="AF401" s="3">
        <v>77.650409999999994</v>
      </c>
      <c r="AI401" s="3">
        <v>43.268320000000003</v>
      </c>
      <c r="AK401" s="3">
        <v>0.11478140000000001</v>
      </c>
      <c r="AL401" s="3">
        <v>49.358249999999998</v>
      </c>
      <c r="AM401" s="3">
        <v>35.750190000000003</v>
      </c>
      <c r="AN401" s="3">
        <v>22.287769999999998</v>
      </c>
      <c r="AO401" s="3">
        <v>18.81617</v>
      </c>
      <c r="AQ401" s="3">
        <v>10.828279999999999</v>
      </c>
      <c r="AV401" s="3">
        <v>39.383209999999998</v>
      </c>
      <c r="AX401" s="3">
        <v>38.679609999999997</v>
      </c>
    </row>
    <row r="402" spans="1:50" x14ac:dyDescent="0.2">
      <c r="A402" s="3" t="s">
        <v>299</v>
      </c>
      <c r="B402" s="49">
        <v>30042</v>
      </c>
      <c r="D402" s="3">
        <v>42.17727</v>
      </c>
      <c r="F402" s="3">
        <v>43.05339</v>
      </c>
      <c r="G402" s="3">
        <v>58.266640000000002</v>
      </c>
      <c r="M402" s="3">
        <v>53.253419999999998</v>
      </c>
      <c r="N402" s="3">
        <v>40.993690000000001</v>
      </c>
      <c r="P402" s="3">
        <v>25.542310000000001</v>
      </c>
      <c r="S402" s="3">
        <v>39.749339999999997</v>
      </c>
      <c r="T402" s="3">
        <v>46.102379999999997</v>
      </c>
      <c r="V402" s="3">
        <v>43.347389999999997</v>
      </c>
      <c r="W402" s="3">
        <v>38.383980000000001</v>
      </c>
      <c r="X402" s="3">
        <v>7.6227939999999998</v>
      </c>
      <c r="AB402" s="3">
        <v>37.09845</v>
      </c>
      <c r="AD402" s="3">
        <v>0.18785789999999999</v>
      </c>
      <c r="AE402" s="3">
        <v>26.845189999999999</v>
      </c>
      <c r="AF402" s="3">
        <v>78.315439999999995</v>
      </c>
      <c r="AI402" s="3">
        <v>43.442700000000002</v>
      </c>
      <c r="AK402" s="3">
        <v>0.12104520000000001</v>
      </c>
      <c r="AL402" s="3">
        <v>49.561219999999999</v>
      </c>
      <c r="AM402" s="3">
        <v>35.941240000000001</v>
      </c>
      <c r="AN402" s="3">
        <v>22.554200000000002</v>
      </c>
      <c r="AO402" s="3">
        <v>19.00592</v>
      </c>
      <c r="AQ402" s="3">
        <v>11.043530000000001</v>
      </c>
      <c r="AV402" s="3">
        <v>39.669960000000003</v>
      </c>
      <c r="AX402" s="3">
        <v>39.00985</v>
      </c>
    </row>
    <row r="403" spans="1:50" x14ac:dyDescent="0.2">
      <c r="A403" s="3" t="s">
        <v>300</v>
      </c>
      <c r="B403" s="49">
        <v>30072</v>
      </c>
      <c r="D403" s="3">
        <v>42.483609999999999</v>
      </c>
      <c r="F403" s="3">
        <v>43.52657</v>
      </c>
      <c r="G403" s="3">
        <v>58.874929999999999</v>
      </c>
      <c r="M403" s="3">
        <v>53.584409999999998</v>
      </c>
      <c r="N403" s="3">
        <v>41.692700000000002</v>
      </c>
      <c r="P403" s="3">
        <v>25.940059999999999</v>
      </c>
      <c r="S403" s="3">
        <v>40.741210000000002</v>
      </c>
      <c r="T403" s="3">
        <v>46.44847</v>
      </c>
      <c r="V403" s="3">
        <v>43.731200000000001</v>
      </c>
      <c r="W403" s="3">
        <v>38.540120000000002</v>
      </c>
      <c r="X403" s="3">
        <v>7.6878349999999998</v>
      </c>
      <c r="AB403" s="3">
        <v>37.09845</v>
      </c>
      <c r="AD403" s="3">
        <v>0.19906099999999999</v>
      </c>
      <c r="AE403" s="3">
        <v>27.185649999999999</v>
      </c>
      <c r="AF403" s="3">
        <v>79.025000000000006</v>
      </c>
      <c r="AI403" s="3">
        <v>43.948210000000003</v>
      </c>
      <c r="AK403" s="3">
        <v>0.128139</v>
      </c>
      <c r="AL403" s="3">
        <v>49.705800000000004</v>
      </c>
      <c r="AM403" s="3">
        <v>36.109960000000001</v>
      </c>
      <c r="AN403" s="3">
        <v>22.810009999999998</v>
      </c>
      <c r="AO403" s="3">
        <v>19.152850000000001</v>
      </c>
      <c r="AQ403" s="3">
        <v>11.113530000000001</v>
      </c>
      <c r="AV403" s="3">
        <v>39.903910000000003</v>
      </c>
      <c r="AX403" s="3">
        <v>39.381369999999997</v>
      </c>
    </row>
    <row r="404" spans="1:50" x14ac:dyDescent="0.2">
      <c r="A404" s="3" t="s">
        <v>301</v>
      </c>
      <c r="B404" s="49">
        <v>30103</v>
      </c>
      <c r="D404" s="3">
        <v>42.598039999999997</v>
      </c>
      <c r="F404" s="3">
        <v>43.958869999999997</v>
      </c>
      <c r="G404" s="3">
        <v>59.096969999999999</v>
      </c>
      <c r="M404" s="3">
        <v>54.035890000000002</v>
      </c>
      <c r="N404" s="3">
        <v>41.875630000000001</v>
      </c>
      <c r="P404" s="3">
        <v>26.149640000000002</v>
      </c>
      <c r="S404" s="3">
        <v>40.855800000000002</v>
      </c>
      <c r="T404" s="3">
        <v>46.767090000000003</v>
      </c>
      <c r="V404" s="3">
        <v>44.056809999999999</v>
      </c>
      <c r="W404" s="3">
        <v>38.539259999999999</v>
      </c>
      <c r="X404" s="3">
        <v>7.9181439999999998</v>
      </c>
      <c r="AB404" s="3">
        <v>37.09845</v>
      </c>
      <c r="AD404" s="3">
        <v>0.21103839999999999</v>
      </c>
      <c r="AE404" s="3">
        <v>27.4194</v>
      </c>
      <c r="AF404" s="3">
        <v>79.187160000000006</v>
      </c>
      <c r="AI404" s="3">
        <v>44.434559999999998</v>
      </c>
      <c r="AK404" s="3">
        <v>0.13491700000000001</v>
      </c>
      <c r="AL404" s="3">
        <v>49.708849999999998</v>
      </c>
      <c r="AM404" s="3">
        <v>36.289589999999997</v>
      </c>
      <c r="AN404" s="3">
        <v>23.060220000000001</v>
      </c>
      <c r="AO404" s="3">
        <v>19.327860000000001</v>
      </c>
      <c r="AQ404" s="3">
        <v>11.255940000000001</v>
      </c>
      <c r="AV404" s="3">
        <v>39.973799999999997</v>
      </c>
      <c r="AX404" s="3">
        <v>39.752899999999997</v>
      </c>
    </row>
    <row r="405" spans="1:50" x14ac:dyDescent="0.2">
      <c r="A405" s="3" t="s">
        <v>302</v>
      </c>
      <c r="B405" s="49">
        <v>30133</v>
      </c>
      <c r="D405" s="3">
        <v>42.890979999999999</v>
      </c>
      <c r="F405" s="3">
        <v>44.22889</v>
      </c>
      <c r="G405" s="3">
        <v>59.206629999999997</v>
      </c>
      <c r="M405" s="3">
        <v>54.153770000000002</v>
      </c>
      <c r="N405" s="3">
        <v>42.012369999999997</v>
      </c>
      <c r="P405" s="3">
        <v>26.387499999999999</v>
      </c>
      <c r="S405" s="3">
        <v>40.973030000000001</v>
      </c>
      <c r="T405" s="3">
        <v>46.908099999999997</v>
      </c>
      <c r="V405" s="3">
        <v>44.206710000000001</v>
      </c>
      <c r="W405" s="3">
        <v>38.642110000000002</v>
      </c>
      <c r="X405" s="3">
        <v>7.8716619999999997</v>
      </c>
      <c r="AB405" s="3">
        <v>37.964959999999998</v>
      </c>
      <c r="AD405" s="3">
        <v>0.22875390000000001</v>
      </c>
      <c r="AE405" s="3">
        <v>27.748470000000001</v>
      </c>
      <c r="AF405" s="3">
        <v>78.866810000000001</v>
      </c>
      <c r="AI405" s="3">
        <v>44.794609999999999</v>
      </c>
      <c r="AK405" s="3">
        <v>0.14165169999999999</v>
      </c>
      <c r="AL405" s="3">
        <v>50.10069</v>
      </c>
      <c r="AM405" s="3">
        <v>36.58623</v>
      </c>
      <c r="AN405" s="3">
        <v>23.22147</v>
      </c>
      <c r="AO405" s="3">
        <v>19.41412</v>
      </c>
      <c r="AQ405" s="3">
        <v>11.32424</v>
      </c>
      <c r="AV405" s="3">
        <v>40.130380000000002</v>
      </c>
      <c r="AX405" s="3">
        <v>39.918019999999999</v>
      </c>
    </row>
    <row r="406" spans="1:50" x14ac:dyDescent="0.2">
      <c r="A406" s="3" t="s">
        <v>303</v>
      </c>
      <c r="B406" s="49">
        <v>30164</v>
      </c>
      <c r="D406" s="3">
        <v>43.182459999999999</v>
      </c>
      <c r="F406" s="3">
        <v>44.504840000000002</v>
      </c>
      <c r="G406" s="3">
        <v>59.632719999999999</v>
      </c>
      <c r="M406" s="3">
        <v>54.17624</v>
      </c>
      <c r="N406" s="3">
        <v>42.267209999999999</v>
      </c>
      <c r="P406" s="3">
        <v>26.5212</v>
      </c>
      <c r="S406" s="3">
        <v>41.052129999999998</v>
      </c>
      <c r="T406" s="3">
        <v>46.998930000000001</v>
      </c>
      <c r="V406" s="3">
        <v>44.36374</v>
      </c>
      <c r="W406" s="3">
        <v>38.69847</v>
      </c>
      <c r="X406" s="3">
        <v>7.7638150000000001</v>
      </c>
      <c r="AB406" s="3">
        <v>37.964959999999998</v>
      </c>
      <c r="AD406" s="3">
        <v>0.24355489999999999</v>
      </c>
      <c r="AE406" s="3">
        <v>28.204270000000001</v>
      </c>
      <c r="AF406" s="3">
        <v>78.634829999999994</v>
      </c>
      <c r="AI406" s="3">
        <v>45.036529999999999</v>
      </c>
      <c r="AK406" s="3">
        <v>0.15493170000000001</v>
      </c>
      <c r="AL406" s="3">
        <v>50.246290000000002</v>
      </c>
      <c r="AM406" s="3">
        <v>36.563899999999997</v>
      </c>
      <c r="AN406" s="3">
        <v>23.44285</v>
      </c>
      <c r="AO406" s="3">
        <v>19.508859999999999</v>
      </c>
      <c r="AQ406" s="3">
        <v>11.450150000000001</v>
      </c>
      <c r="AV406" s="3">
        <v>40.220359999999999</v>
      </c>
      <c r="AX406" s="3">
        <v>40.08314</v>
      </c>
    </row>
    <row r="407" spans="1:50" x14ac:dyDescent="0.2">
      <c r="A407" s="3" t="s">
        <v>304</v>
      </c>
      <c r="B407" s="49">
        <v>30195</v>
      </c>
      <c r="D407" s="3">
        <v>43.463590000000003</v>
      </c>
      <c r="F407" s="3">
        <v>44.69462</v>
      </c>
      <c r="G407" s="3">
        <v>59.803939999999997</v>
      </c>
      <c r="M407" s="3">
        <v>54.3812</v>
      </c>
      <c r="N407" s="3">
        <v>42.732550000000003</v>
      </c>
      <c r="P407" s="3">
        <v>26.734159999999999</v>
      </c>
      <c r="S407" s="3">
        <v>40.95834</v>
      </c>
      <c r="T407" s="3">
        <v>47.117229999999999</v>
      </c>
      <c r="V407" s="3">
        <v>44.581229999999998</v>
      </c>
      <c r="W407" s="3">
        <v>38.654159999999997</v>
      </c>
      <c r="X407" s="3">
        <v>8.0134519999999991</v>
      </c>
      <c r="AB407" s="3">
        <v>37.964959999999998</v>
      </c>
      <c r="AD407" s="3">
        <v>0.26199909999999998</v>
      </c>
      <c r="AE407" s="3">
        <v>28.63045</v>
      </c>
      <c r="AF407" s="3">
        <v>79.77431</v>
      </c>
      <c r="AI407" s="3">
        <v>45.372869999999999</v>
      </c>
      <c r="AK407" s="3">
        <v>0.16354489999999999</v>
      </c>
      <c r="AL407" s="3">
        <v>50.626159999999999</v>
      </c>
      <c r="AM407" s="3">
        <v>37.059170000000002</v>
      </c>
      <c r="AN407" s="3">
        <v>23.668050000000001</v>
      </c>
      <c r="AO407" s="3">
        <v>19.66893</v>
      </c>
      <c r="AQ407" s="3">
        <v>11.57222</v>
      </c>
      <c r="AV407" s="3">
        <v>40.482019999999999</v>
      </c>
      <c r="AX407" s="3">
        <v>40.165700000000001</v>
      </c>
    </row>
    <row r="408" spans="1:50" x14ac:dyDescent="0.2">
      <c r="A408" s="3" t="s">
        <v>305</v>
      </c>
      <c r="B408" s="49">
        <v>30225</v>
      </c>
      <c r="D408" s="3">
        <v>43.647910000000003</v>
      </c>
      <c r="F408" s="3">
        <v>45.211500000000001</v>
      </c>
      <c r="G408" s="3">
        <v>59.983750000000001</v>
      </c>
      <c r="M408" s="3">
        <v>54.589660000000002</v>
      </c>
      <c r="N408" s="3">
        <v>43.175660000000001</v>
      </c>
      <c r="P408" s="3">
        <v>27.030550000000002</v>
      </c>
      <c r="S408" s="3">
        <v>41.130519999999997</v>
      </c>
      <c r="T408" s="3">
        <v>47.327739999999999</v>
      </c>
      <c r="V408" s="3">
        <v>44.843730000000001</v>
      </c>
      <c r="W408" s="3">
        <v>38.84581</v>
      </c>
      <c r="X408" s="3">
        <v>8.2249499999999998</v>
      </c>
      <c r="AB408" s="3">
        <v>38.543559999999999</v>
      </c>
      <c r="AD408" s="3">
        <v>0.28800320000000001</v>
      </c>
      <c r="AE408" s="3">
        <v>29.147870000000001</v>
      </c>
      <c r="AF408" s="3">
        <v>80.222269999999995</v>
      </c>
      <c r="AI408" s="3">
        <v>45.791370000000001</v>
      </c>
      <c r="AK408" s="3">
        <v>0.1714</v>
      </c>
      <c r="AL408" s="3">
        <v>50.996659999999999</v>
      </c>
      <c r="AM408" s="3">
        <v>37.325270000000003</v>
      </c>
      <c r="AN408" s="3">
        <v>23.91056</v>
      </c>
      <c r="AO408" s="3">
        <v>19.844190000000001</v>
      </c>
      <c r="AQ408" s="3">
        <v>11.73133</v>
      </c>
      <c r="AV408" s="3">
        <v>40.919170000000001</v>
      </c>
      <c r="AX408" s="3">
        <v>40.330820000000003</v>
      </c>
    </row>
    <row r="409" spans="1:50" x14ac:dyDescent="0.2">
      <c r="A409" s="3" t="s">
        <v>306</v>
      </c>
      <c r="B409" s="49">
        <v>30256</v>
      </c>
      <c r="D409" s="3">
        <v>43.859839999999998</v>
      </c>
      <c r="F409" s="3">
        <v>45.448770000000003</v>
      </c>
      <c r="G409" s="3">
        <v>60.552610000000001</v>
      </c>
      <c r="M409" s="3">
        <v>54.710740000000001</v>
      </c>
      <c r="N409" s="3">
        <v>43.64058</v>
      </c>
      <c r="P409" s="3">
        <v>27.309920000000002</v>
      </c>
      <c r="S409" s="3">
        <v>41.2438</v>
      </c>
      <c r="T409" s="3">
        <v>47.749160000000003</v>
      </c>
      <c r="V409" s="3">
        <v>44.920999999999999</v>
      </c>
      <c r="W409" s="3">
        <v>38.9114</v>
      </c>
      <c r="X409" s="3">
        <v>8.337358</v>
      </c>
      <c r="AB409" s="3">
        <v>38.582470000000001</v>
      </c>
      <c r="AD409" s="3">
        <v>0.3060831</v>
      </c>
      <c r="AE409" s="3">
        <v>29.59638</v>
      </c>
      <c r="AF409" s="3">
        <v>79.944119999999998</v>
      </c>
      <c r="AI409" s="3">
        <v>46.158819999999999</v>
      </c>
      <c r="AK409" s="3">
        <v>0.1809009</v>
      </c>
      <c r="AL409" s="3">
        <v>51.006239999999998</v>
      </c>
      <c r="AM409" s="3">
        <v>37.382579999999997</v>
      </c>
      <c r="AN409" s="3">
        <v>24.07685</v>
      </c>
      <c r="AO409" s="3">
        <v>20.004999999999999</v>
      </c>
      <c r="AQ409" s="3">
        <v>11.83155</v>
      </c>
      <c r="AV409" s="3">
        <v>41.267139999999998</v>
      </c>
      <c r="AX409" s="3">
        <v>40.289540000000002</v>
      </c>
    </row>
    <row r="410" spans="1:50" x14ac:dyDescent="0.2">
      <c r="A410" s="3" t="s">
        <v>307</v>
      </c>
      <c r="B410" s="49">
        <v>30286</v>
      </c>
      <c r="D410" s="3">
        <v>44.265389999999996</v>
      </c>
      <c r="F410" s="3">
        <v>45.51099</v>
      </c>
      <c r="G410" s="3">
        <v>60.542720000000003</v>
      </c>
      <c r="M410" s="3">
        <v>54.951000000000001</v>
      </c>
      <c r="N410" s="3">
        <v>43.555669999999999</v>
      </c>
      <c r="P410" s="3">
        <v>27.34263</v>
      </c>
      <c r="S410" s="3">
        <v>41.904499999999999</v>
      </c>
      <c r="T410" s="3">
        <v>48.115639999999999</v>
      </c>
      <c r="V410" s="3">
        <v>44.912790000000001</v>
      </c>
      <c r="W410" s="3">
        <v>38.694420000000001</v>
      </c>
      <c r="X410" s="3">
        <v>8.4457249999999995</v>
      </c>
      <c r="AB410" s="3">
        <v>38.582470000000001</v>
      </c>
      <c r="AD410" s="3">
        <v>0.32070179999999998</v>
      </c>
      <c r="AE410" s="3">
        <v>29.883600000000001</v>
      </c>
      <c r="AF410" s="3">
        <v>79.987160000000003</v>
      </c>
      <c r="AI410" s="3">
        <v>46.353479999999998</v>
      </c>
      <c r="AK410" s="3">
        <v>0.1969533</v>
      </c>
      <c r="AL410" s="3">
        <v>50.909109999999998</v>
      </c>
      <c r="AM410" s="3">
        <v>37.634079999999997</v>
      </c>
      <c r="AN410" s="3">
        <v>24.28256</v>
      </c>
      <c r="AO410" s="3">
        <v>20.134820000000001</v>
      </c>
      <c r="AQ410" s="3">
        <v>11.99817</v>
      </c>
      <c r="AV410" s="3">
        <v>41.472360000000002</v>
      </c>
      <c r="AX410" s="3">
        <v>40.124420000000001</v>
      </c>
    </row>
    <row r="411" spans="1:50" x14ac:dyDescent="0.2">
      <c r="A411" s="3" t="s">
        <v>308</v>
      </c>
      <c r="B411" s="49">
        <v>30317</v>
      </c>
      <c r="D411" s="3">
        <v>45.003459999999997</v>
      </c>
      <c r="F411" s="3">
        <v>45.482219999999998</v>
      </c>
      <c r="G411" s="3">
        <v>60.589730000000003</v>
      </c>
      <c r="M411" s="3">
        <v>55.305500000000002</v>
      </c>
      <c r="N411" s="3">
        <v>43.971870000000003</v>
      </c>
      <c r="P411" s="3">
        <v>27.78152</v>
      </c>
      <c r="S411" s="3">
        <v>42.396740000000001</v>
      </c>
      <c r="T411" s="3">
        <v>48.698639999999997</v>
      </c>
      <c r="V411" s="3">
        <v>45.070549999999997</v>
      </c>
      <c r="W411" s="3">
        <v>38.734929999999999</v>
      </c>
      <c r="X411" s="3">
        <v>8.6164269999999998</v>
      </c>
      <c r="AB411" s="3">
        <v>39.670020000000001</v>
      </c>
      <c r="AD411" s="3">
        <v>0.3443833</v>
      </c>
      <c r="AE411" s="3">
        <v>29.97485</v>
      </c>
      <c r="AF411" s="3">
        <v>79.71584</v>
      </c>
      <c r="AI411" s="3">
        <v>46.409280000000003</v>
      </c>
      <c r="AK411" s="3">
        <v>0.2222199</v>
      </c>
      <c r="AL411" s="3">
        <v>50.908650000000002</v>
      </c>
      <c r="AM411" s="3">
        <v>38.264589999999998</v>
      </c>
      <c r="AN411" s="3">
        <v>24.569320000000001</v>
      </c>
      <c r="AO411" s="3">
        <v>20.334790000000002</v>
      </c>
      <c r="AQ411" s="3">
        <v>12.43412</v>
      </c>
      <c r="AV411" s="3">
        <v>42.407739999999997</v>
      </c>
      <c r="AX411" s="3">
        <v>40.289540000000002</v>
      </c>
    </row>
    <row r="412" spans="1:50" x14ac:dyDescent="0.2">
      <c r="A412" s="3" t="s">
        <v>309</v>
      </c>
      <c r="B412" s="49">
        <v>30348</v>
      </c>
      <c r="D412" s="3">
        <v>45.36835</v>
      </c>
      <c r="F412" s="3">
        <v>45.817410000000002</v>
      </c>
      <c r="G412" s="3">
        <v>60.818420000000003</v>
      </c>
      <c r="M412" s="3">
        <v>55.3904</v>
      </c>
      <c r="N412" s="3">
        <v>44.139380000000003</v>
      </c>
      <c r="P412" s="3">
        <v>28.13842</v>
      </c>
      <c r="S412" s="3">
        <v>42.528640000000003</v>
      </c>
      <c r="T412" s="3">
        <v>49.086359999999999</v>
      </c>
      <c r="V412" s="3">
        <v>45.233539999999998</v>
      </c>
      <c r="W412" s="3">
        <v>38.997230000000002</v>
      </c>
      <c r="X412" s="3">
        <v>8.7303689999999996</v>
      </c>
      <c r="AB412" s="3">
        <v>39.670020000000001</v>
      </c>
      <c r="AD412" s="3">
        <v>0.3613247</v>
      </c>
      <c r="AE412" s="3">
        <v>30.462430000000001</v>
      </c>
      <c r="AF412" s="3">
        <v>79.288520000000005</v>
      </c>
      <c r="AI412" s="3">
        <v>46.63344</v>
      </c>
      <c r="AK412" s="3">
        <v>0.23621130000000001</v>
      </c>
      <c r="AL412" s="3">
        <v>51.123199999999997</v>
      </c>
      <c r="AM412" s="3">
        <v>38.489420000000003</v>
      </c>
      <c r="AN412" s="3">
        <v>24.751830000000002</v>
      </c>
      <c r="AO412" s="3">
        <v>20.495529999999999</v>
      </c>
      <c r="AQ412" s="3">
        <v>12.67178</v>
      </c>
      <c r="AV412" s="3">
        <v>42.39828</v>
      </c>
      <c r="AX412" s="3">
        <v>40.413379999999997</v>
      </c>
    </row>
    <row r="413" spans="1:50" x14ac:dyDescent="0.2">
      <c r="A413" s="3" t="s">
        <v>310</v>
      </c>
      <c r="B413" s="49">
        <v>30376</v>
      </c>
      <c r="D413" s="3">
        <v>45.585729999999998</v>
      </c>
      <c r="F413" s="3">
        <v>46.072200000000002</v>
      </c>
      <c r="G413" s="3">
        <v>60.930999999999997</v>
      </c>
      <c r="M413" s="3">
        <v>55.47195</v>
      </c>
      <c r="N413" s="3">
        <v>44.232570000000003</v>
      </c>
      <c r="P413" s="3">
        <v>28.343920000000001</v>
      </c>
      <c r="S413" s="3">
        <v>42.876550000000002</v>
      </c>
      <c r="T413" s="3">
        <v>49.682139999999997</v>
      </c>
      <c r="V413" s="3">
        <v>45.419820000000001</v>
      </c>
      <c r="W413" s="3">
        <v>39.114319999999999</v>
      </c>
      <c r="X413" s="3">
        <v>9.1140319999999999</v>
      </c>
      <c r="AB413" s="3">
        <v>39.670020000000001</v>
      </c>
      <c r="AD413" s="3">
        <v>0.379359</v>
      </c>
      <c r="AE413" s="3">
        <v>30.79196</v>
      </c>
      <c r="AF413" s="3">
        <v>79.693719999999999</v>
      </c>
      <c r="AI413" s="3">
        <v>46.732970000000002</v>
      </c>
      <c r="AK413" s="3">
        <v>0.24863879999999999</v>
      </c>
      <c r="AL413" s="3">
        <v>51.213999999999999</v>
      </c>
      <c r="AM413" s="3">
        <v>39.143160000000002</v>
      </c>
      <c r="AN413" s="3">
        <v>24.942699999999999</v>
      </c>
      <c r="AO413" s="3">
        <v>20.658729999999998</v>
      </c>
      <c r="AQ413" s="3">
        <v>12.879899999999999</v>
      </c>
      <c r="AV413" s="3">
        <v>42.627090000000003</v>
      </c>
      <c r="AX413" s="3">
        <v>40.495939999999997</v>
      </c>
    </row>
    <row r="414" spans="1:50" x14ac:dyDescent="0.2">
      <c r="A414" s="3" t="s">
        <v>311</v>
      </c>
      <c r="B414" s="49">
        <v>30407</v>
      </c>
      <c r="D414" s="3">
        <v>45.854379999999999</v>
      </c>
      <c r="F414" s="3">
        <v>46.21434</v>
      </c>
      <c r="G414" s="3">
        <v>60.956119999999999</v>
      </c>
      <c r="M414" s="3">
        <v>55.523150000000001</v>
      </c>
      <c r="N414" s="3">
        <v>44.59534</v>
      </c>
      <c r="P414" s="3">
        <v>28.767410000000002</v>
      </c>
      <c r="S414" s="3">
        <v>43.069450000000003</v>
      </c>
      <c r="T414" s="3">
        <v>50.269199999999998</v>
      </c>
      <c r="V414" s="3">
        <v>45.721029999999999</v>
      </c>
      <c r="W414" s="3">
        <v>39.744929999999997</v>
      </c>
      <c r="X414" s="3">
        <v>9.170299</v>
      </c>
      <c r="AB414" s="3">
        <v>40.964739999999999</v>
      </c>
      <c r="AD414" s="3">
        <v>0.43614900000000001</v>
      </c>
      <c r="AE414" s="3">
        <v>31.14819</v>
      </c>
      <c r="AF414" s="3">
        <v>80.271720000000002</v>
      </c>
      <c r="AI414" s="3">
        <v>47.009689999999999</v>
      </c>
      <c r="AK414" s="3">
        <v>0.26240580000000002</v>
      </c>
      <c r="AL414" s="3">
        <v>51.480690000000003</v>
      </c>
      <c r="AM414" s="3">
        <v>39.255569999999999</v>
      </c>
      <c r="AN414" s="3">
        <v>25.196760000000001</v>
      </c>
      <c r="AO414" s="3">
        <v>20.85446</v>
      </c>
      <c r="AQ414" s="3">
        <v>13.110849999999999</v>
      </c>
      <c r="AV414" s="3">
        <v>43.01164</v>
      </c>
      <c r="AX414" s="3">
        <v>40.70234</v>
      </c>
    </row>
    <row r="415" spans="1:50" x14ac:dyDescent="0.2">
      <c r="A415" s="3" t="s">
        <v>312</v>
      </c>
      <c r="B415" s="49">
        <v>30437</v>
      </c>
      <c r="D415" s="3">
        <v>46.128050000000002</v>
      </c>
      <c r="F415" s="3">
        <v>46.306319999999999</v>
      </c>
      <c r="G415" s="3">
        <v>61.12932</v>
      </c>
      <c r="M415" s="3">
        <v>55.673259999999999</v>
      </c>
      <c r="N415" s="3">
        <v>45.271160000000002</v>
      </c>
      <c r="P415" s="3">
        <v>28.995149999999999</v>
      </c>
      <c r="S415" s="3">
        <v>43.999049999999997</v>
      </c>
      <c r="T415" s="3">
        <v>50.576790000000003</v>
      </c>
      <c r="V415" s="3">
        <v>45.933410000000002</v>
      </c>
      <c r="W415" s="3">
        <v>39.938229999999997</v>
      </c>
      <c r="X415" s="3">
        <v>9.3408669999999994</v>
      </c>
      <c r="AB415" s="3">
        <v>40.964739999999999</v>
      </c>
      <c r="AD415" s="3">
        <v>0.46119680000000002</v>
      </c>
      <c r="AE415" s="3">
        <v>31.440840000000001</v>
      </c>
      <c r="AF415" s="3">
        <v>81.266670000000005</v>
      </c>
      <c r="AI415" s="3">
        <v>47.340130000000002</v>
      </c>
      <c r="AK415" s="3">
        <v>0.27411869999999999</v>
      </c>
      <c r="AL415" s="3">
        <v>51.509889999999999</v>
      </c>
      <c r="AM415" s="3">
        <v>39.35107</v>
      </c>
      <c r="AN415" s="3">
        <v>25.37603</v>
      </c>
      <c r="AO415" s="3">
        <v>20.971080000000001</v>
      </c>
      <c r="AQ415" s="3">
        <v>13.17557</v>
      </c>
      <c r="AV415" s="3">
        <v>43.21763</v>
      </c>
      <c r="AX415" s="3">
        <v>40.7849</v>
      </c>
    </row>
    <row r="416" spans="1:50" x14ac:dyDescent="0.2">
      <c r="A416" s="3" t="s">
        <v>313</v>
      </c>
      <c r="B416" s="49">
        <v>30468</v>
      </c>
      <c r="D416" s="3">
        <v>46.306609999999999</v>
      </c>
      <c r="F416" s="3">
        <v>46.491030000000002</v>
      </c>
      <c r="G416" s="3">
        <v>61.205860000000001</v>
      </c>
      <c r="M416" s="3">
        <v>55.871220000000001</v>
      </c>
      <c r="N416" s="3">
        <v>45.337859999999999</v>
      </c>
      <c r="P416" s="3">
        <v>29.226230000000001</v>
      </c>
      <c r="S416" s="3">
        <v>44.530349999999999</v>
      </c>
      <c r="T416" s="3">
        <v>50.876779999999997</v>
      </c>
      <c r="V416" s="3">
        <v>46.067889999999998</v>
      </c>
      <c r="W416" s="3">
        <v>39.976790000000001</v>
      </c>
      <c r="X416" s="3">
        <v>9.4459510000000009</v>
      </c>
      <c r="AB416" s="3">
        <v>40.964739999999999</v>
      </c>
      <c r="AD416" s="3">
        <v>0.48856709999999998</v>
      </c>
      <c r="AE416" s="3">
        <v>31.60867</v>
      </c>
      <c r="AF416" s="3">
        <v>81.219809999999995</v>
      </c>
      <c r="AI416" s="3">
        <v>47.477130000000002</v>
      </c>
      <c r="AK416" s="3">
        <v>0.28489379999999997</v>
      </c>
      <c r="AL416" s="3">
        <v>51.521180000000001</v>
      </c>
      <c r="AM416" s="3">
        <v>39.48207</v>
      </c>
      <c r="AN416" s="3">
        <v>25.531210000000002</v>
      </c>
      <c r="AO416" s="3">
        <v>21.097840000000001</v>
      </c>
      <c r="AQ416" s="3">
        <v>13.38264</v>
      </c>
      <c r="AV416" s="3">
        <v>43.426470000000002</v>
      </c>
      <c r="AX416" s="3">
        <v>40.908740000000002</v>
      </c>
    </row>
    <row r="417" spans="1:50" x14ac:dyDescent="0.2">
      <c r="A417" s="3" t="s">
        <v>314</v>
      </c>
      <c r="B417" s="49">
        <v>30498</v>
      </c>
      <c r="D417" s="3">
        <v>46.637160000000002</v>
      </c>
      <c r="F417" s="3">
        <v>46.711919999999999</v>
      </c>
      <c r="G417" s="3">
        <v>61.21</v>
      </c>
      <c r="M417" s="3">
        <v>56.105069999999998</v>
      </c>
      <c r="N417" s="3">
        <v>45.363300000000002</v>
      </c>
      <c r="P417" s="3">
        <v>29.4</v>
      </c>
      <c r="S417" s="3">
        <v>44.831290000000003</v>
      </c>
      <c r="T417" s="3">
        <v>51.354509999999998</v>
      </c>
      <c r="V417" s="3">
        <v>46.273069999999997</v>
      </c>
      <c r="W417" s="3">
        <v>40.220950000000002</v>
      </c>
      <c r="X417" s="3">
        <v>9.4502480000000002</v>
      </c>
      <c r="AB417" s="3">
        <v>41.738480000000003</v>
      </c>
      <c r="AD417" s="3">
        <v>0.52659400000000001</v>
      </c>
      <c r="AE417" s="3">
        <v>31.919750000000001</v>
      </c>
      <c r="AF417" s="3">
        <v>80.849720000000005</v>
      </c>
      <c r="AI417" s="3">
        <v>48.049329999999998</v>
      </c>
      <c r="AK417" s="3">
        <v>0.29817900000000003</v>
      </c>
      <c r="AL417" s="3">
        <v>51.764220000000002</v>
      </c>
      <c r="AM417" s="3">
        <v>39.648560000000003</v>
      </c>
      <c r="AN417" s="3">
        <v>25.721399999999999</v>
      </c>
      <c r="AO417" s="3">
        <v>21.23161</v>
      </c>
      <c r="AQ417" s="3">
        <v>13.61411</v>
      </c>
      <c r="AV417" s="3">
        <v>43.640329999999999</v>
      </c>
      <c r="AX417" s="3">
        <v>41.11515</v>
      </c>
    </row>
    <row r="418" spans="1:50" x14ac:dyDescent="0.2">
      <c r="A418" s="3" t="s">
        <v>315</v>
      </c>
      <c r="B418" s="49">
        <v>30529</v>
      </c>
      <c r="D418" s="3">
        <v>46.806530000000002</v>
      </c>
      <c r="F418" s="3">
        <v>46.986519999999999</v>
      </c>
      <c r="G418" s="3">
        <v>61.554340000000003</v>
      </c>
      <c r="M418" s="3">
        <v>56.296610000000001</v>
      </c>
      <c r="N418" s="3">
        <v>45.52628</v>
      </c>
      <c r="P418" s="3">
        <v>29.62791</v>
      </c>
      <c r="S418" s="3">
        <v>44.957979999999999</v>
      </c>
      <c r="T418" s="3">
        <v>51.591679999999997</v>
      </c>
      <c r="V418" s="3">
        <v>46.40672</v>
      </c>
      <c r="W418" s="3">
        <v>40.4236</v>
      </c>
      <c r="X418" s="3">
        <v>9.3738869999999999</v>
      </c>
      <c r="AB418" s="3">
        <v>41.738480000000003</v>
      </c>
      <c r="AD418" s="3">
        <v>0.56580509999999995</v>
      </c>
      <c r="AE418" s="3">
        <v>32.142940000000003</v>
      </c>
      <c r="AF418" s="3">
        <v>80.27431</v>
      </c>
      <c r="AI418" s="3">
        <v>48.434089999999998</v>
      </c>
      <c r="AK418" s="3">
        <v>0.31112980000000001</v>
      </c>
      <c r="AL418" s="3">
        <v>51.915170000000003</v>
      </c>
      <c r="AM418" s="3">
        <v>39.57582</v>
      </c>
      <c r="AN418" s="3">
        <v>25.87867</v>
      </c>
      <c r="AO418" s="3">
        <v>21.349489999999999</v>
      </c>
      <c r="AQ418" s="3">
        <v>13.91741</v>
      </c>
      <c r="AV418" s="3">
        <v>43.78857</v>
      </c>
      <c r="AX418" s="3">
        <v>41.280270000000002</v>
      </c>
    </row>
    <row r="419" spans="1:50" x14ac:dyDescent="0.2">
      <c r="A419" s="3" t="s">
        <v>316</v>
      </c>
      <c r="B419" s="49">
        <v>30560</v>
      </c>
      <c r="D419" s="3">
        <v>47.037860000000002</v>
      </c>
      <c r="F419" s="3">
        <v>47.127330000000001</v>
      </c>
      <c r="G419" s="3">
        <v>61.611690000000003</v>
      </c>
      <c r="M419" s="3">
        <v>56.446719999999999</v>
      </c>
      <c r="N419" s="3">
        <v>45.797350000000002</v>
      </c>
      <c r="P419" s="3">
        <v>29.982959999999999</v>
      </c>
      <c r="S419" s="3">
        <v>45.281649999999999</v>
      </c>
      <c r="T419" s="3">
        <v>51.944580000000002</v>
      </c>
      <c r="V419" s="3">
        <v>46.760210000000001</v>
      </c>
      <c r="W419" s="3">
        <v>40.5533</v>
      </c>
      <c r="X419" s="3">
        <v>9.7155319999999996</v>
      </c>
      <c r="AB419" s="3">
        <v>41.738480000000003</v>
      </c>
      <c r="AD419" s="3">
        <v>0.61216619999999999</v>
      </c>
      <c r="AE419" s="3">
        <v>32.550260000000002</v>
      </c>
      <c r="AF419" s="3">
        <v>81.486609999999999</v>
      </c>
      <c r="AI419" s="3">
        <v>48.880859999999998</v>
      </c>
      <c r="AK419" s="3">
        <v>0.3216581</v>
      </c>
      <c r="AL419" s="3">
        <v>52.180660000000003</v>
      </c>
      <c r="AM419" s="3">
        <v>40.071300000000001</v>
      </c>
      <c r="AN419" s="3">
        <v>26.13194</v>
      </c>
      <c r="AO419" s="3">
        <v>21.52149</v>
      </c>
      <c r="AQ419" s="3">
        <v>14.24301</v>
      </c>
      <c r="AV419" s="3">
        <v>44.151859999999999</v>
      </c>
      <c r="AX419" s="3">
        <v>41.569229999999997</v>
      </c>
    </row>
    <row r="420" spans="1:50" x14ac:dyDescent="0.2">
      <c r="A420" s="3" t="s">
        <v>317</v>
      </c>
      <c r="B420" s="49">
        <v>30590</v>
      </c>
      <c r="D420" s="3">
        <v>47.218940000000003</v>
      </c>
      <c r="F420" s="3">
        <v>47.486710000000002</v>
      </c>
      <c r="G420" s="3">
        <v>61.719270000000002</v>
      </c>
      <c r="M420" s="3">
        <v>56.480710000000002</v>
      </c>
      <c r="N420" s="3">
        <v>46.125979999999998</v>
      </c>
      <c r="P420" s="3">
        <v>30.337389999999999</v>
      </c>
      <c r="S420" s="3">
        <v>45.403869999999998</v>
      </c>
      <c r="T420" s="3">
        <v>52.335819999999998</v>
      </c>
      <c r="V420" s="3">
        <v>47.06174</v>
      </c>
      <c r="W420" s="3">
        <v>40.706290000000003</v>
      </c>
      <c r="X420" s="3">
        <v>9.9881030000000006</v>
      </c>
      <c r="AB420" s="3">
        <v>42.688110000000002</v>
      </c>
      <c r="AD420" s="3">
        <v>0.73362479999999997</v>
      </c>
      <c r="AE420" s="3">
        <v>33.095480000000002</v>
      </c>
      <c r="AF420" s="3">
        <v>82.068309999999997</v>
      </c>
      <c r="AI420" s="3">
        <v>49.313409999999998</v>
      </c>
      <c r="AK420" s="3">
        <v>0.33273150000000001</v>
      </c>
      <c r="AL420" s="3">
        <v>52.428989999999999</v>
      </c>
      <c r="AM420" s="3">
        <v>40.319029999999998</v>
      </c>
      <c r="AN420" s="3">
        <v>26.401730000000001</v>
      </c>
      <c r="AO420" s="3">
        <v>21.746970000000001</v>
      </c>
      <c r="AQ420" s="3">
        <v>14.50295</v>
      </c>
      <c r="AV420" s="3">
        <v>44.527340000000002</v>
      </c>
      <c r="AX420" s="3">
        <v>41.81691</v>
      </c>
    </row>
    <row r="421" spans="1:50" x14ac:dyDescent="0.2">
      <c r="A421" s="3" t="s">
        <v>318</v>
      </c>
      <c r="B421" s="49">
        <v>30621</v>
      </c>
      <c r="D421" s="3">
        <v>47.279380000000003</v>
      </c>
      <c r="F421" s="3">
        <v>47.589860000000002</v>
      </c>
      <c r="G421" s="3">
        <v>62.04101</v>
      </c>
      <c r="M421" s="3">
        <v>56.557580000000002</v>
      </c>
      <c r="N421" s="3">
        <v>46.626530000000002</v>
      </c>
      <c r="P421" s="3">
        <v>30.66723</v>
      </c>
      <c r="S421" s="3">
        <v>45.865659999999998</v>
      </c>
      <c r="T421" s="3">
        <v>52.565379999999998</v>
      </c>
      <c r="V421" s="3">
        <v>47.254280000000001</v>
      </c>
      <c r="W421" s="3">
        <v>40.837670000000003</v>
      </c>
      <c r="X421" s="3">
        <v>10.08099</v>
      </c>
      <c r="AB421" s="3">
        <v>42.688110000000002</v>
      </c>
      <c r="AD421" s="3">
        <v>0.84957300000000002</v>
      </c>
      <c r="AE421" s="3">
        <v>33.468910000000001</v>
      </c>
      <c r="AF421" s="3">
        <v>82.044939999999997</v>
      </c>
      <c r="AI421" s="3">
        <v>49.585450000000002</v>
      </c>
      <c r="AK421" s="3">
        <v>0.34968139999999998</v>
      </c>
      <c r="AL421" s="3">
        <v>52.539230000000003</v>
      </c>
      <c r="AM421" s="3">
        <v>40.356450000000002</v>
      </c>
      <c r="AN421" s="3">
        <v>26.63908</v>
      </c>
      <c r="AO421" s="3">
        <v>21.931560000000001</v>
      </c>
      <c r="AQ421" s="3">
        <v>14.750920000000001</v>
      </c>
      <c r="AV421" s="3">
        <v>44.837359999999997</v>
      </c>
      <c r="AX421" s="3">
        <v>42.023310000000002</v>
      </c>
    </row>
    <row r="422" spans="1:50" x14ac:dyDescent="0.2">
      <c r="A422" s="3" t="s">
        <v>319</v>
      </c>
      <c r="B422" s="49">
        <v>30651</v>
      </c>
      <c r="D422" s="3">
        <v>47.395310000000002</v>
      </c>
      <c r="F422" s="3">
        <v>47.593730000000001</v>
      </c>
      <c r="G422" s="3">
        <v>62.09646</v>
      </c>
      <c r="M422" s="3">
        <v>56.680410000000002</v>
      </c>
      <c r="N422" s="3">
        <v>46.682380000000002</v>
      </c>
      <c r="P422" s="3">
        <v>30.78661</v>
      </c>
      <c r="S422" s="3">
        <v>45.973730000000003</v>
      </c>
      <c r="T422" s="3">
        <v>52.756720000000001</v>
      </c>
      <c r="V422" s="3">
        <v>47.318680000000001</v>
      </c>
      <c r="W422" s="3">
        <v>40.91039</v>
      </c>
      <c r="X422" s="3">
        <v>10.2325</v>
      </c>
      <c r="AB422" s="3">
        <v>42.688110000000002</v>
      </c>
      <c r="AD422" s="3">
        <v>0.93218489999999998</v>
      </c>
      <c r="AE422" s="3">
        <v>33.596440000000001</v>
      </c>
      <c r="AF422" s="3">
        <v>81.979230000000001</v>
      </c>
      <c r="AI422" s="3">
        <v>49.814810000000001</v>
      </c>
      <c r="AK422" s="3">
        <v>0.36344140000000003</v>
      </c>
      <c r="AL422" s="3">
        <v>52.517180000000003</v>
      </c>
      <c r="AM422" s="3">
        <v>40.522709999999996</v>
      </c>
      <c r="AN422" s="3">
        <v>26.792570000000001</v>
      </c>
      <c r="AO422" s="3">
        <v>22.062470000000001</v>
      </c>
      <c r="AQ422" s="3">
        <v>15.112679999999999</v>
      </c>
      <c r="AV422" s="3">
        <v>45.202959999999997</v>
      </c>
      <c r="AX422" s="3">
        <v>42.064590000000003</v>
      </c>
    </row>
    <row r="423" spans="1:50" x14ac:dyDescent="0.2">
      <c r="A423" s="3" t="s">
        <v>320</v>
      </c>
      <c r="B423" s="49">
        <v>30682</v>
      </c>
      <c r="D423" s="3">
        <v>47.938429999999997</v>
      </c>
      <c r="F423" s="3">
        <v>47.694070000000004</v>
      </c>
      <c r="G423" s="3">
        <v>62.212150000000001</v>
      </c>
      <c r="M423" s="3">
        <v>56.845840000000003</v>
      </c>
      <c r="N423" s="3">
        <v>46.795009999999998</v>
      </c>
      <c r="P423" s="3">
        <v>31.19556</v>
      </c>
      <c r="S423" s="3">
        <v>46.413319999999999</v>
      </c>
      <c r="T423" s="3">
        <v>53.151899999999998</v>
      </c>
      <c r="V423" s="3">
        <v>47.46799</v>
      </c>
      <c r="W423" s="3">
        <v>40.823360000000001</v>
      </c>
      <c r="X423" s="3">
        <v>10.37811</v>
      </c>
      <c r="AB423" s="3">
        <v>43.754800000000003</v>
      </c>
      <c r="AD423" s="3">
        <v>1.068262</v>
      </c>
      <c r="AE423" s="3">
        <v>33.919820000000001</v>
      </c>
      <c r="AF423" s="3">
        <v>81.768039999999999</v>
      </c>
      <c r="AI423" s="3">
        <v>50.040700000000001</v>
      </c>
      <c r="AK423" s="3">
        <v>0.38300430000000002</v>
      </c>
      <c r="AL423" s="3">
        <v>52.548180000000002</v>
      </c>
      <c r="AM423" s="3">
        <v>40.721089999999997</v>
      </c>
      <c r="AN423" s="3">
        <v>26.96959</v>
      </c>
      <c r="AO423" s="3">
        <v>22.227229999999999</v>
      </c>
      <c r="AQ423" s="3">
        <v>15.51385</v>
      </c>
      <c r="AV423" s="3">
        <v>45.643360000000001</v>
      </c>
      <c r="AX423" s="3">
        <v>42.229709999999997</v>
      </c>
    </row>
    <row r="424" spans="1:50" x14ac:dyDescent="0.2">
      <c r="A424" s="3" t="s">
        <v>321</v>
      </c>
      <c r="B424" s="49">
        <v>30713</v>
      </c>
      <c r="D424" s="3">
        <v>48.323920000000001</v>
      </c>
      <c r="F424" s="3">
        <v>47.852420000000002</v>
      </c>
      <c r="G424" s="3">
        <v>62.431049999999999</v>
      </c>
      <c r="M424" s="3">
        <v>57.002650000000003</v>
      </c>
      <c r="N424" s="3">
        <v>47.196750000000002</v>
      </c>
      <c r="P424" s="3">
        <v>31.422550000000001</v>
      </c>
      <c r="S424" s="3">
        <v>46.568989999999999</v>
      </c>
      <c r="T424" s="3">
        <v>53.420200000000001</v>
      </c>
      <c r="V424" s="3">
        <v>47.637169999999998</v>
      </c>
      <c r="W424" s="3">
        <v>41.03443</v>
      </c>
      <c r="X424" s="3">
        <v>10.41963</v>
      </c>
      <c r="AB424" s="3">
        <v>43.754800000000003</v>
      </c>
      <c r="AD424" s="3">
        <v>1.1936370000000001</v>
      </c>
      <c r="AE424" s="3">
        <v>34.351599999999998</v>
      </c>
      <c r="AF424" s="3">
        <v>81.739199999999997</v>
      </c>
      <c r="AI424" s="3">
        <v>50.285870000000003</v>
      </c>
      <c r="AK424" s="3">
        <v>0.40310869999999999</v>
      </c>
      <c r="AL424" s="3">
        <v>52.864960000000004</v>
      </c>
      <c r="AM424" s="3">
        <v>40.887880000000003</v>
      </c>
      <c r="AN424" s="3">
        <v>27.131810000000002</v>
      </c>
      <c r="AO424" s="3">
        <v>22.356179999999998</v>
      </c>
      <c r="AQ424" s="3">
        <v>15.82142</v>
      </c>
      <c r="AV424" s="3">
        <v>45.882829999999998</v>
      </c>
      <c r="AX424" s="3">
        <v>42.353549999999998</v>
      </c>
    </row>
    <row r="425" spans="1:50" x14ac:dyDescent="0.2">
      <c r="A425" s="3" t="s">
        <v>322</v>
      </c>
      <c r="B425" s="49">
        <v>30742</v>
      </c>
      <c r="D425" s="3">
        <v>48.58746</v>
      </c>
      <c r="F425" s="3">
        <v>47.982379999999999</v>
      </c>
      <c r="G425" s="3">
        <v>62.790100000000002</v>
      </c>
      <c r="M425" s="3">
        <v>57.121839999999999</v>
      </c>
      <c r="N425" s="3">
        <v>47.295630000000003</v>
      </c>
      <c r="P425" s="3">
        <v>31.749780000000001</v>
      </c>
      <c r="S425" s="3">
        <v>46.84919</v>
      </c>
      <c r="T425" s="3">
        <v>53.78492</v>
      </c>
      <c r="V425" s="3">
        <v>47.814129999999999</v>
      </c>
      <c r="W425" s="3">
        <v>41.12135</v>
      </c>
      <c r="X425" s="3">
        <v>10.7822</v>
      </c>
      <c r="AB425" s="3">
        <v>43.754800000000003</v>
      </c>
      <c r="AD425" s="3">
        <v>1.3120449999999999</v>
      </c>
      <c r="AE425" s="3">
        <v>34.580719999999999</v>
      </c>
      <c r="AF425" s="3">
        <v>81.905600000000007</v>
      </c>
      <c r="AI425" s="3">
        <v>50.551879999999997</v>
      </c>
      <c r="AK425" s="3">
        <v>0.4203539</v>
      </c>
      <c r="AL425" s="3">
        <v>53.066270000000003</v>
      </c>
      <c r="AM425" s="3">
        <v>41.58229</v>
      </c>
      <c r="AN425" s="3">
        <v>27.305980000000002</v>
      </c>
      <c r="AO425" s="3">
        <v>22.497430000000001</v>
      </c>
      <c r="AQ425" s="3">
        <v>16.170829999999999</v>
      </c>
      <c r="AV425" s="3">
        <v>46.129379999999998</v>
      </c>
      <c r="AX425" s="3">
        <v>42.51867</v>
      </c>
    </row>
    <row r="426" spans="1:50" x14ac:dyDescent="0.2">
      <c r="A426" s="3" t="s">
        <v>323</v>
      </c>
      <c r="B426" s="49">
        <v>30773</v>
      </c>
      <c r="D426" s="3">
        <v>48.861620000000002</v>
      </c>
      <c r="F426" s="3">
        <v>48.158470000000001</v>
      </c>
      <c r="G426" s="3">
        <v>62.802329999999998</v>
      </c>
      <c r="M426" s="3">
        <v>57.17304</v>
      </c>
      <c r="N426" s="3">
        <v>47.458480000000002</v>
      </c>
      <c r="P426" s="3">
        <v>31.931450000000002</v>
      </c>
      <c r="S426" s="3">
        <v>47.107810000000001</v>
      </c>
      <c r="T426" s="3">
        <v>54.16066</v>
      </c>
      <c r="V426" s="3">
        <v>48.086680000000001</v>
      </c>
      <c r="W426" s="3">
        <v>41.756900000000002</v>
      </c>
      <c r="X426" s="3">
        <v>10.9276</v>
      </c>
      <c r="AB426" s="3">
        <v>44.489910000000002</v>
      </c>
      <c r="AD426" s="3">
        <v>1.6106590000000001</v>
      </c>
      <c r="AE426" s="3">
        <v>34.880499999999998</v>
      </c>
      <c r="AF426" s="3">
        <v>82.405460000000005</v>
      </c>
      <c r="AI426" s="3">
        <v>50.741729999999997</v>
      </c>
      <c r="AK426" s="3">
        <v>0.43559389999999998</v>
      </c>
      <c r="AL426" s="3">
        <v>53.230550000000001</v>
      </c>
      <c r="AM426" s="3">
        <v>41.772030000000001</v>
      </c>
      <c r="AN426" s="3">
        <v>27.520859999999999</v>
      </c>
      <c r="AO426" s="3">
        <v>22.681809999999999</v>
      </c>
      <c r="AQ426" s="3">
        <v>16.56897</v>
      </c>
      <c r="AV426" s="3">
        <v>46.501429999999999</v>
      </c>
      <c r="AX426" s="3">
        <v>42.725070000000002</v>
      </c>
    </row>
    <row r="427" spans="1:50" x14ac:dyDescent="0.2">
      <c r="A427" s="3" t="s">
        <v>324</v>
      </c>
      <c r="B427" s="49">
        <v>30803</v>
      </c>
      <c r="D427" s="3">
        <v>48.965949999999999</v>
      </c>
      <c r="F427" s="3">
        <v>48.216099999999997</v>
      </c>
      <c r="G427" s="3">
        <v>62.729300000000002</v>
      </c>
      <c r="M427" s="3">
        <v>57.259979999999999</v>
      </c>
      <c r="N427" s="3">
        <v>48.101489999999998</v>
      </c>
      <c r="P427" s="3">
        <v>32.168869999999998</v>
      </c>
      <c r="S427" s="3">
        <v>47.66169</v>
      </c>
      <c r="T427" s="3">
        <v>54.481459999999998</v>
      </c>
      <c r="V427" s="3">
        <v>48.337350000000001</v>
      </c>
      <c r="W427" s="3">
        <v>41.890749999999997</v>
      </c>
      <c r="X427" s="3">
        <v>11.024559999999999</v>
      </c>
      <c r="AB427" s="3">
        <v>44.489910000000002</v>
      </c>
      <c r="AD427" s="3">
        <v>1.835132</v>
      </c>
      <c r="AE427" s="3">
        <v>35.129040000000003</v>
      </c>
      <c r="AF427" s="3">
        <v>83.545490000000001</v>
      </c>
      <c r="AI427" s="3">
        <v>50.92877</v>
      </c>
      <c r="AK427" s="3">
        <v>0.44839250000000003</v>
      </c>
      <c r="AL427" s="3">
        <v>53.26108</v>
      </c>
      <c r="AM427" s="3">
        <v>41.772030000000001</v>
      </c>
      <c r="AN427" s="3">
        <v>27.702369999999998</v>
      </c>
      <c r="AO427" s="3">
        <v>22.80377</v>
      </c>
      <c r="AQ427" s="3">
        <v>16.642389999999999</v>
      </c>
      <c r="AV427" s="3">
        <v>46.647190000000002</v>
      </c>
      <c r="AX427" s="3">
        <v>42.8902</v>
      </c>
    </row>
    <row r="428" spans="1:50" x14ac:dyDescent="0.2">
      <c r="A428" s="3" t="s">
        <v>325</v>
      </c>
      <c r="B428" s="49">
        <v>30834</v>
      </c>
      <c r="D428" s="3">
        <v>49.201650000000001</v>
      </c>
      <c r="F428" s="3">
        <v>48.45234</v>
      </c>
      <c r="G428" s="3">
        <v>62.799729999999997</v>
      </c>
      <c r="M428" s="3">
        <v>57.449330000000003</v>
      </c>
      <c r="N428" s="3">
        <v>48.406930000000003</v>
      </c>
      <c r="P428" s="3">
        <v>32.34975</v>
      </c>
      <c r="S428" s="3">
        <v>47.774979999999999</v>
      </c>
      <c r="T428" s="3">
        <v>54.727600000000002</v>
      </c>
      <c r="V428" s="3">
        <v>48.458129999999997</v>
      </c>
      <c r="W428" s="3">
        <v>41.972639999999998</v>
      </c>
      <c r="X428" s="3">
        <v>11.19638</v>
      </c>
      <c r="AB428" s="3">
        <v>44.489910000000002</v>
      </c>
      <c r="AD428" s="3">
        <v>2.0911200000000001</v>
      </c>
      <c r="AE428" s="3">
        <v>35.342089999999999</v>
      </c>
      <c r="AF428" s="3">
        <v>83.277600000000007</v>
      </c>
      <c r="AI428" s="3">
        <v>51.016170000000002</v>
      </c>
      <c r="AK428" s="3">
        <v>0.4646691</v>
      </c>
      <c r="AL428" s="3">
        <v>53.269080000000002</v>
      </c>
      <c r="AM428" s="3">
        <v>41.875700000000002</v>
      </c>
      <c r="AN428" s="3">
        <v>27.879580000000001</v>
      </c>
      <c r="AO428" s="3">
        <v>23.010400000000001</v>
      </c>
      <c r="AQ428" s="3">
        <v>17.08203</v>
      </c>
      <c r="AV428" s="3">
        <v>46.645859999999999</v>
      </c>
      <c r="AX428" s="3">
        <v>43.014040000000001</v>
      </c>
    </row>
    <row r="429" spans="1:50" x14ac:dyDescent="0.2">
      <c r="A429" s="3" t="s">
        <v>326</v>
      </c>
      <c r="B429" s="49">
        <v>30864</v>
      </c>
      <c r="D429" s="3">
        <v>49.462380000000003</v>
      </c>
      <c r="F429" s="3">
        <v>48.480080000000001</v>
      </c>
      <c r="G429" s="3">
        <v>62.822069999999997</v>
      </c>
      <c r="M429" s="3">
        <v>57.423810000000003</v>
      </c>
      <c r="N429" s="3">
        <v>48.307569999999998</v>
      </c>
      <c r="P429" s="3">
        <v>32.593800000000002</v>
      </c>
      <c r="S429" s="3">
        <v>47.89087</v>
      </c>
      <c r="T429" s="3">
        <v>55.028269999999999</v>
      </c>
      <c r="V429" s="3">
        <v>48.580669999999998</v>
      </c>
      <c r="W429" s="3">
        <v>41.976430000000001</v>
      </c>
      <c r="X429" s="3">
        <v>11.20955</v>
      </c>
      <c r="AB429" s="3">
        <v>45.268949999999997</v>
      </c>
      <c r="AD429" s="3">
        <v>2.3887320000000001</v>
      </c>
      <c r="AE429" s="3">
        <v>35.443399999999997</v>
      </c>
      <c r="AF429" s="3">
        <v>83.299319999999994</v>
      </c>
      <c r="AI429" s="3">
        <v>51.05979</v>
      </c>
      <c r="AK429" s="3">
        <v>0.48006860000000001</v>
      </c>
      <c r="AL429" s="3">
        <v>53.285299999999999</v>
      </c>
      <c r="AM429" s="3">
        <v>41.914230000000003</v>
      </c>
      <c r="AN429" s="3">
        <v>28.003450000000001</v>
      </c>
      <c r="AO429" s="3">
        <v>23.06155</v>
      </c>
      <c r="AQ429" s="3">
        <v>17.37735</v>
      </c>
      <c r="AV429" s="3">
        <v>46.918799999999997</v>
      </c>
      <c r="AX429" s="3">
        <v>43.179160000000003</v>
      </c>
    </row>
    <row r="430" spans="1:50" x14ac:dyDescent="0.2">
      <c r="A430" s="3" t="s">
        <v>327</v>
      </c>
      <c r="B430" s="49">
        <v>30895</v>
      </c>
      <c r="D430" s="3">
        <v>49.54034</v>
      </c>
      <c r="F430" s="3">
        <v>48.632680000000001</v>
      </c>
      <c r="G430" s="3">
        <v>63.202620000000003</v>
      </c>
      <c r="M430" s="3">
        <v>57.34037</v>
      </c>
      <c r="N430" s="3">
        <v>48.508980000000001</v>
      </c>
      <c r="P430" s="3">
        <v>32.739409999999999</v>
      </c>
      <c r="S430" s="3">
        <v>48.056480000000001</v>
      </c>
      <c r="T430" s="3">
        <v>55.263249999999999</v>
      </c>
      <c r="V430" s="3">
        <v>48.718899999999998</v>
      </c>
      <c r="W430" s="3">
        <v>42.594169999999998</v>
      </c>
      <c r="X430" s="3">
        <v>11.07525</v>
      </c>
      <c r="AB430" s="3">
        <v>45.268949999999997</v>
      </c>
      <c r="AD430" s="3">
        <v>2.771461</v>
      </c>
      <c r="AE430" s="3">
        <v>35.678400000000003</v>
      </c>
      <c r="AF430" s="3">
        <v>82.505189999999999</v>
      </c>
      <c r="AI430" s="3">
        <v>51.179969999999997</v>
      </c>
      <c r="AK430" s="3">
        <v>0.4947973</v>
      </c>
      <c r="AL430" s="3">
        <v>53.366639999999997</v>
      </c>
      <c r="AM430" s="3">
        <v>41.953780000000002</v>
      </c>
      <c r="AN430" s="3">
        <v>28.137519999999999</v>
      </c>
      <c r="AO430" s="3">
        <v>23.184609999999999</v>
      </c>
      <c r="AQ430" s="3">
        <v>17.606300000000001</v>
      </c>
      <c r="AV430" s="3">
        <v>47.064500000000002</v>
      </c>
      <c r="AX430" s="3">
        <v>43.385559999999998</v>
      </c>
    </row>
    <row r="431" spans="1:50" x14ac:dyDescent="0.2">
      <c r="A431" s="3" t="s">
        <v>328</v>
      </c>
      <c r="B431" s="49">
        <v>30926</v>
      </c>
      <c r="D431" s="3">
        <v>49.738680000000002</v>
      </c>
      <c r="F431" s="3">
        <v>48.810119999999998</v>
      </c>
      <c r="G431" s="3">
        <v>63.2941</v>
      </c>
      <c r="M431" s="3">
        <v>57.434469999999997</v>
      </c>
      <c r="N431" s="3">
        <v>48.829039999999999</v>
      </c>
      <c r="P431" s="3">
        <v>33.013120000000001</v>
      </c>
      <c r="S431" s="3">
        <v>48.315489999999997</v>
      </c>
      <c r="T431" s="3">
        <v>55.511290000000002</v>
      </c>
      <c r="V431" s="3">
        <v>49.04853</v>
      </c>
      <c r="W431" s="3">
        <v>42.796509999999998</v>
      </c>
      <c r="X431" s="3">
        <v>11.47268</v>
      </c>
      <c r="AB431" s="3">
        <v>45.268949999999997</v>
      </c>
      <c r="AD431" s="3">
        <v>3.3198699999999999</v>
      </c>
      <c r="AE431" s="3">
        <v>35.994509999999998</v>
      </c>
      <c r="AF431" s="3">
        <v>83.62227</v>
      </c>
      <c r="AI431" s="3">
        <v>51.255279999999999</v>
      </c>
      <c r="AK431" s="3">
        <v>0.51205750000000005</v>
      </c>
      <c r="AL431" s="3">
        <v>53.680840000000003</v>
      </c>
      <c r="AM431" s="3">
        <v>42.398409999999998</v>
      </c>
      <c r="AN431" s="3">
        <v>28.397390000000001</v>
      </c>
      <c r="AO431" s="3">
        <v>23.365680000000001</v>
      </c>
      <c r="AQ431" s="3">
        <v>17.774619999999999</v>
      </c>
      <c r="AV431" s="3">
        <v>47.39284</v>
      </c>
      <c r="AX431" s="3">
        <v>43.674520000000001</v>
      </c>
    </row>
    <row r="432" spans="1:50" x14ac:dyDescent="0.2">
      <c r="A432" s="3" t="s">
        <v>329</v>
      </c>
      <c r="B432" s="49">
        <v>30956</v>
      </c>
      <c r="D432" s="3">
        <v>49.769269999999999</v>
      </c>
      <c r="F432" s="3">
        <v>49.015009999999997</v>
      </c>
      <c r="G432" s="3">
        <v>63.511330000000001</v>
      </c>
      <c r="M432" s="3">
        <v>57.729869999999998</v>
      </c>
      <c r="N432" s="3">
        <v>49.110239999999997</v>
      </c>
      <c r="P432" s="3">
        <v>33.324689999999997</v>
      </c>
      <c r="S432" s="3">
        <v>48.512230000000002</v>
      </c>
      <c r="T432" s="3">
        <v>55.826639999999998</v>
      </c>
      <c r="V432" s="3">
        <v>49.33287</v>
      </c>
      <c r="W432" s="3">
        <v>43.032490000000003</v>
      </c>
      <c r="X432" s="3">
        <v>11.78032</v>
      </c>
      <c r="AB432" s="3">
        <v>45.63617</v>
      </c>
      <c r="AD432" s="3">
        <v>3.973843</v>
      </c>
      <c r="AE432" s="3">
        <v>36.330170000000003</v>
      </c>
      <c r="AF432" s="3">
        <v>84.356009999999998</v>
      </c>
      <c r="AI432" s="3">
        <v>51.53481</v>
      </c>
      <c r="AK432" s="3">
        <v>0.53054539999999994</v>
      </c>
      <c r="AL432" s="3">
        <v>54.09825</v>
      </c>
      <c r="AM432" s="3">
        <v>42.61786</v>
      </c>
      <c r="AN432" s="3">
        <v>28.655619999999999</v>
      </c>
      <c r="AO432" s="3">
        <v>23.5929</v>
      </c>
      <c r="AQ432" s="3">
        <v>18.035979999999999</v>
      </c>
      <c r="AV432" s="3">
        <v>47.852960000000003</v>
      </c>
      <c r="AX432" s="3">
        <v>43.880920000000003</v>
      </c>
    </row>
    <row r="433" spans="1:50" x14ac:dyDescent="0.2">
      <c r="A433" s="3" t="s">
        <v>330</v>
      </c>
      <c r="B433" s="49">
        <v>30987</v>
      </c>
      <c r="D433" s="3">
        <v>49.98104</v>
      </c>
      <c r="F433" s="3">
        <v>49.174999999999997</v>
      </c>
      <c r="G433" s="3">
        <v>63.876100000000001</v>
      </c>
      <c r="M433" s="3">
        <v>57.847450000000002</v>
      </c>
      <c r="N433" s="3">
        <v>49.472180000000002</v>
      </c>
      <c r="P433" s="3">
        <v>33.570920000000001</v>
      </c>
      <c r="S433" s="3">
        <v>48.59308</v>
      </c>
      <c r="T433" s="3">
        <v>55.98818</v>
      </c>
      <c r="V433" s="3">
        <v>49.445900000000002</v>
      </c>
      <c r="W433" s="3">
        <v>43.170229999999997</v>
      </c>
      <c r="X433" s="3">
        <v>11.87842</v>
      </c>
      <c r="AB433" s="3">
        <v>45.63617</v>
      </c>
      <c r="AD433" s="3">
        <v>4.9088510000000003</v>
      </c>
      <c r="AE433" s="3">
        <v>36.667760000000001</v>
      </c>
      <c r="AF433" s="3">
        <v>84.245900000000006</v>
      </c>
      <c r="AI433" s="3">
        <v>51.730409999999999</v>
      </c>
      <c r="AK433" s="3">
        <v>0.54827820000000005</v>
      </c>
      <c r="AL433" s="3">
        <v>54.178660000000001</v>
      </c>
      <c r="AM433" s="3">
        <v>42.665210000000002</v>
      </c>
      <c r="AN433" s="3">
        <v>28.809329999999999</v>
      </c>
      <c r="AO433" s="3">
        <v>23.752579999999998</v>
      </c>
      <c r="AQ433" s="3">
        <v>18.351780000000002</v>
      </c>
      <c r="AV433" s="3">
        <v>48.165129999999998</v>
      </c>
      <c r="AX433" s="3">
        <v>43.963479999999997</v>
      </c>
    </row>
    <row r="434" spans="1:50" x14ac:dyDescent="0.2">
      <c r="A434" s="3" t="s">
        <v>331</v>
      </c>
      <c r="B434" s="49">
        <v>31017</v>
      </c>
      <c r="D434" s="3">
        <v>50.123019999999997</v>
      </c>
      <c r="F434" s="3">
        <v>49.130130000000001</v>
      </c>
      <c r="G434" s="3">
        <v>63.92118</v>
      </c>
      <c r="M434" s="3">
        <v>57.913969999999999</v>
      </c>
      <c r="N434" s="3">
        <v>49.408180000000002</v>
      </c>
      <c r="P434" s="3">
        <v>33.778080000000003</v>
      </c>
      <c r="S434" s="3">
        <v>48.723640000000003</v>
      </c>
      <c r="T434" s="3">
        <v>56.147150000000003</v>
      </c>
      <c r="V434" s="3">
        <v>49.537120000000002</v>
      </c>
      <c r="W434" s="3">
        <v>43.063189999999999</v>
      </c>
      <c r="X434" s="3">
        <v>12.063280000000001</v>
      </c>
      <c r="AB434" s="3">
        <v>45.63617</v>
      </c>
      <c r="AD434" s="3">
        <v>5.1034490000000003</v>
      </c>
      <c r="AE434" s="3">
        <v>36.927370000000003</v>
      </c>
      <c r="AF434" s="3">
        <v>84.377049999999997</v>
      </c>
      <c r="AI434" s="3">
        <v>51.782969999999999</v>
      </c>
      <c r="AK434" s="3">
        <v>0.56736430000000004</v>
      </c>
      <c r="AL434" s="3">
        <v>54.136339999999997</v>
      </c>
      <c r="AM434" s="3">
        <v>42.921129999999998</v>
      </c>
      <c r="AN434" s="3">
        <v>28.958169999999999</v>
      </c>
      <c r="AO434" s="3">
        <v>23.882860000000001</v>
      </c>
      <c r="AQ434" s="3">
        <v>18.563220000000001</v>
      </c>
      <c r="AV434" s="3">
        <v>48.707590000000003</v>
      </c>
      <c r="AX434" s="3">
        <v>44.046039999999998</v>
      </c>
    </row>
    <row r="435" spans="1:50" x14ac:dyDescent="0.2">
      <c r="A435" s="3" t="s">
        <v>332</v>
      </c>
      <c r="B435" s="49">
        <v>31048</v>
      </c>
      <c r="D435" s="3">
        <v>50.421660000000003</v>
      </c>
      <c r="F435" s="3">
        <v>49.235430000000001</v>
      </c>
      <c r="G435" s="3">
        <v>64.255859999999998</v>
      </c>
      <c r="M435" s="3">
        <v>58.135840000000002</v>
      </c>
      <c r="N435" s="3">
        <v>49.61401</v>
      </c>
      <c r="P435" s="3">
        <v>34.209130000000002</v>
      </c>
      <c r="S435" s="3">
        <v>49.25488</v>
      </c>
      <c r="T435" s="3">
        <v>56.404699999999998</v>
      </c>
      <c r="V435" s="3">
        <v>49.679569999999998</v>
      </c>
      <c r="W435" s="3">
        <v>43.193809999999999</v>
      </c>
      <c r="X435" s="3">
        <v>12.36674</v>
      </c>
      <c r="AB435" s="3">
        <v>46.473779999999998</v>
      </c>
      <c r="AD435" s="3">
        <v>5.3328860000000002</v>
      </c>
      <c r="AE435" s="3">
        <v>37.3155</v>
      </c>
      <c r="AF435" s="3">
        <v>84.423090000000002</v>
      </c>
      <c r="AI435" s="3">
        <v>51.982170000000004</v>
      </c>
      <c r="AK435" s="3">
        <v>0.60320220000000002</v>
      </c>
      <c r="AL435" s="3">
        <v>53.969889999999999</v>
      </c>
      <c r="AM435" s="3">
        <v>43.183239999999998</v>
      </c>
      <c r="AN435" s="3">
        <v>29.183720000000001</v>
      </c>
      <c r="AO435" s="3">
        <v>24.109459999999999</v>
      </c>
      <c r="AQ435" s="3">
        <v>19.227820000000001</v>
      </c>
      <c r="AV435" s="3">
        <v>48.95064</v>
      </c>
      <c r="AX435" s="3">
        <v>44.128599999999999</v>
      </c>
    </row>
    <row r="436" spans="1:50" x14ac:dyDescent="0.2">
      <c r="A436" s="3" t="s">
        <v>333</v>
      </c>
      <c r="B436" s="49">
        <v>31079</v>
      </c>
      <c r="D436" s="3">
        <v>50.808399999999999</v>
      </c>
      <c r="F436" s="3">
        <v>49.549610000000001</v>
      </c>
      <c r="G436" s="3">
        <v>64.678049999999999</v>
      </c>
      <c r="M436" s="3">
        <v>58.306370000000001</v>
      </c>
      <c r="N436" s="3">
        <v>49.775530000000003</v>
      </c>
      <c r="P436" s="3">
        <v>34.479799999999997</v>
      </c>
      <c r="S436" s="3">
        <v>49.349490000000003</v>
      </c>
      <c r="T436" s="3">
        <v>56.676130000000001</v>
      </c>
      <c r="V436" s="3">
        <v>49.889159999999997</v>
      </c>
      <c r="W436" s="3">
        <v>43.575670000000002</v>
      </c>
      <c r="X436" s="3">
        <v>12.289099999999999</v>
      </c>
      <c r="AB436" s="3">
        <v>46.473779999999998</v>
      </c>
      <c r="AD436" s="3">
        <v>5.9366089999999998</v>
      </c>
      <c r="AE436" s="3">
        <v>37.783320000000003</v>
      </c>
      <c r="AF436" s="3">
        <v>84.053960000000004</v>
      </c>
      <c r="AI436" s="3">
        <v>52.198549999999997</v>
      </c>
      <c r="AK436" s="3">
        <v>0.62807760000000001</v>
      </c>
      <c r="AL436" s="3">
        <v>54.133200000000002</v>
      </c>
      <c r="AM436" s="3">
        <v>43.278979999999997</v>
      </c>
      <c r="AN436" s="3">
        <v>29.368459999999999</v>
      </c>
      <c r="AO436" s="3">
        <v>24.28087</v>
      </c>
      <c r="AQ436" s="3">
        <v>19.723960000000002</v>
      </c>
      <c r="AV436" s="3">
        <v>49.205440000000003</v>
      </c>
      <c r="AX436" s="3">
        <v>44.335009999999997</v>
      </c>
    </row>
    <row r="437" spans="1:50" x14ac:dyDescent="0.2">
      <c r="A437" s="3" t="s">
        <v>334</v>
      </c>
      <c r="B437" s="49">
        <v>31107</v>
      </c>
      <c r="D437" s="3">
        <v>50.912669999999999</v>
      </c>
      <c r="F437" s="3">
        <v>49.676940000000002</v>
      </c>
      <c r="G437" s="3">
        <v>64.894229999999993</v>
      </c>
      <c r="M437" s="3">
        <v>58.46508</v>
      </c>
      <c r="N437" s="3">
        <v>50.100380000000001</v>
      </c>
      <c r="P437" s="3">
        <v>34.693280000000001</v>
      </c>
      <c r="S437" s="3">
        <v>49.634979999999999</v>
      </c>
      <c r="T437" s="3">
        <v>56.976509999999998</v>
      </c>
      <c r="V437" s="3">
        <v>50.129359999999998</v>
      </c>
      <c r="W437" s="3">
        <v>43.932659999999998</v>
      </c>
      <c r="X437" s="3">
        <v>12.671799999999999</v>
      </c>
      <c r="AB437" s="3">
        <v>46.473779999999998</v>
      </c>
      <c r="AD437" s="3">
        <v>6.6409529999999997</v>
      </c>
      <c r="AE437" s="3">
        <v>38.04074</v>
      </c>
      <c r="AF437" s="3">
        <v>84.449460000000002</v>
      </c>
      <c r="AI437" s="3">
        <v>52.354469999999999</v>
      </c>
      <c r="AK437" s="3">
        <v>0.65448839999999997</v>
      </c>
      <c r="AL437" s="3">
        <v>54.47016</v>
      </c>
      <c r="AM437" s="3">
        <v>43.880339999999997</v>
      </c>
      <c r="AN437" s="3">
        <v>29.592289999999998</v>
      </c>
      <c r="AO437" s="3">
        <v>24.477830000000001</v>
      </c>
      <c r="AQ437" s="3">
        <v>20.058450000000001</v>
      </c>
      <c r="AV437" s="3">
        <v>49.498170000000002</v>
      </c>
      <c r="AX437" s="3">
        <v>44.541409999999999</v>
      </c>
    </row>
    <row r="438" spans="1:50" x14ac:dyDescent="0.2">
      <c r="A438" s="3" t="s">
        <v>335</v>
      </c>
      <c r="B438" s="49">
        <v>31138</v>
      </c>
      <c r="D438" s="3">
        <v>51.256860000000003</v>
      </c>
      <c r="F438" s="3">
        <v>49.859850000000002</v>
      </c>
      <c r="G438" s="3">
        <v>64.857519999999994</v>
      </c>
      <c r="M438" s="3">
        <v>58.602939999999997</v>
      </c>
      <c r="N438" s="3">
        <v>50.258940000000003</v>
      </c>
      <c r="P438" s="3">
        <v>35.047049999999999</v>
      </c>
      <c r="S438" s="3">
        <v>49.893549999999998</v>
      </c>
      <c r="T438" s="3">
        <v>57.381340000000002</v>
      </c>
      <c r="V438" s="3">
        <v>50.39828</v>
      </c>
      <c r="W438" s="3">
        <v>44.999400000000001</v>
      </c>
      <c r="X438" s="3">
        <v>12.79928</v>
      </c>
      <c r="AB438" s="3">
        <v>47.176909999999999</v>
      </c>
      <c r="AD438" s="3">
        <v>8.0496400000000001</v>
      </c>
      <c r="AE438" s="3">
        <v>38.276449999999997</v>
      </c>
      <c r="AF438" s="3">
        <v>85.034559999999999</v>
      </c>
      <c r="AI438" s="3">
        <v>52.770560000000003</v>
      </c>
      <c r="AK438" s="3">
        <v>0.67449000000000003</v>
      </c>
      <c r="AL438" s="3">
        <v>54.695650000000001</v>
      </c>
      <c r="AM438" s="3">
        <v>44.071559999999998</v>
      </c>
      <c r="AN438" s="3">
        <v>29.799219999999998</v>
      </c>
      <c r="AO438" s="3">
        <v>24.66311</v>
      </c>
      <c r="AQ438" s="3">
        <v>20.291550000000001</v>
      </c>
      <c r="AV438" s="3">
        <v>49.733089999999997</v>
      </c>
      <c r="AX438" s="3">
        <v>44.66525</v>
      </c>
    </row>
    <row r="439" spans="1:50" x14ac:dyDescent="0.2">
      <c r="A439" s="3" t="s">
        <v>336</v>
      </c>
      <c r="B439" s="49">
        <v>31168</v>
      </c>
      <c r="D439" s="3">
        <v>51.418950000000002</v>
      </c>
      <c r="F439" s="3">
        <v>50.151859999999999</v>
      </c>
      <c r="G439" s="3">
        <v>64.962389999999999</v>
      </c>
      <c r="M439" s="3">
        <v>58.652250000000002</v>
      </c>
      <c r="N439" s="3">
        <v>50.789470000000001</v>
      </c>
      <c r="P439" s="3">
        <v>35.22627</v>
      </c>
      <c r="S439" s="3">
        <v>49.9392</v>
      </c>
      <c r="T439" s="3">
        <v>57.670729999999999</v>
      </c>
      <c r="V439" s="3">
        <v>50.5929</v>
      </c>
      <c r="W439" s="3">
        <v>45.209890000000001</v>
      </c>
      <c r="X439" s="3">
        <v>12.93355</v>
      </c>
      <c r="AB439" s="3">
        <v>47.176909999999999</v>
      </c>
      <c r="AD439" s="3">
        <v>8.5527420000000003</v>
      </c>
      <c r="AE439" s="3">
        <v>38.561279999999996</v>
      </c>
      <c r="AF439" s="3">
        <v>85.312709999999996</v>
      </c>
      <c r="AI439" s="3">
        <v>53.05321</v>
      </c>
      <c r="AK439" s="3">
        <v>0.69305799999999995</v>
      </c>
      <c r="AL439" s="3">
        <v>54.72681</v>
      </c>
      <c r="AM439" s="3">
        <v>44.139699999999998</v>
      </c>
      <c r="AN439" s="3">
        <v>29.968250000000001</v>
      </c>
      <c r="AO439" s="3">
        <v>24.80368</v>
      </c>
      <c r="AQ439" s="3">
        <v>20.514790000000001</v>
      </c>
      <c r="AV439" s="3">
        <v>50.348550000000003</v>
      </c>
      <c r="AX439" s="3">
        <v>44.830370000000002</v>
      </c>
    </row>
    <row r="440" spans="1:50" x14ac:dyDescent="0.2">
      <c r="A440" s="3" t="s">
        <v>337</v>
      </c>
      <c r="B440" s="49">
        <v>31199</v>
      </c>
      <c r="D440" s="3">
        <v>51.600149999999999</v>
      </c>
      <c r="F440" s="3">
        <v>50.425800000000002</v>
      </c>
      <c r="G440" s="3">
        <v>65.026390000000006</v>
      </c>
      <c r="M440" s="3">
        <v>58.717030000000001</v>
      </c>
      <c r="N440" s="3">
        <v>50.860329999999998</v>
      </c>
      <c r="P440" s="3">
        <v>35.350239999999999</v>
      </c>
      <c r="S440" s="3">
        <v>50.074559999999998</v>
      </c>
      <c r="T440" s="3">
        <v>57.923000000000002</v>
      </c>
      <c r="V440" s="3">
        <v>50.706249999999997</v>
      </c>
      <c r="W440" s="3">
        <v>45.305320000000002</v>
      </c>
      <c r="X440" s="3">
        <v>13.18056</v>
      </c>
      <c r="AB440" s="3">
        <v>47.176909999999999</v>
      </c>
      <c r="AD440" s="3">
        <v>9.7601879999999994</v>
      </c>
      <c r="AE440" s="3">
        <v>38.768509999999999</v>
      </c>
      <c r="AF440" s="3">
        <v>85.377459999999999</v>
      </c>
      <c r="AI440" s="3">
        <v>53.181199999999997</v>
      </c>
      <c r="AK440" s="3">
        <v>0.71259729999999999</v>
      </c>
      <c r="AL440" s="3">
        <v>54.717689999999997</v>
      </c>
      <c r="AM440" s="3">
        <v>44.421129999999998</v>
      </c>
      <c r="AN440" s="3">
        <v>30.1053</v>
      </c>
      <c r="AO440" s="3">
        <v>24.938300000000002</v>
      </c>
      <c r="AQ440" s="3">
        <v>20.65043</v>
      </c>
      <c r="AV440" s="3">
        <v>50.208919999999999</v>
      </c>
      <c r="AX440" s="3">
        <v>44.912930000000003</v>
      </c>
    </row>
    <row r="441" spans="1:50" x14ac:dyDescent="0.2">
      <c r="A441" s="3" t="s">
        <v>338</v>
      </c>
      <c r="B441" s="49">
        <v>31229</v>
      </c>
      <c r="D441" s="3">
        <v>52.181080000000001</v>
      </c>
      <c r="F441" s="3">
        <v>50.736429999999999</v>
      </c>
      <c r="G441" s="3">
        <v>65.044240000000002</v>
      </c>
      <c r="M441" s="3">
        <v>58.751309999999997</v>
      </c>
      <c r="N441" s="3">
        <v>50.682490000000001</v>
      </c>
      <c r="P441" s="3">
        <v>35.518729999999998</v>
      </c>
      <c r="S441" s="3">
        <v>50.043210000000002</v>
      </c>
      <c r="T441" s="3">
        <v>58.217570000000002</v>
      </c>
      <c r="V441" s="3">
        <v>50.805439999999997</v>
      </c>
      <c r="W441" s="3">
        <v>45.342210000000001</v>
      </c>
      <c r="X441" s="3">
        <v>13.115869999999999</v>
      </c>
      <c r="AB441" s="3">
        <v>47.868130000000001</v>
      </c>
      <c r="AD441" s="3">
        <v>12.37632</v>
      </c>
      <c r="AE441" s="3">
        <v>38.890039999999999</v>
      </c>
      <c r="AF441" s="3">
        <v>85.417209999999997</v>
      </c>
      <c r="AI441" s="3">
        <v>53.41657</v>
      </c>
      <c r="AK441" s="3">
        <v>0.73994059999999995</v>
      </c>
      <c r="AL441" s="3">
        <v>54.631149999999998</v>
      </c>
      <c r="AM441" s="3">
        <v>44.500079999999997</v>
      </c>
      <c r="AN441" s="3">
        <v>30.244759999999999</v>
      </c>
      <c r="AO441" s="3">
        <v>25.01004</v>
      </c>
      <c r="AQ441" s="3">
        <v>20.79561</v>
      </c>
      <c r="AV441" s="3">
        <v>50.023029999999999</v>
      </c>
      <c r="AX441" s="3">
        <v>44.995489999999997</v>
      </c>
    </row>
    <row r="442" spans="1:50" x14ac:dyDescent="0.2">
      <c r="A442" s="3" t="s">
        <v>339</v>
      </c>
      <c r="B442" s="49">
        <v>31260</v>
      </c>
      <c r="D442" s="3">
        <v>52.343539999999997</v>
      </c>
      <c r="F442" s="3">
        <v>50.807160000000003</v>
      </c>
      <c r="G442" s="3">
        <v>65.492320000000007</v>
      </c>
      <c r="M442" s="3">
        <v>58.616819999999997</v>
      </c>
      <c r="N442" s="3">
        <v>50.676200000000001</v>
      </c>
      <c r="P442" s="3">
        <v>35.622309999999999</v>
      </c>
      <c r="S442" s="3">
        <v>50.14555</v>
      </c>
      <c r="T442" s="3">
        <v>58.336570000000002</v>
      </c>
      <c r="V442" s="3">
        <v>50.904420000000002</v>
      </c>
      <c r="W442" s="3">
        <v>45.536610000000003</v>
      </c>
      <c r="X442" s="3">
        <v>13.061059999999999</v>
      </c>
      <c r="AB442" s="3">
        <v>47.868130000000001</v>
      </c>
      <c r="AD442" s="3">
        <v>12.7788</v>
      </c>
      <c r="AE442" s="3">
        <v>39.013260000000002</v>
      </c>
      <c r="AF442" s="3">
        <v>85.196719999999999</v>
      </c>
      <c r="AI442" s="3">
        <v>53.455419999999997</v>
      </c>
      <c r="AK442" s="3">
        <v>0.77420739999999999</v>
      </c>
      <c r="AL442" s="3">
        <v>54.755020000000002</v>
      </c>
      <c r="AM442" s="3">
        <v>44.293939999999999</v>
      </c>
      <c r="AN442" s="3">
        <v>30.383479999999999</v>
      </c>
      <c r="AO442" s="3">
        <v>25.06569</v>
      </c>
      <c r="AQ442" s="3">
        <v>20.900259999999999</v>
      </c>
      <c r="AV442" s="3">
        <v>50.126159999999999</v>
      </c>
      <c r="AX442" s="3">
        <v>45.160609999999998</v>
      </c>
    </row>
    <row r="443" spans="1:50" x14ac:dyDescent="0.2">
      <c r="A443" s="3" t="s">
        <v>340</v>
      </c>
      <c r="B443" s="49">
        <v>31291</v>
      </c>
      <c r="D443" s="3">
        <v>52.450020000000002</v>
      </c>
      <c r="F443" s="3">
        <v>50.923690000000001</v>
      </c>
      <c r="G443" s="3">
        <v>65.644189999999995</v>
      </c>
      <c r="M443" s="3">
        <v>58.613599999999998</v>
      </c>
      <c r="N443" s="3">
        <v>50.989960000000004</v>
      </c>
      <c r="P443" s="3">
        <v>35.992069999999998</v>
      </c>
      <c r="S443" s="3">
        <v>50.51482</v>
      </c>
      <c r="T443" s="3">
        <v>58.498010000000001</v>
      </c>
      <c r="V443" s="3">
        <v>51.109220000000001</v>
      </c>
      <c r="W443" s="3">
        <v>45.486469999999997</v>
      </c>
      <c r="X443" s="3">
        <v>13.76186</v>
      </c>
      <c r="AB443" s="3">
        <v>47.868130000000001</v>
      </c>
      <c r="AD443" s="3">
        <v>12.980040000000001</v>
      </c>
      <c r="AE443" s="3">
        <v>39.2866</v>
      </c>
      <c r="AF443" s="3">
        <v>85.551640000000006</v>
      </c>
      <c r="AI443" s="3">
        <v>53.431780000000003</v>
      </c>
      <c r="AK443" s="3">
        <v>0.80914399999999997</v>
      </c>
      <c r="AL443" s="3">
        <v>55.14087</v>
      </c>
      <c r="AM443" s="3">
        <v>44.929540000000003</v>
      </c>
      <c r="AN443" s="3">
        <v>30.6111</v>
      </c>
      <c r="AO443" s="3">
        <v>25.207560000000001</v>
      </c>
      <c r="AQ443" s="3">
        <v>21.022629999999999</v>
      </c>
      <c r="AV443" s="3">
        <v>50.411940000000001</v>
      </c>
      <c r="AX443" s="3">
        <v>45.408290000000001</v>
      </c>
    </row>
    <row r="444" spans="1:50" x14ac:dyDescent="0.2">
      <c r="A444" s="3" t="s">
        <v>341</v>
      </c>
      <c r="B444" s="49">
        <v>31321</v>
      </c>
      <c r="D444" s="3">
        <v>52.616379999999999</v>
      </c>
      <c r="F444" s="3">
        <v>51.13317</v>
      </c>
      <c r="G444" s="3">
        <v>65.750739999999993</v>
      </c>
      <c r="M444" s="3">
        <v>58.746650000000002</v>
      </c>
      <c r="N444" s="3">
        <v>51.179690000000001</v>
      </c>
      <c r="P444" s="3">
        <v>36.236080000000001</v>
      </c>
      <c r="S444" s="3">
        <v>50.577539999999999</v>
      </c>
      <c r="T444" s="3">
        <v>58.732599999999998</v>
      </c>
      <c r="V444" s="3">
        <v>51.404200000000003</v>
      </c>
      <c r="W444" s="3">
        <v>45.664659999999998</v>
      </c>
      <c r="X444" s="3">
        <v>14.25169</v>
      </c>
      <c r="AB444" s="3">
        <v>47.978200000000001</v>
      </c>
      <c r="AD444" s="3">
        <v>13.583769999999999</v>
      </c>
      <c r="AE444" s="3">
        <v>39.7209</v>
      </c>
      <c r="AF444" s="3">
        <v>86.047809999999998</v>
      </c>
      <c r="AI444" s="3">
        <v>53.739319999999999</v>
      </c>
      <c r="AK444" s="3">
        <v>0.84214100000000003</v>
      </c>
      <c r="AL444" s="3">
        <v>55.45543</v>
      </c>
      <c r="AM444" s="3">
        <v>45.096150000000002</v>
      </c>
      <c r="AN444" s="3">
        <v>30.924630000000001</v>
      </c>
      <c r="AO444" s="3">
        <v>25.47353</v>
      </c>
      <c r="AQ444" s="3">
        <v>21.389320000000001</v>
      </c>
      <c r="AV444" s="3">
        <v>50.926830000000002</v>
      </c>
      <c r="AX444" s="3">
        <v>45.697249999999997</v>
      </c>
    </row>
    <row r="445" spans="1:50" x14ac:dyDescent="0.2">
      <c r="A445" s="3" t="s">
        <v>342</v>
      </c>
      <c r="B445" s="49">
        <v>31352</v>
      </c>
      <c r="D445" s="3">
        <v>52.745840000000001</v>
      </c>
      <c r="F445" s="3">
        <v>51.255549999999999</v>
      </c>
      <c r="G445" s="3">
        <v>66.231549999999999</v>
      </c>
      <c r="M445" s="3">
        <v>58.765459999999997</v>
      </c>
      <c r="N445" s="3">
        <v>51.455269999999999</v>
      </c>
      <c r="P445" s="3">
        <v>36.531109999999998</v>
      </c>
      <c r="S445" s="3">
        <v>50.618819999999999</v>
      </c>
      <c r="T445" s="3">
        <v>58.873890000000003</v>
      </c>
      <c r="V445" s="3">
        <v>51.575789999999998</v>
      </c>
      <c r="W445" s="3">
        <v>45.810470000000002</v>
      </c>
      <c r="X445" s="3">
        <v>14.61562</v>
      </c>
      <c r="AB445" s="3">
        <v>47.978200000000001</v>
      </c>
      <c r="AD445" s="3">
        <v>13.98625</v>
      </c>
      <c r="AE445" s="3">
        <v>40.090850000000003</v>
      </c>
      <c r="AF445" s="3">
        <v>85.944670000000002</v>
      </c>
      <c r="AI445" s="3">
        <v>53.913960000000003</v>
      </c>
      <c r="AK445" s="3">
        <v>0.88431939999999998</v>
      </c>
      <c r="AL445" s="3">
        <v>55.47307</v>
      </c>
      <c r="AM445" s="3">
        <v>45.143839999999997</v>
      </c>
      <c r="AN445" s="3">
        <v>31.17557</v>
      </c>
      <c r="AO445" s="3">
        <v>25.70101</v>
      </c>
      <c r="AQ445" s="3">
        <v>21.7074</v>
      </c>
      <c r="AV445" s="3">
        <v>51.221649999999997</v>
      </c>
      <c r="AX445" s="3">
        <v>45.903660000000002</v>
      </c>
    </row>
    <row r="446" spans="1:50" x14ac:dyDescent="0.2">
      <c r="A446" s="3" t="s">
        <v>343</v>
      </c>
      <c r="B446" s="49">
        <v>31382</v>
      </c>
      <c r="D446" s="3">
        <v>53.052909999999997</v>
      </c>
      <c r="F446" s="3">
        <v>51.389009999999999</v>
      </c>
      <c r="G446" s="3">
        <v>66.279430000000005</v>
      </c>
      <c r="M446" s="3">
        <v>58.894860000000001</v>
      </c>
      <c r="N446" s="3">
        <v>51.432899999999997</v>
      </c>
      <c r="P446" s="3">
        <v>36.743499999999997</v>
      </c>
      <c r="S446" s="3">
        <v>50.72777</v>
      </c>
      <c r="T446" s="3">
        <v>58.997790000000002</v>
      </c>
      <c r="V446" s="3">
        <v>51.647390000000001</v>
      </c>
      <c r="W446" s="3">
        <v>45.823779999999999</v>
      </c>
      <c r="X446" s="3">
        <v>15.127140000000001</v>
      </c>
      <c r="AB446" s="3">
        <v>47.978200000000001</v>
      </c>
      <c r="AD446" s="3">
        <v>14.18749</v>
      </c>
      <c r="AE446" s="3">
        <v>40.240430000000003</v>
      </c>
      <c r="AF446" s="3">
        <v>86.022000000000006</v>
      </c>
      <c r="AI446" s="3">
        <v>54.017290000000003</v>
      </c>
      <c r="AK446" s="3">
        <v>0.93392560000000002</v>
      </c>
      <c r="AL446" s="3">
        <v>55.269550000000002</v>
      </c>
      <c r="AM446" s="3">
        <v>45.422620000000002</v>
      </c>
      <c r="AN446" s="3">
        <v>31.368780000000001</v>
      </c>
      <c r="AO446" s="3">
        <v>25.83558</v>
      </c>
      <c r="AQ446" s="3">
        <v>22.089739999999999</v>
      </c>
      <c r="AV446" s="3">
        <v>51.416150000000002</v>
      </c>
      <c r="AX446" s="3">
        <v>45.944929999999999</v>
      </c>
    </row>
    <row r="447" spans="1:50" x14ac:dyDescent="0.2">
      <c r="A447" s="3" t="s">
        <v>344</v>
      </c>
      <c r="B447" s="49">
        <v>31413</v>
      </c>
      <c r="D447" s="3">
        <v>53.389429999999997</v>
      </c>
      <c r="F447" s="3">
        <v>51.485469999999999</v>
      </c>
      <c r="G447" s="3">
        <v>66.44538</v>
      </c>
      <c r="M447" s="3">
        <v>59.17933</v>
      </c>
      <c r="N447" s="3">
        <v>51.22831</v>
      </c>
      <c r="P447" s="3">
        <v>37.723689999999998</v>
      </c>
      <c r="S447" s="3">
        <v>51.024839999999998</v>
      </c>
      <c r="T447" s="3">
        <v>59.232259999999997</v>
      </c>
      <c r="V447" s="3">
        <v>51.774990000000003</v>
      </c>
      <c r="W447" s="3">
        <v>45.89873</v>
      </c>
      <c r="X447" s="3">
        <v>15.538169999999999</v>
      </c>
      <c r="AB447" s="3">
        <v>48.833469999999998</v>
      </c>
      <c r="AD447" s="3">
        <v>13.78501</v>
      </c>
      <c r="AE447" s="3">
        <v>40.489730000000002</v>
      </c>
      <c r="AF447" s="3">
        <v>85.796999999999997</v>
      </c>
      <c r="AI447" s="3">
        <v>54.095790000000001</v>
      </c>
      <c r="AK447" s="3">
        <v>1.0084150000000001</v>
      </c>
      <c r="AL447" s="3">
        <v>55.005099999999999</v>
      </c>
      <c r="AM447" s="3">
        <v>45.749339999999997</v>
      </c>
      <c r="AN447" s="3">
        <v>31.619340000000001</v>
      </c>
      <c r="AO447" s="3">
        <v>26.03997</v>
      </c>
      <c r="AQ447" s="3">
        <v>22.88617</v>
      </c>
      <c r="AV447" s="3">
        <v>51.916409999999999</v>
      </c>
      <c r="AX447" s="3">
        <v>46.068779999999997</v>
      </c>
    </row>
    <row r="448" spans="1:50" x14ac:dyDescent="0.2">
      <c r="A448" s="3" t="s">
        <v>345</v>
      </c>
      <c r="B448" s="49">
        <v>31444</v>
      </c>
      <c r="D448" s="3">
        <v>53.802520000000001</v>
      </c>
      <c r="F448" s="3">
        <v>51.855029999999999</v>
      </c>
      <c r="G448" s="3">
        <v>66.734210000000004</v>
      </c>
      <c r="M448" s="3">
        <v>59.15672</v>
      </c>
      <c r="N448" s="3">
        <v>51.448329999999999</v>
      </c>
      <c r="P448" s="3">
        <v>38.021160000000002</v>
      </c>
      <c r="S448" s="3">
        <v>51.256480000000003</v>
      </c>
      <c r="T448" s="3">
        <v>59.304389999999998</v>
      </c>
      <c r="V448" s="3">
        <v>51.910130000000002</v>
      </c>
      <c r="W448" s="3">
        <v>46.154769999999999</v>
      </c>
      <c r="X448" s="3">
        <v>15.326589999999999</v>
      </c>
      <c r="AB448" s="3">
        <v>48.833469999999998</v>
      </c>
      <c r="AD448" s="3">
        <v>13.98625</v>
      </c>
      <c r="AE448" s="3">
        <v>40.813009999999998</v>
      </c>
      <c r="AF448" s="3">
        <v>85.772409999999994</v>
      </c>
      <c r="AI448" s="3">
        <v>54.064430000000002</v>
      </c>
      <c r="AK448" s="3">
        <v>1.0599730000000001</v>
      </c>
      <c r="AL448" s="3">
        <v>55.132199999999997</v>
      </c>
      <c r="AM448" s="3">
        <v>45.980449999999998</v>
      </c>
      <c r="AN448" s="3">
        <v>31.784269999999999</v>
      </c>
      <c r="AO448" s="3">
        <v>26.142869999999998</v>
      </c>
      <c r="AQ448" s="3">
        <v>23.194769999999998</v>
      </c>
      <c r="AV448" s="3">
        <v>51.914999999999999</v>
      </c>
      <c r="AX448" s="3">
        <v>46.192619999999998</v>
      </c>
    </row>
    <row r="449" spans="1:50" x14ac:dyDescent="0.2">
      <c r="A449" s="3" t="s">
        <v>346</v>
      </c>
      <c r="B449" s="49">
        <v>31472</v>
      </c>
      <c r="D449" s="3">
        <v>53.982599999999998</v>
      </c>
      <c r="F449" s="3">
        <v>52.24823</v>
      </c>
      <c r="G449" s="3">
        <v>66.864590000000007</v>
      </c>
      <c r="M449" s="3">
        <v>58.968980000000002</v>
      </c>
      <c r="N449" s="3">
        <v>51.652819999999998</v>
      </c>
      <c r="P449" s="3">
        <v>38.460850000000001</v>
      </c>
      <c r="S449" s="3">
        <v>51.33952</v>
      </c>
      <c r="T449" s="3">
        <v>59.536259999999999</v>
      </c>
      <c r="V449" s="3">
        <v>52.070929999999997</v>
      </c>
      <c r="W449" s="3">
        <v>46.29674</v>
      </c>
      <c r="X449" s="3">
        <v>15.945679999999999</v>
      </c>
      <c r="AB449" s="3">
        <v>48.833469999999998</v>
      </c>
      <c r="AD449" s="3">
        <v>14.28811</v>
      </c>
      <c r="AE449" s="3">
        <v>41.063720000000004</v>
      </c>
      <c r="AF449" s="3">
        <v>86.034840000000003</v>
      </c>
      <c r="AI449" s="3">
        <v>53.995579999999997</v>
      </c>
      <c r="AK449" s="3">
        <v>1.110382</v>
      </c>
      <c r="AL449" s="3">
        <v>55.282609999999998</v>
      </c>
      <c r="AM449" s="3">
        <v>46.464410000000001</v>
      </c>
      <c r="AN449" s="3">
        <v>31.978069999999999</v>
      </c>
      <c r="AO449" s="3">
        <v>26.262840000000001</v>
      </c>
      <c r="AQ449" s="3">
        <v>23.455580000000001</v>
      </c>
      <c r="AV449" s="3">
        <v>51.96414</v>
      </c>
      <c r="AX449" s="3">
        <v>46.35774</v>
      </c>
    </row>
    <row r="450" spans="1:50" x14ac:dyDescent="0.2">
      <c r="A450" s="3" t="s">
        <v>347</v>
      </c>
      <c r="B450" s="49">
        <v>31503</v>
      </c>
      <c r="D450" s="3">
        <v>54.322589999999998</v>
      </c>
      <c r="F450" s="3">
        <v>52.517110000000002</v>
      </c>
      <c r="G450" s="3">
        <v>66.868160000000003</v>
      </c>
      <c r="M450" s="3">
        <v>59.019889999999997</v>
      </c>
      <c r="N450" s="3">
        <v>52.472700000000003</v>
      </c>
      <c r="P450" s="3">
        <v>38.702179999999998</v>
      </c>
      <c r="S450" s="3">
        <v>51.497959999999999</v>
      </c>
      <c r="T450" s="3">
        <v>59.862229999999997</v>
      </c>
      <c r="V450" s="3">
        <v>52.294960000000003</v>
      </c>
      <c r="W450" s="3">
        <v>46.949809999999999</v>
      </c>
      <c r="X450" s="3">
        <v>16.077190000000002</v>
      </c>
      <c r="AB450" s="3">
        <v>49.610570000000003</v>
      </c>
      <c r="AD450" s="3">
        <v>14.79121</v>
      </c>
      <c r="AE450" s="3">
        <v>41.196080000000002</v>
      </c>
      <c r="AF450" s="3">
        <v>86.443579999999997</v>
      </c>
      <c r="AI450" s="3">
        <v>54.073909999999998</v>
      </c>
      <c r="AK450" s="3">
        <v>1.1622079999999999</v>
      </c>
      <c r="AL450" s="3">
        <v>55.502809999999997</v>
      </c>
      <c r="AM450" s="3">
        <v>46.755389999999998</v>
      </c>
      <c r="AN450" s="3">
        <v>32.201079999999997</v>
      </c>
      <c r="AO450" s="3">
        <v>26.403700000000001</v>
      </c>
      <c r="AQ450" s="3">
        <v>23.681889999999999</v>
      </c>
      <c r="AV450" s="3">
        <v>52.331699999999998</v>
      </c>
      <c r="AX450" s="3">
        <v>46.522860000000001</v>
      </c>
    </row>
    <row r="451" spans="1:50" x14ac:dyDescent="0.2">
      <c r="A451" s="3" t="s">
        <v>348</v>
      </c>
      <c r="B451" s="49">
        <v>31533</v>
      </c>
      <c r="D451" s="3">
        <v>54.506129999999999</v>
      </c>
      <c r="F451" s="3">
        <v>52.958350000000003</v>
      </c>
      <c r="G451" s="3">
        <v>66.711320000000001</v>
      </c>
      <c r="M451" s="3">
        <v>59.12012</v>
      </c>
      <c r="N451" s="3">
        <v>52.880189999999999</v>
      </c>
      <c r="P451" s="3">
        <v>38.844450000000002</v>
      </c>
      <c r="S451" s="3">
        <v>51.522750000000002</v>
      </c>
      <c r="T451" s="3">
        <v>60.031950000000002</v>
      </c>
      <c r="V451" s="3">
        <v>52.450490000000002</v>
      </c>
      <c r="W451" s="3">
        <v>47.088500000000003</v>
      </c>
      <c r="X451" s="3">
        <v>16.183959999999999</v>
      </c>
      <c r="AB451" s="3">
        <v>49.610570000000003</v>
      </c>
      <c r="AD451" s="3">
        <v>15.093070000000001</v>
      </c>
      <c r="AE451" s="3">
        <v>41.410139999999998</v>
      </c>
      <c r="AF451" s="3">
        <v>86.933059999999998</v>
      </c>
      <c r="AI451" s="3">
        <v>54.212009999999999</v>
      </c>
      <c r="AK451" s="3">
        <v>1.217063</v>
      </c>
      <c r="AL451" s="3">
        <v>55.537480000000002</v>
      </c>
      <c r="AM451" s="3">
        <v>46.98986</v>
      </c>
      <c r="AN451" s="3">
        <v>32.370370000000001</v>
      </c>
      <c r="AO451" s="3">
        <v>26.4819</v>
      </c>
      <c r="AQ451" s="3">
        <v>23.742529999999999</v>
      </c>
      <c r="AV451" s="3">
        <v>52.317770000000003</v>
      </c>
      <c r="AX451" s="3">
        <v>46.605420000000002</v>
      </c>
    </row>
    <row r="452" spans="1:50" x14ac:dyDescent="0.2">
      <c r="A452" s="3" t="s">
        <v>349</v>
      </c>
      <c r="B452" s="49">
        <v>31564</v>
      </c>
      <c r="D452" s="3">
        <v>54.760770000000001</v>
      </c>
      <c r="F452" s="3">
        <v>53.064720000000001</v>
      </c>
      <c r="G452" s="3">
        <v>66.75009</v>
      </c>
      <c r="M452" s="3">
        <v>59.193210000000001</v>
      </c>
      <c r="N452" s="3">
        <v>53.013289999999998</v>
      </c>
      <c r="P452" s="3">
        <v>39.07799</v>
      </c>
      <c r="S452" s="3">
        <v>51.85398</v>
      </c>
      <c r="T452" s="3">
        <v>60.24192</v>
      </c>
      <c r="V452" s="3">
        <v>52.519089999999998</v>
      </c>
      <c r="W452" s="3">
        <v>46.988300000000002</v>
      </c>
      <c r="X452" s="3">
        <v>16.529019999999999</v>
      </c>
      <c r="AB452" s="3">
        <v>49.610570000000003</v>
      </c>
      <c r="AD452" s="3">
        <v>15.39494</v>
      </c>
      <c r="AE452" s="3">
        <v>41.488460000000003</v>
      </c>
      <c r="AF452" s="3">
        <v>86.903409999999994</v>
      </c>
      <c r="AI452" s="3">
        <v>54.35472</v>
      </c>
      <c r="AK452" s="3">
        <v>1.291582</v>
      </c>
      <c r="AL452" s="3">
        <v>55.325539999999997</v>
      </c>
      <c r="AM452" s="3">
        <v>47.77178</v>
      </c>
      <c r="AN452" s="3">
        <v>32.558190000000003</v>
      </c>
      <c r="AO452" s="3">
        <v>26.59929</v>
      </c>
      <c r="AQ452" s="3">
        <v>23.875319999999999</v>
      </c>
      <c r="AV452" s="3">
        <v>52.312370000000001</v>
      </c>
      <c r="AX452" s="3">
        <v>46.687980000000003</v>
      </c>
    </row>
    <row r="453" spans="1:50" x14ac:dyDescent="0.2">
      <c r="A453" s="3" t="s">
        <v>350</v>
      </c>
      <c r="B453" s="49">
        <v>31594</v>
      </c>
      <c r="D453" s="3">
        <v>55.112340000000003</v>
      </c>
      <c r="F453" s="3">
        <v>53.481349999999999</v>
      </c>
      <c r="G453" s="3">
        <v>66.692670000000007</v>
      </c>
      <c r="M453" s="3">
        <v>59.141719999999999</v>
      </c>
      <c r="N453" s="3">
        <v>52.74924</v>
      </c>
      <c r="P453" s="3">
        <v>39.27919</v>
      </c>
      <c r="S453" s="3">
        <v>51.844619999999999</v>
      </c>
      <c r="T453" s="3">
        <v>60.469459999999998</v>
      </c>
      <c r="V453" s="3">
        <v>52.637230000000002</v>
      </c>
      <c r="W453" s="3">
        <v>46.948880000000003</v>
      </c>
      <c r="X453" s="3">
        <v>16.377310000000001</v>
      </c>
      <c r="AB453" s="3">
        <v>49.774410000000003</v>
      </c>
      <c r="AD453" s="3">
        <v>15.495559999999999</v>
      </c>
      <c r="AE453" s="3">
        <v>41.571249999999999</v>
      </c>
      <c r="AF453" s="3">
        <v>86.840159999999997</v>
      </c>
      <c r="AI453" s="3">
        <v>54.538640000000001</v>
      </c>
      <c r="AK453" s="3">
        <v>1.364025</v>
      </c>
      <c r="AL453" s="3">
        <v>55.123779999999996</v>
      </c>
      <c r="AM453" s="3">
        <v>48.116160000000001</v>
      </c>
      <c r="AN453" s="3">
        <v>32.7562</v>
      </c>
      <c r="AO453" s="3">
        <v>26.648849999999999</v>
      </c>
      <c r="AQ453" s="3">
        <v>23.899190000000001</v>
      </c>
      <c r="AV453" s="3">
        <v>52.519100000000002</v>
      </c>
      <c r="AX453" s="3">
        <v>46.853099999999998</v>
      </c>
    </row>
    <row r="454" spans="1:50" x14ac:dyDescent="0.2">
      <c r="A454" s="3" t="s">
        <v>351</v>
      </c>
      <c r="B454" s="49">
        <v>31625</v>
      </c>
      <c r="D454" s="3">
        <v>55.247790000000002</v>
      </c>
      <c r="F454" s="3">
        <v>53.550400000000003</v>
      </c>
      <c r="G454" s="3">
        <v>67.192449999999994</v>
      </c>
      <c r="M454" s="3">
        <v>58.993659999999998</v>
      </c>
      <c r="N454" s="3">
        <v>52.924129999999998</v>
      </c>
      <c r="P454" s="3">
        <v>39.375329999999998</v>
      </c>
      <c r="S454" s="3">
        <v>52.029539999999997</v>
      </c>
      <c r="T454" s="3">
        <v>60.618119999999998</v>
      </c>
      <c r="V454" s="3">
        <v>52.70834</v>
      </c>
      <c r="W454" s="3">
        <v>47.128860000000003</v>
      </c>
      <c r="X454" s="3">
        <v>16.331520000000001</v>
      </c>
      <c r="AB454" s="3">
        <v>49.774410000000003</v>
      </c>
      <c r="AD454" s="3">
        <v>15.6968</v>
      </c>
      <c r="AE454" s="3">
        <v>41.733330000000002</v>
      </c>
      <c r="AF454" s="3">
        <v>86.531419999999997</v>
      </c>
      <c r="AI454" s="3">
        <v>54.575600000000001</v>
      </c>
      <c r="AK454" s="3">
        <v>1.479833</v>
      </c>
      <c r="AL454" s="3">
        <v>55.288690000000003</v>
      </c>
      <c r="AM454" s="3">
        <v>48.077629999999999</v>
      </c>
      <c r="AN454" s="3">
        <v>32.970869999999998</v>
      </c>
      <c r="AO454" s="3">
        <v>26.699149999999999</v>
      </c>
      <c r="AQ454" s="3">
        <v>24.059889999999999</v>
      </c>
      <c r="AV454" s="3">
        <v>52.601840000000003</v>
      </c>
      <c r="AX454" s="3">
        <v>46.976939999999999</v>
      </c>
    </row>
    <row r="455" spans="1:50" x14ac:dyDescent="0.2">
      <c r="A455" s="3" t="s">
        <v>352</v>
      </c>
      <c r="B455" s="49">
        <v>31656</v>
      </c>
      <c r="D455" s="3">
        <v>55.410789999999999</v>
      </c>
      <c r="F455" s="3">
        <v>53.55368</v>
      </c>
      <c r="G455" s="3">
        <v>67.265900000000002</v>
      </c>
      <c r="M455" s="3">
        <v>59.126710000000003</v>
      </c>
      <c r="N455" s="3">
        <v>53.389719999999997</v>
      </c>
      <c r="P455" s="3">
        <v>39.608220000000003</v>
      </c>
      <c r="S455" s="3">
        <v>52.238610000000001</v>
      </c>
      <c r="T455" s="3">
        <v>60.801290000000002</v>
      </c>
      <c r="V455" s="3">
        <v>52.959499999999998</v>
      </c>
      <c r="W455" s="3">
        <v>47.32685</v>
      </c>
      <c r="X455" s="3">
        <v>17.00592</v>
      </c>
      <c r="AB455" s="3">
        <v>49.774410000000003</v>
      </c>
      <c r="AD455" s="3">
        <v>15.998659999999999</v>
      </c>
      <c r="AE455" s="3">
        <v>41.832259999999998</v>
      </c>
      <c r="AF455" s="3">
        <v>87.024590000000003</v>
      </c>
      <c r="AI455" s="3">
        <v>54.742109999999997</v>
      </c>
      <c r="AK455" s="3">
        <v>1.568222</v>
      </c>
      <c r="AL455" s="3">
        <v>55.581029999999998</v>
      </c>
      <c r="AM455" s="3">
        <v>48.991720000000001</v>
      </c>
      <c r="AN455" s="3">
        <v>33.26558</v>
      </c>
      <c r="AO455" s="3">
        <v>26.840240000000001</v>
      </c>
      <c r="AQ455" s="3">
        <v>24.237960000000001</v>
      </c>
      <c r="AV455" s="3">
        <v>53.020740000000004</v>
      </c>
      <c r="AX455" s="3">
        <v>47.265900000000002</v>
      </c>
    </row>
    <row r="456" spans="1:50" x14ac:dyDescent="0.2">
      <c r="A456" s="3" t="s">
        <v>353</v>
      </c>
      <c r="B456" s="49">
        <v>31686</v>
      </c>
      <c r="D456" s="3">
        <v>55.487830000000002</v>
      </c>
      <c r="F456" s="3">
        <v>53.979529999999997</v>
      </c>
      <c r="G456" s="3">
        <v>67.328440000000001</v>
      </c>
      <c r="M456" s="3">
        <v>59.095649999999999</v>
      </c>
      <c r="N456" s="3">
        <v>53.521349999999998</v>
      </c>
      <c r="P456" s="3">
        <v>39.824570000000001</v>
      </c>
      <c r="S456" s="3">
        <v>52.307369999999999</v>
      </c>
      <c r="T456" s="3">
        <v>61.030169999999998</v>
      </c>
      <c r="V456" s="3">
        <v>53.18242</v>
      </c>
      <c r="W456" s="3">
        <v>47.467829999999999</v>
      </c>
      <c r="X456" s="3">
        <v>17.5349</v>
      </c>
      <c r="AB456" s="3">
        <v>49.928269999999998</v>
      </c>
      <c r="AD456" s="3">
        <v>16.401140000000002</v>
      </c>
      <c r="AE456" s="3">
        <v>42.084859999999999</v>
      </c>
      <c r="AF456" s="3">
        <v>87.279510000000002</v>
      </c>
      <c r="AI456" s="3">
        <v>54.817349999999998</v>
      </c>
      <c r="AK456" s="3">
        <v>1.659886</v>
      </c>
      <c r="AL456" s="3">
        <v>55.791800000000002</v>
      </c>
      <c r="AM456" s="3">
        <v>49.206090000000003</v>
      </c>
      <c r="AN456" s="3">
        <v>33.613300000000002</v>
      </c>
      <c r="AO456" s="3">
        <v>27.06409</v>
      </c>
      <c r="AQ456" s="3">
        <v>24.569990000000001</v>
      </c>
      <c r="AV456" s="3">
        <v>53.293019999999999</v>
      </c>
      <c r="AX456" s="3">
        <v>47.513590000000001</v>
      </c>
    </row>
    <row r="457" spans="1:50" x14ac:dyDescent="0.2">
      <c r="A457" s="3" t="s">
        <v>354</v>
      </c>
      <c r="B457" s="49">
        <v>31717</v>
      </c>
      <c r="D457" s="3">
        <v>55.55509</v>
      </c>
      <c r="F457" s="3">
        <v>54.175530000000002</v>
      </c>
      <c r="G457" s="3">
        <v>67.673969999999997</v>
      </c>
      <c r="M457" s="3">
        <v>59.047800000000002</v>
      </c>
      <c r="N457" s="3">
        <v>53.711080000000003</v>
      </c>
      <c r="P457" s="3">
        <v>40.152839999999998</v>
      </c>
      <c r="S457" s="3">
        <v>52.307949999999998</v>
      </c>
      <c r="T457" s="3">
        <v>61.16386</v>
      </c>
      <c r="V457" s="3">
        <v>53.323309999999999</v>
      </c>
      <c r="W457" s="3">
        <v>47.965739999999997</v>
      </c>
      <c r="X457" s="3">
        <v>17.635400000000001</v>
      </c>
      <c r="AB457" s="3">
        <v>49.928269999999998</v>
      </c>
      <c r="AD457" s="3">
        <v>16.803619999999999</v>
      </c>
      <c r="AE457" s="3">
        <v>42.330959999999997</v>
      </c>
      <c r="AF457" s="3">
        <v>87.261889999999994</v>
      </c>
      <c r="AI457" s="3">
        <v>54.852550000000001</v>
      </c>
      <c r="AK457" s="3">
        <v>1.7708269999999999</v>
      </c>
      <c r="AL457" s="3">
        <v>55.866680000000002</v>
      </c>
      <c r="AM457" s="3">
        <v>49.432540000000003</v>
      </c>
      <c r="AN457" s="3">
        <v>33.881570000000004</v>
      </c>
      <c r="AO457" s="3">
        <v>27.213259999999998</v>
      </c>
      <c r="AQ457" s="3">
        <v>24.80875</v>
      </c>
      <c r="AV457" s="3">
        <v>53.41189</v>
      </c>
      <c r="AX457" s="3">
        <v>47.637430000000002</v>
      </c>
    </row>
    <row r="458" spans="1:50" x14ac:dyDescent="0.2">
      <c r="A458" s="3" t="s">
        <v>355</v>
      </c>
      <c r="B458" s="49">
        <v>31747</v>
      </c>
      <c r="D458" s="3">
        <v>55.771909999999998</v>
      </c>
      <c r="F458" s="3">
        <v>54.286499999999997</v>
      </c>
      <c r="G458" s="3">
        <v>67.744479999999996</v>
      </c>
      <c r="M458" s="3">
        <v>59.143210000000003</v>
      </c>
      <c r="N458" s="3">
        <v>53.665149999999997</v>
      </c>
      <c r="P458" s="3">
        <v>40.289490000000001</v>
      </c>
      <c r="S458" s="3">
        <v>52.458179999999999</v>
      </c>
      <c r="T458" s="3">
        <v>61.257150000000003</v>
      </c>
      <c r="V458" s="3">
        <v>53.385950000000001</v>
      </c>
      <c r="W458" s="3">
        <v>48.096760000000003</v>
      </c>
      <c r="X458" s="3">
        <v>17.797989999999999</v>
      </c>
      <c r="AB458" s="3">
        <v>49.928269999999998</v>
      </c>
      <c r="AD458" s="3">
        <v>17.004860000000001</v>
      </c>
      <c r="AE458" s="3">
        <v>42.505749999999999</v>
      </c>
      <c r="AF458" s="3">
        <v>87.174589999999995</v>
      </c>
      <c r="AI458" s="3">
        <v>54.816589999999998</v>
      </c>
      <c r="AK458" s="3">
        <v>1.9034059999999999</v>
      </c>
      <c r="AL458" s="3">
        <v>55.783290000000001</v>
      </c>
      <c r="AM458" s="3">
        <v>49.682380000000002</v>
      </c>
      <c r="AN458" s="3">
        <v>34.135640000000002</v>
      </c>
      <c r="AO458" s="3">
        <v>27.319900000000001</v>
      </c>
      <c r="AQ458" s="3">
        <v>25.104040000000001</v>
      </c>
      <c r="AV458" s="3">
        <v>53.580350000000003</v>
      </c>
      <c r="AX458" s="3">
        <v>47.678710000000002</v>
      </c>
    </row>
    <row r="459" spans="1:50" x14ac:dyDescent="0.2">
      <c r="A459" s="3" t="s">
        <v>356</v>
      </c>
      <c r="B459" s="49">
        <v>31778</v>
      </c>
      <c r="D459" s="3">
        <v>55.905450000000002</v>
      </c>
      <c r="F459" s="3">
        <v>54.313899999999997</v>
      </c>
      <c r="G459" s="3">
        <v>67.942769999999996</v>
      </c>
      <c r="M459" s="3">
        <v>59.46575</v>
      </c>
      <c r="N459" s="3">
        <v>53.577970000000001</v>
      </c>
      <c r="P459" s="3">
        <v>40.548479999999998</v>
      </c>
      <c r="S459" s="3">
        <v>53.112990000000003</v>
      </c>
      <c r="T459" s="3">
        <v>61.716360000000002</v>
      </c>
      <c r="V459" s="3">
        <v>53.525790000000001</v>
      </c>
      <c r="W459" s="3">
        <v>48.212620000000001</v>
      </c>
      <c r="X459" s="3">
        <v>18.002310000000001</v>
      </c>
      <c r="AB459" s="3">
        <v>50.953110000000002</v>
      </c>
      <c r="AD459" s="3">
        <v>17.206099999999999</v>
      </c>
      <c r="AE459" s="3">
        <v>42.72242</v>
      </c>
      <c r="AF459" s="3">
        <v>86.919399999999996</v>
      </c>
      <c r="AI459" s="3">
        <v>54.920299999999997</v>
      </c>
      <c r="AK459" s="3">
        <v>2.0730879999999998</v>
      </c>
      <c r="AL459" s="3">
        <v>55.326210000000003</v>
      </c>
      <c r="AM459" s="3">
        <v>50.235550000000003</v>
      </c>
      <c r="AN459" s="3">
        <v>34.380740000000003</v>
      </c>
      <c r="AO459" s="3">
        <v>27.479780000000002</v>
      </c>
      <c r="AQ459" s="3">
        <v>25.535499999999999</v>
      </c>
      <c r="AV459" s="3">
        <v>54.055790000000002</v>
      </c>
      <c r="AX459" s="3">
        <v>47.802549999999997</v>
      </c>
    </row>
    <row r="460" spans="1:50" x14ac:dyDescent="0.2">
      <c r="A460" s="3" t="s">
        <v>357</v>
      </c>
      <c r="B460" s="49">
        <v>31809</v>
      </c>
      <c r="D460" s="3">
        <v>56.277569999999997</v>
      </c>
      <c r="F460" s="3">
        <v>54.51482</v>
      </c>
      <c r="G460" s="3">
        <v>68.213809999999995</v>
      </c>
      <c r="M460" s="3">
        <v>59.567720000000001</v>
      </c>
      <c r="N460" s="3">
        <v>53.748150000000003</v>
      </c>
      <c r="P460" s="3">
        <v>40.883789999999998</v>
      </c>
      <c r="S460" s="3">
        <v>53.344639999999998</v>
      </c>
      <c r="T460" s="3">
        <v>61.916960000000003</v>
      </c>
      <c r="V460" s="3">
        <v>53.658259999999999</v>
      </c>
      <c r="W460" s="3">
        <v>48.35416</v>
      </c>
      <c r="X460" s="3">
        <v>18.066279999999999</v>
      </c>
      <c r="AB460" s="3">
        <v>50.953110000000002</v>
      </c>
      <c r="AD460" s="3">
        <v>17.60859</v>
      </c>
      <c r="AE460" s="3">
        <v>42.98695</v>
      </c>
      <c r="AF460" s="3">
        <v>86.880740000000003</v>
      </c>
      <c r="AI460" s="3">
        <v>54.922980000000003</v>
      </c>
      <c r="AK460" s="3">
        <v>2.2167240000000001</v>
      </c>
      <c r="AL460" s="3">
        <v>55.43338</v>
      </c>
      <c r="AM460" s="3">
        <v>50.809699999999999</v>
      </c>
      <c r="AN460" s="3">
        <v>34.591740000000001</v>
      </c>
      <c r="AO460" s="3">
        <v>27.618729999999999</v>
      </c>
      <c r="AQ460" s="3">
        <v>25.768750000000001</v>
      </c>
      <c r="AV460" s="3">
        <v>54.218020000000003</v>
      </c>
      <c r="AX460" s="3">
        <v>47.926389999999998</v>
      </c>
    </row>
    <row r="461" spans="1:50" x14ac:dyDescent="0.2">
      <c r="A461" s="3" t="s">
        <v>358</v>
      </c>
      <c r="B461" s="49">
        <v>31837</v>
      </c>
      <c r="D461" s="3">
        <v>56.348480000000002</v>
      </c>
      <c r="F461" s="3">
        <v>54.646360000000001</v>
      </c>
      <c r="G461" s="3">
        <v>68.302160000000001</v>
      </c>
      <c r="M461" s="3">
        <v>59.634239999999998</v>
      </c>
      <c r="N461" s="3">
        <v>54.406030000000001</v>
      </c>
      <c r="P461" s="3">
        <v>41.082790000000003</v>
      </c>
      <c r="S461" s="3">
        <v>53.63955</v>
      </c>
      <c r="T461" s="3">
        <v>62.069420000000001</v>
      </c>
      <c r="V461" s="3">
        <v>53.879579999999997</v>
      </c>
      <c r="W461" s="3">
        <v>48.48809</v>
      </c>
      <c r="X461" s="3">
        <v>18.640560000000001</v>
      </c>
      <c r="AB461" s="3">
        <v>50.953110000000002</v>
      </c>
      <c r="AD461" s="3">
        <v>17.910450000000001</v>
      </c>
      <c r="AE461" s="3">
        <v>43.123489999999997</v>
      </c>
      <c r="AF461" s="3">
        <v>87.07199</v>
      </c>
      <c r="AI461" s="3">
        <v>54.934190000000001</v>
      </c>
      <c r="AK461" s="3">
        <v>2.3668420000000001</v>
      </c>
      <c r="AL461" s="3">
        <v>55.601660000000003</v>
      </c>
      <c r="AM461" s="3">
        <v>51.553919999999998</v>
      </c>
      <c r="AN461" s="3">
        <v>34.853749999999998</v>
      </c>
      <c r="AO461" s="3">
        <v>27.73433</v>
      </c>
      <c r="AQ461" s="3">
        <v>26.045739999999999</v>
      </c>
      <c r="AV461" s="3">
        <v>54.365949999999998</v>
      </c>
      <c r="AX461" s="3">
        <v>48.215350000000001</v>
      </c>
    </row>
    <row r="462" spans="1:50" x14ac:dyDescent="0.2">
      <c r="A462" s="3" t="s">
        <v>359</v>
      </c>
      <c r="B462" s="49">
        <v>31868</v>
      </c>
      <c r="D462" s="3">
        <v>56.639879999999998</v>
      </c>
      <c r="F462" s="3">
        <v>55.023409999999998</v>
      </c>
      <c r="G462" s="3">
        <v>68.311710000000005</v>
      </c>
      <c r="M462" s="3">
        <v>59.811489999999999</v>
      </c>
      <c r="N462" s="3">
        <v>54.583869999999997</v>
      </c>
      <c r="P462" s="3">
        <v>41.353549999999998</v>
      </c>
      <c r="S462" s="3">
        <v>53.875579999999999</v>
      </c>
      <c r="T462" s="3">
        <v>62.437130000000003</v>
      </c>
      <c r="V462" s="3">
        <v>54.196820000000002</v>
      </c>
      <c r="W462" s="3">
        <v>49.162019999999998</v>
      </c>
      <c r="X462" s="3">
        <v>19.042860000000001</v>
      </c>
      <c r="AB462" s="3">
        <v>51.234229999999997</v>
      </c>
      <c r="AD462" s="3">
        <v>18.312930000000001</v>
      </c>
      <c r="AE462" s="3">
        <v>43.29663</v>
      </c>
      <c r="AF462" s="3">
        <v>87.750950000000003</v>
      </c>
      <c r="AI462" s="3">
        <v>54.933390000000003</v>
      </c>
      <c r="AK462" s="3">
        <v>2.5535770000000002</v>
      </c>
      <c r="AL462" s="3">
        <v>55.805950000000003</v>
      </c>
      <c r="AM462" s="3">
        <v>51.855759999999997</v>
      </c>
      <c r="AN462" s="3">
        <v>35.207380000000001</v>
      </c>
      <c r="AO462" s="3">
        <v>27.925519999999999</v>
      </c>
      <c r="AQ462" s="3">
        <v>26.224879999999999</v>
      </c>
      <c r="AV462" s="3">
        <v>54.574939999999998</v>
      </c>
      <c r="AX462" s="3">
        <v>48.463030000000003</v>
      </c>
    </row>
    <row r="463" spans="1:50" x14ac:dyDescent="0.2">
      <c r="A463" s="3" t="s">
        <v>360</v>
      </c>
      <c r="B463" s="49">
        <v>31898</v>
      </c>
      <c r="D463" s="3">
        <v>56.79663</v>
      </c>
      <c r="F463" s="3">
        <v>55.325470000000003</v>
      </c>
      <c r="G463" s="3">
        <v>68.006739999999994</v>
      </c>
      <c r="M463" s="3">
        <v>59.785809999999998</v>
      </c>
      <c r="N463" s="3">
        <v>55.225299999999997</v>
      </c>
      <c r="P463" s="3">
        <v>41.494230000000002</v>
      </c>
      <c r="S463" s="3">
        <v>54.048949999999998</v>
      </c>
      <c r="T463" s="3">
        <v>62.564689999999999</v>
      </c>
      <c r="V463" s="3">
        <v>54.302460000000004</v>
      </c>
      <c r="W463" s="3">
        <v>49.190800000000003</v>
      </c>
      <c r="X463" s="3">
        <v>19.173950000000001</v>
      </c>
      <c r="AB463" s="3">
        <v>51.234229999999997</v>
      </c>
      <c r="AD463" s="3">
        <v>18.614789999999999</v>
      </c>
      <c r="AE463" s="3">
        <v>43.508029999999998</v>
      </c>
      <c r="AF463" s="3">
        <v>87.994399999999999</v>
      </c>
      <c r="AI463" s="3">
        <v>54.91</v>
      </c>
      <c r="AK463" s="3">
        <v>2.7497349999999998</v>
      </c>
      <c r="AL463" s="3">
        <v>55.771839999999997</v>
      </c>
      <c r="AM463" s="3">
        <v>51.98283</v>
      </c>
      <c r="AN463" s="3">
        <v>35.428579999999997</v>
      </c>
      <c r="AO463" s="3">
        <v>27.99192</v>
      </c>
      <c r="AQ463" s="3">
        <v>26.37116</v>
      </c>
      <c r="AV463" s="3">
        <v>54.667810000000003</v>
      </c>
      <c r="AX463" s="3">
        <v>48.545589999999997</v>
      </c>
    </row>
    <row r="464" spans="1:50" x14ac:dyDescent="0.2">
      <c r="A464" s="3" t="s">
        <v>361</v>
      </c>
      <c r="B464" s="49">
        <v>31929</v>
      </c>
      <c r="D464" s="3">
        <v>56.942570000000003</v>
      </c>
      <c r="F464" s="3">
        <v>55.31129</v>
      </c>
      <c r="G464" s="3">
        <v>68.065629999999999</v>
      </c>
      <c r="M464" s="3">
        <v>59.847369999999998</v>
      </c>
      <c r="N464" s="3">
        <v>55.253540000000001</v>
      </c>
      <c r="P464" s="3">
        <v>41.581969999999998</v>
      </c>
      <c r="S464" s="3">
        <v>54.294359999999998</v>
      </c>
      <c r="T464" s="3">
        <v>62.70299</v>
      </c>
      <c r="V464" s="3">
        <v>54.356659999999998</v>
      </c>
      <c r="W464" s="3">
        <v>49.251579999999997</v>
      </c>
      <c r="X464" s="3">
        <v>19.616479999999999</v>
      </c>
      <c r="AB464" s="3">
        <v>51.234229999999997</v>
      </c>
      <c r="AD464" s="3">
        <v>18.816030000000001</v>
      </c>
      <c r="AE464" s="3">
        <v>43.664960000000001</v>
      </c>
      <c r="AF464" s="3">
        <v>87.960380000000001</v>
      </c>
      <c r="AI464" s="3">
        <v>54.86027</v>
      </c>
      <c r="AK464" s="3">
        <v>2.9575450000000001</v>
      </c>
      <c r="AL464" s="3">
        <v>55.763420000000004</v>
      </c>
      <c r="AM464" s="3">
        <v>52.289409999999997</v>
      </c>
      <c r="AN464" s="3">
        <v>35.647410000000001</v>
      </c>
      <c r="AO464" s="3">
        <v>28.109449999999999</v>
      </c>
      <c r="AQ464" s="3">
        <v>26.414090000000002</v>
      </c>
      <c r="AV464" s="3">
        <v>54.675989999999999</v>
      </c>
      <c r="AX464" s="3">
        <v>48.586869999999998</v>
      </c>
    </row>
    <row r="465" spans="1:50" x14ac:dyDescent="0.2">
      <c r="A465" s="3" t="s">
        <v>362</v>
      </c>
      <c r="B465" s="49">
        <v>31959</v>
      </c>
      <c r="D465" s="3">
        <v>57.180970000000002</v>
      </c>
      <c r="F465" s="3">
        <v>55.684089999999998</v>
      </c>
      <c r="G465" s="3">
        <v>68.100710000000007</v>
      </c>
      <c r="M465" s="3">
        <v>59.850879999999997</v>
      </c>
      <c r="N465" s="3">
        <v>55.114289999999997</v>
      </c>
      <c r="P465" s="3">
        <v>41.817039999999999</v>
      </c>
      <c r="S465" s="3">
        <v>54.263019999999997</v>
      </c>
      <c r="T465" s="3">
        <v>62.860869999999998</v>
      </c>
      <c r="V465" s="3">
        <v>54.459690000000002</v>
      </c>
      <c r="W465" s="3">
        <v>49.292110000000001</v>
      </c>
      <c r="X465" s="3">
        <v>19.44699</v>
      </c>
      <c r="AB465" s="3">
        <v>51.576340000000002</v>
      </c>
      <c r="AD465" s="3">
        <v>19.01727</v>
      </c>
      <c r="AE465" s="3">
        <v>43.775460000000002</v>
      </c>
      <c r="AF465" s="3">
        <v>87.909840000000003</v>
      </c>
      <c r="AI465" s="3">
        <v>54.835000000000001</v>
      </c>
      <c r="AK465" s="3">
        <v>3.2082790000000001</v>
      </c>
      <c r="AL465" s="3">
        <v>55.744909999999997</v>
      </c>
      <c r="AM465" s="3">
        <v>52.219659999999998</v>
      </c>
      <c r="AN465" s="3">
        <v>35.918790000000001</v>
      </c>
      <c r="AO465" s="3">
        <v>28.183250000000001</v>
      </c>
      <c r="AQ465" s="3">
        <v>26.568480000000001</v>
      </c>
      <c r="AV465" s="3">
        <v>54.875459999999997</v>
      </c>
      <c r="AX465" s="3">
        <v>48.710709999999999</v>
      </c>
    </row>
    <row r="466" spans="1:50" x14ac:dyDescent="0.2">
      <c r="A466" s="3" t="s">
        <v>363</v>
      </c>
      <c r="B466" s="49">
        <v>31990</v>
      </c>
      <c r="D466" s="3">
        <v>57.215670000000003</v>
      </c>
      <c r="F466" s="3">
        <v>55.911299999999997</v>
      </c>
      <c r="G466" s="3">
        <v>68.477900000000005</v>
      </c>
      <c r="M466" s="3">
        <v>59.856279999999998</v>
      </c>
      <c r="N466" s="3">
        <v>55.281559999999999</v>
      </c>
      <c r="P466" s="3">
        <v>41.880290000000002</v>
      </c>
      <c r="S466" s="3">
        <v>54.38514</v>
      </c>
      <c r="T466" s="3">
        <v>62.989100000000001</v>
      </c>
      <c r="V466" s="3">
        <v>54.634079999999997</v>
      </c>
      <c r="W466" s="3">
        <v>49.45476</v>
      </c>
      <c r="X466" s="3">
        <v>19.31391</v>
      </c>
      <c r="AB466" s="3">
        <v>51.576340000000002</v>
      </c>
      <c r="AD466" s="3">
        <v>19.319130000000001</v>
      </c>
      <c r="AE466" s="3">
        <v>43.952950000000001</v>
      </c>
      <c r="AF466" s="3">
        <v>87.786609999999996</v>
      </c>
      <c r="AI466" s="3">
        <v>54.949570000000001</v>
      </c>
      <c r="AK466" s="3">
        <v>3.4624649999999999</v>
      </c>
      <c r="AL466" s="3">
        <v>55.855350000000001</v>
      </c>
      <c r="AM466" s="3">
        <v>52.170529999999999</v>
      </c>
      <c r="AN466" s="3">
        <v>36.207659999999997</v>
      </c>
      <c r="AO466" s="3">
        <v>28.243359999999999</v>
      </c>
      <c r="AQ466" s="3">
        <v>26.71912</v>
      </c>
      <c r="AV466" s="3">
        <v>55.105289999999997</v>
      </c>
      <c r="AX466" s="3">
        <v>48.958399999999997</v>
      </c>
    </row>
    <row r="467" spans="1:50" x14ac:dyDescent="0.2">
      <c r="A467" s="3" t="s">
        <v>364</v>
      </c>
      <c r="B467" s="49">
        <v>32021</v>
      </c>
      <c r="D467" s="3">
        <v>57.22251</v>
      </c>
      <c r="F467" s="3">
        <v>55.945030000000003</v>
      </c>
      <c r="G467" s="3">
        <v>68.50018</v>
      </c>
      <c r="M467" s="3">
        <v>59.876710000000003</v>
      </c>
      <c r="N467" s="3">
        <v>55.733350000000002</v>
      </c>
      <c r="P467" s="3">
        <v>42.103369999999998</v>
      </c>
      <c r="S467" s="3">
        <v>54.780790000000003</v>
      </c>
      <c r="T467" s="3">
        <v>63.06879</v>
      </c>
      <c r="V467" s="3">
        <v>54.890529999999998</v>
      </c>
      <c r="W467" s="3">
        <v>49.682450000000003</v>
      </c>
      <c r="X467" s="3">
        <v>19.765309999999999</v>
      </c>
      <c r="AB467" s="3">
        <v>51.576340000000002</v>
      </c>
      <c r="AD467" s="3">
        <v>19.520379999999999</v>
      </c>
      <c r="AE467" s="3">
        <v>44.172609999999999</v>
      </c>
      <c r="AF467" s="3">
        <v>88.099180000000004</v>
      </c>
      <c r="AI467" s="3">
        <v>54.997019999999999</v>
      </c>
      <c r="AK467" s="3">
        <v>3.7020339999999998</v>
      </c>
      <c r="AL467" s="3">
        <v>56.084960000000002</v>
      </c>
      <c r="AM467" s="3">
        <v>53.155200000000001</v>
      </c>
      <c r="AN467" s="3">
        <v>36.57244</v>
      </c>
      <c r="AO467" s="3">
        <v>28.40812</v>
      </c>
      <c r="AQ467" s="3">
        <v>26.858350000000002</v>
      </c>
      <c r="AV467" s="3">
        <v>55.645629999999997</v>
      </c>
      <c r="AX467" s="3">
        <v>49.288640000000001</v>
      </c>
    </row>
    <row r="468" spans="1:50" x14ac:dyDescent="0.2">
      <c r="A468" s="3" t="s">
        <v>365</v>
      </c>
      <c r="B468" s="49">
        <v>32051</v>
      </c>
      <c r="D468" s="3">
        <v>57.087000000000003</v>
      </c>
      <c r="F468" s="3">
        <v>56.153849999999998</v>
      </c>
      <c r="G468" s="3">
        <v>68.778260000000003</v>
      </c>
      <c r="M468" s="3">
        <v>59.980870000000003</v>
      </c>
      <c r="N468" s="3">
        <v>55.927399999999999</v>
      </c>
      <c r="P468" s="3">
        <v>42.36224</v>
      </c>
      <c r="S468" s="3">
        <v>54.84404</v>
      </c>
      <c r="T468" s="3">
        <v>63.244500000000002</v>
      </c>
      <c r="V468" s="3">
        <v>55.14987</v>
      </c>
      <c r="W468" s="3">
        <v>49.959350000000001</v>
      </c>
      <c r="X468" s="3">
        <v>20.578019999999999</v>
      </c>
      <c r="AB468" s="3">
        <v>51.585059999999999</v>
      </c>
      <c r="AD468" s="3">
        <v>19.822240000000001</v>
      </c>
      <c r="AE468" s="3">
        <v>44.564749999999997</v>
      </c>
      <c r="AF468" s="3">
        <v>88.223219999999998</v>
      </c>
      <c r="AI468" s="3">
        <v>55.015709999999999</v>
      </c>
      <c r="AK468" s="3">
        <v>4.0160980000000004</v>
      </c>
      <c r="AL468" s="3">
        <v>56.176450000000003</v>
      </c>
      <c r="AM468" s="3">
        <v>53.330410000000001</v>
      </c>
      <c r="AN468" s="3">
        <v>37.009259999999998</v>
      </c>
      <c r="AO468" s="3">
        <v>28.617380000000001</v>
      </c>
      <c r="AQ468" s="3">
        <v>27.258669999999999</v>
      </c>
      <c r="AV468" s="3">
        <v>56.075299999999999</v>
      </c>
      <c r="AX468" s="3">
        <v>49.577599999999997</v>
      </c>
    </row>
    <row r="469" spans="1:50" x14ac:dyDescent="0.2">
      <c r="A469" s="3" t="s">
        <v>366</v>
      </c>
      <c r="B469" s="49">
        <v>32082</v>
      </c>
      <c r="D469" s="3">
        <v>57.075490000000002</v>
      </c>
      <c r="F469" s="3">
        <v>56.407499999999999</v>
      </c>
      <c r="G469" s="3">
        <v>69.117019999999997</v>
      </c>
      <c r="M469" s="3">
        <v>60.011510000000001</v>
      </c>
      <c r="N469" s="3">
        <v>56.275419999999997</v>
      </c>
      <c r="P469" s="3">
        <v>42.532730000000001</v>
      </c>
      <c r="S469" s="3">
        <v>54.78848</v>
      </c>
      <c r="T469" s="3">
        <v>63.322009999999999</v>
      </c>
      <c r="V469" s="3">
        <v>55.302169999999997</v>
      </c>
      <c r="W469" s="3">
        <v>50.222020000000001</v>
      </c>
      <c r="X469" s="3">
        <v>20.66168</v>
      </c>
      <c r="AB469" s="3">
        <v>51.585059999999999</v>
      </c>
      <c r="AD469" s="3">
        <v>20.224720000000001</v>
      </c>
      <c r="AE469" s="3">
        <v>44.754019999999997</v>
      </c>
      <c r="AF469" s="3">
        <v>88.278959999999998</v>
      </c>
      <c r="AI469" s="3">
        <v>55.143999999999998</v>
      </c>
      <c r="AK469" s="3">
        <v>4.3748069999999997</v>
      </c>
      <c r="AL469" s="3">
        <v>56.17633</v>
      </c>
      <c r="AM469" s="3">
        <v>53.342329999999997</v>
      </c>
      <c r="AN469" s="3">
        <v>37.441600000000001</v>
      </c>
      <c r="AO469" s="3">
        <v>28.857289999999999</v>
      </c>
      <c r="AQ469" s="3">
        <v>27.516159999999999</v>
      </c>
      <c r="AV469" s="3">
        <v>56.308570000000003</v>
      </c>
      <c r="AX469" s="3">
        <v>49.742719999999998</v>
      </c>
    </row>
    <row r="470" spans="1:50" x14ac:dyDescent="0.2">
      <c r="A470" s="3" t="s">
        <v>367</v>
      </c>
      <c r="B470" s="49">
        <v>32112</v>
      </c>
      <c r="D470" s="3">
        <v>57.231029999999997</v>
      </c>
      <c r="F470" s="3">
        <v>56.547280000000001</v>
      </c>
      <c r="G470" s="3">
        <v>69.147940000000006</v>
      </c>
      <c r="M470" s="3">
        <v>60.057459999999999</v>
      </c>
      <c r="N470" s="3">
        <v>56.321350000000002</v>
      </c>
      <c r="P470" s="3">
        <v>42.673270000000002</v>
      </c>
      <c r="S470" s="3">
        <v>55.020710000000001</v>
      </c>
      <c r="T470" s="3">
        <v>63.392879999999998</v>
      </c>
      <c r="V470" s="3">
        <v>55.289810000000003</v>
      </c>
      <c r="W470" s="3">
        <v>50.105539999999998</v>
      </c>
      <c r="X470" s="3">
        <v>20.881399999999999</v>
      </c>
      <c r="AB470" s="3">
        <v>51.585059999999999</v>
      </c>
      <c r="AD470" s="3">
        <v>20.42596</v>
      </c>
      <c r="AE470" s="3">
        <v>44.852620000000002</v>
      </c>
      <c r="AF470" s="3">
        <v>88.224860000000007</v>
      </c>
      <c r="AI470" s="3">
        <v>55.261850000000003</v>
      </c>
      <c r="AK470" s="3">
        <v>5.0158259999999997</v>
      </c>
      <c r="AL470" s="3">
        <v>55.998860000000001</v>
      </c>
      <c r="AM470" s="3">
        <v>53.650799999999997</v>
      </c>
      <c r="AN470" s="3">
        <v>38.036259999999999</v>
      </c>
      <c r="AO470" s="3">
        <v>29.13194</v>
      </c>
      <c r="AQ470" s="3">
        <v>27.753350000000001</v>
      </c>
      <c r="AV470" s="3">
        <v>56.350940000000001</v>
      </c>
      <c r="AX470" s="3">
        <v>49.701439999999998</v>
      </c>
    </row>
    <row r="471" spans="1:50" x14ac:dyDescent="0.2">
      <c r="A471" s="3" t="s">
        <v>368</v>
      </c>
      <c r="B471" s="49">
        <v>32143</v>
      </c>
      <c r="D471" s="3">
        <v>57.282420000000002</v>
      </c>
      <c r="F471" s="3">
        <v>56.525289999999998</v>
      </c>
      <c r="G471" s="3">
        <v>69.316270000000003</v>
      </c>
      <c r="M471" s="3">
        <v>60.396769999999997</v>
      </c>
      <c r="N471" s="3">
        <v>56.473889999999997</v>
      </c>
      <c r="P471" s="3">
        <v>42.973579999999998</v>
      </c>
      <c r="S471" s="3">
        <v>55.807020000000001</v>
      </c>
      <c r="T471" s="3">
        <v>63.578650000000003</v>
      </c>
      <c r="V471" s="3">
        <v>55.42747</v>
      </c>
      <c r="W471" s="3">
        <v>50.078060000000001</v>
      </c>
      <c r="X471" s="3">
        <v>20.81363</v>
      </c>
      <c r="AB471" s="3">
        <v>52.015560000000001</v>
      </c>
      <c r="AD471" s="3">
        <v>20.627199999999998</v>
      </c>
      <c r="AE471" s="3">
        <v>45.151539999999997</v>
      </c>
      <c r="AF471" s="3">
        <v>87.931010000000001</v>
      </c>
      <c r="AI471" s="3">
        <v>55.437260000000002</v>
      </c>
      <c r="AK471" s="3">
        <v>5.7077879999999999</v>
      </c>
      <c r="AL471" s="3">
        <v>55.631399999999999</v>
      </c>
      <c r="AM471" s="3">
        <v>53.915959999999998</v>
      </c>
      <c r="AN471" s="3">
        <v>38.374890000000001</v>
      </c>
      <c r="AO471" s="3">
        <v>29.289200000000001</v>
      </c>
      <c r="AQ471" s="3">
        <v>28.370139999999999</v>
      </c>
      <c r="AV471" s="3">
        <v>56.631830000000001</v>
      </c>
      <c r="AX471" s="3">
        <v>49.86656</v>
      </c>
    </row>
    <row r="472" spans="1:50" x14ac:dyDescent="0.2">
      <c r="A472" s="3" t="s">
        <v>369</v>
      </c>
      <c r="B472" s="49">
        <v>32174</v>
      </c>
      <c r="D472" s="3">
        <v>57.461370000000002</v>
      </c>
      <c r="F472" s="3">
        <v>56.943660000000001</v>
      </c>
      <c r="G472" s="3">
        <v>69.621070000000003</v>
      </c>
      <c r="M472" s="3">
        <v>60.517710000000001</v>
      </c>
      <c r="N472" s="3">
        <v>57.011670000000002</v>
      </c>
      <c r="P472" s="3">
        <v>43.207450000000001</v>
      </c>
      <c r="S472" s="3">
        <v>55.942909999999998</v>
      </c>
      <c r="T472" s="3">
        <v>63.721040000000002</v>
      </c>
      <c r="V472" s="3">
        <v>55.552959999999999</v>
      </c>
      <c r="W472" s="3">
        <v>50.294359999999998</v>
      </c>
      <c r="X472" s="3">
        <v>20.662210000000002</v>
      </c>
      <c r="AB472" s="3">
        <v>52.015560000000001</v>
      </c>
      <c r="AD472" s="3">
        <v>20.828440000000001</v>
      </c>
      <c r="AE472" s="3">
        <v>45.36748</v>
      </c>
      <c r="AF472" s="3">
        <v>87.731700000000004</v>
      </c>
      <c r="AI472" s="3">
        <v>55.517119999999998</v>
      </c>
      <c r="AK472" s="3">
        <v>6.2423400000000004</v>
      </c>
      <c r="AL472" s="3">
        <v>55.761609999999997</v>
      </c>
      <c r="AM472" s="3">
        <v>54.252780000000001</v>
      </c>
      <c r="AN472" s="3">
        <v>38.651899999999998</v>
      </c>
      <c r="AO472" s="3">
        <v>29.428920000000002</v>
      </c>
      <c r="AQ472" s="3">
        <v>28.71838</v>
      </c>
      <c r="AV472" s="3">
        <v>57.109490000000001</v>
      </c>
      <c r="AX472" s="3">
        <v>49.990400000000001</v>
      </c>
    </row>
    <row r="473" spans="1:50" x14ac:dyDescent="0.2">
      <c r="A473" s="3" t="s">
        <v>370</v>
      </c>
      <c r="B473" s="49">
        <v>32203</v>
      </c>
      <c r="D473" s="3">
        <v>57.520740000000004</v>
      </c>
      <c r="F473" s="3">
        <v>57.444159999999997</v>
      </c>
      <c r="G473" s="3">
        <v>69.689499999999995</v>
      </c>
      <c r="M473" s="3">
        <v>60.572270000000003</v>
      </c>
      <c r="N473" s="3">
        <v>57.266379999999998</v>
      </c>
      <c r="P473" s="3">
        <v>43.514760000000003</v>
      </c>
      <c r="S473" s="3">
        <v>56.306069999999998</v>
      </c>
      <c r="T473" s="3">
        <v>63.908290000000001</v>
      </c>
      <c r="V473" s="3">
        <v>55.831760000000003</v>
      </c>
      <c r="W473" s="3">
        <v>50.52169</v>
      </c>
      <c r="X473" s="3">
        <v>21.44885</v>
      </c>
      <c r="AB473" s="3">
        <v>52.015560000000001</v>
      </c>
      <c r="AD473" s="3">
        <v>21.130299999999998</v>
      </c>
      <c r="AE473" s="3">
        <v>45.619759999999999</v>
      </c>
      <c r="AF473" s="3">
        <v>87.955330000000004</v>
      </c>
      <c r="AI473" s="3">
        <v>55.617570000000001</v>
      </c>
      <c r="AK473" s="3">
        <v>6.6088940000000003</v>
      </c>
      <c r="AL473" s="3">
        <v>56.132240000000003</v>
      </c>
      <c r="AM473" s="3">
        <v>55.206530000000001</v>
      </c>
      <c r="AN473" s="3">
        <v>38.986289999999997</v>
      </c>
      <c r="AO473" s="3">
        <v>29.615849999999998</v>
      </c>
      <c r="AQ473" s="3">
        <v>28.906949999999998</v>
      </c>
      <c r="AV473" s="3">
        <v>57.381599999999999</v>
      </c>
      <c r="AX473" s="3">
        <v>50.320639999999997</v>
      </c>
    </row>
    <row r="474" spans="1:50" x14ac:dyDescent="0.2">
      <c r="A474" s="3" t="s">
        <v>371</v>
      </c>
      <c r="B474" s="49">
        <v>32234</v>
      </c>
      <c r="D474" s="3">
        <v>57.86383</v>
      </c>
      <c r="F474" s="3">
        <v>57.529530000000001</v>
      </c>
      <c r="G474" s="3">
        <v>69.721999999999994</v>
      </c>
      <c r="M474" s="3">
        <v>60.650750000000002</v>
      </c>
      <c r="N474" s="3">
        <v>57.465089999999996</v>
      </c>
      <c r="P474" s="3">
        <v>43.633189999999999</v>
      </c>
      <c r="S474" s="3">
        <v>56.841479999999997</v>
      </c>
      <c r="T474" s="3">
        <v>64.262410000000003</v>
      </c>
      <c r="V474" s="3">
        <v>56.118980000000001</v>
      </c>
      <c r="W474" s="3">
        <v>51.451099999999997</v>
      </c>
      <c r="X474" s="3">
        <v>21.778199999999998</v>
      </c>
      <c r="AB474" s="3">
        <v>52.305390000000003</v>
      </c>
      <c r="AD474" s="3">
        <v>21.432169999999999</v>
      </c>
      <c r="AE474" s="3">
        <v>45.733580000000003</v>
      </c>
      <c r="AF474" s="3">
        <v>88.63552</v>
      </c>
      <c r="AI474" s="3">
        <v>55.67465</v>
      </c>
      <c r="AK474" s="3">
        <v>6.8160189999999998</v>
      </c>
      <c r="AL474" s="3">
        <v>56.274230000000003</v>
      </c>
      <c r="AM474" s="3">
        <v>55.343040000000002</v>
      </c>
      <c r="AN474" s="3">
        <v>39.286659999999998</v>
      </c>
      <c r="AO474" s="3">
        <v>29.868980000000001</v>
      </c>
      <c r="AQ474" s="3">
        <v>29.13918</v>
      </c>
      <c r="AV474" s="3">
        <v>57.96895</v>
      </c>
      <c r="AX474" s="3">
        <v>50.527050000000003</v>
      </c>
    </row>
    <row r="475" spans="1:50" x14ac:dyDescent="0.2">
      <c r="A475" s="3" t="s">
        <v>372</v>
      </c>
      <c r="B475" s="49">
        <v>32264</v>
      </c>
      <c r="D475" s="3">
        <v>57.995649999999998</v>
      </c>
      <c r="F475" s="3">
        <v>57.82799</v>
      </c>
      <c r="G475" s="3">
        <v>69.554370000000006</v>
      </c>
      <c r="M475" s="3">
        <v>60.804209999999998</v>
      </c>
      <c r="N475" s="3">
        <v>58.158700000000003</v>
      </c>
      <c r="P475" s="3">
        <v>43.913170000000001</v>
      </c>
      <c r="S475" s="3">
        <v>57.44182</v>
      </c>
      <c r="T475" s="3">
        <v>64.417289999999994</v>
      </c>
      <c r="V475" s="3">
        <v>56.263680000000001</v>
      </c>
      <c r="W475" s="3">
        <v>51.632869999999997</v>
      </c>
      <c r="X475" s="3">
        <v>21.867730000000002</v>
      </c>
      <c r="AB475" s="3">
        <v>52.305390000000003</v>
      </c>
      <c r="AD475" s="3">
        <v>21.734030000000001</v>
      </c>
      <c r="AE475" s="3">
        <v>45.920349999999999</v>
      </c>
      <c r="AF475" s="3">
        <v>88.729780000000005</v>
      </c>
      <c r="AI475" s="3">
        <v>55.762869999999999</v>
      </c>
      <c r="AK475" s="3">
        <v>6.9607650000000003</v>
      </c>
      <c r="AL475" s="3">
        <v>56.35483</v>
      </c>
      <c r="AM475" s="3">
        <v>55.523359999999997</v>
      </c>
      <c r="AN475" s="3">
        <v>39.462159999999997</v>
      </c>
      <c r="AO475" s="3">
        <v>30.027229999999999</v>
      </c>
      <c r="AQ475" s="3">
        <v>29.503399999999999</v>
      </c>
      <c r="AV475" s="3">
        <v>58.22101</v>
      </c>
      <c r="AX475" s="3">
        <v>50.650889999999997</v>
      </c>
    </row>
    <row r="476" spans="1:50" x14ac:dyDescent="0.2">
      <c r="A476" s="3" t="s">
        <v>373</v>
      </c>
      <c r="B476" s="49">
        <v>32295</v>
      </c>
      <c r="D476" s="3">
        <v>58.156820000000003</v>
      </c>
      <c r="F476" s="3">
        <v>57.949710000000003</v>
      </c>
      <c r="G476" s="3">
        <v>69.597020000000001</v>
      </c>
      <c r="M476" s="3">
        <v>60.862130000000001</v>
      </c>
      <c r="N476" s="3">
        <v>58.112769999999998</v>
      </c>
      <c r="P476" s="3">
        <v>44.141219999999997</v>
      </c>
      <c r="S476" s="3">
        <v>57.837470000000003</v>
      </c>
      <c r="T476" s="3">
        <v>64.579930000000004</v>
      </c>
      <c r="V476" s="3">
        <v>56.380850000000002</v>
      </c>
      <c r="W476" s="3">
        <v>51.801580000000001</v>
      </c>
      <c r="X476" s="3">
        <v>22.358820000000001</v>
      </c>
      <c r="AB476" s="3">
        <v>52.305390000000003</v>
      </c>
      <c r="AD476" s="3">
        <v>22.035889999999998</v>
      </c>
      <c r="AE476" s="3">
        <v>46.058169999999997</v>
      </c>
      <c r="AF476" s="3">
        <v>88.755600000000001</v>
      </c>
      <c r="AI476" s="3">
        <v>55.821080000000002</v>
      </c>
      <c r="AK476" s="3">
        <v>7.0817589999999999</v>
      </c>
      <c r="AL476" s="3">
        <v>56.287030000000001</v>
      </c>
      <c r="AM476" s="3">
        <v>55.79898</v>
      </c>
      <c r="AN476" s="3">
        <v>39.605020000000003</v>
      </c>
      <c r="AO476" s="3">
        <v>30.14865</v>
      </c>
      <c r="AQ476" s="3">
        <v>29.606649999999998</v>
      </c>
      <c r="AV476" s="3">
        <v>58.348239999999997</v>
      </c>
      <c r="AX476" s="3">
        <v>50.774729999999998</v>
      </c>
    </row>
    <row r="477" spans="1:50" x14ac:dyDescent="0.2">
      <c r="A477" s="3" t="s">
        <v>374</v>
      </c>
      <c r="B477" s="49">
        <v>32325</v>
      </c>
      <c r="D477" s="3">
        <v>58.371250000000003</v>
      </c>
      <c r="F477" s="3">
        <v>58.264220000000002</v>
      </c>
      <c r="G477" s="3">
        <v>69.586870000000005</v>
      </c>
      <c r="M477" s="3">
        <v>60.932160000000003</v>
      </c>
      <c r="N477" s="3">
        <v>57.743749999999999</v>
      </c>
      <c r="P477" s="3">
        <v>44.3932</v>
      </c>
      <c r="S477" s="3">
        <v>57.933799999999998</v>
      </c>
      <c r="T477" s="3">
        <v>64.85463</v>
      </c>
      <c r="V477" s="3">
        <v>56.482340000000001</v>
      </c>
      <c r="W477" s="3">
        <v>51.894289999999998</v>
      </c>
      <c r="X477" s="3">
        <v>22.20579</v>
      </c>
      <c r="AB477" s="3">
        <v>52.637070000000001</v>
      </c>
      <c r="AD477" s="3">
        <v>22.136510000000001</v>
      </c>
      <c r="AE477" s="3">
        <v>46.15316</v>
      </c>
      <c r="AF477" s="3">
        <v>88.529650000000004</v>
      </c>
      <c r="AI477" s="3">
        <v>56.043509999999998</v>
      </c>
      <c r="AK477" s="3">
        <v>7.166455</v>
      </c>
      <c r="AL477" s="3">
        <v>56.44952</v>
      </c>
      <c r="AM477" s="3">
        <v>55.718420000000002</v>
      </c>
      <c r="AN477" s="3">
        <v>39.741970000000002</v>
      </c>
      <c r="AO477" s="3">
        <v>30.27413</v>
      </c>
      <c r="AQ477" s="3">
        <v>29.781669999999998</v>
      </c>
      <c r="AV477" s="3">
        <v>58.477449999999997</v>
      </c>
      <c r="AX477" s="3">
        <v>50.898569999999999</v>
      </c>
    </row>
    <row r="478" spans="1:50" x14ac:dyDescent="0.2">
      <c r="A478" s="3" t="s">
        <v>375</v>
      </c>
      <c r="B478" s="49">
        <v>32356</v>
      </c>
      <c r="D478" s="3">
        <v>58.492229999999999</v>
      </c>
      <c r="F478" s="3">
        <v>58.431840000000001</v>
      </c>
      <c r="G478" s="3">
        <v>70.093639999999994</v>
      </c>
      <c r="M478" s="3">
        <v>60.910130000000002</v>
      </c>
      <c r="N478" s="3">
        <v>58.148159999999997</v>
      </c>
      <c r="P478" s="3">
        <v>44.541849999999997</v>
      </c>
      <c r="S478" s="3">
        <v>58.093389999999999</v>
      </c>
      <c r="T478" s="3">
        <v>65.002440000000007</v>
      </c>
      <c r="V478" s="3">
        <v>56.681829999999998</v>
      </c>
      <c r="W478" s="3">
        <v>52.610419999999998</v>
      </c>
      <c r="X478" s="3">
        <v>21.98301</v>
      </c>
      <c r="AB478" s="3">
        <v>52.637070000000001</v>
      </c>
      <c r="AD478" s="3">
        <v>22.237130000000001</v>
      </c>
      <c r="AE478" s="3">
        <v>46.323279999999997</v>
      </c>
      <c r="AF478" s="3">
        <v>88.546449999999993</v>
      </c>
      <c r="AI478" s="3">
        <v>56.159390000000002</v>
      </c>
      <c r="AK478" s="3">
        <v>7.2526169999999999</v>
      </c>
      <c r="AL478" s="3">
        <v>56.619219999999999</v>
      </c>
      <c r="AM478" s="3">
        <v>55.687660000000001</v>
      </c>
      <c r="AN478" s="3">
        <v>39.912489999999998</v>
      </c>
      <c r="AO478" s="3">
        <v>30.421749999999999</v>
      </c>
      <c r="AQ478" s="3">
        <v>30.04636</v>
      </c>
      <c r="AV478" s="3">
        <v>58.568080000000002</v>
      </c>
      <c r="AX478" s="3">
        <v>51.104970000000002</v>
      </c>
    </row>
    <row r="479" spans="1:50" x14ac:dyDescent="0.2">
      <c r="A479" s="3" t="s">
        <v>376</v>
      </c>
      <c r="B479" s="49">
        <v>32387</v>
      </c>
      <c r="D479" s="3">
        <v>58.558129999999998</v>
      </c>
      <c r="F479" s="3">
        <v>58.563429999999997</v>
      </c>
      <c r="G479" s="3">
        <v>70.139809999999997</v>
      </c>
      <c r="M479" s="3">
        <v>61.048290000000001</v>
      </c>
      <c r="N479" s="3">
        <v>58.502220000000001</v>
      </c>
      <c r="P479" s="3">
        <v>44.792990000000003</v>
      </c>
      <c r="S479" s="3">
        <v>58.912779999999998</v>
      </c>
      <c r="T479" s="3">
        <v>65.153530000000003</v>
      </c>
      <c r="V479" s="3">
        <v>56.984990000000003</v>
      </c>
      <c r="W479" s="3">
        <v>52.886760000000002</v>
      </c>
      <c r="X479" s="3">
        <v>22.692740000000001</v>
      </c>
      <c r="AB479" s="3">
        <v>52.637070000000001</v>
      </c>
      <c r="AD479" s="3">
        <v>22.538989999999998</v>
      </c>
      <c r="AE479" s="3">
        <v>46.512619999999998</v>
      </c>
      <c r="AF479" s="3">
        <v>88.905460000000005</v>
      </c>
      <c r="AI479" s="3">
        <v>56.25423</v>
      </c>
      <c r="AK479" s="3">
        <v>7.3020620000000003</v>
      </c>
      <c r="AL479" s="3">
        <v>56.804400000000001</v>
      </c>
      <c r="AM479" s="3">
        <v>56.623359999999998</v>
      </c>
      <c r="AN479" s="3">
        <v>40.186329999999998</v>
      </c>
      <c r="AO479" s="3">
        <v>30.66855</v>
      </c>
      <c r="AQ479" s="3">
        <v>30.394960000000001</v>
      </c>
      <c r="AV479" s="3">
        <v>59.121090000000002</v>
      </c>
      <c r="AX479" s="3">
        <v>51.476489999999998</v>
      </c>
    </row>
    <row r="480" spans="1:50" x14ac:dyDescent="0.2">
      <c r="A480" s="3" t="s">
        <v>377</v>
      </c>
      <c r="B480" s="49">
        <v>32417</v>
      </c>
      <c r="D480" s="3">
        <v>58.5548</v>
      </c>
      <c r="F480" s="3">
        <v>59.018419999999999</v>
      </c>
      <c r="G480" s="3">
        <v>70.234369999999998</v>
      </c>
      <c r="M480" s="3">
        <v>61.172730000000001</v>
      </c>
      <c r="N480" s="3">
        <v>58.604280000000003</v>
      </c>
      <c r="P480" s="3">
        <v>45.003399999999999</v>
      </c>
      <c r="S480" s="3">
        <v>58.912199999999999</v>
      </c>
      <c r="T480" s="3">
        <v>65.370720000000006</v>
      </c>
      <c r="V480" s="3">
        <v>57.332529999999998</v>
      </c>
      <c r="W480" s="3">
        <v>53.560749999999999</v>
      </c>
      <c r="X480" s="3">
        <v>23.405290000000001</v>
      </c>
      <c r="AB480" s="3">
        <v>52.957050000000002</v>
      </c>
      <c r="AD480" s="3">
        <v>23.042090000000002</v>
      </c>
      <c r="AE480" s="3">
        <v>46.881540000000001</v>
      </c>
      <c r="AF480" s="3">
        <v>89.319810000000004</v>
      </c>
      <c r="AI480" s="3">
        <v>56.362540000000003</v>
      </c>
      <c r="AK480" s="3">
        <v>7.3553860000000002</v>
      </c>
      <c r="AL480" s="3">
        <v>56.769370000000002</v>
      </c>
      <c r="AM480" s="3">
        <v>56.629429999999999</v>
      </c>
      <c r="AN480" s="3">
        <v>40.486930000000001</v>
      </c>
      <c r="AO480" s="3">
        <v>30.941389999999998</v>
      </c>
      <c r="AQ480" s="3">
        <v>30.840920000000001</v>
      </c>
      <c r="AV480" s="3">
        <v>59.661250000000003</v>
      </c>
      <c r="AX480" s="3">
        <v>51.806730000000002</v>
      </c>
    </row>
    <row r="481" spans="1:50" x14ac:dyDescent="0.2">
      <c r="A481" s="3" t="s">
        <v>378</v>
      </c>
      <c r="B481" s="49">
        <v>32448</v>
      </c>
      <c r="D481" s="3">
        <v>58.522309999999997</v>
      </c>
      <c r="F481" s="3">
        <v>59.244660000000003</v>
      </c>
      <c r="G481" s="3">
        <v>70.569659999999999</v>
      </c>
      <c r="M481" s="3">
        <v>61.329540000000001</v>
      </c>
      <c r="N481" s="3">
        <v>59.116999999999997</v>
      </c>
      <c r="P481" s="3">
        <v>45.208889999999997</v>
      </c>
      <c r="S481" s="3">
        <v>59.04316</v>
      </c>
      <c r="T481" s="3">
        <v>65.450280000000006</v>
      </c>
      <c r="V481" s="3">
        <v>57.486710000000002</v>
      </c>
      <c r="W481" s="3">
        <v>53.802680000000002</v>
      </c>
      <c r="X481" s="3">
        <v>23.502960000000002</v>
      </c>
      <c r="AB481" s="3">
        <v>52.957050000000002</v>
      </c>
      <c r="AD481" s="3">
        <v>23.444569999999999</v>
      </c>
      <c r="AE481" s="3">
        <v>47.284379999999999</v>
      </c>
      <c r="AF481" s="3">
        <v>89.31653</v>
      </c>
      <c r="AI481" s="3">
        <v>56.527569999999997</v>
      </c>
      <c r="AK481" s="3">
        <v>7.4287099999999997</v>
      </c>
      <c r="AL481" s="3">
        <v>56.870620000000002</v>
      </c>
      <c r="AM481" s="3">
        <v>56.610939999999999</v>
      </c>
      <c r="AN481" s="3">
        <v>40.664580000000001</v>
      </c>
      <c r="AO481" s="3">
        <v>31.154620000000001</v>
      </c>
      <c r="AQ481" s="3">
        <v>31.492979999999999</v>
      </c>
      <c r="AV481" s="3">
        <v>59.751379999999997</v>
      </c>
      <c r="AX481" s="3">
        <v>51.930579999999999</v>
      </c>
    </row>
    <row r="482" spans="1:50" x14ac:dyDescent="0.2">
      <c r="A482" s="3" t="s">
        <v>379</v>
      </c>
      <c r="B482" s="49">
        <v>32478</v>
      </c>
      <c r="D482" s="3">
        <v>58.734540000000003</v>
      </c>
      <c r="F482" s="3">
        <v>59.323250000000002</v>
      </c>
      <c r="G482" s="3">
        <v>70.635279999999995</v>
      </c>
      <c r="M482" s="3">
        <v>61.414879999999997</v>
      </c>
      <c r="N482" s="3">
        <v>59.048839999999998</v>
      </c>
      <c r="P482" s="3">
        <v>45.432650000000002</v>
      </c>
      <c r="S482" s="3">
        <v>59.588459999999998</v>
      </c>
      <c r="T482" s="3">
        <v>65.517719999999997</v>
      </c>
      <c r="V482" s="3">
        <v>57.578319999999998</v>
      </c>
      <c r="W482" s="3">
        <v>53.91854</v>
      </c>
      <c r="X482" s="3">
        <v>23.73537</v>
      </c>
      <c r="AB482" s="3">
        <v>52.957050000000002</v>
      </c>
      <c r="AD482" s="3">
        <v>23.645820000000001</v>
      </c>
      <c r="AE482" s="3">
        <v>47.455199999999998</v>
      </c>
      <c r="AF482" s="3">
        <v>89.376779999999997</v>
      </c>
      <c r="AI482" s="3">
        <v>56.567909999999998</v>
      </c>
      <c r="AK482" s="3">
        <v>7.5444779999999998</v>
      </c>
      <c r="AL482" s="3">
        <v>56.787990000000001</v>
      </c>
      <c r="AM482" s="3">
        <v>56.697240000000001</v>
      </c>
      <c r="AN482" s="3">
        <v>40.80594</v>
      </c>
      <c r="AO482" s="3">
        <v>31.297129999999999</v>
      </c>
      <c r="AQ482" s="3">
        <v>31.832039999999999</v>
      </c>
      <c r="AV482" s="3">
        <v>59.851730000000003</v>
      </c>
      <c r="AX482" s="3">
        <v>52.013129999999997</v>
      </c>
    </row>
    <row r="483" spans="1:50" x14ac:dyDescent="0.2">
      <c r="A483" s="3" t="s">
        <v>380</v>
      </c>
      <c r="B483" s="49">
        <v>32509</v>
      </c>
      <c r="D483" s="3">
        <v>58.82302</v>
      </c>
      <c r="F483" s="3">
        <v>59.542789999999997</v>
      </c>
      <c r="G483" s="3">
        <v>70.951700000000002</v>
      </c>
      <c r="M483" s="3">
        <v>61.875700000000002</v>
      </c>
      <c r="N483" s="3">
        <v>59.15558</v>
      </c>
      <c r="P483" s="3">
        <v>46.026589999999999</v>
      </c>
      <c r="S483" s="3">
        <v>59.883459999999999</v>
      </c>
      <c r="T483" s="3">
        <v>65.738159999999993</v>
      </c>
      <c r="V483" s="3">
        <v>57.765680000000003</v>
      </c>
      <c r="W483" s="3">
        <v>54.273850000000003</v>
      </c>
      <c r="X483" s="3">
        <v>23.487110000000001</v>
      </c>
      <c r="AB483" s="3">
        <v>53.606180000000002</v>
      </c>
      <c r="AD483" s="3">
        <v>24.24954</v>
      </c>
      <c r="AE483" s="3">
        <v>47.766710000000003</v>
      </c>
      <c r="AF483" s="3">
        <v>89.053139999999999</v>
      </c>
      <c r="AI483" s="3">
        <v>56.856659999999998</v>
      </c>
      <c r="AK483" s="3">
        <v>7.7483120000000003</v>
      </c>
      <c r="AL483" s="3">
        <v>56.29374</v>
      </c>
      <c r="AM483" s="3">
        <v>56.921550000000003</v>
      </c>
      <c r="AN483" s="3">
        <v>41.034520000000001</v>
      </c>
      <c r="AO483" s="3">
        <v>31.567340000000002</v>
      </c>
      <c r="AQ483" s="3">
        <v>32.584020000000002</v>
      </c>
      <c r="AV483" s="3">
        <v>60.374450000000003</v>
      </c>
      <c r="AX483" s="3">
        <v>52.178260000000002</v>
      </c>
    </row>
    <row r="484" spans="1:50" x14ac:dyDescent="0.2">
      <c r="A484" s="3" t="s">
        <v>381</v>
      </c>
      <c r="B484" s="49">
        <v>32540</v>
      </c>
      <c r="D484" s="3">
        <v>59.099580000000003</v>
      </c>
      <c r="F484" s="3">
        <v>59.935180000000003</v>
      </c>
      <c r="G484" s="3">
        <v>71.341459999999998</v>
      </c>
      <c r="M484" s="3">
        <v>62.054690000000001</v>
      </c>
      <c r="N484" s="3">
        <v>59.678750000000001</v>
      </c>
      <c r="P484" s="3">
        <v>46.228369999999998</v>
      </c>
      <c r="S484" s="3">
        <v>60.174190000000003</v>
      </c>
      <c r="T484" s="3">
        <v>65.898899999999998</v>
      </c>
      <c r="V484" s="3">
        <v>57.973219999999998</v>
      </c>
      <c r="W484" s="3">
        <v>54.699660000000002</v>
      </c>
      <c r="X484" s="3">
        <v>23.26418</v>
      </c>
      <c r="AB484" s="3">
        <v>53.606180000000002</v>
      </c>
      <c r="AD484" s="3">
        <v>24.551400000000001</v>
      </c>
      <c r="AE484" s="3">
        <v>48.201180000000001</v>
      </c>
      <c r="AF484" s="3">
        <v>88.808329999999998</v>
      </c>
      <c r="AI484" s="3">
        <v>57.035049999999998</v>
      </c>
      <c r="AK484" s="3">
        <v>7.9028640000000001</v>
      </c>
      <c r="AL484" s="3">
        <v>56.486350000000002</v>
      </c>
      <c r="AM484" s="3">
        <v>57.14396</v>
      </c>
      <c r="AN484" s="3">
        <v>41.228909999999999</v>
      </c>
      <c r="AO484" s="3">
        <v>31.763590000000001</v>
      </c>
      <c r="AQ484" s="3">
        <v>33.262349999999998</v>
      </c>
      <c r="AV484" s="3">
        <v>60.742469999999997</v>
      </c>
      <c r="AX484" s="3">
        <v>52.384659999999997</v>
      </c>
    </row>
    <row r="485" spans="1:50" x14ac:dyDescent="0.2">
      <c r="A485" s="3" t="s">
        <v>382</v>
      </c>
      <c r="B485" s="49">
        <v>32568</v>
      </c>
      <c r="D485" s="3">
        <v>59.175660000000001</v>
      </c>
      <c r="F485" s="3">
        <v>60.324669999999998</v>
      </c>
      <c r="G485" s="3">
        <v>71.486660000000001</v>
      </c>
      <c r="M485" s="3">
        <v>62.15025</v>
      </c>
      <c r="N485" s="3">
        <v>60.013660000000002</v>
      </c>
      <c r="P485" s="3">
        <v>46.51596</v>
      </c>
      <c r="S485" s="3">
        <v>60.902360000000002</v>
      </c>
      <c r="T485" s="3">
        <v>66.054739999999995</v>
      </c>
      <c r="V485" s="3">
        <v>58.252839999999999</v>
      </c>
      <c r="W485" s="3">
        <v>54.931809999999999</v>
      </c>
      <c r="X485" s="3">
        <v>24.158989999999999</v>
      </c>
      <c r="AB485" s="3">
        <v>53.606180000000002</v>
      </c>
      <c r="AD485" s="3">
        <v>24.853259999999999</v>
      </c>
      <c r="AE485" s="3">
        <v>48.48039</v>
      </c>
      <c r="AF485" s="3">
        <v>89.298900000000003</v>
      </c>
      <c r="AI485" s="3">
        <v>57.227040000000002</v>
      </c>
      <c r="AK485" s="3">
        <v>8.0151819999999994</v>
      </c>
      <c r="AL485" s="3">
        <v>56.779089999999997</v>
      </c>
      <c r="AM485" s="3">
        <v>57.816879999999998</v>
      </c>
      <c r="AN485" s="3">
        <v>41.470280000000002</v>
      </c>
      <c r="AO485" s="3">
        <v>31.94191</v>
      </c>
      <c r="AQ485" s="3">
        <v>33.360939999999999</v>
      </c>
      <c r="AV485" s="3">
        <v>60.985610000000001</v>
      </c>
      <c r="AX485" s="3">
        <v>52.67362</v>
      </c>
    </row>
    <row r="486" spans="1:50" x14ac:dyDescent="0.2">
      <c r="A486" s="3" t="s">
        <v>383</v>
      </c>
      <c r="B486" s="49">
        <v>32599</v>
      </c>
      <c r="D486" s="3">
        <v>59.336469999999998</v>
      </c>
      <c r="F486" s="3">
        <v>60.430680000000002</v>
      </c>
      <c r="G486" s="3">
        <v>71.639939999999996</v>
      </c>
      <c r="M486" s="3">
        <v>62.53069</v>
      </c>
      <c r="N486" s="3">
        <v>60.246929999999999</v>
      </c>
      <c r="P486" s="3">
        <v>46.793219999999998</v>
      </c>
      <c r="S486" s="3">
        <v>61.338659999999997</v>
      </c>
      <c r="T486" s="3">
        <v>66.349140000000006</v>
      </c>
      <c r="V486" s="3">
        <v>58.636150000000001</v>
      </c>
      <c r="W486" s="3">
        <v>55.887459999999997</v>
      </c>
      <c r="X486" s="3">
        <v>24.6191</v>
      </c>
      <c r="AB486" s="3">
        <v>54.22963</v>
      </c>
      <c r="AD486" s="3">
        <v>25.356359999999999</v>
      </c>
      <c r="AE486" s="3">
        <v>48.726199999999999</v>
      </c>
      <c r="AF486" s="3">
        <v>90.830870000000004</v>
      </c>
      <c r="AI486" s="3">
        <v>57.409860000000002</v>
      </c>
      <c r="AK486" s="3">
        <v>8.1206790000000009</v>
      </c>
      <c r="AL486" s="3">
        <v>57.046750000000003</v>
      </c>
      <c r="AM486" s="3">
        <v>58.023820000000001</v>
      </c>
      <c r="AN486" s="3">
        <v>41.802230000000002</v>
      </c>
      <c r="AO486" s="3">
        <v>32.254559999999998</v>
      </c>
      <c r="AQ486" s="3">
        <v>33.798720000000003</v>
      </c>
      <c r="AV486" s="3">
        <v>61.471139999999998</v>
      </c>
      <c r="AX486" s="3">
        <v>52.838740000000001</v>
      </c>
    </row>
    <row r="487" spans="1:50" x14ac:dyDescent="0.2">
      <c r="A487" s="3" t="s">
        <v>384</v>
      </c>
      <c r="B487" s="49">
        <v>32629</v>
      </c>
      <c r="D487" s="3">
        <v>59.47099</v>
      </c>
      <c r="F487" s="3">
        <v>60.970930000000003</v>
      </c>
      <c r="G487" s="3">
        <v>71.66628</v>
      </c>
      <c r="M487" s="3">
        <v>62.58511</v>
      </c>
      <c r="N487" s="3">
        <v>60.80988</v>
      </c>
      <c r="P487" s="3">
        <v>46.957500000000003</v>
      </c>
      <c r="S487" s="3">
        <v>61.695050000000002</v>
      </c>
      <c r="T487" s="3">
        <v>66.53013</v>
      </c>
      <c r="V487" s="3">
        <v>58.834859999999999</v>
      </c>
      <c r="W487" s="3">
        <v>56.175370000000001</v>
      </c>
      <c r="X487" s="3">
        <v>24.721900000000002</v>
      </c>
      <c r="AB487" s="3">
        <v>54.22963</v>
      </c>
      <c r="AD487" s="3">
        <v>25.758849999999999</v>
      </c>
      <c r="AE487" s="3">
        <v>48.984940000000002</v>
      </c>
      <c r="AF487" s="3">
        <v>91.368449999999996</v>
      </c>
      <c r="AI487" s="3">
        <v>57.603789999999996</v>
      </c>
      <c r="AK487" s="3">
        <v>8.2230469999999993</v>
      </c>
      <c r="AL487" s="3">
        <v>57.033259999999999</v>
      </c>
      <c r="AM487" s="3">
        <v>58.200839999999999</v>
      </c>
      <c r="AN487" s="3">
        <v>41.986559999999997</v>
      </c>
      <c r="AO487" s="3">
        <v>32.408679999999997</v>
      </c>
      <c r="AQ487" s="3">
        <v>34.025970000000001</v>
      </c>
      <c r="AV487" s="3">
        <v>61.715440000000001</v>
      </c>
      <c r="AX487" s="3">
        <v>52.962580000000003</v>
      </c>
    </row>
    <row r="488" spans="1:50" x14ac:dyDescent="0.2">
      <c r="A488" s="3" t="s">
        <v>385</v>
      </c>
      <c r="B488" s="49">
        <v>32660</v>
      </c>
      <c r="D488" s="3">
        <v>59.667209999999997</v>
      </c>
      <c r="F488" s="3">
        <v>61.170870000000001</v>
      </c>
      <c r="G488" s="3">
        <v>71.745360000000005</v>
      </c>
      <c r="M488" s="3">
        <v>62.632800000000003</v>
      </c>
      <c r="N488" s="3">
        <v>60.760449999999999</v>
      </c>
      <c r="P488" s="3">
        <v>47.131019999999999</v>
      </c>
      <c r="S488" s="3">
        <v>62.363889999999998</v>
      </c>
      <c r="T488" s="3">
        <v>66.632400000000004</v>
      </c>
      <c r="V488" s="3">
        <v>58.918129999999998</v>
      </c>
      <c r="W488" s="3">
        <v>56.348230000000001</v>
      </c>
      <c r="X488" s="3">
        <v>25.028179999999999</v>
      </c>
      <c r="AB488" s="3">
        <v>54.22963</v>
      </c>
      <c r="AD488" s="3">
        <v>26.261949999999999</v>
      </c>
      <c r="AE488" s="3">
        <v>49.143149999999999</v>
      </c>
      <c r="AF488" s="3">
        <v>91.269940000000005</v>
      </c>
      <c r="AI488" s="3">
        <v>57.793729999999996</v>
      </c>
      <c r="AK488" s="3">
        <v>8.3136430000000008</v>
      </c>
      <c r="AL488" s="3">
        <v>56.927070000000001</v>
      </c>
      <c r="AM488" s="3">
        <v>58.547350000000002</v>
      </c>
      <c r="AN488" s="3">
        <v>42.100960000000001</v>
      </c>
      <c r="AO488" s="3">
        <v>32.543309999999998</v>
      </c>
      <c r="AQ488" s="3">
        <v>34.240560000000002</v>
      </c>
      <c r="AV488" s="3">
        <v>62.050379999999997</v>
      </c>
      <c r="AX488" s="3">
        <v>53.045140000000004</v>
      </c>
    </row>
    <row r="489" spans="1:50" x14ac:dyDescent="0.2">
      <c r="A489" s="3" t="s">
        <v>386</v>
      </c>
      <c r="B489" s="49">
        <v>32690</v>
      </c>
      <c r="D489" s="3">
        <v>59.971080000000001</v>
      </c>
      <c r="F489" s="3">
        <v>61.579639999999998</v>
      </c>
      <c r="G489" s="3">
        <v>71.751800000000003</v>
      </c>
      <c r="M489" s="3">
        <v>62.595320000000001</v>
      </c>
      <c r="N489" s="3">
        <v>60.585470000000001</v>
      </c>
      <c r="P489" s="3">
        <v>47.342979999999997</v>
      </c>
      <c r="S489" s="3">
        <v>62.349170000000001</v>
      </c>
      <c r="T489" s="3">
        <v>66.902630000000002</v>
      </c>
      <c r="V489" s="3">
        <v>59.073790000000002</v>
      </c>
      <c r="W489" s="3">
        <v>56.47381</v>
      </c>
      <c r="X489" s="3">
        <v>24.97391</v>
      </c>
      <c r="AB489" s="3">
        <v>54.859389999999998</v>
      </c>
      <c r="AD489" s="3">
        <v>26.56381</v>
      </c>
      <c r="AE489" s="3">
        <v>49.236890000000002</v>
      </c>
      <c r="AF489" s="3">
        <v>91.221860000000007</v>
      </c>
      <c r="AI489" s="3">
        <v>57.89058</v>
      </c>
      <c r="AK489" s="3">
        <v>8.3981270000000006</v>
      </c>
      <c r="AL489" s="3">
        <v>57.007010000000001</v>
      </c>
      <c r="AM489" s="3">
        <v>58.495660000000001</v>
      </c>
      <c r="AN489" s="3">
        <v>42.279290000000003</v>
      </c>
      <c r="AO489" s="3">
        <v>32.679760000000002</v>
      </c>
      <c r="AQ489" s="3">
        <v>34.408909999999999</v>
      </c>
      <c r="AV489" s="3">
        <v>61.918059999999997</v>
      </c>
      <c r="AX489" s="3">
        <v>53.251539999999999</v>
      </c>
    </row>
    <row r="490" spans="1:50" x14ac:dyDescent="0.2">
      <c r="A490" s="3" t="s">
        <v>387</v>
      </c>
      <c r="B490" s="49">
        <v>32721</v>
      </c>
      <c r="D490" s="3">
        <v>60.074190000000002</v>
      </c>
      <c r="F490" s="3">
        <v>61.769190000000002</v>
      </c>
      <c r="G490" s="3">
        <v>72.299350000000004</v>
      </c>
      <c r="M490" s="3">
        <v>62.626249999999999</v>
      </c>
      <c r="N490" s="3">
        <v>60.905140000000003</v>
      </c>
      <c r="P490" s="3">
        <v>47.511690000000002</v>
      </c>
      <c r="S490" s="3">
        <v>62.390709999999999</v>
      </c>
      <c r="T490" s="3">
        <v>67.01361</v>
      </c>
      <c r="V490" s="3">
        <v>59.176929999999999</v>
      </c>
      <c r="W490" s="3">
        <v>56.679099999999998</v>
      </c>
      <c r="X490" s="3">
        <v>24.644570000000002</v>
      </c>
      <c r="AB490" s="3">
        <v>54.859389999999998</v>
      </c>
      <c r="AD490" s="3">
        <v>26.865670000000001</v>
      </c>
      <c r="AE490" s="3">
        <v>49.383769999999998</v>
      </c>
      <c r="AF490" s="3">
        <v>91.093850000000003</v>
      </c>
      <c r="AI490" s="3">
        <v>57.961030000000001</v>
      </c>
      <c r="AK490" s="3">
        <v>8.4963169999999995</v>
      </c>
      <c r="AL490" s="3">
        <v>57.173349999999999</v>
      </c>
      <c r="AM490" s="3">
        <v>58.31026</v>
      </c>
      <c r="AN490" s="3">
        <v>42.403509999999997</v>
      </c>
      <c r="AO490" s="3">
        <v>32.804560000000002</v>
      </c>
      <c r="AQ490" s="3">
        <v>34.62247</v>
      </c>
      <c r="AV490" s="3">
        <v>62.221939999999996</v>
      </c>
      <c r="AX490" s="3">
        <v>53.375390000000003</v>
      </c>
    </row>
    <row r="491" spans="1:50" x14ac:dyDescent="0.2">
      <c r="A491" s="3" t="s">
        <v>388</v>
      </c>
      <c r="B491" s="49">
        <v>32752</v>
      </c>
      <c r="D491" s="3">
        <v>60.091839999999998</v>
      </c>
      <c r="F491" s="3">
        <v>61.95449</v>
      </c>
      <c r="G491" s="3">
        <v>72.479569999999995</v>
      </c>
      <c r="M491" s="3">
        <v>62.636600000000001</v>
      </c>
      <c r="N491" s="3">
        <v>61.17163</v>
      </c>
      <c r="P491" s="3">
        <v>47.773899999999998</v>
      </c>
      <c r="S491" s="3">
        <v>63.280470000000001</v>
      </c>
      <c r="T491" s="3">
        <v>67.105680000000007</v>
      </c>
      <c r="V491" s="3">
        <v>59.43891</v>
      </c>
      <c r="W491" s="3">
        <v>57.089619999999996</v>
      </c>
      <c r="X491" s="3">
        <v>25.684699999999999</v>
      </c>
      <c r="AB491" s="3">
        <v>54.859389999999998</v>
      </c>
      <c r="AD491" s="3">
        <v>27.368770000000001</v>
      </c>
      <c r="AE491" s="3">
        <v>49.578270000000003</v>
      </c>
      <c r="AF491" s="3">
        <v>91.550820000000002</v>
      </c>
      <c r="AI491" s="3">
        <v>58.096649999999997</v>
      </c>
      <c r="AK491" s="3">
        <v>8.6214119999999994</v>
      </c>
      <c r="AL491" s="3">
        <v>57.44802</v>
      </c>
      <c r="AM491" s="3">
        <v>58.949629999999999</v>
      </c>
      <c r="AN491" s="3">
        <v>42.66807</v>
      </c>
      <c r="AO491" s="3">
        <v>33.035130000000002</v>
      </c>
      <c r="AQ491" s="3">
        <v>34.712009999999999</v>
      </c>
      <c r="AV491" s="3">
        <v>62.78604</v>
      </c>
      <c r="AX491" s="3">
        <v>53.664340000000003</v>
      </c>
    </row>
    <row r="492" spans="1:50" x14ac:dyDescent="0.2">
      <c r="A492" s="3" t="s">
        <v>389</v>
      </c>
      <c r="B492" s="49">
        <v>32782</v>
      </c>
      <c r="D492" s="3">
        <v>60.003259999999997</v>
      </c>
      <c r="F492" s="3">
        <v>62.253329999999998</v>
      </c>
      <c r="G492" s="3">
        <v>72.610389999999995</v>
      </c>
      <c r="M492" s="3">
        <v>62.788460000000001</v>
      </c>
      <c r="N492" s="3">
        <v>61.462339999999998</v>
      </c>
      <c r="P492" s="3">
        <v>48.034860000000002</v>
      </c>
      <c r="S492" s="3">
        <v>63.449590000000001</v>
      </c>
      <c r="T492" s="3">
        <v>67.375209999999996</v>
      </c>
      <c r="V492" s="3">
        <v>59.789639999999999</v>
      </c>
      <c r="W492" s="3">
        <v>57.524830000000001</v>
      </c>
      <c r="X492" s="3">
        <v>26.298269999999999</v>
      </c>
      <c r="AB492" s="3">
        <v>55.423569999999998</v>
      </c>
      <c r="AD492" s="3">
        <v>27.871880000000001</v>
      </c>
      <c r="AE492" s="3">
        <v>49.898589999999999</v>
      </c>
      <c r="AF492" s="3">
        <v>92.00806</v>
      </c>
      <c r="AI492" s="3">
        <v>58.324309999999997</v>
      </c>
      <c r="AK492" s="3">
        <v>8.7550980000000003</v>
      </c>
      <c r="AL492" s="3">
        <v>57.507399999999997</v>
      </c>
      <c r="AM492" s="3">
        <v>59.105589999999999</v>
      </c>
      <c r="AN492" s="3">
        <v>43.004930000000002</v>
      </c>
      <c r="AO492" s="3">
        <v>33.321959999999997</v>
      </c>
      <c r="AQ492" s="3">
        <v>35.008620000000001</v>
      </c>
      <c r="AV492" s="3">
        <v>63.434980000000003</v>
      </c>
      <c r="AX492" s="3">
        <v>54.035870000000003</v>
      </c>
    </row>
    <row r="493" spans="1:50" x14ac:dyDescent="0.2">
      <c r="A493" s="3" t="s">
        <v>390</v>
      </c>
      <c r="B493" s="49">
        <v>32813</v>
      </c>
      <c r="D493" s="3">
        <v>59.946980000000003</v>
      </c>
      <c r="F493" s="3">
        <v>62.446109999999997</v>
      </c>
      <c r="G493" s="3">
        <v>73.668779999999998</v>
      </c>
      <c r="M493" s="3">
        <v>62.904429999999998</v>
      </c>
      <c r="N493" s="3">
        <v>61.838479999999997</v>
      </c>
      <c r="P493" s="3">
        <v>48.272509999999997</v>
      </c>
      <c r="S493" s="3">
        <v>63.375810000000001</v>
      </c>
      <c r="T493" s="3">
        <v>67.459530000000001</v>
      </c>
      <c r="V493" s="3">
        <v>59.954830000000001</v>
      </c>
      <c r="W493" s="3">
        <v>58.049909999999997</v>
      </c>
      <c r="X493" s="3">
        <v>26.486619999999998</v>
      </c>
      <c r="AB493" s="3">
        <v>55.423569999999998</v>
      </c>
      <c r="AD493" s="3">
        <v>28.274360000000001</v>
      </c>
      <c r="AE493" s="3">
        <v>50.171840000000003</v>
      </c>
      <c r="AF493" s="3">
        <v>91.835660000000004</v>
      </c>
      <c r="AI493" s="3">
        <v>58.459859999999999</v>
      </c>
      <c r="AK493" s="3">
        <v>8.8846900000000009</v>
      </c>
      <c r="AL493" s="3">
        <v>57.522190000000002</v>
      </c>
      <c r="AM493" s="3">
        <v>59.117690000000003</v>
      </c>
      <c r="AN493" s="3">
        <v>43.194400000000002</v>
      </c>
      <c r="AO493" s="3">
        <v>33.5456</v>
      </c>
      <c r="AQ493" s="3">
        <v>35.36497</v>
      </c>
      <c r="AV493" s="3">
        <v>63.594819999999999</v>
      </c>
      <c r="AX493" s="3">
        <v>54.200989999999997</v>
      </c>
    </row>
    <row r="494" spans="1:50" x14ac:dyDescent="0.2">
      <c r="A494" s="74" t="s">
        <v>391</v>
      </c>
      <c r="B494" s="49">
        <v>32843</v>
      </c>
      <c r="D494" s="3">
        <v>60.125839999999997</v>
      </c>
      <c r="F494" s="3">
        <v>62.557769999999998</v>
      </c>
      <c r="G494" s="3">
        <v>73.842380000000006</v>
      </c>
      <c r="M494" s="3">
        <v>62.995010000000001</v>
      </c>
      <c r="N494" s="3">
        <v>61.785179999999997</v>
      </c>
      <c r="P494" s="3">
        <v>48.454529999999998</v>
      </c>
      <c r="S494" s="3">
        <v>63.688400000000001</v>
      </c>
      <c r="T494" s="3">
        <v>67.492710000000002</v>
      </c>
      <c r="V494" s="3">
        <v>60.047130000000003</v>
      </c>
      <c r="W494" s="3">
        <v>58.161810000000003</v>
      </c>
      <c r="X494" s="3">
        <v>27.175940000000001</v>
      </c>
      <c r="AB494" s="3">
        <v>55.423569999999998</v>
      </c>
      <c r="AD494" s="3">
        <v>28.576219999999999</v>
      </c>
      <c r="AE494" s="3">
        <v>50.288930000000001</v>
      </c>
      <c r="AF494" s="3">
        <v>91.971990000000005</v>
      </c>
      <c r="AI494" s="3">
        <v>58.498309999999996</v>
      </c>
      <c r="AK494" s="3">
        <v>9.1477509999999995</v>
      </c>
      <c r="AL494" s="3">
        <v>57.486840000000001</v>
      </c>
      <c r="AM494" s="3">
        <v>59.211620000000003</v>
      </c>
      <c r="AN494" s="3">
        <v>43.35707</v>
      </c>
      <c r="AO494" s="3">
        <v>33.689869999999999</v>
      </c>
      <c r="AQ494" s="3">
        <v>35.553469999999997</v>
      </c>
      <c r="AV494" s="3">
        <v>63.828310000000002</v>
      </c>
      <c r="AX494" s="3">
        <v>54.283549999999998</v>
      </c>
    </row>
    <row r="495" spans="1:50" x14ac:dyDescent="0.2">
      <c r="A495" s="74" t="s">
        <v>392</v>
      </c>
      <c r="B495" s="49">
        <v>32874</v>
      </c>
      <c r="D495" s="3">
        <v>60.311590000000002</v>
      </c>
      <c r="F495" s="3">
        <v>62.717939999999999</v>
      </c>
      <c r="G495" s="3">
        <v>74.208730000000003</v>
      </c>
      <c r="M495" s="3">
        <v>63.322360000000003</v>
      </c>
      <c r="N495" s="3">
        <v>61.614289999999997</v>
      </c>
      <c r="P495" s="3">
        <v>48.808729999999997</v>
      </c>
      <c r="S495" s="3">
        <v>64.791340000000005</v>
      </c>
      <c r="T495" s="3">
        <v>67.642560000000003</v>
      </c>
      <c r="V495" s="3">
        <v>60.27075</v>
      </c>
      <c r="W495" s="3">
        <v>58.403489999999998</v>
      </c>
      <c r="X495" s="3">
        <v>27.02599</v>
      </c>
      <c r="Y495" s="3">
        <v>7.6684669999999997</v>
      </c>
      <c r="AB495" s="3">
        <v>55.977330000000002</v>
      </c>
      <c r="AD495" s="3">
        <v>28.878080000000001</v>
      </c>
      <c r="AE495" s="3">
        <v>50.794260000000001</v>
      </c>
      <c r="AF495" s="3">
        <v>91.942760000000007</v>
      </c>
      <c r="AI495" s="3">
        <v>58.795169999999999</v>
      </c>
      <c r="AK495" s="3">
        <v>9.5849360000000008</v>
      </c>
      <c r="AL495" s="3">
        <v>57.23339</v>
      </c>
      <c r="AM495" s="3">
        <v>59.221490000000003</v>
      </c>
      <c r="AN495" s="3">
        <v>43.6783</v>
      </c>
      <c r="AO495" s="3">
        <v>33.933639999999997</v>
      </c>
      <c r="AQ495" s="3">
        <v>36.377450000000003</v>
      </c>
      <c r="AV495" s="3">
        <v>65.292460000000005</v>
      </c>
      <c r="AX495" s="3">
        <v>54.48995</v>
      </c>
    </row>
    <row r="496" spans="1:50" x14ac:dyDescent="0.2">
      <c r="A496" s="74" t="s">
        <v>393</v>
      </c>
      <c r="B496" s="49">
        <v>32905</v>
      </c>
      <c r="D496" s="3">
        <v>60.589599999999997</v>
      </c>
      <c r="F496" s="3">
        <v>63.052700000000002</v>
      </c>
      <c r="G496" s="3">
        <v>74.609759999999994</v>
      </c>
      <c r="M496" s="3">
        <v>63.688670000000002</v>
      </c>
      <c r="N496" s="3">
        <v>61.851309999999998</v>
      </c>
      <c r="P496" s="3">
        <v>49.322989999999997</v>
      </c>
      <c r="S496" s="3">
        <v>65.00224</v>
      </c>
      <c r="T496" s="3">
        <v>67.82799</v>
      </c>
      <c r="V496" s="3">
        <v>60.55874</v>
      </c>
      <c r="W496" s="3">
        <v>58.774769999999997</v>
      </c>
      <c r="X496" s="3">
        <v>26.987200000000001</v>
      </c>
      <c r="Y496" s="3">
        <v>7.9419579999999996</v>
      </c>
      <c r="AB496" s="3">
        <v>55.977330000000002</v>
      </c>
      <c r="AD496" s="3">
        <v>29.079319999999999</v>
      </c>
      <c r="AE496" s="3">
        <v>51.177970000000002</v>
      </c>
      <c r="AF496" s="3">
        <v>91.754509999999996</v>
      </c>
      <c r="AI496" s="3">
        <v>58.913119999999999</v>
      </c>
      <c r="AK496" s="3">
        <v>9.786206</v>
      </c>
      <c r="AL496" s="3">
        <v>57.445329999999998</v>
      </c>
      <c r="AM496" s="3">
        <v>59.387920000000001</v>
      </c>
      <c r="AN496" s="3">
        <v>43.941180000000003</v>
      </c>
      <c r="AO496" s="3">
        <v>34.172620000000002</v>
      </c>
      <c r="AQ496" s="3">
        <v>37.45008</v>
      </c>
      <c r="AV496" s="3">
        <v>65.547799999999995</v>
      </c>
      <c r="AX496" s="3">
        <v>54.820189999999997</v>
      </c>
    </row>
    <row r="497" spans="1:50" x14ac:dyDescent="0.2">
      <c r="A497" s="74" t="s">
        <v>394</v>
      </c>
      <c r="B497" s="49">
        <v>32933</v>
      </c>
      <c r="D497" s="3">
        <v>60.74259</v>
      </c>
      <c r="F497" s="3">
        <v>63.28604</v>
      </c>
      <c r="G497" s="3">
        <v>74.885829999999999</v>
      </c>
      <c r="M497" s="3">
        <v>63.688670000000002</v>
      </c>
      <c r="N497" s="3">
        <v>62.165320000000001</v>
      </c>
      <c r="P497" s="3">
        <v>49.622889999999998</v>
      </c>
      <c r="S497" s="3">
        <v>65.296559999999999</v>
      </c>
      <c r="T497" s="3">
        <v>68.080709999999996</v>
      </c>
      <c r="V497" s="3">
        <v>60.941890000000001</v>
      </c>
      <c r="W497" s="3">
        <v>59.453960000000002</v>
      </c>
      <c r="X497" s="3">
        <v>28.16347</v>
      </c>
      <c r="Y497" s="3">
        <v>8.1519750000000002</v>
      </c>
      <c r="AB497" s="3">
        <v>55.977330000000002</v>
      </c>
      <c r="AD497" s="3">
        <v>29.4818</v>
      </c>
      <c r="AE497" s="3">
        <v>51.489310000000003</v>
      </c>
      <c r="AF497" s="3">
        <v>92.106960000000001</v>
      </c>
      <c r="AI497" s="3">
        <v>58.977640000000001</v>
      </c>
      <c r="AK497" s="3">
        <v>9.9442810000000001</v>
      </c>
      <c r="AL497" s="3">
        <v>57.762300000000003</v>
      </c>
      <c r="AM497" s="3">
        <v>60.274090000000001</v>
      </c>
      <c r="AN497" s="3">
        <v>44.274180000000001</v>
      </c>
      <c r="AO497" s="3">
        <v>34.425159999999998</v>
      </c>
      <c r="AQ497" s="3">
        <v>37.510269999999998</v>
      </c>
      <c r="AV497" s="3">
        <v>66.506590000000003</v>
      </c>
      <c r="AX497" s="3">
        <v>55.274279999999997</v>
      </c>
    </row>
    <row r="498" spans="1:50" x14ac:dyDescent="0.2">
      <c r="A498" s="74" t="s">
        <v>395</v>
      </c>
      <c r="B498" s="49">
        <v>32964</v>
      </c>
      <c r="D498" s="3">
        <v>61.09111</v>
      </c>
      <c r="F498" s="3">
        <v>63.361350000000002</v>
      </c>
      <c r="G498" s="3">
        <v>74.938109999999995</v>
      </c>
      <c r="M498" s="3">
        <v>63.789180000000002</v>
      </c>
      <c r="N498" s="3">
        <v>62.237900000000003</v>
      </c>
      <c r="P498" s="3">
        <v>49.9465</v>
      </c>
      <c r="S498" s="3">
        <v>65.579610000000002</v>
      </c>
      <c r="T498" s="3">
        <v>68.381839999999997</v>
      </c>
      <c r="V498" s="3">
        <v>61.29119</v>
      </c>
      <c r="W498" s="3">
        <v>61.426090000000002</v>
      </c>
      <c r="X498" s="3">
        <v>28.701149999999998</v>
      </c>
      <c r="Y498" s="3">
        <v>8.4357279999999992</v>
      </c>
      <c r="AB498" s="3">
        <v>56.289290000000001</v>
      </c>
      <c r="AD498" s="3">
        <v>30.286770000000001</v>
      </c>
      <c r="AE498" s="3">
        <v>51.669060000000002</v>
      </c>
      <c r="AF498" s="3">
        <v>93.062979999999996</v>
      </c>
      <c r="AI498" s="3">
        <v>59.111629999999998</v>
      </c>
      <c r="AK498" s="3">
        <v>10.125220000000001</v>
      </c>
      <c r="AL498" s="3">
        <v>58.058399999999999</v>
      </c>
      <c r="AM498" s="3">
        <v>60.359850000000002</v>
      </c>
      <c r="AN498" s="3">
        <v>44.604259999999996</v>
      </c>
      <c r="AO498" s="3">
        <v>34.795189999999998</v>
      </c>
      <c r="AQ498" s="3">
        <v>37.914340000000003</v>
      </c>
      <c r="AV498" s="3">
        <v>66.841610000000003</v>
      </c>
      <c r="AX498" s="3">
        <v>55.398119999999999</v>
      </c>
    </row>
    <row r="499" spans="1:50" x14ac:dyDescent="0.2">
      <c r="A499" s="74" t="s">
        <v>396</v>
      </c>
      <c r="B499" s="49">
        <v>32994</v>
      </c>
      <c r="D499" s="3">
        <v>61.23865</v>
      </c>
      <c r="F499" s="3">
        <v>63.693210000000001</v>
      </c>
      <c r="G499" s="3">
        <v>75.547229999999999</v>
      </c>
      <c r="M499" s="3">
        <v>63.940890000000003</v>
      </c>
      <c r="N499" s="3">
        <v>62.861629999999998</v>
      </c>
      <c r="P499" s="3">
        <v>50.168999999999997</v>
      </c>
      <c r="S499" s="3">
        <v>65.848969999999994</v>
      </c>
      <c r="T499" s="3">
        <v>68.53904</v>
      </c>
      <c r="V499" s="3">
        <v>61.454990000000002</v>
      </c>
      <c r="W499" s="3">
        <v>61.927219999999998</v>
      </c>
      <c r="X499" s="3">
        <v>29.22231</v>
      </c>
      <c r="Y499" s="3">
        <v>8.4391920000000002</v>
      </c>
      <c r="AB499" s="3">
        <v>56.289290000000001</v>
      </c>
      <c r="AD499" s="3">
        <v>30.689250000000001</v>
      </c>
      <c r="AE499" s="3">
        <v>51.821530000000003</v>
      </c>
      <c r="AF499" s="3">
        <v>93.387699999999995</v>
      </c>
      <c r="AI499" s="3">
        <v>59.289670000000001</v>
      </c>
      <c r="AK499" s="3">
        <v>10.33249</v>
      </c>
      <c r="AL499" s="3">
        <v>58.161560000000001</v>
      </c>
      <c r="AM499" s="3">
        <v>60.426679999999998</v>
      </c>
      <c r="AN499" s="3">
        <v>44.79766</v>
      </c>
      <c r="AO499" s="3">
        <v>34.989379999999997</v>
      </c>
      <c r="AQ499" s="3">
        <v>38.491390000000003</v>
      </c>
      <c r="AV499" s="3">
        <v>67.260490000000004</v>
      </c>
      <c r="AX499" s="3">
        <v>55.48068</v>
      </c>
    </row>
    <row r="500" spans="1:50" x14ac:dyDescent="0.2">
      <c r="A500" s="74" t="s">
        <v>397</v>
      </c>
      <c r="B500" s="49">
        <v>33025</v>
      </c>
      <c r="D500" s="3">
        <v>61.3977</v>
      </c>
      <c r="F500" s="3">
        <v>63.768709999999999</v>
      </c>
      <c r="G500" s="3">
        <v>75.638210000000001</v>
      </c>
      <c r="M500" s="3">
        <v>64.056870000000004</v>
      </c>
      <c r="N500" s="3">
        <v>62.817149999999998</v>
      </c>
      <c r="P500" s="3">
        <v>50.382289999999998</v>
      </c>
      <c r="S500" s="3">
        <v>66.271000000000001</v>
      </c>
      <c r="T500" s="3">
        <v>68.693989999999999</v>
      </c>
      <c r="V500" s="3">
        <v>61.612259999999999</v>
      </c>
      <c r="W500" s="3">
        <v>62.211669999999998</v>
      </c>
      <c r="X500" s="3">
        <v>29.881209999999999</v>
      </c>
      <c r="Y500" s="3">
        <v>8.4329900000000002</v>
      </c>
      <c r="AB500" s="3">
        <v>56.289290000000001</v>
      </c>
      <c r="AD500" s="3">
        <v>31.091729999999998</v>
      </c>
      <c r="AE500" s="3">
        <v>52.035150000000002</v>
      </c>
      <c r="AF500" s="3">
        <v>93.408739999999995</v>
      </c>
      <c r="AI500" s="3">
        <v>59.360480000000003</v>
      </c>
      <c r="AK500" s="3">
        <v>10.562010000000001</v>
      </c>
      <c r="AL500" s="3">
        <v>58.105550000000001</v>
      </c>
      <c r="AM500" s="3">
        <v>60.62303</v>
      </c>
      <c r="AN500" s="3">
        <v>44.979529999999997</v>
      </c>
      <c r="AO500" s="3">
        <v>35.145919999999997</v>
      </c>
      <c r="AQ500" s="3">
        <v>38.66489</v>
      </c>
      <c r="AV500" s="3">
        <v>67.18571</v>
      </c>
      <c r="AX500" s="3">
        <v>55.645800000000001</v>
      </c>
    </row>
    <row r="501" spans="1:50" x14ac:dyDescent="0.2">
      <c r="A501" s="74" t="s">
        <v>398</v>
      </c>
      <c r="B501" s="49">
        <v>33055</v>
      </c>
      <c r="D501" s="3">
        <v>61.749079999999999</v>
      </c>
      <c r="F501" s="3">
        <v>64.030209999999997</v>
      </c>
      <c r="G501" s="3">
        <v>75.697010000000006</v>
      </c>
      <c r="M501" s="3">
        <v>64.085899999999995</v>
      </c>
      <c r="N501" s="3">
        <v>62.446390000000001</v>
      </c>
      <c r="P501" s="3">
        <v>50.646479999999997</v>
      </c>
      <c r="S501" s="3">
        <v>66.239729999999994</v>
      </c>
      <c r="T501" s="3">
        <v>68.849130000000002</v>
      </c>
      <c r="V501" s="3">
        <v>61.804220000000001</v>
      </c>
      <c r="W501" s="3">
        <v>62.377899999999997</v>
      </c>
      <c r="X501" s="3">
        <v>29.652729999999998</v>
      </c>
      <c r="Y501" s="3">
        <v>8.6576839999999997</v>
      </c>
      <c r="AB501" s="3">
        <v>56.981430000000003</v>
      </c>
      <c r="AD501" s="3">
        <v>31.695460000000001</v>
      </c>
      <c r="AE501" s="3">
        <v>52.216209999999997</v>
      </c>
      <c r="AF501" s="3">
        <v>93.22063</v>
      </c>
      <c r="AI501" s="3">
        <v>59.477460000000001</v>
      </c>
      <c r="AK501" s="3">
        <v>10.759499999999999</v>
      </c>
      <c r="AL501" s="3">
        <v>58.273490000000002</v>
      </c>
      <c r="AM501" s="3">
        <v>60.600790000000003</v>
      </c>
      <c r="AN501" s="3">
        <v>45.167859999999997</v>
      </c>
      <c r="AO501" s="3">
        <v>35.255270000000003</v>
      </c>
      <c r="AQ501" s="3">
        <v>38.996969999999997</v>
      </c>
      <c r="AV501" s="3">
        <v>67.61506</v>
      </c>
      <c r="AX501" s="3">
        <v>55.934759999999997</v>
      </c>
    </row>
    <row r="502" spans="1:50" x14ac:dyDescent="0.2">
      <c r="A502" s="74" t="s">
        <v>399</v>
      </c>
      <c r="B502" s="49">
        <v>33086</v>
      </c>
      <c r="D502" s="3">
        <v>61.784210000000002</v>
      </c>
      <c r="F502" s="3">
        <v>64.265619999999998</v>
      </c>
      <c r="G502" s="3">
        <v>76.467820000000003</v>
      </c>
      <c r="M502" s="3">
        <v>64.183629999999994</v>
      </c>
      <c r="N502" s="3">
        <v>62.939019999999999</v>
      </c>
      <c r="P502" s="3">
        <v>50.700839999999999</v>
      </c>
      <c r="S502" s="3">
        <v>66.540539999999993</v>
      </c>
      <c r="T502" s="3">
        <v>69.054450000000003</v>
      </c>
      <c r="V502" s="3">
        <v>62.102539999999998</v>
      </c>
      <c r="W502" s="3">
        <v>62.827100000000002</v>
      </c>
      <c r="X502" s="3">
        <v>29.397069999999999</v>
      </c>
      <c r="Y502" s="3">
        <v>8.7946150000000003</v>
      </c>
      <c r="AB502" s="3">
        <v>56.981430000000003</v>
      </c>
      <c r="AD502" s="3">
        <v>32.198560000000001</v>
      </c>
      <c r="AE502" s="3">
        <v>52.464449999999999</v>
      </c>
      <c r="AF502" s="3">
        <v>93.306139999999999</v>
      </c>
      <c r="AI502" s="3">
        <v>59.675699999999999</v>
      </c>
      <c r="AK502" s="3">
        <v>10.93816</v>
      </c>
      <c r="AL502" s="3">
        <v>58.393079999999998</v>
      </c>
      <c r="AM502" s="3">
        <v>60.462600000000002</v>
      </c>
      <c r="AN502" s="3">
        <v>45.416980000000002</v>
      </c>
      <c r="AO502" s="3">
        <v>35.430660000000003</v>
      </c>
      <c r="AQ502" s="3">
        <v>39.384039999999999</v>
      </c>
      <c r="AV502" s="3">
        <v>67.933009999999996</v>
      </c>
      <c r="AX502" s="3">
        <v>56.306280000000001</v>
      </c>
    </row>
    <row r="503" spans="1:50" x14ac:dyDescent="0.2">
      <c r="A503" s="74" t="s">
        <v>400</v>
      </c>
      <c r="B503" s="49">
        <v>33117</v>
      </c>
      <c r="D503" s="3">
        <v>61.80301</v>
      </c>
      <c r="F503" s="3">
        <v>64.442340000000002</v>
      </c>
      <c r="G503" s="3">
        <v>76.643550000000005</v>
      </c>
      <c r="M503" s="3">
        <v>64.409019999999998</v>
      </c>
      <c r="N503" s="3">
        <v>63.412619999999997</v>
      </c>
      <c r="P503" s="3">
        <v>50.947609999999997</v>
      </c>
      <c r="S503" s="3">
        <v>66.938500000000005</v>
      </c>
      <c r="T503" s="3">
        <v>69.265379999999993</v>
      </c>
      <c r="V503" s="3">
        <v>62.433210000000003</v>
      </c>
      <c r="W503" s="3">
        <v>63.285339999999998</v>
      </c>
      <c r="X503" s="3">
        <v>30.65119</v>
      </c>
      <c r="Y503" s="3">
        <v>8.944096</v>
      </c>
      <c r="AB503" s="3">
        <v>56.981430000000003</v>
      </c>
      <c r="AD503" s="3">
        <v>32.902900000000002</v>
      </c>
      <c r="AE503" s="3">
        <v>52.675690000000003</v>
      </c>
      <c r="AF503" s="3">
        <v>93.898910000000001</v>
      </c>
      <c r="AI503" s="3">
        <v>59.932189999999999</v>
      </c>
      <c r="AK503" s="3">
        <v>11.126329999999999</v>
      </c>
      <c r="AL503" s="3">
        <v>58.815399999999997</v>
      </c>
      <c r="AM503" s="3">
        <v>61.155889999999999</v>
      </c>
      <c r="AN503" s="3">
        <v>45.776220000000002</v>
      </c>
      <c r="AO503" s="3">
        <v>35.799410000000002</v>
      </c>
      <c r="AQ503" s="3">
        <v>39.614330000000002</v>
      </c>
      <c r="AV503" s="3">
        <v>68.570700000000002</v>
      </c>
      <c r="AX503" s="3">
        <v>56.636519999999997</v>
      </c>
    </row>
    <row r="504" spans="1:50" x14ac:dyDescent="0.2">
      <c r="A504" s="74" t="s">
        <v>401</v>
      </c>
      <c r="B504" s="49">
        <v>33147</v>
      </c>
      <c r="D504" s="3">
        <v>61.752119999999998</v>
      </c>
      <c r="F504" s="3">
        <v>64.839550000000003</v>
      </c>
      <c r="G504" s="3">
        <v>76.815250000000006</v>
      </c>
      <c r="M504" s="3">
        <v>64.750659999999996</v>
      </c>
      <c r="N504" s="3">
        <v>63.449440000000003</v>
      </c>
      <c r="P504" s="3">
        <v>51.199069999999999</v>
      </c>
      <c r="S504" s="3">
        <v>66.987009999999998</v>
      </c>
      <c r="T504" s="3">
        <v>69.526539999999997</v>
      </c>
      <c r="V504" s="3">
        <v>62.737470000000002</v>
      </c>
      <c r="W504" s="3">
        <v>63.766970000000001</v>
      </c>
      <c r="X504" s="3">
        <v>31.567419999999998</v>
      </c>
      <c r="Y504" s="3">
        <v>9.0453270000000003</v>
      </c>
      <c r="AB504" s="3">
        <v>57.239829999999998</v>
      </c>
      <c r="AD504" s="3">
        <v>33.405999999999999</v>
      </c>
      <c r="AE504" s="3">
        <v>53.024000000000001</v>
      </c>
      <c r="AF504" s="3">
        <v>94.280190000000005</v>
      </c>
      <c r="AI504" s="3">
        <v>60.374929999999999</v>
      </c>
      <c r="AK504" s="3">
        <v>11.31803</v>
      </c>
      <c r="AL504" s="3">
        <v>58.946379999999998</v>
      </c>
      <c r="AM504" s="3">
        <v>61.562950000000001</v>
      </c>
      <c r="AN504" s="3">
        <v>46.113979999999998</v>
      </c>
      <c r="AO504" s="3">
        <v>36.14537</v>
      </c>
      <c r="AQ504" s="3">
        <v>39.97598</v>
      </c>
      <c r="AV504" s="3">
        <v>69.072460000000007</v>
      </c>
      <c r="AX504" s="3">
        <v>56.884210000000003</v>
      </c>
    </row>
    <row r="505" spans="1:50" x14ac:dyDescent="0.2">
      <c r="A505" s="74" t="s">
        <v>402</v>
      </c>
      <c r="B505" s="49">
        <v>33178</v>
      </c>
      <c r="D505" s="3">
        <v>61.825009999999999</v>
      </c>
      <c r="F505" s="3">
        <v>65.126480000000001</v>
      </c>
      <c r="G505" s="3">
        <v>78.043530000000004</v>
      </c>
      <c r="M505" s="3">
        <v>64.678740000000005</v>
      </c>
      <c r="N505" s="3">
        <v>63.666379999999997</v>
      </c>
      <c r="P505" s="3">
        <v>51.443179999999998</v>
      </c>
      <c r="S505" s="3">
        <v>66.976219999999998</v>
      </c>
      <c r="T505" s="3">
        <v>69.607770000000002</v>
      </c>
      <c r="V505" s="3">
        <v>62.873460000000001</v>
      </c>
      <c r="W505" s="3">
        <v>63.708550000000002</v>
      </c>
      <c r="X505" s="3">
        <v>32.081060000000001</v>
      </c>
      <c r="Y505" s="3">
        <v>9.3243390000000002</v>
      </c>
      <c r="AB505" s="3">
        <v>57.239829999999998</v>
      </c>
      <c r="AD505" s="3">
        <v>33.70787</v>
      </c>
      <c r="AE505" s="3">
        <v>53.405329999999999</v>
      </c>
      <c r="AF505" s="3">
        <v>94.357100000000003</v>
      </c>
      <c r="AI505" s="3">
        <v>60.444629999999997</v>
      </c>
      <c r="AK505" s="3">
        <v>11.58431</v>
      </c>
      <c r="AL505" s="3">
        <v>59.002420000000001</v>
      </c>
      <c r="AM505" s="3">
        <v>61.648609999999998</v>
      </c>
      <c r="AN505" s="3">
        <v>46.334389999999999</v>
      </c>
      <c r="AO505" s="3">
        <v>36.352350000000001</v>
      </c>
      <c r="AQ505" s="3">
        <v>40.500860000000003</v>
      </c>
      <c r="AV505" s="3">
        <v>69.461200000000005</v>
      </c>
      <c r="AX505" s="3">
        <v>57.049329999999998</v>
      </c>
    </row>
    <row r="506" spans="1:50" x14ac:dyDescent="0.2">
      <c r="A506" s="74" t="s">
        <v>403</v>
      </c>
      <c r="B506" s="49">
        <v>33208</v>
      </c>
      <c r="D506" s="3">
        <v>62.036799999999999</v>
      </c>
      <c r="F506" s="3">
        <v>65.119320000000002</v>
      </c>
      <c r="G506" s="3">
        <v>78.128910000000005</v>
      </c>
      <c r="M506" s="3">
        <v>64.734899999999996</v>
      </c>
      <c r="N506" s="3">
        <v>63.548949999999998</v>
      </c>
      <c r="P506" s="3">
        <v>51.676499999999997</v>
      </c>
      <c r="S506" s="3">
        <v>66.980369999999994</v>
      </c>
      <c r="T506" s="3">
        <v>69.696190000000001</v>
      </c>
      <c r="V506" s="3">
        <v>62.930669999999999</v>
      </c>
      <c r="W506" s="3">
        <v>63.746490000000001</v>
      </c>
      <c r="X506" s="3">
        <v>32.77037</v>
      </c>
      <c r="Y506" s="3">
        <v>9.2386979999999994</v>
      </c>
      <c r="AB506" s="3">
        <v>57.239829999999998</v>
      </c>
      <c r="AD506" s="3">
        <v>34.009729999999998</v>
      </c>
      <c r="AE506" s="3">
        <v>53.53078</v>
      </c>
      <c r="AF506" s="3">
        <v>94.458600000000004</v>
      </c>
      <c r="AI506" s="3">
        <v>60.446300000000001</v>
      </c>
      <c r="AK506" s="3">
        <v>11.91736</v>
      </c>
      <c r="AL506" s="3">
        <v>58.939169999999997</v>
      </c>
      <c r="AM506" s="3">
        <v>61.586930000000002</v>
      </c>
      <c r="AN506" s="3">
        <v>46.474319999999999</v>
      </c>
      <c r="AO506" s="3">
        <v>36.465560000000004</v>
      </c>
      <c r="AQ506" s="3">
        <v>40.66536</v>
      </c>
      <c r="AV506" s="3">
        <v>69.658529999999999</v>
      </c>
      <c r="AX506" s="3">
        <v>57.090609999999998</v>
      </c>
    </row>
    <row r="507" spans="1:50" x14ac:dyDescent="0.2">
      <c r="A507" s="74" t="s">
        <v>404</v>
      </c>
      <c r="B507" s="49">
        <v>33239</v>
      </c>
      <c r="D507" s="3">
        <v>62.858919999999998</v>
      </c>
      <c r="F507" s="3">
        <v>66.693759999999997</v>
      </c>
      <c r="G507" s="3">
        <v>78.552769999999995</v>
      </c>
      <c r="M507" s="3">
        <v>65.021690000000007</v>
      </c>
      <c r="N507" s="3">
        <v>63.561109999999999</v>
      </c>
      <c r="P507" s="3">
        <v>52.482219999999998</v>
      </c>
      <c r="S507" s="3">
        <v>68.137540000000001</v>
      </c>
      <c r="T507" s="3">
        <v>70.031419999999997</v>
      </c>
      <c r="V507" s="3">
        <v>63.295850000000002</v>
      </c>
      <c r="W507" s="3">
        <v>63.871630000000003</v>
      </c>
      <c r="X507" s="3">
        <v>32.764209999999999</v>
      </c>
      <c r="Y507" s="3">
        <v>10.184760000000001</v>
      </c>
      <c r="AB507" s="3">
        <v>57.930030000000002</v>
      </c>
      <c r="AD507" s="3">
        <v>34.210970000000003</v>
      </c>
      <c r="AE507" s="3">
        <v>53.604259999999996</v>
      </c>
      <c r="AF507" s="3">
        <v>94.389070000000004</v>
      </c>
      <c r="AI507" s="3">
        <v>60.673949999999998</v>
      </c>
      <c r="AK507" s="3">
        <v>12.23424</v>
      </c>
      <c r="AL507" s="3">
        <v>58.773989999999998</v>
      </c>
      <c r="AM507" s="3">
        <v>61.689410000000002</v>
      </c>
      <c r="AN507" s="3">
        <v>46.857480000000002</v>
      </c>
      <c r="AO507" s="3">
        <v>36.74286</v>
      </c>
      <c r="AQ507" s="3">
        <v>42.103200000000001</v>
      </c>
      <c r="AV507" s="3">
        <v>71.169499999999999</v>
      </c>
      <c r="AX507" s="3">
        <v>57.544690000000003</v>
      </c>
    </row>
    <row r="508" spans="1:50" x14ac:dyDescent="0.2">
      <c r="A508" s="74" t="s">
        <v>405</v>
      </c>
      <c r="B508" s="49">
        <v>33270</v>
      </c>
      <c r="D508" s="3">
        <v>63.133000000000003</v>
      </c>
      <c r="F508" s="3">
        <v>67.090999999999994</v>
      </c>
      <c r="G508" s="3">
        <v>79.327110000000005</v>
      </c>
      <c r="M508" s="3">
        <v>65.325100000000006</v>
      </c>
      <c r="N508" s="3">
        <v>63.864550000000001</v>
      </c>
      <c r="P508" s="3">
        <v>52.797400000000003</v>
      </c>
      <c r="S508" s="3">
        <v>68.571150000000003</v>
      </c>
      <c r="T508" s="3">
        <v>70.268590000000003</v>
      </c>
      <c r="V508" s="3">
        <v>63.620600000000003</v>
      </c>
      <c r="W508" s="3">
        <v>64.260549999999995</v>
      </c>
      <c r="X508" s="3">
        <v>32.470869999999998</v>
      </c>
      <c r="Y508" s="3">
        <v>10.55</v>
      </c>
      <c r="AB508" s="3">
        <v>57.930030000000002</v>
      </c>
      <c r="AD508" s="3">
        <v>34.512830000000001</v>
      </c>
      <c r="AE508" s="3">
        <v>54.032049999999998</v>
      </c>
      <c r="AF508" s="3">
        <v>94.344539999999995</v>
      </c>
      <c r="AI508" s="3">
        <v>60.760289999999998</v>
      </c>
      <c r="AK508" s="3">
        <v>12.47842</v>
      </c>
      <c r="AL508" s="3">
        <v>58.894579999999998</v>
      </c>
      <c r="AM508" s="3">
        <v>61.958660000000002</v>
      </c>
      <c r="AN508" s="3">
        <v>47.169110000000003</v>
      </c>
      <c r="AO508" s="3">
        <v>37.023699999999998</v>
      </c>
      <c r="AQ508" s="3">
        <v>42.86571</v>
      </c>
      <c r="AV508" s="3">
        <v>73.939430000000002</v>
      </c>
      <c r="AX508" s="3">
        <v>57.91621</v>
      </c>
    </row>
    <row r="509" spans="1:50" x14ac:dyDescent="0.2">
      <c r="A509" s="74" t="s">
        <v>406</v>
      </c>
      <c r="B509" s="49">
        <v>33298</v>
      </c>
      <c r="D509" s="3">
        <v>63.312739999999998</v>
      </c>
      <c r="F509" s="3">
        <v>67.578130000000002</v>
      </c>
      <c r="G509" s="3">
        <v>79.548659999999998</v>
      </c>
      <c r="M509" s="3">
        <v>65.453059999999994</v>
      </c>
      <c r="N509" s="3">
        <v>64.180160000000001</v>
      </c>
      <c r="P509" s="3">
        <v>53.097410000000004</v>
      </c>
      <c r="S509" s="3">
        <v>68.822270000000003</v>
      </c>
      <c r="T509" s="3">
        <v>70.454629999999995</v>
      </c>
      <c r="V509" s="3">
        <v>63.889659999999999</v>
      </c>
      <c r="W509" s="3">
        <v>64.586089999999999</v>
      </c>
      <c r="X509" s="3">
        <v>33.270710000000001</v>
      </c>
      <c r="Y509" s="3">
        <v>11.03998</v>
      </c>
      <c r="AB509" s="3">
        <v>57.930030000000002</v>
      </c>
      <c r="AD509" s="3">
        <v>35.116549999999997</v>
      </c>
      <c r="AE509" s="3">
        <v>54.361579999999996</v>
      </c>
      <c r="AF509" s="3">
        <v>94.757099999999994</v>
      </c>
      <c r="AI509" s="3">
        <v>60.866370000000003</v>
      </c>
      <c r="AK509" s="3">
        <v>12.687620000000001</v>
      </c>
      <c r="AL509" s="3">
        <v>59.272069999999999</v>
      </c>
      <c r="AM509" s="3">
        <v>62.487659999999998</v>
      </c>
      <c r="AN509" s="3">
        <v>47.43891</v>
      </c>
      <c r="AO509" s="3">
        <v>37.250599999999999</v>
      </c>
      <c r="AQ509" s="3">
        <v>43.288600000000002</v>
      </c>
      <c r="AV509" s="3">
        <v>74.314850000000007</v>
      </c>
      <c r="AX509" s="3">
        <v>58.163890000000002</v>
      </c>
    </row>
    <row r="510" spans="1:50" x14ac:dyDescent="0.2">
      <c r="A510" s="74" t="s">
        <v>407</v>
      </c>
      <c r="B510" s="49">
        <v>33329</v>
      </c>
      <c r="D510" s="3">
        <v>63.427720000000001</v>
      </c>
      <c r="F510" s="3">
        <v>67.622339999999994</v>
      </c>
      <c r="G510" s="3">
        <v>79.729680000000002</v>
      </c>
      <c r="M510" s="3">
        <v>65.694050000000004</v>
      </c>
      <c r="N510" s="3">
        <v>64.251279999999994</v>
      </c>
      <c r="P510" s="3">
        <v>53.38729</v>
      </c>
      <c r="S510" s="3">
        <v>69.098619999999997</v>
      </c>
      <c r="T510" s="3">
        <v>70.648070000000004</v>
      </c>
      <c r="V510" s="3">
        <v>64.107569999999996</v>
      </c>
      <c r="W510" s="3">
        <v>65.192310000000006</v>
      </c>
      <c r="X510" s="3">
        <v>34.448160000000001</v>
      </c>
      <c r="Y510" s="3">
        <v>11.5564</v>
      </c>
      <c r="AB510" s="3">
        <v>58.432989999999997</v>
      </c>
      <c r="AD510" s="3">
        <v>35.921520000000001</v>
      </c>
      <c r="AE510" s="3">
        <v>54.572380000000003</v>
      </c>
      <c r="AF510" s="3">
        <v>95.517349999999993</v>
      </c>
      <c r="AI510" s="3">
        <v>61.043529999999997</v>
      </c>
      <c r="AK510" s="3">
        <v>12.830679999999999</v>
      </c>
      <c r="AL510" s="3">
        <v>59.347819999999999</v>
      </c>
      <c r="AM510" s="3">
        <v>62.718649999999997</v>
      </c>
      <c r="AN510" s="3">
        <v>47.689830000000001</v>
      </c>
      <c r="AO510" s="3">
        <v>37.55097</v>
      </c>
      <c r="AQ510" s="3">
        <v>43.854100000000003</v>
      </c>
      <c r="AV510" s="3">
        <v>74.90634</v>
      </c>
      <c r="AX510" s="3">
        <v>58.246459999999999</v>
      </c>
    </row>
    <row r="511" spans="1:50" x14ac:dyDescent="0.2">
      <c r="A511" s="74" t="s">
        <v>408</v>
      </c>
      <c r="B511" s="49">
        <v>33359</v>
      </c>
      <c r="D511" s="3">
        <v>63.629420000000003</v>
      </c>
      <c r="F511" s="3">
        <v>67.852029999999999</v>
      </c>
      <c r="G511" s="3">
        <v>80.600489999999994</v>
      </c>
      <c r="M511" s="3">
        <v>65.846190000000007</v>
      </c>
      <c r="N511" s="3">
        <v>64.716489999999993</v>
      </c>
      <c r="P511" s="3">
        <v>53.585819999999998</v>
      </c>
      <c r="S511" s="3">
        <v>69.51473</v>
      </c>
      <c r="T511" s="3">
        <v>70.839160000000007</v>
      </c>
      <c r="V511" s="3">
        <v>64.28407</v>
      </c>
      <c r="W511" s="3">
        <v>65.331130000000002</v>
      </c>
      <c r="X511" s="3">
        <v>34.630479999999999</v>
      </c>
      <c r="Y511" s="3">
        <v>11.57882</v>
      </c>
      <c r="AB511" s="3">
        <v>58.432989999999997</v>
      </c>
      <c r="AD511" s="3">
        <v>36.625860000000003</v>
      </c>
      <c r="AE511" s="3">
        <v>55.015540000000001</v>
      </c>
      <c r="AF511" s="3">
        <v>95.994540000000001</v>
      </c>
      <c r="AI511" s="3">
        <v>61.369210000000002</v>
      </c>
      <c r="AK511" s="3">
        <v>12.955209999999999</v>
      </c>
      <c r="AL511" s="3">
        <v>59.463270000000001</v>
      </c>
      <c r="AM511" s="3">
        <v>62.774859999999997</v>
      </c>
      <c r="AN511" s="3">
        <v>47.887779999999999</v>
      </c>
      <c r="AO511" s="3">
        <v>37.781030000000001</v>
      </c>
      <c r="AQ511" s="3">
        <v>44.220840000000003</v>
      </c>
      <c r="AV511" s="3">
        <v>74.906139999999994</v>
      </c>
      <c r="AX511" s="3">
        <v>58.32902</v>
      </c>
    </row>
    <row r="512" spans="1:50" x14ac:dyDescent="0.2">
      <c r="A512" s="74" t="s">
        <v>409</v>
      </c>
      <c r="B512" s="49">
        <v>33390</v>
      </c>
      <c r="D512" s="3">
        <v>63.850940000000001</v>
      </c>
      <c r="F512" s="3">
        <v>67.959239999999994</v>
      </c>
      <c r="G512" s="3">
        <v>80.758210000000005</v>
      </c>
      <c r="M512" s="3">
        <v>66.249260000000007</v>
      </c>
      <c r="N512" s="3">
        <v>64.764039999999994</v>
      </c>
      <c r="P512" s="3">
        <v>53.767690000000002</v>
      </c>
      <c r="S512" s="3">
        <v>69.488230000000001</v>
      </c>
      <c r="T512" s="3">
        <v>71.014719999999997</v>
      </c>
      <c r="V512" s="3">
        <v>64.425280000000001</v>
      </c>
      <c r="W512" s="3">
        <v>65.549970000000002</v>
      </c>
      <c r="X512" s="3">
        <v>35.184280000000001</v>
      </c>
      <c r="Y512" s="3">
        <v>11.586779999999999</v>
      </c>
      <c r="AB512" s="3">
        <v>58.432989999999997</v>
      </c>
      <c r="AD512" s="3">
        <v>37.531440000000003</v>
      </c>
      <c r="AE512" s="3">
        <v>55.265219999999999</v>
      </c>
      <c r="AF512" s="3">
        <v>95.996440000000007</v>
      </c>
      <c r="AI512" s="3">
        <v>61.448740000000001</v>
      </c>
      <c r="AK512" s="3">
        <v>13.09033</v>
      </c>
      <c r="AL512" s="3">
        <v>59.480910000000002</v>
      </c>
      <c r="AM512" s="3">
        <v>62.850929999999998</v>
      </c>
      <c r="AN512" s="3">
        <v>48.063160000000003</v>
      </c>
      <c r="AO512" s="3">
        <v>38.017769999999999</v>
      </c>
      <c r="AQ512" s="3">
        <v>44.448439999999998</v>
      </c>
      <c r="AV512" s="3">
        <v>74.666730000000001</v>
      </c>
      <c r="AX512" s="3">
        <v>58.411580000000001</v>
      </c>
    </row>
    <row r="513" spans="1:50" x14ac:dyDescent="0.2">
      <c r="A513" s="74" t="s">
        <v>410</v>
      </c>
      <c r="B513" s="49">
        <v>33420</v>
      </c>
      <c r="D513" s="3">
        <v>64.166079999999994</v>
      </c>
      <c r="F513" s="3">
        <v>68.07938</v>
      </c>
      <c r="G513" s="3">
        <v>80.981449999999995</v>
      </c>
      <c r="M513" s="3">
        <v>66.779769999999999</v>
      </c>
      <c r="N513" s="3">
        <v>64.399429999999995</v>
      </c>
      <c r="P513" s="3">
        <v>53.9985</v>
      </c>
      <c r="S513" s="3">
        <v>69.185419999999993</v>
      </c>
      <c r="T513" s="3">
        <v>71.196070000000006</v>
      </c>
      <c r="V513" s="3">
        <v>64.607950000000002</v>
      </c>
      <c r="W513" s="3">
        <v>65.425820000000002</v>
      </c>
      <c r="X513" s="3">
        <v>35.197760000000002</v>
      </c>
      <c r="Y513" s="3">
        <v>12.012409999999999</v>
      </c>
      <c r="AB513" s="3">
        <v>59.215580000000003</v>
      </c>
      <c r="AD513" s="3">
        <v>38.839509999999997</v>
      </c>
      <c r="AE513" s="3">
        <v>55.462739999999997</v>
      </c>
      <c r="AF513" s="3">
        <v>95.877319999999997</v>
      </c>
      <c r="AI513" s="3">
        <v>61.724789999999999</v>
      </c>
      <c r="AK513" s="3">
        <v>13.217750000000001</v>
      </c>
      <c r="AL513" s="3">
        <v>59.917340000000003</v>
      </c>
      <c r="AM513" s="3">
        <v>62.680990000000001</v>
      </c>
      <c r="AN513" s="3">
        <v>48.253050000000002</v>
      </c>
      <c r="AO513" s="3">
        <v>38.215730000000001</v>
      </c>
      <c r="AQ513" s="3">
        <v>44.744909999999997</v>
      </c>
      <c r="AV513" s="3">
        <v>74.528369999999995</v>
      </c>
      <c r="AX513" s="3">
        <v>58.617980000000003</v>
      </c>
    </row>
    <row r="514" spans="1:50" x14ac:dyDescent="0.2">
      <c r="A514" s="74" t="s">
        <v>411</v>
      </c>
      <c r="B514" s="49">
        <v>33451</v>
      </c>
      <c r="D514" s="3">
        <v>64.292559999999995</v>
      </c>
      <c r="F514" s="3">
        <v>68.38485</v>
      </c>
      <c r="G514" s="3">
        <v>81.580410000000001</v>
      </c>
      <c r="M514" s="3">
        <v>66.895349999999993</v>
      </c>
      <c r="N514" s="3">
        <v>64.549000000000007</v>
      </c>
      <c r="P514" s="3">
        <v>54.153709999999997</v>
      </c>
      <c r="S514" s="3">
        <v>69.305599999999998</v>
      </c>
      <c r="T514" s="3">
        <v>71.347499999999997</v>
      </c>
      <c r="V514" s="3">
        <v>64.81183</v>
      </c>
      <c r="W514" s="3">
        <v>65.519459999999995</v>
      </c>
      <c r="X514" s="3">
        <v>35.131180000000001</v>
      </c>
      <c r="Y514" s="3">
        <v>11.98353</v>
      </c>
      <c r="AB514" s="3">
        <v>59.215580000000003</v>
      </c>
      <c r="AD514" s="3">
        <v>39.644469999999998</v>
      </c>
      <c r="AE514" s="3">
        <v>55.606000000000002</v>
      </c>
      <c r="AF514" s="3">
        <v>95.822540000000004</v>
      </c>
      <c r="AI514" s="3">
        <v>61.853520000000003</v>
      </c>
      <c r="AK514" s="3">
        <v>13.33572</v>
      </c>
      <c r="AL514" s="3">
        <v>60.181269999999998</v>
      </c>
      <c r="AM514" s="3">
        <v>62.63597</v>
      </c>
      <c r="AN514" s="3">
        <v>48.448160000000001</v>
      </c>
      <c r="AO514" s="3">
        <v>38.375239999999998</v>
      </c>
      <c r="AQ514" s="3">
        <v>44.991840000000003</v>
      </c>
      <c r="AV514" s="3">
        <v>74.548869999999994</v>
      </c>
      <c r="AX514" s="3">
        <v>58.906939999999999</v>
      </c>
    </row>
    <row r="515" spans="1:50" x14ac:dyDescent="0.2">
      <c r="A515" s="74" t="s">
        <v>412</v>
      </c>
      <c r="B515" s="49">
        <v>33482</v>
      </c>
      <c r="D515" s="3">
        <v>64.381540000000001</v>
      </c>
      <c r="F515" s="3">
        <v>68.350560000000002</v>
      </c>
      <c r="G515" s="3">
        <v>81.728679999999997</v>
      </c>
      <c r="M515" s="3">
        <v>66.91095</v>
      </c>
      <c r="N515" s="3">
        <v>65.020089999999996</v>
      </c>
      <c r="P515" s="3">
        <v>54.457160000000002</v>
      </c>
      <c r="S515" s="3">
        <v>69.566909999999993</v>
      </c>
      <c r="T515" s="3">
        <v>71.532539999999997</v>
      </c>
      <c r="V515" s="3">
        <v>65.070430000000002</v>
      </c>
      <c r="W515" s="3">
        <v>65.951890000000006</v>
      </c>
      <c r="X515" s="3">
        <v>36.619259999999997</v>
      </c>
      <c r="Y515" s="3">
        <v>12.196960000000001</v>
      </c>
      <c r="AB515" s="3">
        <v>59.215580000000003</v>
      </c>
      <c r="AD515" s="3">
        <v>40.248199999999997</v>
      </c>
      <c r="AE515" s="3">
        <v>55.838299999999997</v>
      </c>
      <c r="AF515" s="3">
        <v>96.236469999999997</v>
      </c>
      <c r="AI515" s="3">
        <v>62.017420000000001</v>
      </c>
      <c r="AK515" s="3">
        <v>13.510070000000001</v>
      </c>
      <c r="AL515" s="3">
        <v>60.75282</v>
      </c>
      <c r="AM515" s="3">
        <v>63.172080000000001</v>
      </c>
      <c r="AN515" s="3">
        <v>48.752510000000001</v>
      </c>
      <c r="AO515" s="3">
        <v>38.698630000000001</v>
      </c>
      <c r="AQ515" s="3">
        <v>45.288499999999999</v>
      </c>
      <c r="AV515" s="3">
        <v>75.775760000000005</v>
      </c>
      <c r="AX515" s="3">
        <v>59.195900000000002</v>
      </c>
    </row>
    <row r="516" spans="1:50" x14ac:dyDescent="0.2">
      <c r="A516" s="74" t="s">
        <v>413</v>
      </c>
      <c r="B516" s="49">
        <v>33512</v>
      </c>
      <c r="D516" s="3">
        <v>64.606129999999993</v>
      </c>
      <c r="F516" s="3">
        <v>68.520240000000001</v>
      </c>
      <c r="G516" s="3">
        <v>81.775040000000004</v>
      </c>
      <c r="M516" s="3">
        <v>68.057689999999994</v>
      </c>
      <c r="N516" s="3">
        <v>65.135639999999995</v>
      </c>
      <c r="P516" s="3">
        <v>54.802280000000003</v>
      </c>
      <c r="S516" s="3">
        <v>69.684970000000007</v>
      </c>
      <c r="T516" s="3">
        <v>71.816090000000003</v>
      </c>
      <c r="V516" s="3">
        <v>65.421120000000002</v>
      </c>
      <c r="W516" s="3">
        <v>66.216650000000001</v>
      </c>
      <c r="X516" s="3">
        <v>37.471899999999998</v>
      </c>
      <c r="Y516" s="3">
        <v>12.300079999999999</v>
      </c>
      <c r="AB516" s="3">
        <v>59.746630000000003</v>
      </c>
      <c r="AD516" s="3">
        <v>40.248199999999997</v>
      </c>
      <c r="AE516" s="3">
        <v>56.082880000000003</v>
      </c>
      <c r="AF516" s="3">
        <v>96.768709999999999</v>
      </c>
      <c r="AI516" s="3">
        <v>62.234360000000002</v>
      </c>
      <c r="AK516" s="3">
        <v>13.68866</v>
      </c>
      <c r="AL516" s="3">
        <v>60.85718</v>
      </c>
      <c r="AM516" s="3">
        <v>63.232840000000003</v>
      </c>
      <c r="AN516" s="3">
        <v>49.115989999999996</v>
      </c>
      <c r="AO516" s="3">
        <v>39.144910000000003</v>
      </c>
      <c r="AQ516" s="3">
        <v>45.668129999999998</v>
      </c>
      <c r="AV516" s="3">
        <v>76.211780000000005</v>
      </c>
      <c r="AX516" s="3">
        <v>59.402299999999997</v>
      </c>
    </row>
    <row r="517" spans="1:50" x14ac:dyDescent="0.2">
      <c r="A517" s="74" t="s">
        <v>414</v>
      </c>
      <c r="B517" s="49">
        <v>33543</v>
      </c>
      <c r="D517" s="3">
        <v>64.732820000000004</v>
      </c>
      <c r="F517" s="3">
        <v>68.802700000000002</v>
      </c>
      <c r="G517" s="3">
        <v>82.759029999999996</v>
      </c>
      <c r="M517" s="3">
        <v>68.281329999999997</v>
      </c>
      <c r="N517" s="3">
        <v>65.455569999999994</v>
      </c>
      <c r="P517" s="3">
        <v>55.123010000000001</v>
      </c>
      <c r="S517" s="3">
        <v>69.716470000000001</v>
      </c>
      <c r="T517" s="3">
        <v>72.017650000000003</v>
      </c>
      <c r="V517" s="3">
        <v>65.640110000000007</v>
      </c>
      <c r="W517" s="3">
        <v>66.428259999999995</v>
      </c>
      <c r="X517" s="3">
        <v>38.06926</v>
      </c>
      <c r="Y517" s="3">
        <v>12.46147</v>
      </c>
      <c r="AB517" s="3">
        <v>59.746630000000003</v>
      </c>
      <c r="AD517" s="3">
        <v>40.449440000000003</v>
      </c>
      <c r="AE517" s="3">
        <v>56.428780000000003</v>
      </c>
      <c r="AF517" s="3">
        <v>96.917630000000003</v>
      </c>
      <c r="AI517" s="3">
        <v>62.45711</v>
      </c>
      <c r="AK517" s="3">
        <v>13.95811</v>
      </c>
      <c r="AL517" s="3">
        <v>60.927500000000002</v>
      </c>
      <c r="AM517" s="3">
        <v>63.226619999999997</v>
      </c>
      <c r="AN517" s="3">
        <v>49.384369999999997</v>
      </c>
      <c r="AO517" s="3">
        <v>39.425780000000003</v>
      </c>
      <c r="AQ517" s="3">
        <v>46.056480000000001</v>
      </c>
      <c r="AV517" s="3">
        <v>76.420969999999997</v>
      </c>
      <c r="AX517" s="3">
        <v>59.608699999999999</v>
      </c>
    </row>
    <row r="518" spans="1:50" x14ac:dyDescent="0.2">
      <c r="A518" s="74" t="s">
        <v>415</v>
      </c>
      <c r="B518" s="49">
        <v>33573</v>
      </c>
      <c r="D518" s="3">
        <v>64.853260000000006</v>
      </c>
      <c r="F518" s="3">
        <v>68.591030000000003</v>
      </c>
      <c r="G518" s="3">
        <v>82.802310000000006</v>
      </c>
      <c r="M518" s="3">
        <v>68.479519999999994</v>
      </c>
      <c r="N518" s="3">
        <v>65.364779999999996</v>
      </c>
      <c r="P518" s="3">
        <v>55.33464</v>
      </c>
      <c r="S518" s="3">
        <v>70.203190000000006</v>
      </c>
      <c r="T518" s="3">
        <v>72.116640000000004</v>
      </c>
      <c r="V518" s="3">
        <v>65.684700000000007</v>
      </c>
      <c r="W518" s="3">
        <v>66.503020000000006</v>
      </c>
      <c r="X518" s="3">
        <v>38.694229999999997</v>
      </c>
      <c r="Y518" s="3">
        <v>12.511100000000001</v>
      </c>
      <c r="AB518" s="3">
        <v>59.746630000000003</v>
      </c>
      <c r="AD518" s="3">
        <v>40.550060000000002</v>
      </c>
      <c r="AE518" s="3">
        <v>56.565890000000003</v>
      </c>
      <c r="AF518" s="3">
        <v>96.993709999999993</v>
      </c>
      <c r="AI518" s="3">
        <v>62.58905</v>
      </c>
      <c r="AK518" s="3">
        <v>14.228</v>
      </c>
      <c r="AL518" s="3">
        <v>60.81071</v>
      </c>
      <c r="AM518" s="3">
        <v>63.29739</v>
      </c>
      <c r="AN518" s="3">
        <v>49.529719999999998</v>
      </c>
      <c r="AO518" s="3">
        <v>39.626420000000003</v>
      </c>
      <c r="AQ518" s="3">
        <v>46.377719999999997</v>
      </c>
      <c r="AV518" s="3">
        <v>76.667370000000005</v>
      </c>
      <c r="AX518" s="3">
        <v>59.608699999999999</v>
      </c>
    </row>
    <row r="519" spans="1:50" x14ac:dyDescent="0.2">
      <c r="A519" s="3" t="s">
        <v>416</v>
      </c>
      <c r="B519" s="49">
        <v>33604</v>
      </c>
      <c r="D519" s="3">
        <v>65.20684</v>
      </c>
      <c r="F519" s="3">
        <v>68.70872</v>
      </c>
      <c r="G519" s="3">
        <v>83.340760000000003</v>
      </c>
      <c r="M519" s="3">
        <v>68.914609999999996</v>
      </c>
      <c r="N519" s="3">
        <v>65.15849</v>
      </c>
      <c r="P519" s="3">
        <v>55.945749999999997</v>
      </c>
      <c r="S519" s="3">
        <v>70.598680000000002</v>
      </c>
      <c r="T519" s="3">
        <v>72.230199999999996</v>
      </c>
      <c r="V519" s="3">
        <v>65.849270000000004</v>
      </c>
      <c r="W519" s="3">
        <v>66.467619999999997</v>
      </c>
      <c r="X519" s="3">
        <v>38.477490000000003</v>
      </c>
      <c r="Y519" s="3">
        <v>13.40282</v>
      </c>
      <c r="AB519" s="3">
        <v>60.343960000000003</v>
      </c>
      <c r="AD519" s="3">
        <v>40.248199999999997</v>
      </c>
      <c r="AE519" s="3">
        <v>56.913820000000001</v>
      </c>
      <c r="AF519" s="3">
        <v>96.640029999999996</v>
      </c>
      <c r="AI519" s="3">
        <v>63.174790000000002</v>
      </c>
      <c r="AK519" s="3">
        <v>14.5097</v>
      </c>
      <c r="AL519" s="3">
        <v>60.74353</v>
      </c>
      <c r="AM519" s="3">
        <v>63.165080000000003</v>
      </c>
      <c r="AN519" s="3">
        <v>49.794220000000003</v>
      </c>
      <c r="AO519" s="3">
        <v>39.969569999999997</v>
      </c>
      <c r="AQ519" s="3">
        <v>47.47775</v>
      </c>
      <c r="AV519" s="3">
        <v>76.997569999999996</v>
      </c>
      <c r="AX519" s="3">
        <v>59.815109999999997</v>
      </c>
    </row>
    <row r="520" spans="1:50" x14ac:dyDescent="0.2">
      <c r="A520" s="74" t="s">
        <v>417</v>
      </c>
      <c r="B520" s="49">
        <v>33635</v>
      </c>
      <c r="D520" s="3">
        <v>65.453220000000002</v>
      </c>
      <c r="F520" s="3">
        <v>68.860020000000006</v>
      </c>
      <c r="G520" s="3">
        <v>84.020719999999997</v>
      </c>
      <c r="M520" s="3">
        <v>69.251570000000001</v>
      </c>
      <c r="N520" s="3">
        <v>65.568839999999994</v>
      </c>
      <c r="P520" s="3">
        <v>56.517449999999997</v>
      </c>
      <c r="S520" s="3">
        <v>70.834789999999998</v>
      </c>
      <c r="T520" s="3">
        <v>72.582400000000007</v>
      </c>
      <c r="V520" s="3">
        <v>66.121880000000004</v>
      </c>
      <c r="W520" s="3">
        <v>66.805790000000002</v>
      </c>
      <c r="X520" s="3">
        <v>38.563650000000003</v>
      </c>
      <c r="Y520" s="3">
        <v>13.827</v>
      </c>
      <c r="AB520" s="3">
        <v>60.343960000000003</v>
      </c>
      <c r="AD520" s="3">
        <v>40.449440000000003</v>
      </c>
      <c r="AE520" s="3">
        <v>57.25873</v>
      </c>
      <c r="AF520" s="3">
        <v>96.624309999999994</v>
      </c>
      <c r="AI520" s="3">
        <v>63.418039999999998</v>
      </c>
      <c r="AK520" s="3">
        <v>14.70524</v>
      </c>
      <c r="AL520" s="3">
        <v>61.064120000000003</v>
      </c>
      <c r="AM520" s="3">
        <v>63.363799999999998</v>
      </c>
      <c r="AN520" s="3">
        <v>50.064010000000003</v>
      </c>
      <c r="AO520" s="3">
        <v>40.253369999999997</v>
      </c>
      <c r="AQ520" s="3">
        <v>48.124879999999997</v>
      </c>
      <c r="AV520" s="3">
        <v>77.095249999999993</v>
      </c>
      <c r="AX520" s="3">
        <v>60.10407</v>
      </c>
    </row>
    <row r="521" spans="1:50" x14ac:dyDescent="0.2">
      <c r="A521" s="74" t="s">
        <v>418</v>
      </c>
      <c r="B521" s="49">
        <v>33664</v>
      </c>
      <c r="D521" s="3">
        <v>65.719830000000002</v>
      </c>
      <c r="F521" s="3">
        <v>69.13364</v>
      </c>
      <c r="G521" s="3">
        <v>84.276240000000001</v>
      </c>
      <c r="M521" s="3">
        <v>69.659360000000007</v>
      </c>
      <c r="N521" s="3">
        <v>65.883889999999994</v>
      </c>
      <c r="P521" s="3">
        <v>56.842440000000003</v>
      </c>
      <c r="S521" s="3">
        <v>71.134309999999999</v>
      </c>
      <c r="T521" s="3">
        <v>72.84281</v>
      </c>
      <c r="V521" s="3">
        <v>66.473110000000005</v>
      </c>
      <c r="W521" s="3">
        <v>66.987309999999994</v>
      </c>
      <c r="X521" s="3">
        <v>39.658499999999997</v>
      </c>
      <c r="Y521" s="3">
        <v>14.034330000000001</v>
      </c>
      <c r="AB521" s="3">
        <v>60.343960000000003</v>
      </c>
      <c r="AD521" s="3">
        <v>40.650680000000001</v>
      </c>
      <c r="AE521" s="3">
        <v>57.586239999999997</v>
      </c>
      <c r="AF521" s="3">
        <v>97.247820000000004</v>
      </c>
      <c r="AI521" s="3">
        <v>63.522970000000001</v>
      </c>
      <c r="AK521" s="3">
        <v>14.85984</v>
      </c>
      <c r="AL521" s="3">
        <v>61.6402</v>
      </c>
      <c r="AM521" s="3">
        <v>64.000320000000002</v>
      </c>
      <c r="AN521" s="3">
        <v>50.391069999999999</v>
      </c>
      <c r="AO521" s="3">
        <v>40.541049999999998</v>
      </c>
      <c r="AQ521" s="3">
        <v>48.530259999999998</v>
      </c>
      <c r="AV521" s="3">
        <v>77.557140000000004</v>
      </c>
      <c r="AX521" s="3">
        <v>60.434310000000004</v>
      </c>
    </row>
    <row r="522" spans="1:50" x14ac:dyDescent="0.2">
      <c r="A522" s="74" t="s">
        <v>419</v>
      </c>
      <c r="B522" s="49">
        <v>33695</v>
      </c>
      <c r="D522" s="3">
        <v>65.648449999999997</v>
      </c>
      <c r="F522" s="3">
        <v>69.178120000000007</v>
      </c>
      <c r="G522" s="3">
        <v>84.415390000000002</v>
      </c>
      <c r="M522" s="3">
        <v>69.919520000000006</v>
      </c>
      <c r="N522" s="3">
        <v>66.052279999999996</v>
      </c>
      <c r="P522" s="3">
        <v>57.105719999999998</v>
      </c>
      <c r="S522" s="3">
        <v>71.379570000000001</v>
      </c>
      <c r="T522" s="3">
        <v>72.995949999999993</v>
      </c>
      <c r="V522" s="3">
        <v>66.754499999999993</v>
      </c>
      <c r="W522" s="3">
        <v>68.223699999999994</v>
      </c>
      <c r="X522" s="3">
        <v>40.379060000000003</v>
      </c>
      <c r="Y522" s="3">
        <v>14.212070000000001</v>
      </c>
      <c r="AB522" s="3">
        <v>60.880279999999999</v>
      </c>
      <c r="AD522" s="3">
        <v>41.455640000000002</v>
      </c>
      <c r="AE522" s="3">
        <v>57.802160000000001</v>
      </c>
      <c r="AF522" s="3">
        <v>98.210239999999999</v>
      </c>
      <c r="AI522" s="3">
        <v>63.733260000000001</v>
      </c>
      <c r="AK522" s="3">
        <v>15.01064</v>
      </c>
      <c r="AL522" s="3">
        <v>61.840299999999999</v>
      </c>
      <c r="AM522" s="3">
        <v>64.249979999999994</v>
      </c>
      <c r="AN522" s="3">
        <v>50.660780000000003</v>
      </c>
      <c r="AO522" s="3">
        <v>40.87471</v>
      </c>
      <c r="AQ522" s="3">
        <v>48.851309999999998</v>
      </c>
      <c r="AV522" s="3">
        <v>77.749039999999994</v>
      </c>
      <c r="AX522" s="3">
        <v>60.516869999999997</v>
      </c>
    </row>
    <row r="523" spans="1:50" x14ac:dyDescent="0.2">
      <c r="A523" s="74" t="s">
        <v>420</v>
      </c>
      <c r="B523" s="49">
        <v>33725</v>
      </c>
      <c r="D523" s="3">
        <v>65.85136</v>
      </c>
      <c r="F523" s="3">
        <v>69.22784</v>
      </c>
      <c r="G523" s="3">
        <v>84.786969999999997</v>
      </c>
      <c r="M523" s="3">
        <v>70.092290000000006</v>
      </c>
      <c r="N523" s="3">
        <v>66.488029999999995</v>
      </c>
      <c r="P523" s="3">
        <v>57.289740000000002</v>
      </c>
      <c r="S523" s="3">
        <v>71.485900000000001</v>
      </c>
      <c r="T523" s="3">
        <v>73.225059999999999</v>
      </c>
      <c r="V523" s="3">
        <v>66.889399999999995</v>
      </c>
      <c r="W523" s="3">
        <v>68.431470000000004</v>
      </c>
      <c r="X523" s="3">
        <v>40.483519999999999</v>
      </c>
      <c r="Y523" s="3">
        <v>14.34379</v>
      </c>
      <c r="AB523" s="3">
        <v>60.880279999999999</v>
      </c>
      <c r="AD523" s="3">
        <v>41.7575</v>
      </c>
      <c r="AE523" s="3">
        <v>58.11842</v>
      </c>
      <c r="AF523" s="3">
        <v>98.564890000000005</v>
      </c>
      <c r="AI523" s="3">
        <v>64.040520000000001</v>
      </c>
      <c r="AK523" s="3">
        <v>15.165190000000001</v>
      </c>
      <c r="AL523" s="3">
        <v>61.929270000000002</v>
      </c>
      <c r="AM523" s="3">
        <v>64.340109999999996</v>
      </c>
      <c r="AN523" s="3">
        <v>50.8232</v>
      </c>
      <c r="AO523" s="3">
        <v>41.077979999999997</v>
      </c>
      <c r="AQ523" s="3">
        <v>49.69173</v>
      </c>
      <c r="AV523" s="3">
        <v>77.672389999999993</v>
      </c>
      <c r="AX523" s="3">
        <v>60.558149999999998</v>
      </c>
    </row>
    <row r="524" spans="1:50" x14ac:dyDescent="0.2">
      <c r="A524" s="74" t="s">
        <v>421</v>
      </c>
      <c r="B524" s="49">
        <v>33756</v>
      </c>
      <c r="D524" s="3">
        <v>66.175219999999996</v>
      </c>
      <c r="F524" s="3">
        <v>69.222499999999997</v>
      </c>
      <c r="G524" s="3">
        <v>84.936679999999996</v>
      </c>
      <c r="M524" s="3">
        <v>70.299120000000002</v>
      </c>
      <c r="N524" s="3">
        <v>66.495249999999999</v>
      </c>
      <c r="P524" s="3">
        <v>57.449840000000002</v>
      </c>
      <c r="S524" s="3">
        <v>71.912710000000004</v>
      </c>
      <c r="T524" s="3">
        <v>73.348290000000006</v>
      </c>
      <c r="V524" s="3">
        <v>66.995490000000004</v>
      </c>
      <c r="W524" s="3">
        <v>68.478560000000002</v>
      </c>
      <c r="X524" s="3">
        <v>41.158329999999999</v>
      </c>
      <c r="Y524" s="3">
        <v>14.483639999999999</v>
      </c>
      <c r="AB524" s="3">
        <v>60.880279999999999</v>
      </c>
      <c r="AD524" s="3">
        <v>41.958739999999999</v>
      </c>
      <c r="AE524" s="3">
        <v>58.268830000000001</v>
      </c>
      <c r="AF524" s="3">
        <v>98.714209999999994</v>
      </c>
      <c r="AI524" s="3">
        <v>64.141360000000006</v>
      </c>
      <c r="AK524" s="3">
        <v>15.29946</v>
      </c>
      <c r="AL524" s="3">
        <v>61.674909999999997</v>
      </c>
      <c r="AM524" s="3">
        <v>64.420410000000004</v>
      </c>
      <c r="AN524" s="3">
        <v>50.95599</v>
      </c>
      <c r="AO524" s="3">
        <v>41.234839999999998</v>
      </c>
      <c r="AQ524" s="3">
        <v>50.170409999999997</v>
      </c>
      <c r="AV524" s="3">
        <v>77.36206</v>
      </c>
      <c r="AX524" s="3">
        <v>60.640709999999999</v>
      </c>
    </row>
    <row r="525" spans="1:50" x14ac:dyDescent="0.2">
      <c r="A525" s="74" t="s">
        <v>422</v>
      </c>
      <c r="B525" s="49">
        <v>33786</v>
      </c>
      <c r="D525" s="3">
        <v>66.529920000000004</v>
      </c>
      <c r="F525" s="3">
        <v>69.329480000000004</v>
      </c>
      <c r="G525" s="3">
        <v>84.952190000000002</v>
      </c>
      <c r="M525" s="3">
        <v>70.668769999999995</v>
      </c>
      <c r="N525" s="3">
        <v>66.209209999999999</v>
      </c>
      <c r="P525" s="3">
        <v>57.645800000000001</v>
      </c>
      <c r="S525" s="3">
        <v>71.835530000000006</v>
      </c>
      <c r="T525" s="3">
        <v>73.486400000000003</v>
      </c>
      <c r="V525" s="3">
        <v>67.083479999999994</v>
      </c>
      <c r="W525" s="3">
        <v>68.325749999999999</v>
      </c>
      <c r="X525" s="3">
        <v>40.934800000000003</v>
      </c>
      <c r="Y525" s="3">
        <v>14.5985</v>
      </c>
      <c r="AB525" s="3">
        <v>61.330170000000003</v>
      </c>
      <c r="AD525" s="3">
        <v>42.461849999999998</v>
      </c>
      <c r="AE525" s="3">
        <v>58.447980000000001</v>
      </c>
      <c r="AF525" s="3">
        <v>98.101230000000001</v>
      </c>
      <c r="AI525" s="3">
        <v>64.307040000000001</v>
      </c>
      <c r="AK525" s="3">
        <v>15.424580000000001</v>
      </c>
      <c r="AL525" s="3">
        <v>62.117449999999998</v>
      </c>
      <c r="AM525" s="3">
        <v>64.526979999999995</v>
      </c>
      <c r="AN525" s="3">
        <v>51.084670000000003</v>
      </c>
      <c r="AO525" s="3">
        <v>41.415050000000001</v>
      </c>
      <c r="AQ525" s="3">
        <v>50.42747</v>
      </c>
      <c r="AV525" s="3">
        <v>77.447040000000001</v>
      </c>
      <c r="AX525" s="3">
        <v>60.80583</v>
      </c>
    </row>
    <row r="526" spans="1:50" x14ac:dyDescent="0.2">
      <c r="A526" s="74" t="s">
        <v>423</v>
      </c>
      <c r="B526" s="49">
        <v>33817</v>
      </c>
      <c r="D526" s="3">
        <v>66.58323</v>
      </c>
      <c r="F526" s="3">
        <v>69.428049999999999</v>
      </c>
      <c r="G526" s="3">
        <v>85.501679999999993</v>
      </c>
      <c r="M526" s="3">
        <v>70.829440000000005</v>
      </c>
      <c r="N526" s="3">
        <v>66.37867</v>
      </c>
      <c r="P526" s="3">
        <v>57.905180000000001</v>
      </c>
      <c r="S526" s="3">
        <v>71.80744</v>
      </c>
      <c r="T526" s="3">
        <v>73.631389999999996</v>
      </c>
      <c r="V526" s="3">
        <v>67.233909999999995</v>
      </c>
      <c r="W526" s="3">
        <v>68.41977</v>
      </c>
      <c r="X526" s="3">
        <v>40.732170000000004</v>
      </c>
      <c r="Y526" s="3">
        <v>14.690799999999999</v>
      </c>
      <c r="AB526" s="3">
        <v>61.330170000000003</v>
      </c>
      <c r="AD526" s="3">
        <v>42.964950000000002</v>
      </c>
      <c r="AE526" s="3">
        <v>58.687510000000003</v>
      </c>
      <c r="AF526" s="3">
        <v>98.135800000000003</v>
      </c>
      <c r="AI526" s="3">
        <v>64.405280000000005</v>
      </c>
      <c r="AK526" s="3">
        <v>15.559620000000001</v>
      </c>
      <c r="AL526" s="3">
        <v>62.404339999999998</v>
      </c>
      <c r="AM526" s="3">
        <v>64.321979999999996</v>
      </c>
      <c r="AN526" s="3">
        <v>51.257950000000001</v>
      </c>
      <c r="AO526" s="3">
        <v>41.612389999999998</v>
      </c>
      <c r="AQ526" s="3">
        <v>50.671129999999998</v>
      </c>
      <c r="AV526" s="3">
        <v>77.599260000000001</v>
      </c>
      <c r="AX526" s="3">
        <v>60.970950000000002</v>
      </c>
    </row>
    <row r="527" spans="1:50" x14ac:dyDescent="0.2">
      <c r="A527" s="74" t="s">
        <v>424</v>
      </c>
      <c r="B527" s="49">
        <v>33848</v>
      </c>
      <c r="D527" s="3">
        <v>66.574939999999998</v>
      </c>
      <c r="F527" s="3">
        <v>69.543660000000003</v>
      </c>
      <c r="G527" s="3">
        <v>85.603229999999996</v>
      </c>
      <c r="M527" s="3">
        <v>70.891660000000002</v>
      </c>
      <c r="N527" s="3">
        <v>66.685699999999997</v>
      </c>
      <c r="P527" s="3">
        <v>58.373609999999999</v>
      </c>
      <c r="S527" s="3">
        <v>72.279150000000001</v>
      </c>
      <c r="T527" s="3">
        <v>73.832239999999999</v>
      </c>
      <c r="V527" s="3">
        <v>67.434039999999996</v>
      </c>
      <c r="W527" s="3">
        <v>68.797169999999994</v>
      </c>
      <c r="X527" s="3">
        <v>42.128959999999999</v>
      </c>
      <c r="Y527" s="3">
        <v>14.961460000000001</v>
      </c>
      <c r="AB527" s="3">
        <v>61.330170000000003</v>
      </c>
      <c r="AD527" s="3">
        <v>43.367429999999999</v>
      </c>
      <c r="AE527" s="3">
        <v>58.790869999999998</v>
      </c>
      <c r="AF527" s="3">
        <v>98.676770000000005</v>
      </c>
      <c r="AI527" s="3">
        <v>64.648439999999994</v>
      </c>
      <c r="AK527" s="3">
        <v>15.738440000000001</v>
      </c>
      <c r="AL527" s="3">
        <v>63.009970000000003</v>
      </c>
      <c r="AM527" s="3">
        <v>64.81277</v>
      </c>
      <c r="AN527" s="3">
        <v>51.554479999999998</v>
      </c>
      <c r="AO527" s="3">
        <v>41.981949999999998</v>
      </c>
      <c r="AQ527" s="3">
        <v>50.928330000000003</v>
      </c>
      <c r="AV527" s="3">
        <v>79.18817</v>
      </c>
      <c r="AX527" s="3">
        <v>61.136069999999997</v>
      </c>
    </row>
    <row r="528" spans="1:50" x14ac:dyDescent="0.2">
      <c r="A528" s="74" t="s">
        <v>425</v>
      </c>
      <c r="B528" s="49">
        <v>33878</v>
      </c>
      <c r="D528" s="3">
        <v>66.757300000000001</v>
      </c>
      <c r="F528" s="3">
        <v>69.69162</v>
      </c>
      <c r="G528" s="3">
        <v>85.654079999999993</v>
      </c>
      <c r="M528" s="3">
        <v>70.887680000000003</v>
      </c>
      <c r="N528" s="3">
        <v>66.560360000000003</v>
      </c>
      <c r="P528" s="3">
        <v>58.636650000000003</v>
      </c>
      <c r="S528" s="3">
        <v>72.626170000000002</v>
      </c>
      <c r="T528" s="3">
        <v>73.971530000000001</v>
      </c>
      <c r="V528" s="3">
        <v>67.698089999999993</v>
      </c>
      <c r="W528" s="3">
        <v>68.990520000000004</v>
      </c>
      <c r="X528" s="3">
        <v>43.576770000000003</v>
      </c>
      <c r="Y528" s="3">
        <v>15.208830000000001</v>
      </c>
      <c r="AB528" s="3">
        <v>61.783729999999998</v>
      </c>
      <c r="AD528" s="3">
        <v>43.367429999999999</v>
      </c>
      <c r="AE528" s="3">
        <v>59.051830000000002</v>
      </c>
      <c r="AF528" s="3">
        <v>98.824730000000002</v>
      </c>
      <c r="AI528" s="3">
        <v>64.938299999999998</v>
      </c>
      <c r="AK528" s="3">
        <v>15.86003</v>
      </c>
      <c r="AL528" s="3">
        <v>63.043959999999998</v>
      </c>
      <c r="AM528" s="3">
        <v>64.951170000000005</v>
      </c>
      <c r="AN528" s="3">
        <v>51.872689999999999</v>
      </c>
      <c r="AO528" s="3">
        <v>42.313490000000002</v>
      </c>
      <c r="AQ528" s="3">
        <v>51.402140000000003</v>
      </c>
      <c r="AV528" s="3">
        <v>79.356229999999996</v>
      </c>
      <c r="AX528" s="3">
        <v>61.507599999999996</v>
      </c>
    </row>
    <row r="529" spans="1:50" x14ac:dyDescent="0.2">
      <c r="A529" s="74" t="s">
        <v>426</v>
      </c>
      <c r="B529" s="49">
        <v>33909</v>
      </c>
      <c r="D529" s="3">
        <v>66.971599999999995</v>
      </c>
      <c r="F529" s="3">
        <v>69.998589999999993</v>
      </c>
      <c r="G529" s="3">
        <v>86.621250000000003</v>
      </c>
      <c r="M529" s="3">
        <v>71.212010000000006</v>
      </c>
      <c r="N529" s="3">
        <v>66.788960000000003</v>
      </c>
      <c r="P529" s="3">
        <v>58.948880000000003</v>
      </c>
      <c r="S529" s="3">
        <v>72.715190000000007</v>
      </c>
      <c r="T529" s="3">
        <v>74.031949999999995</v>
      </c>
      <c r="V529" s="3">
        <v>67.86636</v>
      </c>
      <c r="W529" s="3">
        <v>68.810730000000007</v>
      </c>
      <c r="X529" s="3">
        <v>44.171030000000002</v>
      </c>
      <c r="Y529" s="3">
        <v>15.424060000000001</v>
      </c>
      <c r="AB529" s="3">
        <v>61.783729999999998</v>
      </c>
      <c r="AC529" s="3">
        <v>37.496949999999998</v>
      </c>
      <c r="AD529" s="3">
        <v>43.769910000000003</v>
      </c>
      <c r="AE529" s="3">
        <v>59.584069999999997</v>
      </c>
      <c r="AF529" s="3">
        <v>98.982510000000005</v>
      </c>
      <c r="AI529" s="3">
        <v>65.151309999999995</v>
      </c>
      <c r="AK529" s="3">
        <v>15.99259</v>
      </c>
      <c r="AL529" s="3">
        <v>63.0518</v>
      </c>
      <c r="AM529" s="3">
        <v>64.965879999999999</v>
      </c>
      <c r="AN529" s="3">
        <v>52.088700000000003</v>
      </c>
      <c r="AO529" s="3">
        <v>42.596290000000003</v>
      </c>
      <c r="AQ529" s="3">
        <v>51.852249999999998</v>
      </c>
      <c r="AV529" s="3">
        <v>79.016779999999997</v>
      </c>
      <c r="AX529" s="3">
        <v>61.631439999999998</v>
      </c>
    </row>
    <row r="530" spans="1:50" x14ac:dyDescent="0.2">
      <c r="A530" s="74" t="s">
        <v>427</v>
      </c>
      <c r="B530" s="49">
        <v>33939</v>
      </c>
      <c r="D530" s="3">
        <v>67.037729999999996</v>
      </c>
      <c r="F530" s="3">
        <v>69.956999999999994</v>
      </c>
      <c r="G530" s="3">
        <v>86.678719999999998</v>
      </c>
      <c r="M530" s="3">
        <v>71.352670000000003</v>
      </c>
      <c r="N530" s="3">
        <v>66.724289999999996</v>
      </c>
      <c r="P530" s="3">
        <v>59.087589999999999</v>
      </c>
      <c r="S530" s="3">
        <v>72.477969999999999</v>
      </c>
      <c r="T530" s="3">
        <v>74.092460000000003</v>
      </c>
      <c r="V530" s="3">
        <v>67.856350000000006</v>
      </c>
      <c r="W530" s="3">
        <v>68.388019999999997</v>
      </c>
      <c r="X530" s="3">
        <v>44.885089999999998</v>
      </c>
      <c r="Y530" s="3">
        <v>15.604430000000001</v>
      </c>
      <c r="AB530" s="3">
        <v>61.783729999999998</v>
      </c>
      <c r="AC530" s="3">
        <v>37.745550000000001</v>
      </c>
      <c r="AD530" s="3">
        <v>44.172400000000003</v>
      </c>
      <c r="AE530" s="3">
        <v>59.788780000000003</v>
      </c>
      <c r="AF530" s="3">
        <v>99.027460000000005</v>
      </c>
      <c r="AI530" s="3">
        <v>65.200329999999994</v>
      </c>
      <c r="AK530" s="3">
        <v>16.174340000000001</v>
      </c>
      <c r="AL530" s="3">
        <v>62.864069999999998</v>
      </c>
      <c r="AM530" s="3">
        <v>65.087199999999996</v>
      </c>
      <c r="AN530" s="3">
        <v>52.173020000000001</v>
      </c>
      <c r="AO530" s="3">
        <v>42.731070000000003</v>
      </c>
      <c r="AQ530" s="3">
        <v>52.050649999999997</v>
      </c>
      <c r="AV530" s="3">
        <v>79.220349999999996</v>
      </c>
      <c r="AX530" s="3">
        <v>61.590159999999997</v>
      </c>
    </row>
    <row r="531" spans="1:50" x14ac:dyDescent="0.2">
      <c r="A531" s="3" t="s">
        <v>428</v>
      </c>
      <c r="B531" s="49">
        <v>33970</v>
      </c>
      <c r="D531" s="3">
        <v>67.487070000000003</v>
      </c>
      <c r="F531" s="3">
        <v>70.119609999999994</v>
      </c>
      <c r="G531" s="3">
        <v>87.020449999999997</v>
      </c>
      <c r="M531" s="3">
        <v>72.729640000000003</v>
      </c>
      <c r="N531" s="3">
        <v>66.535960000000003</v>
      </c>
      <c r="P531" s="3">
        <v>59.502220000000001</v>
      </c>
      <c r="S531" s="3">
        <v>72.838489999999993</v>
      </c>
      <c r="T531" s="3">
        <v>74.298670000000001</v>
      </c>
      <c r="V531" s="3">
        <v>68.105220000000003</v>
      </c>
      <c r="W531" s="3">
        <v>67.644400000000005</v>
      </c>
      <c r="X531" s="3">
        <v>44.419029999999999</v>
      </c>
      <c r="Y531" s="3">
        <v>16.500789999999999</v>
      </c>
      <c r="AB531" s="3">
        <v>62.242319999999999</v>
      </c>
      <c r="AC531" s="3">
        <v>37.952710000000003</v>
      </c>
      <c r="AD531" s="3">
        <v>44.876739999999998</v>
      </c>
      <c r="AE531" s="3">
        <v>60.143940000000001</v>
      </c>
      <c r="AF531" s="3">
        <v>98.438800000000001</v>
      </c>
      <c r="AI531" s="3">
        <v>65.874830000000003</v>
      </c>
      <c r="AK531" s="3">
        <v>16.386849999999999</v>
      </c>
      <c r="AL531" s="3">
        <v>62.909990000000001</v>
      </c>
      <c r="AM531" s="3">
        <v>65.182010000000005</v>
      </c>
      <c r="AN531" s="3">
        <v>52.458320000000001</v>
      </c>
      <c r="AO531" s="3">
        <v>43.106369999999998</v>
      </c>
      <c r="AQ531" s="3">
        <v>53.164619999999999</v>
      </c>
      <c r="AV531" s="3">
        <v>80.565960000000004</v>
      </c>
      <c r="AX531" s="3">
        <v>61.87912</v>
      </c>
    </row>
    <row r="532" spans="1:50" x14ac:dyDescent="0.2">
      <c r="A532" s="74" t="s">
        <v>429</v>
      </c>
      <c r="B532" s="49">
        <v>34001</v>
      </c>
      <c r="D532" s="3">
        <v>67.808909999999997</v>
      </c>
      <c r="F532" s="3">
        <v>70.385050000000007</v>
      </c>
      <c r="G532" s="3">
        <v>87.692160000000001</v>
      </c>
      <c r="M532" s="3">
        <v>73.371870000000001</v>
      </c>
      <c r="N532" s="3">
        <v>66.796239999999997</v>
      </c>
      <c r="P532" s="3">
        <v>59.871580000000002</v>
      </c>
      <c r="S532" s="3">
        <v>73.072559999999996</v>
      </c>
      <c r="T532" s="3">
        <v>74.693449999999999</v>
      </c>
      <c r="V532" s="3">
        <v>68.454999999999998</v>
      </c>
      <c r="W532" s="3">
        <v>68.023740000000004</v>
      </c>
      <c r="X532" s="3">
        <v>44.570529999999998</v>
      </c>
      <c r="Y532" s="3">
        <v>16.797519999999999</v>
      </c>
      <c r="AB532" s="3">
        <v>62.242319999999999</v>
      </c>
      <c r="AC532" s="3">
        <v>38.118450000000003</v>
      </c>
      <c r="AD532" s="3">
        <v>45.480460000000001</v>
      </c>
      <c r="AE532" s="3">
        <v>60.410060000000001</v>
      </c>
      <c r="AF532" s="3">
        <v>98.392070000000004</v>
      </c>
      <c r="AI532" s="3">
        <v>66.154780000000002</v>
      </c>
      <c r="AK532" s="3">
        <v>16.562090000000001</v>
      </c>
      <c r="AL532" s="3">
        <v>63.398890000000002</v>
      </c>
      <c r="AM532" s="3">
        <v>65.466740000000001</v>
      </c>
      <c r="AN532" s="3">
        <v>52.773449999999997</v>
      </c>
      <c r="AO532" s="3">
        <v>43.434730000000002</v>
      </c>
      <c r="AQ532" s="3">
        <v>53.854399999999998</v>
      </c>
      <c r="AV532" s="3">
        <v>80.795940000000002</v>
      </c>
      <c r="AX532" s="3">
        <v>62.250639999999997</v>
      </c>
    </row>
    <row r="533" spans="1:50" x14ac:dyDescent="0.2">
      <c r="A533" s="74" t="s">
        <v>430</v>
      </c>
      <c r="B533" s="49">
        <v>34029</v>
      </c>
      <c r="D533" s="3">
        <v>68.039100000000005</v>
      </c>
      <c r="F533" s="3">
        <v>70.393940000000001</v>
      </c>
      <c r="G533" s="3">
        <v>87.883030000000005</v>
      </c>
      <c r="M533" s="3">
        <v>73.58972</v>
      </c>
      <c r="N533" s="3">
        <v>66.999129999999994</v>
      </c>
      <c r="P533" s="3">
        <v>60.202919999999999</v>
      </c>
      <c r="S533" s="3">
        <v>73.169169999999994</v>
      </c>
      <c r="T533" s="3">
        <v>74.98751</v>
      </c>
      <c r="V533" s="3">
        <v>68.688119999999998</v>
      </c>
      <c r="W533" s="3">
        <v>68.20093</v>
      </c>
      <c r="X533" s="3">
        <v>46.803019999999997</v>
      </c>
      <c r="Y533" s="3">
        <v>16.956140000000001</v>
      </c>
      <c r="AB533" s="3">
        <v>62.242319999999999</v>
      </c>
      <c r="AC533" s="3">
        <v>38.242739999999998</v>
      </c>
      <c r="AD533" s="3">
        <v>46.184809999999999</v>
      </c>
      <c r="AE533" s="3">
        <v>60.646500000000003</v>
      </c>
      <c r="AF533" s="3">
        <v>98.63552</v>
      </c>
      <c r="AI533" s="3">
        <v>66.365840000000006</v>
      </c>
      <c r="AK533" s="3">
        <v>16.719740000000002</v>
      </c>
      <c r="AL533" s="3">
        <v>63.77122</v>
      </c>
      <c r="AM533" s="3">
        <v>66.213769999999997</v>
      </c>
      <c r="AN533" s="3">
        <v>53.037909999999997</v>
      </c>
      <c r="AO533" s="3">
        <v>43.707940000000001</v>
      </c>
      <c r="AQ533" s="3">
        <v>54.255020000000002</v>
      </c>
      <c r="AV533" s="3">
        <v>81.165980000000005</v>
      </c>
      <c r="AX533" s="3">
        <v>62.49832</v>
      </c>
    </row>
    <row r="534" spans="1:50" x14ac:dyDescent="0.2">
      <c r="A534" s="74" t="s">
        <v>431</v>
      </c>
      <c r="B534" s="49">
        <v>34060</v>
      </c>
      <c r="D534" s="3">
        <v>68.175049999999999</v>
      </c>
      <c r="F534" s="3">
        <v>70.423079999999999</v>
      </c>
      <c r="G534" s="3">
        <v>87.987260000000006</v>
      </c>
      <c r="M534" s="3">
        <v>73.747389999999996</v>
      </c>
      <c r="N534" s="3">
        <v>67.063609999999997</v>
      </c>
      <c r="P534" s="3">
        <v>60.610370000000003</v>
      </c>
      <c r="S534" s="3">
        <v>73.446399999999997</v>
      </c>
      <c r="T534" s="3">
        <v>75.119919999999993</v>
      </c>
      <c r="V534" s="3">
        <v>68.941509999999994</v>
      </c>
      <c r="W534" s="3">
        <v>68.91489</v>
      </c>
      <c r="X534" s="3">
        <v>47.398499999999999</v>
      </c>
      <c r="Y534" s="3">
        <v>17.138680000000001</v>
      </c>
      <c r="AB534" s="3">
        <v>61.876130000000003</v>
      </c>
      <c r="AC534" s="3">
        <v>38.408479999999997</v>
      </c>
      <c r="AD534" s="3">
        <v>46.889150000000001</v>
      </c>
      <c r="AE534" s="3">
        <v>60.866509999999998</v>
      </c>
      <c r="AF534" s="3">
        <v>99.579229999999995</v>
      </c>
      <c r="AI534" s="3">
        <v>66.488699999999994</v>
      </c>
      <c r="AK534" s="3">
        <v>16.83887</v>
      </c>
      <c r="AL534" s="3">
        <v>64.078209999999999</v>
      </c>
      <c r="AM534" s="3">
        <v>66.277600000000007</v>
      </c>
      <c r="AN534" s="3">
        <v>53.301299999999998</v>
      </c>
      <c r="AO534" s="3">
        <v>43.998649999999998</v>
      </c>
      <c r="AQ534" s="3">
        <v>54.776069999999997</v>
      </c>
      <c r="AV534" s="3">
        <v>81.591139999999996</v>
      </c>
      <c r="AX534" s="3">
        <v>62.622169999999997</v>
      </c>
    </row>
    <row r="535" spans="1:50" x14ac:dyDescent="0.2">
      <c r="A535" s="74" t="s">
        <v>432</v>
      </c>
      <c r="B535" s="49">
        <v>34090</v>
      </c>
      <c r="D535" s="3">
        <v>68.305019999999999</v>
      </c>
      <c r="F535" s="3">
        <v>70.450159999999997</v>
      </c>
      <c r="G535" s="3">
        <v>88.213059999999999</v>
      </c>
      <c r="M535" s="3">
        <v>73.856110000000001</v>
      </c>
      <c r="N535" s="3">
        <v>67.495620000000002</v>
      </c>
      <c r="P535" s="3">
        <v>60.839840000000002</v>
      </c>
      <c r="S535" s="3">
        <v>73.650440000000003</v>
      </c>
      <c r="T535" s="3">
        <v>75.219809999999995</v>
      </c>
      <c r="V535" s="3">
        <v>69.018479999999997</v>
      </c>
      <c r="W535" s="3">
        <v>69.13306</v>
      </c>
      <c r="X535" s="3">
        <v>47.733969999999999</v>
      </c>
      <c r="Y535" s="3">
        <v>17.256139999999998</v>
      </c>
      <c r="AB535" s="3">
        <v>61.876130000000003</v>
      </c>
      <c r="AC535" s="3">
        <v>38.491340000000001</v>
      </c>
      <c r="AD535" s="3">
        <v>47.191009999999999</v>
      </c>
      <c r="AE535" s="3">
        <v>61.100879999999997</v>
      </c>
      <c r="AF535" s="3">
        <v>99.810109999999995</v>
      </c>
      <c r="AI535" s="3">
        <v>66.667439999999999</v>
      </c>
      <c r="AK535" s="3">
        <v>16.926490000000001</v>
      </c>
      <c r="AL535" s="3">
        <v>64.110730000000004</v>
      </c>
      <c r="AM535" s="3">
        <v>66.3309</v>
      </c>
      <c r="AN535" s="3">
        <v>53.436</v>
      </c>
      <c r="AO535" s="3">
        <v>44.217599999999997</v>
      </c>
      <c r="AQ535" s="3">
        <v>55.150230000000001</v>
      </c>
      <c r="AV535" s="3">
        <v>81.386970000000005</v>
      </c>
      <c r="AX535" s="3">
        <v>62.622169999999997</v>
      </c>
    </row>
    <row r="536" spans="1:50" x14ac:dyDescent="0.2">
      <c r="A536" s="74" t="s">
        <v>433</v>
      </c>
      <c r="B536" s="49">
        <v>34121</v>
      </c>
      <c r="D536" s="3">
        <v>68.461609999999993</v>
      </c>
      <c r="F536" s="3">
        <v>70.380409999999998</v>
      </c>
      <c r="G536" s="3">
        <v>88.220460000000003</v>
      </c>
      <c r="M536" s="3">
        <v>74.077839999999995</v>
      </c>
      <c r="N536" s="3">
        <v>67.583969999999994</v>
      </c>
      <c r="P536" s="3">
        <v>61.11806</v>
      </c>
      <c r="S536" s="3">
        <v>73.523780000000002</v>
      </c>
      <c r="T536" s="3">
        <v>75.313580000000002</v>
      </c>
      <c r="V536" s="3">
        <v>69.100750000000005</v>
      </c>
      <c r="W536" s="3">
        <v>69.112690000000001</v>
      </c>
      <c r="X536" s="3">
        <v>48.405079999999998</v>
      </c>
      <c r="Y536" s="3">
        <v>17.388950000000001</v>
      </c>
      <c r="AB536" s="3">
        <v>61.876130000000003</v>
      </c>
      <c r="AC536" s="3">
        <v>38.491340000000001</v>
      </c>
      <c r="AD536" s="3">
        <v>47.392249999999997</v>
      </c>
      <c r="AE536" s="3">
        <v>61.415050000000001</v>
      </c>
      <c r="AF536" s="3">
        <v>99.874049999999997</v>
      </c>
      <c r="AI536" s="3">
        <v>66.756820000000005</v>
      </c>
      <c r="AK536" s="3">
        <v>17.022729999999999</v>
      </c>
      <c r="AL536" s="3">
        <v>63.827370000000002</v>
      </c>
      <c r="AM536" s="3">
        <v>66.443219999999997</v>
      </c>
      <c r="AN536" s="3">
        <v>53.558300000000003</v>
      </c>
      <c r="AO536" s="3">
        <v>44.407730000000001</v>
      </c>
      <c r="AQ536" s="3">
        <v>55.443600000000004</v>
      </c>
      <c r="AV536" s="3">
        <v>81.189769999999996</v>
      </c>
      <c r="AX536" s="3">
        <v>62.663440000000001</v>
      </c>
    </row>
    <row r="537" spans="1:50" x14ac:dyDescent="0.2">
      <c r="A537" s="74" t="s">
        <v>434</v>
      </c>
      <c r="B537" s="49">
        <v>34151</v>
      </c>
      <c r="D537" s="3">
        <v>68.862170000000006</v>
      </c>
      <c r="F537" s="3">
        <v>70.622309999999999</v>
      </c>
      <c r="G537" s="3">
        <v>88.282229999999998</v>
      </c>
      <c r="M537" s="3">
        <v>74.628929999999997</v>
      </c>
      <c r="N537" s="3">
        <v>67.376180000000005</v>
      </c>
      <c r="P537" s="3">
        <v>61.299210000000002</v>
      </c>
      <c r="S537" s="3">
        <v>73.260990000000007</v>
      </c>
      <c r="T537" s="3">
        <v>75.327160000000006</v>
      </c>
      <c r="V537" s="3">
        <v>69.222530000000006</v>
      </c>
      <c r="W537" s="3">
        <v>68.982910000000004</v>
      </c>
      <c r="X537" s="3">
        <v>47.667900000000003</v>
      </c>
      <c r="Y537" s="3">
        <v>17.543600000000001</v>
      </c>
      <c r="AB537" s="3">
        <v>62.332079999999998</v>
      </c>
      <c r="AC537" s="3">
        <v>39.029969999999999</v>
      </c>
      <c r="AD537" s="3">
        <v>47.492870000000003</v>
      </c>
      <c r="AE537" s="3">
        <v>61.680149999999998</v>
      </c>
      <c r="AF537" s="3">
        <v>99.802319999999995</v>
      </c>
      <c r="AI537" s="3">
        <v>67.038610000000006</v>
      </c>
      <c r="AK537" s="3">
        <v>17.102219999999999</v>
      </c>
      <c r="AL537" s="3">
        <v>64.372479999999996</v>
      </c>
      <c r="AM537" s="3">
        <v>66.213359999999994</v>
      </c>
      <c r="AN537" s="3">
        <v>53.718539999999997</v>
      </c>
      <c r="AO537" s="3">
        <v>44.649659999999997</v>
      </c>
      <c r="AQ537" s="3">
        <v>55.523449999999997</v>
      </c>
      <c r="AV537" s="3">
        <v>80.917959999999994</v>
      </c>
      <c r="AX537" s="3">
        <v>62.746009999999998</v>
      </c>
    </row>
    <row r="538" spans="1:50" x14ac:dyDescent="0.2">
      <c r="A538" s="74" t="s">
        <v>435</v>
      </c>
      <c r="B538" s="49">
        <v>34182</v>
      </c>
      <c r="D538" s="3">
        <v>69.032859999999999</v>
      </c>
      <c r="F538" s="3">
        <v>70.840360000000004</v>
      </c>
      <c r="G538" s="3">
        <v>88.838250000000002</v>
      </c>
      <c r="M538" s="3">
        <v>74.721040000000002</v>
      </c>
      <c r="N538" s="3">
        <v>67.458240000000004</v>
      </c>
      <c r="P538" s="3">
        <v>61.41621</v>
      </c>
      <c r="S538" s="3">
        <v>73.174629999999993</v>
      </c>
      <c r="T538" s="3">
        <v>75.4512</v>
      </c>
      <c r="V538" s="3">
        <v>69.399209999999997</v>
      </c>
      <c r="W538" s="3">
        <v>69.359949999999998</v>
      </c>
      <c r="X538" s="3">
        <v>47.605110000000003</v>
      </c>
      <c r="Y538" s="3">
        <v>17.747779999999999</v>
      </c>
      <c r="AB538" s="3">
        <v>62.332079999999998</v>
      </c>
      <c r="AC538" s="3">
        <v>39.320010000000003</v>
      </c>
      <c r="AD538" s="3">
        <v>47.794730000000001</v>
      </c>
      <c r="AE538" s="3">
        <v>61.819360000000003</v>
      </c>
      <c r="AF538" s="3">
        <v>99.593990000000005</v>
      </c>
      <c r="AI538" s="3">
        <v>67.263630000000006</v>
      </c>
      <c r="AK538" s="3">
        <v>17.213650000000001</v>
      </c>
      <c r="AL538" s="3">
        <v>64.815700000000007</v>
      </c>
      <c r="AM538" s="3">
        <v>66.164779999999993</v>
      </c>
      <c r="AN538" s="3">
        <v>53.9253</v>
      </c>
      <c r="AO538" s="3">
        <v>44.895330000000001</v>
      </c>
      <c r="AQ538" s="3">
        <v>55.838000000000001</v>
      </c>
      <c r="AV538" s="3">
        <v>81.106579999999994</v>
      </c>
      <c r="AX538" s="3">
        <v>62.993690000000001</v>
      </c>
    </row>
    <row r="539" spans="1:50" x14ac:dyDescent="0.2">
      <c r="A539" s="74" t="s">
        <v>436</v>
      </c>
      <c r="B539" s="49">
        <v>34213</v>
      </c>
      <c r="D539" s="3">
        <v>68.897270000000006</v>
      </c>
      <c r="F539" s="3">
        <v>70.878020000000006</v>
      </c>
      <c r="G539" s="3">
        <v>88.889409999999998</v>
      </c>
      <c r="M539" s="3">
        <v>74.687100000000001</v>
      </c>
      <c r="N539" s="3">
        <v>67.721450000000004</v>
      </c>
      <c r="P539" s="3">
        <v>61.59449</v>
      </c>
      <c r="S539" s="3">
        <v>73.381360000000001</v>
      </c>
      <c r="T539" s="3">
        <v>75.679739999999995</v>
      </c>
      <c r="V539" s="3">
        <v>69.554760000000002</v>
      </c>
      <c r="W539" s="3">
        <v>69.758510000000001</v>
      </c>
      <c r="X539" s="3">
        <v>49.018909999999998</v>
      </c>
      <c r="Y539" s="3">
        <v>18.25095</v>
      </c>
      <c r="AB539" s="3">
        <v>62.332079999999998</v>
      </c>
      <c r="AC539" s="3">
        <v>39.444310000000002</v>
      </c>
      <c r="AD539" s="3">
        <v>48.297840000000001</v>
      </c>
      <c r="AE539" s="3">
        <v>61.965679999999999</v>
      </c>
      <c r="AF539" s="3">
        <v>99.969809999999995</v>
      </c>
      <c r="AI539" s="3">
        <v>67.384969999999996</v>
      </c>
      <c r="AK539" s="3">
        <v>17.367920000000002</v>
      </c>
      <c r="AL539" s="3">
        <v>65.358900000000006</v>
      </c>
      <c r="AM539" s="3">
        <v>66.525180000000006</v>
      </c>
      <c r="AN539" s="3">
        <v>54.156309999999998</v>
      </c>
      <c r="AO539" s="3">
        <v>45.202500000000001</v>
      </c>
      <c r="AQ539" s="3">
        <v>55.977589999999999</v>
      </c>
      <c r="AV539" s="3">
        <v>82.170900000000003</v>
      </c>
      <c r="AX539" s="3">
        <v>63.117530000000002</v>
      </c>
    </row>
    <row r="540" spans="1:50" x14ac:dyDescent="0.2">
      <c r="A540" s="74" t="s">
        <v>437</v>
      </c>
      <c r="B540" s="49">
        <v>34243</v>
      </c>
      <c r="D540" s="3">
        <v>68.984250000000003</v>
      </c>
      <c r="F540" s="3">
        <v>71.115669999999994</v>
      </c>
      <c r="G540" s="3">
        <v>88.955119999999994</v>
      </c>
      <c r="M540" s="3">
        <v>74.650980000000004</v>
      </c>
      <c r="N540" s="3">
        <v>67.854839999999996</v>
      </c>
      <c r="P540" s="3">
        <v>61.829509999999999</v>
      </c>
      <c r="S540" s="3">
        <v>73.461920000000006</v>
      </c>
      <c r="T540" s="3">
        <v>75.782259999999994</v>
      </c>
      <c r="V540" s="3">
        <v>69.749949999999998</v>
      </c>
      <c r="W540" s="3">
        <v>69.800539999999998</v>
      </c>
      <c r="X540" s="3">
        <v>49.883139999999997</v>
      </c>
      <c r="Y540" s="3">
        <v>18.471029999999999</v>
      </c>
      <c r="AB540" s="3">
        <v>62.647019999999998</v>
      </c>
      <c r="AC540" s="3">
        <v>39.568600000000004</v>
      </c>
      <c r="AD540" s="3">
        <v>49.102800000000002</v>
      </c>
      <c r="AE540" s="3">
        <v>62.309559999999998</v>
      </c>
      <c r="AF540" s="3">
        <v>100.14709999999999</v>
      </c>
      <c r="AI540" s="3">
        <v>67.61994</v>
      </c>
      <c r="AK540" s="3">
        <v>17.471450000000001</v>
      </c>
      <c r="AL540" s="3">
        <v>65.31165</v>
      </c>
      <c r="AM540" s="3">
        <v>66.576549999999997</v>
      </c>
      <c r="AN540" s="3">
        <v>54.4208</v>
      </c>
      <c r="AO540" s="3">
        <v>45.512309999999999</v>
      </c>
      <c r="AQ540" s="3">
        <v>56.277149999999999</v>
      </c>
      <c r="AV540" s="3">
        <v>82.649959999999993</v>
      </c>
      <c r="AX540" s="3">
        <v>63.365209999999998</v>
      </c>
    </row>
    <row r="541" spans="1:50" x14ac:dyDescent="0.2">
      <c r="A541" s="74" t="s">
        <v>438</v>
      </c>
      <c r="B541" s="49">
        <v>34274</v>
      </c>
      <c r="D541" s="3">
        <v>69.068439999999995</v>
      </c>
      <c r="F541" s="3">
        <v>71.463250000000002</v>
      </c>
      <c r="G541" s="3">
        <v>88.813059999999993</v>
      </c>
      <c r="M541" s="3">
        <v>74.748990000000006</v>
      </c>
      <c r="N541" s="3">
        <v>68.066220000000001</v>
      </c>
      <c r="P541" s="3">
        <v>61.942599999999999</v>
      </c>
      <c r="S541" s="3">
        <v>73.4619</v>
      </c>
      <c r="T541" s="3">
        <v>75.790390000000002</v>
      </c>
      <c r="V541" s="3">
        <v>69.875470000000007</v>
      </c>
      <c r="W541" s="3">
        <v>69.770709999999994</v>
      </c>
      <c r="X541" s="3">
        <v>50.113819999999997</v>
      </c>
      <c r="Y541" s="3">
        <v>18.598179999999999</v>
      </c>
      <c r="AB541" s="3">
        <v>62.647019999999998</v>
      </c>
      <c r="AC541" s="3">
        <v>39.568600000000004</v>
      </c>
      <c r="AD541" s="3">
        <v>49.40466</v>
      </c>
      <c r="AE541" s="3">
        <v>62.540860000000002</v>
      </c>
      <c r="AF541" s="3">
        <v>100.0898</v>
      </c>
      <c r="AI541" s="3">
        <v>67.809470000000005</v>
      </c>
      <c r="AK541" s="3">
        <v>17.555420000000002</v>
      </c>
      <c r="AL541" s="3">
        <v>65.327889999999996</v>
      </c>
      <c r="AM541" s="3">
        <v>66.656970000000001</v>
      </c>
      <c r="AN541" s="3">
        <v>54.608310000000003</v>
      </c>
      <c r="AO541" s="3">
        <v>45.760039999999996</v>
      </c>
      <c r="AQ541" s="3">
        <v>56.603090000000002</v>
      </c>
      <c r="AV541" s="3">
        <v>82.661959999999993</v>
      </c>
      <c r="AX541" s="3">
        <v>63.530329999999999</v>
      </c>
    </row>
    <row r="542" spans="1:50" x14ac:dyDescent="0.2">
      <c r="A542" s="74" t="s">
        <v>439</v>
      </c>
      <c r="B542" s="49">
        <v>34304</v>
      </c>
      <c r="D542" s="3">
        <v>69.152829999999994</v>
      </c>
      <c r="F542" s="3">
        <v>71.269810000000007</v>
      </c>
      <c r="G542" s="3">
        <v>88.784769999999995</v>
      </c>
      <c r="M542" s="3">
        <v>75.003050000000002</v>
      </c>
      <c r="N542" s="3">
        <v>68.017359999999996</v>
      </c>
      <c r="P542" s="3">
        <v>62.044640000000001</v>
      </c>
      <c r="S542" s="3">
        <v>73.559939999999997</v>
      </c>
      <c r="T542" s="3">
        <v>75.827259999999995</v>
      </c>
      <c r="V542" s="3">
        <v>69.904309999999995</v>
      </c>
      <c r="W542" s="3">
        <v>69.803330000000003</v>
      </c>
      <c r="X542" s="3">
        <v>50.793329999999997</v>
      </c>
      <c r="Y542" s="3">
        <v>18.84141</v>
      </c>
      <c r="AB542" s="3">
        <v>62.647019999999998</v>
      </c>
      <c r="AC542" s="3">
        <v>39.48574</v>
      </c>
      <c r="AD542" s="3">
        <v>49.907760000000003</v>
      </c>
      <c r="AE542" s="3">
        <v>62.636020000000002</v>
      </c>
      <c r="AF542" s="3">
        <v>100.04130000000001</v>
      </c>
      <c r="AI542" s="3">
        <v>67.87106</v>
      </c>
      <c r="AK542" s="3">
        <v>17.656130000000001</v>
      </c>
      <c r="AL542" s="3">
        <v>64.984219999999993</v>
      </c>
      <c r="AM542" s="3">
        <v>66.624009999999998</v>
      </c>
      <c r="AN542" s="3">
        <v>54.704569999999997</v>
      </c>
      <c r="AO542" s="3">
        <v>45.941969999999998</v>
      </c>
      <c r="AQ542" s="3">
        <v>56.668129999999998</v>
      </c>
      <c r="AV542" s="3">
        <v>82.319379999999995</v>
      </c>
      <c r="AX542" s="3">
        <v>63.530329999999999</v>
      </c>
    </row>
    <row r="543" spans="1:50" x14ac:dyDescent="0.2">
      <c r="A543" s="3" t="s">
        <v>440</v>
      </c>
      <c r="B543" s="49">
        <v>34335</v>
      </c>
      <c r="D543" s="3">
        <v>69.508709999999994</v>
      </c>
      <c r="F543" s="3">
        <v>71.277339999999995</v>
      </c>
      <c r="G543" s="3">
        <v>88.962199999999996</v>
      </c>
      <c r="M543" s="3">
        <v>75.204769999999996</v>
      </c>
      <c r="N543" s="3">
        <v>67.929119999999998</v>
      </c>
      <c r="P543" s="3">
        <v>62.516739999999999</v>
      </c>
      <c r="S543" s="3">
        <v>73.267049999999998</v>
      </c>
      <c r="T543" s="3">
        <v>75.96987</v>
      </c>
      <c r="V543" s="3">
        <v>69.966260000000005</v>
      </c>
      <c r="W543" s="3">
        <v>69.404259999999994</v>
      </c>
      <c r="X543" s="3">
        <v>50.508049999999997</v>
      </c>
      <c r="Y543" s="3">
        <v>19.49145</v>
      </c>
      <c r="AB543" s="3">
        <v>63.060099999999998</v>
      </c>
      <c r="AC543" s="3">
        <v>39.568600000000004</v>
      </c>
      <c r="AD543" s="3">
        <v>50.310250000000003</v>
      </c>
      <c r="AE543" s="3">
        <v>62.860129999999998</v>
      </c>
      <c r="AF543" s="3">
        <v>99.542490000000001</v>
      </c>
      <c r="AI543" s="3">
        <v>68.04222</v>
      </c>
      <c r="AK543" s="3">
        <v>17.771730000000002</v>
      </c>
      <c r="AL543" s="3">
        <v>65.161709999999999</v>
      </c>
      <c r="AM543" s="3">
        <v>66.457530000000006</v>
      </c>
      <c r="AN543" s="3">
        <v>54.871139999999997</v>
      </c>
      <c r="AO543" s="3">
        <v>46.17586</v>
      </c>
      <c r="AQ543" s="3">
        <v>57.5152</v>
      </c>
      <c r="AV543" s="3">
        <v>82.539709999999999</v>
      </c>
      <c r="AW543" s="3">
        <v>0.32922960000000001</v>
      </c>
      <c r="AX543" s="3">
        <v>63.695450000000001</v>
      </c>
    </row>
    <row r="544" spans="1:50" x14ac:dyDescent="0.2">
      <c r="A544" s="74" t="s">
        <v>441</v>
      </c>
      <c r="B544" s="49">
        <v>34366</v>
      </c>
      <c r="D544" s="3">
        <v>69.817459999999997</v>
      </c>
      <c r="F544" s="3">
        <v>70.561179999999993</v>
      </c>
      <c r="G544" s="3">
        <v>89.370760000000004</v>
      </c>
      <c r="M544" s="3">
        <v>75.806200000000004</v>
      </c>
      <c r="N544" s="3">
        <v>68.21651</v>
      </c>
      <c r="P544" s="3">
        <v>62.735230000000001</v>
      </c>
      <c r="S544" s="3">
        <v>73.5732</v>
      </c>
      <c r="T544" s="3">
        <v>76.203320000000005</v>
      </c>
      <c r="V544" s="3">
        <v>70.219319999999996</v>
      </c>
      <c r="W544" s="3">
        <v>69.85136</v>
      </c>
      <c r="X544" s="3">
        <v>50.349690000000002</v>
      </c>
      <c r="Y544" s="3">
        <v>19.771509999999999</v>
      </c>
      <c r="AB544" s="3">
        <v>63.060099999999998</v>
      </c>
      <c r="AC544" s="3">
        <v>39.527169999999998</v>
      </c>
      <c r="AD544" s="3">
        <v>50.511490000000002</v>
      </c>
      <c r="AE544" s="3">
        <v>63.164099999999998</v>
      </c>
      <c r="AF544" s="3">
        <v>99.415300000000002</v>
      </c>
      <c r="AI544" s="3">
        <v>68.258319999999998</v>
      </c>
      <c r="AK544" s="3">
        <v>17.914999999999999</v>
      </c>
      <c r="AL544" s="3">
        <v>65.52122</v>
      </c>
      <c r="AM544" s="3">
        <v>66.658770000000004</v>
      </c>
      <c r="AN544" s="3">
        <v>55.14387</v>
      </c>
      <c r="AO544" s="3">
        <v>46.544170000000001</v>
      </c>
      <c r="AQ544" s="3">
        <v>57.99427</v>
      </c>
      <c r="AV544" s="3">
        <v>82.606610000000003</v>
      </c>
      <c r="AW544" s="3">
        <v>0.34598679999999998</v>
      </c>
      <c r="AX544" s="3">
        <v>63.984409999999997</v>
      </c>
    </row>
    <row r="545" spans="1:50" x14ac:dyDescent="0.2">
      <c r="A545" s="74" t="s">
        <v>442</v>
      </c>
      <c r="B545" s="49">
        <v>34394</v>
      </c>
      <c r="D545" s="3">
        <v>69.970749999999995</v>
      </c>
      <c r="F545" s="3">
        <v>70.656800000000004</v>
      </c>
      <c r="G545" s="3">
        <v>89.429270000000002</v>
      </c>
      <c r="M545" s="3">
        <v>75.923590000000004</v>
      </c>
      <c r="N545" s="3">
        <v>68.308760000000007</v>
      </c>
      <c r="P545" s="3">
        <v>63.063980000000001</v>
      </c>
      <c r="S545" s="3">
        <v>73.680080000000004</v>
      </c>
      <c r="T545" s="3">
        <v>76.428470000000004</v>
      </c>
      <c r="V545" s="3">
        <v>70.49145</v>
      </c>
      <c r="W545" s="3">
        <v>70.057270000000003</v>
      </c>
      <c r="X545" s="3">
        <v>51.960920000000002</v>
      </c>
      <c r="Y545" s="3">
        <v>19.982600000000001</v>
      </c>
      <c r="AB545" s="3">
        <v>63.060099999999998</v>
      </c>
      <c r="AC545" s="3">
        <v>39.651470000000003</v>
      </c>
      <c r="AD545" s="3">
        <v>51.014589999999998</v>
      </c>
      <c r="AE545" s="3">
        <v>63.346269999999997</v>
      </c>
      <c r="AF545" s="3">
        <v>99.740030000000004</v>
      </c>
      <c r="AI545" s="3">
        <v>68.322800000000001</v>
      </c>
      <c r="AK545" s="3">
        <v>18.02684</v>
      </c>
      <c r="AL545" s="3">
        <v>65.927080000000004</v>
      </c>
      <c r="AM545" s="3">
        <v>66.961439999999996</v>
      </c>
      <c r="AN545" s="3">
        <v>55.439079999999997</v>
      </c>
      <c r="AO545" s="3">
        <v>46.836950000000002</v>
      </c>
      <c r="AQ545" s="3">
        <v>58.317779999999999</v>
      </c>
      <c r="AV545" s="3">
        <v>83.053730000000002</v>
      </c>
      <c r="AW545" s="3">
        <v>0.36274390000000001</v>
      </c>
      <c r="AX545" s="3">
        <v>64.31465</v>
      </c>
    </row>
    <row r="546" spans="1:50" x14ac:dyDescent="0.2">
      <c r="A546" s="74" t="s">
        <v>443</v>
      </c>
      <c r="B546" s="49">
        <v>34425</v>
      </c>
      <c r="D546" s="3">
        <v>70.144660000000002</v>
      </c>
      <c r="F546" s="3">
        <v>70.602770000000007</v>
      </c>
      <c r="G546" s="3">
        <v>89.502470000000002</v>
      </c>
      <c r="M546" s="3">
        <v>75.955299999999994</v>
      </c>
      <c r="N546" s="3">
        <v>68.500470000000007</v>
      </c>
      <c r="P546" s="3">
        <v>63.243560000000002</v>
      </c>
      <c r="S546" s="3">
        <v>73.698539999999994</v>
      </c>
      <c r="T546" s="3">
        <v>76.553759999999997</v>
      </c>
      <c r="V546" s="3">
        <v>70.653829999999999</v>
      </c>
      <c r="W546" s="3">
        <v>70.783169999999998</v>
      </c>
      <c r="X546" s="3">
        <v>52.639360000000003</v>
      </c>
      <c r="Y546" s="3">
        <v>20.234269999999999</v>
      </c>
      <c r="AB546" s="3">
        <v>63.354970000000002</v>
      </c>
      <c r="AC546" s="3">
        <v>39.692900000000002</v>
      </c>
      <c r="AD546" s="3">
        <v>52.121409999999997</v>
      </c>
      <c r="AE546" s="3">
        <v>63.449620000000003</v>
      </c>
      <c r="AF546" s="3">
        <v>100.4637</v>
      </c>
      <c r="AI546" s="3">
        <v>68.362359999999995</v>
      </c>
      <c r="AK546" s="3">
        <v>18.129159999999999</v>
      </c>
      <c r="AL546" s="3">
        <v>66.073549999999997</v>
      </c>
      <c r="AM546" s="3">
        <v>67.128739999999993</v>
      </c>
      <c r="AN546" s="3">
        <v>55.845230000000001</v>
      </c>
      <c r="AO546" s="3">
        <v>47.546320000000001</v>
      </c>
      <c r="AQ546" s="3">
        <v>58.560169999999999</v>
      </c>
      <c r="AV546" s="3">
        <v>83.346549999999993</v>
      </c>
      <c r="AW546" s="3">
        <v>0.43223699999999998</v>
      </c>
      <c r="AX546" s="3">
        <v>64.355930000000001</v>
      </c>
    </row>
    <row r="547" spans="1:50" x14ac:dyDescent="0.2">
      <c r="A547" s="74" t="s">
        <v>444</v>
      </c>
      <c r="B547" s="49">
        <v>34455</v>
      </c>
      <c r="D547" s="3">
        <v>70.251050000000006</v>
      </c>
      <c r="F547" s="3">
        <v>70.340559999999996</v>
      </c>
      <c r="G547" s="3">
        <v>88.782640000000001</v>
      </c>
      <c r="M547" s="3">
        <v>76.097970000000004</v>
      </c>
      <c r="N547" s="3">
        <v>68.841220000000007</v>
      </c>
      <c r="P547" s="3">
        <v>63.469560000000001</v>
      </c>
      <c r="S547" s="3">
        <v>73.664550000000006</v>
      </c>
      <c r="T547" s="3">
        <v>76.622100000000003</v>
      </c>
      <c r="V547" s="3">
        <v>70.773160000000004</v>
      </c>
      <c r="W547" s="3">
        <v>70.974109999999996</v>
      </c>
      <c r="X547" s="3">
        <v>52.544989999999999</v>
      </c>
      <c r="Y547" s="3">
        <v>20.408359999999998</v>
      </c>
      <c r="AB547" s="3">
        <v>63.354970000000002</v>
      </c>
      <c r="AC547" s="3">
        <v>39.775770000000001</v>
      </c>
      <c r="AD547" s="3">
        <v>52.926380000000002</v>
      </c>
      <c r="AE547" s="3">
        <v>63.914299999999997</v>
      </c>
      <c r="AF547" s="3">
        <v>100.82599999999999</v>
      </c>
      <c r="AI547" s="3">
        <v>68.459680000000006</v>
      </c>
      <c r="AK547" s="3">
        <v>18.221209999999999</v>
      </c>
      <c r="AL547" s="3">
        <v>66.06062</v>
      </c>
      <c r="AM547" s="3">
        <v>67.108149999999995</v>
      </c>
      <c r="AN547" s="3">
        <v>56.081719999999997</v>
      </c>
      <c r="AO547" s="3">
        <v>47.958939999999998</v>
      </c>
      <c r="AQ547" s="3">
        <v>58.700949999999999</v>
      </c>
      <c r="AV547" s="3">
        <v>83.459770000000006</v>
      </c>
      <c r="AW547" s="3">
        <v>0.46969430000000001</v>
      </c>
      <c r="AX547" s="3">
        <v>64.397220000000004</v>
      </c>
    </row>
    <row r="548" spans="1:50" x14ac:dyDescent="0.2">
      <c r="A548" s="74" t="s">
        <v>445</v>
      </c>
      <c r="B548" s="49">
        <v>34486</v>
      </c>
      <c r="D548" s="3">
        <v>70.339330000000004</v>
      </c>
      <c r="F548" s="3">
        <v>70.405619999999999</v>
      </c>
      <c r="G548" s="3">
        <v>88.792940000000002</v>
      </c>
      <c r="M548" s="3">
        <v>76.1768</v>
      </c>
      <c r="N548" s="3">
        <v>68.893910000000005</v>
      </c>
      <c r="P548" s="3">
        <v>63.616160000000001</v>
      </c>
      <c r="S548" s="3">
        <v>74.652209999999997</v>
      </c>
      <c r="T548" s="3">
        <v>76.645390000000006</v>
      </c>
      <c r="V548" s="3">
        <v>70.818749999999994</v>
      </c>
      <c r="W548" s="3">
        <v>70.960300000000004</v>
      </c>
      <c r="X548" s="3">
        <v>53.104610000000001</v>
      </c>
      <c r="Y548" s="3">
        <v>20.599820000000001</v>
      </c>
      <c r="AB548" s="3">
        <v>63.354970000000002</v>
      </c>
      <c r="AC548" s="3">
        <v>39.858629999999998</v>
      </c>
      <c r="AD548" s="3">
        <v>53.731340000000003</v>
      </c>
      <c r="AE548" s="3">
        <v>63.956200000000003</v>
      </c>
      <c r="AF548" s="3">
        <v>100.6829</v>
      </c>
      <c r="AI548" s="3">
        <v>68.496049999999997</v>
      </c>
      <c r="AK548" s="3">
        <v>18.307230000000001</v>
      </c>
      <c r="AL548" s="3">
        <v>65.725459999999998</v>
      </c>
      <c r="AM548" s="3">
        <v>67.247669999999999</v>
      </c>
      <c r="AN548" s="3">
        <v>56.212429999999998</v>
      </c>
      <c r="AO548" s="3">
        <v>48.154640000000001</v>
      </c>
      <c r="AQ548" s="3">
        <v>58.882719999999999</v>
      </c>
      <c r="AV548" s="3">
        <v>83.368979999999993</v>
      </c>
      <c r="AW548" s="3">
        <v>0.48842289999999999</v>
      </c>
      <c r="AX548" s="3">
        <v>64.479770000000002</v>
      </c>
    </row>
    <row r="549" spans="1:50" x14ac:dyDescent="0.2">
      <c r="A549" s="74" t="s">
        <v>446</v>
      </c>
      <c r="B549" s="49">
        <v>34516</v>
      </c>
      <c r="D549" s="3">
        <v>70.729950000000002</v>
      </c>
      <c r="F549" s="3">
        <v>70.581000000000003</v>
      </c>
      <c r="G549" s="3">
        <v>88.803179999999998</v>
      </c>
      <c r="M549" s="3">
        <v>76.460759999999993</v>
      </c>
      <c r="N549" s="3">
        <v>68.664370000000005</v>
      </c>
      <c r="P549" s="3">
        <v>63.725929999999998</v>
      </c>
      <c r="S549" s="3">
        <v>74.649320000000003</v>
      </c>
      <c r="T549" s="3">
        <v>76.68544</v>
      </c>
      <c r="V549" s="3">
        <v>70.857669999999999</v>
      </c>
      <c r="W549" s="3">
        <v>70.604060000000004</v>
      </c>
      <c r="X549" s="3">
        <v>52.599980000000002</v>
      </c>
      <c r="Y549" s="3">
        <v>20.81626</v>
      </c>
      <c r="AB549" s="3">
        <v>63.942309999999999</v>
      </c>
      <c r="AC549" s="3">
        <v>39.900069999999999</v>
      </c>
      <c r="AD549" s="3">
        <v>54.335070000000002</v>
      </c>
      <c r="AE549" s="3">
        <v>64.125069999999994</v>
      </c>
      <c r="AF549" s="3">
        <v>100.33929999999999</v>
      </c>
      <c r="AI549" s="3">
        <v>68.758830000000003</v>
      </c>
      <c r="AK549" s="3">
        <v>18.369810000000001</v>
      </c>
      <c r="AL549" s="3">
        <v>66.094099999999997</v>
      </c>
      <c r="AM549" s="3">
        <v>67.254710000000003</v>
      </c>
      <c r="AN549" s="3">
        <v>56.350810000000003</v>
      </c>
      <c r="AO549" s="3">
        <v>48.390039999999999</v>
      </c>
      <c r="AQ549" s="3">
        <v>59.01529</v>
      </c>
      <c r="AV549" s="3">
        <v>83.219250000000002</v>
      </c>
      <c r="AW549" s="3">
        <v>0.51010869999999997</v>
      </c>
      <c r="AX549" s="3">
        <v>64.562340000000006</v>
      </c>
    </row>
    <row r="550" spans="1:50" x14ac:dyDescent="0.2">
      <c r="A550" s="74" t="s">
        <v>447</v>
      </c>
      <c r="B550" s="49">
        <v>34547</v>
      </c>
      <c r="D550" s="3">
        <v>70.765940000000001</v>
      </c>
      <c r="F550" s="3">
        <v>70.675920000000005</v>
      </c>
      <c r="G550" s="3">
        <v>89.300430000000006</v>
      </c>
      <c r="M550" s="3">
        <v>76.689130000000006</v>
      </c>
      <c r="N550" s="3">
        <v>68.862110000000001</v>
      </c>
      <c r="P550" s="3">
        <v>64.038899999999998</v>
      </c>
      <c r="S550" s="3">
        <v>74.930940000000007</v>
      </c>
      <c r="T550" s="3">
        <v>76.754829999999998</v>
      </c>
      <c r="V550" s="3">
        <v>71.046220000000005</v>
      </c>
      <c r="W550" s="3">
        <v>70.90522</v>
      </c>
      <c r="X550" s="3">
        <v>52.813879999999997</v>
      </c>
      <c r="Y550" s="3">
        <v>21.106619999999999</v>
      </c>
      <c r="AB550" s="3">
        <v>63.942309999999999</v>
      </c>
      <c r="AC550" s="3">
        <v>39.900069999999999</v>
      </c>
      <c r="AD550" s="3">
        <v>54.63693</v>
      </c>
      <c r="AE550" s="3">
        <v>64.246859999999998</v>
      </c>
      <c r="AF550" s="3">
        <v>100.2418</v>
      </c>
      <c r="AI550" s="3">
        <v>68.805220000000006</v>
      </c>
      <c r="AK550" s="3">
        <v>18.452839999999998</v>
      </c>
      <c r="AL550" s="3">
        <v>66.461950000000002</v>
      </c>
      <c r="AM550" s="3">
        <v>67.148939999999996</v>
      </c>
      <c r="AN550" s="3">
        <v>56.582650000000001</v>
      </c>
      <c r="AO550" s="3">
        <v>48.690429999999999</v>
      </c>
      <c r="AQ550" s="3">
        <v>59.204880000000003</v>
      </c>
      <c r="AV550" s="3">
        <v>83.141390000000001</v>
      </c>
      <c r="AW550" s="3">
        <v>0.53080870000000002</v>
      </c>
      <c r="AX550" s="3">
        <v>64.810019999999994</v>
      </c>
    </row>
    <row r="551" spans="1:50" x14ac:dyDescent="0.2">
      <c r="A551" s="74" t="s">
        <v>448</v>
      </c>
      <c r="B551" s="49">
        <v>34578</v>
      </c>
      <c r="D551" s="3">
        <v>70.632729999999995</v>
      </c>
      <c r="F551" s="3">
        <v>70.968299999999999</v>
      </c>
      <c r="G551" s="3">
        <v>89.295659999999998</v>
      </c>
      <c r="M551" s="3">
        <v>76.569820000000007</v>
      </c>
      <c r="N551" s="3">
        <v>68.981129999999993</v>
      </c>
      <c r="P551" s="3">
        <v>64.257000000000005</v>
      </c>
      <c r="S551" s="3">
        <v>75.205960000000005</v>
      </c>
      <c r="T551" s="3">
        <v>76.959760000000003</v>
      </c>
      <c r="V551" s="3">
        <v>71.251310000000004</v>
      </c>
      <c r="W551" s="3">
        <v>71.206130000000002</v>
      </c>
      <c r="X551" s="3">
        <v>54.473289999999999</v>
      </c>
      <c r="Y551" s="3">
        <v>21.464549999999999</v>
      </c>
      <c r="AB551" s="3">
        <v>63.942309999999999</v>
      </c>
      <c r="AC551" s="3">
        <v>39.982939999999999</v>
      </c>
      <c r="AD551" s="3">
        <v>55.140030000000003</v>
      </c>
      <c r="AE551" s="3">
        <v>64.414649999999995</v>
      </c>
      <c r="AF551" s="3">
        <v>100.71080000000001</v>
      </c>
      <c r="AI551" s="3">
        <v>69.018810000000002</v>
      </c>
      <c r="AK551" s="3">
        <v>18.589639999999999</v>
      </c>
      <c r="AL551" s="3">
        <v>67.070610000000002</v>
      </c>
      <c r="AM551" s="3">
        <v>67.658630000000002</v>
      </c>
      <c r="AN551" s="3">
        <v>56.876820000000002</v>
      </c>
      <c r="AO551" s="3">
        <v>49.069780000000002</v>
      </c>
      <c r="AQ551" s="3">
        <v>59.380249999999997</v>
      </c>
      <c r="AV551" s="3">
        <v>84.21593</v>
      </c>
      <c r="AW551" s="3">
        <v>0.56284460000000003</v>
      </c>
      <c r="AX551" s="3">
        <v>65.016419999999997</v>
      </c>
    </row>
    <row r="552" spans="1:50" x14ac:dyDescent="0.2">
      <c r="A552" s="74" t="s">
        <v>449</v>
      </c>
      <c r="B552" s="49">
        <v>34608</v>
      </c>
      <c r="D552" s="3">
        <v>70.559290000000004</v>
      </c>
      <c r="F552" s="3">
        <v>70.857060000000004</v>
      </c>
      <c r="G552" s="3">
        <v>89.293880000000001</v>
      </c>
      <c r="M552" s="3">
        <v>76.428960000000004</v>
      </c>
      <c r="N552" s="3">
        <v>69.178749999999994</v>
      </c>
      <c r="P552" s="3">
        <v>64.542950000000005</v>
      </c>
      <c r="S552" s="3">
        <v>75.422659999999993</v>
      </c>
      <c r="T552" s="3">
        <v>77.041020000000003</v>
      </c>
      <c r="V552" s="3">
        <v>71.422539999999998</v>
      </c>
      <c r="W552" s="3">
        <v>71.40307</v>
      </c>
      <c r="X552" s="3">
        <v>55.26849</v>
      </c>
      <c r="Y552" s="3">
        <v>21.781330000000001</v>
      </c>
      <c r="AB552" s="3">
        <v>64.170349999999999</v>
      </c>
      <c r="AC552" s="3">
        <v>39.941499999999998</v>
      </c>
      <c r="AD552" s="3">
        <v>55.743749999999999</v>
      </c>
      <c r="AE552" s="3">
        <v>64.725740000000002</v>
      </c>
      <c r="AF552" s="3">
        <v>101.0433</v>
      </c>
      <c r="AI552" s="3">
        <v>69.107799999999997</v>
      </c>
      <c r="AK552" s="3">
        <v>18.674939999999999</v>
      </c>
      <c r="AL552" s="3">
        <v>67.109520000000003</v>
      </c>
      <c r="AM552" s="3">
        <v>67.75497</v>
      </c>
      <c r="AN552" s="3">
        <v>57.145049999999998</v>
      </c>
      <c r="AO552" s="3">
        <v>49.414290000000001</v>
      </c>
      <c r="AQ552" s="3">
        <v>59.807560000000002</v>
      </c>
      <c r="AV552" s="3">
        <v>84.55265</v>
      </c>
      <c r="AW552" s="3">
        <v>0.59438749999999996</v>
      </c>
      <c r="AX552" s="3">
        <v>65.222819999999999</v>
      </c>
    </row>
    <row r="553" spans="1:50" x14ac:dyDescent="0.2">
      <c r="A553" s="74" t="s">
        <v>450</v>
      </c>
      <c r="B553" s="49">
        <v>34639</v>
      </c>
      <c r="D553" s="3">
        <v>70.704930000000004</v>
      </c>
      <c r="F553" s="3">
        <v>71.237989999999996</v>
      </c>
      <c r="G553" s="3">
        <v>89.424449999999993</v>
      </c>
      <c r="M553" s="3">
        <v>76.580629999999999</v>
      </c>
      <c r="N553" s="3">
        <v>69.370540000000005</v>
      </c>
      <c r="P553" s="3">
        <v>64.613029999999995</v>
      </c>
      <c r="S553" s="3">
        <v>75.389449999999997</v>
      </c>
      <c r="T553" s="3">
        <v>77.165009999999995</v>
      </c>
      <c r="V553" s="3">
        <v>71.527829999999994</v>
      </c>
      <c r="W553" s="3">
        <v>71.47963</v>
      </c>
      <c r="X553" s="3">
        <v>55.519680000000001</v>
      </c>
      <c r="Y553" s="3">
        <v>22.1296</v>
      </c>
      <c r="AB553" s="3">
        <v>64.170349999999999</v>
      </c>
      <c r="AC553" s="3">
        <v>40.024369999999998</v>
      </c>
      <c r="AD553" s="3">
        <v>56.146239999999999</v>
      </c>
      <c r="AE553" s="3">
        <v>64.990799999999993</v>
      </c>
      <c r="AF553" s="3">
        <v>100.99850000000001</v>
      </c>
      <c r="AI553" s="3">
        <v>69.339759999999998</v>
      </c>
      <c r="AK553" s="3">
        <v>18.766729999999999</v>
      </c>
      <c r="AL553" s="3">
        <v>66.965400000000002</v>
      </c>
      <c r="AM553" s="3">
        <v>67.747410000000002</v>
      </c>
      <c r="AN553" s="3">
        <v>57.347589999999997</v>
      </c>
      <c r="AO553" s="3">
        <v>49.748449999999998</v>
      </c>
      <c r="AQ553" s="3">
        <v>59.986130000000003</v>
      </c>
      <c r="AV553" s="3">
        <v>84.495069999999998</v>
      </c>
      <c r="AW553" s="3">
        <v>0.62494470000000002</v>
      </c>
      <c r="AX553" s="3">
        <v>65.30538</v>
      </c>
    </row>
    <row r="554" spans="1:50" x14ac:dyDescent="0.2">
      <c r="A554" s="74" t="s">
        <v>451</v>
      </c>
      <c r="B554" s="49">
        <v>34669</v>
      </c>
      <c r="D554" s="3">
        <v>70.7273</v>
      </c>
      <c r="F554" s="3">
        <v>71.360420000000005</v>
      </c>
      <c r="G554" s="3">
        <v>89.415310000000005</v>
      </c>
      <c r="M554" s="3">
        <v>76.808880000000002</v>
      </c>
      <c r="N554" s="3">
        <v>69.423419999999993</v>
      </c>
      <c r="P554" s="3">
        <v>64.770510000000002</v>
      </c>
      <c r="S554" s="3">
        <v>75.3857</v>
      </c>
      <c r="T554" s="3">
        <v>77.238780000000006</v>
      </c>
      <c r="V554" s="3">
        <v>71.507800000000003</v>
      </c>
      <c r="W554" s="3">
        <v>71.709490000000002</v>
      </c>
      <c r="X554" s="3">
        <v>56.141199999999998</v>
      </c>
      <c r="Y554" s="3">
        <v>22.445450000000001</v>
      </c>
      <c r="AB554" s="3">
        <v>64.170349999999999</v>
      </c>
      <c r="AC554" s="3">
        <v>40.107230000000001</v>
      </c>
      <c r="AD554" s="3">
        <v>56.649340000000002</v>
      </c>
      <c r="AE554" s="3">
        <v>65.1023</v>
      </c>
      <c r="AF554" s="3">
        <v>100.8943</v>
      </c>
      <c r="AI554" s="3">
        <v>69.422039999999996</v>
      </c>
      <c r="AK554" s="3">
        <v>18.912939999999999</v>
      </c>
      <c r="AL554" s="3">
        <v>66.706230000000005</v>
      </c>
      <c r="AM554" s="3">
        <v>67.836669999999998</v>
      </c>
      <c r="AN554" s="3">
        <v>57.504089999999998</v>
      </c>
      <c r="AO554" s="3">
        <v>50.14573</v>
      </c>
      <c r="AQ554" s="3">
        <v>60.0227</v>
      </c>
      <c r="AV554" s="3">
        <v>84.391530000000003</v>
      </c>
      <c r="AW554" s="3">
        <v>0.66240200000000005</v>
      </c>
      <c r="AX554" s="3">
        <v>65.181539999999998</v>
      </c>
    </row>
    <row r="555" spans="1:50" x14ac:dyDescent="0.2">
      <c r="A555" s="3" t="s">
        <v>452</v>
      </c>
      <c r="B555" s="49">
        <v>34700</v>
      </c>
      <c r="D555" s="3">
        <v>70.937860000000001</v>
      </c>
      <c r="F555" s="3">
        <v>71.468339999999998</v>
      </c>
      <c r="G555" s="3">
        <v>89.812709999999996</v>
      </c>
      <c r="J555" s="3">
        <v>22.923159999999999</v>
      </c>
      <c r="K555" s="3">
        <v>17.172039999999999</v>
      </c>
      <c r="L555" s="3">
        <v>64.400000000000006</v>
      </c>
      <c r="M555" s="3">
        <v>77.047629999999998</v>
      </c>
      <c r="N555" s="3">
        <v>69.283029999999997</v>
      </c>
      <c r="P555" s="3">
        <v>65.196600000000004</v>
      </c>
      <c r="S555" s="3">
        <v>75.860209999999995</v>
      </c>
      <c r="T555" s="3">
        <v>77.209320000000005</v>
      </c>
      <c r="V555" s="3">
        <v>71.676599999999993</v>
      </c>
      <c r="W555" s="3">
        <v>71.525729999999996</v>
      </c>
      <c r="X555" s="3">
        <v>55.93844</v>
      </c>
      <c r="Y555" s="3">
        <v>23.122250000000001</v>
      </c>
      <c r="AB555" s="3">
        <v>64.519000000000005</v>
      </c>
      <c r="AC555" s="3">
        <v>40.314399999999999</v>
      </c>
      <c r="AD555" s="3">
        <v>57.051819999999999</v>
      </c>
      <c r="AE555" s="3">
        <v>65.327420000000004</v>
      </c>
      <c r="AF555" s="3">
        <v>100.4451</v>
      </c>
      <c r="AH555" s="3">
        <v>47.264600000000002</v>
      </c>
      <c r="AI555" s="3">
        <v>69.7453</v>
      </c>
      <c r="AJ555" s="3">
        <v>35.468209999999999</v>
      </c>
      <c r="AK555" s="3">
        <v>19.554950000000002</v>
      </c>
      <c r="AL555" s="3">
        <v>66.774029999999996</v>
      </c>
      <c r="AM555" s="3">
        <v>68.016199999999998</v>
      </c>
      <c r="AN555" s="3">
        <v>57.824100000000001</v>
      </c>
      <c r="AO555" s="3">
        <v>50.421909999999997</v>
      </c>
      <c r="AP555" s="3">
        <v>35.669550000000001</v>
      </c>
      <c r="AQ555" s="3">
        <v>60.658799999999999</v>
      </c>
      <c r="AT555" s="3">
        <v>39.689880000000002</v>
      </c>
      <c r="AV555" s="3">
        <v>84.594549999999998</v>
      </c>
      <c r="AW555" s="3">
        <v>0.70725210000000005</v>
      </c>
      <c r="AX555" s="3">
        <v>65.511780000000002</v>
      </c>
    </row>
    <row r="556" spans="1:50" x14ac:dyDescent="0.2">
      <c r="A556" s="74" t="s">
        <v>453</v>
      </c>
      <c r="B556" s="49">
        <v>34731</v>
      </c>
      <c r="D556" s="3">
        <v>71.174260000000004</v>
      </c>
      <c r="F556" s="3">
        <v>71.787099999999995</v>
      </c>
      <c r="G556" s="3">
        <v>90.633510000000001</v>
      </c>
      <c r="J556" s="3">
        <v>23.356439999999999</v>
      </c>
      <c r="K556" s="3">
        <v>17.439319999999999</v>
      </c>
      <c r="L556" s="3">
        <v>64.900000000000006</v>
      </c>
      <c r="M556" s="3">
        <v>77.435590000000005</v>
      </c>
      <c r="N556" s="3">
        <v>69.525509999999997</v>
      </c>
      <c r="P556" s="3">
        <v>65.498819999999995</v>
      </c>
      <c r="S556" s="3">
        <v>76.166719999999998</v>
      </c>
      <c r="T556" s="3">
        <v>77.488659999999996</v>
      </c>
      <c r="V556" s="3">
        <v>72.001429999999999</v>
      </c>
      <c r="W556" s="3">
        <v>72.031809999999993</v>
      </c>
      <c r="X556" s="3">
        <v>55.582839999999997</v>
      </c>
      <c r="Y556" s="3">
        <v>23.712389999999999</v>
      </c>
      <c r="AB556" s="3">
        <v>64.519000000000005</v>
      </c>
      <c r="AC556" s="3">
        <v>40.314399999999999</v>
      </c>
      <c r="AD556" s="3">
        <v>57.353679999999997</v>
      </c>
      <c r="AE556" s="3">
        <v>65.817610000000002</v>
      </c>
      <c r="AF556" s="3">
        <v>100.2154</v>
      </c>
      <c r="AH556" s="3">
        <v>48.298699999999997</v>
      </c>
      <c r="AI556" s="3">
        <v>69.825609999999998</v>
      </c>
      <c r="AJ556" s="3">
        <v>36.208530000000003</v>
      </c>
      <c r="AK556" s="3">
        <v>20.35773</v>
      </c>
      <c r="AL556" s="3">
        <v>67.157719999999998</v>
      </c>
      <c r="AM556" s="3">
        <v>68.19408</v>
      </c>
      <c r="AN556" s="3">
        <v>58.199840000000002</v>
      </c>
      <c r="AO556" s="3">
        <v>50.771140000000003</v>
      </c>
      <c r="AP556" s="3">
        <v>36.535559999999997</v>
      </c>
      <c r="AQ556" s="3">
        <v>61.060040000000001</v>
      </c>
      <c r="AT556" s="3">
        <v>40.037610000000001</v>
      </c>
      <c r="AV556" s="3">
        <v>84.862629999999996</v>
      </c>
      <c r="AW556" s="3">
        <v>0.72943080000000005</v>
      </c>
      <c r="AX556" s="3">
        <v>65.883309999999994</v>
      </c>
    </row>
    <row r="557" spans="1:50" x14ac:dyDescent="0.2">
      <c r="A557" s="74" t="s">
        <v>454</v>
      </c>
      <c r="B557" s="49">
        <v>34759</v>
      </c>
      <c r="D557" s="3">
        <v>71.191959999999995</v>
      </c>
      <c r="F557" s="3">
        <v>71.975949999999997</v>
      </c>
      <c r="G557" s="3">
        <v>90.831019999999995</v>
      </c>
      <c r="J557" s="3">
        <v>24.27206</v>
      </c>
      <c r="K557" s="3">
        <v>17.600090000000002</v>
      </c>
      <c r="L557" s="3">
        <v>65.2</v>
      </c>
      <c r="M557" s="3">
        <v>77.478340000000003</v>
      </c>
      <c r="N557" s="3">
        <v>69.813839999999999</v>
      </c>
      <c r="P557" s="3">
        <v>65.831469999999996</v>
      </c>
      <c r="S557" s="3">
        <v>76.243350000000007</v>
      </c>
      <c r="T557" s="3">
        <v>77.768230000000003</v>
      </c>
      <c r="V557" s="3">
        <v>72.290090000000006</v>
      </c>
      <c r="W557" s="3">
        <v>72.285809999999998</v>
      </c>
      <c r="X557" s="3">
        <v>57.427599999999998</v>
      </c>
      <c r="Y557" s="3">
        <v>24.680800000000001</v>
      </c>
      <c r="AB557" s="3">
        <v>64.519000000000005</v>
      </c>
      <c r="AC557" s="3">
        <v>40.272970000000001</v>
      </c>
      <c r="AD557" s="3">
        <v>57.454300000000003</v>
      </c>
      <c r="AE557" s="3">
        <v>66.305769999999995</v>
      </c>
      <c r="AF557" s="3">
        <v>100.4332</v>
      </c>
      <c r="AH557" s="3">
        <v>49.189500000000002</v>
      </c>
      <c r="AI557" s="3">
        <v>69.87679</v>
      </c>
      <c r="AJ557" s="3">
        <v>37.593029999999999</v>
      </c>
      <c r="AK557" s="3">
        <v>21.538039999999999</v>
      </c>
      <c r="AL557" s="3">
        <v>67.529049999999998</v>
      </c>
      <c r="AM557" s="3">
        <v>68.687290000000004</v>
      </c>
      <c r="AN557" s="3">
        <v>58.642330000000001</v>
      </c>
      <c r="AO557" s="3">
        <v>51.118209999999998</v>
      </c>
      <c r="AP557" s="3">
        <v>37.301439999999999</v>
      </c>
      <c r="AQ557" s="3">
        <v>61.323349999999998</v>
      </c>
      <c r="AT557" s="3">
        <v>40.386589999999998</v>
      </c>
      <c r="AV557" s="3">
        <v>85.164230000000003</v>
      </c>
      <c r="AW557" s="3">
        <v>0.76146659999999999</v>
      </c>
      <c r="AX557" s="3">
        <v>66.213549999999998</v>
      </c>
    </row>
    <row r="558" spans="1:50" x14ac:dyDescent="0.2">
      <c r="A558" s="74" t="s">
        <v>455</v>
      </c>
      <c r="B558" s="49">
        <v>34790</v>
      </c>
      <c r="D558" s="3">
        <v>71.39264</v>
      </c>
      <c r="F558" s="3">
        <v>72.084530000000001</v>
      </c>
      <c r="G558" s="3">
        <v>90.928120000000007</v>
      </c>
      <c r="J558" s="3">
        <v>24.819800000000001</v>
      </c>
      <c r="K558" s="3">
        <v>17.770910000000001</v>
      </c>
      <c r="L558" s="3">
        <v>66.099999999999994</v>
      </c>
      <c r="M558" s="3">
        <v>77.559209999999993</v>
      </c>
      <c r="N558" s="3">
        <v>69.959919999999997</v>
      </c>
      <c r="P558" s="3">
        <v>66.25121</v>
      </c>
      <c r="S558" s="3">
        <v>76.319969999999998</v>
      </c>
      <c r="T558" s="3">
        <v>77.854510000000005</v>
      </c>
      <c r="V558" s="3">
        <v>72.501360000000005</v>
      </c>
      <c r="W558" s="3">
        <v>73.171400000000006</v>
      </c>
      <c r="X558" s="3">
        <v>57.971519999999998</v>
      </c>
      <c r="Y558" s="3">
        <v>25.3553</v>
      </c>
      <c r="AB558" s="3">
        <v>65.195760000000007</v>
      </c>
      <c r="AC558" s="3">
        <v>40.148670000000003</v>
      </c>
      <c r="AD558" s="3">
        <v>57.957410000000003</v>
      </c>
      <c r="AE558" s="3">
        <v>66.539069999999995</v>
      </c>
      <c r="AF558" s="3">
        <v>100.8877</v>
      </c>
      <c r="AH558" s="3">
        <v>50.420099999999998</v>
      </c>
      <c r="AI558" s="3">
        <v>69.894720000000007</v>
      </c>
      <c r="AJ558" s="3">
        <v>38.419879999999999</v>
      </c>
      <c r="AK558" s="3">
        <v>23.214400000000001</v>
      </c>
      <c r="AL558" s="3">
        <v>67.676069999999996</v>
      </c>
      <c r="AM558" s="3">
        <v>68.712370000000007</v>
      </c>
      <c r="AN558" s="3">
        <v>59.12706</v>
      </c>
      <c r="AO558" s="3">
        <v>51.519860000000001</v>
      </c>
      <c r="AP558" s="3">
        <v>38.059840000000001</v>
      </c>
      <c r="AQ558" s="3">
        <v>61.659080000000003</v>
      </c>
      <c r="AT558" s="3">
        <v>40.743690000000001</v>
      </c>
      <c r="AV558" s="3">
        <v>85.690349999999995</v>
      </c>
      <c r="AW558" s="3">
        <v>0.81025959999999997</v>
      </c>
      <c r="AX558" s="3">
        <v>66.337389999999999</v>
      </c>
    </row>
    <row r="559" spans="1:50" x14ac:dyDescent="0.2">
      <c r="A559" s="74" t="s">
        <v>456</v>
      </c>
      <c r="B559" s="49">
        <v>34820</v>
      </c>
      <c r="D559" s="3">
        <v>71.305059999999997</v>
      </c>
      <c r="F559" s="3">
        <v>72.254050000000007</v>
      </c>
      <c r="G559" s="3">
        <v>90.772090000000006</v>
      </c>
      <c r="J559" s="3">
        <v>25.277609999999999</v>
      </c>
      <c r="K559" s="3">
        <v>17.97589</v>
      </c>
      <c r="L559" s="3">
        <v>66.5</v>
      </c>
      <c r="M559" s="3">
        <v>77.486270000000005</v>
      </c>
      <c r="N559" s="3">
        <v>70.287450000000007</v>
      </c>
      <c r="P559" s="3">
        <v>66.463980000000006</v>
      </c>
      <c r="S559" s="3">
        <v>76.473219999999998</v>
      </c>
      <c r="T559" s="3">
        <v>77.897989999999993</v>
      </c>
      <c r="V559" s="3">
        <v>72.57938</v>
      </c>
      <c r="W559" s="3">
        <v>73.339500000000001</v>
      </c>
      <c r="X559" s="3">
        <v>57.689990000000002</v>
      </c>
      <c r="Y559" s="3">
        <v>25.975449999999999</v>
      </c>
      <c r="AB559" s="3">
        <v>65.195760000000007</v>
      </c>
      <c r="AC559" s="3">
        <v>40.148670000000003</v>
      </c>
      <c r="AD559" s="3">
        <v>58.661749999999998</v>
      </c>
      <c r="AE559" s="3">
        <v>66.917689999999993</v>
      </c>
      <c r="AF559" s="3">
        <v>101.01009999999999</v>
      </c>
      <c r="AH559" s="3">
        <v>51.957799999999999</v>
      </c>
      <c r="AI559" s="3">
        <v>69.988</v>
      </c>
      <c r="AJ559" s="3">
        <v>39.371729999999999</v>
      </c>
      <c r="AK559" s="3">
        <v>24.144850000000002</v>
      </c>
      <c r="AL559" s="3">
        <v>67.541139999999999</v>
      </c>
      <c r="AM559" s="3">
        <v>68.796040000000005</v>
      </c>
      <c r="AN559" s="3">
        <v>59.367600000000003</v>
      </c>
      <c r="AO559" s="3">
        <v>51.730870000000003</v>
      </c>
      <c r="AP559" s="3">
        <v>38.830190000000002</v>
      </c>
      <c r="AQ559" s="3">
        <v>61.941070000000003</v>
      </c>
      <c r="AT559" s="3">
        <v>41.009639999999997</v>
      </c>
      <c r="AV559" s="3">
        <v>85.68365</v>
      </c>
      <c r="AW559" s="3">
        <v>0.84525260000000002</v>
      </c>
      <c r="AX559" s="3">
        <v>66.37867</v>
      </c>
    </row>
    <row r="560" spans="1:50" x14ac:dyDescent="0.2">
      <c r="A560" s="74" t="s">
        <v>457</v>
      </c>
      <c r="B560" s="49">
        <v>34851</v>
      </c>
      <c r="D560" s="3">
        <v>71.539389999999997</v>
      </c>
      <c r="F560" s="3">
        <v>72.237350000000006</v>
      </c>
      <c r="G560" s="3">
        <v>90.784149999999997</v>
      </c>
      <c r="J560" s="3">
        <v>25.69454</v>
      </c>
      <c r="K560" s="3">
        <v>18.18488</v>
      </c>
      <c r="L560" s="3">
        <v>66.900000000000006</v>
      </c>
      <c r="M560" s="3">
        <v>77.595100000000002</v>
      </c>
      <c r="N560" s="3">
        <v>70.266589999999994</v>
      </c>
      <c r="P560" s="3">
        <v>66.665170000000003</v>
      </c>
      <c r="S560" s="3">
        <v>76.932980000000001</v>
      </c>
      <c r="T560" s="3">
        <v>77.945239999999998</v>
      </c>
      <c r="V560" s="3">
        <v>72.657179999999997</v>
      </c>
      <c r="W560" s="3">
        <v>73.558400000000006</v>
      </c>
      <c r="X560" s="3">
        <v>58.38176</v>
      </c>
      <c r="Y560" s="3">
        <v>26.414739999999998</v>
      </c>
      <c r="AB560" s="3">
        <v>65.195760000000007</v>
      </c>
      <c r="AC560" s="3">
        <v>40.272970000000001</v>
      </c>
      <c r="AD560" s="3">
        <v>58.963610000000003</v>
      </c>
      <c r="AE560" s="3">
        <v>67.363889999999998</v>
      </c>
      <c r="AF560" s="3">
        <v>100.9208</v>
      </c>
      <c r="AH560" s="3">
        <v>52.668900000000001</v>
      </c>
      <c r="AI560" s="3">
        <v>70.047290000000004</v>
      </c>
      <c r="AJ560" s="3">
        <v>39.785159999999998</v>
      </c>
      <c r="AK560" s="3">
        <v>24.823270000000001</v>
      </c>
      <c r="AL560" s="3">
        <v>67.358109999999996</v>
      </c>
      <c r="AM560" s="3">
        <v>68.979609999999994</v>
      </c>
      <c r="AN560" s="3">
        <v>59.573360000000001</v>
      </c>
      <c r="AO560" s="3">
        <v>51.984859999999998</v>
      </c>
      <c r="AP560" s="3">
        <v>39.365859999999998</v>
      </c>
      <c r="AQ560" s="3">
        <v>62.22195</v>
      </c>
      <c r="AT560" s="3">
        <v>41.371659999999999</v>
      </c>
      <c r="AV560" s="3">
        <v>85.626679999999993</v>
      </c>
      <c r="AW560" s="3">
        <v>0.87433119999999998</v>
      </c>
      <c r="AX560" s="3">
        <v>66.419939999999997</v>
      </c>
    </row>
    <row r="561" spans="1:50" x14ac:dyDescent="0.2">
      <c r="A561" s="74" t="s">
        <v>458</v>
      </c>
      <c r="B561" s="49">
        <v>34881</v>
      </c>
      <c r="D561" s="3">
        <v>71.976669999999999</v>
      </c>
      <c r="F561" s="3">
        <v>72.503810000000001</v>
      </c>
      <c r="G561" s="3">
        <v>90.797640000000001</v>
      </c>
      <c r="J561" s="3">
        <v>26.086950000000002</v>
      </c>
      <c r="K561" s="3">
        <v>18.409960000000002</v>
      </c>
      <c r="L561" s="3">
        <v>67.400000000000006</v>
      </c>
      <c r="M561" s="3">
        <v>78.018199999999993</v>
      </c>
      <c r="N561" s="3">
        <v>69.835530000000006</v>
      </c>
      <c r="P561" s="3">
        <v>66.824129999999997</v>
      </c>
      <c r="S561" s="3">
        <v>76.856350000000006</v>
      </c>
      <c r="T561" s="3">
        <v>77.887280000000004</v>
      </c>
      <c r="V561" s="3">
        <v>72.712389999999999</v>
      </c>
      <c r="W561" s="3">
        <v>73.210139999999996</v>
      </c>
      <c r="X561" s="3">
        <v>57.545259999999999</v>
      </c>
      <c r="Y561" s="3">
        <v>26.84093</v>
      </c>
      <c r="AB561" s="3">
        <v>65.664569999999998</v>
      </c>
      <c r="AC561" s="3">
        <v>40.314399999999999</v>
      </c>
      <c r="AD561" s="3">
        <v>59.265470000000001</v>
      </c>
      <c r="AE561" s="3">
        <v>67.507189999999994</v>
      </c>
      <c r="AF561" s="3">
        <v>100.64619999999999</v>
      </c>
      <c r="AH561" s="3">
        <v>53.6494</v>
      </c>
      <c r="AI561" s="3">
        <v>70.057239999999993</v>
      </c>
      <c r="AJ561" s="3">
        <v>40.64085</v>
      </c>
      <c r="AK561" s="3">
        <v>25.262060000000002</v>
      </c>
      <c r="AL561" s="3">
        <v>67.59366</v>
      </c>
      <c r="AM561" s="3">
        <v>68.853819999999999</v>
      </c>
      <c r="AN561" s="3">
        <v>59.744399999999999</v>
      </c>
      <c r="AO561" s="3">
        <v>52.163519999999998</v>
      </c>
      <c r="AP561" s="3">
        <v>39.948189999999997</v>
      </c>
      <c r="AQ561" s="3">
        <v>62.39085</v>
      </c>
      <c r="AT561" s="3">
        <v>41.792670000000001</v>
      </c>
      <c r="AV561" s="3">
        <v>85.640079999999998</v>
      </c>
      <c r="AW561" s="3">
        <v>0.90242420000000001</v>
      </c>
      <c r="AX561" s="3">
        <v>66.502510000000001</v>
      </c>
    </row>
    <row r="562" spans="1:50" x14ac:dyDescent="0.2">
      <c r="A562" s="74" t="s">
        <v>459</v>
      </c>
      <c r="B562" s="49">
        <v>34912</v>
      </c>
      <c r="D562" s="3">
        <v>72.042079999999999</v>
      </c>
      <c r="F562" s="3">
        <v>72.538300000000007</v>
      </c>
      <c r="G562" s="3">
        <v>91.346419999999995</v>
      </c>
      <c r="J562" s="3">
        <v>26.41395</v>
      </c>
      <c r="K562" s="3">
        <v>18.715420000000002</v>
      </c>
      <c r="L562" s="3">
        <v>67.599999999999994</v>
      </c>
      <c r="M562" s="3">
        <v>78.15531</v>
      </c>
      <c r="N562" s="3">
        <v>69.947090000000003</v>
      </c>
      <c r="P562" s="3">
        <v>66.90343</v>
      </c>
      <c r="S562" s="3">
        <v>76.856350000000006</v>
      </c>
      <c r="T562" s="3">
        <v>78.407970000000006</v>
      </c>
      <c r="V562" s="3">
        <v>72.901359999999997</v>
      </c>
      <c r="W562" s="3">
        <v>73.480419999999995</v>
      </c>
      <c r="X562" s="3">
        <v>57.736690000000003</v>
      </c>
      <c r="Y562" s="3">
        <v>27.12499</v>
      </c>
      <c r="AB562" s="3">
        <v>65.664569999999998</v>
      </c>
      <c r="AC562" s="3">
        <v>40.438699999999997</v>
      </c>
      <c r="AD562" s="3">
        <v>59.969810000000003</v>
      </c>
      <c r="AE562" s="3">
        <v>67.772279999999995</v>
      </c>
      <c r="AF562" s="3">
        <v>100.52290000000001</v>
      </c>
      <c r="AH562" s="3">
        <v>54.759</v>
      </c>
      <c r="AI562" s="3">
        <v>70.075969999999998</v>
      </c>
      <c r="AJ562" s="3">
        <v>41.313879999999997</v>
      </c>
      <c r="AK562" s="3">
        <v>25.695599999999999</v>
      </c>
      <c r="AL562" s="3">
        <v>67.858829999999998</v>
      </c>
      <c r="AM562" s="3">
        <v>68.795940000000002</v>
      </c>
      <c r="AN562" s="3">
        <v>60.018770000000004</v>
      </c>
      <c r="AO562" s="3">
        <v>52.493560000000002</v>
      </c>
      <c r="AP562" s="3">
        <v>40.50564</v>
      </c>
      <c r="AQ562" s="3">
        <v>62.413919999999997</v>
      </c>
      <c r="AT562" s="3">
        <v>41.826979999999999</v>
      </c>
      <c r="AV562" s="3">
        <v>85.579769999999996</v>
      </c>
      <c r="AW562" s="3">
        <v>0.9453028</v>
      </c>
      <c r="AX562" s="3">
        <v>66.708910000000003</v>
      </c>
    </row>
    <row r="563" spans="1:50" x14ac:dyDescent="0.2">
      <c r="A563" s="74" t="s">
        <v>460</v>
      </c>
      <c r="B563" s="49">
        <v>34943</v>
      </c>
      <c r="D563" s="3">
        <v>71.848640000000003</v>
      </c>
      <c r="F563" s="3">
        <v>72.674149999999997</v>
      </c>
      <c r="G563" s="3">
        <v>91.385360000000006</v>
      </c>
      <c r="J563" s="3">
        <v>26.708259999999999</v>
      </c>
      <c r="K563" s="3">
        <v>19.121359999999999</v>
      </c>
      <c r="L563" s="3">
        <v>68</v>
      </c>
      <c r="M563" s="3">
        <v>78.161940000000001</v>
      </c>
      <c r="N563" s="3">
        <v>70.38955</v>
      </c>
      <c r="P563" s="3">
        <v>67.118520000000004</v>
      </c>
      <c r="S563" s="3">
        <v>77.009609999999995</v>
      </c>
      <c r="T563" s="3">
        <v>78.750050000000002</v>
      </c>
      <c r="V563" s="3">
        <v>73.154539999999997</v>
      </c>
      <c r="W563" s="3">
        <v>73.914400000000001</v>
      </c>
      <c r="X563" s="3">
        <v>59.300280000000001</v>
      </c>
      <c r="Y563" s="3">
        <v>27.635110000000001</v>
      </c>
      <c r="AB563" s="3">
        <v>65.664569999999998</v>
      </c>
      <c r="AC563" s="3">
        <v>40.480130000000003</v>
      </c>
      <c r="AD563" s="3">
        <v>60.372300000000003</v>
      </c>
      <c r="AE563" s="3">
        <v>67.92577</v>
      </c>
      <c r="AF563" s="3">
        <v>101.22539999999999</v>
      </c>
      <c r="AH563" s="3">
        <v>55.704999999999998</v>
      </c>
      <c r="AI563" s="3">
        <v>70.205470000000005</v>
      </c>
      <c r="AJ563" s="3">
        <v>42.717610000000001</v>
      </c>
      <c r="AK563" s="3">
        <v>26.243269999999999</v>
      </c>
      <c r="AL563" s="3">
        <v>68.522970000000001</v>
      </c>
      <c r="AM563" s="3">
        <v>69.313800000000001</v>
      </c>
      <c r="AN563" s="3">
        <v>60.419170000000001</v>
      </c>
      <c r="AO563" s="3">
        <v>52.971780000000003</v>
      </c>
      <c r="AP563" s="3">
        <v>41.584310000000002</v>
      </c>
      <c r="AQ563" s="3">
        <v>62.616309999999999</v>
      </c>
      <c r="AT563" s="3">
        <v>41.773859999999999</v>
      </c>
      <c r="AV563" s="3">
        <v>86.320350000000005</v>
      </c>
      <c r="AW563" s="3">
        <v>1.024653</v>
      </c>
      <c r="AX563" s="3">
        <v>66.915310000000005</v>
      </c>
    </row>
    <row r="564" spans="1:50" x14ac:dyDescent="0.2">
      <c r="A564" s="74" t="s">
        <v>461</v>
      </c>
      <c r="B564" s="49">
        <v>34973</v>
      </c>
      <c r="D564" s="3">
        <v>71.809049999999999</v>
      </c>
      <c r="F564" s="3">
        <v>72.645390000000006</v>
      </c>
      <c r="G564" s="3">
        <v>91.37527</v>
      </c>
      <c r="J564" s="3">
        <v>27.002569999999999</v>
      </c>
      <c r="K564" s="3">
        <v>19.61974</v>
      </c>
      <c r="L564" s="3">
        <v>68.400000000000006</v>
      </c>
      <c r="M564" s="3">
        <v>77.984889999999993</v>
      </c>
      <c r="N564" s="3">
        <v>70.492530000000002</v>
      </c>
      <c r="P564" s="3">
        <v>67.373310000000004</v>
      </c>
      <c r="S564" s="3">
        <v>77.009609999999995</v>
      </c>
      <c r="T564" s="3">
        <v>78.852800000000002</v>
      </c>
      <c r="V564" s="3">
        <v>73.292400000000001</v>
      </c>
      <c r="W564" s="3">
        <v>73.610079999999996</v>
      </c>
      <c r="X564" s="3">
        <v>60.161540000000002</v>
      </c>
      <c r="Y564" s="3">
        <v>28.221869999999999</v>
      </c>
      <c r="AB564" s="3">
        <v>65.742750000000001</v>
      </c>
      <c r="AC564" s="3">
        <v>40.6873</v>
      </c>
      <c r="AD564" s="3">
        <v>60.976019999999998</v>
      </c>
      <c r="AE564" s="3">
        <v>68.2072</v>
      </c>
      <c r="AF564" s="3">
        <v>101.13160000000001</v>
      </c>
      <c r="AH564" s="3">
        <v>56.608800000000002</v>
      </c>
      <c r="AI564" s="3">
        <v>70.254940000000005</v>
      </c>
      <c r="AJ564" s="3">
        <v>43.48677</v>
      </c>
      <c r="AK564" s="3">
        <v>26.6815</v>
      </c>
      <c r="AL564" s="3">
        <v>68.496989999999997</v>
      </c>
      <c r="AM564" s="3">
        <v>69.368759999999995</v>
      </c>
      <c r="AN564" s="3">
        <v>60.709760000000003</v>
      </c>
      <c r="AO564" s="3">
        <v>53.267479999999999</v>
      </c>
      <c r="AP564" s="3">
        <v>42.204810000000002</v>
      </c>
      <c r="AQ564" s="3">
        <v>62.863750000000003</v>
      </c>
      <c r="AT564" s="3">
        <v>41.979849999999999</v>
      </c>
      <c r="AV564" s="3">
        <v>86.782799999999995</v>
      </c>
      <c r="AW564" s="3">
        <v>1.0906960000000001</v>
      </c>
      <c r="AX564" s="3">
        <v>67.204279999999997</v>
      </c>
    </row>
    <row r="565" spans="1:50" x14ac:dyDescent="0.2">
      <c r="A565" s="74" t="s">
        <v>462</v>
      </c>
      <c r="B565" s="49">
        <v>35004</v>
      </c>
      <c r="D565" s="3">
        <v>71.963049999999996</v>
      </c>
      <c r="F565" s="3">
        <v>72.977289999999996</v>
      </c>
      <c r="G565" s="3">
        <v>91.442679999999996</v>
      </c>
      <c r="J565" s="3">
        <v>27.305050000000001</v>
      </c>
      <c r="K565" s="3">
        <v>19.824719999999999</v>
      </c>
      <c r="L565" s="3">
        <v>68.900000000000006</v>
      </c>
      <c r="M565" s="3">
        <v>77.974279999999993</v>
      </c>
      <c r="N565" s="3">
        <v>70.646770000000004</v>
      </c>
      <c r="P565" s="3">
        <v>67.434269999999998</v>
      </c>
      <c r="S565" s="3">
        <v>76.856350000000006</v>
      </c>
      <c r="T565" s="3">
        <v>78.855189999999993</v>
      </c>
      <c r="V565" s="3">
        <v>73.393839999999997</v>
      </c>
      <c r="W565" s="3">
        <v>73.649569999999997</v>
      </c>
      <c r="X565" s="3">
        <v>60.416449999999998</v>
      </c>
      <c r="Y565" s="3">
        <v>28.639720000000001</v>
      </c>
      <c r="AB565" s="3">
        <v>65.742750000000001</v>
      </c>
      <c r="AC565" s="3">
        <v>40.811599999999999</v>
      </c>
      <c r="AD565" s="3">
        <v>61.479120000000002</v>
      </c>
      <c r="AE565" s="3">
        <v>68.663679999999999</v>
      </c>
      <c r="AF565" s="3">
        <v>101.1892</v>
      </c>
      <c r="AH565" s="3">
        <v>58.073399999999999</v>
      </c>
      <c r="AI565" s="3">
        <v>70.412610000000001</v>
      </c>
      <c r="AJ565" s="3">
        <v>43.506</v>
      </c>
      <c r="AK565" s="3">
        <v>27.167649999999998</v>
      </c>
      <c r="AL565" s="3">
        <v>68.423090000000002</v>
      </c>
      <c r="AM565" s="3">
        <v>69.322760000000002</v>
      </c>
      <c r="AN565" s="3">
        <v>60.932699999999997</v>
      </c>
      <c r="AO565" s="3">
        <v>53.537570000000002</v>
      </c>
      <c r="AP565" s="3">
        <v>42.750369999999997</v>
      </c>
      <c r="AQ565" s="3">
        <v>62.947839999999999</v>
      </c>
      <c r="AT565" s="3">
        <v>42.236429999999999</v>
      </c>
      <c r="AV565" s="3">
        <v>86.836420000000004</v>
      </c>
      <c r="AW565" s="3">
        <v>1.139489</v>
      </c>
      <c r="AX565" s="3">
        <v>67.286829999999995</v>
      </c>
    </row>
    <row r="566" spans="1:50" x14ac:dyDescent="0.2">
      <c r="A566" s="74" t="s">
        <v>463</v>
      </c>
      <c r="B566" s="49">
        <v>35034</v>
      </c>
      <c r="D566" s="3">
        <v>71.847380000000001</v>
      </c>
      <c r="F566" s="3">
        <v>72.628299999999996</v>
      </c>
      <c r="G566" s="3">
        <v>91.451170000000005</v>
      </c>
      <c r="J566" s="3">
        <v>27.5503</v>
      </c>
      <c r="K566" s="3">
        <v>20.01362</v>
      </c>
      <c r="L566" s="3">
        <v>69.2</v>
      </c>
      <c r="M566" s="3">
        <v>78.27525</v>
      </c>
      <c r="N566" s="3">
        <v>70.615229999999997</v>
      </c>
      <c r="P566" s="3">
        <v>67.60445</v>
      </c>
      <c r="S566" s="3">
        <v>76.856350000000006</v>
      </c>
      <c r="T566" s="3">
        <v>78.884349999999998</v>
      </c>
      <c r="V566" s="3">
        <v>73.359319999999997</v>
      </c>
      <c r="W566" s="3">
        <v>73.845889999999997</v>
      </c>
      <c r="X566" s="3">
        <v>61.182099999999998</v>
      </c>
      <c r="Y566" s="3">
        <v>28.973659999999999</v>
      </c>
      <c r="AB566" s="3">
        <v>65.742750000000001</v>
      </c>
      <c r="AC566" s="3">
        <v>40.853029999999997</v>
      </c>
      <c r="AD566" s="3">
        <v>62.384700000000002</v>
      </c>
      <c r="AE566" s="3">
        <v>68.742469999999997</v>
      </c>
      <c r="AF566" s="3">
        <v>101.1281</v>
      </c>
      <c r="AH566" s="3">
        <v>59.131399999999999</v>
      </c>
      <c r="AI566" s="3">
        <v>70.429919999999996</v>
      </c>
      <c r="AJ566" s="3">
        <v>44.082880000000003</v>
      </c>
      <c r="AK566" s="3">
        <v>27.934979999999999</v>
      </c>
      <c r="AL566" s="3">
        <v>68.178629999999998</v>
      </c>
      <c r="AM566" s="3">
        <v>69.321619999999996</v>
      </c>
      <c r="AN566" s="3">
        <v>61.097900000000003</v>
      </c>
      <c r="AO566" s="3">
        <v>53.80151</v>
      </c>
      <c r="AP566" s="3">
        <v>43.388559999999998</v>
      </c>
      <c r="AQ566" s="3">
        <v>62.850859999999997</v>
      </c>
      <c r="AT566" s="3">
        <v>42.69218</v>
      </c>
      <c r="AV566" s="3">
        <v>86.598489999999998</v>
      </c>
      <c r="AW566" s="3">
        <v>1.1823680000000001</v>
      </c>
      <c r="AX566" s="3">
        <v>67.162989999999994</v>
      </c>
    </row>
    <row r="567" spans="1:50" x14ac:dyDescent="0.2">
      <c r="A567" s="3" t="s">
        <v>464</v>
      </c>
      <c r="B567" s="49">
        <v>35065</v>
      </c>
      <c r="D567" s="3">
        <v>72.484790000000004</v>
      </c>
      <c r="F567" s="3">
        <v>72.770989999999998</v>
      </c>
      <c r="G567" s="3">
        <v>91.54128</v>
      </c>
      <c r="J567" s="3">
        <v>27.77103</v>
      </c>
      <c r="K567" s="3">
        <v>20.443680000000001</v>
      </c>
      <c r="L567" s="3">
        <v>70.3</v>
      </c>
      <c r="M567" s="3">
        <v>78.422839999999994</v>
      </c>
      <c r="N567" s="3">
        <v>70.295100000000005</v>
      </c>
      <c r="O567" s="3">
        <v>75.099999999999994</v>
      </c>
      <c r="P567" s="3">
        <v>67.779070000000004</v>
      </c>
      <c r="S567" s="3">
        <v>76.473219999999998</v>
      </c>
      <c r="T567" s="3">
        <v>78.855699999999999</v>
      </c>
      <c r="V567" s="3">
        <v>73.477320000000006</v>
      </c>
      <c r="W567" s="3">
        <v>73.437349999999995</v>
      </c>
      <c r="X567" s="3">
        <v>61.097969999999997</v>
      </c>
      <c r="Y567" s="3">
        <v>30.159189999999999</v>
      </c>
      <c r="AB567" s="3">
        <v>65.99624</v>
      </c>
      <c r="AC567" s="3">
        <v>40.894460000000002</v>
      </c>
      <c r="AD567" s="3">
        <v>62.686570000000003</v>
      </c>
      <c r="AE567" s="3">
        <v>68.9482</v>
      </c>
      <c r="AF567" s="3">
        <v>100.6649</v>
      </c>
      <c r="AH567" s="3">
        <v>59.960500000000003</v>
      </c>
      <c r="AI567" s="3">
        <v>70.440129999999996</v>
      </c>
      <c r="AJ567" s="3">
        <v>45.919260000000001</v>
      </c>
      <c r="AK567" s="3">
        <v>28.911539999999999</v>
      </c>
      <c r="AL567" s="3">
        <v>68.519589999999994</v>
      </c>
      <c r="AM567" s="3">
        <v>68.928730000000002</v>
      </c>
      <c r="AN567" s="3">
        <v>61.424520000000001</v>
      </c>
      <c r="AO567" s="3">
        <v>54.154429999999998</v>
      </c>
      <c r="AP567" s="3">
        <v>44.80677</v>
      </c>
      <c r="AQ567" s="3">
        <v>63.18909</v>
      </c>
      <c r="AT567" s="3">
        <v>42.956299999999999</v>
      </c>
      <c r="AV567" s="3">
        <v>87.131309999999999</v>
      </c>
      <c r="AW567" s="3">
        <v>1.2769969999999999</v>
      </c>
      <c r="AX567" s="3">
        <v>67.45196</v>
      </c>
    </row>
    <row r="568" spans="1:50" x14ac:dyDescent="0.2">
      <c r="A568" s="74" t="s">
        <v>465</v>
      </c>
      <c r="B568" s="49">
        <v>35096</v>
      </c>
      <c r="D568" s="3">
        <v>72.613720000000001</v>
      </c>
      <c r="F568" s="3">
        <v>72.889809999999997</v>
      </c>
      <c r="G568" s="3">
        <v>91.728319999999997</v>
      </c>
      <c r="J568" s="3">
        <v>28.32694</v>
      </c>
      <c r="K568" s="3">
        <v>20.77225</v>
      </c>
      <c r="L568" s="3">
        <v>70.599999999999994</v>
      </c>
      <c r="M568" s="3">
        <v>78.89667</v>
      </c>
      <c r="N568" s="3">
        <v>70.683679999999995</v>
      </c>
      <c r="O568" s="3">
        <v>75.42</v>
      </c>
      <c r="P568" s="3">
        <v>68.117239999999995</v>
      </c>
      <c r="S568" s="3">
        <v>76.779730000000001</v>
      </c>
      <c r="T568" s="3">
        <v>79.159880000000001</v>
      </c>
      <c r="V568" s="3">
        <v>73.753200000000007</v>
      </c>
      <c r="W568" s="3">
        <v>73.840289999999996</v>
      </c>
      <c r="X568" s="3">
        <v>60.727690000000003</v>
      </c>
      <c r="Y568" s="3">
        <v>30.96453</v>
      </c>
      <c r="AB568" s="3">
        <v>65.99624</v>
      </c>
      <c r="AC568" s="3">
        <v>40.935899999999997</v>
      </c>
      <c r="AD568" s="3">
        <v>63.290289999999999</v>
      </c>
      <c r="AE568" s="3">
        <v>69.238479999999996</v>
      </c>
      <c r="AF568" s="3">
        <v>100.39060000000001</v>
      </c>
      <c r="AH568" s="3">
        <v>60.737200000000001</v>
      </c>
      <c r="AI568" s="3">
        <v>70.543199999999999</v>
      </c>
      <c r="AJ568" s="3">
        <v>46.611510000000003</v>
      </c>
      <c r="AK568" s="3">
        <v>29.56542</v>
      </c>
      <c r="AL568" s="3">
        <v>68.801119999999997</v>
      </c>
      <c r="AM568" s="3">
        <v>69.040700000000001</v>
      </c>
      <c r="AN568" s="3">
        <v>61.760509999999996</v>
      </c>
      <c r="AO568" s="3">
        <v>54.532040000000002</v>
      </c>
      <c r="AP568" s="3">
        <v>45.42454</v>
      </c>
      <c r="AQ568" s="3">
        <v>63.545499999999997</v>
      </c>
      <c r="AT568" s="3">
        <v>43.226410000000001</v>
      </c>
      <c r="AV568" s="3">
        <v>87.218440000000001</v>
      </c>
      <c r="AW568" s="3">
        <v>1.328254</v>
      </c>
      <c r="AX568" s="3">
        <v>67.782200000000003</v>
      </c>
    </row>
    <row r="569" spans="1:50" x14ac:dyDescent="0.2">
      <c r="A569" s="74" t="s">
        <v>466</v>
      </c>
      <c r="B569" s="49">
        <v>35125</v>
      </c>
      <c r="D569" s="3">
        <v>72.570880000000002</v>
      </c>
      <c r="F569" s="3">
        <v>73.155850000000001</v>
      </c>
      <c r="G569" s="3">
        <v>91.775019999999998</v>
      </c>
      <c r="J569" s="3">
        <v>29.610440000000001</v>
      </c>
      <c r="K569" s="3">
        <v>20.946079999999998</v>
      </c>
      <c r="L569" s="3">
        <v>71</v>
      </c>
      <c r="M569" s="3">
        <v>78.791600000000003</v>
      </c>
      <c r="N569" s="3">
        <v>71.102980000000002</v>
      </c>
      <c r="O569" s="3">
        <v>75.69</v>
      </c>
      <c r="P569" s="3">
        <v>68.446860000000001</v>
      </c>
      <c r="S569" s="3">
        <v>76.703100000000006</v>
      </c>
      <c r="T569" s="3">
        <v>79.608459999999994</v>
      </c>
      <c r="V569" s="3">
        <v>74.018519999999995</v>
      </c>
      <c r="W569" s="3">
        <v>74.142510000000001</v>
      </c>
      <c r="X569" s="3">
        <v>62.45</v>
      </c>
      <c r="Y569" s="3">
        <v>31.60698</v>
      </c>
      <c r="AB569" s="3">
        <v>65.99624</v>
      </c>
      <c r="AC569" s="3">
        <v>40.977330000000002</v>
      </c>
      <c r="AD569" s="3">
        <v>63.592149999999997</v>
      </c>
      <c r="AE569" s="3">
        <v>69.510260000000002</v>
      </c>
      <c r="AF569" s="3">
        <v>100.7581</v>
      </c>
      <c r="AH569" s="3">
        <v>61.8048</v>
      </c>
      <c r="AI569" s="3">
        <v>70.550839999999994</v>
      </c>
      <c r="AJ569" s="3">
        <v>47.053780000000003</v>
      </c>
      <c r="AK569" s="3">
        <v>30.210129999999999</v>
      </c>
      <c r="AL569" s="3">
        <v>69.352919999999997</v>
      </c>
      <c r="AM569" s="3">
        <v>69.356260000000006</v>
      </c>
      <c r="AN569" s="3">
        <v>62.131419999999999</v>
      </c>
      <c r="AO569" s="3">
        <v>54.861229999999999</v>
      </c>
      <c r="AP569" s="3">
        <v>45.842089999999999</v>
      </c>
      <c r="AQ569" s="3">
        <v>63.865459999999999</v>
      </c>
      <c r="AT569" s="3">
        <v>43.458530000000003</v>
      </c>
      <c r="AV569" s="3">
        <v>87.439610000000002</v>
      </c>
      <c r="AW569" s="3">
        <v>1.3829610000000001</v>
      </c>
      <c r="AX569" s="3">
        <v>68.071160000000006</v>
      </c>
    </row>
    <row r="570" spans="1:50" x14ac:dyDescent="0.2">
      <c r="A570" s="74" t="s">
        <v>467</v>
      </c>
      <c r="B570" s="49">
        <v>35156</v>
      </c>
      <c r="D570" s="3">
        <v>72.571560000000005</v>
      </c>
      <c r="F570" s="3">
        <v>73.133799999999994</v>
      </c>
      <c r="G570" s="3">
        <v>91.791020000000003</v>
      </c>
      <c r="J570" s="3">
        <v>30.24811</v>
      </c>
      <c r="K570" s="3">
        <v>21.090769999999999</v>
      </c>
      <c r="L570" s="3">
        <v>71.400000000000006</v>
      </c>
      <c r="M570" s="3">
        <v>78.693460000000002</v>
      </c>
      <c r="N570" s="3">
        <v>71.224810000000005</v>
      </c>
      <c r="O570" s="3">
        <v>75.72</v>
      </c>
      <c r="P570" s="3">
        <v>68.700109999999995</v>
      </c>
      <c r="S570" s="3">
        <v>76.779730000000001</v>
      </c>
      <c r="T570" s="3">
        <v>79.686670000000007</v>
      </c>
      <c r="V570" s="3">
        <v>74.127650000000003</v>
      </c>
      <c r="W570" s="3">
        <v>74.545460000000006</v>
      </c>
      <c r="X570" s="3">
        <v>62.998170000000002</v>
      </c>
      <c r="Y570" s="3">
        <v>32.130459999999999</v>
      </c>
      <c r="AB570" s="3">
        <v>66.04907</v>
      </c>
      <c r="AC570" s="3">
        <v>41.01876</v>
      </c>
      <c r="AD570" s="3">
        <v>64.497730000000004</v>
      </c>
      <c r="AE570" s="3">
        <v>69.671390000000002</v>
      </c>
      <c r="AF570" s="3">
        <v>101.2706</v>
      </c>
      <c r="AH570" s="3">
        <v>62.401299999999999</v>
      </c>
      <c r="AI570" s="3">
        <v>70.613219999999998</v>
      </c>
      <c r="AJ570" s="3">
        <v>47.332610000000003</v>
      </c>
      <c r="AK570" s="3">
        <v>30.912179999999999</v>
      </c>
      <c r="AL570" s="3">
        <v>69.566220000000001</v>
      </c>
      <c r="AM570" s="3">
        <v>69.436549999999997</v>
      </c>
      <c r="AN570" s="3">
        <v>62.401380000000003</v>
      </c>
      <c r="AO570" s="3">
        <v>55.168300000000002</v>
      </c>
      <c r="AP570" s="3">
        <v>46.551969999999997</v>
      </c>
      <c r="AQ570" s="3">
        <v>64.032629999999997</v>
      </c>
      <c r="AT570" s="3">
        <v>43.619169999999997</v>
      </c>
      <c r="AV570" s="3">
        <v>87.523380000000003</v>
      </c>
      <c r="AW570" s="3">
        <v>1.46034</v>
      </c>
      <c r="AX570" s="3">
        <v>68.112440000000007</v>
      </c>
    </row>
    <row r="571" spans="1:50" x14ac:dyDescent="0.2">
      <c r="A571" s="74" t="s">
        <v>468</v>
      </c>
      <c r="B571" s="49">
        <v>35186</v>
      </c>
      <c r="D571" s="3">
        <v>72.374889999999994</v>
      </c>
      <c r="F571" s="3">
        <v>73.302949999999996</v>
      </c>
      <c r="G571" s="3">
        <v>91.50412</v>
      </c>
      <c r="J571" s="3">
        <v>30.91029</v>
      </c>
      <c r="K571" s="3">
        <v>21.404260000000001</v>
      </c>
      <c r="L571" s="3">
        <v>71.8</v>
      </c>
      <c r="M571" s="3">
        <v>78.857479999999995</v>
      </c>
      <c r="N571" s="3">
        <v>71.500339999999994</v>
      </c>
      <c r="O571" s="3">
        <v>75.88</v>
      </c>
      <c r="P571" s="3">
        <v>68.827650000000006</v>
      </c>
      <c r="S571" s="3">
        <v>76.856350000000006</v>
      </c>
      <c r="T571" s="3">
        <v>79.767809999999997</v>
      </c>
      <c r="V571" s="3">
        <v>74.236400000000003</v>
      </c>
      <c r="W571" s="3">
        <v>74.746930000000006</v>
      </c>
      <c r="X571" s="3">
        <v>62.730899999999998</v>
      </c>
      <c r="Y571" s="3">
        <v>32.814079999999997</v>
      </c>
      <c r="AB571" s="3">
        <v>66.04907</v>
      </c>
      <c r="AC571" s="3">
        <v>41.10163</v>
      </c>
      <c r="AD571" s="3">
        <v>65.90643</v>
      </c>
      <c r="AE571" s="3">
        <v>69.910870000000003</v>
      </c>
      <c r="AF571" s="3">
        <v>101.5209</v>
      </c>
      <c r="AH571" s="3">
        <v>62.809899999999999</v>
      </c>
      <c r="AI571" s="3">
        <v>70.657749999999993</v>
      </c>
      <c r="AJ571" s="3">
        <v>47.630659999999999</v>
      </c>
      <c r="AK571" s="3">
        <v>31.420719999999999</v>
      </c>
      <c r="AL571" s="3">
        <v>69.545879999999997</v>
      </c>
      <c r="AM571" s="3">
        <v>69.458560000000006</v>
      </c>
      <c r="AN571" s="3">
        <v>62.622</v>
      </c>
      <c r="AO571" s="3">
        <v>55.444310000000002</v>
      </c>
      <c r="AP571" s="3">
        <v>47.261249999999997</v>
      </c>
      <c r="AQ571" s="3">
        <v>64.113519999999994</v>
      </c>
      <c r="AT571" s="3">
        <v>43.754460000000002</v>
      </c>
      <c r="AV571" s="3">
        <v>87.3994</v>
      </c>
      <c r="AW571" s="3">
        <v>1.5288470000000001</v>
      </c>
      <c r="AX571" s="3">
        <v>68.153720000000007</v>
      </c>
    </row>
    <row r="572" spans="1:50" x14ac:dyDescent="0.2">
      <c r="A572" s="74" t="s">
        <v>469</v>
      </c>
      <c r="B572" s="49">
        <v>35217</v>
      </c>
      <c r="D572" s="3">
        <v>72.439899999999994</v>
      </c>
      <c r="F572" s="3">
        <v>73.314089999999993</v>
      </c>
      <c r="G572" s="3">
        <v>91.513570000000001</v>
      </c>
      <c r="J572" s="3">
        <v>31.523430000000001</v>
      </c>
      <c r="K572" s="3">
        <v>21.585129999999999</v>
      </c>
      <c r="L572" s="3">
        <v>72.2</v>
      </c>
      <c r="M572" s="3">
        <v>79.030469999999994</v>
      </c>
      <c r="N572" s="3">
        <v>71.475040000000007</v>
      </c>
      <c r="O572" s="3">
        <v>76</v>
      </c>
      <c r="P572" s="3">
        <v>68.975009999999997</v>
      </c>
      <c r="S572" s="3">
        <v>76.856350000000006</v>
      </c>
      <c r="T572" s="3">
        <v>79.799539999999993</v>
      </c>
      <c r="V572" s="3">
        <v>74.289699999999996</v>
      </c>
      <c r="W572" s="3">
        <v>74.847660000000005</v>
      </c>
      <c r="X572" s="3">
        <v>63.334029999999998</v>
      </c>
      <c r="Y572" s="3">
        <v>33.129339999999999</v>
      </c>
      <c r="AB572" s="3">
        <v>66.04907</v>
      </c>
      <c r="AC572" s="3">
        <v>41.10163</v>
      </c>
      <c r="AD572" s="3">
        <v>66.610759999999999</v>
      </c>
      <c r="AE572" s="3">
        <v>70.053759999999997</v>
      </c>
      <c r="AF572" s="3">
        <v>101.44799999999999</v>
      </c>
      <c r="AH572" s="3">
        <v>63.949800000000003</v>
      </c>
      <c r="AI572" s="3">
        <v>70.64725</v>
      </c>
      <c r="AJ572" s="3">
        <v>48.274839999999998</v>
      </c>
      <c r="AK572" s="3">
        <v>31.925180000000001</v>
      </c>
      <c r="AL572" s="3">
        <v>69.305850000000007</v>
      </c>
      <c r="AM572" s="3">
        <v>69.572230000000005</v>
      </c>
      <c r="AN572" s="3">
        <v>62.802990000000001</v>
      </c>
      <c r="AO572" s="3">
        <v>55.700130000000001</v>
      </c>
      <c r="AP572" s="3">
        <v>47.936070000000001</v>
      </c>
      <c r="AQ572" s="3">
        <v>64.408060000000006</v>
      </c>
      <c r="AT572" s="3">
        <v>44.113619999999997</v>
      </c>
      <c r="AV572" s="3">
        <v>87.174869999999999</v>
      </c>
      <c r="AW572" s="3">
        <v>1.5899620000000001</v>
      </c>
      <c r="AX572" s="3">
        <v>68.194999999999993</v>
      </c>
    </row>
    <row r="573" spans="1:50" x14ac:dyDescent="0.2">
      <c r="A573" s="74" t="s">
        <v>470</v>
      </c>
      <c r="B573" s="49">
        <v>35247</v>
      </c>
      <c r="D573" s="3">
        <v>73.154240000000001</v>
      </c>
      <c r="F573" s="3">
        <v>73.523349999999994</v>
      </c>
      <c r="G573" s="3">
        <v>91.542010000000005</v>
      </c>
      <c r="J573" s="3">
        <v>31.932189999999999</v>
      </c>
      <c r="K573" s="3">
        <v>21.81221</v>
      </c>
      <c r="L573" s="3">
        <v>72.8</v>
      </c>
      <c r="M573" s="3">
        <v>79.141639999999995</v>
      </c>
      <c r="N573" s="3">
        <v>71.157520000000005</v>
      </c>
      <c r="O573" s="3">
        <v>76.040000000000006</v>
      </c>
      <c r="P573" s="3">
        <v>69.085329999999999</v>
      </c>
      <c r="S573" s="3">
        <v>76.856350000000006</v>
      </c>
      <c r="T573" s="3">
        <v>79.653530000000003</v>
      </c>
      <c r="V573" s="3">
        <v>74.313959999999994</v>
      </c>
      <c r="W573" s="3">
        <v>74.444720000000004</v>
      </c>
      <c r="X573" s="3">
        <v>62.454599999999999</v>
      </c>
      <c r="Y573" s="3">
        <v>33.32649</v>
      </c>
      <c r="AB573" s="3">
        <v>66.439229999999995</v>
      </c>
      <c r="AC573" s="3">
        <v>41.225929999999998</v>
      </c>
      <c r="AD573" s="3">
        <v>66.711389999999994</v>
      </c>
      <c r="AE573" s="3">
        <v>70.15701</v>
      </c>
      <c r="AF573" s="3">
        <v>101.1134</v>
      </c>
      <c r="AH573" s="3">
        <v>64.943299999999994</v>
      </c>
      <c r="AI573" s="3">
        <v>70.701589999999996</v>
      </c>
      <c r="AJ573" s="3">
        <v>48.91901</v>
      </c>
      <c r="AK573" s="3">
        <v>32.397709999999996</v>
      </c>
      <c r="AL573" s="3">
        <v>69.457890000000006</v>
      </c>
      <c r="AM573" s="3">
        <v>69.473849999999999</v>
      </c>
      <c r="AN573" s="3">
        <v>62.946510000000004</v>
      </c>
      <c r="AO573" s="3">
        <v>55.846939999999996</v>
      </c>
      <c r="AP573" s="3">
        <v>48.483159999999998</v>
      </c>
      <c r="AQ573" s="3">
        <v>64.456609999999998</v>
      </c>
      <c r="AT573" s="3">
        <v>44.154000000000003</v>
      </c>
      <c r="AV573" s="3">
        <v>86.632000000000005</v>
      </c>
      <c r="AW573" s="3">
        <v>1.6446689999999999</v>
      </c>
      <c r="AX573" s="3">
        <v>68.318839999999994</v>
      </c>
    </row>
    <row r="574" spans="1:50" x14ac:dyDescent="0.2">
      <c r="A574" s="74" t="s">
        <v>471</v>
      </c>
      <c r="B574" s="49">
        <v>35278</v>
      </c>
      <c r="D574" s="3">
        <v>73.520359999999997</v>
      </c>
      <c r="F574" s="3">
        <v>73.564940000000007</v>
      </c>
      <c r="G574" s="3">
        <v>91.985399999999998</v>
      </c>
      <c r="J574" s="3">
        <v>32.291899999999998</v>
      </c>
      <c r="K574" s="3">
        <v>22.030259999999998</v>
      </c>
      <c r="L574" s="3">
        <v>73</v>
      </c>
      <c r="M574" s="3">
        <v>79.248859999999993</v>
      </c>
      <c r="N574" s="3">
        <v>71.359660000000005</v>
      </c>
      <c r="O574" s="3">
        <v>76.12</v>
      </c>
      <c r="P574" s="3">
        <v>69.154979999999995</v>
      </c>
      <c r="S574" s="3">
        <v>76.856350000000006</v>
      </c>
      <c r="T574" s="3">
        <v>79.6965</v>
      </c>
      <c r="V574" s="3">
        <v>74.407139999999998</v>
      </c>
      <c r="W574" s="3">
        <v>74.746930000000006</v>
      </c>
      <c r="X574" s="3">
        <v>62.492139999999999</v>
      </c>
      <c r="Y574" s="3">
        <v>33.513089999999998</v>
      </c>
      <c r="AB574" s="3">
        <v>66.439229999999995</v>
      </c>
      <c r="AC574" s="3">
        <v>41.308799999999998</v>
      </c>
      <c r="AD574" s="3">
        <v>66.711389999999994</v>
      </c>
      <c r="AE574" s="3">
        <v>70.285849999999996</v>
      </c>
      <c r="AF574" s="3">
        <v>100.9089</v>
      </c>
      <c r="AH574" s="3">
        <v>65.293899999999994</v>
      </c>
      <c r="AI574" s="3">
        <v>70.778509999999997</v>
      </c>
      <c r="AJ574" s="3">
        <v>49.399740000000001</v>
      </c>
      <c r="AK574" s="3">
        <v>32.858359999999998</v>
      </c>
      <c r="AL574" s="3">
        <v>69.572310000000002</v>
      </c>
      <c r="AM574" s="3">
        <v>69.546620000000004</v>
      </c>
      <c r="AN574" s="3">
        <v>63.155160000000002</v>
      </c>
      <c r="AO574" s="3">
        <v>56.132800000000003</v>
      </c>
      <c r="AP574" s="3">
        <v>48.932540000000003</v>
      </c>
      <c r="AQ574" s="3">
        <v>64.611540000000005</v>
      </c>
      <c r="AT574" s="3">
        <v>44.254280000000001</v>
      </c>
      <c r="AV574" s="3">
        <v>86.377319999999997</v>
      </c>
      <c r="AW574" s="3">
        <v>1.7190909999999999</v>
      </c>
      <c r="AX574" s="3">
        <v>68.442679999999996</v>
      </c>
    </row>
    <row r="575" spans="1:50" x14ac:dyDescent="0.2">
      <c r="A575" s="74" t="s">
        <v>472</v>
      </c>
      <c r="B575" s="49">
        <v>35309</v>
      </c>
      <c r="D575" s="3">
        <v>73.224209999999999</v>
      </c>
      <c r="F575" s="3">
        <v>73.668040000000005</v>
      </c>
      <c r="G575" s="3">
        <v>92.014399999999995</v>
      </c>
      <c r="J575" s="3">
        <v>32.659779999999998</v>
      </c>
      <c r="K575" s="3">
        <v>22.186</v>
      </c>
      <c r="L575" s="3">
        <v>73.2</v>
      </c>
      <c r="M575" s="3">
        <v>79.266900000000007</v>
      </c>
      <c r="N575" s="3">
        <v>71.714489999999998</v>
      </c>
      <c r="O575" s="3">
        <v>76.25</v>
      </c>
      <c r="P575" s="3">
        <v>69.28922</v>
      </c>
      <c r="S575" s="3">
        <v>77.009609999999995</v>
      </c>
      <c r="T575" s="3">
        <v>79.867699999999999</v>
      </c>
      <c r="V575" s="3">
        <v>74.658760000000001</v>
      </c>
      <c r="W575" s="3">
        <v>75.250619999999998</v>
      </c>
      <c r="X575" s="3">
        <v>64.100880000000004</v>
      </c>
      <c r="Y575" s="3">
        <v>33.929180000000002</v>
      </c>
      <c r="AB575" s="3">
        <v>66.439229999999995</v>
      </c>
      <c r="AC575" s="3">
        <v>41.474530000000001</v>
      </c>
      <c r="AD575" s="3">
        <v>66.912629999999993</v>
      </c>
      <c r="AE575" s="3">
        <v>70.37012</v>
      </c>
      <c r="AF575" s="3">
        <v>101.47280000000001</v>
      </c>
      <c r="AH575" s="3">
        <v>65.811999999999998</v>
      </c>
      <c r="AI575" s="3">
        <v>70.813490000000002</v>
      </c>
      <c r="AJ575" s="3">
        <v>50.111220000000003</v>
      </c>
      <c r="AK575" s="3">
        <v>33.43882</v>
      </c>
      <c r="AL575" s="3">
        <v>70.267300000000006</v>
      </c>
      <c r="AM575" s="3">
        <v>69.948120000000003</v>
      </c>
      <c r="AN575" s="3">
        <v>63.536679999999997</v>
      </c>
      <c r="AO575" s="3">
        <v>56.585450000000002</v>
      </c>
      <c r="AP575" s="3">
        <v>49.759619999999998</v>
      </c>
      <c r="AQ575" s="3">
        <v>64.737049999999996</v>
      </c>
      <c r="AT575" s="3">
        <v>44.331569999999999</v>
      </c>
      <c r="AV575" s="3">
        <v>86.816310000000001</v>
      </c>
      <c r="AW575" s="3">
        <v>1.8413200000000001</v>
      </c>
      <c r="AX575" s="3">
        <v>68.690359999999998</v>
      </c>
    </row>
    <row r="576" spans="1:50" x14ac:dyDescent="0.2">
      <c r="A576" s="74" t="s">
        <v>473</v>
      </c>
      <c r="B576" s="49">
        <v>35339</v>
      </c>
      <c r="D576" s="3">
        <v>73.238720000000001</v>
      </c>
      <c r="F576" s="3">
        <v>73.646649999999994</v>
      </c>
      <c r="G576" s="3">
        <v>92.021640000000005</v>
      </c>
      <c r="J576" s="3">
        <v>33.093060000000001</v>
      </c>
      <c r="K576" s="3">
        <v>22.44624</v>
      </c>
      <c r="L576" s="3">
        <v>73.5</v>
      </c>
      <c r="M576" s="3">
        <v>79.235569999999996</v>
      </c>
      <c r="N576" s="3">
        <v>71.745170000000002</v>
      </c>
      <c r="O576" s="3">
        <v>76.31</v>
      </c>
      <c r="P576" s="3">
        <v>69.425749999999994</v>
      </c>
      <c r="S576" s="3">
        <v>77.086240000000004</v>
      </c>
      <c r="T576" s="3">
        <v>80.002470000000002</v>
      </c>
      <c r="V576" s="3">
        <v>74.829899999999995</v>
      </c>
      <c r="W576" s="3">
        <v>75.351349999999996</v>
      </c>
      <c r="X576" s="3">
        <v>65.176479999999998</v>
      </c>
      <c r="Y576" s="3">
        <v>34.328389999999999</v>
      </c>
      <c r="AB576" s="3">
        <v>66.932670000000002</v>
      </c>
      <c r="AC576" s="3">
        <v>41.391660000000002</v>
      </c>
      <c r="AD576" s="3">
        <v>67.516350000000003</v>
      </c>
      <c r="AE576" s="3">
        <v>70.44068</v>
      </c>
      <c r="AF576" s="3">
        <v>101.6495</v>
      </c>
      <c r="AH576" s="3">
        <v>66.028800000000004</v>
      </c>
      <c r="AI576" s="3">
        <v>70.875129999999999</v>
      </c>
      <c r="AJ576" s="3">
        <v>50.649639999999998</v>
      </c>
      <c r="AK576" s="3">
        <v>33.82752</v>
      </c>
      <c r="AL576" s="3">
        <v>70.407740000000004</v>
      </c>
      <c r="AM576" s="3">
        <v>70.138239999999996</v>
      </c>
      <c r="AN576" s="3">
        <v>63.848379999999999</v>
      </c>
      <c r="AO576" s="3">
        <v>56.9664</v>
      </c>
      <c r="AP576" s="3">
        <v>50.553750000000001</v>
      </c>
      <c r="AQ576" s="3">
        <v>65.020250000000004</v>
      </c>
      <c r="AT576" s="3">
        <v>44.595199999999998</v>
      </c>
      <c r="AV576" s="3">
        <v>86.947010000000006</v>
      </c>
      <c r="AW576" s="3">
        <v>1.961084</v>
      </c>
      <c r="AX576" s="3">
        <v>68.938040000000001</v>
      </c>
    </row>
    <row r="577" spans="1:50" x14ac:dyDescent="0.2">
      <c r="A577" s="74" t="s">
        <v>474</v>
      </c>
      <c r="B577" s="49">
        <v>35370</v>
      </c>
      <c r="D577" s="3">
        <v>73.444569999999999</v>
      </c>
      <c r="F577" s="3">
        <v>73.965090000000004</v>
      </c>
      <c r="G577" s="3">
        <v>91.961070000000007</v>
      </c>
      <c r="J577" s="3">
        <v>33.387369999999997</v>
      </c>
      <c r="K577" s="3">
        <v>22.64218</v>
      </c>
      <c r="L577" s="3">
        <v>73.8</v>
      </c>
      <c r="M577" s="3">
        <v>79.147769999999994</v>
      </c>
      <c r="N577" s="3">
        <v>71.9696</v>
      </c>
      <c r="O577" s="3">
        <v>76.260000000000005</v>
      </c>
      <c r="P577" s="3">
        <v>69.461860000000001</v>
      </c>
      <c r="S577" s="3">
        <v>76.856350000000006</v>
      </c>
      <c r="T577" s="3">
        <v>79.795569999999998</v>
      </c>
      <c r="V577" s="3">
        <v>74.894369999999995</v>
      </c>
      <c r="W577" s="3">
        <v>75.452089999999998</v>
      </c>
      <c r="X577" s="3">
        <v>65.382999999999996</v>
      </c>
      <c r="Y577" s="3">
        <v>34.593029999999999</v>
      </c>
      <c r="AB577" s="3">
        <v>66.932670000000002</v>
      </c>
      <c r="AC577" s="3">
        <v>41.391660000000002</v>
      </c>
      <c r="AD577" s="3">
        <v>68.019450000000006</v>
      </c>
      <c r="AE577" s="3">
        <v>70.735219999999998</v>
      </c>
      <c r="AF577" s="3">
        <v>101.64619999999999</v>
      </c>
      <c r="AH577" s="3">
        <v>66.379900000000006</v>
      </c>
      <c r="AI577" s="3">
        <v>71.013930000000002</v>
      </c>
      <c r="AJ577" s="3">
        <v>51.216900000000003</v>
      </c>
      <c r="AK577" s="3">
        <v>34.261369999999999</v>
      </c>
      <c r="AL577" s="3">
        <v>70.303899999999999</v>
      </c>
      <c r="AM577" s="3">
        <v>70.082970000000003</v>
      </c>
      <c r="AN577" s="3">
        <v>64.03246</v>
      </c>
      <c r="AO577" s="3">
        <v>57.20617</v>
      </c>
      <c r="AP577" s="3">
        <v>50.923609999999996</v>
      </c>
      <c r="AQ577" s="3">
        <v>65.338430000000002</v>
      </c>
      <c r="AT577" s="3">
        <v>44.763420000000004</v>
      </c>
      <c r="AV577" s="3">
        <v>86.890039999999999</v>
      </c>
      <c r="AW577" s="3">
        <v>2.04487</v>
      </c>
      <c r="AX577" s="3">
        <v>69.020610000000005</v>
      </c>
    </row>
    <row r="578" spans="1:50" x14ac:dyDescent="0.2">
      <c r="A578" s="74" t="s">
        <v>475</v>
      </c>
      <c r="B578" s="49">
        <v>35400</v>
      </c>
      <c r="D578" s="3">
        <v>73.556470000000004</v>
      </c>
      <c r="F578" s="3">
        <v>73.961489999999998</v>
      </c>
      <c r="G578" s="3">
        <v>91.957220000000007</v>
      </c>
      <c r="J578" s="3">
        <v>33.599919999999997</v>
      </c>
      <c r="K578" s="3">
        <v>22.80697</v>
      </c>
      <c r="L578" s="3">
        <v>74.099999999999994</v>
      </c>
      <c r="M578" s="3">
        <v>79.440169999999995</v>
      </c>
      <c r="N578" s="3">
        <v>71.996960000000001</v>
      </c>
      <c r="O578" s="3">
        <v>76.42</v>
      </c>
      <c r="P578" s="3">
        <v>69.625029999999995</v>
      </c>
      <c r="S578" s="3">
        <v>76.932980000000001</v>
      </c>
      <c r="T578" s="3">
        <v>79.918109999999999</v>
      </c>
      <c r="V578" s="3">
        <v>74.887119999999996</v>
      </c>
      <c r="W578" s="3">
        <v>75.653559999999999</v>
      </c>
      <c r="X578" s="3">
        <v>66.197199999999995</v>
      </c>
      <c r="Y578" s="3">
        <v>34.917099999999998</v>
      </c>
      <c r="AB578" s="3">
        <v>66.932670000000002</v>
      </c>
      <c r="AC578" s="3">
        <v>41.350230000000003</v>
      </c>
      <c r="AD578" s="3">
        <v>68.723789999999994</v>
      </c>
      <c r="AE578" s="3">
        <v>70.817499999999995</v>
      </c>
      <c r="AF578" s="3">
        <v>101.45489999999999</v>
      </c>
      <c r="AH578" s="3">
        <v>66.781999999999996</v>
      </c>
      <c r="AI578" s="3">
        <v>71.070049999999995</v>
      </c>
      <c r="AJ578" s="3">
        <v>51.438029999999998</v>
      </c>
      <c r="AK578" s="3">
        <v>35.423050000000003</v>
      </c>
      <c r="AL578" s="3">
        <v>70.09008</v>
      </c>
      <c r="AM578" s="3">
        <v>70.134020000000007</v>
      </c>
      <c r="AN578" s="3">
        <v>64.234920000000002</v>
      </c>
      <c r="AO578" s="3">
        <v>57.531889999999997</v>
      </c>
      <c r="AP578" s="3">
        <v>51.2729</v>
      </c>
      <c r="AQ578" s="3">
        <v>65.144260000000003</v>
      </c>
      <c r="AT578" s="3">
        <v>45.008600000000001</v>
      </c>
      <c r="AV578" s="3">
        <v>86.635350000000003</v>
      </c>
      <c r="AW578" s="3">
        <v>2.1325989999999999</v>
      </c>
      <c r="AX578" s="3">
        <v>68.938040000000001</v>
      </c>
    </row>
    <row r="579" spans="1:50" x14ac:dyDescent="0.2">
      <c r="A579" s="3" t="s">
        <v>476</v>
      </c>
      <c r="B579" s="49">
        <v>35431</v>
      </c>
      <c r="D579" s="3">
        <v>73.834720000000004</v>
      </c>
      <c r="F579" s="3">
        <v>74.069199999999995</v>
      </c>
      <c r="G579" s="3">
        <v>92.05592</v>
      </c>
      <c r="J579" s="3">
        <v>33.861530000000002</v>
      </c>
      <c r="K579" s="3">
        <v>23.28425</v>
      </c>
      <c r="L579" s="3">
        <v>74.900000000000006</v>
      </c>
      <c r="M579" s="3">
        <v>79.969440000000006</v>
      </c>
      <c r="N579" s="3">
        <v>72.005740000000003</v>
      </c>
      <c r="O579" s="3">
        <v>76.39</v>
      </c>
      <c r="P579" s="3">
        <v>69.895520000000005</v>
      </c>
      <c r="S579" s="3">
        <v>76.779730000000001</v>
      </c>
      <c r="T579" s="3">
        <v>79.90607</v>
      </c>
      <c r="V579" s="3">
        <v>74.99203</v>
      </c>
      <c r="W579" s="3">
        <v>74.948400000000007</v>
      </c>
      <c r="X579" s="3">
        <v>65.650559999999999</v>
      </c>
      <c r="Y579" s="3">
        <v>36.285789999999999</v>
      </c>
      <c r="AB579" s="3">
        <v>66.487039999999993</v>
      </c>
      <c r="AC579" s="3">
        <v>41.43309</v>
      </c>
      <c r="AD579" s="3">
        <v>68.925039999999996</v>
      </c>
      <c r="AE579" s="3">
        <v>71.041470000000004</v>
      </c>
      <c r="AF579" s="3">
        <v>101.1388</v>
      </c>
      <c r="AH579" s="3">
        <v>67.364999999999995</v>
      </c>
      <c r="AI579" s="3">
        <v>71.188239999999993</v>
      </c>
      <c r="AJ579" s="3">
        <v>52.303350000000002</v>
      </c>
      <c r="AK579" s="3">
        <v>36.200740000000003</v>
      </c>
      <c r="AL579" s="3">
        <v>69.739680000000007</v>
      </c>
      <c r="AM579" s="3">
        <v>70.320859999999996</v>
      </c>
      <c r="AN579" s="3">
        <v>64.498990000000006</v>
      </c>
      <c r="AO579" s="3">
        <v>57.869120000000002</v>
      </c>
      <c r="AP579" s="3">
        <v>52.71978</v>
      </c>
      <c r="AQ579" s="3">
        <v>66.895259999999993</v>
      </c>
      <c r="AT579" s="3">
        <v>45.542000000000002</v>
      </c>
      <c r="AV579" s="3">
        <v>86.558279999999996</v>
      </c>
      <c r="AW579" s="3">
        <v>2.2651780000000001</v>
      </c>
      <c r="AX579" s="3">
        <v>69.144450000000006</v>
      </c>
    </row>
    <row r="580" spans="1:50" x14ac:dyDescent="0.2">
      <c r="A580" s="74" t="s">
        <v>477</v>
      </c>
      <c r="B580" s="49">
        <v>35462</v>
      </c>
      <c r="D580" s="3">
        <v>73.981340000000003</v>
      </c>
      <c r="F580" s="3">
        <v>74.206890000000001</v>
      </c>
      <c r="G580" s="3">
        <v>92.227519999999998</v>
      </c>
      <c r="J580" s="3">
        <v>34.515540000000001</v>
      </c>
      <c r="K580" s="3">
        <v>23.508320000000001</v>
      </c>
      <c r="L580" s="3">
        <v>75.3</v>
      </c>
      <c r="M580" s="3">
        <v>80.105609999999999</v>
      </c>
      <c r="N580" s="3">
        <v>72.031350000000003</v>
      </c>
      <c r="O580" s="3">
        <v>76.69</v>
      </c>
      <c r="P580" s="3">
        <v>70.063249999999996</v>
      </c>
      <c r="S580" s="3">
        <v>76.932980000000001</v>
      </c>
      <c r="T580" s="3">
        <v>80.304320000000004</v>
      </c>
      <c r="V580" s="3">
        <v>75.220160000000007</v>
      </c>
      <c r="W580" s="3">
        <v>75.250619999999998</v>
      </c>
      <c r="X580" s="3">
        <v>65.384379999999993</v>
      </c>
      <c r="Y580" s="3">
        <v>37.127459999999999</v>
      </c>
      <c r="AB580" s="3">
        <v>66.979740000000007</v>
      </c>
      <c r="AC580" s="3">
        <v>41.391660000000002</v>
      </c>
      <c r="AD580" s="3">
        <v>69.528760000000005</v>
      </c>
      <c r="AE580" s="3">
        <v>71.149940000000001</v>
      </c>
      <c r="AF580" s="3">
        <v>100.87730000000001</v>
      </c>
      <c r="AH580" s="3">
        <v>68.327399999999997</v>
      </c>
      <c r="AI580" s="3">
        <v>71.373090000000005</v>
      </c>
      <c r="AJ580" s="3">
        <v>52.409109999999998</v>
      </c>
      <c r="AK580" s="3">
        <v>36.86103</v>
      </c>
      <c r="AL580" s="3">
        <v>70.04759</v>
      </c>
      <c r="AM580" s="3">
        <v>70.677289999999999</v>
      </c>
      <c r="AN580" s="3">
        <v>64.800150000000002</v>
      </c>
      <c r="AO580" s="3">
        <v>58.175759999999997</v>
      </c>
      <c r="AP580" s="3">
        <v>53.550040000000003</v>
      </c>
      <c r="AQ580" s="3">
        <v>67.188270000000003</v>
      </c>
      <c r="AT580" s="3">
        <v>45.732520000000001</v>
      </c>
      <c r="AV580" s="3">
        <v>86.424229999999994</v>
      </c>
      <c r="AW580" s="3">
        <v>2.3494570000000001</v>
      </c>
      <c r="AX580" s="3">
        <v>69.474689999999995</v>
      </c>
    </row>
    <row r="581" spans="1:50" x14ac:dyDescent="0.2">
      <c r="A581" s="74" t="s">
        <v>478</v>
      </c>
      <c r="B581" s="49">
        <v>35490</v>
      </c>
      <c r="D581" s="3">
        <v>73.738979999999998</v>
      </c>
      <c r="F581" s="3">
        <v>74.357699999999994</v>
      </c>
      <c r="G581" s="3">
        <v>92.251609999999999</v>
      </c>
      <c r="J581" s="3">
        <v>35.905320000000003</v>
      </c>
      <c r="K581" s="3">
        <v>23.813780000000001</v>
      </c>
      <c r="L581" s="3">
        <v>75.5</v>
      </c>
      <c r="M581" s="3">
        <v>80.190700000000007</v>
      </c>
      <c r="N581" s="3">
        <v>72.142709999999994</v>
      </c>
      <c r="O581" s="3">
        <v>76.94</v>
      </c>
      <c r="P581" s="3">
        <v>70.259219999999999</v>
      </c>
      <c r="S581" s="3">
        <v>77.162859999999995</v>
      </c>
      <c r="T581" s="3">
        <v>80.535060000000001</v>
      </c>
      <c r="V581" s="3">
        <v>75.488929999999996</v>
      </c>
      <c r="W581" s="3">
        <v>75.653559999999999</v>
      </c>
      <c r="X581" s="3">
        <v>67.446039999999996</v>
      </c>
      <c r="Y581" s="3">
        <v>37.8018</v>
      </c>
      <c r="AB581" s="3">
        <v>67.094759999999994</v>
      </c>
      <c r="AC581" s="3">
        <v>41.43309</v>
      </c>
      <c r="AD581" s="3">
        <v>70.031859999999995</v>
      </c>
      <c r="AE581" s="3">
        <v>71.400220000000004</v>
      </c>
      <c r="AF581" s="3">
        <v>101.2059</v>
      </c>
      <c r="AH581" s="3">
        <v>68.678299999999993</v>
      </c>
      <c r="AI581" s="3">
        <v>71.351020000000005</v>
      </c>
      <c r="AJ581" s="3">
        <v>52.716769999999997</v>
      </c>
      <c r="AK581" s="3">
        <v>37.39911</v>
      </c>
      <c r="AL581" s="3">
        <v>70.816339999999997</v>
      </c>
      <c r="AM581" s="3">
        <v>70.835750000000004</v>
      </c>
      <c r="AN581" s="3">
        <v>65.151629999999997</v>
      </c>
      <c r="AO581" s="3">
        <v>58.522269999999999</v>
      </c>
      <c r="AP581" s="3">
        <v>54.210340000000002</v>
      </c>
      <c r="AQ581" s="3">
        <v>67.412750000000003</v>
      </c>
      <c r="AT581" s="3">
        <v>45.98312</v>
      </c>
      <c r="AV581" s="3">
        <v>86.906790000000001</v>
      </c>
      <c r="AW581" s="3">
        <v>2.4342290000000002</v>
      </c>
      <c r="AX581" s="3">
        <v>69.763649999999998</v>
      </c>
    </row>
    <row r="582" spans="1:50" x14ac:dyDescent="0.2">
      <c r="A582" s="74" t="s">
        <v>479</v>
      </c>
      <c r="B582" s="49">
        <v>35521</v>
      </c>
      <c r="D582" s="3">
        <v>73.515690000000006</v>
      </c>
      <c r="F582" s="3">
        <v>74.517380000000003</v>
      </c>
      <c r="G582" s="3">
        <v>92.292320000000004</v>
      </c>
      <c r="J582" s="3">
        <v>36.469410000000003</v>
      </c>
      <c r="K582" s="3">
        <v>24.173500000000001</v>
      </c>
      <c r="L582" s="3">
        <v>76.099999999999994</v>
      </c>
      <c r="M582" s="3">
        <v>79.998329999999996</v>
      </c>
      <c r="N582" s="3">
        <v>72.323989999999995</v>
      </c>
      <c r="O582" s="3">
        <v>76.89</v>
      </c>
      <c r="P582" s="3">
        <v>70.406880000000001</v>
      </c>
      <c r="S582" s="3">
        <v>77.546000000000006</v>
      </c>
      <c r="T582" s="3">
        <v>80.582579999999993</v>
      </c>
      <c r="V582" s="3">
        <v>75.792640000000006</v>
      </c>
      <c r="W582" s="3">
        <v>75.955770000000001</v>
      </c>
      <c r="X582" s="3">
        <v>68.001949999999994</v>
      </c>
      <c r="Y582" s="3">
        <v>38.363019999999999</v>
      </c>
      <c r="AB582" s="3">
        <v>67.039680000000004</v>
      </c>
      <c r="AC582" s="3">
        <v>41.43309</v>
      </c>
      <c r="AD582" s="3">
        <v>70.73621</v>
      </c>
      <c r="AE582" s="3">
        <v>71.496530000000007</v>
      </c>
      <c r="AF582" s="3">
        <v>103.0932</v>
      </c>
      <c r="AH582" s="3">
        <v>69.391199999999998</v>
      </c>
      <c r="AI582" s="3">
        <v>71.391220000000004</v>
      </c>
      <c r="AJ582" s="3">
        <v>53.428249999999998</v>
      </c>
      <c r="AK582" s="3">
        <v>37.886839999999999</v>
      </c>
      <c r="AL582" s="3">
        <v>70.927080000000004</v>
      </c>
      <c r="AM582" s="3">
        <v>70.971599999999995</v>
      </c>
      <c r="AN582" s="3">
        <v>65.506739999999994</v>
      </c>
      <c r="AO582" s="3">
        <v>58.802860000000003</v>
      </c>
      <c r="AP582" s="3">
        <v>54.743299999999998</v>
      </c>
      <c r="AQ582" s="3">
        <v>67.564089999999993</v>
      </c>
      <c r="AT582" s="3">
        <v>46.374290000000002</v>
      </c>
      <c r="AV582" s="3">
        <v>87.302220000000005</v>
      </c>
      <c r="AW582" s="3">
        <v>2.5682860000000001</v>
      </c>
      <c r="AX582" s="3">
        <v>69.92877</v>
      </c>
    </row>
    <row r="583" spans="1:50" x14ac:dyDescent="0.2">
      <c r="A583" s="74" t="s">
        <v>480</v>
      </c>
      <c r="B583" s="49">
        <v>35551</v>
      </c>
      <c r="D583" s="3">
        <v>73.371380000000002</v>
      </c>
      <c r="F583" s="3">
        <v>74.560580000000002</v>
      </c>
      <c r="G583" s="3">
        <v>91.943600000000004</v>
      </c>
      <c r="J583" s="3">
        <v>37.139769999999999</v>
      </c>
      <c r="K583" s="3">
        <v>24.31015</v>
      </c>
      <c r="L583" s="3">
        <v>76.5</v>
      </c>
      <c r="M583" s="3">
        <v>80.143240000000006</v>
      </c>
      <c r="N583" s="3">
        <v>72.73442</v>
      </c>
      <c r="O583" s="3">
        <v>77.069999999999993</v>
      </c>
      <c r="P583" s="3">
        <v>70.532489999999996</v>
      </c>
      <c r="S583" s="3">
        <v>77.622619999999998</v>
      </c>
      <c r="T583" s="3">
        <v>80.610820000000004</v>
      </c>
      <c r="V583" s="3">
        <v>75.848560000000006</v>
      </c>
      <c r="W583" s="3">
        <v>76.157250000000005</v>
      </c>
      <c r="X583" s="3">
        <v>67.951580000000007</v>
      </c>
      <c r="Y583" s="3">
        <v>38.752890000000001</v>
      </c>
      <c r="AB583" s="3">
        <v>67.256839999999997</v>
      </c>
      <c r="AC583" s="3">
        <v>41.43309</v>
      </c>
      <c r="AD583" s="3">
        <v>71.038070000000005</v>
      </c>
      <c r="AE583" s="3">
        <v>71.765940000000001</v>
      </c>
      <c r="AF583" s="3">
        <v>103.3484</v>
      </c>
      <c r="AH583" s="3">
        <v>70.553299999999993</v>
      </c>
      <c r="AI583" s="3">
        <v>71.471019999999996</v>
      </c>
      <c r="AJ583" s="3">
        <v>53.601320000000001</v>
      </c>
      <c r="AK583" s="3">
        <v>38.319099999999999</v>
      </c>
      <c r="AL583" s="3">
        <v>70.949119999999994</v>
      </c>
      <c r="AM583" s="3">
        <v>70.892650000000003</v>
      </c>
      <c r="AN583" s="3">
        <v>65.698040000000006</v>
      </c>
      <c r="AO583" s="3">
        <v>59.129600000000003</v>
      </c>
      <c r="AP583" s="3">
        <v>55.059040000000003</v>
      </c>
      <c r="AQ583" s="3">
        <v>67.744429999999994</v>
      </c>
      <c r="AT583" s="3">
        <v>46.644950000000001</v>
      </c>
      <c r="AV583" s="3">
        <v>87.191630000000004</v>
      </c>
      <c r="AW583" s="3">
        <v>2.7181150000000001</v>
      </c>
      <c r="AX583" s="3">
        <v>69.88749</v>
      </c>
    </row>
    <row r="584" spans="1:50" x14ac:dyDescent="0.2">
      <c r="A584" s="74" t="s">
        <v>481</v>
      </c>
      <c r="B584" s="49">
        <v>35582</v>
      </c>
      <c r="D584" s="3">
        <v>73.449629999999999</v>
      </c>
      <c r="F584" s="3">
        <v>74.694050000000004</v>
      </c>
      <c r="G584" s="3">
        <v>91.931899999999999</v>
      </c>
      <c r="J584" s="3">
        <v>37.695680000000003</v>
      </c>
      <c r="K584" s="3">
        <v>24.471920000000001</v>
      </c>
      <c r="L584" s="3">
        <v>77.2</v>
      </c>
      <c r="M584" s="3">
        <v>80.228499999999997</v>
      </c>
      <c r="N584" s="3">
        <v>72.863290000000006</v>
      </c>
      <c r="O584" s="3">
        <v>77.099999999999994</v>
      </c>
      <c r="P584" s="3">
        <v>70.648089999999996</v>
      </c>
      <c r="S584" s="3">
        <v>77.775869999999998</v>
      </c>
      <c r="T584" s="3">
        <v>80.605379999999997</v>
      </c>
      <c r="V584" s="3">
        <v>75.835819999999998</v>
      </c>
      <c r="W584" s="3">
        <v>76.157250000000005</v>
      </c>
      <c r="X584" s="3">
        <v>68.167599999999993</v>
      </c>
      <c r="Y584" s="3">
        <v>39.138820000000003</v>
      </c>
      <c r="AB584" s="3">
        <v>67.378510000000006</v>
      </c>
      <c r="AC584" s="3">
        <v>41.640259999999998</v>
      </c>
      <c r="AD584" s="3">
        <v>72.044269999999997</v>
      </c>
      <c r="AE584" s="3">
        <v>71.787679999999995</v>
      </c>
      <c r="AF584" s="3">
        <v>103.3</v>
      </c>
      <c r="AH584" s="3">
        <v>71.081599999999995</v>
      </c>
      <c r="AI584" s="3">
        <v>71.475350000000006</v>
      </c>
      <c r="AJ584" s="3">
        <v>53.764769999999999</v>
      </c>
      <c r="AK584" s="3">
        <v>38.712330000000001</v>
      </c>
      <c r="AL584" s="3">
        <v>70.51267</v>
      </c>
      <c r="AM584" s="3">
        <v>71.151949999999999</v>
      </c>
      <c r="AN584" s="3">
        <v>65.806659999999994</v>
      </c>
      <c r="AO584" s="3">
        <v>59.315519999999999</v>
      </c>
      <c r="AP584" s="3">
        <v>55.460769999999997</v>
      </c>
      <c r="AQ584" s="3">
        <v>67.813320000000004</v>
      </c>
      <c r="AT584" s="3">
        <v>46.72898</v>
      </c>
      <c r="AV584" s="3">
        <v>87.198329999999999</v>
      </c>
      <c r="AW584" s="3">
        <v>2.813237</v>
      </c>
      <c r="AX584" s="3">
        <v>69.846209999999999</v>
      </c>
    </row>
    <row r="585" spans="1:50" x14ac:dyDescent="0.2">
      <c r="A585" s="74" t="s">
        <v>482</v>
      </c>
      <c r="B585" s="49">
        <v>35612</v>
      </c>
      <c r="D585" s="3">
        <v>74.152829999999994</v>
      </c>
      <c r="F585" s="3">
        <v>74.690209999999993</v>
      </c>
      <c r="G585" s="3">
        <v>91.942009999999996</v>
      </c>
      <c r="J585" s="3">
        <v>38.071739999999998</v>
      </c>
      <c r="K585" s="3">
        <v>24.789439999999999</v>
      </c>
      <c r="L585" s="3">
        <v>78.5</v>
      </c>
      <c r="M585" s="3">
        <v>81.110339999999994</v>
      </c>
      <c r="N585" s="3">
        <v>72.548429999999996</v>
      </c>
      <c r="O585" s="3">
        <v>77.19</v>
      </c>
      <c r="P585" s="3">
        <v>70.874499999999998</v>
      </c>
      <c r="S585" s="3">
        <v>77.775869999999998</v>
      </c>
      <c r="T585" s="3">
        <v>80.440479999999994</v>
      </c>
      <c r="V585" s="3">
        <v>75.931330000000003</v>
      </c>
      <c r="W585" s="3">
        <v>75.754300000000001</v>
      </c>
      <c r="X585" s="3">
        <v>67.006330000000005</v>
      </c>
      <c r="Y585" s="3">
        <v>39.335900000000002</v>
      </c>
      <c r="AB585" s="3">
        <v>67.107979999999998</v>
      </c>
      <c r="AC585" s="3">
        <v>41.723129999999998</v>
      </c>
      <c r="AD585" s="3">
        <v>72.949860000000001</v>
      </c>
      <c r="AE585" s="3">
        <v>71.855260000000001</v>
      </c>
      <c r="AF585" s="3">
        <v>103.02200000000001</v>
      </c>
      <c r="AH585" s="3">
        <v>71.539000000000001</v>
      </c>
      <c r="AI585" s="3">
        <v>71.604550000000003</v>
      </c>
      <c r="AJ585" s="3">
        <v>55.081960000000002</v>
      </c>
      <c r="AK585" s="3">
        <v>39.068840000000002</v>
      </c>
      <c r="AL585" s="3">
        <v>70.626270000000005</v>
      </c>
      <c r="AM585" s="3">
        <v>71.121120000000005</v>
      </c>
      <c r="AN585" s="3">
        <v>66.036829999999995</v>
      </c>
      <c r="AO585" s="3">
        <v>59.712069999999997</v>
      </c>
      <c r="AP585" s="3">
        <v>56.054459999999999</v>
      </c>
      <c r="AQ585" s="3">
        <v>67.905680000000004</v>
      </c>
      <c r="AT585" s="3">
        <v>46.968879999999999</v>
      </c>
      <c r="AV585" s="3">
        <v>86.688969999999998</v>
      </c>
      <c r="AW585" s="3">
        <v>3.001509</v>
      </c>
      <c r="AX585" s="3">
        <v>69.970050000000001</v>
      </c>
    </row>
    <row r="586" spans="1:50" x14ac:dyDescent="0.2">
      <c r="A586" s="74" t="s">
        <v>483</v>
      </c>
      <c r="B586" s="49">
        <v>35643</v>
      </c>
      <c r="D586" s="3">
        <v>74.429500000000004</v>
      </c>
      <c r="F586" s="3">
        <v>74.749529999999993</v>
      </c>
      <c r="G586" s="3">
        <v>92.137709999999998</v>
      </c>
      <c r="J586" s="3">
        <v>38.374220000000001</v>
      </c>
      <c r="K586" s="3">
        <v>24.998439999999999</v>
      </c>
      <c r="L586" s="3">
        <v>79</v>
      </c>
      <c r="M586" s="3">
        <v>81.196010000000001</v>
      </c>
      <c r="N586" s="3">
        <v>72.732560000000007</v>
      </c>
      <c r="O586" s="3">
        <v>77.31</v>
      </c>
      <c r="P586" s="3">
        <v>71.035079999999994</v>
      </c>
      <c r="S586" s="3">
        <v>77.775869999999998</v>
      </c>
      <c r="T586" s="3">
        <v>80.668109999999999</v>
      </c>
      <c r="V586" s="3">
        <v>76.000110000000006</v>
      </c>
      <c r="W586" s="3">
        <v>76.157250000000005</v>
      </c>
      <c r="X586" s="3">
        <v>67.0535</v>
      </c>
      <c r="Y586" s="3">
        <v>39.470649999999999</v>
      </c>
      <c r="AB586" s="3">
        <v>67.098179999999999</v>
      </c>
      <c r="AC586" s="3">
        <v>41.764560000000003</v>
      </c>
      <c r="AD586" s="3">
        <v>72.849239999999995</v>
      </c>
      <c r="AE586" s="3">
        <v>71.978070000000002</v>
      </c>
      <c r="AF586" s="3">
        <v>102.8604</v>
      </c>
      <c r="AH586" s="3">
        <v>71.948999999999998</v>
      </c>
      <c r="AI586" s="3">
        <v>71.665509999999998</v>
      </c>
      <c r="AJ586" s="3">
        <v>56.504919999999998</v>
      </c>
      <c r="AK586" s="3">
        <v>39.417259999999999</v>
      </c>
      <c r="AL586" s="3">
        <v>70.819909999999993</v>
      </c>
      <c r="AM586" s="3">
        <v>70.933539999999994</v>
      </c>
      <c r="AN586" s="3">
        <v>66.262690000000006</v>
      </c>
      <c r="AO586" s="3">
        <v>60.140279999999997</v>
      </c>
      <c r="AP586" s="3">
        <v>56.52243</v>
      </c>
      <c r="AQ586" s="3">
        <v>68.030519999999996</v>
      </c>
      <c r="AT586" s="3">
        <v>47.360880000000002</v>
      </c>
      <c r="AV586" s="3">
        <v>86.672219999999996</v>
      </c>
      <c r="AW586" s="3">
        <v>3.1991450000000001</v>
      </c>
      <c r="AX586" s="3">
        <v>70.011330000000001</v>
      </c>
    </row>
    <row r="587" spans="1:50" x14ac:dyDescent="0.2">
      <c r="A587" s="74" t="s">
        <v>484</v>
      </c>
      <c r="B587" s="49">
        <v>35674</v>
      </c>
      <c r="D587" s="3">
        <v>73.931340000000006</v>
      </c>
      <c r="F587" s="3">
        <v>74.865200000000002</v>
      </c>
      <c r="G587" s="3">
        <v>92.122990000000001</v>
      </c>
      <c r="J587" s="3">
        <v>38.660350000000001</v>
      </c>
      <c r="K587" s="3">
        <v>25.14011</v>
      </c>
      <c r="L587" s="3">
        <v>79.5</v>
      </c>
      <c r="M587" s="3">
        <v>81.008150000000001</v>
      </c>
      <c r="N587" s="3">
        <v>73.076210000000003</v>
      </c>
      <c r="O587" s="3">
        <v>77.400000000000006</v>
      </c>
      <c r="P587" s="3">
        <v>71.047740000000005</v>
      </c>
      <c r="S587" s="3">
        <v>77.929130000000001</v>
      </c>
      <c r="T587" s="3">
        <v>80.798320000000004</v>
      </c>
      <c r="V587" s="3">
        <v>76.227459999999994</v>
      </c>
      <c r="W587" s="3">
        <v>76.560199999999995</v>
      </c>
      <c r="X587" s="3">
        <v>68.841369999999998</v>
      </c>
      <c r="Y587" s="3">
        <v>39.914679999999997</v>
      </c>
      <c r="AB587" s="3">
        <v>67.412689999999998</v>
      </c>
      <c r="AC587" s="3">
        <v>41.84742</v>
      </c>
      <c r="AD587" s="3">
        <v>72.748620000000003</v>
      </c>
      <c r="AE587" s="3">
        <v>72.069730000000007</v>
      </c>
      <c r="AF587" s="3">
        <v>103.9045</v>
      </c>
      <c r="AH587" s="3">
        <v>72.305800000000005</v>
      </c>
      <c r="AI587" s="3">
        <v>71.789510000000007</v>
      </c>
      <c r="AJ587" s="3">
        <v>57.139479999999999</v>
      </c>
      <c r="AK587" s="3">
        <v>39.927669999999999</v>
      </c>
      <c r="AL587" s="3">
        <v>71.600440000000006</v>
      </c>
      <c r="AM587" s="3">
        <v>71.499020000000002</v>
      </c>
      <c r="AN587" s="3">
        <v>66.667599999999993</v>
      </c>
      <c r="AO587" s="3">
        <v>60.665230000000001</v>
      </c>
      <c r="AP587" s="3">
        <v>57.418469999999999</v>
      </c>
      <c r="AQ587" s="3">
        <v>68.129549999999995</v>
      </c>
      <c r="AT587" s="3">
        <v>47.561630000000001</v>
      </c>
      <c r="AV587" s="3">
        <v>87.774720000000002</v>
      </c>
      <c r="AW587" s="3">
        <v>3.4574029999999998</v>
      </c>
      <c r="AX587" s="3">
        <v>70.176450000000003</v>
      </c>
    </row>
    <row r="588" spans="1:50" x14ac:dyDescent="0.2">
      <c r="A588" s="74" t="s">
        <v>485</v>
      </c>
      <c r="B588" s="49">
        <v>35704</v>
      </c>
      <c r="D588" s="3">
        <v>73.944890000000001</v>
      </c>
      <c r="F588" s="3">
        <v>74.899990000000003</v>
      </c>
      <c r="G588" s="3">
        <v>92.096220000000002</v>
      </c>
      <c r="J588" s="3">
        <v>39.052759999999999</v>
      </c>
      <c r="K588" s="3">
        <v>25.344090000000001</v>
      </c>
      <c r="L588" s="3">
        <v>79.900000000000006</v>
      </c>
      <c r="M588" s="3">
        <v>80.889110000000002</v>
      </c>
      <c r="N588" s="3">
        <v>73.097390000000004</v>
      </c>
      <c r="O588" s="3">
        <v>77.400000000000006</v>
      </c>
      <c r="P588" s="3">
        <v>71.095759999999999</v>
      </c>
      <c r="S588" s="3">
        <v>78.23563</v>
      </c>
      <c r="T588" s="3">
        <v>80.683329999999998</v>
      </c>
      <c r="V588" s="3">
        <v>76.446280000000002</v>
      </c>
      <c r="W588" s="3">
        <v>76.660929999999993</v>
      </c>
      <c r="X588" s="3">
        <v>69.402569999999997</v>
      </c>
      <c r="Y588" s="3">
        <v>40.306240000000003</v>
      </c>
      <c r="AB588" s="3">
        <v>67.743160000000003</v>
      </c>
      <c r="AC588" s="3">
        <v>41.888860000000001</v>
      </c>
      <c r="AD588" s="3">
        <v>73.654200000000003</v>
      </c>
      <c r="AE588" s="3">
        <v>72.275779999999997</v>
      </c>
      <c r="AF588" s="3">
        <v>104.2206</v>
      </c>
      <c r="AH588" s="3">
        <v>72.552999999999997</v>
      </c>
      <c r="AI588" s="3">
        <v>72.016720000000007</v>
      </c>
      <c r="AJ588" s="3">
        <v>57.312550000000002</v>
      </c>
      <c r="AK588" s="3">
        <v>40.287039999999998</v>
      </c>
      <c r="AL588" s="3">
        <v>71.695999999999998</v>
      </c>
      <c r="AM588" s="3">
        <v>71.582999999999998</v>
      </c>
      <c r="AN588" s="3">
        <v>67.038830000000004</v>
      </c>
      <c r="AO588" s="3">
        <v>61.099690000000002</v>
      </c>
      <c r="AP588" s="3">
        <v>57.894710000000003</v>
      </c>
      <c r="AQ588" s="3">
        <v>68.203699999999998</v>
      </c>
      <c r="AT588" s="3">
        <v>47.945419999999999</v>
      </c>
      <c r="AV588" s="3">
        <v>88.032749999999993</v>
      </c>
      <c r="AW588" s="3">
        <v>3.7176330000000002</v>
      </c>
      <c r="AX588" s="3">
        <v>70.506690000000006</v>
      </c>
    </row>
    <row r="589" spans="1:50" x14ac:dyDescent="0.2">
      <c r="A589" s="74" t="s">
        <v>486</v>
      </c>
      <c r="B589" s="49">
        <v>35735</v>
      </c>
      <c r="D589" s="3">
        <v>74.119150000000005</v>
      </c>
      <c r="F589" s="3">
        <v>74.754379999999998</v>
      </c>
      <c r="G589" s="3">
        <v>92.056610000000006</v>
      </c>
      <c r="J589" s="3">
        <v>39.306190000000001</v>
      </c>
      <c r="K589" s="3">
        <v>25.574190000000002</v>
      </c>
      <c r="L589" s="3">
        <v>80.3</v>
      </c>
      <c r="M589" s="3">
        <v>80.886769999999999</v>
      </c>
      <c r="N589" s="3">
        <v>73.256469999999993</v>
      </c>
      <c r="O589" s="3">
        <v>77.47</v>
      </c>
      <c r="P589" s="3">
        <v>71.20035</v>
      </c>
      <c r="S589" s="3">
        <v>78.23563</v>
      </c>
      <c r="T589" s="3">
        <v>80.683019999999999</v>
      </c>
      <c r="V589" s="3">
        <v>76.466480000000004</v>
      </c>
      <c r="W589" s="3">
        <v>76.963139999999996</v>
      </c>
      <c r="X589" s="3">
        <v>69.476910000000004</v>
      </c>
      <c r="Y589" s="3">
        <v>40.664020000000001</v>
      </c>
      <c r="AB589" s="3">
        <v>67.934430000000006</v>
      </c>
      <c r="AC589" s="3">
        <v>41.888860000000001</v>
      </c>
      <c r="AD589" s="3">
        <v>73.553579999999997</v>
      </c>
      <c r="AE589" s="3">
        <v>72.576580000000007</v>
      </c>
      <c r="AF589" s="3">
        <v>104.04989999999999</v>
      </c>
      <c r="AH589" s="3">
        <v>72.938900000000004</v>
      </c>
      <c r="AI589" s="3">
        <v>72.059880000000007</v>
      </c>
      <c r="AJ589" s="3">
        <v>57.437539999999998</v>
      </c>
      <c r="AK589" s="3">
        <v>40.701500000000003</v>
      </c>
      <c r="AL589" s="3">
        <v>71.611450000000005</v>
      </c>
      <c r="AM589" s="3">
        <v>71.665639999999996</v>
      </c>
      <c r="AN589" s="3">
        <v>67.225269999999995</v>
      </c>
      <c r="AO589" s="3">
        <v>61.488390000000003</v>
      </c>
      <c r="AP589" s="3">
        <v>58.40643</v>
      </c>
      <c r="AQ589" s="3">
        <v>68.302539999999993</v>
      </c>
      <c r="AT589" s="3">
        <v>48.250010000000003</v>
      </c>
      <c r="AV589" s="3">
        <v>87.97578</v>
      </c>
      <c r="AW589" s="3">
        <v>3.9142830000000002</v>
      </c>
      <c r="AX589" s="3">
        <v>70.506690000000006</v>
      </c>
    </row>
    <row r="590" spans="1:50" x14ac:dyDescent="0.2">
      <c r="A590" s="74" t="s">
        <v>487</v>
      </c>
      <c r="B590" s="49">
        <v>35765</v>
      </c>
      <c r="D590" s="3">
        <v>74.186080000000004</v>
      </c>
      <c r="F590" s="3">
        <v>74.689859999999996</v>
      </c>
      <c r="G590" s="3">
        <v>92.067120000000003</v>
      </c>
      <c r="J590" s="3">
        <v>39.592320000000001</v>
      </c>
      <c r="K590" s="3">
        <v>25.717870000000001</v>
      </c>
      <c r="L590" s="3">
        <v>80.7</v>
      </c>
      <c r="M590" s="3">
        <v>81.065759999999997</v>
      </c>
      <c r="N590" s="3">
        <v>73.253140000000002</v>
      </c>
      <c r="O590" s="3">
        <v>77.59</v>
      </c>
      <c r="P590" s="3">
        <v>71.306920000000005</v>
      </c>
      <c r="S590" s="3">
        <v>78.312259999999995</v>
      </c>
      <c r="T590" s="3">
        <v>80.788380000000004</v>
      </c>
      <c r="V590" s="3">
        <v>76.456630000000004</v>
      </c>
      <c r="W590" s="3">
        <v>77.063879999999997</v>
      </c>
      <c r="X590" s="3">
        <v>70.195239999999998</v>
      </c>
      <c r="Y590" s="3">
        <v>40.996569999999998</v>
      </c>
      <c r="AB590" s="3">
        <v>68.115970000000004</v>
      </c>
      <c r="AC590" s="3">
        <v>41.84742</v>
      </c>
      <c r="AD590" s="3">
        <v>73.352339999999998</v>
      </c>
      <c r="AE590" s="3">
        <v>72.541330000000002</v>
      </c>
      <c r="AF590" s="3">
        <v>103.91379999999999</v>
      </c>
      <c r="AH590" s="3">
        <v>73.120099999999994</v>
      </c>
      <c r="AI590" s="3">
        <v>72.042209999999997</v>
      </c>
      <c r="AJ590" s="3">
        <v>57.533679999999997</v>
      </c>
      <c r="AK590" s="3">
        <v>41.238399999999999</v>
      </c>
      <c r="AL590" s="3">
        <v>71.397989999999993</v>
      </c>
      <c r="AM590" s="3">
        <v>71.709519999999998</v>
      </c>
      <c r="AN590" s="3">
        <v>67.401219999999995</v>
      </c>
      <c r="AO590" s="3">
        <v>61.842970000000001</v>
      </c>
      <c r="AP590" s="3">
        <v>58.765599999999999</v>
      </c>
      <c r="AQ590" s="3">
        <v>68.344089999999994</v>
      </c>
      <c r="AT590" s="3">
        <v>48.445839999999997</v>
      </c>
      <c r="AV590" s="3">
        <v>87.945629999999994</v>
      </c>
      <c r="AW590" s="3">
        <v>4.1015699999999997</v>
      </c>
      <c r="AX590" s="3">
        <v>70.465419999999995</v>
      </c>
    </row>
    <row r="591" spans="1:50" x14ac:dyDescent="0.2">
      <c r="A591" s="3" t="s">
        <v>488</v>
      </c>
      <c r="B591" s="49">
        <v>35796</v>
      </c>
      <c r="D591" s="3">
        <v>74.601510000000005</v>
      </c>
      <c r="F591" s="3">
        <v>75.000960000000006</v>
      </c>
      <c r="G591" s="3">
        <v>92.090239999999994</v>
      </c>
      <c r="J591" s="3">
        <v>39.984729999999999</v>
      </c>
      <c r="K591" s="3">
        <v>26.105730000000001</v>
      </c>
      <c r="L591" s="3">
        <v>82</v>
      </c>
      <c r="M591" s="3">
        <v>81.041579999999996</v>
      </c>
      <c r="N591" s="3">
        <v>72.760729999999995</v>
      </c>
      <c r="O591" s="3">
        <v>77.430000000000007</v>
      </c>
      <c r="P591" s="3">
        <v>71.600399999999993</v>
      </c>
      <c r="Q591" s="3">
        <v>59.990630000000003</v>
      </c>
      <c r="S591" s="3">
        <v>78.23563</v>
      </c>
      <c r="T591" s="3">
        <v>80.220039999999997</v>
      </c>
      <c r="V591" s="3">
        <v>76.435419999999993</v>
      </c>
      <c r="W591" s="3">
        <v>76.257990000000007</v>
      </c>
      <c r="X591" s="3">
        <v>69.080079999999995</v>
      </c>
      <c r="Y591" s="3">
        <v>42.228659999999998</v>
      </c>
      <c r="AB591" s="3">
        <v>67.602320000000006</v>
      </c>
      <c r="AC591" s="3">
        <v>42.096020000000003</v>
      </c>
      <c r="AD591" s="3">
        <v>73.553579999999997</v>
      </c>
      <c r="AE591" s="3">
        <v>72.737589999999997</v>
      </c>
      <c r="AF591" s="3">
        <v>103.2544</v>
      </c>
      <c r="AH591" s="3">
        <v>73.469899999999996</v>
      </c>
      <c r="AI591" s="3">
        <v>72.178880000000007</v>
      </c>
      <c r="AJ591" s="3">
        <v>58.12979</v>
      </c>
      <c r="AK591" s="3">
        <v>42.134320000000002</v>
      </c>
      <c r="AL591" s="3">
        <v>71.050129999999996</v>
      </c>
      <c r="AM591" s="3">
        <v>71.766249999999999</v>
      </c>
      <c r="AN591" s="3">
        <v>67.621989999999997</v>
      </c>
      <c r="AO591" s="3">
        <v>62.033459999999998</v>
      </c>
      <c r="AP591" s="3">
        <v>60.441209999999998</v>
      </c>
      <c r="AQ591" s="3">
        <v>68.306079999999994</v>
      </c>
      <c r="AT591" s="3">
        <v>49.477939999999997</v>
      </c>
      <c r="AV591" s="3">
        <v>86.779449999999997</v>
      </c>
      <c r="AW591" s="3">
        <v>4.3903850000000002</v>
      </c>
      <c r="AX591" s="3">
        <v>70.671809999999994</v>
      </c>
    </row>
    <row r="592" spans="1:50" x14ac:dyDescent="0.2">
      <c r="A592" s="74" t="s">
        <v>489</v>
      </c>
      <c r="B592" s="49">
        <v>35827</v>
      </c>
      <c r="D592" s="3">
        <v>74.861890000000002</v>
      </c>
      <c r="F592" s="3">
        <v>75.362750000000005</v>
      </c>
      <c r="G592" s="3">
        <v>92.238240000000005</v>
      </c>
      <c r="J592" s="3">
        <v>40.646920000000001</v>
      </c>
      <c r="K592" s="3">
        <v>26.398119999999999</v>
      </c>
      <c r="L592" s="3">
        <v>82.7</v>
      </c>
      <c r="M592" s="3">
        <v>81.329719999999995</v>
      </c>
      <c r="N592" s="3">
        <v>73.204509999999999</v>
      </c>
      <c r="O592" s="3">
        <v>77.78</v>
      </c>
      <c r="P592" s="3">
        <v>71.744219999999999</v>
      </c>
      <c r="Q592" s="3">
        <v>60.671700000000001</v>
      </c>
      <c r="S592" s="3">
        <v>78.159000000000006</v>
      </c>
      <c r="T592" s="3">
        <v>80.619420000000005</v>
      </c>
      <c r="V592" s="3">
        <v>76.733099999999993</v>
      </c>
      <c r="W592" s="3">
        <v>76.560199999999995</v>
      </c>
      <c r="X592" s="3">
        <v>68.700729999999993</v>
      </c>
      <c r="Y592" s="3">
        <v>43.088929999999998</v>
      </c>
      <c r="AB592" s="3">
        <v>67.970129999999997</v>
      </c>
      <c r="AC592" s="3">
        <v>42.013159999999999</v>
      </c>
      <c r="AD592" s="3">
        <v>73.553579999999997</v>
      </c>
      <c r="AE592" s="3">
        <v>72.999570000000006</v>
      </c>
      <c r="AF592" s="3">
        <v>103.08540000000001</v>
      </c>
      <c r="AH592" s="3">
        <v>74.305800000000005</v>
      </c>
      <c r="AI592" s="3">
        <v>72.209140000000005</v>
      </c>
      <c r="AJ592" s="3">
        <v>58.197090000000003</v>
      </c>
      <c r="AK592" s="3">
        <v>42.883290000000002</v>
      </c>
      <c r="AL592" s="3">
        <v>71.549880000000002</v>
      </c>
      <c r="AM592" s="3">
        <v>72.179150000000007</v>
      </c>
      <c r="AN592" s="3">
        <v>67.998859999999993</v>
      </c>
      <c r="AO592" s="3">
        <v>62.435169999999999</v>
      </c>
      <c r="AP592" s="3">
        <v>61.865920000000003</v>
      </c>
      <c r="AQ592" s="3">
        <v>68.186890000000005</v>
      </c>
      <c r="AT592" s="3">
        <v>49.776040000000002</v>
      </c>
      <c r="AV592" s="3">
        <v>86.632000000000005</v>
      </c>
      <c r="AW592" s="3">
        <v>4.562392</v>
      </c>
      <c r="AX592" s="3">
        <v>71.043329999999997</v>
      </c>
    </row>
    <row r="593" spans="1:50" x14ac:dyDescent="0.2">
      <c r="A593" s="74" t="s">
        <v>490</v>
      </c>
      <c r="B593" s="49">
        <v>35855</v>
      </c>
      <c r="D593" s="3">
        <v>74.7547</v>
      </c>
      <c r="F593" s="3">
        <v>75.505290000000002</v>
      </c>
      <c r="G593" s="3">
        <v>92.263310000000004</v>
      </c>
      <c r="J593" s="3">
        <v>42.159320000000001</v>
      </c>
      <c r="K593" s="3">
        <v>26.608129999999999</v>
      </c>
      <c r="L593" s="3">
        <v>82.9</v>
      </c>
      <c r="M593" s="3">
        <v>81.282719999999998</v>
      </c>
      <c r="N593" s="3">
        <v>73.453360000000004</v>
      </c>
      <c r="O593" s="3">
        <v>77.98</v>
      </c>
      <c r="P593" s="3">
        <v>71.869169999999997</v>
      </c>
      <c r="Q593" s="3">
        <v>61.409520000000001</v>
      </c>
      <c r="S593" s="3">
        <v>78.465519999999998</v>
      </c>
      <c r="T593" s="3">
        <v>80.823999999999998</v>
      </c>
      <c r="V593" s="3">
        <v>76.94444</v>
      </c>
      <c r="W593" s="3">
        <v>76.862409999999997</v>
      </c>
      <c r="X593" s="3">
        <v>71.04222</v>
      </c>
      <c r="Y593" s="3">
        <v>43.65166</v>
      </c>
      <c r="AB593" s="3">
        <v>68.394729999999996</v>
      </c>
      <c r="AC593" s="3">
        <v>42.220320000000001</v>
      </c>
      <c r="AD593" s="3">
        <v>73.352339999999998</v>
      </c>
      <c r="AE593" s="3">
        <v>73.296239999999997</v>
      </c>
      <c r="AF593" s="3">
        <v>103.4773</v>
      </c>
      <c r="AH593" s="3">
        <v>74.917000000000002</v>
      </c>
      <c r="AI593" s="3">
        <v>72.252250000000004</v>
      </c>
      <c r="AJ593" s="3">
        <v>58.32208</v>
      </c>
      <c r="AK593" s="3">
        <v>43.397599999999997</v>
      </c>
      <c r="AL593" s="3">
        <v>72.239859999999993</v>
      </c>
      <c r="AM593" s="3">
        <v>72.586240000000004</v>
      </c>
      <c r="AN593" s="3">
        <v>68.3292</v>
      </c>
      <c r="AO593" s="3">
        <v>62.801360000000003</v>
      </c>
      <c r="AP593" s="3">
        <v>62.344790000000003</v>
      </c>
      <c r="AQ593" s="3">
        <v>68.389849999999996</v>
      </c>
      <c r="AT593" s="3">
        <v>50.039230000000003</v>
      </c>
      <c r="AV593" s="3">
        <v>86.873279999999994</v>
      </c>
      <c r="AW593" s="3">
        <v>4.7600290000000003</v>
      </c>
      <c r="AX593" s="3">
        <v>71.249740000000003</v>
      </c>
    </row>
    <row r="594" spans="1:50" x14ac:dyDescent="0.2">
      <c r="A594" s="74" t="s">
        <v>491</v>
      </c>
      <c r="B594" s="49">
        <v>35886</v>
      </c>
      <c r="D594" s="3">
        <v>74.880359999999996</v>
      </c>
      <c r="F594" s="3">
        <v>75.431929999999994</v>
      </c>
      <c r="G594" s="3">
        <v>92.298599999999993</v>
      </c>
      <c r="J594" s="3">
        <v>42.846029999999999</v>
      </c>
      <c r="K594" s="3">
        <v>26.768899999999999</v>
      </c>
      <c r="L594" s="3">
        <v>83.3</v>
      </c>
      <c r="M594" s="3">
        <v>81.308400000000006</v>
      </c>
      <c r="N594" s="3">
        <v>73.555989999999994</v>
      </c>
      <c r="O594" s="3">
        <v>78.099999999999994</v>
      </c>
      <c r="P594" s="3">
        <v>72.12012</v>
      </c>
      <c r="Q594" s="3">
        <v>61.693300000000001</v>
      </c>
      <c r="S594" s="3">
        <v>78.925269999999998</v>
      </c>
      <c r="T594" s="3">
        <v>80.938929999999999</v>
      </c>
      <c r="V594" s="3">
        <v>77.108649999999997</v>
      </c>
      <c r="W594" s="3">
        <v>77.164619999999999</v>
      </c>
      <c r="X594" s="3">
        <v>72.220560000000006</v>
      </c>
      <c r="Y594" s="3">
        <v>44.110019999999999</v>
      </c>
      <c r="AB594" s="3">
        <v>68.576340000000002</v>
      </c>
      <c r="AC594" s="3">
        <v>42.386049999999997</v>
      </c>
      <c r="AD594" s="3">
        <v>74.45917</v>
      </c>
      <c r="AE594" s="3">
        <v>73.344639999999998</v>
      </c>
      <c r="AF594" s="3">
        <v>103.8781</v>
      </c>
      <c r="AH594" s="3">
        <v>75.655500000000004</v>
      </c>
      <c r="AI594" s="3">
        <v>72.19059</v>
      </c>
      <c r="AJ594" s="3">
        <v>58.879730000000002</v>
      </c>
      <c r="AK594" s="3">
        <v>43.840020000000003</v>
      </c>
      <c r="AL594" s="3">
        <v>72.358440000000002</v>
      </c>
      <c r="AM594" s="3">
        <v>72.691410000000005</v>
      </c>
      <c r="AN594" s="3">
        <v>68.625050000000002</v>
      </c>
      <c r="AO594" s="3">
        <v>63.173780000000001</v>
      </c>
      <c r="AP594" s="3">
        <v>62.776000000000003</v>
      </c>
      <c r="AQ594" s="3">
        <v>68.893600000000006</v>
      </c>
      <c r="AT594" s="3">
        <v>50.182490000000001</v>
      </c>
      <c r="AV594" s="3">
        <v>87.024079999999998</v>
      </c>
      <c r="AW594" s="3">
        <v>5.0281440000000002</v>
      </c>
      <c r="AX594" s="3">
        <v>71.414860000000004</v>
      </c>
    </row>
    <row r="595" spans="1:50" x14ac:dyDescent="0.2">
      <c r="A595" s="74" t="s">
        <v>492</v>
      </c>
      <c r="B595" s="49">
        <v>35916</v>
      </c>
      <c r="D595" s="3">
        <v>75.205119999999994</v>
      </c>
      <c r="F595" s="3">
        <v>75.573809999999995</v>
      </c>
      <c r="G595" s="3">
        <v>92.057789999999997</v>
      </c>
      <c r="J595" s="3">
        <v>43.508220000000001</v>
      </c>
      <c r="K595" s="3">
        <v>26.92062</v>
      </c>
      <c r="L595" s="3">
        <v>83.5</v>
      </c>
      <c r="M595" s="3">
        <v>81.37</v>
      </c>
      <c r="N595" s="3">
        <v>73.923190000000005</v>
      </c>
      <c r="O595" s="3">
        <v>78.239999999999995</v>
      </c>
      <c r="P595" s="3">
        <v>72.282060000000001</v>
      </c>
      <c r="Q595" s="3">
        <v>61.92033</v>
      </c>
      <c r="S595" s="3">
        <v>78.772019999999998</v>
      </c>
      <c r="T595" s="3">
        <v>80.959050000000005</v>
      </c>
      <c r="V595" s="3">
        <v>77.182869999999994</v>
      </c>
      <c r="W595" s="3">
        <v>77.466830000000002</v>
      </c>
      <c r="X595" s="3">
        <v>72.087000000000003</v>
      </c>
      <c r="Y595" s="3">
        <v>44.496639999999999</v>
      </c>
      <c r="AB595" s="3">
        <v>68.767679999999999</v>
      </c>
      <c r="AC595" s="3">
        <v>42.468919999999997</v>
      </c>
      <c r="AD595" s="3">
        <v>74.559780000000003</v>
      </c>
      <c r="AE595" s="3">
        <v>73.523380000000003</v>
      </c>
      <c r="AF595" s="3">
        <v>103.9109</v>
      </c>
      <c r="AH595" s="3">
        <v>76.6066</v>
      </c>
      <c r="AI595" s="3">
        <v>72.330110000000005</v>
      </c>
      <c r="AJ595" s="3">
        <v>59.014330000000001</v>
      </c>
      <c r="AK595" s="3">
        <v>44.215260000000001</v>
      </c>
      <c r="AL595" s="3">
        <v>72.256540000000001</v>
      </c>
      <c r="AM595" s="3">
        <v>72.629940000000005</v>
      </c>
      <c r="AN595" s="3">
        <v>68.807649999999995</v>
      </c>
      <c r="AO595" s="3">
        <v>63.483669999999996</v>
      </c>
      <c r="AP595" s="3">
        <v>63.048360000000002</v>
      </c>
      <c r="AQ595" s="3">
        <v>69.390079999999998</v>
      </c>
      <c r="AT595" s="3">
        <v>50.325879999999998</v>
      </c>
      <c r="AV595" s="3">
        <v>87.13467</v>
      </c>
      <c r="AW595" s="3">
        <v>5.2696440000000004</v>
      </c>
      <c r="AX595" s="3">
        <v>71.456140000000005</v>
      </c>
    </row>
    <row r="596" spans="1:50" x14ac:dyDescent="0.2">
      <c r="A596" s="74" t="s">
        <v>493</v>
      </c>
      <c r="B596" s="49">
        <v>35947</v>
      </c>
      <c r="D596" s="3">
        <v>75.211910000000003</v>
      </c>
      <c r="F596" s="3">
        <v>75.569929999999999</v>
      </c>
      <c r="G596" s="3">
        <v>92.040120000000002</v>
      </c>
      <c r="J596" s="3">
        <v>44.023249999999997</v>
      </c>
      <c r="K596" s="3">
        <v>27.14067</v>
      </c>
      <c r="L596" s="3">
        <v>83.8</v>
      </c>
      <c r="M596" s="3">
        <v>81.489130000000003</v>
      </c>
      <c r="N596" s="3">
        <v>73.969269999999995</v>
      </c>
      <c r="O596" s="3">
        <v>78.34</v>
      </c>
      <c r="P596" s="3">
        <v>72.428790000000006</v>
      </c>
      <c r="Q596" s="3">
        <v>62.204099999999997</v>
      </c>
      <c r="S596" s="3">
        <v>78.925269999999998</v>
      </c>
      <c r="T596" s="3">
        <v>81.017330000000001</v>
      </c>
      <c r="V596" s="3">
        <v>77.159189999999995</v>
      </c>
      <c r="W596" s="3">
        <v>77.366100000000003</v>
      </c>
      <c r="X596" s="3">
        <v>72.613339999999994</v>
      </c>
      <c r="Y596" s="3">
        <v>44.719520000000003</v>
      </c>
      <c r="AB596" s="3">
        <v>69.004369999999994</v>
      </c>
      <c r="AC596" s="3">
        <v>42.551789999999997</v>
      </c>
      <c r="AD596" s="3">
        <v>75.163510000000002</v>
      </c>
      <c r="AE596" s="3">
        <v>73.601200000000006</v>
      </c>
      <c r="AF596" s="3">
        <v>103.76609999999999</v>
      </c>
      <c r="AH596" s="3">
        <v>77.0214</v>
      </c>
      <c r="AI596" s="3">
        <v>72.334350000000001</v>
      </c>
      <c r="AJ596" s="3">
        <v>59.610430000000001</v>
      </c>
      <c r="AK596" s="3">
        <v>44.612250000000003</v>
      </c>
      <c r="AL596" s="3">
        <v>71.966499999999996</v>
      </c>
      <c r="AM596" s="3">
        <v>72.788359999999997</v>
      </c>
      <c r="AN596" s="3">
        <v>68.918509999999998</v>
      </c>
      <c r="AO596" s="3">
        <v>63.728879999999997</v>
      </c>
      <c r="AP596" s="3">
        <v>63.397539999999999</v>
      </c>
      <c r="AQ596" s="3">
        <v>69.508989999999997</v>
      </c>
      <c r="AT596" s="3">
        <v>50.420569999999998</v>
      </c>
      <c r="AV596" s="3">
        <v>86.836420000000004</v>
      </c>
      <c r="AW596" s="3">
        <v>5.496359</v>
      </c>
      <c r="AX596" s="3">
        <v>71.414860000000004</v>
      </c>
    </row>
    <row r="597" spans="1:50" x14ac:dyDescent="0.2">
      <c r="A597" s="74" t="s">
        <v>494</v>
      </c>
      <c r="B597" s="49">
        <v>35977</v>
      </c>
      <c r="D597" s="3">
        <v>75.458979999999997</v>
      </c>
      <c r="F597" s="3">
        <v>75.694829999999996</v>
      </c>
      <c r="G597" s="3">
        <v>92.050929999999994</v>
      </c>
      <c r="J597" s="3">
        <v>44.415660000000003</v>
      </c>
      <c r="K597" s="3">
        <v>27.534559999999999</v>
      </c>
      <c r="L597" s="3">
        <v>84.6</v>
      </c>
      <c r="M597" s="3">
        <v>81.948319999999995</v>
      </c>
      <c r="N597" s="3">
        <v>73.71884</v>
      </c>
      <c r="O597" s="3">
        <v>78.39</v>
      </c>
      <c r="P597" s="3">
        <v>72.708569999999995</v>
      </c>
      <c r="Q597" s="3">
        <v>62.374369999999999</v>
      </c>
      <c r="S597" s="3">
        <v>78.772019999999998</v>
      </c>
      <c r="T597" s="3">
        <v>80.798069999999996</v>
      </c>
      <c r="V597" s="3">
        <v>77.186930000000004</v>
      </c>
      <c r="W597" s="3">
        <v>76.761669999999995</v>
      </c>
      <c r="X597" s="3">
        <v>71.359279999999998</v>
      </c>
      <c r="Y597" s="3">
        <v>44.97607</v>
      </c>
      <c r="AB597" s="3">
        <v>68.787279999999996</v>
      </c>
      <c r="AC597" s="3">
        <v>42.593220000000002</v>
      </c>
      <c r="AD597" s="3">
        <v>75.062889999999996</v>
      </c>
      <c r="AE597" s="3">
        <v>73.674959999999999</v>
      </c>
      <c r="AF597" s="3">
        <v>103.37269999999999</v>
      </c>
      <c r="AH597" s="3">
        <v>77.708500000000001</v>
      </c>
      <c r="AI597" s="3">
        <v>72.510779999999997</v>
      </c>
      <c r="AJ597" s="3">
        <v>59.821950000000001</v>
      </c>
      <c r="AK597" s="3">
        <v>44.989130000000003</v>
      </c>
      <c r="AL597" s="3">
        <v>72.144400000000005</v>
      </c>
      <c r="AM597" s="3">
        <v>72.619759999999999</v>
      </c>
      <c r="AN597" s="3">
        <v>69.050960000000003</v>
      </c>
      <c r="AO597" s="3">
        <v>63.914259999999999</v>
      </c>
      <c r="AP597" s="3">
        <v>63.984810000000003</v>
      </c>
      <c r="AQ597" s="3">
        <v>69.648200000000003</v>
      </c>
      <c r="AT597" s="3">
        <v>50.564779999999999</v>
      </c>
      <c r="AV597" s="3">
        <v>86.504660000000001</v>
      </c>
      <c r="AW597" s="3">
        <v>5.6895600000000002</v>
      </c>
      <c r="AX597" s="3">
        <v>71.538700000000006</v>
      </c>
    </row>
    <row r="598" spans="1:50" x14ac:dyDescent="0.2">
      <c r="A598" s="74" t="s">
        <v>495</v>
      </c>
      <c r="B598" s="49">
        <v>36008</v>
      </c>
      <c r="D598" s="3">
        <v>75.434719999999999</v>
      </c>
      <c r="F598" s="3">
        <v>75.806470000000004</v>
      </c>
      <c r="G598" s="3">
        <v>92.481279999999998</v>
      </c>
      <c r="J598" s="3">
        <v>44.848950000000002</v>
      </c>
      <c r="K598" s="3">
        <v>27.832979999999999</v>
      </c>
      <c r="L598" s="3">
        <v>84.7</v>
      </c>
      <c r="M598" s="3">
        <v>81.86533</v>
      </c>
      <c r="N598" s="3">
        <v>73.955960000000005</v>
      </c>
      <c r="O598" s="3">
        <v>78.55</v>
      </c>
      <c r="P598" s="3">
        <v>72.955150000000003</v>
      </c>
      <c r="Q598" s="3">
        <v>62.487879999999997</v>
      </c>
      <c r="S598" s="3">
        <v>78.925269999999998</v>
      </c>
      <c r="T598" s="3">
        <v>81.001459999999994</v>
      </c>
      <c r="V598" s="3">
        <v>77.330680000000001</v>
      </c>
      <c r="W598" s="3">
        <v>77.063879999999997</v>
      </c>
      <c r="X598" s="3">
        <v>71.441990000000004</v>
      </c>
      <c r="Y598" s="3">
        <v>45.01294</v>
      </c>
      <c r="AB598" s="3">
        <v>69.028630000000007</v>
      </c>
      <c r="AC598" s="3">
        <v>42.344619999999999</v>
      </c>
      <c r="AD598" s="3">
        <v>75.264129999999994</v>
      </c>
      <c r="AE598" s="3">
        <v>73.787989999999994</v>
      </c>
      <c r="AF598" s="3">
        <v>103.2773</v>
      </c>
      <c r="AH598" s="3">
        <v>77.867199999999997</v>
      </c>
      <c r="AI598" s="3">
        <v>72.527370000000005</v>
      </c>
      <c r="AJ598" s="3">
        <v>60.043089999999999</v>
      </c>
      <c r="AK598" s="3">
        <v>45.465009999999999</v>
      </c>
      <c r="AL598" s="3">
        <v>72.274069999999995</v>
      </c>
      <c r="AM598" s="3">
        <v>72.540490000000005</v>
      </c>
      <c r="AN598" s="3">
        <v>69.29213</v>
      </c>
      <c r="AO598" s="3">
        <v>64.238169999999997</v>
      </c>
      <c r="AP598" s="3">
        <v>64.427809999999994</v>
      </c>
      <c r="AQ598" s="3">
        <v>69.534580000000005</v>
      </c>
      <c r="AT598" s="3">
        <v>50.575279999999999</v>
      </c>
      <c r="AV598" s="3">
        <v>86.042209999999997</v>
      </c>
      <c r="AW598" s="3">
        <v>5.9586610000000002</v>
      </c>
      <c r="AX598" s="3">
        <v>71.745099999999994</v>
      </c>
    </row>
    <row r="599" spans="1:50" x14ac:dyDescent="0.2">
      <c r="A599" s="74" t="s">
        <v>496</v>
      </c>
      <c r="B599" s="49">
        <v>36039</v>
      </c>
      <c r="D599" s="3">
        <v>75.458290000000005</v>
      </c>
      <c r="F599" s="3">
        <v>75.845169999999996</v>
      </c>
      <c r="G599" s="3">
        <v>92.457949999999997</v>
      </c>
      <c r="J599" s="3">
        <v>45.159599999999998</v>
      </c>
      <c r="K599" s="3">
        <v>28.03997</v>
      </c>
      <c r="L599" s="3">
        <v>84.8</v>
      </c>
      <c r="M599" s="3">
        <v>81.703379999999996</v>
      </c>
      <c r="N599" s="3">
        <v>74.28304</v>
      </c>
      <c r="O599" s="3">
        <v>78.63</v>
      </c>
      <c r="P599" s="3">
        <v>72.973780000000005</v>
      </c>
      <c r="Q599" s="3">
        <v>62.99868</v>
      </c>
      <c r="S599" s="3">
        <v>79.308400000000006</v>
      </c>
      <c r="T599" s="3">
        <v>80.985410000000002</v>
      </c>
      <c r="V599" s="3">
        <v>77.510710000000003</v>
      </c>
      <c r="W599" s="3">
        <v>77.668300000000002</v>
      </c>
      <c r="X599" s="3">
        <v>73.143820000000005</v>
      </c>
      <c r="Y599" s="3">
        <v>45.329389999999997</v>
      </c>
      <c r="AB599" s="3">
        <v>69.513030000000001</v>
      </c>
      <c r="AC599" s="3">
        <v>42.386049999999997</v>
      </c>
      <c r="AD599" s="3">
        <v>76.069090000000003</v>
      </c>
      <c r="AE599" s="3">
        <v>73.80453</v>
      </c>
      <c r="AF599" s="3">
        <v>103.8643</v>
      </c>
      <c r="AH599" s="3">
        <v>78.237099999999998</v>
      </c>
      <c r="AI599" s="3">
        <v>72.486559999999997</v>
      </c>
      <c r="AJ599" s="3">
        <v>60.283450000000002</v>
      </c>
      <c r="AK599" s="3">
        <v>46.218519999999998</v>
      </c>
      <c r="AL599" s="3">
        <v>73.007350000000002</v>
      </c>
      <c r="AM599" s="3">
        <v>73.171959999999999</v>
      </c>
      <c r="AN599" s="3">
        <v>69.658839999999998</v>
      </c>
      <c r="AO599" s="3">
        <v>64.739760000000004</v>
      </c>
      <c r="AP599" s="3">
        <v>64.877200000000002</v>
      </c>
      <c r="AQ599" s="3">
        <v>69.625579999999999</v>
      </c>
      <c r="AT599" s="3">
        <v>50.782969999999999</v>
      </c>
      <c r="AV599" s="3">
        <v>86.742580000000004</v>
      </c>
      <c r="AW599" s="3">
        <v>6.3815340000000003</v>
      </c>
      <c r="AX599" s="3">
        <v>71.910219999999995</v>
      </c>
    </row>
    <row r="600" spans="1:50" x14ac:dyDescent="0.2">
      <c r="A600" s="74" t="s">
        <v>497</v>
      </c>
      <c r="B600" s="49">
        <v>36069</v>
      </c>
      <c r="D600" s="3">
        <v>75.543949999999995</v>
      </c>
      <c r="F600" s="3">
        <v>76.098659999999995</v>
      </c>
      <c r="G600" s="3">
        <v>92.450199999999995</v>
      </c>
      <c r="J600" s="3">
        <v>45.576540000000001</v>
      </c>
      <c r="K600" s="3">
        <v>28.26605</v>
      </c>
      <c r="L600" s="3">
        <v>84.7</v>
      </c>
      <c r="M600" s="3">
        <v>81.671469999999999</v>
      </c>
      <c r="N600" s="3">
        <v>74.323220000000006</v>
      </c>
      <c r="O600" s="3">
        <v>78.64</v>
      </c>
      <c r="P600" s="3">
        <v>73.041380000000004</v>
      </c>
      <c r="Q600" s="3">
        <v>63.395969999999998</v>
      </c>
      <c r="S600" s="3">
        <v>79.53828</v>
      </c>
      <c r="T600" s="3">
        <v>80.967550000000003</v>
      </c>
      <c r="V600" s="3">
        <v>77.647279999999995</v>
      </c>
      <c r="W600" s="3">
        <v>77.567570000000003</v>
      </c>
      <c r="X600" s="3">
        <v>73.706869999999995</v>
      </c>
      <c r="Y600" s="3">
        <v>45.7986</v>
      </c>
      <c r="AB600" s="3">
        <v>69.574550000000002</v>
      </c>
      <c r="AC600" s="3">
        <v>42.634650000000001</v>
      </c>
      <c r="AD600" s="3">
        <v>78.584599999999995</v>
      </c>
      <c r="AE600" s="3">
        <v>73.951390000000004</v>
      </c>
      <c r="AF600" s="3">
        <v>103.99299999999999</v>
      </c>
      <c r="AH600" s="3">
        <v>78.530699999999996</v>
      </c>
      <c r="AI600" s="3">
        <v>72.555130000000005</v>
      </c>
      <c r="AJ600" s="3">
        <v>60.29307</v>
      </c>
      <c r="AK600" s="3">
        <v>46.744729999999997</v>
      </c>
      <c r="AL600" s="3">
        <v>73.209329999999994</v>
      </c>
      <c r="AM600" s="3">
        <v>73.266069999999999</v>
      </c>
      <c r="AN600" s="3">
        <v>69.955870000000004</v>
      </c>
      <c r="AO600" s="3">
        <v>65.106710000000007</v>
      </c>
      <c r="AP600" s="3">
        <v>65.263530000000003</v>
      </c>
      <c r="AQ600" s="3">
        <v>69.961489999999998</v>
      </c>
      <c r="AT600" s="3">
        <v>51.166339999999998</v>
      </c>
      <c r="AV600" s="3">
        <v>86.987210000000005</v>
      </c>
      <c r="AW600" s="3">
        <v>6.7521630000000004</v>
      </c>
      <c r="AX600" s="3">
        <v>72.116619999999998</v>
      </c>
    </row>
    <row r="601" spans="1:50" x14ac:dyDescent="0.2">
      <c r="A601" s="74" t="s">
        <v>498</v>
      </c>
      <c r="B601" s="49">
        <v>36100</v>
      </c>
      <c r="D601" s="3">
        <v>75.445719999999994</v>
      </c>
      <c r="F601" s="3">
        <v>75.948779999999999</v>
      </c>
      <c r="G601" s="3">
        <v>92.362350000000006</v>
      </c>
      <c r="J601" s="3">
        <v>45.977119999999999</v>
      </c>
      <c r="K601" s="3">
        <v>28.518260000000001</v>
      </c>
      <c r="L601" s="3">
        <v>84.8</v>
      </c>
      <c r="M601" s="3">
        <v>81.658320000000003</v>
      </c>
      <c r="N601" s="3">
        <v>74.583179999999999</v>
      </c>
      <c r="O601" s="3">
        <v>78.650000000000006</v>
      </c>
      <c r="P601" s="3">
        <v>73.057829999999996</v>
      </c>
      <c r="Q601" s="3">
        <v>63.622990000000001</v>
      </c>
      <c r="S601" s="3">
        <v>79.461650000000006</v>
      </c>
      <c r="T601" s="3">
        <v>80.887829999999994</v>
      </c>
      <c r="V601" s="3">
        <v>77.674220000000005</v>
      </c>
      <c r="W601" s="3">
        <v>77.769040000000004</v>
      </c>
      <c r="X601" s="3">
        <v>73.701589999999996</v>
      </c>
      <c r="Y601" s="3">
        <v>45.982559999999999</v>
      </c>
      <c r="AB601" s="3">
        <v>69.375200000000007</v>
      </c>
      <c r="AC601" s="3">
        <v>42.841819999999998</v>
      </c>
      <c r="AD601" s="3">
        <v>79.590810000000005</v>
      </c>
      <c r="AE601" s="3">
        <v>74.043520000000001</v>
      </c>
      <c r="AF601" s="3">
        <v>103.94</v>
      </c>
      <c r="AH601" s="3">
        <v>78.677199999999999</v>
      </c>
      <c r="AI601" s="3">
        <v>72.61533</v>
      </c>
      <c r="AJ601" s="3">
        <v>60.562280000000001</v>
      </c>
      <c r="AK601" s="3">
        <v>47.37115</v>
      </c>
      <c r="AL601" s="3">
        <v>73.113609999999994</v>
      </c>
      <c r="AM601" s="3">
        <v>73.28595</v>
      </c>
      <c r="AN601" s="3">
        <v>70.12576</v>
      </c>
      <c r="AO601" s="3">
        <v>65.380610000000004</v>
      </c>
      <c r="AP601" s="3">
        <v>65.438580000000002</v>
      </c>
      <c r="AQ601" s="3">
        <v>70.474720000000005</v>
      </c>
      <c r="AT601" s="3">
        <v>51.385590000000001</v>
      </c>
      <c r="AV601" s="3">
        <v>86.75264</v>
      </c>
      <c r="AW601" s="3">
        <v>7.0335859999999997</v>
      </c>
      <c r="AX601" s="3">
        <v>72.157910000000001</v>
      </c>
    </row>
    <row r="602" spans="1:50" x14ac:dyDescent="0.2">
      <c r="A602" s="74" t="s">
        <v>499</v>
      </c>
      <c r="B602" s="49">
        <v>36130</v>
      </c>
      <c r="D602" s="3">
        <v>75.426119999999997</v>
      </c>
      <c r="F602" s="3">
        <v>75.729460000000003</v>
      </c>
      <c r="G602" s="3">
        <v>92.34254</v>
      </c>
      <c r="H602" s="3">
        <v>66.591319999999996</v>
      </c>
      <c r="J602" s="3">
        <v>46.279600000000002</v>
      </c>
      <c r="K602" s="3">
        <v>28.63682</v>
      </c>
      <c r="L602" s="3">
        <v>85</v>
      </c>
      <c r="M602" s="3">
        <v>81.801119999999997</v>
      </c>
      <c r="N602" s="3">
        <v>74.583420000000004</v>
      </c>
      <c r="O602" s="3">
        <v>78.73</v>
      </c>
      <c r="P602" s="3">
        <v>73.219800000000006</v>
      </c>
      <c r="Q602" s="3">
        <v>63.793259999999997</v>
      </c>
      <c r="S602" s="3">
        <v>79.461650000000006</v>
      </c>
      <c r="T602" s="3">
        <v>80.968320000000006</v>
      </c>
      <c r="V602" s="3">
        <v>77.694980000000001</v>
      </c>
      <c r="W602" s="3">
        <v>77.970510000000004</v>
      </c>
      <c r="X602" s="3">
        <v>74.170069999999996</v>
      </c>
      <c r="Y602" s="3">
        <v>46.199219999999997</v>
      </c>
      <c r="AB602" s="3">
        <v>69.120829999999998</v>
      </c>
      <c r="AC602" s="3">
        <v>42.800379999999997</v>
      </c>
      <c r="AD602" s="3">
        <v>79.590810000000005</v>
      </c>
      <c r="AE602" s="3">
        <v>74.102779999999996</v>
      </c>
      <c r="AF602" s="3">
        <v>103.8516</v>
      </c>
      <c r="AH602" s="3">
        <v>78.747500000000002</v>
      </c>
      <c r="AI602" s="3">
        <v>72.602909999999994</v>
      </c>
      <c r="AJ602" s="3">
        <v>60.668039999999998</v>
      </c>
      <c r="AK602" s="3">
        <v>48.385939999999998</v>
      </c>
      <c r="AL602" s="3">
        <v>72.782929999999993</v>
      </c>
      <c r="AM602" s="3">
        <v>73.426699999999997</v>
      </c>
      <c r="AN602" s="3">
        <v>70.306190000000001</v>
      </c>
      <c r="AO602" s="3">
        <v>65.681250000000006</v>
      </c>
      <c r="AP602" s="3">
        <v>65.579710000000006</v>
      </c>
      <c r="AQ602" s="3">
        <v>70.592399999999998</v>
      </c>
      <c r="AT602" s="3">
        <v>51.58173</v>
      </c>
      <c r="AV602" s="3">
        <v>86.668859999999995</v>
      </c>
      <c r="AW602" s="3">
        <v>7.2938150000000004</v>
      </c>
      <c r="AX602" s="3">
        <v>72.157910000000001</v>
      </c>
    </row>
    <row r="603" spans="1:50" x14ac:dyDescent="0.2">
      <c r="A603" s="3" t="s">
        <v>500</v>
      </c>
      <c r="B603" s="49">
        <v>36161</v>
      </c>
      <c r="D603" s="3">
        <v>75.631950000000003</v>
      </c>
      <c r="F603" s="3">
        <v>75.734380000000002</v>
      </c>
      <c r="G603" s="3">
        <v>92.465990000000005</v>
      </c>
      <c r="H603" s="3">
        <v>66.626980000000003</v>
      </c>
      <c r="J603" s="3">
        <v>47.489519999999999</v>
      </c>
      <c r="K603" s="3">
        <v>29.140229999999999</v>
      </c>
      <c r="L603" s="3">
        <v>85.4</v>
      </c>
      <c r="M603" s="3">
        <v>81.593540000000004</v>
      </c>
      <c r="N603" s="3">
        <v>74.254159999999999</v>
      </c>
      <c r="O603" s="3">
        <v>78.489999999999995</v>
      </c>
      <c r="P603" s="3">
        <v>73.440910000000002</v>
      </c>
      <c r="Q603" s="3">
        <v>64.531080000000003</v>
      </c>
      <c r="S603" s="3">
        <v>79.078519999999997</v>
      </c>
      <c r="T603" s="3">
        <v>80.408619999999999</v>
      </c>
      <c r="V603" s="3">
        <v>77.634069999999994</v>
      </c>
      <c r="W603" s="3">
        <v>77.164619999999999</v>
      </c>
      <c r="X603" s="3">
        <v>72.995630000000006</v>
      </c>
      <c r="Y603" s="3">
        <v>47.395980000000002</v>
      </c>
      <c r="AB603" s="3">
        <v>68.349459999999993</v>
      </c>
      <c r="AC603" s="3">
        <v>42.966119999999997</v>
      </c>
      <c r="AD603" s="3">
        <v>78.987080000000006</v>
      </c>
      <c r="AE603" s="3">
        <v>74.077150000000003</v>
      </c>
      <c r="AF603" s="3">
        <v>103.2294</v>
      </c>
      <c r="AH603" s="3">
        <v>79.116600000000005</v>
      </c>
      <c r="AI603" s="3">
        <v>71.131500000000003</v>
      </c>
      <c r="AJ603" s="3">
        <v>61.369900000000001</v>
      </c>
      <c r="AK603" s="3">
        <v>49.363480000000003</v>
      </c>
      <c r="AL603" s="3">
        <v>72.626900000000006</v>
      </c>
      <c r="AM603" s="3">
        <v>73.461330000000004</v>
      </c>
      <c r="AN603" s="3">
        <v>70.431830000000005</v>
      </c>
      <c r="AO603" s="3">
        <v>65.730509999999995</v>
      </c>
      <c r="AP603" s="3">
        <v>67.088340000000002</v>
      </c>
      <c r="AQ603" s="3">
        <v>70.323620000000005</v>
      </c>
      <c r="AT603" s="3">
        <v>52.352150000000002</v>
      </c>
      <c r="AV603" s="3">
        <v>86.531469999999999</v>
      </c>
      <c r="AW603" s="3">
        <v>7.6674020000000001</v>
      </c>
      <c r="AX603" s="3">
        <v>72.3643</v>
      </c>
    </row>
    <row r="604" spans="1:50" x14ac:dyDescent="0.2">
      <c r="A604" s="74" t="s">
        <v>501</v>
      </c>
      <c r="B604" s="49">
        <v>36192</v>
      </c>
      <c r="D604" s="3">
        <v>75.894639999999995</v>
      </c>
      <c r="F604" s="3">
        <v>75.979730000000004</v>
      </c>
      <c r="G604" s="3">
        <v>92.853650000000002</v>
      </c>
      <c r="H604" s="3">
        <v>66.840950000000007</v>
      </c>
      <c r="J604" s="3">
        <v>48.259439999999998</v>
      </c>
      <c r="K604" s="3">
        <v>29.38439</v>
      </c>
      <c r="L604" s="3">
        <v>85.5</v>
      </c>
      <c r="M604" s="3">
        <v>81.747150000000005</v>
      </c>
      <c r="N604" s="3">
        <v>74.984129999999993</v>
      </c>
      <c r="O604" s="3">
        <v>78.78</v>
      </c>
      <c r="P604" s="3">
        <v>73.592839999999995</v>
      </c>
      <c r="Q604" s="3">
        <v>64.928370000000001</v>
      </c>
      <c r="S604" s="3">
        <v>79.231769999999997</v>
      </c>
      <c r="T604" s="3">
        <v>80.75461</v>
      </c>
      <c r="V604" s="3">
        <v>77.768060000000006</v>
      </c>
      <c r="W604" s="3">
        <v>77.366100000000003</v>
      </c>
      <c r="X604" s="3">
        <v>72.493729999999999</v>
      </c>
      <c r="Y604" s="3">
        <v>48.171520000000001</v>
      </c>
      <c r="AB604" s="3">
        <v>68.757900000000006</v>
      </c>
      <c r="AC604" s="3">
        <v>42.841819999999998</v>
      </c>
      <c r="AD604" s="3">
        <v>78.282749999999993</v>
      </c>
      <c r="AE604" s="3">
        <v>74.217169999999996</v>
      </c>
      <c r="AF604" s="3">
        <v>102.929</v>
      </c>
      <c r="AH604" s="3">
        <v>79.218000000000004</v>
      </c>
      <c r="AI604" s="3">
        <v>72.801659999999998</v>
      </c>
      <c r="AJ604" s="3">
        <v>61.552579999999999</v>
      </c>
      <c r="AK604" s="3">
        <v>50.246020000000001</v>
      </c>
      <c r="AL604" s="3">
        <v>73.055729999999997</v>
      </c>
      <c r="AM604" s="3">
        <v>73.598200000000006</v>
      </c>
      <c r="AN604" s="3">
        <v>70.664060000000006</v>
      </c>
      <c r="AO604" s="3">
        <v>66.028130000000004</v>
      </c>
      <c r="AP604" s="3">
        <v>67.7517</v>
      </c>
      <c r="AQ604" s="3">
        <v>70.281239999999997</v>
      </c>
      <c r="AT604" s="3">
        <v>53.109319999999997</v>
      </c>
      <c r="AV604" s="3">
        <v>86.531469999999999</v>
      </c>
      <c r="AW604" s="3">
        <v>7.8975669999999996</v>
      </c>
      <c r="AX604" s="3">
        <v>72.529430000000005</v>
      </c>
    </row>
    <row r="605" spans="1:50" x14ac:dyDescent="0.2">
      <c r="A605" s="74" t="s">
        <v>502</v>
      </c>
      <c r="B605" s="49">
        <v>36220</v>
      </c>
      <c r="D605" s="3">
        <v>75.898210000000006</v>
      </c>
      <c r="F605" s="3">
        <v>76.2851</v>
      </c>
      <c r="G605" s="3">
        <v>93.006709999999998</v>
      </c>
      <c r="H605" s="3">
        <v>67.384810000000002</v>
      </c>
      <c r="J605" s="3">
        <v>48.819369999999999</v>
      </c>
      <c r="K605" s="3">
        <v>29.610469999999999</v>
      </c>
      <c r="L605" s="3">
        <v>85.5</v>
      </c>
      <c r="M605" s="3">
        <v>81.696439999999996</v>
      </c>
      <c r="N605" s="3">
        <v>75.384050000000002</v>
      </c>
      <c r="O605" s="3">
        <v>79.010000000000005</v>
      </c>
      <c r="P605" s="3">
        <v>73.817760000000007</v>
      </c>
      <c r="Q605" s="3">
        <v>65.1554</v>
      </c>
      <c r="S605" s="3">
        <v>79.53828</v>
      </c>
      <c r="T605" s="3">
        <v>81.032250000000005</v>
      </c>
      <c r="V605" s="3">
        <v>77.960509999999999</v>
      </c>
      <c r="W605" s="3">
        <v>77.567570000000003</v>
      </c>
      <c r="X605" s="3">
        <v>74.472570000000005</v>
      </c>
      <c r="Y605" s="3">
        <v>48.902299999999997</v>
      </c>
      <c r="AB605" s="3">
        <v>68.983140000000006</v>
      </c>
      <c r="AC605" s="3">
        <v>43.090420000000002</v>
      </c>
      <c r="AD605" s="3">
        <v>78.282749999999993</v>
      </c>
      <c r="AE605" s="3">
        <v>74.347669999999994</v>
      </c>
      <c r="AF605" s="3">
        <v>103.2191</v>
      </c>
      <c r="AH605" s="3">
        <v>79.296599999999998</v>
      </c>
      <c r="AI605" s="3">
        <v>72.874030000000005</v>
      </c>
      <c r="AJ605" s="3">
        <v>61.735259999999997</v>
      </c>
      <c r="AK605" s="3">
        <v>51.026910000000001</v>
      </c>
      <c r="AL605" s="3">
        <v>73.743430000000004</v>
      </c>
      <c r="AM605" s="3">
        <v>74.329719999999995</v>
      </c>
      <c r="AN605" s="3">
        <v>70.960250000000002</v>
      </c>
      <c r="AO605" s="3">
        <v>66.351830000000007</v>
      </c>
      <c r="AP605" s="3">
        <v>68.289199999999994</v>
      </c>
      <c r="AQ605" s="3">
        <v>70.468249999999998</v>
      </c>
      <c r="AT605" s="3">
        <v>53.458120000000001</v>
      </c>
      <c r="AV605" s="3">
        <v>86.816310000000001</v>
      </c>
      <c r="AW605" s="3">
        <v>8.1696240000000007</v>
      </c>
      <c r="AX605" s="3">
        <v>72.735830000000007</v>
      </c>
    </row>
    <row r="606" spans="1:50" x14ac:dyDescent="0.2">
      <c r="A606" s="74" t="s">
        <v>503</v>
      </c>
      <c r="B606" s="49">
        <v>36251</v>
      </c>
      <c r="D606" s="3">
        <v>76.008690000000001</v>
      </c>
      <c r="F606" s="3">
        <v>76.516620000000003</v>
      </c>
      <c r="G606" s="3">
        <v>93.010620000000003</v>
      </c>
      <c r="H606" s="3">
        <v>67.598789999999994</v>
      </c>
      <c r="J606" s="3">
        <v>49.320979999999999</v>
      </c>
      <c r="K606" s="3">
        <v>29.771239999999999</v>
      </c>
      <c r="L606" s="3">
        <v>85.6</v>
      </c>
      <c r="M606" s="3">
        <v>81.778660000000002</v>
      </c>
      <c r="N606" s="3">
        <v>75.529309999999995</v>
      </c>
      <c r="O606" s="3">
        <v>79.040000000000006</v>
      </c>
      <c r="P606" s="3">
        <v>74.00224</v>
      </c>
      <c r="Q606" s="3">
        <v>65.382419999999996</v>
      </c>
      <c r="S606" s="3">
        <v>79.844790000000003</v>
      </c>
      <c r="T606" s="3">
        <v>81.200680000000006</v>
      </c>
      <c r="V606" s="3">
        <v>78.215149999999994</v>
      </c>
      <c r="W606" s="3">
        <v>77.869780000000006</v>
      </c>
      <c r="X606" s="3">
        <v>75.183570000000003</v>
      </c>
      <c r="Y606" s="3">
        <v>49.535240000000002</v>
      </c>
      <c r="AB606" s="3">
        <v>69.33663</v>
      </c>
      <c r="AC606" s="3">
        <v>43.380450000000003</v>
      </c>
      <c r="AD606" s="3">
        <v>78.282749999999993</v>
      </c>
      <c r="AE606" s="3">
        <v>74.503680000000003</v>
      </c>
      <c r="AF606" s="3">
        <v>103.78100000000001</v>
      </c>
      <c r="AH606" s="3">
        <v>79.786000000000001</v>
      </c>
      <c r="AI606" s="3">
        <v>73.037989999999994</v>
      </c>
      <c r="AJ606" s="3">
        <v>61.744869999999999</v>
      </c>
      <c r="AK606" s="3">
        <v>51.619219999999999</v>
      </c>
      <c r="AL606" s="3">
        <v>73.953010000000006</v>
      </c>
      <c r="AM606" s="3">
        <v>74.513109999999998</v>
      </c>
      <c r="AN606" s="3">
        <v>71.289000000000001</v>
      </c>
      <c r="AO606" s="3">
        <v>66.706729999999993</v>
      </c>
      <c r="AP606" s="3">
        <v>68.888530000000003</v>
      </c>
      <c r="AQ606" s="3">
        <v>70.935649999999995</v>
      </c>
      <c r="AT606" s="3">
        <v>53.894539999999999</v>
      </c>
      <c r="AV606" s="3">
        <v>87.047539999999998</v>
      </c>
      <c r="AW606" s="3">
        <v>8.5407480000000007</v>
      </c>
      <c r="AX606" s="3">
        <v>72.983509999999995</v>
      </c>
    </row>
    <row r="607" spans="1:50" x14ac:dyDescent="0.2">
      <c r="A607" s="74" t="s">
        <v>504</v>
      </c>
      <c r="B607" s="49">
        <v>36281</v>
      </c>
      <c r="D607" s="3">
        <v>76.082549999999998</v>
      </c>
      <c r="F607" s="3">
        <v>76.645679999999999</v>
      </c>
      <c r="G607" s="3">
        <v>92.778779999999998</v>
      </c>
      <c r="H607" s="3">
        <v>67.705770000000001</v>
      </c>
      <c r="J607" s="3">
        <v>49.577620000000003</v>
      </c>
      <c r="K607" s="3">
        <v>29.93402</v>
      </c>
      <c r="L607" s="3">
        <v>85.7</v>
      </c>
      <c r="M607" s="3">
        <v>81.847210000000004</v>
      </c>
      <c r="N607" s="3">
        <v>75.638279999999995</v>
      </c>
      <c r="O607" s="3">
        <v>79.14</v>
      </c>
      <c r="P607" s="3">
        <v>74.083240000000004</v>
      </c>
      <c r="Q607" s="3">
        <v>65.893209999999996</v>
      </c>
      <c r="S607" s="3">
        <v>79.921419999999998</v>
      </c>
      <c r="T607" s="3">
        <v>81.197159999999997</v>
      </c>
      <c r="V607" s="3">
        <v>78.20917</v>
      </c>
      <c r="W607" s="3">
        <v>78.071250000000006</v>
      </c>
      <c r="X607" s="3">
        <v>74.959050000000005</v>
      </c>
      <c r="Y607" s="3">
        <v>49.870800000000003</v>
      </c>
      <c r="AB607" s="3">
        <v>69.587969999999999</v>
      </c>
      <c r="AC607" s="3">
        <v>43.504750000000001</v>
      </c>
      <c r="AD607" s="3">
        <v>78.685230000000004</v>
      </c>
      <c r="AE607" s="3">
        <v>74.644739999999999</v>
      </c>
      <c r="AF607" s="3">
        <v>103.8194</v>
      </c>
      <c r="AH607" s="3">
        <v>79.761200000000002</v>
      </c>
      <c r="AI607" s="3">
        <v>73.222269999999995</v>
      </c>
      <c r="AJ607" s="3">
        <v>61.860239999999997</v>
      </c>
      <c r="AK607" s="3">
        <v>52.035539999999997</v>
      </c>
      <c r="AL607" s="3">
        <v>73.95993</v>
      </c>
      <c r="AM607" s="3">
        <v>74.368629999999996</v>
      </c>
      <c r="AN607" s="3">
        <v>71.409750000000003</v>
      </c>
      <c r="AO607" s="3">
        <v>66.994500000000002</v>
      </c>
      <c r="AP607" s="3">
        <v>69.404240000000001</v>
      </c>
      <c r="AQ607" s="3">
        <v>71.39143</v>
      </c>
      <c r="AT607" s="3">
        <v>54.22457</v>
      </c>
      <c r="AV607" s="3">
        <v>87.077699999999993</v>
      </c>
      <c r="AW607" s="3">
        <v>8.9429200000000009</v>
      </c>
      <c r="AX607" s="3">
        <v>72.900949999999995</v>
      </c>
    </row>
    <row r="608" spans="1:50" x14ac:dyDescent="0.2">
      <c r="A608" s="74" t="s">
        <v>505</v>
      </c>
      <c r="B608" s="49">
        <v>36312</v>
      </c>
      <c r="D608" s="3">
        <v>76.069050000000004</v>
      </c>
      <c r="F608" s="3">
        <v>76.85275</v>
      </c>
      <c r="G608" s="3">
        <v>92.797910000000002</v>
      </c>
      <c r="H608" s="3">
        <v>67.848429999999993</v>
      </c>
      <c r="J608" s="3">
        <v>49.810920000000003</v>
      </c>
      <c r="K608" s="3">
        <v>30.158090000000001</v>
      </c>
      <c r="L608" s="3">
        <v>85.9</v>
      </c>
      <c r="M608" s="3">
        <v>81.966650000000001</v>
      </c>
      <c r="N608" s="3">
        <v>75.820089999999993</v>
      </c>
      <c r="O608" s="3">
        <v>79.2</v>
      </c>
      <c r="P608" s="3">
        <v>74.254800000000003</v>
      </c>
      <c r="Q608" s="3">
        <v>65.893209999999996</v>
      </c>
      <c r="S608" s="3">
        <v>79.921419999999998</v>
      </c>
      <c r="T608" s="3">
        <v>81.228899999999996</v>
      </c>
      <c r="V608" s="3">
        <v>78.226159999999993</v>
      </c>
      <c r="W608" s="3">
        <v>78.071250000000006</v>
      </c>
      <c r="X608" s="3">
        <v>75.165229999999994</v>
      </c>
      <c r="Y608" s="3">
        <v>50.129170000000002</v>
      </c>
      <c r="AB608" s="3">
        <v>69.733890000000002</v>
      </c>
      <c r="AC608" s="3">
        <v>43.919080000000001</v>
      </c>
      <c r="AD608" s="3">
        <v>78.987080000000006</v>
      </c>
      <c r="AE608" s="3">
        <v>74.679280000000006</v>
      </c>
      <c r="AF608" s="3">
        <v>103.74590000000001</v>
      </c>
      <c r="AH608" s="3">
        <v>79.715500000000006</v>
      </c>
      <c r="AI608" s="3">
        <v>73.208309999999997</v>
      </c>
      <c r="AJ608" s="3">
        <v>62.552500000000002</v>
      </c>
      <c r="AK608" s="3">
        <v>52.427619999999997</v>
      </c>
      <c r="AL608" s="3">
        <v>73.708609999999993</v>
      </c>
      <c r="AM608" s="3">
        <v>74.457310000000007</v>
      </c>
      <c r="AN608" s="3">
        <v>71.551959999999994</v>
      </c>
      <c r="AO608" s="3">
        <v>67.276020000000003</v>
      </c>
      <c r="AP608" s="3">
        <v>69.891459999999995</v>
      </c>
      <c r="AQ608" s="3">
        <v>71.494420000000005</v>
      </c>
      <c r="AT608" s="3">
        <v>54.511710000000001</v>
      </c>
      <c r="AV608" s="3">
        <v>87.194980000000001</v>
      </c>
      <c r="AW608" s="3">
        <v>9.3825489999999991</v>
      </c>
      <c r="AX608" s="3">
        <v>72.900949999999995</v>
      </c>
    </row>
    <row r="609" spans="1:50" x14ac:dyDescent="0.2">
      <c r="A609" s="74" t="s">
        <v>506</v>
      </c>
      <c r="B609" s="49">
        <v>36342</v>
      </c>
      <c r="D609" s="3">
        <v>76.262039999999999</v>
      </c>
      <c r="F609" s="3">
        <v>76.942390000000003</v>
      </c>
      <c r="G609" s="3">
        <v>92.763440000000003</v>
      </c>
      <c r="H609" s="3">
        <v>67.768190000000004</v>
      </c>
      <c r="J609" s="3">
        <v>50.06756</v>
      </c>
      <c r="K609" s="3">
        <v>30.41733</v>
      </c>
      <c r="L609" s="3">
        <v>86.5</v>
      </c>
      <c r="M609" s="3">
        <v>82.458259999999996</v>
      </c>
      <c r="N609" s="3">
        <v>75.483639999999994</v>
      </c>
      <c r="O609" s="3">
        <v>79.3</v>
      </c>
      <c r="P609" s="3">
        <v>74.523619999999994</v>
      </c>
      <c r="Q609" s="3">
        <v>66.006730000000005</v>
      </c>
      <c r="S609" s="3">
        <v>79.691540000000003</v>
      </c>
      <c r="T609" s="3">
        <v>81.006159999999994</v>
      </c>
      <c r="V609" s="3">
        <v>78.262240000000006</v>
      </c>
      <c r="W609" s="3">
        <v>77.366100000000003</v>
      </c>
      <c r="X609" s="3">
        <v>73.760170000000002</v>
      </c>
      <c r="Y609" s="3">
        <v>50.591160000000002</v>
      </c>
      <c r="AB609" s="3">
        <v>69.495769999999993</v>
      </c>
      <c r="AC609" s="3">
        <v>44.001950000000001</v>
      </c>
      <c r="AD609" s="3">
        <v>79.28895</v>
      </c>
      <c r="AE609" s="3">
        <v>74.941550000000007</v>
      </c>
      <c r="AF609" s="3">
        <v>103.3441</v>
      </c>
      <c r="AH609" s="3">
        <v>79.706999999999994</v>
      </c>
      <c r="AI609" s="3">
        <v>72.044690000000003</v>
      </c>
      <c r="AJ609" s="3">
        <v>62.571719999999999</v>
      </c>
      <c r="AK609" s="3">
        <v>52.798360000000002</v>
      </c>
      <c r="AL609" s="3">
        <v>73.77319</v>
      </c>
      <c r="AM609" s="3">
        <v>74.189830000000001</v>
      </c>
      <c r="AN609" s="3">
        <v>71.695689999999999</v>
      </c>
      <c r="AO609" s="3">
        <v>67.488479999999996</v>
      </c>
      <c r="AP609" s="3">
        <v>70.317980000000006</v>
      </c>
      <c r="AQ609" s="3">
        <v>71.565219999999997</v>
      </c>
      <c r="AT609" s="3">
        <v>55.727420000000002</v>
      </c>
      <c r="AV609" s="3">
        <v>86.779449999999997</v>
      </c>
      <c r="AW609" s="3">
        <v>9.7635299999999994</v>
      </c>
      <c r="AX609" s="3">
        <v>73.024789999999996</v>
      </c>
    </row>
    <row r="610" spans="1:50" x14ac:dyDescent="0.2">
      <c r="A610" s="74" t="s">
        <v>507</v>
      </c>
      <c r="B610" s="49">
        <v>36373</v>
      </c>
      <c r="D610" s="3">
        <v>76.263030000000001</v>
      </c>
      <c r="F610" s="3">
        <v>77.031270000000006</v>
      </c>
      <c r="G610" s="3">
        <v>93.365430000000003</v>
      </c>
      <c r="H610" s="3">
        <v>67.670109999999994</v>
      </c>
      <c r="J610" s="3">
        <v>50.324199999999998</v>
      </c>
      <c r="K610" s="3">
        <v>30.59216</v>
      </c>
      <c r="L610" s="3">
        <v>86.5</v>
      </c>
      <c r="M610" s="3">
        <v>82.390439999999998</v>
      </c>
      <c r="N610" s="3">
        <v>75.790819999999997</v>
      </c>
      <c r="O610" s="3">
        <v>79.42</v>
      </c>
      <c r="P610" s="3">
        <v>74.68562</v>
      </c>
      <c r="Q610" s="3">
        <v>66.176990000000004</v>
      </c>
      <c r="S610" s="3">
        <v>79.844790000000003</v>
      </c>
      <c r="T610" s="3">
        <v>81.230710000000002</v>
      </c>
      <c r="V610" s="3">
        <v>78.333950000000002</v>
      </c>
      <c r="W610" s="3">
        <v>77.567570000000003</v>
      </c>
      <c r="X610" s="3">
        <v>73.791470000000004</v>
      </c>
      <c r="Y610" s="3">
        <v>50.945300000000003</v>
      </c>
      <c r="AB610" s="3">
        <v>69.917209999999997</v>
      </c>
      <c r="AC610" s="3">
        <v>43.877650000000003</v>
      </c>
      <c r="AD610" s="3">
        <v>79.590810000000005</v>
      </c>
      <c r="AE610" s="3">
        <v>75.033580000000001</v>
      </c>
      <c r="AF610" s="3">
        <v>103.27549999999999</v>
      </c>
      <c r="AH610" s="3">
        <v>79.625</v>
      </c>
      <c r="AI610" s="3">
        <v>73.342500000000001</v>
      </c>
      <c r="AJ610" s="3">
        <v>62.80247</v>
      </c>
      <c r="AK610" s="3">
        <v>53.186210000000003</v>
      </c>
      <c r="AL610" s="3">
        <v>74.217339999999993</v>
      </c>
      <c r="AM610" s="3">
        <v>73.858279999999993</v>
      </c>
      <c r="AN610" s="3">
        <v>71.885940000000005</v>
      </c>
      <c r="AO610" s="3">
        <v>67.816509999999994</v>
      </c>
      <c r="AP610" s="3">
        <v>70.747259999999997</v>
      </c>
      <c r="AQ610" s="3">
        <v>71.3035</v>
      </c>
      <c r="AT610" s="3">
        <v>56.143000000000001</v>
      </c>
      <c r="AV610" s="3">
        <v>86.645409999999998</v>
      </c>
      <c r="AW610" s="3">
        <v>10.215479999999999</v>
      </c>
      <c r="AX610" s="3">
        <v>73.107349999999997</v>
      </c>
    </row>
    <row r="611" spans="1:50" x14ac:dyDescent="0.2">
      <c r="A611" s="74" t="s">
        <v>508</v>
      </c>
      <c r="B611" s="49">
        <v>36404</v>
      </c>
      <c r="D611" s="3">
        <v>76.360010000000003</v>
      </c>
      <c r="F611" s="3">
        <v>77.340509999999995</v>
      </c>
      <c r="G611" s="3">
        <v>93.439340000000001</v>
      </c>
      <c r="H611" s="3">
        <v>67.786019999999994</v>
      </c>
      <c r="J611" s="3">
        <v>50.475850000000001</v>
      </c>
      <c r="K611" s="3">
        <v>30.75996</v>
      </c>
      <c r="L611" s="3">
        <v>86.3</v>
      </c>
      <c r="M611" s="3">
        <v>82.151470000000003</v>
      </c>
      <c r="N611" s="3">
        <v>76.189539999999994</v>
      </c>
      <c r="O611" s="3">
        <v>79.400000000000006</v>
      </c>
      <c r="P611" s="3">
        <v>74.698530000000005</v>
      </c>
      <c r="Q611" s="3">
        <v>66.460769999999997</v>
      </c>
      <c r="S611" s="3">
        <v>80.151290000000003</v>
      </c>
      <c r="T611" s="3">
        <v>81.300089999999997</v>
      </c>
      <c r="V611" s="3">
        <v>78.544719999999998</v>
      </c>
      <c r="W611" s="3">
        <v>78.071250000000006</v>
      </c>
      <c r="X611" s="3">
        <v>75.143910000000005</v>
      </c>
      <c r="Y611" s="3">
        <v>51.120449999999998</v>
      </c>
      <c r="AB611" s="3">
        <v>70.18629</v>
      </c>
      <c r="AC611" s="3">
        <v>44.209110000000003</v>
      </c>
      <c r="AD611" s="3">
        <v>79.993290000000002</v>
      </c>
      <c r="AE611" s="3">
        <v>75.107060000000004</v>
      </c>
      <c r="AF611" s="3">
        <v>103.6587</v>
      </c>
      <c r="AH611" s="3">
        <v>79.733999999999995</v>
      </c>
      <c r="AI611" s="3">
        <v>73.487459999999999</v>
      </c>
      <c r="AJ611" s="3">
        <v>63.206290000000003</v>
      </c>
      <c r="AK611" s="3">
        <v>53.8645</v>
      </c>
      <c r="AL611" s="3">
        <v>74.656610000000001</v>
      </c>
      <c r="AM611" s="3">
        <v>74.623589999999993</v>
      </c>
      <c r="AN611" s="3">
        <v>72.245289999999997</v>
      </c>
      <c r="AO611" s="3">
        <v>68.276730000000001</v>
      </c>
      <c r="AP611" s="3">
        <v>71.392009999999999</v>
      </c>
      <c r="AQ611" s="3">
        <v>71.324219999999997</v>
      </c>
      <c r="AT611" s="3">
        <v>56.441859999999998</v>
      </c>
      <c r="AV611" s="3">
        <v>87.449659999999994</v>
      </c>
      <c r="AW611" s="3">
        <v>10.88232</v>
      </c>
      <c r="AX611" s="3">
        <v>73.355029999999999</v>
      </c>
    </row>
    <row r="612" spans="1:50" x14ac:dyDescent="0.2">
      <c r="A612" s="74" t="s">
        <v>509</v>
      </c>
      <c r="B612" s="49">
        <v>36434</v>
      </c>
      <c r="D612" s="3">
        <v>76.412369999999996</v>
      </c>
      <c r="F612" s="3">
        <v>77.335849999999994</v>
      </c>
      <c r="G612" s="3">
        <v>93.429339999999996</v>
      </c>
      <c r="H612" s="3">
        <v>67.866259999999997</v>
      </c>
      <c r="J612" s="3">
        <v>50.674160000000001</v>
      </c>
      <c r="K612" s="3">
        <v>31.077480000000001</v>
      </c>
      <c r="L612" s="3">
        <v>86.3</v>
      </c>
      <c r="M612" s="3">
        <v>82.084890000000001</v>
      </c>
      <c r="N612" s="3">
        <v>76.340620000000001</v>
      </c>
      <c r="O612" s="3">
        <v>79.400000000000006</v>
      </c>
      <c r="P612" s="3">
        <v>74.689620000000005</v>
      </c>
      <c r="Q612" s="3">
        <v>66.460769999999997</v>
      </c>
      <c r="S612" s="3">
        <v>80.381169999999997</v>
      </c>
      <c r="T612" s="3">
        <v>81.228129999999993</v>
      </c>
      <c r="V612" s="3">
        <v>78.701049999999995</v>
      </c>
      <c r="W612" s="3">
        <v>77.970510000000004</v>
      </c>
      <c r="X612" s="3">
        <v>75.304659999999998</v>
      </c>
      <c r="Y612" s="3">
        <v>51.354669999999999</v>
      </c>
      <c r="AB612" s="3">
        <v>70.30789</v>
      </c>
      <c r="AC612" s="3">
        <v>44.582009999999997</v>
      </c>
      <c r="AD612" s="3">
        <v>80.395769999999999</v>
      </c>
      <c r="AE612" s="3">
        <v>75.405330000000006</v>
      </c>
      <c r="AF612" s="3">
        <v>103.8019</v>
      </c>
      <c r="AH612" s="3">
        <v>78.525599999999997</v>
      </c>
      <c r="AI612" s="3">
        <v>73.691829999999996</v>
      </c>
      <c r="AJ612" s="3">
        <v>63.254359999999998</v>
      </c>
      <c r="AK612" s="3">
        <v>54.253030000000003</v>
      </c>
      <c r="AL612" s="3">
        <v>74.75506</v>
      </c>
      <c r="AM612" s="3">
        <v>74.780860000000004</v>
      </c>
      <c r="AN612" s="3">
        <v>72.543310000000005</v>
      </c>
      <c r="AO612" s="3">
        <v>68.65746</v>
      </c>
      <c r="AP612" s="3">
        <v>71.89246</v>
      </c>
      <c r="AQ612" s="3">
        <v>71.797330000000002</v>
      </c>
      <c r="AT612" s="3">
        <v>56.801569999999998</v>
      </c>
      <c r="AV612" s="3">
        <v>87.600459999999998</v>
      </c>
      <c r="AW612" s="3">
        <v>11.55359</v>
      </c>
      <c r="AX612" s="3">
        <v>73.602710000000002</v>
      </c>
    </row>
    <row r="613" spans="1:50" x14ac:dyDescent="0.2">
      <c r="A613" s="74" t="s">
        <v>510</v>
      </c>
      <c r="B613" s="49">
        <v>36465</v>
      </c>
      <c r="D613" s="3">
        <v>76.570139999999995</v>
      </c>
      <c r="F613" s="3">
        <v>77.224450000000004</v>
      </c>
      <c r="G613" s="3">
        <v>93.360990000000001</v>
      </c>
      <c r="H613" s="3">
        <v>67.910839999999993</v>
      </c>
      <c r="J613" s="3">
        <v>50.884129999999999</v>
      </c>
      <c r="K613" s="3">
        <v>31.322649999999999</v>
      </c>
      <c r="L613" s="3">
        <v>86.4</v>
      </c>
      <c r="M613" s="3">
        <v>82.306920000000005</v>
      </c>
      <c r="N613" s="3">
        <v>76.400660000000002</v>
      </c>
      <c r="O613" s="3">
        <v>79.47</v>
      </c>
      <c r="P613" s="3">
        <v>74.705889999999997</v>
      </c>
      <c r="Q613" s="3">
        <v>66.517520000000005</v>
      </c>
      <c r="S613" s="3">
        <v>80.381169999999997</v>
      </c>
      <c r="T613" s="3">
        <v>81.149720000000002</v>
      </c>
      <c r="V613" s="3">
        <v>78.737340000000003</v>
      </c>
      <c r="W613" s="3">
        <v>78.071250000000006</v>
      </c>
      <c r="X613" s="3">
        <v>75.324389999999994</v>
      </c>
      <c r="Y613" s="3">
        <v>51.419150000000002</v>
      </c>
      <c r="AB613" s="3">
        <v>70.371120000000005</v>
      </c>
      <c r="AC613" s="3">
        <v>44.706310000000002</v>
      </c>
      <c r="AD613" s="3">
        <v>80.295150000000007</v>
      </c>
      <c r="AE613" s="3">
        <v>75.528469999999999</v>
      </c>
      <c r="AF613" s="3">
        <v>103.6425</v>
      </c>
      <c r="AH613" s="3">
        <v>78.478700000000003</v>
      </c>
      <c r="AI613" s="3">
        <v>73.740520000000004</v>
      </c>
      <c r="AJ613" s="3">
        <v>63.456270000000004</v>
      </c>
      <c r="AK613" s="3">
        <v>54.725149999999999</v>
      </c>
      <c r="AL613" s="3">
        <v>74.730590000000007</v>
      </c>
      <c r="AM613" s="3">
        <v>75.006129999999999</v>
      </c>
      <c r="AN613" s="3">
        <v>72.695430000000002</v>
      </c>
      <c r="AO613" s="3">
        <v>68.95</v>
      </c>
      <c r="AP613" s="3">
        <v>72.21002</v>
      </c>
      <c r="AQ613" s="3">
        <v>72.398669999999996</v>
      </c>
      <c r="AT613" s="3">
        <v>57.006860000000003</v>
      </c>
      <c r="AV613" s="3">
        <v>87.3994</v>
      </c>
      <c r="AW613" s="3">
        <v>11.98386</v>
      </c>
      <c r="AX613" s="3">
        <v>73.644000000000005</v>
      </c>
    </row>
    <row r="614" spans="1:50" x14ac:dyDescent="0.2">
      <c r="A614" s="74" t="s">
        <v>511</v>
      </c>
      <c r="B614" s="49">
        <v>36495</v>
      </c>
      <c r="D614" s="3">
        <v>76.693259999999995</v>
      </c>
      <c r="F614" s="3">
        <v>77.103350000000006</v>
      </c>
      <c r="G614" s="3">
        <v>93.403049999999993</v>
      </c>
      <c r="H614" s="3">
        <v>68.080240000000003</v>
      </c>
      <c r="J614" s="3">
        <v>51.047449999999998</v>
      </c>
      <c r="K614" s="3">
        <v>31.579879999999999</v>
      </c>
      <c r="L614" s="3">
        <v>86.6</v>
      </c>
      <c r="M614" s="3">
        <v>82.529039999999995</v>
      </c>
      <c r="N614" s="3">
        <v>76.454509999999999</v>
      </c>
      <c r="O614" s="3">
        <v>79.59</v>
      </c>
      <c r="P614" s="3">
        <v>74.887479999999996</v>
      </c>
      <c r="Q614" s="3">
        <v>66.631029999999996</v>
      </c>
      <c r="S614" s="3">
        <v>80.611050000000006</v>
      </c>
      <c r="T614" s="3">
        <v>81.338310000000007</v>
      </c>
      <c r="V614" s="3">
        <v>78.717240000000004</v>
      </c>
      <c r="W614" s="3">
        <v>78.171989999999994</v>
      </c>
      <c r="X614" s="3">
        <v>75.812579999999997</v>
      </c>
      <c r="Y614" s="3">
        <v>51.632989999999999</v>
      </c>
      <c r="AB614" s="3">
        <v>71.400289999999998</v>
      </c>
      <c r="AC614" s="3">
        <v>44.872039999999998</v>
      </c>
      <c r="AD614" s="3">
        <v>79.993290000000002</v>
      </c>
      <c r="AE614" s="3">
        <v>75.506630000000001</v>
      </c>
      <c r="AF614" s="3">
        <v>103.55629999999999</v>
      </c>
      <c r="AH614" s="3">
        <v>78.270099999999999</v>
      </c>
      <c r="AI614" s="3">
        <v>73.876159999999999</v>
      </c>
      <c r="AJ614" s="3">
        <v>63.312049999999999</v>
      </c>
      <c r="AK614" s="3">
        <v>55.199620000000003</v>
      </c>
      <c r="AL614" s="3">
        <v>74.388239999999996</v>
      </c>
      <c r="AM614" s="3">
        <v>75.085620000000006</v>
      </c>
      <c r="AN614" s="3">
        <v>72.872349999999997</v>
      </c>
      <c r="AO614" s="3">
        <v>69.406589999999994</v>
      </c>
      <c r="AP614" s="3">
        <v>72.531199999999998</v>
      </c>
      <c r="AQ614" s="3">
        <v>72.505970000000005</v>
      </c>
      <c r="AT614" s="3">
        <v>57.161189999999998</v>
      </c>
      <c r="AV614" s="3">
        <v>87.496579999999994</v>
      </c>
      <c r="AW614" s="3">
        <v>12.68224</v>
      </c>
      <c r="AX614" s="3">
        <v>73.561430000000001</v>
      </c>
    </row>
    <row r="615" spans="1:50" x14ac:dyDescent="0.2">
      <c r="A615" s="3" t="s">
        <v>512</v>
      </c>
      <c r="B615" s="49">
        <v>36526</v>
      </c>
      <c r="D615" s="3">
        <v>76.874840000000006</v>
      </c>
      <c r="F615" s="3">
        <v>76.905119999999997</v>
      </c>
      <c r="G615" s="3">
        <v>93.728179999999995</v>
      </c>
      <c r="H615" s="3">
        <v>68.098070000000007</v>
      </c>
      <c r="J615" s="3">
        <v>51.560720000000003</v>
      </c>
      <c r="K615" s="3">
        <v>32.281230000000001</v>
      </c>
      <c r="L615" s="3">
        <v>87.1</v>
      </c>
      <c r="M615" s="3">
        <v>82.541640000000001</v>
      </c>
      <c r="N615" s="3">
        <v>76.136920000000003</v>
      </c>
      <c r="O615" s="3">
        <v>79.349999999999994</v>
      </c>
      <c r="P615" s="3">
        <v>75.169169999999994</v>
      </c>
      <c r="Q615" s="3">
        <v>67.085080000000005</v>
      </c>
      <c r="S615" s="3">
        <v>80.534419999999997</v>
      </c>
      <c r="T615" s="3">
        <v>81.256839999999997</v>
      </c>
      <c r="V615" s="3">
        <v>78.732209999999995</v>
      </c>
      <c r="W615" s="3">
        <v>77.164619999999999</v>
      </c>
      <c r="X615" s="3">
        <v>74.4893</v>
      </c>
      <c r="Y615" s="3">
        <v>52.123089999999998</v>
      </c>
      <c r="AB615" s="3">
        <v>71.090909999999994</v>
      </c>
      <c r="AC615" s="3">
        <v>45.16207</v>
      </c>
      <c r="AD615" s="3">
        <v>79.590810000000005</v>
      </c>
      <c r="AE615" s="3">
        <v>75.633790000000005</v>
      </c>
      <c r="AF615" s="3">
        <v>103.0475</v>
      </c>
      <c r="AH615" s="3">
        <v>78.441100000000006</v>
      </c>
      <c r="AI615" s="3">
        <v>73.040049999999994</v>
      </c>
      <c r="AJ615" s="3">
        <v>63.94661</v>
      </c>
      <c r="AK615" s="3">
        <v>55.98612</v>
      </c>
      <c r="AL615" s="3">
        <v>74.071669999999997</v>
      </c>
      <c r="AM615" s="3">
        <v>75.263660000000002</v>
      </c>
      <c r="AN615" s="3">
        <v>73.046049999999994</v>
      </c>
      <c r="AO615" s="3">
        <v>69.531220000000005</v>
      </c>
      <c r="AP615" s="3">
        <v>74.173779999999994</v>
      </c>
      <c r="AQ615" s="3">
        <v>72.218670000000003</v>
      </c>
      <c r="AT615" s="3">
        <v>57.930549999999997</v>
      </c>
      <c r="AU615" s="3">
        <v>64.941090000000003</v>
      </c>
      <c r="AV615" s="3">
        <v>86.621949999999998</v>
      </c>
      <c r="AW615" s="3">
        <v>13.37668</v>
      </c>
      <c r="AX615" s="3">
        <v>73.809110000000004</v>
      </c>
    </row>
    <row r="616" spans="1:50" x14ac:dyDescent="0.2">
      <c r="A616" s="74" t="s">
        <v>513</v>
      </c>
      <c r="B616" s="49">
        <v>36557</v>
      </c>
      <c r="D616" s="3">
        <v>77.063090000000003</v>
      </c>
      <c r="F616" s="3">
        <v>77.330309999999997</v>
      </c>
      <c r="G616" s="3">
        <v>93.984989999999996</v>
      </c>
      <c r="H616" s="3">
        <v>68.757829999999998</v>
      </c>
      <c r="J616" s="3">
        <v>52.493949999999998</v>
      </c>
      <c r="K616" s="3">
        <v>32.660040000000002</v>
      </c>
      <c r="L616" s="3">
        <v>87.2</v>
      </c>
      <c r="M616" s="3">
        <v>82.552530000000004</v>
      </c>
      <c r="N616" s="3">
        <v>76.509450000000001</v>
      </c>
      <c r="O616" s="3">
        <v>79.55</v>
      </c>
      <c r="P616" s="3">
        <v>75.351129999999998</v>
      </c>
      <c r="Q616" s="3">
        <v>67.255350000000007</v>
      </c>
      <c r="S616" s="3">
        <v>80.985069999999993</v>
      </c>
      <c r="T616" s="3">
        <v>81.274180000000001</v>
      </c>
      <c r="V616" s="3">
        <v>78.926360000000003</v>
      </c>
      <c r="W616" s="3">
        <v>77.466830000000002</v>
      </c>
      <c r="X616" s="3">
        <v>73.736450000000005</v>
      </c>
      <c r="Y616" s="3">
        <v>52.858199999999997</v>
      </c>
      <c r="AB616" s="3">
        <v>71.779669999999996</v>
      </c>
      <c r="AC616" s="3">
        <v>44.954909999999998</v>
      </c>
      <c r="AD616" s="3">
        <v>79.087710000000001</v>
      </c>
      <c r="AE616" s="3">
        <v>75.892610000000005</v>
      </c>
      <c r="AF616" s="3">
        <v>102.7638</v>
      </c>
      <c r="AH616" s="3">
        <v>78.857100000000003</v>
      </c>
      <c r="AI616" s="3">
        <v>74.221329999999995</v>
      </c>
      <c r="AJ616" s="3">
        <v>64.273510000000002</v>
      </c>
      <c r="AK616" s="3">
        <v>56.624470000000002</v>
      </c>
      <c r="AL616" s="3">
        <v>74.548779999999994</v>
      </c>
      <c r="AM616" s="3">
        <v>75.52901</v>
      </c>
      <c r="AN616" s="3">
        <v>73.304119999999998</v>
      </c>
      <c r="AO616" s="3">
        <v>69.789100000000005</v>
      </c>
      <c r="AP616" s="3">
        <v>74.696190000000001</v>
      </c>
      <c r="AQ616" s="3">
        <v>71.912760000000006</v>
      </c>
      <c r="AT616" s="3">
        <v>59.76164</v>
      </c>
      <c r="AU616" s="3">
        <v>65.471090000000004</v>
      </c>
      <c r="AV616" s="3">
        <v>86.742580000000004</v>
      </c>
      <c r="AW616" s="3">
        <v>13.71527</v>
      </c>
      <c r="AX616" s="3">
        <v>74.098079999999996</v>
      </c>
    </row>
    <row r="617" spans="1:50" x14ac:dyDescent="0.2">
      <c r="A617" s="74" t="s">
        <v>514</v>
      </c>
      <c r="B617" s="49">
        <v>36586</v>
      </c>
      <c r="D617" s="3">
        <v>77.251149999999996</v>
      </c>
      <c r="F617" s="3">
        <v>77.669359999999998</v>
      </c>
      <c r="G617" s="3">
        <v>93.794039999999995</v>
      </c>
      <c r="H617" s="3">
        <v>69.426509999999993</v>
      </c>
      <c r="J617" s="3">
        <v>53.15887</v>
      </c>
      <c r="K617" s="3">
        <v>32.940379999999998</v>
      </c>
      <c r="L617" s="3">
        <v>87</v>
      </c>
      <c r="M617" s="3">
        <v>82.461129999999997</v>
      </c>
      <c r="N617" s="3">
        <v>77.049869999999999</v>
      </c>
      <c r="O617" s="3">
        <v>79.72</v>
      </c>
      <c r="P617" s="3">
        <v>75.617930000000001</v>
      </c>
      <c r="Q617" s="3">
        <v>67.766149999999996</v>
      </c>
      <c r="S617" s="3">
        <v>81.345590000000001</v>
      </c>
      <c r="T617" s="3">
        <v>81.640739999999994</v>
      </c>
      <c r="V617" s="3">
        <v>79.219890000000007</v>
      </c>
      <c r="W617" s="3">
        <v>77.668300000000002</v>
      </c>
      <c r="X617" s="3">
        <v>75.709879999999998</v>
      </c>
      <c r="Y617" s="3">
        <v>53.281570000000002</v>
      </c>
      <c r="AB617" s="3">
        <v>72.262839999999997</v>
      </c>
      <c r="AC617" s="3">
        <v>45.286369999999998</v>
      </c>
      <c r="AD617" s="3">
        <v>78.685230000000004</v>
      </c>
      <c r="AE617" s="3">
        <v>75.940539999999999</v>
      </c>
      <c r="AF617" s="3">
        <v>102.9311</v>
      </c>
      <c r="AH617" s="3">
        <v>78.803399999999996</v>
      </c>
      <c r="AI617" s="3">
        <v>74.322580000000002</v>
      </c>
      <c r="AJ617" s="3">
        <v>64.340810000000005</v>
      </c>
      <c r="AK617" s="3">
        <v>56.996250000000003</v>
      </c>
      <c r="AL617" s="3">
        <v>75.226889999999997</v>
      </c>
      <c r="AM617" s="3">
        <v>75.60821</v>
      </c>
      <c r="AN617" s="3">
        <v>73.633579999999995</v>
      </c>
      <c r="AO617" s="3">
        <v>70.053920000000005</v>
      </c>
      <c r="AP617" s="3">
        <v>75.328389999999999</v>
      </c>
      <c r="AQ617" s="3">
        <v>72.116039999999998</v>
      </c>
      <c r="AT617" s="3">
        <v>60.11307</v>
      </c>
      <c r="AU617" s="3">
        <v>65.941100000000006</v>
      </c>
      <c r="AV617" s="3">
        <v>87.131309999999999</v>
      </c>
      <c r="AW617" s="3">
        <v>13.9824</v>
      </c>
      <c r="AX617" s="3">
        <v>74.51088</v>
      </c>
    </row>
    <row r="618" spans="1:50" x14ac:dyDescent="0.2">
      <c r="A618" s="74" t="s">
        <v>515</v>
      </c>
      <c r="B618" s="49">
        <v>36617</v>
      </c>
      <c r="D618" s="3">
        <v>77.293719999999993</v>
      </c>
      <c r="F618" s="3">
        <v>77.644909999999996</v>
      </c>
      <c r="G618" s="3">
        <v>93.796620000000004</v>
      </c>
      <c r="H618" s="3">
        <v>69.569149999999993</v>
      </c>
      <c r="J618" s="3">
        <v>53.497169999999997</v>
      </c>
      <c r="K618" s="3">
        <v>33.072009999999999</v>
      </c>
      <c r="L618" s="3">
        <v>87</v>
      </c>
      <c r="M618" s="3">
        <v>82.506299999999996</v>
      </c>
      <c r="N618" s="3">
        <v>77.161590000000004</v>
      </c>
      <c r="O618" s="3">
        <v>79.86</v>
      </c>
      <c r="P618" s="3">
        <v>75.951660000000004</v>
      </c>
      <c r="Q618" s="3">
        <v>67.936419999999998</v>
      </c>
      <c r="S618" s="3">
        <v>81.681529999999995</v>
      </c>
      <c r="T618" s="3">
        <v>81.585939999999994</v>
      </c>
      <c r="V618" s="3">
        <v>79.360150000000004</v>
      </c>
      <c r="W618" s="3">
        <v>77.869780000000006</v>
      </c>
      <c r="X618" s="3">
        <v>76.273899999999998</v>
      </c>
      <c r="Y618" s="3">
        <v>53.852760000000004</v>
      </c>
      <c r="AB618" s="3">
        <v>72.779979999999995</v>
      </c>
      <c r="AC618" s="3">
        <v>45.617840000000001</v>
      </c>
      <c r="AD618" s="3">
        <v>79.28895</v>
      </c>
      <c r="AE618" s="3">
        <v>76.021100000000004</v>
      </c>
      <c r="AF618" s="3">
        <v>103.2086</v>
      </c>
      <c r="AH618" s="3">
        <v>78.712500000000006</v>
      </c>
      <c r="AI618" s="3">
        <v>74.500720000000001</v>
      </c>
      <c r="AJ618" s="3">
        <v>64.581180000000003</v>
      </c>
      <c r="AK618" s="3">
        <v>57.31955</v>
      </c>
      <c r="AL618" s="3">
        <v>75.476050000000001</v>
      </c>
      <c r="AM618" s="3">
        <v>75.967179999999999</v>
      </c>
      <c r="AN618" s="3">
        <v>73.848920000000007</v>
      </c>
      <c r="AO618" s="3">
        <v>70.297370000000001</v>
      </c>
      <c r="AP618" s="3">
        <v>75.493260000000006</v>
      </c>
      <c r="AQ618" s="3">
        <v>72.770660000000007</v>
      </c>
      <c r="AT618" s="3">
        <v>60.356270000000002</v>
      </c>
      <c r="AU618" s="3">
        <v>66.371110000000002</v>
      </c>
      <c r="AV618" s="3">
        <v>87.308920000000001</v>
      </c>
      <c r="AW618" s="3">
        <v>14.39541</v>
      </c>
      <c r="AX618" s="3">
        <v>74.676000000000002</v>
      </c>
    </row>
    <row r="619" spans="1:50" x14ac:dyDescent="0.2">
      <c r="A619" s="74" t="s">
        <v>516</v>
      </c>
      <c r="B619" s="49">
        <v>36647</v>
      </c>
      <c r="D619" s="3">
        <v>77.363370000000003</v>
      </c>
      <c r="F619" s="3">
        <v>77.847269999999995</v>
      </c>
      <c r="G619" s="3">
        <v>93.690709999999996</v>
      </c>
      <c r="H619" s="3">
        <v>69.58699</v>
      </c>
      <c r="J619" s="3">
        <v>53.835459999999998</v>
      </c>
      <c r="K619" s="3">
        <v>33.202640000000002</v>
      </c>
      <c r="L619" s="3">
        <v>87.1</v>
      </c>
      <c r="M619" s="3">
        <v>82.28913</v>
      </c>
      <c r="N619" s="3">
        <v>77.392930000000007</v>
      </c>
      <c r="O619" s="3">
        <v>79.83</v>
      </c>
      <c r="P619" s="3">
        <v>76.100399999999993</v>
      </c>
      <c r="Q619" s="3">
        <v>68.049930000000003</v>
      </c>
      <c r="S619" s="3">
        <v>81.820819999999998</v>
      </c>
      <c r="T619" s="3">
        <v>81.66019</v>
      </c>
      <c r="V619" s="3">
        <v>79.401820000000001</v>
      </c>
      <c r="W619" s="3">
        <v>78.071250000000006</v>
      </c>
      <c r="X619" s="3">
        <v>76.469549999999998</v>
      </c>
      <c r="Y619" s="3">
        <v>53.952730000000003</v>
      </c>
      <c r="AB619" s="3">
        <v>73.363389999999995</v>
      </c>
      <c r="AC619" s="3">
        <v>45.742130000000003</v>
      </c>
      <c r="AD619" s="3">
        <v>79.892669999999995</v>
      </c>
      <c r="AE619" s="3">
        <v>76.228160000000003</v>
      </c>
      <c r="AF619" s="3">
        <v>103.422</v>
      </c>
      <c r="AH619" s="3">
        <v>78.695099999999996</v>
      </c>
      <c r="AI619" s="3">
        <v>74.694599999999994</v>
      </c>
      <c r="AJ619" s="3">
        <v>64.321579999999997</v>
      </c>
      <c r="AK619" s="3">
        <v>57.537050000000001</v>
      </c>
      <c r="AL619" s="3">
        <v>75.576930000000004</v>
      </c>
      <c r="AM619" s="3">
        <v>76.033140000000003</v>
      </c>
      <c r="AN619" s="3">
        <v>73.960499999999996</v>
      </c>
      <c r="AO619" s="3">
        <v>70.495639999999995</v>
      </c>
      <c r="AP619" s="3">
        <v>75.965900000000005</v>
      </c>
      <c r="AQ619" s="3">
        <v>73.400350000000003</v>
      </c>
      <c r="AT619" s="3">
        <v>60.477989999999998</v>
      </c>
      <c r="AU619" s="3">
        <v>66.731110000000001</v>
      </c>
      <c r="AV619" s="3">
        <v>87.486530000000002</v>
      </c>
      <c r="AW619" s="3">
        <v>14.80843</v>
      </c>
      <c r="AX619" s="3">
        <v>74.676000000000002</v>
      </c>
    </row>
    <row r="620" spans="1:50" x14ac:dyDescent="0.2">
      <c r="A620" s="74" t="s">
        <v>517</v>
      </c>
      <c r="B620" s="49">
        <v>36678</v>
      </c>
      <c r="D620" s="3">
        <v>77.488860000000003</v>
      </c>
      <c r="F620" s="3">
        <v>78.044370000000001</v>
      </c>
      <c r="G620" s="3">
        <v>93.725740000000002</v>
      </c>
      <c r="H620" s="3">
        <v>69.756389999999996</v>
      </c>
      <c r="J620" s="3">
        <v>53.96378</v>
      </c>
      <c r="K620" s="3">
        <v>33.379480000000001</v>
      </c>
      <c r="L620" s="3">
        <v>87.2</v>
      </c>
      <c r="M620" s="3">
        <v>82.50206</v>
      </c>
      <c r="N620" s="3">
        <v>77.547970000000007</v>
      </c>
      <c r="O620" s="3">
        <v>79.959999999999994</v>
      </c>
      <c r="P620" s="3">
        <v>76.330979999999997</v>
      </c>
      <c r="Q620" s="3">
        <v>68.163439999999994</v>
      </c>
      <c r="S620" s="3">
        <v>81.788039999999995</v>
      </c>
      <c r="T620" s="3">
        <v>81.790670000000006</v>
      </c>
      <c r="V620" s="3">
        <v>79.442629999999994</v>
      </c>
      <c r="W620" s="3">
        <v>77.970510000000004</v>
      </c>
      <c r="X620" s="3">
        <v>76.470470000000006</v>
      </c>
      <c r="Y620" s="3">
        <v>54.207259999999998</v>
      </c>
      <c r="AB620" s="3">
        <v>73.809290000000004</v>
      </c>
      <c r="AC620" s="3">
        <v>45.949300000000001</v>
      </c>
      <c r="AD620" s="3">
        <v>80.295150000000007</v>
      </c>
      <c r="AE620" s="3">
        <v>76.380870000000002</v>
      </c>
      <c r="AF620" s="3">
        <v>103.1866</v>
      </c>
      <c r="AH620" s="3">
        <v>78.623699999999999</v>
      </c>
      <c r="AI620" s="3">
        <v>74.826430000000002</v>
      </c>
      <c r="AJ620" s="3">
        <v>64.263890000000004</v>
      </c>
      <c r="AK620" s="3">
        <v>57.793059999999997</v>
      </c>
      <c r="AL620" s="3">
        <v>75.346339999999998</v>
      </c>
      <c r="AM620" s="3">
        <v>76.278300000000002</v>
      </c>
      <c r="AN620" s="3">
        <v>74.065579999999997</v>
      </c>
      <c r="AO620" s="3">
        <v>70.696939999999998</v>
      </c>
      <c r="AP620" s="3">
        <v>76.240089999999995</v>
      </c>
      <c r="AQ620" s="3">
        <v>73.579700000000003</v>
      </c>
      <c r="AT620" s="3">
        <v>60.617249999999999</v>
      </c>
      <c r="AU620" s="3">
        <v>67.071119999999993</v>
      </c>
      <c r="AV620" s="3">
        <v>87.312269999999998</v>
      </c>
      <c r="AW620" s="3">
        <v>15.159840000000001</v>
      </c>
      <c r="AX620" s="3">
        <v>74.717290000000006</v>
      </c>
    </row>
    <row r="621" spans="1:50" x14ac:dyDescent="0.2">
      <c r="A621" s="74" t="s">
        <v>518</v>
      </c>
      <c r="B621" s="49">
        <v>36708</v>
      </c>
      <c r="D621" s="3">
        <v>77.709230000000005</v>
      </c>
      <c r="F621" s="3">
        <v>78.207980000000006</v>
      </c>
      <c r="G621" s="3">
        <v>93.817729999999997</v>
      </c>
      <c r="H621" s="3">
        <v>69.676150000000007</v>
      </c>
      <c r="J621" s="3">
        <v>54.185420000000001</v>
      </c>
      <c r="K621" s="3">
        <v>33.745229999999999</v>
      </c>
      <c r="L621" s="3">
        <v>87.7</v>
      </c>
      <c r="M621" s="3">
        <v>83.002330000000001</v>
      </c>
      <c r="N621" s="3">
        <v>77.173249999999996</v>
      </c>
      <c r="O621" s="3">
        <v>80.02</v>
      </c>
      <c r="P621" s="3">
        <v>76.862139999999997</v>
      </c>
      <c r="Q621" s="3">
        <v>68.390460000000004</v>
      </c>
      <c r="S621" s="3">
        <v>81.525850000000005</v>
      </c>
      <c r="T621" s="3">
        <v>81.617270000000005</v>
      </c>
      <c r="V621" s="3">
        <v>79.491500000000002</v>
      </c>
      <c r="W621" s="3">
        <v>77.265360000000001</v>
      </c>
      <c r="X621" s="3">
        <v>74.993700000000004</v>
      </c>
      <c r="Y621" s="3">
        <v>54.38252</v>
      </c>
      <c r="AB621" s="3">
        <v>73.856549999999999</v>
      </c>
      <c r="AC621" s="3">
        <v>46.073599999999999</v>
      </c>
      <c r="AD621" s="3">
        <v>80.295150000000007</v>
      </c>
      <c r="AE621" s="3">
        <v>76.500500000000002</v>
      </c>
      <c r="AF621" s="3">
        <v>102.952</v>
      </c>
      <c r="AH621" s="3">
        <v>78.380300000000005</v>
      </c>
      <c r="AI621" s="3">
        <v>73.748760000000004</v>
      </c>
      <c r="AJ621" s="3">
        <v>64.206209999999999</v>
      </c>
      <c r="AK621" s="3">
        <v>58.021210000000004</v>
      </c>
      <c r="AL621" s="3">
        <v>75.131500000000003</v>
      </c>
      <c r="AM621" s="3">
        <v>75.961569999999995</v>
      </c>
      <c r="AN621" s="3">
        <v>74.225089999999994</v>
      </c>
      <c r="AO621" s="3">
        <v>70.811490000000006</v>
      </c>
      <c r="AP621" s="3">
        <v>76.827470000000005</v>
      </c>
      <c r="AQ621" s="3">
        <v>73.704909999999998</v>
      </c>
      <c r="AT621" s="3">
        <v>60.835610000000003</v>
      </c>
      <c r="AU621" s="3">
        <v>67.41113</v>
      </c>
      <c r="AV621" s="3">
        <v>86.873279999999994</v>
      </c>
      <c r="AW621" s="3">
        <v>15.50385</v>
      </c>
      <c r="AX621" s="3">
        <v>74.841130000000007</v>
      </c>
    </row>
    <row r="622" spans="1:50" x14ac:dyDescent="0.2">
      <c r="A622" s="74" t="s">
        <v>519</v>
      </c>
      <c r="B622" s="49">
        <v>36739</v>
      </c>
      <c r="D622" s="3">
        <v>77.777010000000004</v>
      </c>
      <c r="F622" s="3">
        <v>78.316010000000006</v>
      </c>
      <c r="G622" s="3">
        <v>93.846729999999994</v>
      </c>
      <c r="H622" s="3">
        <v>69.792050000000003</v>
      </c>
      <c r="J622" s="3">
        <v>54.418729999999996</v>
      </c>
      <c r="K622" s="3">
        <v>34.019539999999999</v>
      </c>
      <c r="L622" s="3">
        <v>87.9</v>
      </c>
      <c r="M622" s="3">
        <v>82.881979999999999</v>
      </c>
      <c r="N622" s="3">
        <v>77.205920000000006</v>
      </c>
      <c r="O622" s="3">
        <v>80.17</v>
      </c>
      <c r="P622" s="3">
        <v>77.148439999999994</v>
      </c>
      <c r="Q622" s="3">
        <v>68.447209999999998</v>
      </c>
      <c r="S622" s="3">
        <v>82.058430000000001</v>
      </c>
      <c r="T622" s="3">
        <v>81.850170000000006</v>
      </c>
      <c r="V622" s="3">
        <v>79.643020000000007</v>
      </c>
      <c r="W622" s="3">
        <v>77.567570000000003</v>
      </c>
      <c r="X622" s="3">
        <v>75.149230000000003</v>
      </c>
      <c r="Y622" s="3">
        <v>54.648940000000003</v>
      </c>
      <c r="AB622" s="3">
        <v>74.289249999999996</v>
      </c>
      <c r="AC622" s="3">
        <v>45.907870000000003</v>
      </c>
      <c r="AD622" s="3">
        <v>79.892669999999995</v>
      </c>
      <c r="AE622" s="3">
        <v>76.624229999999997</v>
      </c>
      <c r="AF622" s="3">
        <v>103.1656</v>
      </c>
      <c r="AH622" s="3">
        <v>78.221999999999994</v>
      </c>
      <c r="AI622" s="3">
        <v>75.030640000000005</v>
      </c>
      <c r="AJ622" s="3">
        <v>64.090829999999997</v>
      </c>
      <c r="AK622" s="3">
        <v>58.329680000000003</v>
      </c>
      <c r="AL622" s="3">
        <v>75.524820000000005</v>
      </c>
      <c r="AM622" s="3">
        <v>76.135800000000003</v>
      </c>
      <c r="AN622" s="3">
        <v>74.427379999999999</v>
      </c>
      <c r="AO622" s="3">
        <v>71.058359999999993</v>
      </c>
      <c r="AP622" s="3">
        <v>76.975489999999994</v>
      </c>
      <c r="AQ622" s="3">
        <v>73.426439999999999</v>
      </c>
      <c r="AT622" s="3">
        <v>60.881320000000002</v>
      </c>
      <c r="AU622" s="3">
        <v>67.841130000000007</v>
      </c>
      <c r="AV622" s="3">
        <v>87.057590000000005</v>
      </c>
      <c r="AW622" s="3">
        <v>15.944470000000001</v>
      </c>
      <c r="AX622" s="3">
        <v>75.006240000000005</v>
      </c>
    </row>
    <row r="623" spans="1:50" x14ac:dyDescent="0.2">
      <c r="A623" s="74" t="s">
        <v>520</v>
      </c>
      <c r="B623" s="49">
        <v>36770</v>
      </c>
      <c r="D623" s="3">
        <v>77.966350000000006</v>
      </c>
      <c r="F623" s="3">
        <v>78.49915</v>
      </c>
      <c r="G623" s="3">
        <v>93.897739999999999</v>
      </c>
      <c r="H623" s="3">
        <v>70.130840000000006</v>
      </c>
      <c r="J623" s="3">
        <v>54.652030000000003</v>
      </c>
      <c r="K623" s="3">
        <v>34.170259999999999</v>
      </c>
      <c r="L623" s="3">
        <v>87.6</v>
      </c>
      <c r="M623" s="3">
        <v>82.784270000000006</v>
      </c>
      <c r="N623" s="3">
        <v>77.71763</v>
      </c>
      <c r="O623" s="3">
        <v>80.209999999999994</v>
      </c>
      <c r="P623" s="3">
        <v>77.093540000000004</v>
      </c>
      <c r="Q623" s="3">
        <v>68.787750000000003</v>
      </c>
      <c r="S623" s="3">
        <v>82.574619999999996</v>
      </c>
      <c r="T623" s="3">
        <v>82.022030000000001</v>
      </c>
      <c r="V623" s="3">
        <v>79.813839999999999</v>
      </c>
      <c r="W623" s="3">
        <v>78.171989999999994</v>
      </c>
      <c r="X623" s="3">
        <v>77.023300000000006</v>
      </c>
      <c r="Y623" s="3">
        <v>55.055239999999998</v>
      </c>
      <c r="AB623" s="3">
        <v>74.645809999999997</v>
      </c>
      <c r="AC623" s="3">
        <v>46.115029999999997</v>
      </c>
      <c r="AD623" s="3">
        <v>79.188329999999993</v>
      </c>
      <c r="AE623" s="3">
        <v>76.612459999999999</v>
      </c>
      <c r="AF623" s="3">
        <v>102.9645</v>
      </c>
      <c r="AH623" s="3">
        <v>78.286000000000001</v>
      </c>
      <c r="AI623" s="3">
        <v>75.182940000000002</v>
      </c>
      <c r="AJ623" s="3">
        <v>64.119669999999999</v>
      </c>
      <c r="AK623" s="3">
        <v>58.840389999999999</v>
      </c>
      <c r="AL623" s="3">
        <v>76.471100000000007</v>
      </c>
      <c r="AM623" s="3">
        <v>76.753039999999999</v>
      </c>
      <c r="AN623" s="3">
        <v>74.696690000000004</v>
      </c>
      <c r="AO623" s="3">
        <v>71.417050000000003</v>
      </c>
      <c r="AP623" s="3">
        <v>77.486689999999996</v>
      </c>
      <c r="AQ623" s="3">
        <v>73.581320000000005</v>
      </c>
      <c r="AT623" s="3">
        <v>60.984099999999998</v>
      </c>
      <c r="AU623" s="3">
        <v>68.201130000000006</v>
      </c>
      <c r="AV623" s="3">
        <v>87.597110000000001</v>
      </c>
      <c r="AW623" s="3">
        <v>16.517659999999999</v>
      </c>
      <c r="AX623" s="3">
        <v>75.253919999999994</v>
      </c>
    </row>
    <row r="624" spans="1:50" x14ac:dyDescent="0.2">
      <c r="A624" s="74" t="s">
        <v>521</v>
      </c>
      <c r="B624" s="49">
        <v>36800</v>
      </c>
      <c r="D624" s="3">
        <v>77.870800000000003</v>
      </c>
      <c r="F624" s="3">
        <v>78.63203</v>
      </c>
      <c r="G624" s="3">
        <v>93.897720000000007</v>
      </c>
      <c r="H624" s="3">
        <v>70.300240000000002</v>
      </c>
      <c r="J624" s="3">
        <v>54.745359999999998</v>
      </c>
      <c r="K624" s="3">
        <v>34.43553</v>
      </c>
      <c r="L624" s="3">
        <v>87.5</v>
      </c>
      <c r="M624" s="3">
        <v>82.771739999999994</v>
      </c>
      <c r="N624" s="3">
        <v>77.905370000000005</v>
      </c>
      <c r="O624" s="3">
        <v>80.3</v>
      </c>
      <c r="P624" s="3">
        <v>77.167090000000002</v>
      </c>
      <c r="Q624" s="3">
        <v>69.3553</v>
      </c>
      <c r="S624" s="3">
        <v>82.943330000000003</v>
      </c>
      <c r="T624" s="3">
        <v>82.003360000000001</v>
      </c>
      <c r="V624" s="3">
        <v>79.949920000000006</v>
      </c>
      <c r="W624" s="3">
        <v>78.171989999999994</v>
      </c>
      <c r="X624" s="3">
        <v>77.518649999999994</v>
      </c>
      <c r="Y624" s="3">
        <v>55.34901</v>
      </c>
      <c r="AB624" s="3">
        <v>75.091849999999994</v>
      </c>
      <c r="AC624" s="3">
        <v>46.52937</v>
      </c>
      <c r="AD624" s="3">
        <v>79.490189999999998</v>
      </c>
      <c r="AE624" s="3">
        <v>76.930980000000005</v>
      </c>
      <c r="AF624" s="3">
        <v>102.90260000000001</v>
      </c>
      <c r="AH624" s="3">
        <v>78.322900000000004</v>
      </c>
      <c r="AI624" s="3">
        <v>75.302250000000001</v>
      </c>
      <c r="AJ624" s="3">
        <v>64.311970000000002</v>
      </c>
      <c r="AK624" s="3">
        <v>59.21331</v>
      </c>
      <c r="AL624" s="3">
        <v>76.587400000000002</v>
      </c>
      <c r="AM624" s="3">
        <v>76.812700000000007</v>
      </c>
      <c r="AN624" s="3">
        <v>74.898089999999996</v>
      </c>
      <c r="AO624" s="3">
        <v>71.646900000000002</v>
      </c>
      <c r="AP624" s="3">
        <v>77.977000000000004</v>
      </c>
      <c r="AQ624" s="3">
        <v>74.016400000000004</v>
      </c>
      <c r="AT624" s="3">
        <v>61.124339999999997</v>
      </c>
      <c r="AU624" s="3">
        <v>68.601140000000001</v>
      </c>
      <c r="AV624" s="3">
        <v>87.881950000000003</v>
      </c>
      <c r="AW624" s="3">
        <v>16.974540000000001</v>
      </c>
      <c r="AX624" s="3">
        <v>75.460329999999999</v>
      </c>
    </row>
    <row r="625" spans="1:51" x14ac:dyDescent="0.2">
      <c r="A625" s="74" t="s">
        <v>522</v>
      </c>
      <c r="B625" s="49">
        <v>36831</v>
      </c>
      <c r="D625" s="3">
        <v>78.050120000000007</v>
      </c>
      <c r="F625" s="3">
        <v>78.662090000000006</v>
      </c>
      <c r="G625" s="3">
        <v>94.314409999999995</v>
      </c>
      <c r="H625" s="3">
        <v>70.514219999999995</v>
      </c>
      <c r="J625" s="3">
        <v>54.896999999999998</v>
      </c>
      <c r="K625" s="3">
        <v>34.662610000000001</v>
      </c>
      <c r="L625" s="3">
        <v>87.6</v>
      </c>
      <c r="M625" s="3">
        <v>82.773759999999996</v>
      </c>
      <c r="N625" s="3">
        <v>78.053020000000004</v>
      </c>
      <c r="O625" s="3">
        <v>80.33</v>
      </c>
      <c r="P625" s="3">
        <v>77.270499999999998</v>
      </c>
      <c r="Q625" s="3">
        <v>69.752589999999998</v>
      </c>
      <c r="S625" s="3">
        <v>82.926940000000002</v>
      </c>
      <c r="T625" s="3">
        <v>82.02413</v>
      </c>
      <c r="V625" s="3">
        <v>79.997659999999996</v>
      </c>
      <c r="W625" s="3">
        <v>78.272729999999996</v>
      </c>
      <c r="X625" s="3">
        <v>77.607129999999998</v>
      </c>
      <c r="Y625" s="3">
        <v>55.690620000000003</v>
      </c>
      <c r="AB625" s="3">
        <v>75.435400000000001</v>
      </c>
      <c r="AC625" s="3">
        <v>46.653660000000002</v>
      </c>
      <c r="AD625" s="3">
        <v>79.490189999999998</v>
      </c>
      <c r="AE625" s="3">
        <v>77.083740000000006</v>
      </c>
      <c r="AF625" s="3">
        <v>102.6985</v>
      </c>
      <c r="AH625" s="3">
        <v>78.204599999999999</v>
      </c>
      <c r="AI625" s="3">
        <v>75.475380000000001</v>
      </c>
      <c r="AJ625" s="3">
        <v>64.523480000000006</v>
      </c>
      <c r="AK625" s="3">
        <v>59.677700000000002</v>
      </c>
      <c r="AL625" s="3">
        <v>76.534869999999998</v>
      </c>
      <c r="AM625" s="3">
        <v>77.117750000000001</v>
      </c>
      <c r="AN625" s="3">
        <v>75.048069999999996</v>
      </c>
      <c r="AO625" s="3">
        <v>71.905799999999999</v>
      </c>
      <c r="AP625" s="3">
        <v>78.290869999999998</v>
      </c>
      <c r="AQ625" s="3">
        <v>74.659940000000006</v>
      </c>
      <c r="AT625" s="3">
        <v>61.339649999999999</v>
      </c>
      <c r="AU625" s="3">
        <v>69.091149999999999</v>
      </c>
      <c r="AV625" s="3">
        <v>87.982479999999995</v>
      </c>
      <c r="AW625" s="3">
        <v>17.556609999999999</v>
      </c>
      <c r="AX625" s="3">
        <v>75.542879999999997</v>
      </c>
    </row>
    <row r="626" spans="1:51" x14ac:dyDescent="0.2">
      <c r="A626" s="74" t="s">
        <v>523</v>
      </c>
      <c r="B626" s="49">
        <v>36861</v>
      </c>
      <c r="D626" s="3">
        <v>78.126379999999997</v>
      </c>
      <c r="F626" s="3">
        <v>78.706440000000001</v>
      </c>
      <c r="G626" s="3">
        <v>94.347120000000004</v>
      </c>
      <c r="H626" s="3">
        <v>70.781689999999998</v>
      </c>
      <c r="J626" s="3">
        <v>55.200299999999999</v>
      </c>
      <c r="K626" s="3">
        <v>34.868600000000001</v>
      </c>
      <c r="L626" s="3">
        <v>87.7</v>
      </c>
      <c r="M626" s="3">
        <v>83.633769999999998</v>
      </c>
      <c r="N626" s="3">
        <v>78.034610000000001</v>
      </c>
      <c r="O626" s="3">
        <v>80.64</v>
      </c>
      <c r="P626" s="3">
        <v>77.491420000000005</v>
      </c>
      <c r="Q626" s="3">
        <v>69.752589999999998</v>
      </c>
      <c r="S626" s="3">
        <v>82.943330000000003</v>
      </c>
      <c r="T626" s="3">
        <v>82.084630000000004</v>
      </c>
      <c r="V626" s="3">
        <v>80.050430000000006</v>
      </c>
      <c r="W626" s="3">
        <v>78.373469999999998</v>
      </c>
      <c r="X626" s="3">
        <v>78.302180000000007</v>
      </c>
      <c r="Y626" s="3">
        <v>55.934510000000003</v>
      </c>
      <c r="AB626" s="3">
        <v>75.482140000000001</v>
      </c>
      <c r="AC626" s="3">
        <v>46.819400000000002</v>
      </c>
      <c r="AD626" s="3">
        <v>79.590810000000005</v>
      </c>
      <c r="AE626" s="3">
        <v>77.10378</v>
      </c>
      <c r="AF626" s="3">
        <v>102.709</v>
      </c>
      <c r="AH626" s="3">
        <v>77.891599999999997</v>
      </c>
      <c r="AI626" s="3">
        <v>75.567610000000002</v>
      </c>
      <c r="AJ626" s="3">
        <v>64.427340000000001</v>
      </c>
      <c r="AK626" s="3">
        <v>60.07967</v>
      </c>
      <c r="AL626" s="3">
        <v>76.109849999999994</v>
      </c>
      <c r="AM626" s="3">
        <v>77.053290000000004</v>
      </c>
      <c r="AN626" s="3">
        <v>75.178839999999994</v>
      </c>
      <c r="AO626" s="3">
        <v>72.228120000000004</v>
      </c>
      <c r="AP626" s="3">
        <v>78.352810000000005</v>
      </c>
      <c r="AQ626" s="3">
        <v>74.732560000000007</v>
      </c>
      <c r="AT626" s="3">
        <v>61.366500000000002</v>
      </c>
      <c r="AU626" s="3">
        <v>69.381159999999994</v>
      </c>
      <c r="AV626" s="3">
        <v>88.106480000000005</v>
      </c>
      <c r="AW626" s="3">
        <v>17.997219999999999</v>
      </c>
      <c r="AX626" s="3">
        <v>75.460329999999999</v>
      </c>
    </row>
    <row r="627" spans="1:51" x14ac:dyDescent="0.2">
      <c r="A627" s="3" t="s">
        <v>524</v>
      </c>
      <c r="B627" s="49">
        <v>36892</v>
      </c>
      <c r="D627" s="3">
        <v>78.168459999999996</v>
      </c>
      <c r="F627" s="3">
        <v>78.513689999999997</v>
      </c>
      <c r="G627" s="3">
        <v>94.670280000000005</v>
      </c>
      <c r="H627" s="3">
        <v>70.915430000000001</v>
      </c>
      <c r="J627" s="3">
        <v>55.538600000000002</v>
      </c>
      <c r="K627" s="3">
        <v>35.446350000000002</v>
      </c>
      <c r="L627" s="3">
        <v>84.5</v>
      </c>
      <c r="M627" s="3">
        <v>82.714399999999998</v>
      </c>
      <c r="N627" s="3">
        <v>77.629639999999995</v>
      </c>
      <c r="O627" s="3">
        <v>80.180000000000007</v>
      </c>
      <c r="P627" s="3">
        <v>77.847989999999996</v>
      </c>
      <c r="Q627" s="3">
        <v>70.320149999999998</v>
      </c>
      <c r="S627" s="3">
        <v>82.828620000000001</v>
      </c>
      <c r="T627" s="3">
        <v>81.936840000000004</v>
      </c>
      <c r="V627" s="3">
        <v>80.027299999999997</v>
      </c>
      <c r="W627" s="3">
        <v>77.567570000000003</v>
      </c>
      <c r="X627" s="3">
        <v>77.040379999999999</v>
      </c>
      <c r="Y627" s="3">
        <v>56.863790000000002</v>
      </c>
      <c r="AB627" s="3">
        <v>74.916150000000002</v>
      </c>
      <c r="AC627" s="3">
        <v>46.902259999999998</v>
      </c>
      <c r="AD627" s="3">
        <v>79.28895</v>
      </c>
      <c r="AE627" s="3">
        <v>77.585179999999994</v>
      </c>
      <c r="AF627" s="3">
        <v>102.1437</v>
      </c>
      <c r="AH627" s="3">
        <v>78.350899999999996</v>
      </c>
      <c r="AI627" s="3">
        <v>74.769369999999995</v>
      </c>
      <c r="AJ627" s="3">
        <v>64.581180000000003</v>
      </c>
      <c r="AK627" s="3">
        <v>60.482100000000003</v>
      </c>
      <c r="AL627" s="3">
        <v>76.407709999999994</v>
      </c>
      <c r="AM627" s="3">
        <v>77.541030000000006</v>
      </c>
      <c r="AN627" s="3">
        <v>75.263729999999995</v>
      </c>
      <c r="AO627" s="3">
        <v>72.139669999999995</v>
      </c>
      <c r="AP627" s="3">
        <v>79.160330000000002</v>
      </c>
      <c r="AQ627" s="3">
        <v>74.678579999999997</v>
      </c>
      <c r="AT627" s="3">
        <v>62.232939999999999</v>
      </c>
      <c r="AU627" s="3">
        <v>69.67116</v>
      </c>
      <c r="AV627" s="3">
        <v>87.550190000000001</v>
      </c>
      <c r="AW627" s="3">
        <v>18.48357</v>
      </c>
      <c r="AX627" s="3">
        <v>75.749290000000002</v>
      </c>
    </row>
    <row r="628" spans="1:51" x14ac:dyDescent="0.2">
      <c r="A628" s="74" t="s">
        <v>525</v>
      </c>
      <c r="B628" s="49">
        <v>36923</v>
      </c>
      <c r="D628" s="3">
        <v>78.487340000000003</v>
      </c>
      <c r="F628" s="3">
        <v>78.970830000000007</v>
      </c>
      <c r="G628" s="3">
        <v>94.518680000000003</v>
      </c>
      <c r="H628" s="3">
        <v>70.995670000000004</v>
      </c>
      <c r="J628" s="3">
        <v>56.238520000000001</v>
      </c>
      <c r="K628" s="3">
        <v>35.952770000000001</v>
      </c>
      <c r="L628" s="3">
        <v>84.7</v>
      </c>
      <c r="M628" s="3">
        <v>83.042330000000007</v>
      </c>
      <c r="N628" s="3">
        <v>78.257360000000006</v>
      </c>
      <c r="O628" s="3">
        <v>80.290000000000006</v>
      </c>
      <c r="P628" s="3">
        <v>78.114080000000001</v>
      </c>
      <c r="Q628" s="3">
        <v>70.547169999999994</v>
      </c>
      <c r="S628" s="3">
        <v>83.279269999999997</v>
      </c>
      <c r="T628" s="3">
        <v>82.106809999999996</v>
      </c>
      <c r="V628" s="3">
        <v>80.298739999999995</v>
      </c>
      <c r="W628" s="3">
        <v>77.769040000000004</v>
      </c>
      <c r="X628" s="3">
        <v>76.422569999999993</v>
      </c>
      <c r="Y628" s="3">
        <v>57.516860000000001</v>
      </c>
      <c r="AB628" s="3">
        <v>75.779679999999999</v>
      </c>
      <c r="AC628" s="3">
        <v>46.9437</v>
      </c>
      <c r="AD628" s="3">
        <v>79.087710000000001</v>
      </c>
      <c r="AE628" s="3">
        <v>77.815150000000003</v>
      </c>
      <c r="AF628" s="3">
        <v>101.8642</v>
      </c>
      <c r="AH628" s="3">
        <v>77.944599999999994</v>
      </c>
      <c r="AI628" s="3">
        <v>76.149889999999999</v>
      </c>
      <c r="AJ628" s="3">
        <v>64.321579999999997</v>
      </c>
      <c r="AK628" s="3">
        <v>60.84113</v>
      </c>
      <c r="AL628" s="3">
        <v>77.103340000000003</v>
      </c>
      <c r="AM628" s="3">
        <v>78.147570000000002</v>
      </c>
      <c r="AN628" s="3">
        <v>75.553910000000002</v>
      </c>
      <c r="AO628" s="3">
        <v>72.437399999999997</v>
      </c>
      <c r="AP628" s="3">
        <v>79.375309999999999</v>
      </c>
      <c r="AQ628" s="3">
        <v>74.507769999999994</v>
      </c>
      <c r="AT628" s="3">
        <v>63.905200000000001</v>
      </c>
      <c r="AU628" s="3">
        <v>70.441180000000003</v>
      </c>
      <c r="AV628" s="3">
        <v>87.694289999999995</v>
      </c>
      <c r="AW628" s="3">
        <v>18.824310000000001</v>
      </c>
      <c r="AX628" s="3">
        <v>76.120810000000006</v>
      </c>
    </row>
    <row r="629" spans="1:51" x14ac:dyDescent="0.2">
      <c r="A629" s="74" t="s">
        <v>526</v>
      </c>
      <c r="B629" s="49">
        <v>36951</v>
      </c>
      <c r="D629" s="3">
        <v>78.560630000000003</v>
      </c>
      <c r="F629" s="3">
        <v>79.039699999999996</v>
      </c>
      <c r="G629" s="3">
        <v>94.646630000000002</v>
      </c>
      <c r="H629" s="3">
        <v>71.468199999999996</v>
      </c>
      <c r="J629" s="3">
        <v>56.938429999999997</v>
      </c>
      <c r="K629" s="3">
        <v>36.396900000000002</v>
      </c>
      <c r="L629" s="3">
        <v>84.8</v>
      </c>
      <c r="M629" s="3">
        <v>82.954300000000003</v>
      </c>
      <c r="N629" s="3">
        <v>78.778700000000001</v>
      </c>
      <c r="O629" s="3">
        <v>80.73</v>
      </c>
      <c r="P629" s="3">
        <v>78.427970000000002</v>
      </c>
      <c r="Q629" s="3">
        <v>70.660679999999999</v>
      </c>
      <c r="S629" s="3">
        <v>83.820040000000006</v>
      </c>
      <c r="T629" s="3">
        <v>82.394069999999999</v>
      </c>
      <c r="V629" s="3">
        <v>80.547259999999994</v>
      </c>
      <c r="W629" s="3">
        <v>78.071250000000006</v>
      </c>
      <c r="X629" s="3">
        <v>78.298820000000006</v>
      </c>
      <c r="Y629" s="3">
        <v>58.079189999999997</v>
      </c>
      <c r="AB629" s="3">
        <v>76.267719999999997</v>
      </c>
      <c r="AC629" s="3">
        <v>47.316589999999998</v>
      </c>
      <c r="AD629" s="3">
        <v>79.28895</v>
      </c>
      <c r="AE629" s="3">
        <v>77.853160000000003</v>
      </c>
      <c r="AF629" s="3">
        <v>101.8837</v>
      </c>
      <c r="AH629" s="3">
        <v>77.991100000000003</v>
      </c>
      <c r="AI629" s="3">
        <v>76.223950000000002</v>
      </c>
      <c r="AJ629" s="3">
        <v>64.619630000000001</v>
      </c>
      <c r="AK629" s="3">
        <v>61.196939999999998</v>
      </c>
      <c r="AL629" s="3">
        <v>77.826430000000002</v>
      </c>
      <c r="AM629" s="3">
        <v>78.297290000000004</v>
      </c>
      <c r="AN629" s="3">
        <v>75.890190000000004</v>
      </c>
      <c r="AO629" s="3">
        <v>72.802719999999994</v>
      </c>
      <c r="AP629" s="3">
        <v>79.704369999999997</v>
      </c>
      <c r="AQ629" s="3">
        <v>74.670349999999999</v>
      </c>
      <c r="AT629" s="3">
        <v>64.426370000000006</v>
      </c>
      <c r="AU629" s="3">
        <v>70.971180000000004</v>
      </c>
      <c r="AV629" s="3">
        <v>88.387960000000007</v>
      </c>
      <c r="AW629" s="3">
        <v>19.575369999999999</v>
      </c>
      <c r="AX629" s="3">
        <v>76.492329999999995</v>
      </c>
    </row>
    <row r="630" spans="1:51" x14ac:dyDescent="0.2">
      <c r="A630" s="74" t="s">
        <v>527</v>
      </c>
      <c r="B630" s="49">
        <v>36982</v>
      </c>
      <c r="D630" s="3">
        <v>78.892420000000001</v>
      </c>
      <c r="F630" s="3">
        <v>79.391620000000003</v>
      </c>
      <c r="G630" s="3">
        <v>94.725290000000001</v>
      </c>
      <c r="H630" s="3">
        <v>71.566270000000003</v>
      </c>
      <c r="J630" s="3">
        <v>57.428379999999997</v>
      </c>
      <c r="K630" s="3">
        <v>36.693309999999997</v>
      </c>
      <c r="L630" s="3">
        <v>84.9</v>
      </c>
      <c r="M630" s="3">
        <v>83.178709999999995</v>
      </c>
      <c r="N630" s="3">
        <v>78.87576</v>
      </c>
      <c r="O630" s="3">
        <v>81.12</v>
      </c>
      <c r="P630" s="3">
        <v>78.795429999999996</v>
      </c>
      <c r="Q630" s="3">
        <v>71.057969999999997</v>
      </c>
      <c r="S630" s="3">
        <v>84.172359999999998</v>
      </c>
      <c r="T630" s="3">
        <v>82.648570000000007</v>
      </c>
      <c r="V630" s="3">
        <v>80.762349999999998</v>
      </c>
      <c r="W630" s="3">
        <v>78.474209999999999</v>
      </c>
      <c r="X630" s="3">
        <v>78.892679999999999</v>
      </c>
      <c r="Y630" s="3">
        <v>58.608719999999998</v>
      </c>
      <c r="AB630" s="3">
        <v>76.893389999999997</v>
      </c>
      <c r="AC630" s="3">
        <v>47.730919999999998</v>
      </c>
      <c r="AD630" s="3">
        <v>79.993290000000002</v>
      </c>
      <c r="AE630" s="3">
        <v>78.178060000000002</v>
      </c>
      <c r="AF630" s="3">
        <v>102.3005</v>
      </c>
      <c r="AH630" s="3">
        <v>78.007400000000004</v>
      </c>
      <c r="AI630" s="3">
        <v>76.443680000000001</v>
      </c>
      <c r="AJ630" s="3">
        <v>64.811930000000004</v>
      </c>
      <c r="AK630" s="3">
        <v>61.442869999999999</v>
      </c>
      <c r="AL630" s="3">
        <v>78.135580000000004</v>
      </c>
      <c r="AM630" s="3">
        <v>78.481409999999997</v>
      </c>
      <c r="AN630" s="3">
        <v>76.256159999999994</v>
      </c>
      <c r="AO630" s="3">
        <v>73.408550000000005</v>
      </c>
      <c r="AP630" s="3">
        <v>79.98827</v>
      </c>
      <c r="AQ630" s="3">
        <v>75.318979999999996</v>
      </c>
      <c r="AT630" s="3">
        <v>64.591319999999996</v>
      </c>
      <c r="AU630" s="3">
        <v>71.521190000000004</v>
      </c>
      <c r="AV630" s="3">
        <v>88.853769999999997</v>
      </c>
      <c r="AW630" s="3">
        <v>21.121310000000001</v>
      </c>
      <c r="AX630" s="3">
        <v>76.616169999999997</v>
      </c>
    </row>
    <row r="631" spans="1:51" x14ac:dyDescent="0.2">
      <c r="A631" s="74" t="s">
        <v>528</v>
      </c>
      <c r="B631" s="49">
        <v>37012</v>
      </c>
      <c r="D631" s="3">
        <v>79.117339999999999</v>
      </c>
      <c r="F631" s="3">
        <v>79.614009999999993</v>
      </c>
      <c r="G631" s="3">
        <v>95.119209999999995</v>
      </c>
      <c r="H631" s="3">
        <v>71.673259999999999</v>
      </c>
      <c r="J631" s="3">
        <v>57.626690000000004</v>
      </c>
      <c r="K631" s="3">
        <v>36.866140000000001</v>
      </c>
      <c r="L631" s="3">
        <v>85</v>
      </c>
      <c r="M631" s="3">
        <v>83.161699999999996</v>
      </c>
      <c r="N631" s="3">
        <v>79.137600000000006</v>
      </c>
      <c r="O631" s="3">
        <v>81.209999999999994</v>
      </c>
      <c r="P631" s="3">
        <v>78.870289999999997</v>
      </c>
      <c r="Q631" s="3">
        <v>71.22824</v>
      </c>
      <c r="S631" s="3">
        <v>84.270679999999999</v>
      </c>
      <c r="T631" s="3">
        <v>82.767319999999998</v>
      </c>
      <c r="V631" s="3">
        <v>80.807060000000007</v>
      </c>
      <c r="W631" s="3">
        <v>78.87715</v>
      </c>
      <c r="X631" s="3">
        <v>78.798370000000006</v>
      </c>
      <c r="Y631" s="3">
        <v>58.822479999999999</v>
      </c>
      <c r="AB631" s="3">
        <v>77.339290000000005</v>
      </c>
      <c r="AC631" s="3">
        <v>48.269550000000002</v>
      </c>
      <c r="AD631" s="3">
        <v>80.093909999999994</v>
      </c>
      <c r="AE631" s="3">
        <v>78.341899999999995</v>
      </c>
      <c r="AF631" s="3">
        <v>102.4164</v>
      </c>
      <c r="AH631" s="3">
        <v>78.107900000000001</v>
      </c>
      <c r="AI631" s="3">
        <v>76.677850000000007</v>
      </c>
      <c r="AJ631" s="3">
        <v>65.167659999999998</v>
      </c>
      <c r="AK631" s="3">
        <v>61.62744</v>
      </c>
      <c r="AL631" s="3">
        <v>78.298580000000001</v>
      </c>
      <c r="AM631" s="3">
        <v>78.646739999999994</v>
      </c>
      <c r="AN631" s="3">
        <v>76.421840000000003</v>
      </c>
      <c r="AO631" s="3">
        <v>73.791240000000002</v>
      </c>
      <c r="AP631" s="3">
        <v>80.805819999999997</v>
      </c>
      <c r="AQ631" s="3">
        <v>75.958680000000001</v>
      </c>
      <c r="AT631" s="3">
        <v>64.529489999999996</v>
      </c>
      <c r="AU631" s="3">
        <v>71.711200000000005</v>
      </c>
      <c r="AV631" s="3">
        <v>89.007909999999995</v>
      </c>
      <c r="AW631" s="3">
        <v>22.15831</v>
      </c>
      <c r="AX631" s="3">
        <v>76.574889999999996</v>
      </c>
    </row>
    <row r="632" spans="1:51" x14ac:dyDescent="0.2">
      <c r="A632" s="74" t="s">
        <v>529</v>
      </c>
      <c r="B632" s="49">
        <v>37043</v>
      </c>
      <c r="D632" s="3">
        <v>79.242050000000006</v>
      </c>
      <c r="F632" s="3">
        <v>79.825530000000001</v>
      </c>
      <c r="G632" s="3">
        <v>95.112690000000001</v>
      </c>
      <c r="H632" s="3">
        <v>71.806989999999999</v>
      </c>
      <c r="J632" s="3">
        <v>57.813339999999997</v>
      </c>
      <c r="K632" s="3">
        <v>37.033940000000001</v>
      </c>
      <c r="L632" s="3">
        <v>85.5</v>
      </c>
      <c r="M632" s="3">
        <v>83.323359999999994</v>
      </c>
      <c r="N632" s="3">
        <v>79.087029999999999</v>
      </c>
      <c r="O632" s="3">
        <v>81.36</v>
      </c>
      <c r="P632" s="3">
        <v>79.081090000000003</v>
      </c>
      <c r="Q632" s="3">
        <v>71.00121</v>
      </c>
      <c r="S632" s="3">
        <v>84.237920000000003</v>
      </c>
      <c r="T632" s="3">
        <v>82.828530000000001</v>
      </c>
      <c r="V632" s="3">
        <v>80.927189999999996</v>
      </c>
      <c r="W632" s="3">
        <v>78.977890000000002</v>
      </c>
      <c r="X632" s="3">
        <v>79.129019999999997</v>
      </c>
      <c r="Y632" s="3">
        <v>59.014110000000002</v>
      </c>
      <c r="AB632" s="3">
        <v>77.582750000000004</v>
      </c>
      <c r="AC632" s="3">
        <v>48.97392</v>
      </c>
      <c r="AD632" s="3">
        <v>80.496390000000005</v>
      </c>
      <c r="AE632" s="3">
        <v>78.494600000000005</v>
      </c>
      <c r="AF632" s="3">
        <v>102.233</v>
      </c>
      <c r="AH632" s="3">
        <v>78.003500000000003</v>
      </c>
      <c r="AI632" s="3">
        <v>76.826189999999997</v>
      </c>
      <c r="AJ632" s="3">
        <v>65.148439999999994</v>
      </c>
      <c r="AK632" s="3">
        <v>61.810960000000001</v>
      </c>
      <c r="AL632" s="3">
        <v>78.090639999999993</v>
      </c>
      <c r="AM632" s="3">
        <v>78.651120000000006</v>
      </c>
      <c r="AN632" s="3">
        <v>76.612610000000004</v>
      </c>
      <c r="AO632" s="3">
        <v>74.087649999999996</v>
      </c>
      <c r="AP632" s="3">
        <v>80.898150000000001</v>
      </c>
      <c r="AQ632" s="3">
        <v>76.120289999999997</v>
      </c>
      <c r="AT632" s="3">
        <v>64.499340000000004</v>
      </c>
      <c r="AU632" s="3">
        <v>72.101200000000006</v>
      </c>
      <c r="AV632" s="3">
        <v>89.081630000000004</v>
      </c>
      <c r="AW632" s="3">
        <v>23.058160000000001</v>
      </c>
      <c r="AX632" s="3">
        <v>76.740009999999998</v>
      </c>
    </row>
    <row r="633" spans="1:51" x14ac:dyDescent="0.2">
      <c r="A633" s="74" t="s">
        <v>530</v>
      </c>
      <c r="B633" s="49">
        <v>37073</v>
      </c>
      <c r="D633" s="3">
        <v>79.451800000000006</v>
      </c>
      <c r="F633" s="3">
        <v>80.047619999999995</v>
      </c>
      <c r="G633" s="3">
        <v>95.20102</v>
      </c>
      <c r="H633" s="3">
        <v>72.056629999999998</v>
      </c>
      <c r="J633" s="3">
        <v>57.953319999999998</v>
      </c>
      <c r="K633" s="3">
        <v>37.348439999999997</v>
      </c>
      <c r="L633" s="3">
        <v>86.7</v>
      </c>
      <c r="M633" s="3">
        <v>83.659139999999994</v>
      </c>
      <c r="N633" s="3">
        <v>78.945530000000005</v>
      </c>
      <c r="O633" s="3">
        <v>81.33</v>
      </c>
      <c r="P633" s="3">
        <v>79.475610000000003</v>
      </c>
      <c r="Q633" s="3">
        <v>71.00121</v>
      </c>
      <c r="S633" s="3">
        <v>83.656170000000003</v>
      </c>
      <c r="T633" s="3">
        <v>82.734200000000001</v>
      </c>
      <c r="V633" s="3">
        <v>80.987870000000001</v>
      </c>
      <c r="W633" s="3">
        <v>78.474209999999999</v>
      </c>
      <c r="X633" s="3">
        <v>77.769300000000001</v>
      </c>
      <c r="Y633" s="3">
        <v>59.40549</v>
      </c>
      <c r="AB633" s="3">
        <v>77.349279999999993</v>
      </c>
      <c r="AC633" s="3">
        <v>49.348660000000002</v>
      </c>
      <c r="AD633" s="3">
        <v>81.100120000000004</v>
      </c>
      <c r="AE633" s="3">
        <v>78.685149999999993</v>
      </c>
      <c r="AF633" s="3">
        <v>102.0441</v>
      </c>
      <c r="AH633" s="3">
        <v>77.774699999999996</v>
      </c>
      <c r="AI633" s="3">
        <v>75.956649999999996</v>
      </c>
      <c r="AJ633" s="3">
        <v>65.196510000000004</v>
      </c>
      <c r="AK633" s="3">
        <v>61.80527</v>
      </c>
      <c r="AL633" s="3">
        <v>77.931269999999998</v>
      </c>
      <c r="AM633" s="3">
        <v>78.705920000000006</v>
      </c>
      <c r="AN633" s="3">
        <v>76.731920000000002</v>
      </c>
      <c r="AO633" s="3">
        <v>74.257909999999995</v>
      </c>
      <c r="AP633" s="3">
        <v>81.320210000000003</v>
      </c>
      <c r="AQ633" s="3">
        <v>76.155540000000002</v>
      </c>
      <c r="AT633" s="3">
        <v>64.923289999999994</v>
      </c>
      <c r="AU633" s="3">
        <v>72.231200000000001</v>
      </c>
      <c r="AV633" s="3">
        <v>88.679509999999993</v>
      </c>
      <c r="AW633" s="3">
        <v>23.705279999999998</v>
      </c>
      <c r="AX633" s="3">
        <v>76.863849999999999</v>
      </c>
    </row>
    <row r="634" spans="1:51" x14ac:dyDescent="0.2">
      <c r="A634" s="74" t="s">
        <v>531</v>
      </c>
      <c r="B634" s="49">
        <v>37104</v>
      </c>
      <c r="D634" s="3">
        <v>79.505390000000006</v>
      </c>
      <c r="F634" s="3">
        <v>80.184809999999999</v>
      </c>
      <c r="G634" s="3">
        <v>94.705889999999997</v>
      </c>
      <c r="H634" s="3">
        <v>72.226029999999994</v>
      </c>
      <c r="J634" s="3">
        <v>58.08164</v>
      </c>
      <c r="K634" s="3">
        <v>37.550409999999999</v>
      </c>
      <c r="L634" s="3">
        <v>86.8</v>
      </c>
      <c r="M634" s="3">
        <v>83.621009999999998</v>
      </c>
      <c r="N634" s="3">
        <v>78.968860000000006</v>
      </c>
      <c r="O634" s="3">
        <v>81.41</v>
      </c>
      <c r="P634" s="3">
        <v>79.808509999999998</v>
      </c>
      <c r="Q634" s="3">
        <v>71.22824</v>
      </c>
      <c r="S634" s="3">
        <v>84.106819999999999</v>
      </c>
      <c r="T634" s="3">
        <v>83.012500000000003</v>
      </c>
      <c r="V634" s="3">
        <v>81.161379999999994</v>
      </c>
      <c r="W634" s="3">
        <v>78.977890000000002</v>
      </c>
      <c r="X634" s="3">
        <v>77.798969999999997</v>
      </c>
      <c r="Y634" s="3">
        <v>59.331319999999998</v>
      </c>
      <c r="AB634" s="3">
        <v>77.692509999999999</v>
      </c>
      <c r="AC634" s="3">
        <v>49.61121</v>
      </c>
      <c r="AD634" s="3">
        <v>81.301360000000003</v>
      </c>
      <c r="AE634" s="3">
        <v>78.779219999999995</v>
      </c>
      <c r="AF634" s="3">
        <v>102.2145</v>
      </c>
      <c r="AH634" s="3">
        <v>79.105400000000003</v>
      </c>
      <c r="AI634" s="3">
        <v>77.119029999999995</v>
      </c>
      <c r="AJ634" s="3">
        <v>65.186890000000005</v>
      </c>
      <c r="AK634" s="3">
        <v>62.019970000000001</v>
      </c>
      <c r="AL634" s="3">
        <v>78.282650000000004</v>
      </c>
      <c r="AM634" s="3">
        <v>78.647360000000006</v>
      </c>
      <c r="AN634" s="3">
        <v>76.966620000000006</v>
      </c>
      <c r="AO634" s="3">
        <v>74.603020000000001</v>
      </c>
      <c r="AP634" s="3">
        <v>81.493889999999993</v>
      </c>
      <c r="AQ634" s="3">
        <v>75.983500000000006</v>
      </c>
      <c r="AT634" s="3">
        <v>65.090909999999994</v>
      </c>
      <c r="AU634" s="3">
        <v>72.391199999999998</v>
      </c>
      <c r="AV634" s="3">
        <v>88.900679999999994</v>
      </c>
      <c r="AW634" s="3">
        <v>24.600770000000001</v>
      </c>
      <c r="AX634" s="3">
        <v>77.028980000000004</v>
      </c>
    </row>
    <row r="635" spans="1:51" x14ac:dyDescent="0.2">
      <c r="A635" s="74" t="s">
        <v>532</v>
      </c>
      <c r="B635" s="49">
        <v>37135</v>
      </c>
      <c r="D635" s="3">
        <v>79.684920000000005</v>
      </c>
      <c r="F635" s="3">
        <v>80.278099999999995</v>
      </c>
      <c r="G635" s="3">
        <v>94.741370000000003</v>
      </c>
      <c r="H635" s="3">
        <v>72.520250000000004</v>
      </c>
      <c r="J635" s="3">
        <v>58.221620000000001</v>
      </c>
      <c r="K635" s="3">
        <v>37.949309999999997</v>
      </c>
      <c r="L635" s="3">
        <v>86</v>
      </c>
      <c r="M635" s="3">
        <v>83.555620000000005</v>
      </c>
      <c r="N635" s="3">
        <v>79.44941</v>
      </c>
      <c r="O635" s="3">
        <v>81.62</v>
      </c>
      <c r="P635" s="3">
        <v>79.66337</v>
      </c>
      <c r="Q635" s="3">
        <v>71.568770000000001</v>
      </c>
      <c r="S635" s="3">
        <v>84.704949999999997</v>
      </c>
      <c r="T635" s="3">
        <v>83.125720000000001</v>
      </c>
      <c r="V635" s="3">
        <v>81.28322</v>
      </c>
      <c r="W635" s="3">
        <v>79.179360000000003</v>
      </c>
      <c r="X635" s="3">
        <v>79.5595</v>
      </c>
      <c r="Y635" s="3">
        <v>59.623620000000003</v>
      </c>
      <c r="AB635" s="3">
        <v>78.204530000000005</v>
      </c>
      <c r="AC635" s="3">
        <v>49.981780000000001</v>
      </c>
      <c r="AD635" s="3">
        <v>81.301360000000003</v>
      </c>
      <c r="AE635" s="3">
        <v>78.764979999999994</v>
      </c>
      <c r="AF635" s="3">
        <v>102.08669999999999</v>
      </c>
      <c r="AH635" s="3">
        <v>79.049899999999994</v>
      </c>
      <c r="AI635" s="3">
        <v>77.201419999999999</v>
      </c>
      <c r="AJ635" s="3">
        <v>65.715699999999998</v>
      </c>
      <c r="AK635" s="3">
        <v>62.565440000000002</v>
      </c>
      <c r="AL635" s="3">
        <v>79.348010000000002</v>
      </c>
      <c r="AM635" s="3">
        <v>79.148099999999999</v>
      </c>
      <c r="AN635" s="3">
        <v>77.235129999999998</v>
      </c>
      <c r="AO635" s="3">
        <v>75.006680000000003</v>
      </c>
      <c r="AP635" s="3">
        <v>81.448930000000004</v>
      </c>
      <c r="AQ635" s="3">
        <v>76.182230000000004</v>
      </c>
      <c r="AT635" s="3">
        <v>65.346699999999998</v>
      </c>
      <c r="AU635" s="3">
        <v>72.981219999999993</v>
      </c>
      <c r="AV635" s="3">
        <v>89.688180000000003</v>
      </c>
      <c r="AW635" s="3">
        <v>25.889690000000002</v>
      </c>
      <c r="AX635" s="3">
        <v>77.235370000000003</v>
      </c>
    </row>
    <row r="636" spans="1:51" x14ac:dyDescent="0.2">
      <c r="A636" s="74" t="s">
        <v>533</v>
      </c>
      <c r="B636" s="49">
        <v>37165</v>
      </c>
      <c r="D636" s="3">
        <v>79.715199999999996</v>
      </c>
      <c r="F636" s="3">
        <v>80.206440000000001</v>
      </c>
      <c r="G636" s="3">
        <v>94.655690000000007</v>
      </c>
      <c r="H636" s="3">
        <v>72.930369999999996</v>
      </c>
      <c r="J636" s="3">
        <v>58.338279999999997</v>
      </c>
      <c r="K636" s="3">
        <v>38.102040000000002</v>
      </c>
      <c r="L636" s="3">
        <v>86</v>
      </c>
      <c r="M636" s="3">
        <v>83.660579999999996</v>
      </c>
      <c r="N636" s="3">
        <v>79.703990000000005</v>
      </c>
      <c r="O636" s="3">
        <v>81.88</v>
      </c>
      <c r="P636" s="3">
        <v>79.726150000000004</v>
      </c>
      <c r="Q636" s="3">
        <v>71.795789999999997</v>
      </c>
      <c r="S636" s="3">
        <v>84.803269999999998</v>
      </c>
      <c r="T636" s="3">
        <v>83.216030000000003</v>
      </c>
      <c r="V636" s="3">
        <v>81.413110000000003</v>
      </c>
      <c r="W636" s="3">
        <v>79.078620000000001</v>
      </c>
      <c r="X636" s="3">
        <v>79.992630000000005</v>
      </c>
      <c r="Y636" s="3">
        <v>59.856189999999998</v>
      </c>
      <c r="AB636" s="3">
        <v>78.429910000000007</v>
      </c>
      <c r="AC636" s="3">
        <v>50.26885</v>
      </c>
      <c r="AD636" s="3">
        <v>81.301360000000003</v>
      </c>
      <c r="AE636" s="3">
        <v>78.956599999999995</v>
      </c>
      <c r="AF636" s="3">
        <v>102.035</v>
      </c>
      <c r="AH636" s="3">
        <v>79.207400000000007</v>
      </c>
      <c r="AI636" s="3">
        <v>77.514690000000002</v>
      </c>
      <c r="AJ636" s="3">
        <v>65.859920000000002</v>
      </c>
      <c r="AK636" s="3">
        <v>62.766930000000002</v>
      </c>
      <c r="AL636" s="3">
        <v>79.44041</v>
      </c>
      <c r="AM636" s="3">
        <v>79.321899999999999</v>
      </c>
      <c r="AN636" s="3">
        <v>77.473050000000001</v>
      </c>
      <c r="AO636" s="3">
        <v>75.351799999999997</v>
      </c>
      <c r="AP636" s="3">
        <v>81.672280000000001</v>
      </c>
      <c r="AQ636" s="3">
        <v>76.772170000000003</v>
      </c>
      <c r="AT636" s="3">
        <v>65.545419999999993</v>
      </c>
      <c r="AU636" s="3">
        <v>73.561229999999995</v>
      </c>
      <c r="AV636" s="3">
        <v>89.661379999999994</v>
      </c>
      <c r="AW636" s="3">
        <v>27.09083</v>
      </c>
      <c r="AX636" s="3">
        <v>77.441779999999994</v>
      </c>
    </row>
    <row r="637" spans="1:51" x14ac:dyDescent="0.2">
      <c r="A637" s="74" t="s">
        <v>534</v>
      </c>
      <c r="B637" s="49">
        <v>37196</v>
      </c>
      <c r="D637" s="3">
        <v>80.024640000000005</v>
      </c>
      <c r="F637" s="3">
        <v>79.960099999999997</v>
      </c>
      <c r="G637" s="3">
        <v>95.179580000000001</v>
      </c>
      <c r="H637" s="3">
        <v>72.983860000000007</v>
      </c>
      <c r="J637" s="3">
        <v>58.454929999999997</v>
      </c>
      <c r="K637" s="3">
        <v>38.321089999999998</v>
      </c>
      <c r="L637" s="3">
        <v>86.1</v>
      </c>
      <c r="M637" s="3">
        <v>83.589089999999999</v>
      </c>
      <c r="N637" s="3">
        <v>79.692980000000006</v>
      </c>
      <c r="O637" s="3">
        <v>81.97</v>
      </c>
      <c r="P637" s="3">
        <v>79.818870000000004</v>
      </c>
      <c r="Q637" s="3">
        <v>71.909300000000002</v>
      </c>
      <c r="S637" s="3">
        <v>84.516490000000005</v>
      </c>
      <c r="T637" s="3">
        <v>83.093900000000005</v>
      </c>
      <c r="V637" s="3">
        <v>81.513490000000004</v>
      </c>
      <c r="W637" s="3">
        <v>79.179360000000003</v>
      </c>
      <c r="X637" s="3">
        <v>80.153530000000003</v>
      </c>
      <c r="Y637" s="3">
        <v>60.119399999999999</v>
      </c>
      <c r="AB637" s="3">
        <v>78.589950000000002</v>
      </c>
      <c r="AC637" s="3">
        <v>50.557400000000001</v>
      </c>
      <c r="AD637" s="3">
        <v>80.898880000000005</v>
      </c>
      <c r="AE637" s="3">
        <v>79.116709999999998</v>
      </c>
      <c r="AF637" s="3">
        <v>101.9297</v>
      </c>
      <c r="AH637" s="3">
        <v>79.464699999999993</v>
      </c>
      <c r="AI637" s="3">
        <v>77.682789999999997</v>
      </c>
      <c r="AJ637" s="3">
        <v>65.840680000000006</v>
      </c>
      <c r="AK637" s="3">
        <v>62.989069999999998</v>
      </c>
      <c r="AL637" s="3">
        <v>79.442750000000004</v>
      </c>
      <c r="AM637" s="3">
        <v>79.437929999999994</v>
      </c>
      <c r="AN637" s="3">
        <v>77.648970000000006</v>
      </c>
      <c r="AO637" s="3">
        <v>75.593220000000002</v>
      </c>
      <c r="AP637" s="3">
        <v>81.743380000000002</v>
      </c>
      <c r="AQ637" s="3">
        <v>77.438770000000005</v>
      </c>
      <c r="AT637" s="3">
        <v>65.658410000000003</v>
      </c>
      <c r="AU637" s="3">
        <v>74.12124</v>
      </c>
      <c r="AV637" s="3">
        <v>89.895949999999999</v>
      </c>
      <c r="AW637" s="3">
        <v>27.949259999999999</v>
      </c>
      <c r="AX637" s="3">
        <v>77.648179999999996</v>
      </c>
    </row>
    <row r="638" spans="1:51" x14ac:dyDescent="0.2">
      <c r="A638" s="74" t="s">
        <v>535</v>
      </c>
      <c r="B638" s="49">
        <v>37226</v>
      </c>
      <c r="D638" s="3">
        <v>80.024979999999999</v>
      </c>
      <c r="F638" s="3">
        <v>80.01249</v>
      </c>
      <c r="G638" s="3">
        <v>95.179389999999998</v>
      </c>
      <c r="H638" s="3">
        <v>72.974950000000007</v>
      </c>
      <c r="J638" s="3">
        <v>58.61824</v>
      </c>
      <c r="K638" s="3">
        <v>38.455730000000003</v>
      </c>
      <c r="L638" s="3">
        <v>86.1</v>
      </c>
      <c r="M638" s="3">
        <v>84.505859999999998</v>
      </c>
      <c r="N638" s="3">
        <v>79.775350000000003</v>
      </c>
      <c r="O638" s="3">
        <v>82.48</v>
      </c>
      <c r="P638" s="3">
        <v>80.142560000000003</v>
      </c>
      <c r="Q638" s="3">
        <v>71.966059999999999</v>
      </c>
      <c r="S638" s="3">
        <v>84.500110000000006</v>
      </c>
      <c r="T638" s="3">
        <v>83.2821</v>
      </c>
      <c r="V638" s="3">
        <v>81.558940000000007</v>
      </c>
      <c r="W638" s="3">
        <v>79.380840000000006</v>
      </c>
      <c r="X638" s="3">
        <v>80.478890000000007</v>
      </c>
      <c r="Y638" s="3">
        <v>60.275370000000002</v>
      </c>
      <c r="AB638" s="3">
        <v>78.927269999999993</v>
      </c>
      <c r="AC638" s="3">
        <v>50.983229999999999</v>
      </c>
      <c r="AD638" s="3">
        <v>80.898880000000005</v>
      </c>
      <c r="AE638" s="3">
        <v>79.159949999999995</v>
      </c>
      <c r="AF638" s="3">
        <v>101.89060000000001</v>
      </c>
      <c r="AH638" s="3">
        <v>79.222499999999997</v>
      </c>
      <c r="AI638" s="3">
        <v>77.734840000000005</v>
      </c>
      <c r="AJ638" s="3">
        <v>65.571479999999994</v>
      </c>
      <c r="AK638" s="3">
        <v>63.130290000000002</v>
      </c>
      <c r="AL638" s="3">
        <v>79.093379999999996</v>
      </c>
      <c r="AM638" s="3">
        <v>79.687520000000006</v>
      </c>
      <c r="AN638" s="3">
        <v>77.762370000000004</v>
      </c>
      <c r="AO638" s="3">
        <v>75.968320000000006</v>
      </c>
      <c r="AP638" s="3">
        <v>81.829840000000004</v>
      </c>
      <c r="AQ638" s="3">
        <v>77.517039999999994</v>
      </c>
      <c r="AT638" s="3">
        <v>65.889840000000007</v>
      </c>
      <c r="AU638" s="3">
        <v>74.291240000000002</v>
      </c>
      <c r="AV638" s="3">
        <v>89.996480000000005</v>
      </c>
      <c r="AW638" s="3">
        <v>28.573650000000001</v>
      </c>
      <c r="AX638" s="3">
        <v>77.524339999999995</v>
      </c>
    </row>
    <row r="639" spans="1:51" x14ac:dyDescent="0.2">
      <c r="A639" s="3" t="s">
        <v>536</v>
      </c>
      <c r="B639" s="49">
        <v>37257</v>
      </c>
      <c r="D639" s="3">
        <v>80.245249999999999</v>
      </c>
      <c r="F639" s="3">
        <v>79.879649999999998</v>
      </c>
      <c r="G639" s="3">
        <v>94.921250000000001</v>
      </c>
      <c r="H639" s="3">
        <v>73.07302</v>
      </c>
      <c r="J639" s="3">
        <v>59.03819</v>
      </c>
      <c r="K639" s="3">
        <v>38.819470000000003</v>
      </c>
      <c r="L639" s="3">
        <v>86.6</v>
      </c>
      <c r="M639" s="3">
        <v>84.182950000000005</v>
      </c>
      <c r="N639" s="3">
        <v>79.570359999999994</v>
      </c>
      <c r="O639" s="3">
        <v>82.09</v>
      </c>
      <c r="P639" s="3">
        <v>79.686310000000006</v>
      </c>
      <c r="Q639" s="3">
        <v>72.476860000000002</v>
      </c>
      <c r="S639" s="3">
        <v>84.385400000000004</v>
      </c>
      <c r="T639" s="3">
        <v>83.200640000000007</v>
      </c>
      <c r="V639" s="3">
        <v>81.516559999999998</v>
      </c>
      <c r="W639" s="3">
        <v>78.87715</v>
      </c>
      <c r="X639" s="3">
        <v>79.392769999999999</v>
      </c>
      <c r="Y639" s="3">
        <v>60.93909</v>
      </c>
      <c r="AB639" s="3">
        <v>78.732910000000004</v>
      </c>
      <c r="AC639" s="3">
        <v>51.292960000000001</v>
      </c>
      <c r="AD639" s="3">
        <v>81.905079999999998</v>
      </c>
      <c r="AE639" s="3">
        <v>79.312359999999998</v>
      </c>
      <c r="AF639" s="3">
        <v>101.2469</v>
      </c>
      <c r="AH639" s="3">
        <v>79.054299999999998</v>
      </c>
      <c r="AI639" s="3">
        <v>76.587999999999994</v>
      </c>
      <c r="AJ639" s="3">
        <v>65.51379</v>
      </c>
      <c r="AK639" s="3">
        <v>62.791829999999997</v>
      </c>
      <c r="AL639" s="3">
        <v>79.364829999999998</v>
      </c>
      <c r="AM639" s="3">
        <v>79.512219999999999</v>
      </c>
      <c r="AN639" s="3">
        <v>77.802279999999996</v>
      </c>
      <c r="AO639" s="3">
        <v>75.991799999999998</v>
      </c>
      <c r="AP639" s="3">
        <v>82.572220000000002</v>
      </c>
      <c r="AQ639" s="3">
        <v>77.700199999999995</v>
      </c>
      <c r="AT639" s="3">
        <v>66.401210000000006</v>
      </c>
      <c r="AU639" s="3">
        <v>75.181250000000006</v>
      </c>
      <c r="AV639" s="3">
        <v>89.195570000000004</v>
      </c>
      <c r="AW639" s="3">
        <v>29.767939999999999</v>
      </c>
      <c r="AX639" s="3">
        <v>77.689459999999997</v>
      </c>
      <c r="AY639" s="3">
        <v>53.823560000000001</v>
      </c>
    </row>
    <row r="640" spans="1:51" x14ac:dyDescent="0.2">
      <c r="A640" s="74" t="s">
        <v>537</v>
      </c>
      <c r="B640" s="49">
        <v>37288</v>
      </c>
      <c r="D640" s="3">
        <v>80.632159999999999</v>
      </c>
      <c r="F640" s="3">
        <v>80.375770000000003</v>
      </c>
      <c r="G640" s="3">
        <v>95.01146</v>
      </c>
      <c r="H640" s="3">
        <v>73.340490000000003</v>
      </c>
      <c r="J640" s="3">
        <v>59.668120000000002</v>
      </c>
      <c r="K640" s="3">
        <v>39.189239999999998</v>
      </c>
      <c r="L640" s="3">
        <v>87</v>
      </c>
      <c r="M640" s="3">
        <v>84.520070000000004</v>
      </c>
      <c r="N640" s="3">
        <v>80.26097</v>
      </c>
      <c r="O640" s="3">
        <v>82.3</v>
      </c>
      <c r="P640" s="3">
        <v>79.777069999999995</v>
      </c>
      <c r="Q640" s="3">
        <v>72.760639999999995</v>
      </c>
      <c r="S640" s="3">
        <v>84.631200000000007</v>
      </c>
      <c r="T640" s="3">
        <v>83.377840000000006</v>
      </c>
      <c r="V640" s="3">
        <v>81.800030000000007</v>
      </c>
      <c r="W640" s="3">
        <v>78.977890000000002</v>
      </c>
      <c r="X640" s="3">
        <v>78.715829999999997</v>
      </c>
      <c r="Y640" s="3">
        <v>61.47334</v>
      </c>
      <c r="AB640" s="3">
        <v>79.338989999999995</v>
      </c>
      <c r="AC640" s="3">
        <v>51.169870000000003</v>
      </c>
      <c r="AD640" s="3">
        <v>82.710040000000006</v>
      </c>
      <c r="AE640" s="3">
        <v>79.597539999999995</v>
      </c>
      <c r="AF640" s="3">
        <v>100.89019999999999</v>
      </c>
      <c r="AH640" s="3">
        <v>78.8352</v>
      </c>
      <c r="AI640" s="3">
        <v>77.680080000000004</v>
      </c>
      <c r="AJ640" s="3">
        <v>65.331109999999995</v>
      </c>
      <c r="AK640" s="3">
        <v>62.998539999999998</v>
      </c>
      <c r="AL640" s="3">
        <v>79.865080000000006</v>
      </c>
      <c r="AM640" s="3">
        <v>79.612369999999999</v>
      </c>
      <c r="AN640" s="3">
        <v>78.076939999999993</v>
      </c>
      <c r="AO640" s="3">
        <v>76.237290000000002</v>
      </c>
      <c r="AP640" s="3">
        <v>82.67886</v>
      </c>
      <c r="AQ640" s="3">
        <v>77.590119999999999</v>
      </c>
      <c r="AT640" s="3">
        <v>66.521950000000004</v>
      </c>
      <c r="AU640" s="3">
        <v>75.731260000000006</v>
      </c>
      <c r="AV640" s="3">
        <v>89.500519999999995</v>
      </c>
      <c r="AW640" s="3">
        <v>30.17877</v>
      </c>
      <c r="AX640" s="3">
        <v>78.102260000000001</v>
      </c>
      <c r="AY640" s="3">
        <v>54.505189999999999</v>
      </c>
    </row>
    <row r="641" spans="1:51" x14ac:dyDescent="0.2">
      <c r="A641" s="74" t="s">
        <v>538</v>
      </c>
      <c r="B641" s="49">
        <v>37316</v>
      </c>
      <c r="D641" s="3">
        <v>80.705209999999994</v>
      </c>
      <c r="F641" s="3">
        <v>80.812709999999996</v>
      </c>
      <c r="G641" s="3">
        <v>95.022580000000005</v>
      </c>
      <c r="H641" s="3">
        <v>73.786280000000005</v>
      </c>
      <c r="J641" s="3">
        <v>60.076410000000003</v>
      </c>
      <c r="K641" s="3">
        <v>39.616280000000003</v>
      </c>
      <c r="L641" s="3">
        <v>86.9</v>
      </c>
      <c r="M641" s="3">
        <v>84.648449999999997</v>
      </c>
      <c r="N641" s="3">
        <v>80.758319999999998</v>
      </c>
      <c r="O641" s="3">
        <v>82.79</v>
      </c>
      <c r="P641" s="3">
        <v>80.423479999999998</v>
      </c>
      <c r="Q641" s="3">
        <v>72.987660000000005</v>
      </c>
      <c r="S641" s="3">
        <v>84.983530000000002</v>
      </c>
      <c r="T641" s="3">
        <v>83.787149999999997</v>
      </c>
      <c r="V641" s="3">
        <v>82.061779999999999</v>
      </c>
      <c r="W641" s="3">
        <v>79.280100000000004</v>
      </c>
      <c r="X641" s="3">
        <v>81.065550000000002</v>
      </c>
      <c r="Y641" s="3">
        <v>61.917230000000004</v>
      </c>
      <c r="AB641" s="3">
        <v>80.189769999999996</v>
      </c>
      <c r="AC641" s="3">
        <v>51.625630000000001</v>
      </c>
      <c r="AD641" s="3">
        <v>83.313770000000005</v>
      </c>
      <c r="AE641" s="3">
        <v>79.827330000000003</v>
      </c>
      <c r="AF641" s="3">
        <v>101.1763</v>
      </c>
      <c r="AH641" s="3">
        <v>78.545000000000002</v>
      </c>
      <c r="AI641" s="3">
        <v>77.778589999999994</v>
      </c>
      <c r="AJ641" s="3">
        <v>65.879140000000007</v>
      </c>
      <c r="AK641" s="3">
        <v>63.279429999999998</v>
      </c>
      <c r="AL641" s="3">
        <v>80.624979999999994</v>
      </c>
      <c r="AM641" s="3">
        <v>80.064880000000002</v>
      </c>
      <c r="AN641" s="3">
        <v>78.400220000000004</v>
      </c>
      <c r="AO641" s="3">
        <v>76.628519999999995</v>
      </c>
      <c r="AP641" s="3">
        <v>82.764560000000003</v>
      </c>
      <c r="AQ641" s="3">
        <v>77.998530000000002</v>
      </c>
      <c r="AT641" s="3">
        <v>66.655050000000003</v>
      </c>
      <c r="AU641" s="3">
        <v>76.361270000000005</v>
      </c>
      <c r="AV641" s="3">
        <v>90.086960000000005</v>
      </c>
      <c r="AW641" s="3">
        <v>30.74061</v>
      </c>
      <c r="AX641" s="3">
        <v>78.349950000000007</v>
      </c>
      <c r="AY641" s="3">
        <v>54.97063</v>
      </c>
    </row>
    <row r="642" spans="1:51" x14ac:dyDescent="0.2">
      <c r="A642" s="74" t="s">
        <v>539</v>
      </c>
      <c r="B642" s="49">
        <v>37347</v>
      </c>
      <c r="D642" s="3">
        <v>80.530879999999996</v>
      </c>
      <c r="F642" s="3">
        <v>81.214730000000003</v>
      </c>
      <c r="G642" s="3">
        <v>95.72784</v>
      </c>
      <c r="H642" s="3">
        <v>73.750619999999998</v>
      </c>
      <c r="J642" s="3">
        <v>60.426369999999999</v>
      </c>
      <c r="K642" s="3">
        <v>39.794130000000003</v>
      </c>
      <c r="L642" s="3">
        <v>87</v>
      </c>
      <c r="M642" s="3">
        <v>84.390709999999999</v>
      </c>
      <c r="N642" s="3">
        <v>80.95044</v>
      </c>
      <c r="O642" s="3">
        <v>83.05</v>
      </c>
      <c r="P642" s="3">
        <v>81.474260000000001</v>
      </c>
      <c r="Q642" s="3">
        <v>72.930909999999997</v>
      </c>
      <c r="S642" s="3">
        <v>85.344040000000007</v>
      </c>
      <c r="T642" s="3">
        <v>84.024839999999998</v>
      </c>
      <c r="V642" s="3">
        <v>82.244119999999995</v>
      </c>
      <c r="W642" s="3">
        <v>79.582310000000007</v>
      </c>
      <c r="X642" s="3">
        <v>81.506969999999995</v>
      </c>
      <c r="Y642" s="3">
        <v>62.364800000000002</v>
      </c>
      <c r="AB642" s="3">
        <v>80.839950000000002</v>
      </c>
      <c r="AC642" s="3">
        <v>51.832799999999999</v>
      </c>
      <c r="AD642" s="3">
        <v>84.420590000000004</v>
      </c>
      <c r="AE642" s="3">
        <v>79.926760000000002</v>
      </c>
      <c r="AF642" s="3">
        <v>101.48090000000001</v>
      </c>
      <c r="AH642" s="3">
        <v>78.739800000000002</v>
      </c>
      <c r="AI642" s="3">
        <v>77.920330000000007</v>
      </c>
      <c r="AJ642" s="3">
        <v>66.061819999999997</v>
      </c>
      <c r="AK642" s="3">
        <v>63.570349999999998</v>
      </c>
      <c r="AL642" s="3">
        <v>81.031379999999999</v>
      </c>
      <c r="AM642" s="3">
        <v>80.239279999999994</v>
      </c>
      <c r="AN642" s="3">
        <v>78.681659999999994</v>
      </c>
      <c r="AO642" s="3">
        <v>76.944310000000002</v>
      </c>
      <c r="AP642" s="3">
        <v>83.007530000000003</v>
      </c>
      <c r="AQ642" s="3">
        <v>78.783990000000003</v>
      </c>
      <c r="AT642" s="3">
        <v>66.661439999999999</v>
      </c>
      <c r="AU642" s="3">
        <v>77.241290000000006</v>
      </c>
      <c r="AV642" s="3">
        <v>90.529300000000006</v>
      </c>
      <c r="AW642" s="3">
        <v>31.5685</v>
      </c>
      <c r="AX642" s="3">
        <v>78.556340000000006</v>
      </c>
      <c r="AY642" s="3">
        <v>55.838459999999998</v>
      </c>
    </row>
    <row r="643" spans="1:51" x14ac:dyDescent="0.2">
      <c r="A643" s="74" t="s">
        <v>540</v>
      </c>
      <c r="B643" s="49">
        <v>37377</v>
      </c>
      <c r="D643" s="3">
        <v>80.636150000000001</v>
      </c>
      <c r="F643" s="3">
        <v>81.554259999999999</v>
      </c>
      <c r="G643" s="3">
        <v>95.883759999999995</v>
      </c>
      <c r="H643" s="3">
        <v>73.884349999999998</v>
      </c>
      <c r="J643" s="3">
        <v>60.601349999999996</v>
      </c>
      <c r="K643" s="3">
        <v>40.068440000000002</v>
      </c>
      <c r="L643" s="3">
        <v>86.9</v>
      </c>
      <c r="M643" s="3">
        <v>84.604399999999998</v>
      </c>
      <c r="N643" s="3">
        <v>81.000730000000004</v>
      </c>
      <c r="O643" s="3">
        <v>83.28</v>
      </c>
      <c r="P643" s="3">
        <v>81.765699999999995</v>
      </c>
      <c r="Q643" s="3">
        <v>72.987660000000005</v>
      </c>
      <c r="S643" s="3">
        <v>85.450559999999996</v>
      </c>
      <c r="T643" s="3">
        <v>84.137020000000007</v>
      </c>
      <c r="V643" s="3">
        <v>82.305809999999994</v>
      </c>
      <c r="W643" s="3">
        <v>79.884519999999995</v>
      </c>
      <c r="X643" s="3">
        <v>82.003119999999996</v>
      </c>
      <c r="Y643" s="3">
        <v>62.637</v>
      </c>
      <c r="AB643" s="3">
        <v>81.245429999999999</v>
      </c>
      <c r="AC643" s="3">
        <v>51.853499999999997</v>
      </c>
      <c r="AD643" s="3">
        <v>85.4268</v>
      </c>
      <c r="AE643" s="3">
        <v>80.120739999999998</v>
      </c>
      <c r="AF643" s="3">
        <v>101.5545</v>
      </c>
      <c r="AH643" s="3">
        <v>78.816699999999997</v>
      </c>
      <c r="AI643" s="3">
        <v>78.088250000000002</v>
      </c>
      <c r="AJ643" s="3">
        <v>66.148349999999994</v>
      </c>
      <c r="AK643" s="3">
        <v>63.704569999999997</v>
      </c>
      <c r="AL643" s="3">
        <v>81.094700000000003</v>
      </c>
      <c r="AM643" s="3">
        <v>80.532859999999999</v>
      </c>
      <c r="AN643" s="3">
        <v>78.807980000000001</v>
      </c>
      <c r="AO643" s="3">
        <v>77.228880000000004</v>
      </c>
      <c r="AP643" s="3">
        <v>83.173869999999994</v>
      </c>
      <c r="AQ643" s="3">
        <v>79.41113</v>
      </c>
      <c r="AT643" s="3">
        <v>66.824439999999996</v>
      </c>
      <c r="AU643" s="3">
        <v>77.711299999999994</v>
      </c>
      <c r="AV643" s="3">
        <v>90.894570000000002</v>
      </c>
      <c r="AW643" s="3">
        <v>32.234990000000003</v>
      </c>
      <c r="AX643" s="3">
        <v>78.515069999999994</v>
      </c>
      <c r="AY643" s="3">
        <v>55.991860000000003</v>
      </c>
    </row>
    <row r="644" spans="1:51" x14ac:dyDescent="0.2">
      <c r="A644" s="74" t="s">
        <v>541</v>
      </c>
      <c r="B644" s="49">
        <v>37408</v>
      </c>
      <c r="D644" s="3">
        <v>80.685910000000007</v>
      </c>
      <c r="F644" s="3">
        <v>81.803629999999998</v>
      </c>
      <c r="G644" s="3">
        <v>95.827200000000005</v>
      </c>
      <c r="H644" s="3">
        <v>73.893259999999998</v>
      </c>
      <c r="J644" s="3">
        <v>60.741329999999998</v>
      </c>
      <c r="K644" s="3">
        <v>40.271410000000003</v>
      </c>
      <c r="L644" s="3">
        <v>87.1</v>
      </c>
      <c r="M644" s="3">
        <v>84.744159999999994</v>
      </c>
      <c r="N644" s="3">
        <v>81.040189999999996</v>
      </c>
      <c r="O644" s="3">
        <v>83.37</v>
      </c>
      <c r="P644" s="3">
        <v>81.917969999999997</v>
      </c>
      <c r="Q644" s="3">
        <v>73.157929999999993</v>
      </c>
      <c r="S644" s="3">
        <v>85.434169999999995</v>
      </c>
      <c r="T644" s="3">
        <v>84.20326</v>
      </c>
      <c r="V644" s="3">
        <v>82.323660000000004</v>
      </c>
      <c r="W644" s="3">
        <v>79.985259999999997</v>
      </c>
      <c r="X644" s="3">
        <v>81.950940000000003</v>
      </c>
      <c r="Y644" s="3">
        <v>62.748109999999997</v>
      </c>
      <c r="AB644" s="3">
        <v>81.324830000000006</v>
      </c>
      <c r="AC644" s="3">
        <v>51.995019999999997</v>
      </c>
      <c r="AD644" s="3">
        <v>86.734859999999998</v>
      </c>
      <c r="AE644" s="3">
        <v>80.264949999999999</v>
      </c>
      <c r="AF644" s="3">
        <v>101.5149</v>
      </c>
      <c r="AH644" s="3">
        <v>78.736599999999996</v>
      </c>
      <c r="AI644" s="3">
        <v>78.209469999999996</v>
      </c>
      <c r="AJ644" s="3">
        <v>65.763769999999994</v>
      </c>
      <c r="AK644" s="3">
        <v>63.90831</v>
      </c>
      <c r="AL644" s="3">
        <v>80.866159999999994</v>
      </c>
      <c r="AM644" s="3">
        <v>80.571269999999998</v>
      </c>
      <c r="AN644" s="3">
        <v>78.882440000000003</v>
      </c>
      <c r="AO644" s="3">
        <v>77.408339999999995</v>
      </c>
      <c r="AP644" s="3">
        <v>83.279870000000003</v>
      </c>
      <c r="AQ644" s="3">
        <v>79.741709999999998</v>
      </c>
      <c r="AT644" s="3">
        <v>66.919259999999994</v>
      </c>
      <c r="AU644" s="3">
        <v>77.871300000000005</v>
      </c>
      <c r="AV644" s="3">
        <v>90.948189999999997</v>
      </c>
      <c r="AW644" s="3">
        <v>32.918529999999997</v>
      </c>
      <c r="AX644" s="3">
        <v>78.473789999999994</v>
      </c>
      <c r="AY644" s="3">
        <v>56.447490000000002</v>
      </c>
    </row>
    <row r="645" spans="1:51" x14ac:dyDescent="0.2">
      <c r="A645" s="74" t="s">
        <v>542</v>
      </c>
      <c r="B645" s="49">
        <v>37438</v>
      </c>
      <c r="D645" s="3">
        <v>80.944630000000004</v>
      </c>
      <c r="F645" s="3">
        <v>82.299909999999997</v>
      </c>
      <c r="G645" s="3">
        <v>95.212909999999994</v>
      </c>
      <c r="H645" s="3">
        <v>73.920010000000005</v>
      </c>
      <c r="J645" s="3">
        <v>60.881309999999999</v>
      </c>
      <c r="K645" s="3">
        <v>40.676340000000003</v>
      </c>
      <c r="L645" s="3">
        <v>88.2</v>
      </c>
      <c r="M645" s="3">
        <v>84.9255</v>
      </c>
      <c r="N645" s="3">
        <v>80.847189999999998</v>
      </c>
      <c r="O645" s="3">
        <v>83.3</v>
      </c>
      <c r="P645" s="3">
        <v>80.90652</v>
      </c>
      <c r="Q645" s="3">
        <v>73.101169999999996</v>
      </c>
      <c r="S645" s="3">
        <v>85.122820000000004</v>
      </c>
      <c r="T645" s="3">
        <v>84.347650000000002</v>
      </c>
      <c r="V645" s="3">
        <v>82.371459999999999</v>
      </c>
      <c r="W645" s="3">
        <v>79.683040000000005</v>
      </c>
      <c r="X645" s="3">
        <v>80.37003</v>
      </c>
      <c r="Y645" s="3">
        <v>62.649929999999998</v>
      </c>
      <c r="AB645" s="3">
        <v>80.806240000000003</v>
      </c>
      <c r="AC645" s="3">
        <v>52.092109999999998</v>
      </c>
      <c r="AD645" s="3">
        <v>87.036730000000006</v>
      </c>
      <c r="AE645" s="3">
        <v>80.458960000000005</v>
      </c>
      <c r="AF645" s="3">
        <v>101.1795</v>
      </c>
      <c r="AH645" s="3">
        <v>78.883099999999999</v>
      </c>
      <c r="AI645" s="3">
        <v>77.49709</v>
      </c>
      <c r="AJ645" s="3">
        <v>65.946439999999996</v>
      </c>
      <c r="AK645" s="3">
        <v>64.059200000000004</v>
      </c>
      <c r="AL645" s="3">
        <v>80.616</v>
      </c>
      <c r="AM645" s="3">
        <v>80.367769999999993</v>
      </c>
      <c r="AN645" s="3">
        <v>78.927139999999994</v>
      </c>
      <c r="AO645" s="3">
        <v>77.410499999999999</v>
      </c>
      <c r="AP645" s="3">
        <v>83.489519999999999</v>
      </c>
      <c r="AQ645" s="3">
        <v>79.907650000000004</v>
      </c>
      <c r="AT645" s="3">
        <v>67.179760000000002</v>
      </c>
      <c r="AU645" s="3">
        <v>78.66131</v>
      </c>
      <c r="AV645" s="3">
        <v>90.479029999999995</v>
      </c>
      <c r="AW645" s="3">
        <v>33.567659999999997</v>
      </c>
      <c r="AX645" s="3">
        <v>78.556340000000006</v>
      </c>
      <c r="AY645" s="3">
        <v>57.450429999999997</v>
      </c>
    </row>
    <row r="646" spans="1:51" x14ac:dyDescent="0.2">
      <c r="A646" s="74" t="s">
        <v>543</v>
      </c>
      <c r="B646" s="49">
        <v>37469</v>
      </c>
      <c r="D646" s="3">
        <v>80.993780000000001</v>
      </c>
      <c r="F646" s="3">
        <v>82.525980000000004</v>
      </c>
      <c r="G646" s="3">
        <v>95.247020000000006</v>
      </c>
      <c r="H646" s="3">
        <v>74.098330000000004</v>
      </c>
      <c r="J646" s="3">
        <v>60.962969999999999</v>
      </c>
      <c r="K646" s="3">
        <v>40.934579999999997</v>
      </c>
      <c r="L646" s="3">
        <v>88.2</v>
      </c>
      <c r="M646" s="3">
        <v>84.895709999999994</v>
      </c>
      <c r="N646" s="3">
        <v>80.992379999999997</v>
      </c>
      <c r="O646" s="3">
        <v>83.38</v>
      </c>
      <c r="P646" s="3">
        <v>81.089039999999997</v>
      </c>
      <c r="Q646" s="3">
        <v>73.271439999999998</v>
      </c>
      <c r="S646" s="3">
        <v>85.434169999999995</v>
      </c>
      <c r="T646" s="3">
        <v>84.612979999999993</v>
      </c>
      <c r="V646" s="3">
        <v>82.610510000000005</v>
      </c>
      <c r="W646" s="3">
        <v>79.985259999999997</v>
      </c>
      <c r="X646" s="3">
        <v>80.438010000000006</v>
      </c>
      <c r="Y646" s="3">
        <v>62.637129999999999</v>
      </c>
      <c r="AB646" s="3">
        <v>81.444649999999996</v>
      </c>
      <c r="AC646" s="3">
        <v>51.832799999999999</v>
      </c>
      <c r="AD646" s="3">
        <v>86.231769999999997</v>
      </c>
      <c r="AE646" s="3">
        <v>80.663899999999998</v>
      </c>
      <c r="AF646" s="3">
        <v>101.35290000000001</v>
      </c>
      <c r="AH646" s="3">
        <v>78.657200000000003</v>
      </c>
      <c r="AI646" s="3">
        <v>78.466080000000005</v>
      </c>
      <c r="AJ646" s="3">
        <v>65.946439999999996</v>
      </c>
      <c r="AK646" s="3">
        <v>64.293319999999994</v>
      </c>
      <c r="AL646" s="3">
        <v>80.985740000000007</v>
      </c>
      <c r="AM646" s="3">
        <v>80.015169999999998</v>
      </c>
      <c r="AN646" s="3">
        <v>79.175190000000001</v>
      </c>
      <c r="AO646" s="3">
        <v>77.670720000000003</v>
      </c>
      <c r="AP646" s="3">
        <v>83.485659999999996</v>
      </c>
      <c r="AQ646" s="3">
        <v>79.959400000000002</v>
      </c>
      <c r="AT646" s="3">
        <v>67.767679999999999</v>
      </c>
      <c r="AU646" s="3">
        <v>78.66131</v>
      </c>
      <c r="AV646" s="3">
        <v>90.489090000000004</v>
      </c>
      <c r="AW646" s="3">
        <v>34.46078</v>
      </c>
      <c r="AX646" s="3">
        <v>78.845309999999998</v>
      </c>
      <c r="AY646" s="3">
        <v>57.655709999999999</v>
      </c>
    </row>
    <row r="647" spans="1:51" x14ac:dyDescent="0.2">
      <c r="A647" s="74" t="s">
        <v>544</v>
      </c>
      <c r="B647" s="49">
        <v>37500</v>
      </c>
      <c r="D647" s="3">
        <v>81.025599999999997</v>
      </c>
      <c r="F647" s="3">
        <v>82.592129999999997</v>
      </c>
      <c r="G647" s="3">
        <v>95.267409999999998</v>
      </c>
      <c r="H647" s="3">
        <v>74.321219999999997</v>
      </c>
      <c r="J647" s="3">
        <v>61.067959999999999</v>
      </c>
      <c r="K647" s="3">
        <v>41.152619999999999</v>
      </c>
      <c r="L647" s="3">
        <v>87.2</v>
      </c>
      <c r="M647" s="3">
        <v>84.850819999999999</v>
      </c>
      <c r="N647" s="3">
        <v>81.467619999999997</v>
      </c>
      <c r="O647" s="3">
        <v>83.57</v>
      </c>
      <c r="P647" s="3">
        <v>81.313919999999996</v>
      </c>
      <c r="Q647" s="3">
        <v>73.611969999999999</v>
      </c>
      <c r="S647" s="3">
        <v>85.802880000000002</v>
      </c>
      <c r="T647" s="3">
        <v>84.697580000000002</v>
      </c>
      <c r="V647" s="3">
        <v>82.710999999999999</v>
      </c>
      <c r="W647" s="3">
        <v>80.186729999999997</v>
      </c>
      <c r="X647" s="3">
        <v>82.360489999999999</v>
      </c>
      <c r="Y647" s="3">
        <v>62.959099999999999</v>
      </c>
      <c r="AB647" s="3">
        <v>81.90652</v>
      </c>
      <c r="AC647" s="3">
        <v>52.039969999999997</v>
      </c>
      <c r="AD647" s="3">
        <v>86.332380000000001</v>
      </c>
      <c r="AE647" s="3">
        <v>80.744500000000002</v>
      </c>
      <c r="AF647" s="3">
        <v>101.41889999999999</v>
      </c>
      <c r="AH647" s="3">
        <v>78.804000000000002</v>
      </c>
      <c r="AI647" s="3">
        <v>78.594849999999994</v>
      </c>
      <c r="AJ647" s="3">
        <v>66.609849999999994</v>
      </c>
      <c r="AK647" s="3">
        <v>64.746619999999993</v>
      </c>
      <c r="AL647" s="3">
        <v>81.905770000000004</v>
      </c>
      <c r="AM647" s="3">
        <v>80.403710000000004</v>
      </c>
      <c r="AN647" s="3">
        <v>79.371790000000004</v>
      </c>
      <c r="AO647" s="3">
        <v>77.954359999999994</v>
      </c>
      <c r="AP647" s="3">
        <v>83.416129999999995</v>
      </c>
      <c r="AQ647" s="3">
        <v>80.075940000000003</v>
      </c>
      <c r="AT647" s="3">
        <v>67.881969999999995</v>
      </c>
      <c r="AU647" s="3">
        <v>79.07132</v>
      </c>
      <c r="AV647" s="3">
        <v>91.313450000000003</v>
      </c>
      <c r="AW647" s="3">
        <v>35.445309999999999</v>
      </c>
      <c r="AX647" s="3">
        <v>78.969149999999999</v>
      </c>
      <c r="AY647" s="3">
        <v>58.045729999999999</v>
      </c>
    </row>
    <row r="648" spans="1:51" x14ac:dyDescent="0.2">
      <c r="A648" s="74" t="s">
        <v>545</v>
      </c>
      <c r="B648" s="49">
        <v>37530</v>
      </c>
      <c r="D648" s="3">
        <v>80.911879999999996</v>
      </c>
      <c r="F648" s="3">
        <v>82.73527</v>
      </c>
      <c r="G648" s="3">
        <v>95.940309999999997</v>
      </c>
      <c r="H648" s="3">
        <v>74.544110000000003</v>
      </c>
      <c r="J648" s="3">
        <v>61.231270000000002</v>
      </c>
      <c r="K648" s="3">
        <v>41.31138</v>
      </c>
      <c r="L648" s="3">
        <v>87.2</v>
      </c>
      <c r="M648" s="3">
        <v>84.742980000000003</v>
      </c>
      <c r="N648" s="3">
        <v>81.664119999999997</v>
      </c>
      <c r="O648" s="3">
        <v>83.77</v>
      </c>
      <c r="P648" s="3">
        <v>82.435299999999998</v>
      </c>
      <c r="Q648" s="3">
        <v>74.066019999999995</v>
      </c>
      <c r="S648" s="3">
        <v>86.114230000000006</v>
      </c>
      <c r="T648" s="3">
        <v>84.765339999999995</v>
      </c>
      <c r="V648" s="3">
        <v>82.836330000000004</v>
      </c>
      <c r="W648" s="3">
        <v>80.388210000000001</v>
      </c>
      <c r="X648" s="3">
        <v>82.718860000000006</v>
      </c>
      <c r="Y648" s="3">
        <v>63.247979999999998</v>
      </c>
      <c r="AB648" s="3">
        <v>82.337689999999995</v>
      </c>
      <c r="AC648" s="3">
        <v>52.33</v>
      </c>
      <c r="AD648" s="3">
        <v>86.835489999999993</v>
      </c>
      <c r="AE648" s="3">
        <v>80.915970000000002</v>
      </c>
      <c r="AF648" s="3">
        <v>101.2552</v>
      </c>
      <c r="AH648" s="3">
        <v>79.214699999999993</v>
      </c>
      <c r="AI648" s="3">
        <v>78.841210000000004</v>
      </c>
      <c r="AJ648" s="3">
        <v>67.052120000000002</v>
      </c>
      <c r="AK648" s="3">
        <v>64.909009999999995</v>
      </c>
      <c r="AL648" s="3">
        <v>81.851690000000005</v>
      </c>
      <c r="AM648" s="3">
        <v>80.727260000000001</v>
      </c>
      <c r="AN648" s="3">
        <v>79.59084</v>
      </c>
      <c r="AO648" s="3">
        <v>78.256619999999998</v>
      </c>
      <c r="AP648" s="3">
        <v>83.261020000000002</v>
      </c>
      <c r="AQ648" s="3">
        <v>80.693190000000001</v>
      </c>
      <c r="AT648" s="3">
        <v>67.965159999999997</v>
      </c>
      <c r="AU648" s="3">
        <v>79.571330000000003</v>
      </c>
      <c r="AV648" s="3">
        <v>91.708879999999994</v>
      </c>
      <c r="AW648" s="3">
        <v>36.446899999999999</v>
      </c>
      <c r="AX648" s="3">
        <v>79.175550000000001</v>
      </c>
      <c r="AY648" s="3">
        <v>58.882510000000003</v>
      </c>
    </row>
    <row r="649" spans="1:51" x14ac:dyDescent="0.2">
      <c r="A649" s="74" t="s">
        <v>546</v>
      </c>
      <c r="B649" s="49">
        <v>37561</v>
      </c>
      <c r="D649" s="3">
        <v>81.06644</v>
      </c>
      <c r="F649" s="3">
        <v>82.929100000000005</v>
      </c>
      <c r="G649" s="3">
        <v>95.913690000000003</v>
      </c>
      <c r="H649" s="3">
        <v>74.365799999999993</v>
      </c>
      <c r="J649" s="3">
        <v>61.47625</v>
      </c>
      <c r="K649" s="3">
        <v>41.64799</v>
      </c>
      <c r="L649" s="3">
        <v>87.1</v>
      </c>
      <c r="M649" s="3">
        <v>84.608829999999998</v>
      </c>
      <c r="N649" s="3">
        <v>81.796869999999998</v>
      </c>
      <c r="O649" s="3">
        <v>83.85</v>
      </c>
      <c r="P649" s="3">
        <v>82.889089999999996</v>
      </c>
      <c r="Q649" s="3">
        <v>74.009259999999998</v>
      </c>
      <c r="S649" s="3">
        <v>85.909400000000005</v>
      </c>
      <c r="T649" s="3">
        <v>84.823840000000004</v>
      </c>
      <c r="V649" s="3">
        <v>82.851429999999993</v>
      </c>
      <c r="W649" s="3">
        <v>80.388210000000001</v>
      </c>
      <c r="X649" s="3">
        <v>82.881780000000006</v>
      </c>
      <c r="Y649" s="3">
        <v>63.445959999999999</v>
      </c>
      <c r="AB649" s="3">
        <v>82.478610000000003</v>
      </c>
      <c r="AC649" s="3">
        <v>52.371429999999997</v>
      </c>
      <c r="AD649" s="3">
        <v>86.131140000000002</v>
      </c>
      <c r="AE649" s="3">
        <v>81.221729999999994</v>
      </c>
      <c r="AF649" s="3">
        <v>101.20959999999999</v>
      </c>
      <c r="AH649" s="3">
        <v>79.337000000000003</v>
      </c>
      <c r="AI649" s="3">
        <v>78.988590000000002</v>
      </c>
      <c r="AJ649" s="3">
        <v>66.927130000000005</v>
      </c>
      <c r="AK649" s="3">
        <v>65.116500000000002</v>
      </c>
      <c r="AL649" s="3">
        <v>81.731210000000004</v>
      </c>
      <c r="AM649" s="3">
        <v>80.785030000000006</v>
      </c>
      <c r="AN649" s="3">
        <v>79.676299999999998</v>
      </c>
      <c r="AO649" s="3">
        <v>78.43674</v>
      </c>
      <c r="AP649" s="3">
        <v>83.216250000000002</v>
      </c>
      <c r="AQ649" s="3">
        <v>81.329740000000001</v>
      </c>
      <c r="AT649" s="3">
        <v>68.136409999999998</v>
      </c>
      <c r="AU649" s="3">
        <v>79.661330000000007</v>
      </c>
      <c r="AV649" s="3">
        <v>91.799359999999993</v>
      </c>
      <c r="AW649" s="3">
        <v>37.253309999999999</v>
      </c>
      <c r="AX649" s="3">
        <v>79.175550000000001</v>
      </c>
      <c r="AY649" s="3">
        <v>59.649740000000001</v>
      </c>
    </row>
    <row r="650" spans="1:51" x14ac:dyDescent="0.2">
      <c r="A650" s="74" t="s">
        <v>547</v>
      </c>
      <c r="B650" s="49">
        <v>37591</v>
      </c>
      <c r="D650" s="3">
        <v>81.227869999999996</v>
      </c>
      <c r="F650" s="3">
        <v>82.990719999999996</v>
      </c>
      <c r="G650" s="3">
        <v>95.889150000000001</v>
      </c>
      <c r="H650" s="3">
        <v>74.258809999999997</v>
      </c>
      <c r="J650" s="3">
        <v>61.67456</v>
      </c>
      <c r="K650" s="3">
        <v>41.935360000000003</v>
      </c>
      <c r="L650" s="3">
        <v>87.1</v>
      </c>
      <c r="M650" s="3">
        <v>85.451660000000004</v>
      </c>
      <c r="N650" s="3">
        <v>81.814989999999995</v>
      </c>
      <c r="O650" s="3">
        <v>84.29</v>
      </c>
      <c r="P650" s="3">
        <v>83.031279999999995</v>
      </c>
      <c r="Q650" s="3">
        <v>73.838999999999999</v>
      </c>
      <c r="S650" s="3">
        <v>85.860240000000005</v>
      </c>
      <c r="T650" s="3">
        <v>84.976380000000006</v>
      </c>
      <c r="V650" s="3">
        <v>82.891819999999996</v>
      </c>
      <c r="W650" s="3">
        <v>80.791150000000002</v>
      </c>
      <c r="X650" s="3">
        <v>83.22372</v>
      </c>
      <c r="Y650" s="3">
        <v>63.568550000000002</v>
      </c>
      <c r="AB650" s="3">
        <v>83.235330000000005</v>
      </c>
      <c r="AC650" s="3">
        <v>52.657139999999998</v>
      </c>
      <c r="AD650" s="3">
        <v>86.030529999999999</v>
      </c>
      <c r="AE650" s="3">
        <v>81.25564</v>
      </c>
      <c r="AF650" s="3">
        <v>101.27500000000001</v>
      </c>
      <c r="AH650" s="3">
        <v>79.247</v>
      </c>
      <c r="AI650" s="3">
        <v>79.007170000000002</v>
      </c>
      <c r="AJ650" s="3">
        <v>66.648309999999995</v>
      </c>
      <c r="AK650" s="3">
        <v>65.268090000000001</v>
      </c>
      <c r="AL650" s="3">
        <v>81.265330000000006</v>
      </c>
      <c r="AM650" s="3">
        <v>80.920599999999993</v>
      </c>
      <c r="AN650" s="3">
        <v>79.754599999999996</v>
      </c>
      <c r="AO650" s="3">
        <v>78.750720000000001</v>
      </c>
      <c r="AP650" s="3">
        <v>83.252139999999997</v>
      </c>
      <c r="AQ650" s="3">
        <v>81.502780000000001</v>
      </c>
      <c r="AT650" s="3">
        <v>68.968239999999994</v>
      </c>
      <c r="AU650" s="3">
        <v>80.381339999999994</v>
      </c>
      <c r="AV650" s="3">
        <v>91.702179999999998</v>
      </c>
      <c r="AW650" s="3">
        <v>37.72936</v>
      </c>
      <c r="AX650" s="3">
        <v>79.010429999999999</v>
      </c>
      <c r="AY650" s="3">
        <v>59.761600000000001</v>
      </c>
    </row>
    <row r="651" spans="1:51" x14ac:dyDescent="0.2">
      <c r="A651" s="3" t="s">
        <v>548</v>
      </c>
      <c r="B651" s="49">
        <v>37622</v>
      </c>
      <c r="D651" s="3">
        <v>81.360889999999998</v>
      </c>
      <c r="F651" s="3">
        <v>82.950879999999998</v>
      </c>
      <c r="G651" s="3">
        <v>95.656300000000002</v>
      </c>
      <c r="H651" s="3">
        <v>74.142910000000001</v>
      </c>
      <c r="J651" s="3">
        <v>62.409469999999999</v>
      </c>
      <c r="K651" s="3">
        <v>42.50508</v>
      </c>
      <c r="L651" s="3">
        <v>87.4</v>
      </c>
      <c r="M651" s="3">
        <v>85.026179999999997</v>
      </c>
      <c r="N651" s="3">
        <v>81.645099999999999</v>
      </c>
      <c r="O651" s="3">
        <v>83.64</v>
      </c>
      <c r="P651" s="3">
        <v>82.092429999999993</v>
      </c>
      <c r="Q651" s="3">
        <v>74.803839999999994</v>
      </c>
      <c r="S651" s="3">
        <v>85.401399999999995</v>
      </c>
      <c r="T651" s="3">
        <v>84.917839999999998</v>
      </c>
      <c r="V651" s="3">
        <v>82.834050000000005</v>
      </c>
      <c r="W651" s="3">
        <v>80.085999999999999</v>
      </c>
      <c r="X651" s="3">
        <v>82.223370000000003</v>
      </c>
      <c r="Y651" s="3">
        <v>64.192279999999997</v>
      </c>
      <c r="AB651" s="3">
        <v>82.835179999999994</v>
      </c>
      <c r="AC651" s="3">
        <v>52.68974</v>
      </c>
      <c r="AD651" s="3">
        <v>86.131140000000002</v>
      </c>
      <c r="AE651" s="3">
        <v>81.466440000000006</v>
      </c>
      <c r="AF651" s="3">
        <v>100.6498</v>
      </c>
      <c r="AH651" s="3">
        <v>79.068100000000001</v>
      </c>
      <c r="AI651" s="3">
        <v>78.026470000000003</v>
      </c>
      <c r="AJ651" s="3">
        <v>67.071349999999995</v>
      </c>
      <c r="AK651" s="3">
        <v>65.550899999999999</v>
      </c>
      <c r="AL651" s="3">
        <v>81.332260000000005</v>
      </c>
      <c r="AM651" s="3">
        <v>81.329210000000003</v>
      </c>
      <c r="AN651" s="3">
        <v>79.756129999999999</v>
      </c>
      <c r="AO651" s="3">
        <v>78.598609999999994</v>
      </c>
      <c r="AP651" s="3">
        <v>83.4101</v>
      </c>
      <c r="AQ651" s="3">
        <v>81.251490000000004</v>
      </c>
      <c r="AT651" s="3">
        <v>70.844390000000004</v>
      </c>
      <c r="AU651" s="3">
        <v>80.94135</v>
      </c>
      <c r="AV651" s="3">
        <v>91.082229999999996</v>
      </c>
      <c r="AW651" s="3">
        <v>38.534550000000003</v>
      </c>
      <c r="AX651" s="3">
        <v>79.175550000000001</v>
      </c>
      <c r="AY651" s="3">
        <v>60.293579999999999</v>
      </c>
    </row>
    <row r="652" spans="1:51" x14ac:dyDescent="0.2">
      <c r="A652" s="74" t="s">
        <v>549</v>
      </c>
      <c r="B652" s="49">
        <v>37653</v>
      </c>
      <c r="D652" s="3">
        <v>81.854609999999994</v>
      </c>
      <c r="F652" s="3">
        <v>83.405850000000001</v>
      </c>
      <c r="G652" s="3">
        <v>95.695480000000003</v>
      </c>
      <c r="H652" s="3">
        <v>74.490620000000007</v>
      </c>
      <c r="J652" s="3">
        <v>63.179380000000002</v>
      </c>
      <c r="K652" s="3">
        <v>43.024560000000001</v>
      </c>
      <c r="L652" s="3">
        <v>87.5</v>
      </c>
      <c r="M652" s="3">
        <v>85.388750000000002</v>
      </c>
      <c r="N652" s="3">
        <v>82.351839999999996</v>
      </c>
      <c r="O652" s="3">
        <v>83.85</v>
      </c>
      <c r="P652" s="3">
        <v>82.230580000000003</v>
      </c>
      <c r="Q652" s="3">
        <v>74.803839999999994</v>
      </c>
      <c r="S652" s="3">
        <v>85.729140000000001</v>
      </c>
      <c r="T652" s="3">
        <v>85.460319999999996</v>
      </c>
      <c r="V652" s="3">
        <v>83.075329999999994</v>
      </c>
      <c r="W652" s="3">
        <v>80.287469999999999</v>
      </c>
      <c r="X652" s="3">
        <v>81.486710000000002</v>
      </c>
      <c r="Y652" s="3">
        <v>64.502880000000005</v>
      </c>
      <c r="AB652" s="3">
        <v>83.776730000000001</v>
      </c>
      <c r="AC652" s="3">
        <v>52.594439999999999</v>
      </c>
      <c r="AD652" s="3">
        <v>86.332380000000001</v>
      </c>
      <c r="AE652" s="3">
        <v>81.563929999999999</v>
      </c>
      <c r="AF652" s="3">
        <v>100.379</v>
      </c>
      <c r="AH652" s="3">
        <v>78.959400000000002</v>
      </c>
      <c r="AI652" s="3">
        <v>79.281599999999997</v>
      </c>
      <c r="AJ652" s="3">
        <v>66.888670000000005</v>
      </c>
      <c r="AK652" s="3">
        <v>65.826899999999995</v>
      </c>
      <c r="AL652" s="3">
        <v>81.804730000000006</v>
      </c>
      <c r="AM652" s="3">
        <v>81.591269999999994</v>
      </c>
      <c r="AN652" s="3">
        <v>79.993129999999994</v>
      </c>
      <c r="AO652" s="3">
        <v>78.857479999999995</v>
      </c>
      <c r="AP652" s="3">
        <v>83.448400000000007</v>
      </c>
      <c r="AQ652" s="3">
        <v>81.021389999999997</v>
      </c>
      <c r="AT652" s="3">
        <v>71.210489999999993</v>
      </c>
      <c r="AU652" s="3">
        <v>81.111350000000002</v>
      </c>
      <c r="AV652" s="3">
        <v>91.333560000000006</v>
      </c>
      <c r="AW652" s="3">
        <v>38.8491</v>
      </c>
      <c r="AX652" s="3">
        <v>79.464519999999993</v>
      </c>
      <c r="AY652" s="3">
        <v>60.306649999999998</v>
      </c>
    </row>
    <row r="653" spans="1:51" x14ac:dyDescent="0.2">
      <c r="A653" s="74" t="s">
        <v>550</v>
      </c>
      <c r="B653" s="49">
        <v>37681</v>
      </c>
      <c r="D653" s="3">
        <v>81.922970000000007</v>
      </c>
      <c r="F653" s="3">
        <v>83.495469999999997</v>
      </c>
      <c r="G653" s="3">
        <v>95.803179999999998</v>
      </c>
      <c r="H653" s="3">
        <v>75.212789999999998</v>
      </c>
      <c r="J653" s="3">
        <v>63.750979999999998</v>
      </c>
      <c r="K653" s="3">
        <v>43.354140000000001</v>
      </c>
      <c r="L653" s="3">
        <v>87.4</v>
      </c>
      <c r="M653" s="3">
        <v>85.429100000000005</v>
      </c>
      <c r="N653" s="3">
        <v>82.949039999999997</v>
      </c>
      <c r="O653" s="3">
        <v>84.34</v>
      </c>
      <c r="P653" s="3">
        <v>82.830600000000004</v>
      </c>
      <c r="Q653" s="3">
        <v>74.860600000000005</v>
      </c>
      <c r="S653" s="3">
        <v>85.950360000000003</v>
      </c>
      <c r="T653" s="3">
        <v>85.715729999999994</v>
      </c>
      <c r="V653" s="3">
        <v>83.285589999999999</v>
      </c>
      <c r="W653" s="3">
        <v>80.488950000000003</v>
      </c>
      <c r="X653" s="3">
        <v>83.596810000000005</v>
      </c>
      <c r="Y653" s="3">
        <v>64.942030000000003</v>
      </c>
      <c r="AB653" s="3">
        <v>84.303809999999999</v>
      </c>
      <c r="AC653" s="3">
        <v>53.210619999999999</v>
      </c>
      <c r="AD653" s="3">
        <v>86.131140000000002</v>
      </c>
      <c r="AE653" s="3">
        <v>81.801220000000001</v>
      </c>
      <c r="AF653" s="3">
        <v>100.76009999999999</v>
      </c>
      <c r="AH653" s="3">
        <v>79.050399999999996</v>
      </c>
      <c r="AI653" s="3">
        <v>79.392949999999999</v>
      </c>
      <c r="AJ653" s="3">
        <v>67.225179999999995</v>
      </c>
      <c r="AK653" s="3">
        <v>66.079319999999996</v>
      </c>
      <c r="AL653" s="3">
        <v>82.673000000000002</v>
      </c>
      <c r="AM653" s="3">
        <v>81.525149999999996</v>
      </c>
      <c r="AN653" s="3">
        <v>80.262559999999993</v>
      </c>
      <c r="AO653" s="3">
        <v>79.151979999999995</v>
      </c>
      <c r="AP653" s="3">
        <v>83.595590000000001</v>
      </c>
      <c r="AQ653" s="3">
        <v>81.160420000000002</v>
      </c>
      <c r="AT653" s="3">
        <v>71.746359999999996</v>
      </c>
      <c r="AU653" s="3">
        <v>81.561359999999993</v>
      </c>
      <c r="AV653" s="3">
        <v>91.883139999999997</v>
      </c>
      <c r="AW653" s="3">
        <v>39.139139999999998</v>
      </c>
      <c r="AX653" s="3">
        <v>79.670910000000006</v>
      </c>
      <c r="AY653" s="3">
        <v>60.583829999999999</v>
      </c>
    </row>
    <row r="654" spans="1:51" x14ac:dyDescent="0.2">
      <c r="A654" s="74" t="s">
        <v>551</v>
      </c>
      <c r="B654" s="49">
        <v>37712</v>
      </c>
      <c r="D654" s="3">
        <v>81.975560000000002</v>
      </c>
      <c r="F654" s="3">
        <v>83.561729999999997</v>
      </c>
      <c r="G654" s="3">
        <v>96.321179999999998</v>
      </c>
      <c r="H654" s="3">
        <v>75.658580000000001</v>
      </c>
      <c r="J654" s="3">
        <v>64.100939999999994</v>
      </c>
      <c r="K654" s="3">
        <v>43.885680000000001</v>
      </c>
      <c r="L654" s="3">
        <v>87.3</v>
      </c>
      <c r="M654" s="3">
        <v>85.288839999999993</v>
      </c>
      <c r="N654" s="3">
        <v>83.079669999999993</v>
      </c>
      <c r="O654" s="3">
        <v>84.7</v>
      </c>
      <c r="P654" s="3">
        <v>84.170810000000003</v>
      </c>
      <c r="Q654" s="3">
        <v>74.633579999999995</v>
      </c>
      <c r="S654" s="3">
        <v>86.122429999999994</v>
      </c>
      <c r="T654" s="3">
        <v>85.76782</v>
      </c>
      <c r="V654" s="3">
        <v>83.370639999999995</v>
      </c>
      <c r="W654" s="3">
        <v>80.791150000000002</v>
      </c>
      <c r="X654" s="3">
        <v>84.039510000000007</v>
      </c>
      <c r="Y654" s="3">
        <v>65.480149999999995</v>
      </c>
      <c r="AB654" s="3">
        <v>84.475750000000005</v>
      </c>
      <c r="AC654" s="3">
        <v>53.336120000000001</v>
      </c>
      <c r="AD654" s="3">
        <v>86.030529999999999</v>
      </c>
      <c r="AE654" s="3">
        <v>82.020970000000005</v>
      </c>
      <c r="AF654" s="3">
        <v>101.05880000000001</v>
      </c>
      <c r="AH654" s="3">
        <v>79.114199999999997</v>
      </c>
      <c r="AI654" s="3">
        <v>79.434700000000007</v>
      </c>
      <c r="AJ654" s="3">
        <v>67.63861</v>
      </c>
      <c r="AK654" s="3">
        <v>66.272580000000005</v>
      </c>
      <c r="AL654" s="3">
        <v>82.800560000000004</v>
      </c>
      <c r="AM654" s="3">
        <v>81.556640000000002</v>
      </c>
      <c r="AN654" s="3">
        <v>80.432879999999997</v>
      </c>
      <c r="AO654" s="3">
        <v>79.418040000000005</v>
      </c>
      <c r="AP654" s="3">
        <v>83.708240000000004</v>
      </c>
      <c r="AQ654" s="3">
        <v>81.872780000000006</v>
      </c>
      <c r="AT654" s="3">
        <v>72.1571</v>
      </c>
      <c r="AU654" s="3">
        <v>82.131370000000004</v>
      </c>
      <c r="AV654" s="3">
        <v>92.023880000000005</v>
      </c>
      <c r="AW654" s="3">
        <v>39.608919999999998</v>
      </c>
      <c r="AX654" s="3">
        <v>79.712199999999996</v>
      </c>
      <c r="AY654" s="3">
        <v>60.737639999999999</v>
      </c>
    </row>
    <row r="655" spans="1:51" x14ac:dyDescent="0.2">
      <c r="A655" s="74" t="s">
        <v>552</v>
      </c>
      <c r="B655" s="49">
        <v>37742</v>
      </c>
      <c r="D655" s="3">
        <v>81.86806</v>
      </c>
      <c r="F655" s="3">
        <v>83.809809999999999</v>
      </c>
      <c r="G655" s="3">
        <v>96.311260000000004</v>
      </c>
      <c r="H655" s="3">
        <v>75.453509999999994</v>
      </c>
      <c r="J655" s="3">
        <v>64.345920000000007</v>
      </c>
      <c r="K655" s="3">
        <v>44.23836</v>
      </c>
      <c r="L655" s="3">
        <v>87.2</v>
      </c>
      <c r="M655" s="3">
        <v>85.182019999999994</v>
      </c>
      <c r="N655" s="3">
        <v>83.224879999999999</v>
      </c>
      <c r="O655" s="3">
        <v>84.8</v>
      </c>
      <c r="P655" s="3">
        <v>84.268619999999999</v>
      </c>
      <c r="Q655" s="3">
        <v>74.690330000000003</v>
      </c>
      <c r="S655" s="3">
        <v>86.228939999999994</v>
      </c>
      <c r="T655" s="3">
        <v>85.827010000000001</v>
      </c>
      <c r="V655" s="3">
        <v>83.445779999999999</v>
      </c>
      <c r="W655" s="3">
        <v>80.891890000000004</v>
      </c>
      <c r="X655" s="3">
        <v>84.265060000000005</v>
      </c>
      <c r="Y655" s="3">
        <v>65.691879999999998</v>
      </c>
      <c r="AB655" s="3">
        <v>84.545019999999994</v>
      </c>
      <c r="AC655" s="3">
        <v>53.448689999999999</v>
      </c>
      <c r="AD655" s="3">
        <v>85.4268</v>
      </c>
      <c r="AE655" s="3">
        <v>82.287379999999999</v>
      </c>
      <c r="AF655" s="3">
        <v>101.2803</v>
      </c>
      <c r="AH655" s="3">
        <v>79.343100000000007</v>
      </c>
      <c r="AI655" s="3">
        <v>79.619230000000002</v>
      </c>
      <c r="AJ655" s="3">
        <v>67.927049999999994</v>
      </c>
      <c r="AK655" s="3">
        <v>66.336799999999997</v>
      </c>
      <c r="AL655" s="3">
        <v>82.825540000000004</v>
      </c>
      <c r="AM655" s="3">
        <v>81.405190000000005</v>
      </c>
      <c r="AN655" s="3">
        <v>80.522620000000003</v>
      </c>
      <c r="AO655" s="3">
        <v>79.536339999999996</v>
      </c>
      <c r="AP655" s="3">
        <v>83.756259999999997</v>
      </c>
      <c r="AQ655" s="3">
        <v>82.416330000000002</v>
      </c>
      <c r="AT655" s="3">
        <v>72.229709999999997</v>
      </c>
      <c r="AU655" s="3">
        <v>82.821380000000005</v>
      </c>
      <c r="AV655" s="3">
        <v>92.077500000000001</v>
      </c>
      <c r="AW655" s="3">
        <v>40.082790000000003</v>
      </c>
      <c r="AX655" s="3">
        <v>79.753469999999993</v>
      </c>
      <c r="AY655" s="3">
        <v>60.815919999999998</v>
      </c>
    </row>
    <row r="656" spans="1:51" x14ac:dyDescent="0.2">
      <c r="A656" s="74" t="s">
        <v>553</v>
      </c>
      <c r="B656" s="49">
        <v>37773</v>
      </c>
      <c r="D656" s="3">
        <v>82.028509999999997</v>
      </c>
      <c r="F656" s="3">
        <v>83.607860000000002</v>
      </c>
      <c r="G656" s="3">
        <v>96.291709999999995</v>
      </c>
      <c r="H656" s="3">
        <v>75.168210000000002</v>
      </c>
      <c r="J656" s="3">
        <v>64.56756</v>
      </c>
      <c r="K656" s="3">
        <v>44.410179999999997</v>
      </c>
      <c r="L656" s="3">
        <v>87.1</v>
      </c>
      <c r="M656" s="3">
        <v>85.458190000000002</v>
      </c>
      <c r="N656" s="3">
        <v>83.225920000000002</v>
      </c>
      <c r="O656" s="3">
        <v>84.88</v>
      </c>
      <c r="P656" s="3">
        <v>84.374510000000001</v>
      </c>
      <c r="Q656" s="3">
        <v>74.74709</v>
      </c>
      <c r="S656" s="3">
        <v>86.073269999999994</v>
      </c>
      <c r="T656" s="3">
        <v>85.915890000000005</v>
      </c>
      <c r="V656" s="3">
        <v>83.399529999999999</v>
      </c>
      <c r="W656" s="3">
        <v>80.791150000000002</v>
      </c>
      <c r="X656" s="3">
        <v>84.361590000000007</v>
      </c>
      <c r="Y656" s="3">
        <v>66.008439999999993</v>
      </c>
      <c r="AB656" s="3">
        <v>84.674580000000006</v>
      </c>
      <c r="AC656" s="3">
        <v>53.531559999999999</v>
      </c>
      <c r="AD656" s="3">
        <v>85.02431</v>
      </c>
      <c r="AE656" s="3">
        <v>82.356579999999994</v>
      </c>
      <c r="AF656" s="3">
        <v>101.07899999999999</v>
      </c>
      <c r="AH656" s="3">
        <v>79.334500000000006</v>
      </c>
      <c r="AI656" s="3">
        <v>79.656610000000001</v>
      </c>
      <c r="AJ656" s="3">
        <v>68.02319</v>
      </c>
      <c r="AK656" s="3">
        <v>66.401780000000002</v>
      </c>
      <c r="AL656" s="3">
        <v>82.303100000000001</v>
      </c>
      <c r="AM656" s="3">
        <v>81.179000000000002</v>
      </c>
      <c r="AN656" s="3">
        <v>80.518990000000002</v>
      </c>
      <c r="AO656" s="3">
        <v>79.653059999999996</v>
      </c>
      <c r="AP656" s="3">
        <v>83.749449999999996</v>
      </c>
      <c r="AQ656" s="3">
        <v>82.510400000000004</v>
      </c>
      <c r="AT656" s="3">
        <v>72.583979999999997</v>
      </c>
      <c r="AU656" s="3">
        <v>83.341390000000004</v>
      </c>
      <c r="AV656" s="3">
        <v>91.745739999999998</v>
      </c>
      <c r="AW656" s="3">
        <v>40.715980000000002</v>
      </c>
      <c r="AX656" s="3">
        <v>79.670910000000006</v>
      </c>
      <c r="AY656" s="3">
        <v>60.812049999999999</v>
      </c>
    </row>
    <row r="657" spans="1:51" x14ac:dyDescent="0.2">
      <c r="A657" s="74" t="s">
        <v>554</v>
      </c>
      <c r="B657" s="49">
        <v>37803</v>
      </c>
      <c r="D657" s="3">
        <v>82.214259999999996</v>
      </c>
      <c r="F657" s="3">
        <v>83.679270000000002</v>
      </c>
      <c r="G657" s="3">
        <v>95.427210000000002</v>
      </c>
      <c r="H657" s="3">
        <v>75.007729999999995</v>
      </c>
      <c r="J657" s="3">
        <v>64.672550000000001</v>
      </c>
      <c r="K657" s="3">
        <v>44.705590000000001</v>
      </c>
      <c r="L657" s="3">
        <v>87.7</v>
      </c>
      <c r="M657" s="3">
        <v>85.718710000000002</v>
      </c>
      <c r="N657" s="3">
        <v>82.693510000000003</v>
      </c>
      <c r="O657" s="3">
        <v>84.68</v>
      </c>
      <c r="P657" s="3">
        <v>83.286420000000007</v>
      </c>
      <c r="Q657" s="3">
        <v>74.974109999999996</v>
      </c>
      <c r="S657" s="3">
        <v>85.417789999999997</v>
      </c>
      <c r="T657" s="3">
        <v>85.81129</v>
      </c>
      <c r="V657" s="3">
        <v>83.468090000000004</v>
      </c>
      <c r="W657" s="3">
        <v>80.69041</v>
      </c>
      <c r="X657" s="3">
        <v>82.691149999999993</v>
      </c>
      <c r="Y657" s="3">
        <v>66.235010000000003</v>
      </c>
      <c r="AB657" s="3">
        <v>83.869219999999999</v>
      </c>
      <c r="AC657" s="3">
        <v>53.452100000000002</v>
      </c>
      <c r="AD657" s="3">
        <v>84.52122</v>
      </c>
      <c r="AE657" s="3">
        <v>82.508269999999996</v>
      </c>
      <c r="AF657" s="3">
        <v>101.08240000000001</v>
      </c>
      <c r="AH657" s="3">
        <v>78.951499999999996</v>
      </c>
      <c r="AI657" s="3">
        <v>78.707549999999998</v>
      </c>
      <c r="AJ657" s="3">
        <v>67.907820000000001</v>
      </c>
      <c r="AK657" s="3">
        <v>66.503029999999995</v>
      </c>
      <c r="AL657" s="3">
        <v>82.297489999999996</v>
      </c>
      <c r="AM657" s="3">
        <v>80.82105</v>
      </c>
      <c r="AN657" s="3">
        <v>80.533410000000003</v>
      </c>
      <c r="AO657" s="3">
        <v>79.568280000000001</v>
      </c>
      <c r="AP657" s="3">
        <v>83.746269999999996</v>
      </c>
      <c r="AQ657" s="3">
        <v>82.348299999999995</v>
      </c>
      <c r="AT657" s="3">
        <v>72.828010000000006</v>
      </c>
      <c r="AU657" s="3">
        <v>83.651399999999995</v>
      </c>
      <c r="AV657" s="3">
        <v>91.169359999999998</v>
      </c>
      <c r="AW657" s="3">
        <v>41.022359999999999</v>
      </c>
      <c r="AX657" s="3">
        <v>79.753469999999993</v>
      </c>
      <c r="AY657" s="3">
        <v>60.329610000000002</v>
      </c>
    </row>
    <row r="658" spans="1:51" x14ac:dyDescent="0.2">
      <c r="A658" s="74" t="s">
        <v>555</v>
      </c>
      <c r="B658" s="49">
        <v>37834</v>
      </c>
      <c r="D658" s="3">
        <v>82.32132</v>
      </c>
      <c r="F658" s="3">
        <v>83.757670000000005</v>
      </c>
      <c r="G658" s="3">
        <v>95.517300000000006</v>
      </c>
      <c r="H658" s="3">
        <v>74.909649999999999</v>
      </c>
      <c r="J658" s="3">
        <v>64.940849999999998</v>
      </c>
      <c r="K658" s="3">
        <v>44.854309999999998</v>
      </c>
      <c r="L658" s="3">
        <v>87.8</v>
      </c>
      <c r="M658" s="3">
        <v>85.746080000000006</v>
      </c>
      <c r="N658" s="3">
        <v>82.657300000000006</v>
      </c>
      <c r="O658" s="3">
        <v>84.8</v>
      </c>
      <c r="P658" s="3">
        <v>83.463899999999995</v>
      </c>
      <c r="Q658" s="3">
        <v>75.314639999999997</v>
      </c>
      <c r="S658" s="3">
        <v>85.663589999999999</v>
      </c>
      <c r="T658" s="3">
        <v>86.05386</v>
      </c>
      <c r="V658" s="3">
        <v>83.611590000000007</v>
      </c>
      <c r="W658" s="3">
        <v>80.992630000000005</v>
      </c>
      <c r="X658" s="3">
        <v>82.811080000000004</v>
      </c>
      <c r="Y658" s="3">
        <v>66.202680000000001</v>
      </c>
      <c r="AB658" s="3">
        <v>84.510909999999996</v>
      </c>
      <c r="AC658" s="3">
        <v>53.407260000000001</v>
      </c>
      <c r="AD658" s="3">
        <v>84.823070000000001</v>
      </c>
      <c r="AE658" s="3">
        <v>82.705259999999996</v>
      </c>
      <c r="AF658" s="3">
        <v>101.24079999999999</v>
      </c>
      <c r="AH658" s="3">
        <v>78.635199999999998</v>
      </c>
      <c r="AI658" s="3">
        <v>79.985669999999999</v>
      </c>
      <c r="AJ658" s="3">
        <v>67.859750000000005</v>
      </c>
      <c r="AK658" s="3">
        <v>66.747590000000002</v>
      </c>
      <c r="AL658" s="3">
        <v>82.514690000000002</v>
      </c>
      <c r="AM658" s="3">
        <v>80.720179999999999</v>
      </c>
      <c r="AN658" s="3">
        <v>80.68562</v>
      </c>
      <c r="AO658" s="3">
        <v>79.754480000000001</v>
      </c>
      <c r="AP658" s="3">
        <v>83.799980000000005</v>
      </c>
      <c r="AQ658" s="3">
        <v>82.144090000000006</v>
      </c>
      <c r="AT658" s="3">
        <v>73.389139999999998</v>
      </c>
      <c r="AU658" s="3">
        <v>83.261390000000006</v>
      </c>
      <c r="AV658" s="3">
        <v>91.058769999999996</v>
      </c>
      <c r="AW658" s="3">
        <v>41.45946</v>
      </c>
      <c r="AX658" s="3">
        <v>79.877309999999994</v>
      </c>
      <c r="AY658" s="3">
        <v>60.418640000000003</v>
      </c>
    </row>
    <row r="659" spans="1:51" x14ac:dyDescent="0.2">
      <c r="A659" s="74" t="s">
        <v>556</v>
      </c>
      <c r="B659" s="49">
        <v>37865</v>
      </c>
      <c r="D659" s="3">
        <v>82.384739999999994</v>
      </c>
      <c r="F659" s="3">
        <v>84.084720000000004</v>
      </c>
      <c r="G659" s="3">
        <v>95.522559999999999</v>
      </c>
      <c r="H659" s="3">
        <v>75.319779999999994</v>
      </c>
      <c r="J659" s="3">
        <v>65.162490000000005</v>
      </c>
      <c r="K659" s="3">
        <v>45.024120000000003</v>
      </c>
      <c r="L659" s="3">
        <v>86.8</v>
      </c>
      <c r="M659" s="3">
        <v>85.628349999999998</v>
      </c>
      <c r="N659" s="3">
        <v>83.265029999999996</v>
      </c>
      <c r="O659" s="3">
        <v>85.07</v>
      </c>
      <c r="P659" s="3">
        <v>83.646420000000006</v>
      </c>
      <c r="Q659" s="3">
        <v>75.25788</v>
      </c>
      <c r="S659" s="3">
        <v>86.065070000000006</v>
      </c>
      <c r="T659" s="3">
        <v>86.304239999999993</v>
      </c>
      <c r="V659" s="3">
        <v>83.668360000000007</v>
      </c>
      <c r="W659" s="3">
        <v>81.194100000000006</v>
      </c>
      <c r="X659" s="3">
        <v>84.917730000000006</v>
      </c>
      <c r="Y659" s="3">
        <v>66.398359999999997</v>
      </c>
      <c r="AB659" s="3">
        <v>84.661689999999993</v>
      </c>
      <c r="AC659" s="3">
        <v>53.780160000000002</v>
      </c>
      <c r="AD659" s="3">
        <v>84.118729999999999</v>
      </c>
      <c r="AE659" s="3">
        <v>82.724670000000003</v>
      </c>
      <c r="AF659" s="3">
        <v>101.2311</v>
      </c>
      <c r="AH659" s="3">
        <v>78.266499999999994</v>
      </c>
      <c r="AI659" s="3">
        <v>80.312359999999998</v>
      </c>
      <c r="AJ659" s="3">
        <v>68.676990000000004</v>
      </c>
      <c r="AK659" s="3">
        <v>67.078320000000005</v>
      </c>
      <c r="AL659" s="3">
        <v>83.480789999999999</v>
      </c>
      <c r="AM659" s="3">
        <v>81.019210000000001</v>
      </c>
      <c r="AN659" s="3">
        <v>80.826009999999997</v>
      </c>
      <c r="AO659" s="3">
        <v>79.995500000000007</v>
      </c>
      <c r="AP659" s="3">
        <v>83.794359999999998</v>
      </c>
      <c r="AQ659" s="3">
        <v>82.286799999999999</v>
      </c>
      <c r="AT659" s="3">
        <v>73.88991</v>
      </c>
      <c r="AU659" s="3">
        <v>83.561390000000003</v>
      </c>
      <c r="AV659" s="3">
        <v>92.007130000000004</v>
      </c>
      <c r="AW659" s="3">
        <v>42.170270000000002</v>
      </c>
      <c r="AX659" s="3">
        <v>79.918589999999995</v>
      </c>
      <c r="AY659" s="3">
        <v>59.9086</v>
      </c>
    </row>
    <row r="660" spans="1:51" x14ac:dyDescent="0.2">
      <c r="A660" s="74" t="s">
        <v>557</v>
      </c>
      <c r="B660" s="49">
        <v>37895</v>
      </c>
      <c r="D660" s="3">
        <v>82.376410000000007</v>
      </c>
      <c r="F660" s="3">
        <v>84.235730000000004</v>
      </c>
      <c r="G660" s="3">
        <v>96.161450000000002</v>
      </c>
      <c r="H660" s="3">
        <v>75.596159999999998</v>
      </c>
      <c r="J660" s="3">
        <v>65.220820000000003</v>
      </c>
      <c r="K660" s="3">
        <v>45.334600000000002</v>
      </c>
      <c r="L660" s="3">
        <v>86.9</v>
      </c>
      <c r="M660" s="3">
        <v>85.619799999999998</v>
      </c>
      <c r="N660" s="3">
        <v>83.154570000000007</v>
      </c>
      <c r="O660" s="3">
        <v>85.25</v>
      </c>
      <c r="P660" s="3">
        <v>84.620570000000001</v>
      </c>
      <c r="Q660" s="3">
        <v>75.598420000000004</v>
      </c>
      <c r="S660" s="3">
        <v>86.122429999999994</v>
      </c>
      <c r="T660" s="3">
        <v>86.616079999999997</v>
      </c>
      <c r="V660" s="3">
        <v>83.86788</v>
      </c>
      <c r="W660" s="3">
        <v>81.294839999999994</v>
      </c>
      <c r="X660" s="3">
        <v>85.382549999999995</v>
      </c>
      <c r="Y660" s="3">
        <v>66.785550000000001</v>
      </c>
      <c r="AB660" s="3">
        <v>84.703749999999999</v>
      </c>
      <c r="AC660" s="3">
        <v>54.070189999999997</v>
      </c>
      <c r="AD660" s="3">
        <v>84.219350000000006</v>
      </c>
      <c r="AE660" s="3">
        <v>82.776309999999995</v>
      </c>
      <c r="AF660" s="3">
        <v>101.24760000000001</v>
      </c>
      <c r="AH660" s="3">
        <v>78.383399999999995</v>
      </c>
      <c r="AI660" s="3">
        <v>80.359920000000002</v>
      </c>
      <c r="AJ660" s="3">
        <v>69.282709999999994</v>
      </c>
      <c r="AK660" s="3">
        <v>67.217290000000006</v>
      </c>
      <c r="AL660" s="3">
        <v>83.367320000000007</v>
      </c>
      <c r="AM660" s="3">
        <v>81.194760000000002</v>
      </c>
      <c r="AN660" s="3">
        <v>81.046250000000001</v>
      </c>
      <c r="AO660" s="3">
        <v>80.213229999999996</v>
      </c>
      <c r="AP660" s="3">
        <v>83.857119999999995</v>
      </c>
      <c r="AQ660" s="3">
        <v>82.903450000000007</v>
      </c>
      <c r="AT660" s="3">
        <v>74.053539999999998</v>
      </c>
      <c r="AU660" s="3">
        <v>84.071399999999997</v>
      </c>
      <c r="AV660" s="3">
        <v>92.090900000000005</v>
      </c>
      <c r="AW660" s="3">
        <v>42.599200000000003</v>
      </c>
      <c r="AX660" s="3">
        <v>80.207560000000001</v>
      </c>
      <c r="AY660" s="3">
        <v>59.373699999999999</v>
      </c>
    </row>
    <row r="661" spans="1:51" x14ac:dyDescent="0.2">
      <c r="A661" s="74" t="s">
        <v>558</v>
      </c>
      <c r="B661" s="49">
        <v>37926</v>
      </c>
      <c r="D661" s="3">
        <v>82.568650000000005</v>
      </c>
      <c r="F661" s="3">
        <v>84.488299999999995</v>
      </c>
      <c r="G661" s="3">
        <v>96.159809999999993</v>
      </c>
      <c r="H661" s="3">
        <v>75.391109999999998</v>
      </c>
      <c r="J661" s="3">
        <v>65.360799999999998</v>
      </c>
      <c r="K661" s="3">
        <v>45.605899999999998</v>
      </c>
      <c r="L661" s="3">
        <v>86.9</v>
      </c>
      <c r="M661" s="3">
        <v>85.427940000000007</v>
      </c>
      <c r="N661" s="3">
        <v>83.343410000000006</v>
      </c>
      <c r="O661" s="3">
        <v>85.27</v>
      </c>
      <c r="P661" s="3">
        <v>84.966459999999998</v>
      </c>
      <c r="Q661" s="3">
        <v>75.484909999999999</v>
      </c>
      <c r="S661" s="3">
        <v>85.991330000000005</v>
      </c>
      <c r="T661" s="3">
        <v>86.793199999999999</v>
      </c>
      <c r="V661" s="3">
        <v>83.761690000000002</v>
      </c>
      <c r="W661" s="3">
        <v>81.294839999999994</v>
      </c>
      <c r="X661" s="3">
        <v>85.513469999999998</v>
      </c>
      <c r="Y661" s="3">
        <v>67.047619999999995</v>
      </c>
      <c r="AB661" s="3">
        <v>84.695670000000007</v>
      </c>
      <c r="AC661" s="3">
        <v>54.111620000000002</v>
      </c>
      <c r="AD661" s="3">
        <v>83.917490000000001</v>
      </c>
      <c r="AE661" s="3">
        <v>82.987250000000003</v>
      </c>
      <c r="AF661" s="3">
        <v>100.9421</v>
      </c>
      <c r="AH661" s="3">
        <v>78.6203</v>
      </c>
      <c r="AI661" s="3">
        <v>80.468019999999996</v>
      </c>
      <c r="AJ661" s="3">
        <v>69.398079999999993</v>
      </c>
      <c r="AK661" s="3">
        <v>67.454809999999995</v>
      </c>
      <c r="AL661" s="3">
        <v>83.282939999999996</v>
      </c>
      <c r="AM661" s="3">
        <v>81.041700000000006</v>
      </c>
      <c r="AN661" s="3">
        <v>81.010540000000006</v>
      </c>
      <c r="AO661" s="3">
        <v>80.310410000000005</v>
      </c>
      <c r="AP661" s="3">
        <v>83.885090000000005</v>
      </c>
      <c r="AQ661" s="3">
        <v>83.38279</v>
      </c>
      <c r="AT661" s="3">
        <v>74.099980000000002</v>
      </c>
      <c r="AU661" s="3">
        <v>84.231409999999997</v>
      </c>
      <c r="AV661" s="3">
        <v>92.017179999999996</v>
      </c>
      <c r="AW661" s="3">
        <v>42.966859999999997</v>
      </c>
      <c r="AX661" s="3">
        <v>80.042429999999996</v>
      </c>
      <c r="AY661" s="3">
        <v>58.483600000000003</v>
      </c>
    </row>
    <row r="662" spans="1:51" x14ac:dyDescent="0.2">
      <c r="A662" s="74" t="s">
        <v>559</v>
      </c>
      <c r="B662" s="49">
        <v>37956</v>
      </c>
      <c r="D662" s="3">
        <v>82.683099999999996</v>
      </c>
      <c r="F662" s="3">
        <v>84.393119999999996</v>
      </c>
      <c r="G662" s="3">
        <v>96.169349999999994</v>
      </c>
      <c r="H662" s="3">
        <v>75.346530000000001</v>
      </c>
      <c r="J662" s="3">
        <v>65.594110000000001</v>
      </c>
      <c r="K662" s="3">
        <v>45.882219999999997</v>
      </c>
      <c r="L662" s="3">
        <v>86.9</v>
      </c>
      <c r="M662" s="3">
        <v>86.237070000000003</v>
      </c>
      <c r="N662" s="3">
        <v>83.168459999999996</v>
      </c>
      <c r="O662" s="3">
        <v>85.65</v>
      </c>
      <c r="P662" s="3">
        <v>85.096549999999993</v>
      </c>
      <c r="Q662" s="3">
        <v>75.201130000000006</v>
      </c>
      <c r="S662" s="3">
        <v>85.999529999999993</v>
      </c>
      <c r="T662" s="3">
        <v>86.976889999999997</v>
      </c>
      <c r="V662" s="3">
        <v>83.794110000000003</v>
      </c>
      <c r="W662" s="3">
        <v>81.496319999999997</v>
      </c>
      <c r="X662" s="3">
        <v>86.058059999999998</v>
      </c>
      <c r="Y662" s="3">
        <v>67.245249999999999</v>
      </c>
      <c r="AB662" s="3">
        <v>84.98921</v>
      </c>
      <c r="AC662" s="3">
        <v>54.31879</v>
      </c>
      <c r="AD662" s="3">
        <v>83.615629999999996</v>
      </c>
      <c r="AE662" s="3">
        <v>83.036730000000006</v>
      </c>
      <c r="AF662" s="3">
        <v>100.9358</v>
      </c>
      <c r="AH662" s="3">
        <v>78.3767</v>
      </c>
      <c r="AI662" s="3">
        <v>80.536720000000003</v>
      </c>
      <c r="AJ662" s="3">
        <v>69.18656</v>
      </c>
      <c r="AK662" s="3">
        <v>67.601749999999996</v>
      </c>
      <c r="AL662" s="3">
        <v>82.785290000000003</v>
      </c>
      <c r="AM662" s="3">
        <v>80.972949999999997</v>
      </c>
      <c r="AN662" s="3">
        <v>81.06438</v>
      </c>
      <c r="AO662" s="3">
        <v>80.533820000000006</v>
      </c>
      <c r="AP662" s="3">
        <v>83.962490000000003</v>
      </c>
      <c r="AQ662" s="3">
        <v>83.480159999999998</v>
      </c>
      <c r="AT662" s="3">
        <v>74.206440000000001</v>
      </c>
      <c r="AU662" s="3">
        <v>84.401409999999998</v>
      </c>
      <c r="AV662" s="3">
        <v>92.070800000000006</v>
      </c>
      <c r="AW662" s="3">
        <v>43.056730000000002</v>
      </c>
      <c r="AX662" s="3">
        <v>79.918589999999995</v>
      </c>
      <c r="AY662" s="3">
        <v>58.460720000000002</v>
      </c>
    </row>
    <row r="663" spans="1:51" x14ac:dyDescent="0.2">
      <c r="A663" s="3" t="s">
        <v>560</v>
      </c>
      <c r="B663" s="49">
        <v>37987</v>
      </c>
      <c r="D663" s="3">
        <v>82.75564</v>
      </c>
      <c r="F663" s="3">
        <v>84.327470000000005</v>
      </c>
      <c r="G663" s="3">
        <v>95.880099999999999</v>
      </c>
      <c r="H663" s="3">
        <v>75.257369999999995</v>
      </c>
      <c r="J663" s="3">
        <v>66.072379999999995</v>
      </c>
      <c r="K663" s="3">
        <v>46.477060000000002</v>
      </c>
      <c r="L663" s="3">
        <v>88</v>
      </c>
      <c r="M663" s="3">
        <v>86.078329999999994</v>
      </c>
      <c r="N663" s="3">
        <v>82.995050000000006</v>
      </c>
      <c r="O663" s="3">
        <v>85.09</v>
      </c>
      <c r="P663" s="3">
        <v>83.951980000000006</v>
      </c>
      <c r="Q663" s="3">
        <v>75.428150000000002</v>
      </c>
      <c r="S663" s="3">
        <v>85.417789999999997</v>
      </c>
      <c r="T663" s="3">
        <v>86.707859999999997</v>
      </c>
      <c r="V663" s="3">
        <v>83.742549999999994</v>
      </c>
      <c r="W663" s="3">
        <v>80.992630000000005</v>
      </c>
      <c r="X663" s="3">
        <v>84.850800000000007</v>
      </c>
      <c r="Y663" s="3">
        <v>68.594300000000004</v>
      </c>
      <c r="AB663" s="3">
        <v>84.473910000000004</v>
      </c>
      <c r="AC663" s="3">
        <v>54.15305</v>
      </c>
      <c r="AD663" s="3">
        <v>83.313770000000005</v>
      </c>
      <c r="AE663" s="3">
        <v>83.063320000000004</v>
      </c>
      <c r="AF663" s="3">
        <v>100.2465</v>
      </c>
      <c r="AH663" s="3">
        <v>78.1066</v>
      </c>
      <c r="AI663" s="3">
        <v>79.666560000000004</v>
      </c>
      <c r="AJ663" s="3">
        <v>69.388469999999998</v>
      </c>
      <c r="AK663" s="3">
        <v>67.940809999999999</v>
      </c>
      <c r="AL663" s="3">
        <v>82.575310000000002</v>
      </c>
      <c r="AM663" s="3">
        <v>80.8596</v>
      </c>
      <c r="AN663" s="3">
        <v>81.029910000000001</v>
      </c>
      <c r="AO663" s="3">
        <v>80.318899999999999</v>
      </c>
      <c r="AP663" s="3">
        <v>84.133049999999997</v>
      </c>
      <c r="AQ663" s="3">
        <v>83.251059999999995</v>
      </c>
      <c r="AT663" s="3">
        <v>76.439319999999995</v>
      </c>
      <c r="AU663" s="3">
        <v>84.381410000000002</v>
      </c>
      <c r="AV663" s="3">
        <v>91.470950000000002</v>
      </c>
      <c r="AW663" s="3">
        <v>43.293660000000003</v>
      </c>
      <c r="AX663" s="3">
        <v>80.08372</v>
      </c>
      <c r="AY663" s="3">
        <v>58.691490000000002</v>
      </c>
    </row>
    <row r="664" spans="1:51" x14ac:dyDescent="0.2">
      <c r="A664" s="74" t="s">
        <v>561</v>
      </c>
      <c r="B664" s="49">
        <v>38018</v>
      </c>
      <c r="D664" s="3">
        <v>83.199110000000005</v>
      </c>
      <c r="F664" s="3">
        <v>84.364630000000005</v>
      </c>
      <c r="G664" s="3">
        <v>95.986130000000003</v>
      </c>
      <c r="H664" s="3">
        <v>75.150379999999998</v>
      </c>
      <c r="J664" s="3">
        <v>66.783969999999997</v>
      </c>
      <c r="K664" s="3">
        <v>46.863909999999997</v>
      </c>
      <c r="L664" s="3">
        <v>88.3</v>
      </c>
      <c r="M664" s="3">
        <v>86.354690000000005</v>
      </c>
      <c r="N664" s="3">
        <v>83.824870000000004</v>
      </c>
      <c r="O664" s="3">
        <v>85.4</v>
      </c>
      <c r="P664" s="3">
        <v>84.068950000000001</v>
      </c>
      <c r="Q664" s="3">
        <v>75.484909999999999</v>
      </c>
      <c r="S664" s="3">
        <v>86.056880000000007</v>
      </c>
      <c r="T664" s="3">
        <v>87.274810000000002</v>
      </c>
      <c r="V664" s="3">
        <v>84.026949999999999</v>
      </c>
      <c r="W664" s="3">
        <v>81.194100000000006</v>
      </c>
      <c r="X664" s="3">
        <v>83.944959999999995</v>
      </c>
      <c r="Y664" s="3">
        <v>69.16019</v>
      </c>
      <c r="AB664" s="3">
        <v>85.37003</v>
      </c>
      <c r="AC664" s="3">
        <v>54.028759999999998</v>
      </c>
      <c r="AD664" s="3">
        <v>83.414389999999997</v>
      </c>
      <c r="AE664" s="3">
        <v>83.294939999999997</v>
      </c>
      <c r="AF664" s="3">
        <v>100.0868</v>
      </c>
      <c r="AH664" s="3">
        <v>77.856200000000001</v>
      </c>
      <c r="AI664" s="3">
        <v>80.903639999999996</v>
      </c>
      <c r="AJ664" s="3">
        <v>69.6096</v>
      </c>
      <c r="AK664" s="3">
        <v>68.305689999999998</v>
      </c>
      <c r="AL664" s="3">
        <v>83.053200000000004</v>
      </c>
      <c r="AM664" s="3">
        <v>81.022589999999994</v>
      </c>
      <c r="AN664" s="3">
        <v>81.289090000000002</v>
      </c>
      <c r="AO664" s="3">
        <v>80.565950000000001</v>
      </c>
      <c r="AP664" s="3">
        <v>84.108090000000004</v>
      </c>
      <c r="AQ664" s="3">
        <v>83.080820000000003</v>
      </c>
      <c r="AT664" s="3">
        <v>77.312989999999999</v>
      </c>
      <c r="AU664" s="3">
        <v>84.621409999999997</v>
      </c>
      <c r="AV664" s="3">
        <v>91.336910000000003</v>
      </c>
      <c r="AW664" s="3">
        <v>43.38353</v>
      </c>
      <c r="AX664" s="3">
        <v>80.455240000000003</v>
      </c>
      <c r="AY664" s="3">
        <v>58.784599999999998</v>
      </c>
    </row>
    <row r="665" spans="1:51" x14ac:dyDescent="0.2">
      <c r="A665" s="74" t="s">
        <v>562</v>
      </c>
      <c r="B665" s="49">
        <v>38047</v>
      </c>
      <c r="D665" s="3">
        <v>83.118970000000004</v>
      </c>
      <c r="F665" s="3">
        <v>84.656379999999999</v>
      </c>
      <c r="G665" s="3">
        <v>96.075490000000002</v>
      </c>
      <c r="H665" s="3">
        <v>75.533749999999998</v>
      </c>
      <c r="J665" s="3">
        <v>67.35557</v>
      </c>
      <c r="K665" s="3">
        <v>47.379370000000002</v>
      </c>
      <c r="L665" s="3">
        <v>88.2</v>
      </c>
      <c r="M665" s="3">
        <v>86.634860000000003</v>
      </c>
      <c r="N665" s="3">
        <v>83.983059999999995</v>
      </c>
      <c r="O665" s="3">
        <v>85.84</v>
      </c>
      <c r="P665" s="3">
        <v>84.644769999999994</v>
      </c>
      <c r="Q665" s="3">
        <v>75.484909999999999</v>
      </c>
      <c r="S665" s="3">
        <v>85.548879999999997</v>
      </c>
      <c r="T665" s="3">
        <v>87.490719999999996</v>
      </c>
      <c r="V665" s="3">
        <v>84.420259999999999</v>
      </c>
      <c r="W665" s="3">
        <v>81.294839999999994</v>
      </c>
      <c r="X665" s="3">
        <v>86.336510000000004</v>
      </c>
      <c r="Y665" s="3">
        <v>69.609449999999995</v>
      </c>
      <c r="AB665" s="3">
        <v>85.867530000000002</v>
      </c>
      <c r="AC665" s="3">
        <v>54.56738</v>
      </c>
      <c r="AD665" s="3">
        <v>83.414389999999997</v>
      </c>
      <c r="AE665" s="3">
        <v>83.605999999999995</v>
      </c>
      <c r="AF665" s="3">
        <v>100.4358</v>
      </c>
      <c r="AH665" s="3">
        <v>78.234899999999996</v>
      </c>
      <c r="AI665" s="3">
        <v>80.988560000000007</v>
      </c>
      <c r="AJ665" s="3">
        <v>70.263400000000004</v>
      </c>
      <c r="AK665" s="3">
        <v>68.557400000000001</v>
      </c>
      <c r="AL665" s="3">
        <v>83.903949999999995</v>
      </c>
      <c r="AM665" s="3">
        <v>81.506550000000004</v>
      </c>
      <c r="AN665" s="3">
        <v>81.680539999999993</v>
      </c>
      <c r="AO665" s="3">
        <v>80.881739999999994</v>
      </c>
      <c r="AP665" s="3">
        <v>84.131979999999999</v>
      </c>
      <c r="AQ665" s="3">
        <v>83.171620000000004</v>
      </c>
      <c r="AT665" s="3">
        <v>77.517169999999993</v>
      </c>
      <c r="AU665" s="3">
        <v>84.971410000000006</v>
      </c>
      <c r="AV665" s="3">
        <v>91.92</v>
      </c>
      <c r="AW665" s="3">
        <v>43.702170000000002</v>
      </c>
      <c r="AX665" s="3">
        <v>80.950599999999994</v>
      </c>
      <c r="AY665" s="3">
        <v>59.079349999999998</v>
      </c>
    </row>
    <row r="666" spans="1:51" x14ac:dyDescent="0.2">
      <c r="A666" s="74" t="s">
        <v>563</v>
      </c>
      <c r="B666" s="49">
        <v>38078</v>
      </c>
      <c r="D666" s="3">
        <v>83.442800000000005</v>
      </c>
      <c r="F666" s="3">
        <v>84.721810000000005</v>
      </c>
      <c r="G666" s="3">
        <v>96.978909999999999</v>
      </c>
      <c r="H666" s="3">
        <v>75.783389999999997</v>
      </c>
      <c r="J666" s="3">
        <v>67.658869999999993</v>
      </c>
      <c r="K666" s="3">
        <v>47.920960000000001</v>
      </c>
      <c r="L666" s="3">
        <v>88.1</v>
      </c>
      <c r="M666" s="3">
        <v>86.856740000000002</v>
      </c>
      <c r="N666" s="3">
        <v>84.205860000000001</v>
      </c>
      <c r="O666" s="3">
        <v>86.27</v>
      </c>
      <c r="P666" s="3">
        <v>86.128169999999997</v>
      </c>
      <c r="Q666" s="3">
        <v>75.768680000000003</v>
      </c>
      <c r="S666" s="3">
        <v>85.524299999999997</v>
      </c>
      <c r="T666" s="3">
        <v>87.651439999999994</v>
      </c>
      <c r="V666" s="3">
        <v>84.608180000000004</v>
      </c>
      <c r="W666" s="3">
        <v>81.597049999999996</v>
      </c>
      <c r="X666" s="3">
        <v>86.727969999999999</v>
      </c>
      <c r="Y666" s="3">
        <v>69.842950000000002</v>
      </c>
      <c r="AB666" s="3">
        <v>86.052480000000003</v>
      </c>
      <c r="AC666" s="3">
        <v>54.898850000000003</v>
      </c>
      <c r="AD666" s="3">
        <v>84.420590000000004</v>
      </c>
      <c r="AE666" s="3">
        <v>83.842640000000003</v>
      </c>
      <c r="AF666" s="3">
        <v>100.6583</v>
      </c>
      <c r="AH666" s="3">
        <v>78.534700000000001</v>
      </c>
      <c r="AI666" s="3">
        <v>81.039609999999996</v>
      </c>
      <c r="AJ666" s="3">
        <v>70.647980000000004</v>
      </c>
      <c r="AK666" s="3">
        <v>68.790710000000004</v>
      </c>
      <c r="AL666" s="3">
        <v>84.203460000000007</v>
      </c>
      <c r="AM666" s="3">
        <v>81.641390000000001</v>
      </c>
      <c r="AN666" s="3">
        <v>81.931179999999998</v>
      </c>
      <c r="AO666" s="3">
        <v>81.234970000000004</v>
      </c>
      <c r="AP666" s="3">
        <v>84.410489999999996</v>
      </c>
      <c r="AQ666" s="3">
        <v>83.882289999999998</v>
      </c>
      <c r="AT666" s="3">
        <v>77.708519999999993</v>
      </c>
      <c r="AU666" s="3">
        <v>85.601429999999993</v>
      </c>
      <c r="AV666" s="3">
        <v>92.000429999999994</v>
      </c>
      <c r="AW666" s="3">
        <v>44.00855</v>
      </c>
      <c r="AX666" s="3">
        <v>81.115719999999996</v>
      </c>
      <c r="AY666" s="3">
        <v>59.079569999999997</v>
      </c>
    </row>
    <row r="667" spans="1:51" x14ac:dyDescent="0.2">
      <c r="A667" s="74" t="s">
        <v>564</v>
      </c>
      <c r="B667" s="49">
        <v>38108</v>
      </c>
      <c r="D667" s="3">
        <v>83.546310000000005</v>
      </c>
      <c r="F667" s="3">
        <v>84.866069999999993</v>
      </c>
      <c r="G667" s="3">
        <v>97.066410000000005</v>
      </c>
      <c r="H667" s="3">
        <v>75.899299999999997</v>
      </c>
      <c r="J667" s="3">
        <v>67.833849999999998</v>
      </c>
      <c r="K667" s="3">
        <v>48.191249999999997</v>
      </c>
      <c r="L667" s="3">
        <v>88.6</v>
      </c>
      <c r="M667" s="3">
        <v>86.856189999999998</v>
      </c>
      <c r="N667" s="3">
        <v>84.240170000000006</v>
      </c>
      <c r="O667" s="3">
        <v>86.36</v>
      </c>
      <c r="P667" s="3">
        <v>86.300610000000006</v>
      </c>
      <c r="Q667" s="3">
        <v>75.882189999999994</v>
      </c>
      <c r="S667" s="3">
        <v>85.507909999999995</v>
      </c>
      <c r="T667" s="3">
        <v>87.83126</v>
      </c>
      <c r="V667" s="3">
        <v>84.656319999999994</v>
      </c>
      <c r="W667" s="3">
        <v>81.798519999999996</v>
      </c>
      <c r="X667" s="3">
        <v>86.924059999999997</v>
      </c>
      <c r="Y667" s="3">
        <v>70.188900000000004</v>
      </c>
      <c r="AB667" s="3">
        <v>86.12894</v>
      </c>
      <c r="AC667" s="3">
        <v>55.271749999999997</v>
      </c>
      <c r="AD667" s="3">
        <v>84.823070000000001</v>
      </c>
      <c r="AE667" s="3">
        <v>84.015929999999997</v>
      </c>
      <c r="AF667" s="3">
        <v>100.70099999999999</v>
      </c>
      <c r="AH667" s="3">
        <v>79.268199999999993</v>
      </c>
      <c r="AI667" s="3">
        <v>81.199960000000004</v>
      </c>
      <c r="AJ667" s="3">
        <v>71.426760000000002</v>
      </c>
      <c r="AK667" s="3">
        <v>68.83793</v>
      </c>
      <c r="AL667" s="3">
        <v>84.24203</v>
      </c>
      <c r="AM667" s="3">
        <v>81.611660000000001</v>
      </c>
      <c r="AN667" s="3">
        <v>82.026660000000007</v>
      </c>
      <c r="AO667" s="3">
        <v>81.447299999999998</v>
      </c>
      <c r="AP667" s="3">
        <v>85.296430000000001</v>
      </c>
      <c r="AQ667" s="3">
        <v>84.505510000000001</v>
      </c>
      <c r="AT667" s="3">
        <v>77.861059999999995</v>
      </c>
      <c r="AU667" s="3">
        <v>86.161439999999999</v>
      </c>
      <c r="AV667" s="3">
        <v>91.983670000000004</v>
      </c>
      <c r="AW667" s="3">
        <v>44.547780000000003</v>
      </c>
      <c r="AX667" s="3">
        <v>81.115719999999996</v>
      </c>
      <c r="AY667" s="3">
        <v>59.06512</v>
      </c>
    </row>
    <row r="668" spans="1:51" x14ac:dyDescent="0.2">
      <c r="A668" s="74" t="s">
        <v>565</v>
      </c>
      <c r="B668" s="49">
        <v>38139</v>
      </c>
      <c r="D668" s="3">
        <v>83.559870000000004</v>
      </c>
      <c r="F668" s="3">
        <v>84.898480000000006</v>
      </c>
      <c r="G668" s="3">
        <v>97.052229999999994</v>
      </c>
      <c r="H668" s="3">
        <v>76.122190000000003</v>
      </c>
      <c r="J668" s="3">
        <v>68.137150000000005</v>
      </c>
      <c r="K668" s="3">
        <v>48.454509999999999</v>
      </c>
      <c r="L668" s="3">
        <v>88.7</v>
      </c>
      <c r="M668" s="3">
        <v>86.96857</v>
      </c>
      <c r="N668" s="3">
        <v>84.186840000000004</v>
      </c>
      <c r="O668" s="3">
        <v>86.5</v>
      </c>
      <c r="P668" s="3">
        <v>86.481120000000004</v>
      </c>
      <c r="Q668" s="3">
        <v>75.882189999999994</v>
      </c>
      <c r="S668" s="3">
        <v>85.598050000000001</v>
      </c>
      <c r="T668" s="3">
        <v>87.847170000000006</v>
      </c>
      <c r="V668" s="3">
        <v>84.701970000000003</v>
      </c>
      <c r="W668" s="3">
        <v>81.798519999999996</v>
      </c>
      <c r="X668" s="3">
        <v>87.185209999999998</v>
      </c>
      <c r="Y668" s="3">
        <v>70.358350000000002</v>
      </c>
      <c r="AB668" s="3">
        <v>86.494</v>
      </c>
      <c r="AC668" s="3">
        <v>55.561779999999999</v>
      </c>
      <c r="AD668" s="3">
        <v>84.923699999999997</v>
      </c>
      <c r="AE668" s="3">
        <v>84.129570000000001</v>
      </c>
      <c r="AF668" s="3">
        <v>100.72539999999999</v>
      </c>
      <c r="AH668" s="3">
        <v>79.304299999999998</v>
      </c>
      <c r="AI668" s="3">
        <v>81.39282</v>
      </c>
      <c r="AJ668" s="3">
        <v>71.465220000000002</v>
      </c>
      <c r="AK668" s="3">
        <v>68.98057</v>
      </c>
      <c r="AL668" s="3">
        <v>83.699730000000002</v>
      </c>
      <c r="AM668" s="3">
        <v>81.639070000000004</v>
      </c>
      <c r="AN668" s="3">
        <v>82.095460000000003</v>
      </c>
      <c r="AO668" s="3">
        <v>81.542280000000005</v>
      </c>
      <c r="AP668" s="3">
        <v>85.564509999999999</v>
      </c>
      <c r="AQ668" s="3">
        <v>84.820650000000001</v>
      </c>
      <c r="AT668" s="3">
        <v>77.886070000000004</v>
      </c>
      <c r="AU668" s="3">
        <v>86.661450000000002</v>
      </c>
      <c r="AV668" s="3">
        <v>91.842929999999996</v>
      </c>
      <c r="AW668" s="3">
        <v>44.886839999999999</v>
      </c>
      <c r="AX668" s="3">
        <v>81.15701</v>
      </c>
      <c r="AY668" s="3">
        <v>59.071829999999999</v>
      </c>
    </row>
    <row r="669" spans="1:51" x14ac:dyDescent="0.2">
      <c r="A669" s="74" t="s">
        <v>566</v>
      </c>
      <c r="B669" s="49">
        <v>38169</v>
      </c>
      <c r="D669" s="3">
        <v>83.905889999999999</v>
      </c>
      <c r="F669" s="3">
        <v>84.978809999999996</v>
      </c>
      <c r="G669" s="3">
        <v>96.098860000000002</v>
      </c>
      <c r="H669" s="3">
        <v>76.345089999999999</v>
      </c>
      <c r="J669" s="3">
        <v>68.300460000000001</v>
      </c>
      <c r="K669" s="3">
        <v>48.872500000000002</v>
      </c>
      <c r="L669" s="3">
        <v>89.4</v>
      </c>
      <c r="M669" s="3">
        <v>87.163309999999996</v>
      </c>
      <c r="N669" s="3">
        <v>83.771969999999996</v>
      </c>
      <c r="O669" s="3">
        <v>86.26</v>
      </c>
      <c r="P669" s="3">
        <v>85.292180000000002</v>
      </c>
      <c r="Q669" s="3">
        <v>75.82544</v>
      </c>
      <c r="S669" s="3">
        <v>85.196560000000005</v>
      </c>
      <c r="T669" s="3">
        <v>87.853319999999997</v>
      </c>
      <c r="V669" s="3">
        <v>84.706860000000006</v>
      </c>
      <c r="W669" s="3">
        <v>81.597049999999996</v>
      </c>
      <c r="X669" s="3">
        <v>85.870249999999999</v>
      </c>
      <c r="Y669" s="3">
        <v>70.42465</v>
      </c>
      <c r="AB669" s="3">
        <v>86.258809999999997</v>
      </c>
      <c r="AC669" s="3">
        <v>55.271749999999997</v>
      </c>
      <c r="AD669" s="3">
        <v>84.823070000000001</v>
      </c>
      <c r="AE669" s="3">
        <v>84.279619999999994</v>
      </c>
      <c r="AF669" s="3">
        <v>100.6271</v>
      </c>
      <c r="AH669" s="3">
        <v>78.987399999999994</v>
      </c>
      <c r="AI669" s="3">
        <v>80.296959999999999</v>
      </c>
      <c r="AJ669" s="3">
        <v>71.253699999999995</v>
      </c>
      <c r="AK669" s="3">
        <v>69.112759999999994</v>
      </c>
      <c r="AL669" s="3">
        <v>83.514070000000004</v>
      </c>
      <c r="AM669" s="3">
        <v>81.399900000000002</v>
      </c>
      <c r="AN669" s="3">
        <v>82.070779999999999</v>
      </c>
      <c r="AO669" s="3">
        <v>81.426649999999995</v>
      </c>
      <c r="AP669" s="3">
        <v>85.781760000000006</v>
      </c>
      <c r="AQ669" s="3">
        <v>84.417050000000003</v>
      </c>
      <c r="AT669" s="3">
        <v>78.137100000000004</v>
      </c>
      <c r="AU669" s="3">
        <v>87.131450000000001</v>
      </c>
      <c r="AV669" s="3">
        <v>91.383830000000003</v>
      </c>
      <c r="AW669" s="3">
        <v>44.964460000000003</v>
      </c>
      <c r="AX669" s="3">
        <v>81.15701</v>
      </c>
      <c r="AY669" s="3">
        <v>59.313049999999997</v>
      </c>
    </row>
    <row r="670" spans="1:51" x14ac:dyDescent="0.2">
      <c r="A670" s="74" t="s">
        <v>567</v>
      </c>
      <c r="B670" s="49">
        <v>38200</v>
      </c>
      <c r="D670" s="3">
        <v>83.942840000000004</v>
      </c>
      <c r="F670" s="3">
        <v>84.813130000000001</v>
      </c>
      <c r="G670" s="3">
        <v>96.371300000000005</v>
      </c>
      <c r="H670" s="3">
        <v>76.282669999999996</v>
      </c>
      <c r="J670" s="3">
        <v>68.312129999999996</v>
      </c>
      <c r="K670" s="3">
        <v>49.323659999999997</v>
      </c>
      <c r="L670" s="3">
        <v>89.5</v>
      </c>
      <c r="M670" s="3">
        <v>87.264070000000004</v>
      </c>
      <c r="N670" s="3">
        <v>83.476519999999994</v>
      </c>
      <c r="O670" s="3">
        <v>86.45</v>
      </c>
      <c r="P670" s="3">
        <v>85.560419999999993</v>
      </c>
      <c r="Q670" s="3">
        <v>75.938950000000006</v>
      </c>
      <c r="S670" s="3">
        <v>85.598050000000001</v>
      </c>
      <c r="T670" s="3">
        <v>88.245549999999994</v>
      </c>
      <c r="V670" s="3">
        <v>84.826480000000004</v>
      </c>
      <c r="W670" s="3">
        <v>81.798519999999996</v>
      </c>
      <c r="X670" s="3">
        <v>85.384399999999999</v>
      </c>
      <c r="Y670" s="3">
        <v>70.287689999999998</v>
      </c>
      <c r="AB670" s="3">
        <v>86.934690000000003</v>
      </c>
      <c r="AC670" s="3">
        <v>55.106009999999998</v>
      </c>
      <c r="AD670" s="3">
        <v>84.923699999999997</v>
      </c>
      <c r="AE670" s="3">
        <v>84.539259999999999</v>
      </c>
      <c r="AF670" s="3">
        <v>100.74979999999999</v>
      </c>
      <c r="AH670" s="3">
        <v>78.744100000000003</v>
      </c>
      <c r="AI670" s="3">
        <v>81.426469999999995</v>
      </c>
      <c r="AJ670" s="3">
        <v>71.282539999999997</v>
      </c>
      <c r="AK670" s="3">
        <v>69.323390000000003</v>
      </c>
      <c r="AL670" s="3">
        <v>83.944770000000005</v>
      </c>
      <c r="AM670" s="3">
        <v>81.204120000000003</v>
      </c>
      <c r="AN670" s="3">
        <v>82.189940000000007</v>
      </c>
      <c r="AO670" s="3">
        <v>81.609359999999995</v>
      </c>
      <c r="AP670" s="3">
        <v>85.713909999999998</v>
      </c>
      <c r="AQ670" s="3">
        <v>84.106920000000002</v>
      </c>
      <c r="AT670" s="3">
        <v>78.166499999999999</v>
      </c>
      <c r="AU670" s="3">
        <v>86.681439999999995</v>
      </c>
      <c r="AV670" s="3">
        <v>91.320160000000001</v>
      </c>
      <c r="AW670" s="3">
        <v>45.213650000000001</v>
      </c>
      <c r="AX670" s="3">
        <v>81.239559999999997</v>
      </c>
      <c r="AY670" s="3">
        <v>59.275039999999997</v>
      </c>
    </row>
    <row r="671" spans="1:51" x14ac:dyDescent="0.2">
      <c r="A671" s="74" t="s">
        <v>568</v>
      </c>
      <c r="B671" s="49">
        <v>38231</v>
      </c>
      <c r="D671" s="3">
        <v>83.970410000000001</v>
      </c>
      <c r="F671" s="3">
        <v>85.158969999999997</v>
      </c>
      <c r="G671" s="3">
        <v>96.357659999999996</v>
      </c>
      <c r="H671" s="3">
        <v>76.407489999999996</v>
      </c>
      <c r="J671" s="3">
        <v>68.452110000000005</v>
      </c>
      <c r="K671" s="3">
        <v>49.528640000000003</v>
      </c>
      <c r="L671" s="3">
        <v>88.5</v>
      </c>
      <c r="M671" s="3">
        <v>87.157560000000004</v>
      </c>
      <c r="N671" s="3">
        <v>84.163719999999998</v>
      </c>
      <c r="O671" s="3">
        <v>86.65</v>
      </c>
      <c r="P671" s="3">
        <v>85.777240000000006</v>
      </c>
      <c r="Q671" s="3">
        <v>76.279480000000007</v>
      </c>
      <c r="S671" s="3">
        <v>85.983140000000006</v>
      </c>
      <c r="T671" s="3">
        <v>88.305369999999996</v>
      </c>
      <c r="V671" s="3">
        <v>84.993089999999995</v>
      </c>
      <c r="W671" s="3">
        <v>81.899259999999998</v>
      </c>
      <c r="X671" s="3">
        <v>87.693629999999999</v>
      </c>
      <c r="Y671" s="3">
        <v>70.508700000000005</v>
      </c>
      <c r="AB671" s="3">
        <v>86.955789999999993</v>
      </c>
      <c r="AC671" s="3">
        <v>55.437480000000001</v>
      </c>
      <c r="AD671" s="3">
        <v>84.52122</v>
      </c>
      <c r="AE671" s="3">
        <v>84.550889999999995</v>
      </c>
      <c r="AF671" s="3">
        <v>100.86239999999999</v>
      </c>
      <c r="AH671" s="3">
        <v>79.445499999999996</v>
      </c>
      <c r="AI671" s="3">
        <v>81.613720000000001</v>
      </c>
      <c r="AJ671" s="3">
        <v>72.330529999999996</v>
      </c>
      <c r="AK671" s="3">
        <v>69.715630000000004</v>
      </c>
      <c r="AL671" s="3">
        <v>84.830780000000004</v>
      </c>
      <c r="AM671" s="3">
        <v>81.860900000000001</v>
      </c>
      <c r="AN671" s="3">
        <v>82.398039999999995</v>
      </c>
      <c r="AO671" s="3">
        <v>81.798060000000007</v>
      </c>
      <c r="AP671" s="3">
        <v>85.793419999999998</v>
      </c>
      <c r="AQ671" s="3">
        <v>84.198329999999999</v>
      </c>
      <c r="AT671" s="3">
        <v>78.333579999999998</v>
      </c>
      <c r="AU671" s="3">
        <v>86.69144</v>
      </c>
      <c r="AV671" s="3">
        <v>92.265159999999995</v>
      </c>
      <c r="AW671" s="3">
        <v>45.761049999999997</v>
      </c>
      <c r="AX671" s="3">
        <v>81.48724</v>
      </c>
      <c r="AY671" s="3">
        <v>59.199759999999998</v>
      </c>
    </row>
    <row r="672" spans="1:51" x14ac:dyDescent="0.2">
      <c r="A672" s="74" t="s">
        <v>569</v>
      </c>
      <c r="B672" s="49">
        <v>38261</v>
      </c>
      <c r="D672" s="3">
        <v>84.182879999999997</v>
      </c>
      <c r="F672" s="3">
        <v>85.084029999999998</v>
      </c>
      <c r="G672" s="3">
        <v>97.187150000000003</v>
      </c>
      <c r="H672" s="3">
        <v>76.487729999999999</v>
      </c>
      <c r="J672" s="3">
        <v>68.452110000000005</v>
      </c>
      <c r="K672" s="3">
        <v>49.86927</v>
      </c>
      <c r="L672" s="3">
        <v>88.6</v>
      </c>
      <c r="M672" s="3">
        <v>87.050899999999999</v>
      </c>
      <c r="N672" s="3">
        <v>84.354320000000001</v>
      </c>
      <c r="O672" s="3">
        <v>86.84</v>
      </c>
      <c r="P672" s="3">
        <v>86.796769999999995</v>
      </c>
      <c r="Q672" s="3">
        <v>76.449749999999995</v>
      </c>
      <c r="S672" s="3">
        <v>86.171589999999995</v>
      </c>
      <c r="T672" s="3">
        <v>88.381309999999999</v>
      </c>
      <c r="V672" s="3">
        <v>85.185040000000001</v>
      </c>
      <c r="W672" s="3">
        <v>82</v>
      </c>
      <c r="X672" s="3">
        <v>87.962519999999998</v>
      </c>
      <c r="Y672" s="3">
        <v>70.769329999999997</v>
      </c>
      <c r="AB672" s="3">
        <v>87.041759999999996</v>
      </c>
      <c r="AC672" s="3">
        <v>55.85181</v>
      </c>
      <c r="AD672" s="3">
        <v>84.420590000000004</v>
      </c>
      <c r="AE672" s="3">
        <v>84.504329999999996</v>
      </c>
      <c r="AF672" s="3">
        <v>100.9522</v>
      </c>
      <c r="AH672" s="3">
        <v>79.691999999999993</v>
      </c>
      <c r="AI672" s="3">
        <v>81.822460000000007</v>
      </c>
      <c r="AJ672" s="3">
        <v>72.734340000000003</v>
      </c>
      <c r="AK672" s="3">
        <v>69.914029999999997</v>
      </c>
      <c r="AL672" s="3">
        <v>84.842370000000003</v>
      </c>
      <c r="AM672" s="3">
        <v>82.152950000000004</v>
      </c>
      <c r="AN672" s="3">
        <v>82.640150000000006</v>
      </c>
      <c r="AO672" s="3">
        <v>82.021550000000005</v>
      </c>
      <c r="AP672" s="3">
        <v>86.027060000000006</v>
      </c>
      <c r="AQ672" s="3">
        <v>84.900769999999994</v>
      </c>
      <c r="AT672" s="3">
        <v>78.507320000000007</v>
      </c>
      <c r="AU672" s="3">
        <v>86.99145</v>
      </c>
      <c r="AV672" s="3">
        <v>92.446119999999993</v>
      </c>
      <c r="AW672" s="3">
        <v>46.565809999999999</v>
      </c>
      <c r="AX672" s="3">
        <v>81.817490000000006</v>
      </c>
      <c r="AY672" s="3">
        <v>59.277529999999999</v>
      </c>
    </row>
    <row r="673" spans="1:51" x14ac:dyDescent="0.2">
      <c r="A673" s="74" t="s">
        <v>570</v>
      </c>
      <c r="B673" s="49">
        <v>38292</v>
      </c>
      <c r="D673" s="3">
        <v>84.210300000000004</v>
      </c>
      <c r="F673" s="3">
        <v>85.530360000000002</v>
      </c>
      <c r="G673" s="3">
        <v>97.398480000000006</v>
      </c>
      <c r="H673" s="3">
        <v>76.621470000000002</v>
      </c>
      <c r="J673" s="3">
        <v>68.650419999999997</v>
      </c>
      <c r="K673" s="3">
        <v>50.209890000000001</v>
      </c>
      <c r="L673" s="3">
        <v>88.5</v>
      </c>
      <c r="M673" s="3">
        <v>87.024569999999997</v>
      </c>
      <c r="N673" s="3">
        <v>84.288640000000001</v>
      </c>
      <c r="O673" s="3">
        <v>86.88</v>
      </c>
      <c r="P673" s="3">
        <v>87.177959999999999</v>
      </c>
      <c r="Q673" s="3">
        <v>76.449749999999995</v>
      </c>
      <c r="S673" s="3">
        <v>85.958560000000006</v>
      </c>
      <c r="T673" s="3">
        <v>88.391319999999993</v>
      </c>
      <c r="V673" s="3">
        <v>85.155209999999997</v>
      </c>
      <c r="W673" s="3">
        <v>82.100740000000002</v>
      </c>
      <c r="X673" s="3">
        <v>88.010239999999996</v>
      </c>
      <c r="Y673" s="3">
        <v>70.868769999999998</v>
      </c>
      <c r="AB673" s="3">
        <v>87.174930000000003</v>
      </c>
      <c r="AC673" s="3">
        <v>56.058979999999998</v>
      </c>
      <c r="AD673" s="3">
        <v>84.018109999999993</v>
      </c>
      <c r="AE673" s="3">
        <v>84.615489999999994</v>
      </c>
      <c r="AF673" s="3">
        <v>100.60760000000001</v>
      </c>
      <c r="AH673" s="3">
        <v>79.784499999999994</v>
      </c>
      <c r="AI673" s="3">
        <v>81.972769999999997</v>
      </c>
      <c r="AJ673" s="3">
        <v>72.897790000000001</v>
      </c>
      <c r="AK673" s="3">
        <v>70.16001</v>
      </c>
      <c r="AL673" s="3">
        <v>84.750690000000006</v>
      </c>
      <c r="AM673" s="3">
        <v>82.215130000000002</v>
      </c>
      <c r="AN673" s="3">
        <v>82.666650000000004</v>
      </c>
      <c r="AO673" s="3">
        <v>82.145390000000006</v>
      </c>
      <c r="AP673" s="3">
        <v>86.005690000000001</v>
      </c>
      <c r="AQ673" s="3">
        <v>85.592039999999997</v>
      </c>
      <c r="AT673" s="3">
        <v>78.630650000000003</v>
      </c>
      <c r="AU673" s="3">
        <v>87.251459999999994</v>
      </c>
      <c r="AV673" s="3">
        <v>92.245059999999995</v>
      </c>
      <c r="AW673" s="3">
        <v>47.162230000000001</v>
      </c>
      <c r="AX673" s="3">
        <v>81.776210000000006</v>
      </c>
      <c r="AY673" s="3">
        <v>59.546529999999997</v>
      </c>
    </row>
    <row r="674" spans="1:51" x14ac:dyDescent="0.2">
      <c r="A674" s="74" t="s">
        <v>571</v>
      </c>
      <c r="B674" s="49">
        <v>38322</v>
      </c>
      <c r="D674" s="3">
        <v>84.144139999999993</v>
      </c>
      <c r="F674" s="3">
        <v>85.550669999999997</v>
      </c>
      <c r="G674" s="3">
        <v>97.343800000000002</v>
      </c>
      <c r="H674" s="3">
        <v>76.826530000000005</v>
      </c>
      <c r="J674" s="3">
        <v>68.942049999999995</v>
      </c>
      <c r="K674" s="3">
        <v>50.572620000000001</v>
      </c>
      <c r="L674" s="3">
        <v>88.5</v>
      </c>
      <c r="M674" s="3">
        <v>88.269509999999997</v>
      </c>
      <c r="N674" s="3">
        <v>84.184060000000002</v>
      </c>
      <c r="O674" s="3">
        <v>87.28</v>
      </c>
      <c r="P674" s="3">
        <v>87.286869999999993</v>
      </c>
      <c r="Q674" s="3">
        <v>76.449749999999995</v>
      </c>
      <c r="S674" s="3">
        <v>86.015910000000005</v>
      </c>
      <c r="T674" s="3">
        <v>88.552689999999998</v>
      </c>
      <c r="V674" s="3">
        <v>85.256519999999995</v>
      </c>
      <c r="W674" s="3">
        <v>82.604420000000005</v>
      </c>
      <c r="X674" s="3">
        <v>88.472560000000001</v>
      </c>
      <c r="Y674" s="3">
        <v>70.833439999999996</v>
      </c>
      <c r="AB674" s="3">
        <v>87.278589999999994</v>
      </c>
      <c r="AC674" s="3">
        <v>56.34901</v>
      </c>
      <c r="AD674" s="3">
        <v>83.716250000000002</v>
      </c>
      <c r="AE674" s="3">
        <v>84.885980000000004</v>
      </c>
      <c r="AF674" s="3">
        <v>100.5183</v>
      </c>
      <c r="AH674" s="3">
        <v>79.721900000000005</v>
      </c>
      <c r="AI674" s="3">
        <v>81.890219999999999</v>
      </c>
      <c r="AJ674" s="3">
        <v>72.522819999999996</v>
      </c>
      <c r="AK674" s="3">
        <v>70.331900000000005</v>
      </c>
      <c r="AL674" s="3">
        <v>83.956630000000004</v>
      </c>
      <c r="AM674" s="3">
        <v>82.140219999999999</v>
      </c>
      <c r="AN674" s="3">
        <v>82.758539999999996</v>
      </c>
      <c r="AO674" s="3">
        <v>82.488259999999997</v>
      </c>
      <c r="AP674" s="3">
        <v>85.986040000000003</v>
      </c>
      <c r="AQ674" s="3">
        <v>85.662610000000001</v>
      </c>
      <c r="AT674" s="3">
        <v>78.775630000000007</v>
      </c>
      <c r="AU674" s="3">
        <v>87.121449999999996</v>
      </c>
      <c r="AV674" s="3">
        <v>92.288619999999995</v>
      </c>
      <c r="AW674" s="3">
        <v>47.248019999999997</v>
      </c>
      <c r="AX674" s="3">
        <v>81.652370000000005</v>
      </c>
      <c r="AY674" s="3">
        <v>59.54175</v>
      </c>
    </row>
    <row r="675" spans="1:51" x14ac:dyDescent="0.2">
      <c r="A675" s="3" t="s">
        <v>572</v>
      </c>
      <c r="B675" s="49">
        <v>38353</v>
      </c>
      <c r="D675" s="3">
        <v>84.443759999999997</v>
      </c>
      <c r="F675" s="3">
        <v>85.400959999999998</v>
      </c>
      <c r="G675" s="3">
        <v>97.113510000000005</v>
      </c>
      <c r="H675" s="3">
        <v>76.701710000000006</v>
      </c>
      <c r="J675" s="3">
        <v>69.397000000000006</v>
      </c>
      <c r="K675" s="3">
        <v>51.456850000000003</v>
      </c>
      <c r="L675" s="3">
        <v>88.7</v>
      </c>
      <c r="M675" s="3">
        <v>87.333370000000002</v>
      </c>
      <c r="N675" s="3">
        <v>83.836280000000002</v>
      </c>
      <c r="O675" s="3">
        <v>86.44</v>
      </c>
      <c r="P675" s="3">
        <v>86.038420000000002</v>
      </c>
      <c r="Q675" s="3">
        <v>76.506510000000006</v>
      </c>
      <c r="S675" s="3">
        <v>85.393199999999993</v>
      </c>
      <c r="T675" s="3">
        <v>88.196129999999997</v>
      </c>
      <c r="V675" s="3">
        <v>85.206689999999995</v>
      </c>
      <c r="W675" s="3">
        <v>82</v>
      </c>
      <c r="X675" s="3">
        <v>88.669330000000002</v>
      </c>
      <c r="Y675" s="3">
        <v>71.579130000000006</v>
      </c>
      <c r="AB675" s="3">
        <v>86.427599999999998</v>
      </c>
      <c r="AC675" s="3">
        <v>56.431870000000004</v>
      </c>
      <c r="AD675" s="3">
        <v>83.213149999999999</v>
      </c>
      <c r="AE675" s="3">
        <v>84.964780000000005</v>
      </c>
      <c r="AF675" s="3">
        <v>100.18170000000001</v>
      </c>
      <c r="AH675" s="3">
        <v>79.170599999999993</v>
      </c>
      <c r="AI675" s="3">
        <v>81.146299999999997</v>
      </c>
      <c r="AJ675" s="3">
        <v>72.686269999999993</v>
      </c>
      <c r="AK675" s="3">
        <v>70.585239999999999</v>
      </c>
      <c r="AL675" s="3">
        <v>83.904949999999999</v>
      </c>
      <c r="AM675" s="3">
        <v>81.833309999999997</v>
      </c>
      <c r="AN675" s="3">
        <v>82.728870000000001</v>
      </c>
      <c r="AO675" s="3">
        <v>82.10239</v>
      </c>
      <c r="AP675" s="3">
        <v>86.037760000000006</v>
      </c>
      <c r="AQ675" s="3">
        <v>85.454809999999995</v>
      </c>
      <c r="AT675" s="3">
        <v>79.888630000000006</v>
      </c>
      <c r="AU675" s="3">
        <v>86.281440000000003</v>
      </c>
      <c r="AV675" s="3">
        <v>91.440799999999996</v>
      </c>
      <c r="AW675" s="3">
        <v>47.337890000000002</v>
      </c>
      <c r="AX675" s="3">
        <v>81.900049999999993</v>
      </c>
      <c r="AY675" s="3">
        <v>59.84319</v>
      </c>
    </row>
    <row r="676" spans="1:51" x14ac:dyDescent="0.2">
      <c r="A676" s="74" t="s">
        <v>573</v>
      </c>
      <c r="B676" s="49">
        <v>38384</v>
      </c>
      <c r="D676" s="3">
        <v>84.806690000000003</v>
      </c>
      <c r="F676" s="3">
        <v>85.6447</v>
      </c>
      <c r="G676" s="3">
        <v>97.142629999999997</v>
      </c>
      <c r="H676" s="3">
        <v>76.648219999999995</v>
      </c>
      <c r="J676" s="3">
        <v>69.980260000000001</v>
      </c>
      <c r="K676" s="3">
        <v>51.842689999999997</v>
      </c>
      <c r="L676" s="3">
        <v>88.9</v>
      </c>
      <c r="M676" s="3">
        <v>87.633740000000003</v>
      </c>
      <c r="N676" s="3">
        <v>84.712180000000004</v>
      </c>
      <c r="O676" s="3">
        <v>86.64</v>
      </c>
      <c r="P676" s="3">
        <v>86.196749999999994</v>
      </c>
      <c r="Q676" s="3">
        <v>76.847040000000007</v>
      </c>
      <c r="S676" s="3">
        <v>85.831209999999999</v>
      </c>
      <c r="T676" s="3">
        <v>88.660960000000003</v>
      </c>
      <c r="V676" s="3">
        <v>85.512609999999995</v>
      </c>
      <c r="W676" s="3">
        <v>82.1</v>
      </c>
      <c r="X676" s="3">
        <v>86.647589999999994</v>
      </c>
      <c r="Y676" s="3">
        <v>71.838260000000005</v>
      </c>
      <c r="AB676" s="3">
        <v>87.412859999999995</v>
      </c>
      <c r="AC676" s="3">
        <v>56.639040000000001</v>
      </c>
      <c r="AD676" s="3">
        <v>83.112530000000007</v>
      </c>
      <c r="AE676" s="3">
        <v>85.196650000000005</v>
      </c>
      <c r="AF676" s="3">
        <v>99.833240000000004</v>
      </c>
      <c r="AH676" s="3">
        <v>78.902100000000004</v>
      </c>
      <c r="AI676" s="3">
        <v>82.394450000000006</v>
      </c>
      <c r="AJ676" s="3">
        <v>72.793369999999996</v>
      </c>
      <c r="AK676" s="3">
        <v>70.83605</v>
      </c>
      <c r="AL676" s="3">
        <v>84.359830000000002</v>
      </c>
      <c r="AM676" s="3">
        <v>82.01979</v>
      </c>
      <c r="AN676" s="3">
        <v>82.974040000000002</v>
      </c>
      <c r="AO676" s="3">
        <v>82.259950000000003</v>
      </c>
      <c r="AP676" s="3">
        <v>85.956720000000004</v>
      </c>
      <c r="AQ676" s="3">
        <v>85.329509999999999</v>
      </c>
      <c r="AT676" s="3">
        <v>80.169870000000003</v>
      </c>
      <c r="AU676" s="3">
        <v>86.411439999999999</v>
      </c>
      <c r="AV676" s="3">
        <v>91.56814</v>
      </c>
      <c r="AW676" s="3">
        <v>47.113210000000002</v>
      </c>
      <c r="AX676" s="3">
        <v>82.354129999999998</v>
      </c>
      <c r="AY676" s="3">
        <v>59.878459999999997</v>
      </c>
    </row>
    <row r="677" spans="1:51" x14ac:dyDescent="0.2">
      <c r="A677" s="74" t="s">
        <v>574</v>
      </c>
      <c r="B677" s="49">
        <v>38412</v>
      </c>
      <c r="D677" s="3">
        <v>84.998019999999997</v>
      </c>
      <c r="F677" s="3">
        <v>85.892930000000007</v>
      </c>
      <c r="G677" s="3">
        <v>97.228449999999995</v>
      </c>
      <c r="H677" s="3">
        <v>77.156409999999994</v>
      </c>
      <c r="J677" s="3">
        <v>70.353549999999998</v>
      </c>
      <c r="K677" s="3">
        <v>52.15016</v>
      </c>
      <c r="L677" s="3">
        <v>88.8</v>
      </c>
      <c r="M677" s="3">
        <v>87.835970000000003</v>
      </c>
      <c r="N677" s="3">
        <v>85.021929999999998</v>
      </c>
      <c r="O677" s="3">
        <v>87.2</v>
      </c>
      <c r="P677" s="3">
        <v>86.884500000000003</v>
      </c>
      <c r="Q677" s="3">
        <v>76.790279999999996</v>
      </c>
      <c r="S677" s="3">
        <v>86.002970000000005</v>
      </c>
      <c r="T677" s="3">
        <v>89.016559999999998</v>
      </c>
      <c r="V677" s="3">
        <v>85.918949999999995</v>
      </c>
      <c r="W677" s="3">
        <v>82.4</v>
      </c>
      <c r="X677" s="3">
        <v>88.831530000000001</v>
      </c>
      <c r="Y677" s="3">
        <v>72.095089999999999</v>
      </c>
      <c r="AB677" s="3">
        <v>87.725650000000002</v>
      </c>
      <c r="AC677" s="3">
        <v>57.384830000000001</v>
      </c>
      <c r="AD677" s="3">
        <v>83.01191</v>
      </c>
      <c r="AE677" s="3">
        <v>85.421869999999998</v>
      </c>
      <c r="AF677" s="3">
        <v>100.2039</v>
      </c>
      <c r="AH677" s="3">
        <v>79.037300000000002</v>
      </c>
      <c r="AI677" s="3">
        <v>82.477109999999996</v>
      </c>
      <c r="AJ677" s="3">
        <v>73.200659999999999</v>
      </c>
      <c r="AK677" s="3">
        <v>71.058890000000005</v>
      </c>
      <c r="AL677" s="3">
        <v>85.168279999999996</v>
      </c>
      <c r="AM677" s="3">
        <v>82.423379999999995</v>
      </c>
      <c r="AN677" s="3">
        <v>83.363029999999995</v>
      </c>
      <c r="AO677" s="3">
        <v>82.593239999999994</v>
      </c>
      <c r="AP677" s="3">
        <v>85.978489999999994</v>
      </c>
      <c r="AQ677" s="3">
        <v>85.491609999999994</v>
      </c>
      <c r="AT677" s="3">
        <v>80.098429999999993</v>
      </c>
      <c r="AU677" s="3">
        <v>87.281459999999996</v>
      </c>
      <c r="AV677" s="3">
        <v>91.873090000000005</v>
      </c>
      <c r="AW677" s="3">
        <v>47.3093</v>
      </c>
      <c r="AX677" s="3">
        <v>82.849490000000003</v>
      </c>
      <c r="AY677" s="3">
        <v>60.18177</v>
      </c>
    </row>
    <row r="678" spans="1:51" x14ac:dyDescent="0.2">
      <c r="A678" s="74" t="s">
        <v>575</v>
      </c>
      <c r="B678" s="49">
        <v>38443</v>
      </c>
      <c r="D678" s="3">
        <v>84.999170000000007</v>
      </c>
      <c r="F678" s="3">
        <v>85.73339</v>
      </c>
      <c r="G678" s="3">
        <v>97.963639999999998</v>
      </c>
      <c r="H678" s="3">
        <v>77.423879999999997</v>
      </c>
      <c r="J678" s="3">
        <v>70.575199999999995</v>
      </c>
      <c r="K678" s="3">
        <v>52.594279999999998</v>
      </c>
      <c r="L678" s="3">
        <v>88.8</v>
      </c>
      <c r="M678" s="3">
        <v>87.493470000000002</v>
      </c>
      <c r="N678" s="3">
        <v>85.395669999999996</v>
      </c>
      <c r="O678" s="3">
        <v>87.47</v>
      </c>
      <c r="P678" s="3">
        <v>88.152100000000004</v>
      </c>
      <c r="Q678" s="3">
        <v>77.017300000000006</v>
      </c>
      <c r="S678" s="3">
        <v>86.011560000000003</v>
      </c>
      <c r="T678" s="3">
        <v>89.169830000000005</v>
      </c>
      <c r="V678" s="3">
        <v>85.989620000000002</v>
      </c>
      <c r="W678" s="3">
        <v>82.7</v>
      </c>
      <c r="X678" s="3">
        <v>89.374979999999994</v>
      </c>
      <c r="Y678" s="3">
        <v>72.510990000000007</v>
      </c>
      <c r="AB678" s="3">
        <v>87.975819999999999</v>
      </c>
      <c r="AC678" s="3">
        <v>57.840600000000002</v>
      </c>
      <c r="AD678" s="3">
        <v>83.515010000000004</v>
      </c>
      <c r="AE678" s="3">
        <v>85.413499999999999</v>
      </c>
      <c r="AF678" s="3">
        <v>100.46429999999999</v>
      </c>
      <c r="AH678" s="3">
        <v>79.284999999999997</v>
      </c>
      <c r="AI678" s="3">
        <v>82.592830000000006</v>
      </c>
      <c r="AJ678" s="3">
        <v>73.953320000000005</v>
      </c>
      <c r="AK678" s="3">
        <v>71.209819999999993</v>
      </c>
      <c r="AL678" s="3">
        <v>85.360810000000001</v>
      </c>
      <c r="AM678" s="3">
        <v>82.740799999999993</v>
      </c>
      <c r="AN678" s="3">
        <v>83.506590000000003</v>
      </c>
      <c r="AO678" s="3">
        <v>82.779110000000003</v>
      </c>
      <c r="AP678" s="3">
        <v>86.185079999999999</v>
      </c>
      <c r="AQ678" s="3">
        <v>86.102019999999996</v>
      </c>
      <c r="AT678" s="3">
        <v>80.128810000000001</v>
      </c>
      <c r="AU678" s="3">
        <v>87.391459999999995</v>
      </c>
      <c r="AV678" s="3">
        <v>91.987020000000001</v>
      </c>
      <c r="AW678" s="3">
        <v>47.509459999999997</v>
      </c>
      <c r="AX678" s="3">
        <v>82.932050000000004</v>
      </c>
      <c r="AY678" s="3">
        <v>60.251570000000001</v>
      </c>
    </row>
    <row r="679" spans="1:51" x14ac:dyDescent="0.2">
      <c r="A679" s="74" t="s">
        <v>576</v>
      </c>
      <c r="B679" s="49">
        <v>38473</v>
      </c>
      <c r="D679" s="3">
        <v>85.183359999999993</v>
      </c>
      <c r="F679" s="3">
        <v>86.012889999999999</v>
      </c>
      <c r="G679" s="3">
        <v>97.968289999999996</v>
      </c>
      <c r="H679" s="3">
        <v>77.807259999999999</v>
      </c>
      <c r="J679" s="3">
        <v>70.75018</v>
      </c>
      <c r="K679" s="3">
        <v>52.955010000000001</v>
      </c>
      <c r="L679" s="3">
        <v>88.8</v>
      </c>
      <c r="M679" s="3">
        <v>87.718459999999993</v>
      </c>
      <c r="N679" s="3">
        <v>85.455160000000006</v>
      </c>
      <c r="O679" s="3">
        <v>87.72</v>
      </c>
      <c r="P679" s="3">
        <v>88.405209999999997</v>
      </c>
      <c r="Q679" s="3">
        <v>77.074060000000003</v>
      </c>
      <c r="S679" s="3">
        <v>85.977199999999996</v>
      </c>
      <c r="T679" s="3">
        <v>89.275459999999995</v>
      </c>
      <c r="V679" s="3">
        <v>86.043220000000005</v>
      </c>
      <c r="W679" s="3">
        <v>82.9</v>
      </c>
      <c r="X679" s="3">
        <v>89.753579999999999</v>
      </c>
      <c r="Y679" s="3">
        <v>72.636650000000003</v>
      </c>
      <c r="AB679" s="3">
        <v>88.338840000000005</v>
      </c>
      <c r="AC679" s="3">
        <v>57.757730000000002</v>
      </c>
      <c r="AD679" s="3">
        <v>83.716250000000002</v>
      </c>
      <c r="AE679" s="3">
        <v>85.738309999999998</v>
      </c>
      <c r="AF679" s="3">
        <v>100.4965</v>
      </c>
      <c r="AH679" s="3">
        <v>79.499499999999998</v>
      </c>
      <c r="AI679" s="3">
        <v>82.658959999999993</v>
      </c>
      <c r="AJ679" s="3">
        <v>74.179349999999999</v>
      </c>
      <c r="AK679" s="3">
        <v>71.237189999999998</v>
      </c>
      <c r="AL679" s="3">
        <v>85.310019999999994</v>
      </c>
      <c r="AM679" s="3">
        <v>82.895470000000003</v>
      </c>
      <c r="AN679" s="3">
        <v>83.606080000000006</v>
      </c>
      <c r="AO679" s="3">
        <v>83.04683</v>
      </c>
      <c r="AP679" s="3">
        <v>86.166250000000005</v>
      </c>
      <c r="AQ679" s="3">
        <v>86.585340000000002</v>
      </c>
      <c r="AT679" s="3">
        <v>80.070589999999996</v>
      </c>
      <c r="AU679" s="3">
        <v>87.771460000000005</v>
      </c>
      <c r="AV679" s="3">
        <v>92.020529999999994</v>
      </c>
      <c r="AW679" s="3">
        <v>48.538899999999998</v>
      </c>
      <c r="AX679" s="3">
        <v>82.890780000000007</v>
      </c>
      <c r="AY679" s="3">
        <v>60.001190000000001</v>
      </c>
    </row>
    <row r="680" spans="1:51" x14ac:dyDescent="0.2">
      <c r="A680" s="74" t="s">
        <v>577</v>
      </c>
      <c r="B680" s="49">
        <v>38504</v>
      </c>
      <c r="D680" s="3">
        <v>85.3904</v>
      </c>
      <c r="F680" s="3">
        <v>86.047839999999994</v>
      </c>
      <c r="G680" s="3">
        <v>97.695939999999993</v>
      </c>
      <c r="H680" s="3">
        <v>77.940989999999999</v>
      </c>
      <c r="J680" s="3">
        <v>70.936819999999997</v>
      </c>
      <c r="K680" s="3">
        <v>53.220280000000002</v>
      </c>
      <c r="L680" s="3">
        <v>89.5</v>
      </c>
      <c r="M680" s="3">
        <v>87.684399999999997</v>
      </c>
      <c r="N680" s="3">
        <v>85.357439999999997</v>
      </c>
      <c r="O680" s="3">
        <v>87.7</v>
      </c>
      <c r="P680" s="3">
        <v>88.533289999999994</v>
      </c>
      <c r="Q680" s="3">
        <v>77.301090000000002</v>
      </c>
      <c r="S680" s="3">
        <v>85.994380000000007</v>
      </c>
      <c r="T680" s="3">
        <v>89.308610000000002</v>
      </c>
      <c r="V680" s="3">
        <v>85.994060000000005</v>
      </c>
      <c r="W680" s="3">
        <v>83</v>
      </c>
      <c r="X680" s="3">
        <v>89.784700000000001</v>
      </c>
      <c r="Y680" s="3">
        <v>72.665400000000005</v>
      </c>
      <c r="AB680" s="3">
        <v>88.700199999999995</v>
      </c>
      <c r="AC680" s="3">
        <v>58.089199999999998</v>
      </c>
      <c r="AD680" s="3">
        <v>84.319980000000001</v>
      </c>
      <c r="AE680" s="3">
        <v>85.749340000000004</v>
      </c>
      <c r="AF680" s="3">
        <v>100.3887</v>
      </c>
      <c r="AH680" s="3">
        <v>79.648700000000005</v>
      </c>
      <c r="AI680" s="3">
        <v>82.78295</v>
      </c>
      <c r="AJ680" s="3">
        <v>74.281040000000004</v>
      </c>
      <c r="AK680" s="3">
        <v>71.395769999999999</v>
      </c>
      <c r="AL680" s="3">
        <v>84.829160000000002</v>
      </c>
      <c r="AM680" s="3">
        <v>82.724590000000006</v>
      </c>
      <c r="AN680" s="3">
        <v>83.604399999999998</v>
      </c>
      <c r="AO680" s="3">
        <v>83.11797</v>
      </c>
      <c r="AP680" s="3">
        <v>86.363560000000007</v>
      </c>
      <c r="AQ680" s="3">
        <v>86.679550000000006</v>
      </c>
      <c r="AT680" s="3">
        <v>80.155879999999996</v>
      </c>
      <c r="AU680" s="3">
        <v>88.001459999999994</v>
      </c>
      <c r="AV680" s="3">
        <v>91.913300000000007</v>
      </c>
      <c r="AW680" s="3">
        <v>48.967840000000002</v>
      </c>
      <c r="AX680" s="3">
        <v>82.808210000000003</v>
      </c>
      <c r="AY680" s="3">
        <v>59.960250000000002</v>
      </c>
    </row>
    <row r="681" spans="1:51" x14ac:dyDescent="0.2">
      <c r="A681" s="74" t="s">
        <v>578</v>
      </c>
      <c r="B681" s="49">
        <v>38534</v>
      </c>
      <c r="D681" s="3">
        <v>85.820279999999997</v>
      </c>
      <c r="F681" s="3">
        <v>85.945909999999998</v>
      </c>
      <c r="G681" s="3">
        <v>96.769440000000003</v>
      </c>
      <c r="H681" s="3">
        <v>78.092560000000006</v>
      </c>
      <c r="J681" s="3">
        <v>71.053470000000004</v>
      </c>
      <c r="K681" s="3">
        <v>53.765880000000003</v>
      </c>
      <c r="L681" s="3">
        <v>90.1</v>
      </c>
      <c r="M681" s="3">
        <v>88.036950000000004</v>
      </c>
      <c r="N681" s="3">
        <v>84.977429999999998</v>
      </c>
      <c r="O681" s="3">
        <v>87.38</v>
      </c>
      <c r="P681" s="3">
        <v>87.332239999999999</v>
      </c>
      <c r="Q681" s="3">
        <v>77.244330000000005</v>
      </c>
      <c r="S681" s="3">
        <v>85.333079999999995</v>
      </c>
      <c r="T681" s="3">
        <v>89.059100000000001</v>
      </c>
      <c r="V681" s="3">
        <v>86.063159999999996</v>
      </c>
      <c r="W681" s="3">
        <v>83.1</v>
      </c>
      <c r="X681" s="3">
        <v>88.8309</v>
      </c>
      <c r="Y681" s="3">
        <v>72.739850000000004</v>
      </c>
      <c r="AB681" s="3">
        <v>88.342519999999993</v>
      </c>
      <c r="AC681" s="3">
        <v>57.923470000000002</v>
      </c>
      <c r="AD681" s="3">
        <v>85.124939999999995</v>
      </c>
      <c r="AE681" s="3">
        <v>86.081699999999998</v>
      </c>
      <c r="AF681" s="3">
        <v>100.2161</v>
      </c>
      <c r="AH681" s="3">
        <v>79.4131</v>
      </c>
      <c r="AI681" s="3">
        <v>81.716639999999998</v>
      </c>
      <c r="AJ681" s="3">
        <v>74.260469999999998</v>
      </c>
      <c r="AK681" s="3">
        <v>71.565740000000005</v>
      </c>
      <c r="AL681" s="3">
        <v>84.602419999999995</v>
      </c>
      <c r="AM681" s="3">
        <v>82.494900000000001</v>
      </c>
      <c r="AN681" s="3">
        <v>83.6113</v>
      </c>
      <c r="AO681" s="3">
        <v>83.025509999999997</v>
      </c>
      <c r="AP681" s="3">
        <v>86.483670000000004</v>
      </c>
      <c r="AQ681" s="3">
        <v>86.686580000000006</v>
      </c>
      <c r="AT681" s="3">
        <v>80.103759999999994</v>
      </c>
      <c r="AU681" s="3">
        <v>88.491479999999996</v>
      </c>
      <c r="AV681" s="3">
        <v>91.182760000000002</v>
      </c>
      <c r="AW681" s="3">
        <v>48.645110000000003</v>
      </c>
      <c r="AX681" s="3">
        <v>82.890780000000007</v>
      </c>
      <c r="AY681" s="3">
        <v>60.284959999999998</v>
      </c>
    </row>
    <row r="682" spans="1:51" x14ac:dyDescent="0.2">
      <c r="A682" s="74" t="s">
        <v>579</v>
      </c>
      <c r="B682" s="49">
        <v>38565</v>
      </c>
      <c r="D682" s="3">
        <v>85.836870000000005</v>
      </c>
      <c r="F682" s="3">
        <v>86.060969999999998</v>
      </c>
      <c r="G682" s="3">
        <v>96.858310000000003</v>
      </c>
      <c r="H682" s="3">
        <v>78.146050000000002</v>
      </c>
      <c r="J682" s="3">
        <v>71.181790000000007</v>
      </c>
      <c r="K682" s="3">
        <v>54.156750000000002</v>
      </c>
      <c r="L682" s="3">
        <v>90.2</v>
      </c>
      <c r="M682" s="3">
        <v>88.130679999999998</v>
      </c>
      <c r="N682" s="3">
        <v>84.887659999999997</v>
      </c>
      <c r="O682" s="3">
        <v>87.55</v>
      </c>
      <c r="P682" s="3">
        <v>87.553089999999997</v>
      </c>
      <c r="Q682" s="3">
        <v>77.528109999999998</v>
      </c>
      <c r="S682" s="3">
        <v>85.762500000000003</v>
      </c>
      <c r="T682" s="3">
        <v>89.526750000000007</v>
      </c>
      <c r="V682" s="3">
        <v>86.186109999999999</v>
      </c>
      <c r="W682" s="3">
        <v>83.3</v>
      </c>
      <c r="X682" s="3">
        <v>87.860389999999995</v>
      </c>
      <c r="Y682" s="3">
        <v>72.578639999999993</v>
      </c>
      <c r="AB682" s="3">
        <v>88.783420000000007</v>
      </c>
      <c r="AC682" s="3">
        <v>57.88203</v>
      </c>
      <c r="AD682" s="3">
        <v>85.124939999999995</v>
      </c>
      <c r="AE682" s="3">
        <v>86.240949999999998</v>
      </c>
      <c r="AF682" s="3">
        <v>100.29949999999999</v>
      </c>
      <c r="AH682" s="3">
        <v>79.500200000000007</v>
      </c>
      <c r="AI682" s="3">
        <v>82.989590000000007</v>
      </c>
      <c r="AJ682" s="3">
        <v>74.348489999999998</v>
      </c>
      <c r="AK682" s="3">
        <v>71.668959999999998</v>
      </c>
      <c r="AL682" s="3">
        <v>84.910839999999993</v>
      </c>
      <c r="AM682" s="3">
        <v>82.57817</v>
      </c>
      <c r="AN682" s="3">
        <v>83.739869999999996</v>
      </c>
      <c r="AO682" s="3">
        <v>83.22484</v>
      </c>
      <c r="AP682" s="3">
        <v>86.437740000000005</v>
      </c>
      <c r="AQ682" s="3">
        <v>86.590689999999995</v>
      </c>
      <c r="AT682" s="3">
        <v>80.120249999999999</v>
      </c>
      <c r="AU682" s="3">
        <v>87.571460000000002</v>
      </c>
      <c r="AV682" s="3">
        <v>91.296700000000001</v>
      </c>
      <c r="AW682" s="3">
        <v>49.298729999999999</v>
      </c>
      <c r="AX682" s="3">
        <v>82.973339999999993</v>
      </c>
      <c r="AY682" s="3">
        <v>60.294119999999999</v>
      </c>
    </row>
    <row r="683" spans="1:51" x14ac:dyDescent="0.2">
      <c r="A683" s="74" t="s">
        <v>580</v>
      </c>
      <c r="B683" s="49">
        <v>38596</v>
      </c>
      <c r="D683" s="3">
        <v>85.872619999999998</v>
      </c>
      <c r="F683" s="3">
        <v>86.320819999999998</v>
      </c>
      <c r="G683" s="3">
        <v>96.912670000000006</v>
      </c>
      <c r="H683" s="3">
        <v>78.440269999999998</v>
      </c>
      <c r="J683" s="3">
        <v>71.40343</v>
      </c>
      <c r="K683" s="3">
        <v>54.625990000000002</v>
      </c>
      <c r="L683" s="3">
        <v>89.3</v>
      </c>
      <c r="M683" s="3">
        <v>88.003309999999999</v>
      </c>
      <c r="N683" s="3">
        <v>85.437089999999998</v>
      </c>
      <c r="O683" s="3">
        <v>87.78</v>
      </c>
      <c r="P683" s="3">
        <v>87.861670000000004</v>
      </c>
      <c r="Q683" s="3">
        <v>77.811880000000002</v>
      </c>
      <c r="S683" s="3">
        <v>86.011560000000003</v>
      </c>
      <c r="T683" s="3">
        <v>89.668570000000003</v>
      </c>
      <c r="V683" s="3">
        <v>86.273570000000007</v>
      </c>
      <c r="W683" s="3">
        <v>83.3</v>
      </c>
      <c r="X683" s="3">
        <v>90.083029999999994</v>
      </c>
      <c r="Y683" s="3">
        <v>72.618489999999994</v>
      </c>
      <c r="AB683" s="3">
        <v>89.374200000000002</v>
      </c>
      <c r="AC683" s="3">
        <v>58.627830000000003</v>
      </c>
      <c r="AD683" s="3">
        <v>84.621830000000003</v>
      </c>
      <c r="AE683" s="3">
        <v>86.123149999999995</v>
      </c>
      <c r="AF683" s="3">
        <v>100.4662</v>
      </c>
      <c r="AH683" s="3">
        <v>80.141300000000001</v>
      </c>
      <c r="AI683" s="3">
        <v>83.07226</v>
      </c>
      <c r="AJ683" s="3">
        <v>75.730969999999999</v>
      </c>
      <c r="AK683" s="3">
        <v>71.995990000000006</v>
      </c>
      <c r="AL683" s="3">
        <v>85.838589999999996</v>
      </c>
      <c r="AM683" s="3">
        <v>83.113720000000001</v>
      </c>
      <c r="AN683" s="3">
        <v>83.88194</v>
      </c>
      <c r="AO683" s="3">
        <v>83.370930000000001</v>
      </c>
      <c r="AP683" s="3">
        <v>86.580119999999994</v>
      </c>
      <c r="AQ683" s="3">
        <v>86.732479999999995</v>
      </c>
      <c r="AT683" s="3">
        <v>80.108149999999995</v>
      </c>
      <c r="AU683" s="3">
        <v>88.011470000000003</v>
      </c>
      <c r="AV683" s="3">
        <v>92.134469999999993</v>
      </c>
      <c r="AW683" s="3">
        <v>49.576520000000002</v>
      </c>
      <c r="AX683" s="3">
        <v>83.097179999999994</v>
      </c>
      <c r="AY683" s="3">
        <v>60.235280000000003</v>
      </c>
    </row>
    <row r="684" spans="1:51" x14ac:dyDescent="0.2">
      <c r="A684" s="74" t="s">
        <v>581</v>
      </c>
      <c r="B684" s="49">
        <v>38626</v>
      </c>
      <c r="D684" s="3">
        <v>85.961129999999997</v>
      </c>
      <c r="F684" s="3">
        <v>86.310090000000002</v>
      </c>
      <c r="G684" s="3">
        <v>97.773300000000006</v>
      </c>
      <c r="H684" s="3">
        <v>78.565089999999998</v>
      </c>
      <c r="J684" s="3">
        <v>71.48509</v>
      </c>
      <c r="K684" s="3">
        <v>55.152509999999999</v>
      </c>
      <c r="L684" s="3">
        <v>89.6</v>
      </c>
      <c r="M684" s="3">
        <v>88.125990000000002</v>
      </c>
      <c r="N684" s="3">
        <v>85.531760000000006</v>
      </c>
      <c r="O684" s="3">
        <v>88.04</v>
      </c>
      <c r="P684" s="3">
        <v>89.016329999999996</v>
      </c>
      <c r="Q684" s="3">
        <v>78.038899999999998</v>
      </c>
      <c r="S684" s="3">
        <v>86.011560000000003</v>
      </c>
      <c r="T684" s="3">
        <v>89.597740000000002</v>
      </c>
      <c r="V684" s="3">
        <v>86.52731</v>
      </c>
      <c r="W684" s="3">
        <v>83.4</v>
      </c>
      <c r="X684" s="3">
        <v>90.549019999999999</v>
      </c>
      <c r="Y684" s="3">
        <v>72.840959999999995</v>
      </c>
      <c r="AB684" s="3">
        <v>89.337059999999994</v>
      </c>
      <c r="AC684" s="3">
        <v>59.000720000000001</v>
      </c>
      <c r="AD684" s="3">
        <v>85.02431</v>
      </c>
      <c r="AE684" s="3">
        <v>86.229069999999993</v>
      </c>
      <c r="AF684" s="3">
        <v>100.4682</v>
      </c>
      <c r="AH684" s="3">
        <v>80.568299999999994</v>
      </c>
      <c r="AI684" s="3">
        <v>83.278899999999993</v>
      </c>
      <c r="AJ684" s="3">
        <v>76.077089999999998</v>
      </c>
      <c r="AK684" s="3">
        <v>72.157899999999998</v>
      </c>
      <c r="AL684" s="3">
        <v>85.83681</v>
      </c>
      <c r="AM684" s="3">
        <v>83.364310000000003</v>
      </c>
      <c r="AN684" s="3">
        <v>84.168530000000004</v>
      </c>
      <c r="AO684" s="3">
        <v>83.642179999999996</v>
      </c>
      <c r="AP684" s="3">
        <v>86.715969999999999</v>
      </c>
      <c r="AQ684" s="3">
        <v>87.315799999999996</v>
      </c>
      <c r="AT684" s="3">
        <v>80.367570000000001</v>
      </c>
      <c r="AU684" s="3">
        <v>88.391469999999998</v>
      </c>
      <c r="AV684" s="3">
        <v>92.409260000000003</v>
      </c>
      <c r="AW684" s="3">
        <v>50.393529999999998</v>
      </c>
      <c r="AX684" s="3">
        <v>83.509979999999999</v>
      </c>
      <c r="AY684" s="3">
        <v>60.261389999999999</v>
      </c>
    </row>
    <row r="685" spans="1:51" x14ac:dyDescent="0.2">
      <c r="A685" s="74" t="s">
        <v>582</v>
      </c>
      <c r="B685" s="49">
        <v>38657</v>
      </c>
      <c r="D685" s="3">
        <v>86.0548</v>
      </c>
      <c r="F685" s="3">
        <v>86.712180000000004</v>
      </c>
      <c r="G685" s="3">
        <v>97.868709999999993</v>
      </c>
      <c r="H685" s="3">
        <v>78.698819999999998</v>
      </c>
      <c r="J685" s="3">
        <v>71.625079999999997</v>
      </c>
      <c r="K685" s="3">
        <v>55.996540000000003</v>
      </c>
      <c r="L685" s="3">
        <v>89.5</v>
      </c>
      <c r="M685" s="3">
        <v>88.038510000000002</v>
      </c>
      <c r="N685" s="3">
        <v>85.448620000000005</v>
      </c>
      <c r="O685" s="3">
        <v>88.07</v>
      </c>
      <c r="P685" s="3">
        <v>89.447940000000003</v>
      </c>
      <c r="Q685" s="3">
        <v>78.095659999999995</v>
      </c>
      <c r="S685" s="3">
        <v>86.097440000000006</v>
      </c>
      <c r="T685" s="3">
        <v>89.552120000000002</v>
      </c>
      <c r="V685" s="3">
        <v>86.517949999999999</v>
      </c>
      <c r="W685" s="3">
        <v>83.5</v>
      </c>
      <c r="X685" s="3">
        <v>90.704089999999994</v>
      </c>
      <c r="Y685" s="3">
        <v>73.004390000000001</v>
      </c>
      <c r="AB685" s="3">
        <v>89.488820000000004</v>
      </c>
      <c r="AC685" s="3">
        <v>59.083590000000001</v>
      </c>
      <c r="AD685" s="3">
        <v>85.225560000000002</v>
      </c>
      <c r="AE685" s="3">
        <v>86.439800000000005</v>
      </c>
      <c r="AF685" s="3">
        <v>100.1399</v>
      </c>
      <c r="AH685" s="3">
        <v>80.701800000000006</v>
      </c>
      <c r="AI685" s="3">
        <v>83.369829999999993</v>
      </c>
      <c r="AJ685" s="3">
        <v>76.094440000000006</v>
      </c>
      <c r="AK685" s="3">
        <v>72.437010000000001</v>
      </c>
      <c r="AL685" s="3">
        <v>85.710949999999997</v>
      </c>
      <c r="AM685" s="3">
        <v>83.410899999999998</v>
      </c>
      <c r="AN685" s="3">
        <v>84.211299999999994</v>
      </c>
      <c r="AO685" s="3">
        <v>83.746409999999997</v>
      </c>
      <c r="AP685" s="3">
        <v>86.644559999999998</v>
      </c>
      <c r="AQ685" s="3">
        <v>87.883589999999998</v>
      </c>
      <c r="AT685" s="3">
        <v>80.450689999999994</v>
      </c>
      <c r="AU685" s="3">
        <v>88.441469999999995</v>
      </c>
      <c r="AV685" s="3">
        <v>92.382450000000006</v>
      </c>
      <c r="AW685" s="3">
        <v>50.802039999999998</v>
      </c>
      <c r="AX685" s="3">
        <v>83.509979999999999</v>
      </c>
      <c r="AY685" s="3">
        <v>60.285629999999998</v>
      </c>
    </row>
    <row r="686" spans="1:51" x14ac:dyDescent="0.2">
      <c r="A686" s="74" t="s">
        <v>583</v>
      </c>
      <c r="B686" s="49">
        <v>38687</v>
      </c>
      <c r="D686" s="3">
        <v>86.087389999999999</v>
      </c>
      <c r="F686" s="3">
        <v>86.690839999999994</v>
      </c>
      <c r="G686" s="3">
        <v>97.883579999999995</v>
      </c>
      <c r="H686" s="3">
        <v>78.832560000000001</v>
      </c>
      <c r="J686" s="3">
        <v>71.800060000000002</v>
      </c>
      <c r="K686" s="3">
        <v>56.488889999999998</v>
      </c>
      <c r="L686" s="3">
        <v>89.5</v>
      </c>
      <c r="M686" s="3">
        <v>88.751459999999994</v>
      </c>
      <c r="N686" s="3">
        <v>85.557040000000001</v>
      </c>
      <c r="O686" s="3">
        <v>88.46</v>
      </c>
      <c r="P686" s="3">
        <v>89.598190000000002</v>
      </c>
      <c r="Q686" s="3">
        <v>78.152420000000006</v>
      </c>
      <c r="S686" s="3">
        <v>86.063090000000003</v>
      </c>
      <c r="T686" s="3">
        <v>89.743449999999996</v>
      </c>
      <c r="V686" s="3">
        <v>86.577950000000001</v>
      </c>
      <c r="W686" s="3">
        <v>83.8</v>
      </c>
      <c r="X686" s="3">
        <v>91.070160000000001</v>
      </c>
      <c r="Y686" s="3">
        <v>72.96678</v>
      </c>
      <c r="AB686" s="3">
        <v>89.538640000000001</v>
      </c>
      <c r="AC686" s="3">
        <v>59.373620000000003</v>
      </c>
      <c r="AD686" s="3">
        <v>85.4268</v>
      </c>
      <c r="AE686" s="3">
        <v>86.444069999999996</v>
      </c>
      <c r="AF686" s="3">
        <v>100.2175</v>
      </c>
      <c r="AH686" s="3">
        <v>80.477199999999996</v>
      </c>
      <c r="AI686" s="3">
        <v>83.427689999999998</v>
      </c>
      <c r="AJ686" s="3">
        <v>75.941119999999998</v>
      </c>
      <c r="AK686" s="3">
        <v>72.677310000000006</v>
      </c>
      <c r="AL686" s="3">
        <v>85.116669999999999</v>
      </c>
      <c r="AM686" s="3">
        <v>83.306240000000003</v>
      </c>
      <c r="AN686" s="3">
        <v>84.288669999999996</v>
      </c>
      <c r="AO686" s="3">
        <v>83.97766</v>
      </c>
      <c r="AP686" s="3">
        <v>86.654830000000004</v>
      </c>
      <c r="AQ686" s="3">
        <v>87.879679999999993</v>
      </c>
      <c r="AT686" s="3">
        <v>80.612449999999995</v>
      </c>
      <c r="AU686" s="3">
        <v>88.221469999999997</v>
      </c>
      <c r="AV686" s="3">
        <v>92.352289999999996</v>
      </c>
      <c r="AW686" s="3">
        <v>51.226889999999997</v>
      </c>
      <c r="AX686" s="3">
        <v>83.427419999999998</v>
      </c>
      <c r="AY686" s="3">
        <v>60.337719999999997</v>
      </c>
    </row>
    <row r="687" spans="1:51" x14ac:dyDescent="0.2">
      <c r="A687" s="3" t="s">
        <v>584</v>
      </c>
      <c r="B687" s="49">
        <v>38718</v>
      </c>
      <c r="D687" s="3">
        <v>85.399330000000006</v>
      </c>
      <c r="F687" s="3">
        <v>86.253720000000001</v>
      </c>
      <c r="G687" s="3">
        <v>97.570920000000001</v>
      </c>
      <c r="H687" s="3">
        <v>78.850399999999993</v>
      </c>
      <c r="J687" s="3">
        <v>72.115020000000001</v>
      </c>
      <c r="K687" s="3">
        <v>57.178179999999998</v>
      </c>
      <c r="L687" s="3">
        <v>89.8</v>
      </c>
      <c r="M687" s="3">
        <v>88.264179999999996</v>
      </c>
      <c r="N687" s="3">
        <v>85.036429999999996</v>
      </c>
      <c r="O687" s="3">
        <v>87.51</v>
      </c>
      <c r="P687" s="3">
        <v>88.391099999999994</v>
      </c>
      <c r="Q687" s="3">
        <v>78.549710000000005</v>
      </c>
      <c r="S687" s="3">
        <v>85.539209999999997</v>
      </c>
      <c r="T687" s="3">
        <v>89.435000000000002</v>
      </c>
      <c r="V687" s="3">
        <v>86.532939999999996</v>
      </c>
      <c r="W687" s="3">
        <v>83.4</v>
      </c>
      <c r="X687" s="3">
        <v>90.530429999999996</v>
      </c>
      <c r="Y687" s="3">
        <v>72.821290000000005</v>
      </c>
      <c r="AB687" s="3">
        <v>89.09478</v>
      </c>
      <c r="AC687" s="3">
        <v>59.373620000000003</v>
      </c>
      <c r="AD687" s="3">
        <v>85.124939999999995</v>
      </c>
      <c r="AE687" s="3">
        <v>86.558160000000001</v>
      </c>
      <c r="AF687" s="3">
        <v>99.669200000000004</v>
      </c>
      <c r="AH687" s="3">
        <v>80.153199999999998</v>
      </c>
      <c r="AI687" s="3">
        <v>82.584559999999996</v>
      </c>
      <c r="AJ687" s="3">
        <v>76.218100000000007</v>
      </c>
      <c r="AK687" s="3">
        <v>72.876239999999996</v>
      </c>
      <c r="AL687" s="3">
        <v>84.19802</v>
      </c>
      <c r="AM687" s="3">
        <v>82.821820000000002</v>
      </c>
      <c r="AN687" s="3">
        <v>84.215580000000003</v>
      </c>
      <c r="AO687" s="3">
        <v>83.628050000000002</v>
      </c>
      <c r="AP687" s="3">
        <v>86.676810000000003</v>
      </c>
      <c r="AQ687" s="3">
        <v>87.364930000000001</v>
      </c>
      <c r="AT687" s="3">
        <v>82.03886</v>
      </c>
      <c r="AU687" s="3">
        <v>86.931449999999998</v>
      </c>
      <c r="AV687" s="3">
        <v>91.266540000000006</v>
      </c>
      <c r="AW687" s="3">
        <v>51.431139999999999</v>
      </c>
      <c r="AX687" s="3">
        <v>83.63382</v>
      </c>
      <c r="AY687" s="3">
        <v>60.551160000000003</v>
      </c>
    </row>
    <row r="688" spans="1:51" x14ac:dyDescent="0.2">
      <c r="A688" s="74" t="s">
        <v>585</v>
      </c>
      <c r="B688" s="49">
        <v>38749</v>
      </c>
      <c r="D688" s="3">
        <v>85.778109999999998</v>
      </c>
      <c r="F688" s="3">
        <v>86.624979999999994</v>
      </c>
      <c r="G688" s="3">
        <v>97.76052</v>
      </c>
      <c r="H688" s="3">
        <v>79.001959999999997</v>
      </c>
      <c r="J688" s="3">
        <v>72.616630000000001</v>
      </c>
      <c r="K688" s="3">
        <v>57.780059999999999</v>
      </c>
      <c r="L688" s="3">
        <v>89.8</v>
      </c>
      <c r="M688" s="3">
        <v>88.649019999999993</v>
      </c>
      <c r="N688" s="3">
        <v>85.994320000000002</v>
      </c>
      <c r="O688" s="3">
        <v>87.73</v>
      </c>
      <c r="P688" s="3">
        <v>88.572620000000001</v>
      </c>
      <c r="Q688" s="3">
        <v>78.663219999999995</v>
      </c>
      <c r="S688" s="3">
        <v>86.080269999999999</v>
      </c>
      <c r="T688" s="3">
        <v>89.756879999999995</v>
      </c>
      <c r="V688" s="3">
        <v>86.84451</v>
      </c>
      <c r="W688" s="3">
        <v>83.6</v>
      </c>
      <c r="X688" s="3">
        <v>88.692049999999995</v>
      </c>
      <c r="Y688" s="3">
        <v>72.869110000000006</v>
      </c>
      <c r="AB688" s="3">
        <v>90.09496</v>
      </c>
      <c r="AC688" s="3">
        <v>59.207889999999999</v>
      </c>
      <c r="AD688" s="3">
        <v>85.225560000000002</v>
      </c>
      <c r="AE688" s="3">
        <v>86.721789999999999</v>
      </c>
      <c r="AF688" s="3">
        <v>99.532430000000005</v>
      </c>
      <c r="AH688" s="3">
        <v>80.053899999999999</v>
      </c>
      <c r="AI688" s="3">
        <v>84.155090000000001</v>
      </c>
      <c r="AJ688" s="3">
        <v>76.115859999999998</v>
      </c>
      <c r="AK688" s="3">
        <v>73.055790000000002</v>
      </c>
      <c r="AL688" s="3">
        <v>84.642240000000001</v>
      </c>
      <c r="AM688" s="3">
        <v>83.212090000000003</v>
      </c>
      <c r="AN688" s="3">
        <v>84.465779999999995</v>
      </c>
      <c r="AO688" s="3">
        <v>83.791359999999997</v>
      </c>
      <c r="AP688" s="3">
        <v>86.589870000000005</v>
      </c>
      <c r="AQ688" s="3">
        <v>87.499229999999997</v>
      </c>
      <c r="AT688" s="3">
        <v>82.539569999999998</v>
      </c>
      <c r="AU688" s="3">
        <v>87.171459999999996</v>
      </c>
      <c r="AV688" s="3">
        <v>91.779250000000005</v>
      </c>
      <c r="AW688" s="3">
        <v>51.01446</v>
      </c>
      <c r="AX688" s="3">
        <v>84.046620000000004</v>
      </c>
      <c r="AY688" s="3">
        <v>60.567320000000002</v>
      </c>
    </row>
    <row r="689" spans="1:51" x14ac:dyDescent="0.2">
      <c r="A689" s="74" t="s">
        <v>586</v>
      </c>
      <c r="B689" s="49">
        <v>38777</v>
      </c>
      <c r="D689" s="3">
        <v>85.583860000000001</v>
      </c>
      <c r="F689" s="3">
        <v>86.991519999999994</v>
      </c>
      <c r="G689" s="3">
        <v>97.779849999999996</v>
      </c>
      <c r="H689" s="3">
        <v>79.581479999999999</v>
      </c>
      <c r="J689" s="3">
        <v>72.943259999999995</v>
      </c>
      <c r="K689" s="3">
        <v>58.26538</v>
      </c>
      <c r="L689" s="3">
        <v>89.7</v>
      </c>
      <c r="M689" s="3">
        <v>88.659099999999995</v>
      </c>
      <c r="N689" s="3">
        <v>86.286969999999997</v>
      </c>
      <c r="O689" s="3">
        <v>88.35</v>
      </c>
      <c r="P689" s="3">
        <v>89.229100000000003</v>
      </c>
      <c r="Q689" s="3">
        <v>78.776730000000001</v>
      </c>
      <c r="S689" s="3">
        <v>86.501090000000005</v>
      </c>
      <c r="T689" s="3">
        <v>90.017449999999997</v>
      </c>
      <c r="V689" s="3">
        <v>87.246049999999997</v>
      </c>
      <c r="W689" s="3">
        <v>83.8</v>
      </c>
      <c r="X689" s="3">
        <v>91.219480000000004</v>
      </c>
      <c r="Y689" s="3">
        <v>73.135739999999998</v>
      </c>
      <c r="AB689" s="3">
        <v>90.519559999999998</v>
      </c>
      <c r="AC689" s="3">
        <v>60.036549999999998</v>
      </c>
      <c r="AD689" s="3">
        <v>85.527420000000006</v>
      </c>
      <c r="AE689" s="3">
        <v>86.907939999999996</v>
      </c>
      <c r="AF689" s="3">
        <v>99.895790000000005</v>
      </c>
      <c r="AH689" s="3">
        <v>80.218900000000005</v>
      </c>
      <c r="AI689" s="3">
        <v>84.312139999999999</v>
      </c>
      <c r="AJ689" s="3">
        <v>76.561319999999995</v>
      </c>
      <c r="AK689" s="3">
        <v>73.318560000000005</v>
      </c>
      <c r="AL689" s="3">
        <v>85.357510000000005</v>
      </c>
      <c r="AM689" s="3">
        <v>83.377260000000007</v>
      </c>
      <c r="AN689" s="3">
        <v>84.856809999999996</v>
      </c>
      <c r="AO689" s="3">
        <v>84.055130000000005</v>
      </c>
      <c r="AP689" s="3">
        <v>86.589870000000005</v>
      </c>
      <c r="AQ689" s="3">
        <v>88.994640000000004</v>
      </c>
      <c r="AT689" s="3">
        <v>82.510639999999995</v>
      </c>
      <c r="AU689" s="3">
        <v>88.341470000000001</v>
      </c>
      <c r="AV689" s="3">
        <v>92.372389999999996</v>
      </c>
      <c r="AW689" s="3">
        <v>50.875570000000003</v>
      </c>
      <c r="AX689" s="3">
        <v>84.583269999999999</v>
      </c>
      <c r="AY689" s="3">
        <v>60.78199</v>
      </c>
    </row>
    <row r="690" spans="1:51" x14ac:dyDescent="0.2">
      <c r="A690" s="74" t="s">
        <v>587</v>
      </c>
      <c r="B690" s="49">
        <v>38808</v>
      </c>
      <c r="D690" s="3">
        <v>85.729550000000003</v>
      </c>
      <c r="F690" s="3">
        <v>86.801389999999998</v>
      </c>
      <c r="G690" s="3">
        <v>98.522769999999994</v>
      </c>
      <c r="H690" s="3">
        <v>79.902439999999999</v>
      </c>
      <c r="J690" s="3">
        <v>73.094909999999999</v>
      </c>
      <c r="K690" s="3">
        <v>58.57687</v>
      </c>
      <c r="L690" s="3">
        <v>89.6</v>
      </c>
      <c r="M690" s="3">
        <v>88.662369999999996</v>
      </c>
      <c r="N690" s="3">
        <v>86.461820000000003</v>
      </c>
      <c r="O690" s="3">
        <v>88.79</v>
      </c>
      <c r="P690" s="3">
        <v>90.688310000000001</v>
      </c>
      <c r="Q690" s="3">
        <v>79.117260000000002</v>
      </c>
      <c r="S690" s="3">
        <v>86.732969999999995</v>
      </c>
      <c r="T690" s="3">
        <v>90.240660000000005</v>
      </c>
      <c r="V690" s="3">
        <v>87.451260000000005</v>
      </c>
      <c r="W690" s="3">
        <v>84.1</v>
      </c>
      <c r="X690" s="3">
        <v>91.411060000000006</v>
      </c>
      <c r="Y690" s="3">
        <v>73.459479999999999</v>
      </c>
      <c r="AB690" s="3">
        <v>91.320400000000006</v>
      </c>
      <c r="AC690" s="3">
        <v>60.575180000000003</v>
      </c>
      <c r="AD690" s="3">
        <v>85.929900000000004</v>
      </c>
      <c r="AE690" s="3">
        <v>87.082790000000003</v>
      </c>
      <c r="AF690" s="3">
        <v>100.1172</v>
      </c>
      <c r="AH690" s="3">
        <v>80.481999999999999</v>
      </c>
      <c r="AI690" s="3">
        <v>84.37</v>
      </c>
      <c r="AJ690" s="3">
        <v>76.769930000000002</v>
      </c>
      <c r="AK690" s="3">
        <v>73.531700000000001</v>
      </c>
      <c r="AL690" s="3">
        <v>85.599050000000005</v>
      </c>
      <c r="AM690" s="3">
        <v>83.654539999999997</v>
      </c>
      <c r="AN690" s="3">
        <v>85.135249999999999</v>
      </c>
      <c r="AO690" s="3">
        <v>84.416370000000001</v>
      </c>
      <c r="AP690" s="3">
        <v>86.589870000000005</v>
      </c>
      <c r="AQ690" s="3">
        <v>89.282589999999999</v>
      </c>
      <c r="AT690" s="3">
        <v>82.622420000000005</v>
      </c>
      <c r="AU690" s="3">
        <v>88.931479999999993</v>
      </c>
      <c r="AV690" s="3">
        <v>92.653880000000001</v>
      </c>
      <c r="AW690" s="3">
        <v>51.79063</v>
      </c>
      <c r="AX690" s="3">
        <v>84.830950000000001</v>
      </c>
      <c r="AY690" s="3">
        <v>60.841070000000002</v>
      </c>
    </row>
    <row r="691" spans="1:51" x14ac:dyDescent="0.2">
      <c r="A691" s="74" t="s">
        <v>588</v>
      </c>
      <c r="B691" s="49">
        <v>38838</v>
      </c>
      <c r="D691" s="3">
        <v>85.875230000000002</v>
      </c>
      <c r="F691" s="3">
        <v>87.137529999999998</v>
      </c>
      <c r="G691" s="3">
        <v>98.616290000000006</v>
      </c>
      <c r="H691" s="3">
        <v>79.947019999999995</v>
      </c>
      <c r="J691" s="3">
        <v>73.281559999999999</v>
      </c>
      <c r="K691" s="3">
        <v>58.975769999999997</v>
      </c>
      <c r="L691" s="3">
        <v>89.9</v>
      </c>
      <c r="M691" s="3">
        <v>88.564089999999993</v>
      </c>
      <c r="N691" s="3">
        <v>86.434830000000005</v>
      </c>
      <c r="O691" s="3">
        <v>88.91</v>
      </c>
      <c r="P691" s="3">
        <v>90.879909999999995</v>
      </c>
      <c r="Q691" s="3">
        <v>79.287530000000004</v>
      </c>
      <c r="S691" s="3">
        <v>86.793090000000007</v>
      </c>
      <c r="T691" s="3">
        <v>90.453040000000001</v>
      </c>
      <c r="V691" s="3">
        <v>87.546329999999998</v>
      </c>
      <c r="W691" s="3">
        <v>84.2</v>
      </c>
      <c r="X691" s="3">
        <v>91.637029999999996</v>
      </c>
      <c r="Y691" s="3">
        <v>73.623199999999997</v>
      </c>
      <c r="AB691" s="3">
        <v>91.505619999999993</v>
      </c>
      <c r="AC691" s="3">
        <v>61.445279999999997</v>
      </c>
      <c r="AD691" s="3">
        <v>85.728660000000005</v>
      </c>
      <c r="AE691" s="3">
        <v>87.318730000000002</v>
      </c>
      <c r="AF691" s="3">
        <v>100.19499999999999</v>
      </c>
      <c r="AH691" s="3">
        <v>80.798199999999994</v>
      </c>
      <c r="AI691" s="3">
        <v>84.386529999999993</v>
      </c>
      <c r="AJ691" s="3">
        <v>77.115759999999995</v>
      </c>
      <c r="AK691" s="3">
        <v>73.495180000000005</v>
      </c>
      <c r="AL691" s="3">
        <v>85.731809999999996</v>
      </c>
      <c r="AM691" s="3">
        <v>83.656009999999995</v>
      </c>
      <c r="AN691" s="3">
        <v>85.271850000000001</v>
      </c>
      <c r="AO691" s="3">
        <v>84.635540000000006</v>
      </c>
      <c r="AP691" s="3">
        <v>86.589870000000005</v>
      </c>
      <c r="AQ691" s="3">
        <v>89.431240000000003</v>
      </c>
      <c r="AT691" s="3">
        <v>82.70035</v>
      </c>
      <c r="AU691" s="3">
        <v>89.161479999999997</v>
      </c>
      <c r="AV691" s="3">
        <v>92.529889999999995</v>
      </c>
      <c r="AW691" s="3">
        <v>53.142789999999998</v>
      </c>
      <c r="AX691" s="3">
        <v>84.913510000000002</v>
      </c>
      <c r="AY691" s="3">
        <v>60.92062</v>
      </c>
    </row>
    <row r="692" spans="1:51" x14ac:dyDescent="0.2">
      <c r="A692" s="74" t="s">
        <v>589</v>
      </c>
      <c r="B692" s="49">
        <v>38869</v>
      </c>
      <c r="D692" s="3">
        <v>85.933499999999995</v>
      </c>
      <c r="F692" s="3">
        <v>87.005740000000003</v>
      </c>
      <c r="G692" s="3">
        <v>98.589100000000002</v>
      </c>
      <c r="H692" s="3">
        <v>80.223410000000001</v>
      </c>
      <c r="J692" s="3">
        <v>73.479870000000005</v>
      </c>
      <c r="K692" s="3">
        <v>59.278219999999997</v>
      </c>
      <c r="L692" s="3">
        <v>89.8</v>
      </c>
      <c r="M692" s="3">
        <v>88.724270000000004</v>
      </c>
      <c r="N692" s="3">
        <v>86.487290000000002</v>
      </c>
      <c r="O692" s="3">
        <v>88.98</v>
      </c>
      <c r="P692" s="3">
        <v>91.025120000000001</v>
      </c>
      <c r="Q692" s="3">
        <v>79.741569999999996</v>
      </c>
      <c r="S692" s="3">
        <v>86.999210000000005</v>
      </c>
      <c r="T692" s="3">
        <v>90.517160000000004</v>
      </c>
      <c r="V692" s="3">
        <v>87.620649999999998</v>
      </c>
      <c r="W692" s="3">
        <v>84.4</v>
      </c>
      <c r="X692" s="3">
        <v>91.894059999999996</v>
      </c>
      <c r="Y692" s="3">
        <v>73.769390000000001</v>
      </c>
      <c r="AB692" s="3">
        <v>91.925160000000005</v>
      </c>
      <c r="AC692" s="3">
        <v>62.10821</v>
      </c>
      <c r="AD692" s="3">
        <v>85.929900000000004</v>
      </c>
      <c r="AE692" s="3">
        <v>87.365809999999996</v>
      </c>
      <c r="AF692" s="3">
        <v>100.1635</v>
      </c>
      <c r="AH692" s="3">
        <v>80.960899999999995</v>
      </c>
      <c r="AI692" s="3">
        <v>84.584919999999997</v>
      </c>
      <c r="AJ692" s="3">
        <v>77.345280000000002</v>
      </c>
      <c r="AK692" s="3">
        <v>73.686199999999999</v>
      </c>
      <c r="AL692" s="3">
        <v>85.269350000000003</v>
      </c>
      <c r="AM692" s="3">
        <v>83.728340000000003</v>
      </c>
      <c r="AN692" s="3">
        <v>85.361649999999997</v>
      </c>
      <c r="AO692" s="3">
        <v>84.774069999999995</v>
      </c>
      <c r="AP692" s="3">
        <v>86.676810000000003</v>
      </c>
      <c r="AQ692" s="3">
        <v>89.312399999999997</v>
      </c>
      <c r="AT692" s="3">
        <v>82.74915</v>
      </c>
      <c r="AU692" s="3">
        <v>89.211489999999998</v>
      </c>
      <c r="AV692" s="3">
        <v>92.519840000000002</v>
      </c>
      <c r="AW692" s="3">
        <v>53.714700000000001</v>
      </c>
      <c r="AX692" s="3">
        <v>84.996070000000003</v>
      </c>
      <c r="AY692" s="3">
        <v>61.281239999999997</v>
      </c>
    </row>
    <row r="693" spans="1:51" x14ac:dyDescent="0.2">
      <c r="A693" s="74" t="s">
        <v>590</v>
      </c>
      <c r="B693" s="49">
        <v>38899</v>
      </c>
      <c r="D693" s="3">
        <v>86.147170000000003</v>
      </c>
      <c r="F693" s="3">
        <v>86.732640000000004</v>
      </c>
      <c r="G693" s="3">
        <v>97.600129999999993</v>
      </c>
      <c r="H693" s="3">
        <v>80.678110000000004</v>
      </c>
      <c r="J693" s="3">
        <v>73.713170000000005</v>
      </c>
      <c r="K693" s="3">
        <v>59.891150000000003</v>
      </c>
      <c r="L693" s="3">
        <v>90.5</v>
      </c>
      <c r="M693" s="3">
        <v>89.125020000000006</v>
      </c>
      <c r="N693" s="3">
        <v>86.087459999999993</v>
      </c>
      <c r="O693" s="3">
        <v>88.65</v>
      </c>
      <c r="P693" s="3">
        <v>89.855339999999998</v>
      </c>
      <c r="Q693" s="3">
        <v>79.911839999999998</v>
      </c>
      <c r="S693" s="3">
        <v>86.535449999999997</v>
      </c>
      <c r="T693" s="3">
        <v>90.294809999999998</v>
      </c>
      <c r="V693" s="3">
        <v>87.681430000000006</v>
      </c>
      <c r="W693" s="3">
        <v>84.3</v>
      </c>
      <c r="X693" s="3">
        <v>90.913250000000005</v>
      </c>
      <c r="Y693" s="3">
        <v>73.801869999999994</v>
      </c>
      <c r="AB693" s="3">
        <v>92.247749999999996</v>
      </c>
      <c r="AC693" s="3">
        <v>62.101730000000003</v>
      </c>
      <c r="AD693" s="3">
        <v>86.030529999999999</v>
      </c>
      <c r="AE693" s="3">
        <v>87.523740000000004</v>
      </c>
      <c r="AF693" s="3">
        <v>99.96378</v>
      </c>
      <c r="AH693" s="3">
        <v>81.104299999999995</v>
      </c>
      <c r="AI693" s="3">
        <v>83.427689999999998</v>
      </c>
      <c r="AJ693" s="3">
        <v>77.339070000000007</v>
      </c>
      <c r="AK693" s="3">
        <v>73.876890000000003</v>
      </c>
      <c r="AL693" s="3">
        <v>84.968519999999998</v>
      </c>
      <c r="AM693" s="3">
        <v>83.266530000000003</v>
      </c>
      <c r="AN693" s="3">
        <v>85.392480000000006</v>
      </c>
      <c r="AO693" s="3">
        <v>84.700289999999995</v>
      </c>
      <c r="AP693" s="3">
        <v>87.198430000000002</v>
      </c>
      <c r="AQ693" s="3">
        <v>89.007350000000002</v>
      </c>
      <c r="AT693" s="3">
        <v>83.029250000000005</v>
      </c>
      <c r="AU693" s="3">
        <v>88.881479999999996</v>
      </c>
      <c r="AV693" s="3">
        <v>92.19144</v>
      </c>
      <c r="AW693" s="3">
        <v>53.886270000000003</v>
      </c>
      <c r="AX693" s="3">
        <v>85.119910000000004</v>
      </c>
      <c r="AY693" s="3">
        <v>61.609780000000001</v>
      </c>
    </row>
    <row r="694" spans="1:51" x14ac:dyDescent="0.2">
      <c r="A694" s="74" t="s">
        <v>591</v>
      </c>
      <c r="B694" s="49">
        <v>38930</v>
      </c>
      <c r="D694" s="3">
        <v>86.224869999999996</v>
      </c>
      <c r="F694" s="3">
        <v>86.978710000000007</v>
      </c>
      <c r="G694" s="3">
        <v>97.655869999999993</v>
      </c>
      <c r="H694" s="3">
        <v>80.704859999999996</v>
      </c>
      <c r="J694" s="3">
        <v>73.923140000000004</v>
      </c>
      <c r="K694" s="3">
        <v>60.223739999999999</v>
      </c>
      <c r="L694" s="3">
        <v>90.9</v>
      </c>
      <c r="M694" s="3">
        <v>88.952029999999993</v>
      </c>
      <c r="N694" s="3">
        <v>86.029589999999999</v>
      </c>
      <c r="O694" s="3">
        <v>88.75</v>
      </c>
      <c r="P694" s="3">
        <v>90.077190000000002</v>
      </c>
      <c r="Q694" s="3">
        <v>80.309129999999996</v>
      </c>
      <c r="S694" s="3">
        <v>86.964860000000002</v>
      </c>
      <c r="T694" s="3">
        <v>90.721999999999994</v>
      </c>
      <c r="V694" s="3">
        <v>87.874790000000004</v>
      </c>
      <c r="W694" s="3">
        <v>84.6</v>
      </c>
      <c r="X694" s="3">
        <v>89.936409999999995</v>
      </c>
      <c r="Y694" s="3">
        <v>73.949680000000001</v>
      </c>
      <c r="AB694" s="3">
        <v>92.883210000000005</v>
      </c>
      <c r="AC694" s="3">
        <v>62.232509999999998</v>
      </c>
      <c r="AD694" s="3">
        <v>85.829279999999997</v>
      </c>
      <c r="AE694" s="3">
        <v>87.609920000000002</v>
      </c>
      <c r="AF694" s="3">
        <v>100.2122</v>
      </c>
      <c r="AH694" s="3">
        <v>81.130899999999997</v>
      </c>
      <c r="AI694" s="3">
        <v>84.667569999999998</v>
      </c>
      <c r="AJ694" s="3">
        <v>77.600579999999994</v>
      </c>
      <c r="AK694" s="3">
        <v>74.060820000000007</v>
      </c>
      <c r="AL694" s="3">
        <v>85.519350000000003</v>
      </c>
      <c r="AM694" s="3">
        <v>83.06559</v>
      </c>
      <c r="AN694" s="3">
        <v>85.552019999999999</v>
      </c>
      <c r="AO694" s="3">
        <v>84.804609999999997</v>
      </c>
      <c r="AP694" s="3">
        <v>87.198430000000002</v>
      </c>
      <c r="AQ694" s="3">
        <v>88.630099999999999</v>
      </c>
      <c r="AT694" s="3">
        <v>83.308449999999993</v>
      </c>
      <c r="AU694" s="3">
        <v>89.121480000000005</v>
      </c>
      <c r="AV694" s="3">
        <v>92.184730000000002</v>
      </c>
      <c r="AW694" s="3">
        <v>53.812739999999998</v>
      </c>
      <c r="AX694" s="3">
        <v>85.326310000000007</v>
      </c>
      <c r="AY694" s="3">
        <v>61.965350000000001</v>
      </c>
    </row>
    <row r="695" spans="1:51" x14ac:dyDescent="0.2">
      <c r="A695" s="74" t="s">
        <v>592</v>
      </c>
      <c r="B695" s="49">
        <v>38961</v>
      </c>
      <c r="D695" s="3">
        <v>86.137460000000004</v>
      </c>
      <c r="F695" s="3">
        <v>87.652950000000004</v>
      </c>
      <c r="G695" s="3">
        <v>97.617279999999994</v>
      </c>
      <c r="H695" s="3">
        <v>80.85642</v>
      </c>
      <c r="J695" s="3">
        <v>74.098119999999994</v>
      </c>
      <c r="K695" s="3">
        <v>60.342300000000002</v>
      </c>
      <c r="L695" s="3">
        <v>89.9</v>
      </c>
      <c r="M695" s="3">
        <v>88.907550000000001</v>
      </c>
      <c r="N695" s="3">
        <v>86.813559999999995</v>
      </c>
      <c r="O695" s="3">
        <v>89.09</v>
      </c>
      <c r="P695" s="3">
        <v>90.299049999999994</v>
      </c>
      <c r="Q695" s="3">
        <v>80.763180000000006</v>
      </c>
      <c r="S695" s="3">
        <v>87.505920000000003</v>
      </c>
      <c r="T695" s="3">
        <v>90.642240000000001</v>
      </c>
      <c r="V695" s="3">
        <v>88.037599999999998</v>
      </c>
      <c r="W695" s="3">
        <v>84.8</v>
      </c>
      <c r="X695" s="3">
        <v>92.356740000000002</v>
      </c>
      <c r="Y695" s="3">
        <v>75.071640000000002</v>
      </c>
      <c r="AB695" s="3">
        <v>93.603769999999997</v>
      </c>
      <c r="AC695" s="3">
        <v>62.688270000000003</v>
      </c>
      <c r="AD695" s="3">
        <v>85.225560000000002</v>
      </c>
      <c r="AE695" s="3">
        <v>87.634280000000004</v>
      </c>
      <c r="AF695" s="3">
        <v>100.324</v>
      </c>
      <c r="AH695" s="3">
        <v>81.415899999999993</v>
      </c>
      <c r="AI695" s="3">
        <v>84.766760000000005</v>
      </c>
      <c r="AJ695" s="3">
        <v>79.081879999999998</v>
      </c>
      <c r="AK695" s="3">
        <v>74.442890000000006</v>
      </c>
      <c r="AL695" s="3">
        <v>86.238100000000003</v>
      </c>
      <c r="AM695" s="3">
        <v>83.588710000000006</v>
      </c>
      <c r="AN695" s="3">
        <v>85.771709999999999</v>
      </c>
      <c r="AO695" s="3">
        <v>85.036330000000007</v>
      </c>
      <c r="AP695" s="3">
        <v>87.28537</v>
      </c>
      <c r="AQ695" s="3">
        <v>89.538250000000005</v>
      </c>
      <c r="AT695" s="3">
        <v>83.141170000000002</v>
      </c>
      <c r="AU695" s="3">
        <v>89.591489999999993</v>
      </c>
      <c r="AV695" s="3">
        <v>93.183359999999993</v>
      </c>
      <c r="AW695" s="3">
        <v>54.429589999999997</v>
      </c>
      <c r="AX695" s="3">
        <v>85.532709999999994</v>
      </c>
      <c r="AY695" s="3">
        <v>62.183529999999998</v>
      </c>
    </row>
    <row r="696" spans="1:51" x14ac:dyDescent="0.2">
      <c r="A696" s="74" t="s">
        <v>593</v>
      </c>
      <c r="B696" s="49">
        <v>38991</v>
      </c>
      <c r="D696" s="3">
        <v>86.176310000000001</v>
      </c>
      <c r="F696" s="3">
        <v>87.87388</v>
      </c>
      <c r="G696" s="3">
        <v>98.441479999999999</v>
      </c>
      <c r="H696" s="3">
        <v>80.91883</v>
      </c>
      <c r="J696" s="3">
        <v>74.004800000000003</v>
      </c>
      <c r="K696" s="3">
        <v>60.581449999999997</v>
      </c>
      <c r="L696" s="3">
        <v>89.9</v>
      </c>
      <c r="M696" s="3">
        <v>89.135599999999997</v>
      </c>
      <c r="N696" s="3">
        <v>86.895780000000002</v>
      </c>
      <c r="O696" s="3">
        <v>89.38</v>
      </c>
      <c r="P696" s="3">
        <v>91.366979999999998</v>
      </c>
      <c r="Q696" s="3">
        <v>80.933440000000004</v>
      </c>
      <c r="S696" s="3">
        <v>87.961100000000002</v>
      </c>
      <c r="T696" s="3">
        <v>90.681659999999994</v>
      </c>
      <c r="V696" s="3">
        <v>88.212940000000003</v>
      </c>
      <c r="W696" s="3">
        <v>84.9</v>
      </c>
      <c r="X696" s="3">
        <v>93.043430000000001</v>
      </c>
      <c r="Y696" s="3">
        <v>75.533050000000003</v>
      </c>
      <c r="AB696" s="3">
        <v>93.595479999999995</v>
      </c>
      <c r="AC696" s="3">
        <v>63.185470000000002</v>
      </c>
      <c r="AD696" s="3">
        <v>84.823070000000001</v>
      </c>
      <c r="AE696" s="3">
        <v>87.63306</v>
      </c>
      <c r="AF696" s="3">
        <v>100.2963</v>
      </c>
      <c r="AH696" s="3">
        <v>81.981300000000005</v>
      </c>
      <c r="AI696" s="3">
        <v>84.940349999999995</v>
      </c>
      <c r="AJ696" s="3">
        <v>79.619910000000004</v>
      </c>
      <c r="AK696" s="3">
        <v>74.606769999999997</v>
      </c>
      <c r="AL696" s="3">
        <v>86.145880000000005</v>
      </c>
      <c r="AM696" s="3">
        <v>83.974850000000004</v>
      </c>
      <c r="AN696" s="3">
        <v>85.995959999999997</v>
      </c>
      <c r="AO696" s="3">
        <v>85.327579999999998</v>
      </c>
      <c r="AP696" s="3">
        <v>87.28537</v>
      </c>
      <c r="AQ696" s="3">
        <v>89.906400000000005</v>
      </c>
      <c r="AT696" s="3">
        <v>83.542240000000007</v>
      </c>
      <c r="AU696" s="3">
        <v>89.661490000000001</v>
      </c>
      <c r="AV696" s="3">
        <v>93.320750000000004</v>
      </c>
      <c r="AW696" s="3">
        <v>55.365070000000003</v>
      </c>
      <c r="AX696" s="3">
        <v>85.7804</v>
      </c>
      <c r="AY696" s="3">
        <v>62.633609999999997</v>
      </c>
    </row>
    <row r="697" spans="1:51" x14ac:dyDescent="0.2">
      <c r="A697" s="74" t="s">
        <v>594</v>
      </c>
      <c r="B697" s="49">
        <v>39022</v>
      </c>
      <c r="D697" s="3">
        <v>86.254009999999994</v>
      </c>
      <c r="F697" s="3">
        <v>87.974639999999994</v>
      </c>
      <c r="G697" s="3">
        <v>98.586489999999998</v>
      </c>
      <c r="H697" s="3">
        <v>80.731610000000003</v>
      </c>
      <c r="J697" s="3">
        <v>74.273099999999999</v>
      </c>
      <c r="K697" s="3">
        <v>61.252650000000003</v>
      </c>
      <c r="L697" s="3">
        <v>89.9</v>
      </c>
      <c r="M697" s="3">
        <v>89.134370000000004</v>
      </c>
      <c r="N697" s="3">
        <v>86.68817</v>
      </c>
      <c r="O697" s="3">
        <v>89.41</v>
      </c>
      <c r="P697" s="3">
        <v>91.752200000000002</v>
      </c>
      <c r="Q697" s="3">
        <v>81.444239999999994</v>
      </c>
      <c r="S697" s="3">
        <v>87.952510000000004</v>
      </c>
      <c r="T697" s="3">
        <v>90.742819999999995</v>
      </c>
      <c r="V697" s="3">
        <v>88.172049999999999</v>
      </c>
      <c r="W697" s="3">
        <v>85.1</v>
      </c>
      <c r="X697" s="3">
        <v>93.195440000000005</v>
      </c>
      <c r="Y697" s="3">
        <v>75.752009999999999</v>
      </c>
      <c r="AB697" s="3">
        <v>94.225610000000003</v>
      </c>
      <c r="AC697" s="3">
        <v>63.351199999999999</v>
      </c>
      <c r="AD697" s="3">
        <v>84.621830000000003</v>
      </c>
      <c r="AE697" s="3">
        <v>87.705290000000005</v>
      </c>
      <c r="AF697" s="3">
        <v>100.1007</v>
      </c>
      <c r="AH697" s="3">
        <v>82.278300000000002</v>
      </c>
      <c r="AI697" s="3">
        <v>84.989940000000004</v>
      </c>
      <c r="AJ697" s="3">
        <v>79.85745</v>
      </c>
      <c r="AK697" s="3">
        <v>74.836299999999994</v>
      </c>
      <c r="AL697" s="3">
        <v>85.962980000000002</v>
      </c>
      <c r="AM697" s="3">
        <v>84.117419999999996</v>
      </c>
      <c r="AN697" s="3">
        <v>86.012950000000004</v>
      </c>
      <c r="AO697" s="3">
        <v>85.455399999999997</v>
      </c>
      <c r="AP697" s="3">
        <v>87.28537</v>
      </c>
      <c r="AQ697" s="3">
        <v>90.006640000000004</v>
      </c>
      <c r="AT697" s="3">
        <v>83.806569999999994</v>
      </c>
      <c r="AU697" s="3">
        <v>89.881500000000003</v>
      </c>
      <c r="AV697" s="3">
        <v>93.354259999999996</v>
      </c>
      <c r="AW697" s="3">
        <v>55.757240000000003</v>
      </c>
      <c r="AX697" s="3">
        <v>85.697829999999996</v>
      </c>
      <c r="AY697" s="3">
        <v>62.669379999999997</v>
      </c>
    </row>
    <row r="698" spans="1:51" x14ac:dyDescent="0.2">
      <c r="A698" s="74" t="s">
        <v>595</v>
      </c>
      <c r="B698" s="49">
        <v>39052</v>
      </c>
      <c r="D698" s="3">
        <v>86.438540000000003</v>
      </c>
      <c r="F698" s="3">
        <v>87.891369999999995</v>
      </c>
      <c r="G698" s="3">
        <v>98.643600000000006</v>
      </c>
      <c r="H698" s="3">
        <v>80.990160000000003</v>
      </c>
      <c r="J698" s="3">
        <v>74.541399999999996</v>
      </c>
      <c r="K698" s="3">
        <v>61.75103</v>
      </c>
      <c r="L698" s="3">
        <v>90</v>
      </c>
      <c r="M698" s="3">
        <v>89.907970000000006</v>
      </c>
      <c r="N698" s="3">
        <v>86.744159999999994</v>
      </c>
      <c r="O698" s="3">
        <v>89.83</v>
      </c>
      <c r="P698" s="3">
        <v>91.895399999999995</v>
      </c>
      <c r="Q698" s="3">
        <v>81.671260000000004</v>
      </c>
      <c r="S698" s="3">
        <v>88.02122</v>
      </c>
      <c r="T698" s="3">
        <v>91.043750000000003</v>
      </c>
      <c r="V698" s="3">
        <v>88.228319999999997</v>
      </c>
      <c r="W698" s="3">
        <v>85.5</v>
      </c>
      <c r="X698" s="3">
        <v>93.596100000000007</v>
      </c>
      <c r="Y698" s="3">
        <v>75.849490000000003</v>
      </c>
      <c r="AB698" s="3">
        <v>94.653499999999994</v>
      </c>
      <c r="AC698" s="3">
        <v>63.516930000000002</v>
      </c>
      <c r="AD698" s="3">
        <v>84.52122</v>
      </c>
      <c r="AE698" s="3">
        <v>87.765739999999994</v>
      </c>
      <c r="AF698" s="3">
        <v>100.1866</v>
      </c>
      <c r="AH698" s="3">
        <v>82.254400000000004</v>
      </c>
      <c r="AI698" s="3">
        <v>85.155259999999998</v>
      </c>
      <c r="AJ698" s="3">
        <v>79.984710000000007</v>
      </c>
      <c r="AK698" s="3">
        <v>75.08296</v>
      </c>
      <c r="AL698" s="3">
        <v>85.523719999999997</v>
      </c>
      <c r="AM698" s="3">
        <v>84.231030000000004</v>
      </c>
      <c r="AN698" s="3">
        <v>86.079310000000007</v>
      </c>
      <c r="AO698" s="3">
        <v>85.712419999999995</v>
      </c>
      <c r="AP698" s="3">
        <v>87.28537</v>
      </c>
      <c r="AQ698" s="3">
        <v>90.06729</v>
      </c>
      <c r="AT698" s="3">
        <v>83.795950000000005</v>
      </c>
      <c r="AU698" s="3">
        <v>90.261510000000001</v>
      </c>
      <c r="AV698" s="3">
        <v>93.464839999999995</v>
      </c>
      <c r="AW698" s="3">
        <v>55.728639999999999</v>
      </c>
      <c r="AX698" s="3">
        <v>85.573989999999995</v>
      </c>
      <c r="AY698" s="3">
        <v>62.979970000000002</v>
      </c>
    </row>
    <row r="699" spans="1:51" x14ac:dyDescent="0.2">
      <c r="A699" s="3" t="s">
        <v>596</v>
      </c>
      <c r="B699" s="49">
        <v>39083</v>
      </c>
      <c r="D699" s="3">
        <v>86.535659999999993</v>
      </c>
      <c r="F699" s="3">
        <v>87.919420000000002</v>
      </c>
      <c r="G699" s="3">
        <v>97.820390000000003</v>
      </c>
      <c r="H699" s="3">
        <v>81.328959999999995</v>
      </c>
      <c r="J699" s="3">
        <v>75.089680000000001</v>
      </c>
      <c r="K699" s="3">
        <v>62.462429999999998</v>
      </c>
      <c r="L699" s="3">
        <v>91</v>
      </c>
      <c r="M699" s="3">
        <v>89.654309999999995</v>
      </c>
      <c r="N699" s="3">
        <v>86.238309999999998</v>
      </c>
      <c r="O699" s="3">
        <v>89.02</v>
      </c>
      <c r="P699" s="3">
        <v>90.747799999999998</v>
      </c>
      <c r="Q699" s="3">
        <v>82.125309999999999</v>
      </c>
      <c r="S699" s="3">
        <v>87.72063</v>
      </c>
      <c r="T699" s="3">
        <v>90.615939999999995</v>
      </c>
      <c r="V699" s="3">
        <v>88.249030000000005</v>
      </c>
      <c r="W699" s="3">
        <v>84.9</v>
      </c>
      <c r="X699" s="3">
        <v>93.138919999999999</v>
      </c>
      <c r="Y699" s="3">
        <v>76.624639999999999</v>
      </c>
      <c r="AB699" s="3">
        <v>94.765439999999998</v>
      </c>
      <c r="AC699" s="3">
        <v>63.475499999999997</v>
      </c>
      <c r="AD699" s="3">
        <v>84.219350000000006</v>
      </c>
      <c r="AE699" s="3">
        <v>88.045339999999996</v>
      </c>
      <c r="AF699" s="3">
        <v>99.571240000000003</v>
      </c>
      <c r="AH699" s="3">
        <v>81.8279</v>
      </c>
      <c r="AI699" s="3">
        <v>84.386529999999993</v>
      </c>
      <c r="AJ699" s="3">
        <v>80.673249999999996</v>
      </c>
      <c r="AK699" s="3">
        <v>75.395150000000001</v>
      </c>
      <c r="AL699" s="3">
        <v>85.355099999999993</v>
      </c>
      <c r="AM699" s="3">
        <v>83.729259999999996</v>
      </c>
      <c r="AN699" s="3">
        <v>86.075689999999994</v>
      </c>
      <c r="AO699" s="3">
        <v>85.410060000000001</v>
      </c>
      <c r="AP699" s="3">
        <v>87.28537</v>
      </c>
      <c r="AQ699" s="3">
        <v>89.277760000000001</v>
      </c>
      <c r="AT699" s="3">
        <v>84.845699999999994</v>
      </c>
      <c r="AU699" s="3">
        <v>89.351489999999998</v>
      </c>
      <c r="AV699" s="3">
        <v>92.985640000000004</v>
      </c>
      <c r="AW699" s="3">
        <v>55.544820000000001</v>
      </c>
      <c r="AX699" s="3">
        <v>85.866669999999999</v>
      </c>
      <c r="AY699" s="3">
        <v>63.332070000000002</v>
      </c>
    </row>
    <row r="700" spans="1:51" x14ac:dyDescent="0.2">
      <c r="A700" s="74" t="s">
        <v>597</v>
      </c>
      <c r="B700" s="49">
        <v>39114</v>
      </c>
      <c r="D700" s="3">
        <v>87.011560000000003</v>
      </c>
      <c r="F700" s="3">
        <v>88.294449999999998</v>
      </c>
      <c r="G700" s="3">
        <v>98.087590000000006</v>
      </c>
      <c r="H700" s="3">
        <v>81.016909999999996</v>
      </c>
      <c r="J700" s="3">
        <v>75.7196</v>
      </c>
      <c r="K700" s="3">
        <v>62.925649999999997</v>
      </c>
      <c r="L700" s="3">
        <v>91.4</v>
      </c>
      <c r="M700" s="3">
        <v>90.043850000000006</v>
      </c>
      <c r="N700" s="3">
        <v>87.265259999999998</v>
      </c>
      <c r="O700" s="3">
        <v>89.37</v>
      </c>
      <c r="P700" s="3">
        <v>90.861760000000004</v>
      </c>
      <c r="Q700" s="3">
        <v>82.352329999999995</v>
      </c>
      <c r="S700" s="3">
        <v>88.296040000000005</v>
      </c>
      <c r="T700" s="3">
        <v>90.89528</v>
      </c>
      <c r="V700" s="3">
        <v>88.584419999999994</v>
      </c>
      <c r="W700" s="3">
        <v>85.2</v>
      </c>
      <c r="X700" s="3">
        <v>91.503110000000007</v>
      </c>
      <c r="Y700" s="3">
        <v>77.262439999999998</v>
      </c>
      <c r="AB700" s="3">
        <v>95.875640000000004</v>
      </c>
      <c r="AC700" s="3">
        <v>63.889830000000003</v>
      </c>
      <c r="AD700" s="3">
        <v>84.118729999999999</v>
      </c>
      <c r="AE700" s="3">
        <v>88.439610000000002</v>
      </c>
      <c r="AF700" s="3">
        <v>99.263630000000006</v>
      </c>
      <c r="AH700" s="3">
        <v>81.863600000000005</v>
      </c>
      <c r="AI700" s="3">
        <v>85.998379999999997</v>
      </c>
      <c r="AJ700" s="3">
        <v>81.084440000000001</v>
      </c>
      <c r="AK700" s="3">
        <v>75.695170000000005</v>
      </c>
      <c r="AL700" s="3">
        <v>85.739329999999995</v>
      </c>
      <c r="AM700" s="3">
        <v>84.221829999999997</v>
      </c>
      <c r="AN700" s="3">
        <v>86.372439999999997</v>
      </c>
      <c r="AO700" s="3">
        <v>85.670450000000002</v>
      </c>
      <c r="AP700" s="3">
        <v>87.28537</v>
      </c>
      <c r="AQ700" s="3">
        <v>89.379739999999998</v>
      </c>
      <c r="AT700" s="3">
        <v>85.097520000000003</v>
      </c>
      <c r="AU700" s="3">
        <v>89.451490000000007</v>
      </c>
      <c r="AV700" s="3">
        <v>93.464839999999995</v>
      </c>
      <c r="AW700" s="3">
        <v>55.491709999999998</v>
      </c>
      <c r="AX700" s="3">
        <v>86.32199</v>
      </c>
      <c r="AY700" s="3">
        <v>63.329030000000003</v>
      </c>
    </row>
    <row r="701" spans="1:51" x14ac:dyDescent="0.2">
      <c r="A701" s="74" t="s">
        <v>598</v>
      </c>
      <c r="B701" s="49">
        <v>39142</v>
      </c>
      <c r="D701" s="3">
        <v>87.098969999999994</v>
      </c>
      <c r="F701" s="3">
        <v>88.457790000000003</v>
      </c>
      <c r="G701" s="3">
        <v>98.063180000000003</v>
      </c>
      <c r="H701" s="3">
        <v>81.11497</v>
      </c>
      <c r="J701" s="3">
        <v>76.0929</v>
      </c>
      <c r="K701" s="3">
        <v>63.283360000000002</v>
      </c>
      <c r="L701" s="3">
        <v>91.5</v>
      </c>
      <c r="M701" s="3">
        <v>90.142070000000004</v>
      </c>
      <c r="N701" s="3">
        <v>87.660110000000003</v>
      </c>
      <c r="O701" s="3">
        <v>90</v>
      </c>
      <c r="P701" s="3">
        <v>91.521270000000001</v>
      </c>
      <c r="Q701" s="3">
        <v>82.863129999999998</v>
      </c>
      <c r="S701" s="3">
        <v>88.940160000000006</v>
      </c>
      <c r="T701" s="3">
        <v>91.266379999999998</v>
      </c>
      <c r="V701" s="3">
        <v>88.874889999999994</v>
      </c>
      <c r="W701" s="3">
        <v>85.5</v>
      </c>
      <c r="X701" s="3">
        <v>93.867549999999994</v>
      </c>
      <c r="Y701" s="3">
        <v>77.775570000000002</v>
      </c>
      <c r="AB701" s="3">
        <v>96.555480000000003</v>
      </c>
      <c r="AC701" s="3">
        <v>64.387020000000007</v>
      </c>
      <c r="AD701" s="3">
        <v>84.219350000000006</v>
      </c>
      <c r="AE701" s="3">
        <v>88.530869999999993</v>
      </c>
      <c r="AF701" s="3">
        <v>99.577479999999994</v>
      </c>
      <c r="AH701" s="3">
        <v>82.183400000000006</v>
      </c>
      <c r="AI701" s="3">
        <v>86.039709999999999</v>
      </c>
      <c r="AJ701" s="3">
        <v>82.263009999999994</v>
      </c>
      <c r="AK701" s="3">
        <v>75.897580000000005</v>
      </c>
      <c r="AL701" s="3">
        <v>86.782820000000001</v>
      </c>
      <c r="AM701" s="3">
        <v>84.805809999999994</v>
      </c>
      <c r="AN701" s="3">
        <v>86.715710000000001</v>
      </c>
      <c r="AO701" s="3">
        <v>86.063400000000001</v>
      </c>
      <c r="AP701" s="3">
        <v>87.372309999999999</v>
      </c>
      <c r="AQ701" s="3">
        <v>90.86806</v>
      </c>
      <c r="AT701" s="3">
        <v>85.086759999999998</v>
      </c>
      <c r="AU701" s="3">
        <v>90.0715</v>
      </c>
      <c r="AV701" s="3">
        <v>94.121660000000006</v>
      </c>
      <c r="AW701" s="3">
        <v>56.043190000000003</v>
      </c>
      <c r="AX701" s="3">
        <v>86.656779999999998</v>
      </c>
      <c r="AY701" s="3">
        <v>63.713679999999997</v>
      </c>
    </row>
    <row r="702" spans="1:51" x14ac:dyDescent="0.2">
      <c r="A702" s="74" t="s">
        <v>599</v>
      </c>
      <c r="B702" s="49">
        <v>39173</v>
      </c>
      <c r="D702" s="3">
        <v>87.225229999999996</v>
      </c>
      <c r="F702" s="3">
        <v>88.692930000000004</v>
      </c>
      <c r="G702" s="3">
        <v>99.020529999999994</v>
      </c>
      <c r="H702" s="3">
        <v>81.382450000000006</v>
      </c>
      <c r="J702" s="3">
        <v>76.431190000000001</v>
      </c>
      <c r="K702" s="3">
        <v>63.416989999999998</v>
      </c>
      <c r="L702" s="3">
        <v>91.7</v>
      </c>
      <c r="M702" s="3">
        <v>90.448779999999999</v>
      </c>
      <c r="N702" s="3">
        <v>87.783050000000003</v>
      </c>
      <c r="O702" s="3">
        <v>90.48</v>
      </c>
      <c r="P702" s="3">
        <v>93.022829999999999</v>
      </c>
      <c r="Q702" s="3">
        <v>83.146900000000002</v>
      </c>
      <c r="S702" s="3">
        <v>89.189220000000006</v>
      </c>
      <c r="T702" s="3">
        <v>91.54504</v>
      </c>
      <c r="V702" s="3">
        <v>89.084789999999998</v>
      </c>
      <c r="W702" s="3">
        <v>85.8</v>
      </c>
      <c r="X702" s="3">
        <v>94.144779999999997</v>
      </c>
      <c r="Y702" s="3">
        <v>77.902450000000002</v>
      </c>
      <c r="AB702" s="3">
        <v>97.098410000000001</v>
      </c>
      <c r="AC702" s="3">
        <v>64.925659999999993</v>
      </c>
      <c r="AD702" s="3">
        <v>84.420590000000004</v>
      </c>
      <c r="AE702" s="3">
        <v>88.601140000000001</v>
      </c>
      <c r="AF702" s="3">
        <v>99.931749999999994</v>
      </c>
      <c r="AH702" s="3">
        <v>82.491</v>
      </c>
      <c r="AI702" s="3">
        <v>86.23809</v>
      </c>
      <c r="AJ702" s="3">
        <v>82.783879999999996</v>
      </c>
      <c r="AK702" s="3">
        <v>75.970920000000007</v>
      </c>
      <c r="AL702" s="3">
        <v>87.126549999999995</v>
      </c>
      <c r="AM702" s="3">
        <v>84.929150000000007</v>
      </c>
      <c r="AN702" s="3">
        <v>87.000839999999997</v>
      </c>
      <c r="AO702" s="3">
        <v>86.48621</v>
      </c>
      <c r="AP702" s="3">
        <v>87.546189999999996</v>
      </c>
      <c r="AQ702" s="3">
        <v>91.647329999999997</v>
      </c>
      <c r="AT702" s="3">
        <v>85.128749999999997</v>
      </c>
      <c r="AU702" s="3">
        <v>90.491510000000005</v>
      </c>
      <c r="AV702" s="3">
        <v>94.543890000000005</v>
      </c>
      <c r="AW702" s="3">
        <v>56.872459999999997</v>
      </c>
      <c r="AX702" s="3">
        <v>86.816940000000002</v>
      </c>
      <c r="AY702" s="3">
        <v>63.98028</v>
      </c>
    </row>
    <row r="703" spans="1:51" x14ac:dyDescent="0.2">
      <c r="A703" s="74" t="s">
        <v>600</v>
      </c>
      <c r="B703" s="49">
        <v>39203</v>
      </c>
      <c r="D703" s="3">
        <v>87.302930000000003</v>
      </c>
      <c r="F703" s="3">
        <v>88.898049999999998</v>
      </c>
      <c r="G703" s="3">
        <v>99.188540000000003</v>
      </c>
      <c r="H703" s="3">
        <v>81.551850000000002</v>
      </c>
      <c r="J703" s="3">
        <v>76.617840000000001</v>
      </c>
      <c r="K703" s="3">
        <v>63.71743</v>
      </c>
      <c r="L703" s="3">
        <v>91.9</v>
      </c>
      <c r="M703" s="3">
        <v>90.430269999999993</v>
      </c>
      <c r="N703" s="3">
        <v>87.872150000000005</v>
      </c>
      <c r="O703" s="3">
        <v>90.64</v>
      </c>
      <c r="P703" s="3">
        <v>93.161990000000003</v>
      </c>
      <c r="Q703" s="3">
        <v>83.657709999999994</v>
      </c>
      <c r="S703" s="3">
        <v>89.180629999999994</v>
      </c>
      <c r="T703" s="3">
        <v>91.677049999999994</v>
      </c>
      <c r="V703" s="3">
        <v>89.148939999999996</v>
      </c>
      <c r="W703" s="3">
        <v>86</v>
      </c>
      <c r="X703" s="3">
        <v>94.295029999999997</v>
      </c>
      <c r="Y703" s="3">
        <v>78.341669999999993</v>
      </c>
      <c r="AB703" s="3">
        <v>97.354749999999996</v>
      </c>
      <c r="AC703" s="3">
        <v>65.33999</v>
      </c>
      <c r="AD703" s="3">
        <v>84.219350000000006</v>
      </c>
      <c r="AE703" s="3">
        <v>88.828180000000003</v>
      </c>
      <c r="AF703" s="3">
        <v>100.1035</v>
      </c>
      <c r="AH703" s="3">
        <v>82.857799999999997</v>
      </c>
      <c r="AI703" s="3">
        <v>86.221559999999997</v>
      </c>
      <c r="AJ703" s="3">
        <v>83.086560000000006</v>
      </c>
      <c r="AK703" s="3">
        <v>75.974580000000003</v>
      </c>
      <c r="AL703" s="3">
        <v>87.163910000000001</v>
      </c>
      <c r="AM703" s="3">
        <v>85.054360000000003</v>
      </c>
      <c r="AN703" s="3">
        <v>87.099680000000006</v>
      </c>
      <c r="AO703" s="3">
        <v>86.686520000000002</v>
      </c>
      <c r="AP703" s="3">
        <v>87.720060000000004</v>
      </c>
      <c r="AQ703" s="3">
        <v>91.729380000000006</v>
      </c>
      <c r="AT703" s="3">
        <v>84.963229999999996</v>
      </c>
      <c r="AU703" s="3">
        <v>91.261520000000004</v>
      </c>
      <c r="AV703" s="3">
        <v>94.651120000000006</v>
      </c>
      <c r="AW703" s="3">
        <v>57.775260000000003</v>
      </c>
      <c r="AX703" s="3">
        <v>86.819010000000006</v>
      </c>
      <c r="AY703" s="3">
        <v>64.08954</v>
      </c>
    </row>
    <row r="704" spans="1:51" x14ac:dyDescent="0.2">
      <c r="A704" s="74" t="s">
        <v>601</v>
      </c>
      <c r="B704" s="49">
        <v>39234</v>
      </c>
      <c r="D704" s="3">
        <v>87.273790000000005</v>
      </c>
      <c r="F704" s="3">
        <v>88.883769999999998</v>
      </c>
      <c r="G704" s="3">
        <v>99.160139999999998</v>
      </c>
      <c r="H704" s="3">
        <v>81.667760000000001</v>
      </c>
      <c r="J704" s="3">
        <v>76.781149999999997</v>
      </c>
      <c r="K704" s="3">
        <v>63.951549999999997</v>
      </c>
      <c r="L704" s="3">
        <v>92.1</v>
      </c>
      <c r="M704" s="3">
        <v>90.361689999999996</v>
      </c>
      <c r="N704" s="3">
        <v>87.829149999999998</v>
      </c>
      <c r="O704" s="3">
        <v>90.67</v>
      </c>
      <c r="P704" s="3">
        <v>93.259799999999998</v>
      </c>
      <c r="Q704" s="3">
        <v>84.111760000000004</v>
      </c>
      <c r="S704" s="3">
        <v>89.395340000000004</v>
      </c>
      <c r="T704" s="3">
        <v>91.705860000000001</v>
      </c>
      <c r="V704" s="3">
        <v>89.184380000000004</v>
      </c>
      <c r="W704" s="3">
        <v>86.2</v>
      </c>
      <c r="X704" s="3">
        <v>94.467479999999995</v>
      </c>
      <c r="Y704" s="3">
        <v>78.528530000000003</v>
      </c>
      <c r="AB704" s="3">
        <v>97.463290000000001</v>
      </c>
      <c r="AC704" s="3">
        <v>65.671459999999996</v>
      </c>
      <c r="AD704" s="3">
        <v>85.225560000000002</v>
      </c>
      <c r="AE704" s="3">
        <v>88.948809999999995</v>
      </c>
      <c r="AF704" s="3">
        <v>99.927269999999993</v>
      </c>
      <c r="AH704" s="3">
        <v>83.0702</v>
      </c>
      <c r="AI704" s="3">
        <v>86.279420000000002</v>
      </c>
      <c r="AJ704" s="3">
        <v>83.470359999999999</v>
      </c>
      <c r="AK704" s="3">
        <v>76.133859999999999</v>
      </c>
      <c r="AL704" s="3">
        <v>86.714609999999993</v>
      </c>
      <c r="AM704" s="3">
        <v>84.890500000000003</v>
      </c>
      <c r="AN704" s="3">
        <v>87.156899999999993</v>
      </c>
      <c r="AO704" s="3">
        <v>86.771000000000001</v>
      </c>
      <c r="AP704" s="3">
        <v>87.893940000000001</v>
      </c>
      <c r="AQ704" s="3">
        <v>91.723129999999998</v>
      </c>
      <c r="AT704" s="3">
        <v>85.310770000000005</v>
      </c>
      <c r="AU704" s="3">
        <v>91.731530000000006</v>
      </c>
      <c r="AV704" s="3">
        <v>94.86224</v>
      </c>
      <c r="AW704" s="3">
        <v>58.106160000000003</v>
      </c>
      <c r="AX704" s="3">
        <v>86.884219999999999</v>
      </c>
      <c r="AY704" s="3">
        <v>64.498480000000001</v>
      </c>
    </row>
    <row r="705" spans="1:51" x14ac:dyDescent="0.2">
      <c r="A705" s="74" t="s">
        <v>602</v>
      </c>
      <c r="B705" s="49">
        <v>39264</v>
      </c>
      <c r="D705" s="3">
        <v>87.613720000000001</v>
      </c>
      <c r="F705" s="3">
        <v>89.09254</v>
      </c>
      <c r="G705" s="3">
        <v>98.376900000000006</v>
      </c>
      <c r="H705" s="3">
        <v>82.051119999999997</v>
      </c>
      <c r="J705" s="3">
        <v>77.049449999999993</v>
      </c>
      <c r="K705" s="3">
        <v>64.194710000000001</v>
      </c>
      <c r="L705" s="3">
        <v>92.6</v>
      </c>
      <c r="M705" s="3">
        <v>90.849429999999998</v>
      </c>
      <c r="N705" s="3">
        <v>87.258539999999996</v>
      </c>
      <c r="O705" s="3">
        <v>90.32</v>
      </c>
      <c r="P705" s="3">
        <v>92.067840000000004</v>
      </c>
      <c r="Q705" s="3">
        <v>84.395529999999994</v>
      </c>
      <c r="S705" s="3">
        <v>89.034630000000007</v>
      </c>
      <c r="T705" s="3">
        <v>91.509180000000001</v>
      </c>
      <c r="V705" s="3">
        <v>89.264240000000001</v>
      </c>
      <c r="W705" s="3">
        <v>85.9</v>
      </c>
      <c r="X705" s="3">
        <v>93.605400000000003</v>
      </c>
      <c r="Y705" s="3">
        <v>78.709630000000004</v>
      </c>
      <c r="AB705" s="3">
        <v>97.755330000000001</v>
      </c>
      <c r="AC705" s="3">
        <v>65.795749999999998</v>
      </c>
      <c r="AD705" s="3">
        <v>86.332380000000001</v>
      </c>
      <c r="AE705" s="3">
        <v>89.188389999999998</v>
      </c>
      <c r="AF705" s="3">
        <v>99.790229999999994</v>
      </c>
      <c r="AH705" s="3">
        <v>83.424300000000002</v>
      </c>
      <c r="AI705" s="3">
        <v>85.130459999999999</v>
      </c>
      <c r="AJ705" s="3">
        <v>84.244669999999999</v>
      </c>
      <c r="AK705" s="3">
        <v>76.329440000000005</v>
      </c>
      <c r="AL705" s="3">
        <v>86.463040000000007</v>
      </c>
      <c r="AM705" s="3">
        <v>84.529880000000006</v>
      </c>
      <c r="AN705" s="3">
        <v>87.1798</v>
      </c>
      <c r="AO705" s="3">
        <v>86.628910000000005</v>
      </c>
      <c r="AP705" s="3">
        <v>88.067809999999994</v>
      </c>
      <c r="AQ705" s="3">
        <v>91.373159999999999</v>
      </c>
      <c r="AT705" s="3">
        <v>85.313190000000006</v>
      </c>
      <c r="AU705" s="3">
        <v>91.591530000000006</v>
      </c>
      <c r="AV705" s="3">
        <v>94.607560000000007</v>
      </c>
      <c r="AW705" s="3">
        <v>57.607779999999998</v>
      </c>
      <c r="AX705" s="3">
        <v>87.000640000000004</v>
      </c>
      <c r="AY705" s="3">
        <v>65.014960000000002</v>
      </c>
    </row>
    <row r="706" spans="1:51" x14ac:dyDescent="0.2">
      <c r="A706" s="74" t="s">
        <v>603</v>
      </c>
      <c r="B706" s="49">
        <v>39295</v>
      </c>
      <c r="D706" s="3">
        <v>87.603999999999999</v>
      </c>
      <c r="F706" s="3">
        <v>89.180239999999998</v>
      </c>
      <c r="G706" s="3">
        <v>98.382220000000004</v>
      </c>
      <c r="H706" s="3">
        <v>82.318600000000004</v>
      </c>
      <c r="J706" s="3">
        <v>77.282759999999996</v>
      </c>
      <c r="K706" s="3">
        <v>64.518259999999998</v>
      </c>
      <c r="L706" s="3">
        <v>92.9</v>
      </c>
      <c r="M706" s="3">
        <v>90.845119999999994</v>
      </c>
      <c r="N706" s="3">
        <v>87.181229999999999</v>
      </c>
      <c r="O706" s="3">
        <v>90.46</v>
      </c>
      <c r="P706" s="3">
        <v>92.276589999999999</v>
      </c>
      <c r="Q706" s="3">
        <v>84.84957</v>
      </c>
      <c r="S706" s="3">
        <v>89.472629999999995</v>
      </c>
      <c r="T706" s="3">
        <v>92.067760000000007</v>
      </c>
      <c r="V706" s="3">
        <v>89.458539999999999</v>
      </c>
      <c r="W706" s="3">
        <v>86.3</v>
      </c>
      <c r="X706" s="3">
        <v>92.578720000000004</v>
      </c>
      <c r="Y706" s="3">
        <v>78.662850000000006</v>
      </c>
      <c r="AB706" s="3">
        <v>98.312910000000002</v>
      </c>
      <c r="AC706" s="3">
        <v>65.837190000000007</v>
      </c>
      <c r="AD706" s="3">
        <v>86.634249999999994</v>
      </c>
      <c r="AE706" s="3">
        <v>89.374690000000001</v>
      </c>
      <c r="AF706" s="3">
        <v>100.0735</v>
      </c>
      <c r="AH706" s="3">
        <v>83.857799999999997</v>
      </c>
      <c r="AI706" s="3">
        <v>86.453000000000003</v>
      </c>
      <c r="AJ706" s="3">
        <v>85.13897</v>
      </c>
      <c r="AK706" s="3">
        <v>76.518839999999997</v>
      </c>
      <c r="AL706" s="3">
        <v>86.727950000000007</v>
      </c>
      <c r="AM706" s="3">
        <v>84.589799999999997</v>
      </c>
      <c r="AN706" s="3">
        <v>87.324870000000004</v>
      </c>
      <c r="AO706" s="3">
        <v>86.747550000000004</v>
      </c>
      <c r="AP706" s="3">
        <v>87.807000000000002</v>
      </c>
      <c r="AQ706" s="3">
        <v>90.729259999999996</v>
      </c>
      <c r="AT706" s="3">
        <v>85.496690000000001</v>
      </c>
      <c r="AU706" s="3">
        <v>92.151539999999997</v>
      </c>
      <c r="AV706" s="3">
        <v>94.744960000000006</v>
      </c>
      <c r="AW706" s="3">
        <v>57.162509999999997</v>
      </c>
      <c r="AX706" s="3">
        <v>87.147189999999995</v>
      </c>
      <c r="AY706" s="3">
        <v>65.403260000000003</v>
      </c>
    </row>
    <row r="707" spans="1:51" x14ac:dyDescent="0.2">
      <c r="A707" s="74" t="s">
        <v>604</v>
      </c>
      <c r="B707" s="49">
        <v>39326</v>
      </c>
      <c r="D707" s="3">
        <v>87.468029999999999</v>
      </c>
      <c r="F707" s="3">
        <v>89.530879999999996</v>
      </c>
      <c r="G707" s="3">
        <v>98.402450000000002</v>
      </c>
      <c r="H707" s="3">
        <v>82.915949999999995</v>
      </c>
      <c r="J707" s="3">
        <v>77.399410000000003</v>
      </c>
      <c r="K707" s="3">
        <v>64.834770000000006</v>
      </c>
      <c r="L707" s="3">
        <v>92.4</v>
      </c>
      <c r="M707" s="3">
        <v>90.889920000000004</v>
      </c>
      <c r="N707" s="3">
        <v>87.699280000000002</v>
      </c>
      <c r="O707" s="3">
        <v>90.75</v>
      </c>
      <c r="P707" s="3">
        <v>92.379450000000006</v>
      </c>
      <c r="Q707" s="3">
        <v>85.473879999999994</v>
      </c>
      <c r="S707" s="3">
        <v>89.859110000000001</v>
      </c>
      <c r="T707" s="3">
        <v>92.041349999999994</v>
      </c>
      <c r="V707" s="3">
        <v>89.58305</v>
      </c>
      <c r="W707" s="3">
        <v>86.3</v>
      </c>
      <c r="X707" s="3">
        <v>94.749409999999997</v>
      </c>
      <c r="Y707" s="3">
        <v>78.860209999999995</v>
      </c>
      <c r="AB707" s="3">
        <v>98.672569999999993</v>
      </c>
      <c r="AC707" s="3">
        <v>66.707279999999997</v>
      </c>
      <c r="AD707" s="3">
        <v>86.030529999999999</v>
      </c>
      <c r="AE707" s="3">
        <v>89.259249999999994</v>
      </c>
      <c r="AF707" s="3">
        <v>100.0354</v>
      </c>
      <c r="AH707" s="3">
        <v>84.742800000000003</v>
      </c>
      <c r="AI707" s="3">
        <v>86.568730000000002</v>
      </c>
      <c r="AJ707" s="3">
        <v>87.070890000000006</v>
      </c>
      <c r="AK707" s="3">
        <v>76.85333</v>
      </c>
      <c r="AL707" s="3">
        <v>87.262479999999996</v>
      </c>
      <c r="AM707" s="3">
        <v>85.341390000000004</v>
      </c>
      <c r="AN707" s="3">
        <v>87.49118</v>
      </c>
      <c r="AO707" s="3">
        <v>86.896960000000007</v>
      </c>
      <c r="AP707" s="3">
        <v>87.893940000000001</v>
      </c>
      <c r="AQ707" s="3">
        <v>91.397189999999995</v>
      </c>
      <c r="AT707" s="3">
        <v>85.647859999999994</v>
      </c>
      <c r="AU707" s="3">
        <v>92.091539999999995</v>
      </c>
      <c r="AV707" s="3">
        <v>95.884320000000002</v>
      </c>
      <c r="AW707" s="3">
        <v>57.460720000000002</v>
      </c>
      <c r="AX707" s="3">
        <v>87.360600000000005</v>
      </c>
      <c r="AY707" s="3">
        <v>65.688519999999997</v>
      </c>
    </row>
    <row r="708" spans="1:51" x14ac:dyDescent="0.2">
      <c r="A708" s="74" t="s">
        <v>605</v>
      </c>
      <c r="B708" s="49">
        <v>39356</v>
      </c>
      <c r="D708" s="3">
        <v>87.613720000000001</v>
      </c>
      <c r="F708" s="3">
        <v>89.455939999999998</v>
      </c>
      <c r="G708" s="3">
        <v>99.302319999999995</v>
      </c>
      <c r="H708" s="3">
        <v>82.853539999999995</v>
      </c>
      <c r="J708" s="3">
        <v>77.457740000000001</v>
      </c>
      <c r="K708" s="3">
        <v>65.224630000000005</v>
      </c>
      <c r="L708" s="3">
        <v>92.5</v>
      </c>
      <c r="M708" s="3">
        <v>90.931820000000002</v>
      </c>
      <c r="N708" s="3">
        <v>87.957139999999995</v>
      </c>
      <c r="O708" s="3">
        <v>91.06</v>
      </c>
      <c r="P708" s="3">
        <v>93.465530000000001</v>
      </c>
      <c r="Q708" s="3">
        <v>85.814409999999995</v>
      </c>
      <c r="S708" s="3">
        <v>90.236990000000006</v>
      </c>
      <c r="T708" s="3">
        <v>92.138679999999994</v>
      </c>
      <c r="V708" s="3">
        <v>89.802189999999996</v>
      </c>
      <c r="W708" s="3">
        <v>86.5</v>
      </c>
      <c r="X708" s="3">
        <v>95.142560000000003</v>
      </c>
      <c r="Y708" s="3">
        <v>79.299710000000005</v>
      </c>
      <c r="AB708" s="3">
        <v>98.746110000000002</v>
      </c>
      <c r="AC708" s="3">
        <v>66.955879999999993</v>
      </c>
      <c r="AD708" s="3">
        <v>85.728660000000005</v>
      </c>
      <c r="AE708" s="3">
        <v>89.357609999999994</v>
      </c>
      <c r="AF708" s="3">
        <v>100.3034</v>
      </c>
      <c r="AH708" s="3">
        <v>85.138000000000005</v>
      </c>
      <c r="AI708" s="3">
        <v>86.734049999999996</v>
      </c>
      <c r="AJ708" s="3">
        <v>88.020669999999996</v>
      </c>
      <c r="AK708" s="3">
        <v>77.059529999999995</v>
      </c>
      <c r="AL708" s="3">
        <v>87.228200000000001</v>
      </c>
      <c r="AM708" s="3">
        <v>85.521619999999999</v>
      </c>
      <c r="AN708" s="3">
        <v>87.762969999999996</v>
      </c>
      <c r="AO708" s="3">
        <v>87.189800000000005</v>
      </c>
      <c r="AP708" s="3">
        <v>88.067809999999994</v>
      </c>
      <c r="AQ708" s="3">
        <v>91.91892</v>
      </c>
      <c r="AT708" s="3">
        <v>85.784030000000001</v>
      </c>
      <c r="AU708" s="3">
        <v>92.381540000000001</v>
      </c>
      <c r="AV708" s="3">
        <v>96.31326</v>
      </c>
      <c r="AW708" s="3">
        <v>58.232799999999997</v>
      </c>
      <c r="AX708" s="3">
        <v>87.645439999999994</v>
      </c>
      <c r="AY708" s="3">
        <v>66.198300000000003</v>
      </c>
    </row>
    <row r="709" spans="1:51" x14ac:dyDescent="0.2">
      <c r="A709" s="74" t="s">
        <v>606</v>
      </c>
      <c r="B709" s="49">
        <v>39387</v>
      </c>
      <c r="D709" s="3">
        <v>87.749690000000001</v>
      </c>
      <c r="F709" s="3">
        <v>89.470230000000001</v>
      </c>
      <c r="G709" s="3">
        <v>99.41704</v>
      </c>
      <c r="H709" s="3">
        <v>83.121009999999998</v>
      </c>
      <c r="J709" s="3">
        <v>77.726039999999998</v>
      </c>
      <c r="K709" s="3">
        <v>65.880769999999998</v>
      </c>
      <c r="L709" s="3">
        <v>92.6</v>
      </c>
      <c r="M709" s="3">
        <v>90.926190000000005</v>
      </c>
      <c r="N709" s="3">
        <v>87.888959999999997</v>
      </c>
      <c r="O709" s="3">
        <v>91.13</v>
      </c>
      <c r="P709" s="3">
        <v>93.819490000000002</v>
      </c>
      <c r="Q709" s="3">
        <v>86.154949999999999</v>
      </c>
      <c r="S709" s="3">
        <v>89.96217</v>
      </c>
      <c r="T709" s="3">
        <v>92.299120000000002</v>
      </c>
      <c r="V709" s="3">
        <v>89.848290000000006</v>
      </c>
      <c r="W709" s="3">
        <v>86.6</v>
      </c>
      <c r="X709" s="3">
        <v>95.302000000000007</v>
      </c>
      <c r="Y709" s="3">
        <v>79.365009999999998</v>
      </c>
      <c r="AB709" s="3">
        <v>98.952079999999995</v>
      </c>
      <c r="AC709" s="3">
        <v>67.494510000000005</v>
      </c>
      <c r="AD709" s="3">
        <v>85.728660000000005</v>
      </c>
      <c r="AE709" s="3">
        <v>89.537000000000006</v>
      </c>
      <c r="AF709" s="3">
        <v>100.21339999999999</v>
      </c>
      <c r="AH709" s="3">
        <v>85.662700000000001</v>
      </c>
      <c r="AI709" s="3">
        <v>86.841499999999996</v>
      </c>
      <c r="AJ709" s="3">
        <v>88.342420000000004</v>
      </c>
      <c r="AK709" s="3">
        <v>77.296689999999998</v>
      </c>
      <c r="AL709" s="3">
        <v>87.063829999999996</v>
      </c>
      <c r="AM709" s="3">
        <v>85.803920000000005</v>
      </c>
      <c r="AN709" s="3">
        <v>87.871219999999994</v>
      </c>
      <c r="AO709" s="3">
        <v>87.399969999999996</v>
      </c>
      <c r="AP709" s="3">
        <v>88.154750000000007</v>
      </c>
      <c r="AQ709" s="3">
        <v>92.056380000000004</v>
      </c>
      <c r="AT709" s="3">
        <v>86.097089999999994</v>
      </c>
      <c r="AU709" s="3">
        <v>92.921549999999996</v>
      </c>
      <c r="AV709" s="3">
        <v>96.460710000000006</v>
      </c>
      <c r="AW709" s="3">
        <v>59.421550000000003</v>
      </c>
      <c r="AX709" s="3">
        <v>87.693730000000002</v>
      </c>
      <c r="AY709" s="3">
        <v>66.315610000000007</v>
      </c>
    </row>
    <row r="710" spans="1:51" x14ac:dyDescent="0.2">
      <c r="A710" s="74" t="s">
        <v>607</v>
      </c>
      <c r="B710" s="49">
        <v>39417</v>
      </c>
      <c r="D710" s="3">
        <v>88.002200000000002</v>
      </c>
      <c r="F710" s="3">
        <v>89.377110000000002</v>
      </c>
      <c r="G710" s="3">
        <v>99.555819999999997</v>
      </c>
      <c r="H710" s="3">
        <v>83.727279999999993</v>
      </c>
      <c r="J710" s="3">
        <v>77.982669999999999</v>
      </c>
      <c r="K710" s="3">
        <v>66.386179999999996</v>
      </c>
      <c r="L710" s="3">
        <v>92.7</v>
      </c>
      <c r="M710" s="3">
        <v>91.805629999999994</v>
      </c>
      <c r="N710" s="3">
        <v>87.971360000000004</v>
      </c>
      <c r="O710" s="3">
        <v>91.55</v>
      </c>
      <c r="P710" s="3">
        <v>93.984870000000001</v>
      </c>
      <c r="Q710" s="3">
        <v>86.325220000000002</v>
      </c>
      <c r="S710" s="3">
        <v>89.859110000000001</v>
      </c>
      <c r="T710" s="3">
        <v>92.570610000000002</v>
      </c>
      <c r="V710" s="3">
        <v>89.955110000000005</v>
      </c>
      <c r="W710" s="3">
        <v>87</v>
      </c>
      <c r="X710" s="3">
        <v>95.692300000000003</v>
      </c>
      <c r="Y710" s="3">
        <v>79.472130000000007</v>
      </c>
      <c r="AB710" s="3">
        <v>98.983760000000004</v>
      </c>
      <c r="AC710" s="3">
        <v>67.825969999999998</v>
      </c>
      <c r="AD710" s="3">
        <v>86.030529999999999</v>
      </c>
      <c r="AE710" s="3">
        <v>89.684299999999993</v>
      </c>
      <c r="AF710" s="3">
        <v>100.18170000000001</v>
      </c>
      <c r="AH710" s="3">
        <v>85.793599999999998</v>
      </c>
      <c r="AI710" s="3">
        <v>86.907629999999997</v>
      </c>
      <c r="AJ710" s="3">
        <v>88.434809999999999</v>
      </c>
      <c r="AK710" s="3">
        <v>77.547920000000005</v>
      </c>
      <c r="AL710" s="3">
        <v>86.592089999999999</v>
      </c>
      <c r="AM710" s="3">
        <v>86.028760000000005</v>
      </c>
      <c r="AN710" s="3">
        <v>87.985560000000007</v>
      </c>
      <c r="AO710" s="3">
        <v>87.694590000000005</v>
      </c>
      <c r="AP710" s="3">
        <v>88.328620000000001</v>
      </c>
      <c r="AQ710" s="3">
        <v>92.098659999999995</v>
      </c>
      <c r="AT710" s="3">
        <v>86.211219999999997</v>
      </c>
      <c r="AU710" s="3">
        <v>93.121549999999999</v>
      </c>
      <c r="AV710" s="3">
        <v>96.591399999999993</v>
      </c>
      <c r="AW710" s="3">
        <v>59.413379999999997</v>
      </c>
      <c r="AX710" s="3">
        <v>87.66113</v>
      </c>
      <c r="AY710" s="3">
        <v>66.6892</v>
      </c>
    </row>
    <row r="711" spans="1:51" x14ac:dyDescent="0.2">
      <c r="A711" s="3" t="s">
        <v>608</v>
      </c>
      <c r="B711" s="49">
        <v>39448</v>
      </c>
      <c r="D711" s="3">
        <v>88.021630000000002</v>
      </c>
      <c r="F711" s="3">
        <v>88.943420000000003</v>
      </c>
      <c r="G711" s="3">
        <v>98.974010000000007</v>
      </c>
      <c r="H711" s="3">
        <v>83.985830000000007</v>
      </c>
      <c r="J711" s="3">
        <v>78.565939999999998</v>
      </c>
      <c r="K711" s="3">
        <v>66.735849999999999</v>
      </c>
      <c r="L711" s="3">
        <v>94.7</v>
      </c>
      <c r="M711" s="3">
        <v>91.07141</v>
      </c>
      <c r="N711" s="3">
        <v>87.651309999999995</v>
      </c>
      <c r="O711" s="3">
        <v>90.59</v>
      </c>
      <c r="P711" s="3">
        <v>92.69811</v>
      </c>
      <c r="Q711" s="3">
        <v>87.346819999999994</v>
      </c>
      <c r="S711" s="3">
        <v>89.807580000000002</v>
      </c>
      <c r="T711" s="3">
        <v>92.035480000000007</v>
      </c>
      <c r="V711" s="3">
        <v>89.941860000000005</v>
      </c>
      <c r="W711" s="3">
        <v>86.4</v>
      </c>
      <c r="X711" s="3">
        <v>94.868099999999998</v>
      </c>
      <c r="Y711" s="3">
        <v>80.019030000000001</v>
      </c>
      <c r="AB711" s="3">
        <v>98.2136</v>
      </c>
      <c r="AC711" s="3">
        <v>67.701679999999996</v>
      </c>
      <c r="AD711" s="3">
        <v>85.527420000000006</v>
      </c>
      <c r="AE711" s="3">
        <v>89.933310000000006</v>
      </c>
      <c r="AF711" s="3">
        <v>99.710040000000006</v>
      </c>
      <c r="AH711" s="3">
        <v>86.165700000000001</v>
      </c>
      <c r="AI711" s="3">
        <v>85.998379999999997</v>
      </c>
      <c r="AJ711" s="3">
        <v>91.044650000000004</v>
      </c>
      <c r="AK711" s="3">
        <v>77.882819999999995</v>
      </c>
      <c r="AL711" s="3">
        <v>86.622579999999999</v>
      </c>
      <c r="AM711" s="3">
        <v>85.432879999999997</v>
      </c>
      <c r="AN711" s="3">
        <v>87.96651</v>
      </c>
      <c r="AO711" s="3">
        <v>87.28989</v>
      </c>
      <c r="AP711" s="3">
        <v>88.763310000000004</v>
      </c>
      <c r="AQ711" s="3">
        <v>91.490679999999998</v>
      </c>
      <c r="AT711" s="3">
        <v>87.224930000000001</v>
      </c>
      <c r="AU711" s="3">
        <v>92.131540000000001</v>
      </c>
      <c r="AV711" s="3">
        <v>95.133679999999998</v>
      </c>
      <c r="AW711" s="3">
        <v>59.094749999999998</v>
      </c>
      <c r="AX711" s="3">
        <v>87.983930000000001</v>
      </c>
      <c r="AY711" s="3">
        <v>67.621669999999995</v>
      </c>
    </row>
    <row r="712" spans="1:51" x14ac:dyDescent="0.2">
      <c r="A712" s="74" t="s">
        <v>609</v>
      </c>
      <c r="B712" s="49">
        <v>39479</v>
      </c>
      <c r="D712" s="3">
        <v>88.468379999999996</v>
      </c>
      <c r="F712" s="3">
        <v>89.270700000000005</v>
      </c>
      <c r="G712" s="3">
        <v>99.324219999999997</v>
      </c>
      <c r="H712" s="3">
        <v>84.003659999999996</v>
      </c>
      <c r="J712" s="3">
        <v>79.137540000000001</v>
      </c>
      <c r="K712" s="3">
        <v>67.567830000000001</v>
      </c>
      <c r="L712" s="3">
        <v>95.1</v>
      </c>
      <c r="M712" s="3">
        <v>91.475030000000004</v>
      </c>
      <c r="N712" s="3">
        <v>89.050939999999997</v>
      </c>
      <c r="O712" s="3">
        <v>90.97</v>
      </c>
      <c r="P712" s="3">
        <v>92.910889999999995</v>
      </c>
      <c r="Q712" s="3">
        <v>87.800870000000003</v>
      </c>
      <c r="S712" s="3">
        <v>90.382990000000007</v>
      </c>
      <c r="T712" s="3">
        <v>92.324020000000004</v>
      </c>
      <c r="V712" s="3">
        <v>90.180509999999998</v>
      </c>
      <c r="W712" s="3">
        <v>86.6</v>
      </c>
      <c r="X712" s="3">
        <v>93.603890000000007</v>
      </c>
      <c r="Y712" s="3">
        <v>80.271240000000006</v>
      </c>
      <c r="AB712" s="3">
        <v>99.708290000000005</v>
      </c>
      <c r="AC712" s="3">
        <v>68.573779999999999</v>
      </c>
      <c r="AD712" s="3">
        <v>85.02431</v>
      </c>
      <c r="AE712" s="3">
        <v>90.116770000000002</v>
      </c>
      <c r="AF712" s="3">
        <v>99.512339999999995</v>
      </c>
      <c r="AH712" s="3">
        <v>87.0792</v>
      </c>
      <c r="AI712" s="3">
        <v>87.312659999999994</v>
      </c>
      <c r="AJ712" s="3">
        <v>92.131889999999999</v>
      </c>
      <c r="AK712" s="3">
        <v>78.26782</v>
      </c>
      <c r="AL712" s="3">
        <v>87.267399999999995</v>
      </c>
      <c r="AM712" s="3">
        <v>86.096490000000003</v>
      </c>
      <c r="AN712" s="3">
        <v>88.203180000000003</v>
      </c>
      <c r="AO712" s="3">
        <v>87.535430000000005</v>
      </c>
      <c r="AP712" s="3">
        <v>88.850250000000003</v>
      </c>
      <c r="AQ712" s="3">
        <v>91.555319999999995</v>
      </c>
      <c r="AT712" s="3">
        <v>87.671779999999998</v>
      </c>
      <c r="AU712" s="3">
        <v>92.731539999999995</v>
      </c>
      <c r="AV712" s="3">
        <v>95.458730000000003</v>
      </c>
      <c r="AW712" s="3">
        <v>58.886409999999998</v>
      </c>
      <c r="AX712" s="3">
        <v>88.284450000000007</v>
      </c>
      <c r="AY712" s="3">
        <v>67.954400000000007</v>
      </c>
    </row>
    <row r="713" spans="1:51" x14ac:dyDescent="0.2">
      <c r="A713" s="74" t="s">
        <v>610</v>
      </c>
      <c r="B713" s="49">
        <v>39508</v>
      </c>
      <c r="D713" s="3">
        <v>88.623779999999996</v>
      </c>
      <c r="F713" s="3">
        <v>89.346019999999996</v>
      </c>
      <c r="G713" s="3">
        <v>99.413570000000007</v>
      </c>
      <c r="H713" s="3">
        <v>84.609930000000006</v>
      </c>
      <c r="J713" s="3">
        <v>79.650819999999996</v>
      </c>
      <c r="K713" s="3">
        <v>67.748689999999996</v>
      </c>
      <c r="L713" s="3">
        <v>95.1</v>
      </c>
      <c r="M713" s="3">
        <v>91.738979999999998</v>
      </c>
      <c r="N713" s="3">
        <v>89.393039999999999</v>
      </c>
      <c r="O713" s="3">
        <v>91.83</v>
      </c>
      <c r="P713" s="3">
        <v>93.678309999999996</v>
      </c>
      <c r="Q713" s="3">
        <v>88.198149999999998</v>
      </c>
      <c r="S713" s="3">
        <v>91.070049999999995</v>
      </c>
      <c r="T713" s="3">
        <v>92.882270000000005</v>
      </c>
      <c r="V713" s="3">
        <v>90.570589999999996</v>
      </c>
      <c r="W713" s="3">
        <v>86.9</v>
      </c>
      <c r="X713" s="3">
        <v>96.193979999999996</v>
      </c>
      <c r="Y713" s="3">
        <v>80.71696</v>
      </c>
      <c r="AB713" s="3">
        <v>100.438</v>
      </c>
      <c r="AC713" s="3">
        <v>69.569429999999997</v>
      </c>
      <c r="AD713" s="3">
        <v>85.225560000000002</v>
      </c>
      <c r="AE713" s="3">
        <v>90.466130000000007</v>
      </c>
      <c r="AF713" s="3">
        <v>99.977339999999998</v>
      </c>
      <c r="AH713" s="3">
        <v>87.950199999999995</v>
      </c>
      <c r="AI713" s="3">
        <v>87.659829999999999</v>
      </c>
      <c r="AJ713" s="3">
        <v>93.404309999999995</v>
      </c>
      <c r="AK713" s="3">
        <v>78.696780000000004</v>
      </c>
      <c r="AL713" s="3">
        <v>88.18826</v>
      </c>
      <c r="AM713" s="3">
        <v>86.577809999999999</v>
      </c>
      <c r="AN713" s="3">
        <v>88.653019999999998</v>
      </c>
      <c r="AO713" s="3">
        <v>88.038650000000004</v>
      </c>
      <c r="AP713" s="3">
        <v>89.111059999999995</v>
      </c>
      <c r="AQ713" s="3">
        <v>93.093630000000005</v>
      </c>
      <c r="AT713" s="3">
        <v>87.860020000000006</v>
      </c>
      <c r="AU713" s="3">
        <v>93.851560000000006</v>
      </c>
      <c r="AV713" s="3">
        <v>96.413790000000006</v>
      </c>
      <c r="AW713" s="3">
        <v>59.413379999999997</v>
      </c>
      <c r="AX713" s="3">
        <v>88.69726</v>
      </c>
      <c r="AY713" s="3">
        <v>68.627080000000007</v>
      </c>
    </row>
    <row r="714" spans="1:51" x14ac:dyDescent="0.2">
      <c r="A714" s="74" t="s">
        <v>611</v>
      </c>
      <c r="B714" s="49">
        <v>39539</v>
      </c>
      <c r="D714" s="3">
        <v>88.478099999999998</v>
      </c>
      <c r="F714" s="3">
        <v>89.481179999999995</v>
      </c>
      <c r="G714" s="3">
        <v>100.3845</v>
      </c>
      <c r="H714" s="3">
        <v>84.752579999999995</v>
      </c>
      <c r="J714" s="3">
        <v>79.954120000000003</v>
      </c>
      <c r="K714" s="3">
        <v>68.162670000000006</v>
      </c>
      <c r="L714" s="3">
        <v>95.4</v>
      </c>
      <c r="M714" s="3">
        <v>91.380439999999993</v>
      </c>
      <c r="N714" s="3">
        <v>89.541430000000005</v>
      </c>
      <c r="O714" s="3">
        <v>92</v>
      </c>
      <c r="P714" s="3">
        <v>94.920689999999993</v>
      </c>
      <c r="Q714" s="3">
        <v>88.538690000000003</v>
      </c>
      <c r="S714" s="3">
        <v>91.181700000000006</v>
      </c>
      <c r="T714" s="3">
        <v>93.057969999999997</v>
      </c>
      <c r="V714" s="3">
        <v>90.646199999999993</v>
      </c>
      <c r="W714" s="3">
        <v>87.3</v>
      </c>
      <c r="X714" s="3">
        <v>96.601799999999997</v>
      </c>
      <c r="Y714" s="3">
        <v>80.869609999999994</v>
      </c>
      <c r="AB714" s="3">
        <v>100.51439999999999</v>
      </c>
      <c r="AC714" s="3">
        <v>71.612470000000002</v>
      </c>
      <c r="AD714" s="3">
        <v>86.231769999999997</v>
      </c>
      <c r="AE714" s="3">
        <v>90.524439999999998</v>
      </c>
      <c r="AF714" s="3">
        <v>100.07</v>
      </c>
      <c r="AH714" s="3">
        <v>88.984800000000007</v>
      </c>
      <c r="AI714" s="3">
        <v>87.841669999999993</v>
      </c>
      <c r="AJ714" s="3">
        <v>94.088449999999995</v>
      </c>
      <c r="AK714" s="3">
        <v>78.860730000000004</v>
      </c>
      <c r="AL714" s="3">
        <v>88.409189999999995</v>
      </c>
      <c r="AM714" s="3">
        <v>86.799409999999995</v>
      </c>
      <c r="AN714" s="3">
        <v>88.857200000000006</v>
      </c>
      <c r="AO714" s="3">
        <v>88.350999999999999</v>
      </c>
      <c r="AP714" s="3">
        <v>89.371870000000001</v>
      </c>
      <c r="AQ714" s="3">
        <v>93.271709999999999</v>
      </c>
      <c r="AT714" s="3">
        <v>87.850009999999997</v>
      </c>
      <c r="AU714" s="3">
        <v>94.551569999999998</v>
      </c>
      <c r="AV714" s="3">
        <v>96.748900000000006</v>
      </c>
      <c r="AW714" s="3">
        <v>60.610309999999998</v>
      </c>
      <c r="AX714" s="3">
        <v>88.776920000000004</v>
      </c>
      <c r="AY714" s="3">
        <v>68.740390000000005</v>
      </c>
    </row>
    <row r="715" spans="1:51" x14ac:dyDescent="0.2">
      <c r="A715" s="74" t="s">
        <v>612</v>
      </c>
      <c r="B715" s="49">
        <v>39569</v>
      </c>
      <c r="D715" s="3">
        <v>88.818020000000004</v>
      </c>
      <c r="F715" s="3">
        <v>89.673550000000006</v>
      </c>
      <c r="G715" s="3">
        <v>100.6384</v>
      </c>
      <c r="H715" s="3">
        <v>85.40343</v>
      </c>
      <c r="J715" s="3">
        <v>80.187420000000003</v>
      </c>
      <c r="K715" s="3">
        <v>68.918270000000007</v>
      </c>
      <c r="L715" s="3">
        <v>95.5</v>
      </c>
      <c r="M715" s="3">
        <v>91.663960000000003</v>
      </c>
      <c r="N715" s="3">
        <v>89.695949999999996</v>
      </c>
      <c r="O715" s="3">
        <v>92.24</v>
      </c>
      <c r="P715" s="3">
        <v>95.194990000000004</v>
      </c>
      <c r="Q715" s="3">
        <v>88.652199999999993</v>
      </c>
      <c r="S715" s="3">
        <v>91.241820000000004</v>
      </c>
      <c r="T715" s="3">
        <v>93.156450000000007</v>
      </c>
      <c r="V715" s="3">
        <v>90.779610000000005</v>
      </c>
      <c r="W715" s="3">
        <v>87.6</v>
      </c>
      <c r="X715" s="3">
        <v>97.271010000000004</v>
      </c>
      <c r="Y715" s="3">
        <v>81.17698</v>
      </c>
      <c r="AB715" s="3">
        <v>100.97580000000001</v>
      </c>
      <c r="AC715" s="3">
        <v>72.38082</v>
      </c>
      <c r="AD715" s="3">
        <v>86.533619999999999</v>
      </c>
      <c r="AE715" s="3">
        <v>90.74239</v>
      </c>
      <c r="AF715" s="3">
        <v>100.34820000000001</v>
      </c>
      <c r="AH715" s="3">
        <v>89.427400000000006</v>
      </c>
      <c r="AI715" s="3">
        <v>87.973929999999996</v>
      </c>
      <c r="AJ715" s="3">
        <v>94.606430000000003</v>
      </c>
      <c r="AK715" s="3">
        <v>78.991770000000002</v>
      </c>
      <c r="AL715" s="3">
        <v>88.525279999999995</v>
      </c>
      <c r="AM715" s="3">
        <v>86.711699999999993</v>
      </c>
      <c r="AN715" s="3">
        <v>89.052499999999995</v>
      </c>
      <c r="AO715" s="3">
        <v>88.687920000000005</v>
      </c>
      <c r="AP715" s="3">
        <v>89.545749999999998</v>
      </c>
      <c r="AQ715" s="3">
        <v>93.388499999999993</v>
      </c>
      <c r="AT715" s="3">
        <v>87.945480000000003</v>
      </c>
      <c r="AU715" s="3">
        <v>94.931579999999997</v>
      </c>
      <c r="AV715" s="3">
        <v>96.926509999999993</v>
      </c>
      <c r="AW715" s="3">
        <v>61.995150000000002</v>
      </c>
      <c r="AX715" s="3">
        <v>88.82687</v>
      </c>
      <c r="AY715" s="3">
        <v>68.96481</v>
      </c>
    </row>
    <row r="716" spans="1:51" x14ac:dyDescent="0.2">
      <c r="A716" s="74" t="s">
        <v>613</v>
      </c>
      <c r="B716" s="49">
        <v>39600</v>
      </c>
      <c r="D716" s="3">
        <v>89.021979999999999</v>
      </c>
      <c r="F716" s="3">
        <v>89.703509999999994</v>
      </c>
      <c r="G716" s="3">
        <v>100.3057</v>
      </c>
      <c r="H716" s="3">
        <v>85.822460000000007</v>
      </c>
      <c r="J716" s="3">
        <v>80.385729999999995</v>
      </c>
      <c r="K716" s="3">
        <v>69.580439999999996</v>
      </c>
      <c r="L716" s="3">
        <v>95.5</v>
      </c>
      <c r="M716" s="3">
        <v>91.659570000000002</v>
      </c>
      <c r="N716" s="3">
        <v>89.623720000000006</v>
      </c>
      <c r="O716" s="3">
        <v>92.33</v>
      </c>
      <c r="P716" s="3">
        <v>95.368440000000007</v>
      </c>
      <c r="Q716" s="3">
        <v>88.935969999999998</v>
      </c>
      <c r="S716" s="3">
        <v>91.430760000000006</v>
      </c>
      <c r="T716" s="3">
        <v>93.19153</v>
      </c>
      <c r="V716" s="3">
        <v>90.90128</v>
      </c>
      <c r="W716" s="3">
        <v>87.9</v>
      </c>
      <c r="X716" s="3">
        <v>97.392949999999999</v>
      </c>
      <c r="Y716" s="3">
        <v>81.268129999999999</v>
      </c>
      <c r="AB716" s="3">
        <v>101.27070000000001</v>
      </c>
      <c r="AC716" s="3">
        <v>72.806489999999997</v>
      </c>
      <c r="AD716" s="3">
        <v>86.936099999999996</v>
      </c>
      <c r="AE716" s="3">
        <v>90.910749999999993</v>
      </c>
      <c r="AF716" s="3">
        <v>100.3342</v>
      </c>
      <c r="AH716" s="3">
        <v>89.735699999999994</v>
      </c>
      <c r="AI716" s="3">
        <v>88.015259999999998</v>
      </c>
      <c r="AJ716" s="3">
        <v>94.709379999999996</v>
      </c>
      <c r="AK716" s="3">
        <v>79.302670000000006</v>
      </c>
      <c r="AL716" s="3">
        <v>88.101650000000006</v>
      </c>
      <c r="AM716" s="3">
        <v>86.908879999999996</v>
      </c>
      <c r="AN716" s="3">
        <v>89.188159999999996</v>
      </c>
      <c r="AO716" s="3">
        <v>88.818520000000007</v>
      </c>
      <c r="AP716" s="3">
        <v>89.806560000000005</v>
      </c>
      <c r="AQ716" s="3">
        <v>93.435180000000003</v>
      </c>
      <c r="AT716" s="3">
        <v>88.127579999999995</v>
      </c>
      <c r="AU716" s="3">
        <v>95.371589999999998</v>
      </c>
      <c r="AV716" s="3">
        <v>97.084010000000006</v>
      </c>
      <c r="AW716" s="3">
        <v>62.40775</v>
      </c>
      <c r="AX716" s="3">
        <v>88.980850000000004</v>
      </c>
      <c r="AY716" s="3">
        <v>69.770349999999993</v>
      </c>
    </row>
    <row r="717" spans="1:51" x14ac:dyDescent="0.2">
      <c r="A717" s="74" t="s">
        <v>614</v>
      </c>
      <c r="B717" s="49">
        <v>39630</v>
      </c>
      <c r="D717" s="3">
        <v>89.381330000000005</v>
      </c>
      <c r="F717" s="3">
        <v>89.650279999999995</v>
      </c>
      <c r="G717" s="3">
        <v>99.578999999999994</v>
      </c>
      <c r="H717" s="3">
        <v>86.562470000000005</v>
      </c>
      <c r="J717" s="3">
        <v>80.630709999999993</v>
      </c>
      <c r="K717" s="3">
        <v>70.829409999999996</v>
      </c>
      <c r="L717" s="3">
        <v>95.9</v>
      </c>
      <c r="M717" s="3">
        <v>92.189980000000006</v>
      </c>
      <c r="N717" s="3">
        <v>89.20711</v>
      </c>
      <c r="O717" s="3">
        <v>91.9</v>
      </c>
      <c r="P717" s="3">
        <v>94.291439999999994</v>
      </c>
      <c r="Q717" s="3">
        <v>89.617040000000003</v>
      </c>
      <c r="S717" s="3">
        <v>91.078639999999993</v>
      </c>
      <c r="T717" s="3">
        <v>92.902169999999998</v>
      </c>
      <c r="V717" s="3">
        <v>91.055179999999993</v>
      </c>
      <c r="W717" s="3">
        <v>87.8</v>
      </c>
      <c r="X717" s="3">
        <v>96.487520000000004</v>
      </c>
      <c r="Y717" s="3">
        <v>81.347179999999994</v>
      </c>
      <c r="AB717" s="3">
        <v>100.8904</v>
      </c>
      <c r="AC717" s="3">
        <v>73.292990000000003</v>
      </c>
      <c r="AD717" s="3">
        <v>87.539829999999995</v>
      </c>
      <c r="AE717" s="3">
        <v>91.305049999999994</v>
      </c>
      <c r="AF717" s="3">
        <v>100.316</v>
      </c>
      <c r="AH717" s="3">
        <v>89.835700000000003</v>
      </c>
      <c r="AI717" s="3">
        <v>87.180400000000006</v>
      </c>
      <c r="AJ717" s="3">
        <v>94.516239999999996</v>
      </c>
      <c r="AK717" s="3">
        <v>79.646739999999994</v>
      </c>
      <c r="AL717" s="3">
        <v>87.938980000000001</v>
      </c>
      <c r="AM717" s="3">
        <v>86.723339999999993</v>
      </c>
      <c r="AN717" s="3">
        <v>89.290400000000005</v>
      </c>
      <c r="AO717" s="3">
        <v>88.726839999999996</v>
      </c>
      <c r="AP717" s="3">
        <v>89.980440000000002</v>
      </c>
      <c r="AQ717" s="3">
        <v>92.758520000000004</v>
      </c>
      <c r="AT717" s="3">
        <v>88.442760000000007</v>
      </c>
      <c r="AU717" s="3">
        <v>94.801580000000001</v>
      </c>
      <c r="AV717" s="3">
        <v>96.547839999999994</v>
      </c>
      <c r="AW717" s="3">
        <v>61.991070000000001</v>
      </c>
      <c r="AX717" s="3">
        <v>89.183949999999996</v>
      </c>
      <c r="AY717" s="3">
        <v>70.336609999999993</v>
      </c>
    </row>
    <row r="718" spans="1:51" x14ac:dyDescent="0.2">
      <c r="A718" s="74" t="s">
        <v>615</v>
      </c>
      <c r="B718" s="49">
        <v>39661</v>
      </c>
      <c r="D718" s="3">
        <v>89.391040000000004</v>
      </c>
      <c r="F718" s="3">
        <v>89.904049999999998</v>
      </c>
      <c r="G718" s="3">
        <v>99.80686</v>
      </c>
      <c r="H718" s="3">
        <v>87.034999999999997</v>
      </c>
      <c r="J718" s="3">
        <v>80.82902</v>
      </c>
      <c r="K718" s="3">
        <v>71.746790000000004</v>
      </c>
      <c r="L718" s="3">
        <v>96.2</v>
      </c>
      <c r="M718" s="3">
        <v>92.268429999999995</v>
      </c>
      <c r="N718" s="3">
        <v>89.601479999999995</v>
      </c>
      <c r="O718" s="3">
        <v>92.21</v>
      </c>
      <c r="P718" s="3">
        <v>94.564719999999994</v>
      </c>
      <c r="Q718" s="3">
        <v>90.638639999999995</v>
      </c>
      <c r="S718" s="3">
        <v>91.963229999999996</v>
      </c>
      <c r="T718" s="3">
        <v>93.471950000000007</v>
      </c>
      <c r="V718" s="3">
        <v>91.279089999999997</v>
      </c>
      <c r="W718" s="3">
        <v>88.2</v>
      </c>
      <c r="X718" s="3">
        <v>95.463489999999993</v>
      </c>
      <c r="Y718" s="3">
        <v>81.315060000000003</v>
      </c>
      <c r="AB718" s="3">
        <v>101.5017</v>
      </c>
      <c r="AC718" s="3">
        <v>74.072659999999999</v>
      </c>
      <c r="AD718" s="3">
        <v>88.546040000000005</v>
      </c>
      <c r="AE718" s="3">
        <v>91.678380000000004</v>
      </c>
      <c r="AF718" s="3">
        <v>100.4739</v>
      </c>
      <c r="AH718" s="3">
        <v>90.192899999999995</v>
      </c>
      <c r="AI718" s="3">
        <v>88.238439999999997</v>
      </c>
      <c r="AJ718" s="3">
        <v>94.901300000000006</v>
      </c>
      <c r="AK718" s="3">
        <v>80.021950000000004</v>
      </c>
      <c r="AL718" s="3">
        <v>88.385990000000007</v>
      </c>
      <c r="AM718" s="3">
        <v>86.759219999999999</v>
      </c>
      <c r="AN718" s="3">
        <v>89.492679999999993</v>
      </c>
      <c r="AO718" s="3">
        <v>88.954070000000002</v>
      </c>
      <c r="AP718" s="3">
        <v>90.06738</v>
      </c>
      <c r="AQ718" s="3">
        <v>92.468980000000002</v>
      </c>
      <c r="AT718" s="3">
        <v>88.938370000000006</v>
      </c>
      <c r="AU718" s="3">
        <v>95.231589999999997</v>
      </c>
      <c r="AV718" s="3">
        <v>97.013630000000006</v>
      </c>
      <c r="AW718" s="3">
        <v>61.725540000000002</v>
      </c>
      <c r="AX718" s="3">
        <v>89.361869999999996</v>
      </c>
      <c r="AY718" s="3">
        <v>70.796530000000004</v>
      </c>
    </row>
    <row r="719" spans="1:51" x14ac:dyDescent="0.2">
      <c r="A719" s="74" t="s">
        <v>616</v>
      </c>
      <c r="B719" s="49">
        <v>39692</v>
      </c>
      <c r="D719" s="3">
        <v>89.410470000000004</v>
      </c>
      <c r="F719" s="3">
        <v>90.232159999999993</v>
      </c>
      <c r="G719" s="3">
        <v>99.998059999999995</v>
      </c>
      <c r="H719" s="3">
        <v>87.650180000000006</v>
      </c>
      <c r="J719" s="3">
        <v>80.957340000000002</v>
      </c>
      <c r="K719" s="3">
        <v>72.259240000000005</v>
      </c>
      <c r="L719" s="3">
        <v>96</v>
      </c>
      <c r="M719" s="3">
        <v>92.115039999999993</v>
      </c>
      <c r="N719" s="3">
        <v>90.142380000000003</v>
      </c>
      <c r="O719" s="3">
        <v>92.49</v>
      </c>
      <c r="P719" s="3">
        <v>94.739170000000001</v>
      </c>
      <c r="Q719" s="3">
        <v>91.660240000000002</v>
      </c>
      <c r="S719" s="3">
        <v>92.375470000000007</v>
      </c>
      <c r="T719" s="3">
        <v>93.421880000000002</v>
      </c>
      <c r="V719" s="3">
        <v>91.381259999999997</v>
      </c>
      <c r="W719" s="3">
        <v>88.3</v>
      </c>
      <c r="X719" s="3">
        <v>97.885559999999998</v>
      </c>
      <c r="Y719" s="3">
        <v>81.41919</v>
      </c>
      <c r="AB719" s="3">
        <v>101.8959</v>
      </c>
      <c r="AC719" s="3">
        <v>74.821640000000002</v>
      </c>
      <c r="AD719" s="3">
        <v>88.546040000000005</v>
      </c>
      <c r="AE719" s="3">
        <v>91.384870000000006</v>
      </c>
      <c r="AF719" s="3">
        <v>100.70489999999999</v>
      </c>
      <c r="AH719" s="3">
        <v>90.820400000000006</v>
      </c>
      <c r="AI719" s="3">
        <v>88.403760000000005</v>
      </c>
      <c r="AJ719" s="3">
        <v>96.597539999999995</v>
      </c>
      <c r="AK719" s="3">
        <v>80.536090000000002</v>
      </c>
      <c r="AL719" s="3">
        <v>88.893360000000001</v>
      </c>
      <c r="AM719" s="3">
        <v>87.637540000000001</v>
      </c>
      <c r="AN719" s="3">
        <v>89.676249999999996</v>
      </c>
      <c r="AO719" s="3">
        <v>89.098560000000006</v>
      </c>
      <c r="AP719" s="3">
        <v>90.328190000000006</v>
      </c>
      <c r="AQ719" s="3">
        <v>93.443629999999999</v>
      </c>
      <c r="AT719" s="3">
        <v>89.692760000000007</v>
      </c>
      <c r="AU719" s="3">
        <v>95.451589999999996</v>
      </c>
      <c r="AV719" s="3">
        <v>98.069220000000001</v>
      </c>
      <c r="AW719" s="3">
        <v>61.958390000000001</v>
      </c>
      <c r="AX719" s="3">
        <v>89.521209999999996</v>
      </c>
      <c r="AY719" s="3">
        <v>71.438469999999995</v>
      </c>
    </row>
    <row r="720" spans="1:51" x14ac:dyDescent="0.2">
      <c r="A720" s="74" t="s">
        <v>617</v>
      </c>
      <c r="B720" s="49">
        <v>39722</v>
      </c>
      <c r="D720" s="3">
        <v>89.653270000000006</v>
      </c>
      <c r="F720" s="3">
        <v>90.287540000000007</v>
      </c>
      <c r="G720" s="3">
        <v>100.8171</v>
      </c>
      <c r="H720" s="3">
        <v>88.194040000000001</v>
      </c>
      <c r="J720" s="3">
        <v>81.237300000000005</v>
      </c>
      <c r="K720" s="3">
        <v>73.098249999999993</v>
      </c>
      <c r="L720" s="3">
        <v>95.7</v>
      </c>
      <c r="M720" s="3">
        <v>92.169640000000001</v>
      </c>
      <c r="N720" s="3">
        <v>90.248369999999994</v>
      </c>
      <c r="O720" s="3">
        <v>92.85</v>
      </c>
      <c r="P720" s="3">
        <v>95.834339999999997</v>
      </c>
      <c r="Q720" s="3">
        <v>91.603489999999994</v>
      </c>
      <c r="S720" s="3">
        <v>92.753360000000001</v>
      </c>
      <c r="T720" s="3">
        <v>93.578620000000001</v>
      </c>
      <c r="V720" s="3">
        <v>91.444670000000002</v>
      </c>
      <c r="W720" s="3">
        <v>88.3</v>
      </c>
      <c r="X720" s="3">
        <v>98.209109999999995</v>
      </c>
      <c r="Y720" s="3">
        <v>81.745069999999998</v>
      </c>
      <c r="AB720" s="3">
        <v>101.97110000000001</v>
      </c>
      <c r="AC720" s="3">
        <v>76.406099999999995</v>
      </c>
      <c r="AD720" s="3">
        <v>88.747280000000003</v>
      </c>
      <c r="AE720" s="3">
        <v>91.501599999999996</v>
      </c>
      <c r="AF720" s="3">
        <v>100.7239</v>
      </c>
      <c r="AH720" s="3">
        <v>91.588899999999995</v>
      </c>
      <c r="AI720" s="3">
        <v>88.536010000000005</v>
      </c>
      <c r="AJ720" s="3">
        <v>96.989170000000001</v>
      </c>
      <c r="AK720" s="3">
        <v>80.856480000000005</v>
      </c>
      <c r="AL720" s="3">
        <v>89.011759999999995</v>
      </c>
      <c r="AM720" s="3">
        <v>87.777360000000002</v>
      </c>
      <c r="AN720" s="3">
        <v>89.846879999999999</v>
      </c>
      <c r="AO720" s="3">
        <v>89.397880000000001</v>
      </c>
      <c r="AP720" s="3">
        <v>90.502070000000003</v>
      </c>
      <c r="AQ720" s="3">
        <v>93.797839999999994</v>
      </c>
      <c r="AT720" s="3">
        <v>90.23415</v>
      </c>
      <c r="AU720" s="3">
        <v>95.82159</v>
      </c>
      <c r="AV720" s="3">
        <v>98.709270000000004</v>
      </c>
      <c r="AW720" s="3">
        <v>62.996000000000002</v>
      </c>
      <c r="AX720" s="3">
        <v>89.587670000000003</v>
      </c>
      <c r="AY720" s="3">
        <v>71.691599999999994</v>
      </c>
    </row>
    <row r="721" spans="1:51" x14ac:dyDescent="0.2">
      <c r="A721" s="74" t="s">
        <v>618</v>
      </c>
      <c r="B721" s="49">
        <v>39753</v>
      </c>
      <c r="D721" s="3">
        <v>89.662989999999994</v>
      </c>
      <c r="F721" s="3">
        <v>91.12809</v>
      </c>
      <c r="G721" s="3">
        <v>100.98860000000001</v>
      </c>
      <c r="H721" s="3">
        <v>88.934039999999996</v>
      </c>
      <c r="J721" s="3">
        <v>81.388949999999994</v>
      </c>
      <c r="K721" s="3">
        <v>74.212569999999999</v>
      </c>
      <c r="L721" s="3">
        <v>95.5</v>
      </c>
      <c r="M721" s="3">
        <v>92.177660000000003</v>
      </c>
      <c r="N721" s="3">
        <v>90.211359999999999</v>
      </c>
      <c r="O721" s="3">
        <v>92.89</v>
      </c>
      <c r="P721" s="3">
        <v>96.155010000000004</v>
      </c>
      <c r="Q721" s="3">
        <v>91.773750000000007</v>
      </c>
      <c r="S721" s="3">
        <v>92.564409999999995</v>
      </c>
      <c r="T721" s="3">
        <v>93.604619999999997</v>
      </c>
      <c r="V721" s="3">
        <v>91.394689999999997</v>
      </c>
      <c r="W721" s="3">
        <v>88.5</v>
      </c>
      <c r="X721" s="3">
        <v>98.390929999999997</v>
      </c>
      <c r="Y721" s="3">
        <v>81.734750000000005</v>
      </c>
      <c r="AB721" s="3">
        <v>101.21510000000001</v>
      </c>
      <c r="AC721" s="3">
        <v>77.681939999999997</v>
      </c>
      <c r="AD721" s="3">
        <v>89.149760000000001</v>
      </c>
      <c r="AE721" s="3">
        <v>91.512699999999995</v>
      </c>
      <c r="AF721" s="3">
        <v>100.5193</v>
      </c>
      <c r="AH721" s="3">
        <v>91.725800000000007</v>
      </c>
      <c r="AI721" s="3">
        <v>88.585610000000003</v>
      </c>
      <c r="AJ721" s="3">
        <v>96.927279999999996</v>
      </c>
      <c r="AK721" s="3">
        <v>81.317040000000006</v>
      </c>
      <c r="AL721" s="3">
        <v>89.01952</v>
      </c>
      <c r="AM721" s="3">
        <v>87.661330000000007</v>
      </c>
      <c r="AN721" s="3">
        <v>89.871110000000002</v>
      </c>
      <c r="AO721" s="3">
        <v>89.492159999999998</v>
      </c>
      <c r="AP721" s="3">
        <v>90.588999999999999</v>
      </c>
      <c r="AQ721" s="3">
        <v>93.659059999999997</v>
      </c>
      <c r="AT721" s="3">
        <v>90.824359999999999</v>
      </c>
      <c r="AU721" s="3">
        <v>96.021600000000007</v>
      </c>
      <c r="AV721" s="3">
        <v>98.099379999999996</v>
      </c>
      <c r="AW721" s="3">
        <v>63.498460000000001</v>
      </c>
      <c r="AX721" s="3">
        <v>89.450209999999998</v>
      </c>
      <c r="AY721" s="3">
        <v>71.775229999999993</v>
      </c>
    </row>
    <row r="722" spans="1:51" x14ac:dyDescent="0.2">
      <c r="A722" s="74" t="s">
        <v>619</v>
      </c>
      <c r="B722" s="49">
        <v>39783</v>
      </c>
      <c r="D722" s="3">
        <v>89.876660000000001</v>
      </c>
      <c r="F722" s="3">
        <v>90.998599999999996</v>
      </c>
      <c r="G722" s="3">
        <v>101.15260000000001</v>
      </c>
      <c r="H722" s="3">
        <v>89.156940000000006</v>
      </c>
      <c r="J722" s="3">
        <v>81.750569999999996</v>
      </c>
      <c r="K722" s="3">
        <v>74.702920000000006</v>
      </c>
      <c r="L722" s="3">
        <v>95.5</v>
      </c>
      <c r="M722" s="3">
        <v>93.083500000000001</v>
      </c>
      <c r="N722" s="3">
        <v>90.160030000000006</v>
      </c>
      <c r="O722" s="3">
        <v>93.28</v>
      </c>
      <c r="P722" s="3">
        <v>96.148960000000002</v>
      </c>
      <c r="Q722" s="3">
        <v>91.830510000000004</v>
      </c>
      <c r="S722" s="3">
        <v>92.607349999999997</v>
      </c>
      <c r="T722" s="3">
        <v>93.819599999999994</v>
      </c>
      <c r="V722" s="3">
        <v>91.322239999999994</v>
      </c>
      <c r="W722" s="3">
        <v>88.3</v>
      </c>
      <c r="X722" s="3">
        <v>98.785870000000003</v>
      </c>
      <c r="Y722" s="3">
        <v>81.850809999999996</v>
      </c>
      <c r="AB722" s="3">
        <v>100.1155</v>
      </c>
      <c r="AC722" s="3">
        <v>79.282420000000002</v>
      </c>
      <c r="AD722" s="3">
        <v>89.854100000000003</v>
      </c>
      <c r="AE722" s="3">
        <v>91.623750000000001</v>
      </c>
      <c r="AF722" s="3">
        <v>100.4205</v>
      </c>
      <c r="AH722" s="3">
        <v>91.6511</v>
      </c>
      <c r="AI722" s="3">
        <v>88.643469999999994</v>
      </c>
      <c r="AJ722" s="3">
        <v>96.563239999999993</v>
      </c>
      <c r="AK722" s="3">
        <v>81.718540000000004</v>
      </c>
      <c r="AL722" s="3">
        <v>88.445080000000004</v>
      </c>
      <c r="AM722" s="3">
        <v>87.889790000000005</v>
      </c>
      <c r="AN722" s="3">
        <v>89.840879999999999</v>
      </c>
      <c r="AO722" s="3">
        <v>89.610979999999998</v>
      </c>
      <c r="AP722" s="3">
        <v>90.675939999999997</v>
      </c>
      <c r="AQ722" s="3">
        <v>93.589550000000003</v>
      </c>
      <c r="AT722" s="3">
        <v>90.888159999999999</v>
      </c>
      <c r="AU722" s="3">
        <v>96.151600000000002</v>
      </c>
      <c r="AV722" s="3">
        <v>96.638310000000004</v>
      </c>
      <c r="AW722" s="3">
        <v>63.34731</v>
      </c>
      <c r="AX722" s="3">
        <v>89.206659999999999</v>
      </c>
      <c r="AY722" s="3">
        <v>72.199330000000003</v>
      </c>
    </row>
    <row r="723" spans="1:51" x14ac:dyDescent="0.2">
      <c r="A723" s="3" t="s">
        <v>620</v>
      </c>
      <c r="B723" s="49">
        <v>39814</v>
      </c>
      <c r="D723" s="3">
        <v>89.857230000000001</v>
      </c>
      <c r="F723" s="3">
        <v>90.496989999999997</v>
      </c>
      <c r="G723" s="3">
        <v>100.4782</v>
      </c>
      <c r="H723" s="3">
        <v>88.880549999999999</v>
      </c>
      <c r="J723" s="3">
        <v>82.182190000000006</v>
      </c>
      <c r="K723" s="3">
        <v>75.399240000000006</v>
      </c>
      <c r="L723" s="3">
        <v>96.2</v>
      </c>
      <c r="M723" s="3">
        <v>92.1965</v>
      </c>
      <c r="N723" s="3">
        <v>89.856059999999999</v>
      </c>
      <c r="O723" s="3">
        <v>92.07</v>
      </c>
      <c r="P723" s="3">
        <v>94.471940000000004</v>
      </c>
      <c r="Q723" s="3">
        <v>91.830510000000004</v>
      </c>
      <c r="S723" s="3">
        <v>92.100650000000002</v>
      </c>
      <c r="T723" s="3">
        <v>93.329539999999994</v>
      </c>
      <c r="V723" s="3">
        <v>91.195279999999997</v>
      </c>
      <c r="W723" s="3">
        <v>87.8</v>
      </c>
      <c r="X723" s="3">
        <v>97.818669999999997</v>
      </c>
      <c r="Y723" s="3">
        <v>81.969989999999996</v>
      </c>
      <c r="AB723" s="3">
        <v>98.296809999999994</v>
      </c>
      <c r="AC723" s="3">
        <v>79.477410000000006</v>
      </c>
      <c r="AD723" s="3">
        <v>89.552239999999998</v>
      </c>
      <c r="AE723" s="3">
        <v>91.473690000000005</v>
      </c>
      <c r="AF723" s="3">
        <v>99.565939999999998</v>
      </c>
      <c r="AH723" s="3">
        <v>93.261600000000001</v>
      </c>
      <c r="AI723" s="3">
        <v>87.775549999999996</v>
      </c>
      <c r="AJ723" s="3">
        <v>98.517349999999993</v>
      </c>
      <c r="AK723" s="3">
        <v>82.007199999999997</v>
      </c>
      <c r="AL723" s="3">
        <v>87.966030000000003</v>
      </c>
      <c r="AM723" s="3">
        <v>87.647989999999993</v>
      </c>
      <c r="AN723" s="3">
        <v>89.683250000000001</v>
      </c>
      <c r="AO723" s="3">
        <v>89.092820000000003</v>
      </c>
      <c r="AP723" s="3">
        <v>90.849819999999994</v>
      </c>
      <c r="AQ723" s="3">
        <v>93.073149999999998</v>
      </c>
      <c r="AT723" s="3">
        <v>91.467380000000006</v>
      </c>
      <c r="AU723" s="3">
        <v>94.63158</v>
      </c>
      <c r="AV723" s="3">
        <v>95.813950000000006</v>
      </c>
      <c r="AW723" s="3">
        <v>63.290120000000002</v>
      </c>
      <c r="AX723" s="3">
        <v>89.462180000000004</v>
      </c>
      <c r="AY723" s="3">
        <v>73.019109999999998</v>
      </c>
    </row>
    <row r="724" spans="1:51" x14ac:dyDescent="0.2">
      <c r="A724" s="74" t="s">
        <v>621</v>
      </c>
      <c r="B724" s="49">
        <v>39845</v>
      </c>
      <c r="D724" s="3">
        <v>90.498239999999996</v>
      </c>
      <c r="F724" s="3">
        <v>90.905259999999998</v>
      </c>
      <c r="G724" s="3">
        <v>100.768</v>
      </c>
      <c r="H724" s="3">
        <v>87.413179999999997</v>
      </c>
      <c r="J724" s="3">
        <v>82.998760000000004</v>
      </c>
      <c r="K724" s="3">
        <v>76.20308</v>
      </c>
      <c r="L724" s="3">
        <v>96.2</v>
      </c>
      <c r="M724" s="3">
        <v>92.875389999999996</v>
      </c>
      <c r="N724" s="3">
        <v>91.038309999999996</v>
      </c>
      <c r="O724" s="3">
        <v>92.52</v>
      </c>
      <c r="P724" s="3">
        <v>94.371099999999998</v>
      </c>
      <c r="Q724" s="3">
        <v>91.660240000000002</v>
      </c>
      <c r="S724" s="3">
        <v>91.971819999999994</v>
      </c>
      <c r="T724" s="3">
        <v>93.736670000000004</v>
      </c>
      <c r="V724" s="3">
        <v>91.538550000000001</v>
      </c>
      <c r="W724" s="3">
        <v>88.2</v>
      </c>
      <c r="X724" s="3">
        <v>96.350149999999999</v>
      </c>
      <c r="Y724" s="3">
        <v>82.318439999999995</v>
      </c>
      <c r="AB724" s="3">
        <v>97.764060000000001</v>
      </c>
      <c r="AC724" s="3">
        <v>79.974450000000004</v>
      </c>
      <c r="AD724" s="3">
        <v>89.149760000000001</v>
      </c>
      <c r="AE724" s="3">
        <v>91.659459999999996</v>
      </c>
      <c r="AF724" s="3">
        <v>99.376930000000002</v>
      </c>
      <c r="AH724" s="3">
        <v>93.6006</v>
      </c>
      <c r="AI724" s="3">
        <v>89.461789999999993</v>
      </c>
      <c r="AJ724" s="3">
        <v>99.777919999999995</v>
      </c>
      <c r="AK724" s="3">
        <v>82.361729999999994</v>
      </c>
      <c r="AL724" s="3">
        <v>88.582120000000003</v>
      </c>
      <c r="AM724" s="3">
        <v>88.386799999999994</v>
      </c>
      <c r="AN724" s="3">
        <v>89.962869999999995</v>
      </c>
      <c r="AO724" s="3">
        <v>89.354849999999999</v>
      </c>
      <c r="AP724" s="3">
        <v>91.023690000000002</v>
      </c>
      <c r="AQ724" s="3">
        <v>92.998980000000003</v>
      </c>
      <c r="AT724" s="3">
        <v>91.487459999999999</v>
      </c>
      <c r="AU724" s="3">
        <v>95.051580000000001</v>
      </c>
      <c r="AV724" s="3">
        <v>95.602829999999997</v>
      </c>
      <c r="AW724" s="3">
        <v>63.053190000000001</v>
      </c>
      <c r="AX724" s="3">
        <v>89.860950000000003</v>
      </c>
      <c r="AY724" s="3">
        <v>73.595889999999997</v>
      </c>
    </row>
    <row r="725" spans="1:51" x14ac:dyDescent="0.2">
      <c r="A725" s="74" t="s">
        <v>622</v>
      </c>
      <c r="B725" s="49">
        <v>39873</v>
      </c>
      <c r="D725" s="3">
        <v>90.449680000000001</v>
      </c>
      <c r="F725" s="3">
        <v>91.073939999999993</v>
      </c>
      <c r="G725" s="3">
        <v>100.7294</v>
      </c>
      <c r="H725" s="3">
        <v>87.788759999999996</v>
      </c>
      <c r="J725" s="3">
        <v>83.360389999999995</v>
      </c>
      <c r="K725" s="3">
        <v>76.102599999999995</v>
      </c>
      <c r="L725" s="3">
        <v>96.3</v>
      </c>
      <c r="M725" s="3">
        <v>92.835639999999998</v>
      </c>
      <c r="N725" s="3">
        <v>91.516059999999996</v>
      </c>
      <c r="O725" s="3">
        <v>93.19</v>
      </c>
      <c r="P725" s="3">
        <v>94.916659999999993</v>
      </c>
      <c r="Q725" s="3">
        <v>91.376459999999994</v>
      </c>
      <c r="S725" s="3">
        <v>92.083470000000005</v>
      </c>
      <c r="T725" s="3">
        <v>94.142579999999995</v>
      </c>
      <c r="V725" s="3">
        <v>91.850899999999996</v>
      </c>
      <c r="W725" s="3">
        <v>88.5</v>
      </c>
      <c r="X725" s="3">
        <v>98.948549999999997</v>
      </c>
      <c r="Y725" s="3">
        <v>82.668400000000005</v>
      </c>
      <c r="AB725" s="3">
        <v>97.760990000000007</v>
      </c>
      <c r="AC725" s="3">
        <v>79.627200000000002</v>
      </c>
      <c r="AD725" s="3">
        <v>89.552239999999998</v>
      </c>
      <c r="AE725" s="3">
        <v>91.745339999999999</v>
      </c>
      <c r="AF725" s="3">
        <v>99.678560000000004</v>
      </c>
      <c r="AH725" s="3">
        <v>93.801599999999993</v>
      </c>
      <c r="AI725" s="3">
        <v>89.379140000000007</v>
      </c>
      <c r="AJ725" s="3">
        <v>100.5449</v>
      </c>
      <c r="AK725" s="3">
        <v>82.748930000000001</v>
      </c>
      <c r="AL725" s="3">
        <v>89.729020000000006</v>
      </c>
      <c r="AM725" s="3">
        <v>88.670659999999998</v>
      </c>
      <c r="AN725" s="3">
        <v>90.301019999999994</v>
      </c>
      <c r="AO725" s="3">
        <v>89.660089999999997</v>
      </c>
      <c r="AP725" s="3">
        <v>91.371440000000007</v>
      </c>
      <c r="AQ725" s="3">
        <v>94.250780000000006</v>
      </c>
      <c r="AT725" s="3">
        <v>91.304879999999997</v>
      </c>
      <c r="AU725" s="3">
        <v>96.371600000000001</v>
      </c>
      <c r="AV725" s="3">
        <v>95.897729999999996</v>
      </c>
      <c r="AW725" s="3">
        <v>63.049100000000003</v>
      </c>
      <c r="AX725" s="3">
        <v>90.254760000000005</v>
      </c>
      <c r="AY725" s="3">
        <v>74.722120000000004</v>
      </c>
    </row>
    <row r="726" spans="1:51" x14ac:dyDescent="0.2">
      <c r="A726" s="74" t="s">
        <v>623</v>
      </c>
      <c r="B726" s="49">
        <v>39904</v>
      </c>
      <c r="D726" s="3">
        <v>90.595359999999999</v>
      </c>
      <c r="F726" s="3">
        <v>91.285769999999999</v>
      </c>
      <c r="G726" s="3">
        <v>101.72069999999999</v>
      </c>
      <c r="H726" s="3">
        <v>87.701419999999999</v>
      </c>
      <c r="J726" s="3">
        <v>83.582030000000003</v>
      </c>
      <c r="K726" s="3">
        <v>76.250309999999999</v>
      </c>
      <c r="L726" s="3">
        <v>96.3</v>
      </c>
      <c r="M726" s="3">
        <v>92.936710000000005</v>
      </c>
      <c r="N726" s="3">
        <v>91.521730000000005</v>
      </c>
      <c r="O726" s="3">
        <v>93.64</v>
      </c>
      <c r="P726" s="3">
        <v>96.299220000000005</v>
      </c>
      <c r="Q726" s="3">
        <v>91.035929999999993</v>
      </c>
      <c r="S726" s="3">
        <v>91.937470000000005</v>
      </c>
      <c r="T726" s="3">
        <v>94.315349999999995</v>
      </c>
      <c r="V726" s="3">
        <v>92.053569999999993</v>
      </c>
      <c r="W726" s="3">
        <v>88.8</v>
      </c>
      <c r="X726" s="3">
        <v>98.991820000000004</v>
      </c>
      <c r="Y726" s="3">
        <v>83.475620000000006</v>
      </c>
      <c r="AB726" s="3">
        <v>96.84966</v>
      </c>
      <c r="AC726" s="3">
        <v>79.827849999999998</v>
      </c>
      <c r="AD726" s="3">
        <v>90.155959999999993</v>
      </c>
      <c r="AE726" s="3">
        <v>92.049509999999998</v>
      </c>
      <c r="AF726" s="3">
        <v>99.821709999999996</v>
      </c>
      <c r="AH726" s="3">
        <v>93.883099999999999</v>
      </c>
      <c r="AI726" s="3">
        <v>89.602310000000003</v>
      </c>
      <c r="AJ726" s="3">
        <v>100.5625</v>
      </c>
      <c r="AK726" s="3">
        <v>83.021270000000001</v>
      </c>
      <c r="AL726" s="3">
        <v>89.986509999999996</v>
      </c>
      <c r="AM726" s="3">
        <v>89.070880000000002</v>
      </c>
      <c r="AN726" s="3">
        <v>90.549430000000001</v>
      </c>
      <c r="AO726" s="3">
        <v>89.987170000000006</v>
      </c>
      <c r="AP726" s="3">
        <v>91.719189999999998</v>
      </c>
      <c r="AQ726" s="3">
        <v>94.532259999999994</v>
      </c>
      <c r="AT726" s="3">
        <v>91.413049999999998</v>
      </c>
      <c r="AU726" s="3">
        <v>96.471609999999998</v>
      </c>
      <c r="AV726" s="3">
        <v>96.088740000000001</v>
      </c>
      <c r="AW726" s="3">
        <v>63.424930000000003</v>
      </c>
      <c r="AX726" s="3">
        <v>90.462810000000005</v>
      </c>
      <c r="AY726" s="3">
        <v>74.959339999999997</v>
      </c>
    </row>
    <row r="727" spans="1:51" x14ac:dyDescent="0.2">
      <c r="A727" s="74" t="s">
        <v>624</v>
      </c>
      <c r="B727" s="49">
        <v>39934</v>
      </c>
      <c r="D727" s="3">
        <v>90.673060000000007</v>
      </c>
      <c r="F727" s="3">
        <v>91.541849999999997</v>
      </c>
      <c r="G727" s="3">
        <v>101.7346</v>
      </c>
      <c r="H727" s="3">
        <v>87.369510000000005</v>
      </c>
      <c r="J727" s="3">
        <v>83.768680000000003</v>
      </c>
      <c r="K727" s="3">
        <v>76.404049999999998</v>
      </c>
      <c r="L727" s="3">
        <v>96.4</v>
      </c>
      <c r="M727" s="3">
        <v>92.819869999999995</v>
      </c>
      <c r="N727" s="3">
        <v>91.787639999999996</v>
      </c>
      <c r="O727" s="3">
        <v>93.67</v>
      </c>
      <c r="P727" s="3">
        <v>96.256870000000006</v>
      </c>
      <c r="Q727" s="3">
        <v>91.092690000000005</v>
      </c>
      <c r="S727" s="3">
        <v>91.774289999999993</v>
      </c>
      <c r="T727" s="3">
        <v>94.481300000000005</v>
      </c>
      <c r="V727" s="3">
        <v>92.082499999999996</v>
      </c>
      <c r="W727" s="3">
        <v>89.1</v>
      </c>
      <c r="X727" s="3">
        <v>99.132900000000006</v>
      </c>
      <c r="Y727" s="3">
        <v>83.885310000000004</v>
      </c>
      <c r="AB727" s="3">
        <v>96.468230000000005</v>
      </c>
      <c r="AC727" s="3">
        <v>80.670100000000005</v>
      </c>
      <c r="AD727" s="3">
        <v>90.65907</v>
      </c>
      <c r="AE727" s="3">
        <v>92.264610000000005</v>
      </c>
      <c r="AF727" s="3">
        <v>99.697149999999993</v>
      </c>
      <c r="AH727" s="3">
        <v>93.644800000000004</v>
      </c>
      <c r="AI727" s="3">
        <v>89.651910000000001</v>
      </c>
      <c r="AJ727" s="3">
        <v>100.13720000000001</v>
      </c>
      <c r="AK727" s="3">
        <v>83.034790000000001</v>
      </c>
      <c r="AL727" s="3">
        <v>90.083830000000006</v>
      </c>
      <c r="AM727" s="3">
        <v>89.242609999999999</v>
      </c>
      <c r="AN727" s="3">
        <v>90.621309999999994</v>
      </c>
      <c r="AO727" s="3">
        <v>90.163960000000003</v>
      </c>
      <c r="AP727" s="3">
        <v>91.98</v>
      </c>
      <c r="AQ727" s="3">
        <v>94.343950000000007</v>
      </c>
      <c r="AT727" s="3">
        <v>91.353610000000003</v>
      </c>
      <c r="AU727" s="3">
        <v>97.19162</v>
      </c>
      <c r="AV727" s="3">
        <v>95.689959999999999</v>
      </c>
      <c r="AW727" s="3">
        <v>64.421689999999998</v>
      </c>
      <c r="AX727" s="3">
        <v>90.456620000000001</v>
      </c>
      <c r="AY727" s="3">
        <v>75.175290000000004</v>
      </c>
    </row>
    <row r="728" spans="1:51" x14ac:dyDescent="0.2">
      <c r="A728" s="74" t="s">
        <v>625</v>
      </c>
      <c r="B728" s="49">
        <v>39965</v>
      </c>
      <c r="D728" s="3">
        <v>90.8673</v>
      </c>
      <c r="F728" s="3">
        <v>91.50412</v>
      </c>
      <c r="G728" s="3">
        <v>101.4298</v>
      </c>
      <c r="H728" s="3">
        <v>87.378240000000005</v>
      </c>
      <c r="J728" s="3">
        <v>83.95532</v>
      </c>
      <c r="K728" s="3">
        <v>76.648210000000006</v>
      </c>
      <c r="L728" s="3">
        <v>96.3</v>
      </c>
      <c r="M728" s="3">
        <v>92.895840000000007</v>
      </c>
      <c r="N728" s="3">
        <v>91.787859999999995</v>
      </c>
      <c r="O728" s="3">
        <v>93.63</v>
      </c>
      <c r="P728" s="3">
        <v>96.173159999999996</v>
      </c>
      <c r="Q728" s="3">
        <v>90.979169999999996</v>
      </c>
      <c r="S728" s="3">
        <v>91.757109999999997</v>
      </c>
      <c r="T728" s="3">
        <v>94.509990000000002</v>
      </c>
      <c r="V728" s="3">
        <v>92.116410000000002</v>
      </c>
      <c r="W728" s="3">
        <v>89.2</v>
      </c>
      <c r="X728" s="3">
        <v>99.109690000000001</v>
      </c>
      <c r="Y728" s="3">
        <v>84.150790000000001</v>
      </c>
      <c r="AB728" s="3">
        <v>96.022270000000006</v>
      </c>
      <c r="AC728" s="3">
        <v>81.540040000000005</v>
      </c>
      <c r="AD728" s="3">
        <v>91.464029999999994</v>
      </c>
      <c r="AE728" s="3">
        <v>92.207170000000005</v>
      </c>
      <c r="AF728" s="3">
        <v>99.584940000000003</v>
      </c>
      <c r="AH728" s="3">
        <v>93.463800000000006</v>
      </c>
      <c r="AI728" s="3">
        <v>89.833759999999998</v>
      </c>
      <c r="AJ728" s="3">
        <v>99.584710000000001</v>
      </c>
      <c r="AK728" s="3">
        <v>83.229730000000004</v>
      </c>
      <c r="AL728" s="3">
        <v>89.570139999999995</v>
      </c>
      <c r="AM728" s="3">
        <v>89.589020000000005</v>
      </c>
      <c r="AN728" s="3">
        <v>90.671840000000003</v>
      </c>
      <c r="AO728" s="3">
        <v>90.207490000000007</v>
      </c>
      <c r="AP728" s="3">
        <v>92.240809999999996</v>
      </c>
      <c r="AQ728" s="3">
        <v>94.428899999999999</v>
      </c>
      <c r="AT728" s="3">
        <v>91.714740000000006</v>
      </c>
      <c r="AU728" s="3">
        <v>97.721630000000005</v>
      </c>
      <c r="AV728" s="3">
        <v>95.669849999999997</v>
      </c>
      <c r="AW728" s="3">
        <v>64.82611</v>
      </c>
      <c r="AX728" s="3">
        <v>90.520610000000005</v>
      </c>
      <c r="AY728" s="3">
        <v>75.424289999999999</v>
      </c>
    </row>
    <row r="729" spans="1:51" x14ac:dyDescent="0.2">
      <c r="A729" s="74" t="s">
        <v>626</v>
      </c>
      <c r="B729" s="49">
        <v>39995</v>
      </c>
      <c r="D729" s="3">
        <v>91.003270000000001</v>
      </c>
      <c r="F729" s="3">
        <v>91.499529999999993</v>
      </c>
      <c r="G729" s="3">
        <v>100.82429999999999</v>
      </c>
      <c r="H729" s="3">
        <v>87.002660000000006</v>
      </c>
      <c r="J729" s="3">
        <v>84.106970000000004</v>
      </c>
      <c r="K729" s="3">
        <v>77.129509999999996</v>
      </c>
      <c r="L729" s="3">
        <v>96.5</v>
      </c>
      <c r="M729" s="3">
        <v>93.323030000000003</v>
      </c>
      <c r="N729" s="3">
        <v>91.480320000000006</v>
      </c>
      <c r="O729" s="3">
        <v>93.1</v>
      </c>
      <c r="P729" s="3">
        <v>94.826909999999998</v>
      </c>
      <c r="Q729" s="3">
        <v>91.319710000000001</v>
      </c>
      <c r="S729" s="3">
        <v>91.233230000000006</v>
      </c>
      <c r="T729" s="3">
        <v>94.192959999999999</v>
      </c>
      <c r="V729" s="3">
        <v>92.133719999999997</v>
      </c>
      <c r="W729" s="3">
        <v>89.2</v>
      </c>
      <c r="X729" s="3">
        <v>98.164959999999994</v>
      </c>
      <c r="Y729" s="3">
        <v>86.285169999999994</v>
      </c>
      <c r="AB729" s="3">
        <v>95.392330000000001</v>
      </c>
      <c r="AC729" s="3">
        <v>81.407749999999993</v>
      </c>
      <c r="AD729" s="3">
        <v>92.268990000000002</v>
      </c>
      <c r="AE729" s="3">
        <v>92.396190000000004</v>
      </c>
      <c r="AF729" s="3">
        <v>99.354410000000001</v>
      </c>
      <c r="AH729" s="3">
        <v>93.291200000000003</v>
      </c>
      <c r="AI729" s="3">
        <v>88.841849999999994</v>
      </c>
      <c r="AJ729" s="3">
        <v>99.449789999999993</v>
      </c>
      <c r="AK729" s="3">
        <v>83.495930000000001</v>
      </c>
      <c r="AL729" s="3">
        <v>89.599109999999996</v>
      </c>
      <c r="AM729" s="3">
        <v>89.031109999999998</v>
      </c>
      <c r="AN729" s="3">
        <v>90.688280000000006</v>
      </c>
      <c r="AO729" s="3">
        <v>90.175880000000006</v>
      </c>
      <c r="AP729" s="3">
        <v>92.588570000000004</v>
      </c>
      <c r="AQ729" s="3">
        <v>94.113609999999994</v>
      </c>
      <c r="AT729" s="3">
        <v>91.977739999999997</v>
      </c>
      <c r="AU729" s="3">
        <v>96.461609999999993</v>
      </c>
      <c r="AV729" s="3">
        <v>95.395070000000004</v>
      </c>
      <c r="AW729" s="3">
        <v>65.336749999999995</v>
      </c>
      <c r="AX729" s="3">
        <v>90.548259999999999</v>
      </c>
      <c r="AY729" s="3">
        <v>76.131619999999998</v>
      </c>
    </row>
    <row r="730" spans="1:51" x14ac:dyDescent="0.2">
      <c r="A730" s="74" t="s">
        <v>627</v>
      </c>
      <c r="B730" s="49">
        <v>40026</v>
      </c>
      <c r="D730" s="3">
        <v>91.012990000000002</v>
      </c>
      <c r="F730" s="3">
        <v>91.355609999999999</v>
      </c>
      <c r="G730" s="3">
        <v>100.8117</v>
      </c>
      <c r="H730" s="3">
        <v>86.915319999999994</v>
      </c>
      <c r="J730" s="3">
        <v>84.211960000000005</v>
      </c>
      <c r="K730" s="3">
        <v>77.271190000000004</v>
      </c>
      <c r="L730" s="3">
        <v>96.4</v>
      </c>
      <c r="M730" s="3">
        <v>93.422610000000006</v>
      </c>
      <c r="N730" s="3">
        <v>91.645449999999997</v>
      </c>
      <c r="O730" s="3">
        <v>93.42</v>
      </c>
      <c r="P730" s="3">
        <v>94.88843</v>
      </c>
      <c r="Q730" s="3">
        <v>91.546729999999997</v>
      </c>
      <c r="S730" s="3">
        <v>91.619709999999998</v>
      </c>
      <c r="T730" s="3">
        <v>94.813890000000001</v>
      </c>
      <c r="V730" s="3">
        <v>92.295640000000006</v>
      </c>
      <c r="W730" s="3">
        <v>89.6</v>
      </c>
      <c r="X730" s="3">
        <v>97.207920000000001</v>
      </c>
      <c r="Y730" s="3">
        <v>86.435109999999995</v>
      </c>
      <c r="AB730" s="3">
        <v>95.792429999999996</v>
      </c>
      <c r="AC730" s="3">
        <v>81.548190000000005</v>
      </c>
      <c r="AD730" s="3">
        <v>92.570849999999993</v>
      </c>
      <c r="AE730" s="3">
        <v>92.749110000000002</v>
      </c>
      <c r="AF730" s="3">
        <v>99.444779999999994</v>
      </c>
      <c r="AH730" s="3">
        <v>93.220799999999997</v>
      </c>
      <c r="AI730" s="3">
        <v>90.164389999999997</v>
      </c>
      <c r="AJ730" s="3">
        <v>98.739500000000007</v>
      </c>
      <c r="AK730" s="3">
        <v>83.679940000000002</v>
      </c>
      <c r="AL730" s="3">
        <v>89.890479999999997</v>
      </c>
      <c r="AM730" s="3">
        <v>88.864630000000005</v>
      </c>
      <c r="AN730" s="3">
        <v>90.817499999999995</v>
      </c>
      <c r="AO730" s="3">
        <v>90.37088</v>
      </c>
      <c r="AP730" s="3">
        <v>92.588570000000004</v>
      </c>
      <c r="AQ730" s="3">
        <v>93.659409999999994</v>
      </c>
      <c r="AT730" s="3">
        <v>92.084900000000005</v>
      </c>
      <c r="AU730" s="3">
        <v>96.64161</v>
      </c>
      <c r="AV730" s="3">
        <v>95.542509999999993</v>
      </c>
      <c r="AW730" s="3">
        <v>65.271389999999997</v>
      </c>
      <c r="AX730" s="3">
        <v>90.649810000000002</v>
      </c>
      <c r="AY730" s="3">
        <v>76.445210000000003</v>
      </c>
    </row>
    <row r="731" spans="1:51" x14ac:dyDescent="0.2">
      <c r="A731" s="74" t="s">
        <v>628</v>
      </c>
      <c r="B731" s="49">
        <v>40057</v>
      </c>
      <c r="D731" s="3">
        <v>91.071259999999995</v>
      </c>
      <c r="F731" s="3">
        <v>91.689130000000006</v>
      </c>
      <c r="G731" s="3">
        <v>100.90479999999999</v>
      </c>
      <c r="H731" s="3">
        <v>87.168620000000004</v>
      </c>
      <c r="J731" s="3">
        <v>84.258619999999993</v>
      </c>
      <c r="K731" s="3">
        <v>77.45908</v>
      </c>
      <c r="L731" s="3">
        <v>96</v>
      </c>
      <c r="M731" s="3">
        <v>93.298119999999997</v>
      </c>
      <c r="N731" s="3">
        <v>92.081159999999997</v>
      </c>
      <c r="O731" s="3">
        <v>93.61</v>
      </c>
      <c r="P731" s="3">
        <v>94.840019999999996</v>
      </c>
      <c r="Q731" s="3">
        <v>91.716999999999999</v>
      </c>
      <c r="S731" s="3">
        <v>91.971819999999994</v>
      </c>
      <c r="T731" s="3">
        <v>94.484859999999998</v>
      </c>
      <c r="V731" s="3">
        <v>92.392470000000003</v>
      </c>
      <c r="W731" s="3">
        <v>89.6</v>
      </c>
      <c r="X731" s="3">
        <v>99.717349999999996</v>
      </c>
      <c r="Y731" s="3">
        <v>86.540170000000003</v>
      </c>
      <c r="AB731" s="3">
        <v>95.642510000000001</v>
      </c>
      <c r="AC731" s="3">
        <v>82.297889999999995</v>
      </c>
      <c r="AD731" s="3">
        <v>92.470230000000001</v>
      </c>
      <c r="AE731" s="3">
        <v>92.530940000000001</v>
      </c>
      <c r="AF731" s="3">
        <v>99.476799999999997</v>
      </c>
      <c r="AH731" s="3">
        <v>94.227099999999993</v>
      </c>
      <c r="AI731" s="3">
        <v>90.172659999999993</v>
      </c>
      <c r="AJ731" s="3">
        <v>98.955060000000003</v>
      </c>
      <c r="AK731" s="3">
        <v>83.993970000000004</v>
      </c>
      <c r="AL731" s="3">
        <v>90.660179999999997</v>
      </c>
      <c r="AM731" s="3">
        <v>89.852459999999994</v>
      </c>
      <c r="AN731" s="3">
        <v>90.966080000000005</v>
      </c>
      <c r="AO731" s="3">
        <v>90.442670000000007</v>
      </c>
      <c r="AP731" s="3">
        <v>92.762439999999998</v>
      </c>
      <c r="AQ731" s="3">
        <v>94.082729999999998</v>
      </c>
      <c r="AT731" s="3">
        <v>92.121650000000002</v>
      </c>
      <c r="AU731" s="3">
        <v>96.281599999999997</v>
      </c>
      <c r="AV731" s="3">
        <v>96.376930000000002</v>
      </c>
      <c r="AW731" s="3">
        <v>65.577770000000001</v>
      </c>
      <c r="AX731" s="3">
        <v>90.873140000000006</v>
      </c>
      <c r="AY731" s="3">
        <v>76.577190000000002</v>
      </c>
    </row>
    <row r="732" spans="1:51" x14ac:dyDescent="0.2">
      <c r="A732" s="74" t="s">
        <v>629</v>
      </c>
      <c r="B732" s="49">
        <v>40087</v>
      </c>
      <c r="D732" s="3">
        <v>91.119820000000004</v>
      </c>
      <c r="F732" s="3">
        <v>91.869720000000001</v>
      </c>
      <c r="G732" s="3">
        <v>101.8013</v>
      </c>
      <c r="H732" s="3">
        <v>87.028869999999998</v>
      </c>
      <c r="J732" s="3">
        <v>84.270290000000003</v>
      </c>
      <c r="K732" s="3">
        <v>77.703249999999997</v>
      </c>
      <c r="L732" s="3">
        <v>96.1</v>
      </c>
      <c r="M732" s="3">
        <v>93.310940000000002</v>
      </c>
      <c r="N732" s="3">
        <v>92.161420000000007</v>
      </c>
      <c r="O732" s="3">
        <v>93.93</v>
      </c>
      <c r="P732" s="3">
        <v>95.865589999999997</v>
      </c>
      <c r="Q732" s="3">
        <v>91.660240000000002</v>
      </c>
      <c r="S732" s="3">
        <v>92.298169999999999</v>
      </c>
      <c r="T732" s="3">
        <v>94.480260000000001</v>
      </c>
      <c r="V732" s="3">
        <v>92.532740000000004</v>
      </c>
      <c r="W732" s="3">
        <v>89.6</v>
      </c>
      <c r="X732" s="3">
        <v>100.1143</v>
      </c>
      <c r="Y732" s="3">
        <v>86.724969999999999</v>
      </c>
      <c r="AB732" s="3">
        <v>95.63588</v>
      </c>
      <c r="AC732" s="3">
        <v>83.399100000000004</v>
      </c>
      <c r="AD732" s="3">
        <v>92.671469999999999</v>
      </c>
      <c r="AE732" s="3">
        <v>92.708500000000001</v>
      </c>
      <c r="AF732" s="3">
        <v>99.334190000000007</v>
      </c>
      <c r="AH732" s="3">
        <v>94.634</v>
      </c>
      <c r="AI732" s="3">
        <v>90.213989999999995</v>
      </c>
      <c r="AJ732" s="3">
        <v>98.842339999999993</v>
      </c>
      <c r="AK732" s="3">
        <v>84.24136</v>
      </c>
      <c r="AL732" s="3">
        <v>90.709249999999997</v>
      </c>
      <c r="AM732" s="3">
        <v>89.827809999999999</v>
      </c>
      <c r="AN732" s="3">
        <v>91.181780000000003</v>
      </c>
      <c r="AO732" s="3">
        <v>90.72193</v>
      </c>
      <c r="AP732" s="3">
        <v>92.936319999999995</v>
      </c>
      <c r="AQ732" s="3">
        <v>94.245059999999995</v>
      </c>
      <c r="AT732" s="3">
        <v>92.421750000000003</v>
      </c>
      <c r="AU732" s="3">
        <v>96.741619999999998</v>
      </c>
      <c r="AV732" s="3">
        <v>96.604799999999997</v>
      </c>
      <c r="AW732" s="3">
        <v>66.905420000000007</v>
      </c>
      <c r="AX732" s="3">
        <v>91.118350000000007</v>
      </c>
      <c r="AY732" s="3">
        <v>76.614459999999994</v>
      </c>
    </row>
    <row r="733" spans="1:51" x14ac:dyDescent="0.2">
      <c r="A733" s="74" t="s">
        <v>630</v>
      </c>
      <c r="B733" s="49">
        <v>40118</v>
      </c>
      <c r="D733" s="3">
        <v>91.090680000000006</v>
      </c>
      <c r="F733" s="3">
        <v>91.924509999999998</v>
      </c>
      <c r="G733" s="3">
        <v>101.8745</v>
      </c>
      <c r="H733" s="3">
        <v>86.819239999999994</v>
      </c>
      <c r="J733" s="3">
        <v>84.316950000000006</v>
      </c>
      <c r="K733" s="3">
        <v>77.708269999999999</v>
      </c>
      <c r="L733" s="3">
        <v>96</v>
      </c>
      <c r="M733" s="3">
        <v>93.083510000000004</v>
      </c>
      <c r="N733" s="3">
        <v>92.02158</v>
      </c>
      <c r="O733" s="3">
        <v>93.85</v>
      </c>
      <c r="P733" s="3">
        <v>96.315349999999995</v>
      </c>
      <c r="Q733" s="3">
        <v>91.262950000000004</v>
      </c>
      <c r="S733" s="3">
        <v>91.989000000000004</v>
      </c>
      <c r="T733" s="3">
        <v>94.484369999999998</v>
      </c>
      <c r="V733" s="3">
        <v>92.433499999999995</v>
      </c>
      <c r="W733" s="3">
        <v>89.7</v>
      </c>
      <c r="X733" s="3">
        <v>100.5068</v>
      </c>
      <c r="Y733" s="3">
        <v>86.851140000000001</v>
      </c>
      <c r="AB733" s="3">
        <v>95.568969999999993</v>
      </c>
      <c r="AC733" s="3">
        <v>83.933400000000006</v>
      </c>
      <c r="AD733" s="3">
        <v>92.772090000000006</v>
      </c>
      <c r="AE733" s="3">
        <v>92.61</v>
      </c>
      <c r="AF733" s="3">
        <v>99.30583</v>
      </c>
      <c r="AH733" s="3">
        <v>94.652699999999996</v>
      </c>
      <c r="AI733" s="3">
        <v>90.304919999999996</v>
      </c>
      <c r="AJ733" s="3">
        <v>98.09648</v>
      </c>
      <c r="AK733" s="3">
        <v>84.468329999999995</v>
      </c>
      <c r="AL733" s="3">
        <v>90.535570000000007</v>
      </c>
      <c r="AM733" s="3">
        <v>89.795940000000002</v>
      </c>
      <c r="AN733" s="3">
        <v>91.15446</v>
      </c>
      <c r="AO733" s="3">
        <v>90.761330000000001</v>
      </c>
      <c r="AP733" s="3">
        <v>92.936319999999995</v>
      </c>
      <c r="AQ733" s="3">
        <v>94.31559</v>
      </c>
      <c r="AT733" s="3">
        <v>92.525220000000004</v>
      </c>
      <c r="AU733" s="3">
        <v>97.221620000000001</v>
      </c>
      <c r="AV733" s="3">
        <v>96.450649999999996</v>
      </c>
      <c r="AW733" s="3">
        <v>67.407880000000006</v>
      </c>
      <c r="AX733" s="3">
        <v>90.975110000000001</v>
      </c>
      <c r="AY733" s="3">
        <v>76.640360000000001</v>
      </c>
    </row>
    <row r="734" spans="1:51" x14ac:dyDescent="0.2">
      <c r="A734" s="74" t="s">
        <v>631</v>
      </c>
      <c r="B734" s="49">
        <v>40148</v>
      </c>
      <c r="D734" s="3">
        <v>91.304339999999996</v>
      </c>
      <c r="F734" s="3">
        <v>91.676450000000003</v>
      </c>
      <c r="G734" s="3">
        <v>101.7235</v>
      </c>
      <c r="H734" s="3">
        <v>86.662030000000001</v>
      </c>
      <c r="J734" s="3">
        <v>84.433599999999998</v>
      </c>
      <c r="K734" s="3">
        <v>78.245840000000001</v>
      </c>
      <c r="L734" s="3">
        <v>95.8</v>
      </c>
      <c r="M734" s="3">
        <v>94.047759999999997</v>
      </c>
      <c r="N734" s="3">
        <v>91.902590000000004</v>
      </c>
      <c r="O734" s="3">
        <v>94.29</v>
      </c>
      <c r="P734" s="3">
        <v>96.330479999999994</v>
      </c>
      <c r="Q734" s="3">
        <v>91.206199999999995</v>
      </c>
      <c r="S734" s="3">
        <v>92.100650000000002</v>
      </c>
      <c r="T734" s="3">
        <v>94.858059999999995</v>
      </c>
      <c r="V734" s="3">
        <v>92.460939999999994</v>
      </c>
      <c r="W734" s="3">
        <v>90</v>
      </c>
      <c r="X734" s="3">
        <v>100.9999</v>
      </c>
      <c r="Y734" s="3">
        <v>86.776409999999998</v>
      </c>
      <c r="AB734" s="3">
        <v>95.042360000000002</v>
      </c>
      <c r="AC734" s="3">
        <v>84.562970000000007</v>
      </c>
      <c r="AD734" s="3">
        <v>92.772090000000006</v>
      </c>
      <c r="AE734" s="3">
        <v>92.897289999999998</v>
      </c>
      <c r="AF734" s="3">
        <v>99.076800000000006</v>
      </c>
      <c r="AH734" s="3">
        <v>94.318700000000007</v>
      </c>
      <c r="AI734" s="3">
        <v>90.247060000000005</v>
      </c>
      <c r="AJ734" s="3">
        <v>97.41507</v>
      </c>
      <c r="AK734" s="3">
        <v>84.869889999999998</v>
      </c>
      <c r="AL734" s="3">
        <v>89.821770000000001</v>
      </c>
      <c r="AM734" s="3">
        <v>90.037899999999993</v>
      </c>
      <c r="AN734" s="3">
        <v>91.183279999999996</v>
      </c>
      <c r="AO734" s="3">
        <v>91.00658</v>
      </c>
      <c r="AP734" s="3">
        <v>92.762439999999998</v>
      </c>
      <c r="AQ734" s="3">
        <v>94.460849999999994</v>
      </c>
      <c r="AT734" s="3">
        <v>92.473560000000006</v>
      </c>
      <c r="AU734" s="3">
        <v>96.721609999999998</v>
      </c>
      <c r="AV734" s="3">
        <v>96.638310000000004</v>
      </c>
      <c r="AW734" s="3">
        <v>67.179119999999998</v>
      </c>
      <c r="AX734" s="3">
        <v>90.826899999999995</v>
      </c>
      <c r="AY734" s="3">
        <v>76.837140000000005</v>
      </c>
    </row>
    <row r="735" spans="1:51" x14ac:dyDescent="0.2">
      <c r="A735" s="3" t="s">
        <v>632</v>
      </c>
      <c r="B735" s="49">
        <v>40179</v>
      </c>
      <c r="D735" s="3">
        <v>91.294629999999998</v>
      </c>
      <c r="F735" s="3">
        <v>91.643450000000001</v>
      </c>
      <c r="G735" s="3">
        <v>101.14319999999999</v>
      </c>
      <c r="H735" s="3">
        <v>87.352040000000002</v>
      </c>
      <c r="J735" s="3">
        <v>85.028530000000003</v>
      </c>
      <c r="K735" s="3">
        <v>79.65558</v>
      </c>
      <c r="L735" s="3">
        <v>96.4</v>
      </c>
      <c r="M735" s="3">
        <v>92.954549999999998</v>
      </c>
      <c r="N735" s="3">
        <v>91.671229999999994</v>
      </c>
      <c r="O735" s="3">
        <v>92.79</v>
      </c>
      <c r="P735" s="3">
        <v>94.49615</v>
      </c>
      <c r="Q735" s="3">
        <v>90.808909999999997</v>
      </c>
      <c r="S735" s="3">
        <v>92.066289999999995</v>
      </c>
      <c r="T735" s="3">
        <v>94.207890000000006</v>
      </c>
      <c r="V735" s="3">
        <v>92.273250000000004</v>
      </c>
      <c r="W735" s="3">
        <v>89.6</v>
      </c>
      <c r="X735" s="3">
        <v>99.538600000000002</v>
      </c>
      <c r="Y735" s="3">
        <v>87.078879999999998</v>
      </c>
      <c r="AB735" s="3">
        <v>94.097930000000005</v>
      </c>
      <c r="AC735" s="3">
        <v>83.685360000000003</v>
      </c>
      <c r="AD735" s="3">
        <v>92.168369999999996</v>
      </c>
      <c r="AE735" s="3">
        <v>92.974400000000003</v>
      </c>
      <c r="AF735" s="3">
        <v>98.745729999999995</v>
      </c>
      <c r="AH735" s="3">
        <v>94.063999999999993</v>
      </c>
      <c r="AI735" s="3">
        <v>89.180750000000003</v>
      </c>
      <c r="AJ735" s="3">
        <v>96.779579999999996</v>
      </c>
      <c r="AK735" s="3">
        <v>85.656909999999996</v>
      </c>
      <c r="AL735" s="3">
        <v>89.772109999999998</v>
      </c>
      <c r="AM735" s="3">
        <v>89.560239999999993</v>
      </c>
      <c r="AN735" s="3">
        <v>91.048630000000003</v>
      </c>
      <c r="AO735" s="3">
        <v>90.537229999999994</v>
      </c>
      <c r="AP735" s="3">
        <v>93.023250000000004</v>
      </c>
      <c r="AQ735" s="3">
        <v>93.502880000000005</v>
      </c>
      <c r="AT735" s="3">
        <v>92.72063</v>
      </c>
      <c r="AU735" s="3">
        <v>95.031589999999994</v>
      </c>
      <c r="AV735" s="3">
        <v>95.059960000000004</v>
      </c>
      <c r="AW735" s="3">
        <v>68.22081</v>
      </c>
      <c r="AX735" s="3">
        <v>90.852090000000004</v>
      </c>
      <c r="AY735" s="3">
        <v>77.044550000000001</v>
      </c>
    </row>
    <row r="736" spans="1:51" x14ac:dyDescent="0.2">
      <c r="A736" s="74" t="s">
        <v>633</v>
      </c>
      <c r="B736" s="49">
        <v>40210</v>
      </c>
      <c r="D736" s="3">
        <v>91.731679999999997</v>
      </c>
      <c r="F736" s="3">
        <v>92.257189999999994</v>
      </c>
      <c r="G736" s="3">
        <v>101.3503</v>
      </c>
      <c r="H736" s="3">
        <v>87.514809999999997</v>
      </c>
      <c r="J736" s="3">
        <v>85.506810000000002</v>
      </c>
      <c r="K736" s="3">
        <v>80.279560000000004</v>
      </c>
      <c r="L736" s="3">
        <v>96.4</v>
      </c>
      <c r="M736" s="3">
        <v>93.485919999999993</v>
      </c>
      <c r="N736" s="3">
        <v>92.84554</v>
      </c>
      <c r="O736" s="3">
        <v>93.2</v>
      </c>
      <c r="P736" s="3">
        <v>94.381190000000004</v>
      </c>
      <c r="Q736" s="3">
        <v>90.922420000000002</v>
      </c>
      <c r="S736" s="3">
        <v>92.438280000000006</v>
      </c>
      <c r="T736" s="3">
        <v>94.862589999999997</v>
      </c>
      <c r="V736" s="3">
        <v>92.521199999999993</v>
      </c>
      <c r="W736" s="3">
        <v>89.9</v>
      </c>
      <c r="X736" s="3">
        <v>98.068809999999999</v>
      </c>
      <c r="Y736" s="3">
        <v>87.287059999999997</v>
      </c>
      <c r="AB736" s="3">
        <v>94.713920000000002</v>
      </c>
      <c r="AC736" s="3">
        <v>84.71884</v>
      </c>
      <c r="AD736" s="3">
        <v>91.967129999999997</v>
      </c>
      <c r="AE736" s="3">
        <v>93.042829999999995</v>
      </c>
      <c r="AF736" s="3">
        <v>98.67313</v>
      </c>
      <c r="AH736" s="3">
        <v>93.642300000000006</v>
      </c>
      <c r="AI736" s="3">
        <v>90.610749999999996</v>
      </c>
      <c r="AJ736" s="3">
        <v>96.336320000000001</v>
      </c>
      <c r="AK736" s="3">
        <v>86.139060000000001</v>
      </c>
      <c r="AL736" s="3">
        <v>90.391499999999994</v>
      </c>
      <c r="AM736" s="3">
        <v>89.97542</v>
      </c>
      <c r="AN736" s="3">
        <v>91.272469999999998</v>
      </c>
      <c r="AO736" s="3">
        <v>90.797179999999997</v>
      </c>
      <c r="AP736" s="3">
        <v>93.023250000000004</v>
      </c>
      <c r="AQ736" s="3">
        <v>93.537790000000001</v>
      </c>
      <c r="AT736" s="3">
        <v>92.671509999999998</v>
      </c>
      <c r="AU736" s="3">
        <v>95.301590000000004</v>
      </c>
      <c r="AV736" s="3">
        <v>95.438630000000003</v>
      </c>
      <c r="AW736" s="3">
        <v>68.208560000000006</v>
      </c>
      <c r="AX736" s="3">
        <v>91.065089999999998</v>
      </c>
      <c r="AY736" s="3">
        <v>77.591579999999993</v>
      </c>
    </row>
    <row r="737" spans="1:51" x14ac:dyDescent="0.2">
      <c r="A737" s="74" t="s">
        <v>634</v>
      </c>
      <c r="B737" s="49">
        <v>40238</v>
      </c>
      <c r="D737" s="3">
        <v>91.624849999999995</v>
      </c>
      <c r="F737" s="3">
        <v>91.986189999999993</v>
      </c>
      <c r="G737" s="3">
        <v>101.2334</v>
      </c>
      <c r="H737" s="3">
        <v>87.395449999999997</v>
      </c>
      <c r="J737" s="3">
        <v>85.600139999999996</v>
      </c>
      <c r="K737" s="3">
        <v>80.556880000000007</v>
      </c>
      <c r="L737" s="3">
        <v>96.3</v>
      </c>
      <c r="M737" s="3">
        <v>93.671509999999998</v>
      </c>
      <c r="N737" s="3">
        <v>93.304519999999997</v>
      </c>
      <c r="O737" s="3">
        <v>94.23</v>
      </c>
      <c r="P737" s="3">
        <v>95.038679999999999</v>
      </c>
      <c r="Q737" s="3">
        <v>91.433220000000006</v>
      </c>
      <c r="S737" s="3">
        <v>92.717259999999996</v>
      </c>
      <c r="T737" s="3">
        <v>95.208029999999994</v>
      </c>
      <c r="V737" s="3">
        <v>92.712699999999998</v>
      </c>
      <c r="W737" s="3">
        <v>90.2</v>
      </c>
      <c r="X737" s="3">
        <v>101.3242</v>
      </c>
      <c r="Y737" s="3">
        <v>87.635639999999995</v>
      </c>
      <c r="AB737" s="3">
        <v>94.578429999999997</v>
      </c>
      <c r="AC737" s="3">
        <v>85.140910000000005</v>
      </c>
      <c r="AD737" s="3">
        <v>92.168369999999996</v>
      </c>
      <c r="AE737" s="3">
        <v>93.261039999999994</v>
      </c>
      <c r="AF737" s="3">
        <v>98.870009999999994</v>
      </c>
      <c r="AH737" s="3">
        <v>93.796300000000002</v>
      </c>
      <c r="AI737" s="3">
        <v>90.825670000000002</v>
      </c>
      <c r="AJ737" s="3">
        <v>96.538839999999993</v>
      </c>
      <c r="AK737" s="3">
        <v>86.548869999999994</v>
      </c>
      <c r="AL737" s="3">
        <v>91.566199999999995</v>
      </c>
      <c r="AM737" s="3">
        <v>90.115049999999997</v>
      </c>
      <c r="AN737" s="3">
        <v>91.524410000000003</v>
      </c>
      <c r="AO737" s="3">
        <v>91.19838</v>
      </c>
      <c r="AP737" s="3">
        <v>93.197130000000001</v>
      </c>
      <c r="AQ737" s="3">
        <v>94.731260000000006</v>
      </c>
      <c r="AT737" s="3">
        <v>92.652720000000002</v>
      </c>
      <c r="AU737" s="3">
        <v>96.451610000000002</v>
      </c>
      <c r="AV737" s="3">
        <v>95.850809999999996</v>
      </c>
      <c r="AW737" s="3">
        <v>68.612979999999993</v>
      </c>
      <c r="AX737" s="3">
        <v>91.253749999999997</v>
      </c>
      <c r="AY737" s="3">
        <v>78.416269999999997</v>
      </c>
    </row>
    <row r="738" spans="1:51" x14ac:dyDescent="0.2">
      <c r="A738" s="74" t="s">
        <v>635</v>
      </c>
      <c r="B738" s="49">
        <v>40269</v>
      </c>
      <c r="D738" s="3">
        <v>91.673410000000004</v>
      </c>
      <c r="F738" s="3">
        <v>92.315119999999993</v>
      </c>
      <c r="G738" s="3">
        <v>102.12779999999999</v>
      </c>
      <c r="H738" s="3">
        <v>87.579920000000001</v>
      </c>
      <c r="J738" s="3">
        <v>85.67013</v>
      </c>
      <c r="K738" s="3">
        <v>80.570949999999996</v>
      </c>
      <c r="L738" s="3">
        <v>96.5</v>
      </c>
      <c r="M738" s="3">
        <v>93.581460000000007</v>
      </c>
      <c r="N738" s="3">
        <v>93.307069999999996</v>
      </c>
      <c r="O738" s="3">
        <v>94.43</v>
      </c>
      <c r="P738" s="3">
        <v>96.145939999999996</v>
      </c>
      <c r="Q738" s="3">
        <v>91.376459999999994</v>
      </c>
      <c r="S738" s="3">
        <v>92.903260000000003</v>
      </c>
      <c r="T738" s="3">
        <v>95.219639999999998</v>
      </c>
      <c r="V738" s="3">
        <v>92.776809999999998</v>
      </c>
      <c r="W738" s="3">
        <v>90.6</v>
      </c>
      <c r="X738" s="3">
        <v>102.3135</v>
      </c>
      <c r="Y738" s="3">
        <v>88.110209999999995</v>
      </c>
      <c r="AB738" s="3">
        <v>94.75461</v>
      </c>
      <c r="AC738" s="3">
        <v>85.172160000000005</v>
      </c>
      <c r="AD738" s="3">
        <v>92.872720000000001</v>
      </c>
      <c r="AE738" s="3">
        <v>93.574380000000005</v>
      </c>
      <c r="AF738" s="3">
        <v>98.74315</v>
      </c>
      <c r="AH738" s="3">
        <v>93.730900000000005</v>
      </c>
      <c r="AI738" s="3">
        <v>90.767809999999997</v>
      </c>
      <c r="AJ738" s="3">
        <v>96.546009999999995</v>
      </c>
      <c r="AK738" s="3">
        <v>86.578860000000006</v>
      </c>
      <c r="AL738" s="3">
        <v>91.817750000000004</v>
      </c>
      <c r="AM738" s="3">
        <v>90.425120000000007</v>
      </c>
      <c r="AN738" s="3">
        <v>91.675910000000002</v>
      </c>
      <c r="AO738" s="3">
        <v>91.500450000000001</v>
      </c>
      <c r="AP738" s="3">
        <v>93.371009999999998</v>
      </c>
      <c r="AQ738" s="3">
        <v>94.922229999999999</v>
      </c>
      <c r="AT738" s="3">
        <v>92.707139999999995</v>
      </c>
      <c r="AU738" s="3">
        <v>97.351619999999997</v>
      </c>
      <c r="AV738" s="3">
        <v>96.048519999999996</v>
      </c>
      <c r="AW738" s="3">
        <v>69.258420000000001</v>
      </c>
      <c r="AX738" s="3">
        <v>91.297910000000002</v>
      </c>
      <c r="AY738" s="3">
        <v>78.192869999999999</v>
      </c>
    </row>
    <row r="739" spans="1:51" x14ac:dyDescent="0.2">
      <c r="A739" s="74" t="s">
        <v>636</v>
      </c>
      <c r="B739" s="49">
        <v>40299</v>
      </c>
      <c r="D739" s="3">
        <v>91.955060000000003</v>
      </c>
      <c r="F739" s="3">
        <v>92.470789999999994</v>
      </c>
      <c r="G739" s="3">
        <v>102.02249999999999</v>
      </c>
      <c r="H739" s="3">
        <v>87.699280000000002</v>
      </c>
      <c r="J739" s="3">
        <v>85.821770000000001</v>
      </c>
      <c r="K739" s="3">
        <v>80.798029999999997</v>
      </c>
      <c r="L739" s="3">
        <v>96.7</v>
      </c>
      <c r="M739" s="3">
        <v>93.519099999999995</v>
      </c>
      <c r="N739" s="3">
        <v>93.31644</v>
      </c>
      <c r="O739" s="3">
        <v>94.53</v>
      </c>
      <c r="P739" s="3">
        <v>96.364769999999993</v>
      </c>
      <c r="Q739" s="3">
        <v>91.433220000000006</v>
      </c>
      <c r="S739" s="3">
        <v>92.996250000000003</v>
      </c>
      <c r="T739" s="3">
        <v>95.287480000000002</v>
      </c>
      <c r="V739" s="3">
        <v>92.780050000000003</v>
      </c>
      <c r="W739" s="3">
        <v>90.8</v>
      </c>
      <c r="X739" s="3">
        <v>103.07550000000001</v>
      </c>
      <c r="Y739" s="3">
        <v>88.194540000000003</v>
      </c>
      <c r="AB739" s="3">
        <v>95.14573</v>
      </c>
      <c r="AC739" s="3">
        <v>85.751519999999999</v>
      </c>
      <c r="AD739" s="3">
        <v>93.275199999999998</v>
      </c>
      <c r="AE739" s="3">
        <v>93.581469999999996</v>
      </c>
      <c r="AF739" s="3">
        <v>98.549800000000005</v>
      </c>
      <c r="AH739" s="3">
        <v>93.580600000000004</v>
      </c>
      <c r="AI739" s="3">
        <v>90.825670000000002</v>
      </c>
      <c r="AJ739" s="3">
        <v>96.264669999999995</v>
      </c>
      <c r="AK739" s="3">
        <v>86.59384</v>
      </c>
      <c r="AL739" s="3">
        <v>91.884069999999994</v>
      </c>
      <c r="AM739" s="3">
        <v>90.539259999999999</v>
      </c>
      <c r="AN739" s="3">
        <v>91.744560000000007</v>
      </c>
      <c r="AO739" s="3">
        <v>91.678380000000004</v>
      </c>
      <c r="AP739" s="3">
        <v>93.457949999999997</v>
      </c>
      <c r="AQ739" s="3">
        <v>95.048389999999998</v>
      </c>
      <c r="AT739" s="3">
        <v>92.659509999999997</v>
      </c>
      <c r="AU739" s="3">
        <v>97.511629999999997</v>
      </c>
      <c r="AV739" s="3">
        <v>96.36018</v>
      </c>
      <c r="AW739" s="3">
        <v>70.304199999999994</v>
      </c>
      <c r="AX739" s="3">
        <v>91.309060000000002</v>
      </c>
      <c r="AY739" s="3">
        <v>78.368210000000005</v>
      </c>
    </row>
    <row r="740" spans="1:51" x14ac:dyDescent="0.2">
      <c r="A740" s="74" t="s">
        <v>637</v>
      </c>
      <c r="B740" s="49">
        <v>40330</v>
      </c>
      <c r="D740" s="3">
        <v>92.032759999999996</v>
      </c>
      <c r="F740" s="3">
        <v>92.524760000000001</v>
      </c>
      <c r="G740" s="3">
        <v>101.6561</v>
      </c>
      <c r="H740" s="3">
        <v>87.905450000000002</v>
      </c>
      <c r="J740" s="3">
        <v>85.938419999999994</v>
      </c>
      <c r="K740" s="3">
        <v>80.867369999999994</v>
      </c>
      <c r="L740" s="3">
        <v>96.6</v>
      </c>
      <c r="M740" s="3">
        <v>93.565380000000005</v>
      </c>
      <c r="N740" s="3">
        <v>93.233279999999993</v>
      </c>
      <c r="O740" s="3">
        <v>94.55</v>
      </c>
      <c r="P740" s="3">
        <v>96.446449999999999</v>
      </c>
      <c r="Q740" s="3">
        <v>92.114289999999997</v>
      </c>
      <c r="S740" s="3">
        <v>93.182249999999996</v>
      </c>
      <c r="T740" s="3">
        <v>95.361980000000003</v>
      </c>
      <c r="V740" s="3">
        <v>92.798940000000002</v>
      </c>
      <c r="W740" s="3">
        <v>91</v>
      </c>
      <c r="X740" s="3">
        <v>103.1159</v>
      </c>
      <c r="Y740" s="3">
        <v>88.012559999999993</v>
      </c>
      <c r="AB740" s="3">
        <v>95.093469999999996</v>
      </c>
      <c r="AC740" s="3">
        <v>86.039850000000001</v>
      </c>
      <c r="AD740" s="3">
        <v>93.878919999999994</v>
      </c>
      <c r="AE740" s="3">
        <v>93.612939999999995</v>
      </c>
      <c r="AF740" s="3">
        <v>98.338399999999993</v>
      </c>
      <c r="AH740" s="3">
        <v>93.678600000000003</v>
      </c>
      <c r="AI740" s="3">
        <v>90.949650000000005</v>
      </c>
      <c r="AJ740" s="3">
        <v>96.157229999999998</v>
      </c>
      <c r="AK740" s="3">
        <v>86.768540000000002</v>
      </c>
      <c r="AL740" s="3">
        <v>91.326089999999994</v>
      </c>
      <c r="AM740" s="3">
        <v>90.861339999999998</v>
      </c>
      <c r="AN740" s="3">
        <v>91.777850000000001</v>
      </c>
      <c r="AO740" s="3">
        <v>91.739800000000002</v>
      </c>
      <c r="AP740" s="3">
        <v>93.631820000000005</v>
      </c>
      <c r="AQ740" s="3">
        <v>95.148349999999994</v>
      </c>
      <c r="AT740" s="3">
        <v>92.747519999999994</v>
      </c>
      <c r="AU740" s="3">
        <v>97.881630000000001</v>
      </c>
      <c r="AV740" s="3">
        <v>96.397030000000001</v>
      </c>
      <c r="AW740" s="3">
        <v>70.463520000000003</v>
      </c>
      <c r="AX740" s="3">
        <v>91.33878</v>
      </c>
      <c r="AY740" s="3">
        <v>78.550269999999998</v>
      </c>
    </row>
    <row r="741" spans="1:51" x14ac:dyDescent="0.2">
      <c r="A741" s="74" t="s">
        <v>638</v>
      </c>
      <c r="B741" s="49">
        <v>40360</v>
      </c>
      <c r="D741" s="3">
        <v>92.227010000000007</v>
      </c>
      <c r="F741" s="3">
        <v>92.693629999999999</v>
      </c>
      <c r="G741" s="3">
        <v>100.9499</v>
      </c>
      <c r="H741" s="3">
        <v>88.448009999999996</v>
      </c>
      <c r="J741" s="3">
        <v>85.985079999999996</v>
      </c>
      <c r="K741" s="3">
        <v>81.162779999999998</v>
      </c>
      <c r="L741" s="3">
        <v>96.9</v>
      </c>
      <c r="M741" s="3">
        <v>93.904949999999999</v>
      </c>
      <c r="N741" s="3">
        <v>92.967590000000001</v>
      </c>
      <c r="O741" s="3">
        <v>93.99</v>
      </c>
      <c r="P741" s="3">
        <v>95.575159999999997</v>
      </c>
      <c r="Q741" s="3">
        <v>92.171040000000005</v>
      </c>
      <c r="S741" s="3">
        <v>92.345280000000002</v>
      </c>
      <c r="T741" s="3">
        <v>95.129419999999996</v>
      </c>
      <c r="V741" s="3">
        <v>92.787480000000002</v>
      </c>
      <c r="W741" s="3">
        <v>90.8</v>
      </c>
      <c r="X741" s="3">
        <v>102.3801</v>
      </c>
      <c r="Y741" s="3">
        <v>88.197109999999995</v>
      </c>
      <c r="AB741" s="3">
        <v>95.068879999999993</v>
      </c>
      <c r="AC741" s="3">
        <v>85.305850000000007</v>
      </c>
      <c r="AD741" s="3">
        <v>94.281400000000005</v>
      </c>
      <c r="AE741" s="3">
        <v>93.996799999999993</v>
      </c>
      <c r="AF741" s="3">
        <v>97.994439999999997</v>
      </c>
      <c r="AH741" s="3">
        <v>93.334100000000007</v>
      </c>
      <c r="AI741" s="3">
        <v>90.503299999999996</v>
      </c>
      <c r="AJ741" s="3">
        <v>95.801100000000005</v>
      </c>
      <c r="AK741" s="3">
        <v>86.974130000000002</v>
      </c>
      <c r="AL741" s="3">
        <v>90.858549999999994</v>
      </c>
      <c r="AM741" s="3">
        <v>90.302080000000004</v>
      </c>
      <c r="AN741" s="3">
        <v>91.748019999999997</v>
      </c>
      <c r="AO741" s="3">
        <v>91.622559999999993</v>
      </c>
      <c r="AP741" s="3">
        <v>93.718760000000003</v>
      </c>
      <c r="AQ741" s="3">
        <v>95.262979999999999</v>
      </c>
      <c r="AT741" s="3">
        <v>92.820400000000006</v>
      </c>
      <c r="AU741" s="3">
        <v>96.501609999999999</v>
      </c>
      <c r="AV741" s="3">
        <v>96.159109999999998</v>
      </c>
      <c r="AW741" s="3">
        <v>70.120379999999997</v>
      </c>
      <c r="AX741" s="3">
        <v>91.335890000000006</v>
      </c>
      <c r="AY741" s="3">
        <v>78.938370000000006</v>
      </c>
    </row>
    <row r="742" spans="1:51" x14ac:dyDescent="0.2">
      <c r="A742" s="74" t="s">
        <v>639</v>
      </c>
      <c r="B742" s="49">
        <v>40391</v>
      </c>
      <c r="D742" s="3">
        <v>92.275570000000002</v>
      </c>
      <c r="F742" s="3">
        <v>92.69211</v>
      </c>
      <c r="G742" s="3">
        <v>100.9075</v>
      </c>
      <c r="H742" s="3">
        <v>87.851200000000006</v>
      </c>
      <c r="J742" s="3">
        <v>86.125069999999994</v>
      </c>
      <c r="K742" s="3">
        <v>81.310490000000001</v>
      </c>
      <c r="L742" s="3">
        <v>96.8</v>
      </c>
      <c r="M742" s="3">
        <v>94.107079999999996</v>
      </c>
      <c r="N742" s="3">
        <v>93.425939999999997</v>
      </c>
      <c r="O742" s="3">
        <v>94.31</v>
      </c>
      <c r="P742" s="3">
        <v>95.843410000000006</v>
      </c>
      <c r="Q742" s="3">
        <v>92.511570000000006</v>
      </c>
      <c r="S742" s="3">
        <v>92.903260000000003</v>
      </c>
      <c r="T742" s="3">
        <v>95.592290000000006</v>
      </c>
      <c r="V742" s="3">
        <v>92.954729999999998</v>
      </c>
      <c r="W742" s="3">
        <v>91.3</v>
      </c>
      <c r="X742" s="3">
        <v>101.2304</v>
      </c>
      <c r="Y742" s="3">
        <v>88.311099999999996</v>
      </c>
      <c r="AB742" s="3">
        <v>95.996530000000007</v>
      </c>
      <c r="AC742" s="3">
        <v>85.443309999999997</v>
      </c>
      <c r="AD742" s="3">
        <v>94.784509999999997</v>
      </c>
      <c r="AE742" s="3">
        <v>94.295400000000001</v>
      </c>
      <c r="AF742" s="3">
        <v>97.974620000000002</v>
      </c>
      <c r="AH742" s="3">
        <v>93.118200000000002</v>
      </c>
      <c r="AI742" s="3">
        <v>91.71011</v>
      </c>
      <c r="AJ742" s="3">
        <v>95.464849999999998</v>
      </c>
      <c r="AK742" s="3">
        <v>87.096829999999997</v>
      </c>
      <c r="AL742" s="3">
        <v>91.032390000000007</v>
      </c>
      <c r="AM742" s="3">
        <v>90.216189999999997</v>
      </c>
      <c r="AN742" s="3">
        <v>91.871470000000002</v>
      </c>
      <c r="AO742" s="3">
        <v>91.801959999999994</v>
      </c>
      <c r="AP742" s="3">
        <v>93.631820000000005</v>
      </c>
      <c r="AQ742" s="3">
        <v>94.889049999999997</v>
      </c>
      <c r="AT742" s="3">
        <v>92.866709999999998</v>
      </c>
      <c r="AU742" s="3">
        <v>97.081620000000001</v>
      </c>
      <c r="AV742" s="3">
        <v>96.172520000000006</v>
      </c>
      <c r="AW742" s="3">
        <v>69.695530000000005</v>
      </c>
      <c r="AX742" s="3">
        <v>91.45684</v>
      </c>
      <c r="AY742" s="3">
        <v>78.991619999999998</v>
      </c>
    </row>
    <row r="743" spans="1:51" x14ac:dyDescent="0.2">
      <c r="A743" s="74" t="s">
        <v>640</v>
      </c>
      <c r="B743" s="49">
        <v>40422</v>
      </c>
      <c r="D743" s="3">
        <v>92.362979999999993</v>
      </c>
      <c r="F743" s="3">
        <v>93.023009999999999</v>
      </c>
      <c r="G743" s="3">
        <v>100.95399999999999</v>
      </c>
      <c r="H743" s="3">
        <v>88.155029999999996</v>
      </c>
      <c r="J743" s="3">
        <v>86.206729999999993</v>
      </c>
      <c r="K743" s="3">
        <v>81.38082</v>
      </c>
      <c r="L743" s="3">
        <v>96.5</v>
      </c>
      <c r="M743" s="3">
        <v>93.927490000000006</v>
      </c>
      <c r="N743" s="3">
        <v>93.802440000000004</v>
      </c>
      <c r="O743" s="3">
        <v>94.7</v>
      </c>
      <c r="P743" s="3">
        <v>95.877700000000004</v>
      </c>
      <c r="Q743" s="3">
        <v>93.192639999999997</v>
      </c>
      <c r="S743" s="3">
        <v>93.27525</v>
      </c>
      <c r="T743" s="3">
        <v>95.454530000000005</v>
      </c>
      <c r="V743" s="3">
        <v>93.009</v>
      </c>
      <c r="W743" s="3">
        <v>91.3</v>
      </c>
      <c r="X743" s="3">
        <v>103.7396</v>
      </c>
      <c r="Y743" s="3">
        <v>88.131240000000005</v>
      </c>
      <c r="AB743" s="3">
        <v>95.785839999999993</v>
      </c>
      <c r="AC743" s="3">
        <v>85.502809999999997</v>
      </c>
      <c r="AD743" s="3">
        <v>94.583269999999999</v>
      </c>
      <c r="AE743" s="3">
        <v>93.995480000000001</v>
      </c>
      <c r="AF743" s="3">
        <v>98.000820000000004</v>
      </c>
      <c r="AH743" s="3">
        <v>93.616100000000003</v>
      </c>
      <c r="AI743" s="3">
        <v>91.718379999999996</v>
      </c>
      <c r="AJ743" s="3">
        <v>96.140540000000001</v>
      </c>
      <c r="AK743" s="3">
        <v>87.449680000000001</v>
      </c>
      <c r="AL743" s="3">
        <v>91.775589999999994</v>
      </c>
      <c r="AM743" s="3">
        <v>90.783789999999996</v>
      </c>
      <c r="AN743" s="3">
        <v>91.974080000000001</v>
      </c>
      <c r="AO743" s="3">
        <v>91.837429999999998</v>
      </c>
      <c r="AP743" s="3">
        <v>93.805689999999998</v>
      </c>
      <c r="AQ743" s="3">
        <v>95.204409999999996</v>
      </c>
      <c r="AT743" s="3">
        <v>92.891970000000001</v>
      </c>
      <c r="AU743" s="3">
        <v>96.571610000000007</v>
      </c>
      <c r="AV743" s="3">
        <v>97.161079999999998</v>
      </c>
      <c r="AW743" s="3">
        <v>69.556629999999998</v>
      </c>
      <c r="AX743" s="3">
        <v>91.603800000000007</v>
      </c>
      <c r="AY743" s="3">
        <v>79.195040000000006</v>
      </c>
    </row>
    <row r="744" spans="1:51" x14ac:dyDescent="0.2">
      <c r="A744" s="74" t="s">
        <v>641</v>
      </c>
      <c r="B744" s="49">
        <v>40452</v>
      </c>
      <c r="D744" s="3">
        <v>92.489230000000006</v>
      </c>
      <c r="F744" s="3">
        <v>93.426779999999994</v>
      </c>
      <c r="G744" s="3">
        <v>101.6932</v>
      </c>
      <c r="H744" s="3">
        <v>87.992260000000002</v>
      </c>
      <c r="J744" s="3">
        <v>86.230059999999995</v>
      </c>
      <c r="K744" s="3">
        <v>81.762640000000005</v>
      </c>
      <c r="L744" s="3">
        <v>96.3</v>
      </c>
      <c r="M744" s="3">
        <v>94.008279999999999</v>
      </c>
      <c r="N744" s="3">
        <v>93.730959999999996</v>
      </c>
      <c r="O744" s="3">
        <v>94.98</v>
      </c>
      <c r="P744" s="3">
        <v>96.924449999999993</v>
      </c>
      <c r="Q744" s="3">
        <v>93.306150000000002</v>
      </c>
      <c r="S744" s="3">
        <v>93.647229999999993</v>
      </c>
      <c r="T744" s="3">
        <v>95.459630000000004</v>
      </c>
      <c r="V744" s="3">
        <v>93.138239999999996</v>
      </c>
      <c r="W744" s="3">
        <v>91.4</v>
      </c>
      <c r="X744" s="3">
        <v>104.0605</v>
      </c>
      <c r="Y744" s="3">
        <v>88.253720000000001</v>
      </c>
      <c r="AB744" s="3">
        <v>95.8232</v>
      </c>
      <c r="AC744" s="3">
        <v>85.859430000000003</v>
      </c>
      <c r="AD744" s="3">
        <v>94.583269999999999</v>
      </c>
      <c r="AE744" s="3">
        <v>94.203890000000001</v>
      </c>
      <c r="AF744" s="3">
        <v>98.390910000000005</v>
      </c>
      <c r="AH744" s="3">
        <v>93.729399999999998</v>
      </c>
      <c r="AI744" s="3">
        <v>91.759709999999998</v>
      </c>
      <c r="AJ744" s="3">
        <v>96.298150000000007</v>
      </c>
      <c r="AK744" s="3">
        <v>87.657259999999994</v>
      </c>
      <c r="AL744" s="3">
        <v>91.880799999999994</v>
      </c>
      <c r="AM744" s="3">
        <v>90.884379999999993</v>
      </c>
      <c r="AN744" s="3">
        <v>92.153279999999995</v>
      </c>
      <c r="AO744" s="3">
        <v>92.086200000000005</v>
      </c>
      <c r="AP744" s="3">
        <v>93.979569999999995</v>
      </c>
      <c r="AQ744" s="3">
        <v>95.725549999999998</v>
      </c>
      <c r="AT744" s="3">
        <v>92.977509999999995</v>
      </c>
      <c r="AU744" s="3">
        <v>96.711609999999993</v>
      </c>
      <c r="AV744" s="3">
        <v>97.546459999999996</v>
      </c>
      <c r="AW744" s="3">
        <v>70.169399999999996</v>
      </c>
      <c r="AX744" s="3">
        <v>91.674800000000005</v>
      </c>
      <c r="AY744" s="3">
        <v>79.264470000000003</v>
      </c>
    </row>
    <row r="745" spans="1:51" x14ac:dyDescent="0.2">
      <c r="A745" s="74" t="s">
        <v>642</v>
      </c>
      <c r="B745" s="49">
        <v>40483</v>
      </c>
      <c r="D745" s="3">
        <v>92.518370000000004</v>
      </c>
      <c r="F745" s="3">
        <v>93.387050000000002</v>
      </c>
      <c r="G745" s="3">
        <v>101.8588</v>
      </c>
      <c r="H745" s="3">
        <v>87.796940000000006</v>
      </c>
      <c r="J745" s="3">
        <v>86.300049999999999</v>
      </c>
      <c r="K745" s="3">
        <v>81.944509999999994</v>
      </c>
      <c r="L745" s="3">
        <v>96.2</v>
      </c>
      <c r="M745" s="3">
        <v>93.969620000000006</v>
      </c>
      <c r="N745" s="3">
        <v>93.737229999999997</v>
      </c>
      <c r="O745" s="3">
        <v>94.89</v>
      </c>
      <c r="P745" s="3">
        <v>97.454890000000006</v>
      </c>
      <c r="Q745" s="3">
        <v>92.795360000000002</v>
      </c>
      <c r="S745" s="3">
        <v>93.740229999999997</v>
      </c>
      <c r="T745" s="3">
        <v>95.425510000000003</v>
      </c>
      <c r="V745" s="3">
        <v>93.110939999999999</v>
      </c>
      <c r="W745" s="3">
        <v>91.6</v>
      </c>
      <c r="X745" s="3">
        <v>104.18770000000001</v>
      </c>
      <c r="Y745" s="3">
        <v>88.272710000000004</v>
      </c>
      <c r="AB745" s="3">
        <v>95.602810000000005</v>
      </c>
      <c r="AC745" s="3">
        <v>85.695899999999995</v>
      </c>
      <c r="AD745" s="3">
        <v>94.784509999999997</v>
      </c>
      <c r="AE745" s="3">
        <v>94.129140000000007</v>
      </c>
      <c r="AF745" s="3">
        <v>98.141249999999999</v>
      </c>
      <c r="AH745" s="3">
        <v>93.553299999999993</v>
      </c>
      <c r="AI745" s="3">
        <v>91.916759999999996</v>
      </c>
      <c r="AJ745" s="3">
        <v>96.090239999999994</v>
      </c>
      <c r="AK745" s="3">
        <v>87.943219999999997</v>
      </c>
      <c r="AL745" s="3">
        <v>91.688140000000004</v>
      </c>
      <c r="AM745" s="3">
        <v>90.948610000000002</v>
      </c>
      <c r="AN745" s="3">
        <v>92.177260000000004</v>
      </c>
      <c r="AO745" s="3">
        <v>92.178870000000003</v>
      </c>
      <c r="AP745" s="3">
        <v>93.979569999999995</v>
      </c>
      <c r="AQ745" s="3">
        <v>95.853059999999999</v>
      </c>
      <c r="AT745" s="3">
        <v>92.968459999999993</v>
      </c>
      <c r="AU745" s="3">
        <v>96.931619999999995</v>
      </c>
      <c r="AV745" s="3">
        <v>97.633579999999995</v>
      </c>
      <c r="AW745" s="3">
        <v>70.704539999999994</v>
      </c>
      <c r="AX745" s="3">
        <v>91.673969999999997</v>
      </c>
      <c r="AY745" s="3">
        <v>79.303539999999998</v>
      </c>
    </row>
    <row r="746" spans="1:51" x14ac:dyDescent="0.2">
      <c r="A746" s="74" t="s">
        <v>643</v>
      </c>
      <c r="B746" s="49">
        <v>40513</v>
      </c>
      <c r="D746" s="3">
        <v>92.596069999999997</v>
      </c>
      <c r="F746" s="3">
        <v>93.047190000000001</v>
      </c>
      <c r="G746" s="3">
        <v>101.9038</v>
      </c>
      <c r="H746" s="3">
        <v>87.916300000000007</v>
      </c>
      <c r="J746" s="3">
        <v>86.475030000000004</v>
      </c>
      <c r="K746" s="3">
        <v>82.168589999999995</v>
      </c>
      <c r="L746" s="3">
        <v>96.2</v>
      </c>
      <c r="M746" s="3">
        <v>94.276319999999998</v>
      </c>
      <c r="N746" s="3">
        <v>93.644199999999998</v>
      </c>
      <c r="O746" s="3">
        <v>95.27</v>
      </c>
      <c r="P746" s="3">
        <v>97.544629999999998</v>
      </c>
      <c r="Q746" s="3">
        <v>92.852109999999996</v>
      </c>
      <c r="S746" s="3">
        <v>93.740229999999997</v>
      </c>
      <c r="T746" s="3">
        <v>95.768360000000001</v>
      </c>
      <c r="V746" s="3">
        <v>93.131349999999998</v>
      </c>
      <c r="W746" s="3">
        <v>92.1</v>
      </c>
      <c r="X746" s="3">
        <v>104.2868</v>
      </c>
      <c r="Y746" s="3">
        <v>88.231260000000006</v>
      </c>
      <c r="AB746" s="3">
        <v>95.47278</v>
      </c>
      <c r="AC746" s="3">
        <v>85.781930000000003</v>
      </c>
      <c r="AD746" s="3">
        <v>95.186989999999994</v>
      </c>
      <c r="AE746" s="3">
        <v>94.3797</v>
      </c>
      <c r="AF746" s="3">
        <v>98.119540000000001</v>
      </c>
      <c r="AH746" s="3">
        <v>93.493600000000001</v>
      </c>
      <c r="AI746" s="3">
        <v>91.850639999999999</v>
      </c>
      <c r="AJ746" s="3">
        <v>95.346289999999996</v>
      </c>
      <c r="AK746" s="3">
        <v>88.282340000000005</v>
      </c>
      <c r="AL746" s="3">
        <v>91.202550000000002</v>
      </c>
      <c r="AM746" s="3">
        <v>90.940929999999994</v>
      </c>
      <c r="AN746" s="3">
        <v>92.224010000000007</v>
      </c>
      <c r="AO746" s="3">
        <v>92.389080000000007</v>
      </c>
      <c r="AP746" s="3">
        <v>94.066509999999994</v>
      </c>
      <c r="AQ746" s="3">
        <v>95.869579999999999</v>
      </c>
      <c r="AT746" s="3">
        <v>93.005970000000005</v>
      </c>
      <c r="AU746" s="3">
        <v>96.781620000000004</v>
      </c>
      <c r="AV746" s="3">
        <v>97.834649999999996</v>
      </c>
      <c r="AW746" s="3">
        <v>70.839349999999996</v>
      </c>
      <c r="AX746" s="3">
        <v>91.557559999999995</v>
      </c>
      <c r="AY746" s="3">
        <v>79.363079999999997</v>
      </c>
    </row>
    <row r="747" spans="1:51" x14ac:dyDescent="0.2">
      <c r="A747" s="3" t="s">
        <v>644</v>
      </c>
      <c r="B747" s="49">
        <v>40544</v>
      </c>
      <c r="D747" s="3">
        <v>92.955420000000004</v>
      </c>
      <c r="F747" s="3">
        <v>93.033360000000002</v>
      </c>
      <c r="G747" s="3">
        <v>101.3137</v>
      </c>
      <c r="H747" s="3">
        <v>88.046520000000001</v>
      </c>
      <c r="J747" s="3">
        <v>87.069959999999995</v>
      </c>
      <c r="K747" s="3">
        <v>82.809650000000005</v>
      </c>
      <c r="L747" s="3">
        <v>96.4</v>
      </c>
      <c r="M747" s="3">
        <v>93.663399999999996</v>
      </c>
      <c r="N747" s="3">
        <v>93.376710000000003</v>
      </c>
      <c r="O747" s="3">
        <v>93.77</v>
      </c>
      <c r="P747" s="3">
        <v>95.685090000000002</v>
      </c>
      <c r="Q747" s="3">
        <v>92.738600000000005</v>
      </c>
      <c r="S747" s="3">
        <v>93.554230000000004</v>
      </c>
      <c r="T747" s="3">
        <v>95.118669999999995</v>
      </c>
      <c r="V747" s="3">
        <v>93.066220000000001</v>
      </c>
      <c r="W747" s="3">
        <v>91.9</v>
      </c>
      <c r="X747" s="3">
        <v>102.7015</v>
      </c>
      <c r="Y747" s="3">
        <v>87.920299999999997</v>
      </c>
      <c r="AB747" s="3">
        <v>94.908810000000003</v>
      </c>
      <c r="AC747" s="3">
        <v>84.251059999999995</v>
      </c>
      <c r="AD747" s="3">
        <v>95.086359999999999</v>
      </c>
      <c r="AE747" s="3">
        <v>94.538020000000003</v>
      </c>
      <c r="AF747" s="3">
        <v>97.686679999999996</v>
      </c>
      <c r="AH747" s="3">
        <v>93.110699999999994</v>
      </c>
      <c r="AI747" s="3">
        <v>91.040580000000006</v>
      </c>
      <c r="AJ747" s="3">
        <v>95.634050000000002</v>
      </c>
      <c r="AK747" s="3">
        <v>88.708190000000002</v>
      </c>
      <c r="AL747" s="3">
        <v>90.987989999999996</v>
      </c>
      <c r="AM747" s="3">
        <v>90.59693</v>
      </c>
      <c r="AN747" s="3">
        <v>92.147099999999995</v>
      </c>
      <c r="AO747" s="3">
        <v>91.978549999999998</v>
      </c>
      <c r="AP747" s="3">
        <v>94.414259999999999</v>
      </c>
      <c r="AQ747" s="3">
        <v>96.093360000000004</v>
      </c>
      <c r="AT747" s="3">
        <v>93.605130000000003</v>
      </c>
      <c r="AU747" s="3">
        <v>94.661580000000001</v>
      </c>
      <c r="AV747" s="3">
        <v>97.22475</v>
      </c>
      <c r="AW747" s="3">
        <v>70.712710000000001</v>
      </c>
      <c r="AX747" s="3">
        <v>91.715260000000001</v>
      </c>
      <c r="AY747" s="3">
        <v>79.448530000000005</v>
      </c>
    </row>
    <row r="748" spans="1:51" x14ac:dyDescent="0.2">
      <c r="A748" s="74" t="s">
        <v>645</v>
      </c>
      <c r="B748" s="49">
        <v>40575</v>
      </c>
      <c r="D748" s="3">
        <v>93.305059999999997</v>
      </c>
      <c r="F748" s="3">
        <v>93.255960000000002</v>
      </c>
      <c r="G748" s="3">
        <v>101.5872</v>
      </c>
      <c r="H748" s="3">
        <v>88.339500000000001</v>
      </c>
      <c r="J748" s="3">
        <v>87.641559999999998</v>
      </c>
      <c r="K748" s="3">
        <v>83.366309999999999</v>
      </c>
      <c r="L748" s="3">
        <v>96.4</v>
      </c>
      <c r="M748" s="3">
        <v>94.194590000000005</v>
      </c>
      <c r="N748" s="3">
        <v>94.584869999999995</v>
      </c>
      <c r="O748" s="3">
        <v>94.1</v>
      </c>
      <c r="P748" s="3">
        <v>95.715339999999998</v>
      </c>
      <c r="Q748" s="3">
        <v>92.908869999999993</v>
      </c>
      <c r="S748" s="3">
        <v>93.926220000000001</v>
      </c>
      <c r="T748" s="3">
        <v>95.526730000000001</v>
      </c>
      <c r="V748" s="3">
        <v>93.380129999999994</v>
      </c>
      <c r="W748" s="3">
        <v>92.4</v>
      </c>
      <c r="X748" s="3">
        <v>100.5681</v>
      </c>
      <c r="Y748" s="3">
        <v>87.914770000000004</v>
      </c>
      <c r="AB748" s="3">
        <v>95.818269999999998</v>
      </c>
      <c r="AC748" s="3">
        <v>85.286990000000003</v>
      </c>
      <c r="AD748" s="3">
        <v>95.186989999999994</v>
      </c>
      <c r="AE748" s="3">
        <v>94.742260000000002</v>
      </c>
      <c r="AF748" s="3">
        <v>97.632059999999996</v>
      </c>
      <c r="AH748" s="3">
        <v>92.563199999999995</v>
      </c>
      <c r="AI748" s="3">
        <v>92.735079999999996</v>
      </c>
      <c r="AJ748" s="3">
        <v>95.368750000000006</v>
      </c>
      <c r="AK748" s="3">
        <v>89.009799999999998</v>
      </c>
      <c r="AL748" s="3">
        <v>91.581919999999997</v>
      </c>
      <c r="AM748" s="3">
        <v>91.081460000000007</v>
      </c>
      <c r="AN748" s="3">
        <v>92.425219999999996</v>
      </c>
      <c r="AO748" s="3">
        <v>92.268039999999999</v>
      </c>
      <c r="AP748" s="3">
        <v>94.501199999999997</v>
      </c>
      <c r="AQ748" s="3">
        <v>95.94314</v>
      </c>
      <c r="AT748" s="3">
        <v>93.733750000000001</v>
      </c>
      <c r="AU748" s="3">
        <v>94.301569999999998</v>
      </c>
      <c r="AV748" s="3">
        <v>97.864810000000006</v>
      </c>
      <c r="AW748" s="3">
        <v>70.720879999999994</v>
      </c>
      <c r="AX748" s="3">
        <v>92.059529999999995</v>
      </c>
      <c r="AY748" s="3">
        <v>79.904849999999996</v>
      </c>
    </row>
    <row r="749" spans="1:51" x14ac:dyDescent="0.2">
      <c r="A749" s="74" t="s">
        <v>646</v>
      </c>
      <c r="B749" s="49">
        <v>40603</v>
      </c>
      <c r="D749" s="3">
        <v>93.421610000000001</v>
      </c>
      <c r="F749" s="3">
        <v>93.782349999999994</v>
      </c>
      <c r="G749" s="3">
        <v>102.0424</v>
      </c>
      <c r="H749" s="3">
        <v>88.654179999999997</v>
      </c>
      <c r="J749" s="3">
        <v>87.781549999999996</v>
      </c>
      <c r="K749" s="3">
        <v>83.707939999999994</v>
      </c>
      <c r="L749" s="3">
        <v>96.3</v>
      </c>
      <c r="M749" s="3">
        <v>94.479979999999998</v>
      </c>
      <c r="N749" s="3">
        <v>95.051370000000006</v>
      </c>
      <c r="O749" s="3">
        <v>95.45</v>
      </c>
      <c r="P749" s="3">
        <v>96.300229999999999</v>
      </c>
      <c r="Q749" s="3">
        <v>93.476420000000005</v>
      </c>
      <c r="S749" s="3">
        <v>94.298199999999994</v>
      </c>
      <c r="T749" s="3">
        <v>96.108829999999998</v>
      </c>
      <c r="V749" s="3">
        <v>93.667280000000005</v>
      </c>
      <c r="W749" s="3">
        <v>92.7</v>
      </c>
      <c r="X749" s="3">
        <v>104.5598</v>
      </c>
      <c r="Y749" s="3">
        <v>88.268590000000003</v>
      </c>
      <c r="AB749" s="3">
        <v>96.655839999999998</v>
      </c>
      <c r="AC749" s="3">
        <v>85.952479999999994</v>
      </c>
      <c r="AD749" s="3">
        <v>95.488849999999999</v>
      </c>
      <c r="AE749" s="3">
        <v>94.974459999999993</v>
      </c>
      <c r="AF749" s="3">
        <v>97.739680000000007</v>
      </c>
      <c r="AH749" s="3">
        <v>93.290400000000005</v>
      </c>
      <c r="AI749" s="3">
        <v>93.016130000000004</v>
      </c>
      <c r="AJ749" s="3">
        <v>95.988209999999995</v>
      </c>
      <c r="AK749" s="3">
        <v>89.15849</v>
      </c>
      <c r="AL749" s="3">
        <v>92.703670000000002</v>
      </c>
      <c r="AM749" s="3">
        <v>91.608350000000002</v>
      </c>
      <c r="AN749" s="3">
        <v>92.770390000000006</v>
      </c>
      <c r="AO749" s="3">
        <v>92.780869999999993</v>
      </c>
      <c r="AP749" s="3">
        <v>94.935879999999997</v>
      </c>
      <c r="AQ749" s="3">
        <v>97.694230000000005</v>
      </c>
      <c r="AT749" s="3">
        <v>94.010260000000002</v>
      </c>
      <c r="AU749" s="3">
        <v>96.371600000000001</v>
      </c>
      <c r="AV749" s="3">
        <v>98.535020000000003</v>
      </c>
      <c r="AW749" s="3">
        <v>71.121219999999994</v>
      </c>
      <c r="AX749" s="3">
        <v>92.339830000000006</v>
      </c>
      <c r="AY749" s="3">
        <v>80.795990000000003</v>
      </c>
    </row>
    <row r="750" spans="1:51" x14ac:dyDescent="0.2">
      <c r="A750" s="74" t="s">
        <v>647</v>
      </c>
      <c r="B750" s="49">
        <v>40634</v>
      </c>
      <c r="D750" s="3">
        <v>93.343909999999994</v>
      </c>
      <c r="F750" s="3">
        <v>93.559209999999993</v>
      </c>
      <c r="G750" s="3">
        <v>102.19159999999999</v>
      </c>
      <c r="H750" s="3">
        <v>88.643330000000006</v>
      </c>
      <c r="J750" s="3">
        <v>87.898200000000003</v>
      </c>
      <c r="K750" s="3">
        <v>84.017420000000001</v>
      </c>
      <c r="L750" s="3">
        <v>96.4</v>
      </c>
      <c r="M750" s="3">
        <v>94.270499999999998</v>
      </c>
      <c r="N750" s="3">
        <v>95.257080000000002</v>
      </c>
      <c r="O750" s="3">
        <v>95.94</v>
      </c>
      <c r="P750" s="3">
        <v>97.733220000000003</v>
      </c>
      <c r="Q750" s="3">
        <v>93.703450000000004</v>
      </c>
      <c r="S750" s="3">
        <v>94.484189999999998</v>
      </c>
      <c r="T750" s="3">
        <v>96.377459999999999</v>
      </c>
      <c r="V750" s="3">
        <v>93.846919999999997</v>
      </c>
      <c r="W750" s="3">
        <v>93.4</v>
      </c>
      <c r="X750" s="3">
        <v>104.98779999999999</v>
      </c>
      <c r="Y750" s="3">
        <v>88.609759999999994</v>
      </c>
      <c r="AB750" s="3">
        <v>97.160690000000002</v>
      </c>
      <c r="AC750" s="3">
        <v>86.715190000000007</v>
      </c>
      <c r="AD750" s="3">
        <v>95.991950000000003</v>
      </c>
      <c r="AE750" s="3">
        <v>95.398859999999999</v>
      </c>
      <c r="AF750" s="3">
        <v>97.863039999999998</v>
      </c>
      <c r="AH750" s="3">
        <v>93.736699999999999</v>
      </c>
      <c r="AI750" s="3">
        <v>93.173180000000002</v>
      </c>
      <c r="AJ750" s="3">
        <v>96.468909999999994</v>
      </c>
      <c r="AK750" s="3">
        <v>89.15943</v>
      </c>
      <c r="AL750" s="3">
        <v>93.030140000000003</v>
      </c>
      <c r="AM750" s="3">
        <v>92.562269999999998</v>
      </c>
      <c r="AN750" s="3">
        <v>93.034989999999993</v>
      </c>
      <c r="AO750" s="3">
        <v>93.228759999999994</v>
      </c>
      <c r="AP750" s="3">
        <v>95.283630000000002</v>
      </c>
      <c r="AQ750" s="3">
        <v>98.080150000000003</v>
      </c>
      <c r="AT750" s="3">
        <v>94.353930000000005</v>
      </c>
      <c r="AU750" s="3">
        <v>97.091620000000006</v>
      </c>
      <c r="AV750" s="3">
        <v>99.111400000000003</v>
      </c>
      <c r="AW750" s="3">
        <v>72.199680000000001</v>
      </c>
      <c r="AX750" s="3">
        <v>92.516509999999997</v>
      </c>
      <c r="AY750" s="3">
        <v>80.835560000000001</v>
      </c>
    </row>
    <row r="751" spans="1:51" x14ac:dyDescent="0.2">
      <c r="A751" s="74" t="s">
        <v>648</v>
      </c>
      <c r="B751" s="49">
        <v>40664</v>
      </c>
      <c r="D751" s="3">
        <v>93.538150000000002</v>
      </c>
      <c r="F751" s="3">
        <v>94.183930000000004</v>
      </c>
      <c r="G751" s="3">
        <v>102.16</v>
      </c>
      <c r="H751" s="3">
        <v>88.762699999999995</v>
      </c>
      <c r="J751" s="3">
        <v>88.049850000000006</v>
      </c>
      <c r="K751" s="3">
        <v>84.291730000000001</v>
      </c>
      <c r="L751" s="3">
        <v>96.6</v>
      </c>
      <c r="M751" s="3">
        <v>94.316670000000002</v>
      </c>
      <c r="N751" s="3">
        <v>95.300700000000006</v>
      </c>
      <c r="O751" s="3">
        <v>95.92</v>
      </c>
      <c r="P751" s="3">
        <v>97.839100000000002</v>
      </c>
      <c r="Q751" s="3">
        <v>93.987219999999994</v>
      </c>
      <c r="S751" s="3">
        <v>94.670190000000005</v>
      </c>
      <c r="T751" s="3">
        <v>96.429820000000007</v>
      </c>
      <c r="V751" s="3">
        <v>93.973659999999995</v>
      </c>
      <c r="W751" s="3">
        <v>93.4</v>
      </c>
      <c r="X751" s="3">
        <v>105.1495</v>
      </c>
      <c r="Y751" s="3">
        <v>88.8429</v>
      </c>
      <c r="AB751" s="3">
        <v>97.141300000000001</v>
      </c>
      <c r="AC751" s="3">
        <v>87.528369999999995</v>
      </c>
      <c r="AD751" s="3">
        <v>96.39443</v>
      </c>
      <c r="AE751" s="3">
        <v>95.375730000000004</v>
      </c>
      <c r="AF751" s="3">
        <v>97.873099999999994</v>
      </c>
      <c r="AH751" s="3">
        <v>94.161100000000005</v>
      </c>
      <c r="AI751" s="3">
        <v>93.247569999999996</v>
      </c>
      <c r="AJ751" s="3">
        <v>96.439920000000001</v>
      </c>
      <c r="AK751" s="3">
        <v>89.277540000000002</v>
      </c>
      <c r="AL751" s="3">
        <v>93.100620000000006</v>
      </c>
      <c r="AM751" s="3">
        <v>92.315960000000004</v>
      </c>
      <c r="AN751" s="3">
        <v>93.204930000000004</v>
      </c>
      <c r="AO751" s="3">
        <v>93.399739999999994</v>
      </c>
      <c r="AP751" s="3">
        <v>95.631389999999996</v>
      </c>
      <c r="AQ751" s="3">
        <v>98.0351</v>
      </c>
      <c r="AT751" s="3">
        <v>94.524299999999997</v>
      </c>
      <c r="AU751" s="3">
        <v>97.591629999999995</v>
      </c>
      <c r="AV751" s="3">
        <v>99.409649999999999</v>
      </c>
      <c r="AW751" s="3">
        <v>73.433369999999996</v>
      </c>
      <c r="AX751" s="3">
        <v>92.688230000000004</v>
      </c>
      <c r="AY751" s="3">
        <v>81.030799999999999</v>
      </c>
    </row>
    <row r="752" spans="1:51" x14ac:dyDescent="0.2">
      <c r="A752" s="74" t="s">
        <v>649</v>
      </c>
      <c r="B752" s="49">
        <v>40695</v>
      </c>
      <c r="D752" s="3">
        <v>93.683840000000004</v>
      </c>
      <c r="F752" s="3">
        <v>93.578770000000006</v>
      </c>
      <c r="G752" s="3">
        <v>101.97369999999999</v>
      </c>
      <c r="H752" s="3">
        <v>88.719290000000001</v>
      </c>
      <c r="J752" s="3">
        <v>88.283159999999995</v>
      </c>
      <c r="K752" s="3">
        <v>84.567049999999995</v>
      </c>
      <c r="L752" s="3">
        <v>96.5</v>
      </c>
      <c r="M752" s="3">
        <v>94.562169999999995</v>
      </c>
      <c r="N752" s="3">
        <v>95.057050000000004</v>
      </c>
      <c r="O752" s="3">
        <v>96</v>
      </c>
      <c r="P752" s="3">
        <v>97.89658</v>
      </c>
      <c r="Q752" s="3">
        <v>94.100729999999999</v>
      </c>
      <c r="S752" s="3">
        <v>94.949169999999995</v>
      </c>
      <c r="T752" s="3">
        <v>96.53586</v>
      </c>
      <c r="V752" s="3">
        <v>94.050030000000007</v>
      </c>
      <c r="W752" s="3">
        <v>93.3</v>
      </c>
      <c r="X752" s="3">
        <v>105.13930000000001</v>
      </c>
      <c r="Y752" s="3">
        <v>88.930949999999996</v>
      </c>
      <c r="AB752" s="3">
        <v>97.277270000000001</v>
      </c>
      <c r="AC752" s="3">
        <v>88.011470000000003</v>
      </c>
      <c r="AD752" s="3">
        <v>96.998149999999995</v>
      </c>
      <c r="AE752" s="3">
        <v>95.570899999999995</v>
      </c>
      <c r="AF752" s="3">
        <v>97.75</v>
      </c>
      <c r="AH752" s="3">
        <v>94.362099999999998</v>
      </c>
      <c r="AI752" s="3">
        <v>93.313699999999997</v>
      </c>
      <c r="AJ752" s="3">
        <v>96.573070000000001</v>
      </c>
      <c r="AK752" s="3">
        <v>89.405959999999993</v>
      </c>
      <c r="AL752" s="3">
        <v>92.565839999999994</v>
      </c>
      <c r="AM752" s="3">
        <v>92.267269999999996</v>
      </c>
      <c r="AN752" s="3">
        <v>93.288120000000006</v>
      </c>
      <c r="AO752" s="3">
        <v>93.498850000000004</v>
      </c>
      <c r="AP752" s="3">
        <v>95.718320000000006</v>
      </c>
      <c r="AQ752" s="3">
        <v>97.905180000000001</v>
      </c>
      <c r="AT752" s="3">
        <v>94.580600000000004</v>
      </c>
      <c r="AU752" s="3">
        <v>97.591629999999995</v>
      </c>
      <c r="AV752" s="3">
        <v>99.34599</v>
      </c>
      <c r="AW752" s="3">
        <v>73.890900000000002</v>
      </c>
      <c r="AX752" s="3">
        <v>92.835599999999999</v>
      </c>
      <c r="AY752" s="3">
        <v>81.523989999999998</v>
      </c>
    </row>
    <row r="753" spans="1:51" x14ac:dyDescent="0.2">
      <c r="A753" s="74" t="s">
        <v>650</v>
      </c>
      <c r="B753" s="49">
        <v>40725</v>
      </c>
      <c r="D753" s="3">
        <v>93.897509999999997</v>
      </c>
      <c r="F753" s="3">
        <v>93.586569999999995</v>
      </c>
      <c r="G753" s="3">
        <v>101.2414</v>
      </c>
      <c r="H753" s="3">
        <v>88.784390000000002</v>
      </c>
      <c r="J753" s="3">
        <v>88.376480000000001</v>
      </c>
      <c r="K753" s="3">
        <v>84.864459999999994</v>
      </c>
      <c r="L753" s="3">
        <v>96.9</v>
      </c>
      <c r="M753" s="3">
        <v>94.726100000000002</v>
      </c>
      <c r="N753" s="3">
        <v>94.846010000000007</v>
      </c>
      <c r="O753" s="3">
        <v>95.12</v>
      </c>
      <c r="P753" s="3">
        <v>96.724779999999996</v>
      </c>
      <c r="Q753" s="3">
        <v>94.44126</v>
      </c>
      <c r="S753" s="3">
        <v>94.763180000000006</v>
      </c>
      <c r="T753" s="3">
        <v>96.023880000000005</v>
      </c>
      <c r="V753" s="3">
        <v>94.101230000000001</v>
      </c>
      <c r="W753" s="3">
        <v>93.3</v>
      </c>
      <c r="X753" s="3">
        <v>103.20189999999999</v>
      </c>
      <c r="Y753" s="3">
        <v>88.993139999999997</v>
      </c>
      <c r="AB753" s="3">
        <v>97.107960000000006</v>
      </c>
      <c r="AC753" s="3">
        <v>87.874499999999998</v>
      </c>
      <c r="AD753" s="3">
        <v>96.998149999999995</v>
      </c>
      <c r="AE753" s="3">
        <v>95.893860000000004</v>
      </c>
      <c r="AF753" s="3">
        <v>97.638850000000005</v>
      </c>
      <c r="AH753" s="3">
        <v>93.760999999999996</v>
      </c>
      <c r="AI753" s="3">
        <v>92.181269999999998</v>
      </c>
      <c r="AJ753" s="3">
        <v>96.173869999999994</v>
      </c>
      <c r="AK753" s="3">
        <v>89.594530000000006</v>
      </c>
      <c r="AL753" s="3">
        <v>92.905680000000004</v>
      </c>
      <c r="AM753" s="3">
        <v>91.916749999999993</v>
      </c>
      <c r="AN753" s="3">
        <v>93.294200000000004</v>
      </c>
      <c r="AO753" s="3">
        <v>93.342929999999996</v>
      </c>
      <c r="AP753" s="3">
        <v>95.805260000000004</v>
      </c>
      <c r="AQ753" s="3">
        <v>97.672579999999996</v>
      </c>
      <c r="AT753" s="3">
        <v>94.802840000000003</v>
      </c>
      <c r="AU753" s="3">
        <v>96.101600000000005</v>
      </c>
      <c r="AV753" s="3">
        <v>99.235399999999998</v>
      </c>
      <c r="AW753" s="3">
        <v>73.707070000000002</v>
      </c>
      <c r="AX753" s="3">
        <v>92.948300000000003</v>
      </c>
      <c r="AY753" s="3">
        <v>82.134739999999994</v>
      </c>
    </row>
    <row r="754" spans="1:51" x14ac:dyDescent="0.2">
      <c r="A754" s="74" t="s">
        <v>651</v>
      </c>
      <c r="B754" s="49">
        <v>40756</v>
      </c>
      <c r="D754" s="3">
        <v>93.907219999999995</v>
      </c>
      <c r="F754" s="3">
        <v>93.951059999999998</v>
      </c>
      <c r="G754" s="3">
        <v>101.1016</v>
      </c>
      <c r="H754" s="3">
        <v>88.882059999999996</v>
      </c>
      <c r="J754" s="3">
        <v>88.411479999999997</v>
      </c>
      <c r="K754" s="3">
        <v>85.138779999999997</v>
      </c>
      <c r="L754" s="3">
        <v>96.9</v>
      </c>
      <c r="M754" s="3">
        <v>94.982860000000002</v>
      </c>
      <c r="N754" s="3">
        <v>94.966160000000002</v>
      </c>
      <c r="O754" s="3">
        <v>95.43</v>
      </c>
      <c r="P754" s="3">
        <v>96.973860000000002</v>
      </c>
      <c r="Q754" s="3">
        <v>94.498019999999997</v>
      </c>
      <c r="S754" s="3">
        <v>95.228160000000003</v>
      </c>
      <c r="T754" s="3">
        <v>96.667910000000006</v>
      </c>
      <c r="V754" s="3">
        <v>94.402119999999996</v>
      </c>
      <c r="W754" s="3">
        <v>93.8</v>
      </c>
      <c r="X754" s="3">
        <v>101.3151</v>
      </c>
      <c r="Y754" s="3">
        <v>89.071460000000002</v>
      </c>
      <c r="AB754" s="3">
        <v>97.216970000000003</v>
      </c>
      <c r="AC754" s="3">
        <v>88.175089999999997</v>
      </c>
      <c r="AD754" s="3">
        <v>97.400630000000007</v>
      </c>
      <c r="AE754" s="3">
        <v>96.224209999999999</v>
      </c>
      <c r="AF754" s="3">
        <v>97.672830000000005</v>
      </c>
      <c r="AH754" s="3">
        <v>93.5197</v>
      </c>
      <c r="AI754" s="3">
        <v>93.735259999999997</v>
      </c>
      <c r="AJ754" s="3">
        <v>96.387730000000005</v>
      </c>
      <c r="AK754" s="3">
        <v>89.711029999999994</v>
      </c>
      <c r="AL754" s="3">
        <v>93.202259999999995</v>
      </c>
      <c r="AM754" s="3">
        <v>91.666129999999995</v>
      </c>
      <c r="AN754" s="3">
        <v>93.531530000000004</v>
      </c>
      <c r="AO754" s="3">
        <v>93.598079999999996</v>
      </c>
      <c r="AP754" s="3">
        <v>95.979129999999998</v>
      </c>
      <c r="AQ754" s="3">
        <v>97.026020000000003</v>
      </c>
      <c r="AT754" s="3">
        <v>94.764849999999996</v>
      </c>
      <c r="AU754" s="3">
        <v>96.181600000000003</v>
      </c>
      <c r="AV754" s="3">
        <v>99.356030000000004</v>
      </c>
      <c r="AW754" s="3">
        <v>73.919489999999996</v>
      </c>
      <c r="AX754" s="3">
        <v>93.241389999999996</v>
      </c>
      <c r="AY754" s="3">
        <v>82.021770000000004</v>
      </c>
    </row>
    <row r="755" spans="1:51" x14ac:dyDescent="0.2">
      <c r="A755" s="74" t="s">
        <v>652</v>
      </c>
      <c r="B755" s="49">
        <v>40787</v>
      </c>
      <c r="D755" s="3">
        <v>93.936359999999993</v>
      </c>
      <c r="F755" s="3">
        <v>94.547520000000006</v>
      </c>
      <c r="G755" s="3">
        <v>101.3784</v>
      </c>
      <c r="H755" s="3">
        <v>89.218440000000001</v>
      </c>
      <c r="J755" s="3">
        <v>88.539789999999996</v>
      </c>
      <c r="K755" s="3">
        <v>85.360839999999996</v>
      </c>
      <c r="L755" s="3">
        <v>96.5</v>
      </c>
      <c r="M755" s="3">
        <v>94.937910000000002</v>
      </c>
      <c r="N755" s="3">
        <v>95.340999999999994</v>
      </c>
      <c r="O755" s="3">
        <v>96.23</v>
      </c>
      <c r="P755" s="3">
        <v>96.998059999999995</v>
      </c>
      <c r="Q755" s="3">
        <v>95.065569999999994</v>
      </c>
      <c r="S755" s="3">
        <v>95.600149999999999</v>
      </c>
      <c r="T755" s="3">
        <v>96.454080000000005</v>
      </c>
      <c r="V755" s="3">
        <v>94.515450000000001</v>
      </c>
      <c r="W755" s="3">
        <v>94</v>
      </c>
      <c r="X755" s="3">
        <v>105.76519999999999</v>
      </c>
      <c r="Y755" s="3">
        <v>89.077420000000004</v>
      </c>
      <c r="AB755" s="3">
        <v>97.56765</v>
      </c>
      <c r="AC755" s="3">
        <v>88.775080000000003</v>
      </c>
      <c r="AD755" s="3">
        <v>97.400630000000007</v>
      </c>
      <c r="AE755" s="3">
        <v>96.172939999999997</v>
      </c>
      <c r="AF755" s="3">
        <v>97.686139999999995</v>
      </c>
      <c r="AH755" s="3">
        <v>94.252600000000001</v>
      </c>
      <c r="AI755" s="3">
        <v>93.817920000000001</v>
      </c>
      <c r="AJ755" s="3">
        <v>96.882909999999995</v>
      </c>
      <c r="AK755" s="3">
        <v>89.930819999999997</v>
      </c>
      <c r="AL755" s="3">
        <v>93.577640000000002</v>
      </c>
      <c r="AM755" s="3">
        <v>92.782380000000003</v>
      </c>
      <c r="AN755" s="3">
        <v>93.706869999999995</v>
      </c>
      <c r="AO755" s="3">
        <v>93.810810000000004</v>
      </c>
      <c r="AP755" s="3">
        <v>96.153009999999995</v>
      </c>
      <c r="AQ755" s="3">
        <v>98.022540000000006</v>
      </c>
      <c r="AT755" s="3">
        <v>95.14134</v>
      </c>
      <c r="AU755" s="3">
        <v>97.081620000000001</v>
      </c>
      <c r="AV755" s="3">
        <v>100.3848</v>
      </c>
      <c r="AW755" s="3">
        <v>74.397450000000006</v>
      </c>
      <c r="AX755" s="3">
        <v>93.412700000000001</v>
      </c>
      <c r="AY755" s="3">
        <v>82.345569999999995</v>
      </c>
    </row>
    <row r="756" spans="1:51" x14ac:dyDescent="0.2">
      <c r="A756" s="74" t="s">
        <v>653</v>
      </c>
      <c r="B756" s="49">
        <v>40817</v>
      </c>
      <c r="D756" s="3">
        <v>94.130600000000001</v>
      </c>
      <c r="F756" s="3">
        <v>94.715320000000006</v>
      </c>
      <c r="G756" s="3">
        <v>101.2517</v>
      </c>
      <c r="H756" s="3">
        <v>89.348659999999995</v>
      </c>
      <c r="J756" s="3">
        <v>88.609790000000004</v>
      </c>
      <c r="K756" s="3">
        <v>85.62209</v>
      </c>
      <c r="L756" s="3">
        <v>96.6</v>
      </c>
      <c r="M756" s="3">
        <v>94.888149999999996</v>
      </c>
      <c r="N756" s="3">
        <v>95.255830000000003</v>
      </c>
      <c r="O756" s="3">
        <v>96.49</v>
      </c>
      <c r="P756" s="3">
        <v>98.054900000000004</v>
      </c>
      <c r="Q756" s="3">
        <v>95.179079999999999</v>
      </c>
      <c r="S756" s="3">
        <v>95.879140000000007</v>
      </c>
      <c r="T756" s="3">
        <v>96.619780000000006</v>
      </c>
      <c r="V756" s="3">
        <v>94.661050000000003</v>
      </c>
      <c r="W756" s="3">
        <v>94.1</v>
      </c>
      <c r="X756" s="3">
        <v>105.7325</v>
      </c>
      <c r="Y756" s="3">
        <v>89.435329999999993</v>
      </c>
      <c r="AB756" s="3">
        <v>97.757769999999994</v>
      </c>
      <c r="AC756" s="3">
        <v>89.313990000000004</v>
      </c>
      <c r="AD756" s="3">
        <v>97.501260000000002</v>
      </c>
      <c r="AE756" s="3">
        <v>96.633700000000005</v>
      </c>
      <c r="AF756" s="3">
        <v>97.626900000000006</v>
      </c>
      <c r="AH756" s="3">
        <v>94.295400000000001</v>
      </c>
      <c r="AI756" s="3">
        <v>94.098960000000005</v>
      </c>
      <c r="AJ756" s="3">
        <v>96.982389999999995</v>
      </c>
      <c r="AK756" s="3">
        <v>90.070589999999996</v>
      </c>
      <c r="AL756" s="3">
        <v>93.670429999999996</v>
      </c>
      <c r="AM756" s="3">
        <v>92.836690000000004</v>
      </c>
      <c r="AN756" s="3">
        <v>93.938159999999996</v>
      </c>
      <c r="AO756" s="3">
        <v>94.197909999999993</v>
      </c>
      <c r="AP756" s="3">
        <v>96.413830000000004</v>
      </c>
      <c r="AQ756" s="3">
        <v>98.571789999999993</v>
      </c>
      <c r="AT756" s="3">
        <v>95.276359999999997</v>
      </c>
      <c r="AU756" s="3">
        <v>97.751630000000006</v>
      </c>
      <c r="AV756" s="3">
        <v>100.482</v>
      </c>
      <c r="AW756" s="3">
        <v>76.44408</v>
      </c>
      <c r="AX756" s="3">
        <v>93.600110000000001</v>
      </c>
      <c r="AY756" s="3">
        <v>82.569000000000003</v>
      </c>
    </row>
    <row r="757" spans="1:51" x14ac:dyDescent="0.2">
      <c r="A757" s="74" t="s">
        <v>654</v>
      </c>
      <c r="B757" s="49">
        <v>40848</v>
      </c>
      <c r="D757" s="3">
        <v>94.247150000000005</v>
      </c>
      <c r="F757" s="3">
        <v>94.892529999999994</v>
      </c>
      <c r="G757" s="3">
        <v>101.0574</v>
      </c>
      <c r="H757" s="3">
        <v>89.424610000000001</v>
      </c>
      <c r="J757" s="3">
        <v>88.784769999999995</v>
      </c>
      <c r="K757" s="3">
        <v>85.757739999999998</v>
      </c>
      <c r="L757" s="3">
        <v>96.6</v>
      </c>
      <c r="M757" s="3">
        <v>94.993200000000002</v>
      </c>
      <c r="N757" s="3">
        <v>95.128429999999994</v>
      </c>
      <c r="O757" s="3">
        <v>96.4</v>
      </c>
      <c r="P757" s="3">
        <v>98.496600000000001</v>
      </c>
      <c r="Q757" s="3">
        <v>95.122330000000005</v>
      </c>
      <c r="S757" s="3">
        <v>95.693150000000003</v>
      </c>
      <c r="T757" s="3">
        <v>96.789389999999997</v>
      </c>
      <c r="V757" s="3">
        <v>94.652370000000005</v>
      </c>
      <c r="W757" s="3">
        <v>94.2</v>
      </c>
      <c r="X757" s="3">
        <v>105.7414</v>
      </c>
      <c r="Y757" s="3">
        <v>89.536839999999998</v>
      </c>
      <c r="AB757" s="3">
        <v>97.72869</v>
      </c>
      <c r="AC757" s="3">
        <v>89.406980000000004</v>
      </c>
      <c r="AD757" s="3">
        <v>97.098780000000005</v>
      </c>
      <c r="AE757" s="3">
        <v>96.305329999999998</v>
      </c>
      <c r="AF757" s="3">
        <v>97.225269999999995</v>
      </c>
      <c r="AH757" s="3">
        <v>94.327299999999994</v>
      </c>
      <c r="AI757" s="3">
        <v>94.165080000000003</v>
      </c>
      <c r="AJ757" s="3">
        <v>96.867800000000003</v>
      </c>
      <c r="AK757" s="3">
        <v>90.308869999999999</v>
      </c>
      <c r="AL757" s="3">
        <v>93.307410000000004</v>
      </c>
      <c r="AM757" s="3">
        <v>92.692040000000006</v>
      </c>
      <c r="AN757" s="3">
        <v>93.997420000000005</v>
      </c>
      <c r="AO757" s="3">
        <v>94.344290000000001</v>
      </c>
      <c r="AP757" s="3">
        <v>96.674639999999997</v>
      </c>
      <c r="AQ757" s="3">
        <v>98.448490000000007</v>
      </c>
      <c r="AT757" s="3">
        <v>95.778139999999993</v>
      </c>
      <c r="AU757" s="3">
        <v>98.041629999999998</v>
      </c>
      <c r="AV757" s="3">
        <v>100.6093</v>
      </c>
      <c r="AW757" s="3">
        <v>77.596069999999997</v>
      </c>
      <c r="AX757" s="3">
        <v>93.647999999999996</v>
      </c>
      <c r="AY757" s="3">
        <v>82.511920000000003</v>
      </c>
    </row>
    <row r="758" spans="1:51" x14ac:dyDescent="0.2">
      <c r="A758" s="74" t="s">
        <v>655</v>
      </c>
      <c r="B758" s="49">
        <v>40878</v>
      </c>
      <c r="D758" s="3">
        <v>94.383110000000002</v>
      </c>
      <c r="F758" s="3">
        <v>94.304209999999998</v>
      </c>
      <c r="G758" s="3">
        <v>100.7911</v>
      </c>
      <c r="H758" s="3">
        <v>89.99973</v>
      </c>
      <c r="J758" s="3">
        <v>89.076400000000007</v>
      </c>
      <c r="K758" s="3">
        <v>86.070229999999995</v>
      </c>
      <c r="L758" s="3">
        <v>96.6</v>
      </c>
      <c r="M758" s="3">
        <v>95.29222</v>
      </c>
      <c r="N758" s="3">
        <v>95.047060000000002</v>
      </c>
      <c r="O758" s="3">
        <v>96.82</v>
      </c>
      <c r="P758" s="3">
        <v>98.652900000000002</v>
      </c>
      <c r="Q758" s="3">
        <v>95.065569999999994</v>
      </c>
      <c r="S758" s="3">
        <v>95.693150000000003</v>
      </c>
      <c r="T758" s="3">
        <v>97.246989999999997</v>
      </c>
      <c r="V758" s="3">
        <v>94.707509999999999</v>
      </c>
      <c r="W758" s="3">
        <v>94.6</v>
      </c>
      <c r="X758" s="3">
        <v>105.4949</v>
      </c>
      <c r="Y758" s="3">
        <v>89.888679999999994</v>
      </c>
      <c r="AB758" s="3">
        <v>97.315349999999995</v>
      </c>
      <c r="AC758" s="3">
        <v>89.574929999999995</v>
      </c>
      <c r="AD758" s="3">
        <v>97.199389999999994</v>
      </c>
      <c r="AE758" s="3">
        <v>96.607519999999994</v>
      </c>
      <c r="AF758" s="3">
        <v>97.244829999999993</v>
      </c>
      <c r="AH758" s="3">
        <v>94.154700000000005</v>
      </c>
      <c r="AI758" s="3">
        <v>94.181619999999995</v>
      </c>
      <c r="AJ758" s="3">
        <v>96.853070000000002</v>
      </c>
      <c r="AK758" s="3">
        <v>90.651709999999994</v>
      </c>
      <c r="AL758" s="3">
        <v>92.966740000000001</v>
      </c>
      <c r="AM758" s="3">
        <v>93.054079999999999</v>
      </c>
      <c r="AN758" s="3">
        <v>94.069029999999998</v>
      </c>
      <c r="AO758" s="3">
        <v>94.55659</v>
      </c>
      <c r="AP758" s="3">
        <v>96.848510000000005</v>
      </c>
      <c r="AQ758" s="3">
        <v>98.448589999999996</v>
      </c>
      <c r="AT758" s="3">
        <v>95.861660000000001</v>
      </c>
      <c r="AU758" s="3">
        <v>97.171620000000004</v>
      </c>
      <c r="AV758" s="3">
        <v>100.93770000000001</v>
      </c>
      <c r="AW758" s="3">
        <v>77.58381</v>
      </c>
      <c r="AX758" s="3">
        <v>93.598879999999994</v>
      </c>
      <c r="AY758" s="3">
        <v>82.734669999999994</v>
      </c>
    </row>
    <row r="759" spans="1:51" x14ac:dyDescent="0.2">
      <c r="A759" s="3" t="s">
        <v>656</v>
      </c>
      <c r="B759" s="49">
        <v>40909</v>
      </c>
      <c r="D759" s="3">
        <v>95.014399999999995</v>
      </c>
      <c r="F759" s="3">
        <v>94.429860000000005</v>
      </c>
      <c r="G759" s="3">
        <v>100.2436</v>
      </c>
      <c r="H759" s="3">
        <v>90.314409999999995</v>
      </c>
      <c r="J759" s="3">
        <v>89.554680000000005</v>
      </c>
      <c r="K759" s="3">
        <v>86.756510000000006</v>
      </c>
      <c r="L759" s="3">
        <v>97.3</v>
      </c>
      <c r="M759" s="3">
        <v>94.787620000000004</v>
      </c>
      <c r="N759" s="3">
        <v>95.173069999999996</v>
      </c>
      <c r="O759" s="3">
        <v>95.2</v>
      </c>
      <c r="P759" s="3">
        <v>96.580569999999994</v>
      </c>
      <c r="Q759" s="3">
        <v>95.00882</v>
      </c>
      <c r="S759" s="3">
        <v>95.972139999999996</v>
      </c>
      <c r="T759" s="3">
        <v>96.485749999999996</v>
      </c>
      <c r="V759" s="3">
        <v>94.644710000000003</v>
      </c>
      <c r="W759" s="3">
        <v>94.1</v>
      </c>
      <c r="X759" s="3">
        <v>103.70099999999999</v>
      </c>
      <c r="Y759" s="3">
        <v>90.566879999999998</v>
      </c>
      <c r="AB759" s="3">
        <v>95.893199999999993</v>
      </c>
      <c r="AC759" s="3">
        <v>89.240859999999998</v>
      </c>
      <c r="AD759" s="3">
        <v>97.098780000000005</v>
      </c>
      <c r="AE759" s="3">
        <v>96.316659999999999</v>
      </c>
      <c r="AF759" s="3">
        <v>96.969830000000002</v>
      </c>
      <c r="AH759" s="3">
        <v>93.895499999999998</v>
      </c>
      <c r="AI759" s="3">
        <v>93.057460000000006</v>
      </c>
      <c r="AJ759" s="3">
        <v>96.47381</v>
      </c>
      <c r="AK759" s="3">
        <v>90.909649999999999</v>
      </c>
      <c r="AL759" s="3">
        <v>92.669079999999994</v>
      </c>
      <c r="AM759" s="3">
        <v>92.391080000000002</v>
      </c>
      <c r="AN759" s="3">
        <v>93.966329999999999</v>
      </c>
      <c r="AO759" s="3">
        <v>94.024039999999999</v>
      </c>
      <c r="AP759" s="3">
        <v>96.674639999999997</v>
      </c>
      <c r="AQ759" s="3">
        <v>98.226489999999998</v>
      </c>
      <c r="AT759" s="3">
        <v>96.354159999999993</v>
      </c>
      <c r="AU759" s="3">
        <v>95.691599999999994</v>
      </c>
      <c r="AV759" s="3">
        <v>99.332579999999993</v>
      </c>
      <c r="AW759" s="3">
        <v>77.624660000000006</v>
      </c>
      <c r="AX759" s="3">
        <v>93.804040000000001</v>
      </c>
      <c r="AY759" s="3">
        <v>83.059839999999994</v>
      </c>
    </row>
    <row r="760" spans="1:51" x14ac:dyDescent="0.2">
      <c r="A760" s="74" t="s">
        <v>657</v>
      </c>
      <c r="B760" s="49">
        <v>40940</v>
      </c>
      <c r="D760" s="3">
        <v>95.422319999999999</v>
      </c>
      <c r="F760" s="3">
        <v>94.778760000000005</v>
      </c>
      <c r="G760" s="3">
        <v>100.4693</v>
      </c>
      <c r="H760" s="3">
        <v>90.726759999999999</v>
      </c>
      <c r="J760" s="3">
        <v>90.149600000000007</v>
      </c>
      <c r="K760" s="3">
        <v>87.423689999999993</v>
      </c>
      <c r="L760" s="3">
        <v>97.4</v>
      </c>
      <c r="M760" s="3">
        <v>95.260230000000007</v>
      </c>
      <c r="N760" s="3">
        <v>96.309749999999994</v>
      </c>
      <c r="O760" s="3">
        <v>95.53</v>
      </c>
      <c r="P760" s="3">
        <v>96.501909999999995</v>
      </c>
      <c r="Q760" s="3">
        <v>95.122330000000005</v>
      </c>
      <c r="S760" s="3">
        <v>96.344120000000004</v>
      </c>
      <c r="T760" s="3">
        <v>96.773380000000003</v>
      </c>
      <c r="V760" s="3">
        <v>94.93047</v>
      </c>
      <c r="W760" s="3">
        <v>94.5</v>
      </c>
      <c r="X760" s="3">
        <v>101.2872</v>
      </c>
      <c r="Y760" s="3">
        <v>90.844560000000001</v>
      </c>
      <c r="AB760" s="3">
        <v>96.827280000000002</v>
      </c>
      <c r="AC760" s="3">
        <v>90.184539999999998</v>
      </c>
      <c r="AD760" s="3">
        <v>96.796909999999997</v>
      </c>
      <c r="AE760" s="3">
        <v>96.514759999999995</v>
      </c>
      <c r="AF760" s="3">
        <v>97.195660000000004</v>
      </c>
      <c r="AH760" s="3">
        <v>93.98</v>
      </c>
      <c r="AI760" s="3">
        <v>94.818089999999998</v>
      </c>
      <c r="AJ760" s="3">
        <v>96.222290000000001</v>
      </c>
      <c r="AK760" s="3">
        <v>91.202529999999996</v>
      </c>
      <c r="AL760" s="3">
        <v>93.132570000000001</v>
      </c>
      <c r="AM760" s="3">
        <v>92.88794</v>
      </c>
      <c r="AN760" s="3">
        <v>94.217519999999993</v>
      </c>
      <c r="AO760" s="3">
        <v>94.258989999999997</v>
      </c>
      <c r="AP760" s="3">
        <v>96.935450000000003</v>
      </c>
      <c r="AQ760" s="3">
        <v>98.137320000000003</v>
      </c>
      <c r="AT760" s="3">
        <v>96.543980000000005</v>
      </c>
      <c r="AU760" s="3">
        <v>95.8416</v>
      </c>
      <c r="AV760" s="3">
        <v>99.825190000000006</v>
      </c>
      <c r="AW760" s="3">
        <v>77.502110000000002</v>
      </c>
      <c r="AX760" s="3">
        <v>94.063280000000006</v>
      </c>
      <c r="AY760" s="3">
        <v>83.561160000000001</v>
      </c>
    </row>
    <row r="761" spans="1:51" x14ac:dyDescent="0.2">
      <c r="A761" s="74" t="s">
        <v>658</v>
      </c>
      <c r="B761" s="49">
        <v>40969</v>
      </c>
      <c r="D761" s="3">
        <v>95.412610000000001</v>
      </c>
      <c r="F761" s="3">
        <v>95.130930000000006</v>
      </c>
      <c r="G761" s="3">
        <v>100.89230000000001</v>
      </c>
      <c r="H761" s="3">
        <v>90.683350000000004</v>
      </c>
      <c r="J761" s="3">
        <v>90.324579999999997</v>
      </c>
      <c r="K761" s="3">
        <v>87.629679999999993</v>
      </c>
      <c r="L761" s="3">
        <v>97.2</v>
      </c>
      <c r="M761" s="3">
        <v>95.665989999999994</v>
      </c>
      <c r="N761" s="3">
        <v>96.630089999999996</v>
      </c>
      <c r="O761" s="3">
        <v>96.98</v>
      </c>
      <c r="P761" s="3">
        <v>97.08681</v>
      </c>
      <c r="Q761" s="3">
        <v>95.973659999999995</v>
      </c>
      <c r="S761" s="3">
        <v>96.623109999999997</v>
      </c>
      <c r="T761" s="3">
        <v>97.54025</v>
      </c>
      <c r="V761" s="3">
        <v>95.294049999999999</v>
      </c>
      <c r="W761" s="3">
        <v>94.8</v>
      </c>
      <c r="X761" s="3">
        <v>104.82599999999999</v>
      </c>
      <c r="Y761" s="3">
        <v>91.347080000000005</v>
      </c>
      <c r="AB761" s="3">
        <v>97.847110000000001</v>
      </c>
      <c r="AC761" s="3">
        <v>91.038629999999998</v>
      </c>
      <c r="AD761" s="3">
        <v>97.098780000000005</v>
      </c>
      <c r="AE761" s="3">
        <v>96.879810000000006</v>
      </c>
      <c r="AF761" s="3">
        <v>97.378259999999997</v>
      </c>
      <c r="AH761" s="3">
        <v>94.860699999999994</v>
      </c>
      <c r="AI761" s="3">
        <v>94.942080000000004</v>
      </c>
      <c r="AJ761" s="3">
        <v>96.722139999999996</v>
      </c>
      <c r="AK761" s="3">
        <v>91.366820000000004</v>
      </c>
      <c r="AL761" s="3">
        <v>94.335939999999994</v>
      </c>
      <c r="AM761" s="3">
        <v>93.299130000000005</v>
      </c>
      <c r="AN761" s="3">
        <v>94.579490000000007</v>
      </c>
      <c r="AO761" s="3">
        <v>94.777789999999996</v>
      </c>
      <c r="AP761" s="3">
        <v>97.196259999999995</v>
      </c>
      <c r="AQ761" s="3">
        <v>99.365899999999996</v>
      </c>
      <c r="AT761" s="3">
        <v>96.782200000000003</v>
      </c>
      <c r="AU761" s="3">
        <v>96.951610000000002</v>
      </c>
      <c r="AV761" s="3">
        <v>100.18040000000001</v>
      </c>
      <c r="AW761" s="3">
        <v>77.771730000000005</v>
      </c>
      <c r="AX761" s="3">
        <v>94.422420000000002</v>
      </c>
      <c r="AY761" s="3">
        <v>84.553309999999996</v>
      </c>
    </row>
    <row r="762" spans="1:51" x14ac:dyDescent="0.2">
      <c r="A762" s="74" t="s">
        <v>659</v>
      </c>
      <c r="B762" s="49">
        <v>41000</v>
      </c>
      <c r="D762" s="3">
        <v>95.451449999999994</v>
      </c>
      <c r="F762" s="3">
        <v>95.504779999999997</v>
      </c>
      <c r="G762" s="3">
        <v>101.0454</v>
      </c>
      <c r="H762" s="3">
        <v>90.846119999999999</v>
      </c>
      <c r="J762" s="3">
        <v>90.499570000000006</v>
      </c>
      <c r="K762" s="3">
        <v>87.811549999999997</v>
      </c>
      <c r="L762" s="3">
        <v>97.4</v>
      </c>
      <c r="M762" s="3">
        <v>95.402199999999993</v>
      </c>
      <c r="N762" s="3">
        <v>96.801599999999993</v>
      </c>
      <c r="O762" s="3">
        <v>97.44</v>
      </c>
      <c r="P762" s="3">
        <v>98.430040000000005</v>
      </c>
      <c r="Q762" s="3">
        <v>96.143929999999997</v>
      </c>
      <c r="S762" s="3">
        <v>96.995090000000005</v>
      </c>
      <c r="T762" s="3">
        <v>97.695660000000004</v>
      </c>
      <c r="V762" s="3">
        <v>95.504779999999997</v>
      </c>
      <c r="W762" s="3">
        <v>95.2</v>
      </c>
      <c r="X762" s="3">
        <v>105.816</v>
      </c>
      <c r="Y762" s="3">
        <v>91.793570000000003</v>
      </c>
      <c r="AB762" s="3">
        <v>97.462909999999994</v>
      </c>
      <c r="AC762" s="3">
        <v>91.647490000000005</v>
      </c>
      <c r="AD762" s="3">
        <v>97.903739999999999</v>
      </c>
      <c r="AE762" s="3">
        <v>97.229990000000001</v>
      </c>
      <c r="AF762" s="3">
        <v>97.626900000000006</v>
      </c>
      <c r="AH762" s="3">
        <v>95.361199999999997</v>
      </c>
      <c r="AI762" s="3">
        <v>95.090869999999995</v>
      </c>
      <c r="AJ762" s="3">
        <v>97.313839999999999</v>
      </c>
      <c r="AK762" s="3">
        <v>91.485770000000002</v>
      </c>
      <c r="AL762" s="3">
        <v>94.710599999999999</v>
      </c>
      <c r="AM762" s="3">
        <v>93.691310000000001</v>
      </c>
      <c r="AN762" s="3">
        <v>94.874129999999994</v>
      </c>
      <c r="AO762" s="3">
        <v>95.179150000000007</v>
      </c>
      <c r="AP762" s="3">
        <v>97.717889999999997</v>
      </c>
      <c r="AQ762" s="3">
        <v>99.544240000000002</v>
      </c>
      <c r="AT762" s="3">
        <v>97.257710000000003</v>
      </c>
      <c r="AU762" s="3">
        <v>97.931629999999998</v>
      </c>
      <c r="AV762" s="3">
        <v>100.57250000000001</v>
      </c>
      <c r="AW762" s="3">
        <v>79.176990000000004</v>
      </c>
      <c r="AX762" s="3">
        <v>94.656890000000004</v>
      </c>
      <c r="AY762" s="3">
        <v>84.83569</v>
      </c>
    </row>
    <row r="763" spans="1:51" x14ac:dyDescent="0.2">
      <c r="A763" s="74" t="s">
        <v>660</v>
      </c>
      <c r="B763" s="49">
        <v>41030</v>
      </c>
      <c r="D763" s="3">
        <v>95.69426</v>
      </c>
      <c r="F763" s="3">
        <v>95.581310000000002</v>
      </c>
      <c r="G763" s="3">
        <v>101.00409999999999</v>
      </c>
      <c r="H763" s="3">
        <v>90.856970000000004</v>
      </c>
      <c r="J763" s="3">
        <v>90.662880000000001</v>
      </c>
      <c r="K763" s="3">
        <v>88.436530000000005</v>
      </c>
      <c r="L763" s="3">
        <v>97.5</v>
      </c>
      <c r="M763" s="3">
        <v>95.659130000000005</v>
      </c>
      <c r="N763" s="3">
        <v>97.096620000000001</v>
      </c>
      <c r="O763" s="3">
        <v>97.43</v>
      </c>
      <c r="P763" s="3">
        <v>98.558109999999999</v>
      </c>
      <c r="Q763" s="3">
        <v>96.370959999999997</v>
      </c>
      <c r="S763" s="3">
        <v>97.274090000000001</v>
      </c>
      <c r="T763" s="3">
        <v>97.776799999999994</v>
      </c>
      <c r="V763" s="3">
        <v>95.589650000000006</v>
      </c>
      <c r="W763" s="3">
        <v>95.3</v>
      </c>
      <c r="X763" s="3">
        <v>105.5699</v>
      </c>
      <c r="Y763" s="3">
        <v>91.943730000000002</v>
      </c>
      <c r="AB763" s="3">
        <v>97.507230000000007</v>
      </c>
      <c r="AC763" s="3">
        <v>91.932460000000006</v>
      </c>
      <c r="AD763" s="3">
        <v>97.903739999999999</v>
      </c>
      <c r="AE763" s="3">
        <v>97.21696</v>
      </c>
      <c r="AF763" s="3">
        <v>97.458430000000007</v>
      </c>
      <c r="AH763" s="3">
        <v>95.714699999999993</v>
      </c>
      <c r="AI763" s="3">
        <v>95.156999999999996</v>
      </c>
      <c r="AJ763" s="3">
        <v>97.39564</v>
      </c>
      <c r="AK763" s="3">
        <v>91.71217</v>
      </c>
      <c r="AL763" s="3">
        <v>94.716800000000006</v>
      </c>
      <c r="AM763" s="3">
        <v>93.862480000000005</v>
      </c>
      <c r="AN763" s="3">
        <v>94.996709999999993</v>
      </c>
      <c r="AO763" s="3">
        <v>95.359920000000002</v>
      </c>
      <c r="AP763" s="3">
        <v>97.717889999999997</v>
      </c>
      <c r="AQ763" s="3">
        <v>99.385710000000003</v>
      </c>
      <c r="AT763" s="3">
        <v>97.32647</v>
      </c>
      <c r="AU763" s="3">
        <v>98.541640000000001</v>
      </c>
      <c r="AV763" s="3">
        <v>100.6764</v>
      </c>
      <c r="AW763" s="3">
        <v>80.112470000000002</v>
      </c>
      <c r="AX763" s="3">
        <v>94.780320000000003</v>
      </c>
      <c r="AY763" s="3">
        <v>84.714939999999999</v>
      </c>
    </row>
    <row r="764" spans="1:51" x14ac:dyDescent="0.2">
      <c r="A764" s="74" t="s">
        <v>661</v>
      </c>
      <c r="B764" s="49">
        <v>41061</v>
      </c>
      <c r="D764" s="3">
        <v>95.781670000000005</v>
      </c>
      <c r="F764" s="3">
        <v>95.276340000000005</v>
      </c>
      <c r="G764" s="3">
        <v>100.88849999999999</v>
      </c>
      <c r="H764" s="3">
        <v>90.932929999999999</v>
      </c>
      <c r="J764" s="3">
        <v>90.826189999999997</v>
      </c>
      <c r="K764" s="3">
        <v>88.445570000000004</v>
      </c>
      <c r="L764" s="3">
        <v>97.6</v>
      </c>
      <c r="M764" s="3">
        <v>95.600729999999999</v>
      </c>
      <c r="N764" s="3">
        <v>96.890119999999996</v>
      </c>
      <c r="O764" s="3">
        <v>97.5</v>
      </c>
      <c r="P764" s="3">
        <v>98.595420000000004</v>
      </c>
      <c r="Q764" s="3">
        <v>96.370959999999997</v>
      </c>
      <c r="S764" s="3">
        <v>97.460080000000005</v>
      </c>
      <c r="T764" s="3">
        <v>97.998519999999999</v>
      </c>
      <c r="V764" s="3">
        <v>95.622249999999994</v>
      </c>
      <c r="W764" s="3">
        <v>95.1</v>
      </c>
      <c r="X764" s="3">
        <v>105.47799999999999</v>
      </c>
      <c r="Y764" s="3">
        <v>92.368309999999994</v>
      </c>
      <c r="AB764" s="3">
        <v>97.601740000000007</v>
      </c>
      <c r="AC764" s="3">
        <v>92.57826</v>
      </c>
      <c r="AD764" s="3">
        <v>97.903739999999999</v>
      </c>
      <c r="AE764" s="3">
        <v>97.523099999999999</v>
      </c>
      <c r="AF764" s="3">
        <v>97.197280000000006</v>
      </c>
      <c r="AH764" s="3">
        <v>96.069100000000006</v>
      </c>
      <c r="AI764" s="3">
        <v>95.272720000000007</v>
      </c>
      <c r="AJ764" s="3">
        <v>97.489689999999996</v>
      </c>
      <c r="AK764" s="3">
        <v>91.857619999999997</v>
      </c>
      <c r="AL764" s="3">
        <v>94.222949999999997</v>
      </c>
      <c r="AM764" s="3">
        <v>93.577839999999995</v>
      </c>
      <c r="AN764" s="3">
        <v>95.041150000000002</v>
      </c>
      <c r="AO764" s="3">
        <v>95.412419999999997</v>
      </c>
      <c r="AP764" s="3">
        <v>97.804820000000007</v>
      </c>
      <c r="AQ764" s="3">
        <v>99.256910000000005</v>
      </c>
      <c r="AT764" s="3">
        <v>97.404399999999995</v>
      </c>
      <c r="AU764" s="3">
        <v>98.391639999999995</v>
      </c>
      <c r="AV764" s="3">
        <v>100.4183</v>
      </c>
      <c r="AW764" s="3">
        <v>80.471959999999996</v>
      </c>
      <c r="AX764" s="3">
        <v>94.894660000000002</v>
      </c>
      <c r="AY764" s="3">
        <v>85.416979999999995</v>
      </c>
    </row>
    <row r="765" spans="1:51" x14ac:dyDescent="0.2">
      <c r="A765" s="74" t="s">
        <v>662</v>
      </c>
      <c r="B765" s="49">
        <v>41091</v>
      </c>
      <c r="D765" s="3">
        <v>95.995339999999999</v>
      </c>
      <c r="F765" s="3">
        <v>95.009540000000001</v>
      </c>
      <c r="G765" s="3">
        <v>100.33459999999999</v>
      </c>
      <c r="H765" s="3">
        <v>90.976330000000004</v>
      </c>
      <c r="J765" s="3">
        <v>91.047839999999994</v>
      </c>
      <c r="K765" s="3">
        <v>88.365189999999998</v>
      </c>
      <c r="L765" s="3">
        <v>97.8</v>
      </c>
      <c r="M765" s="3">
        <v>95.987920000000003</v>
      </c>
      <c r="N765" s="3">
        <v>96.68432</v>
      </c>
      <c r="O765" s="3">
        <v>96.73</v>
      </c>
      <c r="P765" s="3">
        <v>97.732200000000006</v>
      </c>
      <c r="Q765" s="3">
        <v>96.257450000000006</v>
      </c>
      <c r="S765" s="3">
        <v>97.088089999999994</v>
      </c>
      <c r="T765" s="3">
        <v>97.553569999999993</v>
      </c>
      <c r="V765" s="3">
        <v>95.626109999999997</v>
      </c>
      <c r="W765" s="3">
        <v>95.2</v>
      </c>
      <c r="X765" s="3">
        <v>103.6829</v>
      </c>
      <c r="Y765" s="3">
        <v>92.794979999999995</v>
      </c>
      <c r="AB765" s="3">
        <v>97.589879999999994</v>
      </c>
      <c r="AC765" s="3">
        <v>91.603160000000003</v>
      </c>
      <c r="AD765" s="3">
        <v>98.205600000000004</v>
      </c>
      <c r="AE765" s="3">
        <v>97.878450000000001</v>
      </c>
      <c r="AF765" s="3">
        <v>97.002170000000007</v>
      </c>
      <c r="AH765" s="3">
        <v>95.719099999999997</v>
      </c>
      <c r="AI765" s="3">
        <v>94.181619999999995</v>
      </c>
      <c r="AJ765" s="3">
        <v>96.820719999999994</v>
      </c>
      <c r="AK765" s="3">
        <v>92.098749999999995</v>
      </c>
      <c r="AL765" s="3">
        <v>94.899850000000001</v>
      </c>
      <c r="AM765" s="3">
        <v>93.529210000000006</v>
      </c>
      <c r="AN765" s="3">
        <v>95.028899999999993</v>
      </c>
      <c r="AO765" s="3">
        <v>95.347909999999999</v>
      </c>
      <c r="AP765" s="3">
        <v>97.891760000000005</v>
      </c>
      <c r="AQ765" s="3">
        <v>98.92004</v>
      </c>
      <c r="AT765" s="3">
        <v>97.581379999999996</v>
      </c>
      <c r="AU765" s="3">
        <v>97.101619999999997</v>
      </c>
      <c r="AV765" s="3">
        <v>100.11669999999999</v>
      </c>
      <c r="AW765" s="3">
        <v>80.120639999999995</v>
      </c>
      <c r="AX765" s="3">
        <v>94.900440000000003</v>
      </c>
      <c r="AY765" s="3">
        <v>85.759240000000005</v>
      </c>
    </row>
    <row r="766" spans="1:51" x14ac:dyDescent="0.2">
      <c r="A766" s="74" t="s">
        <v>663</v>
      </c>
      <c r="B766" s="49">
        <v>41122</v>
      </c>
      <c r="D766" s="3">
        <v>96.092460000000003</v>
      </c>
      <c r="F766" s="3">
        <v>95.033169999999998</v>
      </c>
      <c r="G766" s="3">
        <v>100.0746</v>
      </c>
      <c r="H766" s="3">
        <v>90.618250000000003</v>
      </c>
      <c r="J766" s="3">
        <v>91.106160000000003</v>
      </c>
      <c r="K766" s="3">
        <v>89.206209999999999</v>
      </c>
      <c r="L766" s="3">
        <v>97.8</v>
      </c>
      <c r="M766" s="3">
        <v>96.131469999999993</v>
      </c>
      <c r="N766" s="3">
        <v>96.763940000000005</v>
      </c>
      <c r="O766" s="3">
        <v>96.89</v>
      </c>
      <c r="P766" s="3">
        <v>97.897589999999994</v>
      </c>
      <c r="Q766" s="3">
        <v>96.427710000000005</v>
      </c>
      <c r="S766" s="3">
        <v>97.181079999999994</v>
      </c>
      <c r="T766" s="3">
        <v>98.071920000000006</v>
      </c>
      <c r="V766" s="3">
        <v>95.814070000000001</v>
      </c>
      <c r="W766" s="3">
        <v>95.6</v>
      </c>
      <c r="X766" s="3">
        <v>101.7765</v>
      </c>
      <c r="Y766" s="3">
        <v>92.876980000000003</v>
      </c>
      <c r="AB766" s="3">
        <v>97.867829999999998</v>
      </c>
      <c r="AC766" s="3">
        <v>91.385919999999999</v>
      </c>
      <c r="AD766" s="3">
        <v>98.809330000000003</v>
      </c>
      <c r="AE766" s="3">
        <v>98.137709999999998</v>
      </c>
      <c r="AF766" s="3">
        <v>97.228809999999996</v>
      </c>
      <c r="AH766" s="3">
        <v>95.973200000000006</v>
      </c>
      <c r="AI766" s="3">
        <v>95.603359999999995</v>
      </c>
      <c r="AJ766" s="3">
        <v>96.446280000000002</v>
      </c>
      <c r="AK766" s="3">
        <v>92.305499999999995</v>
      </c>
      <c r="AL766" s="3">
        <v>94.943049999999999</v>
      </c>
      <c r="AM766" s="3">
        <v>92.981290000000001</v>
      </c>
      <c r="AN766" s="3">
        <v>95.158820000000006</v>
      </c>
      <c r="AO766" s="3">
        <v>95.472880000000004</v>
      </c>
      <c r="AP766" s="3">
        <v>97.804820000000007</v>
      </c>
      <c r="AQ766" s="3">
        <v>98.414739999999995</v>
      </c>
      <c r="AT766" s="3">
        <v>97.714259999999996</v>
      </c>
      <c r="AU766" s="3">
        <v>97.471630000000005</v>
      </c>
      <c r="AV766" s="3">
        <v>100.0162</v>
      </c>
      <c r="AW766" s="3">
        <v>79.932730000000006</v>
      </c>
      <c r="AX766" s="3">
        <v>95.02552</v>
      </c>
      <c r="AY766" s="3">
        <v>86.09348</v>
      </c>
    </row>
    <row r="767" spans="1:51" x14ac:dyDescent="0.2">
      <c r="A767" s="74" t="s">
        <v>664</v>
      </c>
      <c r="B767" s="49">
        <v>41153</v>
      </c>
      <c r="D767" s="3">
        <v>96.092460000000003</v>
      </c>
      <c r="F767" s="3">
        <v>95.348190000000002</v>
      </c>
      <c r="G767" s="3">
        <v>100.354</v>
      </c>
      <c r="H767" s="3">
        <v>91.030590000000004</v>
      </c>
      <c r="J767" s="3">
        <v>91.257810000000006</v>
      </c>
      <c r="K767" s="3">
        <v>89.468459999999993</v>
      </c>
      <c r="L767" s="3">
        <v>97.5</v>
      </c>
      <c r="M767" s="3">
        <v>96.078540000000004</v>
      </c>
      <c r="N767" s="3">
        <v>97.130170000000007</v>
      </c>
      <c r="O767" s="3">
        <v>97.68</v>
      </c>
      <c r="P767" s="3">
        <v>98.818280000000001</v>
      </c>
      <c r="Q767" s="3">
        <v>96.768240000000006</v>
      </c>
      <c r="S767" s="3">
        <v>97.460080000000005</v>
      </c>
      <c r="T767" s="3">
        <v>97.755459999999999</v>
      </c>
      <c r="V767" s="3">
        <v>95.911249999999995</v>
      </c>
      <c r="W767" s="3">
        <v>95.8</v>
      </c>
      <c r="X767" s="3">
        <v>105.2329</v>
      </c>
      <c r="Y767" s="3">
        <v>93.020449999999997</v>
      </c>
      <c r="AB767" s="3">
        <v>97.397930000000002</v>
      </c>
      <c r="AC767" s="3">
        <v>91.956410000000005</v>
      </c>
      <c r="AD767" s="3">
        <v>98.205600000000004</v>
      </c>
      <c r="AE767" s="3">
        <v>97.737430000000003</v>
      </c>
      <c r="AF767" s="3">
        <v>97.126080000000002</v>
      </c>
      <c r="AH767" s="3">
        <v>96.656800000000004</v>
      </c>
      <c r="AI767" s="3">
        <v>95.776939999999996</v>
      </c>
      <c r="AJ767" s="3">
        <v>96.896850000000001</v>
      </c>
      <c r="AK767" s="3">
        <v>92.436220000000006</v>
      </c>
      <c r="AL767" s="3">
        <v>95.329319999999996</v>
      </c>
      <c r="AM767" s="3">
        <v>94.057280000000006</v>
      </c>
      <c r="AN767" s="3">
        <v>95.319469999999995</v>
      </c>
      <c r="AO767" s="3">
        <v>95.621579999999994</v>
      </c>
      <c r="AP767" s="3">
        <v>97.804820000000007</v>
      </c>
      <c r="AQ767" s="3">
        <v>99.098389999999995</v>
      </c>
      <c r="AT767" s="3">
        <v>97.987549999999999</v>
      </c>
      <c r="AU767" s="3">
        <v>98.411640000000006</v>
      </c>
      <c r="AV767" s="3">
        <v>100.5021</v>
      </c>
      <c r="AW767" s="3">
        <v>80.087969999999999</v>
      </c>
      <c r="AX767" s="3">
        <v>95.266599999999997</v>
      </c>
      <c r="AY767" s="3">
        <v>86.228409999999997</v>
      </c>
    </row>
    <row r="768" spans="1:51" x14ac:dyDescent="0.2">
      <c r="A768" s="74" t="s">
        <v>665</v>
      </c>
      <c r="B768" s="49">
        <v>41183</v>
      </c>
      <c r="D768" s="3">
        <v>96.247860000000003</v>
      </c>
      <c r="F768" s="3">
        <v>95.631699999999995</v>
      </c>
      <c r="G768" s="3">
        <v>100.4898</v>
      </c>
      <c r="H768" s="3">
        <v>91.030590000000004</v>
      </c>
      <c r="J768" s="3">
        <v>91.386129999999994</v>
      </c>
      <c r="K768" s="3">
        <v>89.634249999999994</v>
      </c>
      <c r="L768" s="3">
        <v>97.7</v>
      </c>
      <c r="M768" s="3">
        <v>96.194730000000007</v>
      </c>
      <c r="N768" s="3">
        <v>97.243639999999999</v>
      </c>
      <c r="O768" s="3">
        <v>97.91</v>
      </c>
      <c r="P768" s="3">
        <v>100.34099999999999</v>
      </c>
      <c r="Q768" s="3">
        <v>97.052019999999999</v>
      </c>
      <c r="S768" s="3">
        <v>97.553070000000005</v>
      </c>
      <c r="T768" s="3">
        <v>97.829099999999997</v>
      </c>
      <c r="V768" s="3">
        <v>96.08211</v>
      </c>
      <c r="W768" s="3">
        <v>96.3</v>
      </c>
      <c r="X768" s="3">
        <v>105.49160000000001</v>
      </c>
      <c r="Y768" s="3">
        <v>93.208839999999995</v>
      </c>
      <c r="AB768" s="3">
        <v>97.090549999999993</v>
      </c>
      <c r="AC768" s="3">
        <v>92.146249999999995</v>
      </c>
      <c r="AD768" s="3">
        <v>98.104979999999998</v>
      </c>
      <c r="AE768" s="3">
        <v>97.703659999999999</v>
      </c>
      <c r="AF768" s="3">
        <v>97.113590000000002</v>
      </c>
      <c r="AH768" s="3">
        <v>96.970799999999997</v>
      </c>
      <c r="AI768" s="3">
        <v>95.991849999999999</v>
      </c>
      <c r="AJ768" s="3">
        <v>96.642080000000007</v>
      </c>
      <c r="AK768" s="3">
        <v>92.623639999999995</v>
      </c>
      <c r="AL768" s="3">
        <v>95.793840000000003</v>
      </c>
      <c r="AM768" s="3">
        <v>94.118600000000001</v>
      </c>
      <c r="AN768" s="3">
        <v>95.554540000000003</v>
      </c>
      <c r="AO768" s="3">
        <v>95.979050000000001</v>
      </c>
      <c r="AP768" s="3">
        <v>98.065640000000002</v>
      </c>
      <c r="AQ768" s="3">
        <v>99.50461</v>
      </c>
      <c r="AT768" s="3">
        <v>98.366690000000006</v>
      </c>
      <c r="AU768" s="3">
        <v>98.901650000000004</v>
      </c>
      <c r="AV768" s="3">
        <v>100.51220000000001</v>
      </c>
      <c r="AW768" s="3">
        <v>81.039789999999996</v>
      </c>
      <c r="AX768" s="3">
        <v>95.471350000000001</v>
      </c>
      <c r="AY768" s="3">
        <v>86.51925</v>
      </c>
    </row>
    <row r="769" spans="1:51" x14ac:dyDescent="0.2">
      <c r="A769" s="74" t="s">
        <v>666</v>
      </c>
      <c r="B769" s="49">
        <v>41214</v>
      </c>
      <c r="D769" s="3">
        <v>96.296419999999998</v>
      </c>
      <c r="F769" s="3">
        <v>95.72466</v>
      </c>
      <c r="G769" s="3">
        <v>100.46299999999999</v>
      </c>
      <c r="H769" s="3">
        <v>91.052289999999999</v>
      </c>
      <c r="J769" s="3">
        <v>91.47945</v>
      </c>
      <c r="K769" s="3">
        <v>90.367760000000004</v>
      </c>
      <c r="L769" s="3">
        <v>97.5</v>
      </c>
      <c r="M769" s="3">
        <v>96.354709999999997</v>
      </c>
      <c r="N769" s="3">
        <v>97.082470000000001</v>
      </c>
      <c r="O769" s="3">
        <v>97.76</v>
      </c>
      <c r="P769" s="3">
        <v>100.53870000000001</v>
      </c>
      <c r="Q769" s="3">
        <v>96.825000000000003</v>
      </c>
      <c r="S769" s="3">
        <v>97.274090000000001</v>
      </c>
      <c r="T769" s="3">
        <v>97.782390000000007</v>
      </c>
      <c r="V769" s="3">
        <v>96.060130000000001</v>
      </c>
      <c r="W769" s="3">
        <v>96.4</v>
      </c>
      <c r="X769" s="3">
        <v>105.1648</v>
      </c>
      <c r="Y769" s="3">
        <v>93.447649999999996</v>
      </c>
      <c r="AB769" s="3">
        <v>96.895380000000003</v>
      </c>
      <c r="AC769" s="3">
        <v>92.596670000000003</v>
      </c>
      <c r="AD769" s="3">
        <v>97.903739999999999</v>
      </c>
      <c r="AE769" s="3">
        <v>97.549840000000003</v>
      </c>
      <c r="AF769" s="3">
        <v>96.856520000000003</v>
      </c>
      <c r="AH769" s="3">
        <v>96.868799999999993</v>
      </c>
      <c r="AI769" s="3">
        <v>96.173699999999997</v>
      </c>
      <c r="AJ769" s="3">
        <v>96.670090000000002</v>
      </c>
      <c r="AK769" s="3">
        <v>92.615309999999994</v>
      </c>
      <c r="AL769" s="3">
        <v>95.432980000000001</v>
      </c>
      <c r="AM769" s="3">
        <v>94.172070000000005</v>
      </c>
      <c r="AN769" s="3">
        <v>95.563370000000006</v>
      </c>
      <c r="AO769" s="3">
        <v>96.051029999999997</v>
      </c>
      <c r="AP769" s="3">
        <v>98.152569999999997</v>
      </c>
      <c r="AQ769" s="3">
        <v>99.484790000000004</v>
      </c>
      <c r="AT769" s="3">
        <v>98.427090000000007</v>
      </c>
      <c r="AU769" s="3">
        <v>99.271649999999994</v>
      </c>
      <c r="AV769" s="3">
        <v>100.27419999999999</v>
      </c>
      <c r="AW769" s="3">
        <v>81.6648</v>
      </c>
      <c r="AX769" s="3">
        <v>95.465980000000002</v>
      </c>
      <c r="AY769" s="3">
        <v>86.602249999999998</v>
      </c>
    </row>
    <row r="770" spans="1:51" x14ac:dyDescent="0.2">
      <c r="A770" s="74" t="s">
        <v>667</v>
      </c>
      <c r="B770" s="49">
        <v>41244</v>
      </c>
      <c r="D770" s="3">
        <v>96.40325</v>
      </c>
      <c r="F770" s="3">
        <v>95.216999999999999</v>
      </c>
      <c r="G770" s="3">
        <v>100.2568</v>
      </c>
      <c r="H770" s="3">
        <v>91.334429999999998</v>
      </c>
      <c r="J770" s="3">
        <v>91.6661</v>
      </c>
      <c r="K770" s="3">
        <v>90.914370000000005</v>
      </c>
      <c r="L770" s="3">
        <v>97.3</v>
      </c>
      <c r="M770" s="3">
        <v>96.769099999999995</v>
      </c>
      <c r="N770" s="3">
        <v>96.995429999999999</v>
      </c>
      <c r="O770" s="3">
        <v>98.26</v>
      </c>
      <c r="P770" s="3">
        <v>100.5498</v>
      </c>
      <c r="Q770" s="3">
        <v>96.881749999999997</v>
      </c>
      <c r="S770" s="3">
        <v>97.367080000000001</v>
      </c>
      <c r="T770" s="3">
        <v>98.208110000000005</v>
      </c>
      <c r="V770" s="3">
        <v>96.063289999999995</v>
      </c>
      <c r="W770" s="3">
        <v>96.6</v>
      </c>
      <c r="X770" s="3">
        <v>104.8891</v>
      </c>
      <c r="Y770" s="3">
        <v>93.696330000000003</v>
      </c>
      <c r="AB770" s="3">
        <v>97.054940000000002</v>
      </c>
      <c r="AC770" s="3">
        <v>92.7637</v>
      </c>
      <c r="AD770" s="3">
        <v>98.104979999999998</v>
      </c>
      <c r="AE770" s="3">
        <v>97.791560000000004</v>
      </c>
      <c r="AF770" s="3">
        <v>96.712230000000005</v>
      </c>
      <c r="AH770" s="3">
        <v>96.709400000000002</v>
      </c>
      <c r="AI770" s="3">
        <v>96.033180000000002</v>
      </c>
      <c r="AJ770" s="3">
        <v>96.449740000000006</v>
      </c>
      <c r="AK770" s="3">
        <v>92.663799999999995</v>
      </c>
      <c r="AL770" s="3">
        <v>95.167400000000001</v>
      </c>
      <c r="AM770" s="3">
        <v>94.209779999999995</v>
      </c>
      <c r="AN770" s="3">
        <v>95.573229999999995</v>
      </c>
      <c r="AO770" s="3">
        <v>96.221119999999999</v>
      </c>
      <c r="AP770" s="3">
        <v>98.065640000000002</v>
      </c>
      <c r="AQ770" s="3">
        <v>99.613590000000002</v>
      </c>
      <c r="AT770" s="3">
        <v>98.388900000000007</v>
      </c>
      <c r="AU770" s="3">
        <v>98.821650000000005</v>
      </c>
      <c r="AV770" s="3">
        <v>100.4284</v>
      </c>
      <c r="AW770" s="3">
        <v>81.668890000000005</v>
      </c>
      <c r="AX770" s="3">
        <v>95.371039999999994</v>
      </c>
      <c r="AY770" s="3">
        <v>87.03622</v>
      </c>
    </row>
    <row r="771" spans="1:51" x14ac:dyDescent="0.2">
      <c r="A771" s="3" t="s">
        <v>668</v>
      </c>
      <c r="B771" s="49">
        <v>41275</v>
      </c>
      <c r="D771" s="3">
        <v>96.160449999999997</v>
      </c>
      <c r="F771" s="3">
        <v>95.202269999999999</v>
      </c>
      <c r="G771" s="3">
        <v>99.913079999999994</v>
      </c>
      <c r="H771" s="3">
        <v>91.334429999999998</v>
      </c>
      <c r="J771" s="3">
        <v>91.946070000000006</v>
      </c>
      <c r="K771" s="3">
        <v>91.794579999999996</v>
      </c>
      <c r="L771" s="3">
        <v>98.1</v>
      </c>
      <c r="M771" s="3">
        <v>95.7714</v>
      </c>
      <c r="N771" s="3">
        <v>96.445790000000002</v>
      </c>
      <c r="O771" s="3">
        <v>96.47</v>
      </c>
      <c r="P771" s="3">
        <v>98.380619999999993</v>
      </c>
      <c r="Q771" s="3">
        <v>96.370959999999997</v>
      </c>
      <c r="S771" s="3">
        <v>97.088089999999994</v>
      </c>
      <c r="T771" s="3">
        <v>97.415419999999997</v>
      </c>
      <c r="V771" s="3">
        <v>95.960040000000006</v>
      </c>
      <c r="W771" s="3">
        <v>95.9</v>
      </c>
      <c r="X771" s="3">
        <v>102.49</v>
      </c>
      <c r="Y771" s="3">
        <v>93.916510000000002</v>
      </c>
      <c r="AB771" s="3">
        <v>96.596940000000004</v>
      </c>
      <c r="AC771" s="3">
        <v>92.822850000000003</v>
      </c>
      <c r="AD771" s="3">
        <v>97.803120000000007</v>
      </c>
      <c r="AE771" s="3">
        <v>97.767679999999999</v>
      </c>
      <c r="AF771" s="3">
        <v>96.356520000000003</v>
      </c>
      <c r="AH771" s="3">
        <v>96.143900000000002</v>
      </c>
      <c r="AI771" s="3">
        <v>94.900750000000002</v>
      </c>
      <c r="AJ771" s="3">
        <v>95.939980000000006</v>
      </c>
      <c r="AK771" s="3">
        <v>93.081379999999996</v>
      </c>
      <c r="AL771" s="3">
        <v>95.127759999999995</v>
      </c>
      <c r="AM771" s="3">
        <v>93.698689999999999</v>
      </c>
      <c r="AN771" s="3">
        <v>95.464449999999999</v>
      </c>
      <c r="AO771" s="3">
        <v>95.636279999999999</v>
      </c>
      <c r="AP771" s="3">
        <v>97.978700000000003</v>
      </c>
      <c r="AQ771" s="3">
        <v>97.899540000000002</v>
      </c>
      <c r="AT771" s="3">
        <v>98.74606</v>
      </c>
      <c r="AU771" s="3">
        <v>97.171620000000004</v>
      </c>
      <c r="AV771" s="3">
        <v>99.161670000000001</v>
      </c>
      <c r="AW771" s="3">
        <v>82.571690000000004</v>
      </c>
      <c r="AX771" s="3">
        <v>95.610050000000001</v>
      </c>
      <c r="AY771" s="3">
        <v>87.145949999999999</v>
      </c>
    </row>
    <row r="772" spans="1:51" x14ac:dyDescent="0.2">
      <c r="A772" s="74" t="s">
        <v>669</v>
      </c>
      <c r="B772" s="49">
        <v>41306</v>
      </c>
      <c r="D772" s="3">
        <v>96.568359999999998</v>
      </c>
      <c r="F772" s="3">
        <v>95.758150000000001</v>
      </c>
      <c r="G772" s="3">
        <v>100.09310000000001</v>
      </c>
      <c r="H772" s="3">
        <v>91.453789999999998</v>
      </c>
      <c r="J772" s="3">
        <v>92.471010000000007</v>
      </c>
      <c r="K772" s="3">
        <v>92.447689999999994</v>
      </c>
      <c r="L772" s="3">
        <v>98.2</v>
      </c>
      <c r="M772" s="3">
        <v>96.295699999999997</v>
      </c>
      <c r="N772" s="3">
        <v>97.653400000000005</v>
      </c>
      <c r="O772" s="3">
        <v>96.76</v>
      </c>
      <c r="P772" s="3">
        <v>98.374570000000006</v>
      </c>
      <c r="Q772" s="3">
        <v>96.484470000000002</v>
      </c>
      <c r="S772" s="3">
        <v>97.274090000000001</v>
      </c>
      <c r="T772" s="3">
        <v>97.593879999999999</v>
      </c>
      <c r="V772" s="3">
        <v>96.254829999999998</v>
      </c>
      <c r="W772" s="3">
        <v>96.4</v>
      </c>
      <c r="X772" s="3">
        <v>99.962100000000007</v>
      </c>
      <c r="Y772" s="3">
        <v>94.730180000000004</v>
      </c>
      <c r="AB772" s="3">
        <v>97.493790000000004</v>
      </c>
      <c r="AC772" s="3">
        <v>94.294939999999997</v>
      </c>
      <c r="AD772" s="3">
        <v>97.400630000000007</v>
      </c>
      <c r="AE772" s="3">
        <v>97.785809999999998</v>
      </c>
      <c r="AF772" s="3">
        <v>96.291309999999996</v>
      </c>
      <c r="AH772" s="3">
        <v>96.005899999999997</v>
      </c>
      <c r="AI772" s="3">
        <v>96.950689999999994</v>
      </c>
      <c r="AJ772" s="3">
        <v>95.931790000000007</v>
      </c>
      <c r="AK772" s="3">
        <v>93.663830000000004</v>
      </c>
      <c r="AL772" s="3">
        <v>95.764200000000002</v>
      </c>
      <c r="AM772" s="3">
        <v>94.304239999999993</v>
      </c>
      <c r="AN772" s="3">
        <v>95.730130000000003</v>
      </c>
      <c r="AO772" s="3">
        <v>95.86618</v>
      </c>
      <c r="AP772" s="3">
        <v>97.891760000000005</v>
      </c>
      <c r="AQ772" s="3">
        <v>97.67165</v>
      </c>
      <c r="AT772" s="3">
        <v>98.770539999999997</v>
      </c>
      <c r="AU772" s="3">
        <v>97.561620000000005</v>
      </c>
      <c r="AV772" s="3">
        <v>99.607370000000003</v>
      </c>
      <c r="AW772" s="3">
        <v>82.579859999999996</v>
      </c>
      <c r="AX772" s="3">
        <v>95.948549999999997</v>
      </c>
      <c r="AY772" s="3">
        <v>88.031790000000001</v>
      </c>
    </row>
    <row r="773" spans="1:51" x14ac:dyDescent="0.2">
      <c r="A773" s="74" t="s">
        <v>670</v>
      </c>
      <c r="B773" s="49">
        <v>41334</v>
      </c>
      <c r="D773" s="3">
        <v>96.752889999999994</v>
      </c>
      <c r="F773" s="3">
        <v>96.072590000000005</v>
      </c>
      <c r="G773" s="3">
        <v>100.3719</v>
      </c>
      <c r="H773" s="3">
        <v>91.692509999999999</v>
      </c>
      <c r="J773" s="3">
        <v>92.739310000000003</v>
      </c>
      <c r="K773" s="3">
        <v>92.568280000000001</v>
      </c>
      <c r="L773" s="3">
        <v>98.1</v>
      </c>
      <c r="M773" s="3">
        <v>97.019300000000001</v>
      </c>
      <c r="N773" s="3">
        <v>98.047229999999999</v>
      </c>
      <c r="O773" s="3">
        <v>98.42</v>
      </c>
      <c r="P773" s="3">
        <v>99.038120000000006</v>
      </c>
      <c r="Q773" s="3">
        <v>97.449309999999997</v>
      </c>
      <c r="S773" s="3">
        <v>97.739069999999998</v>
      </c>
      <c r="T773" s="3">
        <v>98.491780000000006</v>
      </c>
      <c r="V773" s="3">
        <v>96.619780000000006</v>
      </c>
      <c r="W773" s="3">
        <v>96.8</v>
      </c>
      <c r="X773" s="3">
        <v>103.3884</v>
      </c>
      <c r="Y773" s="3">
        <v>95.103489999999994</v>
      </c>
      <c r="AB773" s="3">
        <v>98.070899999999995</v>
      </c>
      <c r="AC773" s="3">
        <v>94.724620000000002</v>
      </c>
      <c r="AD773" s="3">
        <v>97.702500000000001</v>
      </c>
      <c r="AE773" s="3">
        <v>97.988789999999995</v>
      </c>
      <c r="AF773" s="3">
        <v>96.685050000000004</v>
      </c>
      <c r="AH773" s="3">
        <v>96.697800000000001</v>
      </c>
      <c r="AI773" s="3">
        <v>96.983760000000004</v>
      </c>
      <c r="AJ773" s="3">
        <v>96.724140000000006</v>
      </c>
      <c r="AK773" s="3">
        <v>93.970230000000001</v>
      </c>
      <c r="AL773" s="3">
        <v>97.099400000000003</v>
      </c>
      <c r="AM773" s="3">
        <v>94.602230000000006</v>
      </c>
      <c r="AN773" s="3">
        <v>96.113100000000003</v>
      </c>
      <c r="AO773" s="3">
        <v>96.473609999999994</v>
      </c>
      <c r="AP773" s="3">
        <v>98.152569999999997</v>
      </c>
      <c r="AQ773" s="3">
        <v>99.722579999999994</v>
      </c>
      <c r="AT773" s="3">
        <v>98.892089999999996</v>
      </c>
      <c r="AU773" s="3">
        <v>98.101640000000003</v>
      </c>
      <c r="AV773" s="3">
        <v>100.18040000000001</v>
      </c>
      <c r="AW773" s="3">
        <v>82.857650000000007</v>
      </c>
      <c r="AX773" s="3">
        <v>96.204480000000004</v>
      </c>
      <c r="AY773" s="3">
        <v>89.028540000000007</v>
      </c>
    </row>
    <row r="774" spans="1:51" x14ac:dyDescent="0.2">
      <c r="A774" s="74" t="s">
        <v>671</v>
      </c>
      <c r="B774" s="49">
        <v>41365</v>
      </c>
      <c r="D774" s="3">
        <v>96.568359999999998</v>
      </c>
      <c r="F774" s="3">
        <v>96.042919999999995</v>
      </c>
      <c r="G774" s="3">
        <v>100.544</v>
      </c>
      <c r="H774" s="3">
        <v>91.562299999999993</v>
      </c>
      <c r="J774" s="3">
        <v>92.890960000000007</v>
      </c>
      <c r="K774" s="3">
        <v>92.555210000000002</v>
      </c>
      <c r="L774" s="3">
        <v>98.4</v>
      </c>
      <c r="M774" s="3">
        <v>96.339039999999997</v>
      </c>
      <c r="N774" s="3">
        <v>98.10324</v>
      </c>
      <c r="O774" s="3">
        <v>98.39</v>
      </c>
      <c r="P774" s="3">
        <v>100.0193</v>
      </c>
      <c r="Q774" s="3">
        <v>97.506069999999994</v>
      </c>
      <c r="S774" s="3">
        <v>98.018050000000002</v>
      </c>
      <c r="T774" s="3">
        <v>98.367739999999998</v>
      </c>
      <c r="V774" s="3">
        <v>96.665279999999996</v>
      </c>
      <c r="W774" s="3">
        <v>96.9</v>
      </c>
      <c r="X774" s="3">
        <v>104.1426</v>
      </c>
      <c r="Y774" s="3">
        <v>95.471400000000003</v>
      </c>
      <c r="AB774" s="3">
        <v>98.038340000000005</v>
      </c>
      <c r="AC774" s="3">
        <v>95.156210000000002</v>
      </c>
      <c r="AD774" s="3">
        <v>98.205600000000004</v>
      </c>
      <c r="AE774" s="3">
        <v>98.249099999999999</v>
      </c>
      <c r="AF774" s="3">
        <v>97.087770000000006</v>
      </c>
      <c r="AH774" s="3">
        <v>97.042900000000003</v>
      </c>
      <c r="AI774" s="3">
        <v>97.124279999999999</v>
      </c>
      <c r="AJ774" s="3">
        <v>96.979190000000003</v>
      </c>
      <c r="AK774" s="3">
        <v>94.223879999999994</v>
      </c>
      <c r="AL774" s="3">
        <v>97.402150000000006</v>
      </c>
      <c r="AM774" s="3">
        <v>95.0154</v>
      </c>
      <c r="AN774" s="3">
        <v>96.262569999999997</v>
      </c>
      <c r="AO774" s="3">
        <v>96.635760000000005</v>
      </c>
      <c r="AP774" s="3">
        <v>98.761139999999997</v>
      </c>
      <c r="AQ774" s="3">
        <v>99.851380000000006</v>
      </c>
      <c r="AT774" s="3">
        <v>99.002110000000002</v>
      </c>
      <c r="AU774" s="3">
        <v>98.991650000000007</v>
      </c>
      <c r="AV774" s="3">
        <v>100.00279999999999</v>
      </c>
      <c r="AW774" s="3">
        <v>84.042320000000004</v>
      </c>
      <c r="AX774" s="3">
        <v>96.280439999999999</v>
      </c>
      <c r="AY774" s="3">
        <v>89.139690000000002</v>
      </c>
    </row>
    <row r="775" spans="1:51" x14ac:dyDescent="0.2">
      <c r="A775" s="74" t="s">
        <v>672</v>
      </c>
      <c r="B775" s="49">
        <v>41395</v>
      </c>
      <c r="D775" s="3">
        <v>96.937420000000003</v>
      </c>
      <c r="F775" s="3">
        <v>96.161990000000003</v>
      </c>
      <c r="G775" s="3">
        <v>100.7201</v>
      </c>
      <c r="H775" s="3">
        <v>91.649109999999993</v>
      </c>
      <c r="J775" s="3">
        <v>93.089269999999999</v>
      </c>
      <c r="K775" s="3">
        <v>92.766220000000004</v>
      </c>
      <c r="L775" s="3">
        <v>98.1</v>
      </c>
      <c r="M775" s="3">
        <v>96.785049999999998</v>
      </c>
      <c r="N775" s="3">
        <v>98.194429999999997</v>
      </c>
      <c r="O775" s="3">
        <v>98.59</v>
      </c>
      <c r="P775" s="3">
        <v>100.3279</v>
      </c>
      <c r="Q775" s="3">
        <v>97.846599999999995</v>
      </c>
      <c r="S775" s="3">
        <v>98.018050000000002</v>
      </c>
      <c r="T775" s="3">
        <v>98.594890000000007</v>
      </c>
      <c r="V775" s="3">
        <v>96.809740000000005</v>
      </c>
      <c r="W775" s="3">
        <v>97.2</v>
      </c>
      <c r="X775" s="3">
        <v>103.83629999999999</v>
      </c>
      <c r="Y775" s="3">
        <v>95.715220000000002</v>
      </c>
      <c r="AB775" s="3">
        <v>98.200389999999999</v>
      </c>
      <c r="AC775" s="3">
        <v>95.208529999999996</v>
      </c>
      <c r="AD775" s="3">
        <v>98.406850000000006</v>
      </c>
      <c r="AE775" s="3">
        <v>98.351470000000006</v>
      </c>
      <c r="AF775" s="3">
        <v>97.143479999999997</v>
      </c>
      <c r="AH775" s="3">
        <v>97.3566</v>
      </c>
      <c r="AI775" s="3">
        <v>97.19041</v>
      </c>
      <c r="AJ775" s="3">
        <v>97.24033</v>
      </c>
      <c r="AK775" s="3">
        <v>94.443219999999997</v>
      </c>
      <c r="AL775" s="3">
        <v>97.445260000000005</v>
      </c>
      <c r="AM775" s="3">
        <v>95.326800000000006</v>
      </c>
      <c r="AN775" s="3">
        <v>96.441040000000001</v>
      </c>
      <c r="AO775" s="3">
        <v>96.935310000000001</v>
      </c>
      <c r="AP775" s="3">
        <v>98.674199999999999</v>
      </c>
      <c r="AQ775" s="3">
        <v>99.920739999999995</v>
      </c>
      <c r="AT775" s="3">
        <v>99.051259999999999</v>
      </c>
      <c r="AU775" s="3">
        <v>99.301659999999998</v>
      </c>
      <c r="AV775" s="3">
        <v>100.1435</v>
      </c>
      <c r="AW775" s="3">
        <v>85.079930000000004</v>
      </c>
      <c r="AX775" s="3">
        <v>96.373729999999995</v>
      </c>
      <c r="AY775" s="3">
        <v>89.312579999999997</v>
      </c>
    </row>
    <row r="776" spans="1:51" x14ac:dyDescent="0.2">
      <c r="A776" s="74" t="s">
        <v>673</v>
      </c>
      <c r="B776" s="49">
        <v>41426</v>
      </c>
      <c r="D776" s="3">
        <v>97.11224</v>
      </c>
      <c r="F776" s="3">
        <v>95.926599999999993</v>
      </c>
      <c r="G776" s="3">
        <v>100.7188</v>
      </c>
      <c r="H776" s="3">
        <v>91.638260000000002</v>
      </c>
      <c r="J776" s="3">
        <v>93.334239999999994</v>
      </c>
      <c r="K776" s="3">
        <v>92.914929999999998</v>
      </c>
      <c r="L776" s="3">
        <v>98</v>
      </c>
      <c r="M776" s="3">
        <v>96.864410000000007</v>
      </c>
      <c r="N776" s="3">
        <v>98.041340000000005</v>
      </c>
      <c r="O776" s="3">
        <v>98.63</v>
      </c>
      <c r="P776" s="3">
        <v>100.3128</v>
      </c>
      <c r="Q776" s="3">
        <v>98.130380000000002</v>
      </c>
      <c r="S776" s="3">
        <v>98.018050000000002</v>
      </c>
      <c r="T776" s="3">
        <v>98.708209999999994</v>
      </c>
      <c r="V776" s="3">
        <v>96.854060000000004</v>
      </c>
      <c r="W776" s="3">
        <v>97.1</v>
      </c>
      <c r="X776" s="3">
        <v>103.5247</v>
      </c>
      <c r="Y776" s="3">
        <v>95.880619999999993</v>
      </c>
      <c r="AB776" s="3">
        <v>98.342500000000001</v>
      </c>
      <c r="AC776" s="3">
        <v>95.703130000000002</v>
      </c>
      <c r="AD776" s="3">
        <v>99.010570000000001</v>
      </c>
      <c r="AE776" s="3">
        <v>98.570179999999993</v>
      </c>
      <c r="AF776" s="3">
        <v>97.089129999999997</v>
      </c>
      <c r="AH776" s="3">
        <v>97.493399999999994</v>
      </c>
      <c r="AI776" s="3">
        <v>97.397049999999993</v>
      </c>
      <c r="AJ776" s="3">
        <v>97.025199999999998</v>
      </c>
      <c r="AK776" s="3">
        <v>94.644009999999994</v>
      </c>
      <c r="AL776" s="3">
        <v>96.950580000000002</v>
      </c>
      <c r="AM776" s="3">
        <v>95.055289999999999</v>
      </c>
      <c r="AN776" s="3">
        <v>96.490139999999997</v>
      </c>
      <c r="AO776" s="3">
        <v>96.977990000000005</v>
      </c>
      <c r="AP776" s="3">
        <v>98.674199999999999</v>
      </c>
      <c r="AQ776" s="3">
        <v>99.891009999999994</v>
      </c>
      <c r="AT776" s="3">
        <v>98.953519999999997</v>
      </c>
      <c r="AU776" s="3">
        <v>99.531660000000002</v>
      </c>
      <c r="AV776" s="3">
        <v>100.0061</v>
      </c>
      <c r="AW776" s="3">
        <v>85.3904</v>
      </c>
      <c r="AX776" s="3">
        <v>96.447209999999998</v>
      </c>
      <c r="AY776" s="3">
        <v>89.808970000000002</v>
      </c>
    </row>
    <row r="777" spans="1:51" x14ac:dyDescent="0.2">
      <c r="A777" s="74" t="s">
        <v>674</v>
      </c>
      <c r="B777" s="49">
        <v>41456</v>
      </c>
      <c r="D777" s="3">
        <v>97.355050000000006</v>
      </c>
      <c r="F777" s="3">
        <v>95.824010000000001</v>
      </c>
      <c r="G777" s="3">
        <v>100.06319999999999</v>
      </c>
      <c r="H777" s="3">
        <v>91.779319999999998</v>
      </c>
      <c r="J777" s="3">
        <v>93.555890000000005</v>
      </c>
      <c r="K777" s="3">
        <v>93.238470000000007</v>
      </c>
      <c r="L777" s="3">
        <v>98.2</v>
      </c>
      <c r="M777" s="3">
        <v>97.311229999999995</v>
      </c>
      <c r="N777" s="3">
        <v>97.680890000000005</v>
      </c>
      <c r="O777" s="3">
        <v>97.78</v>
      </c>
      <c r="P777" s="3">
        <v>98.980639999999994</v>
      </c>
      <c r="Q777" s="3">
        <v>98.016869999999997</v>
      </c>
      <c r="S777" s="3">
        <v>97.925060000000002</v>
      </c>
      <c r="T777" s="3">
        <v>98.429860000000005</v>
      </c>
      <c r="V777" s="3">
        <v>96.911209999999997</v>
      </c>
      <c r="W777" s="3">
        <v>97</v>
      </c>
      <c r="X777" s="3">
        <v>101.4388</v>
      </c>
      <c r="Y777" s="3">
        <v>95.860219999999998</v>
      </c>
      <c r="AB777" s="3">
        <v>98.04204</v>
      </c>
      <c r="AC777" s="3">
        <v>95.176569999999998</v>
      </c>
      <c r="AD777" s="3">
        <v>99.312420000000003</v>
      </c>
      <c r="AE777" s="3">
        <v>98.794560000000004</v>
      </c>
      <c r="AF777" s="3">
        <v>97.072010000000006</v>
      </c>
      <c r="AH777" s="3">
        <v>96.840100000000007</v>
      </c>
      <c r="AI777" s="3">
        <v>95.983580000000003</v>
      </c>
      <c r="AJ777" s="3">
        <v>96.902150000000006</v>
      </c>
      <c r="AK777" s="3">
        <v>94.698880000000003</v>
      </c>
      <c r="AL777" s="3">
        <v>97.979179999999999</v>
      </c>
      <c r="AM777" s="3">
        <v>95.063869999999994</v>
      </c>
      <c r="AN777" s="3">
        <v>96.522300000000001</v>
      </c>
      <c r="AO777" s="3">
        <v>96.935779999999994</v>
      </c>
      <c r="AP777" s="3">
        <v>99.282769999999999</v>
      </c>
      <c r="AQ777" s="3">
        <v>99.375810000000001</v>
      </c>
      <c r="AT777" s="3">
        <v>98.985500000000002</v>
      </c>
      <c r="AU777" s="3">
        <v>98.981650000000002</v>
      </c>
      <c r="AV777" s="3">
        <v>99.627470000000002</v>
      </c>
      <c r="AW777" s="3">
        <v>85.517039999999994</v>
      </c>
      <c r="AX777" s="3">
        <v>96.509960000000007</v>
      </c>
      <c r="AY777" s="3">
        <v>90.101650000000006</v>
      </c>
    </row>
    <row r="778" spans="1:51" x14ac:dyDescent="0.2">
      <c r="A778" s="74" t="s">
        <v>675</v>
      </c>
      <c r="B778" s="49">
        <v>41487</v>
      </c>
      <c r="D778" s="3">
        <v>97.432739999999995</v>
      </c>
      <c r="F778" s="3">
        <v>95.911869999999993</v>
      </c>
      <c r="G778" s="3">
        <v>100.063</v>
      </c>
      <c r="H778" s="3">
        <v>91.692509999999999</v>
      </c>
      <c r="J778" s="3">
        <v>93.61421</v>
      </c>
      <c r="K778" s="3">
        <v>93.333929999999995</v>
      </c>
      <c r="L778" s="3">
        <v>98.2</v>
      </c>
      <c r="M778" s="3">
        <v>97.450900000000004</v>
      </c>
      <c r="N778" s="3">
        <v>97.841840000000005</v>
      </c>
      <c r="O778" s="3">
        <v>97.96</v>
      </c>
      <c r="P778" s="3">
        <v>99.095600000000005</v>
      </c>
      <c r="Q778" s="3">
        <v>98.187129999999996</v>
      </c>
      <c r="S778" s="3">
        <v>97.925060000000002</v>
      </c>
      <c r="T778" s="3">
        <v>98.976230000000001</v>
      </c>
      <c r="V778" s="3">
        <v>97.138930000000002</v>
      </c>
      <c r="W778" s="3">
        <v>97.3</v>
      </c>
      <c r="X778" s="3">
        <v>99.176540000000003</v>
      </c>
      <c r="Y778" s="3">
        <v>95.76643</v>
      </c>
      <c r="AB778" s="3">
        <v>98.205730000000003</v>
      </c>
      <c r="AC778" s="3">
        <v>95.484700000000004</v>
      </c>
      <c r="AD778" s="3">
        <v>99.513660000000002</v>
      </c>
      <c r="AE778" s="3">
        <v>99.28492</v>
      </c>
      <c r="AF778" s="3">
        <v>97.241299999999995</v>
      </c>
      <c r="AH778" s="3">
        <v>97.057599999999994</v>
      </c>
      <c r="AI778" s="3">
        <v>97.678089999999997</v>
      </c>
      <c r="AJ778" s="3">
        <v>96.579179999999994</v>
      </c>
      <c r="AK778" s="3">
        <v>94.806640000000002</v>
      </c>
      <c r="AL778" s="3">
        <v>97.899479999999997</v>
      </c>
      <c r="AM778" s="3">
        <v>95.085620000000006</v>
      </c>
      <c r="AN778" s="3">
        <v>96.680149999999998</v>
      </c>
      <c r="AO778" s="3">
        <v>97.099490000000003</v>
      </c>
      <c r="AP778" s="3">
        <v>99.195819999999998</v>
      </c>
      <c r="AQ778" s="3">
        <v>98.464280000000002</v>
      </c>
      <c r="AT778" s="3">
        <v>99.048640000000006</v>
      </c>
      <c r="AU778" s="3">
        <v>99.391649999999998</v>
      </c>
      <c r="AV778" s="3">
        <v>99.858699999999999</v>
      </c>
      <c r="AW778" s="3">
        <v>85.57423</v>
      </c>
      <c r="AX778" s="3">
        <v>96.70232</v>
      </c>
      <c r="AY778" s="3">
        <v>90.233519999999999</v>
      </c>
    </row>
    <row r="779" spans="1:51" x14ac:dyDescent="0.2">
      <c r="A779" s="74" t="s">
        <v>676</v>
      </c>
      <c r="B779" s="49">
        <v>41518</v>
      </c>
      <c r="D779" s="3">
        <v>97.432739999999995</v>
      </c>
      <c r="F779" s="3">
        <v>96.299009999999996</v>
      </c>
      <c r="G779" s="3">
        <v>100.2997</v>
      </c>
      <c r="H779" s="3">
        <v>92.343580000000003</v>
      </c>
      <c r="J779" s="3">
        <v>93.707530000000006</v>
      </c>
      <c r="K779" s="3">
        <v>93.419340000000005</v>
      </c>
      <c r="L779" s="3">
        <v>97.8</v>
      </c>
      <c r="M779" s="3">
        <v>97.426959999999994</v>
      </c>
      <c r="N779" s="3">
        <v>98.119510000000005</v>
      </c>
      <c r="O779" s="3">
        <v>98.67</v>
      </c>
      <c r="P779" s="3">
        <v>99.097620000000006</v>
      </c>
      <c r="Q779" s="3">
        <v>97.903360000000006</v>
      </c>
      <c r="S779" s="3">
        <v>98.390039999999999</v>
      </c>
      <c r="T779" s="3">
        <v>98.678929999999994</v>
      </c>
      <c r="V779" s="3">
        <v>97.253349999999998</v>
      </c>
      <c r="W779" s="3">
        <v>97.7</v>
      </c>
      <c r="X779" s="3">
        <v>102.8891</v>
      </c>
      <c r="Y779" s="3">
        <v>96.426829999999995</v>
      </c>
      <c r="AB779" s="3">
        <v>98.014899999999997</v>
      </c>
      <c r="AC779" s="3">
        <v>95.966059999999999</v>
      </c>
      <c r="AD779" s="3">
        <v>99.21181</v>
      </c>
      <c r="AE779" s="3">
        <v>98.879930000000002</v>
      </c>
      <c r="AF779" s="3">
        <v>97.212500000000006</v>
      </c>
      <c r="AH779" s="3">
        <v>97.662899999999993</v>
      </c>
      <c r="AI779" s="3">
        <v>97.678089999999997</v>
      </c>
      <c r="AJ779" s="3">
        <v>97.162040000000005</v>
      </c>
      <c r="AK779" s="3">
        <v>95.118579999999994</v>
      </c>
      <c r="AL779" s="3">
        <v>98.082539999999995</v>
      </c>
      <c r="AM779" s="3">
        <v>95.494230000000002</v>
      </c>
      <c r="AN779" s="3">
        <v>96.850139999999996</v>
      </c>
      <c r="AO779" s="3">
        <v>97.235849999999999</v>
      </c>
      <c r="AP779" s="3">
        <v>99.108890000000002</v>
      </c>
      <c r="AQ779" s="3">
        <v>99.435249999999996</v>
      </c>
      <c r="AT779" s="3">
        <v>99.033709999999999</v>
      </c>
      <c r="AU779" s="3">
        <v>99.791659999999993</v>
      </c>
      <c r="AV779" s="3">
        <v>100.25749999999999</v>
      </c>
      <c r="AW779" s="3">
        <v>86.097110000000001</v>
      </c>
      <c r="AX779" s="3">
        <v>96.918629999999993</v>
      </c>
      <c r="AY779" s="3">
        <v>90.698430000000002</v>
      </c>
    </row>
    <row r="780" spans="1:51" x14ac:dyDescent="0.2">
      <c r="A780" s="74" t="s">
        <v>677</v>
      </c>
      <c r="B780" s="49">
        <v>41548</v>
      </c>
      <c r="D780" s="3">
        <v>97.578419999999994</v>
      </c>
      <c r="F780" s="3">
        <v>96.579130000000006</v>
      </c>
      <c r="G780" s="3">
        <v>100.47620000000001</v>
      </c>
      <c r="H780" s="3">
        <v>92.462940000000003</v>
      </c>
      <c r="J780" s="3">
        <v>93.777519999999996</v>
      </c>
      <c r="K780" s="3">
        <v>93.589150000000004</v>
      </c>
      <c r="L780" s="3">
        <v>98.2</v>
      </c>
      <c r="M780" s="3">
        <v>97.395660000000007</v>
      </c>
      <c r="N780" s="3">
        <v>98.41386</v>
      </c>
      <c r="O780" s="3">
        <v>98.72</v>
      </c>
      <c r="P780" s="3">
        <v>100.01430000000001</v>
      </c>
      <c r="Q780" s="3">
        <v>97.96011</v>
      </c>
      <c r="S780" s="3">
        <v>98.576030000000003</v>
      </c>
      <c r="T780" s="3">
        <v>98.678520000000006</v>
      </c>
      <c r="V780" s="3">
        <v>97.385570000000001</v>
      </c>
      <c r="W780" s="3">
        <v>97.8</v>
      </c>
      <c r="X780" s="3">
        <v>102.93089999999999</v>
      </c>
      <c r="Y780" s="3">
        <v>96.717910000000003</v>
      </c>
      <c r="AB780" s="3">
        <v>97.962609999999998</v>
      </c>
      <c r="AC780" s="3">
        <v>96.027649999999994</v>
      </c>
      <c r="AD780" s="3">
        <v>99.614289999999997</v>
      </c>
      <c r="AE780" s="3">
        <v>98.840230000000005</v>
      </c>
      <c r="AF780" s="3">
        <v>97.46875</v>
      </c>
      <c r="AH780" s="3">
        <v>97.8245</v>
      </c>
      <c r="AI780" s="3">
        <v>97.942599999999999</v>
      </c>
      <c r="AJ780" s="3">
        <v>97.602699999999999</v>
      </c>
      <c r="AK780" s="3">
        <v>95.274140000000003</v>
      </c>
      <c r="AL780" s="3">
        <v>97.950540000000004</v>
      </c>
      <c r="AM780" s="3">
        <v>95.697829999999996</v>
      </c>
      <c r="AN780" s="3">
        <v>97.059370000000001</v>
      </c>
      <c r="AO780" s="3">
        <v>97.47193</v>
      </c>
      <c r="AP780" s="3">
        <v>99.543580000000006</v>
      </c>
      <c r="AQ780" s="3">
        <v>99.692859999999996</v>
      </c>
      <c r="AT780" s="3">
        <v>99.217680000000001</v>
      </c>
      <c r="AU780" s="3">
        <v>100.2517</v>
      </c>
      <c r="AV780" s="3">
        <v>100.3312</v>
      </c>
      <c r="AW780" s="3">
        <v>87.343059999999994</v>
      </c>
      <c r="AX780" s="3">
        <v>97.075500000000005</v>
      </c>
      <c r="AY780" s="3">
        <v>90.953749999999999</v>
      </c>
    </row>
    <row r="781" spans="1:51" x14ac:dyDescent="0.2">
      <c r="A781" s="74" t="s">
        <v>678</v>
      </c>
      <c r="B781" s="49">
        <v>41579</v>
      </c>
      <c r="D781" s="3">
        <v>97.724109999999996</v>
      </c>
      <c r="F781" s="3">
        <v>96.359970000000004</v>
      </c>
      <c r="G781" s="3">
        <v>100.58150000000001</v>
      </c>
      <c r="H781" s="3">
        <v>92.734229999999997</v>
      </c>
      <c r="J781" s="3">
        <v>93.894170000000003</v>
      </c>
      <c r="K781" s="3">
        <v>93.947860000000006</v>
      </c>
      <c r="L781" s="3">
        <v>98</v>
      </c>
      <c r="M781" s="3">
        <v>97.743210000000005</v>
      </c>
      <c r="N781" s="3">
        <v>98.213819999999998</v>
      </c>
      <c r="O781" s="3">
        <v>98.69</v>
      </c>
      <c r="P781" s="3">
        <v>100.4298</v>
      </c>
      <c r="Q781" s="3">
        <v>97.789839999999998</v>
      </c>
      <c r="S781" s="3">
        <v>98.390039999999999</v>
      </c>
      <c r="T781" s="3">
        <v>98.691580000000002</v>
      </c>
      <c r="V781" s="3">
        <v>97.436679999999996</v>
      </c>
      <c r="W781" s="3">
        <v>98</v>
      </c>
      <c r="X781" s="3">
        <v>101.33369999999999</v>
      </c>
      <c r="Y781" s="3">
        <v>97.192480000000003</v>
      </c>
      <c r="AB781" s="3">
        <v>97.916110000000003</v>
      </c>
      <c r="AC781" s="3">
        <v>96.539019999999994</v>
      </c>
      <c r="AD781" s="3">
        <v>99.413049999999998</v>
      </c>
      <c r="AE781" s="3">
        <v>98.532390000000007</v>
      </c>
      <c r="AF781" s="3">
        <v>97.575810000000004</v>
      </c>
      <c r="AH781" s="3">
        <v>97.817499999999995</v>
      </c>
      <c r="AI781" s="3">
        <v>98.025260000000003</v>
      </c>
      <c r="AJ781" s="3">
        <v>97.213290000000001</v>
      </c>
      <c r="AK781" s="3">
        <v>95.415229999999994</v>
      </c>
      <c r="AL781" s="3">
        <v>97.454210000000003</v>
      </c>
      <c r="AM781" s="3">
        <v>95.889690000000002</v>
      </c>
      <c r="AN781" s="3">
        <v>97.119870000000006</v>
      </c>
      <c r="AO781" s="3">
        <v>97.54871</v>
      </c>
      <c r="AP781" s="3">
        <v>99.369709999999998</v>
      </c>
      <c r="AQ781" s="3">
        <v>99.464969999999994</v>
      </c>
      <c r="AT781" s="3">
        <v>99.209050000000005</v>
      </c>
      <c r="AU781" s="3">
        <v>100.21169999999999</v>
      </c>
      <c r="AV781" s="3">
        <v>100.2139</v>
      </c>
      <c r="AW781" s="3">
        <v>87.788340000000005</v>
      </c>
      <c r="AX781" s="3">
        <v>97.108940000000004</v>
      </c>
      <c r="AY781" s="3">
        <v>91.116290000000006</v>
      </c>
    </row>
    <row r="782" spans="1:51" x14ac:dyDescent="0.2">
      <c r="A782" s="74" t="s">
        <v>679</v>
      </c>
      <c r="B782" s="49">
        <v>41609</v>
      </c>
      <c r="D782" s="3">
        <v>97.82123</v>
      </c>
      <c r="F782" s="3">
        <v>95.994110000000006</v>
      </c>
      <c r="G782" s="3">
        <v>100.2282</v>
      </c>
      <c r="H782" s="3">
        <v>93.265940000000001</v>
      </c>
      <c r="J782" s="3">
        <v>94.127480000000006</v>
      </c>
      <c r="K782" s="3">
        <v>94.798929999999999</v>
      </c>
      <c r="L782" s="3">
        <v>98</v>
      </c>
      <c r="M782" s="3">
        <v>97.98536</v>
      </c>
      <c r="N782" s="3">
        <v>98.093599999999995</v>
      </c>
      <c r="O782" s="3">
        <v>98.96</v>
      </c>
      <c r="P782" s="3">
        <v>100.32389999999999</v>
      </c>
      <c r="Q782" s="3">
        <v>97.846599999999995</v>
      </c>
      <c r="S782" s="3">
        <v>98.669030000000006</v>
      </c>
      <c r="T782" s="3">
        <v>99.017979999999994</v>
      </c>
      <c r="V782" s="3">
        <v>97.414259999999999</v>
      </c>
      <c r="W782" s="3">
        <v>98.1</v>
      </c>
      <c r="X782" s="3">
        <v>102.4743</v>
      </c>
      <c r="Y782" s="3">
        <v>97.492429999999999</v>
      </c>
      <c r="AB782" s="3">
        <v>97.862560000000002</v>
      </c>
      <c r="AC782" s="3">
        <v>97.007900000000006</v>
      </c>
      <c r="AD782" s="3">
        <v>99.413049999999998</v>
      </c>
      <c r="AE782" s="3">
        <v>98.553470000000004</v>
      </c>
      <c r="AF782" s="3">
        <v>97.553799999999995</v>
      </c>
      <c r="AH782" s="3">
        <v>97.636600000000001</v>
      </c>
      <c r="AI782" s="3">
        <v>97.950869999999995</v>
      </c>
      <c r="AJ782" s="3">
        <v>97.010069999999999</v>
      </c>
      <c r="AK782" s="3">
        <v>95.816890000000001</v>
      </c>
      <c r="AL782" s="3">
        <v>97.309439999999995</v>
      </c>
      <c r="AM782" s="3">
        <v>96.075550000000007</v>
      </c>
      <c r="AN782" s="3">
        <v>97.12782</v>
      </c>
      <c r="AO782" s="3">
        <v>97.64273</v>
      </c>
      <c r="AP782" s="3">
        <v>99.282769999999999</v>
      </c>
      <c r="AQ782" s="3">
        <v>99.811750000000004</v>
      </c>
      <c r="AT782" s="3">
        <v>99.187089999999998</v>
      </c>
      <c r="AU782" s="3">
        <v>98.751649999999998</v>
      </c>
      <c r="AV782" s="3">
        <v>100.616</v>
      </c>
      <c r="AW782" s="3">
        <v>87.486050000000006</v>
      </c>
      <c r="AX782" s="3">
        <v>97.008629999999997</v>
      </c>
      <c r="AY782" s="3">
        <v>91.30986</v>
      </c>
    </row>
    <row r="783" spans="1:51" x14ac:dyDescent="0.2">
      <c r="A783" s="3" t="s">
        <v>680</v>
      </c>
      <c r="B783" s="49">
        <v>41640</v>
      </c>
      <c r="D783" s="3">
        <v>98.015469999999993</v>
      </c>
      <c r="F783" s="3">
        <v>96.215609999999998</v>
      </c>
      <c r="G783" s="3">
        <v>99.848640000000003</v>
      </c>
      <c r="H783" s="3">
        <v>93.515510000000006</v>
      </c>
      <c r="J783" s="3">
        <v>94.512439999999998</v>
      </c>
      <c r="K783" s="3">
        <v>95.383719999999997</v>
      </c>
      <c r="L783" s="3">
        <v>98.2</v>
      </c>
      <c r="M783" s="3">
        <v>97.299639999999997</v>
      </c>
      <c r="N783" s="3">
        <v>97.832080000000005</v>
      </c>
      <c r="O783" s="3">
        <v>97.25</v>
      </c>
      <c r="P783" s="3">
        <v>98.20617</v>
      </c>
      <c r="Q783" s="3">
        <v>97.789839999999998</v>
      </c>
      <c r="S783" s="3">
        <v>98.390039999999999</v>
      </c>
      <c r="T783" s="3">
        <v>98.253810000000001</v>
      </c>
      <c r="V783" s="3">
        <v>97.296329999999998</v>
      </c>
      <c r="W783" s="3">
        <v>97.4</v>
      </c>
      <c r="X783" s="3">
        <v>100.455</v>
      </c>
      <c r="Y783" s="3">
        <v>97.621560000000002</v>
      </c>
      <c r="AB783" s="3">
        <v>97.412719999999993</v>
      </c>
      <c r="AC783" s="3">
        <v>96.17353</v>
      </c>
      <c r="AD783" s="3">
        <v>98.708699999999993</v>
      </c>
      <c r="AE783" s="3">
        <v>98.803979999999996</v>
      </c>
      <c r="AF783" s="3">
        <v>97.063040000000001</v>
      </c>
      <c r="AH783" s="3">
        <v>96.986199999999997</v>
      </c>
      <c r="AI783" s="3">
        <v>96.818439999999995</v>
      </c>
      <c r="AJ783" s="3">
        <v>97.395219999999995</v>
      </c>
      <c r="AK783" s="3">
        <v>96.500330000000005</v>
      </c>
      <c r="AL783" s="3">
        <v>97.033869999999993</v>
      </c>
      <c r="AM783" s="3">
        <v>95.907060000000001</v>
      </c>
      <c r="AN783" s="3">
        <v>97.007949999999994</v>
      </c>
      <c r="AO783" s="3">
        <v>97.123829999999998</v>
      </c>
      <c r="AP783" s="3">
        <v>98.848079999999996</v>
      </c>
      <c r="AQ783" s="3">
        <v>97.978800000000007</v>
      </c>
      <c r="AT783" s="3">
        <v>99.196309999999997</v>
      </c>
      <c r="AU783" s="3">
        <v>97.701629999999994</v>
      </c>
      <c r="AV783" s="3">
        <v>99.195179999999993</v>
      </c>
      <c r="AW783" s="3">
        <v>88.347989999999996</v>
      </c>
      <c r="AX783" s="3">
        <v>97.160129999999995</v>
      </c>
      <c r="AY783" s="3">
        <v>91.569460000000007</v>
      </c>
    </row>
    <row r="784" spans="1:51" x14ac:dyDescent="0.2">
      <c r="A784" s="74" t="s">
        <v>681</v>
      </c>
      <c r="B784" s="49">
        <v>41671</v>
      </c>
      <c r="D784" s="3">
        <v>98.219430000000003</v>
      </c>
      <c r="F784" s="3">
        <v>96.813569999999999</v>
      </c>
      <c r="G784" s="3">
        <v>100.0184</v>
      </c>
      <c r="H784" s="3">
        <v>93.841049999999996</v>
      </c>
      <c r="J784" s="3">
        <v>95.107370000000003</v>
      </c>
      <c r="K784" s="3">
        <v>96.385509999999996</v>
      </c>
      <c r="L784" s="3">
        <v>98.4</v>
      </c>
      <c r="M784" s="3">
        <v>97.861050000000006</v>
      </c>
      <c r="N784" s="3">
        <v>98.606999999999999</v>
      </c>
      <c r="O784" s="3">
        <v>97.71</v>
      </c>
      <c r="P784" s="3">
        <v>98.240459999999999</v>
      </c>
      <c r="Q784" s="3">
        <v>98.016869999999997</v>
      </c>
      <c r="S784" s="3">
        <v>98.669030000000006</v>
      </c>
      <c r="T784" s="3">
        <v>98.990620000000007</v>
      </c>
      <c r="V784" s="3">
        <v>97.623549999999994</v>
      </c>
      <c r="W784" s="3">
        <v>97.9</v>
      </c>
      <c r="X784" s="3">
        <v>98.548479999999998</v>
      </c>
      <c r="Y784" s="3">
        <v>97.444900000000004</v>
      </c>
      <c r="AB784" s="3">
        <v>98.110429999999994</v>
      </c>
      <c r="AC784" s="3">
        <v>97.036299999999997</v>
      </c>
      <c r="AD784" s="3">
        <v>98.708699999999993</v>
      </c>
      <c r="AE784" s="3">
        <v>98.803880000000007</v>
      </c>
      <c r="AF784" s="3">
        <v>97.151899999999998</v>
      </c>
      <c r="AH784" s="3">
        <v>96.593299999999999</v>
      </c>
      <c r="AI784" s="3">
        <v>98.388959999999997</v>
      </c>
      <c r="AJ784" s="3">
        <v>97.186869999999999</v>
      </c>
      <c r="AK784" s="3">
        <v>96.800799999999995</v>
      </c>
      <c r="AL784" s="3">
        <v>97.452820000000003</v>
      </c>
      <c r="AM784" s="3">
        <v>96.459090000000003</v>
      </c>
      <c r="AN784" s="3">
        <v>97.305499999999995</v>
      </c>
      <c r="AO784" s="3">
        <v>97.478160000000003</v>
      </c>
      <c r="AP784" s="3">
        <v>99.021950000000004</v>
      </c>
      <c r="AQ784" s="3">
        <v>97.780640000000005</v>
      </c>
      <c r="AT784" s="3">
        <v>99.19041</v>
      </c>
      <c r="AU784" s="3">
        <v>98.141630000000006</v>
      </c>
      <c r="AV784" s="3">
        <v>99.624120000000005</v>
      </c>
      <c r="AW784" s="3">
        <v>88.944410000000005</v>
      </c>
      <c r="AX784" s="3">
        <v>97.452380000000005</v>
      </c>
      <c r="AY784" s="3">
        <v>92.552390000000003</v>
      </c>
    </row>
    <row r="785" spans="1:51" x14ac:dyDescent="0.2">
      <c r="A785" s="74" t="s">
        <v>682</v>
      </c>
      <c r="B785" s="49">
        <v>41699</v>
      </c>
      <c r="D785" s="3">
        <v>98.345690000000005</v>
      </c>
      <c r="F785" s="3">
        <v>97.083659999999995</v>
      </c>
      <c r="G785" s="3">
        <v>100.4083</v>
      </c>
      <c r="H785" s="3">
        <v>94.546369999999996</v>
      </c>
      <c r="J785" s="3">
        <v>95.37567</v>
      </c>
      <c r="K785" s="3">
        <v>96.941159999999996</v>
      </c>
      <c r="L785" s="3">
        <v>98.4</v>
      </c>
      <c r="M785" s="3">
        <v>98.314909999999998</v>
      </c>
      <c r="N785" s="3">
        <v>98.854830000000007</v>
      </c>
      <c r="O785" s="3">
        <v>99.13</v>
      </c>
      <c r="P785" s="3">
        <v>98.82535</v>
      </c>
      <c r="Q785" s="3">
        <v>98.641170000000002</v>
      </c>
      <c r="S785" s="3">
        <v>99.227010000000007</v>
      </c>
      <c r="T785" s="3">
        <v>99.621539999999996</v>
      </c>
      <c r="V785" s="3">
        <v>97.987499999999997</v>
      </c>
      <c r="W785" s="3">
        <v>98.2</v>
      </c>
      <c r="X785" s="3">
        <v>101.88720000000001</v>
      </c>
      <c r="Y785" s="3">
        <v>97.623180000000005</v>
      </c>
      <c r="AB785" s="3">
        <v>99.026470000000003</v>
      </c>
      <c r="AC785" s="3">
        <v>97.529679999999999</v>
      </c>
      <c r="AD785" s="3">
        <v>99.010570000000001</v>
      </c>
      <c r="AE785" s="3">
        <v>99.022400000000005</v>
      </c>
      <c r="AF785" s="3">
        <v>97.526359999999997</v>
      </c>
      <c r="AH785" s="3">
        <v>97.172899999999998</v>
      </c>
      <c r="AI785" s="3">
        <v>98.463359999999994</v>
      </c>
      <c r="AJ785" s="3">
        <v>97.981729999999999</v>
      </c>
      <c r="AK785" s="3">
        <v>97.006020000000007</v>
      </c>
      <c r="AL785" s="3">
        <v>98.511799999999994</v>
      </c>
      <c r="AM785" s="3">
        <v>96.795749999999998</v>
      </c>
      <c r="AN785" s="3">
        <v>97.711020000000005</v>
      </c>
      <c r="AO785" s="3">
        <v>98.032780000000002</v>
      </c>
      <c r="AP785" s="3">
        <v>99.282769999999999</v>
      </c>
      <c r="AQ785" s="3">
        <v>99.534329999999997</v>
      </c>
      <c r="AT785" s="3">
        <v>99.204819999999998</v>
      </c>
      <c r="AU785" s="3">
        <v>99.391649999999998</v>
      </c>
      <c r="AV785" s="3">
        <v>99.717950000000002</v>
      </c>
      <c r="AW785" s="3">
        <v>89.90849</v>
      </c>
      <c r="AX785" s="3">
        <v>97.798320000000004</v>
      </c>
      <c r="AY785" s="3">
        <v>93.640429999999995</v>
      </c>
    </row>
    <row r="786" spans="1:51" x14ac:dyDescent="0.2">
      <c r="A786" s="74" t="s">
        <v>683</v>
      </c>
      <c r="B786" s="49">
        <v>41730</v>
      </c>
      <c r="D786" s="3">
        <v>98.442809999999994</v>
      </c>
      <c r="F786" s="3">
        <v>97.124570000000006</v>
      </c>
      <c r="G786" s="3">
        <v>100.5338</v>
      </c>
      <c r="H786" s="3">
        <v>95.273409999999998</v>
      </c>
      <c r="J786" s="3">
        <v>95.608980000000003</v>
      </c>
      <c r="K786" s="3">
        <v>97.338059999999999</v>
      </c>
      <c r="L786" s="3">
        <v>98.6</v>
      </c>
      <c r="M786" s="3">
        <v>98.019649999999999</v>
      </c>
      <c r="N786" s="3">
        <v>99.012249999999995</v>
      </c>
      <c r="O786" s="3">
        <v>99.38</v>
      </c>
      <c r="P786" s="3">
        <v>100.1464</v>
      </c>
      <c r="Q786" s="3">
        <v>98.754679999999993</v>
      </c>
      <c r="S786" s="3">
        <v>99.505989999999997</v>
      </c>
      <c r="T786" s="3">
        <v>99.621369999999999</v>
      </c>
      <c r="V786" s="3">
        <v>98.409199999999998</v>
      </c>
      <c r="W786" s="3">
        <v>98.7</v>
      </c>
      <c r="X786" s="3">
        <v>102.35290000000001</v>
      </c>
      <c r="Y786" s="3">
        <v>97.711780000000005</v>
      </c>
      <c r="AB786" s="3">
        <v>99.182739999999995</v>
      </c>
      <c r="AC786" s="3">
        <v>97.899289999999993</v>
      </c>
      <c r="AD786" s="3">
        <v>99.312420000000003</v>
      </c>
      <c r="AE786" s="3">
        <v>99.412769999999995</v>
      </c>
      <c r="AF786" s="3">
        <v>99.429079999999999</v>
      </c>
      <c r="AH786" s="3">
        <v>97.695099999999996</v>
      </c>
      <c r="AI786" s="3">
        <v>98.546009999999995</v>
      </c>
      <c r="AJ786" s="3">
        <v>98.459100000000007</v>
      </c>
      <c r="AK786" s="3">
        <v>97.263760000000005</v>
      </c>
      <c r="AL786" s="3">
        <v>98.998149999999995</v>
      </c>
      <c r="AM786" s="3">
        <v>97.622299999999996</v>
      </c>
      <c r="AN786" s="3">
        <v>98.173069999999996</v>
      </c>
      <c r="AO786" s="3">
        <v>98.427279999999996</v>
      </c>
      <c r="AP786" s="3">
        <v>99.543580000000006</v>
      </c>
      <c r="AQ786" s="3">
        <v>99.940550000000002</v>
      </c>
      <c r="AT786" s="3">
        <v>99.510090000000005</v>
      </c>
      <c r="AU786" s="3">
        <v>99.951669999999993</v>
      </c>
      <c r="AV786" s="3">
        <v>100.1972</v>
      </c>
      <c r="AW786" s="3">
        <v>91.534360000000007</v>
      </c>
      <c r="AX786" s="3">
        <v>98.044349999999994</v>
      </c>
      <c r="AY786" s="3">
        <v>93.897909999999996</v>
      </c>
    </row>
    <row r="787" spans="1:51" x14ac:dyDescent="0.2">
      <c r="A787" s="74" t="s">
        <v>684</v>
      </c>
      <c r="B787" s="49">
        <v>41760</v>
      </c>
      <c r="D787" s="3">
        <v>98.598209999999995</v>
      </c>
      <c r="F787" s="3">
        <v>97.418559999999999</v>
      </c>
      <c r="G787" s="3">
        <v>100.703</v>
      </c>
      <c r="H787" s="3">
        <v>95.447019999999995</v>
      </c>
      <c r="J787" s="3">
        <v>95.90061</v>
      </c>
      <c r="K787" s="3">
        <v>97.553089999999997</v>
      </c>
      <c r="L787" s="3">
        <v>98.7</v>
      </c>
      <c r="M787" s="3">
        <v>97.922430000000006</v>
      </c>
      <c r="N787" s="3">
        <v>98.857349999999997</v>
      </c>
      <c r="O787" s="3">
        <v>99.25</v>
      </c>
      <c r="P787" s="3">
        <v>100.2452</v>
      </c>
      <c r="Q787" s="3">
        <v>99.038470000000004</v>
      </c>
      <c r="S787" s="3">
        <v>99.32</v>
      </c>
      <c r="T787" s="3">
        <v>99.646029999999996</v>
      </c>
      <c r="V787" s="3">
        <v>98.539540000000002</v>
      </c>
      <c r="W787" s="3">
        <v>98.7</v>
      </c>
      <c r="X787" s="3">
        <v>101.4092</v>
      </c>
      <c r="Y787" s="3">
        <v>97.852459999999994</v>
      </c>
      <c r="AB787" s="3">
        <v>98.958780000000004</v>
      </c>
      <c r="AC787" s="3">
        <v>97.949910000000003</v>
      </c>
      <c r="AD787" s="3">
        <v>99.312420000000003</v>
      </c>
      <c r="AE787" s="3">
        <v>99.259249999999994</v>
      </c>
      <c r="AF787" s="3">
        <v>99.555980000000005</v>
      </c>
      <c r="AH787" s="3">
        <v>98.019199999999998</v>
      </c>
      <c r="AI787" s="3">
        <v>98.587339999999998</v>
      </c>
      <c r="AJ787" s="3">
        <v>98.684489999999997</v>
      </c>
      <c r="AK787" s="3">
        <v>97.344380000000001</v>
      </c>
      <c r="AL787" s="3">
        <v>98.627020000000002</v>
      </c>
      <c r="AM787" s="3">
        <v>97.615629999999996</v>
      </c>
      <c r="AN787" s="3">
        <v>98.319500000000005</v>
      </c>
      <c r="AO787" s="3">
        <v>98.498769999999993</v>
      </c>
      <c r="AP787" s="3">
        <v>99.543580000000006</v>
      </c>
      <c r="AQ787" s="3">
        <v>99.910830000000004</v>
      </c>
      <c r="AT787" s="3">
        <v>99.508589999999998</v>
      </c>
      <c r="AU787" s="3">
        <v>100.4217</v>
      </c>
      <c r="AV787" s="3">
        <v>100.0933</v>
      </c>
      <c r="AW787" s="3">
        <v>92.772130000000004</v>
      </c>
      <c r="AX787" s="3">
        <v>98.259</v>
      </c>
      <c r="AY787" s="3">
        <v>94.258970000000005</v>
      </c>
    </row>
    <row r="788" spans="1:51" x14ac:dyDescent="0.2">
      <c r="A788" s="74" t="s">
        <v>685</v>
      </c>
      <c r="B788" s="49">
        <v>41791</v>
      </c>
      <c r="D788" s="3">
        <v>98.66619</v>
      </c>
      <c r="F788" s="3">
        <v>97.402190000000004</v>
      </c>
      <c r="G788" s="3">
        <v>100.5393</v>
      </c>
      <c r="H788" s="3">
        <v>95.436170000000004</v>
      </c>
      <c r="J788" s="3">
        <v>96.028930000000003</v>
      </c>
      <c r="K788" s="3">
        <v>97.61739</v>
      </c>
      <c r="L788" s="3">
        <v>98.9</v>
      </c>
      <c r="M788" s="3">
        <v>98.215339999999998</v>
      </c>
      <c r="N788" s="3">
        <v>98.697999999999993</v>
      </c>
      <c r="O788" s="3">
        <v>99.38</v>
      </c>
      <c r="P788" s="3">
        <v>100.30070000000001</v>
      </c>
      <c r="Q788" s="3">
        <v>99.038470000000004</v>
      </c>
      <c r="S788" s="3">
        <v>99.32</v>
      </c>
      <c r="T788" s="3">
        <v>99.642169999999993</v>
      </c>
      <c r="V788" s="3">
        <v>98.598789999999994</v>
      </c>
      <c r="W788" s="3">
        <v>98.9</v>
      </c>
      <c r="X788" s="3">
        <v>102.41070000000001</v>
      </c>
      <c r="Y788" s="3">
        <v>97.908029999999997</v>
      </c>
      <c r="AB788" s="3">
        <v>99.247510000000005</v>
      </c>
      <c r="AC788" s="3">
        <v>98.376270000000005</v>
      </c>
      <c r="AD788" s="3">
        <v>99.916150000000002</v>
      </c>
      <c r="AE788" s="3">
        <v>99.358509999999995</v>
      </c>
      <c r="AF788" s="3">
        <v>99.448639999999997</v>
      </c>
      <c r="AH788" s="3">
        <v>98.354100000000003</v>
      </c>
      <c r="AI788" s="3">
        <v>98.727860000000007</v>
      </c>
      <c r="AJ788" s="3">
        <v>98.898099999999999</v>
      </c>
      <c r="AK788" s="3">
        <v>97.544020000000003</v>
      </c>
      <c r="AL788" s="3">
        <v>98.245270000000005</v>
      </c>
      <c r="AM788" s="3">
        <v>97.394360000000006</v>
      </c>
      <c r="AN788" s="3">
        <v>98.391409999999993</v>
      </c>
      <c r="AO788" s="3">
        <v>98.636830000000003</v>
      </c>
      <c r="AP788" s="3">
        <v>99.717449999999999</v>
      </c>
      <c r="AQ788" s="3">
        <v>99.900919999999999</v>
      </c>
      <c r="AT788" s="3">
        <v>99.588499999999996</v>
      </c>
      <c r="AU788" s="3">
        <v>100.68170000000001</v>
      </c>
      <c r="AV788" s="3">
        <v>100.3211</v>
      </c>
      <c r="AW788" s="3">
        <v>93.025409999999994</v>
      </c>
      <c r="AX788" s="3">
        <v>98.311840000000004</v>
      </c>
      <c r="AY788" s="3">
        <v>94.814499999999995</v>
      </c>
    </row>
    <row r="789" spans="1:51" x14ac:dyDescent="0.2">
      <c r="A789" s="74" t="s">
        <v>686</v>
      </c>
      <c r="B789" s="49">
        <v>41821</v>
      </c>
      <c r="D789" s="3">
        <v>98.928420000000003</v>
      </c>
      <c r="F789" s="3">
        <v>97.298749999999998</v>
      </c>
      <c r="G789" s="3">
        <v>100.05719999999999</v>
      </c>
      <c r="H789" s="3">
        <v>95.403620000000004</v>
      </c>
      <c r="J789" s="3">
        <v>96.017269999999996</v>
      </c>
      <c r="K789" s="3">
        <v>98.211240000000004</v>
      </c>
      <c r="L789" s="3">
        <v>99.2</v>
      </c>
      <c r="M789" s="3">
        <v>98.594830000000002</v>
      </c>
      <c r="N789" s="3">
        <v>98.495410000000007</v>
      </c>
      <c r="O789" s="3">
        <v>98.55</v>
      </c>
      <c r="P789" s="3">
        <v>98.95241</v>
      </c>
      <c r="Q789" s="3">
        <v>98.697929999999999</v>
      </c>
      <c r="S789" s="3">
        <v>99.134010000000004</v>
      </c>
      <c r="T789" s="3">
        <v>99.323430000000002</v>
      </c>
      <c r="V789" s="3">
        <v>98.604129999999998</v>
      </c>
      <c r="W789" s="3">
        <v>98.6</v>
      </c>
      <c r="X789" s="3">
        <v>100.6378</v>
      </c>
      <c r="Y789" s="3">
        <v>98.135310000000004</v>
      </c>
      <c r="AB789" s="3">
        <v>98.916550000000001</v>
      </c>
      <c r="AC789" s="3">
        <v>98.071079999999995</v>
      </c>
      <c r="AD789" s="3">
        <v>100.0168</v>
      </c>
      <c r="AE789" s="3">
        <v>99.540440000000004</v>
      </c>
      <c r="AF789" s="3">
        <v>99.529889999999995</v>
      </c>
      <c r="AH789" s="3">
        <v>97.900700000000001</v>
      </c>
      <c r="AI789" s="3">
        <v>97.487979999999993</v>
      </c>
      <c r="AJ789" s="3">
        <v>98.343710000000002</v>
      </c>
      <c r="AK789" s="3">
        <v>97.724350000000001</v>
      </c>
      <c r="AL789" s="3">
        <v>99.284570000000002</v>
      </c>
      <c r="AM789" s="3">
        <v>97.575249999999997</v>
      </c>
      <c r="AN789" s="3">
        <v>98.3857</v>
      </c>
      <c r="AO789" s="3">
        <v>98.54486</v>
      </c>
      <c r="AP789" s="3">
        <v>99.717449999999999</v>
      </c>
      <c r="AQ789" s="3">
        <v>98.979489999999998</v>
      </c>
      <c r="AT789" s="3">
        <v>99.6113</v>
      </c>
      <c r="AU789" s="3">
        <v>99.251660000000001</v>
      </c>
      <c r="AV789" s="3">
        <v>99.791669999999996</v>
      </c>
      <c r="AW789" s="3">
        <v>93.491110000000006</v>
      </c>
      <c r="AX789" s="3">
        <v>98.304000000000002</v>
      </c>
      <c r="AY789" s="3">
        <v>95.359269999999995</v>
      </c>
    </row>
    <row r="790" spans="1:51" x14ac:dyDescent="0.2">
      <c r="A790" s="74" t="s">
        <v>687</v>
      </c>
      <c r="B790" s="49">
        <v>41852</v>
      </c>
      <c r="D790" s="3">
        <v>98.811869999999999</v>
      </c>
      <c r="F790" s="3">
        <v>97.744619999999998</v>
      </c>
      <c r="G790" s="3">
        <v>100.05159999999999</v>
      </c>
      <c r="H790" s="3">
        <v>95.740009999999998</v>
      </c>
      <c r="J790" s="3">
        <v>96.110590000000002</v>
      </c>
      <c r="K790" s="3">
        <v>98.283580000000001</v>
      </c>
      <c r="L790" s="3">
        <v>99.2</v>
      </c>
      <c r="M790" s="3">
        <v>98.740300000000005</v>
      </c>
      <c r="N790" s="3">
        <v>98.484920000000002</v>
      </c>
      <c r="O790" s="3">
        <v>98.87</v>
      </c>
      <c r="P790" s="3">
        <v>99.117789999999999</v>
      </c>
      <c r="Q790" s="3">
        <v>99.038470000000004</v>
      </c>
      <c r="S790" s="3">
        <v>99.505989999999997</v>
      </c>
      <c r="T790" s="3">
        <v>100.11669999999999</v>
      </c>
      <c r="V790" s="3">
        <v>98.774760000000001</v>
      </c>
      <c r="W790" s="3">
        <v>99.1</v>
      </c>
      <c r="X790" s="3">
        <v>99.001800000000003</v>
      </c>
      <c r="Y790" s="3">
        <v>98.391980000000004</v>
      </c>
      <c r="AB790" s="3">
        <v>99.267539999999997</v>
      </c>
      <c r="AC790" s="3">
        <v>98.440989999999999</v>
      </c>
      <c r="AD790" s="3">
        <v>99.815529999999995</v>
      </c>
      <c r="AE790" s="3">
        <v>99.852559999999997</v>
      </c>
      <c r="AF790" s="3">
        <v>99.538309999999996</v>
      </c>
      <c r="AH790" s="3">
        <v>98.2</v>
      </c>
      <c r="AI790" s="3">
        <v>98.959299999999999</v>
      </c>
      <c r="AJ790" s="3">
        <v>98.302329999999998</v>
      </c>
      <c r="AK790" s="3">
        <v>97.924189999999996</v>
      </c>
      <c r="AL790" s="3">
        <v>99.380139999999997</v>
      </c>
      <c r="AM790" s="3">
        <v>97.198430000000002</v>
      </c>
      <c r="AN790" s="3">
        <v>98.519189999999995</v>
      </c>
      <c r="AO790" s="3">
        <v>98.762960000000007</v>
      </c>
      <c r="AP790" s="3">
        <v>99.717449999999999</v>
      </c>
      <c r="AQ790" s="3">
        <v>98.811059999999998</v>
      </c>
      <c r="AT790" s="3">
        <v>99.63306</v>
      </c>
      <c r="AU790" s="3">
        <v>99.661659999999998</v>
      </c>
      <c r="AV790" s="3">
        <v>99.771569999999997</v>
      </c>
      <c r="AW790" s="3">
        <v>93.417580000000001</v>
      </c>
      <c r="AX790" s="3">
        <v>98.369219999999999</v>
      </c>
      <c r="AY790" s="3">
        <v>95.488349999999997</v>
      </c>
    </row>
    <row r="791" spans="1:51" x14ac:dyDescent="0.2">
      <c r="A791" s="74" t="s">
        <v>688</v>
      </c>
      <c r="B791" s="49">
        <v>41883</v>
      </c>
      <c r="D791" s="3">
        <v>98.850719999999995</v>
      </c>
      <c r="F791" s="3">
        <v>98.009789999999995</v>
      </c>
      <c r="G791" s="3">
        <v>100.2514</v>
      </c>
      <c r="H791" s="3">
        <v>96.239159999999998</v>
      </c>
      <c r="J791" s="3">
        <v>96.203909999999993</v>
      </c>
      <c r="K791" s="3">
        <v>98.471469999999997</v>
      </c>
      <c r="L791" s="3">
        <v>98.8</v>
      </c>
      <c r="M791" s="3">
        <v>98.69708</v>
      </c>
      <c r="N791" s="3">
        <v>98.987080000000006</v>
      </c>
      <c r="O791" s="3">
        <v>99.42</v>
      </c>
      <c r="P791" s="3">
        <v>99.069379999999995</v>
      </c>
      <c r="Q791" s="3">
        <v>98.584419999999994</v>
      </c>
      <c r="S791" s="3">
        <v>100.06399999999999</v>
      </c>
      <c r="T791" s="3">
        <v>99.550039999999996</v>
      </c>
      <c r="V791" s="3">
        <v>98.859160000000003</v>
      </c>
      <c r="W791" s="3">
        <v>99.2</v>
      </c>
      <c r="X791" s="3">
        <v>102.0697</v>
      </c>
      <c r="Y791" s="3">
        <v>97.940529999999995</v>
      </c>
      <c r="AB791" s="3">
        <v>98.993930000000006</v>
      </c>
      <c r="AC791" s="3">
        <v>98.31156</v>
      </c>
      <c r="AD791" s="3">
        <v>99.714910000000003</v>
      </c>
      <c r="AE791" s="3">
        <v>99.365700000000004</v>
      </c>
      <c r="AF791" s="3">
        <v>99.623639999999995</v>
      </c>
      <c r="AH791" s="3">
        <v>98.827100000000002</v>
      </c>
      <c r="AI791" s="3">
        <v>98.818790000000007</v>
      </c>
      <c r="AJ791" s="3">
        <v>99.290310000000005</v>
      </c>
      <c r="AK791" s="3">
        <v>98.217579999999998</v>
      </c>
      <c r="AL791" s="3">
        <v>99.386319999999998</v>
      </c>
      <c r="AM791" s="3">
        <v>97.917730000000006</v>
      </c>
      <c r="AN791" s="3">
        <v>98.632379999999998</v>
      </c>
      <c r="AO791" s="3">
        <v>98.747309999999999</v>
      </c>
      <c r="AP791" s="3">
        <v>99.717449999999999</v>
      </c>
      <c r="AQ791" s="3">
        <v>99.554150000000007</v>
      </c>
      <c r="AT791" s="3">
        <v>99.713390000000004</v>
      </c>
      <c r="AU791" s="3">
        <v>99.921670000000006</v>
      </c>
      <c r="AV791" s="3">
        <v>100.0162</v>
      </c>
      <c r="AW791" s="3">
        <v>93.548299999999998</v>
      </c>
      <c r="AX791" s="3">
        <v>98.594200000000001</v>
      </c>
      <c r="AY791" s="3">
        <v>95.912710000000004</v>
      </c>
    </row>
    <row r="792" spans="1:51" x14ac:dyDescent="0.2">
      <c r="A792" s="74" t="s">
        <v>689</v>
      </c>
      <c r="B792" s="49">
        <v>41913</v>
      </c>
      <c r="D792" s="3">
        <v>98.967269999999999</v>
      </c>
      <c r="F792" s="3">
        <v>98.485389999999995</v>
      </c>
      <c r="G792" s="3">
        <v>100.5211</v>
      </c>
      <c r="H792" s="3">
        <v>96.684060000000002</v>
      </c>
      <c r="J792" s="3">
        <v>96.390559999999994</v>
      </c>
      <c r="K792" s="3">
        <v>98.701580000000007</v>
      </c>
      <c r="L792" s="3">
        <v>99</v>
      </c>
      <c r="M792" s="3">
        <v>98.560249999999996</v>
      </c>
      <c r="N792" s="3">
        <v>99.137919999999994</v>
      </c>
      <c r="O792" s="3">
        <v>99.42</v>
      </c>
      <c r="P792" s="3">
        <v>99.964870000000005</v>
      </c>
      <c r="Q792" s="3">
        <v>98.868200000000002</v>
      </c>
      <c r="S792" s="3">
        <v>100.06399999999999</v>
      </c>
      <c r="T792" s="3">
        <v>99.495859999999993</v>
      </c>
      <c r="V792" s="3">
        <v>99.027839999999998</v>
      </c>
      <c r="W792" s="3">
        <v>99.4</v>
      </c>
      <c r="X792" s="3">
        <v>101.7632</v>
      </c>
      <c r="Y792" s="3">
        <v>98.398679999999999</v>
      </c>
      <c r="AB792" s="3">
        <v>98.887159999999994</v>
      </c>
      <c r="AC792" s="3">
        <v>98.669179999999997</v>
      </c>
      <c r="AD792" s="3">
        <v>100.0168</v>
      </c>
      <c r="AE792" s="3">
        <v>99.384060000000005</v>
      </c>
      <c r="AF792" s="3">
        <v>99.78152</v>
      </c>
      <c r="AH792" s="3">
        <v>99.026499999999999</v>
      </c>
      <c r="AI792" s="3">
        <v>98.818790000000007</v>
      </c>
      <c r="AJ792" s="3">
        <v>99.427520000000001</v>
      </c>
      <c r="AK792" s="3">
        <v>98.355459999999994</v>
      </c>
      <c r="AL792" s="3">
        <v>99.350520000000003</v>
      </c>
      <c r="AM792" s="3">
        <v>98.289209999999997</v>
      </c>
      <c r="AN792" s="3">
        <v>98.864990000000006</v>
      </c>
      <c r="AO792" s="3">
        <v>98.973780000000005</v>
      </c>
      <c r="AP792" s="3">
        <v>99.891329999999996</v>
      </c>
      <c r="AQ792" s="3">
        <v>99.851380000000006</v>
      </c>
      <c r="AT792" s="3">
        <v>99.944320000000005</v>
      </c>
      <c r="AU792" s="3">
        <v>100.40170000000001</v>
      </c>
      <c r="AV792" s="3">
        <v>100.3044</v>
      </c>
      <c r="AW792" s="3">
        <v>94.892290000000003</v>
      </c>
      <c r="AX792" s="3">
        <v>98.83032</v>
      </c>
      <c r="AY792" s="3">
        <v>96.218369999999993</v>
      </c>
    </row>
    <row r="793" spans="1:51" x14ac:dyDescent="0.2">
      <c r="A793" s="74" t="s">
        <v>690</v>
      </c>
      <c r="B793" s="49">
        <v>41944</v>
      </c>
      <c r="D793" s="3">
        <v>98.899280000000005</v>
      </c>
      <c r="F793" s="3">
        <v>98.400040000000004</v>
      </c>
      <c r="G793" s="3">
        <v>100.66889999999999</v>
      </c>
      <c r="H793" s="3">
        <v>97.009600000000006</v>
      </c>
      <c r="J793" s="3">
        <v>96.565539999999999</v>
      </c>
      <c r="K793" s="3">
        <v>98.88646</v>
      </c>
      <c r="L793" s="3">
        <v>98.8</v>
      </c>
      <c r="M793" s="3">
        <v>98.787589999999994</v>
      </c>
      <c r="N793" s="3">
        <v>98.994709999999998</v>
      </c>
      <c r="O793" s="3">
        <v>99.35</v>
      </c>
      <c r="P793" s="3">
        <v>100.3935</v>
      </c>
      <c r="Q793" s="3">
        <v>98.130380000000002</v>
      </c>
      <c r="S793" s="3">
        <v>99.970969999999994</v>
      </c>
      <c r="T793" s="3">
        <v>99.359219999999993</v>
      </c>
      <c r="V793" s="3">
        <v>98.951560000000001</v>
      </c>
      <c r="W793" s="3">
        <v>99.3</v>
      </c>
      <c r="X793" s="3">
        <v>100.6786</v>
      </c>
      <c r="Y793" s="3">
        <v>98.667270000000002</v>
      </c>
      <c r="AB793" s="3">
        <v>98.851010000000002</v>
      </c>
      <c r="AC793" s="3">
        <v>98.245339999999999</v>
      </c>
      <c r="AD793" s="3">
        <v>100.1174</v>
      </c>
      <c r="AE793" s="3">
        <v>99.16686</v>
      </c>
      <c r="AF793" s="3">
        <v>99.574190000000002</v>
      </c>
      <c r="AH793" s="3">
        <v>99.153999999999996</v>
      </c>
      <c r="AI793" s="3">
        <v>98.752660000000006</v>
      </c>
      <c r="AJ793" s="3">
        <v>99.227490000000003</v>
      </c>
      <c r="AK793" s="3">
        <v>98.5124</v>
      </c>
      <c r="AL793" s="3">
        <v>98.737459999999999</v>
      </c>
      <c r="AM793" s="3">
        <v>98.240110000000001</v>
      </c>
      <c r="AN793" s="3">
        <v>98.835030000000003</v>
      </c>
      <c r="AO793" s="3">
        <v>98.994320000000002</v>
      </c>
      <c r="AP793" s="3">
        <v>99.804389999999998</v>
      </c>
      <c r="AQ793" s="3">
        <v>99.772120000000001</v>
      </c>
      <c r="AT793" s="3">
        <v>99.877009999999999</v>
      </c>
      <c r="AU793" s="3">
        <v>100.1417</v>
      </c>
      <c r="AV793" s="3">
        <v>100.11</v>
      </c>
      <c r="AW793" s="3">
        <v>95.402919999999995</v>
      </c>
      <c r="AX793" s="3">
        <v>98.762209999999996</v>
      </c>
      <c r="AY793" s="3">
        <v>96.404470000000003</v>
      </c>
    </row>
    <row r="794" spans="1:51" x14ac:dyDescent="0.2">
      <c r="A794" s="74" t="s">
        <v>691</v>
      </c>
      <c r="B794" s="49">
        <v>41974</v>
      </c>
      <c r="D794" s="3">
        <v>99.044970000000006</v>
      </c>
      <c r="F794" s="3">
        <v>98.1404</v>
      </c>
      <c r="G794" s="3">
        <v>100.5014</v>
      </c>
      <c r="H794" s="3">
        <v>97.291730000000001</v>
      </c>
      <c r="J794" s="3">
        <v>96.973820000000003</v>
      </c>
      <c r="K794" s="3">
        <v>99.088419999999999</v>
      </c>
      <c r="L794" s="3">
        <v>99</v>
      </c>
      <c r="M794" s="3">
        <v>99.316739999999996</v>
      </c>
      <c r="N794" s="3">
        <v>99.144099999999995</v>
      </c>
      <c r="O794" s="3">
        <v>99.7</v>
      </c>
      <c r="P794" s="3">
        <v>100.3793</v>
      </c>
      <c r="Q794" s="3">
        <v>98.584419999999994</v>
      </c>
      <c r="S794" s="3">
        <v>100.06399999999999</v>
      </c>
      <c r="T794" s="3">
        <v>99.785880000000006</v>
      </c>
      <c r="V794" s="3">
        <v>98.938749999999999</v>
      </c>
      <c r="W794" s="3">
        <v>99.5</v>
      </c>
      <c r="X794" s="3">
        <v>101.0697</v>
      </c>
      <c r="Y794" s="3">
        <v>98.796779999999998</v>
      </c>
      <c r="AB794" s="3">
        <v>98.817769999999996</v>
      </c>
      <c r="AC794" s="3">
        <v>98.683580000000006</v>
      </c>
      <c r="AD794" s="3">
        <v>100.41930000000001</v>
      </c>
      <c r="AE794" s="3">
        <v>99.401399999999995</v>
      </c>
      <c r="AF794" s="3">
        <v>99.596199999999996</v>
      </c>
      <c r="AH794" s="3">
        <v>99.024799999999999</v>
      </c>
      <c r="AI794" s="3">
        <v>98.67</v>
      </c>
      <c r="AJ794" s="3">
        <v>98.906859999999995</v>
      </c>
      <c r="AK794" s="3">
        <v>98.722170000000006</v>
      </c>
      <c r="AL794" s="3">
        <v>98.734170000000006</v>
      </c>
      <c r="AM794" s="3">
        <v>98.511759999999995</v>
      </c>
      <c r="AN794" s="3">
        <v>98.849040000000002</v>
      </c>
      <c r="AO794" s="3">
        <v>99.198719999999994</v>
      </c>
      <c r="AP794" s="3">
        <v>99.804389999999998</v>
      </c>
      <c r="AQ794" s="3">
        <v>100.0694</v>
      </c>
      <c r="AT794" s="3">
        <v>99.69238</v>
      </c>
      <c r="AU794" s="3">
        <v>100.0817</v>
      </c>
      <c r="AV794" s="3">
        <v>100.56910000000001</v>
      </c>
      <c r="AW794" s="3">
        <v>95.104709999999997</v>
      </c>
      <c r="AX794" s="3">
        <v>98.566959999999995</v>
      </c>
      <c r="AY794" s="3">
        <v>96.628410000000002</v>
      </c>
    </row>
    <row r="795" spans="1:51" x14ac:dyDescent="0.2">
      <c r="A795" s="3" t="s">
        <v>692</v>
      </c>
      <c r="B795" s="49">
        <v>42005</v>
      </c>
      <c r="D795" s="3">
        <v>99.248919999999998</v>
      </c>
      <c r="F795" s="3">
        <v>98.668199999999999</v>
      </c>
      <c r="G795" s="3">
        <v>100.21120000000001</v>
      </c>
      <c r="H795" s="3">
        <v>97.975350000000006</v>
      </c>
      <c r="J795" s="3">
        <v>97.487099999999998</v>
      </c>
      <c r="K795" s="3">
        <v>99.718440000000001</v>
      </c>
      <c r="L795" s="3">
        <v>99.2</v>
      </c>
      <c r="M795" s="3">
        <v>98.428910000000002</v>
      </c>
      <c r="N795" s="3">
        <v>98.640690000000006</v>
      </c>
      <c r="O795" s="3">
        <v>97.87</v>
      </c>
      <c r="P795" s="3">
        <v>98.446169999999995</v>
      </c>
      <c r="Q795" s="3">
        <v>98.754679999999993</v>
      </c>
      <c r="S795" s="3">
        <v>99.32</v>
      </c>
      <c r="T795" s="3">
        <v>98.7042</v>
      </c>
      <c r="V795" s="3">
        <v>98.830719999999999</v>
      </c>
      <c r="W795" s="3">
        <v>98.9</v>
      </c>
      <c r="X795" s="3">
        <v>99.251490000000004</v>
      </c>
      <c r="Y795" s="3">
        <v>98.919439999999994</v>
      </c>
      <c r="AB795" s="3">
        <v>98.575590000000005</v>
      </c>
      <c r="AC795" s="3">
        <v>97.731610000000003</v>
      </c>
      <c r="AD795" s="3">
        <v>99.714910000000003</v>
      </c>
      <c r="AE795" s="3">
        <v>99.206909999999993</v>
      </c>
      <c r="AF795" s="3">
        <v>99.300809999999998</v>
      </c>
      <c r="AH795" s="3">
        <v>98.364599999999996</v>
      </c>
      <c r="AI795" s="3">
        <v>98.06</v>
      </c>
      <c r="AJ795" s="3">
        <v>98.490880000000004</v>
      </c>
      <c r="AK795" s="3">
        <v>98.671019999999999</v>
      </c>
      <c r="AL795" s="3">
        <v>98.040430000000001</v>
      </c>
      <c r="AM795" s="3">
        <v>98.242090000000005</v>
      </c>
      <c r="AN795" s="3">
        <v>98.741</v>
      </c>
      <c r="AO795" s="3">
        <v>98.561700000000002</v>
      </c>
      <c r="AP795" s="3">
        <v>99.630520000000004</v>
      </c>
      <c r="AQ795" s="3">
        <v>98.256219999999999</v>
      </c>
      <c r="AT795" s="3">
        <v>99.809020000000004</v>
      </c>
      <c r="AU795" s="3">
        <v>98.721649999999997</v>
      </c>
      <c r="AV795" s="3">
        <v>99.299059999999997</v>
      </c>
      <c r="AW795" s="3">
        <v>95.856369999999998</v>
      </c>
      <c r="AX795" s="3">
        <v>98.762209999999996</v>
      </c>
      <c r="AY795" s="3">
        <v>97.090770000000006</v>
      </c>
    </row>
    <row r="796" spans="1:51" x14ac:dyDescent="0.2">
      <c r="A796" s="74" t="s">
        <v>693</v>
      </c>
      <c r="B796" s="49">
        <v>42036</v>
      </c>
      <c r="D796" s="3">
        <v>99.637410000000003</v>
      </c>
      <c r="F796" s="3">
        <v>99.279679999999999</v>
      </c>
      <c r="G796" s="3">
        <v>100.1464</v>
      </c>
      <c r="H796" s="3">
        <v>98.235780000000005</v>
      </c>
      <c r="J796" s="3">
        <v>98.408649999999994</v>
      </c>
      <c r="K796" s="3">
        <v>100.1897</v>
      </c>
      <c r="L796" s="3">
        <v>99.5</v>
      </c>
      <c r="M796" s="3">
        <v>98.957759999999993</v>
      </c>
      <c r="N796" s="3">
        <v>99.738010000000003</v>
      </c>
      <c r="O796" s="3">
        <v>98.38</v>
      </c>
      <c r="P796" s="3">
        <v>98.394739999999999</v>
      </c>
      <c r="Q796" s="3">
        <v>99.095219999999998</v>
      </c>
      <c r="S796" s="3">
        <v>99.69</v>
      </c>
      <c r="T796" s="3">
        <v>99.303430000000006</v>
      </c>
      <c r="V796" s="3">
        <v>99.183769999999996</v>
      </c>
      <c r="W796" s="3">
        <v>99.3</v>
      </c>
      <c r="X796" s="3">
        <v>97.563230000000004</v>
      </c>
      <c r="Y796" s="3">
        <v>99.198400000000007</v>
      </c>
      <c r="AB796" s="3">
        <v>99.412750000000003</v>
      </c>
      <c r="AC796" s="3">
        <v>98.587159999999997</v>
      </c>
      <c r="AD796" s="3">
        <v>99.312420000000003</v>
      </c>
      <c r="AE796" s="3">
        <v>99.541089999999997</v>
      </c>
      <c r="AF796" s="3">
        <v>99.347819999999999</v>
      </c>
      <c r="AH796" s="3">
        <v>97.955399999999997</v>
      </c>
      <c r="AI796" s="3">
        <v>99.83</v>
      </c>
      <c r="AJ796" s="3">
        <v>98.52337</v>
      </c>
      <c r="AK796" s="3">
        <v>99.085269999999994</v>
      </c>
      <c r="AL796" s="3">
        <v>98.398740000000004</v>
      </c>
      <c r="AM796" s="3">
        <v>98.443899999999999</v>
      </c>
      <c r="AN796" s="3">
        <v>99.03922</v>
      </c>
      <c r="AO796" s="3">
        <v>98.851119999999995</v>
      </c>
      <c r="AP796" s="3">
        <v>99.630520000000004</v>
      </c>
      <c r="AQ796" s="3">
        <v>98.038250000000005</v>
      </c>
      <c r="AT796" s="3">
        <v>99.83417</v>
      </c>
      <c r="AU796" s="3">
        <v>99.041650000000004</v>
      </c>
      <c r="AV796" s="3">
        <v>99.835239999999999</v>
      </c>
      <c r="AW796" s="3">
        <v>95.786919999999995</v>
      </c>
      <c r="AX796" s="3">
        <v>99.106899999999996</v>
      </c>
      <c r="AY796" s="3">
        <v>98.472229999999996</v>
      </c>
    </row>
    <row r="797" spans="1:51" x14ac:dyDescent="0.2">
      <c r="A797" s="74" t="s">
        <v>694</v>
      </c>
      <c r="B797" s="49">
        <v>42064</v>
      </c>
      <c r="D797" s="3">
        <v>99.404319999999998</v>
      </c>
      <c r="F797" s="3">
        <v>99.818849999999998</v>
      </c>
      <c r="G797" s="3">
        <v>100.3836</v>
      </c>
      <c r="H797" s="3">
        <v>98.930250000000001</v>
      </c>
      <c r="J797" s="3">
        <v>98.828609999999998</v>
      </c>
      <c r="K797" s="3">
        <v>100.21980000000001</v>
      </c>
      <c r="L797" s="3">
        <v>99.5</v>
      </c>
      <c r="M797" s="3">
        <v>99.38946</v>
      </c>
      <c r="N797" s="3">
        <v>100.09220000000001</v>
      </c>
      <c r="O797" s="3">
        <v>99.77</v>
      </c>
      <c r="P797" s="3">
        <v>98.997789999999995</v>
      </c>
      <c r="Q797" s="3">
        <v>99.719539999999995</v>
      </c>
      <c r="S797" s="3">
        <v>99.89</v>
      </c>
      <c r="T797" s="3">
        <v>99.996679999999998</v>
      </c>
      <c r="V797" s="3">
        <v>99.543639999999996</v>
      </c>
      <c r="W797" s="3">
        <v>99.4</v>
      </c>
      <c r="X797" s="3">
        <v>100.4481</v>
      </c>
      <c r="Y797" s="3">
        <v>99.285769999999999</v>
      </c>
      <c r="AB797" s="3">
        <v>99.806470000000004</v>
      </c>
      <c r="AC797" s="3">
        <v>99.628929999999997</v>
      </c>
      <c r="AD797" s="3">
        <v>99.513660000000002</v>
      </c>
      <c r="AE797" s="3">
        <v>99.459010000000006</v>
      </c>
      <c r="AF797" s="3">
        <v>99.57038</v>
      </c>
      <c r="AH797" s="3">
        <v>98.841899999999995</v>
      </c>
      <c r="AI797" s="3">
        <v>99.75</v>
      </c>
      <c r="AJ797" s="3">
        <v>99.487020000000001</v>
      </c>
      <c r="AK797" s="3">
        <v>99.404830000000004</v>
      </c>
      <c r="AL797" s="3">
        <v>99.592529999999996</v>
      </c>
      <c r="AM797" s="3">
        <v>99.143780000000007</v>
      </c>
      <c r="AN797" s="3">
        <v>99.425539999999998</v>
      </c>
      <c r="AO797" s="3">
        <v>99.289339999999996</v>
      </c>
      <c r="AP797" s="3">
        <v>99.717449999999999</v>
      </c>
      <c r="AQ797" s="3">
        <v>100.1585</v>
      </c>
      <c r="AT797" s="3">
        <v>99.788250000000005</v>
      </c>
      <c r="AU797" s="3">
        <v>99.941670000000002</v>
      </c>
      <c r="AV797" s="3">
        <v>99.868750000000006</v>
      </c>
      <c r="AW797" s="3">
        <v>96.330240000000003</v>
      </c>
      <c r="AX797" s="3">
        <v>99.513099999999994</v>
      </c>
      <c r="AY797" s="3">
        <v>99.305149999999998</v>
      </c>
    </row>
    <row r="798" spans="1:51" x14ac:dyDescent="0.2">
      <c r="A798" s="74" t="s">
        <v>695</v>
      </c>
      <c r="B798" s="49">
        <v>42095</v>
      </c>
      <c r="D798" s="3">
        <v>99.715109999999996</v>
      </c>
      <c r="F798" s="3">
        <v>99.876620000000003</v>
      </c>
      <c r="G798" s="3">
        <v>100.22110000000001</v>
      </c>
      <c r="H798" s="3">
        <v>99.3643</v>
      </c>
      <c r="J798" s="3">
        <v>99.260220000000004</v>
      </c>
      <c r="K798" s="3">
        <v>100.3364</v>
      </c>
      <c r="L798" s="3">
        <v>99.9</v>
      </c>
      <c r="M798" s="3">
        <v>99.857860000000002</v>
      </c>
      <c r="N798" s="3">
        <v>100.1825</v>
      </c>
      <c r="O798" s="3">
        <v>100.3</v>
      </c>
      <c r="P798" s="3">
        <v>100.3057</v>
      </c>
      <c r="Q798" s="3">
        <v>99.946560000000005</v>
      </c>
      <c r="S798" s="3">
        <v>99.88</v>
      </c>
      <c r="T798" s="3">
        <v>100.11499999999999</v>
      </c>
      <c r="V798" s="3">
        <v>99.859780000000001</v>
      </c>
      <c r="W798" s="3">
        <v>99.7</v>
      </c>
      <c r="X798" s="3">
        <v>100.92919999999999</v>
      </c>
      <c r="Y798" s="3">
        <v>99.696219999999997</v>
      </c>
      <c r="AB798" s="3">
        <v>99.726389999999995</v>
      </c>
      <c r="AC798" s="3">
        <v>99.811610000000002</v>
      </c>
      <c r="AD798" s="3">
        <v>99.916150000000002</v>
      </c>
      <c r="AE798" s="3">
        <v>99.880740000000003</v>
      </c>
      <c r="AF798" s="3">
        <v>99.977170000000001</v>
      </c>
      <c r="AH798" s="3">
        <v>99.551100000000005</v>
      </c>
      <c r="AI798" s="3">
        <v>99.86</v>
      </c>
      <c r="AJ798" s="3">
        <v>100.1281</v>
      </c>
      <c r="AK798" s="3">
        <v>99.537509999999997</v>
      </c>
      <c r="AL798" s="3">
        <v>100.2576</v>
      </c>
      <c r="AM798" s="3">
        <v>99.587909999999994</v>
      </c>
      <c r="AN798" s="3">
        <v>99.799570000000003</v>
      </c>
      <c r="AO798" s="3">
        <v>99.809939999999997</v>
      </c>
      <c r="AP798" s="3">
        <v>100.1521</v>
      </c>
      <c r="AQ798" s="3">
        <v>100.4062</v>
      </c>
      <c r="AT798" s="3">
        <v>99.824169999999995</v>
      </c>
      <c r="AU798" s="3">
        <v>99.991669999999999</v>
      </c>
      <c r="AV798" s="3">
        <v>99.734700000000004</v>
      </c>
      <c r="AW798" s="3">
        <v>98.107249999999993</v>
      </c>
      <c r="AX798" s="3">
        <v>99.816509999999994</v>
      </c>
      <c r="AY798" s="3">
        <v>99.500360000000001</v>
      </c>
    </row>
    <row r="799" spans="1:51" x14ac:dyDescent="0.2">
      <c r="A799" s="74" t="s">
        <v>696</v>
      </c>
      <c r="B799" s="49">
        <v>42125</v>
      </c>
      <c r="D799" s="3">
        <v>99.656840000000003</v>
      </c>
      <c r="F799" s="3">
        <v>100.032</v>
      </c>
      <c r="G799" s="3">
        <v>100.3008</v>
      </c>
      <c r="H799" s="3">
        <v>99.494510000000005</v>
      </c>
      <c r="J799" s="3">
        <v>99.61018</v>
      </c>
      <c r="K799" s="3">
        <v>100.3052</v>
      </c>
      <c r="L799" s="3">
        <v>100</v>
      </c>
      <c r="M799" s="3">
        <v>99.989009999999993</v>
      </c>
      <c r="N799" s="3">
        <v>100.26390000000001</v>
      </c>
      <c r="O799" s="3">
        <v>100.52</v>
      </c>
      <c r="P799" s="3">
        <v>100.68689999999999</v>
      </c>
      <c r="Q799" s="3">
        <v>100.17359999999999</v>
      </c>
      <c r="S799" s="3">
        <v>99.73</v>
      </c>
      <c r="T799" s="3">
        <v>100.2906</v>
      </c>
      <c r="V799" s="3">
        <v>99.97672</v>
      </c>
      <c r="W799" s="3">
        <v>99.9</v>
      </c>
      <c r="X799" s="3">
        <v>99.995320000000007</v>
      </c>
      <c r="Y799" s="3">
        <v>99.886470000000003</v>
      </c>
      <c r="AB799" s="3">
        <v>99.947230000000005</v>
      </c>
      <c r="AC799" s="3">
        <v>99.882580000000004</v>
      </c>
      <c r="AD799" s="3">
        <v>99.916150000000002</v>
      </c>
      <c r="AE799" s="3">
        <v>99.880520000000004</v>
      </c>
      <c r="AF799" s="3">
        <v>99.988309999999998</v>
      </c>
      <c r="AH799" s="3">
        <v>99.8215</v>
      </c>
      <c r="AI799" s="3">
        <v>100.09</v>
      </c>
      <c r="AJ799" s="3">
        <v>100.4871</v>
      </c>
      <c r="AK799" s="3">
        <v>99.658199999999994</v>
      </c>
      <c r="AL799" s="3">
        <v>100.4474</v>
      </c>
      <c r="AM799" s="3">
        <v>99.83717</v>
      </c>
      <c r="AN799" s="3">
        <v>99.971609999999998</v>
      </c>
      <c r="AO799" s="3">
        <v>100.0806</v>
      </c>
      <c r="AP799" s="3">
        <v>100.1521</v>
      </c>
      <c r="AQ799" s="3">
        <v>100.65389999999999</v>
      </c>
      <c r="AT799" s="3">
        <v>100.0091</v>
      </c>
      <c r="AU799" s="3">
        <v>100.3417</v>
      </c>
      <c r="AV799" s="3">
        <v>100.0564</v>
      </c>
      <c r="AW799" s="3">
        <v>99.831149999999994</v>
      </c>
      <c r="AX799" s="3">
        <v>99.947360000000003</v>
      </c>
      <c r="AY799" s="3">
        <v>99.540899999999993</v>
      </c>
    </row>
    <row r="800" spans="1:51" x14ac:dyDescent="0.2">
      <c r="A800" s="74" t="s">
        <v>697</v>
      </c>
      <c r="B800" s="49">
        <v>42156</v>
      </c>
      <c r="D800" s="3">
        <v>99.96763</v>
      </c>
      <c r="F800" s="3">
        <v>99.917689999999993</v>
      </c>
      <c r="G800" s="3">
        <v>100.294</v>
      </c>
      <c r="H800" s="3">
        <v>99.906859999999995</v>
      </c>
      <c r="J800" s="3">
        <v>99.960139999999996</v>
      </c>
      <c r="K800" s="3">
        <v>100.48009999999999</v>
      </c>
      <c r="L800" s="3">
        <v>100.2</v>
      </c>
      <c r="M800" s="3">
        <v>100.1249</v>
      </c>
      <c r="N800" s="3">
        <v>99.971950000000007</v>
      </c>
      <c r="O800" s="3">
        <v>100.57</v>
      </c>
      <c r="P800" s="3">
        <v>100.815</v>
      </c>
      <c r="Q800" s="3">
        <v>100.3438</v>
      </c>
      <c r="S800" s="3">
        <v>99.7</v>
      </c>
      <c r="T800" s="3">
        <v>100.29349999999999</v>
      </c>
      <c r="V800" s="3">
        <v>100.0504</v>
      </c>
      <c r="W800" s="3">
        <v>99.9</v>
      </c>
      <c r="X800" s="3">
        <v>100.8237</v>
      </c>
      <c r="Y800" s="3">
        <v>99.925619999999995</v>
      </c>
      <c r="AB800" s="3">
        <v>100.2056</v>
      </c>
      <c r="AC800" s="3">
        <v>100.11490000000001</v>
      </c>
      <c r="AD800" s="3">
        <v>100.41930000000001</v>
      </c>
      <c r="AE800" s="3">
        <v>100.111</v>
      </c>
      <c r="AF800" s="3">
        <v>99.983419999999995</v>
      </c>
      <c r="AH800" s="3">
        <v>100.1104</v>
      </c>
      <c r="AI800" s="3">
        <v>100.3</v>
      </c>
      <c r="AJ800" s="3">
        <v>100.62130000000001</v>
      </c>
      <c r="AK800" s="3">
        <v>99.868210000000005</v>
      </c>
      <c r="AL800" s="3">
        <v>99.968410000000006</v>
      </c>
      <c r="AM800" s="3">
        <v>100.2308</v>
      </c>
      <c r="AN800" s="3">
        <v>100.0594</v>
      </c>
      <c r="AO800" s="3">
        <v>100.1765</v>
      </c>
      <c r="AP800" s="3">
        <v>100.0652</v>
      </c>
      <c r="AQ800" s="3">
        <v>100.4954</v>
      </c>
      <c r="AT800" s="3">
        <v>100.0692</v>
      </c>
      <c r="AU800" s="3">
        <v>100.4517</v>
      </c>
      <c r="AV800" s="3">
        <v>99.925719999999998</v>
      </c>
      <c r="AW800" s="3">
        <v>100.158</v>
      </c>
      <c r="AX800" s="3">
        <v>100.0444</v>
      </c>
      <c r="AY800" s="3">
        <v>99.961709999999997</v>
      </c>
    </row>
    <row r="801" spans="1:51" x14ac:dyDescent="0.2">
      <c r="A801" s="74" t="s">
        <v>698</v>
      </c>
      <c r="B801" s="49">
        <v>42186</v>
      </c>
      <c r="D801" s="3">
        <v>100.15219999999999</v>
      </c>
      <c r="F801" s="3">
        <v>99.895349999999993</v>
      </c>
      <c r="G801" s="3">
        <v>99.654790000000006</v>
      </c>
      <c r="H801" s="3">
        <v>100.0479</v>
      </c>
      <c r="J801" s="3">
        <v>100.0885</v>
      </c>
      <c r="K801" s="3">
        <v>100.0454</v>
      </c>
      <c r="L801" s="3">
        <v>100.4</v>
      </c>
      <c r="M801" s="3">
        <v>100.527</v>
      </c>
      <c r="N801" s="3">
        <v>99.932270000000003</v>
      </c>
      <c r="O801" s="3">
        <v>99.93</v>
      </c>
      <c r="P801" s="3">
        <v>99.611919999999998</v>
      </c>
      <c r="Q801" s="3">
        <v>100.17359999999999</v>
      </c>
      <c r="S801" s="3">
        <v>99.73</v>
      </c>
      <c r="T801" s="3">
        <v>100.0048</v>
      </c>
      <c r="V801" s="3">
        <v>100.1117</v>
      </c>
      <c r="W801" s="3">
        <v>100</v>
      </c>
      <c r="X801" s="3">
        <v>99.166730000000001</v>
      </c>
      <c r="Y801" s="3">
        <v>100.31870000000001</v>
      </c>
      <c r="AB801" s="3">
        <v>100.087</v>
      </c>
      <c r="AC801" s="3">
        <v>100.2899</v>
      </c>
      <c r="AD801" s="3">
        <v>100.62050000000001</v>
      </c>
      <c r="AE801" s="3">
        <v>100.3017</v>
      </c>
      <c r="AF801" s="3">
        <v>100.0476</v>
      </c>
      <c r="AH801" s="3">
        <v>99.703199999999995</v>
      </c>
      <c r="AI801" s="3">
        <v>99.17</v>
      </c>
      <c r="AJ801" s="3">
        <v>99.787360000000007</v>
      </c>
      <c r="AK801" s="3">
        <v>100.04219999999999</v>
      </c>
      <c r="AL801" s="3">
        <v>100.98090000000001</v>
      </c>
      <c r="AM801" s="3">
        <v>100.1114</v>
      </c>
      <c r="AN801" s="3">
        <v>100.1048</v>
      </c>
      <c r="AO801" s="3">
        <v>100.1491</v>
      </c>
      <c r="AP801" s="3">
        <v>100.23909999999999</v>
      </c>
      <c r="AQ801" s="3">
        <v>99.702770000000001</v>
      </c>
      <c r="AT801" s="3">
        <v>100.08029999999999</v>
      </c>
      <c r="AU801" s="3">
        <v>99.581659999999999</v>
      </c>
      <c r="AV801" s="3">
        <v>99.94247</v>
      </c>
      <c r="AW801" s="3">
        <v>100.2846</v>
      </c>
      <c r="AX801" s="3">
        <v>100.0782</v>
      </c>
      <c r="AY801" s="3">
        <v>100.3355</v>
      </c>
    </row>
    <row r="802" spans="1:51" x14ac:dyDescent="0.2">
      <c r="A802" s="74" t="s">
        <v>699</v>
      </c>
      <c r="B802" s="49">
        <v>42217</v>
      </c>
      <c r="D802" s="3">
        <v>100.2299</v>
      </c>
      <c r="F802" s="3">
        <v>100.1901</v>
      </c>
      <c r="G802" s="3">
        <v>99.547550000000001</v>
      </c>
      <c r="H802" s="3">
        <v>100.43859999999999</v>
      </c>
      <c r="J802" s="3">
        <v>100.3801</v>
      </c>
      <c r="K802" s="3">
        <v>99.922169999999994</v>
      </c>
      <c r="L802" s="3">
        <v>100.4</v>
      </c>
      <c r="M802" s="3">
        <v>100.85080000000001</v>
      </c>
      <c r="N802" s="3">
        <v>99.989429999999999</v>
      </c>
      <c r="O802" s="3">
        <v>100.24</v>
      </c>
      <c r="P802" s="3">
        <v>99.707729999999998</v>
      </c>
      <c r="Q802" s="3">
        <v>100.4006</v>
      </c>
      <c r="S802" s="3">
        <v>100.09</v>
      </c>
      <c r="T802" s="3">
        <v>100.6525</v>
      </c>
      <c r="V802" s="3">
        <v>100.31059999999999</v>
      </c>
      <c r="W802" s="3">
        <v>100.3</v>
      </c>
      <c r="X802" s="3">
        <v>97.892529999999994</v>
      </c>
      <c r="Y802" s="3">
        <v>100.5236</v>
      </c>
      <c r="AB802" s="3">
        <v>100.8751</v>
      </c>
      <c r="AC802" s="3">
        <v>100.9479</v>
      </c>
      <c r="AD802" s="3">
        <v>100.62050000000001</v>
      </c>
      <c r="AE802" s="3">
        <v>100.7204</v>
      </c>
      <c r="AF802" s="3">
        <v>100.2359</v>
      </c>
      <c r="AH802" s="3">
        <v>99.656800000000004</v>
      </c>
      <c r="AI802" s="3">
        <v>100.66</v>
      </c>
      <c r="AJ802" s="3">
        <v>100.0241</v>
      </c>
      <c r="AK802" s="3">
        <v>100.25830000000001</v>
      </c>
      <c r="AL802" s="3">
        <v>100.76649999999999</v>
      </c>
      <c r="AM802" s="3">
        <v>100.01139999999999</v>
      </c>
      <c r="AN802" s="3">
        <v>100.2736</v>
      </c>
      <c r="AO802" s="3">
        <v>100.387</v>
      </c>
      <c r="AP802" s="3">
        <v>100.1521</v>
      </c>
      <c r="AQ802" s="3">
        <v>99.50461</v>
      </c>
      <c r="AT802" s="3">
        <v>100.13039999999999</v>
      </c>
      <c r="AU802" s="3">
        <v>99.991669999999999</v>
      </c>
      <c r="AV802" s="3">
        <v>99.731350000000006</v>
      </c>
      <c r="AW802" s="3">
        <v>100.5787</v>
      </c>
      <c r="AX802" s="3">
        <v>100.167</v>
      </c>
      <c r="AY802" s="3">
        <v>100.6151</v>
      </c>
    </row>
    <row r="803" spans="1:51" x14ac:dyDescent="0.2">
      <c r="A803" s="74" t="s">
        <v>700</v>
      </c>
      <c r="B803" s="49">
        <v>42248</v>
      </c>
      <c r="D803" s="3">
        <v>100.0842</v>
      </c>
      <c r="F803" s="3">
        <v>100.6245</v>
      </c>
      <c r="G803" s="3">
        <v>99.771000000000001</v>
      </c>
      <c r="H803" s="3">
        <v>100.90519999999999</v>
      </c>
      <c r="J803" s="3">
        <v>100.8817</v>
      </c>
      <c r="K803" s="3">
        <v>99.841769999999997</v>
      </c>
      <c r="L803" s="3">
        <v>100.2</v>
      </c>
      <c r="M803" s="3">
        <v>100.7744</v>
      </c>
      <c r="N803" s="3">
        <v>100.3473</v>
      </c>
      <c r="O803" s="3">
        <v>100.71</v>
      </c>
      <c r="P803" s="3">
        <v>99.765209999999996</v>
      </c>
      <c r="Q803" s="3">
        <v>100.2303</v>
      </c>
      <c r="S803" s="3">
        <v>100.52</v>
      </c>
      <c r="T803" s="3">
        <v>100.12909999999999</v>
      </c>
      <c r="V803" s="3">
        <v>100.44799999999999</v>
      </c>
      <c r="W803" s="3">
        <v>100.4</v>
      </c>
      <c r="X803" s="3">
        <v>100.89319999999999</v>
      </c>
      <c r="Y803" s="3">
        <v>100.2624</v>
      </c>
      <c r="AB803" s="3">
        <v>100.5813</v>
      </c>
      <c r="AC803" s="3">
        <v>100.636</v>
      </c>
      <c r="AD803" s="3">
        <v>100.1174</v>
      </c>
      <c r="AE803" s="3">
        <v>100.2796</v>
      </c>
      <c r="AF803" s="3">
        <v>100.3541</v>
      </c>
      <c r="AH803" s="3">
        <v>100.7332</v>
      </c>
      <c r="AI803" s="3">
        <v>100.66</v>
      </c>
      <c r="AJ803" s="3">
        <v>100.55249999999999</v>
      </c>
      <c r="AK803" s="3">
        <v>100.6348</v>
      </c>
      <c r="AL803" s="3">
        <v>100.7619</v>
      </c>
      <c r="AM803" s="3">
        <v>100.81489999999999</v>
      </c>
      <c r="AN803" s="3">
        <v>100.4545</v>
      </c>
      <c r="AO803" s="3">
        <v>100.4496</v>
      </c>
      <c r="AP803" s="3">
        <v>99.978260000000006</v>
      </c>
      <c r="AQ803" s="3">
        <v>100.6737</v>
      </c>
      <c r="AT803" s="3">
        <v>100.02070000000001</v>
      </c>
      <c r="AU803" s="3">
        <v>100.2617</v>
      </c>
      <c r="AV803" s="3">
        <v>100.3848</v>
      </c>
      <c r="AW803" s="3">
        <v>101.4162</v>
      </c>
      <c r="AX803" s="3">
        <v>100.4592</v>
      </c>
      <c r="AY803" s="3">
        <v>101.0364</v>
      </c>
    </row>
    <row r="804" spans="1:51" x14ac:dyDescent="0.2">
      <c r="A804" s="74" t="s">
        <v>701</v>
      </c>
      <c r="B804" s="49">
        <v>42278</v>
      </c>
      <c r="D804" s="3">
        <v>100.4727</v>
      </c>
      <c r="F804" s="3">
        <v>100.85899999999999</v>
      </c>
      <c r="G804" s="3">
        <v>99.943250000000006</v>
      </c>
      <c r="H804" s="3">
        <v>101.3501</v>
      </c>
      <c r="J804" s="3">
        <v>101.255</v>
      </c>
      <c r="K804" s="3">
        <v>99.785039999999995</v>
      </c>
      <c r="L804" s="3">
        <v>100.4</v>
      </c>
      <c r="M804" s="3">
        <v>100.857</v>
      </c>
      <c r="N804" s="3">
        <v>100.3356</v>
      </c>
      <c r="O804" s="3">
        <v>100.87</v>
      </c>
      <c r="P804" s="3">
        <v>100.7847</v>
      </c>
      <c r="Q804" s="3">
        <v>100.6844</v>
      </c>
      <c r="S804" s="3">
        <v>100.66</v>
      </c>
      <c r="T804" s="3">
        <v>100.10429999999999</v>
      </c>
      <c r="V804" s="3">
        <v>100.62439999999999</v>
      </c>
      <c r="W804" s="3">
        <v>100.6</v>
      </c>
      <c r="X804" s="3">
        <v>101.25920000000001</v>
      </c>
      <c r="Y804" s="3">
        <v>100.6695</v>
      </c>
      <c r="AB804" s="3">
        <v>100.46169999999999</v>
      </c>
      <c r="AC804" s="3">
        <v>100.79040000000001</v>
      </c>
      <c r="AD804" s="3">
        <v>100.0168</v>
      </c>
      <c r="AE804" s="3">
        <v>100.34569999999999</v>
      </c>
      <c r="AF804" s="3">
        <v>100.35599999999999</v>
      </c>
      <c r="AH804" s="3">
        <v>101.33620000000001</v>
      </c>
      <c r="AI804" s="3">
        <v>100.56</v>
      </c>
      <c r="AJ804" s="3">
        <v>100.8335</v>
      </c>
      <c r="AK804" s="3">
        <v>100.8557</v>
      </c>
      <c r="AL804" s="3">
        <v>100.7516</v>
      </c>
      <c r="AM804" s="3">
        <v>101.1293</v>
      </c>
      <c r="AN804" s="3">
        <v>100.7257</v>
      </c>
      <c r="AO804" s="3">
        <v>100.7968</v>
      </c>
      <c r="AP804" s="3">
        <v>100.1521</v>
      </c>
      <c r="AQ804" s="3">
        <v>100.78270000000001</v>
      </c>
      <c r="AT804" s="3">
        <v>100.1427</v>
      </c>
      <c r="AU804" s="3">
        <v>100.5117</v>
      </c>
      <c r="AV804" s="3">
        <v>100.4418</v>
      </c>
      <c r="AW804" s="3">
        <v>103.40560000000001</v>
      </c>
      <c r="AX804" s="3">
        <v>100.71769999999999</v>
      </c>
      <c r="AY804" s="3">
        <v>101.16370000000001</v>
      </c>
    </row>
    <row r="805" spans="1:51" x14ac:dyDescent="0.2">
      <c r="A805" s="74" t="s">
        <v>702</v>
      </c>
      <c r="B805" s="49">
        <v>42309</v>
      </c>
      <c r="D805" s="3">
        <v>100.67659999999999</v>
      </c>
      <c r="F805" s="3">
        <v>100.6591</v>
      </c>
      <c r="G805" s="3">
        <v>99.800629999999998</v>
      </c>
      <c r="H805" s="3">
        <v>101.53449999999999</v>
      </c>
      <c r="J805" s="3">
        <v>101.6983</v>
      </c>
      <c r="K805" s="3">
        <v>99.577060000000003</v>
      </c>
      <c r="L805" s="3">
        <v>100.1</v>
      </c>
      <c r="M805" s="3">
        <v>99.927520000000001</v>
      </c>
      <c r="N805" s="3">
        <v>100.24550000000001</v>
      </c>
      <c r="O805" s="3">
        <v>100.25</v>
      </c>
      <c r="P805" s="3">
        <v>101.2799</v>
      </c>
      <c r="Q805" s="3">
        <v>100.3609</v>
      </c>
      <c r="S805" s="3">
        <v>100.34</v>
      </c>
      <c r="T805" s="3">
        <v>99.956149999999994</v>
      </c>
      <c r="V805" s="3">
        <v>100.5309</v>
      </c>
      <c r="W805" s="3">
        <v>100.7</v>
      </c>
      <c r="X805" s="3">
        <v>100.212</v>
      </c>
      <c r="Y805" s="3">
        <v>100.65349999999999</v>
      </c>
      <c r="AB805" s="3">
        <v>100.16800000000001</v>
      </c>
      <c r="AC805" s="3">
        <v>100.50920000000001</v>
      </c>
      <c r="AD805" s="3">
        <v>99.815529999999995</v>
      </c>
      <c r="AE805" s="3">
        <v>99.816730000000007</v>
      </c>
      <c r="AF805" s="3">
        <v>100.42010000000001</v>
      </c>
      <c r="AH805" s="3">
        <v>102.1058</v>
      </c>
      <c r="AI805" s="3">
        <v>100.6</v>
      </c>
      <c r="AJ805" s="3">
        <v>100.6027</v>
      </c>
      <c r="AK805" s="3">
        <v>100.8574</v>
      </c>
      <c r="AL805" s="3">
        <v>100.01430000000001</v>
      </c>
      <c r="AM805" s="3">
        <v>101.1307</v>
      </c>
      <c r="AN805" s="3">
        <v>100.6841</v>
      </c>
      <c r="AO805" s="3">
        <v>100.6164</v>
      </c>
      <c r="AP805" s="3">
        <v>100.0652</v>
      </c>
      <c r="AQ805" s="3">
        <v>100.7431</v>
      </c>
      <c r="AT805" s="3">
        <v>100.1966</v>
      </c>
      <c r="AU805" s="3">
        <v>100.8417</v>
      </c>
      <c r="AV805" s="3">
        <v>100.13679999999999</v>
      </c>
      <c r="AW805" s="3">
        <v>104.1572</v>
      </c>
      <c r="AX805" s="3">
        <v>100.7548</v>
      </c>
      <c r="AY805" s="3">
        <v>101.4079</v>
      </c>
    </row>
    <row r="806" spans="1:51" x14ac:dyDescent="0.2">
      <c r="A806" s="74" t="s">
        <v>703</v>
      </c>
      <c r="B806" s="49">
        <v>42339</v>
      </c>
      <c r="D806" s="3">
        <v>100.7543</v>
      </c>
      <c r="F806" s="3">
        <v>100.1789</v>
      </c>
      <c r="G806" s="3">
        <v>99.725669999999994</v>
      </c>
      <c r="H806" s="3">
        <v>101.8167</v>
      </c>
      <c r="J806" s="3">
        <v>102.1416</v>
      </c>
      <c r="K806" s="3">
        <v>99.578879999999998</v>
      </c>
      <c r="L806" s="3">
        <v>100.3</v>
      </c>
      <c r="M806" s="3">
        <v>100.3155</v>
      </c>
      <c r="N806" s="3">
        <v>100.2495</v>
      </c>
      <c r="O806" s="3">
        <v>100.61</v>
      </c>
      <c r="P806" s="3">
        <v>101.2042</v>
      </c>
      <c r="Q806" s="3">
        <v>100.1168</v>
      </c>
      <c r="S806" s="3">
        <v>100.39</v>
      </c>
      <c r="T806" s="3">
        <v>100.4371</v>
      </c>
      <c r="V806" s="3">
        <v>100.5294</v>
      </c>
      <c r="W806" s="3">
        <v>101</v>
      </c>
      <c r="X806" s="3">
        <v>101.56529999999999</v>
      </c>
      <c r="Y806" s="3">
        <v>100.66030000000001</v>
      </c>
      <c r="AB806" s="3">
        <v>100.1529</v>
      </c>
      <c r="AC806" s="3">
        <v>101.0699</v>
      </c>
      <c r="AD806" s="3">
        <v>100.0168</v>
      </c>
      <c r="AE806" s="3">
        <v>99.933800000000005</v>
      </c>
      <c r="AF806" s="3">
        <v>100.3674</v>
      </c>
      <c r="AH806" s="3">
        <v>101.82</v>
      </c>
      <c r="AI806" s="3">
        <v>100.47</v>
      </c>
      <c r="AJ806" s="3">
        <v>100.46210000000001</v>
      </c>
      <c r="AK806" s="3">
        <v>101.12649999999999</v>
      </c>
      <c r="AL806" s="3">
        <v>100.01779999999999</v>
      </c>
      <c r="AM806" s="3">
        <v>101.35590000000001</v>
      </c>
      <c r="AN806" s="3">
        <v>100.721</v>
      </c>
      <c r="AO806" s="3">
        <v>100.8318</v>
      </c>
      <c r="AP806" s="3">
        <v>100.0652</v>
      </c>
      <c r="AQ806" s="3">
        <v>100.58459999999999</v>
      </c>
      <c r="AT806" s="3">
        <v>100.0954</v>
      </c>
      <c r="AU806" s="3">
        <v>100.32170000000001</v>
      </c>
      <c r="AV806" s="3">
        <v>100.64279999999999</v>
      </c>
      <c r="AW806" s="3">
        <v>104.0878</v>
      </c>
      <c r="AX806" s="3">
        <v>100.6326</v>
      </c>
      <c r="AY806" s="3">
        <v>101.5702</v>
      </c>
    </row>
    <row r="807" spans="1:51" x14ac:dyDescent="0.2">
      <c r="A807" s="3" t="s">
        <v>704</v>
      </c>
      <c r="B807" s="49">
        <v>42370</v>
      </c>
      <c r="D807" s="3">
        <v>101.05540000000001</v>
      </c>
      <c r="F807" s="3">
        <v>100.4927</v>
      </c>
      <c r="G807" s="3">
        <v>99.357839999999996</v>
      </c>
      <c r="H807" s="3">
        <v>102.6956</v>
      </c>
      <c r="J807" s="3">
        <v>102.9115</v>
      </c>
      <c r="K807" s="3">
        <v>100.0346</v>
      </c>
      <c r="L807" s="3">
        <v>100.8</v>
      </c>
      <c r="M807" s="3">
        <v>99.663409999999999</v>
      </c>
      <c r="N807" s="3">
        <v>99.802310000000006</v>
      </c>
      <c r="O807" s="3">
        <v>98.84</v>
      </c>
      <c r="P807" s="3">
        <v>99.24485</v>
      </c>
      <c r="Q807" s="3">
        <v>99.83305</v>
      </c>
      <c r="S807" s="3">
        <v>99.99</v>
      </c>
      <c r="T807" s="3">
        <v>99.327669999999998</v>
      </c>
      <c r="V807" s="3">
        <v>100.4783</v>
      </c>
      <c r="W807" s="3">
        <v>100.3</v>
      </c>
      <c r="X807" s="3">
        <v>99.00609</v>
      </c>
      <c r="Y807" s="3">
        <v>100.7748</v>
      </c>
      <c r="AB807" s="3">
        <v>99.495059999999995</v>
      </c>
      <c r="AC807" s="3">
        <v>100.3125</v>
      </c>
      <c r="AD807" s="3">
        <v>99.513660000000002</v>
      </c>
      <c r="AE807" s="3">
        <v>99.936890000000005</v>
      </c>
      <c r="AF807" s="3">
        <v>99.87912</v>
      </c>
      <c r="AH807" s="3">
        <v>101.15260000000001</v>
      </c>
      <c r="AI807" s="3">
        <v>99.19</v>
      </c>
      <c r="AJ807" s="3">
        <v>99.862039999999993</v>
      </c>
      <c r="AK807" s="3">
        <v>101.35169999999999</v>
      </c>
      <c r="AL807" s="3">
        <v>99.030720000000002</v>
      </c>
      <c r="AM807" s="3">
        <v>101.3214</v>
      </c>
      <c r="AN807" s="3">
        <v>100.6469</v>
      </c>
      <c r="AO807" s="3">
        <v>100.25660000000001</v>
      </c>
      <c r="AP807" s="3">
        <v>99.543580000000006</v>
      </c>
      <c r="AQ807" s="3">
        <v>99.227189999999993</v>
      </c>
      <c r="AT807" s="3">
        <v>100.307</v>
      </c>
      <c r="AU807" s="3">
        <v>98.841639999999998</v>
      </c>
      <c r="AV807" s="3">
        <v>99.734700000000004</v>
      </c>
      <c r="AW807" s="3">
        <v>105.2602</v>
      </c>
      <c r="AX807" s="3">
        <v>100.9418</v>
      </c>
      <c r="AY807" s="3">
        <v>102.32769999999999</v>
      </c>
    </row>
    <row r="808" spans="1:51" x14ac:dyDescent="0.2">
      <c r="A808" s="74" t="s">
        <v>705</v>
      </c>
      <c r="B808" s="49">
        <v>42401</v>
      </c>
      <c r="D808" s="3">
        <v>101.3079</v>
      </c>
      <c r="F808" s="3">
        <v>101.1135</v>
      </c>
      <c r="G808" s="3">
        <v>99.623890000000003</v>
      </c>
      <c r="H808" s="3">
        <v>103.11879999999999</v>
      </c>
      <c r="J808" s="3">
        <v>104.10129999999999</v>
      </c>
      <c r="K808" s="3">
        <v>100.41719999999999</v>
      </c>
      <c r="L808" s="3">
        <v>101</v>
      </c>
      <c r="M808" s="3">
        <v>100.0637</v>
      </c>
      <c r="N808" s="3">
        <v>100.687</v>
      </c>
      <c r="O808" s="3">
        <v>99.24</v>
      </c>
      <c r="P808" s="3">
        <v>99.333600000000004</v>
      </c>
      <c r="Q808" s="3">
        <v>100.6276</v>
      </c>
      <c r="S808" s="3">
        <v>100.34</v>
      </c>
      <c r="T808" s="3">
        <v>99.752520000000004</v>
      </c>
      <c r="V808" s="3">
        <v>100.8612</v>
      </c>
      <c r="W808" s="3">
        <v>100.6</v>
      </c>
      <c r="X808" s="3">
        <v>97.159739999999999</v>
      </c>
      <c r="Y808" s="3">
        <v>100.7998</v>
      </c>
      <c r="AB808" s="3">
        <v>100.3164</v>
      </c>
      <c r="AC808" s="3">
        <v>101.2486</v>
      </c>
      <c r="AD808" s="3">
        <v>99.312420000000003</v>
      </c>
      <c r="AE808" s="3">
        <v>99.81438</v>
      </c>
      <c r="AF808" s="3">
        <v>100.01220000000001</v>
      </c>
      <c r="AH808" s="3">
        <v>100.765</v>
      </c>
      <c r="AI808" s="3">
        <v>100.93</v>
      </c>
      <c r="AJ808" s="3">
        <v>99.950370000000007</v>
      </c>
      <c r="AK808" s="3">
        <v>101.72110000000001</v>
      </c>
      <c r="AL808" s="3">
        <v>99.710130000000007</v>
      </c>
      <c r="AM808" s="3">
        <v>102.0099</v>
      </c>
      <c r="AN808" s="3">
        <v>100.98820000000001</v>
      </c>
      <c r="AO808" s="3">
        <v>100.4764</v>
      </c>
      <c r="AP808" s="3">
        <v>99.543580000000006</v>
      </c>
      <c r="AQ808" s="3">
        <v>98.969579999999993</v>
      </c>
      <c r="AT808" s="3">
        <v>100.36069999999999</v>
      </c>
      <c r="AU808" s="3">
        <v>99.151650000000004</v>
      </c>
      <c r="AV808" s="3">
        <v>100.3982</v>
      </c>
      <c r="AW808" s="3">
        <v>105.4032</v>
      </c>
      <c r="AX808" s="3">
        <v>101.4174</v>
      </c>
      <c r="AY808" s="3">
        <v>103.6348</v>
      </c>
    </row>
    <row r="809" spans="1:51" x14ac:dyDescent="0.2">
      <c r="A809" s="74" t="s">
        <v>706</v>
      </c>
      <c r="B809" s="49">
        <v>42430</v>
      </c>
      <c r="D809" s="3">
        <v>101.73520000000001</v>
      </c>
      <c r="F809" s="3">
        <v>101.7178</v>
      </c>
      <c r="G809" s="3">
        <v>99.90401</v>
      </c>
      <c r="H809" s="3">
        <v>103.6397</v>
      </c>
      <c r="J809" s="3">
        <v>104.7779</v>
      </c>
      <c r="K809" s="3">
        <v>100.3707</v>
      </c>
      <c r="L809" s="3">
        <v>101</v>
      </c>
      <c r="M809" s="3">
        <v>100.7912</v>
      </c>
      <c r="N809" s="3">
        <v>100.8717</v>
      </c>
      <c r="O809" s="3">
        <v>100.8</v>
      </c>
      <c r="P809" s="3">
        <v>99.998149999999995</v>
      </c>
      <c r="Q809" s="3">
        <v>101.3087</v>
      </c>
      <c r="S809" s="3">
        <v>100.7</v>
      </c>
      <c r="T809" s="3">
        <v>100.4649</v>
      </c>
      <c r="V809" s="3">
        <v>101.2342</v>
      </c>
      <c r="W809" s="3">
        <v>101.1</v>
      </c>
      <c r="X809" s="3">
        <v>99.057370000000006</v>
      </c>
      <c r="Y809" s="3">
        <v>100.8922</v>
      </c>
      <c r="AB809" s="3">
        <v>100.75279999999999</v>
      </c>
      <c r="AC809" s="3">
        <v>101.6313</v>
      </c>
      <c r="AD809" s="3">
        <v>99.413049999999998</v>
      </c>
      <c r="AE809" s="3">
        <v>100.0938</v>
      </c>
      <c r="AF809" s="3">
        <v>100.2837</v>
      </c>
      <c r="AH809" s="3">
        <v>102.2483</v>
      </c>
      <c r="AI809" s="3">
        <v>100.85</v>
      </c>
      <c r="AJ809" s="3">
        <v>101.16330000000001</v>
      </c>
      <c r="AK809" s="3">
        <v>102.0573</v>
      </c>
      <c r="AL809" s="3">
        <v>100.8746</v>
      </c>
      <c r="AM809" s="3">
        <v>102.7782</v>
      </c>
      <c r="AN809" s="3">
        <v>101.3826</v>
      </c>
      <c r="AO809" s="3">
        <v>101.0565</v>
      </c>
      <c r="AP809" s="3">
        <v>99.543580000000006</v>
      </c>
      <c r="AQ809" s="3">
        <v>101.12949999999999</v>
      </c>
      <c r="AT809" s="3">
        <v>100.3296</v>
      </c>
      <c r="AU809" s="3">
        <v>100.07170000000001</v>
      </c>
      <c r="AV809" s="3">
        <v>100.80710000000001</v>
      </c>
      <c r="AW809" s="3">
        <v>105.8117</v>
      </c>
      <c r="AX809" s="3">
        <v>101.6972</v>
      </c>
      <c r="AY809" s="3">
        <v>104.7976</v>
      </c>
    </row>
    <row r="810" spans="1:51" x14ac:dyDescent="0.2">
      <c r="A810" s="74" t="s">
        <v>707</v>
      </c>
      <c r="B810" s="49">
        <v>42461</v>
      </c>
      <c r="D810" s="3">
        <v>101.7838</v>
      </c>
      <c r="F810" s="3">
        <v>101.84269999999999</v>
      </c>
      <c r="G810" s="3">
        <v>100.19799999999999</v>
      </c>
      <c r="H810" s="3">
        <v>103.9109</v>
      </c>
      <c r="J810" s="3">
        <v>105.3845</v>
      </c>
      <c r="K810" s="3">
        <v>100.376</v>
      </c>
      <c r="L810" s="3">
        <v>101.6</v>
      </c>
      <c r="M810" s="3">
        <v>100.7825</v>
      </c>
      <c r="N810" s="3">
        <v>100.852</v>
      </c>
      <c r="O810" s="3">
        <v>101.02</v>
      </c>
      <c r="P810" s="3">
        <v>100.9602</v>
      </c>
      <c r="Q810" s="3">
        <v>101.3087</v>
      </c>
      <c r="S810" s="3">
        <v>100.97</v>
      </c>
      <c r="T810" s="3">
        <v>100.5367</v>
      </c>
      <c r="V810" s="3">
        <v>101.4436</v>
      </c>
      <c r="W810" s="3">
        <v>101.2</v>
      </c>
      <c r="X810" s="3">
        <v>100.0069</v>
      </c>
      <c r="Y810" s="3">
        <v>101.354</v>
      </c>
      <c r="AB810" s="3">
        <v>100.8395</v>
      </c>
      <c r="AC810" s="3">
        <v>101.72410000000001</v>
      </c>
      <c r="AD810" s="3">
        <v>99.714910000000003</v>
      </c>
      <c r="AE810" s="3">
        <v>100.2141</v>
      </c>
      <c r="AF810" s="3">
        <v>100.6062</v>
      </c>
      <c r="AH810" s="3">
        <v>102.441</v>
      </c>
      <c r="AI810" s="3">
        <v>101.02</v>
      </c>
      <c r="AJ810" s="3">
        <v>101.3661</v>
      </c>
      <c r="AK810" s="3">
        <v>102.133</v>
      </c>
      <c r="AL810" s="3">
        <v>100.8963</v>
      </c>
      <c r="AM810" s="3">
        <v>102.8142</v>
      </c>
      <c r="AN810" s="3">
        <v>101.6623</v>
      </c>
      <c r="AO810" s="3">
        <v>101.3764</v>
      </c>
      <c r="AP810" s="3">
        <v>99.804389999999998</v>
      </c>
      <c r="AQ810" s="3">
        <v>101.1691</v>
      </c>
      <c r="AT810" s="3">
        <v>100.6289</v>
      </c>
      <c r="AU810" s="3">
        <v>100.46169999999999</v>
      </c>
      <c r="AV810" s="3">
        <v>100.7769</v>
      </c>
      <c r="AW810" s="3">
        <v>107.5928</v>
      </c>
      <c r="AX810" s="3">
        <v>101.959</v>
      </c>
      <c r="AY810" s="3">
        <v>105.0591</v>
      </c>
    </row>
    <row r="811" spans="1:51" x14ac:dyDescent="0.2">
      <c r="A811" s="74" t="s">
        <v>708</v>
      </c>
      <c r="B811" s="49">
        <v>42491</v>
      </c>
      <c r="D811" s="3">
        <v>101.9781</v>
      </c>
      <c r="F811" s="3">
        <v>102.1657</v>
      </c>
      <c r="G811" s="3">
        <v>100.16800000000001</v>
      </c>
      <c r="H811" s="3">
        <v>103.80240000000001</v>
      </c>
      <c r="J811" s="3">
        <v>105.8045</v>
      </c>
      <c r="K811" s="3">
        <v>100.4211</v>
      </c>
      <c r="L811" s="3">
        <v>101.6</v>
      </c>
      <c r="M811" s="3">
        <v>101.31780000000001</v>
      </c>
      <c r="N811" s="3">
        <v>100.91889999999999</v>
      </c>
      <c r="O811" s="3">
        <v>101.32</v>
      </c>
      <c r="P811" s="3">
        <v>101.3202</v>
      </c>
      <c r="Q811" s="3">
        <v>101.53570000000001</v>
      </c>
      <c r="S811" s="3">
        <v>100.98</v>
      </c>
      <c r="T811" s="3">
        <v>100.6498</v>
      </c>
      <c r="V811" s="3">
        <v>101.6759</v>
      </c>
      <c r="W811" s="3">
        <v>101.4</v>
      </c>
      <c r="X811" s="3">
        <v>99.064009999999996</v>
      </c>
      <c r="Y811" s="3">
        <v>101.4016</v>
      </c>
      <c r="AB811" s="3">
        <v>101.3094</v>
      </c>
      <c r="AC811" s="3">
        <v>102.06829999999999</v>
      </c>
      <c r="AD811" s="3">
        <v>99.916150000000002</v>
      </c>
      <c r="AE811" s="3">
        <v>100.46429999999999</v>
      </c>
      <c r="AF811" s="3">
        <v>100.6875</v>
      </c>
      <c r="AH811" s="3">
        <v>102.5412</v>
      </c>
      <c r="AI811" s="3">
        <v>101.13</v>
      </c>
      <c r="AJ811" s="3">
        <v>102.0641</v>
      </c>
      <c r="AK811" s="3">
        <v>102.252</v>
      </c>
      <c r="AL811" s="3">
        <v>101.0076</v>
      </c>
      <c r="AM811" s="3">
        <v>103.15770000000001</v>
      </c>
      <c r="AN811" s="3">
        <v>101.9049</v>
      </c>
      <c r="AO811" s="3">
        <v>101.70099999999999</v>
      </c>
      <c r="AP811" s="3">
        <v>99.804389999999998</v>
      </c>
      <c r="AQ811" s="3">
        <v>101.4465</v>
      </c>
      <c r="AT811" s="3">
        <v>100.5981</v>
      </c>
      <c r="AU811" s="3">
        <v>101.1217</v>
      </c>
      <c r="AV811" s="3">
        <v>100.91759999999999</v>
      </c>
      <c r="AW811" s="3">
        <v>108.9409</v>
      </c>
      <c r="AX811" s="3">
        <v>102.18680000000001</v>
      </c>
      <c r="AY811" s="3">
        <v>105.2226</v>
      </c>
    </row>
    <row r="812" spans="1:51" x14ac:dyDescent="0.2">
      <c r="A812" s="74" t="s">
        <v>709</v>
      </c>
      <c r="B812" s="49">
        <v>42522</v>
      </c>
      <c r="D812" s="3">
        <v>101.9295</v>
      </c>
      <c r="F812" s="3">
        <v>102.2577</v>
      </c>
      <c r="G812" s="3">
        <v>100.095</v>
      </c>
      <c r="H812" s="3">
        <v>104.128</v>
      </c>
      <c r="J812" s="3">
        <v>106.2944</v>
      </c>
      <c r="K812" s="3">
        <v>100.4121</v>
      </c>
      <c r="L812" s="3">
        <v>101.6</v>
      </c>
      <c r="M812" s="3">
        <v>101.3509</v>
      </c>
      <c r="N812" s="3">
        <v>100.9054</v>
      </c>
      <c r="O812" s="3">
        <v>101.37</v>
      </c>
      <c r="P812" s="3">
        <v>101.3706</v>
      </c>
      <c r="Q812" s="3">
        <v>101.53570000000001</v>
      </c>
      <c r="S812" s="3">
        <v>100.94</v>
      </c>
      <c r="T812" s="3">
        <v>100.7486</v>
      </c>
      <c r="V812" s="3">
        <v>101.73779999999999</v>
      </c>
      <c r="W812" s="3">
        <v>101.5</v>
      </c>
      <c r="X812" s="3">
        <v>100.1152</v>
      </c>
      <c r="Y812" s="3">
        <v>101.5737</v>
      </c>
      <c r="AB812" s="3">
        <v>101.97110000000001</v>
      </c>
      <c r="AC812" s="3">
        <v>102.2794</v>
      </c>
      <c r="AD812" s="3">
        <v>100.41930000000001</v>
      </c>
      <c r="AE812" s="3">
        <v>100.46639999999999</v>
      </c>
      <c r="AF812" s="3">
        <v>100.56399999999999</v>
      </c>
      <c r="AH812" s="3">
        <v>102.934</v>
      </c>
      <c r="AI812" s="3">
        <v>101.24</v>
      </c>
      <c r="AJ812" s="3">
        <v>102.1264</v>
      </c>
      <c r="AK812" s="3">
        <v>102.4868</v>
      </c>
      <c r="AL812" s="3">
        <v>100.512</v>
      </c>
      <c r="AM812" s="3">
        <v>103.47110000000001</v>
      </c>
      <c r="AN812" s="3">
        <v>101.98690000000001</v>
      </c>
      <c r="AO812" s="3">
        <v>101.776</v>
      </c>
      <c r="AP812" s="3">
        <v>99.891329999999996</v>
      </c>
      <c r="AQ812" s="3">
        <v>101.2385</v>
      </c>
      <c r="AT812" s="3">
        <v>100.5979</v>
      </c>
      <c r="AU812" s="3">
        <v>101.5917</v>
      </c>
      <c r="AV812" s="3">
        <v>100.9813</v>
      </c>
      <c r="AW812" s="3">
        <v>109.20229999999999</v>
      </c>
      <c r="AX812" s="3">
        <v>102.29</v>
      </c>
      <c r="AY812" s="3">
        <v>105.6113</v>
      </c>
    </row>
    <row r="813" spans="1:51" x14ac:dyDescent="0.2">
      <c r="A813" s="74" t="s">
        <v>710</v>
      </c>
      <c r="B813" s="49">
        <v>42552</v>
      </c>
      <c r="D813" s="3">
        <v>102.2403</v>
      </c>
      <c r="F813" s="3">
        <v>102.27460000000001</v>
      </c>
      <c r="G813" s="3">
        <v>99.621039999999994</v>
      </c>
      <c r="H813" s="3">
        <v>104.23650000000001</v>
      </c>
      <c r="J813" s="3">
        <v>106.586</v>
      </c>
      <c r="K813" s="3">
        <v>100.636</v>
      </c>
      <c r="L813" s="3">
        <v>102</v>
      </c>
      <c r="M813" s="3">
        <v>101.94280000000001</v>
      </c>
      <c r="N813" s="3">
        <v>101.01739999999999</v>
      </c>
      <c r="O813" s="3">
        <v>100.8</v>
      </c>
      <c r="P813" s="3">
        <v>100.2573</v>
      </c>
      <c r="Q813" s="3">
        <v>101.1952</v>
      </c>
      <c r="S813" s="3">
        <v>100.9</v>
      </c>
      <c r="T813" s="3">
        <v>100.3656</v>
      </c>
      <c r="V813" s="3">
        <v>101.7436</v>
      </c>
      <c r="W813" s="3">
        <v>101.5</v>
      </c>
      <c r="X813" s="3">
        <v>97.456469999999996</v>
      </c>
      <c r="Y813" s="3">
        <v>101.7191</v>
      </c>
      <c r="AB813" s="3">
        <v>101.8631</v>
      </c>
      <c r="AC813" s="3">
        <v>101.724</v>
      </c>
      <c r="AD813" s="3">
        <v>100.72110000000001</v>
      </c>
      <c r="AE813" s="3">
        <v>100.8985</v>
      </c>
      <c r="AF813" s="3">
        <v>100.2817</v>
      </c>
      <c r="AH813" s="3">
        <v>102.41379999999999</v>
      </c>
      <c r="AI813" s="3">
        <v>99.95</v>
      </c>
      <c r="AJ813" s="3">
        <v>101.9012</v>
      </c>
      <c r="AK813" s="3">
        <v>102.8381</v>
      </c>
      <c r="AL813" s="3">
        <v>101.4119</v>
      </c>
      <c r="AM813" s="3">
        <v>103.8507</v>
      </c>
      <c r="AN813" s="3">
        <v>102.0125</v>
      </c>
      <c r="AO813" s="3">
        <v>101.83029999999999</v>
      </c>
      <c r="AP813" s="3">
        <v>99.891329999999996</v>
      </c>
      <c r="AQ813" s="3">
        <v>100.4954</v>
      </c>
      <c r="AT813" s="3">
        <v>100.559</v>
      </c>
      <c r="AU813" s="3">
        <v>100.49169999999999</v>
      </c>
      <c r="AV813" s="3">
        <v>100.9746</v>
      </c>
      <c r="AW813" s="3">
        <v>110.0275</v>
      </c>
      <c r="AX813" s="3">
        <v>102.2694</v>
      </c>
      <c r="AY813" s="3">
        <v>106.1803</v>
      </c>
    </row>
    <row r="814" spans="1:51" x14ac:dyDescent="0.2">
      <c r="A814" s="74" t="s">
        <v>711</v>
      </c>
      <c r="B814" s="49">
        <v>42583</v>
      </c>
      <c r="D814" s="3">
        <v>102.3665</v>
      </c>
      <c r="F814" s="3">
        <v>102.26860000000001</v>
      </c>
      <c r="G814" s="3">
        <v>99.526910000000001</v>
      </c>
      <c r="H814" s="3">
        <v>104.33410000000001</v>
      </c>
      <c r="J814" s="3">
        <v>106.79600000000001</v>
      </c>
      <c r="K814" s="3">
        <v>100.7816</v>
      </c>
      <c r="L814" s="3">
        <v>102</v>
      </c>
      <c r="M814" s="3">
        <v>101.9833</v>
      </c>
      <c r="N814" s="3">
        <v>100.6888</v>
      </c>
      <c r="O814" s="3">
        <v>101.04</v>
      </c>
      <c r="P814" s="3">
        <v>100.63549999999999</v>
      </c>
      <c r="Q814" s="3">
        <v>101.7627</v>
      </c>
      <c r="S814" s="3">
        <v>101.19</v>
      </c>
      <c r="T814" s="3">
        <v>100.9102</v>
      </c>
      <c r="V814" s="3">
        <v>101.9663</v>
      </c>
      <c r="W814" s="3">
        <v>101.8</v>
      </c>
      <c r="X814" s="3">
        <v>96.933620000000005</v>
      </c>
      <c r="Y814" s="3">
        <v>101.75660000000001</v>
      </c>
      <c r="AB814" s="3">
        <v>101.8862</v>
      </c>
      <c r="AC814" s="3">
        <v>102.27030000000001</v>
      </c>
      <c r="AD814" s="3">
        <v>100.51990000000001</v>
      </c>
      <c r="AE814" s="3">
        <v>101.1765</v>
      </c>
      <c r="AF814" s="3">
        <v>100.4871</v>
      </c>
      <c r="AH814" s="3">
        <v>102.1176</v>
      </c>
      <c r="AI814" s="3">
        <v>101.49</v>
      </c>
      <c r="AJ814" s="3">
        <v>101.6966</v>
      </c>
      <c r="AK814" s="3">
        <v>103.0116</v>
      </c>
      <c r="AL814" s="3">
        <v>101.57559999999999</v>
      </c>
      <c r="AM814" s="3">
        <v>103.4387</v>
      </c>
      <c r="AN814" s="3">
        <v>102.2029</v>
      </c>
      <c r="AO814" s="3">
        <v>102.0193</v>
      </c>
      <c r="AP814" s="3">
        <v>99.804389999999998</v>
      </c>
      <c r="AQ814" s="3">
        <v>100.1387</v>
      </c>
      <c r="AT814" s="3">
        <v>100.548</v>
      </c>
      <c r="AU814" s="3">
        <v>100.8017</v>
      </c>
      <c r="AV814" s="3">
        <v>100.90089999999999</v>
      </c>
      <c r="AW814" s="3">
        <v>110.3747</v>
      </c>
      <c r="AX814" s="3">
        <v>102.4898</v>
      </c>
      <c r="AY814" s="3">
        <v>106.4314</v>
      </c>
    </row>
    <row r="815" spans="1:51" x14ac:dyDescent="0.2">
      <c r="A815" s="74" t="s">
        <v>712</v>
      </c>
      <c r="B815" s="49">
        <v>42614</v>
      </c>
      <c r="D815" s="3">
        <v>102.17230000000001</v>
      </c>
      <c r="F815" s="3">
        <v>102.6651</v>
      </c>
      <c r="G815" s="3">
        <v>99.591679999999997</v>
      </c>
      <c r="H815" s="3">
        <v>104.35590000000001</v>
      </c>
      <c r="J815" s="3">
        <v>107.1343</v>
      </c>
      <c r="K815" s="3">
        <v>100.8861</v>
      </c>
      <c r="L815" s="3">
        <v>101.7</v>
      </c>
      <c r="M815" s="3">
        <v>101.8887</v>
      </c>
      <c r="N815" s="3">
        <v>100.6589</v>
      </c>
      <c r="O815" s="3">
        <v>101.51</v>
      </c>
      <c r="P815" s="3">
        <v>100.6516</v>
      </c>
      <c r="Q815" s="3">
        <v>102.21680000000001</v>
      </c>
      <c r="S815" s="3">
        <v>101.33</v>
      </c>
      <c r="T815" s="3">
        <v>100.6245</v>
      </c>
      <c r="V815" s="3">
        <v>102.0488</v>
      </c>
      <c r="W815" s="3">
        <v>102.1</v>
      </c>
      <c r="X815" s="3">
        <v>99.815129999999996</v>
      </c>
      <c r="Y815" s="3">
        <v>101.6583</v>
      </c>
      <c r="AB815" s="3">
        <v>101.3549</v>
      </c>
      <c r="AC815" s="3">
        <v>102.95829999999999</v>
      </c>
      <c r="AD815" s="3">
        <v>100.218</v>
      </c>
      <c r="AE815" s="3">
        <v>100.7529</v>
      </c>
      <c r="AF815" s="3">
        <v>100.4162</v>
      </c>
      <c r="AH815" s="3">
        <v>102.6863</v>
      </c>
      <c r="AI815" s="3">
        <v>101.4</v>
      </c>
      <c r="AJ815" s="3">
        <v>102.1044</v>
      </c>
      <c r="AK815" s="3">
        <v>103.44370000000001</v>
      </c>
      <c r="AL815" s="3">
        <v>101.1938</v>
      </c>
      <c r="AM815" s="3">
        <v>103.8629</v>
      </c>
      <c r="AN815" s="3">
        <v>102.3078</v>
      </c>
      <c r="AO815" s="3">
        <v>102.03319999999999</v>
      </c>
      <c r="AP815" s="3">
        <v>99.630520000000004</v>
      </c>
      <c r="AQ815" s="3">
        <v>101.2187</v>
      </c>
      <c r="AT815" s="3">
        <v>100.64190000000001</v>
      </c>
      <c r="AU815" s="3">
        <v>100.71169999999999</v>
      </c>
      <c r="AV815" s="3">
        <v>101.15560000000001</v>
      </c>
      <c r="AW815" s="3">
        <v>110.4973</v>
      </c>
      <c r="AX815" s="3">
        <v>102.6768</v>
      </c>
      <c r="AY815" s="3">
        <v>106.795</v>
      </c>
    </row>
    <row r="816" spans="1:51" x14ac:dyDescent="0.2">
      <c r="A816" s="74" t="s">
        <v>713</v>
      </c>
      <c r="B816" s="49">
        <v>42644</v>
      </c>
      <c r="D816" s="3">
        <v>102.2694</v>
      </c>
      <c r="F816" s="3">
        <v>102.8446</v>
      </c>
      <c r="G816" s="3">
        <v>99.605140000000006</v>
      </c>
      <c r="H816" s="3">
        <v>104.55119999999999</v>
      </c>
      <c r="J816" s="3">
        <v>107.30929999999999</v>
      </c>
      <c r="K816" s="3">
        <v>100.81180000000001</v>
      </c>
      <c r="L816" s="3">
        <v>102.1</v>
      </c>
      <c r="M816" s="3">
        <v>101.9686</v>
      </c>
      <c r="N816" s="3">
        <v>100.845</v>
      </c>
      <c r="O816" s="3">
        <v>101.62</v>
      </c>
      <c r="P816" s="3">
        <v>101.6913</v>
      </c>
      <c r="Q816" s="3">
        <v>101.81950000000001</v>
      </c>
      <c r="S816" s="3">
        <v>101.39</v>
      </c>
      <c r="T816" s="3">
        <v>100.5587</v>
      </c>
      <c r="V816" s="3">
        <v>102.1951</v>
      </c>
      <c r="W816" s="3">
        <v>102.2</v>
      </c>
      <c r="X816" s="3">
        <v>99.78407</v>
      </c>
      <c r="Y816" s="3">
        <v>101.9486</v>
      </c>
      <c r="AB816" s="3">
        <v>100.67489999999999</v>
      </c>
      <c r="AC816" s="3">
        <v>103.09820000000001</v>
      </c>
      <c r="AD816" s="3">
        <v>100.41930000000001</v>
      </c>
      <c r="AE816" s="3">
        <v>100.5386</v>
      </c>
      <c r="AF816" s="3">
        <v>100.6448</v>
      </c>
      <c r="AH816" s="3">
        <v>103.2689</v>
      </c>
      <c r="AI816" s="3">
        <v>101.34</v>
      </c>
      <c r="AJ816" s="3">
        <v>102.53700000000001</v>
      </c>
      <c r="AK816" s="3">
        <v>103.68429999999999</v>
      </c>
      <c r="AL816" s="3">
        <v>101.4054</v>
      </c>
      <c r="AM816" s="3">
        <v>104.1846</v>
      </c>
      <c r="AN816" s="3">
        <v>102.5339</v>
      </c>
      <c r="AO816" s="3">
        <v>102.2985</v>
      </c>
      <c r="AP816" s="3">
        <v>100.0652</v>
      </c>
      <c r="AQ816" s="3">
        <v>101.5258</v>
      </c>
      <c r="AT816" s="3">
        <v>100.8861</v>
      </c>
      <c r="AU816" s="3">
        <v>101.2617</v>
      </c>
      <c r="AV816" s="3">
        <v>101.246</v>
      </c>
      <c r="AW816" s="3">
        <v>112.02509999999999</v>
      </c>
      <c r="AX816" s="3">
        <v>102.8779</v>
      </c>
      <c r="AY816" s="3">
        <v>107.0774</v>
      </c>
    </row>
    <row r="817" spans="1:51" x14ac:dyDescent="0.2">
      <c r="A817" s="74" t="s">
        <v>714</v>
      </c>
      <c r="B817" s="49">
        <v>42675</v>
      </c>
      <c r="D817" s="3">
        <v>102.3374</v>
      </c>
      <c r="F817" s="3">
        <v>102.49</v>
      </c>
      <c r="G817" s="3">
        <v>99.42174</v>
      </c>
      <c r="H817" s="3">
        <v>104.58369999999999</v>
      </c>
      <c r="J817" s="3">
        <v>107.4376</v>
      </c>
      <c r="K817" s="3">
        <v>100.73739999999999</v>
      </c>
      <c r="L817" s="3">
        <v>102</v>
      </c>
      <c r="M817" s="3">
        <v>101.0902</v>
      </c>
      <c r="N817" s="3">
        <v>100.6057</v>
      </c>
      <c r="O817" s="3">
        <v>101.04</v>
      </c>
      <c r="P817" s="3">
        <v>102.2671</v>
      </c>
      <c r="Q817" s="3">
        <v>101.4222</v>
      </c>
      <c r="S817" s="3">
        <v>101.32</v>
      </c>
      <c r="T817" s="3">
        <v>100.4106</v>
      </c>
      <c r="V817" s="3">
        <v>102.0865</v>
      </c>
      <c r="W817" s="3">
        <v>102.4</v>
      </c>
      <c r="X817" s="3">
        <v>98.296419999999998</v>
      </c>
      <c r="Y817" s="3">
        <v>102.08240000000001</v>
      </c>
      <c r="AB817" s="3">
        <v>100.5855</v>
      </c>
      <c r="AC817" s="3">
        <v>103.2102</v>
      </c>
      <c r="AD817" s="3">
        <v>100.0168</v>
      </c>
      <c r="AE817" s="3">
        <v>100.2557</v>
      </c>
      <c r="AF817" s="3">
        <v>100.57689999999999</v>
      </c>
      <c r="AH817" s="3">
        <v>103.5231</v>
      </c>
      <c r="AI817" s="3">
        <v>101.46</v>
      </c>
      <c r="AJ817" s="3">
        <v>102.232</v>
      </c>
      <c r="AK817" s="3">
        <v>103.9002</v>
      </c>
      <c r="AL817" s="3">
        <v>100.9853</v>
      </c>
      <c r="AM817" s="3">
        <v>104.0719</v>
      </c>
      <c r="AN817" s="3">
        <v>102.4884</v>
      </c>
      <c r="AO817" s="3">
        <v>102.19450000000001</v>
      </c>
      <c r="AP817" s="3">
        <v>100.0652</v>
      </c>
      <c r="AQ817" s="3">
        <v>101.19889999999999</v>
      </c>
      <c r="AT817" s="3">
        <v>100.9897</v>
      </c>
      <c r="AU817" s="3">
        <v>101.4117</v>
      </c>
      <c r="AV817" s="3">
        <v>101.1824</v>
      </c>
      <c r="AW817" s="3">
        <v>112.91970000000001</v>
      </c>
      <c r="AX817" s="3">
        <v>102.88160000000001</v>
      </c>
      <c r="AY817" s="3">
        <v>107.1003</v>
      </c>
    </row>
    <row r="818" spans="1:51" x14ac:dyDescent="0.2">
      <c r="A818" s="74" t="s">
        <v>715</v>
      </c>
      <c r="B818" s="49">
        <v>42705</v>
      </c>
      <c r="D818" s="3">
        <v>102.3374</v>
      </c>
      <c r="F818" s="3">
        <v>102.1267</v>
      </c>
      <c r="G818" s="3">
        <v>99.377089999999995</v>
      </c>
      <c r="H818" s="3">
        <v>104.6922</v>
      </c>
      <c r="J818" s="3">
        <v>107.8109</v>
      </c>
      <c r="K818" s="3">
        <v>100.8467</v>
      </c>
      <c r="L818" s="3">
        <v>102.1</v>
      </c>
      <c r="M818" s="3">
        <v>101.6332</v>
      </c>
      <c r="N818" s="3">
        <v>100.34</v>
      </c>
      <c r="O818" s="3">
        <v>101.47</v>
      </c>
      <c r="P818" s="3">
        <v>102.38809999999999</v>
      </c>
      <c r="Q818" s="3">
        <v>101.4222</v>
      </c>
      <c r="S818" s="3">
        <v>101.45</v>
      </c>
      <c r="T818" s="3">
        <v>100.6754</v>
      </c>
      <c r="V818" s="3">
        <v>102.13500000000001</v>
      </c>
      <c r="W818" s="3">
        <v>102.8</v>
      </c>
      <c r="X818" s="3">
        <v>99.700720000000004</v>
      </c>
      <c r="Y818" s="3">
        <v>102.13339999999999</v>
      </c>
      <c r="AB818" s="3">
        <v>100.49809999999999</v>
      </c>
      <c r="AC818" s="3">
        <v>103.4235</v>
      </c>
      <c r="AD818" s="3">
        <v>100.1174</v>
      </c>
      <c r="AE818" s="3">
        <v>100.61360000000001</v>
      </c>
      <c r="AF818" s="3">
        <v>100.3574</v>
      </c>
      <c r="AH818" s="3">
        <v>103.3402</v>
      </c>
      <c r="AI818" s="3">
        <v>101.43</v>
      </c>
      <c r="AJ818" s="3">
        <v>102.3128</v>
      </c>
      <c r="AK818" s="3">
        <v>104.3172</v>
      </c>
      <c r="AL818" s="3">
        <v>100.97580000000001</v>
      </c>
      <c r="AM818" s="3">
        <v>104.13939999999999</v>
      </c>
      <c r="AN818" s="3">
        <v>102.602</v>
      </c>
      <c r="AO818" s="3">
        <v>102.5608</v>
      </c>
      <c r="AP818" s="3">
        <v>100.1521</v>
      </c>
      <c r="AQ818" s="3">
        <v>101.0998</v>
      </c>
      <c r="AT818" s="3">
        <v>100.9158</v>
      </c>
      <c r="AU818" s="3">
        <v>100.68170000000001</v>
      </c>
      <c r="AV818" s="3">
        <v>101.6917</v>
      </c>
      <c r="AW818" s="3">
        <v>113.9819</v>
      </c>
      <c r="AX818" s="3">
        <v>102.8432</v>
      </c>
      <c r="AY818" s="3">
        <v>107.601</v>
      </c>
    </row>
    <row r="819" spans="1:51" x14ac:dyDescent="0.2">
      <c r="A819" s="3" t="s">
        <v>716</v>
      </c>
      <c r="B819" s="49">
        <v>42736</v>
      </c>
      <c r="D819" s="3">
        <v>102.73560000000001</v>
      </c>
      <c r="F819" s="3">
        <v>102.78189999999999</v>
      </c>
      <c r="G819" s="3">
        <v>99.12433</v>
      </c>
      <c r="H819" s="3">
        <v>105.23480000000001</v>
      </c>
      <c r="J819" s="3">
        <v>108.7675</v>
      </c>
      <c r="K819" s="3">
        <v>101.2119</v>
      </c>
      <c r="L819" s="3">
        <v>102.7</v>
      </c>
      <c r="M819" s="3">
        <v>100.67619999999999</v>
      </c>
      <c r="N819" s="3">
        <v>100.28749999999999</v>
      </c>
      <c r="O819" s="3">
        <v>99.7</v>
      </c>
      <c r="P819" s="3">
        <v>100.4751</v>
      </c>
      <c r="Q819" s="3">
        <v>101.36539999999999</v>
      </c>
      <c r="S819" s="3">
        <v>100.8</v>
      </c>
      <c r="T819" s="3">
        <v>99.840549999999993</v>
      </c>
      <c r="V819" s="3">
        <v>102.1433</v>
      </c>
      <c r="W819" s="3">
        <v>102.1</v>
      </c>
      <c r="X819" s="3">
        <v>97.191419999999994</v>
      </c>
      <c r="Y819" s="3">
        <v>102.2073</v>
      </c>
      <c r="AB819" s="3">
        <v>99.633369999999999</v>
      </c>
      <c r="AC819" s="3">
        <v>102.441</v>
      </c>
      <c r="AD819" s="3">
        <v>99.513660000000002</v>
      </c>
      <c r="AE819" s="3">
        <v>100.4507</v>
      </c>
      <c r="AF819" s="3">
        <v>100.0427</v>
      </c>
      <c r="AH819" s="3">
        <v>102.94629999999999</v>
      </c>
      <c r="AI819" s="3">
        <v>100.32</v>
      </c>
      <c r="AJ819" s="3">
        <v>101.4483</v>
      </c>
      <c r="AK819" s="3">
        <v>104.9278</v>
      </c>
      <c r="AL819" s="3">
        <v>100.4014</v>
      </c>
      <c r="AM819" s="3">
        <v>103.7402</v>
      </c>
      <c r="AN819" s="3">
        <v>102.599</v>
      </c>
      <c r="AO819" s="3">
        <v>101.96550000000001</v>
      </c>
      <c r="AP819" s="3">
        <v>99.891329999999996</v>
      </c>
      <c r="AQ819" s="3">
        <v>99.732489999999999</v>
      </c>
      <c r="AT819" s="3">
        <v>101.24420000000001</v>
      </c>
      <c r="AU819" s="3">
        <v>99.031649999999999</v>
      </c>
      <c r="AV819" s="3">
        <v>100.54900000000001</v>
      </c>
      <c r="AW819" s="3">
        <v>115.1747</v>
      </c>
      <c r="AX819" s="3">
        <v>103.2349</v>
      </c>
      <c r="AY819" s="3">
        <v>107.85129999999999</v>
      </c>
    </row>
    <row r="820" spans="1:51" x14ac:dyDescent="0.2">
      <c r="A820" s="74" t="s">
        <v>717</v>
      </c>
      <c r="B820" s="49">
        <v>42767</v>
      </c>
      <c r="D820" s="3">
        <v>102.9104</v>
      </c>
      <c r="F820" s="3">
        <v>103.3145</v>
      </c>
      <c r="G820" s="3">
        <v>99.553240000000002</v>
      </c>
      <c r="H820" s="3">
        <v>105.41930000000001</v>
      </c>
      <c r="J820" s="3">
        <v>110.15560000000001</v>
      </c>
      <c r="K820" s="3">
        <v>101.56180000000001</v>
      </c>
      <c r="L820" s="3">
        <v>103</v>
      </c>
      <c r="M820" s="3">
        <v>101.14570000000001</v>
      </c>
      <c r="N820" s="3">
        <v>101.1007</v>
      </c>
      <c r="O820" s="3">
        <v>100.07</v>
      </c>
      <c r="P820" s="3">
        <v>100.4903</v>
      </c>
      <c r="Q820" s="3">
        <v>102.4438</v>
      </c>
      <c r="S820" s="3">
        <v>101.14</v>
      </c>
      <c r="T820" s="3">
        <v>99.940399999999997</v>
      </c>
      <c r="V820" s="3">
        <v>102.4914</v>
      </c>
      <c r="W820" s="3">
        <v>102.7</v>
      </c>
      <c r="X820" s="3">
        <v>96.728049999999996</v>
      </c>
      <c r="Y820" s="3">
        <v>102.3669</v>
      </c>
      <c r="AB820" s="3">
        <v>100.49339999999999</v>
      </c>
      <c r="AC820" s="3">
        <v>103.3143</v>
      </c>
      <c r="AD820" s="3">
        <v>99.312420000000003</v>
      </c>
      <c r="AE820" s="3">
        <v>100.57769999999999</v>
      </c>
      <c r="AF820" s="3">
        <v>99.894919999999999</v>
      </c>
      <c r="AH820" s="3">
        <v>102.95310000000001</v>
      </c>
      <c r="AI820" s="3">
        <v>101.94</v>
      </c>
      <c r="AJ820" s="3">
        <v>101.45480000000001</v>
      </c>
      <c r="AK820" s="3">
        <v>105.6703</v>
      </c>
      <c r="AL820" s="3">
        <v>101.03789999999999</v>
      </c>
      <c r="AM820" s="3">
        <v>103.9796</v>
      </c>
      <c r="AN820" s="3">
        <v>102.962</v>
      </c>
      <c r="AO820" s="3">
        <v>102.31019999999999</v>
      </c>
      <c r="AP820" s="3">
        <v>99.978260000000006</v>
      </c>
      <c r="AQ820" s="3">
        <v>99.564059999999998</v>
      </c>
      <c r="AT820" s="3">
        <v>101.5896</v>
      </c>
      <c r="AU820" s="3">
        <v>100.1717</v>
      </c>
      <c r="AV820" s="3">
        <v>101.2997</v>
      </c>
      <c r="AW820" s="3">
        <v>115.9631</v>
      </c>
      <c r="AX820" s="3">
        <v>103.6725</v>
      </c>
      <c r="AY820" s="3">
        <v>109.1604</v>
      </c>
    </row>
    <row r="821" spans="1:51" x14ac:dyDescent="0.2">
      <c r="A821" s="74" t="s">
        <v>718</v>
      </c>
      <c r="B821" s="49">
        <v>42795</v>
      </c>
      <c r="D821" s="3">
        <v>103.0367</v>
      </c>
      <c r="F821" s="3">
        <v>103.58759999999999</v>
      </c>
      <c r="G821" s="3">
        <v>100.042</v>
      </c>
      <c r="H821" s="3">
        <v>105.8642</v>
      </c>
      <c r="J821" s="3">
        <v>110.8206</v>
      </c>
      <c r="K821" s="3">
        <v>101.4761</v>
      </c>
      <c r="L821" s="3">
        <v>103.1</v>
      </c>
      <c r="M821" s="3">
        <v>101.724</v>
      </c>
      <c r="N821" s="3">
        <v>101.41379999999999</v>
      </c>
      <c r="O821" s="3">
        <v>101.5</v>
      </c>
      <c r="P821" s="3">
        <v>101.0177</v>
      </c>
      <c r="Q821" s="3">
        <v>102.8978</v>
      </c>
      <c r="S821" s="3">
        <v>101.37</v>
      </c>
      <c r="T821" s="3">
        <v>100.8682</v>
      </c>
      <c r="V821" s="3">
        <v>102.6987</v>
      </c>
      <c r="W821" s="3">
        <v>103</v>
      </c>
      <c r="X821" s="3">
        <v>99.533820000000006</v>
      </c>
      <c r="Y821" s="3">
        <v>102.39870000000001</v>
      </c>
      <c r="AB821" s="3">
        <v>101.22709999999999</v>
      </c>
      <c r="AC821" s="3">
        <v>103.6673</v>
      </c>
      <c r="AD821" s="3">
        <v>99.714910000000003</v>
      </c>
      <c r="AE821" s="3">
        <v>100.8241</v>
      </c>
      <c r="AF821" s="3">
        <v>100.02119999999999</v>
      </c>
      <c r="AH821" s="3">
        <v>105.0917</v>
      </c>
      <c r="AI821" s="3">
        <v>102.04</v>
      </c>
      <c r="AJ821" s="3">
        <v>103.0951</v>
      </c>
      <c r="AK821" s="3">
        <v>106.19540000000001</v>
      </c>
      <c r="AL821" s="3">
        <v>101.5086</v>
      </c>
      <c r="AM821" s="3">
        <v>104.5167</v>
      </c>
      <c r="AN821" s="3">
        <v>103.264</v>
      </c>
      <c r="AO821" s="3">
        <v>102.9166</v>
      </c>
      <c r="AP821" s="3">
        <v>100.1521</v>
      </c>
      <c r="AQ821" s="3">
        <v>101.7933</v>
      </c>
      <c r="AT821" s="3">
        <v>101.64060000000001</v>
      </c>
      <c r="AU821" s="3">
        <v>100.8717</v>
      </c>
      <c r="AV821" s="3">
        <v>101.45050000000001</v>
      </c>
      <c r="AW821" s="3">
        <v>117.22539999999999</v>
      </c>
      <c r="AX821" s="3">
        <v>103.7332</v>
      </c>
      <c r="AY821" s="3">
        <v>109.7856</v>
      </c>
    </row>
    <row r="822" spans="1:51" x14ac:dyDescent="0.2">
      <c r="A822" s="74" t="s">
        <v>719</v>
      </c>
      <c r="B822" s="49">
        <v>42826</v>
      </c>
      <c r="D822" s="3">
        <v>103.44459999999999</v>
      </c>
      <c r="F822" s="3">
        <v>103.5167</v>
      </c>
      <c r="G822" s="3">
        <v>100.3462</v>
      </c>
      <c r="H822" s="3">
        <v>106.0703</v>
      </c>
      <c r="J822" s="3">
        <v>111.4272</v>
      </c>
      <c r="K822" s="3">
        <v>101.74590000000001</v>
      </c>
      <c r="L822" s="3">
        <v>103.3</v>
      </c>
      <c r="M822" s="3">
        <v>102.193</v>
      </c>
      <c r="N822" s="3">
        <v>101.6904</v>
      </c>
      <c r="O822" s="3">
        <v>102.29</v>
      </c>
      <c r="P822" s="3">
        <v>102.4426</v>
      </c>
      <c r="Q822" s="3">
        <v>103.29510000000001</v>
      </c>
      <c r="S822" s="3">
        <v>101.71</v>
      </c>
      <c r="T822" s="3">
        <v>101.02419999999999</v>
      </c>
      <c r="V822" s="3">
        <v>102.9554</v>
      </c>
      <c r="W822" s="3">
        <v>103.6</v>
      </c>
      <c r="X822" s="3">
        <v>100.4379</v>
      </c>
      <c r="Y822" s="3">
        <v>102.9194</v>
      </c>
      <c r="AB822" s="3">
        <v>101.7893</v>
      </c>
      <c r="AC822" s="3">
        <v>104.4029</v>
      </c>
      <c r="AD822" s="3">
        <v>100.0168</v>
      </c>
      <c r="AE822" s="3">
        <v>101.43989999999999</v>
      </c>
      <c r="AF822" s="3">
        <v>100.4235</v>
      </c>
      <c r="AH822" s="3">
        <v>106.4413</v>
      </c>
      <c r="AI822" s="3">
        <v>102.36</v>
      </c>
      <c r="AJ822" s="3">
        <v>103.8503</v>
      </c>
      <c r="AK822" s="3">
        <v>106.6354</v>
      </c>
      <c r="AL822" s="3">
        <v>102.1097</v>
      </c>
      <c r="AM822" s="3">
        <v>105.2372</v>
      </c>
      <c r="AN822" s="3">
        <v>103.6444</v>
      </c>
      <c r="AO822" s="3">
        <v>103.5993</v>
      </c>
      <c r="AP822" s="3">
        <v>100.7607</v>
      </c>
      <c r="AQ822" s="3">
        <v>102.8931</v>
      </c>
      <c r="AT822" s="3">
        <v>101.7401</v>
      </c>
      <c r="AU822" s="3">
        <v>101.71169999999999</v>
      </c>
      <c r="AV822" s="3">
        <v>102.20780000000001</v>
      </c>
      <c r="AW822" s="3">
        <v>119.2189</v>
      </c>
      <c r="AX822" s="3">
        <v>103.8785</v>
      </c>
      <c r="AY822" s="3">
        <v>110.0479</v>
      </c>
    </row>
    <row r="823" spans="1:51" x14ac:dyDescent="0.2">
      <c r="A823" s="74" t="s">
        <v>720</v>
      </c>
      <c r="B823" s="49">
        <v>42856</v>
      </c>
      <c r="D823" s="3">
        <v>103.4932</v>
      </c>
      <c r="F823" s="3">
        <v>103.87179999999999</v>
      </c>
      <c r="G823" s="3">
        <v>100.4525</v>
      </c>
      <c r="H823" s="3">
        <v>106.4067</v>
      </c>
      <c r="J823" s="3">
        <v>111.6955</v>
      </c>
      <c r="K823" s="3">
        <v>101.9962</v>
      </c>
      <c r="L823" s="3">
        <v>103.5</v>
      </c>
      <c r="M823" s="3">
        <v>102.355</v>
      </c>
      <c r="N823" s="3">
        <v>101.664</v>
      </c>
      <c r="O823" s="3">
        <v>102.25</v>
      </c>
      <c r="P823" s="3">
        <v>102.4436</v>
      </c>
      <c r="Q823" s="3">
        <v>103.40860000000001</v>
      </c>
      <c r="S823" s="3">
        <v>101.66</v>
      </c>
      <c r="T823" s="3">
        <v>101.0994</v>
      </c>
      <c r="V823" s="3">
        <v>103.0466</v>
      </c>
      <c r="W823" s="3">
        <v>103.9</v>
      </c>
      <c r="X823" s="3">
        <v>99.780029999999996</v>
      </c>
      <c r="Y823" s="3">
        <v>103.2354</v>
      </c>
      <c r="AB823" s="3">
        <v>101.5668</v>
      </c>
      <c r="AC823" s="3">
        <v>104.67529999999999</v>
      </c>
      <c r="AD823" s="3">
        <v>100.41930000000001</v>
      </c>
      <c r="AE823" s="3">
        <v>101.1893</v>
      </c>
      <c r="AF823" s="3">
        <v>100.4738</v>
      </c>
      <c r="AH823" s="3">
        <v>106.6773</v>
      </c>
      <c r="AI823" s="3">
        <v>102.57</v>
      </c>
      <c r="AJ823" s="3">
        <v>103.77889999999999</v>
      </c>
      <c r="AK823" s="3">
        <v>107.0124</v>
      </c>
      <c r="AL823" s="3">
        <v>101.75020000000001</v>
      </c>
      <c r="AM823" s="3">
        <v>105.02889999999999</v>
      </c>
      <c r="AN823" s="3">
        <v>103.7702</v>
      </c>
      <c r="AO823" s="3">
        <v>103.7351</v>
      </c>
      <c r="AP823" s="3">
        <v>100.6738</v>
      </c>
      <c r="AQ823" s="3">
        <v>102.6652</v>
      </c>
      <c r="AT823" s="3">
        <v>101.8749</v>
      </c>
      <c r="AU823" s="3">
        <v>101.9817</v>
      </c>
      <c r="AV823" s="3">
        <v>102.36190000000001</v>
      </c>
      <c r="AW823" s="3">
        <v>120.518</v>
      </c>
      <c r="AX823" s="3">
        <v>103.95820000000001</v>
      </c>
      <c r="AY823" s="3">
        <v>110.1319</v>
      </c>
    </row>
    <row r="824" spans="1:51" x14ac:dyDescent="0.2">
      <c r="A824" s="74" t="s">
        <v>721</v>
      </c>
      <c r="B824" s="49">
        <v>42887</v>
      </c>
      <c r="D824" s="3">
        <v>103.4543</v>
      </c>
      <c r="F824" s="3">
        <v>103.93899999999999</v>
      </c>
      <c r="G824" s="3">
        <v>100.3473</v>
      </c>
      <c r="H824" s="3">
        <v>106.01609999999999</v>
      </c>
      <c r="J824" s="3">
        <v>111.9988</v>
      </c>
      <c r="K824" s="3">
        <v>101.9909</v>
      </c>
      <c r="L824" s="3">
        <v>103.6</v>
      </c>
      <c r="M824" s="3">
        <v>102.851</v>
      </c>
      <c r="N824" s="3">
        <v>101.55589999999999</v>
      </c>
      <c r="O824" s="3">
        <v>102.57</v>
      </c>
      <c r="P824" s="3">
        <v>102.6735</v>
      </c>
      <c r="Q824" s="3">
        <v>103.1816</v>
      </c>
      <c r="S824" s="3">
        <v>101.85</v>
      </c>
      <c r="T824" s="3">
        <v>101.28789999999999</v>
      </c>
      <c r="V824" s="3">
        <v>103.1386</v>
      </c>
      <c r="W824" s="3">
        <v>104</v>
      </c>
      <c r="X824" s="3">
        <v>101.19710000000001</v>
      </c>
      <c r="Y824" s="3">
        <v>103.4093</v>
      </c>
      <c r="AB824" s="3">
        <v>101.8869</v>
      </c>
      <c r="AC824" s="3">
        <v>104.9853</v>
      </c>
      <c r="AD824" s="3">
        <v>99.916150000000002</v>
      </c>
      <c r="AE824" s="3">
        <v>101.3138</v>
      </c>
      <c r="AF824" s="3">
        <v>100.2731</v>
      </c>
      <c r="AH824" s="3">
        <v>107.2024</v>
      </c>
      <c r="AI824" s="3">
        <v>102.74</v>
      </c>
      <c r="AJ824" s="3">
        <v>104.0814</v>
      </c>
      <c r="AK824" s="3">
        <v>107.306</v>
      </c>
      <c r="AL824" s="3">
        <v>101.3952</v>
      </c>
      <c r="AM824" s="3">
        <v>105.4409</v>
      </c>
      <c r="AN824" s="3">
        <v>103.8669</v>
      </c>
      <c r="AO824" s="3">
        <v>103.9319</v>
      </c>
      <c r="AP824" s="3">
        <v>100.6738</v>
      </c>
      <c r="AQ824" s="3">
        <v>102.3779</v>
      </c>
      <c r="AT824" s="3">
        <v>101.8938</v>
      </c>
      <c r="AU824" s="3">
        <v>102.35169999999999</v>
      </c>
      <c r="AV824" s="3">
        <v>102.6602</v>
      </c>
      <c r="AW824" s="3">
        <v>120.61190000000001</v>
      </c>
      <c r="AX824" s="3">
        <v>104.0321</v>
      </c>
      <c r="AY824" s="3">
        <v>110.55880000000001</v>
      </c>
    </row>
    <row r="825" spans="1:51" x14ac:dyDescent="0.2">
      <c r="A825" s="74" t="s">
        <v>722</v>
      </c>
      <c r="B825" s="49">
        <v>42917</v>
      </c>
      <c r="D825" s="3">
        <v>103.8719</v>
      </c>
      <c r="F825" s="3">
        <v>103.9349</v>
      </c>
      <c r="G825" s="3">
        <v>99.887389999999996</v>
      </c>
      <c r="H825" s="3">
        <v>106.28740000000001</v>
      </c>
      <c r="J825" s="3">
        <v>112.0804</v>
      </c>
      <c r="K825" s="3">
        <v>102.038</v>
      </c>
      <c r="L825" s="3">
        <v>104.1</v>
      </c>
      <c r="M825" s="3">
        <v>103.3462</v>
      </c>
      <c r="N825" s="3">
        <v>102.3642</v>
      </c>
      <c r="O825" s="3">
        <v>102.02</v>
      </c>
      <c r="P825" s="3">
        <v>101.7085</v>
      </c>
      <c r="Q825" s="3">
        <v>103.97620000000001</v>
      </c>
      <c r="S825" s="3">
        <v>101.51</v>
      </c>
      <c r="T825" s="3">
        <v>100.95659999999999</v>
      </c>
      <c r="V825" s="3">
        <v>103.1601</v>
      </c>
      <c r="W825" s="3">
        <v>103.9</v>
      </c>
      <c r="X825" s="3">
        <v>98.738669999999999</v>
      </c>
      <c r="Y825" s="3">
        <v>103.7829</v>
      </c>
      <c r="AB825" s="3">
        <v>101.94450000000001</v>
      </c>
      <c r="AC825" s="3">
        <v>104.8874</v>
      </c>
      <c r="AD825" s="3">
        <v>100.0168</v>
      </c>
      <c r="AE825" s="3">
        <v>101.74160000000001</v>
      </c>
      <c r="AF825" s="3">
        <v>100.25920000000001</v>
      </c>
      <c r="AH825" s="3">
        <v>106.79179999999999</v>
      </c>
      <c r="AI825" s="3">
        <v>101.84</v>
      </c>
      <c r="AJ825" s="3">
        <v>103.19889999999999</v>
      </c>
      <c r="AK825" s="3">
        <v>107.60129999999999</v>
      </c>
      <c r="AL825" s="3">
        <v>102.30249999999999</v>
      </c>
      <c r="AM825" s="3">
        <v>105.3241</v>
      </c>
      <c r="AN825" s="3">
        <v>103.9023</v>
      </c>
      <c r="AO825" s="3">
        <v>103.9556</v>
      </c>
      <c r="AP825" s="3">
        <v>100.5868</v>
      </c>
      <c r="AQ825" s="3">
        <v>101.5258</v>
      </c>
      <c r="AT825" s="3">
        <v>101.9725</v>
      </c>
      <c r="AU825" s="3">
        <v>101.46169999999999</v>
      </c>
      <c r="AV825" s="3">
        <v>102.94840000000001</v>
      </c>
      <c r="AW825" s="3">
        <v>121.1553</v>
      </c>
      <c r="AX825" s="3">
        <v>103.9999</v>
      </c>
      <c r="AY825" s="3">
        <v>111.02630000000001</v>
      </c>
    </row>
    <row r="826" spans="1:51" x14ac:dyDescent="0.2">
      <c r="A826" s="74" t="s">
        <v>723</v>
      </c>
      <c r="B826" s="49">
        <v>42948</v>
      </c>
      <c r="D826" s="3">
        <v>103.85250000000001</v>
      </c>
      <c r="F826" s="3">
        <v>103.93899999999999</v>
      </c>
      <c r="G826" s="3">
        <v>99.868009999999998</v>
      </c>
      <c r="H826" s="3">
        <v>106.2114</v>
      </c>
      <c r="J826" s="3">
        <v>112.1621</v>
      </c>
      <c r="K826" s="3">
        <v>102.09010000000001</v>
      </c>
      <c r="L826" s="3">
        <v>104.1</v>
      </c>
      <c r="M826" s="3">
        <v>103.4396</v>
      </c>
      <c r="N826" s="3">
        <v>102.0763</v>
      </c>
      <c r="O826" s="3">
        <v>102.28</v>
      </c>
      <c r="P826" s="3">
        <v>101.889</v>
      </c>
      <c r="Q826" s="3">
        <v>104.4302</v>
      </c>
      <c r="S826" s="3">
        <v>101.71</v>
      </c>
      <c r="T826" s="3">
        <v>101.5001</v>
      </c>
      <c r="V826" s="3">
        <v>103.4037</v>
      </c>
      <c r="W826" s="3">
        <v>104.5</v>
      </c>
      <c r="X826" s="3">
        <v>97.814160000000001</v>
      </c>
      <c r="Y826" s="3">
        <v>103.95399999999999</v>
      </c>
      <c r="AB826" s="3">
        <v>102.3663</v>
      </c>
      <c r="AC826" s="3">
        <v>105.01730000000001</v>
      </c>
      <c r="AD826" s="3">
        <v>100.1174</v>
      </c>
      <c r="AE826" s="3">
        <v>102.0676</v>
      </c>
      <c r="AF826" s="3">
        <v>100.40649999999999</v>
      </c>
      <c r="AH826" s="3">
        <v>106.6754</v>
      </c>
      <c r="AI826" s="3">
        <v>103.23</v>
      </c>
      <c r="AJ826" s="3">
        <v>103.3678</v>
      </c>
      <c r="AK826" s="3">
        <v>107.9019</v>
      </c>
      <c r="AL826" s="3">
        <v>102.4025</v>
      </c>
      <c r="AM826" s="3">
        <v>104.8351</v>
      </c>
      <c r="AN826" s="3">
        <v>104.1066</v>
      </c>
      <c r="AO826" s="3">
        <v>104.1927</v>
      </c>
      <c r="AP826" s="3">
        <v>100.413</v>
      </c>
      <c r="AQ826" s="3">
        <v>101.41679999999999</v>
      </c>
      <c r="AT826" s="3">
        <v>102.0363</v>
      </c>
      <c r="AU826" s="3">
        <v>101.60169999999999</v>
      </c>
      <c r="AV826" s="3">
        <v>102.6602</v>
      </c>
      <c r="AW826" s="3">
        <v>121.7231</v>
      </c>
      <c r="AX826" s="3">
        <v>104.2162</v>
      </c>
      <c r="AY826" s="3">
        <v>111.14749999999999</v>
      </c>
    </row>
    <row r="827" spans="1:51" x14ac:dyDescent="0.2">
      <c r="A827" s="74" t="s">
        <v>724</v>
      </c>
      <c r="B827" s="49">
        <v>42979</v>
      </c>
      <c r="D827" s="3">
        <v>103.7457</v>
      </c>
      <c r="F827" s="3">
        <v>104.163</v>
      </c>
      <c r="G827" s="3">
        <v>100.0825</v>
      </c>
      <c r="H827" s="3">
        <v>106.2114</v>
      </c>
      <c r="J827" s="3">
        <v>112.3137</v>
      </c>
      <c r="K827" s="3">
        <v>102.33969999999999</v>
      </c>
      <c r="L827" s="3">
        <v>103.9</v>
      </c>
      <c r="M827" s="3">
        <v>103.3642</v>
      </c>
      <c r="N827" s="3">
        <v>102.00920000000001</v>
      </c>
      <c r="O827" s="3">
        <v>102.68</v>
      </c>
      <c r="P827" s="3">
        <v>101.9101</v>
      </c>
      <c r="Q827" s="3">
        <v>104.6005</v>
      </c>
      <c r="S827" s="3">
        <v>101.93</v>
      </c>
      <c r="T827" s="3">
        <v>101.2076</v>
      </c>
      <c r="V827" s="3">
        <v>103.47369999999999</v>
      </c>
      <c r="W827" s="3">
        <v>104.7</v>
      </c>
      <c r="X827" s="3">
        <v>100.4032</v>
      </c>
      <c r="Y827" s="3">
        <v>103.8383</v>
      </c>
      <c r="AB827" s="3">
        <v>101.5928</v>
      </c>
      <c r="AC827" s="3">
        <v>105.4252</v>
      </c>
      <c r="AD827" s="3">
        <v>100.1174</v>
      </c>
      <c r="AE827" s="3">
        <v>101.50069999999999</v>
      </c>
      <c r="AF827" s="3">
        <v>100.35590000000001</v>
      </c>
      <c r="AH827" s="3">
        <v>107.4825</v>
      </c>
      <c r="AI827" s="3">
        <v>102.94</v>
      </c>
      <c r="AJ827" s="3">
        <v>103.6388</v>
      </c>
      <c r="AK827" s="3">
        <v>108.10939999999999</v>
      </c>
      <c r="AL827" s="3">
        <v>102.0933</v>
      </c>
      <c r="AM827" s="3">
        <v>105.4455</v>
      </c>
      <c r="AN827" s="3">
        <v>104.2217</v>
      </c>
      <c r="AO827" s="3">
        <v>104.2659</v>
      </c>
      <c r="AP827" s="3">
        <v>100.4999</v>
      </c>
      <c r="AQ827" s="3">
        <v>102.5463</v>
      </c>
      <c r="AT827" s="3">
        <v>102.0981</v>
      </c>
      <c r="AU827" s="3">
        <v>101.65170000000001</v>
      </c>
      <c r="AV827" s="3">
        <v>102.7473</v>
      </c>
      <c r="AW827" s="3">
        <v>122.6994</v>
      </c>
      <c r="AX827" s="3">
        <v>104.4147</v>
      </c>
      <c r="AY827" s="3">
        <v>111.566</v>
      </c>
    </row>
    <row r="828" spans="1:51" x14ac:dyDescent="0.2">
      <c r="A828" s="74" t="s">
        <v>725</v>
      </c>
      <c r="B828" s="49">
        <v>43009</v>
      </c>
      <c r="D828" s="3">
        <v>103.91079999999999</v>
      </c>
      <c r="F828" s="3">
        <v>104.6191</v>
      </c>
      <c r="G828" s="3">
        <v>100.1187</v>
      </c>
      <c r="H828" s="3">
        <v>106.56950000000001</v>
      </c>
      <c r="J828" s="3">
        <v>112.407</v>
      </c>
      <c r="K828" s="3">
        <v>102.5936</v>
      </c>
      <c r="L828" s="3">
        <v>104.2</v>
      </c>
      <c r="M828" s="3">
        <v>103.0219</v>
      </c>
      <c r="N828" s="3">
        <v>102.0622</v>
      </c>
      <c r="O828" s="3">
        <v>102.51</v>
      </c>
      <c r="P828" s="3">
        <v>102.6191</v>
      </c>
      <c r="Q828" s="3">
        <v>104.3167</v>
      </c>
      <c r="S828" s="3">
        <v>101.91</v>
      </c>
      <c r="T828" s="3">
        <v>101.15300000000001</v>
      </c>
      <c r="V828" s="3">
        <v>103.61839999999999</v>
      </c>
      <c r="W828" s="3">
        <v>104.7</v>
      </c>
      <c r="X828" s="3">
        <v>100.7189</v>
      </c>
      <c r="Y828" s="3">
        <v>104.0309</v>
      </c>
      <c r="AB828" s="3">
        <v>101.3142</v>
      </c>
      <c r="AC828" s="3">
        <v>105.70480000000001</v>
      </c>
      <c r="AD828" s="3">
        <v>100.3186</v>
      </c>
      <c r="AE828" s="3">
        <v>100.9315</v>
      </c>
      <c r="AF828" s="3">
        <v>100.6413</v>
      </c>
      <c r="AH828" s="3">
        <v>107.77460000000001</v>
      </c>
      <c r="AI828" s="3">
        <v>103</v>
      </c>
      <c r="AJ828" s="3">
        <v>104.1815</v>
      </c>
      <c r="AK828" s="3">
        <v>108.5489</v>
      </c>
      <c r="AL828" s="3">
        <v>102.2877</v>
      </c>
      <c r="AM828" s="3">
        <v>105.7812</v>
      </c>
      <c r="AN828" s="3">
        <v>104.4709</v>
      </c>
      <c r="AO828" s="3">
        <v>104.4365</v>
      </c>
      <c r="AP828" s="3">
        <v>100.7607</v>
      </c>
      <c r="AQ828" s="3">
        <v>102.8832</v>
      </c>
      <c r="AT828" s="3">
        <v>102.23520000000001</v>
      </c>
      <c r="AU828" s="3">
        <v>101.6717</v>
      </c>
      <c r="AV828" s="3">
        <v>102.744</v>
      </c>
      <c r="AW828" s="3">
        <v>125.2894</v>
      </c>
      <c r="AX828" s="3">
        <v>104.7024</v>
      </c>
      <c r="AY828" s="3">
        <v>111.68470000000001</v>
      </c>
    </row>
    <row r="829" spans="1:51" x14ac:dyDescent="0.2">
      <c r="A829" s="74" t="s">
        <v>726</v>
      </c>
      <c r="B829" s="49">
        <v>43040</v>
      </c>
      <c r="D829" s="3">
        <v>103.6874</v>
      </c>
      <c r="F829" s="3">
        <v>104.3955</v>
      </c>
      <c r="G829" s="3">
        <v>99.981089999999995</v>
      </c>
      <c r="H829" s="3">
        <v>106.4393</v>
      </c>
      <c r="J829" s="3">
        <v>112.6404</v>
      </c>
      <c r="K829" s="3">
        <v>102.675</v>
      </c>
      <c r="L829" s="3">
        <v>104.2</v>
      </c>
      <c r="M829" s="3">
        <v>102.3557</v>
      </c>
      <c r="N829" s="3">
        <v>101.61069999999999</v>
      </c>
      <c r="O829" s="3">
        <v>101.97</v>
      </c>
      <c r="P829" s="3">
        <v>103.04559999999999</v>
      </c>
      <c r="Q829" s="3">
        <v>104.1465</v>
      </c>
      <c r="S829" s="3">
        <v>101.91</v>
      </c>
      <c r="T829" s="3">
        <v>101.105</v>
      </c>
      <c r="V829" s="3">
        <v>103.4999</v>
      </c>
      <c r="W829" s="3">
        <v>104.9</v>
      </c>
      <c r="X829" s="3">
        <v>99.28989</v>
      </c>
      <c r="Y829" s="3">
        <v>103.9569</v>
      </c>
      <c r="AB829" s="3">
        <v>100.8734</v>
      </c>
      <c r="AC829" s="3">
        <v>105.4538</v>
      </c>
      <c r="AD829" s="3">
        <v>100.218</v>
      </c>
      <c r="AE829" s="3">
        <v>100.5213</v>
      </c>
      <c r="AF829" s="3">
        <v>100.61499999999999</v>
      </c>
      <c r="AH829" s="3">
        <v>107.80629999999999</v>
      </c>
      <c r="AI829" s="3">
        <v>102.46</v>
      </c>
      <c r="AJ829" s="3">
        <v>103.9178</v>
      </c>
      <c r="AK829" s="3">
        <v>108.8874</v>
      </c>
      <c r="AL829" s="3">
        <v>101.922</v>
      </c>
      <c r="AM829" s="3">
        <v>105.41930000000001</v>
      </c>
      <c r="AN829" s="3">
        <v>104.42010000000001</v>
      </c>
      <c r="AO829" s="3">
        <v>104.36969999999999</v>
      </c>
      <c r="AP829" s="3">
        <v>100.8476</v>
      </c>
      <c r="AQ829" s="3">
        <v>102.3184</v>
      </c>
      <c r="AT829" s="3">
        <v>102.34650000000001</v>
      </c>
      <c r="AU829" s="3">
        <v>101.9117</v>
      </c>
      <c r="AV829" s="3">
        <v>102.69370000000001</v>
      </c>
      <c r="AW829" s="3">
        <v>126.64149999999999</v>
      </c>
      <c r="AX829" s="3">
        <v>104.6422</v>
      </c>
      <c r="AY829" s="3">
        <v>111.67</v>
      </c>
    </row>
    <row r="830" spans="1:51" x14ac:dyDescent="0.2">
      <c r="A830" s="74" t="s">
        <v>727</v>
      </c>
      <c r="B830" s="49">
        <v>43070</v>
      </c>
      <c r="D830" s="3">
        <v>103.91079999999999</v>
      </c>
      <c r="F830" s="3">
        <v>103.9752</v>
      </c>
      <c r="G830" s="3">
        <v>100.0134</v>
      </c>
      <c r="H830" s="3">
        <v>106.6563</v>
      </c>
      <c r="J830" s="3">
        <v>113.142</v>
      </c>
      <c r="K830" s="3">
        <v>102.85599999999999</v>
      </c>
      <c r="L830" s="3">
        <v>104.1</v>
      </c>
      <c r="M830" s="3">
        <v>102.9148</v>
      </c>
      <c r="N830" s="3">
        <v>101.4451</v>
      </c>
      <c r="O830" s="3">
        <v>102.4</v>
      </c>
      <c r="P830" s="3">
        <v>103.07080000000001</v>
      </c>
      <c r="Q830" s="3">
        <v>103.7492</v>
      </c>
      <c r="S830" s="3">
        <v>101.98</v>
      </c>
      <c r="T830" s="3">
        <v>101.46129999999999</v>
      </c>
      <c r="V830" s="3">
        <v>103.61709999999999</v>
      </c>
      <c r="W830" s="3">
        <v>105.2</v>
      </c>
      <c r="X830" s="3">
        <v>99.980829999999997</v>
      </c>
      <c r="Y830" s="3">
        <v>104.22020000000001</v>
      </c>
      <c r="AB830" s="3">
        <v>100.8361</v>
      </c>
      <c r="AC830" s="3">
        <v>105.7186</v>
      </c>
      <c r="AD830" s="3">
        <v>100.41930000000001</v>
      </c>
      <c r="AE830" s="3">
        <v>101.00149999999999</v>
      </c>
      <c r="AF830" s="3">
        <v>100.57980000000001</v>
      </c>
      <c r="AH830" s="3">
        <v>107.3275</v>
      </c>
      <c r="AI830" s="3">
        <v>102.55</v>
      </c>
      <c r="AJ830" s="3">
        <v>103.5284</v>
      </c>
      <c r="AK830" s="3">
        <v>109.31310000000001</v>
      </c>
      <c r="AL830" s="3">
        <v>101.91379999999999</v>
      </c>
      <c r="AM830" s="3">
        <v>105.73820000000001</v>
      </c>
      <c r="AN830" s="3">
        <v>104.5673</v>
      </c>
      <c r="AO830" s="3">
        <v>104.6953</v>
      </c>
      <c r="AP830" s="3">
        <v>100.9346</v>
      </c>
      <c r="AQ830" s="3">
        <v>102.29859999999999</v>
      </c>
      <c r="AT830" s="3">
        <v>102.33750000000001</v>
      </c>
      <c r="AU830" s="3">
        <v>101.5517</v>
      </c>
      <c r="AV830" s="3">
        <v>103.06570000000001</v>
      </c>
      <c r="AW830" s="3">
        <v>127.193</v>
      </c>
      <c r="AX830" s="3">
        <v>104.6694</v>
      </c>
      <c r="AY830" s="3">
        <v>111.98220000000001</v>
      </c>
    </row>
    <row r="831" spans="1:51" x14ac:dyDescent="0.2">
      <c r="A831" s="3" t="s">
        <v>728</v>
      </c>
      <c r="B831" s="49">
        <v>43101</v>
      </c>
      <c r="D831" s="3">
        <v>104.173</v>
      </c>
      <c r="F831" s="3">
        <v>104.4609</v>
      </c>
      <c r="G831" s="3">
        <v>99.540369999999996</v>
      </c>
      <c r="H831" s="3">
        <v>106.971</v>
      </c>
      <c r="J831" s="3">
        <v>113.7486</v>
      </c>
      <c r="K831" s="3">
        <v>103.2629</v>
      </c>
      <c r="L831" s="3">
        <v>104.9</v>
      </c>
      <c r="M831" s="3">
        <v>101.9984</v>
      </c>
      <c r="N831" s="3">
        <v>100.90730000000001</v>
      </c>
      <c r="O831" s="3">
        <v>100.67</v>
      </c>
      <c r="P831" s="3">
        <v>101.23050000000001</v>
      </c>
      <c r="Q831" s="3">
        <v>103.5222</v>
      </c>
      <c r="S831" s="3">
        <v>101.51</v>
      </c>
      <c r="T831" s="3">
        <v>100.7491</v>
      </c>
      <c r="V831" s="3">
        <v>103.6454</v>
      </c>
      <c r="W831" s="3">
        <v>104.5</v>
      </c>
      <c r="X831" s="3">
        <v>97.257099999999994</v>
      </c>
      <c r="Y831" s="3">
        <v>103.9783</v>
      </c>
      <c r="AB831" s="3">
        <v>99.902119999999996</v>
      </c>
      <c r="AC831" s="3">
        <v>105.35639999999999</v>
      </c>
      <c r="AD831" s="3">
        <v>99.815529999999995</v>
      </c>
      <c r="AE831" s="3">
        <v>100.8579</v>
      </c>
      <c r="AF831" s="3">
        <v>100.12609999999999</v>
      </c>
      <c r="AH831" s="3">
        <v>106.91119999999999</v>
      </c>
      <c r="AI831" s="3">
        <v>101.18</v>
      </c>
      <c r="AJ831" s="3">
        <v>103.1009</v>
      </c>
      <c r="AK831" s="3">
        <v>109.5656</v>
      </c>
      <c r="AL831" s="3">
        <v>101.4345</v>
      </c>
      <c r="AM831" s="3">
        <v>104.5359</v>
      </c>
      <c r="AN831" s="3">
        <v>104.52160000000001</v>
      </c>
      <c r="AO831" s="3">
        <v>104.0599</v>
      </c>
      <c r="AP831" s="3">
        <v>100.8476</v>
      </c>
      <c r="AQ831" s="3">
        <v>100.6737</v>
      </c>
      <c r="AT831" s="3">
        <v>102.755</v>
      </c>
      <c r="AU831" s="3">
        <v>99.891660000000002</v>
      </c>
      <c r="AV831" s="3">
        <v>101.7722</v>
      </c>
      <c r="AW831" s="3">
        <v>127.87520000000001</v>
      </c>
      <c r="AX831" s="3">
        <v>105.1152</v>
      </c>
      <c r="AY831" s="3">
        <v>112.3554</v>
      </c>
    </row>
    <row r="832" spans="1:51" x14ac:dyDescent="0.2">
      <c r="A832" s="74" t="s">
        <v>729</v>
      </c>
      <c r="B832" s="49">
        <v>43132</v>
      </c>
      <c r="D832" s="3">
        <v>104.3672</v>
      </c>
      <c r="F832" s="3">
        <v>105.3308</v>
      </c>
      <c r="G832" s="3">
        <v>100.0402</v>
      </c>
      <c r="H832" s="3">
        <v>107.1554</v>
      </c>
      <c r="J832" s="3">
        <v>114.77509999999999</v>
      </c>
      <c r="K832" s="3">
        <v>103.6698</v>
      </c>
      <c r="L832" s="3">
        <v>105</v>
      </c>
      <c r="M832" s="3">
        <v>102.4333</v>
      </c>
      <c r="N832" s="3">
        <v>101.81870000000001</v>
      </c>
      <c r="O832" s="3">
        <v>101.07</v>
      </c>
      <c r="P832" s="3">
        <v>101.5562</v>
      </c>
      <c r="Q832" s="3">
        <v>104.6005</v>
      </c>
      <c r="S832" s="3">
        <v>101.77</v>
      </c>
      <c r="T832" s="3">
        <v>100.738</v>
      </c>
      <c r="V832" s="3">
        <v>104.0429</v>
      </c>
      <c r="W832" s="3">
        <v>105</v>
      </c>
      <c r="X832" s="3">
        <v>97.212919999999997</v>
      </c>
      <c r="Y832" s="3">
        <v>104.2139</v>
      </c>
      <c r="AB832" s="3">
        <v>101.1074</v>
      </c>
      <c r="AC832" s="3">
        <v>106.1258</v>
      </c>
      <c r="AD832" s="3">
        <v>99.714910000000003</v>
      </c>
      <c r="AE832" s="3">
        <v>101.00190000000001</v>
      </c>
      <c r="AF832" s="3">
        <v>100.2569</v>
      </c>
      <c r="AH832" s="3">
        <v>106.87</v>
      </c>
      <c r="AI832" s="3">
        <v>102.86</v>
      </c>
      <c r="AJ832" s="3">
        <v>103.1658</v>
      </c>
      <c r="AK832" s="3">
        <v>110.1028</v>
      </c>
      <c r="AL832" s="3">
        <v>101.93559999999999</v>
      </c>
      <c r="AM832" s="3">
        <v>105.09310000000001</v>
      </c>
      <c r="AN832" s="3">
        <v>104.9145</v>
      </c>
      <c r="AO832" s="3">
        <v>104.3822</v>
      </c>
      <c r="AP832" s="3">
        <v>100.8476</v>
      </c>
      <c r="AQ832" s="3">
        <v>100.1387</v>
      </c>
      <c r="AT832" s="3">
        <v>103.2444</v>
      </c>
      <c r="AU832" s="3">
        <v>100.6717</v>
      </c>
      <c r="AV832" s="3">
        <v>102.5898</v>
      </c>
      <c r="AW832" s="3">
        <v>128.4675</v>
      </c>
      <c r="AX832" s="3">
        <v>105.5879</v>
      </c>
      <c r="AY832" s="3">
        <v>113.4756</v>
      </c>
    </row>
    <row r="833" spans="1:51" x14ac:dyDescent="0.2">
      <c r="A833" s="74" t="s">
        <v>767</v>
      </c>
      <c r="B833" s="49">
        <v>43160</v>
      </c>
      <c r="D833" s="3">
        <v>104.4255</v>
      </c>
      <c r="F833" s="3">
        <v>105.7114</v>
      </c>
      <c r="G833" s="3">
        <v>100.54989999999999</v>
      </c>
      <c r="H833" s="3">
        <v>107.51349999999999</v>
      </c>
      <c r="J833" s="3">
        <v>115.1134</v>
      </c>
      <c r="K833" s="3">
        <v>103.5026</v>
      </c>
      <c r="L833" s="3">
        <v>105.1</v>
      </c>
      <c r="M833" s="3">
        <v>103.2362</v>
      </c>
      <c r="N833" s="3">
        <v>101.91589999999999</v>
      </c>
      <c r="O833" s="3">
        <v>102.63</v>
      </c>
      <c r="P833" s="3">
        <v>102.16119999999999</v>
      </c>
      <c r="Q833" s="3">
        <v>104.6005</v>
      </c>
      <c r="S833" s="3">
        <v>102.03</v>
      </c>
      <c r="T833" s="3">
        <v>102.0693</v>
      </c>
      <c r="V833" s="3">
        <v>104.4606</v>
      </c>
      <c r="W833" s="3">
        <v>105.2</v>
      </c>
      <c r="X833" s="3">
        <v>99.538229999999999</v>
      </c>
      <c r="Y833" s="3">
        <v>104.3918</v>
      </c>
      <c r="AB833" s="3">
        <v>101.46769999999999</v>
      </c>
      <c r="AC833" s="3">
        <v>106.8454</v>
      </c>
      <c r="AD833" s="3">
        <v>100.41930000000001</v>
      </c>
      <c r="AE833" s="3">
        <v>101.4301</v>
      </c>
      <c r="AF833" s="3">
        <v>100.37909999999999</v>
      </c>
      <c r="AH833" s="3">
        <v>107.75279999999999</v>
      </c>
      <c r="AI833" s="3">
        <v>102.96</v>
      </c>
      <c r="AJ833" s="3">
        <v>105.2713</v>
      </c>
      <c r="AK833" s="3">
        <v>110.4657</v>
      </c>
      <c r="AL833" s="3">
        <v>102.3135</v>
      </c>
      <c r="AM833" s="3">
        <v>105.49250000000001</v>
      </c>
      <c r="AN833" s="3">
        <v>105.345</v>
      </c>
      <c r="AO833" s="3">
        <v>105.0368</v>
      </c>
      <c r="AP833" s="3">
        <v>100.8476</v>
      </c>
      <c r="AQ833" s="3">
        <v>102.586</v>
      </c>
      <c r="AT833" s="3">
        <v>103.4145</v>
      </c>
      <c r="AU833" s="3">
        <v>101.2317</v>
      </c>
      <c r="AV833" s="3">
        <v>102.75069999999999</v>
      </c>
      <c r="AW833" s="3">
        <v>129.42349999999999</v>
      </c>
      <c r="AX833" s="3">
        <v>105.9293</v>
      </c>
      <c r="AY833" s="3">
        <v>114.2453</v>
      </c>
    </row>
    <row r="834" spans="1:51" x14ac:dyDescent="0.2">
      <c r="A834" s="74" t="s">
        <v>875</v>
      </c>
      <c r="B834" s="49">
        <v>43191</v>
      </c>
      <c r="D834" s="3">
        <v>104.5518</v>
      </c>
      <c r="F834" s="3">
        <v>105.5998</v>
      </c>
      <c r="G834" s="3">
        <v>100.6855</v>
      </c>
      <c r="H834" s="3">
        <v>107.7957</v>
      </c>
      <c r="J834" s="3">
        <v>115.37</v>
      </c>
      <c r="K834" s="3">
        <v>103.61799999999999</v>
      </c>
      <c r="L834" s="3">
        <v>105.7</v>
      </c>
      <c r="M834" s="3">
        <v>103.2764</v>
      </c>
      <c r="N834" s="3">
        <v>102.31950000000001</v>
      </c>
      <c r="O834" s="3">
        <v>103.04</v>
      </c>
      <c r="P834" s="3">
        <v>103.1414</v>
      </c>
      <c r="Q834" s="3">
        <v>105.45180000000001</v>
      </c>
      <c r="S834" s="3">
        <v>102.3</v>
      </c>
      <c r="T834" s="3">
        <v>102.17359999999999</v>
      </c>
      <c r="V834" s="3">
        <v>104.6313</v>
      </c>
      <c r="W834" s="3">
        <v>105.6</v>
      </c>
      <c r="X834" s="3">
        <v>100.7212</v>
      </c>
      <c r="Y834" s="3">
        <v>104.8807</v>
      </c>
      <c r="AB834" s="3">
        <v>101.2392</v>
      </c>
      <c r="AC834" s="3">
        <v>106.8184</v>
      </c>
      <c r="AD834" s="3">
        <v>100.51990000000001</v>
      </c>
      <c r="AE834" s="3">
        <v>101.76</v>
      </c>
      <c r="AF834" s="3">
        <v>100.5615</v>
      </c>
      <c r="AH834" s="3">
        <v>108.47029999999999</v>
      </c>
      <c r="AI834" s="3">
        <v>103.03</v>
      </c>
      <c r="AJ834" s="3">
        <v>105.8107</v>
      </c>
      <c r="AK834" s="3">
        <v>110.6105</v>
      </c>
      <c r="AL834" s="3">
        <v>102.9153</v>
      </c>
      <c r="AM834" s="3">
        <v>106.1443</v>
      </c>
      <c r="AN834" s="3">
        <v>105.65470000000001</v>
      </c>
      <c r="AO834" s="3">
        <v>105.59139999999999</v>
      </c>
      <c r="AP834" s="3">
        <v>101.3693</v>
      </c>
      <c r="AQ834" s="3">
        <v>103.0714</v>
      </c>
      <c r="AT834" s="3">
        <v>104.0968</v>
      </c>
      <c r="AU834" s="3">
        <v>102.24169999999999</v>
      </c>
      <c r="AV834" s="3">
        <v>103.27679999999999</v>
      </c>
      <c r="AW834" s="3">
        <v>132.56489999999999</v>
      </c>
      <c r="AX834" s="3">
        <v>106.1006</v>
      </c>
      <c r="AY834" s="3">
        <v>114.7841</v>
      </c>
    </row>
    <row r="835" spans="1:51" x14ac:dyDescent="0.2">
      <c r="A835" s="74" t="s">
        <v>888</v>
      </c>
      <c r="B835" s="49">
        <v>43221</v>
      </c>
      <c r="D835" s="3">
        <v>104.7557</v>
      </c>
      <c r="F835" s="3">
        <v>105.5909</v>
      </c>
      <c r="G835" s="3">
        <v>100.7531</v>
      </c>
      <c r="H835" s="3">
        <v>108.1212</v>
      </c>
      <c r="J835" s="3">
        <v>115.6267</v>
      </c>
      <c r="K835" s="3">
        <v>103.5416</v>
      </c>
      <c r="L835" s="3">
        <v>105.9</v>
      </c>
      <c r="M835" s="3">
        <v>103.9893</v>
      </c>
      <c r="N835" s="3">
        <v>102.38200000000001</v>
      </c>
      <c r="O835" s="3">
        <v>103.51</v>
      </c>
      <c r="P835" s="3">
        <v>103.58410000000001</v>
      </c>
      <c r="Q835" s="3">
        <v>105.5654</v>
      </c>
      <c r="S835" s="3">
        <v>102.24</v>
      </c>
      <c r="T835" s="3">
        <v>102.3336</v>
      </c>
      <c r="V835" s="3">
        <v>104.8338</v>
      </c>
      <c r="W835" s="3">
        <v>105.9</v>
      </c>
      <c r="X835" s="3">
        <v>99.923289999999994</v>
      </c>
      <c r="Y835" s="3">
        <v>105.11499999999999</v>
      </c>
      <c r="AB835" s="3">
        <v>101.7332</v>
      </c>
      <c r="AC835" s="3">
        <v>106.63720000000001</v>
      </c>
      <c r="AD835" s="3">
        <v>100.9224</v>
      </c>
      <c r="AE835" s="3">
        <v>101.8604</v>
      </c>
      <c r="AF835" s="3">
        <v>100.5419</v>
      </c>
      <c r="AH835" s="3">
        <v>108.78660000000001</v>
      </c>
      <c r="AI835" s="3">
        <v>103.16</v>
      </c>
      <c r="AJ835" s="3">
        <v>105.9392</v>
      </c>
      <c r="AK835" s="3">
        <v>110.8909</v>
      </c>
      <c r="AL835" s="3">
        <v>103.0715</v>
      </c>
      <c r="AM835" s="3">
        <v>106.3943</v>
      </c>
      <c r="AN835" s="3">
        <v>105.9011</v>
      </c>
      <c r="AO835" s="3">
        <v>106.003</v>
      </c>
      <c r="AP835" s="3">
        <v>101.28230000000001</v>
      </c>
      <c r="AQ835" s="3">
        <v>103.31910000000001</v>
      </c>
      <c r="AT835" s="3">
        <v>103.92919999999999</v>
      </c>
      <c r="AU835" s="3">
        <v>103.1617</v>
      </c>
      <c r="AV835" s="3">
        <v>103.3907</v>
      </c>
      <c r="AW835" s="3">
        <v>134.7422</v>
      </c>
      <c r="AX835" s="3">
        <v>106.2839</v>
      </c>
      <c r="AY835" s="3">
        <v>114.9659</v>
      </c>
    </row>
    <row r="836" spans="1:51" x14ac:dyDescent="0.2">
      <c r="A836" s="74" t="s">
        <v>889</v>
      </c>
      <c r="B836" s="49">
        <v>43252</v>
      </c>
      <c r="D836" s="3">
        <v>104.62949999999999</v>
      </c>
      <c r="F836" s="3">
        <v>105.8017</v>
      </c>
      <c r="G836" s="3">
        <v>100.6521</v>
      </c>
      <c r="H836" s="3">
        <v>107.991</v>
      </c>
      <c r="J836" s="3">
        <v>115.93</v>
      </c>
      <c r="K836" s="3">
        <v>103.6387</v>
      </c>
      <c r="L836" s="3">
        <v>106</v>
      </c>
      <c r="M836" s="3">
        <v>104.06910000000001</v>
      </c>
      <c r="N836" s="3">
        <v>102.2242</v>
      </c>
      <c r="O836" s="3">
        <v>103.56</v>
      </c>
      <c r="P836" s="3">
        <v>103.6709</v>
      </c>
      <c r="Q836" s="3">
        <v>106.0762</v>
      </c>
      <c r="S836" s="3">
        <v>102.44</v>
      </c>
      <c r="T836" s="3">
        <v>102.2903</v>
      </c>
      <c r="V836" s="3">
        <v>104.88339999999999</v>
      </c>
      <c r="W836" s="3">
        <v>105.8</v>
      </c>
      <c r="X836" s="3">
        <v>101.2223</v>
      </c>
      <c r="Y836" s="3">
        <v>105.5091</v>
      </c>
      <c r="AB836" s="3">
        <v>101.6452</v>
      </c>
      <c r="AC836" s="3">
        <v>107.2655</v>
      </c>
      <c r="AD836" s="3">
        <v>100.82170000000001</v>
      </c>
      <c r="AE836" s="3">
        <v>102.0408</v>
      </c>
      <c r="AF836" s="3">
        <v>100.374</v>
      </c>
      <c r="AH836" s="3">
        <v>109.18170000000001</v>
      </c>
      <c r="AI836" s="3">
        <v>103.24</v>
      </c>
      <c r="AJ836" s="3">
        <v>106.4482</v>
      </c>
      <c r="AK836" s="3">
        <v>111.1502</v>
      </c>
      <c r="AL836" s="3">
        <v>102.6934</v>
      </c>
      <c r="AM836" s="3">
        <v>106.61799999999999</v>
      </c>
      <c r="AN836" s="3">
        <v>106.0188</v>
      </c>
      <c r="AO836" s="3">
        <v>106.22</v>
      </c>
      <c r="AP836" s="3">
        <v>101.3693</v>
      </c>
      <c r="AQ836" s="3">
        <v>103.3489</v>
      </c>
      <c r="AT836" s="3">
        <v>103.9117</v>
      </c>
      <c r="AU836" s="3">
        <v>103.2817</v>
      </c>
      <c r="AV836" s="3">
        <v>103.6555</v>
      </c>
      <c r="AW836" s="3">
        <v>137.02170000000001</v>
      </c>
      <c r="AX836" s="3">
        <v>106.378</v>
      </c>
      <c r="AY836" s="3">
        <v>115.01600000000001</v>
      </c>
    </row>
    <row r="837" spans="1:51" x14ac:dyDescent="0.2">
      <c r="A837" s="74" t="s">
        <v>890</v>
      </c>
      <c r="B837" s="49">
        <v>43282</v>
      </c>
      <c r="D837" s="3">
        <v>105.0665</v>
      </c>
      <c r="F837" s="3">
        <v>106.32040000000001</v>
      </c>
      <c r="G837" s="3">
        <v>100.3523</v>
      </c>
      <c r="H837" s="3">
        <v>108.2731</v>
      </c>
      <c r="J837" s="3">
        <v>115.9533</v>
      </c>
      <c r="K837" s="3">
        <v>103.8222</v>
      </c>
      <c r="L837" s="3">
        <v>106.8</v>
      </c>
      <c r="M837" s="3">
        <v>104.6348</v>
      </c>
      <c r="N837" s="3">
        <v>103.2664</v>
      </c>
      <c r="O837" s="3">
        <v>103.18</v>
      </c>
      <c r="P837" s="3">
        <v>102.6352</v>
      </c>
      <c r="Q837" s="3">
        <v>106.0762</v>
      </c>
      <c r="S837" s="3">
        <v>102.39</v>
      </c>
      <c r="T837" s="3">
        <v>102.101</v>
      </c>
      <c r="V837" s="3">
        <v>104.99250000000001</v>
      </c>
      <c r="W837" s="3">
        <v>105.8</v>
      </c>
      <c r="X837" s="3">
        <v>98.389009999999999</v>
      </c>
      <c r="Y837" s="3">
        <v>105.9076</v>
      </c>
      <c r="AB837" s="3">
        <v>102.0796</v>
      </c>
      <c r="AC837" s="3">
        <v>107.3171</v>
      </c>
      <c r="AD837" s="3">
        <v>100.72110000000001</v>
      </c>
      <c r="AE837" s="3">
        <v>102.31740000000001</v>
      </c>
      <c r="AF837" s="3">
        <v>100.3146</v>
      </c>
      <c r="AH837" s="3">
        <v>108.4147</v>
      </c>
      <c r="AI837" s="3">
        <v>102.29</v>
      </c>
      <c r="AJ837" s="3">
        <v>105.49169999999999</v>
      </c>
      <c r="AK837" s="3">
        <v>111.43300000000001</v>
      </c>
      <c r="AL837" s="3">
        <v>103.99809999999999</v>
      </c>
      <c r="AM837" s="3">
        <v>106.5377</v>
      </c>
      <c r="AN837" s="3">
        <v>106.1241</v>
      </c>
      <c r="AO837" s="3">
        <v>106.33669999999999</v>
      </c>
      <c r="AP837" s="3">
        <v>101.28230000000001</v>
      </c>
      <c r="AQ837" s="3">
        <v>102.5265</v>
      </c>
      <c r="AT837" s="3">
        <v>104.0911</v>
      </c>
      <c r="AU837" s="3">
        <v>102.2517</v>
      </c>
      <c r="AV837" s="3">
        <v>103.82640000000001</v>
      </c>
      <c r="AW837" s="3">
        <v>138.24719999999999</v>
      </c>
      <c r="AX837" s="3">
        <v>106.4482</v>
      </c>
      <c r="AY837" s="3">
        <v>115.6651</v>
      </c>
    </row>
    <row r="838" spans="1:51" x14ac:dyDescent="0.2">
      <c r="A838" s="74" t="s">
        <v>892</v>
      </c>
      <c r="B838" s="49">
        <v>43313</v>
      </c>
      <c r="D838" s="3">
        <v>105.2413</v>
      </c>
      <c r="F838" s="3">
        <v>106.39449999999999</v>
      </c>
      <c r="G838" s="3">
        <v>100.40519999999999</v>
      </c>
      <c r="H838" s="3">
        <v>108.2623</v>
      </c>
      <c r="J838" s="3">
        <v>116.035</v>
      </c>
      <c r="K838" s="3">
        <v>103.72029999999999</v>
      </c>
      <c r="L838" s="3">
        <v>106.9</v>
      </c>
      <c r="M838" s="3">
        <v>104.7003</v>
      </c>
      <c r="N838" s="3">
        <v>102.8507</v>
      </c>
      <c r="O838" s="3">
        <v>103.34</v>
      </c>
      <c r="P838" s="3">
        <v>102.6806</v>
      </c>
      <c r="Q838" s="3">
        <v>106.9842</v>
      </c>
      <c r="S838" s="3">
        <v>102.42</v>
      </c>
      <c r="T838" s="3">
        <v>102.6874</v>
      </c>
      <c r="V838" s="3">
        <v>105.1991</v>
      </c>
      <c r="W838" s="3">
        <v>106.5</v>
      </c>
      <c r="X838" s="3">
        <v>97.841650000000001</v>
      </c>
      <c r="Y838" s="3">
        <v>106.04179999999999</v>
      </c>
      <c r="AB838" s="3">
        <v>102.3143</v>
      </c>
      <c r="AC838" s="3">
        <v>107.4751</v>
      </c>
      <c r="AD838" s="3">
        <v>100.9224</v>
      </c>
      <c r="AE838" s="3">
        <v>102.858</v>
      </c>
      <c r="AF838" s="3">
        <v>100.70180000000001</v>
      </c>
      <c r="AH838" s="3">
        <v>108.32040000000001</v>
      </c>
      <c r="AI838" s="3">
        <v>104</v>
      </c>
      <c r="AJ838" s="3">
        <v>105.7188</v>
      </c>
      <c r="AK838" s="3">
        <v>111.6765</v>
      </c>
      <c r="AL838" s="3">
        <v>104.0107</v>
      </c>
      <c r="AM838" s="3">
        <v>106.19289999999999</v>
      </c>
      <c r="AN838" s="3">
        <v>106.3796</v>
      </c>
      <c r="AO838" s="3">
        <v>106.82640000000001</v>
      </c>
      <c r="AP838" s="3">
        <v>101.3693</v>
      </c>
      <c r="AQ838" s="3">
        <v>102.0311</v>
      </c>
      <c r="AT838" s="3">
        <v>104.48480000000001</v>
      </c>
      <c r="AU838" s="3">
        <v>102.3417</v>
      </c>
      <c r="AV838" s="3">
        <v>103.4611</v>
      </c>
      <c r="AW838" s="3">
        <v>141.64189999999999</v>
      </c>
      <c r="AX838" s="3">
        <v>106.508</v>
      </c>
      <c r="AY838" s="3">
        <v>115.53319999999999</v>
      </c>
    </row>
    <row r="839" spans="1:51" x14ac:dyDescent="0.2">
      <c r="A839" s="74" t="s">
        <v>893</v>
      </c>
      <c r="B839" s="49">
        <v>43344</v>
      </c>
      <c r="D839" s="3">
        <v>105.0471</v>
      </c>
      <c r="F839" s="3">
        <v>106.11920000000001</v>
      </c>
      <c r="G839" s="3">
        <v>100.3556</v>
      </c>
      <c r="H839" s="3">
        <v>108.47929999999999</v>
      </c>
      <c r="J839" s="3">
        <v>116.1283</v>
      </c>
      <c r="K839" s="3">
        <v>104.0129</v>
      </c>
      <c r="L839" s="3">
        <v>106.3</v>
      </c>
      <c r="M839" s="3">
        <v>104.5894</v>
      </c>
      <c r="N839" s="3">
        <v>102.3531</v>
      </c>
      <c r="O839" s="3">
        <v>103.66</v>
      </c>
      <c r="P839" s="3">
        <v>102.727</v>
      </c>
      <c r="Q839" s="3">
        <v>106.9842</v>
      </c>
      <c r="S839" s="3">
        <v>102.52</v>
      </c>
      <c r="T839" s="3">
        <v>102.1737</v>
      </c>
      <c r="V839" s="3">
        <v>105.18689999999999</v>
      </c>
      <c r="W839" s="3">
        <v>106.5</v>
      </c>
      <c r="X839" s="3">
        <v>100.5967</v>
      </c>
      <c r="Y839" s="3">
        <v>106.1284</v>
      </c>
      <c r="AB839" s="3">
        <v>101.824</v>
      </c>
      <c r="AC839" s="3">
        <v>107.54130000000001</v>
      </c>
      <c r="AD839" s="3">
        <v>100.82170000000001</v>
      </c>
      <c r="AE839" s="3">
        <v>102.17749999999999</v>
      </c>
      <c r="AF839" s="3">
        <v>100.57769999999999</v>
      </c>
      <c r="AH839" s="3">
        <v>109.361</v>
      </c>
      <c r="AI839" s="3">
        <v>104.08</v>
      </c>
      <c r="AJ839" s="3">
        <v>106.2889</v>
      </c>
      <c r="AK839" s="3">
        <v>111.9948</v>
      </c>
      <c r="AL839" s="3">
        <v>103.47799999999999</v>
      </c>
      <c r="AM839" s="3">
        <v>106.9847</v>
      </c>
      <c r="AN839" s="3">
        <v>106.6416</v>
      </c>
      <c r="AO839" s="3">
        <v>107.36499999999999</v>
      </c>
      <c r="AP839" s="3">
        <v>101.3693</v>
      </c>
      <c r="AQ839" s="3">
        <v>103.438</v>
      </c>
      <c r="AT839" s="3">
        <v>104.3013</v>
      </c>
      <c r="AU839" s="3">
        <v>102.5617</v>
      </c>
      <c r="AV839" s="3">
        <v>103.94029999999999</v>
      </c>
      <c r="AW839" s="3">
        <v>150.3186</v>
      </c>
      <c r="AX839" s="3">
        <v>106.6802</v>
      </c>
      <c r="AY839" s="3">
        <v>116.17400000000001</v>
      </c>
    </row>
    <row r="840" spans="1:51" x14ac:dyDescent="0.2">
      <c r="A840" s="74" t="s">
        <v>894</v>
      </c>
      <c r="B840" s="49">
        <v>43374</v>
      </c>
      <c r="D840" s="3">
        <v>105.19280000000001</v>
      </c>
      <c r="F840" s="3">
        <v>106.7931</v>
      </c>
      <c r="G840" s="3">
        <v>100.4003</v>
      </c>
      <c r="H840" s="3">
        <v>108.84820000000001</v>
      </c>
      <c r="J840" s="3">
        <v>116.2333</v>
      </c>
      <c r="K840" s="3">
        <v>104.5861</v>
      </c>
      <c r="L840" s="3">
        <v>106.8</v>
      </c>
      <c r="M840" s="3">
        <v>104.73820000000001</v>
      </c>
      <c r="N840" s="3">
        <v>102.6307</v>
      </c>
      <c r="O840" s="3">
        <v>103.72</v>
      </c>
      <c r="P840" s="3">
        <v>103.6477</v>
      </c>
      <c r="Q840" s="3">
        <v>107.4383</v>
      </c>
      <c r="S840" s="3">
        <v>102.65</v>
      </c>
      <c r="T840" s="3">
        <v>102.1427</v>
      </c>
      <c r="V840" s="3">
        <v>105.3837</v>
      </c>
      <c r="W840" s="3">
        <v>106.6</v>
      </c>
      <c r="X840" s="3">
        <v>101.0355</v>
      </c>
      <c r="Y840" s="3">
        <v>106.69970000000001</v>
      </c>
      <c r="AB840" s="3">
        <v>101.5715</v>
      </c>
      <c r="AC840" s="3">
        <v>108.1212</v>
      </c>
      <c r="AD840" s="3">
        <v>101.1236</v>
      </c>
      <c r="AE840" s="3">
        <v>101.7364</v>
      </c>
      <c r="AF840" s="3">
        <v>100.8426</v>
      </c>
      <c r="AH840" s="3">
        <v>109.92740000000001</v>
      </c>
      <c r="AI840" s="3">
        <v>103.98</v>
      </c>
      <c r="AJ840" s="3">
        <v>106.6657</v>
      </c>
      <c r="AK840" s="3">
        <v>112.3326</v>
      </c>
      <c r="AL840" s="3">
        <v>103.9329</v>
      </c>
      <c r="AM840" s="3">
        <v>107.13890000000001</v>
      </c>
      <c r="AN840" s="3">
        <v>106.9568</v>
      </c>
      <c r="AO840" s="3">
        <v>107.7313</v>
      </c>
      <c r="AP840" s="3">
        <v>101.6301</v>
      </c>
      <c r="AQ840" s="3">
        <v>103.3489</v>
      </c>
      <c r="AT840" s="3">
        <v>104.4164</v>
      </c>
      <c r="AU840" s="3">
        <v>102.74169999999999</v>
      </c>
      <c r="AV840" s="3">
        <v>103.9336</v>
      </c>
      <c r="AW840" s="3">
        <v>153.65610000000001</v>
      </c>
      <c r="AX840" s="3">
        <v>106.9419</v>
      </c>
      <c r="AY840" s="3">
        <v>116.3317</v>
      </c>
    </row>
    <row r="841" spans="1:51" x14ac:dyDescent="0.2">
      <c r="A841" s="74" t="s">
        <v>895</v>
      </c>
      <c r="B841" s="49">
        <v>43405</v>
      </c>
      <c r="D841" s="3">
        <v>105.3385</v>
      </c>
      <c r="F841" s="3">
        <v>106.53230000000001</v>
      </c>
      <c r="G841" s="3">
        <v>100.13890000000001</v>
      </c>
      <c r="H841" s="3">
        <v>108.81570000000001</v>
      </c>
      <c r="J841" s="3">
        <v>116.34990000000001</v>
      </c>
      <c r="K841" s="3">
        <v>104.97880000000001</v>
      </c>
      <c r="L841" s="3">
        <v>106.9</v>
      </c>
      <c r="M841" s="3">
        <v>103.6589</v>
      </c>
      <c r="N841" s="3">
        <v>102.3282</v>
      </c>
      <c r="O841" s="3">
        <v>102.92</v>
      </c>
      <c r="P841" s="3">
        <v>104.0067</v>
      </c>
      <c r="Q841" s="3">
        <v>106.4734</v>
      </c>
      <c r="S841" s="3">
        <v>102.67</v>
      </c>
      <c r="T841" s="3">
        <v>101.9948</v>
      </c>
      <c r="V841" s="3">
        <v>105.2671</v>
      </c>
      <c r="W841" s="3">
        <v>106.8</v>
      </c>
      <c r="X841" s="3">
        <v>99.491870000000006</v>
      </c>
      <c r="Y841" s="3">
        <v>106.6591</v>
      </c>
      <c r="AB841" s="3">
        <v>101.0406</v>
      </c>
      <c r="AC841" s="3">
        <v>108.4682</v>
      </c>
      <c r="AD841" s="3">
        <v>101.023</v>
      </c>
      <c r="AE841" s="3">
        <v>101.3732</v>
      </c>
      <c r="AF841" s="3">
        <v>100.8365</v>
      </c>
      <c r="AH841" s="3">
        <v>110.0201</v>
      </c>
      <c r="AI841" s="3">
        <v>103.97</v>
      </c>
      <c r="AJ841" s="3">
        <v>106.52970000000001</v>
      </c>
      <c r="AK841" s="3">
        <v>112.5625</v>
      </c>
      <c r="AL841" s="3">
        <v>103.6435</v>
      </c>
      <c r="AM841" s="3">
        <v>107.1135</v>
      </c>
      <c r="AN841" s="3">
        <v>106.7968</v>
      </c>
      <c r="AO841" s="3">
        <v>107.2808</v>
      </c>
      <c r="AP841" s="3">
        <v>101.5431</v>
      </c>
      <c r="AQ841" s="3">
        <v>102.8237</v>
      </c>
      <c r="AT841" s="3">
        <v>104.7139</v>
      </c>
      <c r="AU841" s="3">
        <v>102.96169999999999</v>
      </c>
      <c r="AV841" s="3">
        <v>103.80289999999999</v>
      </c>
      <c r="AW841" s="3">
        <v>150.9273</v>
      </c>
      <c r="AX841" s="3">
        <v>106.9592</v>
      </c>
      <c r="AY841" s="3">
        <v>116.42189999999999</v>
      </c>
    </row>
    <row r="842" spans="1:51" x14ac:dyDescent="0.2">
      <c r="A842" s="74" t="s">
        <v>896</v>
      </c>
      <c r="B842" s="49">
        <v>43435</v>
      </c>
      <c r="D842" s="3">
        <v>105.5716</v>
      </c>
      <c r="F842" s="3">
        <v>106.6032</v>
      </c>
      <c r="G842" s="3">
        <v>100.2401</v>
      </c>
      <c r="H842" s="3">
        <v>109.1195</v>
      </c>
      <c r="J842" s="3">
        <v>116.6532</v>
      </c>
      <c r="K842" s="3">
        <v>105.3954</v>
      </c>
      <c r="L842" s="3">
        <v>106.8</v>
      </c>
      <c r="M842" s="3">
        <v>104.1593</v>
      </c>
      <c r="N842" s="3">
        <v>102.20659999999999</v>
      </c>
      <c r="O842" s="3">
        <v>103.35</v>
      </c>
      <c r="P842" s="3">
        <v>104.0762</v>
      </c>
      <c r="Q842" s="3">
        <v>106.6437</v>
      </c>
      <c r="S842" s="3">
        <v>102.85</v>
      </c>
      <c r="T842" s="3">
        <v>102.1754</v>
      </c>
      <c r="V842" s="3">
        <v>105.34820000000001</v>
      </c>
      <c r="W842" s="3">
        <v>107.1</v>
      </c>
      <c r="X842" s="3">
        <v>100.62050000000001</v>
      </c>
      <c r="Y842" s="3">
        <v>106.87009999999999</v>
      </c>
      <c r="AB842" s="3">
        <v>101.30840000000001</v>
      </c>
      <c r="AC842" s="3">
        <v>109.449</v>
      </c>
      <c r="AD842" s="3">
        <v>100.9224</v>
      </c>
      <c r="AE842" s="3">
        <v>101.52970000000001</v>
      </c>
      <c r="AF842" s="3">
        <v>100.7966</v>
      </c>
      <c r="AH842" s="3">
        <v>109.63379999999999</v>
      </c>
      <c r="AI842" s="3">
        <v>104.08</v>
      </c>
      <c r="AJ842" s="3">
        <v>106.1649</v>
      </c>
      <c r="AK842" s="3">
        <v>113.0635</v>
      </c>
      <c r="AL842" s="3">
        <v>103.69840000000001</v>
      </c>
      <c r="AM842" s="3">
        <v>107.4041</v>
      </c>
      <c r="AN842" s="3">
        <v>106.8866</v>
      </c>
      <c r="AO842" s="3">
        <v>107.46939999999999</v>
      </c>
      <c r="AP842" s="3">
        <v>101.5431</v>
      </c>
      <c r="AQ842" s="3">
        <v>102.8733</v>
      </c>
      <c r="AT842" s="3">
        <v>104.5194</v>
      </c>
      <c r="AU842" s="3">
        <v>102.79170000000001</v>
      </c>
      <c r="AV842" s="3">
        <v>104.3994</v>
      </c>
      <c r="AW842" s="3">
        <v>150.36359999999999</v>
      </c>
      <c r="AX842" s="3">
        <v>106.95010000000001</v>
      </c>
      <c r="AY842" s="3">
        <v>116.8548</v>
      </c>
    </row>
    <row r="843" spans="1:51" x14ac:dyDescent="0.2">
      <c r="A843" s="3" t="s">
        <v>1420</v>
      </c>
      <c r="B843" s="49">
        <v>43466</v>
      </c>
      <c r="D843" s="3">
        <v>105.68810000000001</v>
      </c>
      <c r="F843" s="3">
        <v>106.8878</v>
      </c>
      <c r="G843" s="3">
        <v>100.03570000000001</v>
      </c>
      <c r="H843" s="3">
        <v>109.56440000000001</v>
      </c>
      <c r="J843" s="3">
        <v>117.23650000000001</v>
      </c>
      <c r="K843" s="3">
        <v>105.90819999999999</v>
      </c>
      <c r="L843" s="3">
        <v>107.8</v>
      </c>
      <c r="M843" s="3">
        <v>103.37260000000001</v>
      </c>
      <c r="N843" s="3">
        <v>102.2509</v>
      </c>
      <c r="O843" s="3">
        <v>101.8</v>
      </c>
      <c r="P843" s="3">
        <v>102.133</v>
      </c>
      <c r="Q843" s="3">
        <v>106.13290000000001</v>
      </c>
      <c r="S843" s="3">
        <v>102.34</v>
      </c>
      <c r="T843" s="3">
        <v>101.58069999999999</v>
      </c>
      <c r="V843" s="3">
        <v>105.40389999999999</v>
      </c>
      <c r="W843" s="3">
        <v>106.4</v>
      </c>
      <c r="X843" s="3">
        <v>97.538610000000006</v>
      </c>
      <c r="Y843" s="3">
        <v>107.0609</v>
      </c>
      <c r="AB843" s="3">
        <v>100.80110000000001</v>
      </c>
      <c r="AC843" s="3">
        <v>108.72880000000001</v>
      </c>
      <c r="AD843" s="3">
        <v>100.63939999999999</v>
      </c>
      <c r="AE843" s="3">
        <v>101.44580000000001</v>
      </c>
      <c r="AF843" s="3">
        <v>100.511</v>
      </c>
      <c r="AH843" s="3">
        <v>109.2375</v>
      </c>
      <c r="AI843" s="3">
        <v>102.75</v>
      </c>
      <c r="AJ843" s="3">
        <v>106.3265</v>
      </c>
      <c r="AK843" s="3">
        <v>113.31910000000001</v>
      </c>
      <c r="AL843" s="3">
        <v>102.9962</v>
      </c>
      <c r="AM843" s="3">
        <v>106.5912</v>
      </c>
      <c r="AN843" s="3">
        <v>106.8437</v>
      </c>
      <c r="AO843" s="3">
        <v>106.8302</v>
      </c>
      <c r="AP843" s="3">
        <v>101.5431</v>
      </c>
      <c r="AQ843" s="3">
        <v>101.45650000000001</v>
      </c>
      <c r="AT843" s="3">
        <v>104.8079</v>
      </c>
      <c r="AU843" s="3">
        <v>101.2017</v>
      </c>
      <c r="AV843" s="3">
        <v>102.96510000000001</v>
      </c>
      <c r="AW843" s="3">
        <v>150.36770000000001</v>
      </c>
      <c r="AX843" s="3">
        <v>107.37909999999999</v>
      </c>
      <c r="AY843" s="3">
        <v>117.1764</v>
      </c>
    </row>
    <row r="844" spans="1:51" x14ac:dyDescent="0.2">
      <c r="A844" s="74" t="s">
        <v>1421</v>
      </c>
      <c r="B844" s="49">
        <v>43497</v>
      </c>
      <c r="D844" s="3">
        <v>106.05719999999999</v>
      </c>
      <c r="F844" s="3">
        <v>107.56529999999999</v>
      </c>
      <c r="G844" s="3">
        <v>100.3954</v>
      </c>
      <c r="H844" s="3">
        <v>109.84650000000001</v>
      </c>
      <c r="J844" s="3">
        <v>118.0414</v>
      </c>
      <c r="K844" s="3">
        <v>106.5795</v>
      </c>
      <c r="L844" s="3">
        <v>107.9</v>
      </c>
      <c r="M844" s="3">
        <v>103.77930000000001</v>
      </c>
      <c r="N844" s="3">
        <v>102.6996</v>
      </c>
      <c r="O844" s="3">
        <v>102.07</v>
      </c>
      <c r="P844" s="3">
        <v>102.2984</v>
      </c>
      <c r="Q844" s="3">
        <v>106.3032</v>
      </c>
      <c r="S844" s="3">
        <v>102.71</v>
      </c>
      <c r="T844" s="3">
        <v>101.4742</v>
      </c>
      <c r="V844" s="3">
        <v>105.7415</v>
      </c>
      <c r="W844" s="3">
        <v>106.9</v>
      </c>
      <c r="X844" s="3">
        <v>97.449979999999996</v>
      </c>
      <c r="Y844" s="3">
        <v>107.2761</v>
      </c>
      <c r="AB844" s="3">
        <v>101.77</v>
      </c>
      <c r="AC844" s="3">
        <v>109.03570000000001</v>
      </c>
      <c r="AD844" s="3">
        <v>100.6011</v>
      </c>
      <c r="AE844" s="3">
        <v>101.4468</v>
      </c>
      <c r="AF844" s="3">
        <v>100.63890000000001</v>
      </c>
      <c r="AH844" s="3">
        <v>109.306</v>
      </c>
      <c r="AI844" s="3">
        <v>104.68</v>
      </c>
      <c r="AJ844" s="3">
        <v>106.42919999999999</v>
      </c>
      <c r="AK844" s="3">
        <v>113.7963</v>
      </c>
      <c r="AL844" s="3">
        <v>103.8617</v>
      </c>
      <c r="AM844" s="3">
        <v>107.69929999999999</v>
      </c>
      <c r="AN844" s="3">
        <v>107.1682</v>
      </c>
      <c r="AO844" s="3">
        <v>107.0566</v>
      </c>
      <c r="AP844" s="3">
        <v>101.717</v>
      </c>
      <c r="AQ844" s="3">
        <v>101.1097</v>
      </c>
      <c r="AT844" s="3">
        <v>105.0042</v>
      </c>
      <c r="AU844" s="3">
        <v>102.07170000000001</v>
      </c>
      <c r="AV844" s="3">
        <v>103.7694</v>
      </c>
      <c r="AW844" s="3">
        <v>149.9469</v>
      </c>
      <c r="AX844" s="3">
        <v>107.7886</v>
      </c>
      <c r="AY844" s="3">
        <v>118.4335</v>
      </c>
    </row>
    <row r="845" spans="1:51" x14ac:dyDescent="0.2">
      <c r="A845" s="74" t="s">
        <v>1422</v>
      </c>
      <c r="B845" s="49">
        <v>43525</v>
      </c>
      <c r="D845" s="3">
        <v>106.2514</v>
      </c>
      <c r="F845" s="3">
        <v>107.86360000000001</v>
      </c>
      <c r="G845" s="3">
        <v>101.0123</v>
      </c>
      <c r="H845" s="3">
        <v>110.324</v>
      </c>
      <c r="J845" s="3">
        <v>118.3447</v>
      </c>
      <c r="K845" s="3">
        <v>106.3719</v>
      </c>
      <c r="L845" s="3">
        <v>108</v>
      </c>
      <c r="M845" s="3">
        <v>104.2607</v>
      </c>
      <c r="N845" s="3">
        <v>102.9059</v>
      </c>
      <c r="O845" s="3">
        <v>103.42</v>
      </c>
      <c r="P845" s="3">
        <v>102.9216</v>
      </c>
      <c r="Q845" s="3">
        <v>106.70050000000001</v>
      </c>
      <c r="S845" s="3">
        <v>102.76</v>
      </c>
      <c r="T845" s="3">
        <v>102.4714</v>
      </c>
      <c r="V845" s="3">
        <v>106.0643</v>
      </c>
      <c r="W845" s="3">
        <v>107</v>
      </c>
      <c r="X845" s="3">
        <v>99.994219999999999</v>
      </c>
      <c r="Y845" s="3">
        <v>107.7824</v>
      </c>
      <c r="AB845" s="3">
        <v>102.526</v>
      </c>
      <c r="AC845" s="3">
        <v>109.66459999999999</v>
      </c>
      <c r="AD845" s="3">
        <v>101.14449999999999</v>
      </c>
      <c r="AE845" s="3">
        <v>101.866</v>
      </c>
      <c r="AF845" s="3">
        <v>100.681</v>
      </c>
      <c r="AH845" s="3">
        <v>110.3935</v>
      </c>
      <c r="AI845" s="3">
        <v>104.84</v>
      </c>
      <c r="AJ845" s="3">
        <v>107.8005</v>
      </c>
      <c r="AK845" s="3">
        <v>114.1687</v>
      </c>
      <c r="AL845" s="3">
        <v>104.3436</v>
      </c>
      <c r="AM845" s="3">
        <v>108.3613</v>
      </c>
      <c r="AN845" s="3">
        <v>107.5241</v>
      </c>
      <c r="AO845" s="3">
        <v>107.6104</v>
      </c>
      <c r="AP845" s="3">
        <v>102.15170000000001</v>
      </c>
      <c r="AQ845" s="3">
        <v>103.2597</v>
      </c>
      <c r="AT845" s="3">
        <v>105.4952</v>
      </c>
      <c r="AU845" s="3">
        <v>102.90170000000001</v>
      </c>
      <c r="AV845" s="3">
        <v>104.004</v>
      </c>
      <c r="AW845" s="3">
        <v>150.38399999999999</v>
      </c>
      <c r="AX845" s="3">
        <v>108.0866</v>
      </c>
      <c r="AY845" s="3">
        <v>119.283</v>
      </c>
    </row>
    <row r="846" spans="1:51" x14ac:dyDescent="0.2">
      <c r="A846" s="74" t="s">
        <v>1423</v>
      </c>
      <c r="B846" s="49">
        <v>43556</v>
      </c>
      <c r="D846" s="3">
        <v>106.5331</v>
      </c>
      <c r="F846" s="3">
        <v>107.9455</v>
      </c>
      <c r="G846" s="3">
        <v>101.1651</v>
      </c>
      <c r="H846" s="3">
        <v>110.4217</v>
      </c>
      <c r="J846" s="3">
        <v>118.77630000000001</v>
      </c>
      <c r="K846" s="3">
        <v>106.6413</v>
      </c>
      <c r="L846" s="3">
        <v>108.1</v>
      </c>
      <c r="M846" s="3">
        <v>105.2487</v>
      </c>
      <c r="N846" s="3">
        <v>103.18980000000001</v>
      </c>
      <c r="O846" s="3">
        <v>104.37</v>
      </c>
      <c r="P846" s="3">
        <v>104.26479999999999</v>
      </c>
      <c r="Q846" s="3">
        <v>108.0626</v>
      </c>
      <c r="S846" s="3">
        <v>103.23</v>
      </c>
      <c r="T846" s="3">
        <v>102.80889999999999</v>
      </c>
      <c r="V846" s="3">
        <v>106.41930000000001</v>
      </c>
      <c r="W846" s="3">
        <v>107.5</v>
      </c>
      <c r="X846" s="3">
        <v>101.2295</v>
      </c>
      <c r="Y846" s="3">
        <v>108.3903</v>
      </c>
      <c r="AB846" s="3">
        <v>102.8019</v>
      </c>
      <c r="AC846" s="3">
        <v>110.07599999999999</v>
      </c>
      <c r="AD846" s="3">
        <v>101.4722</v>
      </c>
      <c r="AE846" s="3">
        <v>102.56399999999999</v>
      </c>
      <c r="AF846" s="3">
        <v>101.10980000000001</v>
      </c>
      <c r="AH846" s="3">
        <v>111.19629999999999</v>
      </c>
      <c r="AI846" s="3">
        <v>105.01</v>
      </c>
      <c r="AJ846" s="3">
        <v>108.864</v>
      </c>
      <c r="AK846" s="3">
        <v>114.6823</v>
      </c>
      <c r="AL846" s="3">
        <v>105.0022</v>
      </c>
      <c r="AM846" s="3">
        <v>109.08150000000001</v>
      </c>
      <c r="AN846" s="3">
        <v>107.9966</v>
      </c>
      <c r="AO846" s="3">
        <v>108.452</v>
      </c>
      <c r="AP846" s="3">
        <v>103.19499999999999</v>
      </c>
      <c r="AQ846" s="3">
        <v>103.9235</v>
      </c>
      <c r="AT846" s="3">
        <v>105.6793</v>
      </c>
      <c r="AU846" s="3">
        <v>103.9817</v>
      </c>
      <c r="AV846" s="3">
        <v>104.8853</v>
      </c>
      <c r="AW846" s="3">
        <v>153.2517</v>
      </c>
      <c r="AX846" s="3">
        <v>108.2914</v>
      </c>
      <c r="AY846" s="3">
        <v>119.5059</v>
      </c>
    </row>
    <row r="847" spans="1:51" x14ac:dyDescent="0.2">
      <c r="A847" s="74" t="s">
        <v>1424</v>
      </c>
      <c r="B847" s="49">
        <v>43586</v>
      </c>
      <c r="D847" s="3">
        <v>106.49420000000001</v>
      </c>
      <c r="F847" s="3">
        <v>108.3642</v>
      </c>
      <c r="G847" s="3">
        <v>101.3377</v>
      </c>
      <c r="H847" s="3">
        <v>110.81229999999999</v>
      </c>
      <c r="J847" s="3">
        <v>119.0913</v>
      </c>
      <c r="K847" s="3">
        <v>106.33069999999999</v>
      </c>
      <c r="L847" s="3">
        <v>108.4</v>
      </c>
      <c r="M847" s="3">
        <v>105.2186</v>
      </c>
      <c r="N847" s="3">
        <v>103.0294</v>
      </c>
      <c r="O847" s="3">
        <v>104.32</v>
      </c>
      <c r="P847" s="3">
        <v>104.4211</v>
      </c>
      <c r="Q847" s="3">
        <v>108.00579999999999</v>
      </c>
      <c r="S847" s="3">
        <v>103.16</v>
      </c>
      <c r="T847" s="3">
        <v>102.7333</v>
      </c>
      <c r="V847" s="3">
        <v>106.4781</v>
      </c>
      <c r="W847" s="3">
        <v>107.7</v>
      </c>
      <c r="X847" s="3">
        <v>100.1551</v>
      </c>
      <c r="Y847" s="3">
        <v>108.675</v>
      </c>
      <c r="AB847" s="3">
        <v>102.4678</v>
      </c>
      <c r="AC847" s="3">
        <v>110.12430000000001</v>
      </c>
      <c r="AD847" s="3">
        <v>101.9546</v>
      </c>
      <c r="AE847" s="3">
        <v>102.3246</v>
      </c>
      <c r="AF847" s="3">
        <v>101.0181</v>
      </c>
      <c r="AH847" s="3">
        <v>111.3583</v>
      </c>
      <c r="AI847" s="3">
        <v>105.15</v>
      </c>
      <c r="AJ847" s="3">
        <v>108.5296</v>
      </c>
      <c r="AK847" s="3">
        <v>114.8107</v>
      </c>
      <c r="AL847" s="3">
        <v>104.75539999999999</v>
      </c>
      <c r="AM847" s="3">
        <v>108.92829999999999</v>
      </c>
      <c r="AN847" s="3">
        <v>108.11020000000001</v>
      </c>
      <c r="AO847" s="3">
        <v>108.5916</v>
      </c>
      <c r="AP847" s="3">
        <v>102.8472</v>
      </c>
      <c r="AQ847" s="3">
        <v>103.80459999999999</v>
      </c>
      <c r="AT847" s="3">
        <v>105.89400000000001</v>
      </c>
      <c r="AU847" s="3">
        <v>104.4417</v>
      </c>
      <c r="AV847" s="3">
        <v>105.2171</v>
      </c>
      <c r="AW847" s="3">
        <v>156.0582</v>
      </c>
      <c r="AX847" s="3">
        <v>108.39790000000001</v>
      </c>
      <c r="AY847" s="3">
        <v>119.5685</v>
      </c>
    </row>
    <row r="848" spans="1:51" x14ac:dyDescent="0.2">
      <c r="A848" s="74" t="s">
        <v>1425</v>
      </c>
      <c r="B848" s="49">
        <v>43617</v>
      </c>
      <c r="D848" s="3">
        <v>106.6593</v>
      </c>
      <c r="F848" s="3">
        <v>108.53449999999999</v>
      </c>
      <c r="G848" s="3">
        <v>101.3892</v>
      </c>
      <c r="H848" s="3">
        <v>110.8015</v>
      </c>
      <c r="J848" s="3">
        <v>119.38290000000001</v>
      </c>
      <c r="K848" s="3">
        <v>106.46510000000001</v>
      </c>
      <c r="L848" s="3">
        <v>108.6</v>
      </c>
      <c r="M848" s="3">
        <v>105.7392</v>
      </c>
      <c r="N848" s="3">
        <v>102.85120000000001</v>
      </c>
      <c r="O848" s="3">
        <v>104.72</v>
      </c>
      <c r="P848" s="3">
        <v>104.6621</v>
      </c>
      <c r="Q848" s="3">
        <v>108.6302</v>
      </c>
      <c r="S848" s="3">
        <v>103.27</v>
      </c>
      <c r="T848" s="3">
        <v>103.0665</v>
      </c>
      <c r="V848" s="3">
        <v>106.6735</v>
      </c>
      <c r="W848" s="3">
        <v>107.7</v>
      </c>
      <c r="X848" s="3">
        <v>101.57599999999999</v>
      </c>
      <c r="Y848" s="3">
        <v>108.9136</v>
      </c>
      <c r="AB848" s="3">
        <v>102.8511</v>
      </c>
      <c r="AC848" s="3">
        <v>110.6425</v>
      </c>
      <c r="AD848" s="3">
        <v>101.6816</v>
      </c>
      <c r="AE848" s="3">
        <v>102.6095</v>
      </c>
      <c r="AF848" s="3">
        <v>100.73099999999999</v>
      </c>
      <c r="AH848" s="3">
        <v>111.75660000000001</v>
      </c>
      <c r="AI848" s="3">
        <v>105.32</v>
      </c>
      <c r="AJ848" s="3">
        <v>109.2599</v>
      </c>
      <c r="AK848" s="3">
        <v>115.12</v>
      </c>
      <c r="AL848" s="3">
        <v>104.6751</v>
      </c>
      <c r="AM848" s="3">
        <v>109.4867</v>
      </c>
      <c r="AN848" s="3">
        <v>108.3319</v>
      </c>
      <c r="AO848" s="3">
        <v>108.94629999999999</v>
      </c>
      <c r="AP848" s="3">
        <v>103.28189999999999</v>
      </c>
      <c r="AQ848" s="3">
        <v>103.983</v>
      </c>
      <c r="AT848" s="3">
        <v>106.07810000000001</v>
      </c>
      <c r="AU848" s="3">
        <v>105.0318</v>
      </c>
      <c r="AV848" s="3">
        <v>105.5287</v>
      </c>
      <c r="AW848" s="3">
        <v>157.30410000000001</v>
      </c>
      <c r="AX848" s="3">
        <v>108.64019999999999</v>
      </c>
      <c r="AY848" s="3">
        <v>119.97450000000001</v>
      </c>
    </row>
    <row r="849" spans="1:51" x14ac:dyDescent="0.2">
      <c r="A849" s="74" t="s">
        <v>1426</v>
      </c>
      <c r="B849" s="49">
        <v>43647</v>
      </c>
      <c r="D849" s="3">
        <v>106.93129999999999</v>
      </c>
      <c r="F849" s="3">
        <v>108.9102</v>
      </c>
      <c r="G849" s="3">
        <v>100.7786</v>
      </c>
      <c r="H849" s="3">
        <v>111.127</v>
      </c>
      <c r="J849" s="3">
        <v>119.52290000000001</v>
      </c>
      <c r="K849" s="3">
        <v>107.0908</v>
      </c>
      <c r="L849" s="3">
        <v>109.3</v>
      </c>
      <c r="M849" s="3">
        <v>106.3472</v>
      </c>
      <c r="N849" s="3">
        <v>103.57980000000001</v>
      </c>
      <c r="O849" s="3">
        <v>104.08</v>
      </c>
      <c r="P849" s="3">
        <v>103.6073</v>
      </c>
      <c r="Q849" s="3">
        <v>108.17610000000001</v>
      </c>
      <c r="S849" s="3">
        <v>103.08</v>
      </c>
      <c r="T849" s="3">
        <v>102.82559999999999</v>
      </c>
      <c r="V849" s="3">
        <v>106.849</v>
      </c>
      <c r="W849" s="3">
        <v>107.8</v>
      </c>
      <c r="X849" s="3">
        <v>99.298259999999999</v>
      </c>
      <c r="Y849" s="3">
        <v>109.2694</v>
      </c>
      <c r="AB849" s="3">
        <v>102.7893</v>
      </c>
      <c r="AC849" s="3">
        <v>110.2645</v>
      </c>
      <c r="AD849" s="3">
        <v>101.46980000000001</v>
      </c>
      <c r="AE849" s="3">
        <v>102.9122</v>
      </c>
      <c r="AF849" s="3">
        <v>100.779</v>
      </c>
      <c r="AH849" s="3">
        <v>111.3235</v>
      </c>
      <c r="AI849" s="3">
        <v>104.37</v>
      </c>
      <c r="AJ849" s="3">
        <v>108.5671</v>
      </c>
      <c r="AK849" s="3">
        <v>115.4346</v>
      </c>
      <c r="AL849" s="3">
        <v>105.9689</v>
      </c>
      <c r="AM849" s="3">
        <v>109.575</v>
      </c>
      <c r="AN849" s="3">
        <v>108.5256</v>
      </c>
      <c r="AO849" s="3">
        <v>109.15179999999999</v>
      </c>
      <c r="AP849" s="3">
        <v>103.36879999999999</v>
      </c>
      <c r="AQ849" s="3">
        <v>102.3977</v>
      </c>
      <c r="AT849" s="3">
        <v>106.28060000000001</v>
      </c>
      <c r="AU849" s="3">
        <v>104.2317</v>
      </c>
      <c r="AV849" s="3">
        <v>105.3545</v>
      </c>
      <c r="AW849" s="3">
        <v>160.30670000000001</v>
      </c>
      <c r="AX849" s="3">
        <v>108.80070000000001</v>
      </c>
      <c r="AY849" s="3">
        <v>120.3759</v>
      </c>
    </row>
    <row r="850" spans="1:51" x14ac:dyDescent="0.2">
      <c r="A850" s="74" t="s">
        <v>1427</v>
      </c>
      <c r="B850" s="49">
        <v>43678</v>
      </c>
      <c r="D850" s="3">
        <v>106.96040000000001</v>
      </c>
      <c r="F850" s="3">
        <v>109.09059999999999</v>
      </c>
      <c r="G850" s="3">
        <v>100.791</v>
      </c>
      <c r="H850" s="3">
        <v>111.2029</v>
      </c>
      <c r="J850" s="3">
        <v>119.6979</v>
      </c>
      <c r="K850" s="3">
        <v>107.0069</v>
      </c>
      <c r="L850" s="3">
        <v>109.6</v>
      </c>
      <c r="M850" s="3">
        <v>106.2045</v>
      </c>
      <c r="N850" s="3">
        <v>103.2987</v>
      </c>
      <c r="O850" s="3">
        <v>104.32</v>
      </c>
      <c r="P850" s="3">
        <v>103.7283</v>
      </c>
      <c r="Q850" s="3">
        <v>109.1977</v>
      </c>
      <c r="S850" s="3">
        <v>103.43</v>
      </c>
      <c r="T850" s="3">
        <v>103.34950000000001</v>
      </c>
      <c r="V850" s="3">
        <v>107.0997</v>
      </c>
      <c r="W850" s="3">
        <v>108.1</v>
      </c>
      <c r="X850" s="3">
        <v>98.552350000000004</v>
      </c>
      <c r="Y850" s="3">
        <v>109.2966</v>
      </c>
      <c r="AB850" s="3">
        <v>103.3862</v>
      </c>
      <c r="AC850" s="3">
        <v>110.8027</v>
      </c>
      <c r="AD850" s="3">
        <v>101.58839999999999</v>
      </c>
      <c r="AE850" s="3">
        <v>103.4482</v>
      </c>
      <c r="AF850" s="3">
        <v>101.0468</v>
      </c>
      <c r="AH850" s="3">
        <v>111.30540000000001</v>
      </c>
      <c r="AI850" s="3">
        <v>105.91</v>
      </c>
      <c r="AJ850" s="3">
        <v>108.7109</v>
      </c>
      <c r="AK850" s="3">
        <v>115.7135</v>
      </c>
      <c r="AL850" s="3">
        <v>106.5441</v>
      </c>
      <c r="AM850" s="3">
        <v>108.9759</v>
      </c>
      <c r="AN850" s="3">
        <v>108.7933</v>
      </c>
      <c r="AO850" s="3">
        <v>109.4825</v>
      </c>
      <c r="AP850" s="3">
        <v>103.5427</v>
      </c>
      <c r="AQ850" s="3">
        <v>102.259</v>
      </c>
      <c r="AT850" s="3">
        <v>106.6918</v>
      </c>
      <c r="AU850" s="3">
        <v>104.71169999999999</v>
      </c>
      <c r="AV850" s="3">
        <v>104.9691</v>
      </c>
      <c r="AW850" s="3">
        <v>162.76179999999999</v>
      </c>
      <c r="AX850" s="3">
        <v>109.0497</v>
      </c>
      <c r="AY850" s="3">
        <v>120.5767</v>
      </c>
    </row>
    <row r="851" spans="1:51" x14ac:dyDescent="0.2">
      <c r="A851" s="74" t="s">
        <v>1428</v>
      </c>
      <c r="B851" s="49">
        <v>43709</v>
      </c>
      <c r="D851" s="3">
        <v>106.6593</v>
      </c>
      <c r="F851" s="3">
        <v>108.6674</v>
      </c>
      <c r="G851" s="3">
        <v>100.7329</v>
      </c>
      <c r="H851" s="3">
        <v>111.2681</v>
      </c>
      <c r="J851" s="3">
        <v>119.89619999999999</v>
      </c>
      <c r="K851" s="3">
        <v>107.3561</v>
      </c>
      <c r="L851" s="3">
        <v>109</v>
      </c>
      <c r="M851" s="3">
        <v>106.221</v>
      </c>
      <c r="N851" s="3">
        <v>103.11239999999999</v>
      </c>
      <c r="O851" s="3">
        <v>104.71</v>
      </c>
      <c r="P851" s="3">
        <v>103.8342</v>
      </c>
      <c r="Q851" s="3">
        <v>109.36799999999999</v>
      </c>
      <c r="S851" s="3">
        <v>103.55</v>
      </c>
      <c r="T851" s="3">
        <v>102.95829999999999</v>
      </c>
      <c r="V851" s="3">
        <v>107.1027</v>
      </c>
      <c r="W851" s="3">
        <v>108.3</v>
      </c>
      <c r="X851" s="3">
        <v>101.3073</v>
      </c>
      <c r="Y851" s="3">
        <v>109.55970000000001</v>
      </c>
      <c r="AB851" s="3">
        <v>103.2487</v>
      </c>
      <c r="AC851" s="3">
        <v>111.0067</v>
      </c>
      <c r="AD851" s="3">
        <v>101.4402</v>
      </c>
      <c r="AE851" s="3">
        <v>102.7868</v>
      </c>
      <c r="AF851" s="3">
        <v>100.9228</v>
      </c>
      <c r="AH851" s="3">
        <v>112.6506</v>
      </c>
      <c r="AI851" s="3">
        <v>105.71</v>
      </c>
      <c r="AJ851" s="3">
        <v>109.2402</v>
      </c>
      <c r="AK851" s="3">
        <v>116.0318</v>
      </c>
      <c r="AL851" s="3">
        <v>105.77119999999999</v>
      </c>
      <c r="AM851" s="3">
        <v>109.90170000000001</v>
      </c>
      <c r="AN851" s="3">
        <v>108.87220000000001</v>
      </c>
      <c r="AO851" s="3">
        <v>109.5912</v>
      </c>
      <c r="AP851" s="3">
        <v>103.7166</v>
      </c>
      <c r="AQ851" s="3">
        <v>103.6362</v>
      </c>
      <c r="AT851" s="3">
        <v>106.75320000000001</v>
      </c>
      <c r="AU851" s="3">
        <v>104.74169999999999</v>
      </c>
      <c r="AV851" s="3">
        <v>105.6091</v>
      </c>
      <c r="AW851" s="3">
        <v>164.60820000000001</v>
      </c>
      <c r="AX851" s="3">
        <v>109.19540000000001</v>
      </c>
      <c r="AY851" s="3">
        <v>120.86960000000001</v>
      </c>
    </row>
    <row r="852" spans="1:51" x14ac:dyDescent="0.2">
      <c r="A852" s="74" t="s">
        <v>1412</v>
      </c>
      <c r="B852" s="49">
        <v>43739</v>
      </c>
      <c r="D852" s="3">
        <v>107.0187</v>
      </c>
      <c r="F852" s="3">
        <v>109.1322</v>
      </c>
      <c r="G852" s="3">
        <v>100.6143</v>
      </c>
      <c r="H852" s="3">
        <v>111.9191</v>
      </c>
      <c r="J852" s="3">
        <v>120.0128</v>
      </c>
      <c r="K852" s="3">
        <v>107.4239</v>
      </c>
      <c r="L852" s="3">
        <v>109.5</v>
      </c>
      <c r="M852" s="3">
        <v>106.40349999999999</v>
      </c>
      <c r="N852" s="3">
        <v>103.50360000000001</v>
      </c>
      <c r="O852" s="3">
        <v>104.83</v>
      </c>
      <c r="P852" s="3">
        <v>104.74079999999999</v>
      </c>
      <c r="Q852" s="3">
        <v>109.595</v>
      </c>
      <c r="S852" s="3">
        <v>103.61</v>
      </c>
      <c r="T852" s="3">
        <v>103.0027</v>
      </c>
      <c r="V852" s="3">
        <v>107.30029999999999</v>
      </c>
      <c r="W852" s="3">
        <v>108.4</v>
      </c>
      <c r="X852" s="3">
        <v>101.3926</v>
      </c>
      <c r="Y852" s="3">
        <v>110.0308</v>
      </c>
      <c r="AB852" s="3">
        <v>102.7409</v>
      </c>
      <c r="AC852" s="3">
        <v>111.4575</v>
      </c>
      <c r="AD852" s="3">
        <v>101.66459999999999</v>
      </c>
      <c r="AE852" s="3">
        <v>102.4408</v>
      </c>
      <c r="AF852" s="3">
        <v>101.34820000000001</v>
      </c>
      <c r="AH852" s="3">
        <v>113.0779</v>
      </c>
      <c r="AI852" s="3">
        <v>105.72</v>
      </c>
      <c r="AJ852" s="3">
        <v>109.4603</v>
      </c>
      <c r="AK852" s="3">
        <v>116.3168</v>
      </c>
      <c r="AL852" s="3">
        <v>106.3545</v>
      </c>
      <c r="AM852" s="3">
        <v>109.9983</v>
      </c>
      <c r="AN852" s="3">
        <v>109.1555</v>
      </c>
      <c r="AO852" s="3">
        <v>109.9058</v>
      </c>
      <c r="AP852" s="3">
        <v>104.0643</v>
      </c>
      <c r="AQ852" s="3">
        <v>103.66589999999999</v>
      </c>
      <c r="AT852" s="3">
        <v>106.77160000000001</v>
      </c>
      <c r="AU852" s="3">
        <v>104.6317</v>
      </c>
      <c r="AV852" s="3">
        <v>105.646</v>
      </c>
      <c r="AW852" s="3">
        <v>167.19820000000001</v>
      </c>
      <c r="AX852" s="3">
        <v>109.4171</v>
      </c>
      <c r="AY852" s="3">
        <v>120.85429999999999</v>
      </c>
    </row>
    <row r="853" spans="1:51" x14ac:dyDescent="0.2">
      <c r="A853" s="74" t="s">
        <v>1413</v>
      </c>
      <c r="B853" s="49">
        <v>43770</v>
      </c>
      <c r="D853" s="3">
        <v>107.0575</v>
      </c>
      <c r="F853" s="3">
        <v>108.79519999999999</v>
      </c>
      <c r="G853" s="3">
        <v>100.5694</v>
      </c>
      <c r="H853" s="3">
        <v>111.74550000000001</v>
      </c>
      <c r="J853" s="3">
        <v>120.1995</v>
      </c>
      <c r="K853" s="3">
        <v>107.40819999999999</v>
      </c>
      <c r="L853" s="3">
        <v>109.5</v>
      </c>
      <c r="M853" s="3">
        <v>105.3459</v>
      </c>
      <c r="N853" s="3">
        <v>103.18519999999999</v>
      </c>
      <c r="O853" s="3">
        <v>104.27</v>
      </c>
      <c r="P853" s="3">
        <v>105.119</v>
      </c>
      <c r="Q853" s="3">
        <v>108.9139</v>
      </c>
      <c r="S853" s="3">
        <v>103.43</v>
      </c>
      <c r="T853" s="3">
        <v>103.0145</v>
      </c>
      <c r="V853" s="3">
        <v>107.2124</v>
      </c>
      <c r="W853" s="3">
        <v>108.6</v>
      </c>
      <c r="X853" s="3">
        <v>100.4481</v>
      </c>
      <c r="Y853" s="3">
        <v>110.06310000000001</v>
      </c>
      <c r="AB853" s="3">
        <v>102.7015</v>
      </c>
      <c r="AC853" s="3">
        <v>111.5514</v>
      </c>
      <c r="AD853" s="3">
        <v>101.3222</v>
      </c>
      <c r="AE853" s="3">
        <v>102.07170000000001</v>
      </c>
      <c r="AF853" s="3">
        <v>101.49630000000001</v>
      </c>
      <c r="AH853" s="3">
        <v>112.7937</v>
      </c>
      <c r="AI853" s="3">
        <v>105.76</v>
      </c>
      <c r="AJ853" s="3">
        <v>109.19199999999999</v>
      </c>
      <c r="AK853" s="3">
        <v>116.5688</v>
      </c>
      <c r="AL853" s="3">
        <v>105.7983</v>
      </c>
      <c r="AM853" s="3">
        <v>109.93129999999999</v>
      </c>
      <c r="AN853" s="3">
        <v>109.10509999999999</v>
      </c>
      <c r="AO853" s="3">
        <v>109.7295</v>
      </c>
      <c r="AP853" s="3">
        <v>104.0643</v>
      </c>
      <c r="AQ853" s="3">
        <v>103.4479</v>
      </c>
      <c r="AT853" s="3">
        <v>106.92100000000001</v>
      </c>
      <c r="AU853" s="3">
        <v>104.79170000000001</v>
      </c>
      <c r="AV853" s="3">
        <v>105.5187</v>
      </c>
      <c r="AW853" s="3">
        <v>167.8518</v>
      </c>
      <c r="AX853" s="3">
        <v>109.43729999999999</v>
      </c>
      <c r="AY853" s="3">
        <v>120.9522</v>
      </c>
    </row>
    <row r="854" spans="1:51" x14ac:dyDescent="0.2">
      <c r="A854" s="74" t="s">
        <v>1414</v>
      </c>
      <c r="B854" s="49">
        <v>43800</v>
      </c>
      <c r="D854" s="3">
        <v>107.27119999999999</v>
      </c>
      <c r="F854" s="3">
        <v>108.6464</v>
      </c>
      <c r="G854" s="3">
        <v>100.6075</v>
      </c>
      <c r="H854" s="3">
        <v>111.8866</v>
      </c>
      <c r="J854" s="3">
        <v>120.6194</v>
      </c>
      <c r="K854" s="3">
        <v>107.3818</v>
      </c>
      <c r="L854" s="3">
        <v>109.5</v>
      </c>
      <c r="M854" s="3">
        <v>105.929</v>
      </c>
      <c r="N854" s="3">
        <v>102.9756</v>
      </c>
      <c r="O854" s="3">
        <v>104.69</v>
      </c>
      <c r="P854" s="3">
        <v>105.19759999999999</v>
      </c>
      <c r="Q854" s="3">
        <v>108.28959999999999</v>
      </c>
      <c r="S854" s="3">
        <v>103.4</v>
      </c>
      <c r="T854" s="3">
        <v>103.389</v>
      </c>
      <c r="V854" s="3">
        <v>107.2586</v>
      </c>
      <c r="W854" s="3">
        <v>108.6</v>
      </c>
      <c r="X854" s="3">
        <v>101.265</v>
      </c>
      <c r="Y854" s="3">
        <v>110.16200000000001</v>
      </c>
      <c r="AB854" s="3">
        <v>102.90900000000001</v>
      </c>
      <c r="AC854" s="3">
        <v>111.81959999999999</v>
      </c>
      <c r="AD854" s="3">
        <v>101.4692</v>
      </c>
      <c r="AE854" s="3">
        <v>102.30500000000001</v>
      </c>
      <c r="AF854" s="3">
        <v>101.5128</v>
      </c>
      <c r="AH854" s="3">
        <v>113.21599999999999</v>
      </c>
      <c r="AI854" s="3">
        <v>105.89</v>
      </c>
      <c r="AJ854" s="3">
        <v>108.56489999999999</v>
      </c>
      <c r="AK854" s="3">
        <v>117.04130000000001</v>
      </c>
      <c r="AL854" s="3">
        <v>105.92310000000001</v>
      </c>
      <c r="AM854" s="3">
        <v>110.13509999999999</v>
      </c>
      <c r="AN854" s="3">
        <v>109.2028</v>
      </c>
      <c r="AO854" s="3">
        <v>110.0076</v>
      </c>
      <c r="AP854" s="3">
        <v>104.6729</v>
      </c>
      <c r="AQ854" s="3">
        <v>103.24979999999999</v>
      </c>
      <c r="AT854" s="3">
        <v>106.77160000000001</v>
      </c>
      <c r="AU854" s="3">
        <v>104.43170000000001</v>
      </c>
      <c r="AV854" s="3">
        <v>106.1855</v>
      </c>
      <c r="AW854" s="3">
        <v>167.9948</v>
      </c>
      <c r="AX854" s="3">
        <v>109.3659</v>
      </c>
      <c r="AY854" s="3">
        <v>121.2452</v>
      </c>
    </row>
    <row r="855" spans="1:51" x14ac:dyDescent="0.2">
      <c r="A855" s="3" t="s">
        <v>1429</v>
      </c>
      <c r="B855" s="49">
        <v>43831</v>
      </c>
      <c r="D855" s="3">
        <v>107.95099999999999</v>
      </c>
      <c r="F855" s="3">
        <v>108.77760000000001</v>
      </c>
      <c r="G855" s="3">
        <v>100.4435</v>
      </c>
      <c r="H855" s="3">
        <v>112.33150000000001</v>
      </c>
      <c r="J855" s="3">
        <v>121.191</v>
      </c>
      <c r="K855" s="3">
        <v>107.9902</v>
      </c>
      <c r="L855" s="3">
        <v>111</v>
      </c>
      <c r="M855" s="3">
        <v>104.87</v>
      </c>
      <c r="N855" s="3">
        <v>102.9716</v>
      </c>
      <c r="O855" s="3">
        <v>102.91</v>
      </c>
      <c r="P855" s="3">
        <v>103.1848</v>
      </c>
      <c r="Q855" s="3">
        <v>107.6653</v>
      </c>
      <c r="S855" s="3">
        <v>102.89</v>
      </c>
      <c r="T855" s="3">
        <v>102.6673</v>
      </c>
      <c r="V855" s="3">
        <v>107.29689999999999</v>
      </c>
      <c r="W855" s="3">
        <v>108.2</v>
      </c>
      <c r="X855" s="3">
        <v>98.127589999999998</v>
      </c>
      <c r="Y855" s="3">
        <v>110.4872</v>
      </c>
      <c r="AB855" s="3">
        <v>101.953</v>
      </c>
      <c r="AC855" s="3">
        <v>110.43559999999999</v>
      </c>
      <c r="AD855" s="3">
        <v>101.0968</v>
      </c>
      <c r="AE855" s="3">
        <v>102.2407</v>
      </c>
      <c r="AF855" s="3">
        <v>101.17449999999999</v>
      </c>
      <c r="AH855" s="3">
        <v>112.7384</v>
      </c>
      <c r="AI855" s="3">
        <v>104.47</v>
      </c>
      <c r="AJ855" s="3">
        <v>108.3463</v>
      </c>
      <c r="AK855" s="3">
        <v>117.36799999999999</v>
      </c>
      <c r="AL855" s="3">
        <v>105.2503</v>
      </c>
      <c r="AM855" s="3">
        <v>110.20229999999999</v>
      </c>
      <c r="AN855" s="3">
        <v>109.1808</v>
      </c>
      <c r="AO855" s="3">
        <v>109.4011</v>
      </c>
      <c r="AP855" s="3">
        <v>104.7598</v>
      </c>
      <c r="AQ855" s="3">
        <v>101.88249999999999</v>
      </c>
      <c r="AT855" s="3">
        <v>107.3668</v>
      </c>
      <c r="AU855" s="3">
        <v>102.6617</v>
      </c>
      <c r="AV855" s="3">
        <v>104.6373</v>
      </c>
      <c r="AW855" s="3">
        <v>168.64019999999999</v>
      </c>
      <c r="AX855" s="3">
        <v>109.80719999999999</v>
      </c>
      <c r="AY855" s="3">
        <v>121.37479999999999</v>
      </c>
    </row>
    <row r="856" spans="1:51" x14ac:dyDescent="0.2">
      <c r="A856" s="74" t="s">
        <v>1430</v>
      </c>
      <c r="B856" s="49">
        <v>43862</v>
      </c>
      <c r="D856" s="3">
        <v>107.9122</v>
      </c>
      <c r="F856" s="3">
        <v>109.62560000000001</v>
      </c>
      <c r="G856" s="3">
        <v>100.74290000000001</v>
      </c>
      <c r="H856" s="3">
        <v>112.80889999999999</v>
      </c>
      <c r="J856" s="3">
        <v>121.9143</v>
      </c>
      <c r="K856" s="3">
        <v>108.23739999999999</v>
      </c>
      <c r="L856" s="3">
        <v>111.4</v>
      </c>
      <c r="M856" s="3">
        <v>105.3663</v>
      </c>
      <c r="N856" s="3">
        <v>103.85429999999999</v>
      </c>
      <c r="O856" s="3">
        <v>103.31</v>
      </c>
      <c r="P856" s="3">
        <v>103.4228</v>
      </c>
      <c r="Q856" s="3">
        <v>108.2329</v>
      </c>
      <c r="S856" s="3">
        <v>103.34</v>
      </c>
      <c r="T856" s="3">
        <v>102.9119</v>
      </c>
      <c r="V856" s="3">
        <v>107.706</v>
      </c>
      <c r="W856" s="3">
        <v>108.6</v>
      </c>
      <c r="X856" s="3">
        <v>98.107550000000003</v>
      </c>
      <c r="Y856" s="3">
        <v>110.8621</v>
      </c>
      <c r="AB856" s="3">
        <v>102.8664</v>
      </c>
      <c r="AC856" s="3">
        <v>111.798</v>
      </c>
      <c r="AD856" s="3">
        <v>101.03489999999999</v>
      </c>
      <c r="AE856" s="3">
        <v>102.1939</v>
      </c>
      <c r="AF856" s="3">
        <v>101.14700000000001</v>
      </c>
      <c r="AH856" s="3">
        <v>112.90949999999999</v>
      </c>
      <c r="AI856" s="3">
        <v>106.37</v>
      </c>
      <c r="AJ856" s="3">
        <v>108.5642</v>
      </c>
      <c r="AK856" s="3">
        <v>117.7694</v>
      </c>
      <c r="AL856" s="3">
        <v>106.03579999999999</v>
      </c>
      <c r="AM856" s="3">
        <v>110.5642</v>
      </c>
      <c r="AN856" s="3">
        <v>109.5577</v>
      </c>
      <c r="AO856" s="3">
        <v>109.703</v>
      </c>
      <c r="AP856" s="3">
        <v>105.36839999999999</v>
      </c>
      <c r="AQ856" s="3">
        <v>101.2088</v>
      </c>
      <c r="AT856" s="3">
        <v>107.6307</v>
      </c>
      <c r="AU856" s="3">
        <v>103.7817</v>
      </c>
      <c r="AV856" s="3">
        <v>105.3746</v>
      </c>
      <c r="AW856" s="3">
        <v>168.3869</v>
      </c>
      <c r="AX856" s="3">
        <v>110.3289</v>
      </c>
      <c r="AY856" s="3">
        <v>122.8944</v>
      </c>
    </row>
    <row r="857" spans="1:51" x14ac:dyDescent="0.2">
      <c r="A857" s="74" t="s">
        <v>1431</v>
      </c>
      <c r="B857" s="49">
        <v>43891</v>
      </c>
      <c r="D857" s="3">
        <v>107.8442</v>
      </c>
      <c r="F857" s="3">
        <v>109.9258</v>
      </c>
      <c r="G857" s="3">
        <v>100.96469999999999</v>
      </c>
      <c r="H857" s="3">
        <v>113.1019</v>
      </c>
      <c r="J857" s="3">
        <v>122.2642</v>
      </c>
      <c r="K857" s="3">
        <v>108.2877</v>
      </c>
      <c r="L857" s="3">
        <v>111.4</v>
      </c>
      <c r="M857" s="3">
        <v>105.8015</v>
      </c>
      <c r="N857" s="3">
        <v>103.7611</v>
      </c>
      <c r="O857" s="3">
        <v>104.49</v>
      </c>
      <c r="P857" s="3">
        <v>103.9714</v>
      </c>
      <c r="Q857" s="3">
        <v>108.17610000000001</v>
      </c>
      <c r="S857" s="3">
        <v>103.51</v>
      </c>
      <c r="T857" s="3">
        <v>103.4802</v>
      </c>
      <c r="V857" s="3">
        <v>107.8372</v>
      </c>
      <c r="W857" s="3">
        <v>108.8</v>
      </c>
      <c r="X857" s="3">
        <v>101.4328</v>
      </c>
      <c r="Y857" s="3">
        <v>111.38849999999999</v>
      </c>
      <c r="AB857" s="3">
        <v>103.6035</v>
      </c>
      <c r="AC857" s="3">
        <v>112.1408</v>
      </c>
      <c r="AD857" s="3">
        <v>101.4926</v>
      </c>
      <c r="AE857" s="3">
        <v>102.4641</v>
      </c>
      <c r="AF857" s="3">
        <v>101.1717</v>
      </c>
      <c r="AH857" s="3">
        <v>113.7396</v>
      </c>
      <c r="AI857" s="3">
        <v>105.93</v>
      </c>
      <c r="AJ857" s="3">
        <v>109.7495</v>
      </c>
      <c r="AK857" s="3">
        <v>118.0692</v>
      </c>
      <c r="AL857" s="3">
        <v>106.50449999999999</v>
      </c>
      <c r="AM857" s="3">
        <v>111.126</v>
      </c>
      <c r="AN857" s="3">
        <v>109.7756</v>
      </c>
      <c r="AO857" s="3">
        <v>110.215</v>
      </c>
      <c r="AP857" s="3">
        <v>105.89</v>
      </c>
      <c r="AQ857" s="3">
        <v>103.2993</v>
      </c>
      <c r="AT857" s="3">
        <v>107.8578</v>
      </c>
      <c r="AU857" s="3">
        <v>104.2517</v>
      </c>
      <c r="AV857" s="3">
        <v>105.4516</v>
      </c>
      <c r="AW857" s="3">
        <v>169.61250000000001</v>
      </c>
      <c r="AX857" s="3">
        <v>110.3471</v>
      </c>
      <c r="AY857" s="3">
        <v>123.5363</v>
      </c>
    </row>
    <row r="858" spans="1:51" x14ac:dyDescent="0.2">
      <c r="A858" s="74" t="s">
        <v>1432</v>
      </c>
      <c r="B858" s="49">
        <v>43922</v>
      </c>
      <c r="D858" s="3">
        <v>108.04819999999999</v>
      </c>
      <c r="F858" s="3">
        <v>109.7055</v>
      </c>
      <c r="G858" s="3">
        <v>100.6365</v>
      </c>
      <c r="H858" s="3">
        <v>112.99339999999999</v>
      </c>
      <c r="J858" s="3">
        <v>122.08929999999999</v>
      </c>
      <c r="K858" s="3">
        <v>108.12949999999999</v>
      </c>
      <c r="L858" s="3">
        <v>111.3</v>
      </c>
      <c r="M858" s="3">
        <v>106.5607</v>
      </c>
      <c r="N858" s="3">
        <v>104.05289999999999</v>
      </c>
      <c r="O858" s="3">
        <v>105.26</v>
      </c>
      <c r="P858" s="3">
        <v>105.2491</v>
      </c>
      <c r="Q858" s="3">
        <v>107.6653</v>
      </c>
      <c r="S858" s="3">
        <v>103.42</v>
      </c>
      <c r="T858" s="3">
        <v>103.51049999999999</v>
      </c>
      <c r="V858" s="3">
        <v>107.6703</v>
      </c>
      <c r="W858" s="3">
        <v>109</v>
      </c>
      <c r="X858" s="3">
        <v>101.5414</v>
      </c>
      <c r="Y858" s="3">
        <v>111.4816</v>
      </c>
      <c r="AB858" s="3">
        <v>103.58</v>
      </c>
      <c r="AC858" s="3">
        <v>112.7851</v>
      </c>
      <c r="AD858" s="3">
        <v>101.42310000000001</v>
      </c>
      <c r="AE858" s="3">
        <v>103.11</v>
      </c>
      <c r="AF858" s="3">
        <v>101.1772</v>
      </c>
      <c r="AH858" s="3">
        <v>114.5339</v>
      </c>
      <c r="AI858" s="3">
        <v>106.4</v>
      </c>
      <c r="AJ858" s="3">
        <v>110.312</v>
      </c>
      <c r="AK858" s="3">
        <v>118.2328</v>
      </c>
      <c r="AL858" s="3">
        <v>107.3222</v>
      </c>
      <c r="AM858" s="3">
        <v>112.21850000000001</v>
      </c>
      <c r="AN858" s="3">
        <v>109.77200000000001</v>
      </c>
      <c r="AO858" s="3">
        <v>110.8002</v>
      </c>
      <c r="AP858" s="3">
        <v>106.7594</v>
      </c>
      <c r="AQ858" s="3">
        <v>103.7452</v>
      </c>
      <c r="AT858" s="3">
        <v>108.05410000000001</v>
      </c>
      <c r="AU858" s="3">
        <v>104.2717</v>
      </c>
      <c r="AV858" s="3">
        <v>105.4349</v>
      </c>
      <c r="AX858" s="3">
        <v>109.84220000000001</v>
      </c>
    </row>
    <row r="859" spans="1:51" x14ac:dyDescent="0.2">
      <c r="A859" s="74" t="s">
        <v>1433</v>
      </c>
      <c r="B859" s="49">
        <v>43952</v>
      </c>
      <c r="D859" s="3">
        <v>108.04819999999999</v>
      </c>
      <c r="G859" s="3">
        <v>100.7</v>
      </c>
      <c r="H859" s="3">
        <v>113.1019</v>
      </c>
      <c r="N859" s="3">
        <v>103.8878</v>
      </c>
      <c r="Q859" s="3">
        <v>107.6653</v>
      </c>
      <c r="X859" s="3">
        <v>100.8687</v>
      </c>
      <c r="Y859" s="3">
        <v>111.61279999999999</v>
      </c>
      <c r="AB859" s="3">
        <v>103.19840000000001</v>
      </c>
      <c r="AC859" s="3">
        <v>113.3687</v>
      </c>
      <c r="AH859" s="3">
        <v>114.6618</v>
      </c>
      <c r="AI859" s="3">
        <v>106.41</v>
      </c>
      <c r="AJ859" s="3">
        <v>109.57259999999999</v>
      </c>
      <c r="AK859" s="3">
        <v>118.3616</v>
      </c>
      <c r="AL859" s="3">
        <v>107.14109999999999</v>
      </c>
      <c r="AM859" s="3">
        <v>112.4366</v>
      </c>
      <c r="AV859" s="3">
        <v>106.0347</v>
      </c>
      <c r="AX859" s="3">
        <v>109.7225</v>
      </c>
    </row>
  </sheetData>
  <phoneticPr fontId="7"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A1B0CA-3215-481E-B36E-AEE350091DBB}">
  <sheetPr codeName="Sheet10">
    <tabColor rgb="FF00B050"/>
  </sheetPr>
  <dimension ref="A1:BT392"/>
  <sheetViews>
    <sheetView zoomScale="150" zoomScaleNormal="150" workbookViewId="0">
      <pane xSplit="1" ySplit="9" topLeftCell="B110" activePane="bottomRight" state="frozen"/>
      <selection activeCell="AC102" sqref="AC102"/>
      <selection pane="topRight" activeCell="AC102" sqref="AC102"/>
      <selection pane="bottomLeft" activeCell="AC102" sqref="AC102"/>
      <selection pane="bottomRight" activeCell="AC65" sqref="AC65"/>
    </sheetView>
  </sheetViews>
  <sheetFormatPr baseColWidth="10" defaultColWidth="8.83203125" defaultRowHeight="15" x14ac:dyDescent="0.2"/>
  <cols>
    <col min="1" max="1" width="9.1640625" style="3"/>
    <col min="2" max="2" width="13.6640625" customWidth="1"/>
    <col min="3" max="3" width="9.1640625" customWidth="1"/>
    <col min="4" max="4" width="7" customWidth="1"/>
    <col min="5" max="5" width="7.33203125" customWidth="1"/>
    <col min="6" max="6" width="7" customWidth="1"/>
    <col min="7" max="9" width="7.33203125" customWidth="1"/>
    <col min="10" max="12" width="7.1640625" customWidth="1"/>
    <col min="13" max="13" width="7.33203125" customWidth="1"/>
    <col min="14" max="14" width="7" hidden="1" customWidth="1"/>
    <col min="15" max="15" width="6.83203125" customWidth="1"/>
    <col min="16" max="16" width="6.1640625" customWidth="1"/>
    <col min="17" max="17" width="7.6640625" hidden="1" customWidth="1"/>
    <col min="18" max="18" width="6.6640625" customWidth="1"/>
    <col min="19" max="19" width="6.1640625" customWidth="1"/>
    <col min="20" max="20" width="7" customWidth="1"/>
    <col min="21" max="21" width="7.33203125" customWidth="1"/>
    <col min="22" max="22" width="7.1640625" hidden="1" customWidth="1"/>
    <col min="23" max="23" width="7" customWidth="1"/>
    <col min="24" max="24" width="6.1640625" customWidth="1"/>
    <col min="25" max="25" width="7" customWidth="1"/>
    <col min="26" max="27" width="6.33203125" hidden="1" customWidth="1"/>
    <col min="28" max="28" width="6.1640625" customWidth="1"/>
    <col min="29" max="30" width="15.33203125" style="3" customWidth="1"/>
    <col min="31" max="31" width="10.6640625" style="3" bestFit="1" customWidth="1"/>
    <col min="32" max="72" width="9.1640625" style="3"/>
  </cols>
  <sheetData>
    <row r="1" spans="2:31" x14ac:dyDescent="0.2">
      <c r="C1" t="s">
        <v>853</v>
      </c>
      <c r="D1" t="s">
        <v>856</v>
      </c>
      <c r="E1" t="s">
        <v>871</v>
      </c>
      <c r="F1" t="s">
        <v>839</v>
      </c>
      <c r="G1" t="s">
        <v>833</v>
      </c>
      <c r="H1" t="s">
        <v>832</v>
      </c>
      <c r="I1" t="s">
        <v>852</v>
      </c>
      <c r="J1" t="s">
        <v>838</v>
      </c>
      <c r="K1" t="s">
        <v>848</v>
      </c>
      <c r="L1" t="s">
        <v>849</v>
      </c>
      <c r="M1" t="s">
        <v>842</v>
      </c>
      <c r="N1" t="s">
        <v>861</v>
      </c>
      <c r="O1" t="s">
        <v>858</v>
      </c>
      <c r="P1" t="s">
        <v>768</v>
      </c>
      <c r="Q1" t="s">
        <v>902</v>
      </c>
      <c r="R1" t="s">
        <v>850</v>
      </c>
      <c r="S1" t="s">
        <v>840</v>
      </c>
      <c r="T1" t="s">
        <v>854</v>
      </c>
      <c r="U1" t="s">
        <v>834</v>
      </c>
      <c r="V1" t="s">
        <v>837</v>
      </c>
      <c r="W1" t="s">
        <v>851</v>
      </c>
      <c r="X1" t="s">
        <v>829</v>
      </c>
      <c r="Y1" t="s">
        <v>845</v>
      </c>
      <c r="Z1" t="s">
        <v>903</v>
      </c>
      <c r="AA1" t="s">
        <v>904</v>
      </c>
      <c r="AE1" s="28" t="s">
        <v>906</v>
      </c>
    </row>
    <row r="2" spans="2:31" s="3" customFormat="1" ht="16" thickBot="1" x14ac:dyDescent="0.25">
      <c r="AD2" s="3" t="s">
        <v>905</v>
      </c>
      <c r="AE2" s="29">
        <v>43922</v>
      </c>
    </row>
    <row r="3" spans="2:31" ht="75.75" customHeight="1" x14ac:dyDescent="0.2">
      <c r="B3" s="55"/>
      <c r="C3" s="56" t="s">
        <v>907</v>
      </c>
      <c r="D3" s="57" t="s">
        <v>908</v>
      </c>
      <c r="E3" s="58" t="s">
        <v>909</v>
      </c>
      <c r="F3" s="59" t="s">
        <v>910</v>
      </c>
      <c r="G3" s="60" t="s">
        <v>911</v>
      </c>
      <c r="H3" s="60" t="s">
        <v>912</v>
      </c>
      <c r="I3" s="60" t="s">
        <v>913</v>
      </c>
      <c r="J3" s="60" t="s">
        <v>914</v>
      </c>
      <c r="K3" s="60" t="s">
        <v>915</v>
      </c>
      <c r="L3" s="60" t="s">
        <v>916</v>
      </c>
      <c r="M3" s="60" t="s">
        <v>917</v>
      </c>
      <c r="N3" s="60" t="s">
        <v>918</v>
      </c>
      <c r="O3" s="60" t="s">
        <v>919</v>
      </c>
      <c r="P3" s="60" t="s">
        <v>920</v>
      </c>
      <c r="Q3" s="60" t="s">
        <v>921</v>
      </c>
      <c r="R3" s="61" t="s">
        <v>922</v>
      </c>
      <c r="S3" s="60" t="s">
        <v>923</v>
      </c>
      <c r="T3" s="60" t="s">
        <v>924</v>
      </c>
      <c r="U3" s="60" t="s">
        <v>925</v>
      </c>
      <c r="V3" s="60" t="s">
        <v>926</v>
      </c>
      <c r="W3" s="60" t="s">
        <v>927</v>
      </c>
      <c r="X3" s="60" t="s">
        <v>928</v>
      </c>
      <c r="Y3" s="62" t="s">
        <v>929</v>
      </c>
      <c r="Z3" s="50" t="s">
        <v>930</v>
      </c>
      <c r="AA3" s="9" t="s">
        <v>931</v>
      </c>
      <c r="AB3" s="11"/>
    </row>
    <row r="4" spans="2:31" x14ac:dyDescent="0.2">
      <c r="B4" s="63" t="s">
        <v>932</v>
      </c>
      <c r="C4" s="23">
        <f>MAX(C111:C122)</f>
        <v>2.4865348399246659E-2</v>
      </c>
      <c r="D4" s="23">
        <f t="shared" ref="D4:Y4" si="0">MAX(D111:D122)</f>
        <v>5.4205607476635491E-2</v>
      </c>
      <c r="E4" s="23">
        <f t="shared" si="0"/>
        <v>1.3596193065941592E-2</v>
      </c>
      <c r="F4" s="23">
        <f t="shared" si="0"/>
        <v>7.9207920792078931E-3</v>
      </c>
      <c r="G4" s="23">
        <f t="shared" si="0"/>
        <v>1.7408129402072453E-2</v>
      </c>
      <c r="H4" s="23">
        <f t="shared" si="0"/>
        <v>1.4852926900300953E-2</v>
      </c>
      <c r="I4" s="23">
        <f t="shared" si="0"/>
        <v>1.9830028328611842E-2</v>
      </c>
      <c r="J4" s="23">
        <f t="shared" si="0"/>
        <v>7.8277886497064297E-3</v>
      </c>
      <c r="K4" s="23">
        <f t="shared" si="0"/>
        <v>1.0972943387311701E-2</v>
      </c>
      <c r="L4" s="23">
        <f t="shared" si="0"/>
        <v>2.16253153910849E-2</v>
      </c>
      <c r="M4" s="23">
        <f t="shared" si="0"/>
        <v>4.2819599669194887E-2</v>
      </c>
      <c r="N4" s="23" t="e">
        <f t="shared" si="0"/>
        <v>#DIV/0!</v>
      </c>
      <c r="O4" s="23">
        <f t="shared" si="0"/>
        <v>9.6345465899034047E-2</v>
      </c>
      <c r="P4" s="23">
        <f t="shared" si="0"/>
        <v>2.3987893623279171E-2</v>
      </c>
      <c r="Q4" s="23" t="e">
        <f t="shared" si="0"/>
        <v>#N/A</v>
      </c>
      <c r="R4" s="23">
        <f t="shared" si="0"/>
        <v>6.342248762458094E-3</v>
      </c>
      <c r="S4" s="23">
        <f t="shared" si="0"/>
        <v>1.4869531849578007E-2</v>
      </c>
      <c r="T4" s="23">
        <f t="shared" si="0"/>
        <v>4.6581929775837444E-2</v>
      </c>
      <c r="U4" s="23">
        <f t="shared" si="0"/>
        <v>8.63170584689559E-3</v>
      </c>
      <c r="V4" s="23" t="e">
        <f t="shared" si="0"/>
        <v>#DIV/0!</v>
      </c>
      <c r="W4" s="23">
        <f t="shared" si="0"/>
        <v>0.1871164703338892</v>
      </c>
      <c r="X4" s="23">
        <f t="shared" si="0"/>
        <v>3.7278657968313145E-2</v>
      </c>
      <c r="Y4" s="64">
        <f t="shared" si="0"/>
        <v>4.6985076177585121E-2</v>
      </c>
      <c r="Z4" s="51" t="e">
        <f t="shared" ref="Z4:AA4" si="1">MAX(Z94:Z106)</f>
        <v>#N/A</v>
      </c>
      <c r="AA4" s="23" t="e">
        <f t="shared" si="1"/>
        <v>#N/A</v>
      </c>
      <c r="AB4" s="13"/>
    </row>
    <row r="5" spans="2:31" x14ac:dyDescent="0.2">
      <c r="B5" s="63" t="s">
        <v>933</v>
      </c>
      <c r="C5" s="23">
        <f>MIN(C111:C122)</f>
        <v>3.2916459528243851E-3</v>
      </c>
      <c r="D5" s="23">
        <f t="shared" ref="D5:Y5" si="2">MIN(D111:D122)</f>
        <v>2.6692087702573853E-2</v>
      </c>
      <c r="E5" s="23">
        <f t="shared" si="2"/>
        <v>3.1398667935300904E-3</v>
      </c>
      <c r="F5" s="23">
        <f t="shared" si="2"/>
        <v>9.8231827111992668E-4</v>
      </c>
      <c r="G5" s="23">
        <f t="shared" si="2"/>
        <v>8.5556109962696136E-3</v>
      </c>
      <c r="H5" s="23">
        <f t="shared" si="2"/>
        <v>3.2623296872001861E-3</v>
      </c>
      <c r="I5" s="23">
        <f t="shared" si="2"/>
        <v>9.2936802973977699E-3</v>
      </c>
      <c r="J5" s="23">
        <f t="shared" si="2"/>
        <v>0</v>
      </c>
      <c r="K5" s="23">
        <f t="shared" si="2"/>
        <v>-7.1701423600913188E-3</v>
      </c>
      <c r="L5" s="23">
        <f t="shared" si="2"/>
        <v>-3.6219855083065794E-3</v>
      </c>
      <c r="M5" s="23">
        <f t="shared" si="2"/>
        <v>2.148121494338024E-2</v>
      </c>
      <c r="N5" s="23" t="e">
        <f t="shared" si="2"/>
        <v>#DIV/0!</v>
      </c>
      <c r="O5" s="23">
        <f t="shared" si="2"/>
        <v>5.4486940478275188E-2</v>
      </c>
      <c r="P5" s="23">
        <f t="shared" si="2"/>
        <v>-2.2065399573582022E-3</v>
      </c>
      <c r="Q5" s="23" t="e">
        <f t="shared" si="2"/>
        <v>#N/A</v>
      </c>
      <c r="R5" s="23">
        <f t="shared" si="2"/>
        <v>-1.0630718629897114E-2</v>
      </c>
      <c r="S5" s="23">
        <f t="shared" si="2"/>
        <v>-4.259346900142005E-3</v>
      </c>
      <c r="T5" s="23">
        <f t="shared" si="2"/>
        <v>2.3992556802802444E-2</v>
      </c>
      <c r="U5" s="23">
        <f t="shared" si="2"/>
        <v>-1.4354071654245461E-2</v>
      </c>
      <c r="V5" s="23" t="e">
        <f t="shared" si="2"/>
        <v>#DIV/0!</v>
      </c>
      <c r="W5" s="23">
        <f t="shared" si="2"/>
        <v>8.5528686956979141E-2</v>
      </c>
      <c r="X5" s="23">
        <f t="shared" si="2"/>
        <v>2.6515151515151623E-2</v>
      </c>
      <c r="Y5" s="64">
        <f t="shared" si="2"/>
        <v>2.2852617750615509E-2</v>
      </c>
      <c r="Z5" s="51" t="e">
        <f t="shared" ref="Z5:AA5" si="3">MIN(Z94:Z106)</f>
        <v>#N/A</v>
      </c>
      <c r="AA5" s="23" t="e">
        <f t="shared" si="3"/>
        <v>#N/A</v>
      </c>
      <c r="AB5" s="13"/>
    </row>
    <row r="6" spans="2:31" x14ac:dyDescent="0.2">
      <c r="B6" s="63" t="s">
        <v>934</v>
      </c>
      <c r="C6" s="23">
        <f>AVERAGE(C111:C122)</f>
        <v>1.7918079083609362E-2</v>
      </c>
      <c r="D6" s="23">
        <f t="shared" ref="D6:Y6" si="4">AVERAGE(D111:D122)</f>
        <v>3.7344754901801884E-2</v>
      </c>
      <c r="E6" s="23">
        <f t="shared" si="4"/>
        <v>1.0005663032534709E-2</v>
      </c>
      <c r="F6" s="23">
        <f t="shared" si="4"/>
        <v>4.6861695411564786E-3</v>
      </c>
      <c r="G6" s="23">
        <f t="shared" si="4"/>
        <v>1.415386047305022E-2</v>
      </c>
      <c r="H6" s="23">
        <f t="shared" si="4"/>
        <v>1.0241511265646337E-2</v>
      </c>
      <c r="I6" s="23">
        <f t="shared" si="4"/>
        <v>1.6115080671472378E-2</v>
      </c>
      <c r="J6" s="23">
        <f t="shared" si="4"/>
        <v>3.5778919333772346E-3</v>
      </c>
      <c r="K6" s="23">
        <f t="shared" si="4"/>
        <v>3.8297758868089198E-3</v>
      </c>
      <c r="L6" s="23">
        <f t="shared" si="4"/>
        <v>1.3561627455358728E-2</v>
      </c>
      <c r="M6" s="23">
        <f t="shared" si="4"/>
        <v>3.2770673945190468E-2</v>
      </c>
      <c r="N6" s="23" t="e">
        <f t="shared" si="4"/>
        <v>#DIV/0!</v>
      </c>
      <c r="O6" s="23">
        <f t="shared" si="4"/>
        <v>7.304407620659488E-2</v>
      </c>
      <c r="P6" s="23">
        <f t="shared" si="4"/>
        <v>1.8116483622996622E-2</v>
      </c>
      <c r="Q6" s="23" t="e">
        <f t="shared" si="4"/>
        <v>#N/A</v>
      </c>
      <c r="R6" s="23">
        <f t="shared" si="4"/>
        <v>2.8844415813125717E-4</v>
      </c>
      <c r="S6" s="23">
        <f t="shared" si="4"/>
        <v>5.0515920481732654E-3</v>
      </c>
      <c r="T6" s="23">
        <f t="shared" si="4"/>
        <v>3.4653314918058703E-2</v>
      </c>
      <c r="U6" s="23">
        <f t="shared" si="4"/>
        <v>-2.5360590836974694E-4</v>
      </c>
      <c r="V6" s="23" t="e">
        <f t="shared" si="4"/>
        <v>#DIV/0!</v>
      </c>
      <c r="W6" s="23">
        <f t="shared" si="4"/>
        <v>0.12801395630589191</v>
      </c>
      <c r="X6" s="23">
        <f t="shared" si="4"/>
        <v>3.1027016351133443E-2</v>
      </c>
      <c r="Y6" s="64">
        <f t="shared" si="4"/>
        <v>3.1628289479830617E-2</v>
      </c>
      <c r="Z6" s="51" t="e">
        <f t="shared" ref="Z6:AA6" si="5">AVERAGE(Z94:Z106)</f>
        <v>#N/A</v>
      </c>
      <c r="AA6" s="23" t="e">
        <f t="shared" si="5"/>
        <v>#N/A</v>
      </c>
      <c r="AB6" s="13"/>
    </row>
    <row r="7" spans="2:31" ht="16" thickBot="1" x14ac:dyDescent="0.25">
      <c r="B7" s="65" t="s">
        <v>935</v>
      </c>
      <c r="C7" s="66" t="str">
        <f t="shared" ref="C7:Y7" si="6">IF((VLOOKUP($AE$2,$B:$Y,MATCH(C3,$B$3:$Y$3,),))&gt;C6,"above","below")</f>
        <v>below</v>
      </c>
      <c r="D7" s="66" t="str">
        <f t="shared" si="6"/>
        <v>below</v>
      </c>
      <c r="E7" s="66" t="str">
        <f t="shared" si="6"/>
        <v>below</v>
      </c>
      <c r="F7" s="66" t="str">
        <f t="shared" si="6"/>
        <v>below</v>
      </c>
      <c r="G7" s="66" t="str">
        <f t="shared" si="6"/>
        <v>below</v>
      </c>
      <c r="H7" s="66" t="str">
        <f t="shared" si="6"/>
        <v>below</v>
      </c>
      <c r="I7" s="66" t="str">
        <f t="shared" si="6"/>
        <v>below</v>
      </c>
      <c r="J7" s="66" t="str">
        <f t="shared" si="6"/>
        <v>below</v>
      </c>
      <c r="K7" s="66" t="str">
        <f t="shared" si="6"/>
        <v>below</v>
      </c>
      <c r="L7" s="66" t="str">
        <f t="shared" si="6"/>
        <v>below</v>
      </c>
      <c r="M7" s="66" t="str">
        <f t="shared" si="6"/>
        <v>below</v>
      </c>
      <c r="N7" s="66" t="e">
        <f t="shared" si="6"/>
        <v>#DIV/0!</v>
      </c>
      <c r="O7" s="66" t="str">
        <f t="shared" si="6"/>
        <v>below</v>
      </c>
      <c r="P7" s="66" t="str">
        <f t="shared" si="6"/>
        <v>below</v>
      </c>
      <c r="Q7" s="66" t="e">
        <f t="shared" si="6"/>
        <v>#N/A</v>
      </c>
      <c r="R7" s="66" t="str">
        <f t="shared" si="6"/>
        <v>below</v>
      </c>
      <c r="S7" s="66" t="str">
        <f t="shared" si="6"/>
        <v>below</v>
      </c>
      <c r="T7" s="66" t="str">
        <f t="shared" si="6"/>
        <v>below</v>
      </c>
      <c r="U7" s="66" t="str">
        <f t="shared" si="6"/>
        <v>below</v>
      </c>
      <c r="V7" s="66" t="e">
        <f t="shared" si="6"/>
        <v>#DIV/0!</v>
      </c>
      <c r="W7" s="66" t="str">
        <f t="shared" si="6"/>
        <v>below</v>
      </c>
      <c r="X7" s="66" t="str">
        <f t="shared" si="6"/>
        <v>above</v>
      </c>
      <c r="Y7" s="67" t="str">
        <f t="shared" si="6"/>
        <v>above</v>
      </c>
      <c r="Z7" s="52" t="e">
        <f>IF((VLOOKUP($AE$2,$B:$Z,MATCH(Z3,$B$3:$Z$3,),))&gt;Z6,"above","below")</f>
        <v>#N/A</v>
      </c>
      <c r="AA7" s="12" t="e">
        <f>IF((VLOOKUP($AE$2,$B:$AA,MATCH(AA3,$B$3:$AA$3,),))&gt;AA6,"above","below")</f>
        <v>#N/A</v>
      </c>
      <c r="AB7" s="13"/>
    </row>
    <row r="8" spans="2:31" hidden="1" x14ac:dyDescent="0.2">
      <c r="B8" s="53" t="s">
        <v>936</v>
      </c>
      <c r="C8" s="54" t="e">
        <f t="shared" ref="C8:Y8" si="7">VLOOKUP($AE$2,$B:$Y,MATCH(C3,$B$3:$Y$3,),)-VLOOKUP($AE$4,$B:$Y,MATCH(C3,$B$3:$Y$3,),)</f>
        <v>#N/A</v>
      </c>
      <c r="D8" s="54" t="e">
        <f t="shared" si="7"/>
        <v>#N/A</v>
      </c>
      <c r="E8" s="54" t="e">
        <f t="shared" si="7"/>
        <v>#N/A</v>
      </c>
      <c r="F8" s="54" t="e">
        <f t="shared" si="7"/>
        <v>#N/A</v>
      </c>
      <c r="G8" s="54" t="e">
        <f t="shared" si="7"/>
        <v>#N/A</v>
      </c>
      <c r="H8" s="54" t="e">
        <f t="shared" si="7"/>
        <v>#N/A</v>
      </c>
      <c r="I8" s="54" t="e">
        <f t="shared" si="7"/>
        <v>#N/A</v>
      </c>
      <c r="J8" s="54" t="e">
        <f t="shared" si="7"/>
        <v>#N/A</v>
      </c>
      <c r="K8" s="54" t="e">
        <f t="shared" si="7"/>
        <v>#N/A</v>
      </c>
      <c r="L8" s="54" t="e">
        <f t="shared" si="7"/>
        <v>#N/A</v>
      </c>
      <c r="M8" s="54" t="e">
        <f t="shared" si="7"/>
        <v>#N/A</v>
      </c>
      <c r="N8" s="54" t="e">
        <f t="shared" si="7"/>
        <v>#DIV/0!</v>
      </c>
      <c r="O8" s="54" t="e">
        <f t="shared" si="7"/>
        <v>#N/A</v>
      </c>
      <c r="P8" s="54" t="e">
        <f t="shared" si="7"/>
        <v>#N/A</v>
      </c>
      <c r="Q8" s="54" t="e">
        <f t="shared" si="7"/>
        <v>#N/A</v>
      </c>
      <c r="R8" s="54" t="e">
        <f t="shared" si="7"/>
        <v>#N/A</v>
      </c>
      <c r="S8" s="54" t="e">
        <f t="shared" si="7"/>
        <v>#N/A</v>
      </c>
      <c r="T8" s="54" t="e">
        <f t="shared" si="7"/>
        <v>#N/A</v>
      </c>
      <c r="U8" s="54" t="e">
        <f t="shared" si="7"/>
        <v>#N/A</v>
      </c>
      <c r="V8" s="54" t="e">
        <f t="shared" si="7"/>
        <v>#DIV/0!</v>
      </c>
      <c r="W8" s="54" t="e">
        <f t="shared" si="7"/>
        <v>#N/A</v>
      </c>
      <c r="X8" s="54" t="e">
        <f t="shared" si="7"/>
        <v>#N/A</v>
      </c>
      <c r="Y8" s="54" t="e">
        <f t="shared" si="7"/>
        <v>#N/A</v>
      </c>
      <c r="Z8" s="12" t="e">
        <f>VLOOKUP($AE$2,$B:$Z,MATCH(Z3,$B$3:$Z$3,),)-VLOOKUP($AE$4,$B:$Z,MATCH(Z3,$B$3:$Z$3,),)</f>
        <v>#N/A</v>
      </c>
      <c r="AA8" s="12" t="e">
        <f>VLOOKUP($AE$2,$B:$AA,MATCH(AA3,$B$3:$AA$3,),)-VLOOKUP($AE$4,$B:$AA,MATCH(AA3,$B$3:$AA$3,),)</f>
        <v>#N/A</v>
      </c>
      <c r="AB8" s="13"/>
    </row>
    <row r="9" spans="2:31" hidden="1" x14ac:dyDescent="0.2">
      <c r="B9" s="4" t="s">
        <v>937</v>
      </c>
      <c r="C9" s="24" t="e">
        <f t="shared" ref="C9:Y9" si="8">VLOOKUP($AE$2,$B:$Y,MATCH(C3,$B$3:$Y$3,),)-VLOOKUP($AE$3,$B:$Y,MATCH(C3,$B$3:$Y$3,),)</f>
        <v>#N/A</v>
      </c>
      <c r="D9" s="24" t="e">
        <f t="shared" si="8"/>
        <v>#N/A</v>
      </c>
      <c r="E9" s="24" t="e">
        <f t="shared" si="8"/>
        <v>#N/A</v>
      </c>
      <c r="F9" s="24" t="e">
        <f t="shared" si="8"/>
        <v>#N/A</v>
      </c>
      <c r="G9" s="24" t="e">
        <f t="shared" si="8"/>
        <v>#N/A</v>
      </c>
      <c r="H9" s="24" t="e">
        <f t="shared" si="8"/>
        <v>#N/A</v>
      </c>
      <c r="I9" s="24" t="e">
        <f t="shared" si="8"/>
        <v>#N/A</v>
      </c>
      <c r="J9" s="24" t="e">
        <f t="shared" si="8"/>
        <v>#N/A</v>
      </c>
      <c r="K9" s="24" t="e">
        <f t="shared" si="8"/>
        <v>#N/A</v>
      </c>
      <c r="L9" s="24" t="e">
        <f t="shared" si="8"/>
        <v>#N/A</v>
      </c>
      <c r="M9" s="24" t="e">
        <f t="shared" si="8"/>
        <v>#N/A</v>
      </c>
      <c r="N9" s="24" t="e">
        <f t="shared" si="8"/>
        <v>#DIV/0!</v>
      </c>
      <c r="O9" s="24" t="e">
        <f t="shared" si="8"/>
        <v>#N/A</v>
      </c>
      <c r="P9" s="24" t="e">
        <f t="shared" si="8"/>
        <v>#N/A</v>
      </c>
      <c r="Q9" s="24" t="e">
        <f t="shared" si="8"/>
        <v>#N/A</v>
      </c>
      <c r="R9" s="24" t="e">
        <f t="shared" si="8"/>
        <v>#N/A</v>
      </c>
      <c r="S9" s="24" t="e">
        <f t="shared" si="8"/>
        <v>#N/A</v>
      </c>
      <c r="T9" s="24" t="e">
        <f t="shared" si="8"/>
        <v>#N/A</v>
      </c>
      <c r="U9" s="24" t="e">
        <f t="shared" si="8"/>
        <v>#N/A</v>
      </c>
      <c r="V9" s="24" t="e">
        <f t="shared" si="8"/>
        <v>#DIV/0!</v>
      </c>
      <c r="W9" s="24" t="e">
        <f t="shared" si="8"/>
        <v>#N/A</v>
      </c>
      <c r="X9" s="24" t="e">
        <f t="shared" si="8"/>
        <v>#N/A</v>
      </c>
      <c r="Y9" s="24" t="e">
        <f t="shared" si="8"/>
        <v>#N/A</v>
      </c>
      <c r="Z9" s="12" t="e">
        <f>VLOOKUP($AE$2,$B:$Z,MATCH(Z3,$B$3:$Z$3,),)-VLOOKUP($AE$3,$B:$Z,MATCH(Z3,$B$3:$Z$3,),)</f>
        <v>#N/A</v>
      </c>
      <c r="AA9" s="12" t="e">
        <f>VLOOKUP($AE$2,$B:$AA,MATCH(AA3,$B$3:$AA$3,),)-VLOOKUP($AE$3,$B:$AA,MATCH(AA3,$B$3:$AA$3,),)</f>
        <v>#N/A</v>
      </c>
      <c r="AB9" s="13"/>
    </row>
    <row r="10" spans="2:31" x14ac:dyDescent="0.2">
      <c r="B10" s="22"/>
      <c r="C10" s="24"/>
      <c r="D10" s="24"/>
      <c r="E10" s="24"/>
      <c r="F10" s="24"/>
      <c r="G10" s="24"/>
      <c r="H10" s="24"/>
      <c r="I10" s="24"/>
      <c r="J10" s="24"/>
      <c r="K10" s="24"/>
      <c r="L10" s="24"/>
      <c r="M10" s="24"/>
      <c r="N10" s="24"/>
      <c r="O10" s="24"/>
      <c r="P10" s="24"/>
      <c r="Q10" s="24"/>
      <c r="R10" s="25"/>
      <c r="S10" s="24"/>
      <c r="T10" s="24"/>
      <c r="U10" s="24"/>
      <c r="V10" s="24"/>
      <c r="W10" s="24"/>
      <c r="X10" s="24"/>
      <c r="Y10" s="24"/>
      <c r="Z10" s="14"/>
      <c r="AA10" s="14"/>
      <c r="AB10" s="15"/>
    </row>
    <row r="11" spans="2:31" hidden="1" x14ac:dyDescent="0.2">
      <c r="B11" s="16">
        <v>42064</v>
      </c>
      <c r="C11" s="26">
        <v>55.3</v>
      </c>
      <c r="D11" s="26">
        <v>50.1</v>
      </c>
      <c r="E11" s="26">
        <v>52.2</v>
      </c>
      <c r="F11" s="26">
        <v>50.3</v>
      </c>
      <c r="G11" s="26">
        <v>52.8</v>
      </c>
      <c r="H11" s="26">
        <v>48.8</v>
      </c>
      <c r="I11" s="26">
        <v>54.4</v>
      </c>
      <c r="J11" s="26">
        <v>53.3</v>
      </c>
      <c r="K11" s="26">
        <v>54.3</v>
      </c>
      <c r="L11" s="26">
        <v>9.9999999999994316E-2</v>
      </c>
      <c r="M11" s="26">
        <v>53.8</v>
      </c>
      <c r="N11" s="26">
        <v>48.1</v>
      </c>
      <c r="O11" s="26">
        <v>52.1</v>
      </c>
      <c r="P11" s="26">
        <v>48.9</v>
      </c>
      <c r="Q11" s="26">
        <v>46.3</v>
      </c>
      <c r="R11" s="26">
        <v>46.4</v>
      </c>
      <c r="S11" s="26">
        <v>49.2</v>
      </c>
      <c r="T11" s="26">
        <v>51</v>
      </c>
      <c r="U11" s="26">
        <v>48.9</v>
      </c>
      <c r="V11" s="26">
        <v>56.8</v>
      </c>
      <c r="W11" s="26">
        <v>48</v>
      </c>
      <c r="X11" s="26">
        <v>56.1</v>
      </c>
      <c r="Y11" s="26">
        <v>54.8</v>
      </c>
      <c r="Z11" s="17">
        <v>-0.30000000000000426</v>
      </c>
      <c r="AA11" s="17" t="e">
        <v>#REF!</v>
      </c>
      <c r="AB11" s="18"/>
    </row>
    <row r="12" spans="2:31" hidden="1" x14ac:dyDescent="0.2">
      <c r="B12" s="16">
        <v>42095</v>
      </c>
      <c r="C12" s="26">
        <v>54.1</v>
      </c>
      <c r="D12" s="26">
        <v>50.1</v>
      </c>
      <c r="E12" s="26">
        <v>52</v>
      </c>
      <c r="F12" s="26">
        <v>49.9</v>
      </c>
      <c r="G12" s="26">
        <v>52.1</v>
      </c>
      <c r="H12" s="26">
        <v>48</v>
      </c>
      <c r="I12" s="26">
        <v>51.9</v>
      </c>
      <c r="J12" s="26">
        <v>53.8</v>
      </c>
      <c r="K12" s="26">
        <v>54.2</v>
      </c>
      <c r="L12" s="26">
        <v>-9.9999999999994316E-2</v>
      </c>
      <c r="M12" s="26">
        <v>53.8</v>
      </c>
      <c r="N12" s="26">
        <v>48.9</v>
      </c>
      <c r="O12" s="26">
        <v>51.3</v>
      </c>
      <c r="P12" s="26">
        <v>49</v>
      </c>
      <c r="Q12" s="26">
        <v>48</v>
      </c>
      <c r="R12" s="26">
        <v>46.7</v>
      </c>
      <c r="S12" s="26">
        <v>48.8</v>
      </c>
      <c r="T12" s="26">
        <v>49.2</v>
      </c>
      <c r="U12" s="26">
        <v>46.5</v>
      </c>
      <c r="V12" s="26">
        <v>55.8</v>
      </c>
      <c r="W12" s="26">
        <v>48.5</v>
      </c>
      <c r="X12" s="26">
        <v>54.7</v>
      </c>
      <c r="Y12" s="26">
        <v>54</v>
      </c>
      <c r="Z12" s="17">
        <v>-0.79999999999999716</v>
      </c>
      <c r="AA12" s="17" t="e">
        <v>#REF!</v>
      </c>
      <c r="AB12" s="18"/>
    </row>
    <row r="13" spans="2:31" hidden="1" x14ac:dyDescent="0.2">
      <c r="B13" s="16">
        <v>42125</v>
      </c>
      <c r="C13" s="26">
        <v>53.8</v>
      </c>
      <c r="D13" s="26">
        <v>50.2</v>
      </c>
      <c r="E13" s="26">
        <v>52.2</v>
      </c>
      <c r="F13" s="26">
        <v>50.9</v>
      </c>
      <c r="G13" s="26">
        <v>51.1</v>
      </c>
      <c r="H13" s="26">
        <v>49.4</v>
      </c>
      <c r="I13" s="26">
        <v>52.2</v>
      </c>
      <c r="J13" s="26">
        <v>54.8</v>
      </c>
      <c r="K13" s="26">
        <v>55.8</v>
      </c>
      <c r="L13" s="26">
        <v>1.5999999999999943</v>
      </c>
      <c r="M13" s="26">
        <v>53.3</v>
      </c>
      <c r="N13" s="26">
        <v>47.6</v>
      </c>
      <c r="O13" s="26">
        <v>52.6</v>
      </c>
      <c r="P13" s="26">
        <v>49.8</v>
      </c>
      <c r="Q13" s="26">
        <v>52.29</v>
      </c>
      <c r="R13" s="26">
        <v>47.1</v>
      </c>
      <c r="S13" s="26">
        <v>47.8</v>
      </c>
      <c r="T13" s="26">
        <v>49.3</v>
      </c>
      <c r="U13" s="26">
        <v>48</v>
      </c>
      <c r="V13" s="26">
        <v>57.1</v>
      </c>
      <c r="W13" s="26">
        <v>50.2</v>
      </c>
      <c r="X13" s="26">
        <v>55.5</v>
      </c>
      <c r="Y13" s="26">
        <v>52.4</v>
      </c>
      <c r="Z13" s="17">
        <v>-1.6000000000000014</v>
      </c>
      <c r="AA13" s="17" t="e">
        <v>#REF!</v>
      </c>
      <c r="AB13" s="18"/>
    </row>
    <row r="14" spans="2:31" hidden="1" x14ac:dyDescent="0.2">
      <c r="B14" s="16">
        <v>42156</v>
      </c>
      <c r="C14" s="26">
        <v>53.6</v>
      </c>
      <c r="D14" s="26">
        <v>50.2</v>
      </c>
      <c r="E14" s="26">
        <v>52.5</v>
      </c>
      <c r="F14" s="26">
        <v>50.1</v>
      </c>
      <c r="G14" s="26">
        <v>51.9</v>
      </c>
      <c r="H14" s="26">
        <v>50.7</v>
      </c>
      <c r="I14" s="26">
        <v>51.9</v>
      </c>
      <c r="J14" s="26">
        <v>54.1</v>
      </c>
      <c r="K14" s="26">
        <v>54.5</v>
      </c>
      <c r="L14" s="26">
        <v>-1.2999999999999972</v>
      </c>
      <c r="M14" s="26">
        <v>52</v>
      </c>
      <c r="N14" s="26">
        <v>48.7</v>
      </c>
      <c r="O14" s="26">
        <v>51.3</v>
      </c>
      <c r="P14" s="26">
        <v>51.3</v>
      </c>
      <c r="Q14" s="26">
        <v>44.2</v>
      </c>
      <c r="R14" s="26">
        <v>47.8</v>
      </c>
      <c r="S14" s="26">
        <v>46.1</v>
      </c>
      <c r="T14" s="26">
        <v>46.3</v>
      </c>
      <c r="U14" s="26">
        <v>46.9</v>
      </c>
      <c r="V14" s="26">
        <v>54.6</v>
      </c>
      <c r="W14" s="26">
        <v>49</v>
      </c>
      <c r="X14" s="26">
        <v>56.9</v>
      </c>
      <c r="Y14" s="26">
        <v>54.3</v>
      </c>
      <c r="Z14" s="17">
        <v>1.8999999999999986</v>
      </c>
      <c r="AA14" s="17" t="e">
        <v>#REF!</v>
      </c>
      <c r="AB14" s="18"/>
    </row>
    <row r="15" spans="2:31" hidden="1" x14ac:dyDescent="0.2">
      <c r="B15" s="16">
        <v>42186</v>
      </c>
      <c r="C15" s="26">
        <v>53.8</v>
      </c>
      <c r="D15" s="26">
        <v>50</v>
      </c>
      <c r="E15" s="26">
        <v>52.4</v>
      </c>
      <c r="F15" s="26">
        <v>51.2</v>
      </c>
      <c r="G15" s="26">
        <v>51.8</v>
      </c>
      <c r="H15" s="26">
        <v>49.6</v>
      </c>
      <c r="I15" s="26">
        <v>52.5</v>
      </c>
      <c r="J15" s="26">
        <v>55.3</v>
      </c>
      <c r="K15" s="26">
        <v>53.6</v>
      </c>
      <c r="L15" s="26">
        <v>-0.89999999999999858</v>
      </c>
      <c r="M15" s="26">
        <v>52.9</v>
      </c>
      <c r="N15" s="26">
        <v>48.3</v>
      </c>
      <c r="O15" s="26">
        <v>52.7</v>
      </c>
      <c r="P15" s="26">
        <v>50.8</v>
      </c>
      <c r="Q15" s="26">
        <v>50.4</v>
      </c>
      <c r="R15" s="26">
        <v>47.3</v>
      </c>
      <c r="S15" s="26">
        <v>47.6</v>
      </c>
      <c r="T15" s="26">
        <v>47.1</v>
      </c>
      <c r="U15" s="26">
        <v>30.2</v>
      </c>
      <c r="V15" s="26">
        <v>56.7</v>
      </c>
      <c r="W15" s="26">
        <v>50.1</v>
      </c>
      <c r="X15" s="26">
        <v>57.5</v>
      </c>
      <c r="Y15" s="26">
        <v>54.5</v>
      </c>
      <c r="Z15" s="17">
        <v>0.20000000000000284</v>
      </c>
      <c r="AA15" s="17" t="e">
        <v>#REF!</v>
      </c>
      <c r="AB15" s="18"/>
    </row>
    <row r="16" spans="2:31" hidden="1" x14ac:dyDescent="0.2">
      <c r="B16" s="16">
        <v>42217</v>
      </c>
      <c r="C16" s="26">
        <v>53</v>
      </c>
      <c r="D16" s="26">
        <v>47.3</v>
      </c>
      <c r="E16" s="26">
        <v>52.3</v>
      </c>
      <c r="F16" s="26">
        <v>51.7</v>
      </c>
      <c r="G16" s="26">
        <v>53.3</v>
      </c>
      <c r="H16" s="26">
        <v>48.3</v>
      </c>
      <c r="I16" s="26">
        <v>51.6</v>
      </c>
      <c r="J16" s="26">
        <v>53.8</v>
      </c>
      <c r="K16" s="26">
        <v>53.2</v>
      </c>
      <c r="L16" s="26">
        <v>-0.39999999999999858</v>
      </c>
      <c r="M16" s="26">
        <v>52.4</v>
      </c>
      <c r="N16" s="26">
        <v>47.9</v>
      </c>
      <c r="O16" s="26">
        <v>52.3</v>
      </c>
      <c r="P16" s="26">
        <v>49.4</v>
      </c>
      <c r="Q16" s="26">
        <v>51.7</v>
      </c>
      <c r="R16" s="26">
        <v>48.4</v>
      </c>
      <c r="S16" s="26">
        <v>47.9</v>
      </c>
      <c r="T16" s="26">
        <v>46.1</v>
      </c>
      <c r="U16" s="26">
        <v>39.1</v>
      </c>
      <c r="V16" s="26">
        <v>53.6</v>
      </c>
      <c r="W16" s="26">
        <v>49.3</v>
      </c>
      <c r="X16" s="26">
        <v>56.6</v>
      </c>
      <c r="Y16" s="26">
        <v>51.1</v>
      </c>
      <c r="Z16" s="17">
        <v>-3.3999999999999986</v>
      </c>
      <c r="AA16" s="17" t="e">
        <v>#REF!</v>
      </c>
      <c r="AB16" s="18"/>
    </row>
    <row r="17" spans="2:28" hidden="1" x14ac:dyDescent="0.2">
      <c r="B17" s="16">
        <v>42248</v>
      </c>
      <c r="C17" s="26">
        <v>53.1</v>
      </c>
      <c r="D17" s="26">
        <v>47.2</v>
      </c>
      <c r="E17" s="26">
        <v>52</v>
      </c>
      <c r="F17" s="26">
        <v>51</v>
      </c>
      <c r="G17" s="26">
        <v>52.3</v>
      </c>
      <c r="H17" s="26">
        <v>50.6</v>
      </c>
      <c r="I17" s="26">
        <v>51.6</v>
      </c>
      <c r="J17" s="26">
        <v>52.7</v>
      </c>
      <c r="K17" s="26">
        <v>51.7</v>
      </c>
      <c r="L17" s="26">
        <v>-1.5</v>
      </c>
      <c r="M17" s="26">
        <v>52.1</v>
      </c>
      <c r="N17" s="26">
        <v>49.1</v>
      </c>
      <c r="O17" s="26">
        <v>51.2</v>
      </c>
      <c r="P17" s="26">
        <v>48.6</v>
      </c>
      <c r="Q17" s="26">
        <v>52.1</v>
      </c>
      <c r="R17" s="26">
        <v>47.4</v>
      </c>
      <c r="S17" s="26">
        <v>49.2</v>
      </c>
      <c r="T17" s="26">
        <v>46.9</v>
      </c>
      <c r="U17" s="26">
        <v>43.3</v>
      </c>
      <c r="V17" s="26">
        <v>53.8</v>
      </c>
      <c r="W17" s="26">
        <v>48.8</v>
      </c>
      <c r="X17" s="26">
        <v>55.5</v>
      </c>
      <c r="Y17" s="26">
        <v>50.9</v>
      </c>
      <c r="Z17" s="17">
        <v>-0.20000000000000284</v>
      </c>
      <c r="AA17" s="17" t="e">
        <v>#REF!</v>
      </c>
      <c r="AB17" s="18"/>
    </row>
    <row r="18" spans="2:28" hidden="1" x14ac:dyDescent="0.2">
      <c r="B18" s="16">
        <v>42278</v>
      </c>
      <c r="C18" s="26">
        <v>54.1</v>
      </c>
      <c r="D18" s="26">
        <v>48.3</v>
      </c>
      <c r="E18" s="26">
        <v>52.3</v>
      </c>
      <c r="F18" s="26">
        <v>52.4</v>
      </c>
      <c r="G18" s="26">
        <v>52.1</v>
      </c>
      <c r="H18" s="26">
        <v>50.6</v>
      </c>
      <c r="I18" s="26">
        <v>54.3</v>
      </c>
      <c r="J18" s="26">
        <v>54.1</v>
      </c>
      <c r="K18" s="26">
        <v>51.3</v>
      </c>
      <c r="L18" s="26">
        <v>-0.40000000000000568</v>
      </c>
      <c r="M18" s="26">
        <v>53</v>
      </c>
      <c r="N18" s="26">
        <v>50.2</v>
      </c>
      <c r="O18" s="26">
        <v>50.7</v>
      </c>
      <c r="P18" s="26">
        <v>48</v>
      </c>
      <c r="Q18" s="26">
        <v>50.2</v>
      </c>
      <c r="R18" s="26">
        <v>47.8</v>
      </c>
      <c r="S18" s="26">
        <v>49.1</v>
      </c>
      <c r="T18" s="26">
        <v>47.8</v>
      </c>
      <c r="U18" s="26">
        <v>47.3</v>
      </c>
      <c r="V18" s="26">
        <v>53.6</v>
      </c>
      <c r="W18" s="26">
        <v>49.5</v>
      </c>
      <c r="X18" s="26">
        <v>54</v>
      </c>
      <c r="Y18" s="26">
        <v>52.2</v>
      </c>
      <c r="Z18" s="17">
        <v>1.3000000000000043</v>
      </c>
      <c r="AA18" s="17" t="e">
        <v>#REF!</v>
      </c>
      <c r="AB18" s="18"/>
    </row>
    <row r="19" spans="2:28" hidden="1" x14ac:dyDescent="0.2">
      <c r="B19" s="16">
        <v>42309</v>
      </c>
      <c r="C19" s="26">
        <v>52.8</v>
      </c>
      <c r="D19" s="26">
        <v>48.6</v>
      </c>
      <c r="E19" s="26">
        <v>52.8</v>
      </c>
      <c r="F19" s="26">
        <v>52.6</v>
      </c>
      <c r="G19" s="26">
        <v>52.9</v>
      </c>
      <c r="H19" s="26">
        <v>50.6</v>
      </c>
      <c r="I19" s="26">
        <v>52.3</v>
      </c>
      <c r="J19" s="26">
        <v>54.9</v>
      </c>
      <c r="K19" s="26">
        <v>53.1</v>
      </c>
      <c r="L19" s="26">
        <v>1.8000000000000043</v>
      </c>
      <c r="M19" s="26">
        <v>53</v>
      </c>
      <c r="N19" s="26">
        <v>50.1</v>
      </c>
      <c r="O19" s="26">
        <v>50.3</v>
      </c>
      <c r="P19" s="26">
        <v>48.6</v>
      </c>
      <c r="Q19" s="26">
        <v>52.5</v>
      </c>
      <c r="R19" s="26">
        <v>46.9</v>
      </c>
      <c r="S19" s="26">
        <v>49.1</v>
      </c>
      <c r="T19" s="26">
        <v>49.5</v>
      </c>
      <c r="U19" s="26">
        <v>48.1</v>
      </c>
      <c r="V19" s="26">
        <v>53.3</v>
      </c>
      <c r="W19" s="26">
        <v>50.9</v>
      </c>
      <c r="X19" s="26">
        <v>54.2</v>
      </c>
      <c r="Y19" s="26">
        <v>52.1</v>
      </c>
      <c r="Z19" s="17">
        <v>-0.10000000000000142</v>
      </c>
      <c r="AA19" s="17" t="e">
        <v>#REF!</v>
      </c>
      <c r="AB19" s="18"/>
    </row>
    <row r="20" spans="2:28" hidden="1" x14ac:dyDescent="0.2">
      <c r="B20" s="16">
        <v>42339</v>
      </c>
      <c r="C20" s="26">
        <v>51.2</v>
      </c>
      <c r="D20" s="26">
        <v>48.2</v>
      </c>
      <c r="E20" s="26">
        <v>53.2</v>
      </c>
      <c r="F20" s="26">
        <v>52.6</v>
      </c>
      <c r="G20" s="26">
        <v>53.2</v>
      </c>
      <c r="H20" s="26">
        <v>51.4</v>
      </c>
      <c r="I20" s="26">
        <v>51</v>
      </c>
      <c r="J20" s="26">
        <v>55.6</v>
      </c>
      <c r="K20" s="26">
        <v>53</v>
      </c>
      <c r="L20" s="26">
        <v>-0.10000000000000142</v>
      </c>
      <c r="M20" s="26">
        <v>52.4</v>
      </c>
      <c r="N20" s="26">
        <v>48.7</v>
      </c>
      <c r="O20" s="26">
        <v>49.1</v>
      </c>
      <c r="P20" s="26">
        <v>47.5</v>
      </c>
      <c r="Q20" s="26">
        <v>51.9</v>
      </c>
      <c r="R20" s="26">
        <v>47.8</v>
      </c>
      <c r="S20" s="26">
        <v>50.7</v>
      </c>
      <c r="T20" s="26">
        <v>51.7</v>
      </c>
      <c r="U20" s="26">
        <v>50.2</v>
      </c>
      <c r="V20" s="26">
        <v>54.2</v>
      </c>
      <c r="W20" s="26">
        <v>52.2</v>
      </c>
      <c r="X20" s="26">
        <v>55.6</v>
      </c>
      <c r="Y20" s="26">
        <v>52.1</v>
      </c>
      <c r="Z20" s="17">
        <v>0</v>
      </c>
      <c r="AA20" s="17" t="e">
        <v>#REF!</v>
      </c>
      <c r="AB20" s="18"/>
    </row>
    <row r="21" spans="2:28" hidden="1" x14ac:dyDescent="0.2">
      <c r="B21" s="16">
        <v>42370</v>
      </c>
      <c r="C21" s="26">
        <v>52.4</v>
      </c>
      <c r="D21" s="26">
        <v>48.4</v>
      </c>
      <c r="E21" s="26">
        <v>52.3</v>
      </c>
      <c r="F21" s="26">
        <v>52.3</v>
      </c>
      <c r="G21" s="26">
        <v>52.3</v>
      </c>
      <c r="H21" s="26">
        <v>50</v>
      </c>
      <c r="I21" s="26">
        <v>52.2</v>
      </c>
      <c r="J21" s="26">
        <v>53.2</v>
      </c>
      <c r="K21" s="26">
        <v>55.4</v>
      </c>
      <c r="L21" s="26">
        <v>2.3999999999999986</v>
      </c>
      <c r="M21" s="26">
        <v>52.2</v>
      </c>
      <c r="N21" s="26">
        <v>49.8</v>
      </c>
      <c r="O21" s="26">
        <v>51.1</v>
      </c>
      <c r="P21" s="26">
        <v>49.3</v>
      </c>
      <c r="Q21" s="26">
        <v>51.5</v>
      </c>
      <c r="R21" s="26">
        <v>48.9</v>
      </c>
      <c r="S21" s="26">
        <v>49.5</v>
      </c>
      <c r="T21" s="26">
        <v>50.6</v>
      </c>
      <c r="U21" s="26">
        <v>50</v>
      </c>
      <c r="V21" s="26">
        <v>54.3</v>
      </c>
      <c r="W21" s="26">
        <v>50.9</v>
      </c>
      <c r="X21" s="26">
        <v>56.9</v>
      </c>
      <c r="Y21" s="26">
        <v>50.9</v>
      </c>
      <c r="Z21" s="17">
        <v>-1.2000000000000028</v>
      </c>
      <c r="AA21" s="17" t="e">
        <v>#REF!</v>
      </c>
      <c r="AB21" s="18"/>
    </row>
    <row r="22" spans="2:28" hidden="1" x14ac:dyDescent="0.2">
      <c r="B22" s="16">
        <v>42401</v>
      </c>
      <c r="C22" s="26">
        <v>51.3</v>
      </c>
      <c r="D22" s="26">
        <v>48</v>
      </c>
      <c r="E22" s="26">
        <v>51.2</v>
      </c>
      <c r="F22" s="26">
        <v>50.1</v>
      </c>
      <c r="G22" s="26">
        <v>50.5</v>
      </c>
      <c r="H22" s="26">
        <v>50.2</v>
      </c>
      <c r="I22" s="26">
        <v>50.8</v>
      </c>
      <c r="J22" s="26">
        <v>52.2</v>
      </c>
      <c r="K22" s="26">
        <v>54.1</v>
      </c>
      <c r="L22" s="26">
        <v>-1.2999999999999972</v>
      </c>
      <c r="M22" s="26">
        <v>53.1</v>
      </c>
      <c r="N22" s="26">
        <v>49.3</v>
      </c>
      <c r="O22" s="26">
        <v>51.1</v>
      </c>
      <c r="P22" s="26">
        <v>49.4</v>
      </c>
      <c r="Q22" s="26">
        <v>53.5</v>
      </c>
      <c r="R22" s="26">
        <v>48.7</v>
      </c>
      <c r="S22" s="26">
        <v>48.7</v>
      </c>
      <c r="T22" s="26">
        <v>49.4</v>
      </c>
      <c r="U22" s="26">
        <v>48.4</v>
      </c>
      <c r="V22" s="26">
        <v>52.9</v>
      </c>
      <c r="W22" s="26">
        <v>50.3</v>
      </c>
      <c r="X22" s="26">
        <v>55.5</v>
      </c>
      <c r="Y22" s="26">
        <v>52.8</v>
      </c>
      <c r="Z22" s="17">
        <v>1.8999999999999986</v>
      </c>
      <c r="AA22" s="17" t="e">
        <v>#REF!</v>
      </c>
      <c r="AB22" s="18"/>
    </row>
    <row r="23" spans="2:28" hidden="1" x14ac:dyDescent="0.2">
      <c r="B23" s="16">
        <v>42430</v>
      </c>
      <c r="C23" s="26">
        <v>51.5</v>
      </c>
      <c r="D23" s="26">
        <v>49.7</v>
      </c>
      <c r="E23" s="26">
        <v>51.6</v>
      </c>
      <c r="F23" s="26">
        <v>49.1</v>
      </c>
      <c r="G23" s="26">
        <v>50.7</v>
      </c>
      <c r="H23" s="26">
        <v>49.6</v>
      </c>
      <c r="I23" s="26">
        <v>51.1</v>
      </c>
      <c r="J23" s="26">
        <v>53.5</v>
      </c>
      <c r="K23" s="26">
        <v>53.4</v>
      </c>
      <c r="L23" s="26">
        <v>-0.70000000000000284</v>
      </c>
      <c r="M23" s="26">
        <v>53.2</v>
      </c>
      <c r="N23" s="26">
        <v>48.3</v>
      </c>
      <c r="O23" s="26">
        <v>52.4</v>
      </c>
      <c r="P23" s="26">
        <v>51.5</v>
      </c>
      <c r="Q23" s="26">
        <v>58.1</v>
      </c>
      <c r="R23" s="26">
        <v>50.6</v>
      </c>
      <c r="S23" s="26">
        <v>49.5</v>
      </c>
      <c r="T23" s="26">
        <v>51.1</v>
      </c>
      <c r="U23" s="26">
        <v>49</v>
      </c>
      <c r="V23" s="26">
        <v>54.9</v>
      </c>
      <c r="W23" s="26">
        <v>49.2</v>
      </c>
      <c r="X23" s="26">
        <v>54.3</v>
      </c>
      <c r="Y23" s="26">
        <v>53.8</v>
      </c>
      <c r="Z23" s="17">
        <v>1</v>
      </c>
      <c r="AA23" s="17" t="e">
        <v>#REF!</v>
      </c>
      <c r="AB23" s="18"/>
    </row>
    <row r="24" spans="2:28" hidden="1" x14ac:dyDescent="0.2">
      <c r="B24" s="16" t="s">
        <v>938</v>
      </c>
      <c r="C24" s="26">
        <v>4.1995779999999998</v>
      </c>
      <c r="D24" s="26">
        <v>8.6999999999999993</v>
      </c>
      <c r="E24" s="26">
        <v>4.2324130000000002</v>
      </c>
      <c r="F24" s="26">
        <v>2.8809610000000001</v>
      </c>
      <c r="G24" s="26">
        <v>3.3996209999999998</v>
      </c>
      <c r="H24" s="26">
        <v>4.4060220000000001</v>
      </c>
      <c r="I24" s="26">
        <v>4.1193669999999996</v>
      </c>
      <c r="J24" s="26">
        <v>3.8785949999999998</v>
      </c>
      <c r="K24" s="26">
        <v>5.5862270000000001</v>
      </c>
      <c r="L24" s="26">
        <v>3.90496</v>
      </c>
      <c r="M24" s="26">
        <v>4.3259990000000004</v>
      </c>
      <c r="N24" s="26">
        <v>0</v>
      </c>
      <c r="O24" s="26">
        <v>2.8809610000000001</v>
      </c>
      <c r="P24" s="26">
        <v>5.5176299999999996</v>
      </c>
      <c r="Q24" s="26">
        <v>3.6450849999999999</v>
      </c>
      <c r="R24" s="26">
        <v>4.2324130000000002</v>
      </c>
      <c r="S24" s="26">
        <v>12.261298</v>
      </c>
      <c r="T24" s="26">
        <v>4.0998109999999999</v>
      </c>
      <c r="U24" s="26">
        <v>3.4110170000000002</v>
      </c>
      <c r="V24" s="26">
        <v>9.4969970000000004</v>
      </c>
      <c r="W24" s="26">
        <v>2.4666250000000001</v>
      </c>
      <c r="X24" s="26">
        <v>3.9981249999999999</v>
      </c>
      <c r="Y24" s="26">
        <v>6.2483300000000002</v>
      </c>
      <c r="Z24" s="19">
        <v>-0.106447</v>
      </c>
      <c r="AA24" s="19" t="e">
        <v>#N/A</v>
      </c>
      <c r="AB24" s="20"/>
    </row>
    <row r="25" spans="2:28" hidden="1" x14ac:dyDescent="0.2">
      <c r="B25" s="16" t="s">
        <v>939</v>
      </c>
      <c r="C25" s="26">
        <v>5.2977379999999998</v>
      </c>
      <c r="D25" s="26">
        <v>9.1</v>
      </c>
      <c r="E25" s="26">
        <v>4.4914529999999999</v>
      </c>
      <c r="F25" s="26">
        <v>2.7253579999999999</v>
      </c>
      <c r="G25" s="26">
        <v>4.2505850000000001</v>
      </c>
      <c r="H25" s="26">
        <v>4.5232340000000004</v>
      </c>
      <c r="I25" s="26">
        <v>4.6909640000000001</v>
      </c>
      <c r="J25" s="26">
        <v>4.1801849999999998</v>
      </c>
      <c r="K25" s="26">
        <v>5.2944789999999999</v>
      </c>
      <c r="L25" s="26">
        <v>5.8519240000000003</v>
      </c>
      <c r="M25" s="26">
        <v>5.3989320000000003</v>
      </c>
      <c r="N25" s="26">
        <v>0</v>
      </c>
      <c r="O25" s="26">
        <v>2.7253579999999999</v>
      </c>
      <c r="P25" s="26">
        <v>5.8831639999999998</v>
      </c>
      <c r="Q25" s="26">
        <v>4.2118260000000003</v>
      </c>
      <c r="R25" s="26">
        <v>4.4914529999999999</v>
      </c>
      <c r="S25" s="26">
        <v>9.0685970000000005</v>
      </c>
      <c r="T25" s="26">
        <v>3.9583930000000001</v>
      </c>
      <c r="U25" s="26">
        <v>3.3193860000000002</v>
      </c>
      <c r="V25" s="26">
        <v>11.227613</v>
      </c>
      <c r="W25" s="26">
        <v>6.7427729999999997</v>
      </c>
      <c r="X25" s="26">
        <v>4.7244390000000003</v>
      </c>
      <c r="Y25" s="26">
        <v>5.0472739999999998</v>
      </c>
      <c r="Z25" s="19">
        <v>-0.590391</v>
      </c>
      <c r="AA25" s="19" t="e">
        <v>#N/A</v>
      </c>
      <c r="AB25" s="20"/>
    </row>
    <row r="26" spans="2:28" hidden="1" x14ac:dyDescent="0.2">
      <c r="B26" s="16" t="s">
        <v>940</v>
      </c>
      <c r="C26" s="26">
        <v>4.0753300000000001</v>
      </c>
      <c r="D26" s="26">
        <v>8.8000000000000007</v>
      </c>
      <c r="E26" s="26">
        <v>3.883931</v>
      </c>
      <c r="F26" s="26">
        <v>2.2281399999999998</v>
      </c>
      <c r="G26" s="26">
        <v>3.0439050000000001</v>
      </c>
      <c r="H26" s="26">
        <v>3.9554960000000001</v>
      </c>
      <c r="I26" s="26">
        <v>3.143977</v>
      </c>
      <c r="J26" s="26">
        <v>3.8664329999999998</v>
      </c>
      <c r="K26" s="26">
        <v>5.1808829999999997</v>
      </c>
      <c r="L26" s="26">
        <v>5.7222770000000001</v>
      </c>
      <c r="M26" s="26">
        <v>5.3687469999999999</v>
      </c>
      <c r="N26" s="26">
        <v>0</v>
      </c>
      <c r="O26" s="26">
        <v>2.2281399999999998</v>
      </c>
      <c r="P26" s="26">
        <v>5.3169579999999996</v>
      </c>
      <c r="Q26" s="26">
        <v>3.2249099999999999</v>
      </c>
      <c r="R26" s="26">
        <v>3.883931</v>
      </c>
      <c r="S26" s="26">
        <v>9.3209389999999992</v>
      </c>
      <c r="T26" s="26">
        <v>4.8172990000000002</v>
      </c>
      <c r="U26" s="26">
        <v>4.7866580000000001</v>
      </c>
      <c r="V26" s="26">
        <v>9.3101400000000005</v>
      </c>
      <c r="W26" s="26">
        <v>8.819801</v>
      </c>
      <c r="X26" s="26">
        <v>5.0505890000000004</v>
      </c>
      <c r="Y26" s="26">
        <v>3.2479360000000002</v>
      </c>
      <c r="Z26" s="19">
        <v>-0.55752500000000005</v>
      </c>
      <c r="AA26" s="19" t="e">
        <v>#N/A</v>
      </c>
      <c r="AB26" s="20"/>
    </row>
    <row r="27" spans="2:28" hidden="1" x14ac:dyDescent="0.2">
      <c r="B27" s="16" t="s">
        <v>941</v>
      </c>
      <c r="C27" s="26">
        <v>2.9734829999999999</v>
      </c>
      <c r="D27" s="26">
        <v>7.5</v>
      </c>
      <c r="E27" s="26">
        <v>3.3767360000000002</v>
      </c>
      <c r="F27" s="26">
        <v>3.1690269999999998</v>
      </c>
      <c r="G27" s="26">
        <v>1.9064129999999999</v>
      </c>
      <c r="H27" s="26">
        <v>3.390469</v>
      </c>
      <c r="I27" s="26">
        <v>1.914482</v>
      </c>
      <c r="J27" s="26">
        <v>4.0276519999999998</v>
      </c>
      <c r="K27" s="26">
        <v>5.1049090000000001</v>
      </c>
      <c r="L27" s="26">
        <v>4.1086919999999996</v>
      </c>
      <c r="M27" s="26">
        <v>3.588419</v>
      </c>
      <c r="N27" s="26">
        <v>0</v>
      </c>
      <c r="O27" s="26">
        <v>3.1690269999999998</v>
      </c>
      <c r="P27" s="26">
        <v>4.0324939999999998</v>
      </c>
      <c r="Q27" s="26">
        <v>1.123658</v>
      </c>
      <c r="R27" s="26">
        <v>3.3767360000000002</v>
      </c>
      <c r="S27" s="26">
        <v>5.3816930000000003</v>
      </c>
      <c r="T27" s="26">
        <v>4.6519240000000002</v>
      </c>
      <c r="U27" s="26">
        <v>4.5826700000000002</v>
      </c>
      <c r="V27" s="26">
        <v>7.9562939999999998</v>
      </c>
      <c r="W27" s="26">
        <v>8.2100849999999994</v>
      </c>
      <c r="X27" s="26">
        <v>4.599431</v>
      </c>
      <c r="Y27" s="26">
        <v>4.2633520000000003</v>
      </c>
      <c r="Z27" s="19">
        <v>-1.893524</v>
      </c>
      <c r="AA27" s="19" t="e">
        <v>#N/A</v>
      </c>
      <c r="AB27" s="20"/>
    </row>
    <row r="28" spans="2:28" hidden="1" x14ac:dyDescent="0.2">
      <c r="B28" s="16" t="s">
        <v>942</v>
      </c>
      <c r="C28" s="26">
        <v>2.3097099999999999</v>
      </c>
      <c r="D28" s="26">
        <v>9.5</v>
      </c>
      <c r="E28" s="26">
        <v>3.126182</v>
      </c>
      <c r="F28" s="26">
        <v>1.7913699999999999</v>
      </c>
      <c r="G28" s="26">
        <v>2.503228</v>
      </c>
      <c r="H28" s="26">
        <v>2.984667</v>
      </c>
      <c r="I28" s="26">
        <v>2.3960880000000002</v>
      </c>
      <c r="J28" s="26">
        <v>3.2088260000000002</v>
      </c>
      <c r="K28" s="26">
        <v>4.487838</v>
      </c>
      <c r="L28" s="26">
        <v>3.097054</v>
      </c>
      <c r="M28" s="26">
        <v>1.8554250000000001</v>
      </c>
      <c r="N28" s="26">
        <v>0</v>
      </c>
      <c r="O28" s="26">
        <v>1.7913699999999999</v>
      </c>
      <c r="P28" s="26">
        <v>2.9340440000000001</v>
      </c>
      <c r="Q28" s="26">
        <v>1.7356370000000001</v>
      </c>
      <c r="R28" s="26">
        <v>3.126182</v>
      </c>
      <c r="S28" s="26">
        <v>4.9658920000000002</v>
      </c>
      <c r="T28" s="26">
        <v>3.248958</v>
      </c>
      <c r="U28" s="26">
        <v>5.5558560000000003</v>
      </c>
      <c r="V28" s="26">
        <v>7.8022489999999998</v>
      </c>
      <c r="W28" s="26">
        <v>2.3726590000000001</v>
      </c>
      <c r="X28" s="26">
        <v>4.1528669999999996</v>
      </c>
      <c r="Y28" s="26">
        <v>3.1873990000000001</v>
      </c>
      <c r="Z28" s="19">
        <v>-1.397726</v>
      </c>
      <c r="AA28" s="19" t="e">
        <v>#N/A</v>
      </c>
      <c r="AB28" s="20"/>
    </row>
    <row r="29" spans="2:28" hidden="1" x14ac:dyDescent="0.2">
      <c r="B29" s="16" t="s">
        <v>943</v>
      </c>
      <c r="C29" s="26">
        <v>1.057242</v>
      </c>
      <c r="D29" s="26">
        <v>8.6</v>
      </c>
      <c r="E29" s="26">
        <v>2.3222100000000001</v>
      </c>
      <c r="F29" s="26">
        <v>1.1038190000000001</v>
      </c>
      <c r="G29" s="26">
        <v>1.6184750000000001</v>
      </c>
      <c r="H29" s="26">
        <v>2.1434069999999998</v>
      </c>
      <c r="I29" s="26">
        <v>2.5747420000000001</v>
      </c>
      <c r="J29" s="26">
        <v>2.238588</v>
      </c>
      <c r="K29" s="26">
        <v>4.0415080000000003</v>
      </c>
      <c r="L29" s="26">
        <v>1.34107</v>
      </c>
      <c r="M29" s="26">
        <v>-0.37563999999999997</v>
      </c>
      <c r="N29" s="26">
        <v>0</v>
      </c>
      <c r="O29" s="26">
        <v>1.1038190000000001</v>
      </c>
      <c r="P29" s="26">
        <v>2.000524</v>
      </c>
      <c r="Q29" s="26">
        <v>1.6655610000000001</v>
      </c>
      <c r="R29" s="26">
        <v>2.3222100000000001</v>
      </c>
      <c r="S29" s="26">
        <v>5.0011159999999997</v>
      </c>
      <c r="T29" s="26">
        <v>2.3303259999999999</v>
      </c>
      <c r="U29" s="26">
        <v>4.2745879999999996</v>
      </c>
      <c r="V29" s="26">
        <v>6.2520629999999997</v>
      </c>
      <c r="W29" s="26">
        <v>-7.5600930000000002</v>
      </c>
      <c r="X29" s="26">
        <v>3.1574430000000002</v>
      </c>
      <c r="Y29" s="26">
        <v>1.5302</v>
      </c>
      <c r="Z29" s="19">
        <v>-0.61697900000000006</v>
      </c>
      <c r="AA29" s="19" t="e">
        <v>#N/A</v>
      </c>
      <c r="AB29" s="20"/>
    </row>
    <row r="30" spans="2:28" hidden="1" x14ac:dyDescent="0.2">
      <c r="B30" s="16" t="s">
        <v>944</v>
      </c>
      <c r="C30" s="26">
        <v>0.50358800000000004</v>
      </c>
      <c r="D30" s="26">
        <v>8</v>
      </c>
      <c r="E30" s="26">
        <v>1.8818550000000001</v>
      </c>
      <c r="F30" s="26">
        <v>-7.2620000000000002E-3</v>
      </c>
      <c r="G30" s="26">
        <v>1.4532970000000001</v>
      </c>
      <c r="H30" s="26">
        <v>1.8659019999999999</v>
      </c>
      <c r="I30" s="26">
        <v>3.0497540000000001</v>
      </c>
      <c r="J30" s="26">
        <v>1.2638739999999999</v>
      </c>
      <c r="K30" s="26">
        <v>3.948617</v>
      </c>
      <c r="L30" s="26">
        <v>1.0852820000000001</v>
      </c>
      <c r="M30" s="26">
        <v>-1.122989</v>
      </c>
      <c r="N30" s="26">
        <v>0</v>
      </c>
      <c r="O30" s="26">
        <v>-7.2620000000000002E-3</v>
      </c>
      <c r="P30" s="26">
        <v>0.908196</v>
      </c>
      <c r="Q30" s="26">
        <v>2.678058</v>
      </c>
      <c r="R30" s="26">
        <v>1.8818550000000001</v>
      </c>
      <c r="S30" s="26">
        <v>3.6063640000000001</v>
      </c>
      <c r="T30" s="26">
        <v>0.53962500000000002</v>
      </c>
      <c r="U30" s="26">
        <v>4.0603239999999996</v>
      </c>
      <c r="V30" s="26">
        <v>3.4702670000000002</v>
      </c>
      <c r="W30" s="26">
        <v>-7.6006520000000002</v>
      </c>
      <c r="X30" s="26">
        <v>2.2075119999999999</v>
      </c>
      <c r="Y30" s="26">
        <v>1.9280060000000001</v>
      </c>
      <c r="Z30" s="19">
        <v>-4.9917470000000002</v>
      </c>
      <c r="AA30" s="19" t="e">
        <v>#N/A</v>
      </c>
      <c r="AB30" s="20"/>
    </row>
    <row r="31" spans="2:28" hidden="1" x14ac:dyDescent="0.2">
      <c r="B31" s="16" t="s">
        <v>945</v>
      </c>
      <c r="C31" s="26">
        <v>0.15348600000000001</v>
      </c>
      <c r="D31" s="26">
        <v>7.5</v>
      </c>
      <c r="E31" s="26">
        <v>1.2792809999999999</v>
      </c>
      <c r="F31" s="26">
        <v>-1.272391</v>
      </c>
      <c r="G31" s="26">
        <v>1.6717630000000001</v>
      </c>
      <c r="H31" s="26">
        <v>1.0774919999999999</v>
      </c>
      <c r="I31" s="26">
        <v>3.3369680000000002</v>
      </c>
      <c r="J31" s="26">
        <v>-0.28076800000000002</v>
      </c>
      <c r="K31" s="26">
        <v>3.542888</v>
      </c>
      <c r="L31" s="26">
        <v>1.4112450000000001</v>
      </c>
      <c r="M31" s="26">
        <v>-0.92366800000000004</v>
      </c>
      <c r="N31" s="26">
        <v>0</v>
      </c>
      <c r="O31" s="26">
        <v>-1.272391</v>
      </c>
      <c r="P31" s="26">
        <v>1.3412729999999999</v>
      </c>
      <c r="Q31" s="26">
        <v>4.3193979999999996</v>
      </c>
      <c r="R31" s="26">
        <v>1.2792809999999999</v>
      </c>
      <c r="S31" s="26">
        <v>5.8522999999999996</v>
      </c>
      <c r="T31" s="26">
        <v>-0.52818900000000002</v>
      </c>
      <c r="U31" s="26">
        <v>2.9209610000000001</v>
      </c>
      <c r="V31" s="26">
        <v>3.885103</v>
      </c>
      <c r="W31" s="26">
        <v>-10.722704999999999</v>
      </c>
      <c r="X31" s="26">
        <v>2.1104750000000001</v>
      </c>
      <c r="Y31" s="26">
        <v>-0.86925600000000003</v>
      </c>
      <c r="Z31" s="19">
        <v>-10.676443000000001</v>
      </c>
      <c r="AA31" s="19" t="e">
        <v>#N/A</v>
      </c>
      <c r="AB31" s="20"/>
    </row>
    <row r="32" spans="2:28" hidden="1" x14ac:dyDescent="0.2">
      <c r="B32" s="16" t="s">
        <v>946</v>
      </c>
      <c r="C32" s="26">
        <v>1.318279</v>
      </c>
      <c r="D32" s="26">
        <v>8.9</v>
      </c>
      <c r="E32" s="26">
        <v>0.56551099999999999</v>
      </c>
      <c r="F32" s="26">
        <v>-1.63435</v>
      </c>
      <c r="G32" s="26">
        <v>-0.85282000000000002</v>
      </c>
      <c r="H32" s="26">
        <v>0.79787399999999997</v>
      </c>
      <c r="I32" s="26">
        <v>2.4746039999999998</v>
      </c>
      <c r="J32" s="26">
        <v>-0.69039300000000003</v>
      </c>
      <c r="K32" s="26">
        <v>3.1030509999999998</v>
      </c>
      <c r="L32" s="26">
        <v>1.637605</v>
      </c>
      <c r="M32" s="26">
        <v>-1.6705460000000001</v>
      </c>
      <c r="N32" s="26">
        <v>0</v>
      </c>
      <c r="O32" s="26">
        <v>-1.63435</v>
      </c>
      <c r="P32" s="26">
        <v>2.314619</v>
      </c>
      <c r="Q32" s="26">
        <v>4.0336429999999996</v>
      </c>
      <c r="R32" s="26">
        <v>0.56551099999999999</v>
      </c>
      <c r="S32" s="26">
        <v>7.2030159999999999</v>
      </c>
      <c r="T32" s="26">
        <v>0.40924500000000003</v>
      </c>
      <c r="U32" s="26">
        <v>2.3847860000000001</v>
      </c>
      <c r="V32" s="26">
        <v>5.5815700000000001</v>
      </c>
      <c r="W32" s="26">
        <v>-1.272068</v>
      </c>
      <c r="X32" s="26">
        <v>1.4138809999999999</v>
      </c>
      <c r="Y32" s="26">
        <v>0.84159099999999998</v>
      </c>
      <c r="Z32" s="19">
        <v>-15.219744</v>
      </c>
      <c r="AA32" s="19" t="e">
        <v>#N/A</v>
      </c>
      <c r="AB32" s="20"/>
    </row>
    <row r="33" spans="2:28" hidden="1" x14ac:dyDescent="0.2">
      <c r="B33" s="16" t="s">
        <v>947</v>
      </c>
      <c r="C33" s="26">
        <v>1.3396110000000001</v>
      </c>
      <c r="D33" s="26">
        <v>8.8000000000000007</v>
      </c>
      <c r="E33" s="26">
        <v>0.93381999999999998</v>
      </c>
      <c r="F33" s="26">
        <v>-0.42051100000000002</v>
      </c>
      <c r="G33" s="26">
        <v>-0.38725700000000002</v>
      </c>
      <c r="H33" s="26">
        <v>1.2173389999999999</v>
      </c>
      <c r="I33" s="26">
        <v>2.3450989999999998</v>
      </c>
      <c r="J33" s="26">
        <v>9.6170000000000005E-3</v>
      </c>
      <c r="K33" s="26">
        <v>3.058989</v>
      </c>
      <c r="L33" s="26">
        <v>2.5750440000000001</v>
      </c>
      <c r="M33" s="26">
        <v>-0.19247900000000001</v>
      </c>
      <c r="N33" s="26">
        <v>0</v>
      </c>
      <c r="O33" s="26">
        <v>-0.42051100000000002</v>
      </c>
      <c r="P33" s="26">
        <v>2.6222029999999998</v>
      </c>
      <c r="Q33" s="26">
        <v>4.9610779999999997</v>
      </c>
      <c r="R33" s="26">
        <v>0.93381999999999998</v>
      </c>
      <c r="S33" s="26">
        <v>7.5019819999999999</v>
      </c>
      <c r="T33" s="26">
        <v>2.2872629999999998</v>
      </c>
      <c r="U33" s="26">
        <v>5.020759</v>
      </c>
      <c r="V33" s="26">
        <v>4.9234359999999997</v>
      </c>
      <c r="W33" s="26">
        <v>8.1580309999999994</v>
      </c>
      <c r="X33" s="26">
        <v>1.256184</v>
      </c>
      <c r="Y33" s="26">
        <v>2.2406100000000002</v>
      </c>
      <c r="Z33" s="19">
        <v>-14.147871</v>
      </c>
      <c r="AA33" s="19" t="e">
        <v>#N/A</v>
      </c>
      <c r="AB33" s="20"/>
    </row>
    <row r="34" spans="2:28" hidden="1" x14ac:dyDescent="0.2">
      <c r="B34" s="16" t="s">
        <v>948</v>
      </c>
      <c r="C34" s="26">
        <v>2.2143660000000001</v>
      </c>
      <c r="D34" s="26">
        <v>9.6</v>
      </c>
      <c r="E34" s="26">
        <v>1.2431680000000001</v>
      </c>
      <c r="F34" s="26">
        <v>0.92801199999999995</v>
      </c>
      <c r="G34" s="26">
        <v>0.32383499999999998</v>
      </c>
      <c r="H34" s="26">
        <v>1.202491</v>
      </c>
      <c r="I34" s="26">
        <v>2.3582230000000002</v>
      </c>
      <c r="J34" s="26">
        <v>0.67187600000000003</v>
      </c>
      <c r="K34" s="26">
        <v>2.6607120000000002</v>
      </c>
      <c r="L34" s="26">
        <v>2.143894</v>
      </c>
      <c r="M34" s="26">
        <v>0.44789099999999998</v>
      </c>
      <c r="N34" s="26">
        <v>0</v>
      </c>
      <c r="O34" s="26">
        <v>0.92801199999999995</v>
      </c>
      <c r="P34" s="26">
        <v>3.5973039999999998</v>
      </c>
      <c r="Q34" s="26">
        <v>4.1277739999999996</v>
      </c>
      <c r="R34" s="26">
        <v>1.2431680000000001</v>
      </c>
      <c r="S34" s="26">
        <v>8.4238599999999995</v>
      </c>
      <c r="T34" s="26">
        <v>4.2944519999999997</v>
      </c>
      <c r="U34" s="26">
        <v>3.966574</v>
      </c>
      <c r="V34" s="26">
        <v>7.0213539999999997</v>
      </c>
      <c r="W34" s="26">
        <v>7.167548</v>
      </c>
      <c r="X34" s="26">
        <v>1.6746259999999999</v>
      </c>
      <c r="Y34" s="26">
        <v>2.6868439999999998</v>
      </c>
      <c r="Z34" s="19">
        <v>-9.8978780000000004</v>
      </c>
      <c r="AA34" s="19" t="e">
        <v>#N/A</v>
      </c>
      <c r="AB34" s="20"/>
    </row>
    <row r="35" spans="2:28" hidden="1" x14ac:dyDescent="0.2">
      <c r="B35" s="16" t="s">
        <v>949</v>
      </c>
      <c r="C35" s="26">
        <v>2.094541</v>
      </c>
      <c r="D35" s="26">
        <v>9.1</v>
      </c>
      <c r="E35" s="26">
        <v>1.1855990000000001</v>
      </c>
      <c r="F35" s="26">
        <v>1.4952350000000001</v>
      </c>
      <c r="G35" s="26">
        <v>0.254079</v>
      </c>
      <c r="H35" s="26">
        <v>1.2216610000000001</v>
      </c>
      <c r="I35" s="26">
        <v>2.818041</v>
      </c>
      <c r="J35" s="26">
        <v>0.99423499999999998</v>
      </c>
      <c r="K35" s="26">
        <v>2.7037079999999998</v>
      </c>
      <c r="L35" s="26">
        <v>1.982853</v>
      </c>
      <c r="M35" s="26">
        <v>1.246953</v>
      </c>
      <c r="N35" s="26">
        <v>0</v>
      </c>
      <c r="O35" s="26">
        <v>1.4952350000000001</v>
      </c>
      <c r="P35" s="26">
        <v>3.5290059999999999</v>
      </c>
      <c r="Q35" s="26">
        <v>3.596765</v>
      </c>
      <c r="R35" s="26">
        <v>1.1855990000000001</v>
      </c>
      <c r="S35" s="26">
        <v>7.7524579999999998</v>
      </c>
      <c r="T35" s="26">
        <v>5.2490680000000003</v>
      </c>
      <c r="U35" s="26">
        <v>4.425548</v>
      </c>
      <c r="V35" s="26">
        <v>6.2367290000000004</v>
      </c>
      <c r="W35" s="26">
        <v>11.898942</v>
      </c>
      <c r="X35" s="26">
        <v>1.928461</v>
      </c>
      <c r="Y35" s="26">
        <v>2.4429069999999999</v>
      </c>
      <c r="Z35" s="19">
        <v>-3.4831759999999998</v>
      </c>
      <c r="AA35" s="19" t="e">
        <v>#N/A</v>
      </c>
      <c r="AB35" s="20"/>
    </row>
    <row r="36" spans="2:28" hidden="1" x14ac:dyDescent="0.2">
      <c r="B36" s="16" t="s">
        <v>950</v>
      </c>
      <c r="C36" s="26">
        <v>1.770926</v>
      </c>
      <c r="D36" s="26">
        <v>11.1</v>
      </c>
      <c r="E36" s="26">
        <v>0.80155100000000001</v>
      </c>
      <c r="F36" s="26">
        <v>1.4066289999999999</v>
      </c>
      <c r="G36" s="26">
        <v>-0.71631900000000004</v>
      </c>
      <c r="H36" s="26">
        <v>1.06375</v>
      </c>
      <c r="I36" s="26">
        <v>3.0046879999999998</v>
      </c>
      <c r="J36" s="26">
        <v>0.78423399999999999</v>
      </c>
      <c r="K36" s="26">
        <v>3.1302370000000002</v>
      </c>
      <c r="L36" s="26">
        <v>3.2447949999999999</v>
      </c>
      <c r="M36" s="26">
        <v>2.1466970000000001</v>
      </c>
      <c r="N36" s="26">
        <v>0</v>
      </c>
      <c r="O36" s="26">
        <v>1.4066289999999999</v>
      </c>
      <c r="P36" s="26">
        <v>2.5729060000000001</v>
      </c>
      <c r="Q36" s="26">
        <v>2.8452850000000001</v>
      </c>
      <c r="R36" s="26">
        <v>0.80155100000000001</v>
      </c>
      <c r="S36" s="26">
        <v>4.2830250000000003</v>
      </c>
      <c r="T36" s="26">
        <v>2.5600390000000002</v>
      </c>
      <c r="U36" s="26">
        <v>5.7556469999999997</v>
      </c>
      <c r="V36" s="26">
        <v>2.2483960000000001</v>
      </c>
      <c r="W36" s="26">
        <v>7.4798530000000003</v>
      </c>
      <c r="X36" s="26">
        <v>2.9391980000000002</v>
      </c>
      <c r="Y36" s="26">
        <v>2.695214</v>
      </c>
      <c r="Z36" s="19">
        <v>5.2742290000000001</v>
      </c>
      <c r="AA36" s="19" t="e">
        <v>#N/A</v>
      </c>
      <c r="AB36" s="20"/>
    </row>
    <row r="37" spans="2:28" hidden="1" x14ac:dyDescent="0.2">
      <c r="B37" s="16" t="s">
        <v>951</v>
      </c>
      <c r="C37" s="26">
        <v>2.0284010000000001</v>
      </c>
      <c r="D37" s="26">
        <v>9.1</v>
      </c>
      <c r="E37" s="26">
        <v>0.34450399999999998</v>
      </c>
      <c r="F37" s="26">
        <v>1.290219</v>
      </c>
      <c r="G37" s="26">
        <v>-1.040594</v>
      </c>
      <c r="H37" s="26">
        <v>0.30944700000000003</v>
      </c>
      <c r="I37" s="26">
        <v>3.2984979999999999</v>
      </c>
      <c r="J37" s="26">
        <v>-1.0651000000000001E-2</v>
      </c>
      <c r="K37" s="26">
        <v>3.0558990000000001</v>
      </c>
      <c r="L37" s="26">
        <v>1.405187</v>
      </c>
      <c r="M37" s="26">
        <v>1.4502280000000001</v>
      </c>
      <c r="N37" s="26">
        <v>0</v>
      </c>
      <c r="O37" s="26">
        <v>1.290219</v>
      </c>
      <c r="P37" s="26">
        <v>1.8388500000000001</v>
      </c>
      <c r="Q37" s="26">
        <v>1.4279520000000001</v>
      </c>
      <c r="R37" s="26">
        <v>0.34450399999999998</v>
      </c>
      <c r="S37" s="26">
        <v>2.3819509999999999</v>
      </c>
      <c r="T37" s="26">
        <v>0.778887</v>
      </c>
      <c r="U37" s="26">
        <v>5.2893829999999999</v>
      </c>
      <c r="V37" s="26">
        <v>2.401961</v>
      </c>
      <c r="W37" s="26">
        <v>3.81663</v>
      </c>
      <c r="X37" s="26">
        <v>3.4698099999999998</v>
      </c>
      <c r="Y37" s="26">
        <v>3.8827159999999998</v>
      </c>
      <c r="Z37" s="19">
        <v>8.1469199999999997</v>
      </c>
      <c r="AA37" s="19" t="e">
        <v>#N/A</v>
      </c>
      <c r="AB37" s="20"/>
    </row>
    <row r="38" spans="2:28" hidden="1" x14ac:dyDescent="0.2">
      <c r="B38" s="16" t="s">
        <v>952</v>
      </c>
      <c r="C38" s="26">
        <v>3.3018070000000002</v>
      </c>
      <c r="D38" s="26">
        <v>10</v>
      </c>
      <c r="E38" s="26">
        <v>0.467777</v>
      </c>
      <c r="F38" s="26">
        <v>1.3656330000000001</v>
      </c>
      <c r="G38" s="26">
        <v>-0.77937100000000004</v>
      </c>
      <c r="H38" s="26">
        <v>0.63553099999999996</v>
      </c>
      <c r="I38" s="26">
        <v>3.5698110000000001</v>
      </c>
      <c r="J38" s="26">
        <v>-0.10541200000000001</v>
      </c>
      <c r="K38" s="26">
        <v>3.1393059999999999</v>
      </c>
      <c r="L38" s="26">
        <v>2.5853109999999999</v>
      </c>
      <c r="M38" s="26">
        <v>0.76738399999999996</v>
      </c>
      <c r="N38" s="26">
        <v>0</v>
      </c>
      <c r="O38" s="26">
        <v>1.3656330000000001</v>
      </c>
      <c r="P38" s="26">
        <v>1.3342130000000001</v>
      </c>
      <c r="Q38" s="26">
        <v>2.6208680000000002</v>
      </c>
      <c r="R38" s="26">
        <v>0.467777</v>
      </c>
      <c r="S38" s="26">
        <v>2.1374409999999999</v>
      </c>
      <c r="T38" s="26">
        <v>0.60254700000000005</v>
      </c>
      <c r="U38" s="26">
        <v>5.3376919999999997</v>
      </c>
      <c r="V38" s="26">
        <v>1.516588</v>
      </c>
      <c r="W38" s="26">
        <v>5.393033</v>
      </c>
      <c r="X38" s="26">
        <v>3.8093080000000001</v>
      </c>
      <c r="Y38" s="26">
        <v>3.752767</v>
      </c>
      <c r="Z38" s="19">
        <v>10.707166000000001</v>
      </c>
      <c r="AA38" s="19" t="e">
        <v>#N/A</v>
      </c>
      <c r="AB38" s="20"/>
    </row>
    <row r="39" spans="2:28" hidden="1" x14ac:dyDescent="0.2">
      <c r="B39" s="16" t="s">
        <v>953</v>
      </c>
      <c r="C39" s="26">
        <v>4.3263629999999997</v>
      </c>
      <c r="D39" s="26">
        <v>10</v>
      </c>
      <c r="E39" s="26">
        <v>1.077259</v>
      </c>
      <c r="F39" s="26">
        <v>2.2140309999999999</v>
      </c>
      <c r="G39" s="26">
        <v>-0.33793400000000001</v>
      </c>
      <c r="H39" s="26">
        <v>1.3683190000000001</v>
      </c>
      <c r="I39" s="26">
        <v>3.478577</v>
      </c>
      <c r="J39" s="26">
        <v>0.29860500000000001</v>
      </c>
      <c r="K39" s="26">
        <v>3.4215249999999999</v>
      </c>
      <c r="L39" s="26">
        <v>2.7508910000000002</v>
      </c>
      <c r="M39" s="26">
        <v>1.511951</v>
      </c>
      <c r="N39" s="26">
        <v>0</v>
      </c>
      <c r="O39" s="26">
        <v>2.2140309999999999</v>
      </c>
      <c r="P39" s="26">
        <v>1.4708479999999999</v>
      </c>
      <c r="Q39" s="26">
        <v>3.780141</v>
      </c>
      <c r="R39" s="26">
        <v>1.077259</v>
      </c>
      <c r="S39" s="26">
        <v>3.8102290000000001</v>
      </c>
      <c r="T39" s="26">
        <v>0.65127999999999997</v>
      </c>
      <c r="U39" s="26">
        <v>6.7776750000000003</v>
      </c>
      <c r="V39" s="26">
        <v>5.969411</v>
      </c>
      <c r="W39" s="26">
        <v>6.8754090000000003</v>
      </c>
      <c r="X39" s="26">
        <v>4.1613790000000002</v>
      </c>
      <c r="Y39" s="26">
        <v>3.9201950000000001</v>
      </c>
      <c r="Z39" s="19">
        <v>11.646839999999999</v>
      </c>
      <c r="AA39" s="19" t="e">
        <v>#N/A</v>
      </c>
      <c r="AB39" s="20"/>
    </row>
    <row r="40" spans="2:28" hidden="1" x14ac:dyDescent="0.2">
      <c r="B40" s="16" t="s">
        <v>954</v>
      </c>
      <c r="C40" s="26">
        <v>4.3045559999999998</v>
      </c>
      <c r="D40" s="26">
        <v>10.6</v>
      </c>
      <c r="E40" s="26">
        <v>1.9147670000000001</v>
      </c>
      <c r="F40" s="26">
        <v>2.9521790000000001</v>
      </c>
      <c r="G40" s="26">
        <v>0.99351400000000001</v>
      </c>
      <c r="H40" s="26">
        <v>2.1285910000000001</v>
      </c>
      <c r="I40" s="26">
        <v>3.3654299999999999</v>
      </c>
      <c r="J40" s="26">
        <v>1.042624</v>
      </c>
      <c r="K40" s="26">
        <v>3.0331169999999998</v>
      </c>
      <c r="L40" s="26">
        <v>3.1110910000000001</v>
      </c>
      <c r="M40" s="26">
        <v>2.5177689999999999</v>
      </c>
      <c r="N40" s="26">
        <v>6.6646510000000001</v>
      </c>
      <c r="O40" s="26">
        <v>2.9521790000000001</v>
      </c>
      <c r="P40" s="26">
        <v>1.646639</v>
      </c>
      <c r="Q40" s="26">
        <v>4.6757239999999998</v>
      </c>
      <c r="R40" s="26">
        <v>1.9147670000000001</v>
      </c>
      <c r="S40" s="26">
        <v>5.9026050000000003</v>
      </c>
      <c r="T40" s="26">
        <v>3.7744740000000001</v>
      </c>
      <c r="U40" s="26">
        <v>6.5445599999999997</v>
      </c>
      <c r="V40" s="26">
        <v>7.4752989999999997</v>
      </c>
      <c r="W40" s="26">
        <v>9.5724070000000001</v>
      </c>
      <c r="X40" s="26">
        <v>4.1725789999999998</v>
      </c>
      <c r="Y40" s="26">
        <v>6.7620120000000004</v>
      </c>
      <c r="Z40" s="19">
        <v>11.221837000000001</v>
      </c>
      <c r="AA40" s="19" t="e">
        <v>#N/A</v>
      </c>
      <c r="AB40" s="20"/>
    </row>
    <row r="41" spans="2:28" hidden="1" x14ac:dyDescent="0.2">
      <c r="B41" s="16" t="s">
        <v>955</v>
      </c>
      <c r="C41" s="26">
        <v>4.2030190000000003</v>
      </c>
      <c r="D41" s="26">
        <v>11.6</v>
      </c>
      <c r="E41" s="26">
        <v>2.4129719999999999</v>
      </c>
      <c r="F41" s="26">
        <v>2.2258149999999999</v>
      </c>
      <c r="G41" s="26">
        <v>1.394163</v>
      </c>
      <c r="H41" s="26">
        <v>3.023441</v>
      </c>
      <c r="I41" s="26">
        <v>2.7884410000000002</v>
      </c>
      <c r="J41" s="26">
        <v>1.722906</v>
      </c>
      <c r="K41" s="26">
        <v>3.1321400000000001</v>
      </c>
      <c r="L41" s="26">
        <v>4.289822</v>
      </c>
      <c r="M41" s="26">
        <v>4.0541869999999998</v>
      </c>
      <c r="N41" s="26">
        <v>7.5209469999999996</v>
      </c>
      <c r="O41" s="26">
        <v>2.2258149999999999</v>
      </c>
      <c r="P41" s="26">
        <v>3.0009860000000002</v>
      </c>
      <c r="Q41" s="26">
        <v>5.1312360000000004</v>
      </c>
      <c r="R41" s="26">
        <v>2.4129719999999999</v>
      </c>
      <c r="S41" s="26">
        <v>6.6743550000000003</v>
      </c>
      <c r="T41" s="26">
        <v>6.2604550000000003</v>
      </c>
      <c r="U41" s="26">
        <v>4.680237</v>
      </c>
      <c r="V41" s="26">
        <v>8.4177739999999996</v>
      </c>
      <c r="W41" s="26">
        <v>11.485958</v>
      </c>
      <c r="X41" s="26">
        <v>4.2952000000000004</v>
      </c>
      <c r="Y41" s="26">
        <v>5.4003170000000003</v>
      </c>
      <c r="Z41" s="19">
        <v>6.5028980000000001</v>
      </c>
      <c r="AA41" s="19" t="e">
        <v>#N/A</v>
      </c>
      <c r="AB41" s="20"/>
    </row>
    <row r="42" spans="2:28" hidden="1" x14ac:dyDescent="0.2">
      <c r="B42" s="16" t="s">
        <v>956</v>
      </c>
      <c r="C42" s="26">
        <v>3.4315950000000002</v>
      </c>
      <c r="D42" s="26">
        <v>9.8000000000000007</v>
      </c>
      <c r="E42" s="26">
        <v>2.1777310000000001</v>
      </c>
      <c r="F42" s="26">
        <v>2.4709750000000001</v>
      </c>
      <c r="G42" s="26">
        <v>0.41033799999999998</v>
      </c>
      <c r="H42" s="26">
        <v>2.6791580000000002</v>
      </c>
      <c r="I42" s="26">
        <v>1.9157169999999999</v>
      </c>
      <c r="J42" s="26">
        <v>1.688601</v>
      </c>
      <c r="K42" s="26">
        <v>3.4609679999999998</v>
      </c>
      <c r="L42" s="26">
        <v>3.787865</v>
      </c>
      <c r="M42" s="26">
        <v>3.9235920000000002</v>
      </c>
      <c r="N42" s="26">
        <v>7.3373549999999996</v>
      </c>
      <c r="O42" s="26">
        <v>2.4709750000000001</v>
      </c>
      <c r="P42" s="26">
        <v>3.8290899999999999</v>
      </c>
      <c r="Q42" s="26">
        <v>4.2403040000000001</v>
      </c>
      <c r="R42" s="26">
        <v>2.1777310000000001</v>
      </c>
      <c r="S42" s="26">
        <v>5.071129</v>
      </c>
      <c r="T42" s="26">
        <v>6.6751139999999998</v>
      </c>
      <c r="U42" s="26">
        <v>5.4205639999999997</v>
      </c>
      <c r="V42" s="26">
        <v>7.1440489999999999</v>
      </c>
      <c r="W42" s="26">
        <v>8.7346609999999991</v>
      </c>
      <c r="X42" s="26">
        <v>4.8511499999999996</v>
      </c>
      <c r="Y42" s="26">
        <v>3.7467450000000002</v>
      </c>
      <c r="Z42" s="19">
        <v>9.2256780000000003</v>
      </c>
      <c r="AA42" s="19" t="e">
        <v>#N/A</v>
      </c>
      <c r="AB42" s="20"/>
    </row>
    <row r="43" spans="2:28" hidden="1" x14ac:dyDescent="0.2">
      <c r="B43" s="16" t="s">
        <v>957</v>
      </c>
      <c r="C43" s="26">
        <v>3.2817949999999998</v>
      </c>
      <c r="D43" s="26">
        <v>8.8000000000000007</v>
      </c>
      <c r="E43" s="26">
        <v>1.8110409999999999</v>
      </c>
      <c r="F43" s="26">
        <v>1.13734</v>
      </c>
      <c r="G43" s="26">
        <v>4.6782999999999998E-2</v>
      </c>
      <c r="H43" s="26">
        <v>2.642236</v>
      </c>
      <c r="I43" s="26">
        <v>1.353818</v>
      </c>
      <c r="J43" s="26">
        <v>1.050799</v>
      </c>
      <c r="K43" s="26">
        <v>3.0396079999999999</v>
      </c>
      <c r="L43" s="26">
        <v>4.0030929999999998</v>
      </c>
      <c r="M43" s="26">
        <v>4.113435</v>
      </c>
      <c r="N43" s="26">
        <v>6.5934980000000003</v>
      </c>
      <c r="O43" s="26">
        <v>1.13734</v>
      </c>
      <c r="P43" s="26">
        <v>3.8634580000000001</v>
      </c>
      <c r="Q43" s="26">
        <v>3.112889</v>
      </c>
      <c r="R43" s="26">
        <v>1.8110409999999999</v>
      </c>
      <c r="S43" s="26">
        <v>3.2345730000000001</v>
      </c>
      <c r="T43" s="26">
        <v>6.3049989999999996</v>
      </c>
      <c r="U43" s="26">
        <v>2.8593950000000001</v>
      </c>
      <c r="V43" s="26">
        <v>4.2709599999999996</v>
      </c>
      <c r="W43" s="26">
        <v>7.78146</v>
      </c>
      <c r="X43" s="26">
        <v>5.69984</v>
      </c>
      <c r="Y43" s="26">
        <v>4.5727019999999996</v>
      </c>
      <c r="Z43" s="19">
        <v>8.7638829999999999</v>
      </c>
      <c r="AA43" s="19" t="e">
        <v>#N/A</v>
      </c>
      <c r="AB43" s="20"/>
    </row>
    <row r="44" spans="2:28" hidden="1" x14ac:dyDescent="0.2">
      <c r="B44" s="16" t="s">
        <v>958</v>
      </c>
      <c r="C44" s="26">
        <v>3.870679</v>
      </c>
      <c r="D44" s="26">
        <v>11.1</v>
      </c>
      <c r="E44" s="26">
        <v>1.3862559999999999</v>
      </c>
      <c r="F44" s="26">
        <v>0.82746299999999995</v>
      </c>
      <c r="G44" s="26">
        <v>0.202014</v>
      </c>
      <c r="H44" s="26">
        <v>2.0059209999999998</v>
      </c>
      <c r="I44" s="26">
        <v>1.7577020000000001</v>
      </c>
      <c r="J44" s="26">
        <v>0.34379799999999999</v>
      </c>
      <c r="K44" s="26">
        <v>3.453446</v>
      </c>
      <c r="L44" s="26">
        <v>2.5426690000000001</v>
      </c>
      <c r="M44" s="26">
        <v>2.9728780000000001</v>
      </c>
      <c r="N44" s="26">
        <v>6.4568700000000003</v>
      </c>
      <c r="O44" s="26">
        <v>0.82746299999999995</v>
      </c>
      <c r="P44" s="26">
        <v>3.4723920000000001</v>
      </c>
      <c r="Q44" s="26">
        <v>2.9235609999999999</v>
      </c>
      <c r="R44" s="26">
        <v>1.3862559999999999</v>
      </c>
      <c r="S44" s="26">
        <v>2.7418439999999999</v>
      </c>
      <c r="T44" s="26">
        <v>4.0967460000000004</v>
      </c>
      <c r="U44" s="26">
        <v>0.33300600000000002</v>
      </c>
      <c r="V44" s="26">
        <v>5.5155310000000002</v>
      </c>
      <c r="W44" s="26">
        <v>9.3262239999999998</v>
      </c>
      <c r="X44" s="26">
        <v>6.2803060000000004</v>
      </c>
      <c r="Y44" s="26">
        <v>2.4853869999999998</v>
      </c>
      <c r="Z44" s="19">
        <v>8.3381150000000002</v>
      </c>
      <c r="AA44" s="19" t="e">
        <v>#N/A</v>
      </c>
      <c r="AB44" s="20"/>
    </row>
    <row r="45" spans="2:28" hidden="1" x14ac:dyDescent="0.2">
      <c r="B45" s="16" t="s">
        <v>959</v>
      </c>
      <c r="C45" s="26">
        <v>3.5608930000000001</v>
      </c>
      <c r="D45" s="26">
        <v>11.1</v>
      </c>
      <c r="E45" s="26">
        <v>1.5441119999999999</v>
      </c>
      <c r="F45" s="26">
        <v>1.5787990000000001</v>
      </c>
      <c r="G45" s="26">
        <v>0.25928200000000001</v>
      </c>
      <c r="H45" s="26">
        <v>1.5247740000000001</v>
      </c>
      <c r="I45" s="26">
        <v>2.4935900000000002</v>
      </c>
      <c r="J45" s="26">
        <v>0.99595699999999998</v>
      </c>
      <c r="K45" s="26">
        <v>3.7032820000000002</v>
      </c>
      <c r="L45" s="26">
        <v>2.8917989999999998</v>
      </c>
      <c r="M45" s="26">
        <v>1.5769059999999999</v>
      </c>
      <c r="N45" s="26">
        <v>6.0339879999999999</v>
      </c>
      <c r="O45" s="26">
        <v>1.5787990000000001</v>
      </c>
      <c r="P45" s="26">
        <v>2.9925920000000001</v>
      </c>
      <c r="Q45" s="26">
        <v>2.5715859999999999</v>
      </c>
      <c r="R45" s="26">
        <v>1.5441119999999999</v>
      </c>
      <c r="S45" s="26">
        <v>4.139494</v>
      </c>
      <c r="T45" s="26">
        <v>4.4387119999999998</v>
      </c>
      <c r="U45" s="26">
        <v>0.59889700000000001</v>
      </c>
      <c r="V45" s="26">
        <v>5.7100309999999999</v>
      </c>
      <c r="W45" s="26">
        <v>7.5106149999999996</v>
      </c>
      <c r="X45" s="26">
        <v>6.9773100000000001</v>
      </c>
      <c r="Y45" s="26">
        <v>1.8473250000000001</v>
      </c>
      <c r="Z45" s="19">
        <v>12.002984</v>
      </c>
      <c r="AA45" s="19" t="e">
        <v>#N/A</v>
      </c>
      <c r="AB45" s="20"/>
    </row>
    <row r="46" spans="2:28" hidden="1" x14ac:dyDescent="0.2">
      <c r="B46" s="16" t="s">
        <v>960</v>
      </c>
      <c r="C46" s="26">
        <v>3.5055000000000001</v>
      </c>
      <c r="D46" s="26">
        <v>10.8</v>
      </c>
      <c r="E46" s="26">
        <v>1.9839819999999999</v>
      </c>
      <c r="F46" s="26">
        <v>1.924207</v>
      </c>
      <c r="G46" s="26">
        <v>1.287261</v>
      </c>
      <c r="H46" s="26">
        <v>1.6681330000000001</v>
      </c>
      <c r="I46" s="26">
        <v>3.522011</v>
      </c>
      <c r="J46" s="26">
        <v>1.5412999999999999</v>
      </c>
      <c r="K46" s="26">
        <v>3.6426050000000001</v>
      </c>
      <c r="L46" s="26">
        <v>2.9815320000000001</v>
      </c>
      <c r="M46" s="26">
        <v>2.6371609999999999</v>
      </c>
      <c r="N46" s="26">
        <v>6.2926840000000004</v>
      </c>
      <c r="O46" s="26">
        <v>1.924207</v>
      </c>
      <c r="P46" s="26">
        <v>3.03485</v>
      </c>
      <c r="Q46" s="26">
        <v>2.907219</v>
      </c>
      <c r="R46" s="26">
        <v>1.9839819999999999</v>
      </c>
      <c r="S46" s="26">
        <v>4.9411509999999996</v>
      </c>
      <c r="T46" s="26">
        <v>2.1163599999999998</v>
      </c>
      <c r="U46" s="26">
        <v>0.62434299999999998</v>
      </c>
      <c r="V46" s="26">
        <v>5.3790360000000002</v>
      </c>
      <c r="W46" s="26">
        <v>8.2308489999999992</v>
      </c>
      <c r="X46" s="26">
        <v>6.7455420000000004</v>
      </c>
      <c r="Y46" s="26">
        <v>4.2616449999999997</v>
      </c>
      <c r="Z46" s="19">
        <v>7.3306789999999999</v>
      </c>
      <c r="AA46" s="19" t="e">
        <v>#N/A</v>
      </c>
      <c r="AB46" s="20"/>
    </row>
    <row r="47" spans="2:28" hidden="1" x14ac:dyDescent="0.2">
      <c r="B47" s="16" t="s">
        <v>961</v>
      </c>
      <c r="C47" s="26">
        <v>3.1261109999999999</v>
      </c>
      <c r="D47" s="26">
        <v>12.4</v>
      </c>
      <c r="E47" s="26">
        <v>2.2088359999999998</v>
      </c>
      <c r="F47" s="26">
        <v>2.3072050000000002</v>
      </c>
      <c r="G47" s="26">
        <v>1.8611059999999999</v>
      </c>
      <c r="H47" s="26">
        <v>1.6571089999999999</v>
      </c>
      <c r="I47" s="26">
        <v>4.8087390000000001</v>
      </c>
      <c r="J47" s="26">
        <v>1.6558949999999999</v>
      </c>
      <c r="K47" s="26">
        <v>4.0859180000000004</v>
      </c>
      <c r="L47" s="26">
        <v>2.8228650000000002</v>
      </c>
      <c r="M47" s="26">
        <v>2.998386</v>
      </c>
      <c r="N47" s="26">
        <v>7.2856949999999996</v>
      </c>
      <c r="O47" s="26">
        <v>2.3072050000000002</v>
      </c>
      <c r="P47" s="26">
        <v>3.3148110000000002</v>
      </c>
      <c r="Q47" s="26">
        <v>3.1064039999999999</v>
      </c>
      <c r="R47" s="26">
        <v>2.2088359999999998</v>
      </c>
      <c r="S47" s="26">
        <v>5.3834030000000004</v>
      </c>
      <c r="T47" s="26">
        <v>2.1743130000000002</v>
      </c>
      <c r="U47" s="26">
        <v>1.464718</v>
      </c>
      <c r="V47" s="26">
        <v>6.3461550000000004</v>
      </c>
      <c r="W47" s="26">
        <v>10.622754</v>
      </c>
      <c r="X47" s="26">
        <v>6.4174699999999998</v>
      </c>
      <c r="Y47" s="26">
        <v>5.0654089999999998</v>
      </c>
      <c r="Z47" s="19">
        <v>7.8819879999999998</v>
      </c>
      <c r="AA47" s="19" t="e">
        <v>#N/A</v>
      </c>
      <c r="AB47" s="20"/>
    </row>
    <row r="48" spans="2:28" hidden="1" x14ac:dyDescent="0.2">
      <c r="B48" s="16" t="s">
        <v>962</v>
      </c>
      <c r="C48" s="26">
        <v>3.3538950000000001</v>
      </c>
      <c r="D48" s="26">
        <v>12.5</v>
      </c>
      <c r="E48" s="26">
        <v>2.9737469999999999</v>
      </c>
      <c r="F48" s="26">
        <v>1.999166</v>
      </c>
      <c r="G48" s="26">
        <v>2.8517960000000002</v>
      </c>
      <c r="H48" s="26">
        <v>2.23475</v>
      </c>
      <c r="I48" s="26">
        <v>4.1010350000000004</v>
      </c>
      <c r="J48" s="26">
        <v>2.2940559999999999</v>
      </c>
      <c r="K48" s="26">
        <v>4.15944</v>
      </c>
      <c r="L48" s="26">
        <v>4.7039739999999997</v>
      </c>
      <c r="M48" s="26">
        <v>4.6436609999999998</v>
      </c>
      <c r="N48" s="26">
        <v>7.4781519999999997</v>
      </c>
      <c r="O48" s="26">
        <v>1.999166</v>
      </c>
      <c r="P48" s="26">
        <v>3.7911839999999999</v>
      </c>
      <c r="Q48" s="26">
        <v>2.6811590000000001</v>
      </c>
      <c r="R48" s="26">
        <v>2.9737469999999999</v>
      </c>
      <c r="S48" s="26">
        <v>6.3416439999999996</v>
      </c>
      <c r="T48" s="26">
        <v>4.2401910000000003</v>
      </c>
      <c r="U48" s="26">
        <v>5.5230399999999999</v>
      </c>
      <c r="V48" s="26">
        <v>5.9672489999999998</v>
      </c>
      <c r="W48" s="26">
        <v>7.020378</v>
      </c>
      <c r="X48" s="26">
        <v>7.0242490000000002</v>
      </c>
      <c r="Y48" s="26">
        <v>5.5609799999999998</v>
      </c>
      <c r="Z48" s="19">
        <v>7.6457930000000003</v>
      </c>
      <c r="AA48" s="19" t="e">
        <v>#N/A</v>
      </c>
      <c r="AB48" s="20"/>
    </row>
    <row r="49" spans="2:28" hidden="1" x14ac:dyDescent="0.2">
      <c r="B49" s="16" t="s">
        <v>963</v>
      </c>
      <c r="C49" s="26">
        <v>3.1194730000000002</v>
      </c>
      <c r="D49" s="26">
        <v>13.7</v>
      </c>
      <c r="E49" s="26">
        <v>3.3353739999999998</v>
      </c>
      <c r="F49" s="26">
        <v>1.584805</v>
      </c>
      <c r="G49" s="26">
        <v>4.0562500000000004</v>
      </c>
      <c r="H49" s="26">
        <v>3.0761150000000002</v>
      </c>
      <c r="I49" s="26">
        <v>3.188545</v>
      </c>
      <c r="J49" s="26">
        <v>1.902101</v>
      </c>
      <c r="K49" s="26">
        <v>4.1852859999999996</v>
      </c>
      <c r="L49" s="26">
        <v>4.8101630000000002</v>
      </c>
      <c r="M49" s="26">
        <v>5.3395789999999996</v>
      </c>
      <c r="N49" s="26">
        <v>7.9045920000000001</v>
      </c>
      <c r="O49" s="26">
        <v>1.584805</v>
      </c>
      <c r="P49" s="26">
        <v>3.1099019999999999</v>
      </c>
      <c r="Q49" s="26">
        <v>2.4883730000000002</v>
      </c>
      <c r="R49" s="26">
        <v>3.3353739999999998</v>
      </c>
      <c r="S49" s="26">
        <v>4.8458730000000001</v>
      </c>
      <c r="T49" s="26">
        <v>2.2548900000000001</v>
      </c>
      <c r="U49" s="26">
        <v>5.5045289999999998</v>
      </c>
      <c r="V49" s="26">
        <v>3.940909</v>
      </c>
      <c r="W49" s="26">
        <v>9.5296470000000006</v>
      </c>
      <c r="X49" s="26">
        <v>7.2569920000000003</v>
      </c>
      <c r="Y49" s="26">
        <v>7.7971579999999996</v>
      </c>
      <c r="Z49" s="19">
        <v>6.5941960000000002</v>
      </c>
      <c r="AA49" s="19" t="e">
        <v>#N/A</v>
      </c>
      <c r="AB49" s="20"/>
    </row>
    <row r="50" spans="2:28" hidden="1" x14ac:dyDescent="0.2">
      <c r="B50" s="16" t="s">
        <v>964</v>
      </c>
      <c r="C50" s="26">
        <v>2.3665020000000001</v>
      </c>
      <c r="D50" s="26">
        <v>12.2</v>
      </c>
      <c r="E50" s="26">
        <v>3.2576700000000001</v>
      </c>
      <c r="F50" s="26">
        <v>0.42698000000000003</v>
      </c>
      <c r="G50" s="26">
        <v>3.9884729999999999</v>
      </c>
      <c r="H50" s="26">
        <v>2.55938</v>
      </c>
      <c r="I50" s="26">
        <v>2.0606819999999999</v>
      </c>
      <c r="J50" s="26">
        <v>1.585588</v>
      </c>
      <c r="K50" s="26">
        <v>4.2255760000000002</v>
      </c>
      <c r="L50" s="26">
        <v>5.1853610000000003</v>
      </c>
      <c r="M50" s="26">
        <v>4.7146610000000004</v>
      </c>
      <c r="N50" s="26">
        <v>8.4707439999999998</v>
      </c>
      <c r="O50" s="26">
        <v>0.42698000000000003</v>
      </c>
      <c r="P50" s="26">
        <v>2.1473949999999999</v>
      </c>
      <c r="Q50" s="26">
        <v>2.8968120000000002</v>
      </c>
      <c r="R50" s="26">
        <v>3.2576700000000001</v>
      </c>
      <c r="S50" s="26">
        <v>5.0641629999999997</v>
      </c>
      <c r="T50" s="26">
        <v>4.5420730000000002</v>
      </c>
      <c r="U50" s="26">
        <v>4.5620890000000003</v>
      </c>
      <c r="V50" s="26">
        <v>6.2803740000000001</v>
      </c>
      <c r="W50" s="26">
        <v>6.5425209999999998</v>
      </c>
      <c r="X50" s="26">
        <v>7.0252879999999998</v>
      </c>
      <c r="Y50" s="26">
        <v>7.5482800000000001</v>
      </c>
      <c r="Z50" s="19">
        <v>8.8288580000000003</v>
      </c>
      <c r="AA50" s="19" t="e">
        <v>#N/A</v>
      </c>
      <c r="AB50" s="20"/>
    </row>
    <row r="51" spans="2:28" hidden="1" x14ac:dyDescent="0.2">
      <c r="B51" s="16" t="s">
        <v>965</v>
      </c>
      <c r="C51" s="26">
        <v>2.5907040000000001</v>
      </c>
      <c r="D51" s="26">
        <v>12.5</v>
      </c>
      <c r="E51" s="26">
        <v>3.784427</v>
      </c>
      <c r="F51" s="26">
        <v>1.556673</v>
      </c>
      <c r="G51" s="26">
        <v>5.0826060000000002</v>
      </c>
      <c r="H51" s="26">
        <v>2.5823209999999999</v>
      </c>
      <c r="I51" s="26">
        <v>0.90881400000000001</v>
      </c>
      <c r="J51" s="26">
        <v>2.6194229999999998</v>
      </c>
      <c r="K51" s="26">
        <v>4.1265080000000003</v>
      </c>
      <c r="L51" s="26">
        <v>5.0955539999999999</v>
      </c>
      <c r="M51" s="26">
        <v>3.305501</v>
      </c>
      <c r="N51" s="26">
        <v>8.2968720000000005</v>
      </c>
      <c r="O51" s="26">
        <v>1.556673</v>
      </c>
      <c r="P51" s="26">
        <v>1.52871</v>
      </c>
      <c r="Q51" s="26">
        <v>3.2018230000000001</v>
      </c>
      <c r="R51" s="26">
        <v>3.784427</v>
      </c>
      <c r="S51" s="26">
        <v>4.8409209999999998</v>
      </c>
      <c r="T51" s="26">
        <v>4.7956159999999999</v>
      </c>
      <c r="U51" s="26">
        <v>6.7174969999999998</v>
      </c>
      <c r="V51" s="26">
        <v>4.1506259999999999</v>
      </c>
      <c r="W51" s="26">
        <v>6.1594110000000004</v>
      </c>
      <c r="X51" s="26">
        <v>6.8275090000000001</v>
      </c>
      <c r="Y51" s="26">
        <v>4.0672090000000001</v>
      </c>
      <c r="Z51" s="19">
        <v>9.07864</v>
      </c>
      <c r="AA51" s="19" t="e">
        <v>#N/A</v>
      </c>
      <c r="AB51" s="20"/>
    </row>
    <row r="52" spans="2:28" hidden="1" x14ac:dyDescent="0.2">
      <c r="B52" s="16" t="s">
        <v>966</v>
      </c>
      <c r="C52" s="26">
        <v>1.4822930000000001</v>
      </c>
      <c r="D52" s="26">
        <v>13.8</v>
      </c>
      <c r="E52" s="26">
        <v>3.6353900000000001</v>
      </c>
      <c r="F52" s="26">
        <v>2.1219199999999998</v>
      </c>
      <c r="G52" s="26">
        <v>4.1335470000000001</v>
      </c>
      <c r="H52" s="26">
        <v>2.5510120000000001</v>
      </c>
      <c r="I52" s="26">
        <v>1.6421349999999999</v>
      </c>
      <c r="J52" s="26">
        <v>2.3846219999999998</v>
      </c>
      <c r="K52" s="26">
        <v>4.0648119999999999</v>
      </c>
      <c r="L52" s="26">
        <v>3.9587119999999998</v>
      </c>
      <c r="M52" s="26">
        <v>2.2360009999999999</v>
      </c>
      <c r="N52" s="26">
        <v>8.1726130000000001</v>
      </c>
      <c r="O52" s="26">
        <v>2.1219199999999998</v>
      </c>
      <c r="P52" s="26">
        <v>1.371658</v>
      </c>
      <c r="Q52" s="26">
        <v>4.4359310000000001</v>
      </c>
      <c r="R52" s="26">
        <v>3.6353900000000001</v>
      </c>
      <c r="S52" s="26">
        <v>4.8267870000000004</v>
      </c>
      <c r="T52" s="26">
        <v>5.1553519999999997</v>
      </c>
      <c r="U52" s="26">
        <v>2.5285359999999999</v>
      </c>
      <c r="V52" s="26">
        <v>7.6926620000000003</v>
      </c>
      <c r="W52" s="26">
        <v>7.6947520000000003</v>
      </c>
      <c r="X52" s="26">
        <v>6.2207340000000002</v>
      </c>
      <c r="Y52" s="26">
        <v>7.1314399999999996</v>
      </c>
      <c r="Z52" s="19">
        <v>8.8540989999999997</v>
      </c>
      <c r="AA52" s="19" t="e">
        <v>#N/A</v>
      </c>
      <c r="AB52" s="20"/>
    </row>
    <row r="53" spans="2:28" hidden="1" x14ac:dyDescent="0.2">
      <c r="B53" s="16" t="s">
        <v>967</v>
      </c>
      <c r="C53" s="26">
        <v>1.82569</v>
      </c>
      <c r="D53" s="26">
        <v>15</v>
      </c>
      <c r="E53" s="26">
        <v>3.1873049999999998</v>
      </c>
      <c r="F53" s="26">
        <v>1.990399</v>
      </c>
      <c r="G53" s="26">
        <v>3.2140149999999998</v>
      </c>
      <c r="H53" s="26">
        <v>2.300135</v>
      </c>
      <c r="I53" s="26">
        <v>2.1479699999999999</v>
      </c>
      <c r="J53" s="26">
        <v>1.6878880000000001</v>
      </c>
      <c r="K53" s="26">
        <v>3.8245200000000001</v>
      </c>
      <c r="L53" s="26">
        <v>3.5224139999999999</v>
      </c>
      <c r="M53" s="26">
        <v>2.0166819999999999</v>
      </c>
      <c r="N53" s="26">
        <v>8.8080049999999996</v>
      </c>
      <c r="O53" s="26">
        <v>1.990399</v>
      </c>
      <c r="P53" s="26">
        <v>2.294972</v>
      </c>
      <c r="Q53" s="26">
        <v>4.8275709999999998</v>
      </c>
      <c r="R53" s="26">
        <v>3.1873049999999998</v>
      </c>
      <c r="S53" s="26">
        <v>5.992076</v>
      </c>
      <c r="T53" s="26">
        <v>6.5385359999999997</v>
      </c>
      <c r="U53" s="26">
        <v>5.2042979999999996</v>
      </c>
      <c r="V53" s="26">
        <v>5.9371859999999996</v>
      </c>
      <c r="W53" s="26">
        <v>3.2159759999999999</v>
      </c>
      <c r="X53" s="26">
        <v>5.227176</v>
      </c>
      <c r="Y53" s="26">
        <v>5.9335779999999998</v>
      </c>
      <c r="Z53" s="19">
        <v>9.8039839999999998</v>
      </c>
      <c r="AA53" s="19" t="e">
        <v>#N/A</v>
      </c>
      <c r="AB53" s="20"/>
    </row>
    <row r="54" spans="2:28" hidden="1" x14ac:dyDescent="0.2">
      <c r="B54" s="16" t="s">
        <v>968</v>
      </c>
      <c r="C54" s="26">
        <v>2.2208130000000001</v>
      </c>
      <c r="D54" s="26">
        <v>14.3</v>
      </c>
      <c r="E54" s="26">
        <v>3.0342530000000001</v>
      </c>
      <c r="F54" s="26">
        <v>1.6546749999999999</v>
      </c>
      <c r="G54" s="26">
        <v>2.956979</v>
      </c>
      <c r="H54" s="26">
        <v>2.673902</v>
      </c>
      <c r="I54" s="26">
        <v>2.9470610000000002</v>
      </c>
      <c r="J54" s="26">
        <v>1.3243180000000001</v>
      </c>
      <c r="K54" s="26">
        <v>3.6433200000000001</v>
      </c>
      <c r="L54" s="26">
        <v>2.9614750000000001</v>
      </c>
      <c r="M54" s="26">
        <v>2.338044</v>
      </c>
      <c r="N54" s="26">
        <v>8.7111920000000005</v>
      </c>
      <c r="O54" s="26">
        <v>1.6546749999999999</v>
      </c>
      <c r="P54" s="26">
        <v>2.43147</v>
      </c>
      <c r="Q54" s="26">
        <v>4.4794770000000002</v>
      </c>
      <c r="R54" s="26">
        <v>3.0342530000000001</v>
      </c>
      <c r="S54" s="26">
        <v>5.421367</v>
      </c>
      <c r="T54" s="26">
        <v>5.9190779999999998</v>
      </c>
      <c r="U54" s="26">
        <v>4.0423090000000004</v>
      </c>
      <c r="V54" s="26">
        <v>1.627737</v>
      </c>
      <c r="W54" s="26">
        <v>3.5383810000000002</v>
      </c>
      <c r="X54" s="26">
        <v>5.5128740000000001</v>
      </c>
      <c r="Y54" s="26">
        <v>5.9674670000000001</v>
      </c>
      <c r="Z54" s="19">
        <v>8.1989520000000002</v>
      </c>
      <c r="AA54" s="19" t="e">
        <v>#N/A</v>
      </c>
      <c r="AB54" s="20"/>
    </row>
    <row r="55" spans="2:28" hidden="1" x14ac:dyDescent="0.2">
      <c r="B55" s="16" t="s">
        <v>969</v>
      </c>
      <c r="C55" s="26">
        <v>1.9734780000000001</v>
      </c>
      <c r="D55" s="26">
        <v>13.9</v>
      </c>
      <c r="E55" s="26">
        <v>2.417875</v>
      </c>
      <c r="F55" s="26">
        <v>0.819469</v>
      </c>
      <c r="G55" s="26">
        <v>2.0607839999999999</v>
      </c>
      <c r="H55" s="26">
        <v>2.1391810000000002</v>
      </c>
      <c r="I55" s="26">
        <v>3.4388459999999998</v>
      </c>
      <c r="J55" s="26">
        <v>-6.1406000000000002E-2</v>
      </c>
      <c r="K55" s="26">
        <v>3.5518420000000002</v>
      </c>
      <c r="L55" s="26">
        <v>3.7025760000000001</v>
      </c>
      <c r="M55" s="26">
        <v>2.52745</v>
      </c>
      <c r="N55" s="26">
        <v>10.092326999999999</v>
      </c>
      <c r="O55" s="26">
        <v>0.819469</v>
      </c>
      <c r="P55" s="26">
        <v>2.1908539999999999</v>
      </c>
      <c r="Q55" s="26">
        <v>3.743941</v>
      </c>
      <c r="R55" s="26">
        <v>2.417875</v>
      </c>
      <c r="S55" s="26">
        <v>6.929754</v>
      </c>
      <c r="T55" s="26">
        <v>6.6271849999999999</v>
      </c>
      <c r="U55" s="26">
        <v>0.99851999999999996</v>
      </c>
      <c r="V55" s="26">
        <v>5.9548949999999996</v>
      </c>
      <c r="W55" s="26">
        <v>5.6440349999999997</v>
      </c>
      <c r="X55" s="26">
        <v>5.4077539999999997</v>
      </c>
      <c r="Y55" s="26">
        <v>8.9165170000000007</v>
      </c>
      <c r="Z55" s="19">
        <v>9.185435</v>
      </c>
      <c r="AA55" s="19" t="e">
        <v>#N/A</v>
      </c>
      <c r="AB55" s="20"/>
    </row>
    <row r="56" spans="2:28" hidden="1" x14ac:dyDescent="0.2">
      <c r="B56" s="16" t="s">
        <v>970</v>
      </c>
      <c r="C56" s="26">
        <v>1.1492370000000001</v>
      </c>
      <c r="D56" s="26">
        <v>11.5</v>
      </c>
      <c r="E56" s="26">
        <v>2.191338</v>
      </c>
      <c r="F56" s="26">
        <v>0.44361699999999998</v>
      </c>
      <c r="G56" s="26">
        <v>2.6762830000000002</v>
      </c>
      <c r="H56" s="26">
        <v>1.7921549999999999</v>
      </c>
      <c r="I56" s="26">
        <v>2.78443</v>
      </c>
      <c r="J56" s="26">
        <v>0.81325400000000003</v>
      </c>
      <c r="K56" s="26">
        <v>2.9708109999999999</v>
      </c>
      <c r="L56" s="26">
        <v>1.44421</v>
      </c>
      <c r="M56" s="26">
        <v>1.4508760000000001</v>
      </c>
      <c r="N56" s="26">
        <v>11.000111</v>
      </c>
      <c r="O56" s="26">
        <v>0.44361699999999998</v>
      </c>
      <c r="P56" s="26">
        <v>1.5923050000000001</v>
      </c>
      <c r="Q56" s="26">
        <v>3.41059</v>
      </c>
      <c r="R56" s="26">
        <v>2.191338</v>
      </c>
      <c r="S56" s="26">
        <v>5.705692</v>
      </c>
      <c r="T56" s="26">
        <v>6.1248209999999998</v>
      </c>
      <c r="U56" s="26">
        <v>2.3509129999999998</v>
      </c>
      <c r="V56" s="26">
        <v>-2.769002</v>
      </c>
      <c r="W56" s="26">
        <v>6.1411730000000002</v>
      </c>
      <c r="X56" s="26">
        <v>3.9249700000000001</v>
      </c>
      <c r="Y56" s="26">
        <v>6.2910500000000003</v>
      </c>
      <c r="Z56" s="19">
        <v>7.6957409999999999</v>
      </c>
      <c r="AA56" s="19" t="e">
        <v>#N/A</v>
      </c>
      <c r="AB56" s="20"/>
    </row>
    <row r="57" spans="2:28" hidden="1" x14ac:dyDescent="0.2">
      <c r="B57" s="16" t="s">
        <v>971</v>
      </c>
      <c r="C57" s="26">
        <v>1.092428</v>
      </c>
      <c r="D57" s="26">
        <v>10.9</v>
      </c>
      <c r="E57" s="26">
        <v>1.2000759999999999</v>
      </c>
      <c r="F57" s="26">
        <v>-0.158799</v>
      </c>
      <c r="G57" s="26">
        <v>1.561016</v>
      </c>
      <c r="H57" s="26">
        <v>0.577484</v>
      </c>
      <c r="I57" s="26">
        <v>1.292743</v>
      </c>
      <c r="J57" s="26">
        <v>-5.3775000000000003E-2</v>
      </c>
      <c r="K57" s="26">
        <v>2.1993109999999998</v>
      </c>
      <c r="L57" s="26">
        <v>0.90334800000000004</v>
      </c>
      <c r="M57" s="26">
        <v>1.604579</v>
      </c>
      <c r="N57" s="26">
        <v>8.9406479999999995</v>
      </c>
      <c r="O57" s="26">
        <v>-0.158799</v>
      </c>
      <c r="P57" s="26">
        <v>0.97276700000000005</v>
      </c>
      <c r="Q57" s="26">
        <v>3.0240390000000001</v>
      </c>
      <c r="R57" s="26">
        <v>1.2000759999999999</v>
      </c>
      <c r="S57" s="26">
        <v>4.2351510000000001</v>
      </c>
      <c r="T57" s="26">
        <v>6.3219539999999999</v>
      </c>
      <c r="U57" s="26">
        <v>-1.1498459999999999</v>
      </c>
      <c r="V57" s="26">
        <v>-3.4503189999999999</v>
      </c>
      <c r="W57" s="26">
        <v>2.3099020000000001</v>
      </c>
      <c r="X57" s="26">
        <v>3.9097550000000001</v>
      </c>
      <c r="Y57" s="26">
        <v>5.4618589999999996</v>
      </c>
      <c r="Z57" s="19">
        <v>6.0741899999999998</v>
      </c>
      <c r="AA57" s="19" t="e">
        <v>#N/A</v>
      </c>
      <c r="AB57" s="20"/>
    </row>
    <row r="58" spans="2:28" hidden="1" x14ac:dyDescent="0.2">
      <c r="B58" s="16" t="s">
        <v>972</v>
      </c>
      <c r="C58" s="26">
        <v>1.877E-3</v>
      </c>
      <c r="D58" s="26">
        <v>9.5</v>
      </c>
      <c r="E58" s="26">
        <v>0.13308600000000001</v>
      </c>
      <c r="F58" s="26">
        <v>-0.90890700000000002</v>
      </c>
      <c r="G58" s="26">
        <v>0.41184500000000002</v>
      </c>
      <c r="H58" s="26">
        <v>-0.10650800000000001</v>
      </c>
      <c r="I58" s="26">
        <v>-1.212086</v>
      </c>
      <c r="J58" s="26">
        <v>-1.412911</v>
      </c>
      <c r="K58" s="26">
        <v>0.61109800000000003</v>
      </c>
      <c r="L58" s="26">
        <v>-8.4640999999999994E-2</v>
      </c>
      <c r="M58" s="26">
        <v>1.255627</v>
      </c>
      <c r="N58" s="26">
        <v>5.001309</v>
      </c>
      <c r="O58" s="26">
        <v>-0.90890700000000002</v>
      </c>
      <c r="P58" s="26">
        <v>1.3935219999999999</v>
      </c>
      <c r="Q58" s="26">
        <v>2.6770149999999999</v>
      </c>
      <c r="R58" s="26">
        <v>0.13308600000000001</v>
      </c>
      <c r="S58" s="26">
        <v>3.9352619999999998</v>
      </c>
      <c r="T58" s="26">
        <v>7.0713999999999997</v>
      </c>
      <c r="U58" s="26">
        <v>-0.60471799999999998</v>
      </c>
      <c r="V58" s="26">
        <v>-1.869426</v>
      </c>
      <c r="W58" s="26">
        <v>0.577399</v>
      </c>
      <c r="X58" s="26">
        <v>2.6495510000000002</v>
      </c>
      <c r="Y58" s="26">
        <v>3.2453050000000001</v>
      </c>
      <c r="Z58" s="19">
        <v>5.3489209999999998</v>
      </c>
      <c r="AA58" s="19" t="e">
        <v>#N/A</v>
      </c>
      <c r="AB58" s="20"/>
    </row>
    <row r="59" spans="2:28" x14ac:dyDescent="0.2">
      <c r="B59" s="16">
        <v>42005</v>
      </c>
      <c r="C59" s="21">
        <f>(VLOOKUP(B59,Data!$B:$AY,MATCH($C$1,Data!$B$1:$AY$1,),)-VLOOKUP(EDATE(B59,-12),Data!$B:$AY,MATCH($C$1,Data!$B$1:$AY$1,),))/VLOOKUP(EDATE(B59,-12),Data!$B:$AY,MATCH($C$1,Data!$B$1:$AY$1,),)</f>
        <v>-8.9348988556879226E-4</v>
      </c>
      <c r="D59" s="21">
        <f>(VLOOKUP(B59,Data!$B:$AY,MATCH($D$1,Data!$B$1:$AY$1,),)-VLOOKUP(EDATE(B59,-12),Data!$B:$AY,MATCH($D$1,Data!$B$1:$AY$1,),))/VLOOKUP(EDATE(B59,-12),Data!$B:$AY,MATCH($D$1,Data!$B$1:$AY$1,),)</f>
        <v>7.0993914807302525E-3</v>
      </c>
      <c r="E59" s="21">
        <f>(VLOOKUP($B$59,Data!$B:$AY,MATCH($E$1,Data!$B$1:$AY$1,),)-VLOOKUP(EDATE($B$59,-12),Data!$B:$AY,MATCH($E$1,Data!$B$1:$AY$1,),))/VLOOKUP(EDATE($B$59,-12),Data!$B:$AY,MATCH($E$1,Data!$B$1:$AY$1,),)</f>
        <v>-6.070416835289443E-3</v>
      </c>
      <c r="F59" s="21">
        <f>(VLOOKUP(B59,Data!$B:$AY,MATCH($F$1,Data!$B$1:$AY$1,),)-VLOOKUP(EDATE(B59,-12),Data!$B:$AY,MATCH($F$1,Data!$B$1:$AY$1,),))/VLOOKUP(EDATE(B59,-12),Data!$B:$AY,MATCH($F$1,Data!$B$1:$AY$1,),)</f>
        <v>2.469135802469127E-2</v>
      </c>
      <c r="G59" s="21">
        <f>(VLOOKUP(B59,Data!$B:$AY,MATCH($G$1,Data!$B$1:$AY$1,),)-VLOOKUP(EDATE(B59,-12),Data!$B:$AY,MATCH($G$1,Data!$B$1:$AY$1,),))/VLOOKUP(EDATE(B59,-12),Data!$B:$AY,MATCH($G$1,Data!$B$1:$AY$1,),)</f>
        <v>-2.832899612637373E-3</v>
      </c>
      <c r="H59" s="21">
        <f>(VLOOKUP(B59,Data!$B:$AY,MATCH($H$1,Data!$B$1:$AY$1,),)-VLOOKUP(EDATE(B59,-12),Data!$B:$AY,MATCH($H$1,Data!$B$1:$AY$1,),))/VLOOKUP(EDATE(B59,-12),Data!$B:$AY,MATCH($H$1,Data!$B$1:$AY$1,),)</f>
        <v>-3.829101168883469E-3</v>
      </c>
      <c r="I59" s="21">
        <f>(VLOOKUP(B59,Data!$B:$AY,MATCH($I$1,Data!$B$1:$AY$1,),)-VLOOKUP(EDATE(B59,-12),Data!$B:$AY,MATCH($I$1,Data!$B$1:$AY$1,),))/VLOOKUP(EDATE(B59,-12),Data!$B:$AY,MATCH($I$1,Data!$B$1:$AY$1,),)</f>
        <v>5.065856129685917E-3</v>
      </c>
      <c r="J59" s="21">
        <f>(VLOOKUP(B59,Data!$B:$AY,MATCH($J$1,Data!$B$1:$AY$1,),)-VLOOKUP(EDATE(B59,-12),Data!$B:$AY,MATCH($J$1,Data!$B$1:$AY$1,),))/VLOOKUP(EDATE(B59,-12),Data!$B:$AY,MATCH($J$1,Data!$B$1:$AY$1,),)</f>
        <v>-5.5864971182691811E-3</v>
      </c>
      <c r="K59" s="21">
        <f>(VLOOKUP(B59,Data!$B:$AY,MATCH($K$1,Data!$B$1:$AY$1,),)-VLOOKUP(EDATE(B59,-12),Data!$B:$AY,MATCH($K$1,Data!$B$1:$AY$1,),))/VLOOKUP(EDATE(B59,-12),Data!$B:$AY,MATCH($K$1,Data!$B$1:$AY$1,),)</f>
        <v>-1.3188607329004891E-2</v>
      </c>
      <c r="L59" s="21">
        <f>(VLOOKUP(B59,Data!$B:$AY,MATCH($L$1,Data!$B$1:$AY$1,),)-VLOOKUP(EDATE(B59,-12),Data!$B:$AY,MATCH($L$1,Data!$B$1:$AY$1,),))/VLOOKUP(EDATE(B59,-12),Data!$B:$AY,MATCH($L$1,Data!$B$1:$AY$1,),)</f>
        <v>-2.0552283241536888E-3</v>
      </c>
      <c r="M59" s="21">
        <f>(VLOOKUP(B59,Data!$B:$AY,MATCH($M$1,Data!$B$1:$AY$1,),)-VLOOKUP(EDATE(B59,-12),Data!$B:$AY,MATCH($M$1,Data!$B$1:$AY$1,),))/VLOOKUP(EDATE(B59,-12),Data!$B:$AY,MATCH($M$1,Data!$B$1:$AY$1,),)</f>
        <v>3.0656419996625248E-2</v>
      </c>
      <c r="N59" s="21" t="e">
        <f>(VLOOKUP(B59,Data!$B:$AY,MATCH($N$1,Data!$B$1:$AY$1,),)-VLOOKUP(EDATE(B59,-12),Data!$B:$AY,MATCH($N$1,Data!$B$1:$AY$1,),))/VLOOKUP(EDATE(B59,-12),Data!$B:$AY,MATCH($N$1,Data!$B$1:$AY$1,),)</f>
        <v>#DIV/0!</v>
      </c>
      <c r="O59" s="21">
        <f>(VLOOKUP(B59,Data!$B:$AY,MATCH($O$1,Data!$B$1:$AY$1,),)-VLOOKUP(EDATE(B59,-12),Data!$B:$AY,MATCH($O$1,Data!$B$1:$AY$1,),))/VLOOKUP(EDATE(B59,-12),Data!$B:$AY,MATCH($O$1,Data!$B$1:$AY$1,),)</f>
        <v>7.172997269905633E-2</v>
      </c>
      <c r="P59" s="21">
        <f>(VLOOKUP(B59,Data!$B:$AY,MATCH($P$1,Data!$B$1:$AY$1,),)-VLOOKUP(EDATE(B59,-12),Data!$B:$AY,MATCH($P$1,Data!$B$1:$AY$1,),))/VLOOKUP(EDATE(B59,-12),Data!$B:$AY,MATCH($P$1,Data!$B$1:$AY$1,),)</f>
        <v>9.7482042903325235E-3</v>
      </c>
      <c r="Q59" s="21" t="e">
        <f>(VLOOKUP(B59,Data!$B:$AY,MATCH($Q$1,Data!$B$1:$AY$1,),)-VLOOKUP(EDATE(B59,-12),Data!$B:$AY,MATCH($Q$1,Data!$B$1:$AY$1,),))/VLOOKUP(EDATE(B59,-12),Data!$B:$AY,MATCH($Q$1,Data!$B$1:$AY$1,),)</f>
        <v>#N/A</v>
      </c>
      <c r="R59" s="21">
        <f>(VLOOKUP(B59,Data!$B:$AY,MATCH($R$1,Data!$B$1:$AY$1,),)-VLOOKUP(EDATE(B59,-12),Data!$B:$AY,MATCH($R$1,Data!$B$1:$AY$1,),))/VLOOKUP(EDATE(B59,-12),Data!$B:$AY,MATCH($R$1,Data!$B$1:$AY$1,),)</f>
        <v>-4.8511747326047735E-3</v>
      </c>
      <c r="S59" s="21">
        <f>(VLOOKUP(B59,Data!$B:$AY,MATCH($S$1,Data!$B$1:$AY$1,),)-VLOOKUP(EDATE(B59,-12),Data!$B:$AY,MATCH($S$1,Data!$B$1:$AY$1,),))/VLOOKUP(EDATE(B59,-12),Data!$B:$AY,MATCH($S$1,Data!$B$1:$AY$1,),)</f>
        <v>9.7462730373353498E-3</v>
      </c>
      <c r="T59" s="21">
        <f>(VLOOKUP(B59,Data!$B:$AY,MATCH($T$1,Data!$B$1:$AY$1,),)-VLOOKUP(EDATE(B59,-12),Data!$B:$AY,MATCH($T$1,Data!$B$1:$AY$1,),))/VLOOKUP(EDATE(B59,-12),Data!$B:$AY,MATCH($T$1,Data!$B$1:$AY$1,),)</f>
        <v>7.137726811330844E-2</v>
      </c>
      <c r="U59" s="21">
        <f>(VLOOKUP(B59,Data!$B:$AY,MATCH($U$1,Data!$B$1:$AY$1,),)-VLOOKUP(EDATE(B59,-12),Data!$B:$AY,MATCH($U$1,Data!$B$1:$AY$1,),))/VLOOKUP(EDATE(B59,-12),Data!$B:$AY,MATCH($U$1,Data!$B$1:$AY$1,),)</f>
        <v>-2.836487716284402E-2</v>
      </c>
      <c r="V59" s="21" t="e">
        <f>(VLOOKUP(B59,Data!$B:$AY,MATCH($V$1,Data!$B$1:$AY$1,),)-VLOOKUP(EDATE(B59,-12),Data!$B:$AY,MATCH($V$1,Data!$B$1:$AY$1,),))/VLOOKUP(EDATE(B59,-12),Data!$B:$AY,MATCH($V$1,Data!$B$1:$AY$1,),)</f>
        <v>#DIV/0!</v>
      </c>
      <c r="W59" s="21">
        <f>(VLOOKUP(B59,Data!$B:$AY,MATCH($W$1,Data!$B$1:$AY$1,),)-VLOOKUP(EDATE(B59,-12),Data!$B:$AY,MATCH($W$1,Data!$B$1:$AY$1,),))/VLOOKUP(EDATE(B59,-12),Data!$B:$AY,MATCH($W$1,Data!$B$1:$AY$1,),)</f>
        <v>7.2407235635494713E-2</v>
      </c>
      <c r="X59" s="21">
        <f>(VLOOKUP(B59,Data!$B:$AY,MATCH($X$1,Data!$B$1:$AY$1,),)-VLOOKUP(EDATE(B59,-12),Data!$B:$AY,MATCH($X$1,Data!$B$1:$AY$1,),))/VLOOKUP(EDATE(B59,-12),Data!$B:$AY,MATCH($X$1,Data!$B$1:$AY$1,),)</f>
        <v>0</v>
      </c>
      <c r="Y59" s="21">
        <f>(VLOOKUP(B59,Data!$B:$AY,MATCH($Y$1,Data!$B$1:$AY$1,),)-VLOOKUP(EDATE(B59,-12),Data!$B:$AY,MATCH($Y$1,Data!$B$1:$AY$1,),))/VLOOKUP(EDATE(B59,-12),Data!$B:$AY,MATCH($Y$1,Data!$B$1:$AY$1,),)</f>
        <v>-1.1272130557305781E-2</v>
      </c>
      <c r="Z59" s="21" t="e">
        <f>(VLOOKUP(B59,Data!$B:$AY,MATCH($Z$1,Data!$B$1:$AY$1,),)-VLOOKUP(EDATE(B59,-12),Data!$B:$AY,MATCH($Z$1,Data!$B$1:$AY$1,),))/VLOOKUP(EDATE(B59,-12),Data!$B:$AY,MATCH($Z$1,Data!$B$1:$AY$1,),)</f>
        <v>#N/A</v>
      </c>
      <c r="AA59" s="21" t="e">
        <f>(VLOOKUP(B59,Data!$B:$AY,MATCH($AA$1,Data!$B$1:$AY$1,),)-VLOOKUP(EDATE(B59,-12),Data!$B:$AY,MATCH($AA$1,Data!$B$1:$AY$1,),))/VLOOKUP(EDATE(B59,-12),Data!$B:$AY,MATCH($AA$1,Data!$B$1:$AY$1,),)</f>
        <v>#N/A</v>
      </c>
      <c r="AB59" s="20"/>
    </row>
    <row r="60" spans="2:28" x14ac:dyDescent="0.2">
      <c r="B60" s="16">
        <v>42036</v>
      </c>
      <c r="C60" s="21">
        <f>(VLOOKUP(B60,Data!$B:$AY,MATCH($C$1,Data!$B$1:$AY$1,),)-VLOOKUP(EDATE(B60,-12),Data!$B:$AY,MATCH($C$1,Data!$B$1:$AY$1,),))/VLOOKUP(EDATE(B60,-12),Data!$B:$AY,MATCH($C$1,Data!$B$1:$AY$1,),)</f>
        <v>-2.5127046039632479E-4</v>
      </c>
      <c r="D60" s="21">
        <f>(VLOOKUP(B60,Data!$B:$AY,MATCH($D$1,Data!$B$1:$AY$1,),)-VLOOKUP(EDATE(B60,-12),Data!$B:$AY,MATCH($D$1,Data!$B$1:$AY$1,),))/VLOOKUP(EDATE(B60,-12),Data!$B:$AY,MATCH($D$1,Data!$B$1:$AY$1,),)</f>
        <v>1.4127144298688252E-2</v>
      </c>
      <c r="E60" s="21">
        <f>(VLOOKUP(B60,Data!$B:$AY,MATCH($E$1,Data!$B$1:$AY$1,),)-VLOOKUP(EDATE(B60,-12),Data!$B:$AY,MATCH($E$1,Data!$B$1:$AY$1,),))/VLOOKUP(EDATE(B60,-12),Data!$B:$AY,MATCH($E$1,Data!$B$1:$AY$1,),)</f>
        <v>-2.9251563445633071E-3</v>
      </c>
      <c r="F60" s="21">
        <f>(VLOOKUP(B60,Data!$B:$AY,MATCH($F$1,Data!$B$1:$AY$1,),)-VLOOKUP(EDATE(B60,-12),Data!$B:$AY,MATCH($F$1,Data!$B$1:$AY$1,),))/VLOOKUP(EDATE(B60,-12),Data!$B:$AY,MATCH($F$1,Data!$B$1:$AY$1,),)</f>
        <v>2.2633744855967107E-2</v>
      </c>
      <c r="G60" s="21">
        <f>(VLOOKUP(B60,Data!$B:$AY,MATCH($G$1,Data!$B$1:$AY$1,),)-VLOOKUP(EDATE(B60,-12),Data!$B:$AY,MATCH($G$1,Data!$B$1:$AY$1,),))/VLOOKUP(EDATE(B60,-12),Data!$B:$AY,MATCH($G$1,Data!$B$1:$AY$1,),)</f>
        <v>-4.6563283148690662E-4</v>
      </c>
      <c r="H60" s="21">
        <f>(VLOOKUP(B60,Data!$B:$AY,MATCH($H$1,Data!$B$1:$AY$1,),)-VLOOKUP(EDATE(B60,-12),Data!$B:$AY,MATCH($H$1,Data!$B$1:$AY$1,),))/VLOOKUP(EDATE(B60,-12),Data!$B:$AY,MATCH($H$1,Data!$B$1:$AY$1,),)</f>
        <v>-2.7056819320574227E-3</v>
      </c>
      <c r="I60" s="21">
        <f>(VLOOKUP(B60,Data!$B:$AY,MATCH($I$1,Data!$B$1:$AY$1,),)-VLOOKUP(EDATE(B60,-12),Data!$B:$AY,MATCH($I$1,Data!$B$1:$AY$1,),))/VLOOKUP(EDATE(B60,-12),Data!$B:$AY,MATCH($I$1,Data!$B$1:$AY$1,),)</f>
        <v>4.0363269424823984E-3</v>
      </c>
      <c r="J60" s="21">
        <f>(VLOOKUP(B60,Data!$B:$AY,MATCH($J$1,Data!$B$1:$AY$1,),)-VLOOKUP(EDATE(B60,-12),Data!$B:$AY,MATCH($J$1,Data!$B$1:$AY$1,),))/VLOOKUP(EDATE(B60,-12),Data!$B:$AY,MATCH($J$1,Data!$B$1:$AY$1,),)</f>
        <v>-9.3203395597167809E-4</v>
      </c>
      <c r="K60" s="21">
        <f>(VLOOKUP(B60,Data!$B:$AY,MATCH($K$1,Data!$B$1:$AY$1,),)-VLOOKUP(EDATE(B60,-12),Data!$B:$AY,MATCH($K$1,Data!$B$1:$AY$1,),))/VLOOKUP(EDATE(B60,-12),Data!$B:$AY,MATCH($K$1,Data!$B$1:$AY$1,),)</f>
        <v>-1.0737317055912247E-2</v>
      </c>
      <c r="L60" s="21">
        <f>(VLOOKUP(B60,Data!$B:$AY,MATCH($L$1,Data!$B$1:$AY$1,),)-VLOOKUP(EDATE(B60,-12),Data!$B:$AY,MATCH($L$1,Data!$B$1:$AY$1,),))/VLOOKUP(EDATE(B60,-12),Data!$B:$AY,MATCH($L$1,Data!$B$1:$AY$1,),)</f>
        <v>7.3551597196975041E-4</v>
      </c>
      <c r="M60" s="21">
        <f>(VLOOKUP(B60,Data!$B:$AY,MATCH($M$1,Data!$B$1:$AY$1,),)-VLOOKUP(EDATE(B60,-12),Data!$B:$AY,MATCH($M$1,Data!$B$1:$AY$1,),))/VLOOKUP(EDATE(B60,-12),Data!$B:$AY,MATCH($M$1,Data!$B$1:$AY$1,),)</f>
        <v>3.0002752745426447E-2</v>
      </c>
      <c r="N60" s="21" t="e">
        <f>(VLOOKUP(B60,Data!$B:$AY,MATCH($N$1,Data!$B$1:$AY$1,),)-VLOOKUP(EDATE(B60,-12),Data!$B:$AY,MATCH($N$1,Data!$B$1:$AY$1,),))/VLOOKUP(EDATE(B60,-12),Data!$B:$AY,MATCH($N$1,Data!$B$1:$AY$1,),)</f>
        <v>#DIV/0!</v>
      </c>
      <c r="O60" s="21">
        <f>(VLOOKUP(B60,Data!$B:$AY,MATCH($O$1,Data!$B$1:$AY$1,),)-VLOOKUP(EDATE(B60,-12),Data!$B:$AY,MATCH($O$1,Data!$B$1:$AY$1,),))/VLOOKUP(EDATE(B60,-12),Data!$B:$AY,MATCH($O$1,Data!$B$1:$AY$1,),)</f>
        <v>6.3025139934799621E-2</v>
      </c>
      <c r="P60" s="21">
        <f>(VLOOKUP(B60,Data!$B:$AY,MATCH($P$1,Data!$B$1:$AY$1,),)-VLOOKUP(EDATE(B60,-12),Data!$B:$AY,MATCH($P$1,Data!$B$1:$AY$1,),))/VLOOKUP(EDATE(B60,-12),Data!$B:$AY,MATCH($P$1,Data!$B$1:$AY$1,),)</f>
        <v>1.0475457233570781E-2</v>
      </c>
      <c r="Q60" s="21" t="e">
        <f>(VLOOKUP(B60,Data!$B:$AY,MATCH($Q$1,Data!$B$1:$AY$1,),)-VLOOKUP(EDATE(B60,-12),Data!$B:$AY,MATCH($Q$1,Data!$B$1:$AY$1,),))/VLOOKUP(EDATE(B60,-12),Data!$B:$AY,MATCH($Q$1,Data!$B$1:$AY$1,),)</f>
        <v>#N/A</v>
      </c>
      <c r="R60" s="21">
        <f>(VLOOKUP(B60,Data!$B:$AY,MATCH($R$1,Data!$B$1:$AY$1,),)-VLOOKUP(EDATE(B60,-12),Data!$B:$AY,MATCH($R$1,Data!$B$1:$AY$1,),))/VLOOKUP(EDATE(B60,-12),Data!$B:$AY,MATCH($R$1,Data!$B$1:$AY$1,),)</f>
        <v>-8.3958544229436622E-3</v>
      </c>
      <c r="S60" s="21">
        <f>(VLOOKUP(B60,Data!$B:$AY,MATCH($S$1,Data!$B$1:$AY$1,),)-VLOOKUP(EDATE(B60,-12),Data!$B:$AY,MATCH($S$1,Data!$B$1:$AY$1,),))/VLOOKUP(EDATE(B60,-12),Data!$B:$AY,MATCH($S$1,Data!$B$1:$AY$1,),)</f>
        <v>6.4499197545194436E-3</v>
      </c>
      <c r="T60" s="21">
        <f>(VLOOKUP(B60,Data!$B:$AY,MATCH($T$1,Data!$B$1:$AY$1,),)-VLOOKUP(EDATE(B60,-12),Data!$B:$AY,MATCH($T$1,Data!$B$1:$AY$1,),))/VLOOKUP(EDATE(B60,-12),Data!$B:$AY,MATCH($T$1,Data!$B$1:$AY$1,),)</f>
        <v>7.7015859172989684E-2</v>
      </c>
      <c r="U60" s="21">
        <f>(VLOOKUP(B60,Data!$B:$AY,MATCH($U$1,Data!$B$1:$AY$1,),)-VLOOKUP(EDATE(B60,-12),Data!$B:$AY,MATCH($U$1,Data!$B$1:$AY$1,),))/VLOOKUP(EDATE(B60,-12),Data!$B:$AY,MATCH($U$1,Data!$B$1:$AY$1,),)</f>
        <v>-2.1571176145995789E-2</v>
      </c>
      <c r="V60" s="21" t="e">
        <f>(VLOOKUP(B60,Data!$B:$AY,MATCH($V$1,Data!$B$1:$AY$1,),)-VLOOKUP(EDATE(B60,-12),Data!$B:$AY,MATCH($V$1,Data!$B$1:$AY$1,),))/VLOOKUP(EDATE(B60,-12),Data!$B:$AY,MATCH($V$1,Data!$B$1:$AY$1,),)</f>
        <v>#DIV/0!</v>
      </c>
      <c r="W60" s="21">
        <f>(VLOOKUP(B60,Data!$B:$AY,MATCH($W$1,Data!$B$1:$AY$1,),)-VLOOKUP(EDATE(B60,-12),Data!$B:$AY,MATCH($W$1,Data!$B$1:$AY$1,),))/VLOOKUP(EDATE(B60,-12),Data!$B:$AY,MATCH($W$1,Data!$B$1:$AY$1,),)</f>
        <v>7.5466878684093561E-2</v>
      </c>
      <c r="X60" s="21">
        <f>(VLOOKUP(B60,Data!$B:$AY,MATCH($X$1,Data!$B$1:$AY$1,),)-VLOOKUP(EDATE(B60,-12),Data!$B:$AY,MATCH($X$1,Data!$B$1:$AY$1,),))/VLOOKUP(EDATE(B60,-12),Data!$B:$AY,MATCH($X$1,Data!$B$1:$AY$1,),)</f>
        <v>1.0040160642571137E-3</v>
      </c>
      <c r="Y60" s="21">
        <f>(VLOOKUP(B60,Data!$B:$AY,MATCH($Y$1,Data!$B$1:$AY$1,),)-VLOOKUP(EDATE(B60,-12),Data!$B:$AY,MATCH($Y$1,Data!$B$1:$AY$1,),))/VLOOKUP(EDATE(B60,-12),Data!$B:$AY,MATCH($Y$1,Data!$B$1:$AY$1,),)</f>
        <v>-1.2872070946617135E-2</v>
      </c>
      <c r="Z60" s="21" t="e">
        <f>(VLOOKUP(B60,Data!$B:$AY,MATCH($Z$1,Data!$B$1:$AY$1,),)-VLOOKUP(EDATE(B60,-12),Data!$B:$AY,MATCH($Z$1,Data!$B$1:$AY$1,),))/VLOOKUP(EDATE(B60,-12),Data!$B:$AY,MATCH($Z$1,Data!$B$1:$AY$1,),)</f>
        <v>#N/A</v>
      </c>
      <c r="AA60" s="21" t="e">
        <f>(VLOOKUP(B60,Data!$B:$AY,MATCH($AA$1,Data!$B$1:$AY$1,),)-VLOOKUP(EDATE(B60,-12),Data!$B:$AY,MATCH($AA$1,Data!$B$1:$AY$1,),))/VLOOKUP(EDATE(B60,-12),Data!$B:$AY,MATCH($AA$1,Data!$B$1:$AY$1,),)</f>
        <v>#N/A</v>
      </c>
      <c r="AB60" s="20"/>
    </row>
    <row r="61" spans="2:28" x14ac:dyDescent="0.2">
      <c r="B61" s="16">
        <v>42064</v>
      </c>
      <c r="C61" s="21">
        <f>(VLOOKUP(B61,Data!$B:$AY,MATCH($C$1,Data!$B$1:$AY$1,),)-VLOOKUP(EDATE(B61,-12),Data!$B:$AY,MATCH($C$1,Data!$B$1:$AY$1,),))/VLOOKUP(EDATE(B61,-12),Data!$B:$AY,MATCH($C$1,Data!$B$1:$AY$1,),)</f>
        <v>-7.363493262869641E-4</v>
      </c>
      <c r="D61" s="21">
        <f>(VLOOKUP(B61,Data!$B:$AY,MATCH($D$1,Data!$B$1:$AY$1,),)-VLOOKUP(EDATE(B61,-12),Data!$B:$AY,MATCH($D$1,Data!$B$1:$AY$1,),))/VLOOKUP(EDATE(B61,-12),Data!$B:$AY,MATCH($D$1,Data!$B$1:$AY$1,),)</f>
        <v>1.3184584178499102E-2</v>
      </c>
      <c r="E61" s="21">
        <f>(VLOOKUP(B61,Data!$B:$AY,MATCH($E$1,Data!$B$1:$AY$1,),)-VLOOKUP(EDATE(B61,-12),Data!$B:$AY,MATCH($E$1,Data!$B$1:$AY$1,),))/VLOOKUP(EDATE(B61,-12),Data!$B:$AY,MATCH($E$1,Data!$B$1:$AY$1,),)</f>
        <v>-6.9951034275999983E-4</v>
      </c>
      <c r="F61" s="21">
        <f>(VLOOKUP(B61,Data!$B:$AY,MATCH($F$1,Data!$B$1:$AY$1,),)-VLOOKUP(EDATE(B61,-12),Data!$B:$AY,MATCH($F$1,Data!$B$1:$AY$1,),))/VLOOKUP(EDATE(B61,-12),Data!$B:$AY,MATCH($F$1,Data!$B$1:$AY$1,),)</f>
        <v>2.2564102564102594E-2</v>
      </c>
      <c r="G61" s="21">
        <f>(VLOOKUP(B61,Data!$B:$AY,MATCH($G$1,Data!$B$1:$AY$1,),)-VLOOKUP(EDATE(B61,-12),Data!$B:$AY,MATCH($G$1,Data!$B$1:$AY$1,),))/VLOOKUP(EDATE(B61,-12),Data!$B:$AY,MATCH($G$1,Data!$B$1:$AY$1,),)</f>
        <v>1.7478943443628465E-3</v>
      </c>
      <c r="H61" s="21">
        <f>(VLOOKUP(B61,Data!$B:$AY,MATCH($H$1,Data!$B$1:$AY$1,),)-VLOOKUP(EDATE(B61,-12),Data!$B:$AY,MATCH($H$1,Data!$B$1:$AY$1,),))/VLOOKUP(EDATE(B61,-12),Data!$B:$AY,MATCH($H$1,Data!$B$1:$AY$1,),)</f>
        <v>-6.9832402234630065E-4</v>
      </c>
      <c r="I61" s="21">
        <f>(VLOOKUP(B61,Data!$B:$AY,MATCH($I$1,Data!$B$1:$AY$1,),)-VLOOKUP(EDATE(B61,-12),Data!$B:$AY,MATCH($I$1,Data!$B$1:$AY$1,),))/VLOOKUP(EDATE(B61,-12),Data!$B:$AY,MATCH($I$1,Data!$B$1:$AY$1,),)</f>
        <v>3.0211480362537478E-3</v>
      </c>
      <c r="J61" s="21">
        <f>(VLOOKUP(B61,Data!$B:$AY,MATCH($J$1,Data!$B$1:$AY$1,),)-VLOOKUP(EDATE(B61,-12),Data!$B:$AY,MATCH($J$1,Data!$B$1:$AY$1,),))/VLOOKUP(EDATE(B61,-12),Data!$B:$AY,MATCH($J$1,Data!$B$1:$AY$1,),)</f>
        <v>-9.3096607774219048E-4</v>
      </c>
      <c r="K61" s="21">
        <f>(VLOOKUP(B61,Data!$B:$AY,MATCH($K$1,Data!$B$1:$AY$1,),)-VLOOKUP(EDATE(B61,-12),Data!$B:$AY,MATCH($K$1,Data!$B$1:$AY$1,),))/VLOOKUP(EDATE(B61,-12),Data!$B:$AY,MATCH($K$1,Data!$B$1:$AY$1,),)</f>
        <v>-6.6370011164525898E-3</v>
      </c>
      <c r="L61" s="21">
        <f>(VLOOKUP(B61,Data!$B:$AY,MATCH($L$1,Data!$B$1:$AY$1,),)-VLOOKUP(EDATE(B61,-12),Data!$B:$AY,MATCH($L$1,Data!$B$1:$AY$1,),))/VLOOKUP(EDATE(B61,-12),Data!$B:$AY,MATCH($L$1,Data!$B$1:$AY$1,),)</f>
        <v>1.6310658518286086E-3</v>
      </c>
      <c r="M61" s="21">
        <f>(VLOOKUP(B61,Data!$B:$AY,MATCH($M$1,Data!$B$1:$AY$1,),)-VLOOKUP(EDATE(B61,-12),Data!$B:$AY,MATCH($M$1,Data!$B$1:$AY$1,),))/VLOOKUP(EDATE(B61,-12),Data!$B:$AY,MATCH($M$1,Data!$B$1:$AY$1,),)</f>
        <v>3.1370767701385589E-2</v>
      </c>
      <c r="N61" s="21" t="e">
        <f>(VLOOKUP(B61,Data!$B:$AY,MATCH($N$1,Data!$B$1:$AY$1,),)-VLOOKUP(EDATE(B61,-12),Data!$B:$AY,MATCH($N$1,Data!$B$1:$AY$1,),))/VLOOKUP(EDATE(B61,-12),Data!$B:$AY,MATCH($N$1,Data!$B$1:$AY$1,),)</f>
        <v>#DIV/0!</v>
      </c>
      <c r="O61" s="21">
        <f>(VLOOKUP(B61,Data!$B:$AY,MATCH($O$1,Data!$B$1:$AY$1,),)-VLOOKUP(EDATE(B61,-12),Data!$B:$AY,MATCH($O$1,Data!$B$1:$AY$1,),))/VLOOKUP(EDATE(B61,-12),Data!$B:$AY,MATCH($O$1,Data!$B$1:$AY$1,),)</f>
        <v>6.2761546549721062E-2</v>
      </c>
      <c r="P61" s="21">
        <f>(VLOOKUP(B61,Data!$B:$AY,MATCH($P$1,Data!$B$1:$AY$1,),)-VLOOKUP(EDATE(B61,-12),Data!$B:$AY,MATCH($P$1,Data!$B$1:$AY$1,),))/VLOOKUP(EDATE(B61,-12),Data!$B:$AY,MATCH($P$1,Data!$B$1:$AY$1,),)</f>
        <v>1.2019269775230653E-2</v>
      </c>
      <c r="Q61" s="21" t="e">
        <f>(VLOOKUP(B61,Data!$B:$AY,MATCH($Q$1,Data!$B$1:$AY$1,),)-VLOOKUP(EDATE(B61,-12),Data!$B:$AY,MATCH($Q$1,Data!$B$1:$AY$1,),))/VLOOKUP(EDATE(B61,-12),Data!$B:$AY,MATCH($Q$1,Data!$B$1:$AY$1,),)</f>
        <v>#N/A</v>
      </c>
      <c r="R61" s="21">
        <f>(VLOOKUP(B61,Data!$B:$AY,MATCH($R$1,Data!$B$1:$AY$1,),)-VLOOKUP(EDATE(B61,-12),Data!$B:$AY,MATCH($R$1,Data!$B$1:$AY$1,),))/VLOOKUP(EDATE(B61,-12),Data!$B:$AY,MATCH($R$1,Data!$B$1:$AY$1,),)</f>
        <v>-8.7479081089304068E-3</v>
      </c>
      <c r="S61" s="21">
        <f>(VLOOKUP(B61,Data!$B:$AY,MATCH($S$1,Data!$B$1:$AY$1,),)-VLOOKUP(EDATE(B61,-12),Data!$B:$AY,MATCH($S$1,Data!$B$1:$AY$1,),))/VLOOKUP(EDATE(B61,-12),Data!$B:$AY,MATCH($S$1,Data!$B$1:$AY$1,),)</f>
        <v>4.7051474514624115E-3</v>
      </c>
      <c r="T61" s="21">
        <f>(VLOOKUP(B61,Data!$B:$AY,MATCH($T$1,Data!$B$1:$AY$1,),)-VLOOKUP(EDATE(B61,-12),Data!$B:$AY,MATCH($T$1,Data!$B$1:$AY$1,),))/VLOOKUP(EDATE(B61,-12),Data!$B:$AY,MATCH($T$1,Data!$B$1:$AY$1,),)</f>
        <v>8.1285037726451348E-2</v>
      </c>
      <c r="U61" s="21">
        <f>(VLOOKUP(B61,Data!$B:$AY,MATCH($U$1,Data!$B$1:$AY$1,),)-VLOOKUP(EDATE(B61,-12),Data!$B:$AY,MATCH($U$1,Data!$B$1:$AY$1,),))/VLOOKUP(EDATE(B61,-12),Data!$B:$AY,MATCH($U$1,Data!$B$1:$AY$1,),)</f>
        <v>-2.1394173683862202E-2</v>
      </c>
      <c r="V61" s="21" t="e">
        <f>(VLOOKUP(B61,Data!$B:$AY,MATCH($V$1,Data!$B$1:$AY$1,),)-VLOOKUP(EDATE(B61,-12),Data!$B:$AY,MATCH($V$1,Data!$B$1:$AY$1,),))/VLOOKUP(EDATE(B61,-12),Data!$B:$AY,MATCH($V$1,Data!$B$1:$AY$1,),)</f>
        <v>#DIV/0!</v>
      </c>
      <c r="W61" s="21">
        <f>(VLOOKUP(B61,Data!$B:$AY,MATCH($W$1,Data!$B$1:$AY$1,),)-VLOOKUP(EDATE(B61,-12),Data!$B:$AY,MATCH($W$1,Data!$B$1:$AY$1,),))/VLOOKUP(EDATE(B61,-12),Data!$B:$AY,MATCH($W$1,Data!$B$1:$AY$1,),)</f>
        <v>7.6102506430301031E-2</v>
      </c>
      <c r="X61" s="21">
        <f>(VLOOKUP(B61,Data!$B:$AY,MATCH($X$1,Data!$B$1:$AY$1,),)-VLOOKUP(EDATE(B61,-12),Data!$B:$AY,MATCH($X$1,Data!$B$1:$AY$1,),))/VLOOKUP(EDATE(B61,-12),Data!$B:$AY,MATCH($X$1,Data!$B$1:$AY$1,),)</f>
        <v>2.0080321285140847E-3</v>
      </c>
      <c r="Y61" s="21">
        <f>(VLOOKUP(B61,Data!$B:$AY,MATCH($Y$1,Data!$B$1:$AY$1,),)-VLOOKUP(EDATE(B61,-12),Data!$B:$AY,MATCH($Y$1,Data!$B$1:$AY$1,),))/VLOOKUP(EDATE(B61,-12),Data!$B:$AY,MATCH($Y$1,Data!$B$1:$AY$1,),)</f>
        <v>-1.2057865905865727E-2</v>
      </c>
      <c r="Z61" s="21" t="e">
        <f>(VLOOKUP(B61,Data!$B:$AY,MATCH($Z$1,Data!$B$1:$AY$1,),)-VLOOKUP(EDATE(B61,-12),Data!$B:$AY,MATCH($Z$1,Data!$B$1:$AY$1,),))/VLOOKUP(EDATE(B61,-12),Data!$B:$AY,MATCH($Z$1,Data!$B$1:$AY$1,),)</f>
        <v>#N/A</v>
      </c>
      <c r="AA61" s="21" t="e">
        <f>(VLOOKUP(B61,Data!$B:$AY,MATCH($AA$1,Data!$B$1:$AY$1,),)-VLOOKUP(EDATE(B61,-12),Data!$B:$AY,MATCH($AA$1,Data!$B$1:$AY$1,),))/VLOOKUP(EDATE(B61,-12),Data!$B:$AY,MATCH($AA$1,Data!$B$1:$AY$1,),)</f>
        <v>#N/A</v>
      </c>
      <c r="AB61" s="20"/>
    </row>
    <row r="62" spans="2:28" x14ac:dyDescent="0.2">
      <c r="B62" s="16">
        <v>42095</v>
      </c>
      <c r="C62" s="21">
        <f>(VLOOKUP(B62,Data!$B:$AY,MATCH($C$1,Data!$B$1:$AY$1,),)-VLOOKUP(EDATE(B62,-12),Data!$B:$AY,MATCH($C$1,Data!$B$1:$AY$1,),))/VLOOKUP(EDATE(B62,-12),Data!$B:$AY,MATCH($C$1,Data!$B$1:$AY$1,),)</f>
        <v>-1.9951371281863137E-3</v>
      </c>
      <c r="D62" s="21">
        <f>(VLOOKUP(B62,Data!$B:$AY,MATCH($D$1,Data!$B$1:$AY$1,),)-VLOOKUP(EDATE(B62,-12),Data!$B:$AY,MATCH($D$1,Data!$B$1:$AY$1,),))/VLOOKUP(EDATE(B62,-12),Data!$B:$AY,MATCH($D$1,Data!$B$1:$AY$1,),)</f>
        <v>1.5274949083503055E-2</v>
      </c>
      <c r="E62" s="21">
        <f>(VLOOKUP(B62,Data!$B:$AY,MATCH($E$1,Data!$B$1:$AY$1,),)-VLOOKUP(EDATE(B62,-12),Data!$B:$AY,MATCH($E$1,Data!$B$1:$AY$1,),))/VLOOKUP(EDATE(B62,-12),Data!$B:$AY,MATCH($E$1,Data!$B$1:$AY$1,),)</f>
        <v>2.0953901416883654E-3</v>
      </c>
      <c r="F62" s="21">
        <f>(VLOOKUP(B62,Data!$B:$AY,MATCH($F$1,Data!$B$1:$AY$1,),)-VLOOKUP(EDATE(B62,-12),Data!$B:$AY,MATCH($F$1,Data!$B$1:$AY$1,),))/VLOOKUP(EDATE(B62,-12),Data!$B:$AY,MATCH($F$1,Data!$B$1:$AY$1,),)</f>
        <v>7.0351758793970138E-3</v>
      </c>
      <c r="G62" s="21">
        <f>(VLOOKUP(B62,Data!$B:$AY,MATCH($G$1,Data!$B$1:$AY$1,),)-VLOOKUP(EDATE(B62,-12),Data!$B:$AY,MATCH($G$1,Data!$B$1:$AY$1,),))/VLOOKUP(EDATE(B62,-12),Data!$B:$AY,MATCH($G$1,Data!$B$1:$AY$1,),)</f>
        <v>8.6622807569343464E-3</v>
      </c>
      <c r="H62" s="21">
        <f>(VLOOKUP(B62,Data!$B:$AY,MATCH($H$1,Data!$B$1:$AY$1,),)-VLOOKUP(EDATE(B62,-12),Data!$B:$AY,MATCH($H$1,Data!$B$1:$AY$1,),))/VLOOKUP(EDATE(B62,-12),Data!$B:$AY,MATCH($H$1,Data!$B$1:$AY$1,),)</f>
        <v>7.9840319361275738E-4</v>
      </c>
      <c r="I62" s="21">
        <f>(VLOOKUP(B62,Data!$B:$AY,MATCH($I$1,Data!$B$1:$AY$1,),)-VLOOKUP(EDATE(B62,-12),Data!$B:$AY,MATCH($I$1,Data!$B$1:$AY$1,),))/VLOOKUP(EDATE(B62,-12),Data!$B:$AY,MATCH($I$1,Data!$B$1:$AY$1,),)</f>
        <v>3.0120481927711986E-3</v>
      </c>
      <c r="J62" s="21">
        <f>(VLOOKUP(B62,Data!$B:$AY,MATCH($J$1,Data!$B$1:$AY$1,),)-VLOOKUP(EDATE(B62,-12),Data!$B:$AY,MATCH($J$1,Data!$B$1:$AY$1,),))/VLOOKUP(EDATE(B62,-12),Data!$B:$AY,MATCH($J$1,Data!$B$1:$AY$1,),)</f>
        <v>-9.2913590360967817E-4</v>
      </c>
      <c r="K62" s="21">
        <f>(VLOOKUP(B62,Data!$B:$AY,MATCH($K$1,Data!$B$1:$AY$1,),)-VLOOKUP(EDATE(B62,-12),Data!$B:$AY,MATCH($K$1,Data!$B$1:$AY$1,),))/VLOOKUP(EDATE(B62,-12),Data!$B:$AY,MATCH($K$1,Data!$B$1:$AY$1,),)</f>
        <v>-6.3515913126622062E-3</v>
      </c>
      <c r="L62" s="21">
        <f>(VLOOKUP(B62,Data!$B:$AY,MATCH($L$1,Data!$B$1:$AY$1,),)-VLOOKUP(EDATE(B62,-12),Data!$B:$AY,MATCH($L$1,Data!$B$1:$AY$1,),))/VLOOKUP(EDATE(B62,-12),Data!$B:$AY,MATCH($L$1,Data!$B$1:$AY$1,),)</f>
        <v>-2.3259598078137263E-3</v>
      </c>
      <c r="M62" s="21">
        <f>(VLOOKUP(B62,Data!$B:$AY,MATCH($M$1,Data!$B$1:$AY$1,),)-VLOOKUP(EDATE(B62,-12),Data!$B:$AY,MATCH($M$1,Data!$B$1:$AY$1,),))/VLOOKUP(EDATE(B62,-12),Data!$B:$AY,MATCH($M$1,Data!$B$1:$AY$1,),)</f>
        <v>3.0623314748191029E-2</v>
      </c>
      <c r="N62" s="21" t="e">
        <f>(VLOOKUP(B62,Data!$B:$AY,MATCH($N$1,Data!$B$1:$AY$1,),)-VLOOKUP(EDATE(B62,-12),Data!$B:$AY,MATCH($N$1,Data!$B$1:$AY$1,),))/VLOOKUP(EDATE(B62,-12),Data!$B:$AY,MATCH($N$1,Data!$B$1:$AY$1,),)</f>
        <v>#DIV/0!</v>
      </c>
      <c r="O62" s="21">
        <f>(VLOOKUP(B62,Data!$B:$AY,MATCH($O$1,Data!$B$1:$AY$1,),)-VLOOKUP(EDATE(B62,-12),Data!$B:$AY,MATCH($O$1,Data!$B$1:$AY$1,),))/VLOOKUP(EDATE(B62,-12),Data!$B:$AY,MATCH($O$1,Data!$B$1:$AY$1,),)</f>
        <v>5.7851178962052767E-2</v>
      </c>
      <c r="P62" s="21">
        <f>(VLOOKUP(B62,Data!$B:$AY,MATCH($P$1,Data!$B$1:$AY$1,),)-VLOOKUP(EDATE(B62,-12),Data!$B:$AY,MATCH($P$1,Data!$B$1:$AY$1,),))/VLOOKUP(EDATE(B62,-12),Data!$B:$AY,MATCH($P$1,Data!$B$1:$AY$1,),)</f>
        <v>7.9872462853897343E-3</v>
      </c>
      <c r="Q62" s="21" t="e">
        <f>(VLOOKUP(B62,Data!$B:$AY,MATCH($Q$1,Data!$B$1:$AY$1,),)-VLOOKUP(EDATE(B62,-12),Data!$B:$AY,MATCH($Q$1,Data!$B$1:$AY$1,),))/VLOOKUP(EDATE(B62,-12),Data!$B:$AY,MATCH($Q$1,Data!$B$1:$AY$1,),)</f>
        <v>#N/A</v>
      </c>
      <c r="R62" s="21">
        <f>(VLOOKUP(B62,Data!$B:$AY,MATCH($R$1,Data!$B$1:$AY$1,),)-VLOOKUP(EDATE(B62,-12),Data!$B:$AY,MATCH($R$1,Data!$B$1:$AY$1,),))/VLOOKUP(EDATE(B62,-12),Data!$B:$AY,MATCH($R$1,Data!$B$1:$AY$1,),)</f>
        <v>-1.1225761102851346E-2</v>
      </c>
      <c r="S62" s="21">
        <f>(VLOOKUP(B62,Data!$B:$AY,MATCH($S$1,Data!$B$1:$AY$1,),)-VLOOKUP(EDATE(B62,-12),Data!$B:$AY,MATCH($S$1,Data!$B$1:$AY$1,),))/VLOOKUP(EDATE(B62,-12),Data!$B:$AY,MATCH($S$1,Data!$B$1:$AY$1,),)</f>
        <v>4.3597772788143722E-3</v>
      </c>
      <c r="T62" s="21">
        <f>(VLOOKUP(B62,Data!$B:$AY,MATCH($T$1,Data!$B$1:$AY$1,),)-VLOOKUP(EDATE(B62,-12),Data!$B:$AY,MATCH($T$1,Data!$B$1:$AY$1,),))/VLOOKUP(EDATE(B62,-12),Data!$B:$AY,MATCH($T$1,Data!$B$1:$AY$1,),)</f>
        <v>8.1714782692354465E-2</v>
      </c>
      <c r="U62" s="21">
        <f>(VLOOKUP(B62,Data!$B:$AY,MATCH($U$1,Data!$B$1:$AY$1,),)-VLOOKUP(EDATE(B62,-12),Data!$B:$AY,MATCH($U$1,Data!$B$1:$AY$1,),))/VLOOKUP(EDATE(B62,-12),Data!$B:$AY,MATCH($U$1,Data!$B$1:$AY$1,),)</f>
        <v>-2.1067316402106268E-2</v>
      </c>
      <c r="V62" s="21" t="e">
        <f>(VLOOKUP(B62,Data!$B:$AY,MATCH($V$1,Data!$B$1:$AY$1,),)-VLOOKUP(EDATE(B62,-12),Data!$B:$AY,MATCH($V$1,Data!$B$1:$AY$1,),))/VLOOKUP(EDATE(B62,-12),Data!$B:$AY,MATCH($V$1,Data!$B$1:$AY$1,),)</f>
        <v>#DIV/0!</v>
      </c>
      <c r="W62" s="21">
        <f>(VLOOKUP(B62,Data!$B:$AY,MATCH($W$1,Data!$B$1:$AY$1,),)-VLOOKUP(EDATE(B62,-12),Data!$B:$AY,MATCH($W$1,Data!$B$1:$AY$1,),))/VLOOKUP(EDATE(B62,-12),Data!$B:$AY,MATCH($W$1,Data!$B$1:$AY$1,),)</f>
        <v>7.9128102083151491E-2</v>
      </c>
      <c r="X62" s="21">
        <f>(VLOOKUP(B62,Data!$B:$AY,MATCH($X$1,Data!$B$1:$AY$1,),)-VLOOKUP(EDATE(B62,-12),Data!$B:$AY,MATCH($X$1,Data!$B$1:$AY$1,),))/VLOOKUP(EDATE(B62,-12),Data!$B:$AY,MATCH($X$1,Data!$B$1:$AY$1,),)</f>
        <v>5.0200803212851405E-3</v>
      </c>
      <c r="Y62" s="21">
        <f>(VLOOKUP(B62,Data!$B:$AY,MATCH($Y$1,Data!$B$1:$AY$1,),)-VLOOKUP(EDATE(B62,-12),Data!$B:$AY,MATCH($Y$1,Data!$B$1:$AY$1,),))/VLOOKUP(EDATE(B62,-12),Data!$B:$AY,MATCH($Y$1,Data!$B$1:$AY$1,),)</f>
        <v>-8.0385772705771994E-3</v>
      </c>
      <c r="Z62" s="21" t="e">
        <f>(VLOOKUP(B62,Data!$B:$AY,MATCH($Z$1,Data!$B$1:$AY$1,),)-VLOOKUP(EDATE(B62,-12),Data!$B:$AY,MATCH($Z$1,Data!$B$1:$AY$1,),))/VLOOKUP(EDATE(B62,-12),Data!$B:$AY,MATCH($Z$1,Data!$B$1:$AY$1,),)</f>
        <v>#N/A</v>
      </c>
      <c r="AA62" s="21" t="e">
        <f>(VLOOKUP(B62,Data!$B:$AY,MATCH($AA$1,Data!$B$1:$AY$1,),)-VLOOKUP(EDATE(B62,-12),Data!$B:$AY,MATCH($AA$1,Data!$B$1:$AY$1,),))/VLOOKUP(EDATE(B62,-12),Data!$B:$AY,MATCH($AA$1,Data!$B$1:$AY$1,),)</f>
        <v>#N/A</v>
      </c>
      <c r="AB62" s="20"/>
    </row>
    <row r="63" spans="2:28" x14ac:dyDescent="0.2">
      <c r="B63" s="16">
        <v>42125</v>
      </c>
      <c r="C63" s="21">
        <f>(VLOOKUP(B63,Data!$B:$AY,MATCH($C$1,Data!$B$1:$AY$1,),)-VLOOKUP(EDATE(B63,-12),Data!$B:$AY,MATCH($C$1,Data!$B$1:$AY$1,),))/VLOOKUP(EDATE(B63,-12),Data!$B:$AY,MATCH($C$1,Data!$B$1:$AY$1,),)</f>
        <v>-3.9851552965210842E-4</v>
      </c>
      <c r="D63" s="21">
        <f>(VLOOKUP(B63,Data!$B:$AY,MATCH($D$1,Data!$B$1:$AY$1,),)-VLOOKUP(EDATE(B63,-12),Data!$B:$AY,MATCH($D$1,Data!$B$1:$AY$1,),))/VLOOKUP(EDATE(B63,-12),Data!$B:$AY,MATCH($D$1,Data!$B$1:$AY$1,),)</f>
        <v>1.2207527975584973E-2</v>
      </c>
      <c r="E63" s="21">
        <f>(VLOOKUP(B63,Data!$B:$AY,MATCH($E$1,Data!$B$1:$AY$1,),)-VLOOKUP(EDATE(B63,-12),Data!$B:$AY,MATCH($E$1,Data!$B$1:$AY$1,),))/VLOOKUP(EDATE(B63,-12),Data!$B:$AY,MATCH($E$1,Data!$B$1:$AY$1,),)</f>
        <v>5.9934072520227179E-3</v>
      </c>
      <c r="F63" s="21">
        <f>(VLOOKUP(B63,Data!$B:$AY,MATCH($F$1,Data!$B$1:$AY$1,),)-VLOOKUP(EDATE(B63,-12),Data!$B:$AY,MATCH($F$1,Data!$B$1:$AY$1,),))/VLOOKUP(EDATE(B63,-12),Data!$B:$AY,MATCH($F$1,Data!$B$1:$AY$1,),)</f>
        <v>5.005005005005005E-3</v>
      </c>
      <c r="G63" s="21">
        <f>(VLOOKUP(B63,Data!$B:$AY,MATCH($G$1,Data!$B$1:$AY$1,),)-VLOOKUP(EDATE(B63,-12),Data!$B:$AY,MATCH($G$1,Data!$B$1:$AY$1,),))/VLOOKUP(EDATE(B63,-12),Data!$B:$AY,MATCH($G$1,Data!$B$1:$AY$1,),)</f>
        <v>1.1625104923538352E-2</v>
      </c>
      <c r="H63" s="21">
        <f>(VLOOKUP(B63,Data!$B:$AY,MATCH($H$1,Data!$B$1:$AY$1,),)-VLOOKUP(EDATE(B63,-12),Data!$B:$AY,MATCH($H$1,Data!$B$1:$AY$1,),))/VLOOKUP(EDATE(B63,-12),Data!$B:$AY,MATCH($H$1,Data!$B$1:$AY$1,),)</f>
        <v>2.993414488126094E-3</v>
      </c>
      <c r="I63" s="21">
        <f>(VLOOKUP(B63,Data!$B:$AY,MATCH($I$1,Data!$B$1:$AY$1,),)-VLOOKUP(EDATE(B63,-12),Data!$B:$AY,MATCH($I$1,Data!$B$1:$AY$1,),))/VLOOKUP(EDATE(B63,-12),Data!$B:$AY,MATCH($I$1,Data!$B$1:$AY$1,),)</f>
        <v>5.0200803212851405E-3</v>
      </c>
      <c r="J63" s="21">
        <f>(VLOOKUP(B63,Data!$B:$AY,MATCH($J$1,Data!$B$1:$AY$1,),)-VLOOKUP(EDATE(B63,-12),Data!$B:$AY,MATCH($J$1,Data!$B$1:$AY$1,),))/VLOOKUP(EDATE(B63,-12),Data!$B:$AY,MATCH($J$1,Data!$B$1:$AY$1,),)</f>
        <v>9.3000000000003529E-4</v>
      </c>
      <c r="K63" s="21">
        <f>(VLOOKUP(B63,Data!$B:$AY,MATCH($K$1,Data!$B$1:$AY$1,),)-VLOOKUP(EDATE(B63,-12),Data!$B:$AY,MATCH($K$1,Data!$B$1:$AY$1,),))/VLOOKUP(EDATE(B63,-12),Data!$B:$AY,MATCH($K$1,Data!$B$1:$AY$1,),)</f>
        <v>-1.8267677887203837E-3</v>
      </c>
      <c r="L63" s="21">
        <f>(VLOOKUP(B63,Data!$B:$AY,MATCH($L$1,Data!$B$1:$AY$1,),)-VLOOKUP(EDATE(B63,-12),Data!$B:$AY,MATCH($L$1,Data!$B$1:$AY$1,),))/VLOOKUP(EDATE(B63,-12),Data!$B:$AY,MATCH($L$1,Data!$B$1:$AY$1,),)</f>
        <v>6.0563912887738342E-4</v>
      </c>
      <c r="M63" s="21">
        <f>(VLOOKUP(B63,Data!$B:$AY,MATCH($M$1,Data!$B$1:$AY$1,),)-VLOOKUP(EDATE(B63,-12),Data!$B:$AY,MATCH($M$1,Data!$B$1:$AY$1,),))/VLOOKUP(EDATE(B63,-12),Data!$B:$AY,MATCH($M$1,Data!$B$1:$AY$1,),)</f>
        <v>2.8766385671430719E-2</v>
      </c>
      <c r="N63" s="21" t="e">
        <f>(VLOOKUP(B63,Data!$B:$AY,MATCH($N$1,Data!$B$1:$AY$1,),)-VLOOKUP(EDATE(B63,-12),Data!$B:$AY,MATCH($N$1,Data!$B$1:$AY$1,),))/VLOOKUP(EDATE(B63,-12),Data!$B:$AY,MATCH($N$1,Data!$B$1:$AY$1,),)</f>
        <v>#DIV/0!</v>
      </c>
      <c r="O63" s="21">
        <f>(VLOOKUP(B63,Data!$B:$AY,MATCH($O$1,Data!$B$1:$AY$1,),)-VLOOKUP(EDATE(B63,-12),Data!$B:$AY,MATCH($O$1,Data!$B$1:$AY$1,),))/VLOOKUP(EDATE(B63,-12),Data!$B:$AY,MATCH($O$1,Data!$B$1:$AY$1,),)</f>
        <v>5.7376990342261867E-2</v>
      </c>
      <c r="P63" s="21">
        <f>(VLOOKUP(B63,Data!$B:$AY,MATCH($P$1,Data!$B$1:$AY$1,),)-VLOOKUP(EDATE(B63,-12),Data!$B:$AY,MATCH($P$1,Data!$B$1:$AY$1,),))/VLOOKUP(EDATE(B63,-12),Data!$B:$AY,MATCH($P$1,Data!$B$1:$AY$1,),)</f>
        <v>8.7443681355442622E-3</v>
      </c>
      <c r="Q63" s="21" t="e">
        <f>(VLOOKUP(B63,Data!$B:$AY,MATCH($Q$1,Data!$B$1:$AY$1,),)-VLOOKUP(EDATE(B63,-12),Data!$B:$AY,MATCH($Q$1,Data!$B$1:$AY$1,),))/VLOOKUP(EDATE(B63,-12),Data!$B:$AY,MATCH($Q$1,Data!$B$1:$AY$1,),)</f>
        <v>#N/A</v>
      </c>
      <c r="R63" s="21">
        <f>(VLOOKUP(B63,Data!$B:$AY,MATCH($R$1,Data!$B$1:$AY$1,),)-VLOOKUP(EDATE(B63,-12),Data!$B:$AY,MATCH($R$1,Data!$B$1:$AY$1,),))/VLOOKUP(EDATE(B63,-12),Data!$B:$AY,MATCH($R$1,Data!$B$1:$AY$1,),)</f>
        <v>-1.1818034166580621E-2</v>
      </c>
      <c r="S63" s="21">
        <f>(VLOOKUP(B63,Data!$B:$AY,MATCH($S$1,Data!$B$1:$AY$1,),)-VLOOKUP(EDATE(B63,-12),Data!$B:$AY,MATCH($S$1,Data!$B$1:$AY$1,),))/VLOOKUP(EDATE(B63,-12),Data!$B:$AY,MATCH($S$1,Data!$B$1:$AY$1,),)</f>
        <v>5.5186417506861273E-3</v>
      </c>
      <c r="T63" s="21">
        <f>(VLOOKUP(B63,Data!$B:$AY,MATCH($T$1,Data!$B$1:$AY$1,),)-VLOOKUP(EDATE(B63,-12),Data!$B:$AY,MATCH($T$1,Data!$B$1:$AY$1,),))/VLOOKUP(EDATE(B63,-12),Data!$B:$AY,MATCH($T$1,Data!$B$1:$AY$1,),)</f>
        <v>8.4729362389235008E-2</v>
      </c>
      <c r="U63" s="21">
        <f>(VLOOKUP(B63,Data!$B:$AY,MATCH($U$1,Data!$B$1:$AY$1,),)-VLOOKUP(EDATE(B63,-12),Data!$B:$AY,MATCH($U$1,Data!$B$1:$AY$1,),))/VLOOKUP(EDATE(B63,-12),Data!$B:$AY,MATCH($U$1,Data!$B$1:$AY$1,),)</f>
        <v>-2.1462542847935112E-2</v>
      </c>
      <c r="V63" s="21" t="e">
        <f>(VLOOKUP(B63,Data!$B:$AY,MATCH($V$1,Data!$B$1:$AY$1,),)-VLOOKUP(EDATE(B63,-12),Data!$B:$AY,MATCH($V$1,Data!$B$1:$AY$1,),))/VLOOKUP(EDATE(B63,-12),Data!$B:$AY,MATCH($V$1,Data!$B$1:$AY$1,),)</f>
        <v>#DIV/0!</v>
      </c>
      <c r="W63" s="21">
        <f>(VLOOKUP(B63,Data!$B:$AY,MATCH($W$1,Data!$B$1:$AY$1,),)-VLOOKUP(EDATE(B63,-12),Data!$B:$AY,MATCH($W$1,Data!$B$1:$AY$1,),))/VLOOKUP(EDATE(B63,-12),Data!$B:$AY,MATCH($W$1,Data!$B$1:$AY$1,),)</f>
        <v>8.0929933821431543E-2</v>
      </c>
      <c r="X63" s="21">
        <f>(VLOOKUP(B63,Data!$B:$AY,MATCH($X$1,Data!$B$1:$AY$1,),)-VLOOKUP(EDATE(B63,-12),Data!$B:$AY,MATCH($X$1,Data!$B$1:$AY$1,),))/VLOOKUP(EDATE(B63,-12),Data!$B:$AY,MATCH($X$1,Data!$B$1:$AY$1,),)</f>
        <v>7.0210631895687341E-3</v>
      </c>
      <c r="Y63" s="21">
        <f>(VLOOKUP(B63,Data!$B:$AY,MATCH($Y$1,Data!$B$1:$AY$1,),)-VLOOKUP(EDATE(B63,-12),Data!$B:$AY,MATCH($Y$1,Data!$B$1:$AY$1,),))/VLOOKUP(EDATE(B63,-12),Data!$B:$AY,MATCH($Y$1,Data!$B$1:$AY$1,),)</f>
        <v>-7.2405399074721563E-3</v>
      </c>
      <c r="Z63" s="21" t="e">
        <f>(VLOOKUP(B63,Data!$B:$AY,MATCH($Z$1,Data!$B$1:$AY$1,),)-VLOOKUP(EDATE(B63,-12),Data!$B:$AY,MATCH($Z$1,Data!$B$1:$AY$1,),))/VLOOKUP(EDATE(B63,-12),Data!$B:$AY,MATCH($Z$1,Data!$B$1:$AY$1,),)</f>
        <v>#N/A</v>
      </c>
      <c r="AA63" s="21" t="e">
        <f>(VLOOKUP(B63,Data!$B:$AY,MATCH($AA$1,Data!$B$1:$AY$1,),)-VLOOKUP(EDATE(B63,-12),Data!$B:$AY,MATCH($AA$1,Data!$B$1:$AY$1,),))/VLOOKUP(EDATE(B63,-12),Data!$B:$AY,MATCH($AA$1,Data!$B$1:$AY$1,),)</f>
        <v>#N/A</v>
      </c>
      <c r="AB63" s="20"/>
    </row>
    <row r="64" spans="2:28" x14ac:dyDescent="0.2">
      <c r="B64" s="16">
        <v>42156</v>
      </c>
      <c r="C64" s="21">
        <f>(VLOOKUP(B64,Data!$B:$AY,MATCH($C$1,Data!$B$1:$AY$1,),)-VLOOKUP(EDATE(B64,-12),Data!$B:$AY,MATCH($C$1,Data!$B$1:$AY$1,),))/VLOOKUP(EDATE(B64,-12),Data!$B:$AY,MATCH($C$1,Data!$B$1:$AY$1,),)</f>
        <v>1.2370785455376597E-3</v>
      </c>
      <c r="D64" s="21">
        <f>(VLOOKUP(B64,Data!$B:$AY,MATCH($D$1,Data!$B$1:$AY$1,),)-VLOOKUP(EDATE(B64,-12),Data!$B:$AY,MATCH($D$1,Data!$B$1:$AY$1,),))/VLOOKUP(EDATE(B64,-12),Data!$B:$AY,MATCH($D$1,Data!$B$1:$AY$1,),)</f>
        <v>1.3238289205702618E-2</v>
      </c>
      <c r="E64" s="21">
        <f>(VLOOKUP(B64,Data!$B:$AY,MATCH($E$1,Data!$B$1:$AY$1,),)-VLOOKUP(EDATE(B64,-12),Data!$B:$AY,MATCH($E$1,Data!$B$1:$AY$1,),))/VLOOKUP(EDATE(B64,-12),Data!$B:$AY,MATCH($E$1,Data!$B$1:$AY$1,),)</f>
        <v>4.9890241468768708E-3</v>
      </c>
      <c r="F64" s="21">
        <f>(VLOOKUP(B64,Data!$B:$AY,MATCH($F$1,Data!$B$1:$AY$1,),)-VLOOKUP(EDATE(B64,-12),Data!$B:$AY,MATCH($F$1,Data!$B$1:$AY$1,),))/VLOOKUP(EDATE(B64,-12),Data!$B:$AY,MATCH($F$1,Data!$B$1:$AY$1,),)</f>
        <v>4.0080160320641852E-3</v>
      </c>
      <c r="G64" s="21">
        <f>(VLOOKUP(B64,Data!$B:$AY,MATCH($G$1,Data!$B$1:$AY$1,),)-VLOOKUP(EDATE(B64,-12),Data!$B:$AY,MATCH($G$1,Data!$B$1:$AY$1,),))/VLOOKUP(EDATE(B64,-12),Data!$B:$AY,MATCH($G$1,Data!$B$1:$AY$1,),)</f>
        <v>8.7808610240658024E-3</v>
      </c>
      <c r="H64" s="21">
        <f>(VLOOKUP(B64,Data!$B:$AY,MATCH($H$1,Data!$B$1:$AY$1,),)-VLOOKUP(EDATE(B64,-12),Data!$B:$AY,MATCH($H$1,Data!$B$1:$AY$1,),))/VLOOKUP(EDATE(B64,-12),Data!$B:$AY,MATCH($H$1,Data!$B$1:$AY$1,),)</f>
        <v>2.5953284088639536E-3</v>
      </c>
      <c r="I64" s="21">
        <f>(VLOOKUP(B64,Data!$B:$AY,MATCH($I$1,Data!$B$1:$AY$1,),)-VLOOKUP(EDATE(B64,-12),Data!$B:$AY,MATCH($I$1,Data!$B$1:$AY$1,),))/VLOOKUP(EDATE(B64,-12),Data!$B:$AY,MATCH($I$1,Data!$B$1:$AY$1,),)</f>
        <v>3.006012024048068E-3</v>
      </c>
      <c r="J64" s="21">
        <f>(VLOOKUP(B64,Data!$B:$AY,MATCH($J$1,Data!$B$1:$AY$1,),)-VLOOKUP(EDATE(B64,-12),Data!$B:$AY,MATCH($J$1,Data!$B$1:$AY$1,),))/VLOOKUP(EDATE(B64,-12),Data!$B:$AY,MATCH($J$1,Data!$B$1:$AY$1,),)</f>
        <v>1.859270878083344E-3</v>
      </c>
      <c r="K64" s="21">
        <f>(VLOOKUP(B64,Data!$B:$AY,MATCH($K$1,Data!$B$1:$AY$1,),)-VLOOKUP(EDATE(B64,-12),Data!$B:$AY,MATCH($K$1,Data!$B$1:$AY$1,),))/VLOOKUP(EDATE(B64,-12),Data!$B:$AY,MATCH($K$1,Data!$B$1:$AY$1,),)</f>
        <v>5.6291656072833941E-4</v>
      </c>
      <c r="L64" s="21">
        <f>(VLOOKUP(B64,Data!$B:$AY,MATCH($L$1,Data!$B$1:$AY$1,),)-VLOOKUP(EDATE(B64,-12),Data!$B:$AY,MATCH($L$1,Data!$B$1:$AY$1,),))/VLOOKUP(EDATE(B64,-12),Data!$B:$AY,MATCH($L$1,Data!$B$1:$AY$1,),)</f>
        <v>-4.3536833804297004E-3</v>
      </c>
      <c r="M64" s="21">
        <f>(VLOOKUP(B64,Data!$B:$AY,MATCH($M$1,Data!$B$1:$AY$1,),)-VLOOKUP(EDATE(B64,-12),Data!$B:$AY,MATCH($M$1,Data!$B$1:$AY$1,),))/VLOOKUP(EDATE(B64,-12),Data!$B:$AY,MATCH($M$1,Data!$B$1:$AY$1,),)</f>
        <v>2.870782542179097E-2</v>
      </c>
      <c r="N64" s="21" t="e">
        <f>(VLOOKUP(B64,Data!$B:$AY,MATCH($N$1,Data!$B$1:$AY$1,),)-VLOOKUP(EDATE(B64,-12),Data!$B:$AY,MATCH($N$1,Data!$B$1:$AY$1,),))/VLOOKUP(EDATE(B64,-12),Data!$B:$AY,MATCH($N$1,Data!$B$1:$AY$1,),)</f>
        <v>#DIV/0!</v>
      </c>
      <c r="O64" s="21">
        <f>(VLOOKUP(B64,Data!$B:$AY,MATCH($O$1,Data!$B$1:$AY$1,),)-VLOOKUP(EDATE(B64,-12),Data!$B:$AY,MATCH($O$1,Data!$B$1:$AY$1,),))/VLOOKUP(EDATE(B64,-12),Data!$B:$AY,MATCH($O$1,Data!$B$1:$AY$1,),)</f>
        <v>6.0975541071372603E-2</v>
      </c>
      <c r="P64" s="21">
        <f>(VLOOKUP(B64,Data!$B:$AY,MATCH($P$1,Data!$B$1:$AY$1,),)-VLOOKUP(EDATE(B64,-12),Data!$B:$AY,MATCH($P$1,Data!$B$1:$AY$1,),))/VLOOKUP(EDATE(B64,-12),Data!$B:$AY,MATCH($P$1,Data!$B$1:$AY$1,),)</f>
        <v>1.0325688499030943E-2</v>
      </c>
      <c r="Q64" s="21" t="e">
        <f>(VLOOKUP(B64,Data!$B:$AY,MATCH($Q$1,Data!$B$1:$AY$1,),)-VLOOKUP(EDATE(B64,-12),Data!$B:$AY,MATCH($Q$1,Data!$B$1:$AY$1,),))/VLOOKUP(EDATE(B64,-12),Data!$B:$AY,MATCH($Q$1,Data!$B$1:$AY$1,),)</f>
        <v>#N/A</v>
      </c>
      <c r="R64" s="21">
        <f>(VLOOKUP(B64,Data!$B:$AY,MATCH($R$1,Data!$B$1:$AY$1,),)-VLOOKUP(EDATE(B64,-12),Data!$B:$AY,MATCH($R$1,Data!$B$1:$AY$1,),))/VLOOKUP(EDATE(B64,-12),Data!$B:$AY,MATCH($R$1,Data!$B$1:$AY$1,),)</f>
        <v>-1.0372677598858092E-2</v>
      </c>
      <c r="S64" s="21">
        <f>(VLOOKUP(B64,Data!$B:$AY,MATCH($S$1,Data!$B$1:$AY$1,),)-VLOOKUP(EDATE(B64,-12),Data!$B:$AY,MATCH($S$1,Data!$B$1:$AY$1,),))/VLOOKUP(EDATE(B64,-12),Data!$B:$AY,MATCH($S$1,Data!$B$1:$AY$1,),)</f>
        <v>7.0153895705213007E-3</v>
      </c>
      <c r="T64" s="21">
        <f>(VLOOKUP(B64,Data!$B:$AY,MATCH($T$1,Data!$B$1:$AY$1,),)-VLOOKUP(EDATE(B64,-12),Data!$B:$AY,MATCH($T$1,Data!$B$1:$AY$1,),))/VLOOKUP(EDATE(B64,-12),Data!$B:$AY,MATCH($T$1,Data!$B$1:$AY$1,),)</f>
        <v>8.8944501410802054E-2</v>
      </c>
      <c r="U64" s="21">
        <f>(VLOOKUP(B64,Data!$B:$AY,MATCH($U$1,Data!$B$1:$AY$1,),)-VLOOKUP(EDATE(B64,-12),Data!$B:$AY,MATCH($U$1,Data!$B$1:$AY$1,),))/VLOOKUP(EDATE(B64,-12),Data!$B:$AY,MATCH($U$1,Data!$B$1:$AY$1,),)</f>
        <v>-2.1567934919717046E-2</v>
      </c>
      <c r="V64" s="21" t="e">
        <f>(VLOOKUP(B64,Data!$B:$AY,MATCH($V$1,Data!$B$1:$AY$1,),)-VLOOKUP(EDATE(B64,-12),Data!$B:$AY,MATCH($V$1,Data!$B$1:$AY$1,),))/VLOOKUP(EDATE(B64,-12),Data!$B:$AY,MATCH($V$1,Data!$B$1:$AY$1,),)</f>
        <v>#DIV/0!</v>
      </c>
      <c r="W64" s="21">
        <f>(VLOOKUP(B64,Data!$B:$AY,MATCH($W$1,Data!$B$1:$AY$1,),)-VLOOKUP(EDATE(B64,-12),Data!$B:$AY,MATCH($W$1,Data!$B$1:$AY$1,),))/VLOOKUP(EDATE(B64,-12),Data!$B:$AY,MATCH($W$1,Data!$B$1:$AY$1,),)</f>
        <v>7.2045121128363976E-2</v>
      </c>
      <c r="X64" s="21">
        <f>(VLOOKUP(B64,Data!$B:$AY,MATCH($X$1,Data!$B$1:$AY$1,),)-VLOOKUP(EDATE(B64,-12),Data!$B:$AY,MATCH($X$1,Data!$B$1:$AY$1,),))/VLOOKUP(EDATE(B64,-12),Data!$B:$AY,MATCH($X$1,Data!$B$1:$AY$1,),)</f>
        <v>8.0240722166499204E-3</v>
      </c>
      <c r="Y64" s="21">
        <f>(VLOOKUP(B64,Data!$B:$AY,MATCH($Y$1,Data!$B$1:$AY$1,),)-VLOOKUP(EDATE(B64,-12),Data!$B:$AY,MATCH($Y$1,Data!$B$1:$AY$1,),))/VLOOKUP(EDATE(B64,-12),Data!$B:$AY,MATCH($Y$1,Data!$B$1:$AY$1,),)</f>
        <v>-7.2405399074721563E-3</v>
      </c>
      <c r="Z64" s="21" t="e">
        <f>(VLOOKUP(B64,Data!$B:$AY,MATCH($Z$1,Data!$B$1:$AY$1,),)-VLOOKUP(EDATE(B64,-12),Data!$B:$AY,MATCH($Z$1,Data!$B$1:$AY$1,),))/VLOOKUP(EDATE(B64,-12),Data!$B:$AY,MATCH($Z$1,Data!$B$1:$AY$1,),)</f>
        <v>#N/A</v>
      </c>
      <c r="AA64" s="21" t="e">
        <f>(VLOOKUP(B64,Data!$B:$AY,MATCH($AA$1,Data!$B$1:$AY$1,),)-VLOOKUP(EDATE(B64,-12),Data!$B:$AY,MATCH($AA$1,Data!$B$1:$AY$1,),))/VLOOKUP(EDATE(B64,-12),Data!$B:$AY,MATCH($AA$1,Data!$B$1:$AY$1,),)</f>
        <v>#N/A</v>
      </c>
      <c r="AB64" s="20"/>
    </row>
    <row r="65" spans="2:32" x14ac:dyDescent="0.2">
      <c r="B65" s="16">
        <v>42186</v>
      </c>
      <c r="C65" s="21">
        <f>(VLOOKUP(B65,Data!$B:$AY,MATCH($C$1,Data!$B$1:$AY$1,),)-VLOOKUP(EDATE(B65,-12),Data!$B:$AY,MATCH($C$1,Data!$B$1:$AY$1,),))/VLOOKUP(EDATE(B65,-12),Data!$B:$AY,MATCH($C$1,Data!$B$1:$AY$1,),)</f>
        <v>1.6961764898995833E-3</v>
      </c>
      <c r="D65" s="21">
        <f>(VLOOKUP(B65,Data!$B:$AY,MATCH($D$1,Data!$B$1:$AY$1,),)-VLOOKUP(EDATE(B65,-12),Data!$B:$AY,MATCH($D$1,Data!$B$1:$AY$1,),))/VLOOKUP(EDATE(B65,-12),Data!$B:$AY,MATCH($D$1,Data!$B$1:$AY$1,),)</f>
        <v>1.7311608961303491E-2</v>
      </c>
      <c r="E65" s="21">
        <f>(VLOOKUP(B65,Data!$B:$AY,MATCH($E$1,Data!$B$1:$AY$1,),)-VLOOKUP(EDATE(B65,-12),Data!$B:$AY,MATCH($E$1,Data!$B$1:$AY$1,),))/VLOOKUP(EDATE(B65,-12),Data!$B:$AY,MATCH($E$1,Data!$B$1:$AY$1,),)</f>
        <v>5.4233202771919887E-3</v>
      </c>
      <c r="F65" s="21">
        <f>(VLOOKUP(B65,Data!$B:$AY,MATCH($F$1,Data!$B$1:$AY$1,),)-VLOOKUP(EDATE(B65,-12),Data!$B:$AY,MATCH($F$1,Data!$B$1:$AY$1,),))/VLOOKUP(EDATE(B65,-12),Data!$B:$AY,MATCH($F$1,Data!$B$1:$AY$1,),)</f>
        <v>2.0020020020018879E-3</v>
      </c>
      <c r="G65" s="21">
        <f>(VLOOKUP(B65,Data!$B:$AY,MATCH($G$1,Data!$B$1:$AY$1,),)-VLOOKUP(EDATE(B65,-12),Data!$B:$AY,MATCH($G$1,Data!$B$1:$AY$1,),))/VLOOKUP(EDATE(B65,-12),Data!$B:$AY,MATCH($G$1,Data!$B$1:$AY$1,),)</f>
        <v>7.9570229199807108E-3</v>
      </c>
      <c r="H65" s="21">
        <f>(VLOOKUP(B65,Data!$B:$AY,MATCH($H$1,Data!$B$1:$AY$1,),)-VLOOKUP(EDATE(B65,-12),Data!$B:$AY,MATCH($H$1,Data!$B$1:$AY$1,),))/VLOOKUP(EDATE(B65,-12),Data!$B:$AY,MATCH($H$1,Data!$B$1:$AY$1,),)</f>
        <v>1.702383336671357E-3</v>
      </c>
      <c r="I65" s="21">
        <f>(VLOOKUP(B65,Data!$B:$AY,MATCH($I$1,Data!$B$1:$AY$1,),)-VLOOKUP(EDATE(B65,-12),Data!$B:$AY,MATCH($I$1,Data!$B$1:$AY$1,),))/VLOOKUP(EDATE(B65,-12),Data!$B:$AY,MATCH($I$1,Data!$B$1:$AY$1,),)</f>
        <v>4.0160642570281693E-3</v>
      </c>
      <c r="J65" s="21">
        <f>(VLOOKUP(B65,Data!$B:$AY,MATCH($J$1,Data!$B$1:$AY$1,),)-VLOOKUP(EDATE(B65,-12),Data!$B:$AY,MATCH($J$1,Data!$B$1:$AY$1,),))/VLOOKUP(EDATE(B65,-12),Data!$B:$AY,MATCH($J$1,Data!$B$1:$AY$1,),)</f>
        <v>1.8600000000000706E-3</v>
      </c>
      <c r="K65" s="21">
        <f>(VLOOKUP(B65,Data!$B:$AY,MATCH($K$1,Data!$B$1:$AY$1,),)-VLOOKUP(EDATE(B65,-12),Data!$B:$AY,MATCH($K$1,Data!$B$1:$AY$1,),))/VLOOKUP(EDATE(B65,-12),Data!$B:$AY,MATCH($K$1,Data!$B$1:$AY$1,),)</f>
        <v>6.7711501068095194E-4</v>
      </c>
      <c r="L65" s="21">
        <f>(VLOOKUP(B65,Data!$B:$AY,MATCH($L$1,Data!$B$1:$AY$1,),)-VLOOKUP(EDATE(B65,-12),Data!$B:$AY,MATCH($L$1,Data!$B$1:$AY$1,),))/VLOOKUP(EDATE(B65,-12),Data!$B:$AY,MATCH($L$1,Data!$B$1:$AY$1,),)</f>
        <v>-7.6520800970994137E-4</v>
      </c>
      <c r="M65" s="21">
        <f>(VLOOKUP(B65,Data!$B:$AY,MATCH($M$1,Data!$B$1:$AY$1,),)-VLOOKUP(EDATE(B65,-12),Data!$B:$AY,MATCH($M$1,Data!$B$1:$AY$1,),))/VLOOKUP(EDATE(B65,-12),Data!$B:$AY,MATCH($M$1,Data!$B$1:$AY$1,),)</f>
        <v>2.7390584501416491E-2</v>
      </c>
      <c r="N65" s="21" t="e">
        <f>(VLOOKUP(B65,Data!$B:$AY,MATCH($N$1,Data!$B$1:$AY$1,),)-VLOOKUP(EDATE(B65,-12),Data!$B:$AY,MATCH($N$1,Data!$B$1:$AY$1,),))/VLOOKUP(EDATE(B65,-12),Data!$B:$AY,MATCH($N$1,Data!$B$1:$AY$1,),)</f>
        <v>#DIV/0!</v>
      </c>
      <c r="O65" s="21">
        <f>(VLOOKUP(B65,Data!$B:$AY,MATCH($O$1,Data!$B$1:$AY$1,),)-VLOOKUP(EDATE(B65,-12),Data!$B:$AY,MATCH($O$1,Data!$B$1:$AY$1,),))/VLOOKUP(EDATE(B65,-12),Data!$B:$AY,MATCH($O$1,Data!$B$1:$AY$1,),)</f>
        <v>4.3651086336694504E-2</v>
      </c>
      <c r="P65" s="21">
        <f>(VLOOKUP(B65,Data!$B:$AY,MATCH($P$1,Data!$B$1:$AY$1,),)-VLOOKUP(EDATE(B65,-12),Data!$B:$AY,MATCH($P$1,Data!$B$1:$AY$1,),))/VLOOKUP(EDATE(B65,-12),Data!$B:$AY,MATCH($P$1,Data!$B$1:$AY$1,),)</f>
        <v>1.272865949589817E-2</v>
      </c>
      <c r="Q65" s="21" t="e">
        <f>(VLOOKUP(B65,Data!$B:$AY,MATCH($Q$1,Data!$B$1:$AY$1,),)-VLOOKUP(EDATE(B65,-12),Data!$B:$AY,MATCH($Q$1,Data!$B$1:$AY$1,),))/VLOOKUP(EDATE(B65,-12),Data!$B:$AY,MATCH($Q$1,Data!$B$1:$AY$1,),)</f>
        <v>#N/A</v>
      </c>
      <c r="R65" s="21">
        <f>(VLOOKUP(B65,Data!$B:$AY,MATCH($R$1,Data!$B$1:$AY$1,),)-VLOOKUP(EDATE(B65,-12),Data!$B:$AY,MATCH($R$1,Data!$B$1:$AY$1,),))/VLOOKUP(EDATE(B65,-12),Data!$B:$AY,MATCH($R$1,Data!$B$1:$AY$1,),)</f>
        <v>-1.2759166553783261E-2</v>
      </c>
      <c r="S65" s="21">
        <f>(VLOOKUP(B65,Data!$B:$AY,MATCH($S$1,Data!$B$1:$AY$1,),)-VLOOKUP(EDATE(B65,-12),Data!$B:$AY,MATCH($S$1,Data!$B$1:$AY$1,),))/VLOOKUP(EDATE(B65,-12),Data!$B:$AY,MATCH($S$1,Data!$B$1:$AY$1,),)</f>
        <v>7.3468075056031595E-3</v>
      </c>
      <c r="T65" s="21">
        <f>(VLOOKUP(B65,Data!$B:$AY,MATCH($T$1,Data!$B$1:$AY$1,),)-VLOOKUP(EDATE(B65,-12),Data!$B:$AY,MATCH($T$1,Data!$B$1:$AY$1,),))/VLOOKUP(EDATE(B65,-12),Data!$B:$AY,MATCH($T$1,Data!$B$1:$AY$1,),)</f>
        <v>9.5583736929773802E-2</v>
      </c>
      <c r="U65" s="21">
        <f>(VLOOKUP(B65,Data!$B:$AY,MATCH($U$1,Data!$B$1:$AY$1,),)-VLOOKUP(EDATE(B65,-12),Data!$B:$AY,MATCH($U$1,Data!$B$1:$AY$1,),))/VLOOKUP(EDATE(B65,-12),Data!$B:$AY,MATCH($U$1,Data!$B$1:$AY$1,),)</f>
        <v>-2.2334423910160137E-2</v>
      </c>
      <c r="V65" s="21" t="e">
        <f>(VLOOKUP(B65,Data!$B:$AY,MATCH($V$1,Data!$B$1:$AY$1,),)-VLOOKUP(EDATE(B65,-12),Data!$B:$AY,MATCH($V$1,Data!$B$1:$AY$1,),))/VLOOKUP(EDATE(B65,-12),Data!$B:$AY,MATCH($V$1,Data!$B$1:$AY$1,),)</f>
        <v>#DIV/0!</v>
      </c>
      <c r="W65" s="21">
        <f>(VLOOKUP(B65,Data!$B:$AY,MATCH($W$1,Data!$B$1:$AY$1,),)-VLOOKUP(EDATE(B65,-12),Data!$B:$AY,MATCH($W$1,Data!$B$1:$AY$1,),))/VLOOKUP(EDATE(B65,-12),Data!$B:$AY,MATCH($W$1,Data!$B$1:$AY$1,),)</f>
        <v>6.8141632560683577E-2</v>
      </c>
      <c r="X65" s="21">
        <f>(VLOOKUP(B65,Data!$B:$AY,MATCH($X$1,Data!$B$1:$AY$1,),)-VLOOKUP(EDATE(B65,-12),Data!$B:$AY,MATCH($X$1,Data!$B$1:$AY$1,),))/VLOOKUP(EDATE(B65,-12),Data!$B:$AY,MATCH($X$1,Data!$B$1:$AY$1,),)</f>
        <v>4.0000000000000565E-3</v>
      </c>
      <c r="Y65" s="21">
        <f>(VLOOKUP(B65,Data!$B:$AY,MATCH($Y$1,Data!$B$1:$AY$1,),)-VLOOKUP(EDATE(B65,-12),Data!$B:$AY,MATCH($Y$1,Data!$B$1:$AY$1,),))/VLOOKUP(EDATE(B65,-12),Data!$B:$AY,MATCH($Y$1,Data!$B$1:$AY$1,),)</f>
        <v>-6.4464078006286323E-3</v>
      </c>
      <c r="Z65" s="21" t="e">
        <f>(VLOOKUP(B65,Data!$B:$AY,MATCH($Z$1,Data!$B$1:$AY$1,),)-VLOOKUP(EDATE(B65,-12),Data!$B:$AY,MATCH($Z$1,Data!$B$1:$AY$1,),))/VLOOKUP(EDATE(B65,-12),Data!$B:$AY,MATCH($Z$1,Data!$B$1:$AY$1,),)</f>
        <v>#N/A</v>
      </c>
      <c r="AA65" s="21" t="e">
        <f>(VLOOKUP(B65,Data!$B:$AY,MATCH($AA$1,Data!$B$1:$AY$1,),)-VLOOKUP(EDATE(B65,-12),Data!$B:$AY,MATCH($AA$1,Data!$B$1:$AY$1,),))/VLOOKUP(EDATE(B65,-12),Data!$B:$AY,MATCH($AA$1,Data!$B$1:$AY$1,),)</f>
        <v>#N/A</v>
      </c>
      <c r="AB65" s="20"/>
    </row>
    <row r="66" spans="2:32" x14ac:dyDescent="0.2">
      <c r="B66" s="16">
        <v>42217</v>
      </c>
      <c r="C66" s="21">
        <f>(VLOOKUP(B66,Data!$B:$AY,MATCH($C$1,Data!$B$1:$AY$1,),)-VLOOKUP(EDATE(B66,-12),Data!$B:$AY,MATCH($C$1,Data!$B$1:$AY$1,),))/VLOOKUP(EDATE(B66,-12),Data!$B:$AY,MATCH($C$1,Data!$B$1:$AY$1,),)</f>
        <v>1.9511261824592513E-3</v>
      </c>
      <c r="D66" s="21">
        <f>(VLOOKUP(B66,Data!$B:$AY,MATCH($D$1,Data!$B$1:$AY$1,),)-VLOOKUP(EDATE(B66,-12),Data!$B:$AY,MATCH($D$1,Data!$B$1:$AY$1,),))/VLOOKUP(EDATE(B66,-12),Data!$B:$AY,MATCH($D$1,Data!$B$1:$AY$1,),)</f>
        <v>2.032520325203252E-2</v>
      </c>
      <c r="E66" s="21">
        <f>(VLOOKUP(B66,Data!$B:$AY,MATCH($E$1,Data!$B$1:$AY$1,),)-VLOOKUP(EDATE(B66,-12),Data!$B:$AY,MATCH($E$1,Data!$B$1:$AY$1,),))/VLOOKUP(EDATE(B66,-12),Data!$B:$AY,MATCH($E$1,Data!$B$1:$AY$1,),)</f>
        <v>4.4141252006420313E-3</v>
      </c>
      <c r="F66" s="21">
        <f>(VLOOKUP(B66,Data!$B:$AY,MATCH($F$1,Data!$B$1:$AY$1,),)-VLOOKUP(EDATE(B66,-12),Data!$B:$AY,MATCH($F$1,Data!$B$1:$AY$1,),))/VLOOKUP(EDATE(B66,-12),Data!$B:$AY,MATCH($F$1,Data!$B$1:$AY$1,),)</f>
        <v>2.0000000000000282E-3</v>
      </c>
      <c r="G66" s="21">
        <f>(VLOOKUP(B66,Data!$B:$AY,MATCH($G$1,Data!$B$1:$AY$1,),)-VLOOKUP(EDATE(B66,-12),Data!$B:$AY,MATCH($G$1,Data!$B$1:$AY$1,),))/VLOOKUP(EDATE(B66,-12),Data!$B:$AY,MATCH($G$1,Data!$B$1:$AY$1,),)</f>
        <v>7.9570229199807108E-3</v>
      </c>
      <c r="H66" s="21">
        <f>(VLOOKUP(B66,Data!$B:$AY,MATCH($H$1,Data!$B$1:$AY$1,),)-VLOOKUP(EDATE(B66,-12),Data!$B:$AY,MATCH($H$1,Data!$B$1:$AY$1,),))/VLOOKUP(EDATE(B66,-12),Data!$B:$AY,MATCH($H$1,Data!$B$1:$AY$1,),)</f>
        <v>4.9850448654035053E-4</v>
      </c>
      <c r="I66" s="21">
        <f>(VLOOKUP(B66,Data!$B:$AY,MATCH($I$1,Data!$B$1:$AY$1,),)-VLOOKUP(EDATE(B66,-12),Data!$B:$AY,MATCH($I$1,Data!$B$1:$AY$1,),))/VLOOKUP(EDATE(B66,-12),Data!$B:$AY,MATCH($I$1,Data!$B$1:$AY$1,),)</f>
        <v>4.0040040040039181E-3</v>
      </c>
      <c r="J66" s="21">
        <f>(VLOOKUP(B66,Data!$B:$AY,MATCH($J$1,Data!$B$1:$AY$1,),)-VLOOKUP(EDATE(B66,-12),Data!$B:$AY,MATCH($J$1,Data!$B$1:$AY$1,),))/VLOOKUP(EDATE(B66,-12),Data!$B:$AY,MATCH($J$1,Data!$B$1:$AY$1,),)</f>
        <v>1.8575449663625271E-3</v>
      </c>
      <c r="K66" s="21">
        <f>(VLOOKUP(B66,Data!$B:$AY,MATCH($K$1,Data!$B$1:$AY$1,),)-VLOOKUP(EDATE(B66,-12),Data!$B:$AY,MATCH($K$1,Data!$B$1:$AY$1,),))/VLOOKUP(EDATE(B66,-12),Data!$B:$AY,MATCH($K$1,Data!$B$1:$AY$1,),)</f>
        <v>-4.2189368051907183E-3</v>
      </c>
      <c r="L66" s="21">
        <f>(VLOOKUP(B66,Data!$B:$AY,MATCH($L$1,Data!$B$1:$AY$1,),)-VLOOKUP(EDATE(B66,-12),Data!$B:$AY,MATCH($L$1,Data!$B$1:$AY$1,),))/VLOOKUP(EDATE(B66,-12),Data!$B:$AY,MATCH($L$1,Data!$B$1:$AY$1,),)</f>
        <v>-1.7230775999911598E-3</v>
      </c>
      <c r="M66" s="21">
        <f>(VLOOKUP(B66,Data!$B:$AY,MATCH($M$1,Data!$B$1:$AY$1,),)-VLOOKUP(EDATE(B66,-12),Data!$B:$AY,MATCH($M$1,Data!$B$1:$AY$1,),))/VLOOKUP(EDATE(B66,-12),Data!$B:$AY,MATCH($M$1,Data!$B$1:$AY$1,),)</f>
        <v>2.5873126076782653E-2</v>
      </c>
      <c r="N66" s="21" t="e">
        <f>(VLOOKUP(B66,Data!$B:$AY,MATCH($N$1,Data!$B$1:$AY$1,),)-VLOOKUP(EDATE(B66,-12),Data!$B:$AY,MATCH($N$1,Data!$B$1:$AY$1,),))/VLOOKUP(EDATE(B66,-12),Data!$B:$AY,MATCH($N$1,Data!$B$1:$AY$1,),)</f>
        <v>#DIV/0!</v>
      </c>
      <c r="O66" s="21">
        <f>(VLOOKUP(B66,Data!$B:$AY,MATCH($O$1,Data!$B$1:$AY$1,),)-VLOOKUP(EDATE(B66,-12),Data!$B:$AY,MATCH($O$1,Data!$B$1:$AY$1,),))/VLOOKUP(EDATE(B66,-12),Data!$B:$AY,MATCH($O$1,Data!$B$1:$AY$1,),)</f>
        <v>4.3478242899695811E-2</v>
      </c>
      <c r="P66" s="21">
        <f>(VLOOKUP(B66,Data!$B:$AY,MATCH($P$1,Data!$B$1:$AY$1,),)-VLOOKUP(EDATE(B66,-12),Data!$B:$AY,MATCH($P$1,Data!$B$1:$AY$1,),))/VLOOKUP(EDATE(B66,-12),Data!$B:$AY,MATCH($P$1,Data!$B$1:$AY$1,),)</f>
        <v>1.272865949589817E-2</v>
      </c>
      <c r="Q66" s="21" t="e">
        <f>(VLOOKUP(B66,Data!$B:$AY,MATCH($Q$1,Data!$B$1:$AY$1,),)-VLOOKUP(EDATE(B66,-12),Data!$B:$AY,MATCH($Q$1,Data!$B$1:$AY$1,),))/VLOOKUP(EDATE(B66,-12),Data!$B:$AY,MATCH($Q$1,Data!$B$1:$AY$1,),)</f>
        <v>#N/A</v>
      </c>
      <c r="R66" s="21">
        <f>(VLOOKUP(B66,Data!$B:$AY,MATCH($R$1,Data!$B$1:$AY$1,),)-VLOOKUP(EDATE(B66,-12),Data!$B:$AY,MATCH($R$1,Data!$B$1:$AY$1,),))/VLOOKUP(EDATE(B66,-12),Data!$B:$AY,MATCH($R$1,Data!$B$1:$AY$1,),)</f>
        <v>-1.4024554889465426E-2</v>
      </c>
      <c r="S66" s="21">
        <f>(VLOOKUP(B66,Data!$B:$AY,MATCH($S$1,Data!$B$1:$AY$1,),)-VLOOKUP(EDATE(B66,-12),Data!$B:$AY,MATCH($S$1,Data!$B$1:$AY$1,),))/VLOOKUP(EDATE(B66,-12),Data!$B:$AY,MATCH($S$1,Data!$B$1:$AY$1,),)</f>
        <v>7.0029697407497345E-3</v>
      </c>
      <c r="T66" s="21">
        <f>(VLOOKUP(B66,Data!$B:$AY,MATCH($T$1,Data!$B$1:$AY$1,),)-VLOOKUP(EDATE(B66,-12),Data!$B:$AY,MATCH($T$1,Data!$B$1:$AY$1,),))/VLOOKUP(EDATE(B66,-12),Data!$B:$AY,MATCH($T$1,Data!$B$1:$AY$1,),)</f>
        <v>9.525514621977027E-2</v>
      </c>
      <c r="U66" s="21">
        <f>(VLOOKUP(B66,Data!$B:$AY,MATCH($U$1,Data!$B$1:$AY$1,),)-VLOOKUP(EDATE(B66,-12),Data!$B:$AY,MATCH($U$1,Data!$B$1:$AY$1,),))/VLOOKUP(EDATE(B66,-12),Data!$B:$AY,MATCH($U$1,Data!$B$1:$AY$1,),)</f>
        <v>-1.4586207411017633E-2</v>
      </c>
      <c r="V66" s="21" t="e">
        <f>(VLOOKUP(B66,Data!$B:$AY,MATCH($V$1,Data!$B$1:$AY$1,),)-VLOOKUP(EDATE(B66,-12),Data!$B:$AY,MATCH($V$1,Data!$B$1:$AY$1,),))/VLOOKUP(EDATE(B66,-12),Data!$B:$AY,MATCH($V$1,Data!$B$1:$AY$1,),)</f>
        <v>#DIV/0!</v>
      </c>
      <c r="W66" s="21">
        <f>(VLOOKUP(B66,Data!$B:$AY,MATCH($W$1,Data!$B$1:$AY$1,),)-VLOOKUP(EDATE(B66,-12),Data!$B:$AY,MATCH($W$1,Data!$B$1:$AY$1,),))/VLOOKUP(EDATE(B66,-12),Data!$B:$AY,MATCH($W$1,Data!$B$1:$AY$1,),)</f>
        <v>7.1404788725940541E-2</v>
      </c>
      <c r="X66" s="21">
        <f>(VLOOKUP(B66,Data!$B:$AY,MATCH($X$1,Data!$B$1:$AY$1,),)-VLOOKUP(EDATE(B66,-12),Data!$B:$AY,MATCH($X$1,Data!$B$1:$AY$1,),))/VLOOKUP(EDATE(B66,-12),Data!$B:$AY,MATCH($X$1,Data!$B$1:$AY$1,),)</f>
        <v>3.0030030030029744E-3</v>
      </c>
      <c r="Y66" s="21">
        <f>(VLOOKUP(B66,Data!$B:$AY,MATCH($Y$1,Data!$B$1:$AY$1,),)-VLOOKUP(EDATE(B66,-12),Data!$B:$AY,MATCH($Y$1,Data!$B$1:$AY$1,),))/VLOOKUP(EDATE(B66,-12),Data!$B:$AY,MATCH($Y$1,Data!$B$1:$AY$1,),)</f>
        <v>-6.4724854761680226E-3</v>
      </c>
      <c r="Z66" s="21" t="e">
        <f>(VLOOKUP(B66,Data!$B:$AY,MATCH($Z$1,Data!$B$1:$AY$1,),)-VLOOKUP(EDATE(B66,-12),Data!$B:$AY,MATCH($Z$1,Data!$B$1:$AY$1,),))/VLOOKUP(EDATE(B66,-12),Data!$B:$AY,MATCH($Z$1,Data!$B$1:$AY$1,),)</f>
        <v>#N/A</v>
      </c>
      <c r="AA66" s="21" t="e">
        <f>(VLOOKUP(B66,Data!$B:$AY,MATCH($AA$1,Data!$B$1:$AY$1,),)-VLOOKUP(EDATE(B66,-12),Data!$B:$AY,MATCH($AA$1,Data!$B$1:$AY$1,),))/VLOOKUP(EDATE(B66,-12),Data!$B:$AY,MATCH($AA$1,Data!$B$1:$AY$1,),)</f>
        <v>#N/A</v>
      </c>
      <c r="AB66" s="20"/>
    </row>
    <row r="67" spans="2:32" x14ac:dyDescent="0.2">
      <c r="B67" s="16">
        <v>42248</v>
      </c>
      <c r="C67" s="21">
        <f>(VLOOKUP(B67,Data!$B:$AY,MATCH($C$1,Data!$B$1:$AY$1,),)-VLOOKUP(EDATE(B67,-12),Data!$B:$AY,MATCH($C$1,Data!$B$1:$AY$1,),))/VLOOKUP(EDATE(B67,-12),Data!$B:$AY,MATCH($C$1,Data!$B$1:$AY$1,),)</f>
        <v>-3.6145370106694882E-4</v>
      </c>
      <c r="D67" s="21">
        <f>(VLOOKUP(B67,Data!$B:$AY,MATCH($D$1,Data!$B$1:$AY$1,),)-VLOOKUP(EDATE(B67,-12),Data!$B:$AY,MATCH($D$1,Data!$B$1:$AY$1,),))/VLOOKUP(EDATE(B67,-12),Data!$B:$AY,MATCH($D$1,Data!$B$1:$AY$1,),)</f>
        <v>1.6177957532861418E-2</v>
      </c>
      <c r="E67" s="21">
        <f>(VLOOKUP(B67,Data!$B:$AY,MATCH($E$1,Data!$B$1:$AY$1,),)-VLOOKUP(EDATE(B67,-12),Data!$B:$AY,MATCH($E$1,Data!$B$1:$AY$1,),))/VLOOKUP(EDATE(B67,-12),Data!$B:$AY,MATCH($E$1,Data!$B$1:$AY$1,),)</f>
        <v>1.9976028765480284E-3</v>
      </c>
      <c r="F67" s="21">
        <f>(VLOOKUP(B67,Data!$B:$AY,MATCH($F$1,Data!$B$1:$AY$1,),)-VLOOKUP(EDATE(B67,-12),Data!$B:$AY,MATCH($F$1,Data!$B$1:$AY$1,),))/VLOOKUP(EDATE(B67,-12),Data!$B:$AY,MATCH($F$1,Data!$B$1:$AY$1,),)</f>
        <v>0</v>
      </c>
      <c r="G67" s="21">
        <f>(VLOOKUP(B67,Data!$B:$AY,MATCH($G$1,Data!$B$1:$AY$1,),)-VLOOKUP(EDATE(B67,-12),Data!$B:$AY,MATCH($G$1,Data!$B$1:$AY$1,),))/VLOOKUP(EDATE(B67,-12),Data!$B:$AY,MATCH($G$1,Data!$B$1:$AY$1,),)</f>
        <v>5.952465030182188E-3</v>
      </c>
      <c r="H67" s="21">
        <f>(VLOOKUP(B67,Data!$B:$AY,MATCH($H$1,Data!$B$1:$AY$1,),)-VLOOKUP(EDATE(B67,-12),Data!$B:$AY,MATCH($H$1,Data!$B$1:$AY$1,),))/VLOOKUP(EDATE(B67,-12),Data!$B:$AY,MATCH($H$1,Data!$B$1:$AY$1,),)</f>
        <v>3.0024019215373434E-4</v>
      </c>
      <c r="I67" s="21">
        <f>(VLOOKUP(B67,Data!$B:$AY,MATCH($I$1,Data!$B$1:$AY$1,),)-VLOOKUP(EDATE(B67,-12),Data!$B:$AY,MATCH($I$1,Data!$B$1:$AY$1,),))/VLOOKUP(EDATE(B67,-12),Data!$B:$AY,MATCH($I$1,Data!$B$1:$AY$1,),)</f>
        <v>2.0000000000000282E-3</v>
      </c>
      <c r="J67" s="21">
        <f>(VLOOKUP(B67,Data!$B:$AY,MATCH($J$1,Data!$B$1:$AY$1,),)-VLOOKUP(EDATE(B67,-12),Data!$B:$AY,MATCH($J$1,Data!$B$1:$AY$1,),))/VLOOKUP(EDATE(B67,-12),Data!$B:$AY,MATCH($J$1,Data!$B$1:$AY$1,),)</f>
        <v>1.8638675391699272E-3</v>
      </c>
      <c r="K67" s="21">
        <f>(VLOOKUP(B67,Data!$B:$AY,MATCH($K$1,Data!$B$1:$AY$1,),)-VLOOKUP(EDATE(B67,-12),Data!$B:$AY,MATCH($K$1,Data!$B$1:$AY$1,),))/VLOOKUP(EDATE(B67,-12),Data!$B:$AY,MATCH($K$1,Data!$B$1:$AY$1,),)</f>
        <v>-8.7830666759590725E-3</v>
      </c>
      <c r="L67" s="21">
        <f>(VLOOKUP(B67,Data!$B:$AY,MATCH($L$1,Data!$B$1:$AY$1,),)-VLOOKUP(EDATE(B67,-12),Data!$B:$AY,MATCH($L$1,Data!$B$1:$AY$1,),))/VLOOKUP(EDATE(B67,-12),Data!$B:$AY,MATCH($L$1,Data!$B$1:$AY$1,),)</f>
        <v>6.6892370176393459E-4</v>
      </c>
      <c r="M67" s="21">
        <f>(VLOOKUP(B67,Data!$B:$AY,MATCH($M$1,Data!$B$1:$AY$1,),)-VLOOKUP(EDATE(B67,-12),Data!$B:$AY,MATCH($M$1,Data!$B$1:$AY$1,),))/VLOOKUP(EDATE(B67,-12),Data!$B:$AY,MATCH($M$1,Data!$B$1:$AY$1,),)</f>
        <v>2.5188554978300998E-2</v>
      </c>
      <c r="N67" s="21" t="e">
        <f>(VLOOKUP(B67,Data!$B:$AY,MATCH($N$1,Data!$B$1:$AY$1,),)-VLOOKUP(EDATE(B67,-12),Data!$B:$AY,MATCH($N$1,Data!$B$1:$AY$1,),))/VLOOKUP(EDATE(B67,-12),Data!$B:$AY,MATCH($N$1,Data!$B$1:$AY$1,),)</f>
        <v>#DIV/0!</v>
      </c>
      <c r="O67" s="21">
        <f>(VLOOKUP(B67,Data!$B:$AY,MATCH($O$1,Data!$B$1:$AY$1,),)-VLOOKUP(EDATE(B67,-12),Data!$B:$AY,MATCH($O$1,Data!$B$1:$AY$1,),))/VLOOKUP(EDATE(B67,-12),Data!$B:$AY,MATCH($O$1,Data!$B$1:$AY$1,),)</f>
        <v>5.1383772492683374E-2</v>
      </c>
      <c r="P67" s="21">
        <f>(VLOOKUP(B67,Data!$B:$AY,MATCH($P$1,Data!$B$1:$AY$1,),)-VLOOKUP(EDATE(B67,-12),Data!$B:$AY,MATCH($P$1,Data!$B$1:$AY$1,),))/VLOOKUP(EDATE(B67,-12),Data!$B:$AY,MATCH($P$1,Data!$B$1:$AY$1,),)</f>
        <v>1.0333997154362866E-2</v>
      </c>
      <c r="Q67" s="21" t="e">
        <f>(VLOOKUP(B67,Data!$B:$AY,MATCH($Q$1,Data!$B$1:$AY$1,),)-VLOOKUP(EDATE(B67,-12),Data!$B:$AY,MATCH($Q$1,Data!$B$1:$AY$1,),))/VLOOKUP(EDATE(B67,-12),Data!$B:$AY,MATCH($Q$1,Data!$B$1:$AY$1,),)</f>
        <v>#N/A</v>
      </c>
      <c r="R67" s="21">
        <f>(VLOOKUP(B67,Data!$B:$AY,MATCH($R$1,Data!$B$1:$AY$1,),)-VLOOKUP(EDATE(B67,-12),Data!$B:$AY,MATCH($R$1,Data!$B$1:$AY$1,),))/VLOOKUP(EDATE(B67,-12),Data!$B:$AY,MATCH($R$1,Data!$B$1:$AY$1,),)</f>
        <v>-1.4436505647585817E-2</v>
      </c>
      <c r="S67" s="21">
        <f>(VLOOKUP(B67,Data!$B:$AY,MATCH($S$1,Data!$B$1:$AY$1,),)-VLOOKUP(EDATE(B67,-12),Data!$B:$AY,MATCH($S$1,Data!$B$1:$AY$1,),))/VLOOKUP(EDATE(B67,-12),Data!$B:$AY,MATCH($S$1,Data!$B$1:$AY$1,),)</f>
        <v>5.039755842904137E-3</v>
      </c>
      <c r="T67" s="21">
        <f>(VLOOKUP(B67,Data!$B:$AY,MATCH($T$1,Data!$B$1:$AY$1,),)-VLOOKUP(EDATE(B67,-12),Data!$B:$AY,MATCH($T$1,Data!$B$1:$AY$1,),))/VLOOKUP(EDATE(B67,-12),Data!$B:$AY,MATCH($T$1,Data!$B$1:$AY$1,),)</f>
        <v>9.4927928906643352E-2</v>
      </c>
      <c r="U67" s="21">
        <f>(VLOOKUP(B67,Data!$B:$AY,MATCH($U$1,Data!$B$1:$AY$1,),)-VLOOKUP(EDATE(B67,-12),Data!$B:$AY,MATCH($U$1,Data!$B$1:$AY$1,),))/VLOOKUP(EDATE(B67,-12),Data!$B:$AY,MATCH($U$1,Data!$B$1:$AY$1,),)</f>
        <v>-1.7228846161341647E-2</v>
      </c>
      <c r="V67" s="21" t="e">
        <f>(VLOOKUP(B67,Data!$B:$AY,MATCH($V$1,Data!$B$1:$AY$1,),)-VLOOKUP(EDATE(B67,-12),Data!$B:$AY,MATCH($V$1,Data!$B$1:$AY$1,),))/VLOOKUP(EDATE(B67,-12),Data!$B:$AY,MATCH($V$1,Data!$B$1:$AY$1,),)</f>
        <v>#DIV/0!</v>
      </c>
      <c r="W67" s="21">
        <f>(VLOOKUP(B67,Data!$B:$AY,MATCH($W$1,Data!$B$1:$AY$1,),)-VLOOKUP(EDATE(B67,-12),Data!$B:$AY,MATCH($W$1,Data!$B$1:$AY$1,),))/VLOOKUP(EDATE(B67,-12),Data!$B:$AY,MATCH($W$1,Data!$B$1:$AY$1,),)</f>
        <v>7.9470191595294504E-2</v>
      </c>
      <c r="X67" s="21">
        <f>(VLOOKUP(B67,Data!$B:$AY,MATCH($X$1,Data!$B$1:$AY$1,),)-VLOOKUP(EDATE(B67,-12),Data!$B:$AY,MATCH($X$1,Data!$B$1:$AY$1,),))/VLOOKUP(EDATE(B67,-12),Data!$B:$AY,MATCH($X$1,Data!$B$1:$AY$1,),)</f>
        <v>4.0160642570281693E-3</v>
      </c>
      <c r="Y67" s="21">
        <f>(VLOOKUP(B67,Data!$B:$AY,MATCH($Y$1,Data!$B$1:$AY$1,),)-VLOOKUP(EDATE(B67,-12),Data!$B:$AY,MATCH($Y$1,Data!$B$1:$AY$1,),))/VLOOKUP(EDATE(B67,-12),Data!$B:$AY,MATCH($Y$1,Data!$B$1:$AY$1,),)</f>
        <v>-9.7087282142519632E-3</v>
      </c>
      <c r="Z67" s="21" t="e">
        <f>(VLOOKUP(B67,Data!$B:$AY,MATCH($Z$1,Data!$B$1:$AY$1,),)-VLOOKUP(EDATE(B67,-12),Data!$B:$AY,MATCH($Z$1,Data!$B$1:$AY$1,),))/VLOOKUP(EDATE(B67,-12),Data!$B:$AY,MATCH($Z$1,Data!$B$1:$AY$1,),)</f>
        <v>#N/A</v>
      </c>
      <c r="AA67" s="21" t="e">
        <f>(VLOOKUP(B67,Data!$B:$AY,MATCH($AA$1,Data!$B$1:$AY$1,),)-VLOOKUP(EDATE(B67,-12),Data!$B:$AY,MATCH($AA$1,Data!$B$1:$AY$1,),))/VLOOKUP(EDATE(B67,-12),Data!$B:$AY,MATCH($AA$1,Data!$B$1:$AY$1,),)</f>
        <v>#N/A</v>
      </c>
      <c r="AB67" s="20"/>
    </row>
    <row r="68" spans="2:32" x14ac:dyDescent="0.2">
      <c r="B68" s="16">
        <v>42278</v>
      </c>
      <c r="C68" s="21">
        <f>(VLOOKUP(B68,Data!$B:$AY,MATCH($C$1,Data!$B$1:$AY$1,),)-VLOOKUP(EDATE(B68,-12),Data!$B:$AY,MATCH($C$1,Data!$B$1:$AY$1,),))/VLOOKUP(EDATE(B68,-12),Data!$B:$AY,MATCH($C$1,Data!$B$1:$AY$1,),)</f>
        <v>1.7060059595410371E-3</v>
      </c>
      <c r="D68" s="21">
        <f>(VLOOKUP(B68,Data!$B:$AY,MATCH($D$1,Data!$B$1:$AY$1,),)-VLOOKUP(EDATE(B68,-12),Data!$B:$AY,MATCH($D$1,Data!$B$1:$AY$1,),))/VLOOKUP(EDATE(B68,-12),Data!$B:$AY,MATCH($D$1,Data!$B$1:$AY$1,),)</f>
        <v>1.2133468149645991E-2</v>
      </c>
      <c r="E68" s="21">
        <f>(VLOOKUP(B68,Data!$B:$AY,MATCH($E$1,Data!$B$1:$AY$1,),)-VLOOKUP(EDATE(B68,-12),Data!$B:$AY,MATCH($E$1,Data!$B$1:$AY$1,),))/VLOOKUP(EDATE(B68,-12),Data!$B:$AY,MATCH($E$1,Data!$B$1:$AY$1,),)</f>
        <v>3.8976614031581108E-3</v>
      </c>
      <c r="F68" s="21">
        <f>(VLOOKUP(B68,Data!$B:$AY,MATCH($F$1,Data!$B$1:$AY$1,),)-VLOOKUP(EDATE(B68,-12),Data!$B:$AY,MATCH($F$1,Data!$B$1:$AY$1,),))/VLOOKUP(EDATE(B68,-12),Data!$B:$AY,MATCH($F$1,Data!$B$1:$AY$1,),)</f>
        <v>2.0000000000000282E-3</v>
      </c>
      <c r="G68" s="21">
        <f>(VLOOKUP(B68,Data!$B:$AY,MATCH($G$1,Data!$B$1:$AY$1,),)-VLOOKUP(EDATE(B68,-12),Data!$B:$AY,MATCH($G$1,Data!$B$1:$AY$1,),))/VLOOKUP(EDATE(B68,-12),Data!$B:$AY,MATCH($G$1,Data!$B$1:$AY$1,),)</f>
        <v>8.7808610240658024E-3</v>
      </c>
      <c r="H68" s="21">
        <f>(VLOOKUP(B68,Data!$B:$AY,MATCH($H$1,Data!$B$1:$AY$1,),)-VLOOKUP(EDATE(B68,-12),Data!$B:$AY,MATCH($H$1,Data!$B$1:$AY$1,),))/VLOOKUP(EDATE(B68,-12),Data!$B:$AY,MATCH($H$1,Data!$B$1:$AY$1,),)</f>
        <v>6.0030015007506024E-4</v>
      </c>
      <c r="I68" s="21">
        <f>(VLOOKUP(B68,Data!$B:$AY,MATCH($I$1,Data!$B$1:$AY$1,),)-VLOOKUP(EDATE(B68,-12),Data!$B:$AY,MATCH($I$1,Data!$B$1:$AY$1,),))/VLOOKUP(EDATE(B68,-12),Data!$B:$AY,MATCH($I$1,Data!$B$1:$AY$1,),)</f>
        <v>1.9980019980020266E-3</v>
      </c>
      <c r="J68" s="21">
        <f>(VLOOKUP(B68,Data!$B:$AY,MATCH($J$1,Data!$B$1:$AY$1,),)-VLOOKUP(EDATE(B68,-12),Data!$B:$AY,MATCH($J$1,Data!$B$1:$AY$1,),))/VLOOKUP(EDATE(B68,-12),Data!$B:$AY,MATCH($J$1,Data!$B$1:$AY$1,),)</f>
        <v>2.7928982332264293E-3</v>
      </c>
      <c r="K68" s="21">
        <f>(VLOOKUP(B68,Data!$B:$AY,MATCH($K$1,Data!$B$1:$AY$1,),)-VLOOKUP(EDATE(B68,-12),Data!$B:$AY,MATCH($K$1,Data!$B$1:$AY$1,),))/VLOOKUP(EDATE(B68,-12),Data!$B:$AY,MATCH($K$1,Data!$B$1:$AY$1,),)</f>
        <v>-7.0717110746206201E-3</v>
      </c>
      <c r="L68" s="21">
        <f>(VLOOKUP(B68,Data!$B:$AY,MATCH($L$1,Data!$B$1:$AY$1,),)-VLOOKUP(EDATE(B68,-12),Data!$B:$AY,MATCH($L$1,Data!$B$1:$AY$1,),))/VLOOKUP(EDATE(B68,-12),Data!$B:$AY,MATCH($L$1,Data!$B$1:$AY$1,),)</f>
        <v>8.6014981774194647E-4</v>
      </c>
      <c r="M68" s="21">
        <f>(VLOOKUP(B68,Data!$B:$AY,MATCH($M$1,Data!$B$1:$AY$1,),)-VLOOKUP(EDATE(B68,-12),Data!$B:$AY,MATCH($M$1,Data!$B$1:$AY$1,),))/VLOOKUP(EDATE(B68,-12),Data!$B:$AY,MATCH($M$1,Data!$B$1:$AY$1,),)</f>
        <v>2.4797073239189081E-2</v>
      </c>
      <c r="N68" s="21" t="e">
        <f>(VLOOKUP(B68,Data!$B:$AY,MATCH($N$1,Data!$B$1:$AY$1,),)-VLOOKUP(EDATE(B68,-12),Data!$B:$AY,MATCH($N$1,Data!$B$1:$AY$1,),))/VLOOKUP(EDATE(B68,-12),Data!$B:$AY,MATCH($N$1,Data!$B$1:$AY$1,),)</f>
        <v>#DIV/0!</v>
      </c>
      <c r="O68" s="21">
        <f>(VLOOKUP(B68,Data!$B:$AY,MATCH($O$1,Data!$B$1:$AY$1,),)-VLOOKUP(EDATE(B68,-12),Data!$B:$AY,MATCH($O$1,Data!$B$1:$AY$1,),))/VLOOKUP(EDATE(B68,-12),Data!$B:$AY,MATCH($O$1,Data!$B$1:$AY$1,),)</f>
        <v>6.3241550248418085E-2</v>
      </c>
      <c r="P68" s="21">
        <f>(VLOOKUP(B68,Data!$B:$AY,MATCH($P$1,Data!$B$1:$AY$1,),)-VLOOKUP(EDATE(B68,-12),Data!$B:$AY,MATCH($P$1,Data!$B$1:$AY$1,),))/VLOOKUP(EDATE(B68,-12),Data!$B:$AY,MATCH($P$1,Data!$B$1:$AY$1,),)</f>
        <v>1.0325688499030943E-2</v>
      </c>
      <c r="Q68" s="21" t="e">
        <f>(VLOOKUP(B68,Data!$B:$AY,MATCH($Q$1,Data!$B$1:$AY$1,),)-VLOOKUP(EDATE(B68,-12),Data!$B:$AY,MATCH($Q$1,Data!$B$1:$AY$1,),))/VLOOKUP(EDATE(B68,-12),Data!$B:$AY,MATCH($Q$1,Data!$B$1:$AY$1,),)</f>
        <v>#N/A</v>
      </c>
      <c r="R68" s="21">
        <f>(VLOOKUP(B68,Data!$B:$AY,MATCH($R$1,Data!$B$1:$AY$1,),)-VLOOKUP(EDATE(B68,-12),Data!$B:$AY,MATCH($R$1,Data!$B$1:$AY$1,),))/VLOOKUP(EDATE(B68,-12),Data!$B:$AY,MATCH($R$1,Data!$B$1:$AY$1,),)</f>
        <v>-1.359830115067415E-2</v>
      </c>
      <c r="S68" s="21">
        <f>(VLOOKUP(B68,Data!$B:$AY,MATCH($S$1,Data!$B$1:$AY$1,),)-VLOOKUP(EDATE(B68,-12),Data!$B:$AY,MATCH($S$1,Data!$B$1:$AY$1,),))/VLOOKUP(EDATE(B68,-12),Data!$B:$AY,MATCH($S$1,Data!$B$1:$AY$1,),)</f>
        <v>8.0758851250653761E-3</v>
      </c>
      <c r="T68" s="21">
        <f>(VLOOKUP(B68,Data!$B:$AY,MATCH($T$1,Data!$B$1:$AY$1,),)-VLOOKUP(EDATE(B68,-12),Data!$B:$AY,MATCH($T$1,Data!$B$1:$AY$1,),))/VLOOKUP(EDATE(B68,-12),Data!$B:$AY,MATCH($T$1,Data!$B$1:$AY$1,),)</f>
        <v>9.9288991656886941E-2</v>
      </c>
      <c r="U68" s="21">
        <f>(VLOOKUP(B68,Data!$B:$AY,MATCH($U$1,Data!$B$1:$AY$1,),)-VLOOKUP(EDATE(B68,-12),Data!$B:$AY,MATCH($U$1,Data!$B$1:$AY$1,),))/VLOOKUP(EDATE(B68,-12),Data!$B:$AY,MATCH($U$1,Data!$B$1:$AY$1,),)</f>
        <v>-9.171352651588846E-3</v>
      </c>
      <c r="V68" s="21" t="e">
        <f>(VLOOKUP(B68,Data!$B:$AY,MATCH($V$1,Data!$B$1:$AY$1,),)-VLOOKUP(EDATE(B68,-12),Data!$B:$AY,MATCH($V$1,Data!$B$1:$AY$1,),))/VLOOKUP(EDATE(B68,-12),Data!$B:$AY,MATCH($V$1,Data!$B$1:$AY$1,),)</f>
        <v>#DIV/0!</v>
      </c>
      <c r="W68" s="21">
        <f>(VLOOKUP(B68,Data!$B:$AY,MATCH($W$1,Data!$B$1:$AY$1,),)-VLOOKUP(EDATE(B68,-12),Data!$B:$AY,MATCH($W$1,Data!$B$1:$AY$1,),))/VLOOKUP(EDATE(B68,-12),Data!$B:$AY,MATCH($W$1,Data!$B$1:$AY$1,),)</f>
        <v>7.5814109108703134E-2</v>
      </c>
      <c r="X68" s="21">
        <f>(VLOOKUP(B68,Data!$B:$AY,MATCH($X$1,Data!$B$1:$AY$1,),)-VLOOKUP(EDATE(B68,-12),Data!$B:$AY,MATCH($X$1,Data!$B$1:$AY$1,),))/VLOOKUP(EDATE(B68,-12),Data!$B:$AY,MATCH($X$1,Data!$B$1:$AY$1,),)</f>
        <v>2.0040080160320926E-3</v>
      </c>
      <c r="Y68" s="21">
        <f>(VLOOKUP(B68,Data!$B:$AY,MATCH($Y$1,Data!$B$1:$AY$1,),)-VLOOKUP(EDATE(B68,-12),Data!$B:$AY,MATCH($Y$1,Data!$B$1:$AY$1,),))/VLOOKUP(EDATE(B68,-12),Data!$B:$AY,MATCH($Y$1,Data!$B$1:$AY$1,),)</f>
        <v>-8.8996675297309431E-3</v>
      </c>
      <c r="Z68" s="21" t="e">
        <f>(VLOOKUP(B68,Data!$B:$AY,MATCH($Z$1,Data!$B$1:$AY$1,),)-VLOOKUP(EDATE(B68,-12),Data!$B:$AY,MATCH($Z$1,Data!$B$1:$AY$1,),))/VLOOKUP(EDATE(B68,-12),Data!$B:$AY,MATCH($Z$1,Data!$B$1:$AY$1,),)</f>
        <v>#N/A</v>
      </c>
      <c r="AA68" s="21" t="e">
        <f>(VLOOKUP(B68,Data!$B:$AY,MATCH($AA$1,Data!$B$1:$AY$1,),)-VLOOKUP(EDATE(B68,-12),Data!$B:$AY,MATCH($AA$1,Data!$B$1:$AY$1,),))/VLOOKUP(EDATE(B68,-12),Data!$B:$AY,MATCH($AA$1,Data!$B$1:$AY$1,),)</f>
        <v>#N/A</v>
      </c>
      <c r="AB68" s="20"/>
    </row>
    <row r="69" spans="2:32" x14ac:dyDescent="0.2">
      <c r="B69" s="16">
        <v>42309</v>
      </c>
      <c r="C69" s="21">
        <f>(VLOOKUP(B69,Data!$B:$AY,MATCH($C$1,Data!$B$1:$AY$1,),)-VLOOKUP(EDATE(B69,-12),Data!$B:$AY,MATCH($C$1,Data!$B$1:$AY$1,),))/VLOOKUP(EDATE(B69,-12),Data!$B:$AY,MATCH($C$1,Data!$B$1:$AY$1,),)</f>
        <v>5.018034392259044E-3</v>
      </c>
      <c r="D69" s="21">
        <f>(VLOOKUP(B69,Data!$B:$AY,MATCH($D$1,Data!$B$1:$AY$1,),)-VLOOKUP(EDATE(B69,-12),Data!$B:$AY,MATCH($D$1,Data!$B$1:$AY$1,),))/VLOOKUP(EDATE(B69,-12),Data!$B:$AY,MATCH($D$1,Data!$B$1:$AY$1,),)</f>
        <v>1.5212981744421908E-2</v>
      </c>
      <c r="E69" s="21">
        <f>(VLOOKUP(B69,Data!$B:$AY,MATCH($E$1,Data!$B$1:$AY$1,),)-VLOOKUP(EDATE(B69,-12),Data!$B:$AY,MATCH($E$1,Data!$B$1:$AY$1,),))/VLOOKUP(EDATE(B69,-12),Data!$B:$AY,MATCH($E$1,Data!$B$1:$AY$1,),)</f>
        <v>1.3015618742491957E-3</v>
      </c>
      <c r="F69" s="21">
        <f>(VLOOKUP(B69,Data!$B:$AY,MATCH($F$1,Data!$B$1:$AY$1,),)-VLOOKUP(EDATE(B69,-12),Data!$B:$AY,MATCH($F$1,Data!$B$1:$AY$1,),))/VLOOKUP(EDATE(B69,-12),Data!$B:$AY,MATCH($F$1,Data!$B$1:$AY$1,),)</f>
        <v>3.0120481927711986E-3</v>
      </c>
      <c r="G69" s="21">
        <f>(VLOOKUP(B69,Data!$B:$AY,MATCH($G$1,Data!$B$1:$AY$1,),)-VLOOKUP(EDATE(B69,-12),Data!$B:$AY,MATCH($G$1,Data!$B$1:$AY$1,),))/VLOOKUP(EDATE(B69,-12),Data!$B:$AY,MATCH($G$1,Data!$B$1:$AY$1,),)</f>
        <v>1.7478943443628465E-3</v>
      </c>
      <c r="H69" s="21">
        <f>(VLOOKUP(B69,Data!$B:$AY,MATCH($H$1,Data!$B$1:$AY$1,),)-VLOOKUP(EDATE(B69,-12),Data!$B:$AY,MATCH($H$1,Data!$B$1:$AY$1,),))/VLOOKUP(EDATE(B69,-12),Data!$B:$AY,MATCH($H$1,Data!$B$1:$AY$1,),)</f>
        <v>4.0088194026851112E-4</v>
      </c>
      <c r="I69" s="21">
        <f>(VLOOKUP(B69,Data!$B:$AY,MATCH($I$1,Data!$B$1:$AY$1,),)-VLOOKUP(EDATE(B69,-12),Data!$B:$AY,MATCH($I$1,Data!$B$1:$AY$1,),))/VLOOKUP(EDATE(B69,-12),Data!$B:$AY,MATCH($I$1,Data!$B$1:$AY$1,),)</f>
        <v>4.0040040040039181E-3</v>
      </c>
      <c r="J69" s="21">
        <f>(VLOOKUP(B69,Data!$B:$AY,MATCH($J$1,Data!$B$1:$AY$1,),)-VLOOKUP(EDATE(B69,-12),Data!$B:$AY,MATCH($J$1,Data!$B$1:$AY$1,),))/VLOOKUP(EDATE(B69,-12),Data!$B:$AY,MATCH($J$1,Data!$B$1:$AY$1,),)</f>
        <v>9.3290345366814006E-4</v>
      </c>
      <c r="K69" s="21">
        <f>(VLOOKUP(B69,Data!$B:$AY,MATCH($K$1,Data!$B$1:$AY$1,),)-VLOOKUP(EDATE(B69,-12),Data!$B:$AY,MATCH($K$1,Data!$B$1:$AY$1,),))/VLOOKUP(EDATE(B69,-12),Data!$B:$AY,MATCH($K$1,Data!$B$1:$AY$1,),)</f>
        <v>-2.740997548572475E-3</v>
      </c>
      <c r="L69" s="21">
        <f>(VLOOKUP(B69,Data!$B:$AY,MATCH($L$1,Data!$B$1:$AY$1,),)-VLOOKUP(EDATE(B69,-12),Data!$B:$AY,MATCH($L$1,Data!$B$1:$AY$1,),))/VLOOKUP(EDATE(B69,-12),Data!$B:$AY,MATCH($L$1,Data!$B$1:$AY$1,),)</f>
        <v>6.0558577932702019E-4</v>
      </c>
      <c r="M69" s="21">
        <f>(VLOOKUP(B69,Data!$B:$AY,MATCH($M$1,Data!$B$1:$AY$1,),)-VLOOKUP(EDATE(B69,-12),Data!$B:$AY,MATCH($M$1,Data!$B$1:$AY$1,),))/VLOOKUP(EDATE(B69,-12),Data!$B:$AY,MATCH($M$1,Data!$B$1:$AY$1,),)</f>
        <v>2.2148584995011853E-2</v>
      </c>
      <c r="N69" s="21" t="e">
        <f>(VLOOKUP(B69,Data!$B:$AY,MATCH($N$1,Data!$B$1:$AY$1,),)-VLOOKUP(EDATE(B69,-12),Data!$B:$AY,MATCH($N$1,Data!$B$1:$AY$1,),))/VLOOKUP(EDATE(B69,-12),Data!$B:$AY,MATCH($N$1,Data!$B$1:$AY$1,),)</f>
        <v>#DIV/0!</v>
      </c>
      <c r="O69" s="21">
        <f>(VLOOKUP(B69,Data!$B:$AY,MATCH($O$1,Data!$B$1:$AY$1,),)-VLOOKUP(EDATE(B69,-12),Data!$B:$AY,MATCH($O$1,Data!$B$1:$AY$1,),))/VLOOKUP(EDATE(B69,-12),Data!$B:$AY,MATCH($O$1,Data!$B$1:$AY$1,),)</f>
        <v>6.7193798411165226E-2</v>
      </c>
      <c r="P69" s="21">
        <f>(VLOOKUP(B69,Data!$B:$AY,MATCH($P$1,Data!$B$1:$AY$1,),)-VLOOKUP(EDATE(B69,-12),Data!$B:$AY,MATCH($P$1,Data!$B$1:$AY$1,),))/VLOOKUP(EDATE(B69,-12),Data!$B:$AY,MATCH($P$1,Data!$B$1:$AY$1,),)</f>
        <v>1.355676353491215E-2</v>
      </c>
      <c r="Q69" s="21" t="e">
        <f>(VLOOKUP(B69,Data!$B:$AY,MATCH($Q$1,Data!$B$1:$AY$1,),)-VLOOKUP(EDATE(B69,-12),Data!$B:$AY,MATCH($Q$1,Data!$B$1:$AY$1,),))/VLOOKUP(EDATE(B69,-12),Data!$B:$AY,MATCH($Q$1,Data!$B$1:$AY$1,),)</f>
        <v>#N/A</v>
      </c>
      <c r="R69" s="21">
        <f>(VLOOKUP(B69,Data!$B:$AY,MATCH($R$1,Data!$B$1:$AY$1,),)-VLOOKUP(EDATE(B69,-12),Data!$B:$AY,MATCH($R$1,Data!$B$1:$AY$1,),))/VLOOKUP(EDATE(B69,-12),Data!$B:$AY,MATCH($R$1,Data!$B$1:$AY$1,),)</f>
        <v>-1.3925316385654628E-2</v>
      </c>
      <c r="S69" s="21">
        <f>(VLOOKUP(B69,Data!$B:$AY,MATCH($S$1,Data!$B$1:$AY$1,),)-VLOOKUP(EDATE(B69,-12),Data!$B:$AY,MATCH($S$1,Data!$B$1:$AY$1,),))/VLOOKUP(EDATE(B69,-12),Data!$B:$AY,MATCH($S$1,Data!$B$1:$AY$1,),)</f>
        <v>8.1930822940630178E-3</v>
      </c>
      <c r="T69" s="21">
        <f>(VLOOKUP(B69,Data!$B:$AY,MATCH($T$1,Data!$B$1:$AY$1,),)-VLOOKUP(EDATE(B69,-12),Data!$B:$AY,MATCH($T$1,Data!$B$1:$AY$1,),))/VLOOKUP(EDATE(B69,-12),Data!$B:$AY,MATCH($T$1,Data!$B$1:$AY$1,),)</f>
        <v>0.10475719710222149</v>
      </c>
      <c r="U69" s="21">
        <f>(VLOOKUP(B69,Data!$B:$AY,MATCH($U$1,Data!$B$1:$AY$1,),)-VLOOKUP(EDATE(B69,-12),Data!$B:$AY,MATCH($U$1,Data!$B$1:$AY$1,),))/VLOOKUP(EDATE(B69,-12),Data!$B:$AY,MATCH($U$1,Data!$B$1:$AY$1,),)</f>
        <v>-7.4171171725634791E-3</v>
      </c>
      <c r="V69" s="21" t="e">
        <f>(VLOOKUP(B69,Data!$B:$AY,MATCH($V$1,Data!$B$1:$AY$1,),)-VLOOKUP(EDATE(B69,-12),Data!$B:$AY,MATCH($V$1,Data!$B$1:$AY$1,),))/VLOOKUP(EDATE(B69,-12),Data!$B:$AY,MATCH($V$1,Data!$B$1:$AY$1,),)</f>
        <v>#DIV/0!</v>
      </c>
      <c r="W69" s="21">
        <f>(VLOOKUP(B69,Data!$B:$AY,MATCH($W$1,Data!$B$1:$AY$1,),)-VLOOKUP(EDATE(B69,-12),Data!$B:$AY,MATCH($W$1,Data!$B$1:$AY$1,),))/VLOOKUP(EDATE(B69,-12),Data!$B:$AY,MATCH($W$1,Data!$B$1:$AY$1,),)</f>
        <v>8.1022433224178528E-2</v>
      </c>
      <c r="X69" s="21">
        <f>(VLOOKUP(B69,Data!$B:$AY,MATCH($X$1,Data!$B$1:$AY$1,),)-VLOOKUP(EDATE(B69,-12),Data!$B:$AY,MATCH($X$1,Data!$B$1:$AY$1,),))/VLOOKUP(EDATE(B69,-12),Data!$B:$AY,MATCH($X$1,Data!$B$1:$AY$1,),)</f>
        <v>1.0050251256280836E-3</v>
      </c>
      <c r="Y69" s="21">
        <f>(VLOOKUP(B69,Data!$B:$AY,MATCH($Y$1,Data!$B$1:$AY$1,),)-VLOOKUP(EDATE(B69,-12),Data!$B:$AY,MATCH($Y$1,Data!$B$1:$AY$1,),))/VLOOKUP(EDATE(B69,-12),Data!$B:$AY,MATCH($Y$1,Data!$B$1:$AY$1,),)</f>
        <v>-8.1037196471396861E-3</v>
      </c>
      <c r="Z69" s="21" t="e">
        <f>(VLOOKUP(B69,Data!$B:$AY,MATCH($Z$1,Data!$B$1:$AY$1,),)-VLOOKUP(EDATE(B69,-12),Data!$B:$AY,MATCH($Z$1,Data!$B$1:$AY$1,),))/VLOOKUP(EDATE(B69,-12),Data!$B:$AY,MATCH($Z$1,Data!$B$1:$AY$1,),)</f>
        <v>#N/A</v>
      </c>
      <c r="AA69" s="21" t="e">
        <f>(VLOOKUP(B69,Data!$B:$AY,MATCH($AA$1,Data!$B$1:$AY$1,),)-VLOOKUP(EDATE(B69,-12),Data!$B:$AY,MATCH($AA$1,Data!$B$1:$AY$1,),))/VLOOKUP(EDATE(B69,-12),Data!$B:$AY,MATCH($AA$1,Data!$B$1:$AY$1,),)</f>
        <v>#N/A</v>
      </c>
      <c r="AB69" s="20"/>
    </row>
    <row r="70" spans="2:32" x14ac:dyDescent="0.2">
      <c r="B70" s="16">
        <v>42339</v>
      </c>
      <c r="C70" s="21">
        <f>(VLOOKUP(B70,Data!$B:$AY,MATCH($C$1,Data!$B$1:$AY$1,),)-VLOOKUP(EDATE(B70,-12),Data!$B:$AY,MATCH($C$1,Data!$B$1:$AY$1,),))/VLOOKUP(EDATE(B70,-12),Data!$B:$AY,MATCH($C$1,Data!$B$1:$AY$1,),)</f>
        <v>7.295167674391762E-3</v>
      </c>
      <c r="D70" s="21">
        <f>(VLOOKUP(B70,Data!$B:$AY,MATCH($D$1,Data!$B$1:$AY$1,),)-VLOOKUP(EDATE(B70,-12),Data!$B:$AY,MATCH($D$1,Data!$B$1:$AY$1,),))/VLOOKUP(EDATE(B70,-12),Data!$B:$AY,MATCH($D$1,Data!$B$1:$AY$1,),)</f>
        <v>1.6161616161616103E-2</v>
      </c>
      <c r="E70" s="21">
        <f>(VLOOKUP(B70,Data!$B:$AY,MATCH($E$1,Data!$B$1:$AY$1,),)-VLOOKUP(EDATE(B70,-12),Data!$B:$AY,MATCH($E$1,Data!$B$1:$AY$1,),))/VLOOKUP(EDATE(B70,-12),Data!$B:$AY,MATCH($E$1,Data!$B$1:$AY$1,),)</f>
        <v>2.5055121266786932E-3</v>
      </c>
      <c r="F70" s="21">
        <f>(VLOOKUP(B70,Data!$B:$AY,MATCH($F$1,Data!$B$1:$AY$1,),)-VLOOKUP(EDATE(B70,-12),Data!$B:$AY,MATCH($F$1,Data!$B$1:$AY$1,),))/VLOOKUP(EDATE(B70,-12),Data!$B:$AY,MATCH($F$1,Data!$B$1:$AY$1,),)</f>
        <v>1.0030090270811867E-3</v>
      </c>
      <c r="G70" s="21">
        <f>(VLOOKUP(B70,Data!$B:$AY,MATCH($G$1,Data!$B$1:$AY$1,),)-VLOOKUP(EDATE(B70,-12),Data!$B:$AY,MATCH($G$1,Data!$B$1:$AY$1,),))/VLOOKUP(EDATE(B70,-12),Data!$B:$AY,MATCH($G$1,Data!$B$1:$AY$1,),)</f>
        <v>1.7478943443628465E-3</v>
      </c>
      <c r="H70" s="21">
        <f>(VLOOKUP(B70,Data!$B:$AY,MATCH($H$1,Data!$B$1:$AY$1,),)-VLOOKUP(EDATE(B70,-12),Data!$B:$AY,MATCH($H$1,Data!$B$1:$AY$1,),))/VLOOKUP(EDATE(B70,-12),Data!$B:$AY,MATCH($H$1,Data!$B$1:$AY$1,),)</f>
        <v>1.8025235329461929E-3</v>
      </c>
      <c r="I70" s="21">
        <f>(VLOOKUP(B70,Data!$B:$AY,MATCH($I$1,Data!$B$1:$AY$1,),)-VLOOKUP(EDATE(B70,-12),Data!$B:$AY,MATCH($I$1,Data!$B$1:$AY$1,),))/VLOOKUP(EDATE(B70,-12),Data!$B:$AY,MATCH($I$1,Data!$B$1:$AY$1,),)</f>
        <v>5.005005005005005E-3</v>
      </c>
      <c r="J70" s="21">
        <f>(VLOOKUP(B70,Data!$B:$AY,MATCH($J$1,Data!$B$1:$AY$1,),)-VLOOKUP(EDATE(B70,-12),Data!$B:$AY,MATCH($J$1,Data!$B$1:$AY$1,),))/VLOOKUP(EDATE(B70,-12),Data!$B:$AY,MATCH($J$1,Data!$B$1:$AY$1,),)</f>
        <v>9.3290345366814006E-4</v>
      </c>
      <c r="K70" s="21">
        <f>(VLOOKUP(B70,Data!$B:$AY,MATCH($K$1,Data!$B$1:$AY$1,),)-VLOOKUP(EDATE(B70,-12),Data!$B:$AY,MATCH($K$1,Data!$B$1:$AY$1,),))/VLOOKUP(EDATE(B70,-12),Data!$B:$AY,MATCH($K$1,Data!$B$1:$AY$1,),)</f>
        <v>1.6957369173892741E-4</v>
      </c>
      <c r="L70" s="21">
        <f>(VLOOKUP(B70,Data!$B:$AY,MATCH($L$1,Data!$B$1:$AY$1,),)-VLOOKUP(EDATE(B70,-12),Data!$B:$AY,MATCH($L$1,Data!$B$1:$AY$1,),))/VLOOKUP(EDATE(B70,-12),Data!$B:$AY,MATCH($L$1,Data!$B$1:$AY$1,),)</f>
        <v>5.0985435725929085E-4</v>
      </c>
      <c r="M70" s="21">
        <f>(VLOOKUP(B70,Data!$B:$AY,MATCH($M$1,Data!$B$1:$AY$1,),)-VLOOKUP(EDATE(B70,-12),Data!$B:$AY,MATCH($M$1,Data!$B$1:$AY$1,),))/VLOOKUP(EDATE(B70,-12),Data!$B:$AY,MATCH($M$1,Data!$B$1:$AY$1,),)</f>
        <v>2.1307778395726781E-2</v>
      </c>
      <c r="N70" s="21" t="e">
        <f>(VLOOKUP(B70,Data!$B:$AY,MATCH($N$1,Data!$B$1:$AY$1,),)-VLOOKUP(EDATE(B70,-12),Data!$B:$AY,MATCH($N$1,Data!$B$1:$AY$1,),))/VLOOKUP(EDATE(B70,-12),Data!$B:$AY,MATCH($N$1,Data!$B$1:$AY$1,),)</f>
        <v>#DIV/0!</v>
      </c>
      <c r="O70" s="21">
        <f>(VLOOKUP(B70,Data!$B:$AY,MATCH($O$1,Data!$B$1:$AY$1,),)-VLOOKUP(EDATE(B70,-12),Data!$B:$AY,MATCH($O$1,Data!$B$1:$AY$1,),))/VLOOKUP(EDATE(B70,-12),Data!$B:$AY,MATCH($O$1,Data!$B$1:$AY$1,),)</f>
        <v>6.3241550248418085E-2</v>
      </c>
      <c r="P70" s="21">
        <f>(VLOOKUP(B70,Data!$B:$AY,MATCH($P$1,Data!$B$1:$AY$1,),)-VLOOKUP(EDATE(B70,-12),Data!$B:$AY,MATCH($P$1,Data!$B$1:$AY$1,),))/VLOOKUP(EDATE(B70,-12),Data!$B:$AY,MATCH($P$1,Data!$B$1:$AY$1,),)</f>
        <v>1.6064309287055448E-2</v>
      </c>
      <c r="Q70" s="21" t="e">
        <f>(VLOOKUP(B70,Data!$B:$AY,MATCH($Q$1,Data!$B$1:$AY$1,),)-VLOOKUP(EDATE(B70,-12),Data!$B:$AY,MATCH($Q$1,Data!$B$1:$AY$1,),))/VLOOKUP(EDATE(B70,-12),Data!$B:$AY,MATCH($Q$1,Data!$B$1:$AY$1,),)</f>
        <v>#N/A</v>
      </c>
      <c r="R70" s="21">
        <f>(VLOOKUP(B70,Data!$B:$AY,MATCH($R$1,Data!$B$1:$AY$1,),)-VLOOKUP(EDATE(B70,-12),Data!$B:$AY,MATCH($R$1,Data!$B$1:$AY$1,),))/VLOOKUP(EDATE(B70,-12),Data!$B:$AY,MATCH($R$1,Data!$B$1:$AY$1,),)</f>
        <v>-1.3083716801153547E-2</v>
      </c>
      <c r="S70" s="21">
        <f>(VLOOKUP(B70,Data!$B:$AY,MATCH($S$1,Data!$B$1:$AY$1,),)-VLOOKUP(EDATE(B70,-12),Data!$B:$AY,MATCH($S$1,Data!$B$1:$AY$1,),))/VLOOKUP(EDATE(B70,-12),Data!$B:$AY,MATCH($S$1,Data!$B$1:$AY$1,),)</f>
        <v>1.1322125572665442E-2</v>
      </c>
      <c r="T70" s="21">
        <f>(VLOOKUP(B70,Data!$B:$AY,MATCH($T$1,Data!$B$1:$AY$1,),)-VLOOKUP(EDATE(B70,-12),Data!$B:$AY,MATCH($T$1,Data!$B$1:$AY$1,),))/VLOOKUP(EDATE(B70,-12),Data!$B:$AY,MATCH($T$1,Data!$B$1:$AY$1,),)</f>
        <v>0.10673030292478221</v>
      </c>
      <c r="U70" s="21">
        <f>(VLOOKUP(B70,Data!$B:$AY,MATCH($U$1,Data!$B$1:$AY$1,),)-VLOOKUP(EDATE(B70,-12),Data!$B:$AY,MATCH($U$1,Data!$B$1:$AY$1,),))/VLOOKUP(EDATE(B70,-12),Data!$B:$AY,MATCH($U$1,Data!$B$1:$AY$1,),)</f>
        <v>-1.6737436698475749E-3</v>
      </c>
      <c r="V70" s="21" t="e">
        <f>(VLOOKUP(B70,Data!$B:$AY,MATCH($V$1,Data!$B$1:$AY$1,),)-VLOOKUP(EDATE(B70,-12),Data!$B:$AY,MATCH($V$1,Data!$B$1:$AY$1,),))/VLOOKUP(EDATE(B70,-12),Data!$B:$AY,MATCH($V$1,Data!$B$1:$AY$1,),)</f>
        <v>#DIV/0!</v>
      </c>
      <c r="W70" s="21">
        <f>(VLOOKUP(B70,Data!$B:$AY,MATCH($W$1,Data!$B$1:$AY$1,),)-VLOOKUP(EDATE(B70,-12),Data!$B:$AY,MATCH($W$1,Data!$B$1:$AY$1,),))/VLOOKUP(EDATE(B70,-12),Data!$B:$AY,MATCH($W$1,Data!$B$1:$AY$1,),)</f>
        <v>8.8083348489943966E-2</v>
      </c>
      <c r="X70" s="21">
        <f>(VLOOKUP(B70,Data!$B:$AY,MATCH($X$1,Data!$B$1:$AY$1,),)-VLOOKUP(EDATE(B70,-12),Data!$B:$AY,MATCH($X$1,Data!$B$1:$AY$1,),))/VLOOKUP(EDATE(B70,-12),Data!$B:$AY,MATCH($X$1,Data!$B$1:$AY$1,),)</f>
        <v>0</v>
      </c>
      <c r="Y70" s="21">
        <f>(VLOOKUP(B70,Data!$B:$AY,MATCH($Y$1,Data!$B$1:$AY$1,),)-VLOOKUP(EDATE(B70,-12),Data!$B:$AY,MATCH($Y$1,Data!$B$1:$AY$1,),))/VLOOKUP(EDATE(B70,-12),Data!$B:$AY,MATCH($Y$1,Data!$B$1:$AY$1,),)</f>
        <v>-6.5040585445171736E-3</v>
      </c>
      <c r="Z70" s="21" t="e">
        <f>(VLOOKUP(B70,Data!$B:$AY,MATCH($Z$1,Data!$B$1:$AY$1,),)-VLOOKUP(EDATE(B70,-12),Data!$B:$AY,MATCH($Z$1,Data!$B$1:$AY$1,),))/VLOOKUP(EDATE(B70,-12),Data!$B:$AY,MATCH($Z$1,Data!$B$1:$AY$1,),)</f>
        <v>#N/A</v>
      </c>
      <c r="AA70" s="21" t="e">
        <f>(VLOOKUP(B70,Data!$B:$AY,MATCH($AA$1,Data!$B$1:$AY$1,),)-VLOOKUP(EDATE(B70,-12),Data!$B:$AY,MATCH($AA$1,Data!$B$1:$AY$1,),))/VLOOKUP(EDATE(B70,-12),Data!$B:$AY,MATCH($AA$1,Data!$B$1:$AY$1,),)</f>
        <v>#N/A</v>
      </c>
      <c r="AB70" s="20"/>
    </row>
    <row r="71" spans="2:32" x14ac:dyDescent="0.2">
      <c r="B71" s="16">
        <v>42370</v>
      </c>
      <c r="C71" s="21">
        <f>(VLOOKUP(B71,Data!$B:$AY,MATCH($C$1,Data!$B$1:$AY$1,),)-VLOOKUP(EDATE(B71,-12),Data!$B:$AY,MATCH($C$1,Data!$B$1:$AY$1,),))/VLOOKUP(EDATE(B71,-12),Data!$B:$AY,MATCH($C$1,Data!$B$1:$AY$1,),)</f>
        <v>1.3730854124012652E-2</v>
      </c>
      <c r="D71" s="21">
        <f>(VLOOKUP(B71,Data!$B:$AY,MATCH($D$1,Data!$B$1:$AY$1,),)-VLOOKUP(EDATE(B71,-12),Data!$B:$AY,MATCH($D$1,Data!$B$1:$AY$1,),))/VLOOKUP(EDATE(B71,-12),Data!$B:$AY,MATCH($D$1,Data!$B$1:$AY$1,),)</f>
        <v>1.8126888217522629E-2</v>
      </c>
      <c r="E71" s="21">
        <f>(VLOOKUP(B71,Data!$B:$AY,MATCH($E$1,Data!$B$1:$AY$1,),)-VLOOKUP(EDATE(B71,-12),Data!$B:$AY,MATCH($E$1,Data!$B$1:$AY$1,),))/VLOOKUP(EDATE(B71,-12),Data!$B:$AY,MATCH($E$1,Data!$B$1:$AY$1,),)</f>
        <v>3.2573289902280886E-3</v>
      </c>
      <c r="F71" s="21">
        <f>(VLOOKUP(B71,Data!$B:$AY,MATCH($F$1,Data!$B$1:$AY$1,),)-VLOOKUP(EDATE(B71,-12),Data!$B:$AY,MATCH($F$1,Data!$B$1:$AY$1,),))/VLOOKUP(EDATE(B71,-12),Data!$B:$AY,MATCH($F$1,Data!$B$1:$AY$1,),)</f>
        <v>-1.004016064256971E-3</v>
      </c>
      <c r="G71" s="21">
        <f>(VLOOKUP(B71,Data!$B:$AY,MATCH($G$1,Data!$B$1:$AY$1,),)-VLOOKUP(EDATE(B71,-12),Data!$B:$AY,MATCH($G$1,Data!$B$1:$AY$1,),))/VLOOKUP(EDATE(B71,-12),Data!$B:$AY,MATCH($G$1,Data!$B$1:$AY$1,),)</f>
        <v>5.0761081249196529E-3</v>
      </c>
      <c r="H71" s="21">
        <f>(VLOOKUP(B71,Data!$B:$AY,MATCH($H$1,Data!$B$1:$AY$1,),)-VLOOKUP(EDATE(B71,-12),Data!$B:$AY,MATCH($H$1,Data!$B$1:$AY$1,),))/VLOOKUP(EDATE(B71,-12),Data!$B:$AY,MATCH($H$1,Data!$B$1:$AY$1,),)</f>
        <v>2.2253692089823879E-3</v>
      </c>
      <c r="I71" s="21">
        <f>(VLOOKUP(B71,Data!$B:$AY,MATCH($I$1,Data!$B$1:$AY$1,),)-VLOOKUP(EDATE(B71,-12),Data!$B:$AY,MATCH($I$1,Data!$B$1:$AY$1,),))/VLOOKUP(EDATE(B71,-12),Data!$B:$AY,MATCH($I$1,Data!$B$1:$AY$1,),)</f>
        <v>7.0564516129032542E-3</v>
      </c>
      <c r="J71" s="21">
        <f>(VLOOKUP(B71,Data!$B:$AY,MATCH($J$1,Data!$B$1:$AY$1,),)-VLOOKUP(EDATE(B71,-12),Data!$B:$AY,MATCH($J$1,Data!$B$1:$AY$1,),))/VLOOKUP(EDATE(B71,-12),Data!$B:$AY,MATCH($J$1,Data!$B$1:$AY$1,),)</f>
        <v>2.5280617267398262E-3</v>
      </c>
      <c r="K71" s="21">
        <f>(VLOOKUP(B71,Data!$B:$AY,MATCH($K$1,Data!$B$1:$AY$1,),)-VLOOKUP(EDATE(B71,-12),Data!$B:$AY,MATCH($K$1,Data!$B$1:$AY$1,),))/VLOOKUP(EDATE(B71,-12),Data!$B:$AY,MATCH($K$1,Data!$B$1:$AY$1,),)</f>
        <v>-2.8834959369704303E-3</v>
      </c>
      <c r="L71" s="21">
        <f>(VLOOKUP(B71,Data!$B:$AY,MATCH($L$1,Data!$B$1:$AY$1,),)-VLOOKUP(EDATE(B71,-12),Data!$B:$AY,MATCH($L$1,Data!$B$1:$AY$1,),))/VLOOKUP(EDATE(B71,-12),Data!$B:$AY,MATCH($L$1,Data!$B$1:$AY$1,),)</f>
        <v>7.6588474238284913E-3</v>
      </c>
      <c r="M71" s="21">
        <f>(VLOOKUP(B71,Data!$B:$AY,MATCH($M$1,Data!$B$1:$AY$1,),)-VLOOKUP(EDATE(B71,-12),Data!$B:$AY,MATCH($M$1,Data!$B$1:$AY$1,),))/VLOOKUP(EDATE(B71,-12),Data!$B:$AY,MATCH($M$1,Data!$B$1:$AY$1,),)</f>
        <v>2.6130811535854996E-2</v>
      </c>
      <c r="N71" s="21" t="e">
        <f>(VLOOKUP(B71,Data!$B:$AY,MATCH($N$1,Data!$B$1:$AY$1,),)-VLOOKUP(EDATE(B71,-12),Data!$B:$AY,MATCH($N$1,Data!$B$1:$AY$1,),))/VLOOKUP(EDATE(B71,-12),Data!$B:$AY,MATCH($N$1,Data!$B$1:$AY$1,),)</f>
        <v>#DIV/0!</v>
      </c>
      <c r="O71" s="21">
        <f>(VLOOKUP(B71,Data!$B:$AY,MATCH($O$1,Data!$B$1:$AY$1,),)-VLOOKUP(EDATE(B71,-12),Data!$B:$AY,MATCH($O$1,Data!$B$1:$AY$1,),))/VLOOKUP(EDATE(B71,-12),Data!$B:$AY,MATCH($O$1,Data!$B$1:$AY$1,),)</f>
        <v>5.9055462527363836E-2</v>
      </c>
      <c r="P71" s="21">
        <f>(VLOOKUP(B71,Data!$B:$AY,MATCH($P$1,Data!$B$1:$AY$1,),)-VLOOKUP(EDATE(B71,-12),Data!$B:$AY,MATCH($P$1,Data!$B$1:$AY$1,),))/VLOOKUP(EDATE(B71,-12),Data!$B:$AY,MATCH($P$1,Data!$B$1:$AY$1,),)</f>
        <v>2.0113103560352001E-2</v>
      </c>
      <c r="Q71" s="21" t="e">
        <f>(VLOOKUP(B71,Data!$B:$AY,MATCH($Q$1,Data!$B$1:$AY$1,),)-VLOOKUP(EDATE(B71,-12),Data!$B:$AY,MATCH($Q$1,Data!$B$1:$AY$1,),))/VLOOKUP(EDATE(B71,-12),Data!$B:$AY,MATCH($Q$1,Data!$B$1:$AY$1,),)</f>
        <v>#N/A</v>
      </c>
      <c r="R71" s="21">
        <f>(VLOOKUP(B71,Data!$B:$AY,MATCH($R$1,Data!$B$1:$AY$1,),)-VLOOKUP(EDATE(B71,-12),Data!$B:$AY,MATCH($R$1,Data!$B$1:$AY$1,),))/VLOOKUP(EDATE(B71,-12),Data!$B:$AY,MATCH($R$1,Data!$B$1:$AY$1,),)</f>
        <v>-1.2667759047295188E-2</v>
      </c>
      <c r="S71" s="21">
        <f>(VLOOKUP(B71,Data!$B:$AY,MATCH($S$1,Data!$B$1:$AY$1,),)-VLOOKUP(EDATE(B71,-12),Data!$B:$AY,MATCH($S$1,Data!$B$1:$AY$1,),))/VLOOKUP(EDATE(B71,-12),Data!$B:$AY,MATCH($S$1,Data!$B$1:$AY$1,),)</f>
        <v>6.2142928736093469E-3</v>
      </c>
      <c r="T71" s="21">
        <f>(VLOOKUP(B71,Data!$B:$AY,MATCH($T$1,Data!$B$1:$AY$1,),)-VLOOKUP(EDATE(B71,-12),Data!$B:$AY,MATCH($T$1,Data!$B$1:$AY$1,),))/VLOOKUP(EDATE(B71,-12),Data!$B:$AY,MATCH($T$1,Data!$B$1:$AY$1,),)</f>
        <v>0.10705846785546753</v>
      </c>
      <c r="U71" s="21">
        <f>(VLOOKUP(B71,Data!$B:$AY,MATCH($U$1,Data!$B$1:$AY$1,),)-VLOOKUP(EDATE(B71,-12),Data!$B:$AY,MATCH($U$1,Data!$B$1:$AY$1,),))/VLOOKUP(EDATE(B71,-12),Data!$B:$AY,MATCH($U$1,Data!$B$1:$AY$1,),)</f>
        <v>-7.3463785472111659E-3</v>
      </c>
      <c r="V71" s="21" t="e">
        <f>(VLOOKUP(B71,Data!$B:$AY,MATCH($V$1,Data!$B$1:$AY$1,),)-VLOOKUP(EDATE(B71,-12),Data!$B:$AY,MATCH($V$1,Data!$B$1:$AY$1,),))/VLOOKUP(EDATE(B71,-12),Data!$B:$AY,MATCH($V$1,Data!$B$1:$AY$1,),)</f>
        <v>#DIV/0!</v>
      </c>
      <c r="W71" s="21">
        <f>(VLOOKUP(B71,Data!$B:$AY,MATCH($W$1,Data!$B$1:$AY$1,),)-VLOOKUP(EDATE(B71,-12),Data!$B:$AY,MATCH($W$1,Data!$B$1:$AY$1,),))/VLOOKUP(EDATE(B71,-12),Data!$B:$AY,MATCH($W$1,Data!$B$1:$AY$1,),)</f>
        <v>9.5787803789111087E-2</v>
      </c>
      <c r="X71" s="21">
        <f>(VLOOKUP(B71,Data!$B:$AY,MATCH($X$1,Data!$B$1:$AY$1,),)-VLOOKUP(EDATE(B71,-12),Data!$B:$AY,MATCH($X$1,Data!$B$1:$AY$1,),))/VLOOKUP(EDATE(B71,-12),Data!$B:$AY,MATCH($X$1,Data!$B$1:$AY$1,),)</f>
        <v>6.0301507537687867E-3</v>
      </c>
      <c r="Y71" s="21">
        <f>(VLOOKUP(B71,Data!$B:$AY,MATCH($Y$1,Data!$B$1:$AY$1,),)-VLOOKUP(EDATE(B71,-12),Data!$B:$AY,MATCH($Y$1,Data!$B$1:$AY$1,),))/VLOOKUP(EDATE(B71,-12),Data!$B:$AY,MATCH($Y$1,Data!$B$1:$AY$1,),)</f>
        <v>-9.7719771947182218E-3</v>
      </c>
      <c r="Z71" s="21" t="e">
        <f>(VLOOKUP(B71,Data!$B:$AY,MATCH($Z$1,Data!$B$1:$AY$1,),)-VLOOKUP(EDATE(B71,-12),Data!$B:$AY,MATCH($Z$1,Data!$B$1:$AY$1,),))/VLOOKUP(EDATE(B71,-12),Data!$B:$AY,MATCH($Z$1,Data!$B$1:$AY$1,),)</f>
        <v>#N/A</v>
      </c>
      <c r="AA71" s="21" t="e">
        <f>(VLOOKUP(B71,Data!$B:$AY,MATCH($AA$1,Data!$B$1:$AY$1,),)-VLOOKUP(EDATE(B71,-12),Data!$B:$AY,MATCH($AA$1,Data!$B$1:$AY$1,),))/VLOOKUP(EDATE(B71,-12),Data!$B:$AY,MATCH($AA$1,Data!$B$1:$AY$1,),)</f>
        <v>#N/A</v>
      </c>
      <c r="AB71" s="20"/>
    </row>
    <row r="72" spans="2:32" x14ac:dyDescent="0.2">
      <c r="B72" s="16">
        <v>42401</v>
      </c>
      <c r="C72" s="21">
        <f>(VLOOKUP(B72,Data!$B:$AY,MATCH($C$1,Data!$B$1:$AY$1,),)-VLOOKUP(EDATE(B72,-12),Data!$B:$AY,MATCH($C$1,Data!$B$1:$AY$1,),))/VLOOKUP(EDATE(B72,-12),Data!$B:$AY,MATCH($C$1,Data!$B$1:$AY$1,),)</f>
        <v>1.0178354975557217E-2</v>
      </c>
      <c r="D72" s="21">
        <f>(VLOOKUP(B72,Data!$B:$AY,MATCH($D$1,Data!$B$1:$AY$1,),)-VLOOKUP(EDATE(B72,-12),Data!$B:$AY,MATCH($D$1,Data!$B$1:$AY$1,),))/VLOOKUP(EDATE(B72,-12),Data!$B:$AY,MATCH($D$1,Data!$B$1:$AY$1,),)</f>
        <v>2.1890547263681621E-2</v>
      </c>
      <c r="E72" s="21">
        <f>(VLOOKUP(B72,Data!$B:$AY,MATCH($E$1,Data!$B$1:$AY$1,),)-VLOOKUP(EDATE(B72,-12),Data!$B:$AY,MATCH($E$1,Data!$B$1:$AY$1,),))/VLOOKUP(EDATE(B72,-12),Data!$B:$AY,MATCH($E$1,Data!$B$1:$AY$1,),)</f>
        <v>-1.2139605462821482E-3</v>
      </c>
      <c r="F72" s="21">
        <f>(VLOOKUP(B72,Data!$B:$AY,MATCH($F$1,Data!$B$1:$AY$1,),)-VLOOKUP(EDATE(B72,-12),Data!$B:$AY,MATCH($F$1,Data!$B$1:$AY$1,),))/VLOOKUP(EDATE(B72,-12),Data!$B:$AY,MATCH($F$1,Data!$B$1:$AY$1,),)</f>
        <v>2.0120724346075316E-3</v>
      </c>
      <c r="G72" s="21">
        <f>(VLOOKUP(B72,Data!$B:$AY,MATCH($G$1,Data!$B$1:$AY$1,),)-VLOOKUP(EDATE(B72,-12),Data!$B:$AY,MATCH($G$1,Data!$B$1:$AY$1,),))/VLOOKUP(EDATE(B72,-12),Data!$B:$AY,MATCH($G$1,Data!$B$1:$AY$1,),)</f>
        <v>1.0079972552964626E-3</v>
      </c>
      <c r="H72" s="21">
        <f>(VLOOKUP(B72,Data!$B:$AY,MATCH($H$1,Data!$B$1:$AY$1,),)-VLOOKUP(EDATE(B72,-12),Data!$B:$AY,MATCH($H$1,Data!$B$1:$AY$1,),))/VLOOKUP(EDATE(B72,-12),Data!$B:$AY,MATCH($H$1,Data!$B$1:$AY$1,),)</f>
        <v>-1.9091639871382409E-3</v>
      </c>
      <c r="I72" s="21">
        <f>(VLOOKUP(B72,Data!$B:$AY,MATCH($I$1,Data!$B$1:$AY$1,),)-VLOOKUP(EDATE(B72,-12),Data!$B:$AY,MATCH($I$1,Data!$B$1:$AY$1,),))/VLOOKUP(EDATE(B72,-12),Data!$B:$AY,MATCH($I$1,Data!$B$1:$AY$1,),)</f>
        <v>6.0301507537687867E-3</v>
      </c>
      <c r="J72" s="21">
        <f>(VLOOKUP(B72,Data!$B:$AY,MATCH($J$1,Data!$B$1:$AY$1,),)-VLOOKUP(EDATE(B72,-12),Data!$B:$AY,MATCH($J$1,Data!$B$1:$AY$1,),))/VLOOKUP(EDATE(B72,-12),Data!$B:$AY,MATCH($J$1,Data!$B$1:$AY$1,),)</f>
        <v>-3.2182812575052193E-3</v>
      </c>
      <c r="K72" s="21">
        <f>(VLOOKUP(B72,Data!$B:$AY,MATCH($K$1,Data!$B$1:$AY$1,),)-VLOOKUP(EDATE(B72,-12),Data!$B:$AY,MATCH($K$1,Data!$B$1:$AY$1,),))/VLOOKUP(EDATE(B72,-12),Data!$B:$AY,MATCH($K$1,Data!$B$1:$AY$1,),)</f>
        <v>-8.4307047986655649E-3</v>
      </c>
      <c r="L72" s="21">
        <f>(VLOOKUP(B72,Data!$B:$AY,MATCH($L$1,Data!$B$1:$AY$1,),)-VLOOKUP(EDATE(B72,-12),Data!$B:$AY,MATCH($L$1,Data!$B$1:$AY$1,),))/VLOOKUP(EDATE(B72,-12),Data!$B:$AY,MATCH($L$1,Data!$B$1:$AY$1,),)</f>
        <v>3.8662308749942268E-3</v>
      </c>
      <c r="M72" s="21">
        <f>(VLOOKUP(B72,Data!$B:$AY,MATCH($M$1,Data!$B$1:$AY$1,),)-VLOOKUP(EDATE(B72,-12),Data!$B:$AY,MATCH($M$1,Data!$B$1:$AY$1,),))/VLOOKUP(EDATE(B72,-12),Data!$B:$AY,MATCH($M$1,Data!$B$1:$AY$1,),)</f>
        <v>2.867193191025064E-2</v>
      </c>
      <c r="N72" s="21" t="e">
        <f>(VLOOKUP(B72,Data!$B:$AY,MATCH($N$1,Data!$B$1:$AY$1,),)-VLOOKUP(EDATE(B72,-12),Data!$B:$AY,MATCH($N$1,Data!$B$1:$AY$1,),))/VLOOKUP(EDATE(B72,-12),Data!$B:$AY,MATCH($N$1,Data!$B$1:$AY$1,),)</f>
        <v>#DIV/0!</v>
      </c>
      <c r="O72" s="21">
        <f>(VLOOKUP(B72,Data!$B:$AY,MATCH($O$1,Data!$B$1:$AY$1,),)-VLOOKUP(EDATE(B72,-12),Data!$B:$AY,MATCH($O$1,Data!$B$1:$AY$1,),))/VLOOKUP(EDATE(B72,-12),Data!$B:$AY,MATCH($O$1,Data!$B$1:$AY$1,),)</f>
        <v>5.5336020655430515E-2</v>
      </c>
      <c r="P72" s="21">
        <f>(VLOOKUP(B72,Data!$B:$AY,MATCH($P$1,Data!$B$1:$AY$1,),)-VLOOKUP(EDATE(B72,-12),Data!$B:$AY,MATCH($P$1,Data!$B$1:$AY$1,),))/VLOOKUP(EDATE(B72,-12),Data!$B:$AY,MATCH($P$1,Data!$B$1:$AY$1,),)</f>
        <v>1.355676353491215E-2</v>
      </c>
      <c r="Q72" s="21" t="e">
        <f>(VLOOKUP(B72,Data!$B:$AY,MATCH($Q$1,Data!$B$1:$AY$1,),)-VLOOKUP(EDATE(B72,-12),Data!$B:$AY,MATCH($Q$1,Data!$B$1:$AY$1,),))/VLOOKUP(EDATE(B72,-12),Data!$B:$AY,MATCH($Q$1,Data!$B$1:$AY$1,),)</f>
        <v>#N/A</v>
      </c>
      <c r="R72" s="21">
        <f>(VLOOKUP(B72,Data!$B:$AY,MATCH($R$1,Data!$B$1:$AY$1,),)-VLOOKUP(EDATE(B72,-12),Data!$B:$AY,MATCH($R$1,Data!$B$1:$AY$1,),))/VLOOKUP(EDATE(B72,-12),Data!$B:$AY,MATCH($R$1,Data!$B$1:$AY$1,),)</f>
        <v>-8.2852643419572946E-3</v>
      </c>
      <c r="S72" s="21">
        <f>(VLOOKUP(B72,Data!$B:$AY,MATCH($S$1,Data!$B$1:$AY$1,),)-VLOOKUP(EDATE(B72,-12),Data!$B:$AY,MATCH($S$1,Data!$B$1:$AY$1,),))/VLOOKUP(EDATE(B72,-12),Data!$B:$AY,MATCH($S$1,Data!$B$1:$AY$1,),)</f>
        <v>1.1132283622505261E-2</v>
      </c>
      <c r="T72" s="21">
        <f>(VLOOKUP(B72,Data!$B:$AY,MATCH($T$1,Data!$B$1:$AY$1,),)-VLOOKUP(EDATE(B72,-12),Data!$B:$AY,MATCH($T$1,Data!$B$1:$AY$1,),))/VLOOKUP(EDATE(B72,-12),Data!$B:$AY,MATCH($T$1,Data!$B$1:$AY$1,),)</f>
        <v>0.1035593495318412</v>
      </c>
      <c r="U72" s="21">
        <f>(VLOOKUP(B72,Data!$B:$AY,MATCH($U$1,Data!$B$1:$AY$1,),)-VLOOKUP(EDATE(B72,-12),Data!$B:$AY,MATCH($U$1,Data!$B$1:$AY$1,),))/VLOOKUP(EDATE(B72,-12),Data!$B:$AY,MATCH($U$1,Data!$B$1:$AY$1,),)</f>
        <v>-5.1582121496206185E-3</v>
      </c>
      <c r="V72" s="21" t="e">
        <f>(VLOOKUP(B72,Data!$B:$AY,MATCH($V$1,Data!$B$1:$AY$1,),)-VLOOKUP(EDATE(B72,-12),Data!$B:$AY,MATCH($V$1,Data!$B$1:$AY$1,),))/VLOOKUP(EDATE(B72,-12),Data!$B:$AY,MATCH($V$1,Data!$B$1:$AY$1,),)</f>
        <v>#DIV/0!</v>
      </c>
      <c r="W72" s="21">
        <f>(VLOOKUP(B72,Data!$B:$AY,MATCH($W$1,Data!$B$1:$AY$1,),)-VLOOKUP(EDATE(B72,-12),Data!$B:$AY,MATCH($W$1,Data!$B$1:$AY$1,),))/VLOOKUP(EDATE(B72,-12),Data!$B:$AY,MATCH($W$1,Data!$B$1:$AY$1,),)</f>
        <v>8.7773982802670958E-2</v>
      </c>
      <c r="X72" s="21">
        <f>(VLOOKUP(B72,Data!$B:$AY,MATCH($X$1,Data!$B$1:$AY$1,),)-VLOOKUP(EDATE(B72,-12),Data!$B:$AY,MATCH($X$1,Data!$B$1:$AY$1,),))/VLOOKUP(EDATE(B72,-12),Data!$B:$AY,MATCH($X$1,Data!$B$1:$AY$1,),)</f>
        <v>5.0150451354062184E-3</v>
      </c>
      <c r="Y72" s="21">
        <f>(VLOOKUP(B72,Data!$B:$AY,MATCH($Y$1,Data!$B$1:$AY$1,),)-VLOOKUP(EDATE(B72,-12),Data!$B:$AY,MATCH($Y$1,Data!$B$1:$AY$1,),))/VLOOKUP(EDATE(B72,-12),Data!$B:$AY,MATCH($Y$1,Data!$B$1:$AY$1,),)</f>
        <v>-9.7799413083374531E-3</v>
      </c>
      <c r="Z72" s="21" t="e">
        <f>(VLOOKUP(B72,Data!$B:$AY,MATCH($Z$1,Data!$B$1:$AY$1,),)-VLOOKUP(EDATE(B72,-12),Data!$B:$AY,MATCH($Z$1,Data!$B$1:$AY$1,),))/VLOOKUP(EDATE(B72,-12),Data!$B:$AY,MATCH($Z$1,Data!$B$1:$AY$1,),)</f>
        <v>#N/A</v>
      </c>
      <c r="AA72" s="21" t="e">
        <f>(VLOOKUP(B72,Data!$B:$AY,MATCH($AA$1,Data!$B$1:$AY$1,),)-VLOOKUP(EDATE(B72,-12),Data!$B:$AY,MATCH($AA$1,Data!$B$1:$AY$1,),))/VLOOKUP(EDATE(B72,-12),Data!$B:$AY,MATCH($AA$1,Data!$B$1:$AY$1,),)</f>
        <v>#N/A</v>
      </c>
      <c r="AB72" s="20"/>
    </row>
    <row r="73" spans="2:32" x14ac:dyDescent="0.2">
      <c r="B73" s="16">
        <v>42430</v>
      </c>
      <c r="C73" s="21">
        <f>(VLOOKUP(B73,Data!$B:$AY,MATCH($C$1,Data!$B$1:$AY$1,),)-VLOOKUP(EDATE(B73,-12),Data!$B:$AY,MATCH($C$1,Data!$B$1:$AY$1,),))/VLOOKUP(EDATE(B73,-12),Data!$B:$AY,MATCH($C$1,Data!$B$1:$AY$1,),)</f>
        <v>8.5250998984953506E-3</v>
      </c>
      <c r="D73" s="21">
        <f>(VLOOKUP(B73,Data!$B:$AY,MATCH($D$1,Data!$B$1:$AY$1,),)-VLOOKUP(EDATE(B73,-12),Data!$B:$AY,MATCH($D$1,Data!$B$1:$AY$1,),))/VLOOKUP(EDATE(B73,-12),Data!$B:$AY,MATCH($D$1,Data!$B$1:$AY$1,),)</f>
        <v>2.3023023023022993E-2</v>
      </c>
      <c r="E73" s="21">
        <f>(VLOOKUP(B73,Data!$B:$AY,MATCH($E$1,Data!$B$1:$AY$1,),)-VLOOKUP(EDATE(B73,-12),Data!$B:$AY,MATCH($E$1,Data!$B$1:$AY$1,),))/VLOOKUP(EDATE(B73,-12),Data!$B:$AY,MATCH($E$1,Data!$B$1:$AY$1,),)</f>
        <v>-4.0000000000006252E-4</v>
      </c>
      <c r="F73" s="21">
        <f>(VLOOKUP(B73,Data!$B:$AY,MATCH($F$1,Data!$B$1:$AY$1,),)-VLOOKUP(EDATE(B73,-12),Data!$B:$AY,MATCH($F$1,Data!$B$1:$AY$1,),))/VLOOKUP(EDATE(B73,-12),Data!$B:$AY,MATCH($F$1,Data!$B$1:$AY$1,),)</f>
        <v>0</v>
      </c>
      <c r="G73" s="21">
        <f>(VLOOKUP(B73,Data!$B:$AY,MATCH($G$1,Data!$B$1:$AY$1,),)-VLOOKUP(EDATE(B73,-12),Data!$B:$AY,MATCH($G$1,Data!$B$1:$AY$1,),))/VLOOKUP(EDATE(B73,-12),Data!$B:$AY,MATCH($G$1,Data!$B$1:$AY$1,),)</f>
        <v>3.009327833213702E-3</v>
      </c>
      <c r="H73" s="21">
        <f>(VLOOKUP(B73,Data!$B:$AY,MATCH($H$1,Data!$B$1:$AY$1,),)-VLOOKUP(EDATE(B73,-12),Data!$B:$AY,MATCH($H$1,Data!$B$1:$AY$1,),))/VLOOKUP(EDATE(B73,-12),Data!$B:$AY,MATCH($H$1,Data!$B$1:$AY$1,),)</f>
        <v>-1.4974543276430636E-3</v>
      </c>
      <c r="I73" s="21">
        <f>(VLOOKUP(B73,Data!$B:$AY,MATCH($I$1,Data!$B$1:$AY$1,),)-VLOOKUP(EDATE(B73,-12),Data!$B:$AY,MATCH($I$1,Data!$B$1:$AY$1,),))/VLOOKUP(EDATE(B73,-12),Data!$B:$AY,MATCH($I$1,Data!$B$1:$AY$1,),)</f>
        <v>8.0321285140563387E-3</v>
      </c>
      <c r="J73" s="21">
        <f>(VLOOKUP(B73,Data!$B:$AY,MATCH($J$1,Data!$B$1:$AY$1,),)-VLOOKUP(EDATE(B73,-12),Data!$B:$AY,MATCH($J$1,Data!$B$1:$AY$1,),))/VLOOKUP(EDATE(B73,-12),Data!$B:$AY,MATCH($J$1,Data!$B$1:$AY$1,),)</f>
        <v>-2.1435879309868095E-3</v>
      </c>
      <c r="K73" s="21">
        <f>(VLOOKUP(B73,Data!$B:$AY,MATCH($K$1,Data!$B$1:$AY$1,),)-VLOOKUP(EDATE(B73,-12),Data!$B:$AY,MATCH($K$1,Data!$B$1:$AY$1,),))/VLOOKUP(EDATE(B73,-12),Data!$B:$AY,MATCH($K$1,Data!$B$1:$AY$1,),)</f>
        <v>-8.4072236779909101E-3</v>
      </c>
      <c r="L73" s="21">
        <f>(VLOOKUP(B73,Data!$B:$AY,MATCH($L$1,Data!$B$1:$AY$1,),)-VLOOKUP(EDATE(B73,-12),Data!$B:$AY,MATCH($L$1,Data!$B$1:$AY$1,),))/VLOOKUP(EDATE(B73,-12),Data!$B:$AY,MATCH($L$1,Data!$B$1:$AY$1,),)</f>
        <v>8.0142855041812015E-3</v>
      </c>
      <c r="M73" s="21">
        <f>(VLOOKUP(B73,Data!$B:$AY,MATCH($M$1,Data!$B$1:$AY$1,),)-VLOOKUP(EDATE(B73,-12),Data!$B:$AY,MATCH($M$1,Data!$B$1:$AY$1,),))/VLOOKUP(EDATE(B73,-12),Data!$B:$AY,MATCH($M$1,Data!$B$1:$AY$1,),)</f>
        <v>2.6010177369262109E-2</v>
      </c>
      <c r="N73" s="21" t="e">
        <f>(VLOOKUP(B73,Data!$B:$AY,MATCH($N$1,Data!$B$1:$AY$1,),)-VLOOKUP(EDATE(B73,-12),Data!$B:$AY,MATCH($N$1,Data!$B$1:$AY$1,),))/VLOOKUP(EDATE(B73,-12),Data!$B:$AY,MATCH($N$1,Data!$B$1:$AY$1,),)</f>
        <v>#DIV/0!</v>
      </c>
      <c r="O73" s="21">
        <f>(VLOOKUP(B73,Data!$B:$AY,MATCH($O$1,Data!$B$1:$AY$1,),)-VLOOKUP(EDATE(B73,-12),Data!$B:$AY,MATCH($O$1,Data!$B$1:$AY$1,),))/VLOOKUP(EDATE(B73,-12),Data!$B:$AY,MATCH($O$1,Data!$B$1:$AY$1,),)</f>
        <v>5.5117745559261855E-2</v>
      </c>
      <c r="P73" s="21">
        <f>(VLOOKUP(B73,Data!$B:$AY,MATCH($P$1,Data!$B$1:$AY$1,),)-VLOOKUP(EDATE(B73,-12),Data!$B:$AY,MATCH($P$1,Data!$B$1:$AY$1,),))/VLOOKUP(EDATE(B73,-12),Data!$B:$AY,MATCH($P$1,Data!$B$1:$AY$1,),)</f>
        <v>1.2668591455337242E-2</v>
      </c>
      <c r="Q73" s="21" t="e">
        <f>(VLOOKUP(B73,Data!$B:$AY,MATCH($Q$1,Data!$B$1:$AY$1,),)-VLOOKUP(EDATE(B73,-12),Data!$B:$AY,MATCH($Q$1,Data!$B$1:$AY$1,),))/VLOOKUP(EDATE(B73,-12),Data!$B:$AY,MATCH($Q$1,Data!$B$1:$AY$1,),)</f>
        <v>#N/A</v>
      </c>
      <c r="R73" s="21">
        <f>(VLOOKUP(B73,Data!$B:$AY,MATCH($R$1,Data!$B$1:$AY$1,),)-VLOOKUP(EDATE(B73,-12),Data!$B:$AY,MATCH($R$1,Data!$B$1:$AY$1,),))/VLOOKUP(EDATE(B73,-12),Data!$B:$AY,MATCH($R$1,Data!$B$1:$AY$1,),)</f>
        <v>-8.6071475911089195E-3</v>
      </c>
      <c r="S73" s="21">
        <f>(VLOOKUP(B73,Data!$B:$AY,MATCH($S$1,Data!$B$1:$AY$1,),)-VLOOKUP(EDATE(B73,-12),Data!$B:$AY,MATCH($S$1,Data!$B$1:$AY$1,),))/VLOOKUP(EDATE(B73,-12),Data!$B:$AY,MATCH($S$1,Data!$B$1:$AY$1,),)</f>
        <v>8.4235860409145949E-3</v>
      </c>
      <c r="T73" s="21">
        <f>(VLOOKUP(B73,Data!$B:$AY,MATCH($T$1,Data!$B$1:$AY$1,),)-VLOOKUP(EDATE(B73,-12),Data!$B:$AY,MATCH($T$1,Data!$B$1:$AY$1,),))/VLOOKUP(EDATE(B73,-12),Data!$B:$AY,MATCH($T$1,Data!$B$1:$AY$1,),)</f>
        <v>9.3863290222870016E-2</v>
      </c>
      <c r="U73" s="21">
        <f>(VLOOKUP(B73,Data!$B:$AY,MATCH($U$1,Data!$B$1:$AY$1,),)-VLOOKUP(EDATE(B73,-12),Data!$B:$AY,MATCH($U$1,Data!$B$1:$AY$1,),))/VLOOKUP(EDATE(B73,-12),Data!$B:$AY,MATCH($U$1,Data!$B$1:$AY$1,),)</f>
        <v>-1.5005062188337337E-2</v>
      </c>
      <c r="V73" s="21" t="e">
        <f>(VLOOKUP(B73,Data!$B:$AY,MATCH($V$1,Data!$B$1:$AY$1,),)-VLOOKUP(EDATE(B73,-12),Data!$B:$AY,MATCH($V$1,Data!$B$1:$AY$1,),))/VLOOKUP(EDATE(B73,-12),Data!$B:$AY,MATCH($V$1,Data!$B$1:$AY$1,),)</f>
        <v>#DIV/0!</v>
      </c>
      <c r="W73" s="21">
        <f>(VLOOKUP(B73,Data!$B:$AY,MATCH($W$1,Data!$B$1:$AY$1,),)-VLOOKUP(EDATE(B73,-12),Data!$B:$AY,MATCH($W$1,Data!$B$1:$AY$1,),))/VLOOKUP(EDATE(B73,-12),Data!$B:$AY,MATCH($W$1,Data!$B$1:$AY$1,),)</f>
        <v>7.4598899933748547E-2</v>
      </c>
      <c r="X73" s="21">
        <f>(VLOOKUP(B73,Data!$B:$AY,MATCH($X$1,Data!$B$1:$AY$1,),)-VLOOKUP(EDATE(B73,-12),Data!$B:$AY,MATCH($X$1,Data!$B$1:$AY$1,),))/VLOOKUP(EDATE(B73,-12),Data!$B:$AY,MATCH($X$1,Data!$B$1:$AY$1,),)</f>
        <v>3.006012024048068E-3</v>
      </c>
      <c r="Y73" s="21">
        <f>(VLOOKUP(B73,Data!$B:$AY,MATCH($Y$1,Data!$B$1:$AY$1,),)-VLOOKUP(EDATE(B73,-12),Data!$B:$AY,MATCH($Y$1,Data!$B$1:$AY$1,),))/VLOOKUP(EDATE(B73,-12),Data!$B:$AY,MATCH($Y$1,Data!$B$1:$AY$1,),)</f>
        <v>-1.0577694878184572E-2</v>
      </c>
      <c r="Z73" s="21" t="e">
        <f>(VLOOKUP(B73,Data!$B:$AY,MATCH($Z$1,Data!$B$1:$AY$1,),)-VLOOKUP(EDATE(B73,-12),Data!$B:$AY,MATCH($Z$1,Data!$B$1:$AY$1,),))/VLOOKUP(EDATE(B73,-12),Data!$B:$AY,MATCH($Z$1,Data!$B$1:$AY$1,),)</f>
        <v>#N/A</v>
      </c>
      <c r="AA73" s="21" t="e">
        <f>(VLOOKUP(B73,Data!$B:$AY,MATCH($AA$1,Data!$B$1:$AY$1,),)-VLOOKUP(EDATE(B73,-12),Data!$B:$AY,MATCH($AA$1,Data!$B$1:$AY$1,),))/VLOOKUP(EDATE(B73,-12),Data!$B:$AY,MATCH($AA$1,Data!$B$1:$AY$1,),)</f>
        <v>#N/A</v>
      </c>
      <c r="AB73" s="20"/>
    </row>
    <row r="74" spans="2:32" x14ac:dyDescent="0.2">
      <c r="B74" s="16">
        <v>42461</v>
      </c>
      <c r="C74" s="21">
        <f>(VLOOKUP(B74,Data!$B:$AY,MATCH($C$1,Data!$B$1:$AY$1,),)-VLOOKUP(EDATE(B74,-12),Data!$B:$AY,MATCH($C$1,Data!$B$1:$AY$1,),))/VLOOKUP(EDATE(B74,-12),Data!$B:$AY,MATCH($C$1,Data!$B$1:$AY$1,),)</f>
        <v>1.1251443044954068E-2</v>
      </c>
      <c r="D74" s="21">
        <f>(VLOOKUP(B74,Data!$B:$AY,MATCH($D$1,Data!$B$1:$AY$1,),)-VLOOKUP(EDATE(B74,-12),Data!$B:$AY,MATCH($D$1,Data!$B$1:$AY$1,),))/VLOOKUP(EDATE(B74,-12),Data!$B:$AY,MATCH($D$1,Data!$B$1:$AY$1,),)</f>
        <v>2.3069207622868577E-2</v>
      </c>
      <c r="E74" s="21">
        <f>(VLOOKUP(B74,Data!$B:$AY,MATCH($E$1,Data!$B$1:$AY$1,),)-VLOOKUP(EDATE(B74,-12),Data!$B:$AY,MATCH($E$1,Data!$B$1:$AY$1,),))/VLOOKUP(EDATE(B74,-12),Data!$B:$AY,MATCH($E$1,Data!$B$1:$AY$1,),)</f>
        <v>-2.5888678681669332E-3</v>
      </c>
      <c r="F74" s="21">
        <f>(VLOOKUP(B74,Data!$B:$AY,MATCH($F$1,Data!$B$1:$AY$1,),)-VLOOKUP(EDATE(B74,-12),Data!$B:$AY,MATCH($F$1,Data!$B$1:$AY$1,),))/VLOOKUP(EDATE(B74,-12),Data!$B:$AY,MATCH($F$1,Data!$B$1:$AY$1,),)</f>
        <v>-2.9940119760478758E-3</v>
      </c>
      <c r="G74" s="21">
        <f>(VLOOKUP(B74,Data!$B:$AY,MATCH($G$1,Data!$B$1:$AY$1,),)-VLOOKUP(EDATE(B74,-12),Data!$B:$AY,MATCH($G$1,Data!$B$1:$AY$1,),))/VLOOKUP(EDATE(B74,-12),Data!$B:$AY,MATCH($G$1,Data!$B$1:$AY$1,),)</f>
        <v>-9.9783768573509729E-4</v>
      </c>
      <c r="H74" s="21">
        <f>(VLOOKUP(B74,Data!$B:$AY,MATCH($H$1,Data!$B$1:$AY$1,),)-VLOOKUP(EDATE(B74,-12),Data!$B:$AY,MATCH($H$1,Data!$B$1:$AY$1,),))/VLOOKUP(EDATE(B74,-12),Data!$B:$AY,MATCH($H$1,Data!$B$1:$AY$1,),)</f>
        <v>-1.8946948544076359E-3</v>
      </c>
      <c r="I74" s="21">
        <f>(VLOOKUP(B74,Data!$B:$AY,MATCH($I$1,Data!$B$1:$AY$1,),)-VLOOKUP(EDATE(B74,-12),Data!$B:$AY,MATCH($I$1,Data!$B$1:$AY$1,),))/VLOOKUP(EDATE(B74,-12),Data!$B:$AY,MATCH($I$1,Data!$B$1:$AY$1,),)</f>
        <v>7.0070070070068925E-3</v>
      </c>
      <c r="J74" s="21">
        <f>(VLOOKUP(B74,Data!$B:$AY,MATCH($J$1,Data!$B$1:$AY$1,),)-VLOOKUP(EDATE(B74,-12),Data!$B:$AY,MATCH($J$1,Data!$B$1:$AY$1,),))/VLOOKUP(EDATE(B74,-12),Data!$B:$AY,MATCH($J$1,Data!$B$1:$AY$1,),)</f>
        <v>-5.0000000000000001E-3</v>
      </c>
      <c r="K74" s="21">
        <f>(VLOOKUP(B74,Data!$B:$AY,MATCH($K$1,Data!$B$1:$AY$1,),)-VLOOKUP(EDATE(B74,-12),Data!$B:$AY,MATCH($K$1,Data!$B$1:$AY$1,),))/VLOOKUP(EDATE(B74,-12),Data!$B:$AY,MATCH($K$1,Data!$B$1:$AY$1,),)</f>
        <v>-1.0547266060419485E-2</v>
      </c>
      <c r="L74" s="21">
        <f>(VLOOKUP(B74,Data!$B:$AY,MATCH($L$1,Data!$B$1:$AY$1,),)-VLOOKUP(EDATE(B74,-12),Data!$B:$AY,MATCH($L$1,Data!$B$1:$AY$1,),))/VLOOKUP(EDATE(B74,-12),Data!$B:$AY,MATCH($L$1,Data!$B$1:$AY$1,),)</f>
        <v>7.9196963799533036E-3</v>
      </c>
      <c r="M74" s="21">
        <f>(VLOOKUP(B74,Data!$B:$AY,MATCH($M$1,Data!$B$1:$AY$1,),)-VLOOKUP(EDATE(B74,-12),Data!$B:$AY,MATCH($M$1,Data!$B$1:$AY$1,),))/VLOOKUP(EDATE(B74,-12),Data!$B:$AY,MATCH($M$1,Data!$B$1:$AY$1,),)</f>
        <v>2.5416100213049408E-2</v>
      </c>
      <c r="N74" s="21" t="e">
        <f>(VLOOKUP(B74,Data!$B:$AY,MATCH($N$1,Data!$B$1:$AY$1,),)-VLOOKUP(EDATE(B74,-12),Data!$B:$AY,MATCH($N$1,Data!$B$1:$AY$1,),))/VLOOKUP(EDATE(B74,-12),Data!$B:$AY,MATCH($N$1,Data!$B$1:$AY$1,),)</f>
        <v>#DIV/0!</v>
      </c>
      <c r="O74" s="21">
        <f>(VLOOKUP(B74,Data!$B:$AY,MATCH($O$1,Data!$B$1:$AY$1,),)-VLOOKUP(EDATE(B74,-12),Data!$B:$AY,MATCH($O$1,Data!$B$1:$AY$1,),))/VLOOKUP(EDATE(B74,-12),Data!$B:$AY,MATCH($O$1,Data!$B$1:$AY$1,),)</f>
        <v>5.859348035024925E-2</v>
      </c>
      <c r="P74" s="21">
        <f>(VLOOKUP(B74,Data!$B:$AY,MATCH($P$1,Data!$B$1:$AY$1,),)-VLOOKUP(EDATE(B74,-12),Data!$B:$AY,MATCH($P$1,Data!$B$1:$AY$1,),))/VLOOKUP(EDATE(B74,-12),Data!$B:$AY,MATCH($P$1,Data!$B$1:$AY$1,),)</f>
        <v>1.6640206678748319E-2</v>
      </c>
      <c r="Q74" s="21" t="e">
        <f>(VLOOKUP(B74,Data!$B:$AY,MATCH($Q$1,Data!$B$1:$AY$1,),)-VLOOKUP(EDATE(B74,-12),Data!$B:$AY,MATCH($Q$1,Data!$B$1:$AY$1,),))/VLOOKUP(EDATE(B74,-12),Data!$B:$AY,MATCH($Q$1,Data!$B$1:$AY$1,),)</f>
        <v>#N/A</v>
      </c>
      <c r="R74" s="21">
        <f>(VLOOKUP(B74,Data!$B:$AY,MATCH($R$1,Data!$B$1:$AY$1,),)-VLOOKUP(EDATE(B74,-12),Data!$B:$AY,MATCH($R$1,Data!$B$1:$AY$1,),))/VLOOKUP(EDATE(B74,-12),Data!$B:$AY,MATCH($R$1,Data!$B$1:$AY$1,),)</f>
        <v>-3.5190855928760407E-3</v>
      </c>
      <c r="S74" s="21">
        <f>(VLOOKUP(B74,Data!$B:$AY,MATCH($S$1,Data!$B$1:$AY$1,),)-VLOOKUP(EDATE(B74,-12),Data!$B:$AY,MATCH($S$1,Data!$B$1:$AY$1,),))/VLOOKUP(EDATE(B74,-12),Data!$B:$AY,MATCH($S$1,Data!$B$1:$AY$1,),)</f>
        <v>1.0025062656641603E-2</v>
      </c>
      <c r="T74" s="21">
        <f>(VLOOKUP(B74,Data!$B:$AY,MATCH($T$1,Data!$B$1:$AY$1,),)-VLOOKUP(EDATE(B74,-12),Data!$B:$AY,MATCH($T$1,Data!$B$1:$AY$1,),))/VLOOKUP(EDATE(B74,-12),Data!$B:$AY,MATCH($T$1,Data!$B$1:$AY$1,),)</f>
        <v>9.2778045589985814E-2</v>
      </c>
      <c r="U74" s="21">
        <f>(VLOOKUP(B74,Data!$B:$AY,MATCH($U$1,Data!$B$1:$AY$1,),)-VLOOKUP(EDATE(B74,-12),Data!$B:$AY,MATCH($U$1,Data!$B$1:$AY$1,),))/VLOOKUP(EDATE(B74,-12),Data!$B:$AY,MATCH($U$1,Data!$B$1:$AY$1,),)</f>
        <v>-1.2581484439403769E-2</v>
      </c>
      <c r="V74" s="21" t="e">
        <f>(VLOOKUP(B74,Data!$B:$AY,MATCH($V$1,Data!$B$1:$AY$1,),)-VLOOKUP(EDATE(B74,-12),Data!$B:$AY,MATCH($V$1,Data!$B$1:$AY$1,),))/VLOOKUP(EDATE(B74,-12),Data!$B:$AY,MATCH($V$1,Data!$B$1:$AY$1,),)</f>
        <v>#DIV/0!</v>
      </c>
      <c r="W74" s="21">
        <f>(VLOOKUP(B74,Data!$B:$AY,MATCH($W$1,Data!$B$1:$AY$1,),)-VLOOKUP(EDATE(B74,-12),Data!$B:$AY,MATCH($W$1,Data!$B$1:$AY$1,),))/VLOOKUP(EDATE(B74,-12),Data!$B:$AY,MATCH($W$1,Data!$B$1:$AY$1,),)</f>
        <v>6.5653875542462631E-2</v>
      </c>
      <c r="X74" s="21">
        <f>(VLOOKUP(B74,Data!$B:$AY,MATCH($X$1,Data!$B$1:$AY$1,),)-VLOOKUP(EDATE(B74,-12),Data!$B:$AY,MATCH($X$1,Data!$B$1:$AY$1,),))/VLOOKUP(EDATE(B74,-12),Data!$B:$AY,MATCH($X$1,Data!$B$1:$AY$1,),)</f>
        <v>5.9940059940060799E-3</v>
      </c>
      <c r="Y74" s="21">
        <f>(VLOOKUP(B74,Data!$B:$AY,MATCH($Y$1,Data!$B$1:$AY$1,),)-VLOOKUP(EDATE(B74,-12),Data!$B:$AY,MATCH($Y$1,Data!$B$1:$AY$1,),))/VLOOKUP(EDATE(B74,-12),Data!$B:$AY,MATCH($Y$1,Data!$B$1:$AY$1,),)</f>
        <v>-1.1345207505995672E-2</v>
      </c>
      <c r="Z74" s="21" t="e">
        <f>(VLOOKUP(B74,Data!$B:$AY,MATCH($Z$1,Data!$B$1:$AY$1,),)-VLOOKUP(EDATE(B74,-12),Data!$B:$AY,MATCH($Z$1,Data!$B$1:$AY$1,),))/VLOOKUP(EDATE(B74,-12),Data!$B:$AY,MATCH($Z$1,Data!$B$1:$AY$1,),)</f>
        <v>#N/A</v>
      </c>
      <c r="AA74" s="21" t="e">
        <f>(VLOOKUP(B74,Data!$B:$AY,MATCH($AA$1,Data!$B$1:$AY$1,),)-VLOOKUP(EDATE(B74,-12),Data!$B:$AY,MATCH($AA$1,Data!$B$1:$AY$1,),))/VLOOKUP(EDATE(B74,-12),Data!$B:$AY,MATCH($AA$1,Data!$B$1:$AY$1,),)</f>
        <v>#N/A</v>
      </c>
      <c r="AB74" s="20"/>
    </row>
    <row r="75" spans="2:32" x14ac:dyDescent="0.2">
      <c r="B75" s="16">
        <v>42491</v>
      </c>
      <c r="C75" s="21">
        <f>(VLOOKUP(B75,Data!$B:$AY,MATCH($C$1,Data!$B$1:$AY$1,),)-VLOOKUP(EDATE(B75,-12),Data!$B:$AY,MATCH($C$1,Data!$B$1:$AY$1,),))/VLOOKUP(EDATE(B75,-12),Data!$B:$AY,MATCH($C$1,Data!$B$1:$AY$1,),)</f>
        <v>1.0193107916178711E-2</v>
      </c>
      <c r="D75" s="21">
        <f>(VLOOKUP(B75,Data!$B:$AY,MATCH($D$1,Data!$B$1:$AY$1,),)-VLOOKUP(EDATE(B75,-12),Data!$B:$AY,MATCH($D$1,Data!$B$1:$AY$1,),))/VLOOKUP(EDATE(B75,-12),Data!$B:$AY,MATCH($D$1,Data!$B$1:$AY$1,),)</f>
        <v>2.1105527638190898E-2</v>
      </c>
      <c r="E75" s="21">
        <f>(VLOOKUP(B75,Data!$B:$AY,MATCH($E$1,Data!$B$1:$AY$1,),)-VLOOKUP(EDATE(B75,-12),Data!$B:$AY,MATCH($E$1,Data!$B$1:$AY$1,),))/VLOOKUP(EDATE(B75,-12),Data!$B:$AY,MATCH($E$1,Data!$B$1:$AY$1,),)</f>
        <v>-1.1915400655346077E-3</v>
      </c>
      <c r="F75" s="21">
        <f>(VLOOKUP(B75,Data!$B:$AY,MATCH($F$1,Data!$B$1:$AY$1,),)-VLOOKUP(EDATE(B75,-12),Data!$B:$AY,MATCH($F$1,Data!$B$1:$AY$1,),))/VLOOKUP(EDATE(B75,-12),Data!$B:$AY,MATCH($F$1,Data!$B$1:$AY$1,),)</f>
        <v>-3.9840637450199766E-3</v>
      </c>
      <c r="G75" s="21">
        <f>(VLOOKUP(B75,Data!$B:$AY,MATCH($G$1,Data!$B$1:$AY$1,),)-VLOOKUP(EDATE(B75,-12),Data!$B:$AY,MATCH($G$1,Data!$B$1:$AY$1,),))/VLOOKUP(EDATE(B75,-12),Data!$B:$AY,MATCH($G$1,Data!$B$1:$AY$1,),)</f>
        <v>1.9926964339596095E-3</v>
      </c>
      <c r="H75" s="21">
        <f>(VLOOKUP(B75,Data!$B:$AY,MATCH($H$1,Data!$B$1:$AY$1,),)-VLOOKUP(EDATE(B75,-12),Data!$B:$AY,MATCH($H$1,Data!$B$1:$AY$1,),))/VLOOKUP(EDATE(B75,-12),Data!$B:$AY,MATCH($H$1,Data!$B$1:$AY$1,),)</f>
        <v>-1.9896538002383627E-4</v>
      </c>
      <c r="I75" s="21">
        <f>(VLOOKUP(B75,Data!$B:$AY,MATCH($I$1,Data!$B$1:$AY$1,),)-VLOOKUP(EDATE(B75,-12),Data!$B:$AY,MATCH($I$1,Data!$B$1:$AY$1,),))/VLOOKUP(EDATE(B75,-12),Data!$B:$AY,MATCH($I$1,Data!$B$1:$AY$1,),)</f>
        <v>6.9930069930070216E-3</v>
      </c>
      <c r="J75" s="21">
        <f>(VLOOKUP(B75,Data!$B:$AY,MATCH($J$1,Data!$B$1:$AY$1,),)-VLOOKUP(EDATE(B75,-12),Data!$B:$AY,MATCH($J$1,Data!$B$1:$AY$1,),))/VLOOKUP(EDATE(B75,-12),Data!$B:$AY,MATCH($J$1,Data!$B$1:$AY$1,),)</f>
        <v>-2.9272776318024873E-3</v>
      </c>
      <c r="K75" s="21">
        <f>(VLOOKUP(B75,Data!$B:$AY,MATCH($K$1,Data!$B$1:$AY$1,),)-VLOOKUP(EDATE(B75,-12),Data!$B:$AY,MATCH($K$1,Data!$B$1:$AY$1,),))/VLOOKUP(EDATE(B75,-12),Data!$B:$AY,MATCH($K$1,Data!$B$1:$AY$1,),)</f>
        <v>-9.8843837800219117E-3</v>
      </c>
      <c r="L75" s="21">
        <f>(VLOOKUP(B75,Data!$B:$AY,MATCH($L$1,Data!$B$1:$AY$1,),)-VLOOKUP(EDATE(B75,-12),Data!$B:$AY,MATCH($L$1,Data!$B$1:$AY$1,),))/VLOOKUP(EDATE(B75,-12),Data!$B:$AY,MATCH($L$1,Data!$B$1:$AY$1,),)</f>
        <v>6.2691079658655112E-3</v>
      </c>
      <c r="M75" s="21">
        <f>(VLOOKUP(B75,Data!$B:$AY,MATCH($M$1,Data!$B$1:$AY$1,),)-VLOOKUP(EDATE(B75,-12),Data!$B:$AY,MATCH($M$1,Data!$B$1:$AY$1,),))/VLOOKUP(EDATE(B75,-12),Data!$B:$AY,MATCH($M$1,Data!$B$1:$AY$1,),)</f>
        <v>2.5966474563933788E-2</v>
      </c>
      <c r="N75" s="21" t="e">
        <f>(VLOOKUP(B75,Data!$B:$AY,MATCH($N$1,Data!$B$1:$AY$1,),)-VLOOKUP(EDATE(B75,-12),Data!$B:$AY,MATCH($N$1,Data!$B$1:$AY$1,),))/VLOOKUP(EDATE(B75,-12),Data!$B:$AY,MATCH($N$1,Data!$B$1:$AY$1,),)</f>
        <v>#DIV/0!</v>
      </c>
      <c r="O75" s="21">
        <f>(VLOOKUP(B75,Data!$B:$AY,MATCH($O$1,Data!$B$1:$AY$1,),)-VLOOKUP(EDATE(B75,-12),Data!$B:$AY,MATCH($O$1,Data!$B$1:$AY$1,),))/VLOOKUP(EDATE(B75,-12),Data!$B:$AY,MATCH($O$1,Data!$B$1:$AY$1,),)</f>
        <v>6.5890981955968042E-2</v>
      </c>
      <c r="P75" s="21">
        <f>(VLOOKUP(B75,Data!$B:$AY,MATCH($P$1,Data!$B$1:$AY$1,),)-VLOOKUP(EDATE(B75,-12),Data!$B:$AY,MATCH($P$1,Data!$B$1:$AY$1,),))/VLOOKUP(EDATE(B75,-12),Data!$B:$AY,MATCH($P$1,Data!$B$1:$AY$1,),)</f>
        <v>1.4971564898058452E-2</v>
      </c>
      <c r="Q75" s="21" t="e">
        <f>(VLOOKUP(B75,Data!$B:$AY,MATCH($Q$1,Data!$B$1:$AY$1,),)-VLOOKUP(EDATE(B75,-12),Data!$B:$AY,MATCH($Q$1,Data!$B$1:$AY$1,),))/VLOOKUP(EDATE(B75,-12),Data!$B:$AY,MATCH($Q$1,Data!$B$1:$AY$1,),)</f>
        <v>#N/A</v>
      </c>
      <c r="R75" s="21">
        <f>(VLOOKUP(B75,Data!$B:$AY,MATCH($R$1,Data!$B$1:$AY$1,),)-VLOOKUP(EDATE(B75,-12),Data!$B:$AY,MATCH($R$1,Data!$B$1:$AY$1,),))/VLOOKUP(EDATE(B75,-12),Data!$B:$AY,MATCH($R$1,Data!$B$1:$AY$1,),)</f>
        <v>-4.3994465578708498E-3</v>
      </c>
      <c r="S75" s="21">
        <f>(VLOOKUP(B75,Data!$B:$AY,MATCH($S$1,Data!$B$1:$AY$1,),)-VLOOKUP(EDATE(B75,-12),Data!$B:$AY,MATCH($S$1,Data!$B$1:$AY$1,),))/VLOOKUP(EDATE(B75,-12),Data!$B:$AY,MATCH($S$1,Data!$B$1:$AY$1,),)</f>
        <v>7.7976607017894743E-3</v>
      </c>
      <c r="T75" s="21">
        <f>(VLOOKUP(B75,Data!$B:$AY,MATCH($T$1,Data!$B$1:$AY$1,),)-VLOOKUP(EDATE(B75,-12),Data!$B:$AY,MATCH($T$1,Data!$B$1:$AY$1,),))/VLOOKUP(EDATE(B75,-12),Data!$B:$AY,MATCH($T$1,Data!$B$1:$AY$1,),)</f>
        <v>9.3211798838386359E-2</v>
      </c>
      <c r="U75" s="21">
        <f>(VLOOKUP(B75,Data!$B:$AY,MATCH($U$1,Data!$B$1:$AY$1,),)-VLOOKUP(EDATE(B75,-12),Data!$B:$AY,MATCH($U$1,Data!$B$1:$AY$1,),))/VLOOKUP(EDATE(B75,-12),Data!$B:$AY,MATCH($U$1,Data!$B$1:$AY$1,),)</f>
        <v>-8.6908790779974994E-3</v>
      </c>
      <c r="V75" s="21" t="e">
        <f>(VLOOKUP(B75,Data!$B:$AY,MATCH($V$1,Data!$B$1:$AY$1,),)-VLOOKUP(EDATE(B75,-12),Data!$B:$AY,MATCH($V$1,Data!$B$1:$AY$1,),))/VLOOKUP(EDATE(B75,-12),Data!$B:$AY,MATCH($V$1,Data!$B$1:$AY$1,),)</f>
        <v>#DIV/0!</v>
      </c>
      <c r="W75" s="21">
        <f>(VLOOKUP(B75,Data!$B:$AY,MATCH($W$1,Data!$B$1:$AY$1,),)-VLOOKUP(EDATE(B75,-12),Data!$B:$AY,MATCH($W$1,Data!$B$1:$AY$1,),))/VLOOKUP(EDATE(B75,-12),Data!$B:$AY,MATCH($W$1,Data!$B$1:$AY$1,),)</f>
        <v>6.582305795006492E-2</v>
      </c>
      <c r="X75" s="21">
        <f>(VLOOKUP(B75,Data!$B:$AY,MATCH($X$1,Data!$B$1:$AY$1,),)-VLOOKUP(EDATE(B75,-12),Data!$B:$AY,MATCH($X$1,Data!$B$1:$AY$1,),))/VLOOKUP(EDATE(B75,-12),Data!$B:$AY,MATCH($X$1,Data!$B$1:$AY$1,),)</f>
        <v>9.9601593625492347E-4</v>
      </c>
      <c r="Y75" s="21">
        <f>(VLOOKUP(B75,Data!$B:$AY,MATCH($Y$1,Data!$B$1:$AY$1,),)-VLOOKUP(EDATE(B75,-12),Data!$B:$AY,MATCH($Y$1,Data!$B$1:$AY$1,),))/VLOOKUP(EDATE(B75,-12),Data!$B:$AY,MATCH($Y$1,Data!$B$1:$AY$1,),)</f>
        <v>-1.0534835541281675E-2</v>
      </c>
      <c r="Z75" s="21" t="e">
        <f>(VLOOKUP(B75,Data!$B:$AY,MATCH($Z$1,Data!$B$1:$AY$1,),)-VLOOKUP(EDATE(B75,-12),Data!$B:$AY,MATCH($Z$1,Data!$B$1:$AY$1,),))/VLOOKUP(EDATE(B75,-12),Data!$B:$AY,MATCH($Z$1,Data!$B$1:$AY$1,),)</f>
        <v>#N/A</v>
      </c>
      <c r="AA75" s="21" t="e">
        <f>(VLOOKUP(B75,Data!$B:$AY,MATCH($AA$1,Data!$B$1:$AY$1,),)-VLOOKUP(EDATE(B75,-12),Data!$B:$AY,MATCH($AA$1,Data!$B$1:$AY$1,),))/VLOOKUP(EDATE(B75,-12),Data!$B:$AY,MATCH($AA$1,Data!$B$1:$AY$1,),)</f>
        <v>#N/A</v>
      </c>
      <c r="AB75" s="20"/>
    </row>
    <row r="76" spans="2:32" x14ac:dyDescent="0.2">
      <c r="B76" s="16">
        <v>42522</v>
      </c>
      <c r="C76" s="21">
        <f>(VLOOKUP(B76,Data!$B:$AY,MATCH($C$1,Data!$B$1:$AY$1,),)-VLOOKUP(EDATE(B76,-12),Data!$B:$AY,MATCH($C$1,Data!$B$1:$AY$1,),))/VLOOKUP(EDATE(B76,-12),Data!$B:$AY,MATCH($C$1,Data!$B$1:$AY$1,),)</f>
        <v>9.9737892552832341E-3</v>
      </c>
      <c r="D76" s="21">
        <f>(VLOOKUP(B76,Data!$B:$AY,MATCH($D$1,Data!$B$1:$AY$1,),)-VLOOKUP(EDATE(B76,-12),Data!$B:$AY,MATCH($D$1,Data!$B$1:$AY$1,),))/VLOOKUP(EDATE(B76,-12),Data!$B:$AY,MATCH($D$1,Data!$B$1:$AY$1,),)</f>
        <v>1.909547738693473E-2</v>
      </c>
      <c r="E76" s="21">
        <f>(VLOOKUP(B76,Data!$B:$AY,MATCH($E$1,Data!$B$1:$AY$1,),)-VLOOKUP(EDATE(B76,-12),Data!$B:$AY,MATCH($E$1,Data!$B$1:$AY$1,),))/VLOOKUP(EDATE(B76,-12),Data!$B:$AY,MATCH($E$1,Data!$B$1:$AY$1,),)</f>
        <v>4.9642573471005917E-4</v>
      </c>
      <c r="F76" s="21">
        <f>(VLOOKUP(B76,Data!$B:$AY,MATCH($F$1,Data!$B$1:$AY$1,),)-VLOOKUP(EDATE(B76,-12),Data!$B:$AY,MATCH($F$1,Data!$B$1:$AY$1,),))/VLOOKUP(EDATE(B76,-12),Data!$B:$AY,MATCH($F$1,Data!$B$1:$AY$1,),)</f>
        <v>-2.9940119760478758E-3</v>
      </c>
      <c r="G76" s="21">
        <f>(VLOOKUP(B76,Data!$B:$AY,MATCH($G$1,Data!$B$1:$AY$1,),)-VLOOKUP(EDATE(B76,-12),Data!$B:$AY,MATCH($G$1,Data!$B$1:$AY$1,),))/VLOOKUP(EDATE(B76,-12),Data!$B:$AY,MATCH($G$1,Data!$B$1:$AY$1,),)</f>
        <v>2.9885467257936226E-3</v>
      </c>
      <c r="H76" s="21">
        <f>(VLOOKUP(B76,Data!$B:$AY,MATCH($H$1,Data!$B$1:$AY$1,),)-VLOOKUP(EDATE(B76,-12),Data!$B:$AY,MATCH($H$1,Data!$B$1:$AY$1,),))/VLOOKUP(EDATE(B76,-12),Data!$B:$AY,MATCH($H$1,Data!$B$1:$AY$1,),)</f>
        <v>1.8916766228593959E-3</v>
      </c>
      <c r="I76" s="21">
        <f>(VLOOKUP(B76,Data!$B:$AY,MATCH($I$1,Data!$B$1:$AY$1,),)-VLOOKUP(EDATE(B76,-12),Data!$B:$AY,MATCH($I$1,Data!$B$1:$AY$1,),))/VLOOKUP(EDATE(B76,-12),Data!$B:$AY,MATCH($I$1,Data!$B$1:$AY$1,),)</f>
        <v>8.9910089910090491E-3</v>
      </c>
      <c r="J76" s="21">
        <f>(VLOOKUP(B76,Data!$B:$AY,MATCH($J$1,Data!$B$1:$AY$1,),)-VLOOKUP(EDATE(B76,-12),Data!$B:$AY,MATCH($J$1,Data!$B$1:$AY$1,),))/VLOOKUP(EDATE(B76,-12),Data!$B:$AY,MATCH($J$1,Data!$B$1:$AY$1,),)</f>
        <v>-3.7804487674898755E-3</v>
      </c>
      <c r="K76" s="21">
        <f>(VLOOKUP(B76,Data!$B:$AY,MATCH($K$1,Data!$B$1:$AY$1,),)-VLOOKUP(EDATE(B76,-12),Data!$B:$AY,MATCH($K$1,Data!$B$1:$AY$1,),))/VLOOKUP(EDATE(B76,-12),Data!$B:$AY,MATCH($K$1,Data!$B$1:$AY$1,),)</f>
        <v>-7.9535207479710917E-3</v>
      </c>
      <c r="L76" s="21">
        <f>(VLOOKUP(B76,Data!$B:$AY,MATCH($L$1,Data!$B$1:$AY$1,),)-VLOOKUP(EDATE(B76,-12),Data!$B:$AY,MATCH($L$1,Data!$B$1:$AY$1,),))/VLOOKUP(EDATE(B76,-12),Data!$B:$AY,MATCH($L$1,Data!$B$1:$AY$1,),)</f>
        <v>1.0245017373377371E-2</v>
      </c>
      <c r="M76" s="21">
        <f>(VLOOKUP(B76,Data!$B:$AY,MATCH($M$1,Data!$B$1:$AY$1,),)-VLOOKUP(EDATE(B76,-12),Data!$B:$AY,MATCH($M$1,Data!$B$1:$AY$1,),))/VLOOKUP(EDATE(B76,-12),Data!$B:$AY,MATCH($M$1,Data!$B$1:$AY$1,),)</f>
        <v>2.5379977195129834E-2</v>
      </c>
      <c r="N76" s="21" t="e">
        <f>(VLOOKUP(B76,Data!$B:$AY,MATCH($N$1,Data!$B$1:$AY$1,),)-VLOOKUP(EDATE(B76,-12),Data!$B:$AY,MATCH($N$1,Data!$B$1:$AY$1,),))/VLOOKUP(EDATE(B76,-12),Data!$B:$AY,MATCH($N$1,Data!$B$1:$AY$1,),)</f>
        <v>#DIV/0!</v>
      </c>
      <c r="O76" s="21">
        <f>(VLOOKUP(B76,Data!$B:$AY,MATCH($O$1,Data!$B$1:$AY$1,),)-VLOOKUP(EDATE(B76,-12),Data!$B:$AY,MATCH($O$1,Data!$B$1:$AY$1,),))/VLOOKUP(EDATE(B76,-12),Data!$B:$AY,MATCH($O$1,Data!$B$1:$AY$1,),)</f>
        <v>6.130261023044635E-2</v>
      </c>
      <c r="P76" s="21">
        <f>(VLOOKUP(B76,Data!$B:$AY,MATCH($P$1,Data!$B$1:$AY$1,),)-VLOOKUP(EDATE(B76,-12),Data!$B:$AY,MATCH($P$1,Data!$B$1:$AY$1,),))/VLOOKUP(EDATE(B76,-12),Data!$B:$AY,MATCH($P$1,Data!$B$1:$AY$1,),)</f>
        <v>1.4937253981078655E-2</v>
      </c>
      <c r="Q76" s="21" t="e">
        <f>(VLOOKUP(B76,Data!$B:$AY,MATCH($Q$1,Data!$B$1:$AY$1,),)-VLOOKUP(EDATE(B76,-12),Data!$B:$AY,MATCH($Q$1,Data!$B$1:$AY$1,),))/VLOOKUP(EDATE(B76,-12),Data!$B:$AY,MATCH($Q$1,Data!$B$1:$AY$1,),)</f>
        <v>#N/A</v>
      </c>
      <c r="R76" s="21">
        <f>(VLOOKUP(B76,Data!$B:$AY,MATCH($R$1,Data!$B$1:$AY$1,),)-VLOOKUP(EDATE(B76,-12),Data!$B:$AY,MATCH($R$1,Data!$B$1:$AY$1,),))/VLOOKUP(EDATE(B76,-12),Data!$B:$AY,MATCH($R$1,Data!$B$1:$AY$1,),)</f>
        <v>-3.7406545846907701E-3</v>
      </c>
      <c r="S76" s="21">
        <f>(VLOOKUP(B76,Data!$B:$AY,MATCH($S$1,Data!$B$1:$AY$1,),)-VLOOKUP(EDATE(B76,-12),Data!$B:$AY,MATCH($S$1,Data!$B$1:$AY$1,),))/VLOOKUP(EDATE(B76,-12),Data!$B:$AY,MATCH($S$1,Data!$B$1:$AY$1,),)</f>
        <v>7.396301849075553E-3</v>
      </c>
      <c r="T76" s="21">
        <f>(VLOOKUP(B76,Data!$B:$AY,MATCH($T$1,Data!$B$1:$AY$1,),)-VLOOKUP(EDATE(B76,-12),Data!$B:$AY,MATCH($T$1,Data!$B$1:$AY$1,),))/VLOOKUP(EDATE(B76,-12),Data!$B:$AY,MATCH($T$1,Data!$B$1:$AY$1,),)</f>
        <v>8.8437428442008192E-2</v>
      </c>
      <c r="U76" s="21">
        <f>(VLOOKUP(B76,Data!$B:$AY,MATCH($U$1,Data!$B$1:$AY$1,),)-VLOOKUP(EDATE(B76,-12),Data!$B:$AY,MATCH($U$1,Data!$B$1:$AY$1,),))/VLOOKUP(EDATE(B76,-12),Data!$B:$AY,MATCH($U$1,Data!$B$1:$AY$1,),)</f>
        <v>-7.1094512364435038E-3</v>
      </c>
      <c r="V76" s="21" t="e">
        <f>(VLOOKUP(B76,Data!$B:$AY,MATCH($V$1,Data!$B$1:$AY$1,),)-VLOOKUP(EDATE(B76,-12),Data!$B:$AY,MATCH($V$1,Data!$B$1:$AY$1,),))/VLOOKUP(EDATE(B76,-12),Data!$B:$AY,MATCH($V$1,Data!$B$1:$AY$1,),)</f>
        <v>#DIV/0!</v>
      </c>
      <c r="W76" s="21">
        <f>(VLOOKUP(B76,Data!$B:$AY,MATCH($W$1,Data!$B$1:$AY$1,),)-VLOOKUP(EDATE(B76,-12),Data!$B:$AY,MATCH($W$1,Data!$B$1:$AY$1,),))/VLOOKUP(EDATE(B76,-12),Data!$B:$AY,MATCH($W$1,Data!$B$1:$AY$1,),)</f>
        <v>7.6374475260238633E-2</v>
      </c>
      <c r="X76" s="21">
        <f>(VLOOKUP(B76,Data!$B:$AY,MATCH($X$1,Data!$B$1:$AY$1,),)-VLOOKUP(EDATE(B76,-12),Data!$B:$AY,MATCH($X$1,Data!$B$1:$AY$1,),))/VLOOKUP(EDATE(B76,-12),Data!$B:$AY,MATCH($X$1,Data!$B$1:$AY$1,),)</f>
        <v>9.9502487562183389E-4</v>
      </c>
      <c r="Y76" s="21">
        <f>(VLOOKUP(B76,Data!$B:$AY,MATCH($Y$1,Data!$B$1:$AY$1,),)-VLOOKUP(EDATE(B76,-12),Data!$B:$AY,MATCH($Y$1,Data!$B$1:$AY$1,),))/VLOOKUP(EDATE(B76,-12),Data!$B:$AY,MATCH($Y$1,Data!$B$1:$AY$1,),)</f>
        <v>-8.914091611853683E-3</v>
      </c>
      <c r="Z76" s="21" t="e">
        <f>(VLOOKUP(B76,Data!$B:$AY,MATCH($Z$1,Data!$B$1:$AY$1,),)-VLOOKUP(EDATE(B76,-12),Data!$B:$AY,MATCH($Z$1,Data!$B$1:$AY$1,),))/VLOOKUP(EDATE(B76,-12),Data!$B:$AY,MATCH($Z$1,Data!$B$1:$AY$1,),)</f>
        <v>#N/A</v>
      </c>
      <c r="AA76" s="21" t="e">
        <f>(VLOOKUP(B76,Data!$B:$AY,MATCH($AA$1,Data!$B$1:$AY$1,),)-VLOOKUP(EDATE(B76,-12),Data!$B:$AY,MATCH($AA$1,Data!$B$1:$AY$1,),))/VLOOKUP(EDATE(B76,-12),Data!$B:$AY,MATCH($AA$1,Data!$B$1:$AY$1,),)</f>
        <v>#N/A</v>
      </c>
      <c r="AB76" s="20"/>
    </row>
    <row r="77" spans="2:32" x14ac:dyDescent="0.2">
      <c r="B77" s="16">
        <v>42552</v>
      </c>
      <c r="C77" s="21">
        <f>(VLOOKUP(B77,Data!$B:$AY,MATCH($C$1,Data!$B$1:$AY$1,),)-VLOOKUP(EDATE(B77,-12),Data!$B:$AY,MATCH($C$1,Data!$B$1:$AY$1,),))/VLOOKUP(EDATE(B77,-12),Data!$B:$AY,MATCH($C$1,Data!$B$1:$AY$1,),)</f>
        <v>8.2708730796388508E-3</v>
      </c>
      <c r="D77" s="21">
        <f>(VLOOKUP(B77,Data!$B:$AY,MATCH($D$1,Data!$B$1:$AY$1,),)-VLOOKUP(EDATE(B77,-12),Data!$B:$AY,MATCH($D$1,Data!$B$1:$AY$1,),))/VLOOKUP(EDATE(B77,-12),Data!$B:$AY,MATCH($D$1,Data!$B$1:$AY$1,),)</f>
        <v>1.7017017017016901E-2</v>
      </c>
      <c r="E77" s="21">
        <f>(VLOOKUP(B77,Data!$B:$AY,MATCH($E$1,Data!$B$1:$AY$1,),)-VLOOKUP(EDATE(B77,-12),Data!$B:$AY,MATCH($E$1,Data!$B$1:$AY$1,),))/VLOOKUP(EDATE(B77,-12),Data!$B:$AY,MATCH($E$1,Data!$B$1:$AY$1,),)</f>
        <v>1.6981320547398034E-3</v>
      </c>
      <c r="F77" s="21">
        <f>(VLOOKUP(B77,Data!$B:$AY,MATCH($F$1,Data!$B$1:$AY$1,),)-VLOOKUP(EDATE(B77,-12),Data!$B:$AY,MATCH($F$1,Data!$B$1:$AY$1,),))/VLOOKUP(EDATE(B77,-12),Data!$B:$AY,MATCH($F$1,Data!$B$1:$AY$1,),)</f>
        <v>-4.995004995004995E-3</v>
      </c>
      <c r="G77" s="21">
        <f>(VLOOKUP(B77,Data!$B:$AY,MATCH($G$1,Data!$B$1:$AY$1,),)-VLOOKUP(EDATE(B77,-12),Data!$B:$AY,MATCH($G$1,Data!$B$1:$AY$1,),))/VLOOKUP(EDATE(B77,-12),Data!$B:$AY,MATCH($G$1,Data!$B$1:$AY$1,),)</f>
        <v>4.9703429248396224E-3</v>
      </c>
      <c r="H77" s="21">
        <f>(VLOOKUP(B77,Data!$B:$AY,MATCH($H$1,Data!$B$1:$AY$1,),)-VLOOKUP(EDATE(B77,-12),Data!$B:$AY,MATCH($H$1,Data!$B$1:$AY$1,),))/VLOOKUP(EDATE(B77,-12),Data!$B:$AY,MATCH($H$1,Data!$B$1:$AY$1,),)</f>
        <v>2.1993401979406063E-3</v>
      </c>
      <c r="I77" s="21">
        <f>(VLOOKUP(B77,Data!$B:$AY,MATCH($I$1,Data!$B$1:$AY$1,),)-VLOOKUP(EDATE(B77,-12),Data!$B:$AY,MATCH($I$1,Data!$B$1:$AY$1,),))/VLOOKUP(EDATE(B77,-12),Data!$B:$AY,MATCH($I$1,Data!$B$1:$AY$1,),)</f>
        <v>9.0000000000000566E-3</v>
      </c>
      <c r="J77" s="21">
        <f>(VLOOKUP(B77,Data!$B:$AY,MATCH($J$1,Data!$B$1:$AY$1,),)-VLOOKUP(EDATE(B77,-12),Data!$B:$AY,MATCH($J$1,Data!$B$1:$AY$1,),))/VLOOKUP(EDATE(B77,-12),Data!$B:$AY,MATCH($J$1,Data!$B$1:$AY$1,),)</f>
        <v>-8.58403369732425E-4</v>
      </c>
      <c r="K77" s="21">
        <f>(VLOOKUP(B77,Data!$B:$AY,MATCH($K$1,Data!$B$1:$AY$1,),)-VLOOKUP(EDATE(B77,-12),Data!$B:$AY,MATCH($K$1,Data!$B$1:$AY$1,),))/VLOOKUP(EDATE(B77,-12),Data!$B:$AY,MATCH($K$1,Data!$B$1:$AY$1,),)</f>
        <v>-5.9360170062426098E-3</v>
      </c>
      <c r="L77" s="21">
        <f>(VLOOKUP(B77,Data!$B:$AY,MATCH($L$1,Data!$B$1:$AY$1,),)-VLOOKUP(EDATE(B77,-12),Data!$B:$AY,MATCH($L$1,Data!$B$1:$AY$1,),))/VLOOKUP(EDATE(B77,-12),Data!$B:$AY,MATCH($L$1,Data!$B$1:$AY$1,),)</f>
        <v>1.0528167922828765E-2</v>
      </c>
      <c r="M77" s="21">
        <f>(VLOOKUP(B77,Data!$B:$AY,MATCH($M$1,Data!$B$1:$AY$1,),)-VLOOKUP(EDATE(B77,-12),Data!$B:$AY,MATCH($M$1,Data!$B$1:$AY$1,),))/VLOOKUP(EDATE(B77,-12),Data!$B:$AY,MATCH($M$1,Data!$B$1:$AY$1,),)</f>
        <v>2.6548514297185556E-2</v>
      </c>
      <c r="N77" s="21" t="e">
        <f>(VLOOKUP(B77,Data!$B:$AY,MATCH($N$1,Data!$B$1:$AY$1,),)-VLOOKUP(EDATE(B77,-12),Data!$B:$AY,MATCH($N$1,Data!$B$1:$AY$1,),))/VLOOKUP(EDATE(B77,-12),Data!$B:$AY,MATCH($N$1,Data!$B$1:$AY$1,),)</f>
        <v>#DIV/0!</v>
      </c>
      <c r="O77" s="21">
        <f>(VLOOKUP(B77,Data!$B:$AY,MATCH($O$1,Data!$B$1:$AY$1,),)-VLOOKUP(EDATE(B77,-12),Data!$B:$AY,MATCH($O$1,Data!$B$1:$AY$1,),))/VLOOKUP(EDATE(B77,-12),Data!$B:$AY,MATCH($O$1,Data!$B$1:$AY$1,),)</f>
        <v>6.4638484698183105E-2</v>
      </c>
      <c r="P77" s="21">
        <f>(VLOOKUP(B77,Data!$B:$AY,MATCH($P$1,Data!$B$1:$AY$1,),)-VLOOKUP(EDATE(B77,-12),Data!$B:$AY,MATCH($P$1,Data!$B$1:$AY$1,),))/VLOOKUP(EDATE(B77,-12),Data!$B:$AY,MATCH($P$1,Data!$B$1:$AY$1,),)</f>
        <v>1.2569174204658093E-2</v>
      </c>
      <c r="Q77" s="21" t="e">
        <f>(VLOOKUP(B77,Data!$B:$AY,MATCH($Q$1,Data!$B$1:$AY$1,),)-VLOOKUP(EDATE(B77,-12),Data!$B:$AY,MATCH($Q$1,Data!$B$1:$AY$1,),))/VLOOKUP(EDATE(B77,-12),Data!$B:$AY,MATCH($Q$1,Data!$B$1:$AY$1,),)</f>
        <v>#N/A</v>
      </c>
      <c r="R77" s="21">
        <f>(VLOOKUP(B77,Data!$B:$AY,MATCH($R$1,Data!$B$1:$AY$1,),)-VLOOKUP(EDATE(B77,-12),Data!$B:$AY,MATCH($R$1,Data!$B$1:$AY$1,),))/VLOOKUP(EDATE(B77,-12),Data!$B:$AY,MATCH($R$1,Data!$B$1:$AY$1,),)</f>
        <v>-2.0287185461490523E-3</v>
      </c>
      <c r="S77" s="21">
        <f>(VLOOKUP(B77,Data!$B:$AY,MATCH($S$1,Data!$B$1:$AY$1,),)-VLOOKUP(EDATE(B77,-12),Data!$B:$AY,MATCH($S$1,Data!$B$1:$AY$1,),))/VLOOKUP(EDATE(B77,-12),Data!$B:$AY,MATCH($S$1,Data!$B$1:$AY$1,),)</f>
        <v>3.6915095280853072E-3</v>
      </c>
      <c r="T77" s="21">
        <f>(VLOOKUP(B77,Data!$B:$AY,MATCH($T$1,Data!$B$1:$AY$1,),)-VLOOKUP(EDATE(B77,-12),Data!$B:$AY,MATCH($T$1,Data!$B$1:$AY$1,),))/VLOOKUP(EDATE(B77,-12),Data!$B:$AY,MATCH($T$1,Data!$B$1:$AY$1,),)</f>
        <v>8.7357964426759721E-2</v>
      </c>
      <c r="U77" s="21">
        <f>(VLOOKUP(B77,Data!$B:$AY,MATCH($U$1,Data!$B$1:$AY$1,),)-VLOOKUP(EDATE(B77,-12),Data!$B:$AY,MATCH($U$1,Data!$B$1:$AY$1,),))/VLOOKUP(EDATE(B77,-12),Data!$B:$AY,MATCH($U$1,Data!$B$1:$AY$1,),)</f>
        <v>-1.0433656544242055E-2</v>
      </c>
      <c r="V77" s="21" t="e">
        <f>(VLOOKUP(B77,Data!$B:$AY,MATCH($V$1,Data!$B$1:$AY$1,),)-VLOOKUP(EDATE(B77,-12),Data!$B:$AY,MATCH($V$1,Data!$B$1:$AY$1,),))/VLOOKUP(EDATE(B77,-12),Data!$B:$AY,MATCH($V$1,Data!$B$1:$AY$1,),)</f>
        <v>#DIV/0!</v>
      </c>
      <c r="W77" s="21">
        <f>(VLOOKUP(B77,Data!$B:$AY,MATCH($W$1,Data!$B$1:$AY$1,),)-VLOOKUP(EDATE(B77,-12),Data!$B:$AY,MATCH($W$1,Data!$B$1:$AY$1,),))/VLOOKUP(EDATE(B77,-12),Data!$B:$AY,MATCH($W$1,Data!$B$1:$AY$1,),)</f>
        <v>8.7933843072932616E-2</v>
      </c>
      <c r="X77" s="21">
        <f>(VLOOKUP(B77,Data!$B:$AY,MATCH($X$1,Data!$B$1:$AY$1,),)-VLOOKUP(EDATE(B77,-12),Data!$B:$AY,MATCH($X$1,Data!$B$1:$AY$1,),))/VLOOKUP(EDATE(B77,-12),Data!$B:$AY,MATCH($X$1,Data!$B$1:$AY$1,),)</f>
        <v>4.9800796812749003E-3</v>
      </c>
      <c r="Y77" s="21">
        <f>(VLOOKUP(B77,Data!$B:$AY,MATCH($Y$1,Data!$B$1:$AY$1,),)-VLOOKUP(EDATE(B77,-12),Data!$B:$AY,MATCH($Y$1,Data!$B$1:$AY$1,),))/VLOOKUP(EDATE(B77,-12),Data!$B:$AY,MATCH($Y$1,Data!$B$1:$AY$1,),)</f>
        <v>-1.1354408800563551E-2</v>
      </c>
      <c r="Z77" s="21" t="e">
        <f>(VLOOKUP(B77,Data!$B:$AY,MATCH($Z$1,Data!$B$1:$AY$1,),)-VLOOKUP(EDATE(B77,-12),Data!$B:$AY,MATCH($Z$1,Data!$B$1:$AY$1,),))/VLOOKUP(EDATE(B77,-12),Data!$B:$AY,MATCH($Z$1,Data!$B$1:$AY$1,),)</f>
        <v>#N/A</v>
      </c>
      <c r="AA77" s="21" t="e">
        <f>(VLOOKUP(B77,Data!$B:$AY,MATCH($AA$1,Data!$B$1:$AY$1,),)-VLOOKUP(EDATE(B77,-12),Data!$B:$AY,MATCH($AA$1,Data!$B$1:$AY$1,),))/VLOOKUP(EDATE(B77,-12),Data!$B:$AY,MATCH($AA$1,Data!$B$1:$AY$1,),)</f>
        <v>#N/A</v>
      </c>
      <c r="AB77" s="20"/>
    </row>
    <row r="78" spans="2:32" x14ac:dyDescent="0.2">
      <c r="B78" s="16">
        <v>42583</v>
      </c>
      <c r="C78" s="21">
        <f>(VLOOKUP(B78,Data!$B:$AY,MATCH($C$1,Data!$B$1:$AY$1,),)-VLOOKUP(EDATE(B78,-12),Data!$B:$AY,MATCH($C$1,Data!$B$1:$AY$1,),))/VLOOKUP(EDATE(B78,-12),Data!$B:$AY,MATCH($C$1,Data!$B$1:$AY$1,),)</f>
        <v>1.0628743854931049E-2</v>
      </c>
      <c r="D78" s="21">
        <f>(VLOOKUP(B78,Data!$B:$AY,MATCH($D$1,Data!$B$1:$AY$1,),)-VLOOKUP(EDATE(B78,-12),Data!$B:$AY,MATCH($D$1,Data!$B$1:$AY$1,),))/VLOOKUP(EDATE(B78,-12),Data!$B:$AY,MATCH($D$1,Data!$B$1:$AY$1,),)</f>
        <v>1.2948207171314712E-2</v>
      </c>
      <c r="E78" s="21">
        <f>(VLOOKUP(B78,Data!$B:$AY,MATCH($E$1,Data!$B$1:$AY$1,),)-VLOOKUP(EDATE(B78,-12),Data!$B:$AY,MATCH($E$1,Data!$B$1:$AY$1,),))/VLOOKUP(EDATE(B78,-12),Data!$B:$AY,MATCH($E$1,Data!$B$1:$AY$1,),)</f>
        <v>2.197363164202945E-3</v>
      </c>
      <c r="F78" s="21">
        <f>(VLOOKUP(B78,Data!$B:$AY,MATCH($F$1,Data!$B$1:$AY$1,),)-VLOOKUP(EDATE(B78,-12),Data!$B:$AY,MATCH($F$1,Data!$B$1:$AY$1,),))/VLOOKUP(EDATE(B78,-12),Data!$B:$AY,MATCH($F$1,Data!$B$1:$AY$1,),)</f>
        <v>-4.9900199600798403E-3</v>
      </c>
      <c r="G78" s="21">
        <f>(VLOOKUP(B78,Data!$B:$AY,MATCH($G$1,Data!$B$1:$AY$1,),)-VLOOKUP(EDATE(B78,-12),Data!$B:$AY,MATCH($G$1,Data!$B$1:$AY$1,),))/VLOOKUP(EDATE(B78,-12),Data!$B:$AY,MATCH($G$1,Data!$B$1:$AY$1,),)</f>
        <v>3.9754792440229239E-3</v>
      </c>
      <c r="H78" s="21">
        <f>(VLOOKUP(B78,Data!$B:$AY,MATCH($H$1,Data!$B$1:$AY$1,),)-VLOOKUP(EDATE(B78,-12),Data!$B:$AY,MATCH($H$1,Data!$B$1:$AY$1,),))/VLOOKUP(EDATE(B78,-12),Data!$B:$AY,MATCH($H$1,Data!$B$1:$AY$1,),)</f>
        <v>2.2919780767314797E-3</v>
      </c>
      <c r="I78" s="21">
        <f>(VLOOKUP(B78,Data!$B:$AY,MATCH($I$1,Data!$B$1:$AY$1,),)-VLOOKUP(EDATE(B78,-12),Data!$B:$AY,MATCH($I$1,Data!$B$1:$AY$1,),))/VLOOKUP(EDATE(B78,-12),Data!$B:$AY,MATCH($I$1,Data!$B$1:$AY$1,),)</f>
        <v>8.9730807577268756E-3</v>
      </c>
      <c r="J78" s="21">
        <f>(VLOOKUP(B78,Data!$B:$AY,MATCH($J$1,Data!$B$1:$AY$1,),)-VLOOKUP(EDATE(B78,-12),Data!$B:$AY,MATCH($J$1,Data!$B$1:$AY$1,),))/VLOOKUP(EDATE(B78,-12),Data!$B:$AY,MATCH($J$1,Data!$B$1:$AY$1,),)</f>
        <v>-7.1832710484293983E-4</v>
      </c>
      <c r="K78" s="21">
        <f>(VLOOKUP(B78,Data!$B:$AY,MATCH($K$1,Data!$B$1:$AY$1,),)-VLOOKUP(EDATE(B78,-12),Data!$B:$AY,MATCH($K$1,Data!$B$1:$AY$1,),))/VLOOKUP(EDATE(B78,-12),Data!$B:$AY,MATCH($K$1,Data!$B$1:$AY$1,),)</f>
        <v>-1.3391052477845374E-3</v>
      </c>
      <c r="L78" s="21">
        <f>(VLOOKUP(B78,Data!$B:$AY,MATCH($L$1,Data!$B$1:$AY$1,),)-VLOOKUP(EDATE(B78,-12),Data!$B:$AY,MATCH($L$1,Data!$B$1:$AY$1,),))/VLOOKUP(EDATE(B78,-12),Data!$B:$AY,MATCH($L$1,Data!$B$1:$AY$1,),)</f>
        <v>1.1412616715845715E-2</v>
      </c>
      <c r="M78" s="21">
        <f>(VLOOKUP(B78,Data!$B:$AY,MATCH($M$1,Data!$B$1:$AY$1,),)-VLOOKUP(EDATE(B78,-12),Data!$B:$AY,MATCH($M$1,Data!$B$1:$AY$1,),))/VLOOKUP(EDATE(B78,-12),Data!$B:$AY,MATCH($M$1,Data!$B$1:$AY$1,),)</f>
        <v>2.7273971442164265E-2</v>
      </c>
      <c r="N78" s="21" t="e">
        <f>(VLOOKUP(B78,Data!$B:$AY,MATCH($N$1,Data!$B$1:$AY$1,),)-VLOOKUP(EDATE(B78,-12),Data!$B:$AY,MATCH($N$1,Data!$B$1:$AY$1,),))/VLOOKUP(EDATE(B78,-12),Data!$B:$AY,MATCH($N$1,Data!$B$1:$AY$1,),)</f>
        <v>#DIV/0!</v>
      </c>
      <c r="O78" s="21">
        <f>(VLOOKUP(B78,Data!$B:$AY,MATCH($O$1,Data!$B$1:$AY$1,),)-VLOOKUP(EDATE(B78,-12),Data!$B:$AY,MATCH($O$1,Data!$B$1:$AY$1,),))/VLOOKUP(EDATE(B78,-12),Data!$B:$AY,MATCH($O$1,Data!$B$1:$AY$1,),)</f>
        <v>5.3029957955483792E-2</v>
      </c>
      <c r="P78" s="21">
        <f>(VLOOKUP(B78,Data!$B:$AY,MATCH($P$1,Data!$B$1:$AY$1,),)-VLOOKUP(EDATE(B78,-12),Data!$B:$AY,MATCH($P$1,Data!$B$1:$AY$1,),))/VLOOKUP(EDATE(B78,-12),Data!$B:$AY,MATCH($P$1,Data!$B$1:$AY$1,),)</f>
        <v>1.0997281749543125E-2</v>
      </c>
      <c r="Q78" s="21" t="e">
        <f>(VLOOKUP(B78,Data!$B:$AY,MATCH($Q$1,Data!$B$1:$AY$1,),)-VLOOKUP(EDATE(B78,-12),Data!$B:$AY,MATCH($Q$1,Data!$B$1:$AY$1,),))/VLOOKUP(EDATE(B78,-12),Data!$B:$AY,MATCH($Q$1,Data!$B$1:$AY$1,),)</f>
        <v>#N/A</v>
      </c>
      <c r="R78" s="21">
        <f>(VLOOKUP(B78,Data!$B:$AY,MATCH($R$1,Data!$B$1:$AY$1,),)-VLOOKUP(EDATE(B78,-12),Data!$B:$AY,MATCH($R$1,Data!$B$1:$AY$1,),))/VLOOKUP(EDATE(B78,-12),Data!$B:$AY,MATCH($R$1,Data!$B$1:$AY$1,),)</f>
        <v>-1.4306900777400591E-3</v>
      </c>
      <c r="S78" s="21">
        <f>(VLOOKUP(B78,Data!$B:$AY,MATCH($S$1,Data!$B$1:$AY$1,),)-VLOOKUP(EDATE(B78,-12),Data!$B:$AY,MATCH($S$1,Data!$B$1:$AY$1,),))/VLOOKUP(EDATE(B78,-12),Data!$B:$AY,MATCH($S$1,Data!$B$1:$AY$1,),)</f>
        <v>4.8819368337152027E-3</v>
      </c>
      <c r="T78" s="21">
        <f>(VLOOKUP(B78,Data!$B:$AY,MATCH($T$1,Data!$B$1:$AY$1,),)-VLOOKUP(EDATE(B78,-12),Data!$B:$AY,MATCH($T$1,Data!$B$1:$AY$1,),))/VLOOKUP(EDATE(B78,-12),Data!$B:$AY,MATCH($T$1,Data!$B$1:$AY$1,),)</f>
        <v>8.9744327083639067E-2</v>
      </c>
      <c r="U78" s="21">
        <f>(VLOOKUP(B78,Data!$B:$AY,MATCH($U$1,Data!$B$1:$AY$1,),)-VLOOKUP(EDATE(B78,-12),Data!$B:$AY,MATCH($U$1,Data!$B$1:$AY$1,),))/VLOOKUP(EDATE(B78,-12),Data!$B:$AY,MATCH($U$1,Data!$B$1:$AY$1,),)</f>
        <v>-9.479070031283017E-3</v>
      </c>
      <c r="V78" s="21" t="e">
        <f>(VLOOKUP(B78,Data!$B:$AY,MATCH($V$1,Data!$B$1:$AY$1,),)-VLOOKUP(EDATE(B78,-12),Data!$B:$AY,MATCH($V$1,Data!$B$1:$AY$1,),))/VLOOKUP(EDATE(B78,-12),Data!$B:$AY,MATCH($V$1,Data!$B$1:$AY$1,),)</f>
        <v>#DIV/0!</v>
      </c>
      <c r="W78" s="21">
        <f>(VLOOKUP(B78,Data!$B:$AY,MATCH($W$1,Data!$B$1:$AY$1,),)-VLOOKUP(EDATE(B78,-12),Data!$B:$AY,MATCH($W$1,Data!$B$1:$AY$1,),))/VLOOKUP(EDATE(B78,-12),Data!$B:$AY,MATCH($W$1,Data!$B$1:$AY$1,),)</f>
        <v>8.0450822784557202E-2</v>
      </c>
      <c r="X78" s="21">
        <f>(VLOOKUP(B78,Data!$B:$AY,MATCH($X$1,Data!$B$1:$AY$1,),)-VLOOKUP(EDATE(B78,-12),Data!$B:$AY,MATCH($X$1,Data!$B$1:$AY$1,),))/VLOOKUP(EDATE(B78,-12),Data!$B:$AY,MATCH($X$1,Data!$B$1:$AY$1,),)</f>
        <v>5.9880239520957515E-3</v>
      </c>
      <c r="Y78" s="21">
        <f>(VLOOKUP(B78,Data!$B:$AY,MATCH($Y$1,Data!$B$1:$AY$1,),)-VLOOKUP(EDATE(B78,-12),Data!$B:$AY,MATCH($Y$1,Data!$B$1:$AY$1,),))/VLOOKUP(EDATE(B78,-12),Data!$B:$AY,MATCH($Y$1,Data!$B$1:$AY$1,),)</f>
        <v>-8.957645761825013E-3</v>
      </c>
      <c r="Z78" s="21" t="e">
        <f>(VLOOKUP(B78,Data!$B:$AY,MATCH($Z$1,Data!$B$1:$AY$1,),)-VLOOKUP(EDATE(B78,-12),Data!$B:$AY,MATCH($Z$1,Data!$B$1:$AY$1,),))/VLOOKUP(EDATE(B78,-12),Data!$B:$AY,MATCH($Z$1,Data!$B$1:$AY$1,),)</f>
        <v>#N/A</v>
      </c>
      <c r="AA78" s="21" t="e">
        <f>(VLOOKUP(B78,Data!$B:$AY,MATCH($AA$1,Data!$B$1:$AY$1,),)-VLOOKUP(EDATE(B78,-12),Data!$B:$AY,MATCH($AA$1,Data!$B$1:$AY$1,),))/VLOOKUP(EDATE(B78,-12),Data!$B:$AY,MATCH($AA$1,Data!$B$1:$AY$1,),)</f>
        <v>#N/A</v>
      </c>
      <c r="AB78" s="20"/>
    </row>
    <row r="79" spans="2:32" x14ac:dyDescent="0.2">
      <c r="B79" s="16">
        <v>42614</v>
      </c>
      <c r="C79" s="21">
        <f>(VLOOKUP(B79,Data!$B:$AY,MATCH($C$1,Data!$B$1:$AY$1,),)-VLOOKUP(EDATE(B79,-12),Data!$B:$AY,MATCH($C$1,Data!$B$1:$AY$1,),))/VLOOKUP(EDATE(B79,-12),Data!$B:$AY,MATCH($C$1,Data!$B$1:$AY$1,),)</f>
        <v>1.4637693430220793E-2</v>
      </c>
      <c r="D79" s="21">
        <f>(VLOOKUP(B79,Data!$B:$AY,MATCH($D$1,Data!$B$1:$AY$1,),)-VLOOKUP(EDATE(B79,-12),Data!$B:$AY,MATCH($D$1,Data!$B$1:$AY$1,),))/VLOOKUP(EDATE(B79,-12),Data!$B:$AY,MATCH($D$1,Data!$B$1:$AY$1,),)</f>
        <v>1.8905472636815978E-2</v>
      </c>
      <c r="E79" s="21">
        <f>(VLOOKUP(B79,Data!$B:$AY,MATCH($E$1,Data!$B$1:$AY$1,),)-VLOOKUP(EDATE(B79,-12),Data!$B:$AY,MATCH($E$1,Data!$B$1:$AY$1,),))/VLOOKUP(EDATE(B79,-12),Data!$B:$AY,MATCH($E$1,Data!$B$1:$AY$1,),)</f>
        <v>3.9872408293461494E-3</v>
      </c>
      <c r="F79" s="21">
        <f>(VLOOKUP(B79,Data!$B:$AY,MATCH($F$1,Data!$B$1:$AY$1,),)-VLOOKUP(EDATE(B79,-12),Data!$B:$AY,MATCH($F$1,Data!$B$1:$AY$1,),))/VLOOKUP(EDATE(B79,-12),Data!$B:$AY,MATCH($F$1,Data!$B$1:$AY$1,),)</f>
        <v>-4.9850448654037887E-3</v>
      </c>
      <c r="G79" s="21">
        <f>(VLOOKUP(B79,Data!$B:$AY,MATCH($G$1,Data!$B$1:$AY$1,),)-VLOOKUP(EDATE(B79,-12),Data!$B:$AY,MATCH($G$1,Data!$B$1:$AY$1,),))/VLOOKUP(EDATE(B79,-12),Data!$B:$AY,MATCH($G$1,Data!$B$1:$AY$1,),)</f>
        <v>5.9760976012953777E-3</v>
      </c>
      <c r="H79" s="21">
        <f>(VLOOKUP(B79,Data!$B:$AY,MATCH($H$1,Data!$B$1:$AY$1,),)-VLOOKUP(EDATE(B79,-12),Data!$B:$AY,MATCH($H$1,Data!$B$1:$AY$1,),))/VLOOKUP(EDATE(B79,-12),Data!$B:$AY,MATCH($H$1,Data!$B$1:$AY$1,),)</f>
        <v>3.9019509754877496E-3</v>
      </c>
      <c r="I79" s="21">
        <f>(VLOOKUP(B79,Data!$B:$AY,MATCH($I$1,Data!$B$1:$AY$1,),)-VLOOKUP(EDATE(B79,-12),Data!$B:$AY,MATCH($I$1,Data!$B$1:$AY$1,),))/VLOOKUP(EDATE(B79,-12),Data!$B:$AY,MATCH($I$1,Data!$B$1:$AY$1,),)</f>
        <v>1.2974051896207556E-2</v>
      </c>
      <c r="J79" s="21">
        <f>(VLOOKUP(B79,Data!$B:$AY,MATCH($J$1,Data!$B$1:$AY$1,),)-VLOOKUP(EDATE(B79,-12),Data!$B:$AY,MATCH($J$1,Data!$B$1:$AY$1,),))/VLOOKUP(EDATE(B79,-12),Data!$B:$AY,MATCH($J$1,Data!$B$1:$AY$1,),)</f>
        <v>9.9999999999994321E-4</v>
      </c>
      <c r="K79" s="21">
        <f>(VLOOKUP(B79,Data!$B:$AY,MATCH($K$1,Data!$B$1:$AY$1,),)-VLOOKUP(EDATE(B79,-12),Data!$B:$AY,MATCH($K$1,Data!$B$1:$AY$1,),))/VLOOKUP(EDATE(B79,-12),Data!$B:$AY,MATCH($K$1,Data!$B$1:$AY$1,),)</f>
        <v>1.7841714074153122E-3</v>
      </c>
      <c r="L79" s="21">
        <f>(VLOOKUP(B79,Data!$B:$AY,MATCH($L$1,Data!$B$1:$AY$1,),)-VLOOKUP(EDATE(B79,-12),Data!$B:$AY,MATCH($L$1,Data!$B$1:$AY$1,),))/VLOOKUP(EDATE(B79,-12),Data!$B:$AY,MATCH($L$1,Data!$B$1:$AY$1,),)</f>
        <v>9.0753173517553239E-3</v>
      </c>
      <c r="M79" s="21">
        <f>(VLOOKUP(B79,Data!$B:$AY,MATCH($M$1,Data!$B$1:$AY$1,),)-VLOOKUP(EDATE(B79,-12),Data!$B:$AY,MATCH($M$1,Data!$B$1:$AY$1,),))/VLOOKUP(EDATE(B79,-12),Data!$B:$AY,MATCH($M$1,Data!$B$1:$AY$1,),)</f>
        <v>2.9689866109421929E-2</v>
      </c>
      <c r="N79" s="21" t="e">
        <f>(VLOOKUP(B79,Data!$B:$AY,MATCH($N$1,Data!$B$1:$AY$1,),)-VLOOKUP(EDATE(B79,-12),Data!$B:$AY,MATCH($N$1,Data!$B$1:$AY$1,),))/VLOOKUP(EDATE(B79,-12),Data!$B:$AY,MATCH($N$1,Data!$B$1:$AY$1,),)</f>
        <v>#DIV/0!</v>
      </c>
      <c r="O79" s="21">
        <f>(VLOOKUP(B79,Data!$B:$AY,MATCH($O$1,Data!$B$1:$AY$1,),)-VLOOKUP(EDATE(B79,-12),Data!$B:$AY,MATCH($O$1,Data!$B$1:$AY$1,),))/VLOOKUP(EDATE(B79,-12),Data!$B:$AY,MATCH($O$1,Data!$B$1:$AY$1,),)</f>
        <v>4.1352958577264877E-2</v>
      </c>
      <c r="P79" s="21">
        <f>(VLOOKUP(B79,Data!$B:$AY,MATCH($P$1,Data!$B$1:$AY$1,),)-VLOOKUP(EDATE(B79,-12),Data!$B:$AY,MATCH($P$1,Data!$B$1:$AY$1,),))/VLOOKUP(EDATE(B79,-12),Data!$B:$AY,MATCH($P$1,Data!$B$1:$AY$1,),)</f>
        <v>1.3374639270115658E-2</v>
      </c>
      <c r="Q79" s="21" t="e">
        <f>(VLOOKUP(B79,Data!$B:$AY,MATCH($Q$1,Data!$B$1:$AY$1,),)-VLOOKUP(EDATE(B79,-12),Data!$B:$AY,MATCH($Q$1,Data!$B$1:$AY$1,),))/VLOOKUP(EDATE(B79,-12),Data!$B:$AY,MATCH($Q$1,Data!$B$1:$AY$1,),)</f>
        <v>#N/A</v>
      </c>
      <c r="R79" s="21">
        <f>(VLOOKUP(B79,Data!$B:$AY,MATCH($R$1,Data!$B$1:$AY$1,),)-VLOOKUP(EDATE(B79,-12),Data!$B:$AY,MATCH($R$1,Data!$B$1:$AY$1,),))/VLOOKUP(EDATE(B79,-12),Data!$B:$AY,MATCH($R$1,Data!$B$1:$AY$1,),)</f>
        <v>-1.8146988805449365E-3</v>
      </c>
      <c r="S79" s="21">
        <f>(VLOOKUP(B79,Data!$B:$AY,MATCH($S$1,Data!$B$1:$AY$1,),)-VLOOKUP(EDATE(B79,-12),Data!$B:$AY,MATCH($S$1,Data!$B$1:$AY$1,),))/VLOOKUP(EDATE(B79,-12),Data!$B:$AY,MATCH($S$1,Data!$B$1:$AY$1,),)</f>
        <v>1.3485166317051187E-2</v>
      </c>
      <c r="T79" s="21">
        <f>(VLOOKUP(B79,Data!$B:$AY,MATCH($T$1,Data!$B$1:$AY$1,),)-VLOOKUP(EDATE(B79,-12),Data!$B:$AY,MATCH($T$1,Data!$B$1:$AY$1,),))/VLOOKUP(EDATE(B79,-12),Data!$B:$AY,MATCH($T$1,Data!$B$1:$AY$1,),)</f>
        <v>8.4760055270578227E-2</v>
      </c>
      <c r="U79" s="21">
        <f>(VLOOKUP(B79,Data!$B:$AY,MATCH($U$1,Data!$B$1:$AY$1,),)-VLOOKUP(EDATE(B79,-12),Data!$B:$AY,MATCH($U$1,Data!$B$1:$AY$1,),))/VLOOKUP(EDATE(B79,-12),Data!$B:$AY,MATCH($U$1,Data!$B$1:$AY$1,),)</f>
        <v>-9.6976589464416434E-3</v>
      </c>
      <c r="V79" s="21" t="e">
        <f>(VLOOKUP(B79,Data!$B:$AY,MATCH($V$1,Data!$B$1:$AY$1,),)-VLOOKUP(EDATE(B79,-12),Data!$B:$AY,MATCH($V$1,Data!$B$1:$AY$1,),))/VLOOKUP(EDATE(B79,-12),Data!$B:$AY,MATCH($V$1,Data!$B$1:$AY$1,),)</f>
        <v>#DIV/0!</v>
      </c>
      <c r="W79" s="21">
        <f>(VLOOKUP(B79,Data!$B:$AY,MATCH($W$1,Data!$B$1:$AY$1,),)-VLOOKUP(EDATE(B79,-12),Data!$B:$AY,MATCH($W$1,Data!$B$1:$AY$1,),))/VLOOKUP(EDATE(B79,-12),Data!$B:$AY,MATCH($W$1,Data!$B$1:$AY$1,),)</f>
        <v>7.2821361011795829E-2</v>
      </c>
      <c r="X79" s="21">
        <f>(VLOOKUP(B79,Data!$B:$AY,MATCH($X$1,Data!$B$1:$AY$1,),)-VLOOKUP(EDATE(B79,-12),Data!$B:$AY,MATCH($X$1,Data!$B$1:$AY$1,),))/VLOOKUP(EDATE(B79,-12),Data!$B:$AY,MATCH($X$1,Data!$B$1:$AY$1,),)</f>
        <v>5.0000000000000001E-3</v>
      </c>
      <c r="Y79" s="21">
        <f>(VLOOKUP(B79,Data!$B:$AY,MATCH($Y$1,Data!$B$1:$AY$1,),)-VLOOKUP(EDATE(B79,-12),Data!$B:$AY,MATCH($Y$1,Data!$B$1:$AY$1,),))/VLOOKUP(EDATE(B79,-12),Data!$B:$AY,MATCH($Y$1,Data!$B$1:$AY$1,),)</f>
        <v>-5.7189485083862261E-3</v>
      </c>
      <c r="Z79" s="21" t="e">
        <f>(VLOOKUP(B79,Data!$B:$AY,MATCH($Z$1,Data!$B$1:$AY$1,),)-VLOOKUP(EDATE(B79,-12),Data!$B:$AY,MATCH($Z$1,Data!$B$1:$AY$1,),))/VLOOKUP(EDATE(B79,-12),Data!$B:$AY,MATCH($Z$1,Data!$B$1:$AY$1,),)</f>
        <v>#N/A</v>
      </c>
      <c r="AA79" s="21" t="e">
        <f>(VLOOKUP(B79,Data!$B:$AY,MATCH($AA$1,Data!$B$1:$AY$1,),)-VLOOKUP(EDATE(B79,-12),Data!$B:$AY,MATCH($AA$1,Data!$B$1:$AY$1,),))/VLOOKUP(EDATE(B79,-12),Data!$B:$AY,MATCH($AA$1,Data!$B$1:$AY$1,),)</f>
        <v>#N/A</v>
      </c>
      <c r="AB79" s="20"/>
      <c r="AF79" s="3" t="s">
        <v>983</v>
      </c>
    </row>
    <row r="80" spans="2:32" x14ac:dyDescent="0.2">
      <c r="B80" s="16">
        <v>42644</v>
      </c>
      <c r="C80" s="21">
        <f>(VLOOKUP(B80,Data!$B:$AY,MATCH($C$1,Data!$B$1:$AY$1,),)-VLOOKUP(EDATE(B80,-12),Data!$B:$AY,MATCH($C$1,Data!$B$1:$AY$1,),))/VLOOKUP(EDATE(B80,-12),Data!$B:$AY,MATCH($C$1,Data!$B$1:$AY$1,),)</f>
        <v>1.6359331276458316E-2</v>
      </c>
      <c r="D80" s="21">
        <f>(VLOOKUP(B80,Data!$B:$AY,MATCH($D$1,Data!$B$1:$AY$1,),)-VLOOKUP(EDATE(B80,-12),Data!$B:$AY,MATCH($D$1,Data!$B$1:$AY$1,),))/VLOOKUP(EDATE(B80,-12),Data!$B:$AY,MATCH($D$1,Data!$B$1:$AY$1,),)</f>
        <v>2.1978021978022007E-2</v>
      </c>
      <c r="E80" s="21">
        <f>(VLOOKUP(B80,Data!$B:$AY,MATCH($E$1,Data!$B$1:$AY$1,),)-VLOOKUP(EDATE(B80,-12),Data!$B:$AY,MATCH($E$1,Data!$B$1:$AY$1,),))/VLOOKUP(EDATE(B80,-12),Data!$B:$AY,MATCH($E$1,Data!$B$1:$AY$1,),)</f>
        <v>5.077152812344359E-3</v>
      </c>
      <c r="F80" s="21">
        <f>(VLOOKUP(B80,Data!$B:$AY,MATCH($F$1,Data!$B$1:$AY$1,),)-VLOOKUP(EDATE(B80,-12),Data!$B:$AY,MATCH($F$1,Data!$B$1:$AY$1,),))/VLOOKUP(EDATE(B80,-12),Data!$B:$AY,MATCH($F$1,Data!$B$1:$AY$1,),)</f>
        <v>1.9960079840319646E-3</v>
      </c>
      <c r="G80" s="21">
        <f>(VLOOKUP(B80,Data!$B:$AY,MATCH($G$1,Data!$B$1:$AY$1,),)-VLOOKUP(EDATE(B80,-12),Data!$B:$AY,MATCH($G$1,Data!$B$1:$AY$1,),))/VLOOKUP(EDATE(B80,-12),Data!$B:$AY,MATCH($G$1,Data!$B$1:$AY$1,),)</f>
        <v>7.9687940352549877E-3</v>
      </c>
      <c r="H80" s="21">
        <f>(VLOOKUP(B80,Data!$B:$AY,MATCH($H$1,Data!$B$1:$AY$1,),)-VLOOKUP(EDATE(B80,-12),Data!$B:$AY,MATCH($H$1,Data!$B$1:$AY$1,),))/VLOOKUP(EDATE(B80,-12),Data!$B:$AY,MATCH($H$1,Data!$B$1:$AY$1,),)</f>
        <v>3.5996400359963945E-3</v>
      </c>
      <c r="I80" s="21">
        <f>(VLOOKUP(B80,Data!$B:$AY,MATCH($I$1,Data!$B$1:$AY$1,),)-VLOOKUP(EDATE(B80,-12),Data!$B:$AY,MATCH($I$1,Data!$B$1:$AY$1,),))/VLOOKUP(EDATE(B80,-12),Data!$B:$AY,MATCH($I$1,Data!$B$1:$AY$1,),)</f>
        <v>1.2961116650049823E-2</v>
      </c>
      <c r="J80" s="21">
        <f>(VLOOKUP(B80,Data!$B:$AY,MATCH($J$1,Data!$B$1:$AY$1,),)-VLOOKUP(EDATE(B80,-12),Data!$B:$AY,MATCH($J$1,Data!$B$1:$AY$1,),))/VLOOKUP(EDATE(B80,-12),Data!$B:$AY,MATCH($J$1,Data!$B$1:$AY$1,),)</f>
        <v>-1.8565468229094588E-3</v>
      </c>
      <c r="K80" s="21">
        <f>(VLOOKUP(B80,Data!$B:$AY,MATCH($K$1,Data!$B$1:$AY$1,),)-VLOOKUP(EDATE(B80,-12),Data!$B:$AY,MATCH($K$1,Data!$B$1:$AY$1,),))/VLOOKUP(EDATE(B80,-12),Data!$B:$AY,MATCH($K$1,Data!$B$1:$AY$1,),)</f>
        <v>6.7927202319465283E-3</v>
      </c>
      <c r="L80" s="21">
        <f>(VLOOKUP(B80,Data!$B:$AY,MATCH($L$1,Data!$B$1:$AY$1,),)-VLOOKUP(EDATE(B80,-12),Data!$B:$AY,MATCH($L$1,Data!$B$1:$AY$1,),))/VLOOKUP(EDATE(B80,-12),Data!$B:$AY,MATCH($L$1,Data!$B$1:$AY$1,),)</f>
        <v>1.1804433242639901E-2</v>
      </c>
      <c r="M80" s="21">
        <f>(VLOOKUP(B80,Data!$B:$AY,MATCH($M$1,Data!$B$1:$AY$1,),)-VLOOKUP(EDATE(B80,-12),Data!$B:$AY,MATCH($M$1,Data!$B$1:$AY$1,),))/VLOOKUP(EDATE(B80,-12),Data!$B:$AY,MATCH($M$1,Data!$B$1:$AY$1,),)</f>
        <v>3.0636004161917325E-2</v>
      </c>
      <c r="N80" s="21" t="e">
        <f>(VLOOKUP(B80,Data!$B:$AY,MATCH($N$1,Data!$B$1:$AY$1,),)-VLOOKUP(EDATE(B80,-12),Data!$B:$AY,MATCH($N$1,Data!$B$1:$AY$1,),))/VLOOKUP(EDATE(B80,-12),Data!$B:$AY,MATCH($N$1,Data!$B$1:$AY$1,),)</f>
        <v>#DIV/0!</v>
      </c>
      <c r="O80" s="21">
        <f>(VLOOKUP(B80,Data!$B:$AY,MATCH($O$1,Data!$B$1:$AY$1,),)-VLOOKUP(EDATE(B80,-12),Data!$B:$AY,MATCH($O$1,Data!$B$1:$AY$1,),))/VLOOKUP(EDATE(B80,-12),Data!$B:$AY,MATCH($O$1,Data!$B$1:$AY$1,),)</f>
        <v>3.3456461508111227E-2</v>
      </c>
      <c r="P80" s="21">
        <f>(VLOOKUP(B80,Data!$B:$AY,MATCH($P$1,Data!$B$1:$AY$1,),)-VLOOKUP(EDATE(B80,-12),Data!$B:$AY,MATCH($P$1,Data!$B$1:$AY$1,),))/VLOOKUP(EDATE(B80,-12),Data!$B:$AY,MATCH($P$1,Data!$B$1:$AY$1,),)</f>
        <v>1.4937253981078655E-2</v>
      </c>
      <c r="Q80" s="21" t="e">
        <f>(VLOOKUP(B80,Data!$B:$AY,MATCH($Q$1,Data!$B$1:$AY$1,),)-VLOOKUP(EDATE(B80,-12),Data!$B:$AY,MATCH($Q$1,Data!$B$1:$AY$1,),))/VLOOKUP(EDATE(B80,-12),Data!$B:$AY,MATCH($Q$1,Data!$B$1:$AY$1,),)</f>
        <v>#N/A</v>
      </c>
      <c r="R80" s="21">
        <f>(VLOOKUP(B80,Data!$B:$AY,MATCH($R$1,Data!$B$1:$AY$1,),)-VLOOKUP(EDATE(B80,-12),Data!$B:$AY,MATCH($R$1,Data!$B$1:$AY$1,),))/VLOOKUP(EDATE(B80,-12),Data!$B:$AY,MATCH($R$1,Data!$B$1:$AY$1,),)</f>
        <v>-2.1277034620816641E-3</v>
      </c>
      <c r="S80" s="21">
        <f>(VLOOKUP(B80,Data!$B:$AY,MATCH($S$1,Data!$B$1:$AY$1,),)-VLOOKUP(EDATE(B80,-12),Data!$B:$AY,MATCH($S$1,Data!$B$1:$AY$1,),))/VLOOKUP(EDATE(B80,-12),Data!$B:$AY,MATCH($S$1,Data!$B$1:$AY$1,),)</f>
        <v>1.4883628009189839E-2</v>
      </c>
      <c r="T80" s="21">
        <f>(VLOOKUP(B80,Data!$B:$AY,MATCH($T$1,Data!$B$1:$AY$1,),)-VLOOKUP(EDATE(B80,-12),Data!$B:$AY,MATCH($T$1,Data!$B$1:$AY$1,),))/VLOOKUP(EDATE(B80,-12),Data!$B:$AY,MATCH($T$1,Data!$B$1:$AY$1,),)</f>
        <v>7.873637542871785E-2</v>
      </c>
      <c r="U80" s="21">
        <f>(VLOOKUP(B80,Data!$B:$AY,MATCH($U$1,Data!$B$1:$AY$1,),)-VLOOKUP(EDATE(B80,-12),Data!$B:$AY,MATCH($U$1,Data!$B$1:$AY$1,),))/VLOOKUP(EDATE(B80,-12),Data!$B:$AY,MATCH($U$1,Data!$B$1:$AY$1,),)</f>
        <v>-4.8276190627431995E-3</v>
      </c>
      <c r="V80" s="21" t="e">
        <f>(VLOOKUP(B80,Data!$B:$AY,MATCH($V$1,Data!$B$1:$AY$1,),)-VLOOKUP(EDATE(B80,-12),Data!$B:$AY,MATCH($V$1,Data!$B$1:$AY$1,),))/VLOOKUP(EDATE(B80,-12),Data!$B:$AY,MATCH($V$1,Data!$B$1:$AY$1,),)</f>
        <v>#DIV/0!</v>
      </c>
      <c r="W80" s="21">
        <f>(VLOOKUP(B80,Data!$B:$AY,MATCH($W$1,Data!$B$1:$AY$1,),)-VLOOKUP(EDATE(B80,-12),Data!$B:$AY,MATCH($W$1,Data!$B$1:$AY$1,),))/VLOOKUP(EDATE(B80,-12),Data!$B:$AY,MATCH($W$1,Data!$B$1:$AY$1,),)</f>
        <v>7.1594571794984324E-2</v>
      </c>
      <c r="X80" s="21">
        <f>(VLOOKUP(B80,Data!$B:$AY,MATCH($X$1,Data!$B$1:$AY$1,),)-VLOOKUP(EDATE(B80,-12),Data!$B:$AY,MATCH($X$1,Data!$B$1:$AY$1,),))/VLOOKUP(EDATE(B80,-12),Data!$B:$AY,MATCH($X$1,Data!$B$1:$AY$1,),)</f>
        <v>7.9999999999999724E-3</v>
      </c>
      <c r="Y80" s="21">
        <f>(VLOOKUP(B80,Data!$B:$AY,MATCH($Y$1,Data!$B$1:$AY$1,),)-VLOOKUP(EDATE(B80,-12),Data!$B:$AY,MATCH($Y$1,Data!$B$1:$AY$1,),))/VLOOKUP(EDATE(B80,-12),Data!$B:$AY,MATCH($Y$1,Data!$B$1:$AY$1,),)</f>
        <v>-1.632651423906753E-3</v>
      </c>
      <c r="Z80" s="21" t="e">
        <f>(VLOOKUP(B80,Data!$B:$AY,MATCH($Z$1,Data!$B$1:$AY$1,),)-VLOOKUP(EDATE(B80,-12),Data!$B:$AY,MATCH($Z$1,Data!$B$1:$AY$1,),))/VLOOKUP(EDATE(B80,-12),Data!$B:$AY,MATCH($Z$1,Data!$B$1:$AY$1,),)</f>
        <v>#N/A</v>
      </c>
      <c r="AA80" s="21" t="e">
        <f>(VLOOKUP(B80,Data!$B:$AY,MATCH($AA$1,Data!$B$1:$AY$1,),)-VLOOKUP(EDATE(B80,-12),Data!$B:$AY,MATCH($AA$1,Data!$B$1:$AY$1,),))/VLOOKUP(EDATE(B80,-12),Data!$B:$AY,MATCH($AA$1,Data!$B$1:$AY$1,),)</f>
        <v>#N/A</v>
      </c>
      <c r="AB80" s="20"/>
    </row>
    <row r="81" spans="2:28" x14ac:dyDescent="0.2">
      <c r="B81" s="16">
        <v>42675</v>
      </c>
      <c r="C81" s="21">
        <f>(VLOOKUP(B81,Data!$B:$AY,MATCH($C$1,Data!$B$1:$AY$1,),)-VLOOKUP(EDATE(B81,-12),Data!$B:$AY,MATCH($C$1,Data!$B$1:$AY$1,),))/VLOOKUP(EDATE(B81,-12),Data!$B:$AY,MATCH($C$1,Data!$B$1:$AY$1,),)</f>
        <v>1.6925218655689449E-2</v>
      </c>
      <c r="D81" s="21">
        <f>(VLOOKUP(B81,Data!$B:$AY,MATCH($D$1,Data!$B$1:$AY$1,),)-VLOOKUP(EDATE(B81,-12),Data!$B:$AY,MATCH($D$1,Data!$B$1:$AY$1,),))/VLOOKUP(EDATE(B81,-12),Data!$B:$AY,MATCH($D$1,Data!$B$1:$AY$1,),)</f>
        <v>2.2977022977023091E-2</v>
      </c>
      <c r="E81" s="21">
        <f>(VLOOKUP(B81,Data!$B:$AY,MATCH($E$1,Data!$B$1:$AY$1,),)-VLOOKUP(EDATE(B81,-12),Data!$B:$AY,MATCH($E$1,Data!$B$1:$AY$1,),))/VLOOKUP(EDATE(B81,-12),Data!$B:$AY,MATCH($E$1,Data!$B$1:$AY$1,),)</f>
        <v>5.8994100589939919E-3</v>
      </c>
      <c r="F81" s="21">
        <f>(VLOOKUP(B81,Data!$B:$AY,MATCH($F$1,Data!$B$1:$AY$1,),)-VLOOKUP(EDATE(B81,-12),Data!$B:$AY,MATCH($F$1,Data!$B$1:$AY$1,),))/VLOOKUP(EDATE(B81,-12),Data!$B:$AY,MATCH($F$1,Data!$B$1:$AY$1,),)</f>
        <v>5.005005005005005E-3</v>
      </c>
      <c r="G81" s="21">
        <f>(VLOOKUP(B81,Data!$B:$AY,MATCH($G$1,Data!$B$1:$AY$1,),)-VLOOKUP(EDATE(B81,-12),Data!$B:$AY,MATCH($G$1,Data!$B$1:$AY$1,),))/VLOOKUP(EDATE(B81,-12),Data!$B:$AY,MATCH($G$1,Data!$B$1:$AY$1,),)</f>
        <v>8.0245399412855883E-3</v>
      </c>
      <c r="H81" s="21">
        <f>(VLOOKUP(B81,Data!$B:$AY,MATCH($H$1,Data!$B$1:$AY$1,),)-VLOOKUP(EDATE(B81,-12),Data!$B:$AY,MATCH($H$1,Data!$B$1:$AY$1,),))/VLOOKUP(EDATE(B81,-12),Data!$B:$AY,MATCH($H$1,Data!$B$1:$AY$1,),)</f>
        <v>5.3095572029653497E-3</v>
      </c>
      <c r="I81" s="21">
        <f>(VLOOKUP(B81,Data!$B:$AY,MATCH($I$1,Data!$B$1:$AY$1,),)-VLOOKUP(EDATE(B81,-12),Data!$B:$AY,MATCH($I$1,Data!$B$1:$AY$1,),))/VLOOKUP(EDATE(B81,-12),Data!$B:$AY,MATCH($I$1,Data!$B$1:$AY$1,),)</f>
        <v>1.4955134596211367E-2</v>
      </c>
      <c r="J81" s="21">
        <f>(VLOOKUP(B81,Data!$B:$AY,MATCH($J$1,Data!$B$1:$AY$1,),)-VLOOKUP(EDATE(B81,-12),Data!$B:$AY,MATCH($J$1,Data!$B$1:$AY$1,),))/VLOOKUP(EDATE(B81,-12),Data!$B:$AY,MATCH($J$1,Data!$B$1:$AY$1,),)</f>
        <v>8.6200367163081419E-4</v>
      </c>
      <c r="K81" s="21">
        <f>(VLOOKUP(B81,Data!$B:$AY,MATCH($K$1,Data!$B$1:$AY$1,),)-VLOOKUP(EDATE(B81,-12),Data!$B:$AY,MATCH($K$1,Data!$B$1:$AY$1,),))/VLOOKUP(EDATE(B81,-12),Data!$B:$AY,MATCH($K$1,Data!$B$1:$AY$1,),)</f>
        <v>6.7480221314442619E-3</v>
      </c>
      <c r="L81" s="21">
        <f>(VLOOKUP(B81,Data!$B:$AY,MATCH($L$1,Data!$B$1:$AY$1,),)-VLOOKUP(EDATE(B81,-12),Data!$B:$AY,MATCH($L$1,Data!$B$1:$AY$1,),))/VLOOKUP(EDATE(B81,-12),Data!$B:$AY,MATCH($L$1,Data!$B$1:$AY$1,),)</f>
        <v>1.3864115291274232E-2</v>
      </c>
      <c r="M81" s="21">
        <f>(VLOOKUP(B81,Data!$B:$AY,MATCH($M$1,Data!$B$1:$AY$1,),)-VLOOKUP(EDATE(B81,-12),Data!$B:$AY,MATCH($M$1,Data!$B$1:$AY$1,),))/VLOOKUP(EDATE(B81,-12),Data!$B:$AY,MATCH($M$1,Data!$B$1:$AY$1,),)</f>
        <v>3.3053260602059188E-2</v>
      </c>
      <c r="N81" s="21" t="e">
        <f>(VLOOKUP(B81,Data!$B:$AY,MATCH($N$1,Data!$B$1:$AY$1,),)-VLOOKUP(EDATE(B81,-12),Data!$B:$AY,MATCH($N$1,Data!$B$1:$AY$1,),))/VLOOKUP(EDATE(B81,-12),Data!$B:$AY,MATCH($N$1,Data!$B$1:$AY$1,),)</f>
        <v>#DIV/0!</v>
      </c>
      <c r="O81" s="21">
        <f>(VLOOKUP(B81,Data!$B:$AY,MATCH($O$1,Data!$B$1:$AY$1,),)-VLOOKUP(EDATE(B81,-12),Data!$B:$AY,MATCH($O$1,Data!$B$1:$AY$1,),))/VLOOKUP(EDATE(B81,-12),Data!$B:$AY,MATCH($O$1,Data!$B$1:$AY$1,),)</f>
        <v>2.5925753799739371E-2</v>
      </c>
      <c r="P81" s="21">
        <f>(VLOOKUP(B81,Data!$B:$AY,MATCH($P$1,Data!$B$1:$AY$1,),)-VLOOKUP(EDATE(B81,-12),Data!$B:$AY,MATCH($P$1,Data!$B$1:$AY$1,),))/VLOOKUP(EDATE(B81,-12),Data!$B:$AY,MATCH($P$1,Data!$B$1:$AY$1,),)</f>
        <v>1.1801269450535357E-2</v>
      </c>
      <c r="Q81" s="21" t="e">
        <f>(VLOOKUP(B81,Data!$B:$AY,MATCH($Q$1,Data!$B$1:$AY$1,),)-VLOOKUP(EDATE(B81,-12),Data!$B:$AY,MATCH($Q$1,Data!$B$1:$AY$1,),))/VLOOKUP(EDATE(B81,-12),Data!$B:$AY,MATCH($Q$1,Data!$B$1:$AY$1,),)</f>
        <v>#N/A</v>
      </c>
      <c r="R81" s="21">
        <f>(VLOOKUP(B81,Data!$B:$AY,MATCH($R$1,Data!$B$1:$AY$1,),)-VLOOKUP(EDATE(B81,-12),Data!$B:$AY,MATCH($R$1,Data!$B$1:$AY$1,),))/VLOOKUP(EDATE(B81,-12),Data!$B:$AY,MATCH($R$1,Data!$B$1:$AY$1,),)</f>
        <v>-3.3829918309580074E-3</v>
      </c>
      <c r="S81" s="21">
        <f>(VLOOKUP(B81,Data!$B:$AY,MATCH($S$1,Data!$B$1:$AY$1,),)-VLOOKUP(EDATE(B81,-12),Data!$B:$AY,MATCH($S$1,Data!$B$1:$AY$1,),))/VLOOKUP(EDATE(B81,-12),Data!$B:$AY,MATCH($S$1,Data!$B$1:$AY$1,),)</f>
        <v>1.5312249799839884E-2</v>
      </c>
      <c r="T81" s="21">
        <f>(VLOOKUP(B81,Data!$B:$AY,MATCH($T$1,Data!$B$1:$AY$1,),)-VLOOKUP(EDATE(B81,-12),Data!$B:$AY,MATCH($T$1,Data!$B$1:$AY$1,),))/VLOOKUP(EDATE(B81,-12),Data!$B:$AY,MATCH($T$1,Data!$B$1:$AY$1,),)</f>
        <v>6.9874040973969501E-2</v>
      </c>
      <c r="U81" s="21">
        <f>(VLOOKUP(B81,Data!$B:$AY,MATCH($U$1,Data!$B$1:$AY$1,),)-VLOOKUP(EDATE(B81,-12),Data!$B:$AY,MATCH($U$1,Data!$B$1:$AY$1,),))/VLOOKUP(EDATE(B81,-12),Data!$B:$AY,MATCH($U$1,Data!$B$1:$AY$1,),)</f>
        <v>-8.8822629863904903E-3</v>
      </c>
      <c r="V81" s="21" t="e">
        <f>(VLOOKUP(B81,Data!$B:$AY,MATCH($V$1,Data!$B$1:$AY$1,),)-VLOOKUP(EDATE(B81,-12),Data!$B:$AY,MATCH($V$1,Data!$B$1:$AY$1,),))/VLOOKUP(EDATE(B81,-12),Data!$B:$AY,MATCH($V$1,Data!$B$1:$AY$1,),)</f>
        <v>#DIV/0!</v>
      </c>
      <c r="W81" s="21">
        <f>(VLOOKUP(B81,Data!$B:$AY,MATCH($W$1,Data!$B$1:$AY$1,),)-VLOOKUP(EDATE(B81,-12),Data!$B:$AY,MATCH($W$1,Data!$B$1:$AY$1,),))/VLOOKUP(EDATE(B81,-12),Data!$B:$AY,MATCH($W$1,Data!$B$1:$AY$1,),)</f>
        <v>7.0004727692653465E-2</v>
      </c>
      <c r="X81" s="21">
        <f>(VLOOKUP(B81,Data!$B:$AY,MATCH($X$1,Data!$B$1:$AY$1,),)-VLOOKUP(EDATE(B81,-12),Data!$B:$AY,MATCH($X$1,Data!$B$1:$AY$1,),))/VLOOKUP(EDATE(B81,-12),Data!$B:$AY,MATCH($X$1,Data!$B$1:$AY$1,),)</f>
        <v>1.6064257028112535E-2</v>
      </c>
      <c r="Y81" s="21">
        <f>(VLOOKUP(B81,Data!$B:$AY,MATCH($Y$1,Data!$B$1:$AY$1,),)-VLOOKUP(EDATE(B81,-12),Data!$B:$AY,MATCH($Y$1,Data!$B$1:$AY$1,),))/VLOOKUP(EDATE(B81,-12),Data!$B:$AY,MATCH($Y$1,Data!$B$1:$AY$1,),)</f>
        <v>0</v>
      </c>
      <c r="Z81" s="21" t="e">
        <f>(VLOOKUP(B81,Data!$B:$AY,MATCH($Z$1,Data!$B$1:$AY$1,),)-VLOOKUP(EDATE(B81,-12),Data!$B:$AY,MATCH($Z$1,Data!$B$1:$AY$1,),))/VLOOKUP(EDATE(B81,-12),Data!$B:$AY,MATCH($Z$1,Data!$B$1:$AY$1,),)</f>
        <v>#N/A</v>
      </c>
      <c r="AA81" s="21" t="e">
        <f>(VLOOKUP(B81,Data!$B:$AY,MATCH($AA$1,Data!$B$1:$AY$1,),)-VLOOKUP(EDATE(B81,-12),Data!$B:$AY,MATCH($AA$1,Data!$B$1:$AY$1,),))/VLOOKUP(EDATE(B81,-12),Data!$B:$AY,MATCH($AA$1,Data!$B$1:$AY$1,),)</f>
        <v>#N/A</v>
      </c>
      <c r="AB81" s="20"/>
    </row>
    <row r="82" spans="2:28" x14ac:dyDescent="0.2">
      <c r="B82" s="16">
        <v>42705</v>
      </c>
      <c r="C82" s="21">
        <f>(VLOOKUP(B82,Data!$B:$AY,MATCH($C$1,Data!$B$1:$AY$1,),)-VLOOKUP(EDATE(B82,-12),Data!$B:$AY,MATCH($C$1,Data!$B$1:$AY$1,),))/VLOOKUP(EDATE(B82,-12),Data!$B:$AY,MATCH($C$1,Data!$B$1:$AY$1,),)</f>
        <v>2.0745864265041339E-2</v>
      </c>
      <c r="D82" s="21">
        <f>(VLOOKUP(B82,Data!$B:$AY,MATCH($D$1,Data!$B$1:$AY$1,),)-VLOOKUP(EDATE(B82,-12),Data!$B:$AY,MATCH($D$1,Data!$B$1:$AY$1,),))/VLOOKUP(EDATE(B82,-12),Data!$B:$AY,MATCH($D$1,Data!$B$1:$AY$1,),)</f>
        <v>1.9880715705765408E-2</v>
      </c>
      <c r="E82" s="21">
        <f>(VLOOKUP(B82,Data!$B:$AY,MATCH($E$1,Data!$B$1:$AY$1,),)-VLOOKUP(EDATE(B82,-12),Data!$B:$AY,MATCH($E$1,Data!$B$1:$AY$1,),))/VLOOKUP(EDATE(B82,-12),Data!$B:$AY,MATCH($E$1,Data!$B$1:$AY$1,),)</f>
        <v>1.0996700989703033E-2</v>
      </c>
      <c r="F82" s="21">
        <f>(VLOOKUP(B82,Data!$B:$AY,MATCH($F$1,Data!$B$1:$AY$1,),)-VLOOKUP(EDATE(B82,-12),Data!$B:$AY,MATCH($F$1,Data!$B$1:$AY$1,),))/VLOOKUP(EDATE(B82,-12),Data!$B:$AY,MATCH($F$1,Data!$B$1:$AY$1,),)</f>
        <v>3.006012024048068E-3</v>
      </c>
      <c r="G82" s="21">
        <f>(VLOOKUP(B82,Data!$B:$AY,MATCH($G$1,Data!$B$1:$AY$1,),)-VLOOKUP(EDATE(B82,-12),Data!$B:$AY,MATCH($G$1,Data!$B$1:$AY$1,),))/VLOOKUP(EDATE(B82,-12),Data!$B:$AY,MATCH($G$1,Data!$B$1:$AY$1,),)</f>
        <v>1.5045435755844806E-2</v>
      </c>
      <c r="H82" s="21">
        <f>(VLOOKUP(B82,Data!$B:$AY,MATCH($H$1,Data!$B$1:$AY$1,),)-VLOOKUP(EDATE(B82,-12),Data!$B:$AY,MATCH($H$1,Data!$B$1:$AY$1,),))/VLOOKUP(EDATE(B82,-12),Data!$B:$AY,MATCH($H$1,Data!$B$1:$AY$1,),)</f>
        <v>6.0975609756097502E-3</v>
      </c>
      <c r="I82" s="21">
        <f>(VLOOKUP(B82,Data!$B:$AY,MATCH($I$1,Data!$B$1:$AY$1,),)-VLOOKUP(EDATE(B82,-12),Data!$B:$AY,MATCH($I$1,Data!$B$1:$AY$1,),))/VLOOKUP(EDATE(B82,-12),Data!$B:$AY,MATCH($I$1,Data!$B$1:$AY$1,),)</f>
        <v>1.7928286852589612E-2</v>
      </c>
      <c r="J82" s="21">
        <f>(VLOOKUP(B82,Data!$B:$AY,MATCH($J$1,Data!$B$1:$AY$1,),)-VLOOKUP(EDATE(B82,-12),Data!$B:$AY,MATCH($J$1,Data!$B$1:$AY$1,),))/VLOOKUP(EDATE(B82,-12),Data!$B:$AY,MATCH($J$1,Data!$B$1:$AY$1,),)</f>
        <v>4.8694591417874087E-3</v>
      </c>
      <c r="K82" s="21">
        <f>(VLOOKUP(B82,Data!$B:$AY,MATCH($K$1,Data!$B$1:$AY$1,),)-VLOOKUP(EDATE(B82,-12),Data!$B:$AY,MATCH($K$1,Data!$B$1:$AY$1,),))/VLOOKUP(EDATE(B82,-12),Data!$B:$AY,MATCH($K$1,Data!$B$1:$AY$1,),)</f>
        <v>1.5695872278803747E-2</v>
      </c>
      <c r="L82" s="21">
        <f>(VLOOKUP(B82,Data!$B:$AY,MATCH($L$1,Data!$B$1:$AY$1,),)-VLOOKUP(EDATE(B82,-12),Data!$B:$AY,MATCH($L$1,Data!$B$1:$AY$1,),))/VLOOKUP(EDATE(B82,-12),Data!$B:$AY,MATCH($L$1,Data!$B$1:$AY$1,),)</f>
        <v>1.7408986016566302E-2</v>
      </c>
      <c r="M82" s="21">
        <f>(VLOOKUP(B82,Data!$B:$AY,MATCH($M$1,Data!$B$1:$AY$1,),)-VLOOKUP(EDATE(B82,-12),Data!$B:$AY,MATCH($M$1,Data!$B$1:$AY$1,),))/VLOOKUP(EDATE(B82,-12),Data!$B:$AY,MATCH($M$1,Data!$B$1:$AY$1,),)</f>
        <v>3.3603279117772333E-2</v>
      </c>
      <c r="N82" s="21" t="e">
        <f>(VLOOKUP(B82,Data!$B:$AY,MATCH($N$1,Data!$B$1:$AY$1,),)-VLOOKUP(EDATE(B82,-12),Data!$B:$AY,MATCH($N$1,Data!$B$1:$AY$1,),))/VLOOKUP(EDATE(B82,-12),Data!$B:$AY,MATCH($N$1,Data!$B$1:$AY$1,),)</f>
        <v>#DIV/0!</v>
      </c>
      <c r="O82" s="21">
        <f>(VLOOKUP(B82,Data!$B:$AY,MATCH($O$1,Data!$B$1:$AY$1,),)-VLOOKUP(EDATE(B82,-12),Data!$B:$AY,MATCH($O$1,Data!$B$1:$AY$1,),))/VLOOKUP(EDATE(B82,-12),Data!$B:$AY,MATCH($O$1,Data!$B$1:$AY$1,),)</f>
        <v>2.2303983735807997E-2</v>
      </c>
      <c r="P82" s="21">
        <f>(VLOOKUP(B82,Data!$B:$AY,MATCH($P$1,Data!$B$1:$AY$1,),)-VLOOKUP(EDATE(B82,-12),Data!$B:$AY,MATCH($P$1,Data!$B$1:$AY$1,),))/VLOOKUP(EDATE(B82,-12),Data!$B:$AY,MATCH($P$1,Data!$B$1:$AY$1,),)</f>
        <v>1.5019610829023667E-2</v>
      </c>
      <c r="Q82" s="21" t="e">
        <f>(VLOOKUP(B82,Data!$B:$AY,MATCH($Q$1,Data!$B$1:$AY$1,),)-VLOOKUP(EDATE(B82,-12),Data!$B:$AY,MATCH($Q$1,Data!$B$1:$AY$1,),))/VLOOKUP(EDATE(B82,-12),Data!$B:$AY,MATCH($Q$1,Data!$B$1:$AY$1,),)</f>
        <v>#N/A</v>
      </c>
      <c r="R82" s="21">
        <f>(VLOOKUP(B82,Data!$B:$AY,MATCH($R$1,Data!$B$1:$AY$1,),)-VLOOKUP(EDATE(B82,-12),Data!$B:$AY,MATCH($R$1,Data!$B$1:$AY$1,),))/VLOOKUP(EDATE(B82,-12),Data!$B:$AY,MATCH($R$1,Data!$B$1:$AY$1,),)</f>
        <v>-6.7111919539748383E-5</v>
      </c>
      <c r="S82" s="21">
        <f>(VLOOKUP(B82,Data!$B:$AY,MATCH($S$1,Data!$B$1:$AY$1,),)-VLOOKUP(EDATE(B82,-12),Data!$B:$AY,MATCH($S$1,Data!$B$1:$AY$1,),))/VLOOKUP(EDATE(B82,-12),Data!$B:$AY,MATCH($S$1,Data!$B$1:$AY$1,),)</f>
        <v>1.3370584713630049E-2</v>
      </c>
      <c r="T82" s="21">
        <f>(VLOOKUP(B82,Data!$B:$AY,MATCH($T$1,Data!$B$1:$AY$1,),)-VLOOKUP(EDATE(B82,-12),Data!$B:$AY,MATCH($T$1,Data!$B$1:$AY$1,),))/VLOOKUP(EDATE(B82,-12),Data!$B:$AY,MATCH($T$1,Data!$B$1:$AY$1,),)</f>
        <v>6.2879507323951839E-2</v>
      </c>
      <c r="U82" s="21">
        <f>(VLOOKUP(B82,Data!$B:$AY,MATCH($U$1,Data!$B$1:$AY$1,),)-VLOOKUP(EDATE(B82,-12),Data!$B:$AY,MATCH($U$1,Data!$B$1:$AY$1,),))/VLOOKUP(EDATE(B82,-12),Data!$B:$AY,MATCH($U$1,Data!$B$1:$AY$1,),)</f>
        <v>2.2980122194298067E-4</v>
      </c>
      <c r="V82" s="21" t="e">
        <f>(VLOOKUP(B82,Data!$B:$AY,MATCH($V$1,Data!$B$1:$AY$1,),)-VLOOKUP(EDATE(B82,-12),Data!$B:$AY,MATCH($V$1,Data!$B$1:$AY$1,),))/VLOOKUP(EDATE(B82,-12),Data!$B:$AY,MATCH($V$1,Data!$B$1:$AY$1,),)</f>
        <v>#DIV/0!</v>
      </c>
      <c r="W82" s="21">
        <f>(VLOOKUP(B82,Data!$B:$AY,MATCH($W$1,Data!$B$1:$AY$1,),)-VLOOKUP(EDATE(B82,-12),Data!$B:$AY,MATCH($W$1,Data!$B$1:$AY$1,),))/VLOOKUP(EDATE(B82,-12),Data!$B:$AY,MATCH($W$1,Data!$B$1:$AY$1,),)</f>
        <v>8.5330613468166491E-2</v>
      </c>
      <c r="X82" s="21">
        <f>(VLOOKUP(B82,Data!$B:$AY,MATCH($X$1,Data!$B$1:$AY$1,),)-VLOOKUP(EDATE(B82,-12),Data!$B:$AY,MATCH($X$1,Data!$B$1:$AY$1,),))/VLOOKUP(EDATE(B82,-12),Data!$B:$AY,MATCH($X$1,Data!$B$1:$AY$1,),)</f>
        <v>2.0100502512562814E-2</v>
      </c>
      <c r="Y82" s="21">
        <f>(VLOOKUP(B82,Data!$B:$AY,MATCH($Y$1,Data!$B$1:$AY$1,),)-VLOOKUP(EDATE(B82,-12),Data!$B:$AY,MATCH($Y$1,Data!$B$1:$AY$1,),))/VLOOKUP(EDATE(B82,-12),Data!$B:$AY,MATCH($Y$1,Data!$B$1:$AY$1,),)</f>
        <v>9.0016276116934215E-3</v>
      </c>
      <c r="Z82" s="21" t="e">
        <f>(VLOOKUP(B82,Data!$B:$AY,MATCH($Z$1,Data!$B$1:$AY$1,),)-VLOOKUP(EDATE(B82,-12),Data!$B:$AY,MATCH($Z$1,Data!$B$1:$AY$1,),))/VLOOKUP(EDATE(B82,-12),Data!$B:$AY,MATCH($Z$1,Data!$B$1:$AY$1,),)</f>
        <v>#N/A</v>
      </c>
      <c r="AA82" s="21" t="e">
        <f>(VLOOKUP(B82,Data!$B:$AY,MATCH($AA$1,Data!$B$1:$AY$1,),)-VLOOKUP(EDATE(B82,-12),Data!$B:$AY,MATCH($AA$1,Data!$B$1:$AY$1,),))/VLOOKUP(EDATE(B82,-12),Data!$B:$AY,MATCH($AA$1,Data!$B$1:$AY$1,),)</f>
        <v>#N/A</v>
      </c>
      <c r="AB82" s="20"/>
    </row>
    <row r="83" spans="2:28" x14ac:dyDescent="0.2">
      <c r="B83" s="16">
        <v>42736</v>
      </c>
      <c r="C83" s="21">
        <f>(VLOOKUP(B83,Data!$B:$AY,MATCH($C$1,Data!$B$1:$AY$1,),)-VLOOKUP(EDATE(B83,-12),Data!$B:$AY,MATCH($C$1,Data!$B$1:$AY$1,),))/VLOOKUP(EDATE(B83,-12),Data!$B:$AY,MATCH($C$1,Data!$B$1:$AY$1,),)</f>
        <v>2.5000752820776916E-2</v>
      </c>
      <c r="D83" s="21">
        <f>(VLOOKUP(B83,Data!$B:$AY,MATCH($D$1,Data!$B$1:$AY$1,),)-VLOOKUP(EDATE(B83,-12),Data!$B:$AY,MATCH($D$1,Data!$B$1:$AY$1,),))/VLOOKUP(EDATE(B83,-12),Data!$B:$AY,MATCH($D$1,Data!$B$1:$AY$1,),)</f>
        <v>2.5717111770524319E-2</v>
      </c>
      <c r="E83" s="21">
        <f>(VLOOKUP(B83,Data!$B:$AY,MATCH($E$1,Data!$B$1:$AY$1,),)-VLOOKUP(EDATE(B83,-12),Data!$B:$AY,MATCH($E$1,Data!$B$1:$AY$1,),))/VLOOKUP(EDATE(B83,-12),Data!$B:$AY,MATCH($E$1,Data!$B$1:$AY$1,),)</f>
        <v>1.7248376623376652E-2</v>
      </c>
      <c r="F83" s="21">
        <f>(VLOOKUP(B83,Data!$B:$AY,MATCH($F$1,Data!$B$1:$AY$1,),)-VLOOKUP(EDATE(B83,-12),Data!$B:$AY,MATCH($F$1,Data!$B$1:$AY$1,),))/VLOOKUP(EDATE(B83,-12),Data!$B:$AY,MATCH($F$1,Data!$B$1:$AY$1,),)</f>
        <v>5.0251256281407036E-3</v>
      </c>
      <c r="G83" s="21">
        <f>(VLOOKUP(B83,Data!$B:$AY,MATCH($G$1,Data!$B$1:$AY$1,),)-VLOOKUP(EDATE(B83,-12),Data!$B:$AY,MATCH($G$1,Data!$B$1:$AY$1,),))/VLOOKUP(EDATE(B83,-12),Data!$B:$AY,MATCH($G$1,Data!$B$1:$AY$1,),)</f>
        <v>1.6161952805845533E-2</v>
      </c>
      <c r="H83" s="21">
        <f>(VLOOKUP(B83,Data!$B:$AY,MATCH($H$1,Data!$B$1:$AY$1,),)-VLOOKUP(EDATE(B83,-12),Data!$B:$AY,MATCH($H$1,Data!$B$1:$AY$1,),))/VLOOKUP(EDATE(B83,-12),Data!$B:$AY,MATCH($H$1,Data!$B$1:$AY$1,),)</f>
        <v>1.3423496164715365E-2</v>
      </c>
      <c r="I83" s="21">
        <f>(VLOOKUP(B83,Data!$B:$AY,MATCH($I$1,Data!$B$1:$AY$1,),)-VLOOKUP(EDATE(B83,-12),Data!$B:$AY,MATCH($I$1,Data!$B$1:$AY$1,),))/VLOOKUP(EDATE(B83,-12),Data!$B:$AY,MATCH($I$1,Data!$B$1:$AY$1,),)</f>
        <v>1.9019019019018934E-2</v>
      </c>
      <c r="J83" s="21">
        <f>(VLOOKUP(B83,Data!$B:$AY,MATCH($J$1,Data!$B$1:$AY$1,),)-VLOOKUP(EDATE(B83,-12),Data!$B:$AY,MATCH($J$1,Data!$B$1:$AY$1,),))/VLOOKUP(EDATE(B83,-12),Data!$B:$AY,MATCH($J$1,Data!$B$1:$AY$1,),)</f>
        <v>1.0040160642570281E-2</v>
      </c>
      <c r="K83" s="21">
        <f>(VLOOKUP(B83,Data!$B:$AY,MATCH($K$1,Data!$B$1:$AY$1,),)-VLOOKUP(EDATE(B83,-12),Data!$B:$AY,MATCH($K$1,Data!$B$1:$AY$1,),))/VLOOKUP(EDATE(B83,-12),Data!$B:$AY,MATCH($K$1,Data!$B$1:$AY$1,),)</f>
        <v>2.9749507530024817E-2</v>
      </c>
      <c r="L83" s="21">
        <f>(VLOOKUP(B83,Data!$B:$AY,MATCH($L$1,Data!$B$1:$AY$1,),)-VLOOKUP(EDATE(B83,-12),Data!$B:$AY,MATCH($L$1,Data!$B$1:$AY$1,),))/VLOOKUP(EDATE(B83,-12),Data!$B:$AY,MATCH($L$1,Data!$B$1:$AY$1,),)</f>
        <v>1.3955412488121724E-2</v>
      </c>
      <c r="M83" s="21">
        <f>(VLOOKUP(B83,Data!$B:$AY,MATCH($M$1,Data!$B$1:$AY$1,),)-VLOOKUP(EDATE(B83,-12),Data!$B:$AY,MATCH($M$1,Data!$B$1:$AY$1,),))/VLOOKUP(EDATE(B83,-12),Data!$B:$AY,MATCH($M$1,Data!$B$1:$AY$1,),)</f>
        <v>4.7182809237887015E-2</v>
      </c>
      <c r="N83" s="21" t="e">
        <f>(VLOOKUP(B83,Data!$B:$AY,MATCH($N$1,Data!$B$1:$AY$1,),)-VLOOKUP(EDATE(B83,-12),Data!$B:$AY,MATCH($N$1,Data!$B$1:$AY$1,),))/VLOOKUP(EDATE(B83,-12),Data!$B:$AY,MATCH($N$1,Data!$B$1:$AY$1,),)</f>
        <v>#DIV/0!</v>
      </c>
      <c r="O83" s="21">
        <f>(VLOOKUP(B83,Data!$B:$AY,MATCH($O$1,Data!$B$1:$AY$1,),)-VLOOKUP(EDATE(B83,-12),Data!$B:$AY,MATCH($O$1,Data!$B$1:$AY$1,),))/VLOOKUP(EDATE(B83,-12),Data!$B:$AY,MATCH($O$1,Data!$B$1:$AY$1,),)</f>
        <v>1.8586815081306499E-2</v>
      </c>
      <c r="P83" s="21">
        <f>(VLOOKUP(B83,Data!$B:$AY,MATCH($P$1,Data!$B$1:$AY$1,),)-VLOOKUP(EDATE(B83,-12),Data!$B:$AY,MATCH($P$1,Data!$B$1:$AY$1,),))/VLOOKUP(EDATE(B83,-12),Data!$B:$AY,MATCH($P$1,Data!$B$1:$AY$1,),)</f>
        <v>2.1292736194457443E-2</v>
      </c>
      <c r="Q83" s="21" t="e">
        <f>(VLOOKUP(B83,Data!$B:$AY,MATCH($Q$1,Data!$B$1:$AY$1,),)-VLOOKUP(EDATE(B83,-12),Data!$B:$AY,MATCH($Q$1,Data!$B$1:$AY$1,),))/VLOOKUP(EDATE(B83,-12),Data!$B:$AY,MATCH($Q$1,Data!$B$1:$AY$1,),)</f>
        <v>#N/A</v>
      </c>
      <c r="R83" s="21">
        <f>(VLOOKUP(B83,Data!$B:$AY,MATCH($R$1,Data!$B$1:$AY$1,),)-VLOOKUP(EDATE(B83,-12),Data!$B:$AY,MATCH($R$1,Data!$B$1:$AY$1,),))/VLOOKUP(EDATE(B83,-12),Data!$B:$AY,MATCH($R$1,Data!$B$1:$AY$1,),)</f>
        <v>3.4895924347550329E-3</v>
      </c>
      <c r="S83" s="21">
        <f>(VLOOKUP(B83,Data!$B:$AY,MATCH($S$1,Data!$B$1:$AY$1,),)-VLOOKUP(EDATE(B83,-12),Data!$B:$AY,MATCH($S$1,Data!$B$1:$AY$1,),))/VLOOKUP(EDATE(B83,-12),Data!$B:$AY,MATCH($S$1,Data!$B$1:$AY$1,),)</f>
        <v>2.2412590895507522E-2</v>
      </c>
      <c r="T83" s="21">
        <f>(VLOOKUP(B83,Data!$B:$AY,MATCH($T$1,Data!$B$1:$AY$1,),)-VLOOKUP(EDATE(B83,-12),Data!$B:$AY,MATCH($T$1,Data!$B$1:$AY$1,),))/VLOOKUP(EDATE(B83,-12),Data!$B:$AY,MATCH($T$1,Data!$B$1:$AY$1,),)</f>
        <v>5.3539374960334792E-2</v>
      </c>
      <c r="U83" s="21">
        <f>(VLOOKUP(B83,Data!$B:$AY,MATCH($U$1,Data!$B$1:$AY$1,),)-VLOOKUP(EDATE(B83,-12),Data!$B:$AY,MATCH($U$1,Data!$B$1:$AY$1,),))/VLOOKUP(EDATE(B83,-12),Data!$B:$AY,MATCH($U$1,Data!$B$1:$AY$1,),)</f>
        <v>1.1605043361994052E-2</v>
      </c>
      <c r="V83" s="21" t="e">
        <f>(VLOOKUP(B83,Data!$B:$AY,MATCH($V$1,Data!$B$1:$AY$1,),)-VLOOKUP(EDATE(B83,-12),Data!$B:$AY,MATCH($V$1,Data!$B$1:$AY$1,),))/VLOOKUP(EDATE(B83,-12),Data!$B:$AY,MATCH($V$1,Data!$B$1:$AY$1,),)</f>
        <v>#DIV/0!</v>
      </c>
      <c r="W83" s="21">
        <f>(VLOOKUP(B83,Data!$B:$AY,MATCH($W$1,Data!$B$1:$AY$1,),)-VLOOKUP(EDATE(B83,-12),Data!$B:$AY,MATCH($W$1,Data!$B$1:$AY$1,),))/VLOOKUP(EDATE(B83,-12),Data!$B:$AY,MATCH($W$1,Data!$B$1:$AY$1,),)</f>
        <v>9.2187483680207072E-2</v>
      </c>
      <c r="X83" s="21">
        <f>(VLOOKUP(B83,Data!$B:$AY,MATCH($X$1,Data!$B$1:$AY$1,),)-VLOOKUP(EDATE(B83,-12),Data!$B:$AY,MATCH($X$1,Data!$B$1:$AY$1,),))/VLOOKUP(EDATE(B83,-12),Data!$B:$AY,MATCH($X$1,Data!$B$1:$AY$1,),)</f>
        <v>2.1978021978022007E-2</v>
      </c>
      <c r="Y83" s="21">
        <f>(VLOOKUP(B83,Data!$B:$AY,MATCH($Y$1,Data!$B$1:$AY$1,),)-VLOOKUP(EDATE(B83,-12),Data!$B:$AY,MATCH($Y$1,Data!$B$1:$AY$1,),))/VLOOKUP(EDATE(B83,-12),Data!$B:$AY,MATCH($Y$1,Data!$B$1:$AY$1,),)</f>
        <v>1.8092086985073162E-2</v>
      </c>
      <c r="Z83" s="21" t="e">
        <f>(VLOOKUP(B83,Data!$B:$AY,MATCH($Z$1,Data!$B$1:$AY$1,),)-VLOOKUP(EDATE(B83,-12),Data!$B:$AY,MATCH($Z$1,Data!$B$1:$AY$1,),))/VLOOKUP(EDATE(B83,-12),Data!$B:$AY,MATCH($Z$1,Data!$B$1:$AY$1,),)</f>
        <v>#N/A</v>
      </c>
      <c r="AA83" s="21" t="e">
        <f>(VLOOKUP(B83,Data!$B:$AY,MATCH($AA$1,Data!$B$1:$AY$1,),)-VLOOKUP(EDATE(B83,-12),Data!$B:$AY,MATCH($AA$1,Data!$B$1:$AY$1,),))/VLOOKUP(EDATE(B83,-12),Data!$B:$AY,MATCH($AA$1,Data!$B$1:$AY$1,),)</f>
        <v>#N/A</v>
      </c>
      <c r="AB83" s="20"/>
    </row>
    <row r="84" spans="2:28" x14ac:dyDescent="0.2">
      <c r="B84" s="16">
        <v>42767</v>
      </c>
      <c r="C84" s="21">
        <f>(VLOOKUP(B84,Data!$B:$AY,MATCH($C$1,Data!$B$1:$AY$1,),)-VLOOKUP(EDATE(B84,-12),Data!$B:$AY,MATCH($C$1,Data!$B$1:$AY$1,),))/VLOOKUP(EDATE(B84,-12),Data!$B:$AY,MATCH($C$1,Data!$B$1:$AY$1,),)</f>
        <v>2.7379130485197422E-2</v>
      </c>
      <c r="D84" s="21">
        <f>(VLOOKUP(B84,Data!$B:$AY,MATCH($D$1,Data!$B$1:$AY$1,),)-VLOOKUP(EDATE(B84,-12),Data!$B:$AY,MATCH($D$1,Data!$B$1:$AY$1,),))/VLOOKUP(EDATE(B84,-12),Data!$B:$AY,MATCH($D$1,Data!$B$1:$AY$1,),)</f>
        <v>7.7896786757545976E-3</v>
      </c>
      <c r="E84" s="21">
        <f>(VLOOKUP(B84,Data!$B:$AY,MATCH($E$1,Data!$B$1:$AY$1,),)-VLOOKUP(EDATE(B84,-12),Data!$B:$AY,MATCH($E$1,Data!$B$1:$AY$1,),))/VLOOKUP(EDATE(B84,-12),Data!$B:$AY,MATCH($E$1,Data!$B$1:$AY$1,),)</f>
        <v>1.954826293932941E-2</v>
      </c>
      <c r="F84" s="21">
        <f>(VLOOKUP(B84,Data!$B:$AY,MATCH($F$1,Data!$B$1:$AY$1,),)-VLOOKUP(EDATE(B84,-12),Data!$B:$AY,MATCH($F$1,Data!$B$1:$AY$1,),))/VLOOKUP(EDATE(B84,-12),Data!$B:$AY,MATCH($F$1,Data!$B$1:$AY$1,),)</f>
        <v>2.0080321285140847E-3</v>
      </c>
      <c r="G84" s="21">
        <f>(VLOOKUP(B84,Data!$B:$AY,MATCH($G$1,Data!$B$1:$AY$1,),)-VLOOKUP(EDATE(B84,-12),Data!$B:$AY,MATCH($G$1,Data!$B$1:$AY$1,),))/VLOOKUP(EDATE(B84,-12),Data!$B:$AY,MATCH($G$1,Data!$B$1:$AY$1,),)</f>
        <v>1.9134273190117748E-2</v>
      </c>
      <c r="H84" s="21">
        <f>(VLOOKUP(B84,Data!$B:$AY,MATCH($H$1,Data!$B$1:$AY$1,),)-VLOOKUP(EDATE(B84,-12),Data!$B:$AY,MATCH($H$1,Data!$B$1:$AY$1,),))/VLOOKUP(EDATE(B84,-12),Data!$B:$AY,MATCH($H$1,Data!$B$1:$AY$1,),)</f>
        <v>1.2080942313500482E-2</v>
      </c>
      <c r="I84" s="21">
        <f>(VLOOKUP(B84,Data!$B:$AY,MATCH($I$1,Data!$B$1:$AY$1,),)-VLOOKUP(EDATE(B84,-12),Data!$B:$AY,MATCH($I$1,Data!$B$1:$AY$1,),))/VLOOKUP(EDATE(B84,-12),Data!$B:$AY,MATCH($I$1,Data!$B$1:$AY$1,),)</f>
        <v>2.2977022977023091E-2</v>
      </c>
      <c r="J84" s="21">
        <f>(VLOOKUP(B84,Data!$B:$AY,MATCH($J$1,Data!$B$1:$AY$1,),)-VLOOKUP(EDATE(B84,-12),Data!$B:$AY,MATCH($J$1,Data!$B$1:$AY$1,),))/VLOOKUP(EDATE(B84,-12),Data!$B:$AY,MATCH($J$1,Data!$B$1:$AY$1,),)</f>
        <v>1.6096579476861109E-2</v>
      </c>
      <c r="K84" s="21">
        <f>(VLOOKUP(B84,Data!$B:$AY,MATCH($K$1,Data!$B$1:$AY$1,),)-VLOOKUP(EDATE(B84,-12),Data!$B:$AY,MATCH($K$1,Data!$B$1:$AY$1,),))/VLOOKUP(EDATE(B84,-12),Data!$B:$AY,MATCH($K$1,Data!$B$1:$AY$1,),)</f>
        <v>2.9672185073691251E-2</v>
      </c>
      <c r="L84" s="21">
        <f>(VLOOKUP(B84,Data!$B:$AY,MATCH($L$1,Data!$B$1:$AY$1,),)-VLOOKUP(EDATE(B84,-12),Data!$B:$AY,MATCH($L$1,Data!$B$1:$AY$1,),))/VLOOKUP(EDATE(B84,-12),Data!$B:$AY,MATCH($L$1,Data!$B$1:$AY$1,),)</f>
        <v>1.7794907703878433E-2</v>
      </c>
      <c r="M84" s="21">
        <f>(VLOOKUP(B84,Data!$B:$AY,MATCH($M$1,Data!$B$1:$AY$1,),)-VLOOKUP(EDATE(B84,-12),Data!$B:$AY,MATCH($M$1,Data!$B$1:$AY$1,),))/VLOOKUP(EDATE(B84,-12),Data!$B:$AY,MATCH($M$1,Data!$B$1:$AY$1,),)</f>
        <v>4.864277471095136E-2</v>
      </c>
      <c r="N84" s="21" t="e">
        <f>(VLOOKUP(B84,Data!$B:$AY,MATCH($N$1,Data!$B$1:$AY$1,),)-VLOOKUP(EDATE(B84,-12),Data!$B:$AY,MATCH($N$1,Data!$B$1:$AY$1,),))/VLOOKUP(EDATE(B84,-12),Data!$B:$AY,MATCH($N$1,Data!$B$1:$AY$1,),)</f>
        <v>#DIV/0!</v>
      </c>
      <c r="O84" s="21">
        <f>(VLOOKUP(B84,Data!$B:$AY,MATCH($O$1,Data!$B$1:$AY$1,),)-VLOOKUP(EDATE(B84,-12),Data!$B:$AY,MATCH($O$1,Data!$B$1:$AY$1,),))/VLOOKUP(EDATE(B84,-12),Data!$B:$AY,MATCH($O$1,Data!$B$1:$AY$1,),)</f>
        <v>2.6217056115485474E-2</v>
      </c>
      <c r="P84" s="21">
        <f>(VLOOKUP(B84,Data!$B:$AY,MATCH($P$1,Data!$B$1:$AY$1,),)-VLOOKUP(EDATE(B84,-12),Data!$B:$AY,MATCH($P$1,Data!$B$1:$AY$1,),))/VLOOKUP(EDATE(B84,-12),Data!$B:$AY,MATCH($P$1,Data!$B$1:$AY$1,),)</f>
        <v>2.0455799261910254E-2</v>
      </c>
      <c r="Q84" s="21" t="e">
        <f>(VLOOKUP(B84,Data!$B:$AY,MATCH($Q$1,Data!$B$1:$AY$1,),)-VLOOKUP(EDATE(B84,-12),Data!$B:$AY,MATCH($Q$1,Data!$B$1:$AY$1,),))/VLOOKUP(EDATE(B84,-12),Data!$B:$AY,MATCH($Q$1,Data!$B$1:$AY$1,),)</f>
        <v>#N/A</v>
      </c>
      <c r="R84" s="21">
        <f>(VLOOKUP(B84,Data!$B:$AY,MATCH($R$1,Data!$B$1:$AY$1,),)-VLOOKUP(EDATE(B84,-12),Data!$B:$AY,MATCH($R$1,Data!$B$1:$AY$1,),))/VLOOKUP(EDATE(B84,-12),Data!$B:$AY,MATCH($R$1,Data!$B$1:$AY$1,),)</f>
        <v>6.460123001855121E-3</v>
      </c>
      <c r="S84" s="21">
        <f>(VLOOKUP(B84,Data!$B:$AY,MATCH($S$1,Data!$B$1:$AY$1,),)-VLOOKUP(EDATE(B84,-12),Data!$B:$AY,MATCH($S$1,Data!$B$1:$AY$1,),))/VLOOKUP(EDATE(B84,-12),Data!$B:$AY,MATCH($S$1,Data!$B$1:$AY$1,),)</f>
        <v>2.0829200555445435E-2</v>
      </c>
      <c r="T84" s="21">
        <f>(VLOOKUP(B84,Data!$B:$AY,MATCH($T$1,Data!$B$1:$AY$1,),)-VLOOKUP(EDATE(B84,-12),Data!$B:$AY,MATCH($T$1,Data!$B$1:$AY$1,),))/VLOOKUP(EDATE(B84,-12),Data!$B:$AY,MATCH($T$1,Data!$B$1:$AY$1,),)</f>
        <v>4.758873837083763E-2</v>
      </c>
      <c r="U84" s="21">
        <f>(VLOOKUP(B84,Data!$B:$AY,MATCH($U$1,Data!$B$1:$AY$1,),)-VLOOKUP(EDATE(B84,-12),Data!$B:$AY,MATCH($U$1,Data!$B$1:$AY$1,),))/VLOOKUP(EDATE(B84,-12),Data!$B:$AY,MATCH($U$1,Data!$B$1:$AY$1,),)</f>
        <v>1.3003835967885891E-2</v>
      </c>
      <c r="V84" s="21" t="e">
        <f>(VLOOKUP(B84,Data!$B:$AY,MATCH($V$1,Data!$B$1:$AY$1,),)-VLOOKUP(EDATE(B84,-12),Data!$B:$AY,MATCH($V$1,Data!$B$1:$AY$1,),))/VLOOKUP(EDATE(B84,-12),Data!$B:$AY,MATCH($V$1,Data!$B$1:$AY$1,),)</f>
        <v>#DIV/0!</v>
      </c>
      <c r="W84" s="21">
        <f>(VLOOKUP(B84,Data!$B:$AY,MATCH($W$1,Data!$B$1:$AY$1,),)-VLOOKUP(EDATE(B84,-12),Data!$B:$AY,MATCH($W$1,Data!$B$1:$AY$1,),))/VLOOKUP(EDATE(B84,-12),Data!$B:$AY,MATCH($W$1,Data!$B$1:$AY$1,),)</f>
        <v>0.10128222052749496</v>
      </c>
      <c r="X84" s="21">
        <f>(VLOOKUP(B84,Data!$B:$AY,MATCH($X$1,Data!$B$1:$AY$1,),)-VLOOKUP(EDATE(B84,-12),Data!$B:$AY,MATCH($X$1,Data!$B$1:$AY$1,),))/VLOOKUP(EDATE(B84,-12),Data!$B:$AY,MATCH($X$1,Data!$B$1:$AY$1,),)</f>
        <v>2.4950099800399202E-2</v>
      </c>
      <c r="Y84" s="21">
        <f>(VLOOKUP(B84,Data!$B:$AY,MATCH($Y$1,Data!$B$1:$AY$1,),)-VLOOKUP(EDATE(B84,-12),Data!$B:$AY,MATCH($Y$1,Data!$B$1:$AY$1,),))/VLOOKUP(EDATE(B84,-12),Data!$B:$AY,MATCH($Y$1,Data!$B$1:$AY$1,),)</f>
        <v>2.2222199753086678E-2</v>
      </c>
      <c r="Z84" s="21" t="e">
        <f>(VLOOKUP(B84,Data!$B:$AY,MATCH($Z$1,Data!$B$1:$AY$1,),)-VLOOKUP(EDATE(B84,-12),Data!$B:$AY,MATCH($Z$1,Data!$B$1:$AY$1,),))/VLOOKUP(EDATE(B84,-12),Data!$B:$AY,MATCH($Z$1,Data!$B$1:$AY$1,),)</f>
        <v>#N/A</v>
      </c>
      <c r="AA84" s="21" t="e">
        <f>(VLOOKUP(B84,Data!$B:$AY,MATCH($AA$1,Data!$B$1:$AY$1,),)-VLOOKUP(EDATE(B84,-12),Data!$B:$AY,MATCH($AA$1,Data!$B$1:$AY$1,),))/VLOOKUP(EDATE(B84,-12),Data!$B:$AY,MATCH($AA$1,Data!$B$1:$AY$1,),)</f>
        <v>#N/A</v>
      </c>
      <c r="AB84" s="20"/>
    </row>
    <row r="85" spans="2:28" x14ac:dyDescent="0.2">
      <c r="B85" s="16">
        <v>42795</v>
      </c>
      <c r="C85" s="21">
        <f>(VLOOKUP(B85,Data!$B:$AY,MATCH($C$1,Data!$B$1:$AY$1,),)-VLOOKUP(EDATE(B85,-12),Data!$B:$AY,MATCH($C$1,Data!$B$1:$AY$1,),))/VLOOKUP(EDATE(B85,-12),Data!$B:$AY,MATCH($C$1,Data!$B$1:$AY$1,),)</f>
        <v>2.3806016498391602E-2</v>
      </c>
      <c r="D85" s="21">
        <f>(VLOOKUP(B85,Data!$B:$AY,MATCH($D$1,Data!$B$1:$AY$1,),)-VLOOKUP(EDATE(B85,-12),Data!$B:$AY,MATCH($D$1,Data!$B$1:$AY$1,),))/VLOOKUP(EDATE(B85,-12),Data!$B:$AY,MATCH($D$1,Data!$B$1:$AY$1,),)</f>
        <v>9.7847358121330719E-3</v>
      </c>
      <c r="E85" s="21">
        <f>(VLOOKUP(B85,Data!$B:$AY,MATCH($E$1,Data!$B$1:$AY$1,),)-VLOOKUP(EDATE(B85,-12),Data!$B:$AY,MATCH($E$1,Data!$B$1:$AY$1,),))/VLOOKUP(EDATE(B85,-12),Data!$B:$AY,MATCH($E$1,Data!$B$1:$AY$1,),)</f>
        <v>1.5306122448979604E-2</v>
      </c>
      <c r="F85" s="21">
        <f>(VLOOKUP(B85,Data!$B:$AY,MATCH($F$1,Data!$B$1:$AY$1,),)-VLOOKUP(EDATE(B85,-12),Data!$B:$AY,MATCH($F$1,Data!$B$1:$AY$1,),))/VLOOKUP(EDATE(B85,-12),Data!$B:$AY,MATCH($F$1,Data!$B$1:$AY$1,),)</f>
        <v>2.0060180541625161E-3</v>
      </c>
      <c r="G85" s="21">
        <f>(VLOOKUP(B85,Data!$B:$AY,MATCH($G$1,Data!$B$1:$AY$1,),)-VLOOKUP(EDATE(B85,-12),Data!$B:$AY,MATCH($G$1,Data!$B$1:$AY$1,),))/VLOOKUP(EDATE(B85,-12),Data!$B:$AY,MATCH($G$1,Data!$B$1:$AY$1,),)</f>
        <v>1.3999662056436556E-2</v>
      </c>
      <c r="H85" s="21">
        <f>(VLOOKUP(B85,Data!$B:$AY,MATCH($H$1,Data!$B$1:$AY$1,),)-VLOOKUP(EDATE(B85,-12),Data!$B:$AY,MATCH($H$1,Data!$B$1:$AY$1,),))/VLOOKUP(EDATE(B85,-12),Data!$B:$AY,MATCH($H$1,Data!$B$1:$AY$1,),)</f>
        <v>1.1497700459908076E-2</v>
      </c>
      <c r="I85" s="21">
        <f>(VLOOKUP(B85,Data!$B:$AY,MATCH($I$1,Data!$B$1:$AY$1,),)-VLOOKUP(EDATE(B85,-12),Data!$B:$AY,MATCH($I$1,Data!$B$1:$AY$1,),))/VLOOKUP(EDATE(B85,-12),Data!$B:$AY,MATCH($I$1,Data!$B$1:$AY$1,),)</f>
        <v>2.2908366533864511E-2</v>
      </c>
      <c r="J85" s="21">
        <f>(VLOOKUP(B85,Data!$B:$AY,MATCH($J$1,Data!$B$1:$AY$1,),)-VLOOKUP(EDATE(B85,-12),Data!$B:$AY,MATCH($J$1,Data!$B$1:$AY$1,),))/VLOOKUP(EDATE(B85,-12),Data!$B:$AY,MATCH($J$1,Data!$B$1:$AY$1,),)</f>
        <v>1.4056224899598452E-2</v>
      </c>
      <c r="K85" s="21">
        <f>(VLOOKUP(B85,Data!$B:$AY,MATCH($K$1,Data!$B$1:$AY$1,),)-VLOOKUP(EDATE(B85,-12),Data!$B:$AY,MATCH($K$1,Data!$B$1:$AY$1,),))/VLOOKUP(EDATE(B85,-12),Data!$B:$AY,MATCH($K$1,Data!$B$1:$AY$1,),)</f>
        <v>2.2896118400189472E-2</v>
      </c>
      <c r="L85" s="21">
        <f>(VLOOKUP(B85,Data!$B:$AY,MATCH($L$1,Data!$B$1:$AY$1,),)-VLOOKUP(EDATE(B85,-12),Data!$B:$AY,MATCH($L$1,Data!$B$1:$AY$1,),))/VLOOKUP(EDATE(B85,-12),Data!$B:$AY,MATCH($L$1,Data!$B$1:$AY$1,),)</f>
        <v>1.2607281494134594E-2</v>
      </c>
      <c r="M85" s="21">
        <f>(VLOOKUP(B85,Data!$B:$AY,MATCH($M$1,Data!$B$1:$AY$1,),)-VLOOKUP(EDATE(B85,-12),Data!$B:$AY,MATCH($M$1,Data!$B$1:$AY$1,),))/VLOOKUP(EDATE(B85,-12),Data!$B:$AY,MATCH($M$1,Data!$B$1:$AY$1,),)</f>
        <v>5.3525729455383572E-2</v>
      </c>
      <c r="N85" s="21" t="e">
        <f>(VLOOKUP(B85,Data!$B:$AY,MATCH($N$1,Data!$B$1:$AY$1,),)-VLOOKUP(EDATE(B85,-12),Data!$B:$AY,MATCH($N$1,Data!$B$1:$AY$1,),))/VLOOKUP(EDATE(B85,-12),Data!$B:$AY,MATCH($N$1,Data!$B$1:$AY$1,),)</f>
        <v>#DIV/0!</v>
      </c>
      <c r="O85" s="21">
        <f>(VLOOKUP(B85,Data!$B:$AY,MATCH($O$1,Data!$B$1:$AY$1,),)-VLOOKUP(EDATE(B85,-12),Data!$B:$AY,MATCH($O$1,Data!$B$1:$AY$1,),))/VLOOKUP(EDATE(B85,-12),Data!$B:$AY,MATCH($O$1,Data!$B$1:$AY$1,),)</f>
        <v>2.6119239199245418E-2</v>
      </c>
      <c r="P85" s="21">
        <f>(VLOOKUP(B85,Data!$B:$AY,MATCH($P$1,Data!$B$1:$AY$1,),)-VLOOKUP(EDATE(B85,-12),Data!$B:$AY,MATCH($P$1,Data!$B$1:$AY$1,),))/VLOOKUP(EDATE(B85,-12),Data!$B:$AY,MATCH($P$1,Data!$B$1:$AY$1,),)</f>
        <v>1.5637261450617793E-2</v>
      </c>
      <c r="Q85" s="21" t="e">
        <f>(VLOOKUP(B85,Data!$B:$AY,MATCH($Q$1,Data!$B$1:$AY$1,),)-VLOOKUP(EDATE(B85,-12),Data!$B:$AY,MATCH($Q$1,Data!$B$1:$AY$1,),))/VLOOKUP(EDATE(B85,-12),Data!$B:$AY,MATCH($Q$1,Data!$B$1:$AY$1,),)</f>
        <v>#N/A</v>
      </c>
      <c r="R85" s="21">
        <f>(VLOOKUP(B85,Data!$B:$AY,MATCH($R$1,Data!$B$1:$AY$1,),)-VLOOKUP(EDATE(B85,-12),Data!$B:$AY,MATCH($R$1,Data!$B$1:$AY$1,),))/VLOOKUP(EDATE(B85,-12),Data!$B:$AY,MATCH($R$1,Data!$B$1:$AY$1,),)</f>
        <v>5.6791113592581932E-3</v>
      </c>
      <c r="S85" s="21">
        <f>(VLOOKUP(B85,Data!$B:$AY,MATCH($S$1,Data!$B$1:$AY$1,),)-VLOOKUP(EDATE(B85,-12),Data!$B:$AY,MATCH($S$1,Data!$B$1:$AY$1,),))/VLOOKUP(EDATE(B85,-12),Data!$B:$AY,MATCH($S$1,Data!$B$1:$AY$1,),)</f>
        <v>2.2772474144789102E-2</v>
      </c>
      <c r="T85" s="21">
        <f>(VLOOKUP(B85,Data!$B:$AY,MATCH($T$1,Data!$B$1:$AY$1,),)-VLOOKUP(EDATE(B85,-12),Data!$B:$AY,MATCH($T$1,Data!$B$1:$AY$1,),))/VLOOKUP(EDATE(B85,-12),Data!$B:$AY,MATCH($T$1,Data!$B$1:$AY$1,),)</f>
        <v>4.5711817937929888E-2</v>
      </c>
      <c r="U85" s="21">
        <f>(VLOOKUP(B85,Data!$B:$AY,MATCH($U$1,Data!$B$1:$AY$1,),)-VLOOKUP(EDATE(B85,-12),Data!$B:$AY,MATCH($U$1,Data!$B$1:$AY$1,),))/VLOOKUP(EDATE(B85,-12),Data!$B:$AY,MATCH($U$1,Data!$B$1:$AY$1,),)</f>
        <v>1.745899284788624E-2</v>
      </c>
      <c r="V85" s="21" t="e">
        <f>(VLOOKUP(B85,Data!$B:$AY,MATCH($V$1,Data!$B$1:$AY$1,),)-VLOOKUP(EDATE(B85,-12),Data!$B:$AY,MATCH($V$1,Data!$B$1:$AY$1,),))/VLOOKUP(EDATE(B85,-12),Data!$B:$AY,MATCH($V$1,Data!$B$1:$AY$1,),)</f>
        <v>#DIV/0!</v>
      </c>
      <c r="W85" s="21">
        <f>(VLOOKUP(B85,Data!$B:$AY,MATCH($W$1,Data!$B$1:$AY$1,),)-VLOOKUP(EDATE(B85,-12),Data!$B:$AY,MATCH($W$1,Data!$B$1:$AY$1,),))/VLOOKUP(EDATE(B85,-12),Data!$B:$AY,MATCH($W$1,Data!$B$1:$AY$1,),)</f>
        <v>0.11291799839622389</v>
      </c>
      <c r="X85" s="21">
        <f>(VLOOKUP(B85,Data!$B:$AY,MATCH($X$1,Data!$B$1:$AY$1,),)-VLOOKUP(EDATE(B85,-12),Data!$B:$AY,MATCH($X$1,Data!$B$1:$AY$1,),))/VLOOKUP(EDATE(B85,-12),Data!$B:$AY,MATCH($X$1,Data!$B$1:$AY$1,),)</f>
        <v>2.5974025974026059E-2</v>
      </c>
      <c r="Y85" s="21">
        <f>(VLOOKUP(B85,Data!$B:$AY,MATCH($Y$1,Data!$B$1:$AY$1,),)-VLOOKUP(EDATE(B85,-12),Data!$B:$AY,MATCH($Y$1,Data!$B$1:$AY$1,),))/VLOOKUP(EDATE(B85,-12),Data!$B:$AY,MATCH($Y$1,Data!$B$1:$AY$1,),)</f>
        <v>2.0559189755764873E-2</v>
      </c>
      <c r="Z85" s="21" t="e">
        <f>(VLOOKUP(B85,Data!$B:$AY,MATCH($Z$1,Data!$B$1:$AY$1,),)-VLOOKUP(EDATE(B85,-12),Data!$B:$AY,MATCH($Z$1,Data!$B$1:$AY$1,),))/VLOOKUP(EDATE(B85,-12),Data!$B:$AY,MATCH($Z$1,Data!$B$1:$AY$1,),)</f>
        <v>#N/A</v>
      </c>
      <c r="AA85" s="21" t="e">
        <f>(VLOOKUP(B85,Data!$B:$AY,MATCH($AA$1,Data!$B$1:$AY$1,),)-VLOOKUP(EDATE(B85,-12),Data!$B:$AY,MATCH($AA$1,Data!$B$1:$AY$1,),))/VLOOKUP(EDATE(B85,-12),Data!$B:$AY,MATCH($AA$1,Data!$B$1:$AY$1,),)</f>
        <v>#N/A</v>
      </c>
      <c r="AB85" s="20"/>
    </row>
    <row r="86" spans="2:28" x14ac:dyDescent="0.2">
      <c r="B86" s="16">
        <v>42826</v>
      </c>
      <c r="C86" s="21">
        <f>(VLOOKUP(B86,Data!$B:$AY,MATCH($C$1,Data!$B$1:$AY$1,),)-VLOOKUP(EDATE(B86,-12),Data!$B:$AY,MATCH($C$1,Data!$B$1:$AY$1,),))/VLOOKUP(EDATE(B86,-12),Data!$B:$AY,MATCH($C$1,Data!$B$1:$AY$1,),)</f>
        <v>2.1996734913835816E-2</v>
      </c>
      <c r="D86" s="21">
        <f>(VLOOKUP(B86,Data!$B:$AY,MATCH($D$1,Data!$B$1:$AY$1,),)-VLOOKUP(EDATE(B86,-12),Data!$B:$AY,MATCH($D$1,Data!$B$1:$AY$1,),))/VLOOKUP(EDATE(B86,-12),Data!$B:$AY,MATCH($D$1,Data!$B$1:$AY$1,),)</f>
        <v>1.1764705882352969E-2</v>
      </c>
      <c r="E86" s="21">
        <f>(VLOOKUP(B86,Data!$B:$AY,MATCH($E$1,Data!$B$1:$AY$1,),)-VLOOKUP(EDATE(B86,-12),Data!$B:$AY,MATCH($E$1,Data!$B$1:$AY$1,),))/VLOOKUP(EDATE(B86,-12),Data!$B:$AY,MATCH($E$1,Data!$B$1:$AY$1,),)</f>
        <v>1.8967754816811334E-2</v>
      </c>
      <c r="F86" s="21">
        <f>(VLOOKUP(B86,Data!$B:$AY,MATCH($F$1,Data!$B$1:$AY$1,),)-VLOOKUP(EDATE(B86,-12),Data!$B:$AY,MATCH($F$1,Data!$B$1:$AY$1,),))/VLOOKUP(EDATE(B86,-12),Data!$B:$AY,MATCH($F$1,Data!$B$1:$AY$1,),)</f>
        <v>4.0040040040039181E-3</v>
      </c>
      <c r="G86" s="21">
        <f>(VLOOKUP(B86,Data!$B:$AY,MATCH($G$1,Data!$B$1:$AY$1,),)-VLOOKUP(EDATE(B86,-12),Data!$B:$AY,MATCH($G$1,Data!$B$1:$AY$1,),))/VLOOKUP(EDATE(B86,-12),Data!$B:$AY,MATCH($G$1,Data!$B$1:$AY$1,),)</f>
        <v>1.6983180628206869E-2</v>
      </c>
      <c r="H86" s="21">
        <f>(VLOOKUP(B86,Data!$B:$AY,MATCH($H$1,Data!$B$1:$AY$1,),)-VLOOKUP(EDATE(B86,-12),Data!$B:$AY,MATCH($H$1,Data!$B$1:$AY$1,),))/VLOOKUP(EDATE(B86,-12),Data!$B:$AY,MATCH($H$1,Data!$B$1:$AY$1,),)</f>
        <v>1.1689479468478385E-2</v>
      </c>
      <c r="I86" s="21">
        <f>(VLOOKUP(B86,Data!$B:$AY,MATCH($I$1,Data!$B$1:$AY$1,),)-VLOOKUP(EDATE(B86,-12),Data!$B:$AY,MATCH($I$1,Data!$B$1:$AY$1,),))/VLOOKUP(EDATE(B86,-12),Data!$B:$AY,MATCH($I$1,Data!$B$1:$AY$1,),)</f>
        <v>2.5844930417495117E-2</v>
      </c>
      <c r="J86" s="21">
        <f>(VLOOKUP(B86,Data!$B:$AY,MATCH($J$1,Data!$B$1:$AY$1,),)-VLOOKUP(EDATE(B86,-12),Data!$B:$AY,MATCH($J$1,Data!$B$1:$AY$1,),))/VLOOKUP(EDATE(B86,-12),Data!$B:$AY,MATCH($J$1,Data!$B$1:$AY$1,),)</f>
        <v>1.909547738693473E-2</v>
      </c>
      <c r="K86" s="21">
        <f>(VLOOKUP(B86,Data!$B:$AY,MATCH($K$1,Data!$B$1:$AY$1,),)-VLOOKUP(EDATE(B86,-12),Data!$B:$AY,MATCH($K$1,Data!$B$1:$AY$1,),))/VLOOKUP(EDATE(B86,-12),Data!$B:$AY,MATCH($K$1,Data!$B$1:$AY$1,),)</f>
        <v>2.5539498524503611E-2</v>
      </c>
      <c r="L86" s="21">
        <f>(VLOOKUP(B86,Data!$B:$AY,MATCH($L$1,Data!$B$1:$AY$1,),)-VLOOKUP(EDATE(B86,-12),Data!$B:$AY,MATCH($L$1,Data!$B$1:$AY$1,),))/VLOOKUP(EDATE(B86,-12),Data!$B:$AY,MATCH($L$1,Data!$B$1:$AY$1,),)</f>
        <v>1.869213617889803E-2</v>
      </c>
      <c r="M86" s="21">
        <f>(VLOOKUP(B86,Data!$B:$AY,MATCH($M$1,Data!$B$1:$AY$1,),)-VLOOKUP(EDATE(B86,-12),Data!$B:$AY,MATCH($M$1,Data!$B$1:$AY$1,),))/VLOOKUP(EDATE(B86,-12),Data!$B:$AY,MATCH($M$1,Data!$B$1:$AY$1,),)</f>
        <v>5.8171138297653892E-2</v>
      </c>
      <c r="N86" s="21" t="e">
        <f>(VLOOKUP(B86,Data!$B:$AY,MATCH($N$1,Data!$B$1:$AY$1,),)-VLOOKUP(EDATE(B86,-12),Data!$B:$AY,MATCH($N$1,Data!$B$1:$AY$1,),))/VLOOKUP(EDATE(B86,-12),Data!$B:$AY,MATCH($N$1,Data!$B$1:$AY$1,),)</f>
        <v>#DIV/0!</v>
      </c>
      <c r="O86" s="21">
        <f>(VLOOKUP(B86,Data!$B:$AY,MATCH($O$1,Data!$B$1:$AY$1,),)-VLOOKUP(EDATE(B86,-12),Data!$B:$AY,MATCH($O$1,Data!$B$1:$AY$1,),))/VLOOKUP(EDATE(B86,-12),Data!$B:$AY,MATCH($O$1,Data!$B$1:$AY$1,),)</f>
        <v>2.2140356665017218E-2</v>
      </c>
      <c r="P86" s="21">
        <f>(VLOOKUP(B86,Data!$B:$AY,MATCH($P$1,Data!$B$1:$AY$1,),)-VLOOKUP(EDATE(B86,-12),Data!$B:$AY,MATCH($P$1,Data!$B$1:$AY$1,),))/VLOOKUP(EDATE(B86,-12),Data!$B:$AY,MATCH($P$1,Data!$B$1:$AY$1,),)</f>
        <v>1.636784239835452E-2</v>
      </c>
      <c r="Q86" s="21" t="e">
        <f>(VLOOKUP(B86,Data!$B:$AY,MATCH($Q$1,Data!$B$1:$AY$1,),)-VLOOKUP(EDATE(B86,-12),Data!$B:$AY,MATCH($Q$1,Data!$B$1:$AY$1,),))/VLOOKUP(EDATE(B86,-12),Data!$B:$AY,MATCH($Q$1,Data!$B$1:$AY$1,),)</f>
        <v>#N/A</v>
      </c>
      <c r="R86" s="21">
        <f>(VLOOKUP(B86,Data!$B:$AY,MATCH($R$1,Data!$B$1:$AY$1,),)-VLOOKUP(EDATE(B86,-12),Data!$B:$AY,MATCH($R$1,Data!$B$1:$AY$1,),))/VLOOKUP(EDATE(B86,-12),Data!$B:$AY,MATCH($R$1,Data!$B$1:$AY$1,),)</f>
        <v>4.3771687455363625E-3</v>
      </c>
      <c r="S86" s="21">
        <f>(VLOOKUP(B86,Data!$B:$AY,MATCH($S$1,Data!$B$1:$AY$1,),)-VLOOKUP(EDATE(B86,-12),Data!$B:$AY,MATCH($S$1,Data!$B$1:$AY$1,),))/VLOOKUP(EDATE(B86,-12),Data!$B:$AY,MATCH($S$1,Data!$B$1:$AY$1,),)</f>
        <v>1.955334987593051E-2</v>
      </c>
      <c r="T86" s="21">
        <f>(VLOOKUP(B86,Data!$B:$AY,MATCH($T$1,Data!$B$1:$AY$1,),)-VLOOKUP(EDATE(B86,-12),Data!$B:$AY,MATCH($T$1,Data!$B$1:$AY$1,),))/VLOOKUP(EDATE(B86,-12),Data!$B:$AY,MATCH($T$1,Data!$B$1:$AY$1,),)</f>
        <v>4.082537098770244E-2</v>
      </c>
      <c r="U86" s="21">
        <f>(VLOOKUP(B86,Data!$B:$AY,MATCH($U$1,Data!$B$1:$AY$1,),)-VLOOKUP(EDATE(B86,-12),Data!$B:$AY,MATCH($U$1,Data!$B$1:$AY$1,),))/VLOOKUP(EDATE(B86,-12),Data!$B:$AY,MATCH($U$1,Data!$B$1:$AY$1,),)</f>
        <v>1.6418045377436047E-2</v>
      </c>
      <c r="V86" s="21" t="e">
        <f>(VLOOKUP(B86,Data!$B:$AY,MATCH($V$1,Data!$B$1:$AY$1,),)-VLOOKUP(EDATE(B86,-12),Data!$B:$AY,MATCH($V$1,Data!$B$1:$AY$1,),))/VLOOKUP(EDATE(B86,-12),Data!$B:$AY,MATCH($V$1,Data!$B$1:$AY$1,),)</f>
        <v>#DIV/0!</v>
      </c>
      <c r="W86" s="21">
        <f>(VLOOKUP(B86,Data!$B:$AY,MATCH($W$1,Data!$B$1:$AY$1,),)-VLOOKUP(EDATE(B86,-12),Data!$B:$AY,MATCH($W$1,Data!$B$1:$AY$1,),))/VLOOKUP(EDATE(B86,-12),Data!$B:$AY,MATCH($W$1,Data!$B$1:$AY$1,),)</f>
        <v>0.11869618870119442</v>
      </c>
      <c r="X86" s="21">
        <f>(VLOOKUP(B86,Data!$B:$AY,MATCH($X$1,Data!$B$1:$AY$1,),)-VLOOKUP(EDATE(B86,-12),Data!$B:$AY,MATCH($X$1,Data!$B$1:$AY$1,),))/VLOOKUP(EDATE(B86,-12),Data!$B:$AY,MATCH($X$1,Data!$B$1:$AY$1,),)</f>
        <v>1.9860973187686197E-2</v>
      </c>
      <c r="Y86" s="21">
        <f>(VLOOKUP(B86,Data!$B:$AY,MATCH($Y$1,Data!$B$1:$AY$1,),)-VLOOKUP(EDATE(B86,-12),Data!$B:$AY,MATCH($Y$1,Data!$B$1:$AY$1,),))/VLOOKUP(EDATE(B86,-12),Data!$B:$AY,MATCH($Y$1,Data!$B$1:$AY$1,),)</f>
        <v>2.0491782644114737E-2</v>
      </c>
      <c r="Z86" s="21" t="e">
        <f>(VLOOKUP(B86,Data!$B:$AY,MATCH($Z$1,Data!$B$1:$AY$1,),)-VLOOKUP(EDATE(B86,-12),Data!$B:$AY,MATCH($Z$1,Data!$B$1:$AY$1,),))/VLOOKUP(EDATE(B86,-12),Data!$B:$AY,MATCH($Z$1,Data!$B$1:$AY$1,),)</f>
        <v>#N/A</v>
      </c>
      <c r="AA86" s="21" t="e">
        <f>(VLOOKUP(B86,Data!$B:$AY,MATCH($AA$1,Data!$B$1:$AY$1,),)-VLOOKUP(EDATE(B86,-12),Data!$B:$AY,MATCH($AA$1,Data!$B$1:$AY$1,),))/VLOOKUP(EDATE(B86,-12),Data!$B:$AY,MATCH($AA$1,Data!$B$1:$AY$1,),)</f>
        <v>#N/A</v>
      </c>
      <c r="AB86" s="20"/>
    </row>
    <row r="87" spans="2:28" x14ac:dyDescent="0.2">
      <c r="B87" s="16">
        <v>42856</v>
      </c>
      <c r="C87" s="21">
        <f>(VLOOKUP(B87,Data!$B:$AY,MATCH($C$1,Data!$B$1:$AY$1,),)-VLOOKUP(EDATE(B87,-12),Data!$B:$AY,MATCH($C$1,Data!$B$1:$AY$1,),))/VLOOKUP(EDATE(B87,-12),Data!$B:$AY,MATCH($C$1,Data!$B$1:$AY$1,),)</f>
        <v>1.8748914707878841E-2</v>
      </c>
      <c r="D87" s="21">
        <f>(VLOOKUP(B87,Data!$B:$AY,MATCH($D$1,Data!$B$1:$AY$1,),)-VLOOKUP(EDATE(B87,-12),Data!$B:$AY,MATCH($D$1,Data!$B$1:$AY$1,),))/VLOOKUP(EDATE(B87,-12),Data!$B:$AY,MATCH($D$1,Data!$B$1:$AY$1,),)</f>
        <v>1.6732283464566958E-2</v>
      </c>
      <c r="E87" s="21">
        <f>(VLOOKUP(B87,Data!$B:$AY,MATCH($E$1,Data!$B$1:$AY$1,),)-VLOOKUP(EDATE(B87,-12),Data!$B:$AY,MATCH($E$1,Data!$B$1:$AY$1,),))/VLOOKUP(EDATE(B87,-12),Data!$B:$AY,MATCH($E$1,Data!$B$1:$AY$1,),)</f>
        <v>1.3818471020976246E-2</v>
      </c>
      <c r="F87" s="21">
        <f>(VLOOKUP(B87,Data!$B:$AY,MATCH($F$1,Data!$B$1:$AY$1,),)-VLOOKUP(EDATE(B87,-12),Data!$B:$AY,MATCH($F$1,Data!$B$1:$AY$1,),))/VLOOKUP(EDATE(B87,-12),Data!$B:$AY,MATCH($F$1,Data!$B$1:$AY$1,),)</f>
        <v>4.0000000000000565E-3</v>
      </c>
      <c r="G87" s="21">
        <f>(VLOOKUP(B87,Data!$B:$AY,MATCH($G$1,Data!$B$1:$AY$1,),)-VLOOKUP(EDATE(B87,-12),Data!$B:$AY,MATCH($G$1,Data!$B$1:$AY$1,),))/VLOOKUP(EDATE(B87,-12),Data!$B:$AY,MATCH($G$1,Data!$B$1:$AY$1,),)</f>
        <v>1.1928425471690566E-2</v>
      </c>
      <c r="H87" s="21">
        <f>(VLOOKUP(B87,Data!$B:$AY,MATCH($H$1,Data!$B$1:$AY$1,),)-VLOOKUP(EDATE(B87,-12),Data!$B:$AY,MATCH($H$1,Data!$B$1:$AY$1,),))/VLOOKUP(EDATE(B87,-12),Data!$B:$AY,MATCH($H$1,Data!$B$1:$AY$1,),)</f>
        <v>8.0597014925373363E-3</v>
      </c>
      <c r="I87" s="21">
        <f>(VLOOKUP(B87,Data!$B:$AY,MATCH($I$1,Data!$B$1:$AY$1,),)-VLOOKUP(EDATE(B87,-12),Data!$B:$AY,MATCH($I$1,Data!$B$1:$AY$1,),))/VLOOKUP(EDATE(B87,-12),Data!$B:$AY,MATCH($I$1,Data!$B$1:$AY$1,),)</f>
        <v>2.6785714285714315E-2</v>
      </c>
      <c r="J87" s="21">
        <f>(VLOOKUP(B87,Data!$B:$AY,MATCH($J$1,Data!$B$1:$AY$1,),)-VLOOKUP(EDATE(B87,-12),Data!$B:$AY,MATCH($J$1,Data!$B$1:$AY$1,),))/VLOOKUP(EDATE(B87,-12),Data!$B:$AY,MATCH($J$1,Data!$B$1:$AY$1,),)</f>
        <v>1.4028056112224506E-2</v>
      </c>
      <c r="K87" s="21">
        <f>(VLOOKUP(B87,Data!$B:$AY,MATCH($K$1,Data!$B$1:$AY$1,),)-VLOOKUP(EDATE(B87,-12),Data!$B:$AY,MATCH($K$1,Data!$B$1:$AY$1,),))/VLOOKUP(EDATE(B87,-12),Data!$B:$AY,MATCH($K$1,Data!$B$1:$AY$1,),)</f>
        <v>1.9356134572556392E-2</v>
      </c>
      <c r="L87" s="21">
        <f>(VLOOKUP(B87,Data!$B:$AY,MATCH($L$1,Data!$B$1:$AY$1,),)-VLOOKUP(EDATE(B87,-12),Data!$B:$AY,MATCH($L$1,Data!$B$1:$AY$1,),))/VLOOKUP(EDATE(B87,-12),Data!$B:$AY,MATCH($L$1,Data!$B$1:$AY$1,),)</f>
        <v>1.7488140903996505E-2</v>
      </c>
      <c r="M87" s="21">
        <f>(VLOOKUP(B87,Data!$B:$AY,MATCH($M$1,Data!$B$1:$AY$1,),)-VLOOKUP(EDATE(B87,-12),Data!$B:$AY,MATCH($M$1,Data!$B$1:$AY$1,),))/VLOOKUP(EDATE(B87,-12),Data!$B:$AY,MATCH($M$1,Data!$B$1:$AY$1,),)</f>
        <v>6.1640222295792545E-2</v>
      </c>
      <c r="N87" s="21" t="e">
        <f>(VLOOKUP(B87,Data!$B:$AY,MATCH($N$1,Data!$B$1:$AY$1,),)-VLOOKUP(EDATE(B87,-12),Data!$B:$AY,MATCH($N$1,Data!$B$1:$AY$1,),))/VLOOKUP(EDATE(B87,-12),Data!$B:$AY,MATCH($N$1,Data!$B$1:$AY$1,),)</f>
        <v>#DIV/0!</v>
      </c>
      <c r="O87" s="21">
        <f>(VLOOKUP(B87,Data!$B:$AY,MATCH($O$1,Data!$B$1:$AY$1,),)-VLOOKUP(EDATE(B87,-12),Data!$B:$AY,MATCH($O$1,Data!$B$1:$AY$1,),))/VLOOKUP(EDATE(B87,-12),Data!$B:$AY,MATCH($O$1,Data!$B$1:$AY$1,),)</f>
        <v>1.0909160044108114E-2</v>
      </c>
      <c r="P87" s="21">
        <f>(VLOOKUP(B87,Data!$B:$AY,MATCH($P$1,Data!$B$1:$AY$1,),)-VLOOKUP(EDATE(B87,-12),Data!$B:$AY,MATCH($P$1,Data!$B$1:$AY$1,),))/VLOOKUP(EDATE(B87,-12),Data!$B:$AY,MATCH($P$1,Data!$B$1:$AY$1,),)</f>
        <v>1.3199101847893873E-2</v>
      </c>
      <c r="Q87" s="21" t="e">
        <f>(VLOOKUP(B87,Data!$B:$AY,MATCH($Q$1,Data!$B$1:$AY$1,),)-VLOOKUP(EDATE(B87,-12),Data!$B:$AY,MATCH($Q$1,Data!$B$1:$AY$1,),))/VLOOKUP(EDATE(B87,-12),Data!$B:$AY,MATCH($Q$1,Data!$B$1:$AY$1,),)</f>
        <v>#N/A</v>
      </c>
      <c r="R87" s="21">
        <f>(VLOOKUP(B87,Data!$B:$AY,MATCH($R$1,Data!$B$1:$AY$1,),)-VLOOKUP(EDATE(B87,-12),Data!$B:$AY,MATCH($R$1,Data!$B$1:$AY$1,),))/VLOOKUP(EDATE(B87,-12),Data!$B:$AY,MATCH($R$1,Data!$B$1:$AY$1,),)</f>
        <v>4.7940814165412758E-3</v>
      </c>
      <c r="S87" s="21">
        <f>(VLOOKUP(B87,Data!$B:$AY,MATCH($S$1,Data!$B$1:$AY$1,),)-VLOOKUP(EDATE(B87,-12),Data!$B:$AY,MATCH($S$1,Data!$B$1:$AY$1,),))/VLOOKUP(EDATE(B87,-12),Data!$B:$AY,MATCH($S$1,Data!$B$1:$AY$1,),)</f>
        <v>2.0037694673147467E-2</v>
      </c>
      <c r="T87" s="21">
        <f>(VLOOKUP(B87,Data!$B:$AY,MATCH($T$1,Data!$B$1:$AY$1,),)-VLOOKUP(EDATE(B87,-12),Data!$B:$AY,MATCH($T$1,Data!$B$1:$AY$1,),))/VLOOKUP(EDATE(B87,-12),Data!$B:$AY,MATCH($T$1,Data!$B$1:$AY$1,),)</f>
        <v>3.5972748476551346E-2</v>
      </c>
      <c r="U87" s="21">
        <f>(VLOOKUP(B87,Data!$B:$AY,MATCH($U$1,Data!$B$1:$AY$1,),)-VLOOKUP(EDATE(B87,-12),Data!$B:$AY,MATCH($U$1,Data!$B$1:$AY$1,),))/VLOOKUP(EDATE(B87,-12),Data!$B:$AY,MATCH($U$1,Data!$B$1:$AY$1,),)</f>
        <v>1.1929307686979659E-2</v>
      </c>
      <c r="V87" s="21" t="e">
        <f>(VLOOKUP(B87,Data!$B:$AY,MATCH($V$1,Data!$B$1:$AY$1,),)-VLOOKUP(EDATE(B87,-12),Data!$B:$AY,MATCH($V$1,Data!$B$1:$AY$1,),))/VLOOKUP(EDATE(B87,-12),Data!$B:$AY,MATCH($V$1,Data!$B$1:$AY$1,),)</f>
        <v>#DIV/0!</v>
      </c>
      <c r="W87" s="21">
        <f>(VLOOKUP(B87,Data!$B:$AY,MATCH($W$1,Data!$B$1:$AY$1,),)-VLOOKUP(EDATE(B87,-12),Data!$B:$AY,MATCH($W$1,Data!$B$1:$AY$1,),))/VLOOKUP(EDATE(B87,-12),Data!$B:$AY,MATCH($W$1,Data!$B$1:$AY$1,),)</f>
        <v>0.11722202591228652</v>
      </c>
      <c r="X87" s="21">
        <f>(VLOOKUP(B87,Data!$B:$AY,MATCH($X$1,Data!$B$1:$AY$1,),)-VLOOKUP(EDATE(B87,-12),Data!$B:$AY,MATCH($X$1,Data!$B$1:$AY$1,),))/VLOOKUP(EDATE(B87,-12),Data!$B:$AY,MATCH($X$1,Data!$B$1:$AY$1,),)</f>
        <v>2.3880597014925429E-2</v>
      </c>
      <c r="Y87" s="21">
        <f>(VLOOKUP(B87,Data!$B:$AY,MATCH($Y$1,Data!$B$1:$AY$1,),)-VLOOKUP(EDATE(B87,-12),Data!$B:$AY,MATCH($Y$1,Data!$B$1:$AY$1,),))/VLOOKUP(EDATE(B87,-12),Data!$B:$AY,MATCH($Y$1,Data!$B$1:$AY$1,),)</f>
        <v>1.9655999879262989E-2</v>
      </c>
      <c r="Z87" s="21" t="e">
        <f>(VLOOKUP(B87,Data!$B:$AY,MATCH($Z$1,Data!$B$1:$AY$1,),)-VLOOKUP(EDATE(B87,-12),Data!$B:$AY,MATCH($Z$1,Data!$B$1:$AY$1,),))/VLOOKUP(EDATE(B87,-12),Data!$B:$AY,MATCH($Z$1,Data!$B$1:$AY$1,),)</f>
        <v>#N/A</v>
      </c>
      <c r="AA87" s="21" t="e">
        <f>(VLOOKUP(B87,Data!$B:$AY,MATCH($AA$1,Data!$B$1:$AY$1,),)-VLOOKUP(EDATE(B87,-12),Data!$B:$AY,MATCH($AA$1,Data!$B$1:$AY$1,),))/VLOOKUP(EDATE(B87,-12),Data!$B:$AY,MATCH($AA$1,Data!$B$1:$AY$1,),)</f>
        <v>#N/A</v>
      </c>
      <c r="AB87" s="20"/>
    </row>
    <row r="88" spans="2:28" x14ac:dyDescent="0.2">
      <c r="B88" s="16">
        <v>42887</v>
      </c>
      <c r="C88" s="21">
        <f>(VLOOKUP(B88,Data!$B:$AY,MATCH($C$1,Data!$B$1:$AY$1,),)-VLOOKUP(EDATE(B88,-12),Data!$B:$AY,MATCH($C$1,Data!$B$1:$AY$1,),))/VLOOKUP(EDATE(B88,-12),Data!$B:$AY,MATCH($C$1,Data!$B$1:$AY$1,),)</f>
        <v>1.6334261334413774E-2</v>
      </c>
      <c r="D88" s="21">
        <f>(VLOOKUP(B88,Data!$B:$AY,MATCH($D$1,Data!$B$1:$AY$1,),)-VLOOKUP(EDATE(B88,-12),Data!$B:$AY,MATCH($D$1,Data!$B$1:$AY$1,),))/VLOOKUP(EDATE(B88,-12),Data!$B:$AY,MATCH($D$1,Data!$B$1:$AY$1,),)</f>
        <v>1.6765285996055115E-2</v>
      </c>
      <c r="E88" s="21">
        <f>(VLOOKUP(B88,Data!$B:$AY,MATCH($E$1,Data!$B$1:$AY$1,),)-VLOOKUP(EDATE(B88,-12),Data!$B:$AY,MATCH($E$1,Data!$B$1:$AY$1,),))/VLOOKUP(EDATE(B88,-12),Data!$B:$AY,MATCH($E$1,Data!$B$1:$AY$1,),)</f>
        <v>1.2999900764116328E-2</v>
      </c>
      <c r="F88" s="21">
        <f>(VLOOKUP(B88,Data!$B:$AY,MATCH($F$1,Data!$B$1:$AY$1,),)-VLOOKUP(EDATE(B88,-12),Data!$B:$AY,MATCH($F$1,Data!$B$1:$AY$1,),))/VLOOKUP(EDATE(B88,-12),Data!$B:$AY,MATCH($F$1,Data!$B$1:$AY$1,),)</f>
        <v>3.0030030030029744E-3</v>
      </c>
      <c r="G88" s="21">
        <f>(VLOOKUP(B88,Data!$B:$AY,MATCH($G$1,Data!$B$1:$AY$1,),)-VLOOKUP(EDATE(B88,-12),Data!$B:$AY,MATCH($G$1,Data!$B$1:$AY$1,),))/VLOOKUP(EDATE(B88,-12),Data!$B:$AY,MATCH($G$1,Data!$B$1:$AY$1,),)</f>
        <v>1.3902347969752793E-2</v>
      </c>
      <c r="H88" s="21">
        <f>(VLOOKUP(B88,Data!$B:$AY,MATCH($H$1,Data!$B$1:$AY$1,),)-VLOOKUP(EDATE(B88,-12),Data!$B:$AY,MATCH($H$1,Data!$B$1:$AY$1,),))/VLOOKUP(EDATE(B88,-12),Data!$B:$AY,MATCH($H$1,Data!$B$1:$AY$1,),)</f>
        <v>6.8568021464771711E-3</v>
      </c>
      <c r="I88" s="21">
        <f>(VLOOKUP(B88,Data!$B:$AY,MATCH($I$1,Data!$B$1:$AY$1,),)-VLOOKUP(EDATE(B88,-12),Data!$B:$AY,MATCH($I$1,Data!$B$1:$AY$1,),))/VLOOKUP(EDATE(B88,-12),Data!$B:$AY,MATCH($I$1,Data!$B$1:$AY$1,),)</f>
        <v>2.4752475247524754E-2</v>
      </c>
      <c r="J88" s="21">
        <f>(VLOOKUP(B88,Data!$B:$AY,MATCH($J$1,Data!$B$1:$AY$1,),)-VLOOKUP(EDATE(B88,-12),Data!$B:$AY,MATCH($J$1,Data!$B$1:$AY$1,),))/VLOOKUP(EDATE(B88,-12),Data!$B:$AY,MATCH($J$1,Data!$B$1:$AY$1,),)</f>
        <v>1.2012012012011897E-2</v>
      </c>
      <c r="K88" s="21">
        <f>(VLOOKUP(B88,Data!$B:$AY,MATCH($K$1,Data!$B$1:$AY$1,),)-VLOOKUP(EDATE(B88,-12),Data!$B:$AY,MATCH($K$1,Data!$B$1:$AY$1,),))/VLOOKUP(EDATE(B88,-12),Data!$B:$AY,MATCH($K$1,Data!$B$1:$AY$1,),)</f>
        <v>1.5099687840116735E-2</v>
      </c>
      <c r="L88" s="21">
        <f>(VLOOKUP(B88,Data!$B:$AY,MATCH($L$1,Data!$B$1:$AY$1,),)-VLOOKUP(EDATE(B88,-12),Data!$B:$AY,MATCH($L$1,Data!$B$1:$AY$1,),))/VLOOKUP(EDATE(B88,-12),Data!$B:$AY,MATCH($L$1,Data!$B$1:$AY$1,),)</f>
        <v>1.7154130790719414E-2</v>
      </c>
      <c r="M88" s="21">
        <f>(VLOOKUP(B88,Data!$B:$AY,MATCH($M$1,Data!$B$1:$AY$1,),)-VLOOKUP(EDATE(B88,-12),Data!$B:$AY,MATCH($M$1,Data!$B$1:$AY$1,),))/VLOOKUP(EDATE(B88,-12),Data!$B:$AY,MATCH($M$1,Data!$B$1:$AY$1,),)</f>
        <v>6.3136502179489379E-2</v>
      </c>
      <c r="N88" s="21" t="e">
        <f>(VLOOKUP(B88,Data!$B:$AY,MATCH($N$1,Data!$B$1:$AY$1,),)-VLOOKUP(EDATE(B88,-12),Data!$B:$AY,MATCH($N$1,Data!$B$1:$AY$1,),))/VLOOKUP(EDATE(B88,-12),Data!$B:$AY,MATCH($N$1,Data!$B$1:$AY$1,),)</f>
        <v>#DIV/0!</v>
      </c>
      <c r="O88" s="21">
        <f>(VLOOKUP(B88,Data!$B:$AY,MATCH($O$1,Data!$B$1:$AY$1,),)-VLOOKUP(EDATE(B88,-12),Data!$B:$AY,MATCH($O$1,Data!$B$1:$AY$1,),))/VLOOKUP(EDATE(B88,-12),Data!$B:$AY,MATCH($O$1,Data!$B$1:$AY$1,),)</f>
        <v>1.0830389642991598E-2</v>
      </c>
      <c r="P88" s="21">
        <f>(VLOOKUP(B88,Data!$B:$AY,MATCH($P$1,Data!$B$1:$AY$1,),)-VLOOKUP(EDATE(B88,-12),Data!$B:$AY,MATCH($P$1,Data!$B$1:$AY$1,),))/VLOOKUP(EDATE(B88,-12),Data!$B:$AY,MATCH($P$1,Data!$B$1:$AY$1,),)</f>
        <v>1.0069449890982145E-2</v>
      </c>
      <c r="Q88" s="21" t="e">
        <f>(VLOOKUP(B88,Data!$B:$AY,MATCH($Q$1,Data!$B$1:$AY$1,),)-VLOOKUP(EDATE(B88,-12),Data!$B:$AY,MATCH($Q$1,Data!$B$1:$AY$1,),))/VLOOKUP(EDATE(B88,-12),Data!$B:$AY,MATCH($Q$1,Data!$B$1:$AY$1,),)</f>
        <v>#N/A</v>
      </c>
      <c r="R88" s="21">
        <f>(VLOOKUP(B88,Data!$B:$AY,MATCH($R$1,Data!$B$1:$AY$1,),)-VLOOKUP(EDATE(B88,-12),Data!$B:$AY,MATCH($R$1,Data!$B$1:$AY$1,),))/VLOOKUP(EDATE(B88,-12),Data!$B:$AY,MATCH($R$1,Data!$B$1:$AY$1,),)</f>
        <v>1.9722663778538843E-3</v>
      </c>
      <c r="S88" s="21">
        <f>(VLOOKUP(B88,Data!$B:$AY,MATCH($S$1,Data!$B$1:$AY$1,),)-VLOOKUP(EDATE(B88,-12),Data!$B:$AY,MATCH($S$1,Data!$B$1:$AY$1,),))/VLOOKUP(EDATE(B88,-12),Data!$B:$AY,MATCH($S$1,Data!$B$1:$AY$1,),)</f>
        <v>1.8057346959023644E-2</v>
      </c>
      <c r="T88" s="21">
        <f>(VLOOKUP(B88,Data!$B:$AY,MATCH($T$1,Data!$B$1:$AY$1,),)-VLOOKUP(EDATE(B88,-12),Data!$B:$AY,MATCH($T$1,Data!$B$1:$AY$1,),))/VLOOKUP(EDATE(B88,-12),Data!$B:$AY,MATCH($T$1,Data!$B$1:$AY$1,),)</f>
        <v>2.9985135589514496E-2</v>
      </c>
      <c r="U88" s="21">
        <f>(VLOOKUP(B88,Data!$B:$AY,MATCH($U$1,Data!$B$1:$AY$1,),)-VLOOKUP(EDATE(B88,-12),Data!$B:$AY,MATCH($U$1,Data!$B$1:$AY$1,),))/VLOOKUP(EDATE(B88,-12),Data!$B:$AY,MATCH($U$1,Data!$B$1:$AY$1,),)</f>
        <v>1.0160735991658128E-2</v>
      </c>
      <c r="V88" s="21" t="e">
        <f>(VLOOKUP(B88,Data!$B:$AY,MATCH($V$1,Data!$B$1:$AY$1,),)-VLOOKUP(EDATE(B88,-12),Data!$B:$AY,MATCH($V$1,Data!$B$1:$AY$1,),))/VLOOKUP(EDATE(B88,-12),Data!$B:$AY,MATCH($V$1,Data!$B$1:$AY$1,),)</f>
        <v>#DIV/0!</v>
      </c>
      <c r="W88" s="21">
        <f>(VLOOKUP(B88,Data!$B:$AY,MATCH($W$1,Data!$B$1:$AY$1,),)-VLOOKUP(EDATE(B88,-12),Data!$B:$AY,MATCH($W$1,Data!$B$1:$AY$1,),))/VLOOKUP(EDATE(B88,-12),Data!$B:$AY,MATCH($W$1,Data!$B$1:$AY$1,),)</f>
        <v>0.1090113757003696</v>
      </c>
      <c r="X88" s="21">
        <f>(VLOOKUP(B88,Data!$B:$AY,MATCH($X$1,Data!$B$1:$AY$1,),)-VLOOKUP(EDATE(B88,-12),Data!$B:$AY,MATCH($X$1,Data!$B$1:$AY$1,),))/VLOOKUP(EDATE(B88,-12),Data!$B:$AY,MATCH($X$1,Data!$B$1:$AY$1,),)</f>
        <v>2.2862823061630334E-2</v>
      </c>
      <c r="Y88" s="21">
        <f>(VLOOKUP(B88,Data!$B:$AY,MATCH($Y$1,Data!$B$1:$AY$1,),)-VLOOKUP(EDATE(B88,-12),Data!$B:$AY,MATCH($Y$1,Data!$B$1:$AY$1,),))/VLOOKUP(EDATE(B88,-12),Data!$B:$AY,MATCH($Y$1,Data!$B$1:$AY$1,),)</f>
        <v>1.6353213336105746E-2</v>
      </c>
      <c r="Z88" s="21" t="e">
        <f>(VLOOKUP(B88,Data!$B:$AY,MATCH($Z$1,Data!$B$1:$AY$1,),)-VLOOKUP(EDATE(B88,-12),Data!$B:$AY,MATCH($Z$1,Data!$B$1:$AY$1,),))/VLOOKUP(EDATE(B88,-12),Data!$B:$AY,MATCH($Z$1,Data!$B$1:$AY$1,),)</f>
        <v>#N/A</v>
      </c>
      <c r="AA88" s="21" t="e">
        <f>(VLOOKUP(B88,Data!$B:$AY,MATCH($AA$1,Data!$B$1:$AY$1,),)-VLOOKUP(EDATE(B88,-12),Data!$B:$AY,MATCH($AA$1,Data!$B$1:$AY$1,),))/VLOOKUP(EDATE(B88,-12),Data!$B:$AY,MATCH($AA$1,Data!$B$1:$AY$1,),)</f>
        <v>#N/A</v>
      </c>
      <c r="AB88" s="20"/>
    </row>
    <row r="89" spans="2:28" x14ac:dyDescent="0.2">
      <c r="B89" s="16">
        <v>42917</v>
      </c>
      <c r="C89" s="21">
        <f>(VLOOKUP(B89,Data!$B:$AY,MATCH($C$1,Data!$B$1:$AY$1,),)-VLOOKUP(EDATE(B89,-12),Data!$B:$AY,MATCH($C$1,Data!$B$1:$AY$1,),))/VLOOKUP(EDATE(B89,-12),Data!$B:$AY,MATCH($C$1,Data!$B$1:$AY$1,),)</f>
        <v>1.7279743113663346E-2</v>
      </c>
      <c r="D89" s="21">
        <f>(VLOOKUP(B89,Data!$B:$AY,MATCH($D$1,Data!$B$1:$AY$1,),)-VLOOKUP(EDATE(B89,-12),Data!$B:$AY,MATCH($D$1,Data!$B$1:$AY$1,),))/VLOOKUP(EDATE(B89,-12),Data!$B:$AY,MATCH($D$1,Data!$B$1:$AY$1,),)</f>
        <v>1.3779527559055175E-2</v>
      </c>
      <c r="E89" s="21">
        <f>(VLOOKUP(B89,Data!$B:$AY,MATCH($E$1,Data!$B$1:$AY$1,),)-VLOOKUP(EDATE(B89,-12),Data!$B:$AY,MATCH($E$1,Data!$B$1:$AY$1,),))/VLOOKUP(EDATE(B89,-12),Data!$B:$AY,MATCH($E$1,Data!$B$1:$AY$1,),)</f>
        <v>1.3362584762664572E-2</v>
      </c>
      <c r="F89" s="21">
        <f>(VLOOKUP(B89,Data!$B:$AY,MATCH($F$1,Data!$B$1:$AY$1,),)-VLOOKUP(EDATE(B89,-12),Data!$B:$AY,MATCH($F$1,Data!$B$1:$AY$1,),))/VLOOKUP(EDATE(B89,-12),Data!$B:$AY,MATCH($F$1,Data!$B$1:$AY$1,),)</f>
        <v>5.0200803212851405E-3</v>
      </c>
      <c r="G89" s="21">
        <f>(VLOOKUP(B89,Data!$B:$AY,MATCH($G$1,Data!$B$1:$AY$1,),)-VLOOKUP(EDATE(B89,-12),Data!$B:$AY,MATCH($G$1,Data!$B$1:$AY$1,),))/VLOOKUP(EDATE(B89,-12),Data!$B:$AY,MATCH($G$1,Data!$B$1:$AY$1,),)</f>
        <v>1.3847339069927956E-2</v>
      </c>
      <c r="H89" s="21">
        <f>(VLOOKUP(B89,Data!$B:$AY,MATCH($H$1,Data!$B$1:$AY$1,),)-VLOOKUP(EDATE(B89,-12),Data!$B:$AY,MATCH($H$1,Data!$B$1:$AY$1,),))/VLOOKUP(EDATE(B89,-12),Data!$B:$AY,MATCH($H$1,Data!$B$1:$AY$1,),)</f>
        <v>7.1820448877805369E-3</v>
      </c>
      <c r="I89" s="21">
        <f>(VLOOKUP(B89,Data!$B:$AY,MATCH($I$1,Data!$B$1:$AY$1,),)-VLOOKUP(EDATE(B89,-12),Data!$B:$AY,MATCH($I$1,Data!$B$1:$AY$1,),))/VLOOKUP(EDATE(B89,-12),Data!$B:$AY,MATCH($I$1,Data!$B$1:$AY$1,),)</f>
        <v>2.5768087215064361E-2</v>
      </c>
      <c r="J89" s="21">
        <f>(VLOOKUP(B89,Data!$B:$AY,MATCH($J$1,Data!$B$1:$AY$1,),)-VLOOKUP(EDATE(B89,-12),Data!$B:$AY,MATCH($J$1,Data!$B$1:$AY$1,),))/VLOOKUP(EDATE(B89,-12),Data!$B:$AY,MATCH($J$1,Data!$B$1:$AY$1,),)</f>
        <v>1.0989010989011075E-2</v>
      </c>
      <c r="K89" s="21">
        <f>(VLOOKUP(B89,Data!$B:$AY,MATCH($K$1,Data!$B$1:$AY$1,),)-VLOOKUP(EDATE(B89,-12),Data!$B:$AY,MATCH($K$1,Data!$B$1:$AY$1,),))/VLOOKUP(EDATE(B89,-12),Data!$B:$AY,MATCH($K$1,Data!$B$1:$AY$1,),)</f>
        <v>1.5480144717486518E-2</v>
      </c>
      <c r="L89" s="21">
        <f>(VLOOKUP(B89,Data!$B:$AY,MATCH($L$1,Data!$B$1:$AY$1,),)-VLOOKUP(EDATE(B89,-12),Data!$B:$AY,MATCH($L$1,Data!$B$1:$AY$1,),))/VLOOKUP(EDATE(B89,-12),Data!$B:$AY,MATCH($L$1,Data!$B$1:$AY$1,),)</f>
        <v>2.1974673525920026E-2</v>
      </c>
      <c r="M89" s="21">
        <f>(VLOOKUP(B89,Data!$B:$AY,MATCH($M$1,Data!$B$1:$AY$1,),)-VLOOKUP(EDATE(B89,-12),Data!$B:$AY,MATCH($M$1,Data!$B$1:$AY$1,),))/VLOOKUP(EDATE(B89,-12),Data!$B:$AY,MATCH($M$1,Data!$B$1:$AY$1,),)</f>
        <v>6.4381723455837953E-2</v>
      </c>
      <c r="N89" s="21" t="e">
        <f>(VLOOKUP(B89,Data!$B:$AY,MATCH($N$1,Data!$B$1:$AY$1,),)-VLOOKUP(EDATE(B89,-12),Data!$B:$AY,MATCH($N$1,Data!$B$1:$AY$1,),))/VLOOKUP(EDATE(B89,-12),Data!$B:$AY,MATCH($N$1,Data!$B$1:$AY$1,),)</f>
        <v>#DIV/0!</v>
      </c>
      <c r="O89" s="21">
        <f>(VLOOKUP(B89,Data!$B:$AY,MATCH($O$1,Data!$B$1:$AY$1,),)-VLOOKUP(EDATE(B89,-12),Data!$B:$AY,MATCH($O$1,Data!$B$1:$AY$1,),))/VLOOKUP(EDATE(B89,-12),Data!$B:$AY,MATCH($O$1,Data!$B$1:$AY$1,),)</f>
        <v>1.7857559656685226E-2</v>
      </c>
      <c r="P89" s="21">
        <f>(VLOOKUP(B89,Data!$B:$AY,MATCH($P$1,Data!$B$1:$AY$1,),)-VLOOKUP(EDATE(B89,-12),Data!$B:$AY,MATCH($P$1,Data!$B$1:$AY$1,),))/VLOOKUP(EDATE(B89,-12),Data!$B:$AY,MATCH($P$1,Data!$B$1:$AY$1,),)</f>
        <v>1.1636470038372619E-2</v>
      </c>
      <c r="Q89" s="21" t="e">
        <f>(VLOOKUP(B89,Data!$B:$AY,MATCH($Q$1,Data!$B$1:$AY$1,),)-VLOOKUP(EDATE(B89,-12),Data!$B:$AY,MATCH($Q$1,Data!$B$1:$AY$1,),))/VLOOKUP(EDATE(B89,-12),Data!$B:$AY,MATCH($Q$1,Data!$B$1:$AY$1,),)</f>
        <v>#N/A</v>
      </c>
      <c r="R89" s="21">
        <f>(VLOOKUP(B89,Data!$B:$AY,MATCH($R$1,Data!$B$1:$AY$1,),)-VLOOKUP(EDATE(B89,-12),Data!$B:$AY,MATCH($R$1,Data!$B$1:$AY$1,),))/VLOOKUP(EDATE(B89,-12),Data!$B:$AY,MATCH($R$1,Data!$B$1:$AY$1,),)</f>
        <v>3.2925306281218719E-3</v>
      </c>
      <c r="S89" s="21">
        <f>(VLOOKUP(B89,Data!$B:$AY,MATCH($S$1,Data!$B$1:$AY$1,),)-VLOOKUP(EDATE(B89,-12),Data!$B:$AY,MATCH($S$1,Data!$B$1:$AY$1,),))/VLOOKUP(EDATE(B89,-12),Data!$B:$AY,MATCH($S$1,Data!$B$1:$AY$1,),)</f>
        <v>2.1669980119284362E-2</v>
      </c>
      <c r="T89" s="21">
        <f>(VLOOKUP(B89,Data!$B:$AY,MATCH($T$1,Data!$B$1:$AY$1,),)-VLOOKUP(EDATE(B89,-12),Data!$B:$AY,MATCH($T$1,Data!$B$1:$AY$1,),))/VLOOKUP(EDATE(B89,-12),Data!$B:$AY,MATCH($T$1,Data!$B$1:$AY$1,),)</f>
        <v>2.7116518776384213E-2</v>
      </c>
      <c r="U89" s="21">
        <f>(VLOOKUP(B89,Data!$B:$AY,MATCH($U$1,Data!$B$1:$AY$1,),)-VLOOKUP(EDATE(B89,-12),Data!$B:$AY,MATCH($U$1,Data!$B$1:$AY$1,),))/VLOOKUP(EDATE(B89,-12),Data!$B:$AY,MATCH($U$1,Data!$B$1:$AY$1,),)</f>
        <v>9.9947648790920142E-3</v>
      </c>
      <c r="V89" s="21" t="e">
        <f>(VLOOKUP(B89,Data!$B:$AY,MATCH($V$1,Data!$B$1:$AY$1,),)-VLOOKUP(EDATE(B89,-12),Data!$B:$AY,MATCH($V$1,Data!$B$1:$AY$1,),))/VLOOKUP(EDATE(B89,-12),Data!$B:$AY,MATCH($V$1,Data!$B$1:$AY$1,),)</f>
        <v>#DIV/0!</v>
      </c>
      <c r="W89" s="21">
        <f>(VLOOKUP(B89,Data!$B:$AY,MATCH($W$1,Data!$B$1:$AY$1,),)-VLOOKUP(EDATE(B89,-12),Data!$B:$AY,MATCH($W$1,Data!$B$1:$AY$1,),))/VLOOKUP(EDATE(B89,-12),Data!$B:$AY,MATCH($W$1,Data!$B$1:$AY$1,),)</f>
        <v>9.7884002855019206E-2</v>
      </c>
      <c r="X89" s="21">
        <f>(VLOOKUP(B89,Data!$B:$AY,MATCH($X$1,Data!$B$1:$AY$1,),)-VLOOKUP(EDATE(B89,-12),Data!$B:$AY,MATCH($X$1,Data!$B$1:$AY$1,),))/VLOOKUP(EDATE(B89,-12),Data!$B:$AY,MATCH($X$1,Data!$B$1:$AY$1,),)</f>
        <v>2.4777006937561942E-2</v>
      </c>
      <c r="Y89" s="21">
        <f>(VLOOKUP(B89,Data!$B:$AY,MATCH($Y$1,Data!$B$1:$AY$1,),)-VLOOKUP(EDATE(B89,-12),Data!$B:$AY,MATCH($Y$1,Data!$B$1:$AY$1,),))/VLOOKUP(EDATE(B89,-12),Data!$B:$AY,MATCH($Y$1,Data!$B$1:$AY$1,),)</f>
        <v>1.8047561795363591E-2</v>
      </c>
      <c r="Z89" s="21" t="e">
        <f>(VLOOKUP(B89,Data!$B:$AY,MATCH($Z$1,Data!$B$1:$AY$1,),)-VLOOKUP(EDATE(B89,-12),Data!$B:$AY,MATCH($Z$1,Data!$B$1:$AY$1,),))/VLOOKUP(EDATE(B89,-12),Data!$B:$AY,MATCH($Z$1,Data!$B$1:$AY$1,),)</f>
        <v>#N/A</v>
      </c>
      <c r="AA89" s="21" t="e">
        <f>(VLOOKUP(B89,Data!$B:$AY,MATCH($AA$1,Data!$B$1:$AY$1,),)-VLOOKUP(EDATE(B89,-12),Data!$B:$AY,MATCH($AA$1,Data!$B$1:$AY$1,),))/VLOOKUP(EDATE(B89,-12),Data!$B:$AY,MATCH($AA$1,Data!$B$1:$AY$1,),)</f>
        <v>#N/A</v>
      </c>
      <c r="AB89" s="20"/>
    </row>
    <row r="90" spans="2:28" x14ac:dyDescent="0.2">
      <c r="B90" s="16">
        <v>42948</v>
      </c>
      <c r="C90" s="21">
        <f>(VLOOKUP(B90,Data!$B:$AY,MATCH($C$1,Data!$B$1:$AY$1,),)-VLOOKUP(EDATE(B90,-12),Data!$B:$AY,MATCH($C$1,Data!$B$1:$AY$1,),))/VLOOKUP(EDATE(B90,-12),Data!$B:$AY,MATCH($C$1,Data!$B$1:$AY$1,),)</f>
        <v>1.9389510395918873E-2</v>
      </c>
      <c r="D90" s="21">
        <f>(VLOOKUP(B90,Data!$B:$AY,MATCH($D$1,Data!$B$1:$AY$1,),)-VLOOKUP(EDATE(B90,-12),Data!$B:$AY,MATCH($D$1,Data!$B$1:$AY$1,),))/VLOOKUP(EDATE(B90,-12),Data!$B:$AY,MATCH($D$1,Data!$B$1:$AY$1,),)</f>
        <v>1.769911504424776E-2</v>
      </c>
      <c r="E90" s="21">
        <f>(VLOOKUP(B90,Data!$B:$AY,MATCH($E$1,Data!$B$1:$AY$1,),)-VLOOKUP(EDATE(B90,-12),Data!$B:$AY,MATCH($E$1,Data!$B$1:$AY$1,),))/VLOOKUP(EDATE(B90,-12),Data!$B:$AY,MATCH($E$1,Data!$B$1:$AY$1,),)</f>
        <v>1.5447478572852273E-2</v>
      </c>
      <c r="F90" s="21">
        <f>(VLOOKUP(B90,Data!$B:$AY,MATCH($F$1,Data!$B$1:$AY$1,),)-VLOOKUP(EDATE(B90,-12),Data!$B:$AY,MATCH($F$1,Data!$B$1:$AY$1,),))/VLOOKUP(EDATE(B90,-12),Data!$B:$AY,MATCH($F$1,Data!$B$1:$AY$1,),)</f>
        <v>6.0180541624874056E-3</v>
      </c>
      <c r="G90" s="21">
        <f>(VLOOKUP(B90,Data!$B:$AY,MATCH($G$1,Data!$B$1:$AY$1,),)-VLOOKUP(EDATE(B90,-12),Data!$B:$AY,MATCH($G$1,Data!$B$1:$AY$1,),))/VLOOKUP(EDATE(B90,-12),Data!$B:$AY,MATCH($G$1,Data!$B$1:$AY$1,),)</f>
        <v>1.5841919363907688E-2</v>
      </c>
      <c r="H90" s="21">
        <f>(VLOOKUP(B90,Data!$B:$AY,MATCH($H$1,Data!$B$1:$AY$1,),)-VLOOKUP(EDATE(B90,-12),Data!$B:$AY,MATCH($H$1,Data!$B$1:$AY$1,),))/VLOOKUP(EDATE(B90,-12),Data!$B:$AY,MATCH($H$1,Data!$B$1:$AY$1,),)</f>
        <v>9.047524358719394E-3</v>
      </c>
      <c r="I90" s="21">
        <f>(VLOOKUP(B90,Data!$B:$AY,MATCH($I$1,Data!$B$1:$AY$1,),)-VLOOKUP(EDATE(B90,-12),Data!$B:$AY,MATCH($I$1,Data!$B$1:$AY$1,),))/VLOOKUP(EDATE(B90,-12),Data!$B:$AY,MATCH($I$1,Data!$B$1:$AY$1,),)</f>
        <v>2.7667984189723292E-2</v>
      </c>
      <c r="J90" s="21">
        <f>(VLOOKUP(B90,Data!$B:$AY,MATCH($J$1,Data!$B$1:$AY$1,),)-VLOOKUP(EDATE(B90,-12),Data!$B:$AY,MATCH($J$1,Data!$B$1:$AY$1,),))/VLOOKUP(EDATE(B90,-12),Data!$B:$AY,MATCH($J$1,Data!$B$1:$AY$1,),)</f>
        <v>1.1964107676969121E-2</v>
      </c>
      <c r="K90" s="21">
        <f>(VLOOKUP(B90,Data!$B:$AY,MATCH($K$1,Data!$B$1:$AY$1,),)-VLOOKUP(EDATE(B90,-12),Data!$B:$AY,MATCH($K$1,Data!$B$1:$AY$1,),))/VLOOKUP(EDATE(B90,-12),Data!$B:$AY,MATCH($K$1,Data!$B$1:$AY$1,),)</f>
        <v>1.6200905912738092E-2</v>
      </c>
      <c r="L90" s="21">
        <f>(VLOOKUP(B90,Data!$B:$AY,MATCH($L$1,Data!$B$1:$AY$1,),)-VLOOKUP(EDATE(B90,-12),Data!$B:$AY,MATCH($L$1,Data!$B$1:$AY$1,),))/VLOOKUP(EDATE(B90,-12),Data!$B:$AY,MATCH($L$1,Data!$B$1:$AY$1,),)</f>
        <v>2.1492884400351447E-2</v>
      </c>
      <c r="M90" s="21">
        <f>(VLOOKUP(B90,Data!$B:$AY,MATCH($M$1,Data!$B$1:$AY$1,),)-VLOOKUP(EDATE(B90,-12),Data!$B:$AY,MATCH($M$1,Data!$B$1:$AY$1,),))/VLOOKUP(EDATE(B90,-12),Data!$B:$AY,MATCH($M$1,Data!$B$1:$AY$1,),)</f>
        <v>6.6634978947512191E-2</v>
      </c>
      <c r="N90" s="21" t="e">
        <f>(VLOOKUP(B90,Data!$B:$AY,MATCH($N$1,Data!$B$1:$AY$1,),)-VLOOKUP(EDATE(B90,-12),Data!$B:$AY,MATCH($N$1,Data!$B$1:$AY$1,),))/VLOOKUP(EDATE(B90,-12),Data!$B:$AY,MATCH($N$1,Data!$B$1:$AY$1,),)</f>
        <v>#DIV/0!</v>
      </c>
      <c r="O90" s="21">
        <f>(VLOOKUP(B90,Data!$B:$AY,MATCH($O$1,Data!$B$1:$AY$1,),)-VLOOKUP(EDATE(B90,-12),Data!$B:$AY,MATCH($O$1,Data!$B$1:$AY$1,),))/VLOOKUP(EDATE(B90,-12),Data!$B:$AY,MATCH($O$1,Data!$B$1:$AY$1,),)</f>
        <v>2.5180640866023014E-2</v>
      </c>
      <c r="P90" s="21">
        <f>(VLOOKUP(B90,Data!$B:$AY,MATCH($P$1,Data!$B$1:$AY$1,),)-VLOOKUP(EDATE(B90,-12),Data!$B:$AY,MATCH($P$1,Data!$B$1:$AY$1,),))/VLOOKUP(EDATE(B90,-12),Data!$B:$AY,MATCH($P$1,Data!$B$1:$AY$1,),)</f>
        <v>1.3986261561382787E-2</v>
      </c>
      <c r="Q90" s="21" t="e">
        <f>(VLOOKUP(B90,Data!$B:$AY,MATCH($Q$1,Data!$B$1:$AY$1,),)-VLOOKUP(EDATE(B90,-12),Data!$B:$AY,MATCH($Q$1,Data!$B$1:$AY$1,),))/VLOOKUP(EDATE(B90,-12),Data!$B:$AY,MATCH($Q$1,Data!$B$1:$AY$1,),)</f>
        <v>#N/A</v>
      </c>
      <c r="R90" s="21">
        <f>(VLOOKUP(B90,Data!$B:$AY,MATCH($R$1,Data!$B$1:$AY$1,),)-VLOOKUP(EDATE(B90,-12),Data!$B:$AY,MATCH($R$1,Data!$B$1:$AY$1,),))/VLOOKUP(EDATE(B90,-12),Data!$B:$AY,MATCH($R$1,Data!$B$1:$AY$1,),)</f>
        <v>4.627723707635918E-3</v>
      </c>
      <c r="S90" s="21">
        <f>(VLOOKUP(B90,Data!$B:$AY,MATCH($S$1,Data!$B$1:$AY$1,),)-VLOOKUP(EDATE(B90,-12),Data!$B:$AY,MATCH($S$1,Data!$B$1:$AY$1,),))/VLOOKUP(EDATE(B90,-12),Data!$B:$AY,MATCH($S$1,Data!$B$1:$AY$1,),)</f>
        <v>2.4885980567122795E-2</v>
      </c>
      <c r="T90" s="21">
        <f>(VLOOKUP(B90,Data!$B:$AY,MATCH($T$1,Data!$B$1:$AY$1,),)-VLOOKUP(EDATE(B90,-12),Data!$B:$AY,MATCH($T$1,Data!$B$1:$AY$1,),))/VLOOKUP(EDATE(B90,-12),Data!$B:$AY,MATCH($T$1,Data!$B$1:$AY$1,),)</f>
        <v>2.4559114306798736E-2</v>
      </c>
      <c r="U90" s="21">
        <f>(VLOOKUP(B90,Data!$B:$AY,MATCH($U$1,Data!$B$1:$AY$1,),)-VLOOKUP(EDATE(B90,-12),Data!$B:$AY,MATCH($U$1,Data!$B$1:$AY$1,),))/VLOOKUP(EDATE(B90,-12),Data!$B:$AY,MATCH($U$1,Data!$B$1:$AY$1,),)</f>
        <v>8.9235227503975337E-3</v>
      </c>
      <c r="V90" s="21" t="e">
        <f>(VLOOKUP(B90,Data!$B:$AY,MATCH($V$1,Data!$B$1:$AY$1,),)-VLOOKUP(EDATE(B90,-12),Data!$B:$AY,MATCH($V$1,Data!$B$1:$AY$1,),))/VLOOKUP(EDATE(B90,-12),Data!$B:$AY,MATCH($V$1,Data!$B$1:$AY$1,),)</f>
        <v>#DIV/0!</v>
      </c>
      <c r="W90" s="21">
        <f>(VLOOKUP(B90,Data!$B:$AY,MATCH($W$1,Data!$B$1:$AY$1,),)-VLOOKUP(EDATE(B90,-12),Data!$B:$AY,MATCH($W$1,Data!$B$1:$AY$1,),))/VLOOKUP(EDATE(B90,-12),Data!$B:$AY,MATCH($W$1,Data!$B$1:$AY$1,),)</f>
        <v>0.10679309952564557</v>
      </c>
      <c r="X90" s="21">
        <f>(VLOOKUP(B90,Data!$B:$AY,MATCH($X$1,Data!$B$1:$AY$1,),)-VLOOKUP(EDATE(B90,-12),Data!$B:$AY,MATCH($X$1,Data!$B$1:$AY$1,),))/VLOOKUP(EDATE(B90,-12),Data!$B:$AY,MATCH($X$1,Data!$B$1:$AY$1,),)</f>
        <v>2.4801587301587304E-2</v>
      </c>
      <c r="Y90" s="21">
        <f>(VLOOKUP(B90,Data!$B:$AY,MATCH($Y$1,Data!$B$1:$AY$1,),)-VLOOKUP(EDATE(B90,-12),Data!$B:$AY,MATCH($Y$1,Data!$B$1:$AY$1,),))/VLOOKUP(EDATE(B90,-12),Data!$B:$AY,MATCH($Y$1,Data!$B$1:$AY$1,),)</f>
        <v>1.8898912721990475E-2</v>
      </c>
      <c r="Z90" s="21" t="e">
        <f>(VLOOKUP(B90,Data!$B:$AY,MATCH($Z$1,Data!$B$1:$AY$1,),)-VLOOKUP(EDATE(B90,-12),Data!$B:$AY,MATCH($Z$1,Data!$B$1:$AY$1,),))/VLOOKUP(EDATE(B90,-12),Data!$B:$AY,MATCH($Z$1,Data!$B$1:$AY$1,),)</f>
        <v>#N/A</v>
      </c>
      <c r="AA90" s="21" t="e">
        <f>(VLOOKUP(B90,Data!$B:$AY,MATCH($AA$1,Data!$B$1:$AY$1,),)-VLOOKUP(EDATE(B90,-12),Data!$B:$AY,MATCH($AA$1,Data!$B$1:$AY$1,),))/VLOOKUP(EDATE(B90,-12),Data!$B:$AY,MATCH($AA$1,Data!$B$1:$AY$1,),)</f>
        <v>#N/A</v>
      </c>
      <c r="AB90" s="20"/>
    </row>
    <row r="91" spans="2:28" x14ac:dyDescent="0.2">
      <c r="B91" s="16">
        <v>42979</v>
      </c>
      <c r="C91" s="21">
        <f>(VLOOKUP(B91,Data!$B:$AY,MATCH($C$1,Data!$B$1:$AY$1,),)-VLOOKUP(EDATE(B91,-12),Data!$B:$AY,MATCH($C$1,Data!$B$1:$AY$1,),))/VLOOKUP(EDATE(B91,-12),Data!$B:$AY,MATCH($C$1,Data!$B$1:$AY$1,),)</f>
        <v>2.233043068495295E-2</v>
      </c>
      <c r="D91" s="21">
        <f>(VLOOKUP(B91,Data!$B:$AY,MATCH($D$1,Data!$B$1:$AY$1,),)-VLOOKUP(EDATE(B91,-12),Data!$B:$AY,MATCH($D$1,Data!$B$1:$AY$1,),))/VLOOKUP(EDATE(B91,-12),Data!$B:$AY,MATCH($D$1,Data!$B$1:$AY$1,),)</f>
        <v>1.6601562499999889E-2</v>
      </c>
      <c r="E91" s="21">
        <f>(VLOOKUP(B91,Data!$B:$AY,MATCH($E$1,Data!$B$1:$AY$1,),)-VLOOKUP(EDATE(B91,-12),Data!$B:$AY,MATCH($E$1,Data!$B$1:$AY$1,),))/VLOOKUP(EDATE(B91,-12),Data!$B:$AY,MATCH($E$1,Data!$B$1:$AY$1,),)</f>
        <v>1.5587768069896818E-2</v>
      </c>
      <c r="F91" s="21">
        <f>(VLOOKUP(B91,Data!$B:$AY,MATCH($F$1,Data!$B$1:$AY$1,),)-VLOOKUP(EDATE(B91,-12),Data!$B:$AY,MATCH($F$1,Data!$B$1:$AY$1,),))/VLOOKUP(EDATE(B91,-12),Data!$B:$AY,MATCH($F$1,Data!$B$1:$AY$1,),)</f>
        <v>7.0140280561122531E-3</v>
      </c>
      <c r="G91" s="21">
        <f>(VLOOKUP(B91,Data!$B:$AY,MATCH($G$1,Data!$B$1:$AY$1,),)-VLOOKUP(EDATE(B91,-12),Data!$B:$AY,MATCH($G$1,Data!$B$1:$AY$1,),))/VLOOKUP(EDATE(B91,-12),Data!$B:$AY,MATCH($G$1,Data!$B$1:$AY$1,),)</f>
        <v>1.6831853711461842E-2</v>
      </c>
      <c r="H91" s="21">
        <f>(VLOOKUP(B91,Data!$B:$AY,MATCH($H$1,Data!$B$1:$AY$1,),)-VLOOKUP(EDATE(B91,-12),Data!$B:$AY,MATCH($H$1,Data!$B$1:$AY$1,),))/VLOOKUP(EDATE(B91,-12),Data!$B:$AY,MATCH($H$1,Data!$B$1:$AY$1,),)</f>
        <v>9.8664540562088381E-3</v>
      </c>
      <c r="I91" s="21">
        <f>(VLOOKUP(B91,Data!$B:$AY,MATCH($I$1,Data!$B$1:$AY$1,),)-VLOOKUP(EDATE(B91,-12),Data!$B:$AY,MATCH($I$1,Data!$B$1:$AY$1,),))/VLOOKUP(EDATE(B91,-12),Data!$B:$AY,MATCH($I$1,Data!$B$1:$AY$1,),)</f>
        <v>2.7586206896551696E-2</v>
      </c>
      <c r="J91" s="21">
        <f>(VLOOKUP(B91,Data!$B:$AY,MATCH($J$1,Data!$B$1:$AY$1,),)-VLOOKUP(EDATE(B91,-12),Data!$B:$AY,MATCH($J$1,Data!$B$1:$AY$1,),))/VLOOKUP(EDATE(B91,-12),Data!$B:$AY,MATCH($J$1,Data!$B$1:$AY$1,),)</f>
        <v>1.0989010989011075E-2</v>
      </c>
      <c r="K91" s="21">
        <f>(VLOOKUP(B91,Data!$B:$AY,MATCH($K$1,Data!$B$1:$AY$1,),)-VLOOKUP(EDATE(B91,-12),Data!$B:$AY,MATCH($K$1,Data!$B$1:$AY$1,),))/VLOOKUP(EDATE(B91,-12),Data!$B:$AY,MATCH($K$1,Data!$B$1:$AY$1,),)</f>
        <v>1.7920730084136634E-2</v>
      </c>
      <c r="L91" s="21">
        <f>(VLOOKUP(B91,Data!$B:$AY,MATCH($L$1,Data!$B$1:$AY$1,),)-VLOOKUP(EDATE(B91,-12),Data!$B:$AY,MATCH($L$1,Data!$B$1:$AY$1,),))/VLOOKUP(EDATE(B91,-12),Data!$B:$AY,MATCH($L$1,Data!$B$1:$AY$1,),)</f>
        <v>2.1173155357804872E-2</v>
      </c>
      <c r="M91" s="21">
        <f>(VLOOKUP(B91,Data!$B:$AY,MATCH($M$1,Data!$B$1:$AY$1,),)-VLOOKUP(EDATE(B91,-12),Data!$B:$AY,MATCH($M$1,Data!$B$1:$AY$1,),))/VLOOKUP(EDATE(B91,-12),Data!$B:$AY,MATCH($M$1,Data!$B$1:$AY$1,),)</f>
        <v>6.3478389932860493E-2</v>
      </c>
      <c r="N91" s="21" t="e">
        <f>(VLOOKUP(B91,Data!$B:$AY,MATCH($N$1,Data!$B$1:$AY$1,),)-VLOOKUP(EDATE(B91,-12),Data!$B:$AY,MATCH($N$1,Data!$B$1:$AY$1,),))/VLOOKUP(EDATE(B91,-12),Data!$B:$AY,MATCH($N$1,Data!$B$1:$AY$1,),)</f>
        <v>#DIV/0!</v>
      </c>
      <c r="O91" s="21">
        <f>(VLOOKUP(B91,Data!$B:$AY,MATCH($O$1,Data!$B$1:$AY$1,),)-VLOOKUP(EDATE(B91,-12),Data!$B:$AY,MATCH($O$1,Data!$B$1:$AY$1,),))/VLOOKUP(EDATE(B91,-12),Data!$B:$AY,MATCH($O$1,Data!$B$1:$AY$1,),)</f>
        <v>2.8881353628831694E-2</v>
      </c>
      <c r="P91" s="21">
        <f>(VLOOKUP(B91,Data!$B:$AY,MATCH($P$1,Data!$B$1:$AY$1,),)-VLOOKUP(EDATE(B91,-12),Data!$B:$AY,MATCH($P$1,Data!$B$1:$AY$1,),))/VLOOKUP(EDATE(B91,-12),Data!$B:$AY,MATCH($P$1,Data!$B$1:$AY$1,),)</f>
        <v>1.5528008293658446E-2</v>
      </c>
      <c r="Q91" s="21" t="e">
        <f>(VLOOKUP(B91,Data!$B:$AY,MATCH($Q$1,Data!$B$1:$AY$1,),)-VLOOKUP(EDATE(B91,-12),Data!$B:$AY,MATCH($Q$1,Data!$B$1:$AY$1,),))/VLOOKUP(EDATE(B91,-12),Data!$B:$AY,MATCH($Q$1,Data!$B$1:$AY$1,),)</f>
        <v>#N/A</v>
      </c>
      <c r="R91" s="21">
        <f>(VLOOKUP(B91,Data!$B:$AY,MATCH($R$1,Data!$B$1:$AY$1,),)-VLOOKUP(EDATE(B91,-12),Data!$B:$AY,MATCH($R$1,Data!$B$1:$AY$1,),))/VLOOKUP(EDATE(B91,-12),Data!$B:$AY,MATCH($R$1,Data!$B$1:$AY$1,),)</f>
        <v>6.5211190667209974E-3</v>
      </c>
      <c r="S91" s="21">
        <f>(VLOOKUP(B91,Data!$B:$AY,MATCH($S$1,Data!$B$1:$AY$1,),)-VLOOKUP(EDATE(B91,-12),Data!$B:$AY,MATCH($S$1,Data!$B$1:$AY$1,),))/VLOOKUP(EDATE(B91,-12),Data!$B:$AY,MATCH($S$1,Data!$B$1:$AY$1,),)</f>
        <v>2.0007884880741192E-2</v>
      </c>
      <c r="T91" s="21">
        <f>(VLOOKUP(B91,Data!$B:$AY,MATCH($T$1,Data!$B$1:$AY$1,),)-VLOOKUP(EDATE(B91,-12),Data!$B:$AY,MATCH($T$1,Data!$B$1:$AY$1,),))/VLOOKUP(EDATE(B91,-12),Data!$B:$AY,MATCH($T$1,Data!$B$1:$AY$1,),)</f>
        <v>2.5376843073806603E-2</v>
      </c>
      <c r="U91" s="21">
        <f>(VLOOKUP(B91,Data!$B:$AY,MATCH($U$1,Data!$B$1:$AY$1,),)-VLOOKUP(EDATE(B91,-12),Data!$B:$AY,MATCH($U$1,Data!$B$1:$AY$1,),))/VLOOKUP(EDATE(B91,-12),Data!$B:$AY,MATCH($U$1,Data!$B$1:$AY$1,),)</f>
        <v>1.0045932932531983E-2</v>
      </c>
      <c r="V91" s="21" t="e">
        <f>(VLOOKUP(B91,Data!$B:$AY,MATCH($V$1,Data!$B$1:$AY$1,),)-VLOOKUP(EDATE(B91,-12),Data!$B:$AY,MATCH($V$1,Data!$B$1:$AY$1,),))/VLOOKUP(EDATE(B91,-12),Data!$B:$AY,MATCH($V$1,Data!$B$1:$AY$1,),)</f>
        <v>#DIV/0!</v>
      </c>
      <c r="W91" s="21">
        <f>(VLOOKUP(B91,Data!$B:$AY,MATCH($W$1,Data!$B$1:$AY$1,),)-VLOOKUP(EDATE(B91,-12),Data!$B:$AY,MATCH($W$1,Data!$B$1:$AY$1,),))/VLOOKUP(EDATE(B91,-12),Data!$B:$AY,MATCH($W$1,Data!$B$1:$AY$1,),)</f>
        <v>0.11198494853755059</v>
      </c>
      <c r="X91" s="21">
        <f>(VLOOKUP(B91,Data!$B:$AY,MATCH($X$1,Data!$B$1:$AY$1,),)-VLOOKUP(EDATE(B91,-12),Data!$B:$AY,MATCH($X$1,Data!$B$1:$AY$1,),))/VLOOKUP(EDATE(B91,-12),Data!$B:$AY,MATCH($X$1,Data!$B$1:$AY$1,),)</f>
        <v>2.6865671641791072E-2</v>
      </c>
      <c r="Y91" s="21">
        <f>(VLOOKUP(B91,Data!$B:$AY,MATCH($Y$1,Data!$B$1:$AY$1,),)-VLOOKUP(EDATE(B91,-12),Data!$B:$AY,MATCH($Y$1,Data!$B$1:$AY$1,),))/VLOOKUP(EDATE(B91,-12),Data!$B:$AY,MATCH($Y$1,Data!$B$1:$AY$1,),)</f>
        <v>2.3007372009379835E-2</v>
      </c>
      <c r="Z91" s="21" t="e">
        <f>(VLOOKUP(B91,Data!$B:$AY,MATCH($Z$1,Data!$B$1:$AY$1,),)-VLOOKUP(EDATE(B91,-12),Data!$B:$AY,MATCH($Z$1,Data!$B$1:$AY$1,),))/VLOOKUP(EDATE(B91,-12),Data!$B:$AY,MATCH($Z$1,Data!$B$1:$AY$1,),)</f>
        <v>#N/A</v>
      </c>
      <c r="AA91" s="21" t="e">
        <f>(VLOOKUP(B91,Data!$B:$AY,MATCH($AA$1,Data!$B$1:$AY$1,),)-VLOOKUP(EDATE(B91,-12),Data!$B:$AY,MATCH($AA$1,Data!$B$1:$AY$1,),))/VLOOKUP(EDATE(B91,-12),Data!$B:$AY,MATCH($AA$1,Data!$B$1:$AY$1,),)</f>
        <v>#N/A</v>
      </c>
      <c r="AB91" s="20"/>
    </row>
    <row r="92" spans="2:28" x14ac:dyDescent="0.2">
      <c r="B92" s="16">
        <v>43009</v>
      </c>
      <c r="C92" s="21">
        <f>(VLOOKUP(B92,Data!$B:$AY,MATCH($C$1,Data!$B$1:$AY$1,),)-VLOOKUP(EDATE(B92,-12),Data!$B:$AY,MATCH($C$1,Data!$B$1:$AY$1,),))/VLOOKUP(EDATE(B92,-12),Data!$B:$AY,MATCH($C$1,Data!$B$1:$AY$1,),)</f>
        <v>2.041122484998233E-2</v>
      </c>
      <c r="D92" s="21">
        <f>(VLOOKUP(B92,Data!$B:$AY,MATCH($D$1,Data!$B$1:$AY$1,),)-VLOOKUP(EDATE(B92,-12),Data!$B:$AY,MATCH($D$1,Data!$B$1:$AY$1,),))/VLOOKUP(EDATE(B92,-12),Data!$B:$AY,MATCH($D$1,Data!$B$1:$AY$1,),)</f>
        <v>1.8572825024437984E-2</v>
      </c>
      <c r="E92" s="21">
        <f>(VLOOKUP(B92,Data!$B:$AY,MATCH($E$1,Data!$B$1:$AY$1,),)-VLOOKUP(EDATE(B92,-12),Data!$B:$AY,MATCH($E$1,Data!$B$1:$AY$1,),))/VLOOKUP(EDATE(B92,-12),Data!$B:$AY,MATCH($E$1,Data!$B$1:$AY$1,),)</f>
        <v>1.3668779714738608E-2</v>
      </c>
      <c r="F92" s="21">
        <f>(VLOOKUP(B92,Data!$B:$AY,MATCH($F$1,Data!$B$1:$AY$1,),)-VLOOKUP(EDATE(B92,-12),Data!$B:$AY,MATCH($F$1,Data!$B$1:$AY$1,),))/VLOOKUP(EDATE(B92,-12),Data!$B:$AY,MATCH($F$1,Data!$B$1:$AY$1,),)</f>
        <v>1.9920318725098469E-3</v>
      </c>
      <c r="G92" s="21">
        <f>(VLOOKUP(B92,Data!$B:$AY,MATCH($G$1,Data!$B$1:$AY$1,),)-VLOOKUP(EDATE(B92,-12),Data!$B:$AY,MATCH($G$1,Data!$B$1:$AY$1,),))/VLOOKUP(EDATE(B92,-12),Data!$B:$AY,MATCH($G$1,Data!$B$1:$AY$1,),)</f>
        <v>1.2845680909018196E-2</v>
      </c>
      <c r="H92" s="21">
        <f>(VLOOKUP(B92,Data!$B:$AY,MATCH($H$1,Data!$B$1:$AY$1,),)-VLOOKUP(EDATE(B92,-12),Data!$B:$AY,MATCH($H$1,Data!$B$1:$AY$1,),))/VLOOKUP(EDATE(B92,-12),Data!$B:$AY,MATCH($H$1,Data!$B$1:$AY$1,),)</f>
        <v>1.056092457905751E-2</v>
      </c>
      <c r="I92" s="21">
        <f>(VLOOKUP(B92,Data!$B:$AY,MATCH($I$1,Data!$B$1:$AY$1,),)-VLOOKUP(EDATE(B92,-12),Data!$B:$AY,MATCH($I$1,Data!$B$1:$AY$1,),))/VLOOKUP(EDATE(B92,-12),Data!$B:$AY,MATCH($I$1,Data!$B$1:$AY$1,),)</f>
        <v>2.755905511811035E-2</v>
      </c>
      <c r="J92" s="21">
        <f>(VLOOKUP(B92,Data!$B:$AY,MATCH($J$1,Data!$B$1:$AY$1,),)-VLOOKUP(EDATE(B92,-12),Data!$B:$AY,MATCH($J$1,Data!$B$1:$AY$1,),))/VLOOKUP(EDATE(B92,-12),Data!$B:$AY,MATCH($J$1,Data!$B$1:$AY$1,),)</f>
        <v>0.01</v>
      </c>
      <c r="K92" s="21">
        <f>(VLOOKUP(B92,Data!$B:$AY,MATCH($K$1,Data!$B$1:$AY$1,),)-VLOOKUP(EDATE(B92,-12),Data!$B:$AY,MATCH($K$1,Data!$B$1:$AY$1,),))/VLOOKUP(EDATE(B92,-12),Data!$B:$AY,MATCH($K$1,Data!$B$1:$AY$1,),)</f>
        <v>1.570044837181464E-2</v>
      </c>
      <c r="L92" s="21">
        <f>(VLOOKUP(B92,Data!$B:$AY,MATCH($L$1,Data!$B$1:$AY$1,),)-VLOOKUP(EDATE(B92,-12),Data!$B:$AY,MATCH($L$1,Data!$B$1:$AY$1,),))/VLOOKUP(EDATE(B92,-12),Data!$B:$AY,MATCH($L$1,Data!$B$1:$AY$1,),)</f>
        <v>1.6918706453052795E-2</v>
      </c>
      <c r="M92" s="21">
        <f>(VLOOKUP(B92,Data!$B:$AY,MATCH($M$1,Data!$B$1:$AY$1,),)-VLOOKUP(EDATE(B92,-12),Data!$B:$AY,MATCH($M$1,Data!$B$1:$AY$1,),))/VLOOKUP(EDATE(B92,-12),Data!$B:$AY,MATCH($M$1,Data!$B$1:$AY$1,),)</f>
        <v>6.3715474474373132E-2</v>
      </c>
      <c r="N92" s="21" t="e">
        <f>(VLOOKUP(B92,Data!$B:$AY,MATCH($N$1,Data!$B$1:$AY$1,),)-VLOOKUP(EDATE(B92,-12),Data!$B:$AY,MATCH($N$1,Data!$B$1:$AY$1,),))/VLOOKUP(EDATE(B92,-12),Data!$B:$AY,MATCH($N$1,Data!$B$1:$AY$1,),)</f>
        <v>#DIV/0!</v>
      </c>
      <c r="O92" s="21">
        <f>(VLOOKUP(B92,Data!$B:$AY,MATCH($O$1,Data!$B$1:$AY$1,),)-VLOOKUP(EDATE(B92,-12),Data!$B:$AY,MATCH($O$1,Data!$B$1:$AY$1,),))/VLOOKUP(EDATE(B92,-12),Data!$B:$AY,MATCH($O$1,Data!$B$1:$AY$1,),)</f>
        <v>3.2374303672247369E-2</v>
      </c>
      <c r="P92" s="21">
        <f>(VLOOKUP(B92,Data!$B:$AY,MATCH($P$1,Data!$B$1:$AY$1,),)-VLOOKUP(EDATE(B92,-12),Data!$B:$AY,MATCH($P$1,Data!$B$1:$AY$1,),))/VLOOKUP(EDATE(B92,-12),Data!$B:$AY,MATCH($P$1,Data!$B$1:$AY$1,),)</f>
        <v>1.3942918542454273E-2</v>
      </c>
      <c r="Q92" s="21" t="e">
        <f>(VLOOKUP(B92,Data!$B:$AY,MATCH($Q$1,Data!$B$1:$AY$1,),)-VLOOKUP(EDATE(B92,-12),Data!$B:$AY,MATCH($Q$1,Data!$B$1:$AY$1,),))/VLOOKUP(EDATE(B92,-12),Data!$B:$AY,MATCH($Q$1,Data!$B$1:$AY$1,),)</f>
        <v>#N/A</v>
      </c>
      <c r="R92" s="21">
        <f>(VLOOKUP(B92,Data!$B:$AY,MATCH($R$1,Data!$B$1:$AY$1,),)-VLOOKUP(EDATE(B92,-12),Data!$B:$AY,MATCH($R$1,Data!$B$1:$AY$1,),))/VLOOKUP(EDATE(B92,-12),Data!$B:$AY,MATCH($R$1,Data!$B$1:$AY$1,),)</f>
        <v>6.6092523512191583E-3</v>
      </c>
      <c r="S92" s="21">
        <f>(VLOOKUP(B92,Data!$B:$AY,MATCH($S$1,Data!$B$1:$AY$1,),)-VLOOKUP(EDATE(B92,-12),Data!$B:$AY,MATCH($S$1,Data!$B$1:$AY$1,),))/VLOOKUP(EDATE(B92,-12),Data!$B:$AY,MATCH($S$1,Data!$B$1:$AY$1,),)</f>
        <v>1.7618110236220536E-2</v>
      </c>
      <c r="T92" s="21">
        <f>(VLOOKUP(B92,Data!$B:$AY,MATCH($T$1,Data!$B$1:$AY$1,),)-VLOOKUP(EDATE(B92,-12),Data!$B:$AY,MATCH($T$1,Data!$B$1:$AY$1,),))/VLOOKUP(EDATE(B92,-12),Data!$B:$AY,MATCH($T$1,Data!$B$1:$AY$1,),)</f>
        <v>2.7013179217590007E-2</v>
      </c>
      <c r="U92" s="21">
        <f>(VLOOKUP(B92,Data!$B:$AY,MATCH($U$1,Data!$B$1:$AY$1,),)-VLOOKUP(EDATE(B92,-12),Data!$B:$AY,MATCH($U$1,Data!$B$1:$AY$1,),))/VLOOKUP(EDATE(B92,-12),Data!$B:$AY,MATCH($U$1,Data!$B$1:$AY$1,),)</f>
        <v>7.143911468556057E-3</v>
      </c>
      <c r="V92" s="21" t="e">
        <f>(VLOOKUP(B92,Data!$B:$AY,MATCH($V$1,Data!$B$1:$AY$1,),)-VLOOKUP(EDATE(B92,-12),Data!$B:$AY,MATCH($V$1,Data!$B$1:$AY$1,),))/VLOOKUP(EDATE(B92,-12),Data!$B:$AY,MATCH($V$1,Data!$B$1:$AY$1,),)</f>
        <v>#DIV/0!</v>
      </c>
      <c r="W92" s="21">
        <f>(VLOOKUP(B92,Data!$B:$AY,MATCH($W$1,Data!$B$1:$AY$1,),)-VLOOKUP(EDATE(B92,-12),Data!$B:$AY,MATCH($W$1,Data!$B$1:$AY$1,),))/VLOOKUP(EDATE(B92,-12),Data!$B:$AY,MATCH($W$1,Data!$B$1:$AY$1,),)</f>
        <v>0.11898831176277326</v>
      </c>
      <c r="X92" s="21">
        <f>(VLOOKUP(B92,Data!$B:$AY,MATCH($X$1,Data!$B$1:$AY$1,),)-VLOOKUP(EDATE(B92,-12),Data!$B:$AY,MATCH($X$1,Data!$B$1:$AY$1,),))/VLOOKUP(EDATE(B92,-12),Data!$B:$AY,MATCH($X$1,Data!$B$1:$AY$1,),)</f>
        <v>2.8769841269841327E-2</v>
      </c>
      <c r="Y92" s="21">
        <f>(VLOOKUP(B92,Data!$B:$AY,MATCH($Y$1,Data!$B$1:$AY$1,),)-VLOOKUP(EDATE(B92,-12),Data!$B:$AY,MATCH($Y$1,Data!$B$1:$AY$1,),))/VLOOKUP(EDATE(B92,-12),Data!$B:$AY,MATCH($Y$1,Data!$B$1:$AY$1,),)</f>
        <v>2.2894498670548075E-2</v>
      </c>
      <c r="Z92" s="21" t="e">
        <f>(VLOOKUP(B92,Data!$B:$AY,MATCH($Z$1,Data!$B$1:$AY$1,),)-VLOOKUP(EDATE(B92,-12),Data!$B:$AY,MATCH($Z$1,Data!$B$1:$AY$1,),))/VLOOKUP(EDATE(B92,-12),Data!$B:$AY,MATCH($Z$1,Data!$B$1:$AY$1,),)</f>
        <v>#N/A</v>
      </c>
      <c r="AA92" s="21" t="e">
        <f>(VLOOKUP(B92,Data!$B:$AY,MATCH($AA$1,Data!$B$1:$AY$1,),)-VLOOKUP(EDATE(B92,-12),Data!$B:$AY,MATCH($AA$1,Data!$B$1:$AY$1,),))/VLOOKUP(EDATE(B92,-12),Data!$B:$AY,MATCH($AA$1,Data!$B$1:$AY$1,),)</f>
        <v>#N/A</v>
      </c>
      <c r="AB92" s="20"/>
    </row>
    <row r="93" spans="2:28" x14ac:dyDescent="0.2">
      <c r="B93" s="16">
        <v>43040</v>
      </c>
      <c r="C93" s="21">
        <f>(VLOOKUP(B93,Data!$B:$AY,MATCH($C$1,Data!$B$1:$AY$1,),)-VLOOKUP(EDATE(B93,-12),Data!$B:$AY,MATCH($C$1,Data!$B$1:$AY$1,),))/VLOOKUP(EDATE(B93,-12),Data!$B:$AY,MATCH($C$1,Data!$B$1:$AY$1,),)</f>
        <v>2.2026055343545101E-2</v>
      </c>
      <c r="D93" s="21">
        <f>(VLOOKUP(B93,Data!$B:$AY,MATCH($D$1,Data!$B$1:$AY$1,),)-VLOOKUP(EDATE(B93,-12),Data!$B:$AY,MATCH($D$1,Data!$B$1:$AY$1,),))/VLOOKUP(EDATE(B93,-12),Data!$B:$AY,MATCH($D$1,Data!$B$1:$AY$1,),)</f>
        <v>1.7578124999999972E-2</v>
      </c>
      <c r="E93" s="21">
        <f>(VLOOKUP(B93,Data!$B:$AY,MATCH($E$1,Data!$B$1:$AY$1,),)-VLOOKUP(EDATE(B93,-12),Data!$B:$AY,MATCH($E$1,Data!$B$1:$AY$1,),))/VLOOKUP(EDATE(B93,-12),Data!$B:$AY,MATCH($E$1,Data!$B$1:$AY$1,),)</f>
        <v>1.5308151093439427E-2</v>
      </c>
      <c r="F93" s="21">
        <f>(VLOOKUP(B93,Data!$B:$AY,MATCH($F$1,Data!$B$1:$AY$1,),)-VLOOKUP(EDATE(B93,-12),Data!$B:$AY,MATCH($F$1,Data!$B$1:$AY$1,),))/VLOOKUP(EDATE(B93,-12),Data!$B:$AY,MATCH($F$1,Data!$B$1:$AY$1,),)</f>
        <v>4.9800796812749003E-3</v>
      </c>
      <c r="G93" s="21">
        <f>(VLOOKUP(B93,Data!$B:$AY,MATCH($G$1,Data!$B$1:$AY$1,),)-VLOOKUP(EDATE(B93,-12),Data!$B:$AY,MATCH($G$1,Data!$B$1:$AY$1,),))/VLOOKUP(EDATE(B93,-12),Data!$B:$AY,MATCH($G$1,Data!$B$1:$AY$1,),)</f>
        <v>1.5919726851630782E-2</v>
      </c>
      <c r="H93" s="21">
        <f>(VLOOKUP(B93,Data!$B:$AY,MATCH($H$1,Data!$B$1:$AY$1,),)-VLOOKUP(EDATE(B93,-12),Data!$B:$AY,MATCH($H$1,Data!$B$1:$AY$1,),))/VLOOKUP(EDATE(B93,-12),Data!$B:$AY,MATCH($H$1,Data!$B$1:$AY$1,),)</f>
        <v>1.175884404583963E-2</v>
      </c>
      <c r="I93" s="21">
        <f>(VLOOKUP(B93,Data!$B:$AY,MATCH($I$1,Data!$B$1:$AY$1,),)-VLOOKUP(EDATE(B93,-12),Data!$B:$AY,MATCH($I$1,Data!$B$1:$AY$1,),))/VLOOKUP(EDATE(B93,-12),Data!$B:$AY,MATCH($I$1,Data!$B$1:$AY$1,),)</f>
        <v>2.84872298624755E-2</v>
      </c>
      <c r="J93" s="21">
        <f>(VLOOKUP(B93,Data!$B:$AY,MATCH($J$1,Data!$B$1:$AY$1,),)-VLOOKUP(EDATE(B93,-12),Data!$B:$AY,MATCH($J$1,Data!$B$1:$AY$1,),))/VLOOKUP(EDATE(B93,-12),Data!$B:$AY,MATCH($J$1,Data!$B$1:$AY$1,),)</f>
        <v>9.0090090090089239E-3</v>
      </c>
      <c r="K93" s="21">
        <f>(VLOOKUP(B93,Data!$B:$AY,MATCH($K$1,Data!$B$1:$AY$1,),)-VLOOKUP(EDATE(B93,-12),Data!$B:$AY,MATCH($K$1,Data!$B$1:$AY$1,),))/VLOOKUP(EDATE(B93,-12),Data!$B:$AY,MATCH($K$1,Data!$B$1:$AY$1,),)</f>
        <v>1.6659192780818899E-2</v>
      </c>
      <c r="L93" s="21">
        <f>(VLOOKUP(B93,Data!$B:$AY,MATCH($L$1,Data!$B$1:$AY$1,),)-VLOOKUP(EDATE(B93,-12),Data!$B:$AY,MATCH($L$1,Data!$B$1:$AY$1,),))/VLOOKUP(EDATE(B93,-12),Data!$B:$AY,MATCH($L$1,Data!$B$1:$AY$1,),)</f>
        <v>1.8673682883294563E-2</v>
      </c>
      <c r="M93" s="21">
        <f>(VLOOKUP(B93,Data!$B:$AY,MATCH($M$1,Data!$B$1:$AY$1,),)-VLOOKUP(EDATE(B93,-12),Data!$B:$AY,MATCH($M$1,Data!$B$1:$AY$1,),))/VLOOKUP(EDATE(B93,-12),Data!$B:$AY,MATCH($M$1,Data!$B$1:$AY$1,),)</f>
        <v>6.634500666377724E-2</v>
      </c>
      <c r="N93" s="21" t="e">
        <f>(VLOOKUP(B93,Data!$B:$AY,MATCH($N$1,Data!$B$1:$AY$1,),)-VLOOKUP(EDATE(B93,-12),Data!$B:$AY,MATCH($N$1,Data!$B$1:$AY$1,),))/VLOOKUP(EDATE(B93,-12),Data!$B:$AY,MATCH($N$1,Data!$B$1:$AY$1,),)</f>
        <v>#DIV/0!</v>
      </c>
      <c r="O93" s="21">
        <f>(VLOOKUP(B93,Data!$B:$AY,MATCH($O$1,Data!$B$1:$AY$1,),)-VLOOKUP(EDATE(B93,-12),Data!$B:$AY,MATCH($O$1,Data!$B$1:$AY$1,),))/VLOOKUP(EDATE(B93,-12),Data!$B:$AY,MATCH($O$1,Data!$B$1:$AY$1,),)</f>
        <v>3.9711743271823294E-2</v>
      </c>
      <c r="P93" s="21">
        <f>(VLOOKUP(B93,Data!$B:$AY,MATCH($P$1,Data!$B$1:$AY$1,),)-VLOOKUP(EDATE(B93,-12),Data!$B:$AY,MATCH($P$1,Data!$B$1:$AY$1,),))/VLOOKUP(EDATE(B93,-12),Data!$B:$AY,MATCH($P$1,Data!$B$1:$AY$1,),)</f>
        <v>2.0995704014999096E-2</v>
      </c>
      <c r="Q93" s="21" t="e">
        <f>(VLOOKUP(B93,Data!$B:$AY,MATCH($Q$1,Data!$B$1:$AY$1,),)-VLOOKUP(EDATE(B93,-12),Data!$B:$AY,MATCH($Q$1,Data!$B$1:$AY$1,),))/VLOOKUP(EDATE(B93,-12),Data!$B:$AY,MATCH($Q$1,Data!$B$1:$AY$1,),)</f>
        <v>#N/A</v>
      </c>
      <c r="R93" s="21">
        <f>(VLOOKUP(B93,Data!$B:$AY,MATCH($R$1,Data!$B$1:$AY$1,),)-VLOOKUP(EDATE(B93,-12),Data!$B:$AY,MATCH($R$1,Data!$B$1:$AY$1,),))/VLOOKUP(EDATE(B93,-12),Data!$B:$AY,MATCH($R$1,Data!$B$1:$AY$1,),)</f>
        <v>7.8709075840246428E-3</v>
      </c>
      <c r="S93" s="21">
        <f>(VLOOKUP(B93,Data!$B:$AY,MATCH($S$1,Data!$B$1:$AY$1,),)-VLOOKUP(EDATE(B93,-12),Data!$B:$AY,MATCH($S$1,Data!$B$1:$AY$1,),))/VLOOKUP(EDATE(B93,-12),Data!$B:$AY,MATCH($S$1,Data!$B$1:$AY$1,),)</f>
        <v>1.1532774765894547E-2</v>
      </c>
      <c r="T93" s="21">
        <f>(VLOOKUP(B93,Data!$B:$AY,MATCH($T$1,Data!$B$1:$AY$1,),)-VLOOKUP(EDATE(B93,-12),Data!$B:$AY,MATCH($T$1,Data!$B$1:$AY$1,),))/VLOOKUP(EDATE(B93,-12),Data!$B:$AY,MATCH($T$1,Data!$B$1:$AY$1,),)</f>
        <v>2.8038203795214548E-2</v>
      </c>
      <c r="U93" s="21">
        <f>(VLOOKUP(B93,Data!$B:$AY,MATCH($U$1,Data!$B$1:$AY$1,),)-VLOOKUP(EDATE(B93,-12),Data!$B:$AY,MATCH($U$1,Data!$B$1:$AY$1,),))/VLOOKUP(EDATE(B93,-12),Data!$B:$AY,MATCH($U$1,Data!$B$1:$AY$1,),)</f>
        <v>1.1425860259289142E-2</v>
      </c>
      <c r="V93" s="21" t="e">
        <f>(VLOOKUP(B93,Data!$B:$AY,MATCH($V$1,Data!$B$1:$AY$1,),)-VLOOKUP(EDATE(B93,-12),Data!$B:$AY,MATCH($V$1,Data!$B$1:$AY$1,),))/VLOOKUP(EDATE(B93,-12),Data!$B:$AY,MATCH($V$1,Data!$B$1:$AY$1,),)</f>
        <v>#DIV/0!</v>
      </c>
      <c r="W93" s="21">
        <f>(VLOOKUP(B93,Data!$B:$AY,MATCH($W$1,Data!$B$1:$AY$1,),)-VLOOKUP(EDATE(B93,-12),Data!$B:$AY,MATCH($W$1,Data!$B$1:$AY$1,),))/VLOOKUP(EDATE(B93,-12),Data!$B:$AY,MATCH($W$1,Data!$B$1:$AY$1,),)</f>
        <v>0.12984347328506918</v>
      </c>
      <c r="X93" s="21">
        <f>(VLOOKUP(B93,Data!$B:$AY,MATCH($X$1,Data!$B$1:$AY$1,),)-VLOOKUP(EDATE(B93,-12),Data!$B:$AY,MATCH($X$1,Data!$B$1:$AY$1,),))/VLOOKUP(EDATE(B93,-12),Data!$B:$AY,MATCH($X$1,Data!$B$1:$AY$1,),)</f>
        <v>2.5691699604743025E-2</v>
      </c>
      <c r="Y93" s="21">
        <f>(VLOOKUP(B93,Data!$B:$AY,MATCH($Y$1,Data!$B$1:$AY$1,),)-VLOOKUP(EDATE(B93,-12),Data!$B:$AY,MATCH($Y$1,Data!$B$1:$AY$1,),))/VLOOKUP(EDATE(B93,-12),Data!$B:$AY,MATCH($Y$1,Data!$B$1:$AY$1,),)</f>
        <v>2.6960757253820741E-2</v>
      </c>
      <c r="Z93" s="21" t="e">
        <f>(VLOOKUP(B93,Data!$B:$AY,MATCH($Z$1,Data!$B$1:$AY$1,),)-VLOOKUP(EDATE(B93,-12),Data!$B:$AY,MATCH($Z$1,Data!$B$1:$AY$1,),))/VLOOKUP(EDATE(B93,-12),Data!$B:$AY,MATCH($Z$1,Data!$B$1:$AY$1,),)</f>
        <v>#N/A</v>
      </c>
      <c r="AA93" s="21" t="e">
        <f>(VLOOKUP(B93,Data!$B:$AY,MATCH($AA$1,Data!$B$1:$AY$1,),)-VLOOKUP(EDATE(B93,-12),Data!$B:$AY,MATCH($AA$1,Data!$B$1:$AY$1,),))/VLOOKUP(EDATE(B93,-12),Data!$B:$AY,MATCH($AA$1,Data!$B$1:$AY$1,),)</f>
        <v>#N/A</v>
      </c>
      <c r="AB93" s="20"/>
    </row>
    <row r="94" spans="2:28" x14ac:dyDescent="0.2">
      <c r="B94" s="16">
        <v>43070</v>
      </c>
      <c r="C94" s="21">
        <f>(VLOOKUP(B94,Data!$B:$AY,MATCH($C$1,Data!$B$1:$AY$1,),)-VLOOKUP(EDATE(B94,-12),Data!$B:$AY,MATCH($C$1,Data!$B$1:$AY$1,),))/VLOOKUP(EDATE(B94,-12),Data!$B:$AY,MATCH($C$1,Data!$B$1:$AY$1,),)</f>
        <v>2.1091135420521889E-2</v>
      </c>
      <c r="D94" s="21">
        <f>(VLOOKUP(B94,Data!$B:$AY,MATCH($D$1,Data!$B$1:$AY$1,),)-VLOOKUP(EDATE(B94,-12),Data!$B:$AY,MATCH($D$1,Data!$B$1:$AY$1,),))/VLOOKUP(EDATE(B94,-12),Data!$B:$AY,MATCH($D$1,Data!$B$1:$AY$1,),)</f>
        <v>1.8518518518518576E-2</v>
      </c>
      <c r="E94" s="21">
        <f>(VLOOKUP(B94,Data!$B:$AY,MATCH($E$1,Data!$B$1:$AY$1,),)-VLOOKUP(EDATE(B94,-12),Data!$B:$AY,MATCH($E$1,Data!$B$1:$AY$1,),))/VLOOKUP(EDATE(B94,-12),Data!$B:$AY,MATCH($E$1,Data!$B$1:$AY$1,),)</f>
        <v>1.3448037179867492E-2</v>
      </c>
      <c r="F94" s="21">
        <f>(VLOOKUP(B94,Data!$B:$AY,MATCH($F$1,Data!$B$1:$AY$1,),)-VLOOKUP(EDATE(B94,-12),Data!$B:$AY,MATCH($F$1,Data!$B$1:$AY$1,),))/VLOOKUP(EDATE(B94,-12),Data!$B:$AY,MATCH($F$1,Data!$B$1:$AY$1,),)</f>
        <v>1.0989010989011075E-2</v>
      </c>
      <c r="G94" s="21">
        <f>(VLOOKUP(B94,Data!$B:$AY,MATCH($G$1,Data!$B$1:$AY$1,),)-VLOOKUP(EDATE(B94,-12),Data!$B:$AY,MATCH($G$1,Data!$B$1:$AY$1,),))/VLOOKUP(EDATE(B94,-12),Data!$B:$AY,MATCH($G$1,Data!$B$1:$AY$1,),)</f>
        <v>1.3833658213203509E-2</v>
      </c>
      <c r="H94" s="21">
        <f>(VLOOKUP(B94,Data!$B:$AY,MATCH($H$1,Data!$B$1:$AY$1,),)-VLOOKUP(EDATE(B94,-12),Data!$B:$AY,MATCH($H$1,Data!$B$1:$AY$1,),))/VLOOKUP(EDATE(B94,-12),Data!$B:$AY,MATCH($H$1,Data!$B$1:$AY$1,),)</f>
        <v>1.1922503725782302E-2</v>
      </c>
      <c r="I94" s="21">
        <f>(VLOOKUP(B94,Data!$B:$AY,MATCH($I$1,Data!$B$1:$AY$1,),)-VLOOKUP(EDATE(B94,-12),Data!$B:$AY,MATCH($I$1,Data!$B$1:$AY$1,),))/VLOOKUP(EDATE(B94,-12),Data!$B:$AY,MATCH($I$1,Data!$B$1:$AY$1,),)</f>
        <v>2.7397260273972573E-2</v>
      </c>
      <c r="J94" s="21">
        <f>(VLOOKUP(B94,Data!$B:$AY,MATCH($J$1,Data!$B$1:$AY$1,),)-VLOOKUP(EDATE(B94,-12),Data!$B:$AY,MATCH($J$1,Data!$B$1:$AY$1,),))/VLOOKUP(EDATE(B94,-12),Data!$B:$AY,MATCH($J$1,Data!$B$1:$AY$1,),)</f>
        <v>8.9730807577268756E-3</v>
      </c>
      <c r="K94" s="21">
        <f>(VLOOKUP(B94,Data!$B:$AY,MATCH($K$1,Data!$B$1:$AY$1,),)-VLOOKUP(EDATE(B94,-12),Data!$B:$AY,MATCH($K$1,Data!$B$1:$AY$1,),))/VLOOKUP(EDATE(B94,-12),Data!$B:$AY,MATCH($K$1,Data!$B$1:$AY$1,),)</f>
        <v>1.1122108516901636E-2</v>
      </c>
      <c r="L94" s="21">
        <f>(VLOOKUP(B94,Data!$B:$AY,MATCH($L$1,Data!$B$1:$AY$1,),)-VLOOKUP(EDATE(B94,-12),Data!$B:$AY,MATCH($L$1,Data!$B$1:$AY$1,),))/VLOOKUP(EDATE(B94,-12),Data!$B:$AY,MATCH($L$1,Data!$B$1:$AY$1,),)</f>
        <v>1.7361046446092179E-2</v>
      </c>
      <c r="M94" s="21">
        <f>(VLOOKUP(B94,Data!$B:$AY,MATCH($M$1,Data!$B$1:$AY$1,),)-VLOOKUP(EDATE(B94,-12),Data!$B:$AY,MATCH($M$1,Data!$B$1:$AY$1,),))/VLOOKUP(EDATE(B94,-12),Data!$B:$AY,MATCH($M$1,Data!$B$1:$AY$1,),)</f>
        <v>6.7730138473552914E-2</v>
      </c>
      <c r="N94" s="21" t="e">
        <f>(VLOOKUP(B94,Data!$B:$AY,MATCH($N$1,Data!$B$1:$AY$1,),)-VLOOKUP(EDATE(B94,-12),Data!$B:$AY,MATCH($N$1,Data!$B$1:$AY$1,),))/VLOOKUP(EDATE(B94,-12),Data!$B:$AY,MATCH($N$1,Data!$B$1:$AY$1,),)</f>
        <v>#DIV/0!</v>
      </c>
      <c r="O94" s="21">
        <f>(VLOOKUP(B94,Data!$B:$AY,MATCH($O$1,Data!$B$1:$AY$1,),)-VLOOKUP(EDATE(B94,-12),Data!$B:$AY,MATCH($O$1,Data!$B$1:$AY$1,),))/VLOOKUP(EDATE(B94,-12),Data!$B:$AY,MATCH($O$1,Data!$B$1:$AY$1,),)</f>
        <v>4.0000570363892117E-2</v>
      </c>
      <c r="P94" s="21">
        <f>(VLOOKUP(B94,Data!$B:$AY,MATCH($P$1,Data!$B$1:$AY$1,),)-VLOOKUP(EDATE(B94,-12),Data!$B:$AY,MATCH($P$1,Data!$B$1:$AY$1,),))/VLOOKUP(EDATE(B94,-12),Data!$B:$AY,MATCH($P$1,Data!$B$1:$AY$1,),)</f>
        <v>1.8691257140322503E-2</v>
      </c>
      <c r="Q94" s="21" t="e">
        <f>(VLOOKUP(B94,Data!$B:$AY,MATCH($Q$1,Data!$B$1:$AY$1,),)-VLOOKUP(EDATE(B94,-12),Data!$B:$AY,MATCH($Q$1,Data!$B$1:$AY$1,),))/VLOOKUP(EDATE(B94,-12),Data!$B:$AY,MATCH($Q$1,Data!$B$1:$AY$1,),)</f>
        <v>#N/A</v>
      </c>
      <c r="R94" s="21">
        <f>(VLOOKUP(B94,Data!$B:$AY,MATCH($R$1,Data!$B$1:$AY$1,),)-VLOOKUP(EDATE(B94,-12),Data!$B:$AY,MATCH($R$1,Data!$B$1:$AY$1,),))/VLOOKUP(EDATE(B94,-12),Data!$B:$AY,MATCH($R$1,Data!$B$1:$AY$1,),)</f>
        <v>8.3865342517650682E-3</v>
      </c>
      <c r="S94" s="21">
        <f>(VLOOKUP(B94,Data!$B:$AY,MATCH($S$1,Data!$B$1:$AY$1,),)-VLOOKUP(EDATE(B94,-12),Data!$B:$AY,MATCH($S$1,Data!$B$1:$AY$1,),))/VLOOKUP(EDATE(B94,-12),Data!$B:$AY,MATCH($S$1,Data!$B$1:$AY$1,),)</f>
        <v>1.4080346593146836E-2</v>
      </c>
      <c r="T94" s="21">
        <f>(VLOOKUP(B94,Data!$B:$AY,MATCH($T$1,Data!$B$1:$AY$1,),)-VLOOKUP(EDATE(B94,-12),Data!$B:$AY,MATCH($T$1,Data!$B$1:$AY$1,),))/VLOOKUP(EDATE(B94,-12),Data!$B:$AY,MATCH($T$1,Data!$B$1:$AY$1,),)</f>
        <v>2.9474197216656724E-2</v>
      </c>
      <c r="U94" s="21">
        <f>(VLOOKUP(B94,Data!$B:$AY,MATCH($U$1,Data!$B$1:$AY$1,),)-VLOOKUP(EDATE(B94,-12),Data!$B:$AY,MATCH($U$1,Data!$B$1:$AY$1,),))/VLOOKUP(EDATE(B94,-12),Data!$B:$AY,MATCH($U$1,Data!$B$1:$AY$1,),)</f>
        <v>6.5218585648714909E-3</v>
      </c>
      <c r="V94" s="21" t="e">
        <f>(VLOOKUP(B94,Data!$B:$AY,MATCH($V$1,Data!$B$1:$AY$1,),)-VLOOKUP(EDATE(B94,-12),Data!$B:$AY,MATCH($V$1,Data!$B$1:$AY$1,),))/VLOOKUP(EDATE(B94,-12),Data!$B:$AY,MATCH($V$1,Data!$B$1:$AY$1,),)</f>
        <v>#DIV/0!</v>
      </c>
      <c r="W94" s="21">
        <f>(VLOOKUP(B94,Data!$B:$AY,MATCH($W$1,Data!$B$1:$AY$1,),)-VLOOKUP(EDATE(B94,-12),Data!$B:$AY,MATCH($W$1,Data!$B$1:$AY$1,),))/VLOOKUP(EDATE(B94,-12),Data!$B:$AY,MATCH($W$1,Data!$B$1:$AY$1,),)</f>
        <v>0.11919709823735021</v>
      </c>
      <c r="X94" s="21">
        <f>(VLOOKUP(B94,Data!$B:$AY,MATCH($X$1,Data!$B$1:$AY$1,),)-VLOOKUP(EDATE(B94,-12),Data!$B:$AY,MATCH($X$1,Data!$B$1:$AY$1,),))/VLOOKUP(EDATE(B94,-12),Data!$B:$AY,MATCH($X$1,Data!$B$1:$AY$1,),)</f>
        <v>2.3645320197044392E-2</v>
      </c>
      <c r="Y94" s="21">
        <f>(VLOOKUP(B94,Data!$B:$AY,MATCH($Y$1,Data!$B$1:$AY$1,),)-VLOOKUP(EDATE(B94,-12),Data!$B:$AY,MATCH($Y$1,Data!$B$1:$AY$1,),))/VLOOKUP(EDATE(B94,-12),Data!$B:$AY,MATCH($Y$1,Data!$B$1:$AY$1,),)</f>
        <v>2.1897788401086828E-2</v>
      </c>
      <c r="Z94" s="21" t="e">
        <f>(VLOOKUP(B94,Data!$B:$AY,MATCH($Z$1,Data!$B$1:$AY$1,),)-VLOOKUP(EDATE(B94,-12),Data!$B:$AY,MATCH($Z$1,Data!$B$1:$AY$1,),))/VLOOKUP(EDATE(B94,-12),Data!$B:$AY,MATCH($Z$1,Data!$B$1:$AY$1,),)</f>
        <v>#N/A</v>
      </c>
      <c r="AA94" s="21" t="e">
        <f>(VLOOKUP(B94,Data!$B:$AY,MATCH($AA$1,Data!$B$1:$AY$1,),)-VLOOKUP(EDATE(B94,-12),Data!$B:$AY,MATCH($AA$1,Data!$B$1:$AY$1,),))/VLOOKUP(EDATE(B94,-12),Data!$B:$AY,MATCH($AA$1,Data!$B$1:$AY$1,),)</f>
        <v>#N/A</v>
      </c>
      <c r="AB94" s="20"/>
    </row>
    <row r="95" spans="2:28" x14ac:dyDescent="0.2">
      <c r="B95" s="16">
        <v>43101</v>
      </c>
      <c r="C95" s="21">
        <f>(VLOOKUP(B95,Data!$B:$AY,MATCH($C$1,Data!$B$1:$AY$1,),)-VLOOKUP(EDATE(B95,-12),Data!$B:$AY,MATCH($C$1,Data!$B$1:$AY$1,),))/VLOOKUP(EDATE(B95,-12),Data!$B:$AY,MATCH($C$1,Data!$B$1:$AY$1,),)</f>
        <v>2.0704416707984966E-2</v>
      </c>
      <c r="D95" s="21">
        <f>(VLOOKUP(B95,Data!$B:$AY,MATCH($D$1,Data!$B$1:$AY$1,),)-VLOOKUP(EDATE(B95,-12),Data!$B:$AY,MATCH($D$1,Data!$B$1:$AY$1,),))/VLOOKUP(EDATE(B95,-12),Data!$B:$AY,MATCH($D$1,Data!$B$1:$AY$1,),)</f>
        <v>1.446480231436837E-2</v>
      </c>
      <c r="E95" s="21">
        <f>(VLOOKUP(B95,Data!$B:$AY,MATCH($E$1,Data!$B$1:$AY$1,),)-VLOOKUP(EDATE(B95,-12),Data!$B:$AY,MATCH($E$1,Data!$B$1:$AY$1,),))/VLOOKUP(EDATE(B95,-12),Data!$B:$AY,MATCH($E$1,Data!$B$1:$AY$1,),)</f>
        <v>1.2966287652104499E-2</v>
      </c>
      <c r="F95" s="21">
        <f>(VLOOKUP(B95,Data!$B:$AY,MATCH($F$1,Data!$B$1:$AY$1,),)-VLOOKUP(EDATE(B95,-12),Data!$B:$AY,MATCH($F$1,Data!$B$1:$AY$1,),))/VLOOKUP(EDATE(B95,-12),Data!$B:$AY,MATCH($F$1,Data!$B$1:$AY$1,),)</f>
        <v>1.2999999999999972E-2</v>
      </c>
      <c r="G95" s="21">
        <f>(VLOOKUP(B95,Data!$B:$AY,MATCH($G$1,Data!$B$1:$AY$1,),)-VLOOKUP(EDATE(B95,-12),Data!$B:$AY,MATCH($G$1,Data!$B$1:$AY$1,),))/VLOOKUP(EDATE(B95,-12),Data!$B:$AY,MATCH($G$1,Data!$B$1:$AY$1,),)</f>
        <v>1.3916165093702026E-2</v>
      </c>
      <c r="H95" s="21">
        <f>(VLOOKUP(B95,Data!$B:$AY,MATCH($H$1,Data!$B$1:$AY$1,),)-VLOOKUP(EDATE(B95,-12),Data!$B:$AY,MATCH($H$1,Data!$B$1:$AY$1,),))/VLOOKUP(EDATE(B95,-12),Data!$B:$AY,MATCH($H$1,Data!$B$1:$AY$1,),)</f>
        <v>1.3345284334229693E-2</v>
      </c>
      <c r="I95" s="21">
        <f>(VLOOKUP(B95,Data!$B:$AY,MATCH($I$1,Data!$B$1:$AY$1,),)-VLOOKUP(EDATE(B95,-12),Data!$B:$AY,MATCH($I$1,Data!$B$1:$AY$1,),))/VLOOKUP(EDATE(B95,-12),Data!$B:$AY,MATCH($I$1,Data!$B$1:$AY$1,),)</f>
        <v>2.6522593320235786E-2</v>
      </c>
      <c r="J95" s="21">
        <f>(VLOOKUP(B95,Data!$B:$AY,MATCH($J$1,Data!$B$1:$AY$1,),)-VLOOKUP(EDATE(B95,-12),Data!$B:$AY,MATCH($J$1,Data!$B$1:$AY$1,),))/VLOOKUP(EDATE(B95,-12),Data!$B:$AY,MATCH($J$1,Data!$B$1:$AY$1,),)</f>
        <v>8.9463220675944904E-3</v>
      </c>
      <c r="K95" s="21">
        <f>(VLOOKUP(B95,Data!$B:$AY,MATCH($K$1,Data!$B$1:$AY$1,),)-VLOOKUP(EDATE(B95,-12),Data!$B:$AY,MATCH($K$1,Data!$B$1:$AY$1,),))/VLOOKUP(EDATE(B95,-12),Data!$B:$AY,MATCH($K$1,Data!$B$1:$AY$1,),)</f>
        <v>5.7443403240248986E-3</v>
      </c>
      <c r="L95" s="21">
        <f>(VLOOKUP(B95,Data!$B:$AY,MATCH($L$1,Data!$B$1:$AY$1,),)-VLOOKUP(EDATE(B95,-12),Data!$B:$AY,MATCH($L$1,Data!$B$1:$AY$1,),))/VLOOKUP(EDATE(B95,-12),Data!$B:$AY,MATCH($L$1,Data!$B$1:$AY$1,),)</f>
        <v>1.5779807097310954E-2</v>
      </c>
      <c r="M95" s="21">
        <f>(VLOOKUP(B95,Data!$B:$AY,MATCH($M$1,Data!$B$1:$AY$1,),)-VLOOKUP(EDATE(B95,-12),Data!$B:$AY,MATCH($M$1,Data!$B$1:$AY$1,),))/VLOOKUP(EDATE(B95,-12),Data!$B:$AY,MATCH($M$1,Data!$B$1:$AY$1,),)</f>
        <v>5.5458893949836753E-2</v>
      </c>
      <c r="N95" s="21" t="e">
        <f>(VLOOKUP(B95,Data!$B:$AY,MATCH($N$1,Data!$B$1:$AY$1,),)-VLOOKUP(EDATE(B95,-12),Data!$B:$AY,MATCH($N$1,Data!$B$1:$AY$1,),))/VLOOKUP(EDATE(B95,-12),Data!$B:$AY,MATCH($N$1,Data!$B$1:$AY$1,),)</f>
        <v>#DIV/0!</v>
      </c>
      <c r="O95" s="21">
        <f>(VLOOKUP(B95,Data!$B:$AY,MATCH($O$1,Data!$B$1:$AY$1,),)-VLOOKUP(EDATE(B95,-12),Data!$B:$AY,MATCH($O$1,Data!$B$1:$AY$1,),))/VLOOKUP(EDATE(B95,-12),Data!$B:$AY,MATCH($O$1,Data!$B$1:$AY$1,),)</f>
        <v>5.1095517275923347E-2</v>
      </c>
      <c r="P95" s="21">
        <f>(VLOOKUP(B95,Data!$B:$AY,MATCH($P$1,Data!$B$1:$AY$1,),)-VLOOKUP(EDATE(B95,-12),Data!$B:$AY,MATCH($P$1,Data!$B$1:$AY$1,),))/VLOOKUP(EDATE(B95,-12),Data!$B:$AY,MATCH($P$1,Data!$B$1:$AY$1,),)</f>
        <v>1.6988279631265844E-2</v>
      </c>
      <c r="Q95" s="21" t="e">
        <f>(VLOOKUP(B95,Data!$B:$AY,MATCH($Q$1,Data!$B$1:$AY$1,),)-VLOOKUP(EDATE(B95,-12),Data!$B:$AY,MATCH($Q$1,Data!$B$1:$AY$1,),))/VLOOKUP(EDATE(B95,-12),Data!$B:$AY,MATCH($Q$1,Data!$B$1:$AY$1,),)</f>
        <v>#N/A</v>
      </c>
      <c r="R95" s="21">
        <f>(VLOOKUP(B95,Data!$B:$AY,MATCH($R$1,Data!$B$1:$AY$1,),)-VLOOKUP(EDATE(B95,-12),Data!$B:$AY,MATCH($R$1,Data!$B$1:$AY$1,),))/VLOOKUP(EDATE(B95,-12),Data!$B:$AY,MATCH($R$1,Data!$B$1:$AY$1,),)</f>
        <v>7.4017392018587719E-3</v>
      </c>
      <c r="S95" s="21">
        <f>(VLOOKUP(B95,Data!$B:$AY,MATCH($S$1,Data!$B$1:$AY$1,),)-VLOOKUP(EDATE(B95,-12),Data!$B:$AY,MATCH($S$1,Data!$B$1:$AY$1,),))/VLOOKUP(EDATE(B95,-12),Data!$B:$AY,MATCH($S$1,Data!$B$1:$AY$1,),)</f>
        <v>7.599376461418561E-3</v>
      </c>
      <c r="T95" s="21">
        <f>(VLOOKUP(B95,Data!$B:$AY,MATCH($T$1,Data!$B$1:$AY$1,),)-VLOOKUP(EDATE(B95,-12),Data!$B:$AY,MATCH($T$1,Data!$B$1:$AY$1,),))/VLOOKUP(EDATE(B95,-12),Data!$B:$AY,MATCH($T$1,Data!$B$1:$AY$1,),)</f>
        <v>2.8551622819360391E-2</v>
      </c>
      <c r="U95" s="21">
        <f>(VLOOKUP(B95,Data!$B:$AY,MATCH($U$1,Data!$B$1:$AY$1,),)-VLOOKUP(EDATE(B95,-12),Data!$B:$AY,MATCH($U$1,Data!$B$1:$AY$1,),))/VLOOKUP(EDATE(B95,-12),Data!$B:$AY,MATCH($U$1,Data!$B$1:$AY$1,),)</f>
        <v>-1.7529385113731685E-3</v>
      </c>
      <c r="V95" s="21" t="e">
        <f>(VLOOKUP(B95,Data!$B:$AY,MATCH($V$1,Data!$B$1:$AY$1,),)-VLOOKUP(EDATE(B95,-12),Data!$B:$AY,MATCH($V$1,Data!$B$1:$AY$1,),))/VLOOKUP(EDATE(B95,-12),Data!$B:$AY,MATCH($V$1,Data!$B$1:$AY$1,),)</f>
        <v>#DIV/0!</v>
      </c>
      <c r="W95" s="21">
        <f>(VLOOKUP(B95,Data!$B:$AY,MATCH($W$1,Data!$B$1:$AY$1,),)-VLOOKUP(EDATE(B95,-12),Data!$B:$AY,MATCH($W$1,Data!$B$1:$AY$1,),))/VLOOKUP(EDATE(B95,-12),Data!$B:$AY,MATCH($W$1,Data!$B$1:$AY$1,),)</f>
        <v>0.10345678969413817</v>
      </c>
      <c r="X95" s="21">
        <f>(VLOOKUP(B95,Data!$B:$AY,MATCH($X$1,Data!$B$1:$AY$1,),)-VLOOKUP(EDATE(B95,-12),Data!$B:$AY,MATCH($X$1,Data!$B$1:$AY$1,),))/VLOOKUP(EDATE(B95,-12),Data!$B:$AY,MATCH($X$1,Data!$B$1:$AY$1,),)</f>
        <v>2.1505376344086051E-2</v>
      </c>
      <c r="Y95" s="21">
        <f>(VLOOKUP(B95,Data!$B:$AY,MATCH($Y$1,Data!$B$1:$AY$1,),)-VLOOKUP(EDATE(B95,-12),Data!$B:$AY,MATCH($Y$1,Data!$B$1:$AY$1,),))/VLOOKUP(EDATE(B95,-12),Data!$B:$AY,MATCH($Y$1,Data!$B$1:$AY$1,),)</f>
        <v>2.1001594668429026E-2</v>
      </c>
      <c r="Z95" s="21" t="e">
        <f>(VLOOKUP(B95,Data!$B:$AY,MATCH($Z$1,Data!$B$1:$AY$1,),)-VLOOKUP(EDATE(B95,-12),Data!$B:$AY,MATCH($Z$1,Data!$B$1:$AY$1,),))/VLOOKUP(EDATE(B95,-12),Data!$B:$AY,MATCH($Z$1,Data!$B$1:$AY$1,),)</f>
        <v>#N/A</v>
      </c>
      <c r="AA95" s="21" t="e">
        <f>(VLOOKUP(B95,Data!$B:$AY,MATCH($AA$1,Data!$B$1:$AY$1,),)-VLOOKUP(EDATE(B95,-12),Data!$B:$AY,MATCH($AA$1,Data!$B$1:$AY$1,),))/VLOOKUP(EDATE(B95,-12),Data!$B:$AY,MATCH($AA$1,Data!$B$1:$AY$1,),)</f>
        <v>#N/A</v>
      </c>
      <c r="AB95" s="20"/>
    </row>
    <row r="96" spans="2:28" x14ac:dyDescent="0.2">
      <c r="B96" s="16">
        <v>43132</v>
      </c>
      <c r="C96" s="21">
        <f>(VLOOKUP(B96,Data!$B:$AY,MATCH($C$1,Data!$B$1:$AY$1,),)-VLOOKUP(EDATE(B96,-12),Data!$B:$AY,MATCH($C$1,Data!$B$1:$AY$1,),))/VLOOKUP(EDATE(B96,-12),Data!$B:$AY,MATCH($C$1,Data!$B$1:$AY$1,),)</f>
        <v>2.2118396126824001E-2</v>
      </c>
      <c r="D96" s="21">
        <f>(VLOOKUP(B96,Data!$B:$AY,MATCH($D$1,Data!$B$1:$AY$1,),)-VLOOKUP(EDATE(B96,-12),Data!$B:$AY,MATCH($D$1,Data!$B$1:$AY$1,),))/VLOOKUP(EDATE(B96,-12),Data!$B:$AY,MATCH($D$1,Data!$B$1:$AY$1,),)</f>
        <v>2.8985507246376812E-2</v>
      </c>
      <c r="E96" s="21">
        <f>(VLOOKUP(B96,Data!$B:$AY,MATCH($E$1,Data!$B$1:$AY$1,),)-VLOOKUP(EDATE(B96,-12),Data!$B:$AY,MATCH($E$1,Data!$B$1:$AY$1,),))/VLOOKUP(EDATE(B96,-12),Data!$B:$AY,MATCH($E$1,Data!$B$1:$AY$1,),)</f>
        <v>1.1126564673157209E-2</v>
      </c>
      <c r="F96" s="21">
        <f>(VLOOKUP(B96,Data!$B:$AY,MATCH($F$1,Data!$B$1:$AY$1,),)-VLOOKUP(EDATE(B96,-12),Data!$B:$AY,MATCH($F$1,Data!$B$1:$AY$1,),))/VLOOKUP(EDATE(B96,-12),Data!$B:$AY,MATCH($F$1,Data!$B$1:$AY$1,),)</f>
        <v>1.5030060120240482E-2</v>
      </c>
      <c r="G96" s="21">
        <f>(VLOOKUP(B96,Data!$B:$AY,MATCH($G$1,Data!$B$1:$AY$1,),)-VLOOKUP(EDATE(B96,-12),Data!$B:$AY,MATCH($G$1,Data!$B$1:$AY$1,),))/VLOOKUP(EDATE(B96,-12),Data!$B:$AY,MATCH($G$1,Data!$B$1:$AY$1,),)</f>
        <v>1.0869726300647432E-2</v>
      </c>
      <c r="H96" s="21">
        <f>(VLOOKUP(B96,Data!$B:$AY,MATCH($H$1,Data!$B$1:$AY$1,),)-VLOOKUP(EDATE(B96,-12),Data!$B:$AY,MATCH($H$1,Data!$B$1:$AY$1,),))/VLOOKUP(EDATE(B96,-12),Data!$B:$AY,MATCH($H$1,Data!$B$1:$AY$1,),)</f>
        <v>1.1837262508703848E-2</v>
      </c>
      <c r="I96" s="21">
        <f>(VLOOKUP(B96,Data!$B:$AY,MATCH($I$1,Data!$B$1:$AY$1,),)-VLOOKUP(EDATE(B96,-12),Data!$B:$AY,MATCH($I$1,Data!$B$1:$AY$1,),))/VLOOKUP(EDATE(B96,-12),Data!$B:$AY,MATCH($I$1,Data!$B$1:$AY$1,),)</f>
        <v>2.44140625E-2</v>
      </c>
      <c r="J96" s="21">
        <f>(VLOOKUP(B96,Data!$B:$AY,MATCH($J$1,Data!$B$1:$AY$1,),)-VLOOKUP(EDATE(B96,-12),Data!$B:$AY,MATCH($J$1,Data!$B$1:$AY$1,),))/VLOOKUP(EDATE(B96,-12),Data!$B:$AY,MATCH($J$1,Data!$B$1:$AY$1,),)</f>
        <v>4.9504950495049506E-3</v>
      </c>
      <c r="K96" s="21">
        <f>(VLOOKUP(B96,Data!$B:$AY,MATCH($K$1,Data!$B$1:$AY$1,),)-VLOOKUP(EDATE(B96,-12),Data!$B:$AY,MATCH($K$1,Data!$B$1:$AY$1,),))/VLOOKUP(EDATE(B96,-12),Data!$B:$AY,MATCH($K$1,Data!$B$1:$AY$1,),)</f>
        <v>1.073950797238522E-2</v>
      </c>
      <c r="L96" s="21">
        <f>(VLOOKUP(B96,Data!$B:$AY,MATCH($L$1,Data!$B$1:$AY$1,),)-VLOOKUP(EDATE(B96,-12),Data!$B:$AY,MATCH($L$1,Data!$B$1:$AY$1,),))/VLOOKUP(EDATE(B96,-12),Data!$B:$AY,MATCH($L$1,Data!$B$1:$AY$1,),)</f>
        <v>1.6076458239821866E-2</v>
      </c>
      <c r="M96" s="21">
        <f>(VLOOKUP(B96,Data!$B:$AY,MATCH($M$1,Data!$B$1:$AY$1,),)-VLOOKUP(EDATE(B96,-12),Data!$B:$AY,MATCH($M$1,Data!$B$1:$AY$1,),))/VLOOKUP(EDATE(B96,-12),Data!$B:$AY,MATCH($M$1,Data!$B$1:$AY$1,),)</f>
        <v>5.3392648152820694E-2</v>
      </c>
      <c r="N96" s="21" t="e">
        <f>(VLOOKUP(B96,Data!$B:$AY,MATCH($N$1,Data!$B$1:$AY$1,),)-VLOOKUP(EDATE(B96,-12),Data!$B:$AY,MATCH($N$1,Data!$B$1:$AY$1,),))/VLOOKUP(EDATE(B96,-12),Data!$B:$AY,MATCH($N$1,Data!$B$1:$AY$1,),)</f>
        <v>#DIV/0!</v>
      </c>
      <c r="O96" s="21">
        <f>(VLOOKUP(B96,Data!$B:$AY,MATCH($O$1,Data!$B$1:$AY$1,),)-VLOOKUP(EDATE(B96,-12),Data!$B:$AY,MATCH($O$1,Data!$B$1:$AY$1,),))/VLOOKUP(EDATE(B96,-12),Data!$B:$AY,MATCH($O$1,Data!$B$1:$AY$1,),)</f>
        <v>4.7445224136203785E-2</v>
      </c>
      <c r="P96" s="21">
        <f>(VLOOKUP(B96,Data!$B:$AY,MATCH($P$1,Data!$B$1:$AY$1,),)-VLOOKUP(EDATE(B96,-12),Data!$B:$AY,MATCH($P$1,Data!$B$1:$AY$1,),))/VLOOKUP(EDATE(B96,-12),Data!$B:$AY,MATCH($P$1,Data!$B$1:$AY$1,),)</f>
        <v>2.1588553763042119E-2</v>
      </c>
      <c r="Q96" s="21" t="e">
        <f>(VLOOKUP(B96,Data!$B:$AY,MATCH($Q$1,Data!$B$1:$AY$1,),)-VLOOKUP(EDATE(B96,-12),Data!$B:$AY,MATCH($Q$1,Data!$B$1:$AY$1,),))/VLOOKUP(EDATE(B96,-12),Data!$B:$AY,MATCH($Q$1,Data!$B$1:$AY$1,),)</f>
        <v>#N/A</v>
      </c>
      <c r="R96" s="21">
        <f>(VLOOKUP(B96,Data!$B:$AY,MATCH($R$1,Data!$B$1:$AY$1,),)-VLOOKUP(EDATE(B96,-12),Data!$B:$AY,MATCH($R$1,Data!$B$1:$AY$1,),))/VLOOKUP(EDATE(B96,-12),Data!$B:$AY,MATCH($R$1,Data!$B$1:$AY$1,),)</f>
        <v>6.2799143417639081E-3</v>
      </c>
      <c r="S96" s="21">
        <f>(VLOOKUP(B96,Data!$B:$AY,MATCH($S$1,Data!$B$1:$AY$1,),)-VLOOKUP(EDATE(B96,-12),Data!$B:$AY,MATCH($S$1,Data!$B$1:$AY$1,),))/VLOOKUP(EDATE(B96,-12),Data!$B:$AY,MATCH($S$1,Data!$B$1:$AY$1,),)</f>
        <v>1.2534006995724756E-2</v>
      </c>
      <c r="T96" s="21">
        <f>(VLOOKUP(B96,Data!$B:$AY,MATCH($T$1,Data!$B$1:$AY$1,),)-VLOOKUP(EDATE(B96,-12),Data!$B:$AY,MATCH($T$1,Data!$B$1:$AY$1,),))/VLOOKUP(EDATE(B96,-12),Data!$B:$AY,MATCH($T$1,Data!$B$1:$AY$1,),)</f>
        <v>2.8448734745524232E-2</v>
      </c>
      <c r="U96" s="21">
        <f>(VLOOKUP(B96,Data!$B:$AY,MATCH($U$1,Data!$B$1:$AY$1,),)-VLOOKUP(EDATE(B96,-12),Data!$B:$AY,MATCH($U$1,Data!$B$1:$AY$1,),))/VLOOKUP(EDATE(B96,-12),Data!$B:$AY,MATCH($U$1,Data!$B$1:$AY$1,),)</f>
        <v>5.9497467620088344E-4</v>
      </c>
      <c r="V96" s="21" t="e">
        <f>(VLOOKUP(B96,Data!$B:$AY,MATCH($V$1,Data!$B$1:$AY$1,),)-VLOOKUP(EDATE(B96,-12),Data!$B:$AY,MATCH($V$1,Data!$B$1:$AY$1,),))/VLOOKUP(EDATE(B96,-12),Data!$B:$AY,MATCH($V$1,Data!$B$1:$AY$1,),)</f>
        <v>#DIV/0!</v>
      </c>
      <c r="W96" s="21">
        <f>(VLOOKUP(B96,Data!$B:$AY,MATCH($W$1,Data!$B$1:$AY$1,),)-VLOOKUP(EDATE(B96,-12),Data!$B:$AY,MATCH($W$1,Data!$B$1:$AY$1,),))/VLOOKUP(EDATE(B96,-12),Data!$B:$AY,MATCH($W$1,Data!$B$1:$AY$1,),)</f>
        <v>0.1025911901088582</v>
      </c>
      <c r="X96" s="21">
        <f>(VLOOKUP(B96,Data!$B:$AY,MATCH($X$1,Data!$B$1:$AY$1,),)-VLOOKUP(EDATE(B96,-12),Data!$B:$AY,MATCH($X$1,Data!$B$1:$AY$1,),))/VLOOKUP(EDATE(B96,-12),Data!$B:$AY,MATCH($X$1,Data!$B$1:$AY$1,),)</f>
        <v>1.752677702044788E-2</v>
      </c>
      <c r="Y96" s="21">
        <f>(VLOOKUP(B96,Data!$B:$AY,MATCH($Y$1,Data!$B$1:$AY$1,),)-VLOOKUP(EDATE(B96,-12),Data!$B:$AY,MATCH($Y$1,Data!$B$1:$AY$1,),))/VLOOKUP(EDATE(B96,-12),Data!$B:$AY,MATCH($Y$1,Data!$B$1:$AY$1,),)</f>
        <v>1.5297891470629234E-2</v>
      </c>
      <c r="Z96" s="21" t="e">
        <f>(VLOOKUP(B96,Data!$B:$AY,MATCH($Z$1,Data!$B$1:$AY$1,),)-VLOOKUP(EDATE(B96,-12),Data!$B:$AY,MATCH($Z$1,Data!$B$1:$AY$1,),))/VLOOKUP(EDATE(B96,-12),Data!$B:$AY,MATCH($Z$1,Data!$B$1:$AY$1,),)</f>
        <v>#N/A</v>
      </c>
      <c r="AA96" s="21" t="e">
        <f>(VLOOKUP(B96,Data!$B:$AY,MATCH($AA$1,Data!$B$1:$AY$1,),)-VLOOKUP(EDATE(B96,-12),Data!$B:$AY,MATCH($AA$1,Data!$B$1:$AY$1,),))/VLOOKUP(EDATE(B96,-12),Data!$B:$AY,MATCH($AA$1,Data!$B$1:$AY$1,),)</f>
        <v>#N/A</v>
      </c>
      <c r="AB96" s="20"/>
    </row>
    <row r="97" spans="2:28" s="3" customFormat="1" x14ac:dyDescent="0.2">
      <c r="B97" s="16">
        <v>43160</v>
      </c>
      <c r="C97" s="21">
        <f>(VLOOKUP(B97,Data!$B:$AY,MATCH($C$1,Data!$B$1:$AY$1,),)-VLOOKUP(EDATE(B97,-12),Data!$B:$AY,MATCH($C$1,Data!$B$1:$AY$1,),))/VLOOKUP(EDATE(B97,-12),Data!$B:$AY,MATCH($C$1,Data!$B$1:$AY$1,),)</f>
        <v>2.3597589785168918E-2</v>
      </c>
      <c r="D97" s="21">
        <f>(VLOOKUP(B97,Data!$B:$AY,MATCH($D$1,Data!$B$1:$AY$1,),)-VLOOKUP(EDATE(B97,-12),Data!$B:$AY,MATCH($D$1,Data!$B$1:$AY$1,),))/VLOOKUP(EDATE(B97,-12),Data!$B:$AY,MATCH($D$1,Data!$B$1:$AY$1,),)</f>
        <v>2.0348837209302272E-2</v>
      </c>
      <c r="E97" s="21">
        <f>(VLOOKUP(B97,Data!$B:$AY,MATCH($E$1,Data!$B$1:$AY$1,),)-VLOOKUP(EDATE(B97,-12),Data!$B:$AY,MATCH($E$1,Data!$B$1:$AY$1,),))/VLOOKUP(EDATE(B97,-12),Data!$B:$AY,MATCH($E$1,Data!$B$1:$AY$1,),)</f>
        <v>1.3991526258744721E-2</v>
      </c>
      <c r="F97" s="21">
        <f>(VLOOKUP(B97,Data!$B:$AY,MATCH($F$1,Data!$B$1:$AY$1,),)-VLOOKUP(EDATE(B97,-12),Data!$B:$AY,MATCH($F$1,Data!$B$1:$AY$1,),))/VLOOKUP(EDATE(B97,-12),Data!$B:$AY,MATCH($F$1,Data!$B$1:$AY$1,),)</f>
        <v>1.1011011011010954E-2</v>
      </c>
      <c r="G97" s="21">
        <f>(VLOOKUP(B97,Data!$B:$AY,MATCH($G$1,Data!$B$1:$AY$1,),)-VLOOKUP(EDATE(B97,-12),Data!$B:$AY,MATCH($G$1,Data!$B$1:$AY$1,),))/VLOOKUP(EDATE(B97,-12),Data!$B:$AY,MATCH($G$1,Data!$B$1:$AY$1,),)</f>
        <v>1.4793392422761845E-2</v>
      </c>
      <c r="H97" s="21">
        <f>(VLOOKUP(B97,Data!$B:$AY,MATCH($H$1,Data!$B$1:$AY$1,),)-VLOOKUP(EDATE(B97,-12),Data!$B:$AY,MATCH($H$1,Data!$B$1:$AY$1,),))/VLOOKUP(EDATE(B97,-12),Data!$B:$AY,MATCH($H$1,Data!$B$1:$AY$1,),)</f>
        <v>1.5617277849164755E-2</v>
      </c>
      <c r="I97" s="21">
        <f>(VLOOKUP(B97,Data!$B:$AY,MATCH($I$1,Data!$B$1:$AY$1,),)-VLOOKUP(EDATE(B97,-12),Data!$B:$AY,MATCH($I$1,Data!$B$1:$AY$1,),))/VLOOKUP(EDATE(B97,-12),Data!$B:$AY,MATCH($I$1,Data!$B$1:$AY$1,),)</f>
        <v>2.3369036027263791E-2</v>
      </c>
      <c r="J97" s="21">
        <f>(VLOOKUP(B97,Data!$B:$AY,MATCH($J$1,Data!$B$1:$AY$1,),)-VLOOKUP(EDATE(B97,-12),Data!$B:$AY,MATCH($J$1,Data!$B$1:$AY$1,),))/VLOOKUP(EDATE(B97,-12),Data!$B:$AY,MATCH($J$1,Data!$B$1:$AY$1,),)</f>
        <v>7.9207920792078931E-3</v>
      </c>
      <c r="K97" s="21">
        <f>(VLOOKUP(B97,Data!$B:$AY,MATCH($K$1,Data!$B$1:$AY$1,),)-VLOOKUP(EDATE(B97,-12),Data!$B:$AY,MATCH($K$1,Data!$B$1:$AY$1,),))/VLOOKUP(EDATE(B97,-12),Data!$B:$AY,MATCH($K$1,Data!$B$1:$AY$1,),)</f>
        <v>1.2146158275691495E-2</v>
      </c>
      <c r="L97" s="21">
        <f>(VLOOKUP(B97,Data!$B:$AY,MATCH($L$1,Data!$B$1:$AY$1,),)-VLOOKUP(EDATE(B97,-12),Data!$B:$AY,MATCH($L$1,Data!$B$1:$AY$1,),))/VLOOKUP(EDATE(B97,-12),Data!$B:$AY,MATCH($L$1,Data!$B$1:$AY$1,),)</f>
        <v>1.9018540209661625E-2</v>
      </c>
      <c r="M97" s="21">
        <f>(VLOOKUP(B97,Data!$B:$AY,MATCH($M$1,Data!$B$1:$AY$1,),)-VLOOKUP(EDATE(B97,-12),Data!$B:$AY,MATCH($M$1,Data!$B$1:$AY$1,),))/VLOOKUP(EDATE(B97,-12),Data!$B:$AY,MATCH($M$1,Data!$B$1:$AY$1,),)</f>
        <v>5.035377380315631E-2</v>
      </c>
      <c r="N97" s="21" t="e">
        <f>(VLOOKUP(B97,Data!$B:$AY,MATCH($N$1,Data!$B$1:$AY$1,),)-VLOOKUP(EDATE(B97,-12),Data!$B:$AY,MATCH($N$1,Data!$B$1:$AY$1,),))/VLOOKUP(EDATE(B97,-12),Data!$B:$AY,MATCH($N$1,Data!$B$1:$AY$1,),)</f>
        <v>#DIV/0!</v>
      </c>
      <c r="O97" s="21">
        <f>(VLOOKUP(B97,Data!$B:$AY,MATCH($O$1,Data!$B$1:$AY$1,),)-VLOOKUP(EDATE(B97,-12),Data!$B:$AY,MATCH($O$1,Data!$B$1:$AY$1,),))/VLOOKUP(EDATE(B97,-12),Data!$B:$AY,MATCH($O$1,Data!$B$1:$AY$1,),)</f>
        <v>4.3636640176432588E-2</v>
      </c>
      <c r="P97" s="21">
        <f>(VLOOKUP(B97,Data!$B:$AY,MATCH($P$1,Data!$B$1:$AY$1,),)-VLOOKUP(EDATE(B97,-12),Data!$B:$AY,MATCH($P$1,Data!$B$1:$AY$1,),))/VLOOKUP(EDATE(B97,-12),Data!$B:$AY,MATCH($P$1,Data!$B$1:$AY$1,),)</f>
        <v>2.3094753477658901E-2</v>
      </c>
      <c r="Q97" s="21" t="e">
        <f>(VLOOKUP(B97,Data!$B:$AY,MATCH($Q$1,Data!$B$1:$AY$1,),)-VLOOKUP(EDATE(B97,-12),Data!$B:$AY,MATCH($Q$1,Data!$B$1:$AY$1,),))/VLOOKUP(EDATE(B97,-12),Data!$B:$AY,MATCH($Q$1,Data!$B$1:$AY$1,),)</f>
        <v>#N/A</v>
      </c>
      <c r="R97" s="21">
        <f>(VLOOKUP(B97,Data!$B:$AY,MATCH($R$1,Data!$B$1:$AY$1,),)-VLOOKUP(EDATE(B97,-12),Data!$B:$AY,MATCH($R$1,Data!$B$1:$AY$1,),))/VLOOKUP(EDATE(B97,-12),Data!$B:$AY,MATCH($R$1,Data!$B$1:$AY$1,),)</f>
        <v>7.9538184726109205E-3</v>
      </c>
      <c r="S97" s="21">
        <f>(VLOOKUP(B97,Data!$B:$AY,MATCH($S$1,Data!$B$1:$AY$1,),)-VLOOKUP(EDATE(B97,-12),Data!$B:$AY,MATCH($S$1,Data!$B$1:$AY$1,),))/VLOOKUP(EDATE(B97,-12),Data!$B:$AY,MATCH($S$1,Data!$B$1:$AY$1,),)</f>
        <v>1.2153621779290229E-2</v>
      </c>
      <c r="T97" s="21">
        <f>(VLOOKUP(B97,Data!$B:$AY,MATCH($T$1,Data!$B$1:$AY$1,),)-VLOOKUP(EDATE(B97,-12),Data!$B:$AY,MATCH($T$1,Data!$B$1:$AY$1,),))/VLOOKUP(EDATE(B97,-12),Data!$B:$AY,MATCH($T$1,Data!$B$1:$AY$1,),)</f>
        <v>2.6808117701849706E-2</v>
      </c>
      <c r="U97" s="21">
        <f>(VLOOKUP(B97,Data!$B:$AY,MATCH($U$1,Data!$B$1:$AY$1,),)-VLOOKUP(EDATE(B97,-12),Data!$B:$AY,MATCH($U$1,Data!$B$1:$AY$1,),))/VLOOKUP(EDATE(B97,-12),Data!$B:$AY,MATCH($U$1,Data!$B$1:$AY$1,),)</f>
        <v>-2.3380020601410853E-3</v>
      </c>
      <c r="V97" s="21" t="e">
        <f>(VLOOKUP(B97,Data!$B:$AY,MATCH($V$1,Data!$B$1:$AY$1,),)-VLOOKUP(EDATE(B97,-12),Data!$B:$AY,MATCH($V$1,Data!$B$1:$AY$1,),))/VLOOKUP(EDATE(B97,-12),Data!$B:$AY,MATCH($V$1,Data!$B$1:$AY$1,),)</f>
        <v>#DIV/0!</v>
      </c>
      <c r="W97" s="21">
        <f>(VLOOKUP(B97,Data!$B:$AY,MATCH($W$1,Data!$B$1:$AY$1,),)-VLOOKUP(EDATE(B97,-12),Data!$B:$AY,MATCH($W$1,Data!$B$1:$AY$1,),))/VLOOKUP(EDATE(B97,-12),Data!$B:$AY,MATCH($W$1,Data!$B$1:$AY$1,),)</f>
        <v>0.10234564149145782</v>
      </c>
      <c r="X97" s="21">
        <f>(VLOOKUP(B97,Data!$B:$AY,MATCH($X$1,Data!$B$1:$AY$1,),)-VLOOKUP(EDATE(B97,-12),Data!$B:$AY,MATCH($X$1,Data!$B$1:$AY$1,),))/VLOOKUP(EDATE(B97,-12),Data!$B:$AY,MATCH($X$1,Data!$B$1:$AY$1,),)</f>
        <v>1.6553067185978605E-2</v>
      </c>
      <c r="Y97" s="21">
        <f>(VLOOKUP(B97,Data!$B:$AY,MATCH($Y$1,Data!$B$1:$AY$1,),)-VLOOKUP(EDATE(B97,-12),Data!$B:$AY,MATCH($Y$1,Data!$B$1:$AY$1,),))/VLOOKUP(EDATE(B97,-12),Data!$B:$AY,MATCH($Y$1,Data!$B$1:$AY$1,),)</f>
        <v>1.5310218526492914E-2</v>
      </c>
      <c r="Z97" s="21" t="e">
        <f>(VLOOKUP(B97,Data!$B:$AY,MATCH($Z$1,Data!$B$1:$AY$1,),)-VLOOKUP(EDATE(B97,-12),Data!$B:$AY,MATCH($Z$1,Data!$B$1:$AY$1,),))/VLOOKUP(EDATE(B97,-12),Data!$B:$AY,MATCH($Z$1,Data!$B$1:$AY$1,),)</f>
        <v>#N/A</v>
      </c>
      <c r="AA97" s="21" t="e">
        <f>(VLOOKUP(B97,Data!$B:$AY,MATCH($AA$1,Data!$B$1:$AY$1,),)-VLOOKUP(EDATE(B97,-12),Data!$B:$AY,MATCH($AA$1,Data!$B$1:$AY$1,),))/VLOOKUP(EDATE(B97,-12),Data!$B:$AY,MATCH($AA$1,Data!$B$1:$AY$1,),)</f>
        <v>#N/A</v>
      </c>
      <c r="AB97" s="20"/>
    </row>
    <row r="98" spans="2:28" s="3" customFormat="1" x14ac:dyDescent="0.2">
      <c r="B98" s="16">
        <v>43191</v>
      </c>
      <c r="C98" s="21">
        <f>(VLOOKUP(B98,Data!$B:$AY,MATCH($C$1,Data!$B$1:$AY$1,),)-VLOOKUP(EDATE(B98,-12),Data!$B:$AY,MATCH($C$1,Data!$B$1:$AY$1,),))/VLOOKUP(EDATE(B98,-12),Data!$B:$AY,MATCH($C$1,Data!$B$1:$AY$1,),)</f>
        <v>2.4626989365816504E-2</v>
      </c>
      <c r="D98" s="21">
        <f>(VLOOKUP(B98,Data!$B:$AY,MATCH($D$1,Data!$B$1:$AY$1,),)-VLOOKUP(EDATE(B98,-12),Data!$B:$AY,MATCH($D$1,Data!$B$1:$AY$1,),))/VLOOKUP(EDATE(B98,-12),Data!$B:$AY,MATCH($D$1,Data!$B$1:$AY$1,),)</f>
        <v>1.8410852713178213E-2</v>
      </c>
      <c r="E98" s="21">
        <f>(VLOOKUP(B98,Data!$B:$AY,MATCH($E$1,Data!$B$1:$AY$1,),)-VLOOKUP(EDATE(B98,-12),Data!$B:$AY,MATCH($E$1,Data!$B$1:$AY$1,),))/VLOOKUP(EDATE(B98,-12),Data!$B:$AY,MATCH($E$1,Data!$B$1:$AY$1,),)</f>
        <v>1.2246497501714511E-2</v>
      </c>
      <c r="F98" s="21">
        <f>(VLOOKUP(B98,Data!$B:$AY,MATCH($F$1,Data!$B$1:$AY$1,),)-VLOOKUP(EDATE(B98,-12),Data!$B:$AY,MATCH($F$1,Data!$B$1:$AY$1,),))/VLOOKUP(EDATE(B98,-12),Data!$B:$AY,MATCH($F$1,Data!$B$1:$AY$1,),)</f>
        <v>5.9820538384846317E-3</v>
      </c>
      <c r="G98" s="21">
        <f>(VLOOKUP(B98,Data!$B:$AY,MATCH($G$1,Data!$B$1:$AY$1,),)-VLOOKUP(EDATE(B98,-12),Data!$B:$AY,MATCH($G$1,Data!$B$1:$AY$1,),))/VLOOKUP(EDATE(B98,-12),Data!$B:$AY,MATCH($G$1,Data!$B$1:$AY$1,),)</f>
        <v>1.2769969651433493E-2</v>
      </c>
      <c r="H98" s="21">
        <f>(VLOOKUP(B98,Data!$B:$AY,MATCH($H$1,Data!$B$1:$AY$1,),)-VLOOKUP(EDATE(B98,-12),Data!$B:$AY,MATCH($H$1,Data!$B$1:$AY$1,),))/VLOOKUP(EDATE(B98,-12),Data!$B:$AY,MATCH($H$1,Data!$B$1:$AY$1,),)</f>
        <v>1.6393442622950786E-2</v>
      </c>
      <c r="I98" s="21">
        <f>(VLOOKUP(B98,Data!$B:$AY,MATCH($I$1,Data!$B$1:$AY$1,),)-VLOOKUP(EDATE(B98,-12),Data!$B:$AY,MATCH($I$1,Data!$B$1:$AY$1,),))/VLOOKUP(EDATE(B98,-12),Data!$B:$AY,MATCH($I$1,Data!$B$1:$AY$1,),)</f>
        <v>2.2286821705426327E-2</v>
      </c>
      <c r="J98" s="21">
        <f>(VLOOKUP(B98,Data!$B:$AY,MATCH($J$1,Data!$B$1:$AY$1,),)-VLOOKUP(EDATE(B98,-12),Data!$B:$AY,MATCH($J$1,Data!$B$1:$AY$1,),))/VLOOKUP(EDATE(B98,-12),Data!$B:$AY,MATCH($J$1,Data!$B$1:$AY$1,),)</f>
        <v>4.9309664694280079E-3</v>
      </c>
      <c r="K98" s="21">
        <f>(VLOOKUP(B98,Data!$B:$AY,MATCH($K$1,Data!$B$1:$AY$1,),)-VLOOKUP(EDATE(B98,-12),Data!$B:$AY,MATCH($K$1,Data!$B$1:$AY$1,),))/VLOOKUP(EDATE(B98,-12),Data!$B:$AY,MATCH($K$1,Data!$B$1:$AY$1,),)</f>
        <v>1.0786709219259371E-2</v>
      </c>
      <c r="L98" s="21">
        <f>(VLOOKUP(B98,Data!$B:$AY,MATCH($L$1,Data!$B$1:$AY$1,),)-VLOOKUP(EDATE(B98,-12),Data!$B:$AY,MATCH($L$1,Data!$B$1:$AY$1,),))/VLOOKUP(EDATE(B98,-12),Data!$B:$AY,MATCH($L$1,Data!$B$1:$AY$1,),)</f>
        <v>1.7291802083708927E-2</v>
      </c>
      <c r="M98" s="21">
        <f>(VLOOKUP(B98,Data!$B:$AY,MATCH($M$1,Data!$B$1:$AY$1,),)-VLOOKUP(EDATE(B98,-12),Data!$B:$AY,MATCH($M$1,Data!$B$1:$AY$1,),))/VLOOKUP(EDATE(B98,-12),Data!$B:$AY,MATCH($M$1,Data!$B$1:$AY$1,),)</f>
        <v>4.55080677509931E-2</v>
      </c>
      <c r="N98" s="21" t="e">
        <f>(VLOOKUP(B98,Data!$B:$AY,MATCH($N$1,Data!$B$1:$AY$1,),)-VLOOKUP(EDATE(B98,-12),Data!$B:$AY,MATCH($N$1,Data!$B$1:$AY$1,),))/VLOOKUP(EDATE(B98,-12),Data!$B:$AY,MATCH($N$1,Data!$B$1:$AY$1,),)</f>
        <v>#DIV/0!</v>
      </c>
      <c r="O98" s="21">
        <f>(VLOOKUP(B98,Data!$B:$AY,MATCH($O$1,Data!$B$1:$AY$1,),)-VLOOKUP(EDATE(B98,-12),Data!$B:$AY,MATCH($O$1,Data!$B$1:$AY$1,),))/VLOOKUP(EDATE(B98,-12),Data!$B:$AY,MATCH($O$1,Data!$B$1:$AY$1,),)</f>
        <v>3.9711743271823294E-2</v>
      </c>
      <c r="P98" s="21">
        <f>(VLOOKUP(B98,Data!$B:$AY,MATCH($P$1,Data!$B$1:$AY$1,),)-VLOOKUP(EDATE(B98,-12),Data!$B:$AY,MATCH($P$1,Data!$B$1:$AY$1,),))/VLOOKUP(EDATE(B98,-12),Data!$B:$AY,MATCH($P$1,Data!$B$1:$AY$1,),)</f>
        <v>2.2239434254727009E-2</v>
      </c>
      <c r="Q98" s="21" t="e">
        <f>(VLOOKUP(B98,Data!$B:$AY,MATCH($Q$1,Data!$B$1:$AY$1,),)-VLOOKUP(EDATE(B98,-12),Data!$B:$AY,MATCH($Q$1,Data!$B$1:$AY$1,),))/VLOOKUP(EDATE(B98,-12),Data!$B:$AY,MATCH($Q$1,Data!$B$1:$AY$1,),)</f>
        <v>#N/A</v>
      </c>
      <c r="R98" s="21">
        <f>(VLOOKUP(B98,Data!$B:$AY,MATCH($R$1,Data!$B$1:$AY$1,),)-VLOOKUP(EDATE(B98,-12),Data!$B:$AY,MATCH($R$1,Data!$B$1:$AY$1,),))/VLOOKUP(EDATE(B98,-12),Data!$B:$AY,MATCH($R$1,Data!$B$1:$AY$1,),)</f>
        <v>8.0326333210629097E-3</v>
      </c>
      <c r="S98" s="21">
        <f>(VLOOKUP(B98,Data!$B:$AY,MATCH($S$1,Data!$B$1:$AY$1,),)-VLOOKUP(EDATE(B98,-12),Data!$B:$AY,MATCH($S$1,Data!$B$1:$AY$1,),))/VLOOKUP(EDATE(B98,-12),Data!$B:$AY,MATCH($S$1,Data!$B$1:$AY$1,),)</f>
        <v>1.5284267912772658E-2</v>
      </c>
      <c r="T98" s="21">
        <f>(VLOOKUP(B98,Data!$B:$AY,MATCH($T$1,Data!$B$1:$AY$1,),)-VLOOKUP(EDATE(B98,-12),Data!$B:$AY,MATCH($T$1,Data!$B$1:$AY$1,),))/VLOOKUP(EDATE(B98,-12),Data!$B:$AY,MATCH($T$1,Data!$B$1:$AY$1,),)</f>
        <v>2.7627589026446599E-2</v>
      </c>
      <c r="U98" s="21">
        <f>(VLOOKUP(B98,Data!$B:$AY,MATCH($U$1,Data!$B$1:$AY$1,),)-VLOOKUP(EDATE(B98,-12),Data!$B:$AY,MATCH($U$1,Data!$B$1:$AY$1,),))/VLOOKUP(EDATE(B98,-12),Data!$B:$AY,MATCH($U$1,Data!$B$1:$AY$1,),)</f>
        <v>3.7273070600905069E-4</v>
      </c>
      <c r="V98" s="21" t="e">
        <f>(VLOOKUP(B98,Data!$B:$AY,MATCH($V$1,Data!$B$1:$AY$1,),)-VLOOKUP(EDATE(B98,-12),Data!$B:$AY,MATCH($V$1,Data!$B$1:$AY$1,),))/VLOOKUP(EDATE(B98,-12),Data!$B:$AY,MATCH($V$1,Data!$B$1:$AY$1,),)</f>
        <v>#DIV/0!</v>
      </c>
      <c r="W98" s="21">
        <f>(VLOOKUP(B98,Data!$B:$AY,MATCH($W$1,Data!$B$1:$AY$1,),)-VLOOKUP(EDATE(B98,-12),Data!$B:$AY,MATCH($W$1,Data!$B$1:$AY$1,),))/VLOOKUP(EDATE(B98,-12),Data!$B:$AY,MATCH($W$1,Data!$B$1:$AY$1,),)</f>
        <v>0.10849549497925295</v>
      </c>
      <c r="X98" s="21">
        <f>(VLOOKUP(B98,Data!$B:$AY,MATCH($X$1,Data!$B$1:$AY$1,),)-VLOOKUP(EDATE(B98,-12),Data!$B:$AY,MATCH($X$1,Data!$B$1:$AY$1,),))/VLOOKUP(EDATE(B98,-12),Data!$B:$AY,MATCH($X$1,Data!$B$1:$AY$1,),)</f>
        <v>1.9474196689386561E-2</v>
      </c>
      <c r="Y98" s="21">
        <f>(VLOOKUP(B98,Data!$B:$AY,MATCH($Y$1,Data!$B$1:$AY$1,),)-VLOOKUP(EDATE(B98,-12),Data!$B:$AY,MATCH($Y$1,Data!$B$1:$AY$1,),))/VLOOKUP(EDATE(B98,-12),Data!$B:$AY,MATCH($Y$1,Data!$B$1:$AY$1,),)</f>
        <v>1.6867453235592633E-2</v>
      </c>
      <c r="Z98" s="21" t="e">
        <f>(VLOOKUP(B98,Data!$B:$AY,MATCH($Z$1,Data!$B$1:$AY$1,),)-VLOOKUP(EDATE(B98,-12),Data!$B:$AY,MATCH($Z$1,Data!$B$1:$AY$1,),))/VLOOKUP(EDATE(B98,-12),Data!$B:$AY,MATCH($Z$1,Data!$B$1:$AY$1,),)</f>
        <v>#N/A</v>
      </c>
      <c r="AA98" s="21" t="e">
        <f>(VLOOKUP(B98,Data!$B:$AY,MATCH($AA$1,Data!$B$1:$AY$1,),)-VLOOKUP(EDATE(B98,-12),Data!$B:$AY,MATCH($AA$1,Data!$B$1:$AY$1,),))/VLOOKUP(EDATE(B98,-12),Data!$B:$AY,MATCH($AA$1,Data!$B$1:$AY$1,),)</f>
        <v>#N/A</v>
      </c>
      <c r="AB98" s="20"/>
    </row>
    <row r="99" spans="2:28" s="3" customFormat="1" x14ac:dyDescent="0.2">
      <c r="B99" s="16">
        <v>43221</v>
      </c>
      <c r="C99" s="21">
        <f>(VLOOKUP(B99,Data!$B:$AY,MATCH($C$1,Data!$B$1:$AY$1,),)-VLOOKUP(EDATE(B99,-12),Data!$B:$AY,MATCH($C$1,Data!$B$1:$AY$1,),))/VLOOKUP(EDATE(B99,-12),Data!$B:$AY,MATCH($C$1,Data!$B$1:$AY$1,),)</f>
        <v>2.8010130210981522E-2</v>
      </c>
      <c r="D99" s="21">
        <f>(VLOOKUP(B99,Data!$B:$AY,MATCH($D$1,Data!$B$1:$AY$1,),)-VLOOKUP(EDATE(B99,-12),Data!$B:$AY,MATCH($D$1,Data!$B$1:$AY$1,),))/VLOOKUP(EDATE(B99,-12),Data!$B:$AY,MATCH($D$1,Data!$B$1:$AY$1,),)</f>
        <v>1.5488867376573172E-2</v>
      </c>
      <c r="E99" s="21">
        <f>(VLOOKUP(B99,Data!$B:$AY,MATCH($E$1,Data!$B$1:$AY$1,),)-VLOOKUP(EDATE(B99,-12),Data!$B:$AY,MATCH($E$1,Data!$B$1:$AY$1,),))/VLOOKUP(EDATE(B99,-12),Data!$B:$AY,MATCH($E$1,Data!$B$1:$AY$1,),)</f>
        <v>1.9513630123553588E-2</v>
      </c>
      <c r="F99" s="21">
        <f>(VLOOKUP(B99,Data!$B:$AY,MATCH($F$1,Data!$B$1:$AY$1,),)-VLOOKUP(EDATE(B99,-12),Data!$B:$AY,MATCH($F$1,Data!$B$1:$AY$1,),))/VLOOKUP(EDATE(B99,-12),Data!$B:$AY,MATCH($F$1,Data!$B$1:$AY$1,),)</f>
        <v>5.9760956175298231E-3</v>
      </c>
      <c r="G99" s="21">
        <f>(VLOOKUP(B99,Data!$B:$AY,MATCH($G$1,Data!$B$1:$AY$1,),)-VLOOKUP(EDATE(B99,-12),Data!$B:$AY,MATCH($G$1,Data!$B$1:$AY$1,),))/VLOOKUP(EDATE(B99,-12),Data!$B:$AY,MATCH($G$1,Data!$B$1:$AY$1,),)</f>
        <v>2.0628185862871667E-2</v>
      </c>
      <c r="H99" s="21">
        <f>(VLOOKUP(B99,Data!$B:$AY,MATCH($H$1,Data!$B$1:$AY$1,),)-VLOOKUP(EDATE(B99,-12),Data!$B:$AY,MATCH($H$1,Data!$B$1:$AY$1,),))/VLOOKUP(EDATE(B99,-12),Data!$B:$AY,MATCH($H$1,Data!$B$1:$AY$1,),)</f>
        <v>2.0234922515052781E-2</v>
      </c>
      <c r="I99" s="21">
        <f>(VLOOKUP(B99,Data!$B:$AY,MATCH($I$1,Data!$B$1:$AY$1,),)-VLOOKUP(EDATE(B99,-12),Data!$B:$AY,MATCH($I$1,Data!$B$1:$AY$1,),))/VLOOKUP(EDATE(B99,-12),Data!$B:$AY,MATCH($I$1,Data!$B$1:$AY$1,),)</f>
        <v>2.3188405797101505E-2</v>
      </c>
      <c r="J99" s="21">
        <f>(VLOOKUP(B99,Data!$B:$AY,MATCH($J$1,Data!$B$1:$AY$1,),)-VLOOKUP(EDATE(B99,-12),Data!$B:$AY,MATCH($J$1,Data!$B$1:$AY$1,),))/VLOOKUP(EDATE(B99,-12),Data!$B:$AY,MATCH($J$1,Data!$B$1:$AY$1,),)</f>
        <v>9.881422924901186E-3</v>
      </c>
      <c r="K99" s="21">
        <f>(VLOOKUP(B99,Data!$B:$AY,MATCH($K$1,Data!$B$1:$AY$1,),)-VLOOKUP(EDATE(B99,-12),Data!$B:$AY,MATCH($K$1,Data!$B$1:$AY$1,),))/VLOOKUP(EDATE(B99,-12),Data!$B:$AY,MATCH($K$1,Data!$B$1:$AY$1,),)</f>
        <v>2.0516815105059441E-2</v>
      </c>
      <c r="L99" s="21">
        <f>(VLOOKUP(B99,Data!$B:$AY,MATCH($L$1,Data!$B$1:$AY$1,),)-VLOOKUP(EDATE(B99,-12),Data!$B:$AY,MATCH($L$1,Data!$B$1:$AY$1,),))/VLOOKUP(EDATE(B99,-12),Data!$B:$AY,MATCH($L$1,Data!$B$1:$AY$1,),)</f>
        <v>1.9021434783582668E-2</v>
      </c>
      <c r="M99" s="21">
        <f>(VLOOKUP(B99,Data!$B:$AY,MATCH($M$1,Data!$B$1:$AY$1,),)-VLOOKUP(EDATE(B99,-12),Data!$B:$AY,MATCH($M$1,Data!$B$1:$AY$1,),))/VLOOKUP(EDATE(B99,-12),Data!$B:$AY,MATCH($M$1,Data!$B$1:$AY$1,),)</f>
        <v>4.506286852206226E-2</v>
      </c>
      <c r="N99" s="21" t="e">
        <f>(VLOOKUP(B99,Data!$B:$AY,MATCH($N$1,Data!$B$1:$AY$1,),)-VLOOKUP(EDATE(B99,-12),Data!$B:$AY,MATCH($N$1,Data!$B$1:$AY$1,),))/VLOOKUP(EDATE(B99,-12),Data!$B:$AY,MATCH($N$1,Data!$B$1:$AY$1,),)</f>
        <v>#DIV/0!</v>
      </c>
      <c r="O99" s="21">
        <f>(VLOOKUP(B99,Data!$B:$AY,MATCH($O$1,Data!$B$1:$AY$1,),)-VLOOKUP(EDATE(B99,-12),Data!$B:$AY,MATCH($O$1,Data!$B$1:$AY$1,),))/VLOOKUP(EDATE(B99,-12),Data!$B:$AY,MATCH($O$1,Data!$B$1:$AY$1,),)</f>
        <v>3.9568906826551002E-2</v>
      </c>
      <c r="P99" s="21">
        <f>(VLOOKUP(B99,Data!$B:$AY,MATCH($P$1,Data!$B$1:$AY$1,),)-VLOOKUP(EDATE(B99,-12),Data!$B:$AY,MATCH($P$1,Data!$B$1:$AY$1,),))/VLOOKUP(EDATE(B99,-12),Data!$B:$AY,MATCH($P$1,Data!$B$1:$AY$1,),)</f>
        <v>2.2222394641719358E-2</v>
      </c>
      <c r="Q99" s="21" t="e">
        <f>(VLOOKUP(B99,Data!$B:$AY,MATCH($Q$1,Data!$B$1:$AY$1,),)-VLOOKUP(EDATE(B99,-12),Data!$B:$AY,MATCH($Q$1,Data!$B$1:$AY$1,),))/VLOOKUP(EDATE(B99,-12),Data!$B:$AY,MATCH($Q$1,Data!$B$1:$AY$1,),)</f>
        <v>#N/A</v>
      </c>
      <c r="R99" s="21">
        <f>(VLOOKUP(B99,Data!$B:$AY,MATCH($R$1,Data!$B$1:$AY$1,),)-VLOOKUP(EDATE(B99,-12),Data!$B:$AY,MATCH($R$1,Data!$B$1:$AY$1,),))/VLOOKUP(EDATE(B99,-12),Data!$B:$AY,MATCH($R$1,Data!$B$1:$AY$1,),)</f>
        <v>9.9922929399744315E-3</v>
      </c>
      <c r="S99" s="21">
        <f>(VLOOKUP(B99,Data!$B:$AY,MATCH($S$1,Data!$B$1:$AY$1,),)-VLOOKUP(EDATE(B99,-12),Data!$B:$AY,MATCH($S$1,Data!$B$1:$AY$1,),))/VLOOKUP(EDATE(B99,-12),Data!$B:$AY,MATCH($S$1,Data!$B$1:$AY$1,),)</f>
        <v>1.4684430613634204E-2</v>
      </c>
      <c r="T99" s="21">
        <f>(VLOOKUP(B99,Data!$B:$AY,MATCH($T$1,Data!$B$1:$AY$1,),)-VLOOKUP(EDATE(B99,-12),Data!$B:$AY,MATCH($T$1,Data!$B$1:$AY$1,),))/VLOOKUP(EDATE(B99,-12),Data!$B:$AY,MATCH($T$1,Data!$B$1:$AY$1,),)</f>
        <v>2.85504525108344E-2</v>
      </c>
      <c r="U99" s="21">
        <f>(VLOOKUP(B99,Data!$B:$AY,MATCH($U$1,Data!$B$1:$AY$1,),)-VLOOKUP(EDATE(B99,-12),Data!$B:$AY,MATCH($U$1,Data!$B$1:$AY$1,),))/VLOOKUP(EDATE(B99,-12),Data!$B:$AY,MATCH($U$1,Data!$B$1:$AY$1,),)</f>
        <v>6.0578987478285612E-3</v>
      </c>
      <c r="V99" s="21" t="e">
        <f>(VLOOKUP(B99,Data!$B:$AY,MATCH($V$1,Data!$B$1:$AY$1,),)-VLOOKUP(EDATE(B99,-12),Data!$B:$AY,MATCH($V$1,Data!$B$1:$AY$1,),))/VLOOKUP(EDATE(B99,-12),Data!$B:$AY,MATCH($V$1,Data!$B$1:$AY$1,),)</f>
        <v>#DIV/0!</v>
      </c>
      <c r="W99" s="21">
        <f>(VLOOKUP(B99,Data!$B:$AY,MATCH($W$1,Data!$B$1:$AY$1,),)-VLOOKUP(EDATE(B99,-12),Data!$B:$AY,MATCH($W$1,Data!$B$1:$AY$1,),))/VLOOKUP(EDATE(B99,-12),Data!$B:$AY,MATCH($W$1,Data!$B$1:$AY$1,),)</f>
        <v>0.1214701352045182</v>
      </c>
      <c r="X99" s="21">
        <f>(VLOOKUP(B99,Data!$B:$AY,MATCH($X$1,Data!$B$1:$AY$1,),)-VLOOKUP(EDATE(B99,-12),Data!$B:$AY,MATCH($X$1,Data!$B$1:$AY$1,),))/VLOOKUP(EDATE(B99,-12),Data!$B:$AY,MATCH($X$1,Data!$B$1:$AY$1,),)</f>
        <v>2.2351797862001914E-2</v>
      </c>
      <c r="Y99" s="21">
        <f>(VLOOKUP(B99,Data!$B:$AY,MATCH($Y$1,Data!$B$1:$AY$1,),)-VLOOKUP(EDATE(B99,-12),Data!$B:$AY,MATCH($Y$1,Data!$B$1:$AY$1,),))/VLOOKUP(EDATE(B99,-12),Data!$B:$AY,MATCH($Y$1,Data!$B$1:$AY$1,),)</f>
        <v>1.9277089412105947E-2</v>
      </c>
      <c r="Z99" s="21" t="e">
        <f>(VLOOKUP(B99,Data!$B:$AY,MATCH($Z$1,Data!$B$1:$AY$1,),)-VLOOKUP(EDATE(B99,-12),Data!$B:$AY,MATCH($Z$1,Data!$B$1:$AY$1,),))/VLOOKUP(EDATE(B99,-12),Data!$B:$AY,MATCH($Z$1,Data!$B$1:$AY$1,),)</f>
        <v>#N/A</v>
      </c>
      <c r="AA99" s="21" t="e">
        <f>(VLOOKUP(B99,Data!$B:$AY,MATCH($AA$1,Data!$B$1:$AY$1,),)-VLOOKUP(EDATE(B99,-12),Data!$B:$AY,MATCH($AA$1,Data!$B$1:$AY$1,),))/VLOOKUP(EDATE(B99,-12),Data!$B:$AY,MATCH($AA$1,Data!$B$1:$AY$1,),)</f>
        <v>#N/A</v>
      </c>
    </row>
    <row r="100" spans="2:28" s="3" customFormat="1" x14ac:dyDescent="0.2">
      <c r="B100" s="16">
        <v>43252</v>
      </c>
      <c r="C100" s="21">
        <f>(VLOOKUP(B100,Data!$B:$AY,MATCH($C$1,Data!$B$1:$AY$1,),)-VLOOKUP(EDATE(B100,-12),Data!$B:$AY,MATCH($C$1,Data!$B$1:$AY$1,),))/VLOOKUP(EDATE(B100,-12),Data!$B:$AY,MATCH($C$1,Data!$B$1:$AY$1,),)</f>
        <v>2.87152960209619E-2</v>
      </c>
      <c r="D100" s="21">
        <f>(VLOOKUP(B100,Data!$B:$AY,MATCH($D$1,Data!$B$1:$AY$1,),)-VLOOKUP(EDATE(B100,-12),Data!$B:$AY,MATCH($D$1,Data!$B$1:$AY$1,),))/VLOOKUP(EDATE(B100,-12),Data!$B:$AY,MATCH($D$1,Data!$B$1:$AY$1,),)</f>
        <v>1.7458777885548123E-2</v>
      </c>
      <c r="E100" s="21">
        <f>(VLOOKUP(B100,Data!$B:$AY,MATCH($E$1,Data!$B$1:$AY$1,),)-VLOOKUP(EDATE(B100,-12),Data!$B:$AY,MATCH($E$1,Data!$B$1:$AY$1,),))/VLOOKUP(EDATE(B100,-12),Data!$B:$AY,MATCH($E$1,Data!$B$1:$AY$1,),)</f>
        <v>1.9690438871473405E-2</v>
      </c>
      <c r="F100" s="21">
        <f>(VLOOKUP(B100,Data!$B:$AY,MATCH($F$1,Data!$B$1:$AY$1,),)-VLOOKUP(EDATE(B100,-12),Data!$B:$AY,MATCH($F$1,Data!$B$1:$AY$1,),))/VLOOKUP(EDATE(B100,-12),Data!$B:$AY,MATCH($F$1,Data!$B$1:$AY$1,),)</f>
        <v>6.9860279441118049E-3</v>
      </c>
      <c r="G100" s="21">
        <f>(VLOOKUP(B100,Data!$B:$AY,MATCH($G$1,Data!$B$1:$AY$1,),)-VLOOKUP(EDATE(B100,-12),Data!$B:$AY,MATCH($G$1,Data!$B$1:$AY$1,),))/VLOOKUP(EDATE(B100,-12),Data!$B:$AY,MATCH($G$1,Data!$B$1:$AY$1,),)</f>
        <v>1.8609046485893645E-2</v>
      </c>
      <c r="H100" s="21">
        <f>(VLOOKUP(B100,Data!$B:$AY,MATCH($H$1,Data!$B$1:$AY$1,),)-VLOOKUP(EDATE(B100,-12),Data!$B:$AY,MATCH($H$1,Data!$B$1:$AY$1,),))/VLOOKUP(EDATE(B100,-12),Data!$B:$AY,MATCH($H$1,Data!$B$1:$AY$1,),)</f>
        <v>2.0232925384919182E-2</v>
      </c>
      <c r="I100" s="21">
        <f>(VLOOKUP(B100,Data!$B:$AY,MATCH($I$1,Data!$B$1:$AY$1,),)-VLOOKUP(EDATE(B100,-12),Data!$B:$AY,MATCH($I$1,Data!$B$1:$AY$1,),))/VLOOKUP(EDATE(B100,-12),Data!$B:$AY,MATCH($I$1,Data!$B$1:$AY$1,),)</f>
        <v>2.3188405797101505E-2</v>
      </c>
      <c r="J100" s="21">
        <f>(VLOOKUP(B100,Data!$B:$AY,MATCH($J$1,Data!$B$1:$AY$1,),)-VLOOKUP(EDATE(B100,-12),Data!$B:$AY,MATCH($J$1,Data!$B$1:$AY$1,),))/VLOOKUP(EDATE(B100,-12),Data!$B:$AY,MATCH($J$1,Data!$B$1:$AY$1,),)</f>
        <v>1.2858555885262231E-2</v>
      </c>
      <c r="K100" s="21">
        <f>(VLOOKUP(B100,Data!$B:$AY,MATCH($K$1,Data!$B$1:$AY$1,),)-VLOOKUP(EDATE(B100,-12),Data!$B:$AY,MATCH($K$1,Data!$B$1:$AY$1,),))/VLOOKUP(EDATE(B100,-12),Data!$B:$AY,MATCH($K$1,Data!$B$1:$AY$1,),)</f>
        <v>2.2742669973548853E-2</v>
      </c>
      <c r="L100" s="21">
        <f>(VLOOKUP(B100,Data!$B:$AY,MATCH($L$1,Data!$B$1:$AY$1,),)-VLOOKUP(EDATE(B100,-12),Data!$B:$AY,MATCH($L$1,Data!$B$1:$AY$1,),))/VLOOKUP(EDATE(B100,-12),Data!$B:$AY,MATCH($L$1,Data!$B$1:$AY$1,),)</f>
        <v>2.0653552280581477E-2</v>
      </c>
      <c r="M100" s="21">
        <f>(VLOOKUP(B100,Data!$B:$AY,MATCH($M$1,Data!$B$1:$AY$1,),)-VLOOKUP(EDATE(B100,-12),Data!$B:$AY,MATCH($M$1,Data!$B$1:$AY$1,),))/VLOOKUP(EDATE(B100,-12),Data!$B:$AY,MATCH($M$1,Data!$B$1:$AY$1,),)</f>
        <v>4.6468245360605898E-2</v>
      </c>
      <c r="N100" s="21" t="e">
        <f>(VLOOKUP(B100,Data!$B:$AY,MATCH($N$1,Data!$B$1:$AY$1,),)-VLOOKUP(EDATE(B100,-12),Data!$B:$AY,MATCH($N$1,Data!$B$1:$AY$1,),))/VLOOKUP(EDATE(B100,-12),Data!$B:$AY,MATCH($N$1,Data!$B$1:$AY$1,),)</f>
        <v>#DIV/0!</v>
      </c>
      <c r="O100" s="21">
        <f>(VLOOKUP(B100,Data!$B:$AY,MATCH($O$1,Data!$B$1:$AY$1,),)-VLOOKUP(EDATE(B100,-12),Data!$B:$AY,MATCH($O$1,Data!$B$1:$AY$1,),))/VLOOKUP(EDATE(B100,-12),Data!$B:$AY,MATCH($O$1,Data!$B$1:$AY$1,),)</f>
        <v>3.9285324161342693E-2</v>
      </c>
      <c r="P100" s="21">
        <f>(VLOOKUP(B100,Data!$B:$AY,MATCH($P$1,Data!$B$1:$AY$1,),)-VLOOKUP(EDATE(B100,-12),Data!$B:$AY,MATCH($P$1,Data!$B$1:$AY$1,),))/VLOOKUP(EDATE(B100,-12),Data!$B:$AY,MATCH($P$1,Data!$B$1:$AY$1,),)</f>
        <v>2.4539764162801254E-2</v>
      </c>
      <c r="Q100" s="21" t="e">
        <f>(VLOOKUP(B100,Data!$B:$AY,MATCH($Q$1,Data!$B$1:$AY$1,),)-VLOOKUP(EDATE(B100,-12),Data!$B:$AY,MATCH($Q$1,Data!$B$1:$AY$1,),))/VLOOKUP(EDATE(B100,-12),Data!$B:$AY,MATCH($Q$1,Data!$B$1:$AY$1,),)</f>
        <v>#N/A</v>
      </c>
      <c r="R100" s="21">
        <f>(VLOOKUP(B100,Data!$B:$AY,MATCH($R$1,Data!$B$1:$AY$1,),)-VLOOKUP(EDATE(B100,-12),Data!$B:$AY,MATCH($R$1,Data!$B$1:$AY$1,),))/VLOOKUP(EDATE(B100,-12),Data!$B:$AY,MATCH($R$1,Data!$B$1:$AY$1,),)</f>
        <v>1.1465289528973827E-2</v>
      </c>
      <c r="S100" s="21">
        <f>(VLOOKUP(B100,Data!$B:$AY,MATCH($S$1,Data!$B$1:$AY$1,),)-VLOOKUP(EDATE(B100,-12),Data!$B:$AY,MATCH($S$1,Data!$B$1:$AY$1,),))/VLOOKUP(EDATE(B100,-12),Data!$B:$AY,MATCH($S$1,Data!$B$1:$AY$1,),)</f>
        <v>1.4813371016470091E-2</v>
      </c>
      <c r="T100" s="21">
        <f>(VLOOKUP(B100,Data!$B:$AY,MATCH($T$1,Data!$B$1:$AY$1,),)-VLOOKUP(EDATE(B100,-12),Data!$B:$AY,MATCH($T$1,Data!$B$1:$AY$1,),))/VLOOKUP(EDATE(B100,-12),Data!$B:$AY,MATCH($T$1,Data!$B$1:$AY$1,),)</f>
        <v>4.3911358477270922E-2</v>
      </c>
      <c r="U100" s="21">
        <f>(VLOOKUP(B100,Data!$B:$AY,MATCH($U$1,Data!$B$1:$AY$1,),)-VLOOKUP(EDATE(B100,-12),Data!$B:$AY,MATCH($U$1,Data!$B$1:$AY$1,),))/VLOOKUP(EDATE(B100,-12),Data!$B:$AY,MATCH($U$1,Data!$B$1:$AY$1,),)</f>
        <v>9.7154383120092429E-3</v>
      </c>
      <c r="V100" s="21" t="e">
        <f>(VLOOKUP(B100,Data!$B:$AY,MATCH($V$1,Data!$B$1:$AY$1,),)-VLOOKUP(EDATE(B100,-12),Data!$B:$AY,MATCH($V$1,Data!$B$1:$AY$1,),))/VLOOKUP(EDATE(B100,-12),Data!$B:$AY,MATCH($V$1,Data!$B$1:$AY$1,),)</f>
        <v>#DIV/0!</v>
      </c>
      <c r="W100" s="21">
        <f>(VLOOKUP(B100,Data!$B:$AY,MATCH($W$1,Data!$B$1:$AY$1,),)-VLOOKUP(EDATE(B100,-12),Data!$B:$AY,MATCH($W$1,Data!$B$1:$AY$1,),))/VLOOKUP(EDATE(B100,-12),Data!$B:$AY,MATCH($W$1,Data!$B$1:$AY$1,),)</f>
        <v>0.1538509421788764</v>
      </c>
      <c r="X100" s="21">
        <f>(VLOOKUP(B100,Data!$B:$AY,MATCH($X$1,Data!$B$1:$AY$1,),)-VLOOKUP(EDATE(B100,-12),Data!$B:$AY,MATCH($X$1,Data!$B$1:$AY$1,),))/VLOOKUP(EDATE(B100,-12),Data!$B:$AY,MATCH($X$1,Data!$B$1:$AY$1,),)</f>
        <v>2.6239067055393472E-2</v>
      </c>
      <c r="Y100" s="21">
        <f>(VLOOKUP(B100,Data!$B:$AY,MATCH($Y$1,Data!$B$1:$AY$1,),)-VLOOKUP(EDATE(B100,-12),Data!$B:$AY,MATCH($Y$1,Data!$B$1:$AY$1,),))/VLOOKUP(EDATE(B100,-12),Data!$B:$AY,MATCH($Y$1,Data!$B$1:$AY$1,),)</f>
        <v>2.1721619722416329E-2</v>
      </c>
      <c r="Z100" s="21" t="e">
        <f>(VLOOKUP(B100,Data!$B:$AY,MATCH($Z$1,Data!$B$1:$AY$1,),)-VLOOKUP(EDATE(B100,-12),Data!$B:$AY,MATCH($Z$1,Data!$B$1:$AY$1,),))/VLOOKUP(EDATE(B100,-12),Data!$B:$AY,MATCH($Z$1,Data!$B$1:$AY$1,),)</f>
        <v>#N/A</v>
      </c>
      <c r="AA100" s="21" t="e">
        <f>(VLOOKUP(B100,Data!$B:$AY,MATCH($AA$1,Data!$B$1:$AY$1,),)-VLOOKUP(EDATE(B100,-12),Data!$B:$AY,MATCH($AA$1,Data!$B$1:$AY$1,),))/VLOOKUP(EDATE(B100,-12),Data!$B:$AY,MATCH($AA$1,Data!$B$1:$AY$1,),)</f>
        <v>#N/A</v>
      </c>
    </row>
    <row r="101" spans="2:28" s="3" customFormat="1" x14ac:dyDescent="0.2">
      <c r="B101" s="16">
        <v>43282</v>
      </c>
      <c r="C101" s="21">
        <f>(VLOOKUP(B101,Data!$B:$AY,MATCH($C$1,Data!$B$1:$AY$1,),)-VLOOKUP(EDATE(B101,-12),Data!$B:$AY,MATCH($C$1,Data!$B$1:$AY$1,),))/VLOOKUP(EDATE(B101,-12),Data!$B:$AY,MATCH($C$1,Data!$B$1:$AY$1,),)</f>
        <v>2.9495206133360694E-2</v>
      </c>
      <c r="D101" s="21">
        <f>(VLOOKUP(B101,Data!$B:$AY,MATCH($D$1,Data!$B$1:$AY$1,),)-VLOOKUP(EDATE(B101,-12),Data!$B:$AY,MATCH($D$1,Data!$B$1:$AY$1,),))/VLOOKUP(EDATE(B101,-12),Data!$B:$AY,MATCH($D$1,Data!$B$1:$AY$1,),)</f>
        <v>2.1359223300970901E-2</v>
      </c>
      <c r="E101" s="21">
        <f>(VLOOKUP(B101,Data!$B:$AY,MATCH($E$1,Data!$B$1:$AY$1,),)-VLOOKUP(EDATE(B101,-12),Data!$B:$AY,MATCH($E$1,Data!$B$1:$AY$1,),))/VLOOKUP(EDATE(B101,-12),Data!$B:$AY,MATCH($E$1,Data!$B$1:$AY$1,),)</f>
        <v>2.1944499114347468E-2</v>
      </c>
      <c r="F101" s="21">
        <f>(VLOOKUP(B101,Data!$B:$AY,MATCH($F$1,Data!$B$1:$AY$1,),)-VLOOKUP(EDATE(B101,-12),Data!$B:$AY,MATCH($F$1,Data!$B$1:$AY$1,),))/VLOOKUP(EDATE(B101,-12),Data!$B:$AY,MATCH($F$1,Data!$B$1:$AY$1,),)</f>
        <v>8.9910089910090491E-3</v>
      </c>
      <c r="G101" s="21">
        <f>(VLOOKUP(B101,Data!$B:$AY,MATCH($G$1,Data!$B$1:$AY$1,),)-VLOOKUP(EDATE(B101,-12),Data!$B:$AY,MATCH($G$1,Data!$B$1:$AY$1,),))/VLOOKUP(EDATE(B101,-12),Data!$B:$AY,MATCH($G$1,Data!$B$1:$AY$1,),)</f>
        <v>1.8536419777773674E-2</v>
      </c>
      <c r="H101" s="21">
        <f>(VLOOKUP(B101,Data!$B:$AY,MATCH($H$1,Data!$B$1:$AY$1,),)-VLOOKUP(EDATE(B101,-12),Data!$B:$AY,MATCH($H$1,Data!$B$1:$AY$1,),))/VLOOKUP(EDATE(B101,-12),Data!$B:$AY,MATCH($H$1,Data!$B$1:$AY$1,),)</f>
        <v>2.2878082598791743E-2</v>
      </c>
      <c r="I101" s="21">
        <f>(VLOOKUP(B101,Data!$B:$AY,MATCH($I$1,Data!$B$1:$AY$1,),)-VLOOKUP(EDATE(B101,-12),Data!$B:$AY,MATCH($I$1,Data!$B$1:$AY$1,),))/VLOOKUP(EDATE(B101,-12),Data!$B:$AY,MATCH($I$1,Data!$B$1:$AY$1,),)</f>
        <v>2.3188405797101505E-2</v>
      </c>
      <c r="J101" s="21">
        <f>(VLOOKUP(B101,Data!$B:$AY,MATCH($J$1,Data!$B$1:$AY$1,),)-VLOOKUP(EDATE(B101,-12),Data!$B:$AY,MATCH($J$1,Data!$B$1:$AY$1,),))/VLOOKUP(EDATE(B101,-12),Data!$B:$AY,MATCH($J$1,Data!$B$1:$AY$1,),)</f>
        <v>1.4822134387351778E-2</v>
      </c>
      <c r="K101" s="21">
        <f>(VLOOKUP(B101,Data!$B:$AY,MATCH($K$1,Data!$B$1:$AY$1,),)-VLOOKUP(EDATE(B101,-12),Data!$B:$AY,MATCH($K$1,Data!$B$1:$AY$1,),))/VLOOKUP(EDATE(B101,-12),Data!$B:$AY,MATCH($K$1,Data!$B$1:$AY$1,),)</f>
        <v>2.2466622374082555E-2</v>
      </c>
      <c r="L101" s="21">
        <f>(VLOOKUP(B101,Data!$B:$AY,MATCH($L$1,Data!$B$1:$AY$1,),)-VLOOKUP(EDATE(B101,-12),Data!$B:$AY,MATCH($L$1,Data!$B$1:$AY$1,),))/VLOOKUP(EDATE(B101,-12),Data!$B:$AY,MATCH($L$1,Data!$B$1:$AY$1,),)</f>
        <v>2.0513798484431963E-2</v>
      </c>
      <c r="M101" s="21">
        <f>(VLOOKUP(B101,Data!$B:$AY,MATCH($M$1,Data!$B$1:$AY$1,),)-VLOOKUP(EDATE(B101,-12),Data!$B:$AY,MATCH($M$1,Data!$B$1:$AY$1,),))/VLOOKUP(EDATE(B101,-12),Data!$B:$AY,MATCH($M$1,Data!$B$1:$AY$1,),)</f>
        <v>4.8113899816272905E-2</v>
      </c>
      <c r="N101" s="21" t="e">
        <f>(VLOOKUP(B101,Data!$B:$AY,MATCH($N$1,Data!$B$1:$AY$1,),)-VLOOKUP(EDATE(B101,-12),Data!$B:$AY,MATCH($N$1,Data!$B$1:$AY$1,),))/VLOOKUP(EDATE(B101,-12),Data!$B:$AY,MATCH($N$1,Data!$B$1:$AY$1,),)</f>
        <v>#DIV/0!</v>
      </c>
      <c r="O101" s="21">
        <f>(VLOOKUP(B101,Data!$B:$AY,MATCH($O$1,Data!$B$1:$AY$1,),)-VLOOKUP(EDATE(B101,-12),Data!$B:$AY,MATCH($O$1,Data!$B$1:$AY$1,),))/VLOOKUP(EDATE(B101,-12),Data!$B:$AY,MATCH($O$1,Data!$B$1:$AY$1,),)</f>
        <v>5.6140354095617989E-2</v>
      </c>
      <c r="P101" s="21">
        <f>(VLOOKUP(B101,Data!$B:$AY,MATCH($P$1,Data!$B$1:$AY$1,),)-VLOOKUP(EDATE(B101,-12),Data!$B:$AY,MATCH($P$1,Data!$B$1:$AY$1,),))/VLOOKUP(EDATE(B101,-12),Data!$B:$AY,MATCH($P$1,Data!$B$1:$AY$1,),)</f>
        <v>2.9908171218311033E-2</v>
      </c>
      <c r="Q101" s="21" t="e">
        <f>(VLOOKUP(B101,Data!$B:$AY,MATCH($Q$1,Data!$B$1:$AY$1,),)-VLOOKUP(EDATE(B101,-12),Data!$B:$AY,MATCH($Q$1,Data!$B$1:$AY$1,),))/VLOOKUP(EDATE(B101,-12),Data!$B:$AY,MATCH($Q$1,Data!$B$1:$AY$1,),)</f>
        <v>#N/A</v>
      </c>
      <c r="R101" s="21">
        <f>(VLOOKUP(B101,Data!$B:$AY,MATCH($R$1,Data!$B$1:$AY$1,),)-VLOOKUP(EDATE(B101,-12),Data!$B:$AY,MATCH($R$1,Data!$B$1:$AY$1,),))/VLOOKUP(EDATE(B101,-12),Data!$B:$AY,MATCH($R$1,Data!$B$1:$AY$1,),)</f>
        <v>1.2303469578421154E-2</v>
      </c>
      <c r="S101" s="21">
        <f>(VLOOKUP(B101,Data!$B:$AY,MATCH($S$1,Data!$B$1:$AY$1,),)-VLOOKUP(EDATE(B101,-12),Data!$B:$AY,MATCH($S$1,Data!$B$1:$AY$1,),))/VLOOKUP(EDATE(B101,-12),Data!$B:$AY,MATCH($S$1,Data!$B$1:$AY$1,),)</f>
        <v>1.1188947266005115E-2</v>
      </c>
      <c r="T101" s="21">
        <f>(VLOOKUP(B101,Data!$B:$AY,MATCH($T$1,Data!$B$1:$AY$1,),)-VLOOKUP(EDATE(B101,-12),Data!$B:$AY,MATCH($T$1,Data!$B$1:$AY$1,),))/VLOOKUP(EDATE(B101,-12),Data!$B:$AY,MATCH($T$1,Data!$B$1:$AY$1,),)</f>
        <v>4.4848140789100183E-2</v>
      </c>
      <c r="U101" s="21">
        <f>(VLOOKUP(B101,Data!$B:$AY,MATCH($U$1,Data!$B$1:$AY$1,),)-VLOOKUP(EDATE(B101,-12),Data!$B:$AY,MATCH($U$1,Data!$B$1:$AY$1,),))/VLOOKUP(EDATE(B101,-12),Data!$B:$AY,MATCH($U$1,Data!$B$1:$AY$1,),)</f>
        <v>8.5192380416502112E-3</v>
      </c>
      <c r="V101" s="21" t="e">
        <f>(VLOOKUP(B101,Data!$B:$AY,MATCH($V$1,Data!$B$1:$AY$1,),)-VLOOKUP(EDATE(B101,-12),Data!$B:$AY,MATCH($V$1,Data!$B$1:$AY$1,),))/VLOOKUP(EDATE(B101,-12),Data!$B:$AY,MATCH($V$1,Data!$B$1:$AY$1,),)</f>
        <v>#DIV/0!</v>
      </c>
      <c r="W101" s="21">
        <f>(VLOOKUP(B101,Data!$B:$AY,MATCH($W$1,Data!$B$1:$AY$1,),)-VLOOKUP(EDATE(B101,-12),Data!$B:$AY,MATCH($W$1,Data!$B$1:$AY$1,),))/VLOOKUP(EDATE(B101,-12),Data!$B:$AY,MATCH($W$1,Data!$B$1:$AY$1,),)</f>
        <v>0.15849034733468165</v>
      </c>
      <c r="X101" s="21">
        <f>(VLOOKUP(B101,Data!$B:$AY,MATCH($X$1,Data!$B$1:$AY$1,),)-VLOOKUP(EDATE(B101,-12),Data!$B:$AY,MATCH($X$1,Data!$B$1:$AY$1,),))/VLOOKUP(EDATE(B101,-12),Data!$B:$AY,MATCH($X$1,Data!$B$1:$AY$1,),)</f>
        <v>2.3210831721469937E-2</v>
      </c>
      <c r="Y101" s="21">
        <f>(VLOOKUP(B101,Data!$B:$AY,MATCH($Y$1,Data!$B$1:$AY$1,),)-VLOOKUP(EDATE(B101,-12),Data!$B:$AY,MATCH($Y$1,Data!$B$1:$AY$1,),))/VLOOKUP(EDATE(B101,-12),Data!$B:$AY,MATCH($Y$1,Data!$B$1:$AY$1,),)</f>
        <v>2.095082535204295E-2</v>
      </c>
      <c r="Z101" s="21" t="e">
        <f>(VLOOKUP(B101,Data!$B:$AY,MATCH($Z$1,Data!$B$1:$AY$1,),)-VLOOKUP(EDATE(B101,-12),Data!$B:$AY,MATCH($Z$1,Data!$B$1:$AY$1,),))/VLOOKUP(EDATE(B101,-12),Data!$B:$AY,MATCH($Z$1,Data!$B$1:$AY$1,),)</f>
        <v>#N/A</v>
      </c>
      <c r="AA101" s="21" t="e">
        <f>(VLOOKUP(B101,Data!$B:$AY,MATCH($AA$1,Data!$B$1:$AY$1,),)-VLOOKUP(EDATE(B101,-12),Data!$B:$AY,MATCH($AA$1,Data!$B$1:$AY$1,),))/VLOOKUP(EDATE(B101,-12),Data!$B:$AY,MATCH($AA$1,Data!$B$1:$AY$1,),)</f>
        <v>#N/A</v>
      </c>
    </row>
    <row r="102" spans="2:28" s="3" customFormat="1" x14ac:dyDescent="0.2">
      <c r="B102" s="16">
        <v>43313</v>
      </c>
      <c r="C102" s="21">
        <f>(VLOOKUP(B102,Data!$B:$AY,MATCH($C$1,Data!$B$1:$AY$1,),)-VLOOKUP(EDATE(B102,-12),Data!$B:$AY,MATCH($C$1,Data!$B$1:$AY$1,),))/VLOOKUP(EDATE(B102,-12),Data!$B:$AY,MATCH($C$1,Data!$B$1:$AY$1,),)</f>
        <v>2.6991777933738779E-2</v>
      </c>
      <c r="D102" s="21">
        <f>(VLOOKUP(B102,Data!$B:$AY,MATCH($D$1,Data!$B$1:$AY$1,),)-VLOOKUP(EDATE(B102,-12),Data!$B:$AY,MATCH($D$1,Data!$B$1:$AY$1,),))/VLOOKUP(EDATE(B102,-12),Data!$B:$AY,MATCH($D$1,Data!$B$1:$AY$1,),)</f>
        <v>2.3188405797101505E-2</v>
      </c>
      <c r="E102" s="21">
        <f>(VLOOKUP(B102,Data!$B:$AY,MATCH($E$1,Data!$B$1:$AY$1,),)-VLOOKUP(EDATE(B102,-12),Data!$B:$AY,MATCH($E$1,Data!$B$1:$AY$1,),))/VLOOKUP(EDATE(B102,-12),Data!$B:$AY,MATCH($E$1,Data!$B$1:$AY$1,),)</f>
        <v>2.080675238001771E-2</v>
      </c>
      <c r="F102" s="21">
        <f>(VLOOKUP(B102,Data!$B:$AY,MATCH($F$1,Data!$B$1:$AY$1,),)-VLOOKUP(EDATE(B102,-12),Data!$B:$AY,MATCH($F$1,Data!$B$1:$AY$1,),))/VLOOKUP(EDATE(B102,-12),Data!$B:$AY,MATCH($F$1,Data!$B$1:$AY$1,),)</f>
        <v>1.2961116650049823E-2</v>
      </c>
      <c r="G102" s="21">
        <f>(VLOOKUP(B102,Data!$B:$AY,MATCH($G$1,Data!$B$1:$AY$1,),)-VLOOKUP(EDATE(B102,-12),Data!$B:$AY,MATCH($G$1,Data!$B$1:$AY$1,),))/VLOOKUP(EDATE(B102,-12),Data!$B:$AY,MATCH($G$1,Data!$B$1:$AY$1,),)</f>
        <v>1.8518356102442981E-2</v>
      </c>
      <c r="H102" s="21">
        <f>(VLOOKUP(B102,Data!$B:$AY,MATCH($H$1,Data!$B$1:$AY$1,),)-VLOOKUP(EDATE(B102,-12),Data!$B:$AY,MATCH($H$1,Data!$B$1:$AY$1,),))/VLOOKUP(EDATE(B102,-12),Data!$B:$AY,MATCH($H$1,Data!$B$1:$AY$1,),)</f>
        <v>2.2563799389102437E-2</v>
      </c>
      <c r="I102" s="21">
        <f>(VLOOKUP(B102,Data!$B:$AY,MATCH($I$1,Data!$B$1:$AY$1,),)-VLOOKUP(EDATE(B102,-12),Data!$B:$AY,MATCH($I$1,Data!$B$1:$AY$1,),))/VLOOKUP(EDATE(B102,-12),Data!$B:$AY,MATCH($I$1,Data!$B$1:$AY$1,),)</f>
        <v>2.403846153846154E-2</v>
      </c>
      <c r="J102" s="21">
        <f>(VLOOKUP(B102,Data!$B:$AY,MATCH($J$1,Data!$B$1:$AY$1,),)-VLOOKUP(EDATE(B102,-12),Data!$B:$AY,MATCH($J$1,Data!$B$1:$AY$1,),))/VLOOKUP(EDATE(B102,-12),Data!$B:$AY,MATCH($J$1,Data!$B$1:$AY$1,),)</f>
        <v>1.57635467980295E-2</v>
      </c>
      <c r="K102" s="21">
        <f>(VLOOKUP(B102,Data!$B:$AY,MATCH($K$1,Data!$B$1:$AY$1,),)-VLOOKUP(EDATE(B102,-12),Data!$B:$AY,MATCH($K$1,Data!$B$1:$AY$1,),))/VLOOKUP(EDATE(B102,-12),Data!$B:$AY,MATCH($K$1,Data!$B$1:$AY$1,),)</f>
        <v>2.1890096618357547E-2</v>
      </c>
      <c r="L102" s="21">
        <f>(VLOOKUP(B102,Data!$B:$AY,MATCH($L$1,Data!$B$1:$AY$1,),)-VLOOKUP(EDATE(B102,-12),Data!$B:$AY,MATCH($L$1,Data!$B$1:$AY$1,),))/VLOOKUP(EDATE(B102,-12),Data!$B:$AY,MATCH($L$1,Data!$B$1:$AY$1,),)</f>
        <v>1.9958618710392978E-2</v>
      </c>
      <c r="M102" s="21">
        <f>(VLOOKUP(B102,Data!$B:$AY,MATCH($M$1,Data!$B$1:$AY$1,),)-VLOOKUP(EDATE(B102,-12),Data!$B:$AY,MATCH($M$1,Data!$B$1:$AY$1,),))/VLOOKUP(EDATE(B102,-12),Data!$B:$AY,MATCH($M$1,Data!$B$1:$AY$1,),)</f>
        <v>4.9045847802315946E-2</v>
      </c>
      <c r="N102" s="21" t="e">
        <f>(VLOOKUP(B102,Data!$B:$AY,MATCH($N$1,Data!$B$1:$AY$1,),)-VLOOKUP(EDATE(B102,-12),Data!$B:$AY,MATCH($N$1,Data!$B$1:$AY$1,),))/VLOOKUP(EDATE(B102,-12),Data!$B:$AY,MATCH($N$1,Data!$B$1:$AY$1,),)</f>
        <v>#DIV/0!</v>
      </c>
      <c r="O102" s="21">
        <f>(VLOOKUP(B102,Data!$B:$AY,MATCH($O$1,Data!$B$1:$AY$1,),)-VLOOKUP(EDATE(B102,-12),Data!$B:$AY,MATCH($O$1,Data!$B$1:$AY$1,),))/VLOOKUP(EDATE(B102,-12),Data!$B:$AY,MATCH($O$1,Data!$B$1:$AY$1,),)</f>
        <v>5.6140354095617989E-2</v>
      </c>
      <c r="P102" s="21">
        <f>(VLOOKUP(B102,Data!$B:$AY,MATCH($P$1,Data!$B$1:$AY$1,),)-VLOOKUP(EDATE(B102,-12),Data!$B:$AY,MATCH($P$1,Data!$B$1:$AY$1,),))/VLOOKUP(EDATE(B102,-12),Data!$B:$AY,MATCH($P$1,Data!$B$1:$AY$1,),)</f>
        <v>2.8352877622136865E-2</v>
      </c>
      <c r="Q102" s="21" t="e">
        <f>(VLOOKUP(B102,Data!$B:$AY,MATCH($Q$1,Data!$B$1:$AY$1,),)-VLOOKUP(EDATE(B102,-12),Data!$B:$AY,MATCH($Q$1,Data!$B$1:$AY$1,),))/VLOOKUP(EDATE(B102,-12),Data!$B:$AY,MATCH($Q$1,Data!$B$1:$AY$1,),)</f>
        <v>#N/A</v>
      </c>
      <c r="R102" s="21">
        <f>(VLOOKUP(B102,Data!$B:$AY,MATCH($R$1,Data!$B$1:$AY$1,),)-VLOOKUP(EDATE(B102,-12),Data!$B:$AY,MATCH($R$1,Data!$B$1:$AY$1,),))/VLOOKUP(EDATE(B102,-12),Data!$B:$AY,MATCH($R$1,Data!$B$1:$AY$1,),)</f>
        <v>1.1809504000831939E-2</v>
      </c>
      <c r="S102" s="21">
        <f>(VLOOKUP(B102,Data!$B:$AY,MATCH($S$1,Data!$B$1:$AY$1,),)-VLOOKUP(EDATE(B102,-12),Data!$B:$AY,MATCH($S$1,Data!$B$1:$AY$1,),))/VLOOKUP(EDATE(B102,-12),Data!$B:$AY,MATCH($S$1,Data!$B$1:$AY$1,),)</f>
        <v>1.4317500241849567E-2</v>
      </c>
      <c r="T102" s="21">
        <f>(VLOOKUP(B102,Data!$B:$AY,MATCH($T$1,Data!$B$1:$AY$1,),)-VLOOKUP(EDATE(B102,-12),Data!$B:$AY,MATCH($T$1,Data!$B$1:$AY$1,),))/VLOOKUP(EDATE(B102,-12),Data!$B:$AY,MATCH($T$1,Data!$B$1:$AY$1,),)</f>
        <v>4.193003194576056E-2</v>
      </c>
      <c r="U102" s="21">
        <f>(VLOOKUP(B102,Data!$B:$AY,MATCH($U$1,Data!$B$1:$AY$1,),)-VLOOKUP(EDATE(B102,-12),Data!$B:$AY,MATCH($U$1,Data!$B$1:$AY$1,),))/VLOOKUP(EDATE(B102,-12),Data!$B:$AY,MATCH($U$1,Data!$B$1:$AY$1,),)</f>
        <v>9.7003734688730896E-3</v>
      </c>
      <c r="V102" s="21" t="e">
        <f>(VLOOKUP(B102,Data!$B:$AY,MATCH($V$1,Data!$B$1:$AY$1,),)-VLOOKUP(EDATE(B102,-12),Data!$B:$AY,MATCH($V$1,Data!$B$1:$AY$1,),))/VLOOKUP(EDATE(B102,-12),Data!$B:$AY,MATCH($V$1,Data!$B$1:$AY$1,),)</f>
        <v>#DIV/0!</v>
      </c>
      <c r="W102" s="21">
        <f>(VLOOKUP(B102,Data!$B:$AY,MATCH($W$1,Data!$B$1:$AY$1,),)-VLOOKUP(EDATE(B102,-12),Data!$B:$AY,MATCH($W$1,Data!$B$1:$AY$1,),))/VLOOKUP(EDATE(B102,-12),Data!$B:$AY,MATCH($W$1,Data!$B$1:$AY$1,),)</f>
        <v>0.17896434450544407</v>
      </c>
      <c r="X102" s="21">
        <f>(VLOOKUP(B102,Data!$B:$AY,MATCH($X$1,Data!$B$1:$AY$1,),)-VLOOKUP(EDATE(B102,-12),Data!$B:$AY,MATCH($X$1,Data!$B$1:$AY$1,),))/VLOOKUP(EDATE(B102,-12),Data!$B:$AY,MATCH($X$1,Data!$B$1:$AY$1,),)</f>
        <v>2.5169409486931353E-2</v>
      </c>
      <c r="Y102" s="21">
        <f>(VLOOKUP(B102,Data!$B:$AY,MATCH($Y$1,Data!$B$1:$AY$1,),)-VLOOKUP(EDATE(B102,-12),Data!$B:$AY,MATCH($Y$1,Data!$B$1:$AY$1,),))/VLOOKUP(EDATE(B102,-12),Data!$B:$AY,MATCH($Y$1,Data!$B$1:$AY$1,),)</f>
        <v>2.1774171976131441E-2</v>
      </c>
      <c r="Z102" s="21" t="e">
        <f>(VLOOKUP(B102,Data!$B:$AY,MATCH($Z$1,Data!$B$1:$AY$1,),)-VLOOKUP(EDATE(B102,-12),Data!$B:$AY,MATCH($Z$1,Data!$B$1:$AY$1,),))/VLOOKUP(EDATE(B102,-12),Data!$B:$AY,MATCH($Z$1,Data!$B$1:$AY$1,),)</f>
        <v>#N/A</v>
      </c>
      <c r="AA102" s="21" t="e">
        <f>(VLOOKUP(B102,Data!$B:$AY,MATCH($AA$1,Data!$B$1:$AY$1,),)-VLOOKUP(EDATE(B102,-12),Data!$B:$AY,MATCH($AA$1,Data!$B$1:$AY$1,),))/VLOOKUP(EDATE(B102,-12),Data!$B:$AY,MATCH($AA$1,Data!$B$1:$AY$1,),)</f>
        <v>#N/A</v>
      </c>
    </row>
    <row r="103" spans="2:28" s="3" customFormat="1" x14ac:dyDescent="0.2">
      <c r="B103" s="16">
        <v>43344</v>
      </c>
      <c r="C103" s="21">
        <f>(VLOOKUP(B103,Data!$B:$AY,MATCH($C$1,Data!$B$1:$AY$1,),)-VLOOKUP(EDATE(B103,-12),Data!$B:$AY,MATCH($C$1,Data!$B$1:$AY$1,),))/VLOOKUP(EDATE(B103,-12),Data!$B:$AY,MATCH($C$1,Data!$B$1:$AY$1,),)</f>
        <v>2.2769350731162048E-2</v>
      </c>
      <c r="D103" s="21">
        <f>(VLOOKUP(B103,Data!$B:$AY,MATCH($D$1,Data!$B$1:$AY$1,),)-VLOOKUP(EDATE(B103,-12),Data!$B:$AY,MATCH($D$1,Data!$B$1:$AY$1,),))/VLOOKUP(EDATE(B103,-12),Data!$B:$AY,MATCH($D$1,Data!$B$1:$AY$1,),)</f>
        <v>2.4015369836695485E-2</v>
      </c>
      <c r="E103" s="21">
        <f>(VLOOKUP(B103,Data!$B:$AY,MATCH($E$1,Data!$B$1:$AY$1,),)-VLOOKUP(EDATE(B103,-12),Data!$B:$AY,MATCH($E$1,Data!$B$1:$AY$1,),))/VLOOKUP(EDATE(B103,-12),Data!$B:$AY,MATCH($E$1,Data!$B$1:$AY$1,),)</f>
        <v>2.0823149868022243E-2</v>
      </c>
      <c r="F103" s="21">
        <f>(VLOOKUP(B103,Data!$B:$AY,MATCH($F$1,Data!$B$1:$AY$1,),)-VLOOKUP(EDATE(B103,-12),Data!$B:$AY,MATCH($F$1,Data!$B$1:$AY$1,),))/VLOOKUP(EDATE(B103,-12),Data!$B:$AY,MATCH($F$1,Data!$B$1:$AY$1,),)</f>
        <v>1.1940298507462714E-2</v>
      </c>
      <c r="G103" s="21">
        <f>(VLOOKUP(B103,Data!$B:$AY,MATCH($G$1,Data!$B$1:$AY$1,),)-VLOOKUP(EDATE(B103,-12),Data!$B:$AY,MATCH($G$1,Data!$B$1:$AY$1,),))/VLOOKUP(EDATE(B103,-12),Data!$B:$AY,MATCH($G$1,Data!$B$1:$AY$1,),)</f>
        <v>1.94748488810529E-2</v>
      </c>
      <c r="H103" s="21">
        <f>(VLOOKUP(B103,Data!$B:$AY,MATCH($H$1,Data!$B$1:$AY$1,),)-VLOOKUP(EDATE(B103,-12),Data!$B:$AY,MATCH($H$1,Data!$B$1:$AY$1,),))/VLOOKUP(EDATE(B103,-12),Data!$B:$AY,MATCH($H$1,Data!$B$1:$AY$1,),)</f>
        <v>2.2007302871805034E-2</v>
      </c>
      <c r="I103" s="21">
        <f>(VLOOKUP(B103,Data!$B:$AY,MATCH($I$1,Data!$B$1:$AY$1,),)-VLOOKUP(EDATE(B103,-12),Data!$B:$AY,MATCH($I$1,Data!$B$1:$AY$1,),))/VLOOKUP(EDATE(B103,-12),Data!$B:$AY,MATCH($I$1,Data!$B$1:$AY$1,),)</f>
        <v>2.2051773729626051E-2</v>
      </c>
      <c r="J103" s="21">
        <f>(VLOOKUP(B103,Data!$B:$AY,MATCH($J$1,Data!$B$1:$AY$1,),)-VLOOKUP(EDATE(B103,-12),Data!$B:$AY,MATCH($J$1,Data!$B$1:$AY$1,),))/VLOOKUP(EDATE(B103,-12),Data!$B:$AY,MATCH($J$1,Data!$B$1:$AY$1,),)</f>
        <v>1.3833992094861575E-2</v>
      </c>
      <c r="K103" s="21">
        <f>(VLOOKUP(B103,Data!$B:$AY,MATCH($K$1,Data!$B$1:$AY$1,),)-VLOOKUP(EDATE(B103,-12),Data!$B:$AY,MATCH($K$1,Data!$B$1:$AY$1,),))/VLOOKUP(EDATE(B103,-12),Data!$B:$AY,MATCH($K$1,Data!$B$1:$AY$1,),)</f>
        <v>2.2599626885518573E-2</v>
      </c>
      <c r="L103" s="21">
        <f>(VLOOKUP(B103,Data!$B:$AY,MATCH($L$1,Data!$B$1:$AY$1,),)-VLOOKUP(EDATE(B103,-12),Data!$B:$AY,MATCH($L$1,Data!$B$1:$AY$1,),))/VLOOKUP(EDATE(B103,-12),Data!$B:$AY,MATCH($L$1,Data!$B$1:$AY$1,),)</f>
        <v>2.3237079403440612E-2</v>
      </c>
      <c r="M103" s="21">
        <f>(VLOOKUP(B103,Data!$B:$AY,MATCH($M$1,Data!$B$1:$AY$1,),)-VLOOKUP(EDATE(B103,-12),Data!$B:$AY,MATCH($M$1,Data!$B$1:$AY$1,),))/VLOOKUP(EDATE(B103,-12),Data!$B:$AY,MATCH($M$1,Data!$B$1:$AY$1,),)</f>
        <v>5.0195434539691296E-2</v>
      </c>
      <c r="N103" s="21" t="e">
        <f>(VLOOKUP(B103,Data!$B:$AY,MATCH($N$1,Data!$B$1:$AY$1,),)-VLOOKUP(EDATE(B103,-12),Data!$B:$AY,MATCH($N$1,Data!$B$1:$AY$1,),))/VLOOKUP(EDATE(B103,-12),Data!$B:$AY,MATCH($N$1,Data!$B$1:$AY$1,),)</f>
        <v>#DIV/0!</v>
      </c>
      <c r="O103" s="21">
        <f>(VLOOKUP(B103,Data!$B:$AY,MATCH($O$1,Data!$B$1:$AY$1,),)-VLOOKUP(EDATE(B103,-12),Data!$B:$AY,MATCH($O$1,Data!$B$1:$AY$1,),))/VLOOKUP(EDATE(B103,-12),Data!$B:$AY,MATCH($O$1,Data!$B$1:$AY$1,),)</f>
        <v>5.6140354095617989E-2</v>
      </c>
      <c r="P103" s="21">
        <f>(VLOOKUP(B103,Data!$B:$AY,MATCH($P$1,Data!$B$1:$AY$1,),)-VLOOKUP(EDATE(B103,-12),Data!$B:$AY,MATCH($P$1,Data!$B$1:$AY$1,),))/VLOOKUP(EDATE(B103,-12),Data!$B:$AY,MATCH($P$1,Data!$B$1:$AY$1,),)</f>
        <v>2.2171432110209739E-2</v>
      </c>
      <c r="Q103" s="21" t="e">
        <f>(VLOOKUP(B103,Data!$B:$AY,MATCH($Q$1,Data!$B$1:$AY$1,),)-VLOOKUP(EDATE(B103,-12),Data!$B:$AY,MATCH($Q$1,Data!$B$1:$AY$1,),))/VLOOKUP(EDATE(B103,-12),Data!$B:$AY,MATCH($Q$1,Data!$B$1:$AY$1,),)</f>
        <v>#N/A</v>
      </c>
      <c r="R103" s="21">
        <f>(VLOOKUP(B103,Data!$B:$AY,MATCH($R$1,Data!$B$1:$AY$1,),)-VLOOKUP(EDATE(B103,-12),Data!$B:$AY,MATCH($R$1,Data!$B$1:$AY$1,),))/VLOOKUP(EDATE(B103,-12),Data!$B:$AY,MATCH($R$1,Data!$B$1:$AY$1,),)</f>
        <v>9.8939090466576875E-3</v>
      </c>
      <c r="S103" s="21">
        <f>(VLOOKUP(B103,Data!$B:$AY,MATCH($S$1,Data!$B$1:$AY$1,),)-VLOOKUP(EDATE(B103,-12),Data!$B:$AY,MATCH($S$1,Data!$B$1:$AY$1,),))/VLOOKUP(EDATE(B103,-12),Data!$B:$AY,MATCH($S$1,Data!$B$1:$AY$1,),)</f>
        <v>2.087158179534265E-2</v>
      </c>
      <c r="T103" s="21">
        <f>(VLOOKUP(B103,Data!$B:$AY,MATCH($T$1,Data!$B$1:$AY$1,),)-VLOOKUP(EDATE(B103,-12),Data!$B:$AY,MATCH($T$1,Data!$B$1:$AY$1,),))/VLOOKUP(EDATE(B103,-12),Data!$B:$AY,MATCH($T$1,Data!$B$1:$AY$1,),)</f>
        <v>4.5259148125685031E-2</v>
      </c>
      <c r="U103" s="21">
        <f>(VLOOKUP(B103,Data!$B:$AY,MATCH($U$1,Data!$B$1:$AY$1,),)-VLOOKUP(EDATE(B103,-12),Data!$B:$AY,MATCH($U$1,Data!$B$1:$AY$1,),))/VLOOKUP(EDATE(B103,-12),Data!$B:$AY,MATCH($U$1,Data!$B$1:$AY$1,),)</f>
        <v>1.0903871469128109E-2</v>
      </c>
      <c r="V103" s="21" t="e">
        <f>(VLOOKUP(B103,Data!$B:$AY,MATCH($V$1,Data!$B$1:$AY$1,),)-VLOOKUP(EDATE(B103,-12),Data!$B:$AY,MATCH($V$1,Data!$B$1:$AY$1,),))/VLOOKUP(EDATE(B103,-12),Data!$B:$AY,MATCH($V$1,Data!$B$1:$AY$1,),)</f>
        <v>#DIV/0!</v>
      </c>
      <c r="W103" s="21">
        <f>(VLOOKUP(B103,Data!$B:$AY,MATCH($W$1,Data!$B$1:$AY$1,),)-VLOOKUP(EDATE(B103,-12),Data!$B:$AY,MATCH($W$1,Data!$B$1:$AY$1,),))/VLOOKUP(EDATE(B103,-12),Data!$B:$AY,MATCH($W$1,Data!$B$1:$AY$1,),)</f>
        <v>0.24518875137917898</v>
      </c>
      <c r="X103" s="21">
        <f>(VLOOKUP(B103,Data!$B:$AY,MATCH($X$1,Data!$B$1:$AY$1,),)-VLOOKUP(EDATE(B103,-12),Data!$B:$AY,MATCH($X$1,Data!$B$1:$AY$1,),))/VLOOKUP(EDATE(B103,-12),Data!$B:$AY,MATCH($X$1,Data!$B$1:$AY$1,),)</f>
        <v>2.3255813953488289E-2</v>
      </c>
      <c r="Y103" s="21">
        <f>(VLOOKUP(B103,Data!$B:$AY,MATCH($Y$1,Data!$B$1:$AY$1,),)-VLOOKUP(EDATE(B103,-12),Data!$B:$AY,MATCH($Y$1,Data!$B$1:$AY$1,),))/VLOOKUP(EDATE(B103,-12),Data!$B:$AY,MATCH($Y$1,Data!$B$1:$AY$1,),)</f>
        <v>2.008030147094372E-2</v>
      </c>
      <c r="Z103" s="21" t="e">
        <f>(VLOOKUP(B103,Data!$B:$AY,MATCH($Z$1,Data!$B$1:$AY$1,),)-VLOOKUP(EDATE(B103,-12),Data!$B:$AY,MATCH($Z$1,Data!$B$1:$AY$1,),))/VLOOKUP(EDATE(B103,-12),Data!$B:$AY,MATCH($Z$1,Data!$B$1:$AY$1,),)</f>
        <v>#N/A</v>
      </c>
      <c r="AA103" s="21" t="e">
        <f>(VLOOKUP(B103,Data!$B:$AY,MATCH($AA$1,Data!$B$1:$AY$1,),)-VLOOKUP(EDATE(B103,-12),Data!$B:$AY,MATCH($AA$1,Data!$B$1:$AY$1,),))/VLOOKUP(EDATE(B103,-12),Data!$B:$AY,MATCH($AA$1,Data!$B$1:$AY$1,),)</f>
        <v>#N/A</v>
      </c>
    </row>
    <row r="104" spans="2:28" s="3" customFormat="1" x14ac:dyDescent="0.2">
      <c r="B104" s="16">
        <v>43374</v>
      </c>
      <c r="C104" s="21">
        <f>(VLOOKUP(B104,Data!$B:$AY,MATCH($C$1,Data!$B$1:$AY$1,),)-VLOOKUP(EDATE(B104,-12),Data!$B:$AY,MATCH($C$1,Data!$B$1:$AY$1,),))/VLOOKUP(EDATE(B104,-12),Data!$B:$AY,MATCH($C$1,Data!$B$1:$AY$1,),)</f>
        <v>2.5225401822048174E-2</v>
      </c>
      <c r="D104" s="21">
        <f>(VLOOKUP(B104,Data!$B:$AY,MATCH($D$1,Data!$B$1:$AY$1,),)-VLOOKUP(EDATE(B104,-12),Data!$B:$AY,MATCH($D$1,Data!$B$1:$AY$1,),))/VLOOKUP(EDATE(B104,-12),Data!$B:$AY,MATCH($D$1,Data!$B$1:$AY$1,),)</f>
        <v>2.4952015355086316E-2</v>
      </c>
      <c r="E104" s="21">
        <f>(VLOOKUP(B104,Data!$B:$AY,MATCH($E$1,Data!$B$1:$AY$1,),)-VLOOKUP(EDATE(B104,-12),Data!$B:$AY,MATCH($E$1,Data!$B$1:$AY$1,),))/VLOOKUP(EDATE(B104,-12),Data!$B:$AY,MATCH($E$1,Data!$B$1:$AY$1,),)</f>
        <v>2.2864959937463389E-2</v>
      </c>
      <c r="F104" s="21">
        <f>(VLOOKUP(B104,Data!$B:$AY,MATCH($F$1,Data!$B$1:$AY$1,),)-VLOOKUP(EDATE(B104,-12),Data!$B:$AY,MATCH($F$1,Data!$B$1:$AY$1,),))/VLOOKUP(EDATE(B104,-12),Data!$B:$AY,MATCH($F$1,Data!$B$1:$AY$1,),)</f>
        <v>1.3916500994035843E-2</v>
      </c>
      <c r="G104" s="21">
        <f>(VLOOKUP(B104,Data!$B:$AY,MATCH($G$1,Data!$B$1:$AY$1,),)-VLOOKUP(EDATE(B104,-12),Data!$B:$AY,MATCH($G$1,Data!$B$1:$AY$1,),))/VLOOKUP(EDATE(B104,-12),Data!$B:$AY,MATCH($G$1,Data!$B$1:$AY$1,),)</f>
        <v>2.3414630339718981E-2</v>
      </c>
      <c r="H104" s="21">
        <f>(VLOOKUP(B104,Data!$B:$AY,MATCH($H$1,Data!$B$1:$AY$1,),)-VLOOKUP(EDATE(B104,-12),Data!$B:$AY,MATCH($H$1,Data!$B$1:$AY$1,),))/VLOOKUP(EDATE(B104,-12),Data!$B:$AY,MATCH($H$1,Data!$B$1:$AY$1,),)</f>
        <v>2.2084195997239424E-2</v>
      </c>
      <c r="I104" s="21">
        <f>(VLOOKUP(B104,Data!$B:$AY,MATCH($I$1,Data!$B$1:$AY$1,),)-VLOOKUP(EDATE(B104,-12),Data!$B:$AY,MATCH($I$1,Data!$B$1:$AY$1,),))/VLOOKUP(EDATE(B104,-12),Data!$B:$AY,MATCH($I$1,Data!$B$1:$AY$1,),)</f>
        <v>2.2030651340996139E-2</v>
      </c>
      <c r="J104" s="21">
        <f>(VLOOKUP(B104,Data!$B:$AY,MATCH($J$1,Data!$B$1:$AY$1,),)-VLOOKUP(EDATE(B104,-12),Data!$B:$AY,MATCH($J$1,Data!$B$1:$AY$1,),))/VLOOKUP(EDATE(B104,-12),Data!$B:$AY,MATCH($J$1,Data!$B$1:$AY$1,),)</f>
        <v>1.5841584158415786E-2</v>
      </c>
      <c r="K104" s="21">
        <f>(VLOOKUP(B104,Data!$B:$AY,MATCH($K$1,Data!$B$1:$AY$1,),)-VLOOKUP(EDATE(B104,-12),Data!$B:$AY,MATCH($K$1,Data!$B$1:$AY$1,),))/VLOOKUP(EDATE(B104,-12),Data!$B:$AY,MATCH($K$1,Data!$B$1:$AY$1,),)</f>
        <v>2.2626412869815347E-2</v>
      </c>
      <c r="L104" s="21">
        <f>(VLOOKUP(B104,Data!$B:$AY,MATCH($L$1,Data!$B$1:$AY$1,),)-VLOOKUP(EDATE(B104,-12),Data!$B:$AY,MATCH($L$1,Data!$B$1:$AY$1,),))/VLOOKUP(EDATE(B104,-12),Data!$B:$AY,MATCH($L$1,Data!$B$1:$AY$1,),)</f>
        <v>2.2697168570855613E-2</v>
      </c>
      <c r="M104" s="21">
        <f>(VLOOKUP(B104,Data!$B:$AY,MATCH($M$1,Data!$B$1:$AY$1,),)-VLOOKUP(EDATE(B104,-12),Data!$B:$AY,MATCH($M$1,Data!$B$1:$AY$1,),))/VLOOKUP(EDATE(B104,-12),Data!$B:$AY,MATCH($M$1,Data!$B$1:$AY$1,),)</f>
        <v>4.9036688681930479E-2</v>
      </c>
      <c r="N104" s="21" t="e">
        <f>(VLOOKUP(B104,Data!$B:$AY,MATCH($N$1,Data!$B$1:$AY$1,),)-VLOOKUP(EDATE(B104,-12),Data!$B:$AY,MATCH($N$1,Data!$B$1:$AY$1,),))/VLOOKUP(EDATE(B104,-12),Data!$B:$AY,MATCH($N$1,Data!$B$1:$AY$1,),)</f>
        <v>#DIV/0!</v>
      </c>
      <c r="O104" s="21">
        <f>(VLOOKUP(B104,Data!$B:$AY,MATCH($O$1,Data!$B$1:$AY$1,),)-VLOOKUP(EDATE(B104,-12),Data!$B:$AY,MATCH($O$1,Data!$B$1:$AY$1,),))/VLOOKUP(EDATE(B104,-12),Data!$B:$AY,MATCH($O$1,Data!$B$1:$AY$1,),)</f>
        <v>5.2265125735063721E-2</v>
      </c>
      <c r="P104" s="21">
        <f>(VLOOKUP(B104,Data!$B:$AY,MATCH($P$1,Data!$B$1:$AY$1,),)-VLOOKUP(EDATE(B104,-12),Data!$B:$AY,MATCH($P$1,Data!$B$1:$AY$1,),))/VLOOKUP(EDATE(B104,-12),Data!$B:$AY,MATCH($P$1,Data!$B$1:$AY$1,),)</f>
        <v>2.4446017261017305E-2</v>
      </c>
      <c r="Q104" s="21" t="e">
        <f>(VLOOKUP(B104,Data!$B:$AY,MATCH($Q$1,Data!$B$1:$AY$1,),)-VLOOKUP(EDATE(B104,-12),Data!$B:$AY,MATCH($Q$1,Data!$B$1:$AY$1,),))/VLOOKUP(EDATE(B104,-12),Data!$B:$AY,MATCH($Q$1,Data!$B$1:$AY$1,),)</f>
        <v>#N/A</v>
      </c>
      <c r="R104" s="21">
        <f>(VLOOKUP(B104,Data!$B:$AY,MATCH($R$1,Data!$B$1:$AY$1,),)-VLOOKUP(EDATE(B104,-12),Data!$B:$AY,MATCH($R$1,Data!$B$1:$AY$1,),))/VLOOKUP(EDATE(B104,-12),Data!$B:$AY,MATCH($R$1,Data!$B$1:$AY$1,),)</f>
        <v>1.1065210976689282E-2</v>
      </c>
      <c r="S104" s="21">
        <f>(VLOOKUP(B104,Data!$B:$AY,MATCH($S$1,Data!$B$1:$AY$1,),)-VLOOKUP(EDATE(B104,-12),Data!$B:$AY,MATCH($S$1,Data!$B$1:$AY$1,),))/VLOOKUP(EDATE(B104,-12),Data!$B:$AY,MATCH($S$1,Data!$B$1:$AY$1,),)</f>
        <v>2.0021278653641485E-2</v>
      </c>
      <c r="T104" s="21">
        <f>(VLOOKUP(B104,Data!$B:$AY,MATCH($T$1,Data!$B$1:$AY$1,),)-VLOOKUP(EDATE(B104,-12),Data!$B:$AY,MATCH($T$1,Data!$B$1:$AY$1,),))/VLOOKUP(EDATE(B104,-12),Data!$B:$AY,MATCH($T$1,Data!$B$1:$AY$1,),)</f>
        <v>4.557049877749314E-2</v>
      </c>
      <c r="U104" s="21">
        <f>(VLOOKUP(B104,Data!$B:$AY,MATCH($U$1,Data!$B$1:$AY$1,),)-VLOOKUP(EDATE(B104,-12),Data!$B:$AY,MATCH($U$1,Data!$B$1:$AY$1,),))/VLOOKUP(EDATE(B104,-12),Data!$B:$AY,MATCH($U$1,Data!$B$1:$AY$1,),)</f>
        <v>1.7686057623274961E-2</v>
      </c>
      <c r="V104" s="21" t="e">
        <f>(VLOOKUP(B104,Data!$B:$AY,MATCH($V$1,Data!$B$1:$AY$1,),)-VLOOKUP(EDATE(B104,-12),Data!$B:$AY,MATCH($V$1,Data!$B$1:$AY$1,),))/VLOOKUP(EDATE(B104,-12),Data!$B:$AY,MATCH($V$1,Data!$B$1:$AY$1,),)</f>
        <v>#DIV/0!</v>
      </c>
      <c r="W104" s="21">
        <f>(VLOOKUP(B104,Data!$B:$AY,MATCH($W$1,Data!$B$1:$AY$1,),)-VLOOKUP(EDATE(B104,-12),Data!$B:$AY,MATCH($W$1,Data!$B$1:$AY$1,),))/VLOOKUP(EDATE(B104,-12),Data!$B:$AY,MATCH($W$1,Data!$B$1:$AY$1,),)</f>
        <v>0.25240313255109026</v>
      </c>
      <c r="X104" s="21">
        <f>(VLOOKUP(B104,Data!$B:$AY,MATCH($X$1,Data!$B$1:$AY$1,),)-VLOOKUP(EDATE(B104,-12),Data!$B:$AY,MATCH($X$1,Data!$B$1:$AY$1,),))/VLOOKUP(EDATE(B104,-12),Data!$B:$AY,MATCH($X$1,Data!$B$1:$AY$1,),)</f>
        <v>2.217936354869814E-2</v>
      </c>
      <c r="Y104" s="21">
        <f>(VLOOKUP(B104,Data!$B:$AY,MATCH($Y$1,Data!$B$1:$AY$1,),)-VLOOKUP(EDATE(B104,-12),Data!$B:$AY,MATCH($Y$1,Data!$B$1:$AY$1,),))/VLOOKUP(EDATE(B104,-12),Data!$B:$AY,MATCH($Y$1,Data!$B$1:$AY$1,),)</f>
        <v>1.9184633438572487E-2</v>
      </c>
      <c r="Z104" s="21" t="e">
        <f>(VLOOKUP(B104,Data!$B:$AY,MATCH($Z$1,Data!$B$1:$AY$1,),)-VLOOKUP(EDATE(B104,-12),Data!$B:$AY,MATCH($Z$1,Data!$B$1:$AY$1,),))/VLOOKUP(EDATE(B104,-12),Data!$B:$AY,MATCH($Z$1,Data!$B$1:$AY$1,),)</f>
        <v>#N/A</v>
      </c>
      <c r="AA104" s="21" t="e">
        <f>(VLOOKUP(B104,Data!$B:$AY,MATCH($AA$1,Data!$B$1:$AY$1,),)-VLOOKUP(EDATE(B104,-12),Data!$B:$AY,MATCH($AA$1,Data!$B$1:$AY$1,),))/VLOOKUP(EDATE(B104,-12),Data!$B:$AY,MATCH($AA$1,Data!$B$1:$AY$1,),)</f>
        <v>#N/A</v>
      </c>
    </row>
    <row r="105" spans="2:28" s="3" customFormat="1" x14ac:dyDescent="0.2">
      <c r="B105" s="16">
        <v>43405</v>
      </c>
      <c r="C105" s="21">
        <f>(VLOOKUP(B105,Data!$B:$AY,MATCH($C$1,Data!$B$1:$AY$1,),)-VLOOKUP(EDATE(B105,-12),Data!$B:$AY,MATCH($C$1,Data!$B$1:$AY$1,),))/VLOOKUP(EDATE(B105,-12),Data!$B:$AY,MATCH($C$1,Data!$B$1:$AY$1,),)</f>
        <v>2.1765637926710636E-2</v>
      </c>
      <c r="D105" s="21">
        <f>(VLOOKUP(B105,Data!$B:$AY,MATCH($D$1,Data!$B$1:$AY$1,),)-VLOOKUP(EDATE(B105,-12),Data!$B:$AY,MATCH($D$1,Data!$B$1:$AY$1,),))/VLOOKUP(EDATE(B105,-12),Data!$B:$AY,MATCH($D$1,Data!$B$1:$AY$1,),)</f>
        <v>2.1113243761996189E-2</v>
      </c>
      <c r="E105" s="21">
        <f>(VLOOKUP(B105,Data!$B:$AY,MATCH($E$1,Data!$B$1:$AY$1,),)-VLOOKUP(EDATE(B105,-12),Data!$B:$AY,MATCH($E$1,Data!$B$1:$AY$1,),))/VLOOKUP(EDATE(B105,-12),Data!$B:$AY,MATCH($E$1,Data!$B$1:$AY$1,),)</f>
        <v>1.9189347953788856E-2</v>
      </c>
      <c r="F105" s="21">
        <f>(VLOOKUP(B105,Data!$B:$AY,MATCH($F$1,Data!$B$1:$AY$1,),)-VLOOKUP(EDATE(B105,-12),Data!$B:$AY,MATCH($F$1,Data!$B$1:$AY$1,),))/VLOOKUP(EDATE(B105,-12),Data!$B:$AY,MATCH($F$1,Data!$B$1:$AY$1,),)</f>
        <v>8.9197224975222141E-3</v>
      </c>
      <c r="G105" s="21">
        <f>(VLOOKUP(B105,Data!$B:$AY,MATCH($G$1,Data!$B$1:$AY$1,),)-VLOOKUP(EDATE(B105,-12),Data!$B:$AY,MATCH($G$1,Data!$B$1:$AY$1,),))/VLOOKUP(EDATE(B105,-12),Data!$B:$AY,MATCH($G$1,Data!$B$1:$AY$1,),)</f>
        <v>2.0568563510483008E-2</v>
      </c>
      <c r="H105" s="21">
        <f>(VLOOKUP(B105,Data!$B:$AY,MATCH($H$1,Data!$B$1:$AY$1,),)-VLOOKUP(EDATE(B105,-12),Data!$B:$AY,MATCH($H$1,Data!$B$1:$AY$1,),))/VLOOKUP(EDATE(B105,-12),Data!$B:$AY,MATCH($H$1,Data!$B$1:$AY$1,),)</f>
        <v>1.891066679799076E-2</v>
      </c>
      <c r="I105" s="21">
        <f>(VLOOKUP(B105,Data!$B:$AY,MATCH($I$1,Data!$B$1:$AY$1,),)-VLOOKUP(EDATE(B105,-12),Data!$B:$AY,MATCH($I$1,Data!$B$1:$AY$1,),))/VLOOKUP(EDATE(B105,-12),Data!$B:$AY,MATCH($I$1,Data!$B$1:$AY$1,),)</f>
        <v>2.1012416427889234E-2</v>
      </c>
      <c r="J105" s="21">
        <f>(VLOOKUP(B105,Data!$B:$AY,MATCH($J$1,Data!$B$1:$AY$1,),)-VLOOKUP(EDATE(B105,-12),Data!$B:$AY,MATCH($J$1,Data!$B$1:$AY$1,),))/VLOOKUP(EDATE(B105,-12),Data!$B:$AY,MATCH($J$1,Data!$B$1:$AY$1,),)</f>
        <v>1.5873015873015959E-2</v>
      </c>
      <c r="K105" s="21">
        <f>(VLOOKUP(B105,Data!$B:$AY,MATCH($K$1,Data!$B$1:$AY$1,),)-VLOOKUP(EDATE(B105,-12),Data!$B:$AY,MATCH($K$1,Data!$B$1:$AY$1,),))/VLOOKUP(EDATE(B105,-12),Data!$B:$AY,MATCH($K$1,Data!$B$1:$AY$1,),)</f>
        <v>1.6860329550753912E-2</v>
      </c>
      <c r="L105" s="21">
        <f>(VLOOKUP(B105,Data!$B:$AY,MATCH($L$1,Data!$B$1:$AY$1,),)-VLOOKUP(EDATE(B105,-12),Data!$B:$AY,MATCH($L$1,Data!$B$1:$AY$1,),))/VLOOKUP(EDATE(B105,-12),Data!$B:$AY,MATCH($L$1,Data!$B$1:$AY$1,),)</f>
        <v>1.9627145162740871E-2</v>
      </c>
      <c r="M105" s="21">
        <f>(VLOOKUP(B105,Data!$B:$AY,MATCH($M$1,Data!$B$1:$AY$1,),)-VLOOKUP(EDATE(B105,-12),Data!$B:$AY,MATCH($M$1,Data!$B$1:$AY$1,),))/VLOOKUP(EDATE(B105,-12),Data!$B:$AY,MATCH($M$1,Data!$B$1:$AY$1,),)</f>
        <v>4.7165350586381716E-2</v>
      </c>
      <c r="N105" s="21" t="e">
        <f>(VLOOKUP(B105,Data!$B:$AY,MATCH($N$1,Data!$B$1:$AY$1,),)-VLOOKUP(EDATE(B105,-12),Data!$B:$AY,MATCH($N$1,Data!$B$1:$AY$1,),))/VLOOKUP(EDATE(B105,-12),Data!$B:$AY,MATCH($N$1,Data!$B$1:$AY$1,),)</f>
        <v>#DIV/0!</v>
      </c>
      <c r="O105" s="21">
        <f>(VLOOKUP(B105,Data!$B:$AY,MATCH($O$1,Data!$B$1:$AY$1,),)-VLOOKUP(EDATE(B105,-12),Data!$B:$AY,MATCH($O$1,Data!$B$1:$AY$1,),))/VLOOKUP(EDATE(B105,-12),Data!$B:$AY,MATCH($O$1,Data!$B$1:$AY$1,),)</f>
        <v>4.8610770724977111E-2</v>
      </c>
      <c r="P105" s="21">
        <f>(VLOOKUP(B105,Data!$B:$AY,MATCH($P$1,Data!$B$1:$AY$1,),)-VLOOKUP(EDATE(B105,-12),Data!$B:$AY,MATCH($P$1,Data!$B$1:$AY$1,),))/VLOOKUP(EDATE(B105,-12),Data!$B:$AY,MATCH($P$1,Data!$B$1:$AY$1,),)</f>
        <v>1.6755382215890062E-2</v>
      </c>
      <c r="Q105" s="21" t="e">
        <f>(VLOOKUP(B105,Data!$B:$AY,MATCH($Q$1,Data!$B$1:$AY$1,),)-VLOOKUP(EDATE(B105,-12),Data!$B:$AY,MATCH($Q$1,Data!$B$1:$AY$1,),))/VLOOKUP(EDATE(B105,-12),Data!$B:$AY,MATCH($Q$1,Data!$B$1:$AY$1,),)</f>
        <v>#N/A</v>
      </c>
      <c r="R105" s="21">
        <f>(VLOOKUP(B105,Data!$B:$AY,MATCH($R$1,Data!$B$1:$AY$1,),)-VLOOKUP(EDATE(B105,-12),Data!$B:$AY,MATCH($R$1,Data!$B$1:$AY$1,),))/VLOOKUP(EDATE(B105,-12),Data!$B:$AY,MATCH($R$1,Data!$B$1:$AY$1,),)</f>
        <v>9.2197343415651098E-3</v>
      </c>
      <c r="S105" s="21">
        <f>(VLOOKUP(B105,Data!$B:$AY,MATCH($S$1,Data!$B$1:$AY$1,),)-VLOOKUP(EDATE(B105,-12),Data!$B:$AY,MATCH($S$1,Data!$B$1:$AY$1,),))/VLOOKUP(EDATE(B105,-12),Data!$B:$AY,MATCH($S$1,Data!$B$1:$AY$1,),)</f>
        <v>2.0366400311829947E-2</v>
      </c>
      <c r="T105" s="21">
        <f>(VLOOKUP(B105,Data!$B:$AY,MATCH($T$1,Data!$B$1:$AY$1,),)-VLOOKUP(EDATE(B105,-12),Data!$B:$AY,MATCH($T$1,Data!$B$1:$AY$1,),))/VLOOKUP(EDATE(B105,-12),Data!$B:$AY,MATCH($T$1,Data!$B$1:$AY$1,),)</f>
        <v>4.0460305314608584E-2</v>
      </c>
      <c r="U105" s="21">
        <f>(VLOOKUP(B105,Data!$B:$AY,MATCH($U$1,Data!$B$1:$AY$1,),)-VLOOKUP(EDATE(B105,-12),Data!$B:$AY,MATCH($U$1,Data!$B$1:$AY$1,),))/VLOOKUP(EDATE(B105,-12),Data!$B:$AY,MATCH($U$1,Data!$B$1:$AY$1,),)</f>
        <v>9.8677515772838537E-3</v>
      </c>
      <c r="V105" s="21" t="e">
        <f>(VLOOKUP(B105,Data!$B:$AY,MATCH($V$1,Data!$B$1:$AY$1,),)-VLOOKUP(EDATE(B105,-12),Data!$B:$AY,MATCH($V$1,Data!$B$1:$AY$1,),))/VLOOKUP(EDATE(B105,-12),Data!$B:$AY,MATCH($V$1,Data!$B$1:$AY$1,),)</f>
        <v>#DIV/0!</v>
      </c>
      <c r="W105" s="21">
        <f>(VLOOKUP(B105,Data!$B:$AY,MATCH($W$1,Data!$B$1:$AY$1,),)-VLOOKUP(EDATE(B105,-12),Data!$B:$AY,MATCH($W$1,Data!$B$1:$AY$1,),))/VLOOKUP(EDATE(B105,-12),Data!$B:$AY,MATCH($W$1,Data!$B$1:$AY$1,),)</f>
        <v>0.2161873890622934</v>
      </c>
      <c r="X105" s="21">
        <f>(VLOOKUP(B105,Data!$B:$AY,MATCH($X$1,Data!$B$1:$AY$1,),)-VLOOKUP(EDATE(B105,-12),Data!$B:$AY,MATCH($X$1,Data!$B$1:$AY$1,),))/VLOOKUP(EDATE(B105,-12),Data!$B:$AY,MATCH($X$1,Data!$B$1:$AY$1,),)</f>
        <v>2.0231213872832454E-2</v>
      </c>
      <c r="Y105" s="21">
        <f>(VLOOKUP(B105,Data!$B:$AY,MATCH($Y$1,Data!$B$1:$AY$1,),)-VLOOKUP(EDATE(B105,-12),Data!$B:$AY,MATCH($Y$1,Data!$B$1:$AY$1,),))/VLOOKUP(EDATE(B105,-12),Data!$B:$AY,MATCH($Y$1,Data!$B$1:$AY$1,),)</f>
        <v>1.4319795074076458E-2</v>
      </c>
      <c r="Z105" s="21" t="e">
        <f>(VLOOKUP(B105,Data!$B:$AY,MATCH($Z$1,Data!$B$1:$AY$1,),)-VLOOKUP(EDATE(B105,-12),Data!$B:$AY,MATCH($Z$1,Data!$B$1:$AY$1,),))/VLOOKUP(EDATE(B105,-12),Data!$B:$AY,MATCH($Z$1,Data!$B$1:$AY$1,),)</f>
        <v>#N/A</v>
      </c>
      <c r="AA105" s="21" t="e">
        <f>(VLOOKUP(B105,Data!$B:$AY,MATCH($AA$1,Data!$B$1:$AY$1,),)-VLOOKUP(EDATE(B105,-12),Data!$B:$AY,MATCH($AA$1,Data!$B$1:$AY$1,),))/VLOOKUP(EDATE(B105,-12),Data!$B:$AY,MATCH($AA$1,Data!$B$1:$AY$1,),)</f>
        <v>#N/A</v>
      </c>
    </row>
    <row r="106" spans="2:28" s="3" customFormat="1" x14ac:dyDescent="0.2">
      <c r="B106" s="16">
        <v>43435</v>
      </c>
      <c r="C106" s="21">
        <f>(VLOOKUP(B106,Data!$B:$AY,MATCH($C$1,Data!$B$1:$AY$1,),)-VLOOKUP(EDATE(B106,-12),Data!$B:$AY,MATCH($C$1,Data!$B$1:$AY$1,),))/VLOOKUP(EDATE(B106,-12),Data!$B:$AY,MATCH($C$1,Data!$B$1:$AY$1,),)</f>
        <v>1.9101807403248329E-2</v>
      </c>
      <c r="D106" s="21">
        <f>(VLOOKUP(B106,Data!$B:$AY,MATCH($D$1,Data!$B$1:$AY$1,),)-VLOOKUP(EDATE(B106,-12),Data!$B:$AY,MATCH($D$1,Data!$B$1:$AY$1,),))/VLOOKUP(EDATE(B106,-12),Data!$B:$AY,MATCH($D$1,Data!$B$1:$AY$1,),)</f>
        <v>1.9138755980861243E-2</v>
      </c>
      <c r="E106" s="21">
        <f>(VLOOKUP(B106,Data!$B:$AY,MATCH($E$1,Data!$B$1:$AY$1,),)-VLOOKUP(EDATE(B106,-12),Data!$B:$AY,MATCH($E$1,Data!$B$1:$AY$1,),))/VLOOKUP(EDATE(B106,-12),Data!$B:$AY,MATCH($E$1,Data!$B$1:$AY$1,),)</f>
        <v>1.5220997170455677E-2</v>
      </c>
      <c r="F106" s="21">
        <f>(VLOOKUP(B106,Data!$B:$AY,MATCH($F$1,Data!$B$1:$AY$1,),)-VLOOKUP(EDATE(B106,-12),Data!$B:$AY,MATCH($F$1,Data!$B$1:$AY$1,),))/VLOOKUP(EDATE(B106,-12),Data!$B:$AY,MATCH($F$1,Data!$B$1:$AY$1,),)</f>
        <v>2.9644268774703278E-3</v>
      </c>
      <c r="G106" s="21">
        <f>(VLOOKUP(B106,Data!$B:$AY,MATCH($G$1,Data!$B$1:$AY$1,),)-VLOOKUP(EDATE(B106,-12),Data!$B:$AY,MATCH($G$1,Data!$B$1:$AY$1,),))/VLOOKUP(EDATE(B106,-12),Data!$B:$AY,MATCH($G$1,Data!$B$1:$AY$1,),)</f>
        <v>1.5594866742482533E-2</v>
      </c>
      <c r="H106" s="21">
        <f>(VLOOKUP(B106,Data!$B:$AY,MATCH($H$1,Data!$B$1:$AY$1,),)-VLOOKUP(EDATE(B106,-12),Data!$B:$AY,MATCH($H$1,Data!$B$1:$AY$1,),))/VLOOKUP(EDATE(B106,-12),Data!$B:$AY,MATCH($H$1,Data!$B$1:$AY$1,),)</f>
        <v>1.5905743740795331E-2</v>
      </c>
      <c r="I106" s="21">
        <f>(VLOOKUP(B106,Data!$B:$AY,MATCH($I$1,Data!$B$1:$AY$1,),)-VLOOKUP(EDATE(B106,-12),Data!$B:$AY,MATCH($I$1,Data!$B$1:$AY$1,),))/VLOOKUP(EDATE(B106,-12),Data!$B:$AY,MATCH($I$1,Data!$B$1:$AY$1,),)</f>
        <v>1.9999999999999945E-2</v>
      </c>
      <c r="J106" s="21">
        <f>(VLOOKUP(B106,Data!$B:$AY,MATCH($J$1,Data!$B$1:$AY$1,),)-VLOOKUP(EDATE(B106,-12),Data!$B:$AY,MATCH($J$1,Data!$B$1:$AY$1,),))/VLOOKUP(EDATE(B106,-12),Data!$B:$AY,MATCH($J$1,Data!$B$1:$AY$1,),)</f>
        <v>1.0869565217391249E-2</v>
      </c>
      <c r="K106" s="21">
        <f>(VLOOKUP(B106,Data!$B:$AY,MATCH($K$1,Data!$B$1:$AY$1,),)-VLOOKUP(EDATE(B106,-12),Data!$B:$AY,MATCH($K$1,Data!$B$1:$AY$1,),))/VLOOKUP(EDATE(B106,-12),Data!$B:$AY,MATCH($K$1,Data!$B$1:$AY$1,),)</f>
        <v>1.1832980658393373E-2</v>
      </c>
      <c r="L106" s="21">
        <f>(VLOOKUP(B106,Data!$B:$AY,MATCH($L$1,Data!$B$1:$AY$1,),)-VLOOKUP(EDATE(B106,-12),Data!$B:$AY,MATCH($L$1,Data!$B$1:$AY$1,),))/VLOOKUP(EDATE(B106,-12),Data!$B:$AY,MATCH($L$1,Data!$B$1:$AY$1,),)</f>
        <v>2.0415693974624418E-2</v>
      </c>
      <c r="M106" s="21">
        <f>(VLOOKUP(B106,Data!$B:$AY,MATCH($M$1,Data!$B$1:$AY$1,),)-VLOOKUP(EDATE(B106,-12),Data!$B:$AY,MATCH($M$1,Data!$B$1:$AY$1,),))/VLOOKUP(EDATE(B106,-12),Data!$B:$AY,MATCH($M$1,Data!$B$1:$AY$1,),)</f>
        <v>4.8305382566642116E-2</v>
      </c>
      <c r="N106" s="21" t="e">
        <f>(VLOOKUP(B106,Data!$B:$AY,MATCH($N$1,Data!$B$1:$AY$1,),)-VLOOKUP(EDATE(B106,-12),Data!$B:$AY,MATCH($N$1,Data!$B$1:$AY$1,),))/VLOOKUP(EDATE(B106,-12),Data!$B:$AY,MATCH($N$1,Data!$B$1:$AY$1,),)</f>
        <v>#DIV/0!</v>
      </c>
      <c r="O106" s="21">
        <f>(VLOOKUP(B106,Data!$B:$AY,MATCH($O$1,Data!$B$1:$AY$1,),)-VLOOKUP(EDATE(B106,-12),Data!$B:$AY,MATCH($O$1,Data!$B$1:$AY$1,),))/VLOOKUP(EDATE(B106,-12),Data!$B:$AY,MATCH($O$1,Data!$B$1:$AY$1,),)</f>
        <v>5.2447856063632232E-2</v>
      </c>
      <c r="P106" s="21">
        <f>(VLOOKUP(B106,Data!$B:$AY,MATCH($P$1,Data!$B$1:$AY$1,),)-VLOOKUP(EDATE(B106,-12),Data!$B:$AY,MATCH($P$1,Data!$B$1:$AY$1,),))/VLOOKUP(EDATE(B106,-12),Data!$B:$AY,MATCH($P$1,Data!$B$1:$AY$1,),)</f>
        <v>1.9878135985686714E-2</v>
      </c>
      <c r="Q106" s="21" t="e">
        <f>(VLOOKUP(B106,Data!$B:$AY,MATCH($Q$1,Data!$B$1:$AY$1,),)-VLOOKUP(EDATE(B106,-12),Data!$B:$AY,MATCH($Q$1,Data!$B$1:$AY$1,),))/VLOOKUP(EDATE(B106,-12),Data!$B:$AY,MATCH($Q$1,Data!$B$1:$AY$1,),)</f>
        <v>#N/A</v>
      </c>
      <c r="R106" s="21">
        <f>(VLOOKUP(B106,Data!$B:$AY,MATCH($R$1,Data!$B$1:$AY$1,),)-VLOOKUP(EDATE(B106,-12),Data!$B:$AY,MATCH($R$1,Data!$B$1:$AY$1,),))/VLOOKUP(EDATE(B106,-12),Data!$B:$AY,MATCH($R$1,Data!$B$1:$AY$1,),)</f>
        <v>6.9152704738907333E-3</v>
      </c>
      <c r="S106" s="21">
        <f>(VLOOKUP(B106,Data!$B:$AY,MATCH($S$1,Data!$B$1:$AY$1,),)-VLOOKUP(EDATE(B106,-12),Data!$B:$AY,MATCH($S$1,Data!$B$1:$AY$1,),))/VLOOKUP(EDATE(B106,-12),Data!$B:$AY,MATCH($S$1,Data!$B$1:$AY$1,),)</f>
        <v>1.3205165550053398E-2</v>
      </c>
      <c r="T106" s="21">
        <f>(VLOOKUP(B106,Data!$B:$AY,MATCH($T$1,Data!$B$1:$AY$1,),)-VLOOKUP(EDATE(B106,-12),Data!$B:$AY,MATCH($T$1,Data!$B$1:$AY$1,),))/VLOOKUP(EDATE(B106,-12),Data!$B:$AY,MATCH($T$1,Data!$B$1:$AY$1,),)</f>
        <v>3.7455793834894627E-2</v>
      </c>
      <c r="U106" s="21">
        <f>(VLOOKUP(B106,Data!$B:$AY,MATCH($U$1,Data!$B$1:$AY$1,),)-VLOOKUP(EDATE(B106,-12),Data!$B:$AY,MATCH($U$1,Data!$B$1:$AY$1,),))/VLOOKUP(EDATE(B106,-12),Data!$B:$AY,MATCH($U$1,Data!$B$1:$AY$1,),)</f>
        <v>5.632061165672865E-3</v>
      </c>
      <c r="V106" s="21" t="e">
        <f>(VLOOKUP(B106,Data!$B:$AY,MATCH($V$1,Data!$B$1:$AY$1,),)-VLOOKUP(EDATE(B106,-12),Data!$B:$AY,MATCH($V$1,Data!$B$1:$AY$1,),))/VLOOKUP(EDATE(B106,-12),Data!$B:$AY,MATCH($V$1,Data!$B$1:$AY$1,),)</f>
        <v>#DIV/0!</v>
      </c>
      <c r="W106" s="21">
        <f>(VLOOKUP(B106,Data!$B:$AY,MATCH($W$1,Data!$B$1:$AY$1,),)-VLOOKUP(EDATE(B106,-12),Data!$B:$AY,MATCH($W$1,Data!$B$1:$AY$1,),))/VLOOKUP(EDATE(B106,-12),Data!$B:$AY,MATCH($W$1,Data!$B$1:$AY$1,),)</f>
        <v>0.20301772783781499</v>
      </c>
      <c r="X106" s="21">
        <f>(VLOOKUP(B106,Data!$B:$AY,MATCH($X$1,Data!$B$1:$AY$1,),)-VLOOKUP(EDATE(B106,-12),Data!$B:$AY,MATCH($X$1,Data!$B$1:$AY$1,),))/VLOOKUP(EDATE(B106,-12),Data!$B:$AY,MATCH($X$1,Data!$B$1:$AY$1,),)</f>
        <v>2.0211742059672706E-2</v>
      </c>
      <c r="Y106" s="21">
        <f>(VLOOKUP(B106,Data!$B:$AY,MATCH($Y$1,Data!$B$1:$AY$1,),)-VLOOKUP(EDATE(B106,-12),Data!$B:$AY,MATCH($Y$1,Data!$B$1:$AY$1,),))/VLOOKUP(EDATE(B106,-12),Data!$B:$AY,MATCH($Y$1,Data!$B$1:$AY$1,),)</f>
        <v>1.1904750297618793E-2</v>
      </c>
      <c r="Z106" s="21" t="e">
        <f>(VLOOKUP(B106,Data!$B:$AY,MATCH($Z$1,Data!$B$1:$AY$1,),)-VLOOKUP(EDATE(B106,-12),Data!$B:$AY,MATCH($Z$1,Data!$B$1:$AY$1,),))/VLOOKUP(EDATE(B106,-12),Data!$B:$AY,MATCH($Z$1,Data!$B$1:$AY$1,),)</f>
        <v>#N/A</v>
      </c>
      <c r="AA106" s="21" t="e">
        <f>(VLOOKUP(B106,Data!$B:$AY,MATCH($AA$1,Data!$B$1:$AY$1,),)-VLOOKUP(EDATE(B106,-12),Data!$B:$AY,MATCH($AA$1,Data!$B$1:$AY$1,),))/VLOOKUP(EDATE(B106,-12),Data!$B:$AY,MATCH($AA$1,Data!$B$1:$AY$1,),)</f>
        <v>#N/A</v>
      </c>
    </row>
    <row r="107" spans="2:28" s="3" customFormat="1" x14ac:dyDescent="0.2">
      <c r="B107" s="16">
        <v>43466</v>
      </c>
      <c r="C107" s="21">
        <f>(VLOOKUP(B107,Data!$B:$AY,MATCH($C$1,Data!$B$1:$AY$1,),)-VLOOKUP(EDATE(B107,-12),Data!$B:$AY,MATCH($C$1,Data!$B$1:$AY$1,),))/VLOOKUP(EDATE(B107,-12),Data!$B:$AY,MATCH($C$1,Data!$B$1:$AY$1,),)</f>
        <v>1.5512867466008624E-2</v>
      </c>
      <c r="D107" s="21">
        <f>(VLOOKUP(B107,Data!$B:$AY,MATCH($D$1,Data!$B$1:$AY$1,),)-VLOOKUP(EDATE(B107,-12),Data!$B:$AY,MATCH($D$1,Data!$B$1:$AY$1,),))/VLOOKUP(EDATE(B107,-12),Data!$B:$AY,MATCH($D$1,Data!$B$1:$AY$1,),)</f>
        <v>1.711026615969579E-2</v>
      </c>
      <c r="E107" s="21">
        <f>(VLOOKUP(B107,Data!$B:$AY,MATCH($E$1,Data!$B$1:$AY$1,),)-VLOOKUP(EDATE(B107,-12),Data!$B:$AY,MATCH($E$1,Data!$B$1:$AY$1,),))/VLOOKUP(EDATE(B107,-12),Data!$B:$AY,MATCH($E$1,Data!$B$1:$AY$1,),)</f>
        <v>1.3883418668767198E-2</v>
      </c>
      <c r="F107" s="21">
        <f>(VLOOKUP(B107,Data!$B:$AY,MATCH($F$1,Data!$B$1:$AY$1,),)-VLOOKUP(EDATE(B107,-12),Data!$B:$AY,MATCH($F$1,Data!$B$1:$AY$1,),))/VLOOKUP(EDATE(B107,-12),Data!$B:$AY,MATCH($F$1,Data!$B$1:$AY$1,),)</f>
        <v>1.9743336623889718E-3</v>
      </c>
      <c r="G107" s="21">
        <f>(VLOOKUP(B107,Data!$B:$AY,MATCH($G$1,Data!$B$1:$AY$1,),)-VLOOKUP(EDATE(B107,-12),Data!$B:$AY,MATCH($G$1,Data!$B$1:$AY$1,),))/VLOOKUP(EDATE(B107,-12),Data!$B:$AY,MATCH($G$1,Data!$B$1:$AY$1,),)</f>
        <v>1.3725163453149947E-2</v>
      </c>
      <c r="H107" s="21">
        <f>(VLOOKUP(B107,Data!$B:$AY,MATCH($H$1,Data!$B$1:$AY$1,),)-VLOOKUP(EDATE(B107,-12),Data!$B:$AY,MATCH($H$1,Data!$B$1:$AY$1,),))/VLOOKUP(EDATE(B107,-12),Data!$B:$AY,MATCH($H$1,Data!$B$1:$AY$1,),)</f>
        <v>1.2383292383292433E-2</v>
      </c>
      <c r="I107" s="21">
        <f>(VLOOKUP(B107,Data!$B:$AY,MATCH($I$1,Data!$B$1:$AY$1,),)-VLOOKUP(EDATE(B107,-12),Data!$B:$AY,MATCH($I$1,Data!$B$1:$AY$1,),))/VLOOKUP(EDATE(B107,-12),Data!$B:$AY,MATCH($I$1,Data!$B$1:$AY$1,),)</f>
        <v>1.8181818181818236E-2</v>
      </c>
      <c r="J107" s="21">
        <f>(VLOOKUP(B107,Data!$B:$AY,MATCH($J$1,Data!$B$1:$AY$1,),)-VLOOKUP(EDATE(B107,-12),Data!$B:$AY,MATCH($J$1,Data!$B$1:$AY$1,),))/VLOOKUP(EDATE(B107,-12),Data!$B:$AY,MATCH($J$1,Data!$B$1:$AY$1,),)</f>
        <v>8.8669950738916817E-3</v>
      </c>
      <c r="K107" s="21">
        <f>(VLOOKUP(B107,Data!$B:$AY,MATCH($K$1,Data!$B$1:$AY$1,),)-VLOOKUP(EDATE(B107,-12),Data!$B:$AY,MATCH($K$1,Data!$B$1:$AY$1,),))/VLOOKUP(EDATE(B107,-12),Data!$B:$AY,MATCH($K$1,Data!$B$1:$AY$1,),)</f>
        <v>9.7973672765970018E-3</v>
      </c>
      <c r="L107" s="21">
        <f>(VLOOKUP(B107,Data!$B:$AY,MATCH($L$1,Data!$B$1:$AY$1,),)-VLOOKUP(EDATE(B107,-12),Data!$B:$AY,MATCH($L$1,Data!$B$1:$AY$1,),))/VLOOKUP(EDATE(B107,-12),Data!$B:$AY,MATCH($L$1,Data!$B$1:$AY$1,),)</f>
        <v>1.8759363650672482E-2</v>
      </c>
      <c r="M107" s="21">
        <f>(VLOOKUP(B107,Data!$B:$AY,MATCH($M$1,Data!$B$1:$AY$1,),)-VLOOKUP(EDATE(B107,-12),Data!$B:$AY,MATCH($M$1,Data!$B$1:$AY$1,),))/VLOOKUP(EDATE(B107,-12),Data!$B:$AY,MATCH($M$1,Data!$B$1:$AY$1,),)</f>
        <v>4.3655592474458681E-2</v>
      </c>
      <c r="N107" s="21" t="e">
        <f>(VLOOKUP(B107,Data!$B:$AY,MATCH($N$1,Data!$B$1:$AY$1,),)-VLOOKUP(EDATE(B107,-12),Data!$B:$AY,MATCH($N$1,Data!$B$1:$AY$1,),))/VLOOKUP(EDATE(B107,-12),Data!$B:$AY,MATCH($N$1,Data!$B$1:$AY$1,),)</f>
        <v>#DIV/0!</v>
      </c>
      <c r="O107" s="21">
        <f>(VLOOKUP(B107,Data!$B:$AY,MATCH($O$1,Data!$B$1:$AY$1,),)-VLOOKUP(EDATE(B107,-12),Data!$B:$AY,MATCH($O$1,Data!$B$1:$AY$1,),))/VLOOKUP(EDATE(B107,-12),Data!$B:$AY,MATCH($O$1,Data!$B$1:$AY$1,),)</f>
        <v>6.5971371256887151E-2</v>
      </c>
      <c r="P107" s="21">
        <f>(VLOOKUP(B107,Data!$B:$AY,MATCH($P$1,Data!$B$1:$AY$1,),)-VLOOKUP(EDATE(B107,-12),Data!$B:$AY,MATCH($P$1,Data!$B$1:$AY$1,),))/VLOOKUP(EDATE(B107,-12),Data!$B:$AY,MATCH($P$1,Data!$B$1:$AY$1,),)</f>
        <v>1.442687481139924E-2</v>
      </c>
      <c r="Q107" s="21" t="e">
        <f>(VLOOKUP(B107,Data!$B:$AY,MATCH($Q$1,Data!$B$1:$AY$1,),)-VLOOKUP(EDATE(B107,-12),Data!$B:$AY,MATCH($Q$1,Data!$B$1:$AY$1,),))/VLOOKUP(EDATE(B107,-12),Data!$B:$AY,MATCH($Q$1,Data!$B$1:$AY$1,),)</f>
        <v>#N/A</v>
      </c>
      <c r="R107" s="21">
        <f>(VLOOKUP(B107,Data!$B:$AY,MATCH($R$1,Data!$B$1:$AY$1,),)-VLOOKUP(EDATE(B107,-12),Data!$B:$AY,MATCH($R$1,Data!$B$1:$AY$1,),))/VLOOKUP(EDATE(B107,-12),Data!$B:$AY,MATCH($R$1,Data!$B$1:$AY$1,),)</f>
        <v>5.6014684120545858E-3</v>
      </c>
      <c r="S107" s="21">
        <f>(VLOOKUP(B107,Data!$B:$AY,MATCH($S$1,Data!$B$1:$AY$1,),)-VLOOKUP(EDATE(B107,-12),Data!$B:$AY,MATCH($S$1,Data!$B$1:$AY$1,),))/VLOOKUP(EDATE(B107,-12),Data!$B:$AY,MATCH($S$1,Data!$B$1:$AY$1,),)</f>
        <v>7.9288338812608123E-3</v>
      </c>
      <c r="T107" s="21">
        <f>(VLOOKUP(B107,Data!$B:$AY,MATCH($T$1,Data!$B$1:$AY$1,),)-VLOOKUP(EDATE(B107,-12),Data!$B:$AY,MATCH($T$1,Data!$B$1:$AY$1,),))/VLOOKUP(EDATE(B107,-12),Data!$B:$AY,MATCH($T$1,Data!$B$1:$AY$1,),)</f>
        <v>3.7765289290874714E-2</v>
      </c>
      <c r="U107" s="21">
        <f>(VLOOKUP(B107,Data!$B:$AY,MATCH($U$1,Data!$B$1:$AY$1,),)-VLOOKUP(EDATE(B107,-12),Data!$B:$AY,MATCH($U$1,Data!$B$1:$AY$1,),))/VLOOKUP(EDATE(B107,-12),Data!$B:$AY,MATCH($U$1,Data!$B$1:$AY$1,),)</f>
        <v>4.3894867846197907E-3</v>
      </c>
      <c r="V107" s="21" t="e">
        <f>(VLOOKUP(B107,Data!$B:$AY,MATCH($V$1,Data!$B$1:$AY$1,),)-VLOOKUP(EDATE(B107,-12),Data!$B:$AY,MATCH($V$1,Data!$B$1:$AY$1,),))/VLOOKUP(EDATE(B107,-12),Data!$B:$AY,MATCH($V$1,Data!$B$1:$AY$1,),)</f>
        <v>#DIV/0!</v>
      </c>
      <c r="W107" s="21">
        <f>(VLOOKUP(B107,Data!$B:$AY,MATCH($W$1,Data!$B$1:$AY$1,),)-VLOOKUP(EDATE(B107,-12),Data!$B:$AY,MATCH($W$1,Data!$B$1:$AY$1,),))/VLOOKUP(EDATE(B107,-12),Data!$B:$AY,MATCH($W$1,Data!$B$1:$AY$1,),)</f>
        <v>0.20353670642736707</v>
      </c>
      <c r="X107" s="21">
        <f>(VLOOKUP(B107,Data!$B:$AY,MATCH($X$1,Data!$B$1:$AY$1,),)-VLOOKUP(EDATE(B107,-12),Data!$B:$AY,MATCH($X$1,Data!$B$1:$AY$1,),))/VLOOKUP(EDATE(B107,-12),Data!$B:$AY,MATCH($X$1,Data!$B$1:$AY$1,),)</f>
        <v>2.4880382775119562E-2</v>
      </c>
      <c r="Y107" s="21">
        <f>(VLOOKUP(B107,Data!$B:$AY,MATCH($Y$1,Data!$B$1:$AY$1,),)-VLOOKUP(EDATE(B107,-12),Data!$B:$AY,MATCH($Y$1,Data!$B$1:$AY$1,),))/VLOOKUP(EDATE(B107,-12),Data!$B:$AY,MATCH($Y$1,Data!$B$1:$AY$1,),)</f>
        <v>6.3291077726923941E-3</v>
      </c>
    </row>
    <row r="108" spans="2:28" s="3" customFormat="1" x14ac:dyDescent="0.2">
      <c r="B108" s="16">
        <v>43497</v>
      </c>
      <c r="C108" s="21">
        <f>(VLOOKUP(B108,Data!$B:$AY,MATCH($C$1,Data!$B$1:$AY$1,),)-VLOOKUP(EDATE(B108,-12),Data!$B:$AY,MATCH($C$1,Data!$B$1:$AY$1,),))/VLOOKUP(EDATE(B108,-12),Data!$B:$AY,MATCH($C$1,Data!$B$1:$AY$1,),)</f>
        <v>1.520104329284536E-2</v>
      </c>
      <c r="D108" s="21">
        <f>(VLOOKUP(B108,Data!$B:$AY,MATCH($D$1,Data!$B$1:$AY$1,),)-VLOOKUP(EDATE(B108,-12),Data!$B:$AY,MATCH($D$1,Data!$B$1:$AY$1,),))/VLOOKUP(EDATE(B108,-12),Data!$B:$AY,MATCH($D$1,Data!$B$1:$AY$1,),)</f>
        <v>1.5023474178403702E-2</v>
      </c>
      <c r="E108" s="21">
        <f>(VLOOKUP(B108,Data!$B:$AY,MATCH($E$1,Data!$B$1:$AY$1,),)-VLOOKUP(EDATE(B108,-12),Data!$B:$AY,MATCH($E$1,Data!$B$1:$AY$1,),))/VLOOKUP(EDATE(B108,-12),Data!$B:$AY,MATCH($E$1,Data!$B$1:$AY$1,),)</f>
        <v>1.4934171742975006E-2</v>
      </c>
      <c r="F108" s="21">
        <f>(VLOOKUP(B108,Data!$B:$AY,MATCH($F$1,Data!$B$1:$AY$1,),)-VLOOKUP(EDATE(B108,-12),Data!$B:$AY,MATCH($F$1,Data!$B$1:$AY$1,),))/VLOOKUP(EDATE(B108,-12),Data!$B:$AY,MATCH($F$1,Data!$B$1:$AY$1,),)</f>
        <v>1.9743336623889718E-3</v>
      </c>
      <c r="G108" s="21">
        <f>(VLOOKUP(B108,Data!$B:$AY,MATCH($G$1,Data!$B$1:$AY$1,),)-VLOOKUP(EDATE(B108,-12),Data!$B:$AY,MATCH($G$1,Data!$B$1:$AY$1,),))/VLOOKUP(EDATE(B108,-12),Data!$B:$AY,MATCH($G$1,Data!$B$1:$AY$1,),)</f>
        <v>1.4662260756022274E-2</v>
      </c>
      <c r="H108" s="21">
        <f>(VLOOKUP(B108,Data!$B:$AY,MATCH($H$1,Data!$B$1:$AY$1,),)-VLOOKUP(EDATE(B108,-12),Data!$B:$AY,MATCH($H$1,Data!$B$1:$AY$1,),))/VLOOKUP(EDATE(B108,-12),Data!$B:$AY,MATCH($H$1,Data!$B$1:$AY$1,),)</f>
        <v>1.3173417223751508E-2</v>
      </c>
      <c r="I108" s="21">
        <f>(VLOOKUP(B108,Data!$B:$AY,MATCH($I$1,Data!$B$1:$AY$1,),)-VLOOKUP(EDATE(B108,-12),Data!$B:$AY,MATCH($I$1,Data!$B$1:$AY$1,),))/VLOOKUP(EDATE(B108,-12),Data!$B:$AY,MATCH($I$1,Data!$B$1:$AY$1,),)</f>
        <v>1.8112488083889336E-2</v>
      </c>
      <c r="J108" s="21">
        <f>(VLOOKUP(B108,Data!$B:$AY,MATCH($J$1,Data!$B$1:$AY$1,),)-VLOOKUP(EDATE(B108,-12),Data!$B:$AY,MATCH($J$1,Data!$B$1:$AY$1,),))/VLOOKUP(EDATE(B108,-12),Data!$B:$AY,MATCH($J$1,Data!$B$1:$AY$1,),)</f>
        <v>9.852216748768473E-3</v>
      </c>
      <c r="K108" s="21">
        <f>(VLOOKUP(B108,Data!$B:$AY,MATCH($K$1,Data!$B$1:$AY$1,),)-VLOOKUP(EDATE(B108,-12),Data!$B:$AY,MATCH($K$1,Data!$B$1:$AY$1,),))/VLOOKUP(EDATE(B108,-12),Data!$B:$AY,MATCH($K$1,Data!$B$1:$AY$1,),)</f>
        <v>1.0898923440871591E-2</v>
      </c>
      <c r="L108" s="21">
        <f>(VLOOKUP(B108,Data!$B:$AY,MATCH($L$1,Data!$B$1:$AY$1,),)-VLOOKUP(EDATE(B108,-12),Data!$B:$AY,MATCH($L$1,Data!$B$1:$AY$1,),))/VLOOKUP(EDATE(B108,-12),Data!$B:$AY,MATCH($L$1,Data!$B$1:$AY$1,),)</f>
        <v>1.8930764348780531E-2</v>
      </c>
      <c r="M108" s="21">
        <f>(VLOOKUP(B108,Data!$B:$AY,MATCH($M$1,Data!$B$1:$AY$1,),)-VLOOKUP(EDATE(B108,-12),Data!$B:$AY,MATCH($M$1,Data!$B$1:$AY$1,),))/VLOOKUP(EDATE(B108,-12),Data!$B:$AY,MATCH($M$1,Data!$B$1:$AY$1,),)</f>
        <v>3.9402009388459627E-2</v>
      </c>
      <c r="N108" s="21" t="e">
        <f>(VLOOKUP(B108,Data!$B:$AY,MATCH($N$1,Data!$B$1:$AY$1,),)-VLOOKUP(EDATE(B108,-12),Data!$B:$AY,MATCH($N$1,Data!$B$1:$AY$1,),))/VLOOKUP(EDATE(B108,-12),Data!$B:$AY,MATCH($N$1,Data!$B$1:$AY$1,),)</f>
        <v>#DIV/0!</v>
      </c>
      <c r="O108" s="21">
        <f>(VLOOKUP(B108,Data!$B:$AY,MATCH($O$1,Data!$B$1:$AY$1,),)-VLOOKUP(EDATE(B108,-12),Data!$B:$AY,MATCH($O$1,Data!$B$1:$AY$1,),))/VLOOKUP(EDATE(B108,-12),Data!$B:$AY,MATCH($O$1,Data!$B$1:$AY$1,),)</f>
        <v>6.968622707366301E-2</v>
      </c>
      <c r="P108" s="21">
        <f>(VLOOKUP(B108,Data!$B:$AY,MATCH($P$1,Data!$B$1:$AY$1,),)-VLOOKUP(EDATE(B108,-12),Data!$B:$AY,MATCH($P$1,Data!$B$1:$AY$1,),))/VLOOKUP(EDATE(B108,-12),Data!$B:$AY,MATCH($P$1,Data!$B$1:$AY$1,),)</f>
        <v>1.509439008710658E-2</v>
      </c>
      <c r="Q108" s="21" t="e">
        <f>(VLOOKUP(B108,Data!$B:$AY,MATCH($Q$1,Data!$B$1:$AY$1,),)-VLOOKUP(EDATE(B108,-12),Data!$B:$AY,MATCH($Q$1,Data!$B$1:$AY$1,),))/VLOOKUP(EDATE(B108,-12),Data!$B:$AY,MATCH($Q$1,Data!$B$1:$AY$1,),)</f>
        <v>#N/A</v>
      </c>
      <c r="R108" s="21">
        <f>(VLOOKUP(B108,Data!$B:$AY,MATCH($R$1,Data!$B$1:$AY$1,),)-VLOOKUP(EDATE(B108,-12),Data!$B:$AY,MATCH($R$1,Data!$B$1:$AY$1,),))/VLOOKUP(EDATE(B108,-12),Data!$B:$AY,MATCH($R$1,Data!$B$1:$AY$1,),)</f>
        <v>5.7868722716932931E-3</v>
      </c>
      <c r="S108" s="21">
        <f>(VLOOKUP(B108,Data!$B:$AY,MATCH($S$1,Data!$B$1:$AY$1,),)-VLOOKUP(EDATE(B108,-12),Data!$B:$AY,MATCH($S$1,Data!$B$1:$AY$1,),))/VLOOKUP(EDATE(B108,-12),Data!$B:$AY,MATCH($S$1,Data!$B$1:$AY$1,),)</f>
        <v>4.6060838691104888E-3</v>
      </c>
      <c r="T108" s="21">
        <f>(VLOOKUP(B108,Data!$B:$AY,MATCH($T$1,Data!$B$1:$AY$1,),)-VLOOKUP(EDATE(B108,-12),Data!$B:$AY,MATCH($T$1,Data!$B$1:$AY$1,),))/VLOOKUP(EDATE(B108,-12),Data!$B:$AY,MATCH($T$1,Data!$B$1:$AY$1,),)</f>
        <v>3.8902172094579565E-2</v>
      </c>
      <c r="U108" s="21">
        <f>(VLOOKUP(B108,Data!$B:$AY,MATCH($U$1,Data!$B$1:$AY$1,),)-VLOOKUP(EDATE(B108,-12),Data!$B:$AY,MATCH($U$1,Data!$B$1:$AY$1,),))/VLOOKUP(EDATE(B108,-12),Data!$B:$AY,MATCH($U$1,Data!$B$1:$AY$1,),)</f>
        <v>6.202531913929183E-3</v>
      </c>
      <c r="V108" s="21" t="e">
        <f>(VLOOKUP(B108,Data!$B:$AY,MATCH($V$1,Data!$B$1:$AY$1,),)-VLOOKUP(EDATE(B108,-12),Data!$B:$AY,MATCH($V$1,Data!$B$1:$AY$1,),))/VLOOKUP(EDATE(B108,-12),Data!$B:$AY,MATCH($V$1,Data!$B$1:$AY$1,),)</f>
        <v>#DIV/0!</v>
      </c>
      <c r="W108" s="21">
        <f>(VLOOKUP(B108,Data!$B:$AY,MATCH($W$1,Data!$B$1:$AY$1,),)-VLOOKUP(EDATE(B108,-12),Data!$B:$AY,MATCH($W$1,Data!$B$1:$AY$1,),))/VLOOKUP(EDATE(B108,-12),Data!$B:$AY,MATCH($W$1,Data!$B$1:$AY$1,),)</f>
        <v>0.19671642631551767</v>
      </c>
      <c r="X108" s="21">
        <f>(VLOOKUP(B108,Data!$B:$AY,MATCH($X$1,Data!$B$1:$AY$1,),)-VLOOKUP(EDATE(B108,-12),Data!$B:$AY,MATCH($X$1,Data!$B$1:$AY$1,),))/VLOOKUP(EDATE(B108,-12),Data!$B:$AY,MATCH($X$1,Data!$B$1:$AY$1,),)</f>
        <v>2.6794258373205714E-2</v>
      </c>
      <c r="Y108" s="21">
        <f>(VLOOKUP(B108,Data!$B:$AY,MATCH($Y$1,Data!$B$1:$AY$1,),)-VLOOKUP(EDATE(B108,-12),Data!$B:$AY,MATCH($Y$1,Data!$B$1:$AY$1,),))/VLOOKUP(EDATE(B108,-12),Data!$B:$AY,MATCH($Y$1,Data!$B$1:$AY$1,),)</f>
        <v>1.2688330223926092E-2</v>
      </c>
    </row>
    <row r="109" spans="2:28" s="3" customFormat="1" x14ac:dyDescent="0.2">
      <c r="B109" s="16">
        <v>43525</v>
      </c>
      <c r="C109" s="21">
        <f>(VLOOKUP(B109,Data!$B:$AY,MATCH($C$1,Data!$B$1:$AY$1,),)-VLOOKUP(EDATE(B109,-12),Data!$B:$AY,MATCH($C$1,Data!$B$1:$AY$1,),))/VLOOKUP(EDATE(B109,-12),Data!$B:$AY,MATCH($C$1,Data!$B$1:$AY$1,),)</f>
        <v>1.8624839134006699E-2</v>
      </c>
      <c r="D109" s="21">
        <f>(VLOOKUP(B109,Data!$B:$AY,MATCH($D$1,Data!$B$1:$AY$1,),)-VLOOKUP(EDATE(B109,-12),Data!$B:$AY,MATCH($D$1,Data!$B$1:$AY$1,),))/VLOOKUP(EDATE(B109,-12),Data!$B:$AY,MATCH($D$1,Data!$B$1:$AY$1,),)</f>
        <v>2.2792022792022845E-2</v>
      </c>
      <c r="E109" s="21">
        <f>(VLOOKUP(B109,Data!$B:$AY,MATCH($E$1,Data!$B$1:$AY$1,),)-VLOOKUP(EDATE(B109,-12),Data!$B:$AY,MATCH($E$1,Data!$B$1:$AY$1,),))/VLOOKUP(EDATE(B109,-12),Data!$B:$AY,MATCH($E$1,Data!$B$1:$AY$1,),)</f>
        <v>1.399280925080165E-2</v>
      </c>
      <c r="F109" s="21">
        <f>(VLOOKUP(B109,Data!$B:$AY,MATCH($F$1,Data!$B$1:$AY$1,),)-VLOOKUP(EDATE(B109,-12),Data!$B:$AY,MATCH($F$1,Data!$B$1:$AY$1,),))/VLOOKUP(EDATE(B109,-12),Data!$B:$AY,MATCH($F$1,Data!$B$1:$AY$1,),)</f>
        <v>4.9504950495049506E-3</v>
      </c>
      <c r="G109" s="21">
        <f>(VLOOKUP(B109,Data!$B:$AY,MATCH($G$1,Data!$B$1:$AY$1,),)-VLOOKUP(EDATE(B109,-12),Data!$B:$AY,MATCH($G$1,Data!$B$1:$AY$1,),))/VLOOKUP(EDATE(B109,-12),Data!$B:$AY,MATCH($G$1,Data!$B$1:$AY$1,),)</f>
        <v>1.2633456798280597E-2</v>
      </c>
      <c r="H109" s="21">
        <f>(VLOOKUP(B109,Data!$B:$AY,MATCH($H$1,Data!$B$1:$AY$1,),)-VLOOKUP(EDATE(B109,-12),Data!$B:$AY,MATCH($H$1,Data!$B$1:$AY$1,),))/VLOOKUP(EDATE(B109,-12),Data!$B:$AY,MATCH($H$1,Data!$B$1:$AY$1,),)</f>
        <v>1.1094890510948911E-2</v>
      </c>
      <c r="I109" s="21">
        <f>(VLOOKUP(B109,Data!$B:$AY,MATCH($I$1,Data!$B$1:$AY$1,),)-VLOOKUP(EDATE(B109,-12),Data!$B:$AY,MATCH($I$1,Data!$B$1:$AY$1,),))/VLOOKUP(EDATE(B109,-12),Data!$B:$AY,MATCH($I$1,Data!$B$1:$AY$1,),)</f>
        <v>1.8078020932445347E-2</v>
      </c>
      <c r="J109" s="21">
        <f>(VLOOKUP(B109,Data!$B:$AY,MATCH($J$1,Data!$B$1:$AY$1,),)-VLOOKUP(EDATE(B109,-12),Data!$B:$AY,MATCH($J$1,Data!$B$1:$AY$1,),))/VLOOKUP(EDATE(B109,-12),Data!$B:$AY,MATCH($J$1,Data!$B$1:$AY$1,),)</f>
        <v>9.823182711198428E-3</v>
      </c>
      <c r="K109" s="21">
        <f>(VLOOKUP(B109,Data!$B:$AY,MATCH($K$1,Data!$B$1:$AY$1,),)-VLOOKUP(EDATE(B109,-12),Data!$B:$AY,MATCH($K$1,Data!$B$1:$AY$1,),))/VLOOKUP(EDATE(B109,-12),Data!$B:$AY,MATCH($K$1,Data!$B$1:$AY$1,),)</f>
        <v>1.3378168771347022E-2</v>
      </c>
      <c r="L109" s="21">
        <f>(VLOOKUP(B109,Data!$B:$AY,MATCH($L$1,Data!$B$1:$AY$1,),)-VLOOKUP(EDATE(B109,-12),Data!$B:$AY,MATCH($L$1,Data!$B$1:$AY$1,),))/VLOOKUP(EDATE(B109,-12),Data!$B:$AY,MATCH($L$1,Data!$B$1:$AY$1,),)</f>
        <v>1.8510645256238405E-2</v>
      </c>
      <c r="M109" s="21">
        <f>(VLOOKUP(B109,Data!$B:$AY,MATCH($M$1,Data!$B$1:$AY$1,),)-VLOOKUP(EDATE(B109,-12),Data!$B:$AY,MATCH($M$1,Data!$B$1:$AY$1,),))/VLOOKUP(EDATE(B109,-12),Data!$B:$AY,MATCH($M$1,Data!$B$1:$AY$1,),)</f>
        <v>4.004235944206766E-2</v>
      </c>
      <c r="N109" s="21" t="e">
        <f>(VLOOKUP(B109,Data!$B:$AY,MATCH($N$1,Data!$B$1:$AY$1,),)-VLOOKUP(EDATE(B109,-12),Data!$B:$AY,MATCH($N$1,Data!$B$1:$AY$1,),))/VLOOKUP(EDATE(B109,-12),Data!$B:$AY,MATCH($N$1,Data!$B$1:$AY$1,),)</f>
        <v>#DIV/0!</v>
      </c>
      <c r="O109" s="21">
        <f>(VLOOKUP(B109,Data!$B:$AY,MATCH($O$1,Data!$B$1:$AY$1,),)-VLOOKUP(EDATE(B109,-12),Data!$B:$AY,MATCH($O$1,Data!$B$1:$AY$1,),))/VLOOKUP(EDATE(B109,-12),Data!$B:$AY,MATCH($O$1,Data!$B$1:$AY$1,),)</f>
        <v>7.6655214124882506E-2</v>
      </c>
      <c r="P109" s="21">
        <f>(VLOOKUP(B109,Data!$B:$AY,MATCH($P$1,Data!$B$1:$AY$1,),)-VLOOKUP(EDATE(B109,-12),Data!$B:$AY,MATCH($P$1,Data!$B$1:$AY$1,),))/VLOOKUP(EDATE(B109,-12),Data!$B:$AY,MATCH($P$1,Data!$B$1:$AY$1,),)</f>
        <v>1.8810711972877231E-2</v>
      </c>
      <c r="Q109" s="21" t="e">
        <f>(VLOOKUP(B109,Data!$B:$AY,MATCH($Q$1,Data!$B$1:$AY$1,),)-VLOOKUP(EDATE(B109,-12),Data!$B:$AY,MATCH($Q$1,Data!$B$1:$AY$1,),))/VLOOKUP(EDATE(B109,-12),Data!$B:$AY,MATCH($Q$1,Data!$B$1:$AY$1,),)</f>
        <v>#N/A</v>
      </c>
      <c r="R109" s="21">
        <f>(VLOOKUP(B109,Data!$B:$AY,MATCH($R$1,Data!$B$1:$AY$1,),)-VLOOKUP(EDATE(B109,-12),Data!$B:$AY,MATCH($R$1,Data!$B$1:$AY$1,),))/VLOOKUP(EDATE(B109,-12),Data!$B:$AY,MATCH($R$1,Data!$B$1:$AY$1,),)</f>
        <v>7.2900768279488583E-3</v>
      </c>
      <c r="S109" s="21">
        <f>(VLOOKUP(B109,Data!$B:$AY,MATCH($S$1,Data!$B$1:$AY$1,),)-VLOOKUP(EDATE(B109,-12),Data!$B:$AY,MATCH($S$1,Data!$B$1:$AY$1,),))/VLOOKUP(EDATE(B109,-12),Data!$B:$AY,MATCH($S$1,Data!$B$1:$AY$1,),)</f>
        <v>3.7463976945245015E-3</v>
      </c>
      <c r="T109" s="21">
        <f>(VLOOKUP(B109,Data!$B:$AY,MATCH($T$1,Data!$B$1:$AY$1,),)-VLOOKUP(EDATE(B109,-12),Data!$B:$AY,MATCH($T$1,Data!$B$1:$AY$1,),))/VLOOKUP(EDATE(B109,-12),Data!$B:$AY,MATCH($T$1,Data!$B$1:$AY$1,),)</f>
        <v>4.5752476100849565E-2</v>
      </c>
      <c r="U109" s="21">
        <f>(VLOOKUP(B109,Data!$B:$AY,MATCH($U$1,Data!$B$1:$AY$1,),)-VLOOKUP(EDATE(B109,-12),Data!$B:$AY,MATCH($U$1,Data!$B$1:$AY$1,),))/VLOOKUP(EDATE(B109,-12),Data!$B:$AY,MATCH($U$1,Data!$B$1:$AY$1,),)</f>
        <v>9.4306216193096142E-3</v>
      </c>
      <c r="V109" s="21" t="e">
        <f>(VLOOKUP(B109,Data!$B:$AY,MATCH($V$1,Data!$B$1:$AY$1,),)-VLOOKUP(EDATE(B109,-12),Data!$B:$AY,MATCH($V$1,Data!$B$1:$AY$1,),))/VLOOKUP(EDATE(B109,-12),Data!$B:$AY,MATCH($V$1,Data!$B$1:$AY$1,),)</f>
        <v>#DIV/0!</v>
      </c>
      <c r="W109" s="21">
        <f>(VLOOKUP(B109,Data!$B:$AY,MATCH($W$1,Data!$B$1:$AY$1,),)-VLOOKUP(EDATE(B109,-12),Data!$B:$AY,MATCH($W$1,Data!$B$1:$AY$1,),))/VLOOKUP(EDATE(B109,-12),Data!$B:$AY,MATCH($W$1,Data!$B$1:$AY$1,),)</f>
        <v>0.19712944376293337</v>
      </c>
      <c r="X109" s="21">
        <f>(VLOOKUP(B109,Data!$B:$AY,MATCH($X$1,Data!$B$1:$AY$1,),)-VLOOKUP(EDATE(B109,-12),Data!$B:$AY,MATCH($X$1,Data!$B$1:$AY$1,),))/VLOOKUP(EDATE(B109,-12),Data!$B:$AY,MATCH($X$1,Data!$B$1:$AY$1,),)</f>
        <v>2.9693486590038259E-2</v>
      </c>
      <c r="Y109" s="21">
        <f>(VLOOKUP(B109,Data!$B:$AY,MATCH($Y$1,Data!$B$1:$AY$1,),)-VLOOKUP(EDATE(B109,-12),Data!$B:$AY,MATCH($Y$1,Data!$B$1:$AY$1,),))/VLOOKUP(EDATE(B109,-12),Data!$B:$AY,MATCH($Y$1,Data!$B$1:$AY$1,),)</f>
        <v>1.6666650416666283E-2</v>
      </c>
    </row>
    <row r="110" spans="2:28" s="3" customFormat="1" x14ac:dyDescent="0.2">
      <c r="B110" s="16">
        <v>43556</v>
      </c>
      <c r="C110" s="21">
        <f>(VLOOKUP(B110,Data!$B:$AY,MATCH($C$1,Data!$B$1:$AY$1,),)-VLOOKUP(EDATE(B110,-12),Data!$B:$AY,MATCH($C$1,Data!$B$1:$AY$1,),))/VLOOKUP(EDATE(B110,-12),Data!$B:$AY,MATCH($C$1,Data!$B$1:$AY$1,),)</f>
        <v>1.9964430317478323E-2</v>
      </c>
      <c r="D110" s="21">
        <f>(VLOOKUP(B110,Data!$B:$AY,MATCH($D$1,Data!$B$1:$AY$1,),)-VLOOKUP(EDATE(B110,-12),Data!$B:$AY,MATCH($D$1,Data!$B$1:$AY$1,),))/VLOOKUP(EDATE(B110,-12),Data!$B:$AY,MATCH($D$1,Data!$B$1:$AY$1,),)</f>
        <v>2.5689819219790706E-2</v>
      </c>
      <c r="E110" s="21">
        <f>(VLOOKUP(B110,Data!$B:$AY,MATCH($E$1,Data!$B$1:$AY$1,),)-VLOOKUP(EDATE(B110,-12),Data!$B:$AY,MATCH($E$1,Data!$B$1:$AY$1,),))/VLOOKUP(EDATE(B110,-12),Data!$B:$AY,MATCH($E$1,Data!$B$1:$AY$1,),)</f>
        <v>1.7228029423151388E-2</v>
      </c>
      <c r="F110" s="21">
        <f>(VLOOKUP(B110,Data!$B:$AY,MATCH($F$1,Data!$B$1:$AY$1,),)-VLOOKUP(EDATE(B110,-12),Data!$B:$AY,MATCH($F$1,Data!$B$1:$AY$1,),))/VLOOKUP(EDATE(B110,-12),Data!$B:$AY,MATCH($F$1,Data!$B$1:$AY$1,),)</f>
        <v>8.9197224975222141E-3</v>
      </c>
      <c r="G110" s="21">
        <f>(VLOOKUP(B110,Data!$B:$AY,MATCH($G$1,Data!$B$1:$AY$1,),)-VLOOKUP(EDATE(B110,-12),Data!$B:$AY,MATCH($G$1,Data!$B$1:$AY$1,),))/VLOOKUP(EDATE(B110,-12),Data!$B:$AY,MATCH($G$1,Data!$B$1:$AY$1,),)</f>
        <v>2.0368086022506473E-2</v>
      </c>
      <c r="H110" s="21">
        <f>(VLOOKUP(B110,Data!$B:$AY,MATCH($H$1,Data!$B$1:$AY$1,),)-VLOOKUP(EDATE(B110,-12),Data!$B:$AY,MATCH($H$1,Data!$B$1:$AY$1,),))/VLOOKUP(EDATE(B110,-12),Data!$B:$AY,MATCH($H$1,Data!$B$1:$AY$1,),)</f>
        <v>1.2631169840652906E-2</v>
      </c>
      <c r="I110" s="21">
        <f>(VLOOKUP(B110,Data!$B:$AY,MATCH($I$1,Data!$B$1:$AY$1,),)-VLOOKUP(EDATE(B110,-12),Data!$B:$AY,MATCH($I$1,Data!$B$1:$AY$1,),))/VLOOKUP(EDATE(B110,-12),Data!$B:$AY,MATCH($I$1,Data!$B$1:$AY$1,),)</f>
        <v>1.9905213270142125E-2</v>
      </c>
      <c r="J110" s="21">
        <f>(VLOOKUP(B110,Data!$B:$AY,MATCH($J$1,Data!$B$1:$AY$1,),)-VLOOKUP(EDATE(B110,-12),Data!$B:$AY,MATCH($J$1,Data!$B$1:$AY$1,),))/VLOOKUP(EDATE(B110,-12),Data!$B:$AY,MATCH($J$1,Data!$B$1:$AY$1,),)</f>
        <v>1.0794896957801709E-2</v>
      </c>
      <c r="K110" s="21">
        <f>(VLOOKUP(B110,Data!$B:$AY,MATCH($K$1,Data!$B$1:$AY$1,),)-VLOOKUP(EDATE(B110,-12),Data!$B:$AY,MATCH($K$1,Data!$B$1:$AY$1,),))/VLOOKUP(EDATE(B110,-12),Data!$B:$AY,MATCH($K$1,Data!$B$1:$AY$1,),)</f>
        <v>1.5207123981084775E-2</v>
      </c>
      <c r="L110" s="21">
        <f>(VLOOKUP(B110,Data!$B:$AY,MATCH($L$1,Data!$B$1:$AY$1,),)-VLOOKUP(EDATE(B110,-12),Data!$B:$AY,MATCH($L$1,Data!$B$1:$AY$1,),))/VLOOKUP(EDATE(B110,-12),Data!$B:$AY,MATCH($L$1,Data!$B$1:$AY$1,),)</f>
        <v>2.1430316267440672E-2</v>
      </c>
      <c r="M110" s="21">
        <f>(VLOOKUP(B110,Data!$B:$AY,MATCH($M$1,Data!$B$1:$AY$1,),)-VLOOKUP(EDATE(B110,-12),Data!$B:$AY,MATCH($M$1,Data!$B$1:$AY$1,),))/VLOOKUP(EDATE(B110,-12),Data!$B:$AY,MATCH($M$1,Data!$B$1:$AY$1,),)</f>
        <v>4.4134547383309693E-2</v>
      </c>
      <c r="N110" s="21" t="e">
        <f>(VLOOKUP(B110,Data!$B:$AY,MATCH($N$1,Data!$B$1:$AY$1,),)-VLOOKUP(EDATE(B110,-12),Data!$B:$AY,MATCH($N$1,Data!$B$1:$AY$1,),))/VLOOKUP(EDATE(B110,-12),Data!$B:$AY,MATCH($N$1,Data!$B$1:$AY$1,),)</f>
        <v>#DIV/0!</v>
      </c>
      <c r="O110" s="21">
        <f>(VLOOKUP(B110,Data!$B:$AY,MATCH($O$1,Data!$B$1:$AY$1,),)-VLOOKUP(EDATE(B110,-12),Data!$B:$AY,MATCH($O$1,Data!$B$1:$AY$1,),))/VLOOKUP(EDATE(B110,-12),Data!$B:$AY,MATCH($O$1,Data!$B$1:$AY$1,),)</f>
        <v>8.3332879485154637E-2</v>
      </c>
      <c r="P110" s="21">
        <f>(VLOOKUP(B110,Data!$B:$AY,MATCH($P$1,Data!$B$1:$AY$1,),)-VLOOKUP(EDATE(B110,-12),Data!$B:$AY,MATCH($P$1,Data!$B$1:$AY$1,),))/VLOOKUP(EDATE(B110,-12),Data!$B:$AY,MATCH($P$1,Data!$B$1:$AY$1,),)</f>
        <v>2.0255412077478215E-2</v>
      </c>
      <c r="Q110" s="21" t="e">
        <f>(VLOOKUP(B110,Data!$B:$AY,MATCH($Q$1,Data!$B$1:$AY$1,),)-VLOOKUP(EDATE(B110,-12),Data!$B:$AY,MATCH($Q$1,Data!$B$1:$AY$1,),))/VLOOKUP(EDATE(B110,-12),Data!$B:$AY,MATCH($Q$1,Data!$B$1:$AY$1,),)</f>
        <v>#N/A</v>
      </c>
      <c r="R110" s="21">
        <f>(VLOOKUP(B110,Data!$B:$AY,MATCH($R$1,Data!$B$1:$AY$1,),)-VLOOKUP(EDATE(B110,-12),Data!$B:$AY,MATCH($R$1,Data!$B$1:$AY$1,),))/VLOOKUP(EDATE(B110,-12),Data!$B:$AY,MATCH($R$1,Data!$B$1:$AY$1,),)</f>
        <v>7.0799227680776282E-3</v>
      </c>
      <c r="S110" s="21">
        <f>(VLOOKUP(B110,Data!$B:$AY,MATCH($S$1,Data!$B$1:$AY$1,),)-VLOOKUP(EDATE(B110,-12),Data!$B:$AY,MATCH($S$1,Data!$B$1:$AY$1,),))/VLOOKUP(EDATE(B110,-12),Data!$B:$AY,MATCH($S$1,Data!$B$1:$AY$1,),)</f>
        <v>5.5614152843033683E-3</v>
      </c>
      <c r="T110" s="21">
        <f>(VLOOKUP(B110,Data!$B:$AY,MATCH($T$1,Data!$B$1:$AY$1,),)-VLOOKUP(EDATE(B110,-12),Data!$B:$AY,MATCH($T$1,Data!$B$1:$AY$1,),))/VLOOKUP(EDATE(B110,-12),Data!$B:$AY,MATCH($T$1,Data!$B$1:$AY$1,),)</f>
        <v>4.9405536971196345E-2</v>
      </c>
      <c r="U110" s="21">
        <f>(VLOOKUP(B110,Data!$B:$AY,MATCH($U$1,Data!$B$1:$AY$1,),)-VLOOKUP(EDATE(B110,-12),Data!$B:$AY,MATCH($U$1,Data!$B$1:$AY$1,),))/VLOOKUP(EDATE(B110,-12),Data!$B:$AY,MATCH($U$1,Data!$B$1:$AY$1,),)</f>
        <v>1.020290483630109E-2</v>
      </c>
      <c r="V110" s="21" t="e">
        <f>(VLOOKUP(B110,Data!$B:$AY,MATCH($V$1,Data!$B$1:$AY$1,),)-VLOOKUP(EDATE(B110,-12),Data!$B:$AY,MATCH($V$1,Data!$B$1:$AY$1,),))/VLOOKUP(EDATE(B110,-12),Data!$B:$AY,MATCH($V$1,Data!$B$1:$AY$1,),)</f>
        <v>#DIV/0!</v>
      </c>
      <c r="W110" s="21">
        <f>(VLOOKUP(B110,Data!$B:$AY,MATCH($W$1,Data!$B$1:$AY$1,),)-VLOOKUP(EDATE(B110,-12),Data!$B:$AY,MATCH($W$1,Data!$B$1:$AY$1,),))/VLOOKUP(EDATE(B110,-12),Data!$B:$AY,MATCH($W$1,Data!$B$1:$AY$1,),)</f>
        <v>0.19502290134367234</v>
      </c>
      <c r="X110" s="21">
        <f>(VLOOKUP(B110,Data!$B:$AY,MATCH($X$1,Data!$B$1:$AY$1,),)-VLOOKUP(EDATE(B110,-12),Data!$B:$AY,MATCH($X$1,Data!$B$1:$AY$1,),))/VLOOKUP(EDATE(B110,-12),Data!$B:$AY,MATCH($X$1,Data!$B$1:$AY$1,),)</f>
        <v>2.7698185291308419E-2</v>
      </c>
      <c r="Y110" s="21">
        <f>(VLOOKUP(B110,Data!$B:$AY,MATCH($Y$1,Data!$B$1:$AY$1,),)-VLOOKUP(EDATE(B110,-12),Data!$B:$AY,MATCH($Y$1,Data!$B$1:$AY$1,),))/VLOOKUP(EDATE(B110,-12),Data!$B:$AY,MATCH($Y$1,Data!$B$1:$AY$1,),)</f>
        <v>2.2906770820698238E-2</v>
      </c>
    </row>
    <row r="111" spans="2:28" s="3" customFormat="1" x14ac:dyDescent="0.2">
      <c r="B111" s="16">
        <v>43586</v>
      </c>
      <c r="C111" s="21">
        <f>(VLOOKUP(B111,Data!$B:$AY,MATCH($C$1,Data!$B$1:$AY$1,),)-VLOOKUP(EDATE(B111,-12),Data!$B:$AY,MATCH($C$1,Data!$B$1:$AY$1,),))/VLOOKUP(EDATE(B111,-12),Data!$B:$AY,MATCH($C$1,Data!$B$1:$AY$1,),)</f>
        <v>1.7901471251849998E-2</v>
      </c>
      <c r="D111" s="21">
        <f>(VLOOKUP(B111,Data!$B:$AY,MATCH($D$1,Data!$B$1:$AY$1,),)-VLOOKUP(EDATE(B111,-12),Data!$B:$AY,MATCH($D$1,Data!$B$1:$AY$1,),))/VLOOKUP(EDATE(B111,-12),Data!$B:$AY,MATCH($D$1,Data!$B$1:$AY$1,),)</f>
        <v>2.7645376549094294E-2</v>
      </c>
      <c r="E111" s="21">
        <f>(VLOOKUP(B111,Data!$B:$AY,MATCH($E$1,Data!$B$1:$AY$1,),)-VLOOKUP(EDATE(B111,-12),Data!$B:$AY,MATCH($E$1,Data!$B$1:$AY$1,),))/VLOOKUP(EDATE(B111,-12),Data!$B:$AY,MATCH($E$1,Data!$B$1:$AY$1,),)</f>
        <v>1.2215062037126056E-2</v>
      </c>
      <c r="F111" s="21">
        <f>(VLOOKUP(B111,Data!$B:$AY,MATCH($F$1,Data!$B$1:$AY$1,),)-VLOOKUP(EDATE(B111,-12),Data!$B:$AY,MATCH($F$1,Data!$B$1:$AY$1,),))/VLOOKUP(EDATE(B111,-12),Data!$B:$AY,MATCH($F$1,Data!$B$1:$AY$1,),)</f>
        <v>7.9207920792078931E-3</v>
      </c>
      <c r="G111" s="21">
        <f>(VLOOKUP(B111,Data!$B:$AY,MATCH($G$1,Data!$B$1:$AY$1,),)-VLOOKUP(EDATE(B111,-12),Data!$B:$AY,MATCH($G$1,Data!$B$1:$AY$1,),))/VLOOKUP(EDATE(B111,-12),Data!$B:$AY,MATCH($G$1,Data!$B$1:$AY$1,),)</f>
        <v>1.4437442081347339E-2</v>
      </c>
      <c r="H111" s="21">
        <f>(VLOOKUP(B111,Data!$B:$AY,MATCH($H$1,Data!$B$1:$AY$1,),)-VLOOKUP(EDATE(B111,-12),Data!$B:$AY,MATCH($H$1,Data!$B$1:$AY$1,),))/VLOOKUP(EDATE(B111,-12),Data!$B:$AY,MATCH($H$1,Data!$B$1:$AY$1,),)</f>
        <v>9.3846749226006079E-3</v>
      </c>
      <c r="I111" s="21">
        <f>(VLOOKUP(B111,Data!$B:$AY,MATCH($I$1,Data!$B$1:$AY$1,),)-VLOOKUP(EDATE(B111,-12),Data!$B:$AY,MATCH($I$1,Data!$B$1:$AY$1,),))/VLOOKUP(EDATE(B111,-12),Data!$B:$AY,MATCH($I$1,Data!$B$1:$AY$1,),)</f>
        <v>1.8885741265344664E-2</v>
      </c>
      <c r="J111" s="21">
        <f>(VLOOKUP(B111,Data!$B:$AY,MATCH($J$1,Data!$B$1:$AY$1,),)-VLOOKUP(EDATE(B111,-12),Data!$B:$AY,MATCH($J$1,Data!$B$1:$AY$1,),))/VLOOKUP(EDATE(B111,-12),Data!$B:$AY,MATCH($J$1,Data!$B$1:$AY$1,),)</f>
        <v>7.8277886497064297E-3</v>
      </c>
      <c r="K111" s="21">
        <f>(VLOOKUP(B111,Data!$B:$AY,MATCH($K$1,Data!$B$1:$AY$1,),)-VLOOKUP(EDATE(B111,-12),Data!$B:$AY,MATCH($K$1,Data!$B$1:$AY$1,),))/VLOOKUP(EDATE(B111,-12),Data!$B:$AY,MATCH($K$1,Data!$B$1:$AY$1,),)</f>
        <v>8.0977544204133469E-3</v>
      </c>
      <c r="L111" s="21">
        <f>(VLOOKUP(B111,Data!$B:$AY,MATCH($L$1,Data!$B$1:$AY$1,),)-VLOOKUP(EDATE(B111,-12),Data!$B:$AY,MATCH($L$1,Data!$B$1:$AY$1,),))/VLOOKUP(EDATE(B111,-12),Data!$B:$AY,MATCH($L$1,Data!$B$1:$AY$1,),)</f>
        <v>2.16253153910849E-2</v>
      </c>
      <c r="M111" s="21">
        <f>(VLOOKUP(B111,Data!$B:$AY,MATCH($M$1,Data!$B$1:$AY$1,),)-VLOOKUP(EDATE(B111,-12),Data!$B:$AY,MATCH($M$1,Data!$B$1:$AY$1,),))/VLOOKUP(EDATE(B111,-12),Data!$B:$AY,MATCH($M$1,Data!$B$1:$AY$1,),)</f>
        <v>4.2819599669194887E-2</v>
      </c>
      <c r="N111" s="21" t="e">
        <f>(VLOOKUP(B111,Data!$B:$AY,MATCH($N$1,Data!$B$1:$AY$1,),)-VLOOKUP(EDATE(B111,-12),Data!$B:$AY,MATCH($N$1,Data!$B$1:$AY$1,),))/VLOOKUP(EDATE(B111,-12),Data!$B:$AY,MATCH($N$1,Data!$B$1:$AY$1,),)</f>
        <v>#DIV/0!</v>
      </c>
      <c r="O111" s="21">
        <f>(VLOOKUP(B111,Data!$B:$AY,MATCH($O$1,Data!$B$1:$AY$1,),)-VLOOKUP(EDATE(B111,-12),Data!$B:$AY,MATCH($O$1,Data!$B$1:$AY$1,),))/VLOOKUP(EDATE(B111,-12),Data!$B:$AY,MATCH($O$1,Data!$B$1:$AY$1,),)</f>
        <v>8.6505384368371283E-2</v>
      </c>
      <c r="P111" s="21">
        <f>(VLOOKUP(B111,Data!$B:$AY,MATCH($P$1,Data!$B$1:$AY$1,),)-VLOOKUP(EDATE(B111,-12),Data!$B:$AY,MATCH($P$1,Data!$B$1:$AY$1,),))/VLOOKUP(EDATE(B111,-12),Data!$B:$AY,MATCH($P$1,Data!$B$1:$AY$1,),)</f>
        <v>2.3987893623279171E-2</v>
      </c>
      <c r="Q111" s="21" t="e">
        <f>(VLOOKUP(B111,Data!$B:$AY,MATCH($Q$1,Data!$B$1:$AY$1,),)-VLOOKUP(EDATE(B111,-12),Data!$B:$AY,MATCH($Q$1,Data!$B$1:$AY$1,),))/VLOOKUP(EDATE(B111,-12),Data!$B:$AY,MATCH($Q$1,Data!$B$1:$AY$1,),)</f>
        <v>#N/A</v>
      </c>
      <c r="R111" s="21">
        <f>(VLOOKUP(B111,Data!$B:$AY,MATCH($R$1,Data!$B$1:$AY$1,),)-VLOOKUP(EDATE(B111,-12),Data!$B:$AY,MATCH($R$1,Data!$B$1:$AY$1,),))/VLOOKUP(EDATE(B111,-12),Data!$B:$AY,MATCH($R$1,Data!$B$1:$AY$1,),)</f>
        <v>6.342248762458094E-3</v>
      </c>
      <c r="S111" s="21">
        <f>(VLOOKUP(B111,Data!$B:$AY,MATCH($S$1,Data!$B$1:$AY$1,),)-VLOOKUP(EDATE(B111,-12),Data!$B:$AY,MATCH($S$1,Data!$B$1:$AY$1,),))/VLOOKUP(EDATE(B111,-12),Data!$B:$AY,MATCH($S$1,Data!$B$1:$AY$1,),)</f>
        <v>6.8046770174429146E-3</v>
      </c>
      <c r="T111" s="21">
        <f>(VLOOKUP(B111,Data!$B:$AY,MATCH($T$1,Data!$B$1:$AY$1,),)-VLOOKUP(EDATE(B111,-12),Data!$B:$AY,MATCH($T$1,Data!$B$1:$AY$1,),))/VLOOKUP(EDATE(B111,-12),Data!$B:$AY,MATCH($T$1,Data!$B$1:$AY$1,),)</f>
        <v>4.6581929775837444E-2</v>
      </c>
      <c r="U111" s="21">
        <f>(VLOOKUP(B111,Data!$B:$AY,MATCH($U$1,Data!$B$1:$AY$1,),)-VLOOKUP(EDATE(B111,-12),Data!$B:$AY,MATCH($U$1,Data!$B$1:$AY$1,),))/VLOOKUP(EDATE(B111,-12),Data!$B:$AY,MATCH($U$1,Data!$B$1:$AY$1,),)</f>
        <v>2.2724957798625758E-3</v>
      </c>
      <c r="V111" s="21" t="e">
        <f>(VLOOKUP(B111,Data!$B:$AY,MATCH($V$1,Data!$B$1:$AY$1,),)-VLOOKUP(EDATE(B111,-12),Data!$B:$AY,MATCH($V$1,Data!$B$1:$AY$1,),))/VLOOKUP(EDATE(B111,-12),Data!$B:$AY,MATCH($V$1,Data!$B$1:$AY$1,),)</f>
        <v>#DIV/0!</v>
      </c>
      <c r="W111" s="21">
        <f>(VLOOKUP(B111,Data!$B:$AY,MATCH($W$1,Data!$B$1:$AY$1,),)-VLOOKUP(EDATE(B111,-12),Data!$B:$AY,MATCH($W$1,Data!$B$1:$AY$1,),))/VLOOKUP(EDATE(B111,-12),Data!$B:$AY,MATCH($W$1,Data!$B$1:$AY$1,),)</f>
        <v>0.1871164703338892</v>
      </c>
      <c r="X111" s="21">
        <f>(VLOOKUP(B111,Data!$B:$AY,MATCH($X$1,Data!$B$1:$AY$1,),)-VLOOKUP(EDATE(B111,-12),Data!$B:$AY,MATCH($X$1,Data!$B$1:$AY$1,),))/VLOOKUP(EDATE(B111,-12),Data!$B:$AY,MATCH($X$1,Data!$B$1:$AY$1,),)</f>
        <v>2.9467680608364966E-2</v>
      </c>
      <c r="Y111" s="21">
        <f>(VLOOKUP(B111,Data!$B:$AY,MATCH($Y$1,Data!$B$1:$AY$1,),)-VLOOKUP(EDATE(B111,-12),Data!$B:$AY,MATCH($Y$1,Data!$B$1:$AY$1,),))/VLOOKUP(EDATE(B111,-12),Data!$B:$AY,MATCH($Y$1,Data!$B$1:$AY$1,),)</f>
        <v>2.2852617750615509E-2</v>
      </c>
    </row>
    <row r="112" spans="2:28" s="3" customFormat="1" x14ac:dyDescent="0.2">
      <c r="B112" s="16">
        <v>43617</v>
      </c>
      <c r="C112" s="21">
        <f>(VLOOKUP(B112,Data!$B:$AY,MATCH($C$1,Data!$B$1:$AY$1,),)-VLOOKUP(EDATE(B112,-12),Data!$B:$AY,MATCH($C$1,Data!$B$1:$AY$1,),))/VLOOKUP(EDATE(B112,-12),Data!$B:$AY,MATCH($C$1,Data!$B$1:$AY$1,),)</f>
        <v>1.6485635384059758E-2</v>
      </c>
      <c r="D112" s="21">
        <f>(VLOOKUP(B112,Data!$B:$AY,MATCH($D$1,Data!$B$1:$AY$1,),)-VLOOKUP(EDATE(B112,-12),Data!$B:$AY,MATCH($D$1,Data!$B$1:$AY$1,),))/VLOOKUP(EDATE(B112,-12),Data!$B:$AY,MATCH($D$1,Data!$B$1:$AY$1,),)</f>
        <v>2.6692087702573853E-2</v>
      </c>
      <c r="E112" s="21">
        <f>(VLOOKUP(B112,Data!$B:$AY,MATCH($E$1,Data!$B$1:$AY$1,),)-VLOOKUP(EDATE(B112,-12),Data!$B:$AY,MATCH($E$1,Data!$B$1:$AY$1,),))/VLOOKUP(EDATE(B112,-12),Data!$B:$AY,MATCH($E$1,Data!$B$1:$AY$1,),)</f>
        <v>1.2681333461427545E-2</v>
      </c>
      <c r="F112" s="21">
        <f>(VLOOKUP(B112,Data!$B:$AY,MATCH($F$1,Data!$B$1:$AY$1,),)-VLOOKUP(EDATE(B112,-12),Data!$B:$AY,MATCH($F$1,Data!$B$1:$AY$1,),))/VLOOKUP(EDATE(B112,-12),Data!$B:$AY,MATCH($F$1,Data!$B$1:$AY$1,),)</f>
        <v>6.937561942517231E-3</v>
      </c>
      <c r="G112" s="21">
        <f>(VLOOKUP(B112,Data!$B:$AY,MATCH($G$1,Data!$B$1:$AY$1,),)-VLOOKUP(EDATE(B112,-12),Data!$B:$AY,MATCH($G$1,Data!$B$1:$AY$1,),))/VLOOKUP(EDATE(B112,-12),Data!$B:$AY,MATCH($G$1,Data!$B$1:$AY$1,),)</f>
        <v>1.6346319314190991E-2</v>
      </c>
      <c r="H112" s="21">
        <f>(VLOOKUP(B112,Data!$B:$AY,MATCH($H$1,Data!$B$1:$AY$1,),)-VLOOKUP(EDATE(B112,-12),Data!$B:$AY,MATCH($H$1,Data!$B$1:$AY$1,),))/VLOOKUP(EDATE(B112,-12),Data!$B:$AY,MATCH($H$1,Data!$B$1:$AY$1,),)</f>
        <v>1.1705523846377032E-2</v>
      </c>
      <c r="I112" s="21">
        <f>(VLOOKUP(B112,Data!$B:$AY,MATCH($I$1,Data!$B$1:$AY$1,),)-VLOOKUP(EDATE(B112,-12),Data!$B:$AY,MATCH($I$1,Data!$B$1:$AY$1,),))/VLOOKUP(EDATE(B112,-12),Data!$B:$AY,MATCH($I$1,Data!$B$1:$AY$1,),)</f>
        <v>1.8885741265344664E-2</v>
      </c>
      <c r="J112" s="21">
        <f>(VLOOKUP(B112,Data!$B:$AY,MATCH($J$1,Data!$B$1:$AY$1,),)-VLOOKUP(EDATE(B112,-12),Data!$B:$AY,MATCH($J$1,Data!$B$1:$AY$1,),))/VLOOKUP(EDATE(B112,-12),Data!$B:$AY,MATCH($J$1,Data!$B$1:$AY$1,),)</f>
        <v>6.835937499999889E-3</v>
      </c>
      <c r="K112" s="21">
        <f>(VLOOKUP(B112,Data!$B:$AY,MATCH($K$1,Data!$B$1:$AY$1,),)-VLOOKUP(EDATE(B112,-12),Data!$B:$AY,MATCH($K$1,Data!$B$1:$AY$1,),))/VLOOKUP(EDATE(B112,-12),Data!$B:$AY,MATCH($K$1,Data!$B$1:$AY$1,),)</f>
        <v>4.2912892588166099E-3</v>
      </c>
      <c r="L112" s="21">
        <f>(VLOOKUP(B112,Data!$B:$AY,MATCH($L$1,Data!$B$1:$AY$1,),)-VLOOKUP(EDATE(B112,-12),Data!$B:$AY,MATCH($L$1,Data!$B$1:$AY$1,),))/VLOOKUP(EDATE(B112,-12),Data!$B:$AY,MATCH($L$1,Data!$B$1:$AY$1,),)</f>
        <v>1.7802230284768981E-2</v>
      </c>
      <c r="M112" s="21">
        <f>(VLOOKUP(B112,Data!$B:$AY,MATCH($M$1,Data!$B$1:$AY$1,),)-VLOOKUP(EDATE(B112,-12),Data!$B:$AY,MATCH($M$1,Data!$B$1:$AY$1,),))/VLOOKUP(EDATE(B112,-12),Data!$B:$AY,MATCH($M$1,Data!$B$1:$AY$1,),)</f>
        <v>3.9471548731265425E-2</v>
      </c>
      <c r="N112" s="21" t="e">
        <f>(VLOOKUP(B112,Data!$B:$AY,MATCH($N$1,Data!$B$1:$AY$1,),)-VLOOKUP(EDATE(B112,-12),Data!$B:$AY,MATCH($N$1,Data!$B$1:$AY$1,),))/VLOOKUP(EDATE(B112,-12),Data!$B:$AY,MATCH($N$1,Data!$B$1:$AY$1,),)</f>
        <v>#DIV/0!</v>
      </c>
      <c r="O112" s="21">
        <f>(VLOOKUP(B112,Data!$B:$AY,MATCH($O$1,Data!$B$1:$AY$1,),)-VLOOKUP(EDATE(B112,-12),Data!$B:$AY,MATCH($O$1,Data!$B$1:$AY$1,),))/VLOOKUP(EDATE(B112,-12),Data!$B:$AY,MATCH($O$1,Data!$B$1:$AY$1,),)</f>
        <v>8.5910893712971545E-2</v>
      </c>
      <c r="P112" s="21">
        <f>(VLOOKUP(B112,Data!$B:$AY,MATCH($P$1,Data!$B$1:$AY$1,),)-VLOOKUP(EDATE(B112,-12),Data!$B:$AY,MATCH($P$1,Data!$B$1:$AY$1,),))/VLOOKUP(EDATE(B112,-12),Data!$B:$AY,MATCH($P$1,Data!$B$1:$AY$1,),)</f>
        <v>2.0209933969324547E-2</v>
      </c>
      <c r="Q112" s="21" t="e">
        <f>(VLOOKUP(B112,Data!$B:$AY,MATCH($Q$1,Data!$B$1:$AY$1,),)-VLOOKUP(EDATE(B112,-12),Data!$B:$AY,MATCH($Q$1,Data!$B$1:$AY$1,),))/VLOOKUP(EDATE(B112,-12),Data!$B:$AY,MATCH($Q$1,Data!$B$1:$AY$1,),)</f>
        <v>#N/A</v>
      </c>
      <c r="R112" s="21">
        <f>(VLOOKUP(B112,Data!$B:$AY,MATCH($R$1,Data!$B$1:$AY$1,),)-VLOOKUP(EDATE(B112,-12),Data!$B:$AY,MATCH($R$1,Data!$B$1:$AY$1,),))/VLOOKUP(EDATE(B112,-12),Data!$B:$AY,MATCH($R$1,Data!$B$1:$AY$1,),)</f>
        <v>6.0028530557961817E-3</v>
      </c>
      <c r="S112" s="21">
        <f>(VLOOKUP(B112,Data!$B:$AY,MATCH($S$1,Data!$B$1:$AY$1,),)-VLOOKUP(EDATE(B112,-12),Data!$B:$AY,MATCH($S$1,Data!$B$1:$AY$1,),))/VLOOKUP(EDATE(B112,-12),Data!$B:$AY,MATCH($S$1,Data!$B$1:$AY$1,),)</f>
        <v>7.2025352924229335E-3</v>
      </c>
      <c r="T112" s="21">
        <f>(VLOOKUP(B112,Data!$B:$AY,MATCH($T$1,Data!$B$1:$AY$1,),)-VLOOKUP(EDATE(B112,-12),Data!$B:$AY,MATCH($T$1,Data!$B$1:$AY$1,),))/VLOOKUP(EDATE(B112,-12),Data!$B:$AY,MATCH($T$1,Data!$B$1:$AY$1,),)</f>
        <v>3.3662686179484244E-2</v>
      </c>
      <c r="U112" s="21">
        <f>(VLOOKUP(B112,Data!$B:$AY,MATCH($U$1,Data!$B$1:$AY$1,),)-VLOOKUP(EDATE(B112,-12),Data!$B:$AY,MATCH($U$1,Data!$B$1:$AY$1,),))/VLOOKUP(EDATE(B112,-12),Data!$B:$AY,MATCH($U$1,Data!$B$1:$AY$1,),)</f>
        <v>-2.7780878686572159E-3</v>
      </c>
      <c r="V112" s="21" t="e">
        <f>(VLOOKUP(B112,Data!$B:$AY,MATCH($V$1,Data!$B$1:$AY$1,),)-VLOOKUP(EDATE(B112,-12),Data!$B:$AY,MATCH($V$1,Data!$B$1:$AY$1,),))/VLOOKUP(EDATE(B112,-12),Data!$B:$AY,MATCH($V$1,Data!$B$1:$AY$1,),)</f>
        <v>#DIV/0!</v>
      </c>
      <c r="W112" s="21">
        <f>(VLOOKUP(B112,Data!$B:$AY,MATCH($W$1,Data!$B$1:$AY$1,),)-VLOOKUP(EDATE(B112,-12),Data!$B:$AY,MATCH($W$1,Data!$B$1:$AY$1,),))/VLOOKUP(EDATE(B112,-12),Data!$B:$AY,MATCH($W$1,Data!$B$1:$AY$1,),)</f>
        <v>0.15720104426460063</v>
      </c>
      <c r="X112" s="21">
        <f>(VLOOKUP(B112,Data!$B:$AY,MATCH($X$1,Data!$B$1:$AY$1,),)-VLOOKUP(EDATE(B112,-12),Data!$B:$AY,MATCH($X$1,Data!$B$1:$AY$1,),))/VLOOKUP(EDATE(B112,-12),Data!$B:$AY,MATCH($X$1,Data!$B$1:$AY$1,),)</f>
        <v>2.7462121212121268E-2</v>
      </c>
      <c r="Y112" s="21">
        <f>(VLOOKUP(B112,Data!$B:$AY,MATCH($Y$1,Data!$B$1:$AY$1,),)-VLOOKUP(EDATE(B112,-12),Data!$B:$AY,MATCH($Y$1,Data!$B$1:$AY$1,),))/VLOOKUP(EDATE(B112,-12),Data!$B:$AY,MATCH($Y$1,Data!$B$1:$AY$1,),)</f>
        <v>2.5196826020211217E-2</v>
      </c>
    </row>
    <row r="113" spans="2:25" s="3" customFormat="1" x14ac:dyDescent="0.2">
      <c r="B113" s="16">
        <v>43647</v>
      </c>
      <c r="C113" s="21">
        <f>(VLOOKUP(B113,Data!$B:$AY,MATCH($C$1,Data!$B$1:$AY$1,),)-VLOOKUP(EDATE(B113,-12),Data!$B:$AY,MATCH($C$1,Data!$B$1:$AY$1,),))/VLOOKUP(EDATE(B113,-12),Data!$B:$AY,MATCH($C$1,Data!$B$1:$AY$1,),)</f>
        <v>1.8114442647003518E-2</v>
      </c>
      <c r="D113" s="21">
        <f>(VLOOKUP(B113,Data!$B:$AY,MATCH($D$1,Data!$B$1:$AY$1,),)-VLOOKUP(EDATE(B113,-12),Data!$B:$AY,MATCH($D$1,Data!$B$1:$AY$1,),))/VLOOKUP(EDATE(B113,-12),Data!$B:$AY,MATCH($D$1,Data!$B$1:$AY$1,),)</f>
        <v>2.7566539923954293E-2</v>
      </c>
      <c r="E113" s="21">
        <f>(VLOOKUP(B113,Data!$B:$AY,MATCH($E$1,Data!$B$1:$AY$1,),)-VLOOKUP(EDATE(B113,-12),Data!$B:$AY,MATCH($E$1,Data!$B$1:$AY$1,),))/VLOOKUP(EDATE(B113,-12),Data!$B:$AY,MATCH($E$1,Data!$B$1:$AY$1,),)</f>
        <v>1.0207029369282642E-2</v>
      </c>
      <c r="F113" s="21">
        <f>(VLOOKUP(B113,Data!$B:$AY,MATCH($F$1,Data!$B$1:$AY$1,),)-VLOOKUP(EDATE(B113,-12),Data!$B:$AY,MATCH($F$1,Data!$B$1:$AY$1,),))/VLOOKUP(EDATE(B113,-12),Data!$B:$AY,MATCH($F$1,Data!$B$1:$AY$1,),)</f>
        <v>5.9405940594058843E-3</v>
      </c>
      <c r="G113" s="21">
        <f>(VLOOKUP(B113,Data!$B:$AY,MATCH($G$1,Data!$B$1:$AY$1,),)-VLOOKUP(EDATE(B113,-12),Data!$B:$AY,MATCH($G$1,Data!$B$1:$AY$1,),))/VLOOKUP(EDATE(B113,-12),Data!$B:$AY,MATCH($G$1,Data!$B$1:$AY$1,),)</f>
        <v>1.7241379310344758E-2</v>
      </c>
      <c r="H113" s="21">
        <f>(VLOOKUP(B113,Data!$B:$AY,MATCH($H$1,Data!$B$1:$AY$1,),)-VLOOKUP(EDATE(B113,-12),Data!$B:$AY,MATCH($H$1,Data!$B$1:$AY$1,),))/VLOOKUP(EDATE(B113,-12),Data!$B:$AY,MATCH($H$1,Data!$B$1:$AY$1,),)</f>
        <v>1.0650658404337668E-2</v>
      </c>
      <c r="I113" s="21">
        <f>(VLOOKUP(B113,Data!$B:$AY,MATCH($I$1,Data!$B$1:$AY$1,),)-VLOOKUP(EDATE(B113,-12),Data!$B:$AY,MATCH($I$1,Data!$B$1:$AY$1,),))/VLOOKUP(EDATE(B113,-12),Data!$B:$AY,MATCH($I$1,Data!$B$1:$AY$1,),)</f>
        <v>1.9830028328611842E-2</v>
      </c>
      <c r="J113" s="21">
        <f>(VLOOKUP(B113,Data!$B:$AY,MATCH($J$1,Data!$B$1:$AY$1,),)-VLOOKUP(EDATE(B113,-12),Data!$B:$AY,MATCH($J$1,Data!$B$1:$AY$1,),))/VLOOKUP(EDATE(B113,-12),Data!$B:$AY,MATCH($J$1,Data!$B$1:$AY$1,),)</f>
        <v>3.8948393378772294E-3</v>
      </c>
      <c r="K113" s="21">
        <f>(VLOOKUP(B113,Data!$B:$AY,MATCH($K$1,Data!$B$1:$AY$1,),)-VLOOKUP(EDATE(B113,-12),Data!$B:$AY,MATCH($K$1,Data!$B$1:$AY$1,),))/VLOOKUP(EDATE(B113,-12),Data!$B:$AY,MATCH($K$1,Data!$B$1:$AY$1,),)</f>
        <v>5.2689087006130304E-3</v>
      </c>
      <c r="L113" s="21">
        <f>(VLOOKUP(B113,Data!$B:$AY,MATCH($L$1,Data!$B$1:$AY$1,),)-VLOOKUP(EDATE(B113,-12),Data!$B:$AY,MATCH($L$1,Data!$B$1:$AY$1,),))/VLOOKUP(EDATE(B113,-12),Data!$B:$AY,MATCH($L$1,Data!$B$1:$AY$1,),)</f>
        <v>1.6558480672128575E-2</v>
      </c>
      <c r="M113" s="21">
        <f>(VLOOKUP(B113,Data!$B:$AY,MATCH($M$1,Data!$B$1:$AY$1,),)-VLOOKUP(EDATE(B113,-12),Data!$B:$AY,MATCH($M$1,Data!$B$1:$AY$1,),))/VLOOKUP(EDATE(B113,-12),Data!$B:$AY,MATCH($M$1,Data!$B$1:$AY$1,),)</f>
        <v>3.7813485640087449E-2</v>
      </c>
      <c r="N113" s="21" t="e">
        <f>(VLOOKUP(B113,Data!$B:$AY,MATCH($N$1,Data!$B$1:$AY$1,),)-VLOOKUP(EDATE(B113,-12),Data!$B:$AY,MATCH($N$1,Data!$B$1:$AY$1,),))/VLOOKUP(EDATE(B113,-12),Data!$B:$AY,MATCH($N$1,Data!$B$1:$AY$1,),)</f>
        <v>#DIV/0!</v>
      </c>
      <c r="O113" s="21">
        <f>(VLOOKUP(B113,Data!$B:$AY,MATCH($O$1,Data!$B$1:$AY$1,),)-VLOOKUP(EDATE(B113,-12),Data!$B:$AY,MATCH($O$1,Data!$B$1:$AY$1,),))/VLOOKUP(EDATE(B113,-12),Data!$B:$AY,MATCH($O$1,Data!$B$1:$AY$1,),)</f>
        <v>5.9800124889375569E-2</v>
      </c>
      <c r="P113" s="21">
        <f>(VLOOKUP(B113,Data!$B:$AY,MATCH($P$1,Data!$B$1:$AY$1,),)-VLOOKUP(EDATE(B113,-12),Data!$B:$AY,MATCH($P$1,Data!$B$1:$AY$1,),))/VLOOKUP(EDATE(B113,-12),Data!$B:$AY,MATCH($P$1,Data!$B$1:$AY$1,),)</f>
        <v>2.0103647060930131E-2</v>
      </c>
      <c r="Q113" s="21" t="e">
        <f>(VLOOKUP(B113,Data!$B:$AY,MATCH($Q$1,Data!$B$1:$AY$1,),)-VLOOKUP(EDATE(B113,-12),Data!$B:$AY,MATCH($Q$1,Data!$B$1:$AY$1,),))/VLOOKUP(EDATE(B113,-12),Data!$B:$AY,MATCH($Q$1,Data!$B$1:$AY$1,),)</f>
        <v>#N/A</v>
      </c>
      <c r="R113" s="21">
        <f>(VLOOKUP(B113,Data!$B:$AY,MATCH($R$1,Data!$B$1:$AY$1,),)-VLOOKUP(EDATE(B113,-12),Data!$B:$AY,MATCH($R$1,Data!$B$1:$AY$1,),))/VLOOKUP(EDATE(B113,-12),Data!$B:$AY,MATCH($R$1,Data!$B$1:$AY$1,),)</f>
        <v>3.1175334826060415E-3</v>
      </c>
      <c r="S113" s="21">
        <f>(VLOOKUP(B113,Data!$B:$AY,MATCH($S$1,Data!$B$1:$AY$1,),)-VLOOKUP(EDATE(B113,-12),Data!$B:$AY,MATCH($S$1,Data!$B$1:$AY$1,),))/VLOOKUP(EDATE(B113,-12),Data!$B:$AY,MATCH($S$1,Data!$B$1:$AY$1,),)</f>
        <v>6.0617723467718213E-3</v>
      </c>
      <c r="T113" s="21">
        <f>(VLOOKUP(B113,Data!$B:$AY,MATCH($T$1,Data!$B$1:$AY$1,),)-VLOOKUP(EDATE(B113,-12),Data!$B:$AY,MATCH($T$1,Data!$B$1:$AY$1,),))/VLOOKUP(EDATE(B113,-12),Data!$B:$AY,MATCH($T$1,Data!$B$1:$AY$1,),)</f>
        <v>3.222001653837081E-2</v>
      </c>
      <c r="U113" s="21">
        <f>(VLOOKUP(B113,Data!$B:$AY,MATCH($U$1,Data!$B$1:$AY$1,),)-VLOOKUP(EDATE(B113,-12),Data!$B:$AY,MATCH($U$1,Data!$B$1:$AY$1,),))/VLOOKUP(EDATE(B113,-12),Data!$B:$AY,MATCH($U$1,Data!$B$1:$AY$1,),)</f>
        <v>4.6659554740236501E-4</v>
      </c>
      <c r="V113" s="21" t="e">
        <f>(VLOOKUP(B113,Data!$B:$AY,MATCH($V$1,Data!$B$1:$AY$1,),)-VLOOKUP(EDATE(B113,-12),Data!$B:$AY,MATCH($V$1,Data!$B$1:$AY$1,),))/VLOOKUP(EDATE(B113,-12),Data!$B:$AY,MATCH($V$1,Data!$B$1:$AY$1,),)</f>
        <v>#DIV/0!</v>
      </c>
      <c r="W113" s="21">
        <f>(VLOOKUP(B113,Data!$B:$AY,MATCH($W$1,Data!$B$1:$AY$1,),)-VLOOKUP(EDATE(B113,-12),Data!$B:$AY,MATCH($W$1,Data!$B$1:$AY$1,),))/VLOOKUP(EDATE(B113,-12),Data!$B:$AY,MATCH($W$1,Data!$B$1:$AY$1,),)</f>
        <v>0.16646740277094033</v>
      </c>
      <c r="X113" s="21">
        <f>(VLOOKUP(B113,Data!$B:$AY,MATCH($X$1,Data!$B$1:$AY$1,),)-VLOOKUP(EDATE(B113,-12),Data!$B:$AY,MATCH($X$1,Data!$B$1:$AY$1,),))/VLOOKUP(EDATE(B113,-12),Data!$B:$AY,MATCH($X$1,Data!$B$1:$AY$1,),)</f>
        <v>2.9300567107750555E-2</v>
      </c>
      <c r="Y113" s="21">
        <f>(VLOOKUP(B113,Data!$B:$AY,MATCH($Y$1,Data!$B$1:$AY$1,),)-VLOOKUP(EDATE(B113,-12),Data!$B:$AY,MATCH($Y$1,Data!$B$1:$AY$1,),))/VLOOKUP(EDATE(B113,-12),Data!$B:$AY,MATCH($Y$1,Data!$B$1:$AY$1,),)</f>
        <v>2.7624282607367739E-2</v>
      </c>
    </row>
    <row r="114" spans="2:25" s="3" customFormat="1" x14ac:dyDescent="0.2">
      <c r="B114" s="16">
        <v>43678</v>
      </c>
      <c r="C114" s="21">
        <f>(VLOOKUP(B114,Data!$B:$AY,MATCH($C$1,Data!$B$1:$AY$1,),)-VLOOKUP(EDATE(B114,-12),Data!$B:$AY,MATCH($C$1,Data!$B$1:$AY$1,),))/VLOOKUP(EDATE(B114,-12),Data!$B:$AY,MATCH($C$1,Data!$B$1:$AY$1,),)</f>
        <v>1.7498080052188801E-2</v>
      </c>
      <c r="D114" s="21">
        <f>(VLOOKUP(B114,Data!$B:$AY,MATCH($D$1,Data!$B$1:$AY$1,),)-VLOOKUP(EDATE(B114,-12),Data!$B:$AY,MATCH($D$1,Data!$B$1:$AY$1,),))/VLOOKUP(EDATE(B114,-12),Data!$B:$AY,MATCH($D$1,Data!$B$1:$AY$1,),)</f>
        <v>2.8328611898016994E-2</v>
      </c>
      <c r="E114" s="21">
        <f>(VLOOKUP(B114,Data!$B:$AY,MATCH($E$1,Data!$B$1:$AY$1,),)-VLOOKUP(EDATE(B114,-12),Data!$B:$AY,MATCH($E$1,Data!$B$1:$AY$1,),))/VLOOKUP(EDATE(B114,-12),Data!$B:$AY,MATCH($E$1,Data!$B$1:$AY$1,),)</f>
        <v>1.0095183155465792E-2</v>
      </c>
      <c r="F114" s="21">
        <f>(VLOOKUP(B114,Data!$B:$AY,MATCH($F$1,Data!$B$1:$AY$1,),)-VLOOKUP(EDATE(B114,-12),Data!$B:$AY,MATCH($F$1,Data!$B$1:$AY$1,),))/VLOOKUP(EDATE(B114,-12),Data!$B:$AY,MATCH($F$1,Data!$B$1:$AY$1,),)</f>
        <v>1.9685039370079022E-3</v>
      </c>
      <c r="G114" s="21">
        <f>(VLOOKUP(B114,Data!$B:$AY,MATCH($G$1,Data!$B$1:$AY$1,),)-VLOOKUP(EDATE(B114,-12),Data!$B:$AY,MATCH($G$1,Data!$B$1:$AY$1,),))/VLOOKUP(EDATE(B114,-12),Data!$B:$AY,MATCH($G$1,Data!$B$1:$AY$1,),)</f>
        <v>1.4354547663834061E-2</v>
      </c>
      <c r="H114" s="21">
        <f>(VLOOKUP(B114,Data!$B:$AY,MATCH($H$1,Data!$B$1:$AY$1,),)-VLOOKUP(EDATE(B114,-12),Data!$B:$AY,MATCH($H$1,Data!$B$1:$AY$1,),))/VLOOKUP(EDATE(B114,-12),Data!$B:$AY,MATCH($H$1,Data!$B$1:$AY$1,),)</f>
        <v>1.0406629408363829E-2</v>
      </c>
      <c r="I114" s="21">
        <f>(VLOOKUP(B114,Data!$B:$AY,MATCH($I$1,Data!$B$1:$AY$1,),)-VLOOKUP(EDATE(B114,-12),Data!$B:$AY,MATCH($I$1,Data!$B$1:$AY$1,),))/VLOOKUP(EDATE(B114,-12),Data!$B:$AY,MATCH($I$1,Data!$B$1:$AY$1,),)</f>
        <v>1.6901408450704199E-2</v>
      </c>
      <c r="J114" s="21">
        <f>(VLOOKUP(B114,Data!$B:$AY,MATCH($J$1,Data!$B$1:$AY$1,),)-VLOOKUP(EDATE(B114,-12),Data!$B:$AY,MATCH($J$1,Data!$B$1:$AY$1,),))/VLOOKUP(EDATE(B114,-12),Data!$B:$AY,MATCH($J$1,Data!$B$1:$AY$1,),)</f>
        <v>3.8797284190107248E-3</v>
      </c>
      <c r="K114" s="21">
        <f>(VLOOKUP(B114,Data!$B:$AY,MATCH($K$1,Data!$B$1:$AY$1,),)-VLOOKUP(EDATE(B114,-12),Data!$B:$AY,MATCH($K$1,Data!$B$1:$AY$1,),))/VLOOKUP(EDATE(B114,-12),Data!$B:$AY,MATCH($K$1,Data!$B$1:$AY$1,),)</f>
        <v>3.2761812067122064E-3</v>
      </c>
      <c r="L114" s="21">
        <f>(VLOOKUP(B114,Data!$B:$AY,MATCH($L$1,Data!$B$1:$AY$1,),)-VLOOKUP(EDATE(B114,-12),Data!$B:$AY,MATCH($L$1,Data!$B$1:$AY$1,),))/VLOOKUP(EDATE(B114,-12),Data!$B:$AY,MATCH($L$1,Data!$B$1:$AY$1,),)</f>
        <v>1.4440539597649689E-2</v>
      </c>
      <c r="M114" s="21">
        <f>(VLOOKUP(B114,Data!$B:$AY,MATCH($M$1,Data!$B$1:$AY$1,),)-VLOOKUP(EDATE(B114,-12),Data!$B:$AY,MATCH($M$1,Data!$B$1:$AY$1,),))/VLOOKUP(EDATE(B114,-12),Data!$B:$AY,MATCH($M$1,Data!$B$1:$AY$1,),)</f>
        <v>3.1624442302576251E-2</v>
      </c>
      <c r="N114" s="21" t="e">
        <f>(VLOOKUP(B114,Data!$B:$AY,MATCH($N$1,Data!$B$1:$AY$1,),)-VLOOKUP(EDATE(B114,-12),Data!$B:$AY,MATCH($N$1,Data!$B$1:$AY$1,),))/VLOOKUP(EDATE(B114,-12),Data!$B:$AY,MATCH($N$1,Data!$B$1:$AY$1,),)</f>
        <v>#DIV/0!</v>
      </c>
      <c r="O114" s="21">
        <f>(VLOOKUP(B114,Data!$B:$AY,MATCH($O$1,Data!$B$1:$AY$1,),)-VLOOKUP(EDATE(B114,-12),Data!$B:$AY,MATCH($O$1,Data!$B$1:$AY$1,),))/VLOOKUP(EDATE(B114,-12),Data!$B:$AY,MATCH($O$1,Data!$B$1:$AY$1,),)</f>
        <v>6.3122112801681979E-2</v>
      </c>
      <c r="P114" s="21">
        <f>(VLOOKUP(B114,Data!$B:$AY,MATCH($P$1,Data!$B$1:$AY$1,),)-VLOOKUP(EDATE(B114,-12),Data!$B:$AY,MATCH($P$1,Data!$B$1:$AY$1,),))/VLOOKUP(EDATE(B114,-12),Data!$B:$AY,MATCH($P$1,Data!$B$1:$AY$1,),)</f>
        <v>1.9373561153284355E-2</v>
      </c>
      <c r="Q114" s="21" t="e">
        <f>(VLOOKUP(B114,Data!$B:$AY,MATCH($Q$1,Data!$B$1:$AY$1,),)-VLOOKUP(EDATE(B114,-12),Data!$B:$AY,MATCH($Q$1,Data!$B$1:$AY$1,),))/VLOOKUP(EDATE(B114,-12),Data!$B:$AY,MATCH($Q$1,Data!$B$1:$AY$1,),)</f>
        <v>#N/A</v>
      </c>
      <c r="R114" s="21">
        <f>(VLOOKUP(B114,Data!$B:$AY,MATCH($R$1,Data!$B$1:$AY$1,),)-VLOOKUP(EDATE(B114,-12),Data!$B:$AY,MATCH($R$1,Data!$B$1:$AY$1,),))/VLOOKUP(EDATE(B114,-12),Data!$B:$AY,MATCH($R$1,Data!$B$1:$AY$1,),)</f>
        <v>3.1803070014192816E-3</v>
      </c>
      <c r="S114" s="21">
        <f>(VLOOKUP(B114,Data!$B:$AY,MATCH($S$1,Data!$B$1:$AY$1,),)-VLOOKUP(EDATE(B114,-12),Data!$B:$AY,MATCH($S$1,Data!$B$1:$AY$1,),))/VLOOKUP(EDATE(B114,-12),Data!$B:$AY,MATCH($S$1,Data!$B$1:$AY$1,),)</f>
        <v>-3.8149737720545585E-4</v>
      </c>
      <c r="T114" s="21">
        <f>(VLOOKUP(B114,Data!$B:$AY,MATCH($T$1,Data!$B$1:$AY$1,),)-VLOOKUP(EDATE(B114,-12),Data!$B:$AY,MATCH($T$1,Data!$B$1:$AY$1,),))/VLOOKUP(EDATE(B114,-12),Data!$B:$AY,MATCH($T$1,Data!$B$1:$AY$1,),)</f>
        <v>3.4286211102615746E-2</v>
      </c>
      <c r="U114" s="21">
        <f>(VLOOKUP(B114,Data!$B:$AY,MATCH($U$1,Data!$B$1:$AY$1,),)-VLOOKUP(EDATE(B114,-12),Data!$B:$AY,MATCH($U$1,Data!$B$1:$AY$1,),))/VLOOKUP(EDATE(B114,-12),Data!$B:$AY,MATCH($U$1,Data!$B$1:$AY$1,),)</f>
        <v>-1.7035107125117277E-3</v>
      </c>
      <c r="V114" s="21" t="e">
        <f>(VLOOKUP(B114,Data!$B:$AY,MATCH($V$1,Data!$B$1:$AY$1,),)-VLOOKUP(EDATE(B114,-12),Data!$B:$AY,MATCH($V$1,Data!$B$1:$AY$1,),))/VLOOKUP(EDATE(B114,-12),Data!$B:$AY,MATCH($V$1,Data!$B$1:$AY$1,),)</f>
        <v>#DIV/0!</v>
      </c>
      <c r="W114" s="21">
        <f>(VLOOKUP(B114,Data!$B:$AY,MATCH($W$1,Data!$B$1:$AY$1,),)-VLOOKUP(EDATE(B114,-12),Data!$B:$AY,MATCH($W$1,Data!$B$1:$AY$1,),))/VLOOKUP(EDATE(B114,-12),Data!$B:$AY,MATCH($W$1,Data!$B$1:$AY$1,),)</f>
        <v>0.15008483934390907</v>
      </c>
      <c r="X114" s="21">
        <f>(VLOOKUP(B114,Data!$B:$AY,MATCH($X$1,Data!$B$1:$AY$1,),)-VLOOKUP(EDATE(B114,-12),Data!$B:$AY,MATCH($X$1,Data!$B$1:$AY$1,),))/VLOOKUP(EDATE(B114,-12),Data!$B:$AY,MATCH($X$1,Data!$B$1:$AY$1,),)</f>
        <v>2.9272898961284176E-2</v>
      </c>
      <c r="Y114" s="21">
        <f>(VLOOKUP(B114,Data!$B:$AY,MATCH($Y$1,Data!$B$1:$AY$1,),)-VLOOKUP(EDATE(B114,-12),Data!$B:$AY,MATCH($Y$1,Data!$B$1:$AY$1,),))/VLOOKUP(EDATE(B114,-12),Data!$B:$AY,MATCH($Y$1,Data!$B$1:$AY$1,),)</f>
        <v>2.7624282607367739E-2</v>
      </c>
    </row>
    <row r="115" spans="2:25" s="3" customFormat="1" x14ac:dyDescent="0.2">
      <c r="B115" s="16">
        <v>43709</v>
      </c>
      <c r="C115" s="21">
        <f>(VLOOKUP(B115,Data!$B:$AY,MATCH($C$1,Data!$B$1:$AY$1,),)-VLOOKUP(EDATE(B115,-12),Data!$B:$AY,MATCH($C$1,Data!$B$1:$AY$1,),))/VLOOKUP(EDATE(B115,-12),Data!$B:$AY,MATCH($C$1,Data!$B$1:$AY$1,),)</f>
        <v>1.711347736809057E-2</v>
      </c>
      <c r="D115" s="21">
        <f>(VLOOKUP(B115,Data!$B:$AY,MATCH($D$1,Data!$B$1:$AY$1,),)-VLOOKUP(EDATE(B115,-12),Data!$B:$AY,MATCH($D$1,Data!$B$1:$AY$1,),))/VLOOKUP(EDATE(B115,-12),Data!$B:$AY,MATCH($D$1,Data!$B$1:$AY$1,),)</f>
        <v>3.0018761726078827E-2</v>
      </c>
      <c r="E115" s="21">
        <f>(VLOOKUP(B115,Data!$B:$AY,MATCH($E$1,Data!$B$1:$AY$1,),)-VLOOKUP(EDATE(B115,-12),Data!$B:$AY,MATCH($E$1,Data!$B$1:$AY$1,),))/VLOOKUP(EDATE(B115,-12),Data!$B:$AY,MATCH($E$1,Data!$B$1:$AY$1,),)</f>
        <v>8.331737215092937E-3</v>
      </c>
      <c r="F115" s="21">
        <f>(VLOOKUP(B115,Data!$B:$AY,MATCH($F$1,Data!$B$1:$AY$1,),)-VLOOKUP(EDATE(B115,-12),Data!$B:$AY,MATCH($F$1,Data!$B$1:$AY$1,),))/VLOOKUP(EDATE(B115,-12),Data!$B:$AY,MATCH($F$1,Data!$B$1:$AY$1,),)</f>
        <v>1.9665683382497821E-3</v>
      </c>
      <c r="G115" s="21">
        <f>(VLOOKUP(B115,Data!$B:$AY,MATCH($G$1,Data!$B$1:$AY$1,),)-VLOOKUP(EDATE(B115,-12),Data!$B:$AY,MATCH($G$1,Data!$B$1:$AY$1,),))/VLOOKUP(EDATE(B115,-12),Data!$B:$AY,MATCH($G$1,Data!$B$1:$AY$1,),)</f>
        <v>1.2416262802301466E-2</v>
      </c>
      <c r="H115" s="21">
        <f>(VLOOKUP(B115,Data!$B:$AY,MATCH($H$1,Data!$B$1:$AY$1,),)-VLOOKUP(EDATE(B115,-12),Data!$B:$AY,MATCH($H$1,Data!$B$1:$AY$1,),))/VLOOKUP(EDATE(B115,-12),Data!$B:$AY,MATCH($H$1,Data!$B$1:$AY$1,),)</f>
        <v>9.0768636539204101E-3</v>
      </c>
      <c r="I115" s="21">
        <f>(VLOOKUP(B115,Data!$B:$AY,MATCH($I$1,Data!$B$1:$AY$1,),)-VLOOKUP(EDATE(B115,-12),Data!$B:$AY,MATCH($I$1,Data!$B$1:$AY$1,),))/VLOOKUP(EDATE(B115,-12),Data!$B:$AY,MATCH($I$1,Data!$B$1:$AY$1,),)</f>
        <v>1.6885553470919433E-2</v>
      </c>
      <c r="J115" s="21">
        <f>(VLOOKUP(B115,Data!$B:$AY,MATCH($J$1,Data!$B$1:$AY$1,),)-VLOOKUP(EDATE(B115,-12),Data!$B:$AY,MATCH($J$1,Data!$B$1:$AY$1,),))/VLOOKUP(EDATE(B115,-12),Data!$B:$AY,MATCH($J$1,Data!$B$1:$AY$1,),)</f>
        <v>2.9239766081872454E-3</v>
      </c>
      <c r="K115" s="21">
        <f>(VLOOKUP(B115,Data!$B:$AY,MATCH($K$1,Data!$B$1:$AY$1,),)-VLOOKUP(EDATE(B115,-12),Data!$B:$AY,MATCH($K$1,Data!$B$1:$AY$1,),))/VLOOKUP(EDATE(B115,-12),Data!$B:$AY,MATCH($K$1,Data!$B$1:$AY$1,),)</f>
        <v>8.360769113700358E-4</v>
      </c>
      <c r="L115" s="21">
        <f>(VLOOKUP(B115,Data!$B:$AY,MATCH($L$1,Data!$B$1:$AY$1,),)-VLOOKUP(EDATE(B115,-12),Data!$B:$AY,MATCH($L$1,Data!$B$1:$AY$1,),))/VLOOKUP(EDATE(B115,-12),Data!$B:$AY,MATCH($L$1,Data!$B$1:$AY$1,),)</f>
        <v>1.4525146008471055E-2</v>
      </c>
      <c r="M115" s="21">
        <f>(VLOOKUP(B115,Data!$B:$AY,MATCH($M$1,Data!$B$1:$AY$1,),)-VLOOKUP(EDATE(B115,-12),Data!$B:$AY,MATCH($M$1,Data!$B$1:$AY$1,),))/VLOOKUP(EDATE(B115,-12),Data!$B:$AY,MATCH($M$1,Data!$B$1:$AY$1,),)</f>
        <v>2.9975601557539557E-2</v>
      </c>
      <c r="N115" s="21" t="e">
        <f>(VLOOKUP(B115,Data!$B:$AY,MATCH($N$1,Data!$B$1:$AY$1,),)-VLOOKUP(EDATE(B115,-12),Data!$B:$AY,MATCH($N$1,Data!$B$1:$AY$1,),))/VLOOKUP(EDATE(B115,-12),Data!$B:$AY,MATCH($N$1,Data!$B$1:$AY$1,),)</f>
        <v>#DIV/0!</v>
      </c>
      <c r="O115" s="21">
        <f>(VLOOKUP(B115,Data!$B:$AY,MATCH($O$1,Data!$B$1:$AY$1,),)-VLOOKUP(EDATE(B115,-12),Data!$B:$AY,MATCH($O$1,Data!$B$1:$AY$1,),))/VLOOKUP(EDATE(B115,-12),Data!$B:$AY,MATCH($O$1,Data!$B$1:$AY$1,),)</f>
        <v>6.9766957119866788E-2</v>
      </c>
      <c r="P115" s="21">
        <f>(VLOOKUP(B115,Data!$B:$AY,MATCH($P$1,Data!$B$1:$AY$1,),)-VLOOKUP(EDATE(B115,-12),Data!$B:$AY,MATCH($P$1,Data!$B$1:$AY$1,),))/VLOOKUP(EDATE(B115,-12),Data!$B:$AY,MATCH($P$1,Data!$B$1:$AY$1,),)</f>
        <v>1.8699117725018026E-2</v>
      </c>
      <c r="Q115" s="21" t="e">
        <f>(VLOOKUP(B115,Data!$B:$AY,MATCH($Q$1,Data!$B$1:$AY$1,),)-VLOOKUP(EDATE(B115,-12),Data!$B:$AY,MATCH($Q$1,Data!$B$1:$AY$1,),))/VLOOKUP(EDATE(B115,-12),Data!$B:$AY,MATCH($Q$1,Data!$B$1:$AY$1,),)</f>
        <v>#N/A</v>
      </c>
      <c r="R115" s="21">
        <f>(VLOOKUP(B115,Data!$B:$AY,MATCH($R$1,Data!$B$1:$AY$1,),)-VLOOKUP(EDATE(B115,-12),Data!$B:$AY,MATCH($R$1,Data!$B$1:$AY$1,),))/VLOOKUP(EDATE(B115,-12),Data!$B:$AY,MATCH($R$1,Data!$B$1:$AY$1,),)</f>
        <v>1.4835227244667476E-3</v>
      </c>
      <c r="S115" s="21">
        <f>(VLOOKUP(B115,Data!$B:$AY,MATCH($S$1,Data!$B$1:$AY$1,),)-VLOOKUP(EDATE(B115,-12),Data!$B:$AY,MATCH($S$1,Data!$B$1:$AY$1,),))/VLOOKUP(EDATE(B115,-12),Data!$B:$AY,MATCH($S$1,Data!$B$1:$AY$1,),)</f>
        <v>-4.259346900142005E-3</v>
      </c>
      <c r="T115" s="21">
        <f>(VLOOKUP(B115,Data!$B:$AY,MATCH($T$1,Data!$B$1:$AY$1,),)-VLOOKUP(EDATE(B115,-12),Data!$B:$AY,MATCH($T$1,Data!$B$1:$AY$1,),))/VLOOKUP(EDATE(B115,-12),Data!$B:$AY,MATCH($T$1,Data!$B$1:$AY$1,),)</f>
        <v>2.8934166034675485E-2</v>
      </c>
      <c r="U115" s="21">
        <f>(VLOOKUP(B115,Data!$B:$AY,MATCH($U$1,Data!$B$1:$AY$1,),)-VLOOKUP(EDATE(B115,-12),Data!$B:$AY,MATCH($U$1,Data!$B$1:$AY$1,),))/VLOOKUP(EDATE(B115,-12),Data!$B:$AY,MATCH($U$1,Data!$B$1:$AY$1,),)</f>
        <v>-7.4425190426512526E-4</v>
      </c>
      <c r="V115" s="21" t="e">
        <f>(VLOOKUP(B115,Data!$B:$AY,MATCH($V$1,Data!$B$1:$AY$1,),)-VLOOKUP(EDATE(B115,-12),Data!$B:$AY,MATCH($V$1,Data!$B$1:$AY$1,),))/VLOOKUP(EDATE(B115,-12),Data!$B:$AY,MATCH($V$1,Data!$B$1:$AY$1,),)</f>
        <v>#DIV/0!</v>
      </c>
      <c r="W115" s="21">
        <f>(VLOOKUP(B115,Data!$B:$AY,MATCH($W$1,Data!$B$1:$AY$1,),)-VLOOKUP(EDATE(B115,-12),Data!$B:$AY,MATCH($W$1,Data!$B$1:$AY$1,),))/VLOOKUP(EDATE(B115,-12),Data!$B:$AY,MATCH($W$1,Data!$B$1:$AY$1,),)</f>
        <v>9.2620891605594058E-2</v>
      </c>
      <c r="X115" s="21">
        <f>(VLOOKUP(B115,Data!$B:$AY,MATCH($X$1,Data!$B$1:$AY$1,),)-VLOOKUP(EDATE(B115,-12),Data!$B:$AY,MATCH($X$1,Data!$B$1:$AY$1,),))/VLOOKUP(EDATE(B115,-12),Data!$B:$AY,MATCH($X$1,Data!$B$1:$AY$1,),)</f>
        <v>2.6515151515151623E-2</v>
      </c>
      <c r="Y115" s="21">
        <f>(VLOOKUP(B115,Data!$B:$AY,MATCH($Y$1,Data!$B$1:$AY$1,),)-VLOOKUP(EDATE(B115,-12),Data!$B:$AY,MATCH($Y$1,Data!$B$1:$AY$1,),))/VLOOKUP(EDATE(B115,-12),Data!$B:$AY,MATCH($Y$1,Data!$B$1:$AY$1,),)</f>
        <v>2.5196826020211217E-2</v>
      </c>
    </row>
    <row r="116" spans="2:25" s="3" customFormat="1" x14ac:dyDescent="0.2">
      <c r="B116" s="16">
        <v>43739</v>
      </c>
      <c r="C116" s="21">
        <f>(VLOOKUP(B116,Data!$B:$AY,MATCH($C$1,Data!$B$1:$AY$1,),)-VLOOKUP(EDATE(B116,-12),Data!$B:$AY,MATCH($C$1,Data!$B$1:$AY$1,),))/VLOOKUP(EDATE(B116,-12),Data!$B:$AY,MATCH($C$1,Data!$B$1:$AY$1,),)</f>
        <v>1.7640018407627675E-2</v>
      </c>
      <c r="D116" s="21">
        <f>(VLOOKUP(B116,Data!$B:$AY,MATCH($D$1,Data!$B$1:$AY$1,),)-VLOOKUP(EDATE(B116,-12),Data!$B:$AY,MATCH($D$1,Data!$B$1:$AY$1,),))/VLOOKUP(EDATE(B116,-12),Data!$B:$AY,MATCH($D$1,Data!$B$1:$AY$1,),)</f>
        <v>3.7453183520599252E-2</v>
      </c>
      <c r="E116" s="21">
        <f>(VLOOKUP(B116,Data!$B:$AY,MATCH($E$1,Data!$B$1:$AY$1,),)-VLOOKUP(EDATE(B116,-12),Data!$B:$AY,MATCH($E$1,Data!$B$1:$AY$1,),))/VLOOKUP(EDATE(B116,-12),Data!$B:$AY,MATCH($E$1,Data!$B$1:$AY$1,),)</f>
        <v>7.2602216278180249E-3</v>
      </c>
      <c r="F116" s="21">
        <f>(VLOOKUP(B116,Data!$B:$AY,MATCH($F$1,Data!$B$1:$AY$1,),)-VLOOKUP(EDATE(B116,-12),Data!$B:$AY,MATCH($F$1,Data!$B$1:$AY$1,),))/VLOOKUP(EDATE(B116,-12),Data!$B:$AY,MATCH($F$1,Data!$B$1:$AY$1,),)</f>
        <v>1.9607843137255179E-3</v>
      </c>
      <c r="G116" s="21">
        <f>(VLOOKUP(B116,Data!$B:$AY,MATCH($G$1,Data!$B$1:$AY$1,),)-VLOOKUP(EDATE(B116,-12),Data!$B:$AY,MATCH($G$1,Data!$B$1:$AY$1,),))/VLOOKUP(EDATE(B116,-12),Data!$B:$AY,MATCH($G$1,Data!$B$1:$AY$1,),)</f>
        <v>1.1439464341029812E-2</v>
      </c>
      <c r="H116" s="21">
        <f>(VLOOKUP(B116,Data!$B:$AY,MATCH($H$1,Data!$B$1:$AY$1,),)-VLOOKUP(EDATE(B116,-12),Data!$B:$AY,MATCH($H$1,Data!$B$1:$AY$1,),))/VLOOKUP(EDATE(B116,-12),Data!$B:$AY,MATCH($H$1,Data!$B$1:$AY$1,),)</f>
        <v>7.6203337513262468E-3</v>
      </c>
      <c r="I116" s="21">
        <f>(VLOOKUP(B116,Data!$B:$AY,MATCH($I$1,Data!$B$1:$AY$1,),)-VLOOKUP(EDATE(B116,-12),Data!$B:$AY,MATCH($I$1,Data!$B$1:$AY$1,),))/VLOOKUP(EDATE(B116,-12),Data!$B:$AY,MATCH($I$1,Data!$B$1:$AY$1,),)</f>
        <v>1.4995313964386076E-2</v>
      </c>
      <c r="J116" s="21">
        <f>(VLOOKUP(B116,Data!$B:$AY,MATCH($J$1,Data!$B$1:$AY$1,),)-VLOOKUP(EDATE(B116,-12),Data!$B:$AY,MATCH($J$1,Data!$B$1:$AY$1,),))/VLOOKUP(EDATE(B116,-12),Data!$B:$AY,MATCH($J$1,Data!$B$1:$AY$1,),)</f>
        <v>1.9493177387914509E-3</v>
      </c>
      <c r="K116" s="21">
        <f>(VLOOKUP(B116,Data!$B:$AY,MATCH($K$1,Data!$B$1:$AY$1,),)-VLOOKUP(EDATE(B116,-12),Data!$B:$AY,MATCH($K$1,Data!$B$1:$AY$1,),))/VLOOKUP(EDATE(B116,-12),Data!$B:$AY,MATCH($K$1,Data!$B$1:$AY$1,),)</f>
        <v>1.2855727622730221E-3</v>
      </c>
      <c r="L116" s="21">
        <f>(VLOOKUP(B116,Data!$B:$AY,MATCH($L$1,Data!$B$1:$AY$1,),)-VLOOKUP(EDATE(B116,-12),Data!$B:$AY,MATCH($L$1,Data!$B$1:$AY$1,),))/VLOOKUP(EDATE(B116,-12),Data!$B:$AY,MATCH($L$1,Data!$B$1:$AY$1,),)</f>
        <v>1.6086075378488933E-2</v>
      </c>
      <c r="M116" s="21">
        <f>(VLOOKUP(B116,Data!$B:$AY,MATCH($M$1,Data!$B$1:$AY$1,),)-VLOOKUP(EDATE(B116,-12),Data!$B:$AY,MATCH($M$1,Data!$B$1:$AY$1,),))/VLOOKUP(EDATE(B116,-12),Data!$B:$AY,MATCH($M$1,Data!$B$1:$AY$1,),)</f>
        <v>3.0195200774235906E-2</v>
      </c>
      <c r="N116" s="21" t="e">
        <f>(VLOOKUP(B116,Data!$B:$AY,MATCH($N$1,Data!$B$1:$AY$1,),)-VLOOKUP(EDATE(B116,-12),Data!$B:$AY,MATCH($N$1,Data!$B$1:$AY$1,),))/VLOOKUP(EDATE(B116,-12),Data!$B:$AY,MATCH($N$1,Data!$B$1:$AY$1,),)</f>
        <v>#DIV/0!</v>
      </c>
      <c r="O116" s="21">
        <f>(VLOOKUP(B116,Data!$B:$AY,MATCH($O$1,Data!$B$1:$AY$1,),)-VLOOKUP(EDATE(B116,-12),Data!$B:$AY,MATCH($O$1,Data!$B$1:$AY$1,),))/VLOOKUP(EDATE(B116,-12),Data!$B:$AY,MATCH($O$1,Data!$B$1:$AY$1,),)</f>
        <v>7.6158802815682172E-2</v>
      </c>
      <c r="P116" s="21">
        <f>(VLOOKUP(B116,Data!$B:$AY,MATCH($P$1,Data!$B$1:$AY$1,),)-VLOOKUP(EDATE(B116,-12),Data!$B:$AY,MATCH($P$1,Data!$B$1:$AY$1,),))/VLOOKUP(EDATE(B116,-12),Data!$B:$AY,MATCH($P$1,Data!$B$1:$AY$1,),)</f>
        <v>1.8642386512395706E-2</v>
      </c>
      <c r="Q116" s="21" t="e">
        <f>(VLOOKUP(B116,Data!$B:$AY,MATCH($Q$1,Data!$B$1:$AY$1,),)-VLOOKUP(EDATE(B116,-12),Data!$B:$AY,MATCH($Q$1,Data!$B$1:$AY$1,),))/VLOOKUP(EDATE(B116,-12),Data!$B:$AY,MATCH($Q$1,Data!$B$1:$AY$1,),)</f>
        <v>#N/A</v>
      </c>
      <c r="R116" s="21">
        <f>(VLOOKUP(B116,Data!$B:$AY,MATCH($R$1,Data!$B$1:$AY$1,),)-VLOOKUP(EDATE(B116,-12),Data!$B:$AY,MATCH($R$1,Data!$B$1:$AY$1,),))/VLOOKUP(EDATE(B116,-12),Data!$B:$AY,MATCH($R$1,Data!$B$1:$AY$1,),)</f>
        <v>-2.5309491601627344E-3</v>
      </c>
      <c r="S116" s="21">
        <f>(VLOOKUP(B116,Data!$B:$AY,MATCH($S$1,Data!$B$1:$AY$1,),)-VLOOKUP(EDATE(B116,-12),Data!$B:$AY,MATCH($S$1,Data!$B$1:$AY$1,),))/VLOOKUP(EDATE(B116,-12),Data!$B:$AY,MATCH($S$1,Data!$B$1:$AY$1,),)</f>
        <v>0</v>
      </c>
      <c r="T116" s="21">
        <f>(VLOOKUP(B116,Data!$B:$AY,MATCH($T$1,Data!$B$1:$AY$1,),)-VLOOKUP(EDATE(B116,-12),Data!$B:$AY,MATCH($T$1,Data!$B$1:$AY$1,),))/VLOOKUP(EDATE(B116,-12),Data!$B:$AY,MATCH($T$1,Data!$B$1:$AY$1,),)</f>
        <v>2.5350514053498072E-2</v>
      </c>
      <c r="U116" s="21">
        <f>(VLOOKUP(B116,Data!$B:$AY,MATCH($U$1,Data!$B$1:$AY$1,),)-VLOOKUP(EDATE(B116,-12),Data!$B:$AY,MATCH($U$1,Data!$B$1:$AY$1,),))/VLOOKUP(EDATE(B116,-12),Data!$B:$AY,MATCH($U$1,Data!$B$1:$AY$1,),)</f>
        <v>-7.1178705744408309E-3</v>
      </c>
      <c r="V116" s="21" t="e">
        <f>(VLOOKUP(B116,Data!$B:$AY,MATCH($V$1,Data!$B$1:$AY$1,),)-VLOOKUP(EDATE(B116,-12),Data!$B:$AY,MATCH($V$1,Data!$B$1:$AY$1,),))/VLOOKUP(EDATE(B116,-12),Data!$B:$AY,MATCH($V$1,Data!$B$1:$AY$1,),)</f>
        <v>#DIV/0!</v>
      </c>
      <c r="W116" s="21">
        <f>(VLOOKUP(B116,Data!$B:$AY,MATCH($W$1,Data!$B$1:$AY$1,),)-VLOOKUP(EDATE(B116,-12),Data!$B:$AY,MATCH($W$1,Data!$B$1:$AY$1,),))/VLOOKUP(EDATE(B116,-12),Data!$B:$AY,MATCH($W$1,Data!$B$1:$AY$1,),)</f>
        <v>8.5528686956979141E-2</v>
      </c>
      <c r="X116" s="21">
        <f>(VLOOKUP(B116,Data!$B:$AY,MATCH($X$1,Data!$B$1:$AY$1,),)-VLOOKUP(EDATE(B116,-12),Data!$B:$AY,MATCH($X$1,Data!$B$1:$AY$1,),))/VLOOKUP(EDATE(B116,-12),Data!$B:$AY,MATCH($X$1,Data!$B$1:$AY$1,),)</f>
        <v>2.7358490566037789E-2</v>
      </c>
      <c r="Y116" s="21">
        <f>(VLOOKUP(B116,Data!$B:$AY,MATCH($Y$1,Data!$B$1:$AY$1,),)-VLOOKUP(EDATE(B116,-12),Data!$B:$AY,MATCH($Y$1,Data!$B$1:$AY$1,),))/VLOOKUP(EDATE(B116,-12),Data!$B:$AY,MATCH($Y$1,Data!$B$1:$AY$1,),)</f>
        <v>2.352938909342471E-2</v>
      </c>
    </row>
    <row r="117" spans="2:25" s="3" customFormat="1" x14ac:dyDescent="0.2">
      <c r="B117" s="16">
        <v>43770</v>
      </c>
      <c r="C117" s="21">
        <f>(VLOOKUP(B117,Data!$B:$AY,MATCH($C$1,Data!$B$1:$AY$1,),)-VLOOKUP(EDATE(B117,-12),Data!$B:$AY,MATCH($C$1,Data!$B$1:$AY$1,),))/VLOOKUP(EDATE(B117,-12),Data!$B:$AY,MATCH($C$1,Data!$B$1:$AY$1,),)</f>
        <v>2.0512989302926936E-2</v>
      </c>
      <c r="D117" s="21">
        <f>(VLOOKUP(B117,Data!$B:$AY,MATCH($D$1,Data!$B$1:$AY$1,),)-VLOOKUP(EDATE(B117,-12),Data!$B:$AY,MATCH($D$1,Data!$B$1:$AY$1,),))/VLOOKUP(EDATE(B117,-12),Data!$B:$AY,MATCH($D$1,Data!$B$1:$AY$1,),)</f>
        <v>4.5112781954887188E-2</v>
      </c>
      <c r="E117" s="21">
        <f>(VLOOKUP(B117,Data!$B:$AY,MATCH($E$1,Data!$B$1:$AY$1,),)-VLOOKUP(EDATE(B117,-12),Data!$B:$AY,MATCH($E$1,Data!$B$1:$AY$1,),))/VLOOKUP(EDATE(B117,-12),Data!$B:$AY,MATCH($E$1,Data!$B$1:$AY$1,),)</f>
        <v>9.6061479346781949E-3</v>
      </c>
      <c r="F117" s="21">
        <f>(VLOOKUP(B117,Data!$B:$AY,MATCH($F$1,Data!$B$1:$AY$1,),)-VLOOKUP(EDATE(B117,-12),Data!$B:$AY,MATCH($F$1,Data!$B$1:$AY$1,),))/VLOOKUP(EDATE(B117,-12),Data!$B:$AY,MATCH($F$1,Data!$B$1:$AY$1,),)</f>
        <v>4.911591355599214E-3</v>
      </c>
      <c r="G117" s="21">
        <f>(VLOOKUP(B117,Data!$B:$AY,MATCH($G$1,Data!$B$1:$AY$1,),)-VLOOKUP(EDATE(B117,-12),Data!$B:$AY,MATCH($G$1,Data!$B$1:$AY$1,),))/VLOOKUP(EDATE(B117,-12),Data!$B:$AY,MATCH($G$1,Data!$B$1:$AY$1,),)</f>
        <v>1.0556778426635102E-2</v>
      </c>
      <c r="H117" s="21">
        <f>(VLOOKUP(B117,Data!$B:$AY,MATCH($H$1,Data!$B$1:$AY$1,),)-VLOOKUP(EDATE(B117,-12),Data!$B:$AY,MATCH($H$1,Data!$B$1:$AY$1,),))/VLOOKUP(EDATE(B117,-12),Data!$B:$AY,MATCH($H$1,Data!$B$1:$AY$1,),)</f>
        <v>1.0343160947317478E-2</v>
      </c>
      <c r="I117" s="21">
        <f>(VLOOKUP(B117,Data!$B:$AY,MATCH($I$1,Data!$B$1:$AY$1,),)-VLOOKUP(EDATE(B117,-12),Data!$B:$AY,MATCH($I$1,Data!$B$1:$AY$1,),))/VLOOKUP(EDATE(B117,-12),Data!$B:$AY,MATCH($I$1,Data!$B$1:$AY$1,),)</f>
        <v>1.4967259120673473E-2</v>
      </c>
      <c r="J117" s="21">
        <f>(VLOOKUP(B117,Data!$B:$AY,MATCH($J$1,Data!$B$1:$AY$1,),)-VLOOKUP(EDATE(B117,-12),Data!$B:$AY,MATCH($J$1,Data!$B$1:$AY$1,),))/VLOOKUP(EDATE(B117,-12),Data!$B:$AY,MATCH($J$1,Data!$B$1:$AY$1,),)</f>
        <v>1.953124999999889E-3</v>
      </c>
      <c r="K117" s="21">
        <f>(VLOOKUP(B117,Data!$B:$AY,MATCH($K$1,Data!$B$1:$AY$1,),)-VLOOKUP(EDATE(B117,-12),Data!$B:$AY,MATCH($K$1,Data!$B$1:$AY$1,),))/VLOOKUP(EDATE(B117,-12),Data!$B:$AY,MATCH($K$1,Data!$B$1:$AY$1,),)</f>
        <v>4.0816560516856813E-3</v>
      </c>
      <c r="L117" s="21">
        <f>(VLOOKUP(B117,Data!$B:$AY,MATCH($L$1,Data!$B$1:$AY$1,),)-VLOOKUP(EDATE(B117,-12),Data!$B:$AY,MATCH($L$1,Data!$B$1:$AY$1,),))/VLOOKUP(EDATE(B117,-12),Data!$B:$AY,MATCH($L$1,Data!$B$1:$AY$1,),)</f>
        <v>1.8039198578183813E-2</v>
      </c>
      <c r="M117" s="21">
        <f>(VLOOKUP(B117,Data!$B:$AY,MATCH($M$1,Data!$B$1:$AY$1,),)-VLOOKUP(EDATE(B117,-12),Data!$B:$AY,MATCH($M$1,Data!$B$1:$AY$1,),))/VLOOKUP(EDATE(B117,-12),Data!$B:$AY,MATCH($M$1,Data!$B$1:$AY$1,),)</f>
        <v>2.9745140795894107E-2</v>
      </c>
      <c r="N117" s="21" t="e">
        <f>(VLOOKUP(B117,Data!$B:$AY,MATCH($N$1,Data!$B$1:$AY$1,),)-VLOOKUP(EDATE(B117,-12),Data!$B:$AY,MATCH($N$1,Data!$B$1:$AY$1,),))/VLOOKUP(EDATE(B117,-12),Data!$B:$AY,MATCH($N$1,Data!$B$1:$AY$1,),)</f>
        <v>#DIV/0!</v>
      </c>
      <c r="O117" s="21">
        <f>(VLOOKUP(B117,Data!$B:$AY,MATCH($O$1,Data!$B$1:$AY$1,),)-VLOOKUP(EDATE(B117,-12),Data!$B:$AY,MATCH($O$1,Data!$B$1:$AY$1,),))/VLOOKUP(EDATE(B117,-12),Data!$B:$AY,MATCH($O$1,Data!$B$1:$AY$1,),)</f>
        <v>8.609263497581468E-2</v>
      </c>
      <c r="P117" s="21">
        <f>(VLOOKUP(B117,Data!$B:$AY,MATCH($P$1,Data!$B$1:$AY$1,),)-VLOOKUP(EDATE(B117,-12),Data!$B:$AY,MATCH($P$1,Data!$B$1:$AY$1,),))/VLOOKUP(EDATE(B117,-12),Data!$B:$AY,MATCH($P$1,Data!$B$1:$AY$1,),)</f>
        <v>2.1723013329793955E-2</v>
      </c>
      <c r="Q117" s="21" t="e">
        <f>(VLOOKUP(B117,Data!$B:$AY,MATCH($Q$1,Data!$B$1:$AY$1,),)-VLOOKUP(EDATE(B117,-12),Data!$B:$AY,MATCH($Q$1,Data!$B$1:$AY$1,),))/VLOOKUP(EDATE(B117,-12),Data!$B:$AY,MATCH($Q$1,Data!$B$1:$AY$1,),)</f>
        <v>#N/A</v>
      </c>
      <c r="R117" s="21">
        <f>(VLOOKUP(B117,Data!$B:$AY,MATCH($R$1,Data!$B$1:$AY$1,),)-VLOOKUP(EDATE(B117,-12),Data!$B:$AY,MATCH($R$1,Data!$B$1:$AY$1,),))/VLOOKUP(EDATE(B117,-12),Data!$B:$AY,MATCH($R$1,Data!$B$1:$AY$1,),)</f>
        <v>-1.31170940348359E-3</v>
      </c>
      <c r="S117" s="21">
        <f>(VLOOKUP(B117,Data!$B:$AY,MATCH($S$1,Data!$B$1:$AY$1,),)-VLOOKUP(EDATE(B117,-12),Data!$B:$AY,MATCH($S$1,Data!$B$1:$AY$1,),))/VLOOKUP(EDATE(B117,-12),Data!$B:$AY,MATCH($S$1,Data!$B$1:$AY$1,),)</f>
        <v>1.5280297965811365E-3</v>
      </c>
      <c r="T117" s="21">
        <f>(VLOOKUP(B117,Data!$B:$AY,MATCH($T$1,Data!$B$1:$AY$1,),)-VLOOKUP(EDATE(B117,-12),Data!$B:$AY,MATCH($T$1,Data!$B$1:$AY$1,),))/VLOOKUP(EDATE(B117,-12),Data!$B:$AY,MATCH($T$1,Data!$B$1:$AY$1,),)</f>
        <v>3.2748802291070515E-2</v>
      </c>
      <c r="U117" s="21">
        <f>(VLOOKUP(B117,Data!$B:$AY,MATCH($U$1,Data!$B$1:$AY$1,),)-VLOOKUP(EDATE(B117,-12),Data!$B:$AY,MATCH($U$1,Data!$B$1:$AY$1,),))/VLOOKUP(EDATE(B117,-12),Data!$B:$AY,MATCH($U$1,Data!$B$1:$AY$1,),)</f>
        <v>2.2277171480873416E-3</v>
      </c>
      <c r="V117" s="21" t="e">
        <f>(VLOOKUP(B117,Data!$B:$AY,MATCH($V$1,Data!$B$1:$AY$1,),)-VLOOKUP(EDATE(B117,-12),Data!$B:$AY,MATCH($V$1,Data!$B$1:$AY$1,),))/VLOOKUP(EDATE(B117,-12),Data!$B:$AY,MATCH($V$1,Data!$B$1:$AY$1,),)</f>
        <v>#DIV/0!</v>
      </c>
      <c r="W117" s="21">
        <f>(VLOOKUP(B117,Data!$B:$AY,MATCH($W$1,Data!$B$1:$AY$1,),)-VLOOKUP(EDATE(B117,-12),Data!$B:$AY,MATCH($W$1,Data!$B$1:$AY$1,),))/VLOOKUP(EDATE(B117,-12),Data!$B:$AY,MATCH($W$1,Data!$B$1:$AY$1,),)</f>
        <v>0.1056183787958057</v>
      </c>
      <c r="X117" s="21">
        <f>(VLOOKUP(B117,Data!$B:$AY,MATCH($X$1,Data!$B$1:$AY$1,),)-VLOOKUP(EDATE(B117,-12),Data!$B:$AY,MATCH($X$1,Data!$B$1:$AY$1,),))/VLOOKUP(EDATE(B117,-12),Data!$B:$AY,MATCH($X$1,Data!$B$1:$AY$1,),)</f>
        <v>3.1161473087818668E-2</v>
      </c>
      <c r="Y117" s="21">
        <f>(VLOOKUP(B117,Data!$B:$AY,MATCH($Y$1,Data!$B$1:$AY$1,),)-VLOOKUP(EDATE(B117,-12),Data!$B:$AY,MATCH($Y$1,Data!$B$1:$AY$1,),))/VLOOKUP(EDATE(B117,-12),Data!$B:$AY,MATCH($Y$1,Data!$B$1:$AY$1,),)</f>
        <v>2.4313702063205558E-2</v>
      </c>
    </row>
    <row r="118" spans="2:25" s="3" customFormat="1" x14ac:dyDescent="0.2">
      <c r="B118" s="16">
        <v>43800</v>
      </c>
      <c r="C118" s="21">
        <f>(VLOOKUP(B118,Data!$B:$AY,MATCH($C$1,Data!$B$1:$AY$1,),)-VLOOKUP(EDATE(B118,-12),Data!$B:$AY,MATCH($C$1,Data!$B$1:$AY$1,),))/VLOOKUP(EDATE(B118,-12),Data!$B:$AY,MATCH($C$1,Data!$B$1:$AY$1,),)</f>
        <v>2.285139611256453E-2</v>
      </c>
      <c r="D118" s="21">
        <f>(VLOOKUP(B118,Data!$B:$AY,MATCH($D$1,Data!$B$1:$AY$1,),)-VLOOKUP(EDATE(B118,-12),Data!$B:$AY,MATCH($D$1,Data!$B$1:$AY$1,),))/VLOOKUP(EDATE(B118,-12),Data!$B:$AY,MATCH($D$1,Data!$B$1:$AY$1,),)</f>
        <v>4.4131455399061062E-2</v>
      </c>
      <c r="E118" s="21">
        <f>(VLOOKUP(B118,Data!$B:$AY,MATCH($E$1,Data!$B$1:$AY$1,),)-VLOOKUP(EDATE(B118,-12),Data!$B:$AY,MATCH($E$1,Data!$B$1:$AY$1,),))/VLOOKUP(EDATE(B118,-12),Data!$B:$AY,MATCH($E$1,Data!$B$1:$AY$1,),)</f>
        <v>1.3262854396924649E-2</v>
      </c>
      <c r="F118" s="21">
        <f>(VLOOKUP(B118,Data!$B:$AY,MATCH($F$1,Data!$B$1:$AY$1,),)-VLOOKUP(EDATE(B118,-12),Data!$B:$AY,MATCH($F$1,Data!$B$1:$AY$1,),))/VLOOKUP(EDATE(B118,-12),Data!$B:$AY,MATCH($F$1,Data!$B$1:$AY$1,),)</f>
        <v>7.88177339901475E-3</v>
      </c>
      <c r="G118" s="21">
        <f>(VLOOKUP(B118,Data!$B:$AY,MATCH($G$1,Data!$B$1:$AY$1,),)-VLOOKUP(EDATE(B118,-12),Data!$B:$AY,MATCH($G$1,Data!$B$1:$AY$1,),))/VLOOKUP(EDATE(B118,-12),Data!$B:$AY,MATCH($G$1,Data!$B$1:$AY$1,),)</f>
        <v>1.5354441772679044E-2</v>
      </c>
      <c r="H118" s="21">
        <f>(VLOOKUP(B118,Data!$B:$AY,MATCH($H$1,Data!$B$1:$AY$1,),)-VLOOKUP(EDATE(B118,-12),Data!$B:$AY,MATCH($H$1,Data!$B$1:$AY$1,),))/VLOOKUP(EDATE(B118,-12),Data!$B:$AY,MATCH($H$1,Data!$B$1:$AY$1,),)</f>
        <v>1.4593602010244565E-2</v>
      </c>
      <c r="I118" s="21">
        <f>(VLOOKUP(B118,Data!$B:$AY,MATCH($I$1,Data!$B$1:$AY$1,),)-VLOOKUP(EDATE(B118,-12),Data!$B:$AY,MATCH($I$1,Data!$B$1:$AY$1,),))/VLOOKUP(EDATE(B118,-12),Data!$B:$AY,MATCH($I$1,Data!$B$1:$AY$1,),)</f>
        <v>1.3071895424836655E-2</v>
      </c>
      <c r="J118" s="21">
        <f>(VLOOKUP(B118,Data!$B:$AY,MATCH($J$1,Data!$B$1:$AY$1,),)-VLOOKUP(EDATE(B118,-12),Data!$B:$AY,MATCH($J$1,Data!$B$1:$AY$1,),))/VLOOKUP(EDATE(B118,-12),Data!$B:$AY,MATCH($J$1,Data!$B$1:$AY$1,),)</f>
        <v>4.8875855327468231E-3</v>
      </c>
      <c r="K118" s="21">
        <f>(VLOOKUP(B118,Data!$B:$AY,MATCH($K$1,Data!$B$1:$AY$1,),)-VLOOKUP(EDATE(B118,-12),Data!$B:$AY,MATCH($K$1,Data!$B$1:$AY$1,),))/VLOOKUP(EDATE(B118,-12),Data!$B:$AY,MATCH($K$1,Data!$B$1:$AY$1,),)</f>
        <v>7.8824570462237339E-3</v>
      </c>
      <c r="L118" s="21">
        <f>(VLOOKUP(B118,Data!$B:$AY,MATCH($L$1,Data!$B$1:$AY$1,),)-VLOOKUP(EDATE(B118,-12),Data!$B:$AY,MATCH($L$1,Data!$B$1:$AY$1,),))/VLOOKUP(EDATE(B118,-12),Data!$B:$AY,MATCH($L$1,Data!$B$1:$AY$1,),)</f>
        <v>1.7507036521932948E-2</v>
      </c>
      <c r="M118" s="21">
        <f>(VLOOKUP(B118,Data!$B:$AY,MATCH($M$1,Data!$B$1:$AY$1,),)-VLOOKUP(EDATE(B118,-12),Data!$B:$AY,MATCH($M$1,Data!$B$1:$AY$1,),))/VLOOKUP(EDATE(B118,-12),Data!$B:$AY,MATCH($M$1,Data!$B$1:$AY$1,),)</f>
        <v>2.828566445020184E-2</v>
      </c>
      <c r="N118" s="21" t="e">
        <f>(VLOOKUP(B118,Data!$B:$AY,MATCH($N$1,Data!$B$1:$AY$1,),)-VLOOKUP(EDATE(B118,-12),Data!$B:$AY,MATCH($N$1,Data!$B$1:$AY$1,),))/VLOOKUP(EDATE(B118,-12),Data!$B:$AY,MATCH($N$1,Data!$B$1:$AY$1,),)</f>
        <v>#DIV/0!</v>
      </c>
      <c r="O118" s="21">
        <f>(VLOOKUP(B118,Data!$B:$AY,MATCH($O$1,Data!$B$1:$AY$1,),)-VLOOKUP(EDATE(B118,-12),Data!$B:$AY,MATCH($O$1,Data!$B$1:$AY$1,),))/VLOOKUP(EDATE(B118,-12),Data!$B:$AY,MATCH($O$1,Data!$B$1:$AY$1,),)</f>
        <v>9.6345465899034047E-2</v>
      </c>
      <c r="P118" s="21">
        <f>(VLOOKUP(B118,Data!$B:$AY,MATCH($P$1,Data!$B$1:$AY$1,),)-VLOOKUP(EDATE(B118,-12),Data!$B:$AY,MATCH($P$1,Data!$B$1:$AY$1,),))/VLOOKUP(EDATE(B118,-12),Data!$B:$AY,MATCH($P$1,Data!$B$1:$AY$1,),)</f>
        <v>2.2488828167250167E-2</v>
      </c>
      <c r="Q118" s="21" t="e">
        <f>(VLOOKUP(B118,Data!$B:$AY,MATCH($Q$1,Data!$B$1:$AY$1,),)-VLOOKUP(EDATE(B118,-12),Data!$B:$AY,MATCH($Q$1,Data!$B$1:$AY$1,),))/VLOOKUP(EDATE(B118,-12),Data!$B:$AY,MATCH($Q$1,Data!$B$1:$AY$1,),)</f>
        <v>#N/A</v>
      </c>
      <c r="R118" s="21">
        <f>(VLOOKUP(B118,Data!$B:$AY,MATCH($R$1,Data!$B$1:$AY$1,),)-VLOOKUP(EDATE(B118,-12),Data!$B:$AY,MATCH($R$1,Data!$B$1:$AY$1,),))/VLOOKUP(EDATE(B118,-12),Data!$B:$AY,MATCH($R$1,Data!$B$1:$AY$1,),)</f>
        <v>1.5588765782014174E-3</v>
      </c>
      <c r="S118" s="21">
        <f>(VLOOKUP(B118,Data!$B:$AY,MATCH($S$1,Data!$B$1:$AY$1,),)-VLOOKUP(EDATE(B118,-12),Data!$B:$AY,MATCH($S$1,Data!$B$1:$AY$1,),))/VLOOKUP(EDATE(B118,-12),Data!$B:$AY,MATCH($S$1,Data!$B$1:$AY$1,),)</f>
        <v>7.3790129372305726E-3</v>
      </c>
      <c r="T118" s="21">
        <f>(VLOOKUP(B118,Data!$B:$AY,MATCH($T$1,Data!$B$1:$AY$1,),)-VLOOKUP(EDATE(B118,-12),Data!$B:$AY,MATCH($T$1,Data!$B$1:$AY$1,),))/VLOOKUP(EDATE(B118,-12),Data!$B:$AY,MATCH($T$1,Data!$B$1:$AY$1,),)</f>
        <v>4.3062253518032348E-2</v>
      </c>
      <c r="U118" s="21">
        <f>(VLOOKUP(B118,Data!$B:$AY,MATCH($U$1,Data!$B$1:$AY$1,),)-VLOOKUP(EDATE(B118,-12),Data!$B:$AY,MATCH($U$1,Data!$B$1:$AY$1,),))/VLOOKUP(EDATE(B118,-12),Data!$B:$AY,MATCH($U$1,Data!$B$1:$AY$1,),)</f>
        <v>7.8002642852702444E-3</v>
      </c>
      <c r="V118" s="21" t="e">
        <f>(VLOOKUP(B118,Data!$B:$AY,MATCH($V$1,Data!$B$1:$AY$1,),)-VLOOKUP(EDATE(B118,-12),Data!$B:$AY,MATCH($V$1,Data!$B$1:$AY$1,),))/VLOOKUP(EDATE(B118,-12),Data!$B:$AY,MATCH($V$1,Data!$B$1:$AY$1,),)</f>
        <v>#DIV/0!</v>
      </c>
      <c r="W118" s="21">
        <f>(VLOOKUP(B118,Data!$B:$AY,MATCH($W$1,Data!$B$1:$AY$1,),)-VLOOKUP(EDATE(B118,-12),Data!$B:$AY,MATCH($W$1,Data!$B$1:$AY$1,),))/VLOOKUP(EDATE(B118,-12),Data!$B:$AY,MATCH($W$1,Data!$B$1:$AY$1,),)</f>
        <v>0.11836083100345217</v>
      </c>
      <c r="X118" s="21">
        <f>(VLOOKUP(B118,Data!$B:$AY,MATCH($X$1,Data!$B$1:$AY$1,),)-VLOOKUP(EDATE(B118,-12),Data!$B:$AY,MATCH($X$1,Data!$B$1:$AY$1,),))/VLOOKUP(EDATE(B118,-12),Data!$B:$AY,MATCH($X$1,Data!$B$1:$AY$1,),)</f>
        <v>3.2075471698113263E-2</v>
      </c>
      <c r="Y118" s="21">
        <f>(VLOOKUP(B118,Data!$B:$AY,MATCH($Y$1,Data!$B$1:$AY$1,),)-VLOOKUP(EDATE(B118,-12),Data!$B:$AY,MATCH($Y$1,Data!$B$1:$AY$1,),))/VLOOKUP(EDATE(B118,-12),Data!$B:$AY,MATCH($Y$1,Data!$B$1:$AY$1,),)</f>
        <v>3.2156831761013888E-2</v>
      </c>
    </row>
    <row r="119" spans="2:25" s="3" customFormat="1" x14ac:dyDescent="0.2">
      <c r="B119" s="16">
        <v>43831</v>
      </c>
      <c r="C119" s="21">
        <f>(VLOOKUP(B119,Data!$B:$AY,MATCH($C$1,Data!$B$1:$AY$1,),)-VLOOKUP(EDATE(B119,-12),Data!$B:$AY,MATCH($C$1,Data!$B$1:$AY$1,),))/VLOOKUP(EDATE(B119,-12),Data!$B:$AY,MATCH($C$1,Data!$B$1:$AY$1,),)</f>
        <v>2.4865348399246659E-2</v>
      </c>
      <c r="D119" s="21">
        <f>(VLOOKUP(B119,Data!$B:$AY,MATCH($D$1,Data!$B$1:$AY$1,),)-VLOOKUP(EDATE(B119,-12),Data!$B:$AY,MATCH($D$1,Data!$B$1:$AY$1,),))/VLOOKUP(EDATE(B119,-12),Data!$B:$AY,MATCH($D$1,Data!$B$1:$AY$1,),)</f>
        <v>5.4205607476635491E-2</v>
      </c>
      <c r="E119" s="21">
        <f>(VLOOKUP(B119,Data!$B:$AY,MATCH($E$1,Data!$B$1:$AY$1,),)-VLOOKUP(EDATE(B119,-12),Data!$B:$AY,MATCH($E$1,Data!$B$1:$AY$1,),))/VLOOKUP(EDATE(B119,-12),Data!$B:$AY,MATCH($E$1,Data!$B$1:$AY$1,),)</f>
        <v>1.3596193065941592E-2</v>
      </c>
      <c r="F119" s="21">
        <f>(VLOOKUP(B119,Data!$B:$AY,MATCH($F$1,Data!$B$1:$AY$1,),)-VLOOKUP(EDATE(B119,-12),Data!$B:$AY,MATCH($F$1,Data!$B$1:$AY$1,),))/VLOOKUP(EDATE(B119,-12),Data!$B:$AY,MATCH($F$1,Data!$B$1:$AY$1,),)</f>
        <v>6.8965517241379587E-3</v>
      </c>
      <c r="G119" s="21">
        <f>(VLOOKUP(B119,Data!$B:$AY,MATCH($G$1,Data!$B$1:$AY$1,),)-VLOOKUP(EDATE(B119,-12),Data!$B:$AY,MATCH($G$1,Data!$B$1:$AY$1,),))/VLOOKUP(EDATE(B119,-12),Data!$B:$AY,MATCH($G$1,Data!$B$1:$AY$1,),)</f>
        <v>1.7408129402072453E-2</v>
      </c>
      <c r="H119" s="21">
        <f>(VLOOKUP(B119,Data!$B:$AY,MATCH($H$1,Data!$B$1:$AY$1,),)-VLOOKUP(EDATE(B119,-12),Data!$B:$AY,MATCH($H$1,Data!$B$1:$AY$1,),))/VLOOKUP(EDATE(B119,-12),Data!$B:$AY,MATCH($H$1,Data!$B$1:$AY$1,),)</f>
        <v>1.4852926900300953E-2</v>
      </c>
      <c r="I119" s="21">
        <f>(VLOOKUP(B119,Data!$B:$AY,MATCH($I$1,Data!$B$1:$AY$1,),)-VLOOKUP(EDATE(B119,-12),Data!$B:$AY,MATCH($I$1,Data!$B$1:$AY$1,),))/VLOOKUP(EDATE(B119,-12),Data!$B:$AY,MATCH($I$1,Data!$B$1:$AY$1,),)</f>
        <v>1.7857142857142776E-2</v>
      </c>
      <c r="J119" s="21">
        <f>(VLOOKUP(B119,Data!$B:$AY,MATCH($J$1,Data!$B$1:$AY$1,),)-VLOOKUP(EDATE(B119,-12),Data!$B:$AY,MATCH($J$1,Data!$B$1:$AY$1,),))/VLOOKUP(EDATE(B119,-12),Data!$B:$AY,MATCH($J$1,Data!$B$1:$AY$1,),)</f>
        <v>4.8828125E-3</v>
      </c>
      <c r="K119" s="21">
        <f>(VLOOKUP(B119,Data!$B:$AY,MATCH($K$1,Data!$B$1:$AY$1,),)-VLOOKUP(EDATE(B119,-12),Data!$B:$AY,MATCH($K$1,Data!$B$1:$AY$1,),))/VLOOKUP(EDATE(B119,-12),Data!$B:$AY,MATCH($K$1,Data!$B$1:$AY$1,),)</f>
        <v>1.0972943387311701E-2</v>
      </c>
      <c r="L119" s="21">
        <f>(VLOOKUP(B119,Data!$B:$AY,MATCH($L$1,Data!$B$1:$AY$1,),)-VLOOKUP(EDATE(B119,-12),Data!$B:$AY,MATCH($L$1,Data!$B$1:$AY$1,),))/VLOOKUP(EDATE(B119,-12),Data!$B:$AY,MATCH($L$1,Data!$B$1:$AY$1,),)</f>
        <v>1.2965474358020637E-2</v>
      </c>
      <c r="M119" s="21">
        <f>(VLOOKUP(B119,Data!$B:$AY,MATCH($M$1,Data!$B$1:$AY$1,),)-VLOOKUP(EDATE(B119,-12),Data!$B:$AY,MATCH($M$1,Data!$B$1:$AY$1,),))/VLOOKUP(EDATE(B119,-12),Data!$B:$AY,MATCH($M$1,Data!$B$1:$AY$1,),)</f>
        <v>3.2383773173317268E-2</v>
      </c>
      <c r="N119" s="21" t="e">
        <f>(VLOOKUP(B119,Data!$B:$AY,MATCH($N$1,Data!$B$1:$AY$1,),)-VLOOKUP(EDATE(B119,-12),Data!$B:$AY,MATCH($N$1,Data!$B$1:$AY$1,),))/VLOOKUP(EDATE(B119,-12),Data!$B:$AY,MATCH($N$1,Data!$B$1:$AY$1,),)</f>
        <v>#DIV/0!</v>
      </c>
      <c r="O119" s="21">
        <f>(VLOOKUP(B119,Data!$B:$AY,MATCH($O$1,Data!$B$1:$AY$1,),)-VLOOKUP(EDATE(B119,-12),Data!$B:$AY,MATCH($O$1,Data!$B$1:$AY$1,),))/VLOOKUP(EDATE(B119,-12),Data!$B:$AY,MATCH($O$1,Data!$B$1:$AY$1,),)</f>
        <v>7.4919318443080099E-2</v>
      </c>
      <c r="P119" s="21">
        <f>(VLOOKUP(B119,Data!$B:$AY,MATCH($P$1,Data!$B$1:$AY$1,),)-VLOOKUP(EDATE(B119,-12),Data!$B:$AY,MATCH($P$1,Data!$B$1:$AY$1,),))/VLOOKUP(EDATE(B119,-12),Data!$B:$AY,MATCH($P$1,Data!$B$1:$AY$1,),)</f>
        <v>2.3951988025427036E-2</v>
      </c>
      <c r="Q119" s="21" t="e">
        <f>(VLOOKUP(B119,Data!$B:$AY,MATCH($Q$1,Data!$B$1:$AY$1,),)-VLOOKUP(EDATE(B119,-12),Data!$B:$AY,MATCH($Q$1,Data!$B$1:$AY$1,),))/VLOOKUP(EDATE(B119,-12),Data!$B:$AY,MATCH($Q$1,Data!$B$1:$AY$1,),)</f>
        <v>#N/A</v>
      </c>
      <c r="R119" s="21">
        <f>(VLOOKUP(B119,Data!$B:$AY,MATCH($R$1,Data!$B$1:$AY$1,),)-VLOOKUP(EDATE(B119,-12),Data!$B:$AY,MATCH($R$1,Data!$B$1:$AY$1,),))/VLOOKUP(EDATE(B119,-12),Data!$B:$AY,MATCH($R$1,Data!$B$1:$AY$1,),)</f>
        <v>2.0230223118694441E-3</v>
      </c>
      <c r="S119" s="21">
        <f>(VLOOKUP(B119,Data!$B:$AY,MATCH($S$1,Data!$B$1:$AY$1,),)-VLOOKUP(EDATE(B119,-12),Data!$B:$AY,MATCH($S$1,Data!$B$1:$AY$1,),))/VLOOKUP(EDATE(B119,-12),Data!$B:$AY,MATCH($S$1,Data!$B$1:$AY$1,),)</f>
        <v>1.4869531849578007E-2</v>
      </c>
      <c r="T119" s="21">
        <f>(VLOOKUP(B119,Data!$B:$AY,MATCH($T$1,Data!$B$1:$AY$1,),)-VLOOKUP(EDATE(B119,-12),Data!$B:$AY,MATCH($T$1,Data!$B$1:$AY$1,),))/VLOOKUP(EDATE(B119,-12),Data!$B:$AY,MATCH($T$1,Data!$B$1:$AY$1,),)</f>
        <v>4.1917468981376299E-2</v>
      </c>
      <c r="U119" s="21">
        <f>(VLOOKUP(B119,Data!$B:$AY,MATCH($U$1,Data!$B$1:$AY$1,),)-VLOOKUP(EDATE(B119,-12),Data!$B:$AY,MATCH($U$1,Data!$B$1:$AY$1,),))/VLOOKUP(EDATE(B119,-12),Data!$B:$AY,MATCH($U$1,Data!$B$1:$AY$1,),)</f>
        <v>8.63170584689559E-3</v>
      </c>
      <c r="V119" s="21" t="e">
        <f>(VLOOKUP(B119,Data!$B:$AY,MATCH($V$1,Data!$B$1:$AY$1,),)-VLOOKUP(EDATE(B119,-12),Data!$B:$AY,MATCH($V$1,Data!$B$1:$AY$1,),))/VLOOKUP(EDATE(B119,-12),Data!$B:$AY,MATCH($V$1,Data!$B$1:$AY$1,),)</f>
        <v>#DIV/0!</v>
      </c>
      <c r="W119" s="21">
        <f>(VLOOKUP(B119,Data!$B:$AY,MATCH($W$1,Data!$B$1:$AY$1,),)-VLOOKUP(EDATE(B119,-12),Data!$B:$AY,MATCH($W$1,Data!$B$1:$AY$1,),))/VLOOKUP(EDATE(B119,-12),Data!$B:$AY,MATCH($W$1,Data!$B$1:$AY$1,),)</f>
        <v>0.1215363174022536</v>
      </c>
      <c r="X119" s="21">
        <f>(VLOOKUP(B119,Data!$B:$AY,MATCH($X$1,Data!$B$1:$AY$1,),)-VLOOKUP(EDATE(B119,-12),Data!$B:$AY,MATCH($X$1,Data!$B$1:$AY$1,),))/VLOOKUP(EDATE(B119,-12),Data!$B:$AY,MATCH($X$1,Data!$B$1:$AY$1,),)</f>
        <v>3.641456582633059E-2</v>
      </c>
      <c r="Y119" s="21">
        <f>(VLOOKUP(B119,Data!$B:$AY,MATCH($Y$1,Data!$B$1:$AY$1,),)-VLOOKUP(EDATE(B119,-12),Data!$B:$AY,MATCH($Y$1,Data!$B$1:$AY$1,),))/VLOOKUP(EDATE(B119,-12),Data!$B:$AY,MATCH($Y$1,Data!$B$1:$AY$1,),)</f>
        <v>4.4025114713123085E-2</v>
      </c>
    </row>
    <row r="120" spans="2:25" s="3" customFormat="1" x14ac:dyDescent="0.2">
      <c r="B120" s="16">
        <v>43862</v>
      </c>
      <c r="C120" s="21">
        <f>(VLOOKUP(B120,Data!$B:$AY,MATCH($C$1,Data!$B$1:$AY$1,),)-VLOOKUP(EDATE(B120,-12),Data!$B:$AY,MATCH($C$1,Data!$B$1:$AY$1,),))/VLOOKUP(EDATE(B120,-12),Data!$B:$AY,MATCH($C$1,Data!$B$1:$AY$1,),)</f>
        <v>2.3348576497272809E-2</v>
      </c>
      <c r="D120" s="21">
        <f>(VLOOKUP(B120,Data!$B:$AY,MATCH($D$1,Data!$B$1:$AY$1,),)-VLOOKUP(EDATE(B120,-12),Data!$B:$AY,MATCH($D$1,Data!$B$1:$AY$1,),))/VLOOKUP(EDATE(B120,-12),Data!$B:$AY,MATCH($D$1,Data!$B$1:$AY$1,),)</f>
        <v>5.1803885291396935E-2</v>
      </c>
      <c r="E120" s="21">
        <f>(VLOOKUP(B120,Data!$B:$AY,MATCH($E$1,Data!$B$1:$AY$1,),)-VLOOKUP(EDATE(B120,-12),Data!$B:$AY,MATCH($E$1,Data!$B$1:$AY$1,),))/VLOOKUP(EDATE(B120,-12),Data!$B:$AY,MATCH($E$1,Data!$B$1:$AY$1,),)</f>
        <v>1.2197483059051356E-2</v>
      </c>
      <c r="F120" s="21">
        <f>(VLOOKUP(B120,Data!$B:$AY,MATCH($F$1,Data!$B$1:$AY$1,),)-VLOOKUP(EDATE(B120,-12),Data!$B:$AY,MATCH($F$1,Data!$B$1:$AY$1,),))/VLOOKUP(EDATE(B120,-12),Data!$B:$AY,MATCH($F$1,Data!$B$1:$AY$1,),)</f>
        <v>4.9261083743842365E-3</v>
      </c>
      <c r="G120" s="21">
        <f>(VLOOKUP(B120,Data!$B:$AY,MATCH($G$1,Data!$B$1:$AY$1,),)-VLOOKUP(EDATE(B120,-12),Data!$B:$AY,MATCH($G$1,Data!$B$1:$AY$1,),))/VLOOKUP(EDATE(B120,-12),Data!$B:$AY,MATCH($G$1,Data!$B$1:$AY$1,),)</f>
        <v>1.7341040462427678E-2</v>
      </c>
      <c r="H120" s="21">
        <f>(VLOOKUP(B120,Data!$B:$AY,MATCH($H$1,Data!$B$1:$AY$1,),)-VLOOKUP(EDATE(B120,-12),Data!$B:$AY,MATCH($H$1,Data!$B$1:$AY$1,),))/VLOOKUP(EDATE(B120,-12),Data!$B:$AY,MATCH($H$1,Data!$B$1:$AY$1,),)</f>
        <v>1.4263535804385783E-2</v>
      </c>
      <c r="I120" s="21">
        <f>(VLOOKUP(B120,Data!$B:$AY,MATCH($I$1,Data!$B$1:$AY$1,),)-VLOOKUP(EDATE(B120,-12),Data!$B:$AY,MATCH($I$1,Data!$B$1:$AY$1,),))/VLOOKUP(EDATE(B120,-12),Data!$B:$AY,MATCH($I$1,Data!$B$1:$AY$1,),)</f>
        <v>1.6853932584269638E-2</v>
      </c>
      <c r="J120" s="21">
        <f>(VLOOKUP(B120,Data!$B:$AY,MATCH($J$1,Data!$B$1:$AY$1,),)-VLOOKUP(EDATE(B120,-12),Data!$B:$AY,MATCH($J$1,Data!$B$1:$AY$1,),))/VLOOKUP(EDATE(B120,-12),Data!$B:$AY,MATCH($J$1,Data!$B$1:$AY$1,),)</f>
        <v>2.9268292682926552E-3</v>
      </c>
      <c r="K120" s="21">
        <f>(VLOOKUP(B120,Data!$B:$AY,MATCH($K$1,Data!$B$1:$AY$1,),)-VLOOKUP(EDATE(B120,-12),Data!$B:$AY,MATCH($K$1,Data!$B$1:$AY$1,),))/VLOOKUP(EDATE(B120,-12),Data!$B:$AY,MATCH($K$1,Data!$B$1:$AY$1,),)</f>
        <v>7.3172434794583109E-3</v>
      </c>
      <c r="L120" s="21">
        <f>(VLOOKUP(B120,Data!$B:$AY,MATCH($L$1,Data!$B$1:$AY$1,),)-VLOOKUP(EDATE(B120,-12),Data!$B:$AY,MATCH($L$1,Data!$B$1:$AY$1,),))/VLOOKUP(EDATE(B120,-12),Data!$B:$AY,MATCH($L$1,Data!$B$1:$AY$1,),)</f>
        <v>1.0422139236372405E-2</v>
      </c>
      <c r="M120" s="21">
        <f>(VLOOKUP(B120,Data!$B:$AY,MATCH($M$1,Data!$B$1:$AY$1,),)-VLOOKUP(EDATE(B120,-12),Data!$B:$AY,MATCH($M$1,Data!$B$1:$AY$1,),))/VLOOKUP(EDATE(B120,-12),Data!$B:$AY,MATCH($M$1,Data!$B$1:$AY$1,),)</f>
        <v>3.6961890119458989E-2</v>
      </c>
      <c r="N120" s="21" t="e">
        <f>(VLOOKUP(B120,Data!$B:$AY,MATCH($N$1,Data!$B$1:$AY$1,),)-VLOOKUP(EDATE(B120,-12),Data!$B:$AY,MATCH($N$1,Data!$B$1:$AY$1,),))/VLOOKUP(EDATE(B120,-12),Data!$B:$AY,MATCH($N$1,Data!$B$1:$AY$1,),)</f>
        <v>#DIV/0!</v>
      </c>
      <c r="O120" s="21">
        <f>(VLOOKUP(B120,Data!$B:$AY,MATCH($O$1,Data!$B$1:$AY$1,),)-VLOOKUP(EDATE(B120,-12),Data!$B:$AY,MATCH($O$1,Data!$B$1:$AY$1,),))/VLOOKUP(EDATE(B120,-12),Data!$B:$AY,MATCH($O$1,Data!$B$1:$AY$1,),)</f>
        <v>6.8404335941824199E-2</v>
      </c>
      <c r="P120" s="21">
        <f>(VLOOKUP(B120,Data!$B:$AY,MATCH($P$1,Data!$B$1:$AY$1,),)-VLOOKUP(EDATE(B120,-12),Data!$B:$AY,MATCH($P$1,Data!$B$1:$AY$1,),))/VLOOKUP(EDATE(B120,-12),Data!$B:$AY,MATCH($P$1,Data!$B$1:$AY$1,),)</f>
        <v>2.1561503405066924E-2</v>
      </c>
      <c r="Q120" s="21" t="e">
        <f>(VLOOKUP(B120,Data!$B:$AY,MATCH($Q$1,Data!$B$1:$AY$1,),)-VLOOKUP(EDATE(B120,-12),Data!$B:$AY,MATCH($Q$1,Data!$B$1:$AY$1,),))/VLOOKUP(EDATE(B120,-12),Data!$B:$AY,MATCH($Q$1,Data!$B$1:$AY$1,),)</f>
        <v>#N/A</v>
      </c>
      <c r="R120" s="21">
        <f>(VLOOKUP(B120,Data!$B:$AY,MATCH($R$1,Data!$B$1:$AY$1,),)-VLOOKUP(EDATE(B120,-12),Data!$B:$AY,MATCH($R$1,Data!$B$1:$AY$1,),))/VLOOKUP(EDATE(B120,-12),Data!$B:$AY,MATCH($R$1,Data!$B$1:$AY$1,),)</f>
        <v>-6.2257009604800692E-4</v>
      </c>
      <c r="S120" s="21">
        <f>(VLOOKUP(B120,Data!$B:$AY,MATCH($S$1,Data!$B$1:$AY$1,),)-VLOOKUP(EDATE(B120,-12),Data!$B:$AY,MATCH($S$1,Data!$B$1:$AY$1,),))/VLOOKUP(EDATE(B120,-12),Data!$B:$AY,MATCH($S$1,Data!$B$1:$AY$1,),)</f>
        <v>1.0602731875059695E-2</v>
      </c>
      <c r="T120" s="21">
        <f>(VLOOKUP(B120,Data!$B:$AY,MATCH($T$1,Data!$B$1:$AY$1,),)-VLOOKUP(EDATE(B120,-12),Data!$B:$AY,MATCH($T$1,Data!$B$1:$AY$1,),))/VLOOKUP(EDATE(B120,-12),Data!$B:$AY,MATCH($T$1,Data!$B$1:$AY$1,),)</f>
        <v>4.0051363170493195E-2</v>
      </c>
      <c r="U120" s="21">
        <f>(VLOOKUP(B120,Data!$B:$AY,MATCH($U$1,Data!$B$1:$AY$1,),)-VLOOKUP(EDATE(B120,-12),Data!$B:$AY,MATCH($U$1,Data!$B$1:$AY$1,),))/VLOOKUP(EDATE(B120,-12),Data!$B:$AY,MATCH($U$1,Data!$B$1:$AY$1,),)</f>
        <v>2.2931881596201997E-3</v>
      </c>
      <c r="V120" s="21" t="e">
        <f>(VLOOKUP(B120,Data!$B:$AY,MATCH($V$1,Data!$B$1:$AY$1,),)-VLOOKUP(EDATE(B120,-12),Data!$B:$AY,MATCH($V$1,Data!$B$1:$AY$1,),))/VLOOKUP(EDATE(B120,-12),Data!$B:$AY,MATCH($V$1,Data!$B$1:$AY$1,),)</f>
        <v>#DIV/0!</v>
      </c>
      <c r="W120" s="21">
        <f>(VLOOKUP(B120,Data!$B:$AY,MATCH($W$1,Data!$B$1:$AY$1,),)-VLOOKUP(EDATE(B120,-12),Data!$B:$AY,MATCH($W$1,Data!$B$1:$AY$1,),))/VLOOKUP(EDATE(B120,-12),Data!$B:$AY,MATCH($W$1,Data!$B$1:$AY$1,),)</f>
        <v>0.12367382391636406</v>
      </c>
      <c r="X120" s="21">
        <f>(VLOOKUP(B120,Data!$B:$AY,MATCH($X$1,Data!$B$1:$AY$1,),)-VLOOKUP(EDATE(B120,-12),Data!$B:$AY,MATCH($X$1,Data!$B$1:$AY$1,),))/VLOOKUP(EDATE(B120,-12),Data!$B:$AY,MATCH($X$1,Data!$B$1:$AY$1,),)</f>
        <v>3.7278657968313145E-2</v>
      </c>
      <c r="Y120" s="21">
        <f>(VLOOKUP(B120,Data!$B:$AY,MATCH($Y$1,Data!$B$1:$AY$1,),)-VLOOKUP(EDATE(B120,-12),Data!$B:$AY,MATCH($Y$1,Data!$B$1:$AY$1,),))/VLOOKUP(EDATE(B120,-12),Data!$B:$AY,MATCH($Y$1,Data!$B$1:$AY$1,),)</f>
        <v>4.6985076177585121E-2</v>
      </c>
    </row>
    <row r="121" spans="2:25" s="3" customFormat="1" x14ac:dyDescent="0.2">
      <c r="B121" s="16">
        <v>43891</v>
      </c>
      <c r="C121" s="21">
        <f>(VLOOKUP(B121,Data!$B:$AY,MATCH($C$1,Data!$B$1:$AY$1,),)-VLOOKUP(EDATE(B121,-12),Data!$B:$AY,MATCH($C$1,Data!$B$1:$AY$1,),))/VLOOKUP(EDATE(B121,-12),Data!$B:$AY,MATCH($C$1,Data!$B$1:$AY$1,),)</f>
        <v>1.5393867627656712E-2</v>
      </c>
      <c r="D121" s="21">
        <f>(VLOOKUP(B121,Data!$B:$AY,MATCH($D$1,Data!$B$1:$AY$1,),)-VLOOKUP(EDATE(B121,-12),Data!$B:$AY,MATCH($D$1,Data!$B$1:$AY$1,),))/VLOOKUP(EDATE(B121,-12),Data!$B:$AY,MATCH($D$1,Data!$B$1:$AY$1,),)</f>
        <v>4.2711234911791962E-2</v>
      </c>
      <c r="E121" s="21">
        <f>(VLOOKUP(B121,Data!$B:$AY,MATCH($E$1,Data!$B$1:$AY$1,),)-VLOOKUP(EDATE(B121,-12),Data!$B:$AY,MATCH($E$1,Data!$B$1:$AY$1,),))/VLOOKUP(EDATE(B121,-12),Data!$B:$AY,MATCH($E$1,Data!$B$1:$AY$1,),)</f>
        <v>7.4748442740776343E-3</v>
      </c>
      <c r="F121" s="21">
        <f>(VLOOKUP(B121,Data!$B:$AY,MATCH($F$1,Data!$B$1:$AY$1,),)-VLOOKUP(EDATE(B121,-12),Data!$B:$AY,MATCH($F$1,Data!$B$1:$AY$1,),))/VLOOKUP(EDATE(B121,-12),Data!$B:$AY,MATCH($F$1,Data!$B$1:$AY$1,),)</f>
        <v>3.9408866995074452E-3</v>
      </c>
      <c r="G121" s="21">
        <f>(VLOOKUP(B121,Data!$B:$AY,MATCH($G$1,Data!$B$1:$AY$1,),)-VLOOKUP(EDATE(B121,-12),Data!$B:$AY,MATCH($G$1,Data!$B$1:$AY$1,),))/VLOOKUP(EDATE(B121,-12),Data!$B:$AY,MATCH($G$1,Data!$B$1:$AY$1,),)</f>
        <v>1.439490910347031E-2</v>
      </c>
      <c r="H121" s="21">
        <f>(VLOOKUP(B121,Data!$B:$AY,MATCH($H$1,Data!$B$1:$AY$1,),)-VLOOKUP(EDATE(B121,-12),Data!$B:$AY,MATCH($H$1,Data!$B$1:$AY$1,),))/VLOOKUP(EDATE(B121,-12),Data!$B:$AY,MATCH($H$1,Data!$B$1:$AY$1,),)</f>
        <v>6.737895851381296E-3</v>
      </c>
      <c r="I121" s="21">
        <f>(VLOOKUP(B121,Data!$B:$AY,MATCH($I$1,Data!$B$1:$AY$1,),)-VLOOKUP(EDATE(B121,-12),Data!$B:$AY,MATCH($I$1,Data!$B$1:$AY$1,),))/VLOOKUP(EDATE(B121,-12),Data!$B:$AY,MATCH($I$1,Data!$B$1:$AY$1,),)</f>
        <v>1.495327102803733E-2</v>
      </c>
      <c r="J121" s="21">
        <f>(VLOOKUP(B121,Data!$B:$AY,MATCH($J$1,Data!$B$1:$AY$1,),)-VLOOKUP(EDATE(B121,-12),Data!$B:$AY,MATCH($J$1,Data!$B$1:$AY$1,),))/VLOOKUP(EDATE(B121,-12),Data!$B:$AY,MATCH($J$1,Data!$B$1:$AY$1,),)</f>
        <v>9.7276264591447984E-4</v>
      </c>
      <c r="K121" s="21">
        <f>(VLOOKUP(B121,Data!$B:$AY,MATCH($K$1,Data!$B$1:$AY$1,),)-VLOOKUP(EDATE(B121,-12),Data!$B:$AY,MATCH($K$1,Data!$B$1:$AY$1,),))/VLOOKUP(EDATE(B121,-12),Data!$B:$AY,MATCH($K$1,Data!$B$1:$AY$1,),)</f>
        <v>-1.826302230793188E-4</v>
      </c>
      <c r="L121" s="21">
        <f>(VLOOKUP(B121,Data!$B:$AY,MATCH($L$1,Data!$B$1:$AY$1,),)-VLOOKUP(EDATE(B121,-12),Data!$B:$AY,MATCH($L$1,Data!$B$1:$AY$1,),))/VLOOKUP(EDATE(B121,-12),Data!$B:$AY,MATCH($L$1,Data!$B$1:$AY$1,),)</f>
        <v>6.3898789455093617E-3</v>
      </c>
      <c r="M121" s="21">
        <f>(VLOOKUP(B121,Data!$B:$AY,MATCH($M$1,Data!$B$1:$AY$1,),)-VLOOKUP(EDATE(B121,-12),Data!$B:$AY,MATCH($M$1,Data!$B$1:$AY$1,),))/VLOOKUP(EDATE(B121,-12),Data!$B:$AY,MATCH($M$1,Data!$B$1:$AY$1,),)</f>
        <v>3.2490525185133699E-2</v>
      </c>
      <c r="N121" s="21" t="e">
        <f>(VLOOKUP(B121,Data!$B:$AY,MATCH($N$1,Data!$B$1:$AY$1,),)-VLOOKUP(EDATE(B121,-12),Data!$B:$AY,MATCH($N$1,Data!$B$1:$AY$1,),))/VLOOKUP(EDATE(B121,-12),Data!$B:$AY,MATCH($N$1,Data!$B$1:$AY$1,),)</f>
        <v>#DIV/0!</v>
      </c>
      <c r="O121" s="21">
        <f>(VLOOKUP(B121,Data!$B:$AY,MATCH($O$1,Data!$B$1:$AY$1,),)-VLOOKUP(EDATE(B121,-12),Data!$B:$AY,MATCH($O$1,Data!$B$1:$AY$1,),))/VLOOKUP(EDATE(B121,-12),Data!$B:$AY,MATCH($O$1,Data!$B$1:$AY$1,),)</f>
        <v>5.5015943033160999E-2</v>
      </c>
      <c r="P121" s="21">
        <f>(VLOOKUP(B121,Data!$B:$AY,MATCH($P$1,Data!$B$1:$AY$1,),)-VLOOKUP(EDATE(B121,-12),Data!$B:$AY,MATCH($P$1,Data!$B$1:$AY$1,),))/VLOOKUP(EDATE(B121,-12),Data!$B:$AY,MATCH($P$1,Data!$B$1:$AY$1,),)</f>
        <v>8.8624704615476325E-3</v>
      </c>
      <c r="Q121" s="21" t="e">
        <f>(VLOOKUP(B121,Data!$B:$AY,MATCH($Q$1,Data!$B$1:$AY$1,),)-VLOOKUP(EDATE(B121,-12),Data!$B:$AY,MATCH($Q$1,Data!$B$1:$AY$1,),))/VLOOKUP(EDATE(B121,-12),Data!$B:$AY,MATCH($Q$1,Data!$B$1:$AY$1,),)</f>
        <v>#N/A</v>
      </c>
      <c r="R121" s="21">
        <f>(VLOOKUP(B121,Data!$B:$AY,MATCH($R$1,Data!$B$1:$AY$1,),)-VLOOKUP(EDATE(B121,-12),Data!$B:$AY,MATCH($R$1,Data!$B$1:$AY$1,),))/VLOOKUP(EDATE(B121,-12),Data!$B:$AY,MATCH($R$1,Data!$B$1:$AY$1,),)</f>
        <v>-5.151086729650675E-3</v>
      </c>
      <c r="S121" s="21">
        <f>(VLOOKUP(B121,Data!$B:$AY,MATCH($S$1,Data!$B$1:$AY$1,),)-VLOOKUP(EDATE(B121,-12),Data!$B:$AY,MATCH($S$1,Data!$B$1:$AY$1,),))/VLOOKUP(EDATE(B121,-12),Data!$B:$AY,MATCH($S$1,Data!$B$1:$AY$1,),)</f>
        <v>1.004880849842101E-2</v>
      </c>
      <c r="T121" s="21">
        <f>(VLOOKUP(B121,Data!$B:$AY,MATCH($T$1,Data!$B$1:$AY$1,),)-VLOOKUP(EDATE(B121,-12),Data!$B:$AY,MATCH($T$1,Data!$B$1:$AY$1,),))/VLOOKUP(EDATE(B121,-12),Data!$B:$AY,MATCH($T$1,Data!$B$1:$AY$1,),)</f>
        <v>3.3031810568447832E-2</v>
      </c>
      <c r="U121" s="21">
        <f>(VLOOKUP(B121,Data!$B:$AY,MATCH($U$1,Data!$B$1:$AY$1,),)-VLOOKUP(EDATE(B121,-12),Data!$B:$AY,MATCH($U$1,Data!$B$1:$AY$1,),))/VLOOKUP(EDATE(B121,-12),Data!$B:$AY,MATCH($U$1,Data!$B$1:$AY$1,),)</f>
        <v>-3.744495345492021E-5</v>
      </c>
      <c r="V121" s="21" t="e">
        <f>(VLOOKUP(B121,Data!$B:$AY,MATCH($V$1,Data!$B$1:$AY$1,),)-VLOOKUP(EDATE(B121,-12),Data!$B:$AY,MATCH($V$1,Data!$B$1:$AY$1,),))/VLOOKUP(EDATE(B121,-12),Data!$B:$AY,MATCH($V$1,Data!$B$1:$AY$1,),)</f>
        <v>#DIV/0!</v>
      </c>
      <c r="W121" s="21">
        <f>(VLOOKUP(B121,Data!$B:$AY,MATCH($W$1,Data!$B$1:$AY$1,),)-VLOOKUP(EDATE(B121,-12),Data!$B:$AY,MATCH($W$1,Data!$B$1:$AY$1,),))/VLOOKUP(EDATE(B121,-12),Data!$B:$AY,MATCH($W$1,Data!$B$1:$AY$1,),)</f>
        <v>0.11859171129861661</v>
      </c>
      <c r="X121" s="21">
        <f>(VLOOKUP(B121,Data!$B:$AY,MATCH($X$1,Data!$B$1:$AY$1,),)-VLOOKUP(EDATE(B121,-12),Data!$B:$AY,MATCH($X$1,Data!$B$1:$AY$1,),))/VLOOKUP(EDATE(B121,-12),Data!$B:$AY,MATCH($X$1,Data!$B$1:$AY$1,),)</f>
        <v>3.4418604651162817E-2</v>
      </c>
      <c r="Y121" s="21">
        <f>(VLOOKUP(B121,Data!$B:$AY,MATCH($Y$1,Data!$B$1:$AY$1,),)-VLOOKUP(EDATE(B121,-12),Data!$B:$AY,MATCH($Y$1,Data!$B$1:$AY$1,),))/VLOOKUP(EDATE(B121,-12),Data!$B:$AY,MATCH($Y$1,Data!$B$1:$AY$1,),)</f>
        <v>4.6057723199086999E-2</v>
      </c>
    </row>
    <row r="122" spans="2:25" s="3" customFormat="1" x14ac:dyDescent="0.2">
      <c r="B122" s="16">
        <v>43922</v>
      </c>
      <c r="C122" s="21">
        <f>(VLOOKUP(B122,Data!$B:$AY,MATCH($C$1,Data!$B$1:$AY$1,),)-VLOOKUP(EDATE(B122,-12),Data!$B:$AY,MATCH($C$1,Data!$B$1:$AY$1,),))/VLOOKUP(EDATE(B122,-12),Data!$B:$AY,MATCH($C$1,Data!$B$1:$AY$1,),)</f>
        <v>3.2916459528243851E-3</v>
      </c>
      <c r="D122" s="21">
        <f>(VLOOKUP(B122,Data!$B:$AY,MATCH($D$1,Data!$B$1:$AY$1,),)-VLOOKUP(EDATE(B122,-12),Data!$B:$AY,MATCH($D$1,Data!$B$1:$AY$1,),))/VLOOKUP(EDATE(B122,-12),Data!$B:$AY,MATCH($D$1,Data!$B$1:$AY$1,),)</f>
        <v>3.2467532467532471E-2</v>
      </c>
      <c r="E122" s="21">
        <f>(VLOOKUP(B122,Data!$B:$AY,MATCH($E$1,Data!$B$1:$AY$1,),)-VLOOKUP(EDATE(B122,-12),Data!$B:$AY,MATCH($E$1,Data!$B$1:$AY$1,),))/VLOOKUP(EDATE(B122,-12),Data!$B:$AY,MATCH($E$1,Data!$B$1:$AY$1,),)</f>
        <v>3.1398667935300904E-3</v>
      </c>
      <c r="F122" s="21">
        <f>(VLOOKUP(B122,Data!$B:$AY,MATCH($F$1,Data!$B$1:$AY$1,),)-VLOOKUP(EDATE(B122,-12),Data!$B:$AY,MATCH($F$1,Data!$B$1:$AY$1,),))/VLOOKUP(EDATE(B122,-12),Data!$B:$AY,MATCH($F$1,Data!$B$1:$AY$1,),)</f>
        <v>9.8231827111992668E-4</v>
      </c>
      <c r="G122" s="21">
        <f>(VLOOKUP(B122,Data!$B:$AY,MATCH($G$1,Data!$B$1:$AY$1,),)-VLOOKUP(EDATE(B122,-12),Data!$B:$AY,MATCH($G$1,Data!$B$1:$AY$1,),))/VLOOKUP(EDATE(B122,-12),Data!$B:$AY,MATCH($G$1,Data!$B$1:$AY$1,),)</f>
        <v>8.5556109962696136E-3</v>
      </c>
      <c r="H122" s="21">
        <f>(VLOOKUP(B122,Data!$B:$AY,MATCH($H$1,Data!$B$1:$AY$1,),)-VLOOKUP(EDATE(B122,-12),Data!$B:$AY,MATCH($H$1,Data!$B$1:$AY$1,),))/VLOOKUP(EDATE(B122,-12),Data!$B:$AY,MATCH($H$1,Data!$B$1:$AY$1,),)</f>
        <v>3.2623296872001861E-3</v>
      </c>
      <c r="I122" s="21">
        <f>(VLOOKUP(B122,Data!$B:$AY,MATCH($I$1,Data!$B$1:$AY$1,),)-VLOOKUP(EDATE(B122,-12),Data!$B:$AY,MATCH($I$1,Data!$B$1:$AY$1,),))/VLOOKUP(EDATE(B122,-12),Data!$B:$AY,MATCH($I$1,Data!$B$1:$AY$1,),)</f>
        <v>9.2936802973977699E-3</v>
      </c>
      <c r="J122" s="21">
        <f>(VLOOKUP(B122,Data!$B:$AY,MATCH($J$1,Data!$B$1:$AY$1,),)-VLOOKUP(EDATE(B122,-12),Data!$B:$AY,MATCH($J$1,Data!$B$1:$AY$1,),))/VLOOKUP(EDATE(B122,-12),Data!$B:$AY,MATCH($J$1,Data!$B$1:$AY$1,),)</f>
        <v>0</v>
      </c>
      <c r="K122" s="21">
        <f>(VLOOKUP(B122,Data!$B:$AY,MATCH($K$1,Data!$B$1:$AY$1,),)-VLOOKUP(EDATE(B122,-12),Data!$B:$AY,MATCH($K$1,Data!$B$1:$AY$1,),))/VLOOKUP(EDATE(B122,-12),Data!$B:$AY,MATCH($K$1,Data!$B$1:$AY$1,),)</f>
        <v>-7.1701423600913188E-3</v>
      </c>
      <c r="L122" s="21">
        <f>(VLOOKUP(B122,Data!$B:$AY,MATCH($L$1,Data!$B$1:$AY$1,),)-VLOOKUP(EDATE(B122,-12),Data!$B:$AY,MATCH($L$1,Data!$B$1:$AY$1,),))/VLOOKUP(EDATE(B122,-12),Data!$B:$AY,MATCH($L$1,Data!$B$1:$AY$1,),)</f>
        <v>-3.6219855083065794E-3</v>
      </c>
      <c r="M122" s="21">
        <f>(VLOOKUP(B122,Data!$B:$AY,MATCH($M$1,Data!$B$1:$AY$1,),)-VLOOKUP(EDATE(B122,-12),Data!$B:$AY,MATCH($M$1,Data!$B$1:$AY$1,),))/VLOOKUP(EDATE(B122,-12),Data!$B:$AY,MATCH($M$1,Data!$B$1:$AY$1,),)</f>
        <v>2.148121494338024E-2</v>
      </c>
      <c r="N122" s="21" t="e">
        <f>(VLOOKUP(B122,Data!$B:$AY,MATCH($N$1,Data!$B$1:$AY$1,),)-VLOOKUP(EDATE(B122,-12),Data!$B:$AY,MATCH($N$1,Data!$B$1:$AY$1,),))/VLOOKUP(EDATE(B122,-12),Data!$B:$AY,MATCH($N$1,Data!$B$1:$AY$1,),)</f>
        <v>#DIV/0!</v>
      </c>
      <c r="O122" s="21">
        <f>(VLOOKUP(B122,Data!$B:$AY,MATCH($O$1,Data!$B$1:$AY$1,),)-VLOOKUP(EDATE(B122,-12),Data!$B:$AY,MATCH($O$1,Data!$B$1:$AY$1,),))/VLOOKUP(EDATE(B122,-12),Data!$B:$AY,MATCH($O$1,Data!$B$1:$AY$1,),)</f>
        <v>5.4486940478275188E-2</v>
      </c>
      <c r="P122" s="21">
        <f>(VLOOKUP(B122,Data!$B:$AY,MATCH($P$1,Data!$B$1:$AY$1,),)-VLOOKUP(EDATE(B122,-12),Data!$B:$AY,MATCH($P$1,Data!$B$1:$AY$1,),))/VLOOKUP(EDATE(B122,-12),Data!$B:$AY,MATCH($P$1,Data!$B$1:$AY$1,),)</f>
        <v>-2.2065399573582022E-3</v>
      </c>
      <c r="Q122" s="21" t="e">
        <f>(VLOOKUP(B122,Data!$B:$AY,MATCH($Q$1,Data!$B$1:$AY$1,),)-VLOOKUP(EDATE(B122,-12),Data!$B:$AY,MATCH($Q$1,Data!$B$1:$AY$1,),))/VLOOKUP(EDATE(B122,-12),Data!$B:$AY,MATCH($Q$1,Data!$B$1:$AY$1,),)</f>
        <v>#N/A</v>
      </c>
      <c r="R122" s="21">
        <f>(VLOOKUP(B122,Data!$B:$AY,MATCH($R$1,Data!$B$1:$AY$1,),)-VLOOKUP(EDATE(B122,-12),Data!$B:$AY,MATCH($R$1,Data!$B$1:$AY$1,),))/VLOOKUP(EDATE(B122,-12),Data!$B:$AY,MATCH($R$1,Data!$B$1:$AY$1,),)</f>
        <v>-1.0630718629897114E-2</v>
      </c>
      <c r="S122" s="21">
        <f>(VLOOKUP(B122,Data!$B:$AY,MATCH($S$1,Data!$B$1:$AY$1,),)-VLOOKUP(EDATE(B122,-12),Data!$B:$AY,MATCH($S$1,Data!$B$1:$AY$1,),))/VLOOKUP(EDATE(B122,-12),Data!$B:$AY,MATCH($S$1,Data!$B$1:$AY$1,),)</f>
        <v>7.6284924191854955E-4</v>
      </c>
      <c r="T122" s="21">
        <f>(VLOOKUP(B122,Data!$B:$AY,MATCH($T$1,Data!$B$1:$AY$1,),)-VLOOKUP(EDATE(B122,-12),Data!$B:$AY,MATCH($T$1,Data!$B$1:$AY$1,),))/VLOOKUP(EDATE(B122,-12),Data!$B:$AY,MATCH($T$1,Data!$B$1:$AY$1,),)</f>
        <v>2.3992556802802444E-2</v>
      </c>
      <c r="U122" s="21">
        <f>(VLOOKUP(B122,Data!$B:$AY,MATCH($U$1,Data!$B$1:$AY$1,),)-VLOOKUP(EDATE(B122,-12),Data!$B:$AY,MATCH($U$1,Data!$B$1:$AY$1,),))/VLOOKUP(EDATE(B122,-12),Data!$B:$AY,MATCH($U$1,Data!$B$1:$AY$1,),)</f>
        <v>-1.4354071654245461E-2</v>
      </c>
      <c r="V122" s="21" t="e">
        <f>(VLOOKUP(B122,Data!$B:$AY,MATCH($V$1,Data!$B$1:$AY$1,),)-VLOOKUP(EDATE(B122,-12),Data!$B:$AY,MATCH($V$1,Data!$B$1:$AY$1,),))/VLOOKUP(EDATE(B122,-12),Data!$B:$AY,MATCH($V$1,Data!$B$1:$AY$1,),)</f>
        <v>#DIV/0!</v>
      </c>
      <c r="W122" s="21">
        <f>(VLOOKUP(B122,Data!$B:$AY,MATCH($W$1,Data!$B$1:$AY$1,),)-VLOOKUP(EDATE(B122,-12),Data!$B:$AY,MATCH($W$1,Data!$B$1:$AY$1,),))/VLOOKUP(EDATE(B122,-12),Data!$B:$AY,MATCH($W$1,Data!$B$1:$AY$1,),)</f>
        <v>0.10936707797829835</v>
      </c>
      <c r="X122" s="21">
        <f>(VLOOKUP(B122,Data!$B:$AY,MATCH($X$1,Data!$B$1:$AY$1,),)-VLOOKUP(EDATE(B122,-12),Data!$B:$AY,MATCH($X$1,Data!$B$1:$AY$1,),))/VLOOKUP(EDATE(B122,-12),Data!$B:$AY,MATCH($X$1,Data!$B$1:$AY$1,),)</f>
        <v>3.159851301115247E-2</v>
      </c>
      <c r="Y122" s="21">
        <f>(VLOOKUP(B122,Data!$B:$AY,MATCH($Y$1,Data!$B$1:$AY$1,),)-VLOOKUP(EDATE(B122,-12),Data!$B:$AY,MATCH($Y$1,Data!$B$1:$AY$1,),))/VLOOKUP(EDATE(B122,-12),Data!$B:$AY,MATCH($Y$1,Data!$B$1:$AY$1,),)</f>
        <v>3.3976801744754634E-2</v>
      </c>
    </row>
    <row r="123" spans="2:25" s="3" customFormat="1" x14ac:dyDescent="0.2">
      <c r="B123" s="16">
        <v>43952</v>
      </c>
      <c r="C123" s="21">
        <f>(VLOOKUP(B123,Data!$B:$AY,MATCH($C$1,Data!$B$1:$AY$1,),)-VLOOKUP(EDATE(B123,-12),Data!$B:$AY,MATCH($C$1,Data!$B$1:$AY$1,),))/VLOOKUP(EDATE(B123,-12),Data!$B:$AY,MATCH($C$1,Data!$B$1:$AY$1,),)</f>
        <v>1.1800321894270757E-3</v>
      </c>
      <c r="D123" s="21"/>
      <c r="E123" s="21"/>
      <c r="F123" s="21"/>
      <c r="G123" s="21"/>
      <c r="H123" s="21"/>
      <c r="I123" s="21"/>
      <c r="J123" s="21"/>
      <c r="K123" s="21"/>
      <c r="L123" s="21">
        <f>(VLOOKUP(B123,Data!$B:$AY,MATCH($L$1,Data!$B$1:$AY$1,),)-VLOOKUP(EDATE(B123,-12),Data!$B:$AY,MATCH($L$1,Data!$B$1:$AY$1,),))/VLOOKUP(EDATE(B123,-12),Data!$B:$AY,MATCH($L$1,Data!$B$1:$AY$1,),)</f>
        <v>-1.197440097591236E-4</v>
      </c>
      <c r="M123" s="21">
        <f>(VLOOKUP(B123,Data!$B:$AY,MATCH($M$1,Data!$B$1:$AY$1,),)-VLOOKUP(EDATE(B123,-12),Data!$B:$AY,MATCH($M$1,Data!$B$1:$AY$1,),))/VLOOKUP(EDATE(B123,-12),Data!$B:$AY,MATCH($M$1,Data!$B$1:$AY$1,),)</f>
        <v>2.8373346918847776E-2</v>
      </c>
      <c r="N123" s="21" t="e">
        <f>(VLOOKUP(B123,Data!$B:$AY,MATCH($N$1,Data!$B$1:$AY$1,),)-VLOOKUP(EDATE(B123,-12),Data!$B:$AY,MATCH($N$1,Data!$B$1:$AY$1,),))/VLOOKUP(EDATE(B123,-12),Data!$B:$AY,MATCH($N$1,Data!$B$1:$AY$1,),)</f>
        <v>#DIV/0!</v>
      </c>
      <c r="O123" s="21"/>
      <c r="P123" s="21"/>
      <c r="Q123" s="21" t="e">
        <f>(VLOOKUP(B123,Data!$B:$AY,MATCH($Q$1,Data!$B$1:$AY$1,),)-VLOOKUP(EDATE(B123,-12),Data!$B:$AY,MATCH($Q$1,Data!$B$1:$AY$1,),))/VLOOKUP(EDATE(B123,-12),Data!$B:$AY,MATCH($Q$1,Data!$B$1:$AY$1,),)</f>
        <v>#N/A</v>
      </c>
      <c r="R123" s="21">
        <f>(VLOOKUP(B123,Data!$B:$AY,MATCH($R$1,Data!$B$1:$AY$1,),)-VLOOKUP(EDATE(B123,-12),Data!$B:$AY,MATCH($R$1,Data!$B$1:$AY$1,),))/VLOOKUP(EDATE(B123,-12),Data!$B:$AY,MATCH($R$1,Data!$B$1:$AY$1,),)</f>
        <v>-1.3245266678553481E-2</v>
      </c>
      <c r="S123" s="21">
        <f>(VLOOKUP(B123,Data!$B:$AY,MATCH($S$1,Data!$B$1:$AY$1,),)-VLOOKUP(EDATE(B123,-12),Data!$B:$AY,MATCH($S$1,Data!$B$1:$AY$1,),))/VLOOKUP(EDATE(B123,-12),Data!$B:$AY,MATCH($S$1,Data!$B$1:$AY$1,),)</f>
        <v>-3.2365540218943687E-3</v>
      </c>
      <c r="T123" s="21"/>
      <c r="U123" s="21">
        <f>(VLOOKUP(B123,Data!$B:$AY,MATCH($U$1,Data!$B$1:$AY$1,),)-VLOOKUP(EDATE(B123,-12),Data!$B:$AY,MATCH($U$1,Data!$B$1:$AY$1,),))/VLOOKUP(EDATE(B123,-12),Data!$B:$AY,MATCH($U$1,Data!$B$1:$AY$1,),)</f>
        <v>-1.1421568966010454E-2</v>
      </c>
      <c r="V123" s="21" t="e">
        <f>(VLOOKUP(B123,Data!$B:$AY,MATCH($V$1,Data!$B$1:$AY$1,),)-VLOOKUP(EDATE(B123,-12),Data!$B:$AY,MATCH($V$1,Data!$B$1:$AY$1,),))/VLOOKUP(EDATE(B123,-12),Data!$B:$AY,MATCH($V$1,Data!$B$1:$AY$1,),)</f>
        <v>#DIV/0!</v>
      </c>
      <c r="W123" s="21">
        <f>(VLOOKUP(B123,Data!$B:$AY,MATCH($W$1,Data!$B$1:$AY$1,),)-VLOOKUP(EDATE(B123,-12),Data!$B:$AY,MATCH($W$1,Data!$B$1:$AY$1,),))/VLOOKUP(EDATE(B123,-12),Data!$B:$AY,MATCH($W$1,Data!$B$1:$AY$1,),)</f>
        <v>0.11390007253176183</v>
      </c>
      <c r="X123" s="21"/>
      <c r="Y123" s="21"/>
    </row>
    <row r="124" spans="2:25" s="3" customFormat="1" x14ac:dyDescent="0.2"/>
    <row r="125" spans="2:25" s="3" customFormat="1" x14ac:dyDescent="0.2"/>
    <row r="126" spans="2:25" s="3" customFormat="1" x14ac:dyDescent="0.2"/>
    <row r="127" spans="2:25" s="3" customFormat="1" x14ac:dyDescent="0.2"/>
    <row r="128" spans="2:25" s="3" customFormat="1" x14ac:dyDescent="0.2"/>
    <row r="129" s="3" customFormat="1" x14ac:dyDescent="0.2"/>
    <row r="130" s="3" customFormat="1" x14ac:dyDescent="0.2"/>
    <row r="131" s="3" customFormat="1" x14ac:dyDescent="0.2"/>
    <row r="132" s="3" customFormat="1" x14ac:dyDescent="0.2"/>
    <row r="133" s="3" customFormat="1" x14ac:dyDescent="0.2"/>
    <row r="134" s="3" customFormat="1" x14ac:dyDescent="0.2"/>
    <row r="135" s="3" customFormat="1" x14ac:dyDescent="0.2"/>
    <row r="136" s="3" customFormat="1" x14ac:dyDescent="0.2"/>
    <row r="137" s="3" customFormat="1" x14ac:dyDescent="0.2"/>
    <row r="138" s="3" customFormat="1" x14ac:dyDescent="0.2"/>
    <row r="139" s="3" customFormat="1" x14ac:dyDescent="0.2"/>
    <row r="140" s="3" customFormat="1" x14ac:dyDescent="0.2"/>
    <row r="141" s="3" customFormat="1" x14ac:dyDescent="0.2"/>
    <row r="142" s="3" customFormat="1" x14ac:dyDescent="0.2"/>
    <row r="143" s="3" customFormat="1" x14ac:dyDescent="0.2"/>
    <row r="144" s="3" customFormat="1" x14ac:dyDescent="0.2"/>
    <row r="145" s="3" customFormat="1" x14ac:dyDescent="0.2"/>
    <row r="146" s="3" customFormat="1" x14ac:dyDescent="0.2"/>
    <row r="147" s="3" customFormat="1" x14ac:dyDescent="0.2"/>
    <row r="148" s="3" customFormat="1" x14ac:dyDescent="0.2"/>
    <row r="149" s="3" customFormat="1" x14ac:dyDescent="0.2"/>
    <row r="150" s="3" customFormat="1" x14ac:dyDescent="0.2"/>
    <row r="151" s="3" customFormat="1" x14ac:dyDescent="0.2"/>
    <row r="152" s="3" customFormat="1" x14ac:dyDescent="0.2"/>
    <row r="153" s="3" customFormat="1" x14ac:dyDescent="0.2"/>
    <row r="154" s="3" customFormat="1" x14ac:dyDescent="0.2"/>
    <row r="155" s="3" customFormat="1" x14ac:dyDescent="0.2"/>
    <row r="156" s="3" customFormat="1" x14ac:dyDescent="0.2"/>
    <row r="157" s="3" customFormat="1" x14ac:dyDescent="0.2"/>
    <row r="158" s="3" customFormat="1" x14ac:dyDescent="0.2"/>
    <row r="159" s="3" customFormat="1" x14ac:dyDescent="0.2"/>
    <row r="160" s="3" customFormat="1" x14ac:dyDescent="0.2"/>
    <row r="161" s="3" customFormat="1" x14ac:dyDescent="0.2"/>
    <row r="162" s="3" customFormat="1" x14ac:dyDescent="0.2"/>
    <row r="163" s="3" customFormat="1" x14ac:dyDescent="0.2"/>
    <row r="164" s="3" customFormat="1" x14ac:dyDescent="0.2"/>
    <row r="165" s="3" customFormat="1" x14ac:dyDescent="0.2"/>
    <row r="166" s="3" customFormat="1" x14ac:dyDescent="0.2"/>
    <row r="167" s="3" customFormat="1" x14ac:dyDescent="0.2"/>
    <row r="168" s="3" customFormat="1" x14ac:dyDescent="0.2"/>
    <row r="169" s="3" customFormat="1" x14ac:dyDescent="0.2"/>
    <row r="170" s="3" customFormat="1" x14ac:dyDescent="0.2"/>
    <row r="171" s="3" customFormat="1" x14ac:dyDescent="0.2"/>
    <row r="172" s="3" customFormat="1" x14ac:dyDescent="0.2"/>
    <row r="173" s="3" customFormat="1" x14ac:dyDescent="0.2"/>
    <row r="174" s="3" customFormat="1" x14ac:dyDescent="0.2"/>
    <row r="175" s="3" customFormat="1" x14ac:dyDescent="0.2"/>
    <row r="176" s="3" customFormat="1" x14ac:dyDescent="0.2"/>
    <row r="177" s="3" customFormat="1" x14ac:dyDescent="0.2"/>
    <row r="178" s="3" customFormat="1" x14ac:dyDescent="0.2"/>
    <row r="179" s="3" customFormat="1" x14ac:dyDescent="0.2"/>
    <row r="180" s="3" customFormat="1" x14ac:dyDescent="0.2"/>
    <row r="181" s="3" customFormat="1" x14ac:dyDescent="0.2"/>
    <row r="182" s="3" customFormat="1" x14ac:dyDescent="0.2"/>
    <row r="183" s="3" customFormat="1" x14ac:dyDescent="0.2"/>
    <row r="184" s="3" customFormat="1" x14ac:dyDescent="0.2"/>
    <row r="185" s="3" customFormat="1" x14ac:dyDescent="0.2"/>
    <row r="186" s="3" customFormat="1" x14ac:dyDescent="0.2"/>
    <row r="187" s="3" customFormat="1" x14ac:dyDescent="0.2"/>
    <row r="188" s="3" customFormat="1" x14ac:dyDescent="0.2"/>
    <row r="189" s="3" customFormat="1" x14ac:dyDescent="0.2"/>
    <row r="190" s="3" customFormat="1" x14ac:dyDescent="0.2"/>
    <row r="191" s="3" customFormat="1" x14ac:dyDescent="0.2"/>
    <row r="192" s="3" customFormat="1" x14ac:dyDescent="0.2"/>
    <row r="193" s="3" customFormat="1" x14ac:dyDescent="0.2"/>
    <row r="194" s="3" customFormat="1" x14ac:dyDescent="0.2"/>
    <row r="195" s="3" customFormat="1" x14ac:dyDescent="0.2"/>
    <row r="196" s="3" customFormat="1" x14ac:dyDescent="0.2"/>
    <row r="197" s="3" customFormat="1" x14ac:dyDescent="0.2"/>
    <row r="198" s="3" customFormat="1" x14ac:dyDescent="0.2"/>
    <row r="199" s="3" customFormat="1" x14ac:dyDescent="0.2"/>
    <row r="200" s="3" customFormat="1" x14ac:dyDescent="0.2"/>
    <row r="201" s="3" customFormat="1" x14ac:dyDescent="0.2"/>
    <row r="202" s="3" customFormat="1" x14ac:dyDescent="0.2"/>
    <row r="203" s="3" customFormat="1" x14ac:dyDescent="0.2"/>
    <row r="204" s="3" customFormat="1" x14ac:dyDescent="0.2"/>
    <row r="205" s="3" customFormat="1" x14ac:dyDescent="0.2"/>
    <row r="206" s="3" customFormat="1" x14ac:dyDescent="0.2"/>
    <row r="207" s="3" customFormat="1" x14ac:dyDescent="0.2"/>
    <row r="208" s="3" customFormat="1" x14ac:dyDescent="0.2"/>
    <row r="209" s="3" customFormat="1" x14ac:dyDescent="0.2"/>
    <row r="210" s="3" customFormat="1" x14ac:dyDescent="0.2"/>
    <row r="211" s="3" customFormat="1" x14ac:dyDescent="0.2"/>
    <row r="212" s="3" customFormat="1" x14ac:dyDescent="0.2"/>
    <row r="213" s="3" customFormat="1" x14ac:dyDescent="0.2"/>
    <row r="214" s="3" customFormat="1" x14ac:dyDescent="0.2"/>
    <row r="215" s="3" customFormat="1" x14ac:dyDescent="0.2"/>
    <row r="216" s="3" customFormat="1" x14ac:dyDescent="0.2"/>
    <row r="217" s="3" customFormat="1" x14ac:dyDescent="0.2"/>
    <row r="218" s="3" customFormat="1" x14ac:dyDescent="0.2"/>
    <row r="219" s="3" customFormat="1" x14ac:dyDescent="0.2"/>
    <row r="220" s="3" customFormat="1" x14ac:dyDescent="0.2"/>
    <row r="221" s="3" customFormat="1" x14ac:dyDescent="0.2"/>
    <row r="222" s="3" customFormat="1" x14ac:dyDescent="0.2"/>
    <row r="223" s="3" customFormat="1" x14ac:dyDescent="0.2"/>
    <row r="224" s="3" customFormat="1" x14ac:dyDescent="0.2"/>
    <row r="225" s="3" customFormat="1" x14ac:dyDescent="0.2"/>
    <row r="226" s="3" customFormat="1" x14ac:dyDescent="0.2"/>
    <row r="227" s="3" customFormat="1" x14ac:dyDescent="0.2"/>
    <row r="228" s="3" customFormat="1" x14ac:dyDescent="0.2"/>
    <row r="229" s="3" customFormat="1" x14ac:dyDescent="0.2"/>
    <row r="230" s="3" customFormat="1" x14ac:dyDescent="0.2"/>
    <row r="231" s="3" customFormat="1" x14ac:dyDescent="0.2"/>
    <row r="232" s="3" customFormat="1" x14ac:dyDescent="0.2"/>
    <row r="233" s="3" customFormat="1" x14ac:dyDescent="0.2"/>
    <row r="234" s="3" customFormat="1" x14ac:dyDescent="0.2"/>
    <row r="235" s="3" customFormat="1" x14ac:dyDescent="0.2"/>
    <row r="236" s="3" customFormat="1" x14ac:dyDescent="0.2"/>
    <row r="237" s="3" customFormat="1" x14ac:dyDescent="0.2"/>
    <row r="238" s="3" customFormat="1" x14ac:dyDescent="0.2"/>
    <row r="239" s="3" customFormat="1" x14ac:dyDescent="0.2"/>
    <row r="240" s="3" customFormat="1" x14ac:dyDescent="0.2"/>
    <row r="241" s="3" customFormat="1" x14ac:dyDescent="0.2"/>
    <row r="242" s="3" customFormat="1" x14ac:dyDescent="0.2"/>
    <row r="243" s="3" customFormat="1" x14ac:dyDescent="0.2"/>
    <row r="244" s="3" customFormat="1" x14ac:dyDescent="0.2"/>
    <row r="245" s="3" customFormat="1" x14ac:dyDescent="0.2"/>
    <row r="246" s="3" customFormat="1" x14ac:dyDescent="0.2"/>
    <row r="247" s="3" customFormat="1" x14ac:dyDescent="0.2"/>
    <row r="248" s="3" customFormat="1" x14ac:dyDescent="0.2"/>
    <row r="249" s="3" customFormat="1" x14ac:dyDescent="0.2"/>
    <row r="250" s="3" customFormat="1" x14ac:dyDescent="0.2"/>
    <row r="251" s="3" customFormat="1" x14ac:dyDescent="0.2"/>
    <row r="252" s="3" customFormat="1" x14ac:dyDescent="0.2"/>
    <row r="253" s="3" customFormat="1" x14ac:dyDescent="0.2"/>
    <row r="254" s="3" customFormat="1" x14ac:dyDescent="0.2"/>
    <row r="255" s="3" customFormat="1" x14ac:dyDescent="0.2"/>
    <row r="256" s="3" customFormat="1" x14ac:dyDescent="0.2"/>
    <row r="257" s="3" customFormat="1" x14ac:dyDescent="0.2"/>
    <row r="258" s="3" customFormat="1" x14ac:dyDescent="0.2"/>
    <row r="259" s="3" customFormat="1" x14ac:dyDescent="0.2"/>
    <row r="260" s="3" customFormat="1" x14ac:dyDescent="0.2"/>
    <row r="261" s="3" customFormat="1" x14ac:dyDescent="0.2"/>
    <row r="262" s="3" customFormat="1" x14ac:dyDescent="0.2"/>
    <row r="263" s="3" customFormat="1" x14ac:dyDescent="0.2"/>
    <row r="264" s="3" customFormat="1" x14ac:dyDescent="0.2"/>
    <row r="265" s="3" customFormat="1" x14ac:dyDescent="0.2"/>
    <row r="266" s="3" customFormat="1" x14ac:dyDescent="0.2"/>
    <row r="267" s="3" customFormat="1" x14ac:dyDescent="0.2"/>
    <row r="268" s="3" customFormat="1" x14ac:dyDescent="0.2"/>
    <row r="269" s="3" customFormat="1" x14ac:dyDescent="0.2"/>
    <row r="270" s="3" customFormat="1" x14ac:dyDescent="0.2"/>
    <row r="271" s="3" customFormat="1" x14ac:dyDescent="0.2"/>
    <row r="272" s="3" customFormat="1" x14ac:dyDescent="0.2"/>
    <row r="273" s="3" customFormat="1" x14ac:dyDescent="0.2"/>
    <row r="274" s="3" customFormat="1" x14ac:dyDescent="0.2"/>
    <row r="275" s="3" customFormat="1" x14ac:dyDescent="0.2"/>
    <row r="276" s="3" customFormat="1" x14ac:dyDescent="0.2"/>
    <row r="277" s="3" customFormat="1" x14ac:dyDescent="0.2"/>
    <row r="278" s="3" customFormat="1" x14ac:dyDescent="0.2"/>
    <row r="279" s="3" customFormat="1" x14ac:dyDescent="0.2"/>
    <row r="280" s="3" customFormat="1" x14ac:dyDescent="0.2"/>
    <row r="281" s="3" customFormat="1" x14ac:dyDescent="0.2"/>
    <row r="282" s="3" customFormat="1" x14ac:dyDescent="0.2"/>
    <row r="283" s="3" customFormat="1" x14ac:dyDescent="0.2"/>
    <row r="284" s="3" customFormat="1" x14ac:dyDescent="0.2"/>
    <row r="285" s="3" customFormat="1" x14ac:dyDescent="0.2"/>
    <row r="286" s="3" customFormat="1" x14ac:dyDescent="0.2"/>
    <row r="287" s="3" customFormat="1" x14ac:dyDescent="0.2"/>
    <row r="288" s="3" customFormat="1" x14ac:dyDescent="0.2"/>
    <row r="289" s="3" customFormat="1" x14ac:dyDescent="0.2"/>
    <row r="290" s="3" customFormat="1" x14ac:dyDescent="0.2"/>
    <row r="291" s="3" customFormat="1" x14ac:dyDescent="0.2"/>
    <row r="292" s="3" customFormat="1" x14ac:dyDescent="0.2"/>
    <row r="293" s="3" customFormat="1" x14ac:dyDescent="0.2"/>
    <row r="294" s="3" customFormat="1" x14ac:dyDescent="0.2"/>
    <row r="295" s="3" customFormat="1" x14ac:dyDescent="0.2"/>
    <row r="296" s="3" customFormat="1" x14ac:dyDescent="0.2"/>
    <row r="297" s="3" customFormat="1" x14ac:dyDescent="0.2"/>
    <row r="298" s="3" customFormat="1" x14ac:dyDescent="0.2"/>
    <row r="299" s="3" customFormat="1" x14ac:dyDescent="0.2"/>
    <row r="300" s="3" customFormat="1" x14ac:dyDescent="0.2"/>
    <row r="301" s="3" customFormat="1" x14ac:dyDescent="0.2"/>
    <row r="302" s="3" customFormat="1" x14ac:dyDescent="0.2"/>
    <row r="303" s="3" customFormat="1" x14ac:dyDescent="0.2"/>
    <row r="304" s="3" customFormat="1" x14ac:dyDescent="0.2"/>
    <row r="305" s="3" customFormat="1" x14ac:dyDescent="0.2"/>
    <row r="306" s="3" customFormat="1" x14ac:dyDescent="0.2"/>
    <row r="307" s="3" customFormat="1" x14ac:dyDescent="0.2"/>
    <row r="308" s="3" customFormat="1" x14ac:dyDescent="0.2"/>
    <row r="309" s="3" customFormat="1" x14ac:dyDescent="0.2"/>
    <row r="310" s="3" customFormat="1" x14ac:dyDescent="0.2"/>
    <row r="311" s="3" customFormat="1" x14ac:dyDescent="0.2"/>
    <row r="312" s="3" customFormat="1" x14ac:dyDescent="0.2"/>
    <row r="313" s="3" customFormat="1" x14ac:dyDescent="0.2"/>
    <row r="314" s="3" customFormat="1" x14ac:dyDescent="0.2"/>
    <row r="315" s="3" customFormat="1" x14ac:dyDescent="0.2"/>
    <row r="316" s="3" customFormat="1" x14ac:dyDescent="0.2"/>
    <row r="317" s="3" customFormat="1" x14ac:dyDescent="0.2"/>
    <row r="318" s="3" customFormat="1" x14ac:dyDescent="0.2"/>
    <row r="319" s="3" customFormat="1" x14ac:dyDescent="0.2"/>
    <row r="320" s="3" customFormat="1" x14ac:dyDescent="0.2"/>
    <row r="321" s="3" customFormat="1" x14ac:dyDescent="0.2"/>
    <row r="322" s="3" customFormat="1" x14ac:dyDescent="0.2"/>
    <row r="323" s="3" customFormat="1" x14ac:dyDescent="0.2"/>
    <row r="324" s="3" customFormat="1" x14ac:dyDescent="0.2"/>
    <row r="325" s="3" customFormat="1" x14ac:dyDescent="0.2"/>
    <row r="326" s="3" customFormat="1" x14ac:dyDescent="0.2"/>
    <row r="327" s="3" customFormat="1" x14ac:dyDescent="0.2"/>
    <row r="328" s="3" customFormat="1" x14ac:dyDescent="0.2"/>
    <row r="329" s="3" customFormat="1" x14ac:dyDescent="0.2"/>
    <row r="330" s="3" customFormat="1" x14ac:dyDescent="0.2"/>
    <row r="331" s="3" customFormat="1" x14ac:dyDescent="0.2"/>
    <row r="332" s="3" customFormat="1" x14ac:dyDescent="0.2"/>
    <row r="333" s="3" customFormat="1" x14ac:dyDescent="0.2"/>
    <row r="334" s="3" customFormat="1" x14ac:dyDescent="0.2"/>
    <row r="335" s="3" customFormat="1" x14ac:dyDescent="0.2"/>
    <row r="336" s="3" customFormat="1" x14ac:dyDescent="0.2"/>
    <row r="337" s="3" customFormat="1" x14ac:dyDescent="0.2"/>
    <row r="338" s="3" customFormat="1" x14ac:dyDescent="0.2"/>
    <row r="339" s="3" customFormat="1" x14ac:dyDescent="0.2"/>
    <row r="340" s="3" customFormat="1" x14ac:dyDescent="0.2"/>
    <row r="341" s="3" customFormat="1" x14ac:dyDescent="0.2"/>
    <row r="342" s="3" customFormat="1" x14ac:dyDescent="0.2"/>
    <row r="343" s="3" customFormat="1" x14ac:dyDescent="0.2"/>
    <row r="344" s="3" customFormat="1" x14ac:dyDescent="0.2"/>
    <row r="345" s="3" customFormat="1" x14ac:dyDescent="0.2"/>
    <row r="346" s="3" customFormat="1" x14ac:dyDescent="0.2"/>
    <row r="347" s="3" customFormat="1" x14ac:dyDescent="0.2"/>
    <row r="348" s="3" customFormat="1" x14ac:dyDescent="0.2"/>
    <row r="349" s="3" customFormat="1" x14ac:dyDescent="0.2"/>
    <row r="350" s="3" customFormat="1" x14ac:dyDescent="0.2"/>
    <row r="351" s="3" customFormat="1" x14ac:dyDescent="0.2"/>
    <row r="352" s="3" customFormat="1" x14ac:dyDescent="0.2"/>
    <row r="353" s="3" customFormat="1" x14ac:dyDescent="0.2"/>
    <row r="354" s="3" customFormat="1" x14ac:dyDescent="0.2"/>
    <row r="355" s="3" customFormat="1" x14ac:dyDescent="0.2"/>
    <row r="356" s="3" customFormat="1" x14ac:dyDescent="0.2"/>
    <row r="357" s="3" customFormat="1" x14ac:dyDescent="0.2"/>
    <row r="358" s="3" customFormat="1" x14ac:dyDescent="0.2"/>
    <row r="359" s="3" customFormat="1" x14ac:dyDescent="0.2"/>
    <row r="360" s="3" customFormat="1" x14ac:dyDescent="0.2"/>
    <row r="361" s="3" customFormat="1" x14ac:dyDescent="0.2"/>
    <row r="362" s="3" customFormat="1" x14ac:dyDescent="0.2"/>
    <row r="363" s="3" customFormat="1" x14ac:dyDescent="0.2"/>
    <row r="364" s="3" customFormat="1" x14ac:dyDescent="0.2"/>
    <row r="365" s="3" customFormat="1" x14ac:dyDescent="0.2"/>
    <row r="366" s="3" customFormat="1" x14ac:dyDescent="0.2"/>
    <row r="367" s="3" customFormat="1" x14ac:dyDescent="0.2"/>
    <row r="368" s="3" customFormat="1" x14ac:dyDescent="0.2"/>
    <row r="369" s="3" customFormat="1" x14ac:dyDescent="0.2"/>
    <row r="370" s="3" customFormat="1" x14ac:dyDescent="0.2"/>
    <row r="371" s="3" customFormat="1" x14ac:dyDescent="0.2"/>
    <row r="372" s="3" customFormat="1" x14ac:dyDescent="0.2"/>
    <row r="373" s="3" customFormat="1" x14ac:dyDescent="0.2"/>
    <row r="374" s="3" customFormat="1" x14ac:dyDescent="0.2"/>
    <row r="375" s="3" customFormat="1" x14ac:dyDescent="0.2"/>
    <row r="376" s="3" customFormat="1" x14ac:dyDescent="0.2"/>
    <row r="377" s="3" customFormat="1" x14ac:dyDescent="0.2"/>
    <row r="378" s="3" customFormat="1" x14ac:dyDescent="0.2"/>
    <row r="379" s="3" customFormat="1" x14ac:dyDescent="0.2"/>
    <row r="380" s="3" customFormat="1" x14ac:dyDescent="0.2"/>
    <row r="381" s="3" customFormat="1" x14ac:dyDescent="0.2"/>
    <row r="382" s="3" customFormat="1" x14ac:dyDescent="0.2"/>
    <row r="383" s="3" customFormat="1" x14ac:dyDescent="0.2"/>
    <row r="384" s="3" customFormat="1" x14ac:dyDescent="0.2"/>
    <row r="385" s="3" customFormat="1" x14ac:dyDescent="0.2"/>
    <row r="386" s="3" customFormat="1" x14ac:dyDescent="0.2"/>
    <row r="387" s="3" customFormat="1" x14ac:dyDescent="0.2"/>
    <row r="388" s="3" customFormat="1" x14ac:dyDescent="0.2"/>
    <row r="389" s="3" customFormat="1" x14ac:dyDescent="0.2"/>
    <row r="390" s="3" customFormat="1" x14ac:dyDescent="0.2"/>
    <row r="391" s="3" customFormat="1" x14ac:dyDescent="0.2"/>
    <row r="392" s="3" customFormat="1" x14ac:dyDescent="0.2"/>
  </sheetData>
  <conditionalFormatting sqref="C24:C123">
    <cfRule type="colorScale" priority="27">
      <colorScale>
        <cfvo type="min"/>
        <cfvo type="percentile" val="50"/>
        <cfvo type="max"/>
        <color rgb="FFF8696B"/>
        <color rgb="FFFFEB84"/>
        <color rgb="FF63BE7B"/>
      </colorScale>
    </cfRule>
  </conditionalFormatting>
  <conditionalFormatting sqref="D24:D58">
    <cfRule type="colorScale" priority="26">
      <colorScale>
        <cfvo type="min"/>
        <cfvo type="percentile" val="50"/>
        <cfvo type="max"/>
        <color rgb="FFF8696B"/>
        <color rgb="FFFFEB84"/>
        <color rgb="FF63BE7B"/>
      </colorScale>
    </cfRule>
  </conditionalFormatting>
  <conditionalFormatting sqref="E24:E58">
    <cfRule type="colorScale" priority="25">
      <colorScale>
        <cfvo type="min"/>
        <cfvo type="percentile" val="50"/>
        <cfvo type="max"/>
        <color rgb="FFF8696B"/>
        <color rgb="FFFFEB84"/>
        <color rgb="FF63BE7B"/>
      </colorScale>
    </cfRule>
  </conditionalFormatting>
  <conditionalFormatting sqref="F24:F58">
    <cfRule type="colorScale" priority="24">
      <colorScale>
        <cfvo type="min"/>
        <cfvo type="percentile" val="50"/>
        <cfvo type="max"/>
        <color rgb="FFF8696B"/>
        <color rgb="FFFFEB84"/>
        <color rgb="FF63BE7B"/>
      </colorScale>
    </cfRule>
  </conditionalFormatting>
  <conditionalFormatting sqref="G24:G58">
    <cfRule type="colorScale" priority="23">
      <colorScale>
        <cfvo type="min"/>
        <cfvo type="percentile" val="50"/>
        <cfvo type="max"/>
        <color rgb="FFF8696B"/>
        <color rgb="FFFFEB84"/>
        <color rgb="FF63BE7B"/>
      </colorScale>
    </cfRule>
  </conditionalFormatting>
  <conditionalFormatting sqref="H24:H58">
    <cfRule type="colorScale" priority="22">
      <colorScale>
        <cfvo type="min"/>
        <cfvo type="percentile" val="50"/>
        <cfvo type="max"/>
        <color rgb="FFF8696B"/>
        <color rgb="FFFFEB84"/>
        <color rgb="FF63BE7B"/>
      </colorScale>
    </cfRule>
  </conditionalFormatting>
  <conditionalFormatting sqref="I24:I58">
    <cfRule type="colorScale" priority="21">
      <colorScale>
        <cfvo type="min"/>
        <cfvo type="percentile" val="50"/>
        <cfvo type="max"/>
        <color rgb="FFF8696B"/>
        <color rgb="FFFFEB84"/>
        <color rgb="FF63BE7B"/>
      </colorScale>
    </cfRule>
  </conditionalFormatting>
  <conditionalFormatting sqref="J24:J58">
    <cfRule type="colorScale" priority="20">
      <colorScale>
        <cfvo type="min"/>
        <cfvo type="percentile" val="50"/>
        <cfvo type="max"/>
        <color rgb="FFF8696B"/>
        <color rgb="FFFFEB84"/>
        <color rgb="FF63BE7B"/>
      </colorScale>
    </cfRule>
  </conditionalFormatting>
  <conditionalFormatting sqref="K24:K58">
    <cfRule type="colorScale" priority="19">
      <colorScale>
        <cfvo type="min"/>
        <cfvo type="percentile" val="50"/>
        <cfvo type="max"/>
        <color rgb="FFF8696B"/>
        <color rgb="FFFFEB84"/>
        <color rgb="FF63BE7B"/>
      </colorScale>
    </cfRule>
  </conditionalFormatting>
  <conditionalFormatting sqref="L24:L58">
    <cfRule type="colorScale" priority="18">
      <colorScale>
        <cfvo type="min"/>
        <cfvo type="percentile" val="50"/>
        <cfvo type="max"/>
        <color rgb="FFF8696B"/>
        <color rgb="FFFFEB84"/>
        <color rgb="FF63BE7B"/>
      </colorScale>
    </cfRule>
  </conditionalFormatting>
  <conditionalFormatting sqref="M24:M58">
    <cfRule type="colorScale" priority="17">
      <colorScale>
        <cfvo type="min"/>
        <cfvo type="percentile" val="50"/>
        <cfvo type="max"/>
        <color rgb="FFF8696B"/>
        <color rgb="FFFFEB84"/>
        <color rgb="FF63BE7B"/>
      </colorScale>
    </cfRule>
  </conditionalFormatting>
  <conditionalFormatting sqref="N24:N58">
    <cfRule type="colorScale" priority="16">
      <colorScale>
        <cfvo type="min"/>
        <cfvo type="percentile" val="50"/>
        <cfvo type="max"/>
        <color rgb="FFF8696B"/>
        <color rgb="FFFFEB84"/>
        <color rgb="FF63BE7B"/>
      </colorScale>
    </cfRule>
  </conditionalFormatting>
  <conditionalFormatting sqref="O24:O58">
    <cfRule type="colorScale" priority="15">
      <colorScale>
        <cfvo type="min"/>
        <cfvo type="percentile" val="50"/>
        <cfvo type="max"/>
        <color rgb="FFF8696B"/>
        <color rgb="FFFFEB84"/>
        <color rgb="FF63BE7B"/>
      </colorScale>
    </cfRule>
  </conditionalFormatting>
  <conditionalFormatting sqref="P24:P58">
    <cfRule type="colorScale" priority="14">
      <colorScale>
        <cfvo type="min"/>
        <cfvo type="percentile" val="50"/>
        <cfvo type="max"/>
        <color rgb="FFF8696B"/>
        <color rgb="FFFFEB84"/>
        <color rgb="FF63BE7B"/>
      </colorScale>
    </cfRule>
  </conditionalFormatting>
  <conditionalFormatting sqref="Q24:Q58">
    <cfRule type="colorScale" priority="13">
      <colorScale>
        <cfvo type="min"/>
        <cfvo type="percentile" val="50"/>
        <cfvo type="max"/>
        <color rgb="FFF8696B"/>
        <color rgb="FFFFEB84"/>
        <color rgb="FF63BE7B"/>
      </colorScale>
    </cfRule>
  </conditionalFormatting>
  <conditionalFormatting sqref="R24:R58">
    <cfRule type="colorScale" priority="12">
      <colorScale>
        <cfvo type="min"/>
        <cfvo type="percentile" val="50"/>
        <cfvo type="max"/>
        <color rgb="FFF8696B"/>
        <color rgb="FFFFEB84"/>
        <color rgb="FF63BE7B"/>
      </colorScale>
    </cfRule>
  </conditionalFormatting>
  <conditionalFormatting sqref="S24:S58">
    <cfRule type="colorScale" priority="11">
      <colorScale>
        <cfvo type="min"/>
        <cfvo type="percentile" val="50"/>
        <cfvo type="max"/>
        <color rgb="FFF8696B"/>
        <color rgb="FFFFEB84"/>
        <color rgb="FF63BE7B"/>
      </colorScale>
    </cfRule>
  </conditionalFormatting>
  <conditionalFormatting sqref="T24:T58">
    <cfRule type="colorScale" priority="10">
      <colorScale>
        <cfvo type="min"/>
        <cfvo type="percentile" val="50"/>
        <cfvo type="max"/>
        <color rgb="FFF8696B"/>
        <color rgb="FFFFEB84"/>
        <color rgb="FF63BE7B"/>
      </colorScale>
    </cfRule>
  </conditionalFormatting>
  <conditionalFormatting sqref="U24:U58">
    <cfRule type="colorScale" priority="9">
      <colorScale>
        <cfvo type="min"/>
        <cfvo type="percentile" val="50"/>
        <cfvo type="max"/>
        <color rgb="FFF8696B"/>
        <color rgb="FFFFEB84"/>
        <color rgb="FF63BE7B"/>
      </colorScale>
    </cfRule>
  </conditionalFormatting>
  <conditionalFormatting sqref="V24:V58">
    <cfRule type="colorScale" priority="8">
      <colorScale>
        <cfvo type="min"/>
        <cfvo type="percentile" val="50"/>
        <cfvo type="max"/>
        <color rgb="FFF8696B"/>
        <color rgb="FFFFEB84"/>
        <color rgb="FF63BE7B"/>
      </colorScale>
    </cfRule>
  </conditionalFormatting>
  <conditionalFormatting sqref="W24:W58">
    <cfRule type="colorScale" priority="7">
      <colorScale>
        <cfvo type="min"/>
        <cfvo type="percentile" val="50"/>
        <cfvo type="max"/>
        <color rgb="FFF8696B"/>
        <color rgb="FFFFEB84"/>
        <color rgb="FF63BE7B"/>
      </colorScale>
    </cfRule>
  </conditionalFormatting>
  <conditionalFormatting sqref="X24:X58">
    <cfRule type="colorScale" priority="6">
      <colorScale>
        <cfvo type="min"/>
        <cfvo type="percentile" val="50"/>
        <cfvo type="max"/>
        <color rgb="FFF8696B"/>
        <color rgb="FFFFEB84"/>
        <color rgb="FF63BE7B"/>
      </colorScale>
    </cfRule>
  </conditionalFormatting>
  <conditionalFormatting sqref="Y24:Y58">
    <cfRule type="colorScale" priority="5">
      <colorScale>
        <cfvo type="min"/>
        <cfvo type="percentile" val="50"/>
        <cfvo type="max"/>
        <color rgb="FFF8696B"/>
        <color rgb="FFFFEB84"/>
        <color rgb="FF63BE7B"/>
      </colorScale>
    </cfRule>
  </conditionalFormatting>
  <conditionalFormatting sqref="Z24:Z58">
    <cfRule type="colorScale" priority="4">
      <colorScale>
        <cfvo type="min"/>
        <cfvo type="percentile" val="50"/>
        <cfvo type="max"/>
        <color rgb="FFF8696B"/>
        <color rgb="FFFFEB84"/>
        <color rgb="FF63BE7B"/>
      </colorScale>
    </cfRule>
  </conditionalFormatting>
  <conditionalFormatting sqref="AA24:AB58 AB59:AB98">
    <cfRule type="colorScale" priority="3">
      <colorScale>
        <cfvo type="min"/>
        <cfvo type="percentile" val="50"/>
        <cfvo type="max"/>
        <color rgb="FFF8696B"/>
        <color rgb="FFFFEB84"/>
        <color rgb="FF63BE7B"/>
      </colorScale>
    </cfRule>
  </conditionalFormatting>
  <conditionalFormatting sqref="D59:D123">
    <cfRule type="colorScale" priority="2">
      <colorScale>
        <cfvo type="min"/>
        <cfvo type="percentile" val="50"/>
        <cfvo type="max"/>
        <color rgb="FFF8696B"/>
        <color rgb="FFFFEB84"/>
        <color rgb="FF63BE7B"/>
      </colorScale>
    </cfRule>
  </conditionalFormatting>
  <conditionalFormatting sqref="E59:AA105 Z106:AA106 E106:Y123">
    <cfRule type="colorScale" priority="1">
      <colorScale>
        <cfvo type="min"/>
        <cfvo type="percentile" val="50"/>
        <cfvo type="max"/>
        <color rgb="FFF8696B"/>
        <color rgb="FFFFEB84"/>
        <color rgb="FF63BE7B"/>
      </colorScale>
    </cfRule>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B5DC9F-E3A7-404E-90A1-E25F2E150497}">
  <sheetPr codeName="Sheet4">
    <tabColor rgb="FF00B050"/>
  </sheetPr>
  <dimension ref="A1:BT391"/>
  <sheetViews>
    <sheetView zoomScale="150" zoomScaleNormal="150" workbookViewId="0">
      <pane xSplit="2" ySplit="9" topLeftCell="C92" activePane="bottomRight" state="frozen"/>
      <selection activeCell="AC102" sqref="AC102"/>
      <selection pane="topRight" activeCell="AC102" sqref="AC102"/>
      <selection pane="bottomLeft" activeCell="AC102" sqref="AC102"/>
      <selection pane="bottomRight" activeCell="AE2" sqref="AE2"/>
    </sheetView>
  </sheetViews>
  <sheetFormatPr baseColWidth="10" defaultColWidth="8.83203125" defaultRowHeight="15" x14ac:dyDescent="0.2"/>
  <cols>
    <col min="1" max="1" width="9.1640625" style="3"/>
    <col min="2" max="2" width="13.6640625" customWidth="1"/>
    <col min="4" max="4" width="7" hidden="1" customWidth="1"/>
    <col min="5" max="5" width="7.33203125" customWidth="1"/>
    <col min="6" max="6" width="7" customWidth="1"/>
    <col min="7" max="9" width="7.33203125" customWidth="1"/>
    <col min="10" max="11" width="7.1640625" customWidth="1"/>
    <col min="12" max="12" width="6.33203125" customWidth="1"/>
    <col min="13" max="13" width="7.33203125" customWidth="1"/>
    <col min="14" max="14" width="7" hidden="1" customWidth="1"/>
    <col min="15" max="15" width="7.1640625" hidden="1" customWidth="1"/>
    <col min="16" max="16" width="6.1640625" customWidth="1"/>
    <col min="17" max="17" width="7.6640625" hidden="1" customWidth="1"/>
    <col min="18" max="18" width="6.6640625" customWidth="1"/>
    <col min="19" max="19" width="6.1640625" hidden="1" customWidth="1"/>
    <col min="20" max="20" width="7" hidden="1" customWidth="1"/>
    <col min="21" max="21" width="7.33203125" customWidth="1"/>
    <col min="22" max="22" width="7.1640625" hidden="1" customWidth="1"/>
    <col min="23" max="23" width="7" customWidth="1"/>
    <col min="24" max="24" width="6.1640625" customWidth="1"/>
    <col min="25" max="25" width="7" customWidth="1"/>
    <col min="26" max="27" width="6.33203125" hidden="1" customWidth="1"/>
    <col min="28" max="28" width="6.1640625" customWidth="1"/>
    <col min="29" max="30" width="15.33203125" style="3" customWidth="1"/>
    <col min="31" max="31" width="10.6640625" style="3" bestFit="1" customWidth="1"/>
    <col min="32" max="72" width="9.1640625" style="3"/>
  </cols>
  <sheetData>
    <row r="1" spans="2:34" x14ac:dyDescent="0.2">
      <c r="C1" t="s">
        <v>853</v>
      </c>
      <c r="D1" t="s">
        <v>856</v>
      </c>
      <c r="E1" t="s">
        <v>871</v>
      </c>
      <c r="F1" t="s">
        <v>839</v>
      </c>
      <c r="G1" t="s">
        <v>833</v>
      </c>
      <c r="H1" t="s">
        <v>832</v>
      </c>
      <c r="I1" t="s">
        <v>852</v>
      </c>
      <c r="J1" t="s">
        <v>838</v>
      </c>
      <c r="K1" t="s">
        <v>848</v>
      </c>
      <c r="L1" t="s">
        <v>849</v>
      </c>
      <c r="M1" t="s">
        <v>842</v>
      </c>
      <c r="N1" t="s">
        <v>861</v>
      </c>
      <c r="O1" t="s">
        <v>858</v>
      </c>
      <c r="P1" t="s">
        <v>768</v>
      </c>
      <c r="Q1" t="s">
        <v>902</v>
      </c>
      <c r="R1" t="s">
        <v>850</v>
      </c>
      <c r="S1" t="s">
        <v>840</v>
      </c>
      <c r="T1" t="s">
        <v>854</v>
      </c>
      <c r="U1" t="s">
        <v>834</v>
      </c>
      <c r="V1" t="s">
        <v>837</v>
      </c>
      <c r="W1" t="s">
        <v>851</v>
      </c>
      <c r="X1" t="s">
        <v>829</v>
      </c>
      <c r="Y1" t="s">
        <v>845</v>
      </c>
      <c r="Z1" t="s">
        <v>903</v>
      </c>
      <c r="AA1" t="s">
        <v>904</v>
      </c>
      <c r="AE1" s="28" t="s">
        <v>906</v>
      </c>
    </row>
    <row r="2" spans="2:34" s="3" customFormat="1" x14ac:dyDescent="0.2">
      <c r="AD2" s="3" t="s">
        <v>905</v>
      </c>
      <c r="AE2" s="29">
        <v>43922</v>
      </c>
      <c r="AH2" s="28"/>
    </row>
    <row r="3" spans="2:34" ht="75.75" customHeight="1" x14ac:dyDescent="0.2">
      <c r="B3" s="4"/>
      <c r="C3" s="5" t="s">
        <v>907</v>
      </c>
      <c r="D3" s="6" t="s">
        <v>908</v>
      </c>
      <c r="E3" s="7" t="s">
        <v>909</v>
      </c>
      <c r="F3" s="8" t="s">
        <v>910</v>
      </c>
      <c r="G3" s="9" t="s">
        <v>911</v>
      </c>
      <c r="H3" s="9" t="s">
        <v>912</v>
      </c>
      <c r="I3" s="9" t="s">
        <v>913</v>
      </c>
      <c r="J3" s="9" t="s">
        <v>914</v>
      </c>
      <c r="K3" s="9" t="s">
        <v>915</v>
      </c>
      <c r="L3" s="9" t="s">
        <v>916</v>
      </c>
      <c r="M3" s="9" t="s">
        <v>917</v>
      </c>
      <c r="N3" s="9" t="s">
        <v>918</v>
      </c>
      <c r="O3" s="9" t="s">
        <v>919</v>
      </c>
      <c r="P3" s="9" t="s">
        <v>920</v>
      </c>
      <c r="Q3" s="9" t="s">
        <v>921</v>
      </c>
      <c r="R3" s="10" t="s">
        <v>922</v>
      </c>
      <c r="S3" s="9" t="s">
        <v>923</v>
      </c>
      <c r="T3" s="9" t="s">
        <v>924</v>
      </c>
      <c r="U3" s="9" t="s">
        <v>925</v>
      </c>
      <c r="V3" s="9" t="s">
        <v>926</v>
      </c>
      <c r="W3" s="9" t="s">
        <v>927</v>
      </c>
      <c r="X3" s="9" t="s">
        <v>928</v>
      </c>
      <c r="Y3" s="9" t="s">
        <v>929</v>
      </c>
      <c r="Z3" s="9" t="s">
        <v>930</v>
      </c>
      <c r="AA3" s="9" t="s">
        <v>931</v>
      </c>
      <c r="AB3" s="11"/>
    </row>
    <row r="4" spans="2:34" x14ac:dyDescent="0.2">
      <c r="B4" s="4" t="s">
        <v>932</v>
      </c>
      <c r="C4" s="23">
        <f>MAX(C107:C118)</f>
        <v>2.386393510346646E-2</v>
      </c>
      <c r="D4" s="23" t="e">
        <f t="shared" ref="D4" si="0">MAX(D99:D110)</f>
        <v>#DIV/0!</v>
      </c>
      <c r="E4" s="23">
        <f t="shared" ref="E4:Y4" si="1">MAX(E107:E118)</f>
        <v>1.3116984065293377E-2</v>
      </c>
      <c r="F4" s="23">
        <f t="shared" si="1"/>
        <v>7.1053983963744868E-3</v>
      </c>
      <c r="G4" s="23">
        <f t="shared" si="1"/>
        <v>1.9097296187706041E-2</v>
      </c>
      <c r="H4" s="23">
        <f t="shared" si="1"/>
        <v>1.1877614376846087E-2</v>
      </c>
      <c r="I4" s="23">
        <f t="shared" si="1"/>
        <v>1.890359168241966E-2</v>
      </c>
      <c r="J4" s="23">
        <f t="shared" si="1"/>
        <v>7.9009433962262954E-3</v>
      </c>
      <c r="K4" s="23">
        <f t="shared" si="1"/>
        <v>1.0891843624383512E-2</v>
      </c>
      <c r="L4" s="23">
        <f t="shared" si="1"/>
        <v>1.807139997395215E-2</v>
      </c>
      <c r="M4" s="23">
        <f t="shared" si="1"/>
        <v>3.6812056721558947E-2</v>
      </c>
      <c r="N4" s="23" t="e">
        <f t="shared" si="1"/>
        <v>#DIV/0!</v>
      </c>
      <c r="O4" s="23" t="e">
        <f t="shared" si="1"/>
        <v>#DIV/0!</v>
      </c>
      <c r="P4" s="23">
        <f t="shared" si="1"/>
        <v>2.6264573935822044E-2</v>
      </c>
      <c r="Q4" s="23" t="e">
        <f t="shared" si="1"/>
        <v>#N/A</v>
      </c>
      <c r="R4" s="23">
        <f t="shared" si="1"/>
        <v>7.3232451185817095E-3</v>
      </c>
      <c r="S4" s="23" t="e">
        <f t="shared" si="1"/>
        <v>#DIV/0!</v>
      </c>
      <c r="T4" s="23" t="e">
        <f t="shared" si="1"/>
        <v>#DIV/0!</v>
      </c>
      <c r="U4" s="23">
        <f t="shared" si="1"/>
        <v>9.6111370707977518E-3</v>
      </c>
      <c r="V4" s="23">
        <f t="shared" si="1"/>
        <v>1.6437946726365421E-2</v>
      </c>
      <c r="W4" s="23">
        <f t="shared" si="1"/>
        <v>0.17589415304922304</v>
      </c>
      <c r="X4" s="23">
        <f t="shared" si="1"/>
        <v>2.7645376549094294E-2</v>
      </c>
      <c r="Y4" s="23">
        <f t="shared" si="1"/>
        <v>3.0822379856435378E-2</v>
      </c>
      <c r="Z4" s="23" t="e">
        <f t="shared" ref="Z4:AA4" si="2">MAX(Z94:Z106)</f>
        <v>#N/A</v>
      </c>
      <c r="AA4" s="23" t="e">
        <f t="shared" si="2"/>
        <v>#N/A</v>
      </c>
      <c r="AB4" s="13"/>
    </row>
    <row r="5" spans="2:34" x14ac:dyDescent="0.2">
      <c r="B5" s="4" t="s">
        <v>933</v>
      </c>
      <c r="C5" s="23">
        <f>MIN(C107:C118)</f>
        <v>1.9890124468522553E-2</v>
      </c>
      <c r="D5" s="23" t="e">
        <f t="shared" ref="D5" si="3">MIN(D99:D110)</f>
        <v>#DIV/0!</v>
      </c>
      <c r="E5" s="23">
        <f t="shared" ref="E5:Y5" si="4">MIN(E107:E118)</f>
        <v>7.697554321348595E-3</v>
      </c>
      <c r="F5" s="23">
        <f t="shared" si="4"/>
        <v>3.0075981952418719E-3</v>
      </c>
      <c r="G5" s="23">
        <f t="shared" si="4"/>
        <v>9.9238445429026181E-3</v>
      </c>
      <c r="H5" s="23">
        <f t="shared" si="4"/>
        <v>3.9058530140637653E-3</v>
      </c>
      <c r="I5" s="23">
        <f t="shared" si="4"/>
        <v>1.4005602240896359E-2</v>
      </c>
      <c r="J5" s="23">
        <f t="shared" si="4"/>
        <v>4.2975408680461097E-3</v>
      </c>
      <c r="K5" s="23">
        <f t="shared" si="4"/>
        <v>7.308268722145933E-3</v>
      </c>
      <c r="L5" s="23">
        <f t="shared" si="4"/>
        <v>1.1498219121199259E-2</v>
      </c>
      <c r="M5" s="23">
        <f t="shared" si="4"/>
        <v>3.3521717601029122E-2</v>
      </c>
      <c r="N5" s="23" t="e">
        <f t="shared" si="4"/>
        <v>#DIV/0!</v>
      </c>
      <c r="O5" s="23" t="e">
        <f t="shared" si="4"/>
        <v>#DIV/0!</v>
      </c>
      <c r="P5" s="23">
        <f t="shared" si="4"/>
        <v>1.9166404010386169E-2</v>
      </c>
      <c r="Q5" s="23" t="e">
        <f t="shared" si="4"/>
        <v>#N/A</v>
      </c>
      <c r="R5" s="23">
        <f t="shared" si="4"/>
        <v>2.1314677346581496E-3</v>
      </c>
      <c r="S5" s="23" t="e">
        <f t="shared" si="4"/>
        <v>#DIV/0!</v>
      </c>
      <c r="T5" s="23" t="e">
        <f t="shared" si="4"/>
        <v>#DIV/0!</v>
      </c>
      <c r="U5" s="23">
        <f t="shared" si="4"/>
        <v>2.3198795796256317E-3</v>
      </c>
      <c r="V5" s="23">
        <f t="shared" si="4"/>
        <v>6.5534273455750778E-3</v>
      </c>
      <c r="W5" s="23">
        <f t="shared" si="4"/>
        <v>8.8132524514158594E-2</v>
      </c>
      <c r="X5" s="23">
        <f t="shared" si="4"/>
        <v>2.2705771050141831E-2</v>
      </c>
      <c r="Y5" s="23">
        <f t="shared" si="4"/>
        <v>6.8965448855500336E-3</v>
      </c>
      <c r="Z5" s="23" t="e">
        <f t="shared" ref="Z5:AA5" si="5">MIN(Z94:Z106)</f>
        <v>#N/A</v>
      </c>
      <c r="AA5" s="23" t="e">
        <f t="shared" si="5"/>
        <v>#N/A</v>
      </c>
      <c r="AB5" s="13"/>
    </row>
    <row r="6" spans="2:34" x14ac:dyDescent="0.2">
      <c r="B6" s="4" t="s">
        <v>934</v>
      </c>
      <c r="C6" s="23">
        <f>AVERAGE(C107:C118)</f>
        <v>2.1916016290171605E-2</v>
      </c>
      <c r="D6" s="23" t="e">
        <f t="shared" ref="D6" si="6">AVERAGE(D99:D110)</f>
        <v>#DIV/0!</v>
      </c>
      <c r="E6" s="23">
        <f t="shared" ref="E6:Y6" si="7">AVERAGE(E107:E118)</f>
        <v>1.0489194133517845E-2</v>
      </c>
      <c r="F6" s="23">
        <f t="shared" si="7"/>
        <v>4.546363958696566E-3</v>
      </c>
      <c r="G6" s="23">
        <f t="shared" si="7"/>
        <v>1.4916693266680188E-2</v>
      </c>
      <c r="H6" s="23">
        <f t="shared" si="7"/>
        <v>7.3943415154641284E-3</v>
      </c>
      <c r="I6" s="23">
        <f t="shared" si="7"/>
        <v>1.7075740710324864E-2</v>
      </c>
      <c r="J6" s="23">
        <f t="shared" si="7"/>
        <v>5.9606343763536325E-3</v>
      </c>
      <c r="K6" s="23">
        <f t="shared" si="7"/>
        <v>9.5557119687715922E-3</v>
      </c>
      <c r="L6" s="23">
        <f t="shared" si="7"/>
        <v>1.5182536378262029E-2</v>
      </c>
      <c r="M6" s="23">
        <f t="shared" si="7"/>
        <v>3.5295751074815217E-2</v>
      </c>
      <c r="N6" s="23" t="e">
        <f t="shared" si="7"/>
        <v>#DIV/0!</v>
      </c>
      <c r="O6" s="23" t="e">
        <f t="shared" si="7"/>
        <v>#DIV/0!</v>
      </c>
      <c r="P6" s="23">
        <f t="shared" si="7"/>
        <v>2.2927974069767935E-2</v>
      </c>
      <c r="Q6" s="23" t="e">
        <f t="shared" si="7"/>
        <v>#N/A</v>
      </c>
      <c r="R6" s="23">
        <f t="shared" si="7"/>
        <v>4.413345266934896E-3</v>
      </c>
      <c r="S6" s="23" t="e">
        <f t="shared" si="7"/>
        <v>#DIV/0!</v>
      </c>
      <c r="T6" s="23" t="e">
        <f t="shared" si="7"/>
        <v>#DIV/0!</v>
      </c>
      <c r="U6" s="23">
        <f t="shared" si="7"/>
        <v>5.3245569722758642E-3</v>
      </c>
      <c r="V6" s="23">
        <f t="shared" si="7"/>
        <v>1.1306115851588902E-2</v>
      </c>
      <c r="W6" s="23">
        <f t="shared" si="7"/>
        <v>0.14071482996669807</v>
      </c>
      <c r="X6" s="23">
        <f t="shared" si="7"/>
        <v>2.5220611468503674E-2</v>
      </c>
      <c r="Y6" s="23">
        <f t="shared" si="7"/>
        <v>1.8798146577267003E-2</v>
      </c>
      <c r="Z6" s="23" t="e">
        <f t="shared" ref="Z6:AA6" si="8">AVERAGE(Z94:Z106)</f>
        <v>#N/A</v>
      </c>
      <c r="AA6" s="23" t="e">
        <f t="shared" si="8"/>
        <v>#N/A</v>
      </c>
      <c r="AB6" s="13"/>
    </row>
    <row r="7" spans="2:34" x14ac:dyDescent="0.2">
      <c r="B7" s="4" t="s">
        <v>935</v>
      </c>
      <c r="C7" s="24" t="str">
        <f>IF((VLOOKUP($AE$2,$B:$Y,MATCH(C3,$B$3:$Y$3,),))&gt;C6,"above","below")</f>
        <v>below</v>
      </c>
      <c r="D7" s="24" t="e">
        <f t="shared" ref="D7:Y7" si="9">IF((VLOOKUP($AE$2,$B:$Y,MATCH(D3,$B$3:$Y$3,),))&gt;D6,"above","below")</f>
        <v>#DIV/0!</v>
      </c>
      <c r="E7" s="24" t="str">
        <f t="shared" si="9"/>
        <v>below</v>
      </c>
      <c r="F7" s="24" t="str">
        <f t="shared" si="9"/>
        <v>below</v>
      </c>
      <c r="G7" s="24" t="str">
        <f t="shared" si="9"/>
        <v>below</v>
      </c>
      <c r="H7" s="24" t="str">
        <f t="shared" si="9"/>
        <v>below</v>
      </c>
      <c r="I7" s="24" t="str">
        <f t="shared" si="9"/>
        <v>below</v>
      </c>
      <c r="J7" s="24" t="str">
        <f t="shared" si="9"/>
        <v>below</v>
      </c>
      <c r="K7" s="24" t="str">
        <f t="shared" si="9"/>
        <v>below</v>
      </c>
      <c r="L7" s="24" t="str">
        <f t="shared" si="9"/>
        <v>below</v>
      </c>
      <c r="M7" s="24" t="str">
        <f t="shared" si="9"/>
        <v>below</v>
      </c>
      <c r="N7" s="24" t="e">
        <f t="shared" si="9"/>
        <v>#DIV/0!</v>
      </c>
      <c r="O7" s="24" t="e">
        <f t="shared" si="9"/>
        <v>#DIV/0!</v>
      </c>
      <c r="P7" s="24" t="str">
        <f t="shared" si="9"/>
        <v>below</v>
      </c>
      <c r="Q7" s="24" t="e">
        <f t="shared" si="9"/>
        <v>#N/A</v>
      </c>
      <c r="R7" s="24" t="str">
        <f t="shared" si="9"/>
        <v>below</v>
      </c>
      <c r="S7" s="24" t="e">
        <f t="shared" si="9"/>
        <v>#DIV/0!</v>
      </c>
      <c r="T7" s="24" t="e">
        <f t="shared" si="9"/>
        <v>#DIV/0!</v>
      </c>
      <c r="U7" s="24" t="str">
        <f t="shared" si="9"/>
        <v>below</v>
      </c>
      <c r="V7" s="24" t="str">
        <f t="shared" si="9"/>
        <v>below</v>
      </c>
      <c r="W7" s="24" t="str">
        <f t="shared" si="9"/>
        <v>below</v>
      </c>
      <c r="X7" s="24" t="str">
        <f t="shared" si="9"/>
        <v>above</v>
      </c>
      <c r="Y7" s="24" t="str">
        <f t="shared" si="9"/>
        <v>above</v>
      </c>
      <c r="Z7" s="12" t="e">
        <f>IF((VLOOKUP($AE$2,$B:$Z,MATCH(Z3,$B$3:$Z$3,),))&gt;Z6,"above","below")</f>
        <v>#N/A</v>
      </c>
      <c r="AA7" s="12" t="e">
        <f>IF((VLOOKUP($AE$2,$B:$AA,MATCH(AA3,$B$3:$AA$3,),))&gt;AA6,"above","below")</f>
        <v>#N/A</v>
      </c>
      <c r="AB7" s="13"/>
    </row>
    <row r="8" spans="2:34" hidden="1" x14ac:dyDescent="0.2">
      <c r="B8" s="4" t="s">
        <v>936</v>
      </c>
      <c r="C8" s="24" t="e">
        <f t="shared" ref="C8:Y8" si="10">VLOOKUP($AE$2,$B:$Y,MATCH(C3,$B$3:$Y$3,),)-VLOOKUP($AE$4,$B:$Y,MATCH(C3,$B$3:$Y$3,),)</f>
        <v>#N/A</v>
      </c>
      <c r="D8" s="24" t="e">
        <f t="shared" si="10"/>
        <v>#DIV/0!</v>
      </c>
      <c r="E8" s="24" t="e">
        <f t="shared" si="10"/>
        <v>#N/A</v>
      </c>
      <c r="F8" s="24" t="e">
        <f t="shared" si="10"/>
        <v>#N/A</v>
      </c>
      <c r="G8" s="24" t="e">
        <f t="shared" si="10"/>
        <v>#N/A</v>
      </c>
      <c r="H8" s="24" t="e">
        <f t="shared" si="10"/>
        <v>#N/A</v>
      </c>
      <c r="I8" s="24" t="e">
        <f t="shared" si="10"/>
        <v>#N/A</v>
      </c>
      <c r="J8" s="24" t="e">
        <f t="shared" si="10"/>
        <v>#N/A</v>
      </c>
      <c r="K8" s="24" t="e">
        <f t="shared" si="10"/>
        <v>#N/A</v>
      </c>
      <c r="L8" s="24" t="e">
        <f t="shared" si="10"/>
        <v>#N/A</v>
      </c>
      <c r="M8" s="24" t="e">
        <f t="shared" si="10"/>
        <v>#N/A</v>
      </c>
      <c r="N8" s="24" t="e">
        <f t="shared" si="10"/>
        <v>#DIV/0!</v>
      </c>
      <c r="O8" s="24" t="e">
        <f t="shared" si="10"/>
        <v>#DIV/0!</v>
      </c>
      <c r="P8" s="24" t="e">
        <f t="shared" si="10"/>
        <v>#N/A</v>
      </c>
      <c r="Q8" s="24" t="e">
        <f t="shared" si="10"/>
        <v>#N/A</v>
      </c>
      <c r="R8" s="24" t="e">
        <f t="shared" si="10"/>
        <v>#N/A</v>
      </c>
      <c r="S8" s="24" t="e">
        <f t="shared" si="10"/>
        <v>#DIV/0!</v>
      </c>
      <c r="T8" s="24" t="e">
        <f t="shared" si="10"/>
        <v>#DIV/0!</v>
      </c>
      <c r="U8" s="24" t="e">
        <f t="shared" si="10"/>
        <v>#N/A</v>
      </c>
      <c r="V8" s="24" t="e">
        <f t="shared" si="10"/>
        <v>#N/A</v>
      </c>
      <c r="W8" s="24" t="e">
        <f t="shared" si="10"/>
        <v>#N/A</v>
      </c>
      <c r="X8" s="24" t="e">
        <f t="shared" si="10"/>
        <v>#N/A</v>
      </c>
      <c r="Y8" s="24" t="e">
        <f t="shared" si="10"/>
        <v>#N/A</v>
      </c>
      <c r="Z8" s="12" t="e">
        <f>VLOOKUP($AE$2,$B:$Z,MATCH(Z3,$B$3:$Z$3,),)-VLOOKUP($AE$4,$B:$Z,MATCH(Z3,$B$3:$Z$3,),)</f>
        <v>#N/A</v>
      </c>
      <c r="AA8" s="12" t="e">
        <f>VLOOKUP($AE$2,$B:$AA,MATCH(AA3,$B$3:$AA$3,),)-VLOOKUP($AE$4,$B:$AA,MATCH(AA3,$B$3:$AA$3,),)</f>
        <v>#N/A</v>
      </c>
      <c r="AB8" s="13"/>
    </row>
    <row r="9" spans="2:34" hidden="1" x14ac:dyDescent="0.2">
      <c r="B9" s="4" t="s">
        <v>937</v>
      </c>
      <c r="C9" s="24" t="e">
        <f t="shared" ref="C9:Y9" si="11">VLOOKUP($AE$2,$B:$Y,MATCH(C3,$B$3:$Y$3,),)-VLOOKUP($AE$3,$B:$Y,MATCH(C3,$B$3:$Y$3,),)</f>
        <v>#N/A</v>
      </c>
      <c r="D9" s="24" t="e">
        <f t="shared" si="11"/>
        <v>#DIV/0!</v>
      </c>
      <c r="E9" s="24" t="e">
        <f t="shared" si="11"/>
        <v>#N/A</v>
      </c>
      <c r="F9" s="24" t="e">
        <f t="shared" si="11"/>
        <v>#N/A</v>
      </c>
      <c r="G9" s="24" t="e">
        <f t="shared" si="11"/>
        <v>#N/A</v>
      </c>
      <c r="H9" s="24" t="e">
        <f t="shared" si="11"/>
        <v>#N/A</v>
      </c>
      <c r="I9" s="24" t="e">
        <f t="shared" si="11"/>
        <v>#N/A</v>
      </c>
      <c r="J9" s="24" t="e">
        <f t="shared" si="11"/>
        <v>#N/A</v>
      </c>
      <c r="K9" s="24" t="e">
        <f t="shared" si="11"/>
        <v>#N/A</v>
      </c>
      <c r="L9" s="24" t="e">
        <f t="shared" si="11"/>
        <v>#N/A</v>
      </c>
      <c r="M9" s="24" t="e">
        <f t="shared" si="11"/>
        <v>#N/A</v>
      </c>
      <c r="N9" s="24" t="e">
        <f t="shared" si="11"/>
        <v>#DIV/0!</v>
      </c>
      <c r="O9" s="24" t="e">
        <f t="shared" si="11"/>
        <v>#DIV/0!</v>
      </c>
      <c r="P9" s="24" t="e">
        <f t="shared" si="11"/>
        <v>#N/A</v>
      </c>
      <c r="Q9" s="24" t="e">
        <f t="shared" si="11"/>
        <v>#N/A</v>
      </c>
      <c r="R9" s="24" t="e">
        <f t="shared" si="11"/>
        <v>#N/A</v>
      </c>
      <c r="S9" s="24" t="e">
        <f t="shared" si="11"/>
        <v>#DIV/0!</v>
      </c>
      <c r="T9" s="24" t="e">
        <f t="shared" si="11"/>
        <v>#DIV/0!</v>
      </c>
      <c r="U9" s="24" t="e">
        <f t="shared" si="11"/>
        <v>#N/A</v>
      </c>
      <c r="V9" s="24" t="e">
        <f t="shared" si="11"/>
        <v>#N/A</v>
      </c>
      <c r="W9" s="24" t="e">
        <f t="shared" si="11"/>
        <v>#N/A</v>
      </c>
      <c r="X9" s="24" t="e">
        <f t="shared" si="11"/>
        <v>#N/A</v>
      </c>
      <c r="Y9" s="24" t="e">
        <f t="shared" si="11"/>
        <v>#N/A</v>
      </c>
      <c r="Z9" s="12" t="e">
        <f>VLOOKUP($AE$2,$B:$Z,MATCH(Z3,$B$3:$Z$3,),)-VLOOKUP($AE$3,$B:$Z,MATCH(Z3,$B$3:$Z$3,),)</f>
        <v>#N/A</v>
      </c>
      <c r="AA9" s="12" t="e">
        <f>VLOOKUP($AE$2,$B:$AA,MATCH(AA3,$B$3:$AA$3,),)-VLOOKUP($AE$3,$B:$AA,MATCH(AA3,$B$3:$AA$3,),)</f>
        <v>#N/A</v>
      </c>
      <c r="AB9" s="13"/>
    </row>
    <row r="10" spans="2:34" x14ac:dyDescent="0.2">
      <c r="B10" s="22"/>
      <c r="C10" s="24"/>
      <c r="D10" s="24"/>
      <c r="E10" s="24"/>
      <c r="F10" s="24"/>
      <c r="G10" s="24"/>
      <c r="H10" s="24"/>
      <c r="I10" s="24"/>
      <c r="J10" s="24"/>
      <c r="K10" s="24"/>
      <c r="L10" s="24"/>
      <c r="M10" s="24"/>
      <c r="N10" s="24"/>
      <c r="O10" s="24"/>
      <c r="P10" s="24"/>
      <c r="Q10" s="24"/>
      <c r="R10" s="25"/>
      <c r="S10" s="24"/>
      <c r="T10" s="24"/>
      <c r="U10" s="24"/>
      <c r="V10" s="24"/>
      <c r="W10" s="24"/>
      <c r="X10" s="24"/>
      <c r="Y10" s="24"/>
      <c r="Z10" s="14"/>
      <c r="AA10" s="14"/>
      <c r="AB10" s="15"/>
    </row>
    <row r="11" spans="2:34" hidden="1" x14ac:dyDescent="0.2">
      <c r="B11" s="16">
        <v>42064</v>
      </c>
      <c r="C11" s="26">
        <v>55.3</v>
      </c>
      <c r="D11" s="26">
        <v>50.1</v>
      </c>
      <c r="E11" s="26">
        <v>52.2</v>
      </c>
      <c r="F11" s="26">
        <v>50.3</v>
      </c>
      <c r="G11" s="26">
        <v>52.8</v>
      </c>
      <c r="H11" s="26">
        <v>48.8</v>
      </c>
      <c r="I11" s="26">
        <v>54.4</v>
      </c>
      <c r="J11" s="26">
        <v>53.3</v>
      </c>
      <c r="K11" s="26">
        <v>54.3</v>
      </c>
      <c r="L11" s="26">
        <v>9.9999999999994316E-2</v>
      </c>
      <c r="M11" s="26">
        <v>53.8</v>
      </c>
      <c r="N11" s="26">
        <v>48.1</v>
      </c>
      <c r="O11" s="26">
        <v>52.1</v>
      </c>
      <c r="P11" s="26">
        <v>48.9</v>
      </c>
      <c r="Q11" s="26">
        <v>46.3</v>
      </c>
      <c r="R11" s="26">
        <v>46.4</v>
      </c>
      <c r="S11" s="26">
        <v>49.2</v>
      </c>
      <c r="T11" s="26">
        <v>51</v>
      </c>
      <c r="U11" s="26">
        <v>48.9</v>
      </c>
      <c r="V11" s="26">
        <v>56.8</v>
      </c>
      <c r="W11" s="26">
        <v>48</v>
      </c>
      <c r="X11" s="26">
        <v>56.1</v>
      </c>
      <c r="Y11" s="26">
        <v>54.8</v>
      </c>
      <c r="Z11" s="17">
        <v>-0.30000000000000426</v>
      </c>
      <c r="AA11" s="17" t="e">
        <v>#REF!</v>
      </c>
      <c r="AB11" s="18"/>
    </row>
    <row r="12" spans="2:34" hidden="1" x14ac:dyDescent="0.2">
      <c r="B12" s="16">
        <v>42095</v>
      </c>
      <c r="C12" s="26">
        <v>54.1</v>
      </c>
      <c r="D12" s="26">
        <v>50.1</v>
      </c>
      <c r="E12" s="26">
        <v>52</v>
      </c>
      <c r="F12" s="26">
        <v>49.9</v>
      </c>
      <c r="G12" s="26">
        <v>52.1</v>
      </c>
      <c r="H12" s="26">
        <v>48</v>
      </c>
      <c r="I12" s="26">
        <v>51.9</v>
      </c>
      <c r="J12" s="26">
        <v>53.8</v>
      </c>
      <c r="K12" s="26">
        <v>54.2</v>
      </c>
      <c r="L12" s="26">
        <v>-9.9999999999994316E-2</v>
      </c>
      <c r="M12" s="26">
        <v>53.8</v>
      </c>
      <c r="N12" s="26">
        <v>48.9</v>
      </c>
      <c r="O12" s="26">
        <v>51.3</v>
      </c>
      <c r="P12" s="26">
        <v>49</v>
      </c>
      <c r="Q12" s="26">
        <v>48</v>
      </c>
      <c r="R12" s="26">
        <v>46.7</v>
      </c>
      <c r="S12" s="26">
        <v>48.8</v>
      </c>
      <c r="T12" s="26">
        <v>49.2</v>
      </c>
      <c r="U12" s="26">
        <v>46.5</v>
      </c>
      <c r="V12" s="26">
        <v>55.8</v>
      </c>
      <c r="W12" s="26">
        <v>48.5</v>
      </c>
      <c r="X12" s="26">
        <v>54.7</v>
      </c>
      <c r="Y12" s="26">
        <v>54</v>
      </c>
      <c r="Z12" s="17">
        <v>-0.79999999999999716</v>
      </c>
      <c r="AA12" s="17" t="e">
        <v>#REF!</v>
      </c>
      <c r="AB12" s="18"/>
    </row>
    <row r="13" spans="2:34" hidden="1" x14ac:dyDescent="0.2">
      <c r="B13" s="16">
        <v>42125</v>
      </c>
      <c r="C13" s="26">
        <v>53.8</v>
      </c>
      <c r="D13" s="26">
        <v>50.2</v>
      </c>
      <c r="E13" s="26">
        <v>52.2</v>
      </c>
      <c r="F13" s="26">
        <v>50.9</v>
      </c>
      <c r="G13" s="26">
        <v>51.1</v>
      </c>
      <c r="H13" s="26">
        <v>49.4</v>
      </c>
      <c r="I13" s="26">
        <v>52.2</v>
      </c>
      <c r="J13" s="26">
        <v>54.8</v>
      </c>
      <c r="K13" s="26">
        <v>55.8</v>
      </c>
      <c r="L13" s="26">
        <v>1.5999999999999943</v>
      </c>
      <c r="M13" s="26">
        <v>53.3</v>
      </c>
      <c r="N13" s="26">
        <v>47.6</v>
      </c>
      <c r="O13" s="26">
        <v>52.6</v>
      </c>
      <c r="P13" s="26">
        <v>49.8</v>
      </c>
      <c r="Q13" s="26">
        <v>52.29</v>
      </c>
      <c r="R13" s="26">
        <v>47.1</v>
      </c>
      <c r="S13" s="26">
        <v>47.8</v>
      </c>
      <c r="T13" s="26">
        <v>49.3</v>
      </c>
      <c r="U13" s="26">
        <v>48</v>
      </c>
      <c r="V13" s="26">
        <v>57.1</v>
      </c>
      <c r="W13" s="26">
        <v>50.2</v>
      </c>
      <c r="X13" s="26">
        <v>55.5</v>
      </c>
      <c r="Y13" s="26">
        <v>52.4</v>
      </c>
      <c r="Z13" s="17">
        <v>-1.6000000000000014</v>
      </c>
      <c r="AA13" s="17" t="e">
        <v>#REF!</v>
      </c>
      <c r="AB13" s="18"/>
    </row>
    <row r="14" spans="2:34" hidden="1" x14ac:dyDescent="0.2">
      <c r="B14" s="16">
        <v>42156</v>
      </c>
      <c r="C14" s="26">
        <v>53.6</v>
      </c>
      <c r="D14" s="26">
        <v>50.2</v>
      </c>
      <c r="E14" s="26">
        <v>52.5</v>
      </c>
      <c r="F14" s="26">
        <v>50.1</v>
      </c>
      <c r="G14" s="26">
        <v>51.9</v>
      </c>
      <c r="H14" s="26">
        <v>50.7</v>
      </c>
      <c r="I14" s="26">
        <v>51.9</v>
      </c>
      <c r="J14" s="26">
        <v>54.1</v>
      </c>
      <c r="K14" s="26">
        <v>54.5</v>
      </c>
      <c r="L14" s="26">
        <v>-1.2999999999999972</v>
      </c>
      <c r="M14" s="26">
        <v>52</v>
      </c>
      <c r="N14" s="26">
        <v>48.7</v>
      </c>
      <c r="O14" s="26">
        <v>51.3</v>
      </c>
      <c r="P14" s="26">
        <v>51.3</v>
      </c>
      <c r="Q14" s="26">
        <v>44.2</v>
      </c>
      <c r="R14" s="26">
        <v>47.8</v>
      </c>
      <c r="S14" s="26">
        <v>46.1</v>
      </c>
      <c r="T14" s="26">
        <v>46.3</v>
      </c>
      <c r="U14" s="26">
        <v>46.9</v>
      </c>
      <c r="V14" s="26">
        <v>54.6</v>
      </c>
      <c r="W14" s="26">
        <v>49</v>
      </c>
      <c r="X14" s="26">
        <v>56.9</v>
      </c>
      <c r="Y14" s="26">
        <v>54.3</v>
      </c>
      <c r="Z14" s="17">
        <v>1.8999999999999986</v>
      </c>
      <c r="AA14" s="17" t="e">
        <v>#REF!</v>
      </c>
      <c r="AB14" s="18"/>
    </row>
    <row r="15" spans="2:34" hidden="1" x14ac:dyDescent="0.2">
      <c r="B15" s="16">
        <v>42186</v>
      </c>
      <c r="C15" s="26">
        <v>53.8</v>
      </c>
      <c r="D15" s="26">
        <v>50</v>
      </c>
      <c r="E15" s="26">
        <v>52.4</v>
      </c>
      <c r="F15" s="26">
        <v>51.2</v>
      </c>
      <c r="G15" s="26">
        <v>51.8</v>
      </c>
      <c r="H15" s="26">
        <v>49.6</v>
      </c>
      <c r="I15" s="26">
        <v>52.5</v>
      </c>
      <c r="J15" s="26">
        <v>55.3</v>
      </c>
      <c r="K15" s="26">
        <v>53.6</v>
      </c>
      <c r="L15" s="26">
        <v>-0.89999999999999858</v>
      </c>
      <c r="M15" s="26">
        <v>52.9</v>
      </c>
      <c r="N15" s="26">
        <v>48.3</v>
      </c>
      <c r="O15" s="26">
        <v>52.7</v>
      </c>
      <c r="P15" s="26">
        <v>50.8</v>
      </c>
      <c r="Q15" s="26">
        <v>50.4</v>
      </c>
      <c r="R15" s="26">
        <v>47.3</v>
      </c>
      <c r="S15" s="26">
        <v>47.6</v>
      </c>
      <c r="T15" s="26">
        <v>47.1</v>
      </c>
      <c r="U15" s="26">
        <v>30.2</v>
      </c>
      <c r="V15" s="26">
        <v>56.7</v>
      </c>
      <c r="W15" s="26">
        <v>50.1</v>
      </c>
      <c r="X15" s="26">
        <v>57.5</v>
      </c>
      <c r="Y15" s="26">
        <v>54.5</v>
      </c>
      <c r="Z15" s="17">
        <v>0.20000000000000284</v>
      </c>
      <c r="AA15" s="17" t="e">
        <v>#REF!</v>
      </c>
      <c r="AB15" s="18"/>
    </row>
    <row r="16" spans="2:34" hidden="1" x14ac:dyDescent="0.2">
      <c r="B16" s="16">
        <v>42217</v>
      </c>
      <c r="C16" s="26">
        <v>53</v>
      </c>
      <c r="D16" s="26">
        <v>47.3</v>
      </c>
      <c r="E16" s="26">
        <v>52.3</v>
      </c>
      <c r="F16" s="26">
        <v>51.7</v>
      </c>
      <c r="G16" s="26">
        <v>53.3</v>
      </c>
      <c r="H16" s="26">
        <v>48.3</v>
      </c>
      <c r="I16" s="26">
        <v>51.6</v>
      </c>
      <c r="J16" s="26">
        <v>53.8</v>
      </c>
      <c r="K16" s="26">
        <v>53.2</v>
      </c>
      <c r="L16" s="26">
        <v>-0.39999999999999858</v>
      </c>
      <c r="M16" s="26">
        <v>52.4</v>
      </c>
      <c r="N16" s="26">
        <v>47.9</v>
      </c>
      <c r="O16" s="26">
        <v>52.3</v>
      </c>
      <c r="P16" s="26">
        <v>49.4</v>
      </c>
      <c r="Q16" s="26">
        <v>51.7</v>
      </c>
      <c r="R16" s="26">
        <v>48.4</v>
      </c>
      <c r="S16" s="26">
        <v>47.9</v>
      </c>
      <c r="T16" s="26">
        <v>46.1</v>
      </c>
      <c r="U16" s="26">
        <v>39.1</v>
      </c>
      <c r="V16" s="26">
        <v>53.6</v>
      </c>
      <c r="W16" s="26">
        <v>49.3</v>
      </c>
      <c r="X16" s="26">
        <v>56.6</v>
      </c>
      <c r="Y16" s="26">
        <v>51.1</v>
      </c>
      <c r="Z16" s="17">
        <v>-3.3999999999999986</v>
      </c>
      <c r="AA16" s="17" t="e">
        <v>#REF!</v>
      </c>
      <c r="AB16" s="18"/>
    </row>
    <row r="17" spans="2:28" hidden="1" x14ac:dyDescent="0.2">
      <c r="B17" s="16">
        <v>42248</v>
      </c>
      <c r="C17" s="26">
        <v>53.1</v>
      </c>
      <c r="D17" s="26">
        <v>47.2</v>
      </c>
      <c r="E17" s="26">
        <v>52</v>
      </c>
      <c r="F17" s="26">
        <v>51</v>
      </c>
      <c r="G17" s="26">
        <v>52.3</v>
      </c>
      <c r="H17" s="26">
        <v>50.6</v>
      </c>
      <c r="I17" s="26">
        <v>51.6</v>
      </c>
      <c r="J17" s="26">
        <v>52.7</v>
      </c>
      <c r="K17" s="26">
        <v>51.7</v>
      </c>
      <c r="L17" s="26">
        <v>-1.5</v>
      </c>
      <c r="M17" s="26">
        <v>52.1</v>
      </c>
      <c r="N17" s="26">
        <v>49.1</v>
      </c>
      <c r="O17" s="26">
        <v>51.2</v>
      </c>
      <c r="P17" s="26">
        <v>48.6</v>
      </c>
      <c r="Q17" s="26">
        <v>52.1</v>
      </c>
      <c r="R17" s="26">
        <v>47.4</v>
      </c>
      <c r="S17" s="26">
        <v>49.2</v>
      </c>
      <c r="T17" s="26">
        <v>46.9</v>
      </c>
      <c r="U17" s="26">
        <v>43.3</v>
      </c>
      <c r="V17" s="26">
        <v>53.8</v>
      </c>
      <c r="W17" s="26">
        <v>48.8</v>
      </c>
      <c r="X17" s="26">
        <v>55.5</v>
      </c>
      <c r="Y17" s="26">
        <v>50.9</v>
      </c>
      <c r="Z17" s="17">
        <v>-0.20000000000000284</v>
      </c>
      <c r="AA17" s="17" t="e">
        <v>#REF!</v>
      </c>
      <c r="AB17" s="18"/>
    </row>
    <row r="18" spans="2:28" hidden="1" x14ac:dyDescent="0.2">
      <c r="B18" s="16">
        <v>42278</v>
      </c>
      <c r="C18" s="26">
        <v>54.1</v>
      </c>
      <c r="D18" s="26">
        <v>48.3</v>
      </c>
      <c r="E18" s="26">
        <v>52.3</v>
      </c>
      <c r="F18" s="26">
        <v>52.4</v>
      </c>
      <c r="G18" s="26">
        <v>52.1</v>
      </c>
      <c r="H18" s="26">
        <v>50.6</v>
      </c>
      <c r="I18" s="26">
        <v>54.3</v>
      </c>
      <c r="J18" s="26">
        <v>54.1</v>
      </c>
      <c r="K18" s="26">
        <v>51.3</v>
      </c>
      <c r="L18" s="26">
        <v>-0.40000000000000568</v>
      </c>
      <c r="M18" s="26">
        <v>53</v>
      </c>
      <c r="N18" s="26">
        <v>50.2</v>
      </c>
      <c r="O18" s="26">
        <v>50.7</v>
      </c>
      <c r="P18" s="26">
        <v>48</v>
      </c>
      <c r="Q18" s="26">
        <v>50.2</v>
      </c>
      <c r="R18" s="26">
        <v>47.8</v>
      </c>
      <c r="S18" s="26">
        <v>49.1</v>
      </c>
      <c r="T18" s="26">
        <v>47.8</v>
      </c>
      <c r="U18" s="26">
        <v>47.3</v>
      </c>
      <c r="V18" s="26">
        <v>53.6</v>
      </c>
      <c r="W18" s="26">
        <v>49.5</v>
      </c>
      <c r="X18" s="26">
        <v>54</v>
      </c>
      <c r="Y18" s="26">
        <v>52.2</v>
      </c>
      <c r="Z18" s="17">
        <v>1.3000000000000043</v>
      </c>
      <c r="AA18" s="17" t="e">
        <v>#REF!</v>
      </c>
      <c r="AB18" s="18"/>
    </row>
    <row r="19" spans="2:28" hidden="1" x14ac:dyDescent="0.2">
      <c r="B19" s="16">
        <v>42309</v>
      </c>
      <c r="C19" s="26">
        <v>52.8</v>
      </c>
      <c r="D19" s="26">
        <v>48.6</v>
      </c>
      <c r="E19" s="26">
        <v>52.8</v>
      </c>
      <c r="F19" s="26">
        <v>52.6</v>
      </c>
      <c r="G19" s="26">
        <v>52.9</v>
      </c>
      <c r="H19" s="26">
        <v>50.6</v>
      </c>
      <c r="I19" s="26">
        <v>52.3</v>
      </c>
      <c r="J19" s="26">
        <v>54.9</v>
      </c>
      <c r="K19" s="26">
        <v>53.1</v>
      </c>
      <c r="L19" s="26">
        <v>1.8000000000000043</v>
      </c>
      <c r="M19" s="26">
        <v>53</v>
      </c>
      <c r="N19" s="26">
        <v>50.1</v>
      </c>
      <c r="O19" s="26">
        <v>50.3</v>
      </c>
      <c r="P19" s="26">
        <v>48.6</v>
      </c>
      <c r="Q19" s="26">
        <v>52.5</v>
      </c>
      <c r="R19" s="26">
        <v>46.9</v>
      </c>
      <c r="S19" s="26">
        <v>49.1</v>
      </c>
      <c r="T19" s="26">
        <v>49.5</v>
      </c>
      <c r="U19" s="26">
        <v>48.1</v>
      </c>
      <c r="V19" s="26">
        <v>53.3</v>
      </c>
      <c r="W19" s="26">
        <v>50.9</v>
      </c>
      <c r="X19" s="26">
        <v>54.2</v>
      </c>
      <c r="Y19" s="26">
        <v>52.1</v>
      </c>
      <c r="Z19" s="17">
        <v>-0.10000000000000142</v>
      </c>
      <c r="AA19" s="17" t="e">
        <v>#REF!</v>
      </c>
      <c r="AB19" s="18"/>
    </row>
    <row r="20" spans="2:28" hidden="1" x14ac:dyDescent="0.2">
      <c r="B20" s="16">
        <v>42339</v>
      </c>
      <c r="C20" s="26">
        <v>51.2</v>
      </c>
      <c r="D20" s="26">
        <v>48.2</v>
      </c>
      <c r="E20" s="26">
        <v>53.2</v>
      </c>
      <c r="F20" s="26">
        <v>52.6</v>
      </c>
      <c r="G20" s="26">
        <v>53.2</v>
      </c>
      <c r="H20" s="26">
        <v>51.4</v>
      </c>
      <c r="I20" s="26">
        <v>51</v>
      </c>
      <c r="J20" s="26">
        <v>55.6</v>
      </c>
      <c r="K20" s="26">
        <v>53</v>
      </c>
      <c r="L20" s="26">
        <v>-0.10000000000000142</v>
      </c>
      <c r="M20" s="26">
        <v>52.4</v>
      </c>
      <c r="N20" s="26">
        <v>48.7</v>
      </c>
      <c r="O20" s="26">
        <v>49.1</v>
      </c>
      <c r="P20" s="26">
        <v>47.5</v>
      </c>
      <c r="Q20" s="26">
        <v>51.9</v>
      </c>
      <c r="R20" s="26">
        <v>47.8</v>
      </c>
      <c r="S20" s="26">
        <v>50.7</v>
      </c>
      <c r="T20" s="26">
        <v>51.7</v>
      </c>
      <c r="U20" s="26">
        <v>50.2</v>
      </c>
      <c r="V20" s="26">
        <v>54.2</v>
      </c>
      <c r="W20" s="26">
        <v>52.2</v>
      </c>
      <c r="X20" s="26">
        <v>55.6</v>
      </c>
      <c r="Y20" s="26">
        <v>52.1</v>
      </c>
      <c r="Z20" s="17">
        <v>0</v>
      </c>
      <c r="AA20" s="17" t="e">
        <v>#REF!</v>
      </c>
      <c r="AB20" s="18"/>
    </row>
    <row r="21" spans="2:28" hidden="1" x14ac:dyDescent="0.2">
      <c r="B21" s="16">
        <v>42370</v>
      </c>
      <c r="C21" s="26">
        <v>52.4</v>
      </c>
      <c r="D21" s="26">
        <v>48.4</v>
      </c>
      <c r="E21" s="26">
        <v>52.3</v>
      </c>
      <c r="F21" s="26">
        <v>52.3</v>
      </c>
      <c r="G21" s="26">
        <v>52.3</v>
      </c>
      <c r="H21" s="26">
        <v>50</v>
      </c>
      <c r="I21" s="26">
        <v>52.2</v>
      </c>
      <c r="J21" s="26">
        <v>53.2</v>
      </c>
      <c r="K21" s="26">
        <v>55.4</v>
      </c>
      <c r="L21" s="26">
        <v>2.3999999999999986</v>
      </c>
      <c r="M21" s="26">
        <v>52.2</v>
      </c>
      <c r="N21" s="26">
        <v>49.8</v>
      </c>
      <c r="O21" s="26">
        <v>51.1</v>
      </c>
      <c r="P21" s="26">
        <v>49.3</v>
      </c>
      <c r="Q21" s="26">
        <v>51.5</v>
      </c>
      <c r="R21" s="26">
        <v>48.9</v>
      </c>
      <c r="S21" s="26">
        <v>49.5</v>
      </c>
      <c r="T21" s="26">
        <v>50.6</v>
      </c>
      <c r="U21" s="26">
        <v>50</v>
      </c>
      <c r="V21" s="26">
        <v>54.3</v>
      </c>
      <c r="W21" s="26">
        <v>50.9</v>
      </c>
      <c r="X21" s="26">
        <v>56.9</v>
      </c>
      <c r="Y21" s="26">
        <v>50.9</v>
      </c>
      <c r="Z21" s="17">
        <v>-1.2000000000000028</v>
      </c>
      <c r="AA21" s="17" t="e">
        <v>#REF!</v>
      </c>
      <c r="AB21" s="18"/>
    </row>
    <row r="22" spans="2:28" hidden="1" x14ac:dyDescent="0.2">
      <c r="B22" s="16">
        <v>42401</v>
      </c>
      <c r="C22" s="26">
        <v>51.3</v>
      </c>
      <c r="D22" s="26">
        <v>48</v>
      </c>
      <c r="E22" s="26">
        <v>51.2</v>
      </c>
      <c r="F22" s="26">
        <v>50.1</v>
      </c>
      <c r="G22" s="26">
        <v>50.5</v>
      </c>
      <c r="H22" s="26">
        <v>50.2</v>
      </c>
      <c r="I22" s="26">
        <v>50.8</v>
      </c>
      <c r="J22" s="26">
        <v>52.2</v>
      </c>
      <c r="K22" s="26">
        <v>54.1</v>
      </c>
      <c r="L22" s="26">
        <v>-1.2999999999999972</v>
      </c>
      <c r="M22" s="26">
        <v>53.1</v>
      </c>
      <c r="N22" s="26">
        <v>49.3</v>
      </c>
      <c r="O22" s="26">
        <v>51.1</v>
      </c>
      <c r="P22" s="26">
        <v>49.4</v>
      </c>
      <c r="Q22" s="26">
        <v>53.5</v>
      </c>
      <c r="R22" s="26">
        <v>48.7</v>
      </c>
      <c r="S22" s="26">
        <v>48.7</v>
      </c>
      <c r="T22" s="26">
        <v>49.4</v>
      </c>
      <c r="U22" s="26">
        <v>48.4</v>
      </c>
      <c r="V22" s="26">
        <v>52.9</v>
      </c>
      <c r="W22" s="26">
        <v>50.3</v>
      </c>
      <c r="X22" s="26">
        <v>55.5</v>
      </c>
      <c r="Y22" s="26">
        <v>52.8</v>
      </c>
      <c r="Z22" s="17">
        <v>1.8999999999999986</v>
      </c>
      <c r="AA22" s="17" t="e">
        <v>#REF!</v>
      </c>
      <c r="AB22" s="18"/>
    </row>
    <row r="23" spans="2:28" hidden="1" x14ac:dyDescent="0.2">
      <c r="B23" s="16">
        <v>42430</v>
      </c>
      <c r="C23" s="26">
        <v>51.5</v>
      </c>
      <c r="D23" s="26">
        <v>49.7</v>
      </c>
      <c r="E23" s="26">
        <v>51.6</v>
      </c>
      <c r="F23" s="26">
        <v>49.1</v>
      </c>
      <c r="G23" s="26">
        <v>50.7</v>
      </c>
      <c r="H23" s="26">
        <v>49.6</v>
      </c>
      <c r="I23" s="26">
        <v>51.1</v>
      </c>
      <c r="J23" s="26">
        <v>53.5</v>
      </c>
      <c r="K23" s="26">
        <v>53.4</v>
      </c>
      <c r="L23" s="26">
        <v>-0.70000000000000284</v>
      </c>
      <c r="M23" s="26">
        <v>53.2</v>
      </c>
      <c r="N23" s="26">
        <v>48.3</v>
      </c>
      <c r="O23" s="26">
        <v>52.4</v>
      </c>
      <c r="P23" s="26">
        <v>51.5</v>
      </c>
      <c r="Q23" s="26">
        <v>58.1</v>
      </c>
      <c r="R23" s="26">
        <v>50.6</v>
      </c>
      <c r="S23" s="26">
        <v>49.5</v>
      </c>
      <c r="T23" s="26">
        <v>51.1</v>
      </c>
      <c r="U23" s="26">
        <v>49</v>
      </c>
      <c r="V23" s="26">
        <v>54.9</v>
      </c>
      <c r="W23" s="26">
        <v>49.2</v>
      </c>
      <c r="X23" s="26">
        <v>54.3</v>
      </c>
      <c r="Y23" s="26">
        <v>53.8</v>
      </c>
      <c r="Z23" s="17">
        <v>1</v>
      </c>
      <c r="AA23" s="17" t="e">
        <v>#REF!</v>
      </c>
      <c r="AB23" s="18"/>
    </row>
    <row r="24" spans="2:28" hidden="1" x14ac:dyDescent="0.2">
      <c r="B24" s="16" t="s">
        <v>938</v>
      </c>
      <c r="C24" s="26">
        <v>4.1995779999999998</v>
      </c>
      <c r="D24" s="26">
        <v>8.6999999999999993</v>
      </c>
      <c r="E24" s="26">
        <v>4.2324130000000002</v>
      </c>
      <c r="F24" s="26">
        <v>2.8809610000000001</v>
      </c>
      <c r="G24" s="26">
        <v>3.3996209999999998</v>
      </c>
      <c r="H24" s="26">
        <v>4.4060220000000001</v>
      </c>
      <c r="I24" s="26">
        <v>4.1193669999999996</v>
      </c>
      <c r="J24" s="26">
        <v>3.8785949999999998</v>
      </c>
      <c r="K24" s="26">
        <v>5.5862270000000001</v>
      </c>
      <c r="L24" s="26">
        <v>3.90496</v>
      </c>
      <c r="M24" s="26">
        <v>4.3259990000000004</v>
      </c>
      <c r="N24" s="26">
        <v>0</v>
      </c>
      <c r="O24" s="26">
        <v>2.8809610000000001</v>
      </c>
      <c r="P24" s="26">
        <v>5.5176299999999996</v>
      </c>
      <c r="Q24" s="26">
        <v>3.6450849999999999</v>
      </c>
      <c r="R24" s="26">
        <v>4.2324130000000002</v>
      </c>
      <c r="S24" s="26">
        <v>12.261298</v>
      </c>
      <c r="T24" s="26">
        <v>4.0998109999999999</v>
      </c>
      <c r="U24" s="26">
        <v>3.4110170000000002</v>
      </c>
      <c r="V24" s="26">
        <v>9.4969970000000004</v>
      </c>
      <c r="W24" s="26">
        <v>2.4666250000000001</v>
      </c>
      <c r="X24" s="26">
        <v>3.9981249999999999</v>
      </c>
      <c r="Y24" s="26">
        <v>6.2483300000000002</v>
      </c>
      <c r="Z24" s="19">
        <v>-0.106447</v>
      </c>
      <c r="AA24" s="19" t="e">
        <v>#N/A</v>
      </c>
      <c r="AB24" s="20"/>
    </row>
    <row r="25" spans="2:28" hidden="1" x14ac:dyDescent="0.2">
      <c r="B25" s="16" t="s">
        <v>939</v>
      </c>
      <c r="C25" s="26">
        <v>5.2977379999999998</v>
      </c>
      <c r="D25" s="26">
        <v>9.1</v>
      </c>
      <c r="E25" s="26">
        <v>4.4914529999999999</v>
      </c>
      <c r="F25" s="26">
        <v>2.7253579999999999</v>
      </c>
      <c r="G25" s="26">
        <v>4.2505850000000001</v>
      </c>
      <c r="H25" s="26">
        <v>4.5232340000000004</v>
      </c>
      <c r="I25" s="26">
        <v>4.6909640000000001</v>
      </c>
      <c r="J25" s="26">
        <v>4.1801849999999998</v>
      </c>
      <c r="K25" s="26">
        <v>5.2944789999999999</v>
      </c>
      <c r="L25" s="26">
        <v>5.8519240000000003</v>
      </c>
      <c r="M25" s="26">
        <v>5.3989320000000003</v>
      </c>
      <c r="N25" s="26">
        <v>0</v>
      </c>
      <c r="O25" s="26">
        <v>2.7253579999999999</v>
      </c>
      <c r="P25" s="26">
        <v>5.8831639999999998</v>
      </c>
      <c r="Q25" s="26">
        <v>4.2118260000000003</v>
      </c>
      <c r="R25" s="26">
        <v>4.4914529999999999</v>
      </c>
      <c r="S25" s="26">
        <v>9.0685970000000005</v>
      </c>
      <c r="T25" s="26">
        <v>3.9583930000000001</v>
      </c>
      <c r="U25" s="26">
        <v>3.3193860000000002</v>
      </c>
      <c r="V25" s="26">
        <v>11.227613</v>
      </c>
      <c r="W25" s="26">
        <v>6.7427729999999997</v>
      </c>
      <c r="X25" s="26">
        <v>4.7244390000000003</v>
      </c>
      <c r="Y25" s="26">
        <v>5.0472739999999998</v>
      </c>
      <c r="Z25" s="19">
        <v>-0.590391</v>
      </c>
      <c r="AA25" s="19" t="e">
        <v>#N/A</v>
      </c>
      <c r="AB25" s="20"/>
    </row>
    <row r="26" spans="2:28" hidden="1" x14ac:dyDescent="0.2">
      <c r="B26" s="16" t="s">
        <v>940</v>
      </c>
      <c r="C26" s="26">
        <v>4.0753300000000001</v>
      </c>
      <c r="D26" s="26">
        <v>8.8000000000000007</v>
      </c>
      <c r="E26" s="26">
        <v>3.883931</v>
      </c>
      <c r="F26" s="26">
        <v>2.2281399999999998</v>
      </c>
      <c r="G26" s="26">
        <v>3.0439050000000001</v>
      </c>
      <c r="H26" s="26">
        <v>3.9554960000000001</v>
      </c>
      <c r="I26" s="26">
        <v>3.143977</v>
      </c>
      <c r="J26" s="26">
        <v>3.8664329999999998</v>
      </c>
      <c r="K26" s="26">
        <v>5.1808829999999997</v>
      </c>
      <c r="L26" s="26">
        <v>5.7222770000000001</v>
      </c>
      <c r="M26" s="26">
        <v>5.3687469999999999</v>
      </c>
      <c r="N26" s="26">
        <v>0</v>
      </c>
      <c r="O26" s="26">
        <v>2.2281399999999998</v>
      </c>
      <c r="P26" s="26">
        <v>5.3169579999999996</v>
      </c>
      <c r="Q26" s="26">
        <v>3.2249099999999999</v>
      </c>
      <c r="R26" s="26">
        <v>3.883931</v>
      </c>
      <c r="S26" s="26">
        <v>9.3209389999999992</v>
      </c>
      <c r="T26" s="26">
        <v>4.8172990000000002</v>
      </c>
      <c r="U26" s="26">
        <v>4.7866580000000001</v>
      </c>
      <c r="V26" s="26">
        <v>9.3101400000000005</v>
      </c>
      <c r="W26" s="26">
        <v>8.819801</v>
      </c>
      <c r="X26" s="26">
        <v>5.0505890000000004</v>
      </c>
      <c r="Y26" s="26">
        <v>3.2479360000000002</v>
      </c>
      <c r="Z26" s="19">
        <v>-0.55752500000000005</v>
      </c>
      <c r="AA26" s="19" t="e">
        <v>#N/A</v>
      </c>
      <c r="AB26" s="20"/>
    </row>
    <row r="27" spans="2:28" hidden="1" x14ac:dyDescent="0.2">
      <c r="B27" s="16" t="s">
        <v>941</v>
      </c>
      <c r="C27" s="26">
        <v>2.9734829999999999</v>
      </c>
      <c r="D27" s="26">
        <v>7.5</v>
      </c>
      <c r="E27" s="26">
        <v>3.3767360000000002</v>
      </c>
      <c r="F27" s="26">
        <v>3.1690269999999998</v>
      </c>
      <c r="G27" s="26">
        <v>1.9064129999999999</v>
      </c>
      <c r="H27" s="26">
        <v>3.390469</v>
      </c>
      <c r="I27" s="26">
        <v>1.914482</v>
      </c>
      <c r="J27" s="26">
        <v>4.0276519999999998</v>
      </c>
      <c r="K27" s="26">
        <v>5.1049090000000001</v>
      </c>
      <c r="L27" s="26">
        <v>4.1086919999999996</v>
      </c>
      <c r="M27" s="26">
        <v>3.588419</v>
      </c>
      <c r="N27" s="26">
        <v>0</v>
      </c>
      <c r="O27" s="26">
        <v>3.1690269999999998</v>
      </c>
      <c r="P27" s="26">
        <v>4.0324939999999998</v>
      </c>
      <c r="Q27" s="26">
        <v>1.123658</v>
      </c>
      <c r="R27" s="26">
        <v>3.3767360000000002</v>
      </c>
      <c r="S27" s="26">
        <v>5.3816930000000003</v>
      </c>
      <c r="T27" s="26">
        <v>4.6519240000000002</v>
      </c>
      <c r="U27" s="26">
        <v>4.5826700000000002</v>
      </c>
      <c r="V27" s="26">
        <v>7.9562939999999998</v>
      </c>
      <c r="W27" s="26">
        <v>8.2100849999999994</v>
      </c>
      <c r="X27" s="26">
        <v>4.599431</v>
      </c>
      <c r="Y27" s="26">
        <v>4.2633520000000003</v>
      </c>
      <c r="Z27" s="19">
        <v>-1.893524</v>
      </c>
      <c r="AA27" s="19" t="e">
        <v>#N/A</v>
      </c>
      <c r="AB27" s="20"/>
    </row>
    <row r="28" spans="2:28" hidden="1" x14ac:dyDescent="0.2">
      <c r="B28" s="16" t="s">
        <v>942</v>
      </c>
      <c r="C28" s="26">
        <v>2.3097099999999999</v>
      </c>
      <c r="D28" s="26">
        <v>9.5</v>
      </c>
      <c r="E28" s="26">
        <v>3.126182</v>
      </c>
      <c r="F28" s="26">
        <v>1.7913699999999999</v>
      </c>
      <c r="G28" s="26">
        <v>2.503228</v>
      </c>
      <c r="H28" s="26">
        <v>2.984667</v>
      </c>
      <c r="I28" s="26">
        <v>2.3960880000000002</v>
      </c>
      <c r="J28" s="26">
        <v>3.2088260000000002</v>
      </c>
      <c r="K28" s="26">
        <v>4.487838</v>
      </c>
      <c r="L28" s="26">
        <v>3.097054</v>
      </c>
      <c r="M28" s="26">
        <v>1.8554250000000001</v>
      </c>
      <c r="N28" s="26">
        <v>0</v>
      </c>
      <c r="O28" s="26">
        <v>1.7913699999999999</v>
      </c>
      <c r="P28" s="26">
        <v>2.9340440000000001</v>
      </c>
      <c r="Q28" s="26">
        <v>1.7356370000000001</v>
      </c>
      <c r="R28" s="26">
        <v>3.126182</v>
      </c>
      <c r="S28" s="26">
        <v>4.9658920000000002</v>
      </c>
      <c r="T28" s="26">
        <v>3.248958</v>
      </c>
      <c r="U28" s="26">
        <v>5.5558560000000003</v>
      </c>
      <c r="V28" s="26">
        <v>7.8022489999999998</v>
      </c>
      <c r="W28" s="26">
        <v>2.3726590000000001</v>
      </c>
      <c r="X28" s="26">
        <v>4.1528669999999996</v>
      </c>
      <c r="Y28" s="26">
        <v>3.1873990000000001</v>
      </c>
      <c r="Z28" s="19">
        <v>-1.397726</v>
      </c>
      <c r="AA28" s="19" t="e">
        <v>#N/A</v>
      </c>
      <c r="AB28" s="20"/>
    </row>
    <row r="29" spans="2:28" hidden="1" x14ac:dyDescent="0.2">
      <c r="B29" s="16" t="s">
        <v>943</v>
      </c>
      <c r="C29" s="26">
        <v>1.057242</v>
      </c>
      <c r="D29" s="26">
        <v>8.6</v>
      </c>
      <c r="E29" s="26">
        <v>2.3222100000000001</v>
      </c>
      <c r="F29" s="26">
        <v>1.1038190000000001</v>
      </c>
      <c r="G29" s="26">
        <v>1.6184750000000001</v>
      </c>
      <c r="H29" s="26">
        <v>2.1434069999999998</v>
      </c>
      <c r="I29" s="26">
        <v>2.5747420000000001</v>
      </c>
      <c r="J29" s="26">
        <v>2.238588</v>
      </c>
      <c r="K29" s="26">
        <v>4.0415080000000003</v>
      </c>
      <c r="L29" s="26">
        <v>1.34107</v>
      </c>
      <c r="M29" s="26">
        <v>-0.37563999999999997</v>
      </c>
      <c r="N29" s="26">
        <v>0</v>
      </c>
      <c r="O29" s="26">
        <v>1.1038190000000001</v>
      </c>
      <c r="P29" s="26">
        <v>2.000524</v>
      </c>
      <c r="Q29" s="26">
        <v>1.6655610000000001</v>
      </c>
      <c r="R29" s="26">
        <v>2.3222100000000001</v>
      </c>
      <c r="S29" s="26">
        <v>5.0011159999999997</v>
      </c>
      <c r="T29" s="26">
        <v>2.3303259999999999</v>
      </c>
      <c r="U29" s="26">
        <v>4.2745879999999996</v>
      </c>
      <c r="V29" s="26">
        <v>6.2520629999999997</v>
      </c>
      <c r="W29" s="26">
        <v>-7.5600930000000002</v>
      </c>
      <c r="X29" s="26">
        <v>3.1574430000000002</v>
      </c>
      <c r="Y29" s="26">
        <v>1.5302</v>
      </c>
      <c r="Z29" s="19">
        <v>-0.61697900000000006</v>
      </c>
      <c r="AA29" s="19" t="e">
        <v>#N/A</v>
      </c>
      <c r="AB29" s="20"/>
    </row>
    <row r="30" spans="2:28" hidden="1" x14ac:dyDescent="0.2">
      <c r="B30" s="16" t="s">
        <v>944</v>
      </c>
      <c r="C30" s="26">
        <v>0.50358800000000004</v>
      </c>
      <c r="D30" s="26">
        <v>8</v>
      </c>
      <c r="E30" s="26">
        <v>1.8818550000000001</v>
      </c>
      <c r="F30" s="26">
        <v>-7.2620000000000002E-3</v>
      </c>
      <c r="G30" s="26">
        <v>1.4532970000000001</v>
      </c>
      <c r="H30" s="26">
        <v>1.8659019999999999</v>
      </c>
      <c r="I30" s="26">
        <v>3.0497540000000001</v>
      </c>
      <c r="J30" s="26">
        <v>1.2638739999999999</v>
      </c>
      <c r="K30" s="26">
        <v>3.948617</v>
      </c>
      <c r="L30" s="26">
        <v>1.0852820000000001</v>
      </c>
      <c r="M30" s="26">
        <v>-1.122989</v>
      </c>
      <c r="N30" s="26">
        <v>0</v>
      </c>
      <c r="O30" s="26">
        <v>-7.2620000000000002E-3</v>
      </c>
      <c r="P30" s="26">
        <v>0.908196</v>
      </c>
      <c r="Q30" s="26">
        <v>2.678058</v>
      </c>
      <c r="R30" s="26">
        <v>1.8818550000000001</v>
      </c>
      <c r="S30" s="26">
        <v>3.6063640000000001</v>
      </c>
      <c r="T30" s="26">
        <v>0.53962500000000002</v>
      </c>
      <c r="U30" s="26">
        <v>4.0603239999999996</v>
      </c>
      <c r="V30" s="26">
        <v>3.4702670000000002</v>
      </c>
      <c r="W30" s="26">
        <v>-7.6006520000000002</v>
      </c>
      <c r="X30" s="26">
        <v>2.2075119999999999</v>
      </c>
      <c r="Y30" s="26">
        <v>1.9280060000000001</v>
      </c>
      <c r="Z30" s="19">
        <v>-4.9917470000000002</v>
      </c>
      <c r="AA30" s="19" t="e">
        <v>#N/A</v>
      </c>
      <c r="AB30" s="20"/>
    </row>
    <row r="31" spans="2:28" hidden="1" x14ac:dyDescent="0.2">
      <c r="B31" s="16" t="s">
        <v>945</v>
      </c>
      <c r="C31" s="26">
        <v>0.15348600000000001</v>
      </c>
      <c r="D31" s="26">
        <v>7.5</v>
      </c>
      <c r="E31" s="26">
        <v>1.2792809999999999</v>
      </c>
      <c r="F31" s="26">
        <v>-1.272391</v>
      </c>
      <c r="G31" s="26">
        <v>1.6717630000000001</v>
      </c>
      <c r="H31" s="26">
        <v>1.0774919999999999</v>
      </c>
      <c r="I31" s="26">
        <v>3.3369680000000002</v>
      </c>
      <c r="J31" s="26">
        <v>-0.28076800000000002</v>
      </c>
      <c r="K31" s="26">
        <v>3.542888</v>
      </c>
      <c r="L31" s="26">
        <v>1.4112450000000001</v>
      </c>
      <c r="M31" s="26">
        <v>-0.92366800000000004</v>
      </c>
      <c r="N31" s="26">
        <v>0</v>
      </c>
      <c r="O31" s="26">
        <v>-1.272391</v>
      </c>
      <c r="P31" s="26">
        <v>1.3412729999999999</v>
      </c>
      <c r="Q31" s="26">
        <v>4.3193979999999996</v>
      </c>
      <c r="R31" s="26">
        <v>1.2792809999999999</v>
      </c>
      <c r="S31" s="26">
        <v>5.8522999999999996</v>
      </c>
      <c r="T31" s="26">
        <v>-0.52818900000000002</v>
      </c>
      <c r="U31" s="26">
        <v>2.9209610000000001</v>
      </c>
      <c r="V31" s="26">
        <v>3.885103</v>
      </c>
      <c r="W31" s="26">
        <v>-10.722704999999999</v>
      </c>
      <c r="X31" s="26">
        <v>2.1104750000000001</v>
      </c>
      <c r="Y31" s="26">
        <v>-0.86925600000000003</v>
      </c>
      <c r="Z31" s="19">
        <v>-10.676443000000001</v>
      </c>
      <c r="AA31" s="19" t="e">
        <v>#N/A</v>
      </c>
      <c r="AB31" s="20"/>
    </row>
    <row r="32" spans="2:28" hidden="1" x14ac:dyDescent="0.2">
      <c r="B32" s="16" t="s">
        <v>946</v>
      </c>
      <c r="C32" s="26">
        <v>1.318279</v>
      </c>
      <c r="D32" s="26">
        <v>8.9</v>
      </c>
      <c r="E32" s="26">
        <v>0.56551099999999999</v>
      </c>
      <c r="F32" s="26">
        <v>-1.63435</v>
      </c>
      <c r="G32" s="26">
        <v>-0.85282000000000002</v>
      </c>
      <c r="H32" s="26">
        <v>0.79787399999999997</v>
      </c>
      <c r="I32" s="26">
        <v>2.4746039999999998</v>
      </c>
      <c r="J32" s="26">
        <v>-0.69039300000000003</v>
      </c>
      <c r="K32" s="26">
        <v>3.1030509999999998</v>
      </c>
      <c r="L32" s="26">
        <v>1.637605</v>
      </c>
      <c r="M32" s="26">
        <v>-1.6705460000000001</v>
      </c>
      <c r="N32" s="26">
        <v>0</v>
      </c>
      <c r="O32" s="26">
        <v>-1.63435</v>
      </c>
      <c r="P32" s="26">
        <v>2.314619</v>
      </c>
      <c r="Q32" s="26">
        <v>4.0336429999999996</v>
      </c>
      <c r="R32" s="26">
        <v>0.56551099999999999</v>
      </c>
      <c r="S32" s="26">
        <v>7.2030159999999999</v>
      </c>
      <c r="T32" s="26">
        <v>0.40924500000000003</v>
      </c>
      <c r="U32" s="26">
        <v>2.3847860000000001</v>
      </c>
      <c r="V32" s="26">
        <v>5.5815700000000001</v>
      </c>
      <c r="W32" s="26">
        <v>-1.272068</v>
      </c>
      <c r="X32" s="26">
        <v>1.4138809999999999</v>
      </c>
      <c r="Y32" s="26">
        <v>0.84159099999999998</v>
      </c>
      <c r="Z32" s="19">
        <v>-15.219744</v>
      </c>
      <c r="AA32" s="19" t="e">
        <v>#N/A</v>
      </c>
      <c r="AB32" s="20"/>
    </row>
    <row r="33" spans="2:28" hidden="1" x14ac:dyDescent="0.2">
      <c r="B33" s="16" t="s">
        <v>947</v>
      </c>
      <c r="C33" s="26">
        <v>1.3396110000000001</v>
      </c>
      <c r="D33" s="26">
        <v>8.8000000000000007</v>
      </c>
      <c r="E33" s="26">
        <v>0.93381999999999998</v>
      </c>
      <c r="F33" s="26">
        <v>-0.42051100000000002</v>
      </c>
      <c r="G33" s="26">
        <v>-0.38725700000000002</v>
      </c>
      <c r="H33" s="26">
        <v>1.2173389999999999</v>
      </c>
      <c r="I33" s="26">
        <v>2.3450989999999998</v>
      </c>
      <c r="J33" s="26">
        <v>9.6170000000000005E-3</v>
      </c>
      <c r="K33" s="26">
        <v>3.058989</v>
      </c>
      <c r="L33" s="26">
        <v>2.5750440000000001</v>
      </c>
      <c r="M33" s="26">
        <v>-0.19247900000000001</v>
      </c>
      <c r="N33" s="26">
        <v>0</v>
      </c>
      <c r="O33" s="26">
        <v>-0.42051100000000002</v>
      </c>
      <c r="P33" s="26">
        <v>2.6222029999999998</v>
      </c>
      <c r="Q33" s="26">
        <v>4.9610779999999997</v>
      </c>
      <c r="R33" s="26">
        <v>0.93381999999999998</v>
      </c>
      <c r="S33" s="26">
        <v>7.5019819999999999</v>
      </c>
      <c r="T33" s="26">
        <v>2.2872629999999998</v>
      </c>
      <c r="U33" s="26">
        <v>5.020759</v>
      </c>
      <c r="V33" s="26">
        <v>4.9234359999999997</v>
      </c>
      <c r="W33" s="26">
        <v>8.1580309999999994</v>
      </c>
      <c r="X33" s="26">
        <v>1.256184</v>
      </c>
      <c r="Y33" s="26">
        <v>2.2406100000000002</v>
      </c>
      <c r="Z33" s="19">
        <v>-14.147871</v>
      </c>
      <c r="AA33" s="19" t="e">
        <v>#N/A</v>
      </c>
      <c r="AB33" s="20"/>
    </row>
    <row r="34" spans="2:28" hidden="1" x14ac:dyDescent="0.2">
      <c r="B34" s="16" t="s">
        <v>948</v>
      </c>
      <c r="C34" s="26">
        <v>2.2143660000000001</v>
      </c>
      <c r="D34" s="26">
        <v>9.6</v>
      </c>
      <c r="E34" s="26">
        <v>1.2431680000000001</v>
      </c>
      <c r="F34" s="26">
        <v>0.92801199999999995</v>
      </c>
      <c r="G34" s="26">
        <v>0.32383499999999998</v>
      </c>
      <c r="H34" s="26">
        <v>1.202491</v>
      </c>
      <c r="I34" s="26">
        <v>2.3582230000000002</v>
      </c>
      <c r="J34" s="26">
        <v>0.67187600000000003</v>
      </c>
      <c r="K34" s="26">
        <v>2.6607120000000002</v>
      </c>
      <c r="L34" s="26">
        <v>2.143894</v>
      </c>
      <c r="M34" s="26">
        <v>0.44789099999999998</v>
      </c>
      <c r="N34" s="26">
        <v>0</v>
      </c>
      <c r="O34" s="26">
        <v>0.92801199999999995</v>
      </c>
      <c r="P34" s="26">
        <v>3.5973039999999998</v>
      </c>
      <c r="Q34" s="26">
        <v>4.1277739999999996</v>
      </c>
      <c r="R34" s="26">
        <v>1.2431680000000001</v>
      </c>
      <c r="S34" s="26">
        <v>8.4238599999999995</v>
      </c>
      <c r="T34" s="26">
        <v>4.2944519999999997</v>
      </c>
      <c r="U34" s="26">
        <v>3.966574</v>
      </c>
      <c r="V34" s="26">
        <v>7.0213539999999997</v>
      </c>
      <c r="W34" s="26">
        <v>7.167548</v>
      </c>
      <c r="X34" s="26">
        <v>1.6746259999999999</v>
      </c>
      <c r="Y34" s="26">
        <v>2.6868439999999998</v>
      </c>
      <c r="Z34" s="19">
        <v>-9.8978780000000004</v>
      </c>
      <c r="AA34" s="19" t="e">
        <v>#N/A</v>
      </c>
      <c r="AB34" s="20"/>
    </row>
    <row r="35" spans="2:28" hidden="1" x14ac:dyDescent="0.2">
      <c r="B35" s="16" t="s">
        <v>949</v>
      </c>
      <c r="C35" s="26">
        <v>2.094541</v>
      </c>
      <c r="D35" s="26">
        <v>9.1</v>
      </c>
      <c r="E35" s="26">
        <v>1.1855990000000001</v>
      </c>
      <c r="F35" s="26">
        <v>1.4952350000000001</v>
      </c>
      <c r="G35" s="26">
        <v>0.254079</v>
      </c>
      <c r="H35" s="26">
        <v>1.2216610000000001</v>
      </c>
      <c r="I35" s="26">
        <v>2.818041</v>
      </c>
      <c r="J35" s="26">
        <v>0.99423499999999998</v>
      </c>
      <c r="K35" s="26">
        <v>2.7037079999999998</v>
      </c>
      <c r="L35" s="26">
        <v>1.982853</v>
      </c>
      <c r="M35" s="26">
        <v>1.246953</v>
      </c>
      <c r="N35" s="26">
        <v>0</v>
      </c>
      <c r="O35" s="26">
        <v>1.4952350000000001</v>
      </c>
      <c r="P35" s="26">
        <v>3.5290059999999999</v>
      </c>
      <c r="Q35" s="26">
        <v>3.596765</v>
      </c>
      <c r="R35" s="26">
        <v>1.1855990000000001</v>
      </c>
      <c r="S35" s="26">
        <v>7.7524579999999998</v>
      </c>
      <c r="T35" s="26">
        <v>5.2490680000000003</v>
      </c>
      <c r="U35" s="26">
        <v>4.425548</v>
      </c>
      <c r="V35" s="26">
        <v>6.2367290000000004</v>
      </c>
      <c r="W35" s="26">
        <v>11.898942</v>
      </c>
      <c r="X35" s="26">
        <v>1.928461</v>
      </c>
      <c r="Y35" s="26">
        <v>2.4429069999999999</v>
      </c>
      <c r="Z35" s="19">
        <v>-3.4831759999999998</v>
      </c>
      <c r="AA35" s="19" t="e">
        <v>#N/A</v>
      </c>
      <c r="AB35" s="20"/>
    </row>
    <row r="36" spans="2:28" hidden="1" x14ac:dyDescent="0.2">
      <c r="B36" s="16" t="s">
        <v>950</v>
      </c>
      <c r="C36" s="26">
        <v>1.770926</v>
      </c>
      <c r="D36" s="26">
        <v>11.1</v>
      </c>
      <c r="E36" s="26">
        <v>0.80155100000000001</v>
      </c>
      <c r="F36" s="26">
        <v>1.4066289999999999</v>
      </c>
      <c r="G36" s="26">
        <v>-0.71631900000000004</v>
      </c>
      <c r="H36" s="26">
        <v>1.06375</v>
      </c>
      <c r="I36" s="26">
        <v>3.0046879999999998</v>
      </c>
      <c r="J36" s="26">
        <v>0.78423399999999999</v>
      </c>
      <c r="K36" s="26">
        <v>3.1302370000000002</v>
      </c>
      <c r="L36" s="26">
        <v>3.2447949999999999</v>
      </c>
      <c r="M36" s="26">
        <v>2.1466970000000001</v>
      </c>
      <c r="N36" s="26">
        <v>0</v>
      </c>
      <c r="O36" s="26">
        <v>1.4066289999999999</v>
      </c>
      <c r="P36" s="26">
        <v>2.5729060000000001</v>
      </c>
      <c r="Q36" s="26">
        <v>2.8452850000000001</v>
      </c>
      <c r="R36" s="26">
        <v>0.80155100000000001</v>
      </c>
      <c r="S36" s="26">
        <v>4.2830250000000003</v>
      </c>
      <c r="T36" s="26">
        <v>2.5600390000000002</v>
      </c>
      <c r="U36" s="26">
        <v>5.7556469999999997</v>
      </c>
      <c r="V36" s="26">
        <v>2.2483960000000001</v>
      </c>
      <c r="W36" s="26">
        <v>7.4798530000000003</v>
      </c>
      <c r="X36" s="26">
        <v>2.9391980000000002</v>
      </c>
      <c r="Y36" s="26">
        <v>2.695214</v>
      </c>
      <c r="Z36" s="19">
        <v>5.2742290000000001</v>
      </c>
      <c r="AA36" s="19" t="e">
        <v>#N/A</v>
      </c>
      <c r="AB36" s="20"/>
    </row>
    <row r="37" spans="2:28" hidden="1" x14ac:dyDescent="0.2">
      <c r="B37" s="16" t="s">
        <v>951</v>
      </c>
      <c r="C37" s="26">
        <v>2.0284010000000001</v>
      </c>
      <c r="D37" s="26">
        <v>9.1</v>
      </c>
      <c r="E37" s="26">
        <v>0.34450399999999998</v>
      </c>
      <c r="F37" s="26">
        <v>1.290219</v>
      </c>
      <c r="G37" s="26">
        <v>-1.040594</v>
      </c>
      <c r="H37" s="26">
        <v>0.30944700000000003</v>
      </c>
      <c r="I37" s="26">
        <v>3.2984979999999999</v>
      </c>
      <c r="J37" s="26">
        <v>-1.0651000000000001E-2</v>
      </c>
      <c r="K37" s="26">
        <v>3.0558990000000001</v>
      </c>
      <c r="L37" s="26">
        <v>1.405187</v>
      </c>
      <c r="M37" s="26">
        <v>1.4502280000000001</v>
      </c>
      <c r="N37" s="26">
        <v>0</v>
      </c>
      <c r="O37" s="26">
        <v>1.290219</v>
      </c>
      <c r="P37" s="26">
        <v>1.8388500000000001</v>
      </c>
      <c r="Q37" s="26">
        <v>1.4279520000000001</v>
      </c>
      <c r="R37" s="26">
        <v>0.34450399999999998</v>
      </c>
      <c r="S37" s="26">
        <v>2.3819509999999999</v>
      </c>
      <c r="T37" s="26">
        <v>0.778887</v>
      </c>
      <c r="U37" s="26">
        <v>5.2893829999999999</v>
      </c>
      <c r="V37" s="26">
        <v>2.401961</v>
      </c>
      <c r="W37" s="26">
        <v>3.81663</v>
      </c>
      <c r="X37" s="26">
        <v>3.4698099999999998</v>
      </c>
      <c r="Y37" s="26">
        <v>3.8827159999999998</v>
      </c>
      <c r="Z37" s="19">
        <v>8.1469199999999997</v>
      </c>
      <c r="AA37" s="19" t="e">
        <v>#N/A</v>
      </c>
      <c r="AB37" s="20"/>
    </row>
    <row r="38" spans="2:28" hidden="1" x14ac:dyDescent="0.2">
      <c r="B38" s="16" t="s">
        <v>952</v>
      </c>
      <c r="C38" s="26">
        <v>3.3018070000000002</v>
      </c>
      <c r="D38" s="26">
        <v>10</v>
      </c>
      <c r="E38" s="26">
        <v>0.467777</v>
      </c>
      <c r="F38" s="26">
        <v>1.3656330000000001</v>
      </c>
      <c r="G38" s="26">
        <v>-0.77937100000000004</v>
      </c>
      <c r="H38" s="26">
        <v>0.63553099999999996</v>
      </c>
      <c r="I38" s="26">
        <v>3.5698110000000001</v>
      </c>
      <c r="J38" s="26">
        <v>-0.10541200000000001</v>
      </c>
      <c r="K38" s="26">
        <v>3.1393059999999999</v>
      </c>
      <c r="L38" s="26">
        <v>2.5853109999999999</v>
      </c>
      <c r="M38" s="26">
        <v>0.76738399999999996</v>
      </c>
      <c r="N38" s="26">
        <v>0</v>
      </c>
      <c r="O38" s="26">
        <v>1.3656330000000001</v>
      </c>
      <c r="P38" s="26">
        <v>1.3342130000000001</v>
      </c>
      <c r="Q38" s="26">
        <v>2.6208680000000002</v>
      </c>
      <c r="R38" s="26">
        <v>0.467777</v>
      </c>
      <c r="S38" s="26">
        <v>2.1374409999999999</v>
      </c>
      <c r="T38" s="26">
        <v>0.60254700000000005</v>
      </c>
      <c r="U38" s="26">
        <v>5.3376919999999997</v>
      </c>
      <c r="V38" s="26">
        <v>1.516588</v>
      </c>
      <c r="W38" s="26">
        <v>5.393033</v>
      </c>
      <c r="X38" s="26">
        <v>3.8093080000000001</v>
      </c>
      <c r="Y38" s="26">
        <v>3.752767</v>
      </c>
      <c r="Z38" s="19">
        <v>10.707166000000001</v>
      </c>
      <c r="AA38" s="19" t="e">
        <v>#N/A</v>
      </c>
      <c r="AB38" s="20"/>
    </row>
    <row r="39" spans="2:28" hidden="1" x14ac:dyDescent="0.2">
      <c r="B39" s="16" t="s">
        <v>953</v>
      </c>
      <c r="C39" s="26">
        <v>4.3263629999999997</v>
      </c>
      <c r="D39" s="26">
        <v>10</v>
      </c>
      <c r="E39" s="26">
        <v>1.077259</v>
      </c>
      <c r="F39" s="26">
        <v>2.2140309999999999</v>
      </c>
      <c r="G39" s="26">
        <v>-0.33793400000000001</v>
      </c>
      <c r="H39" s="26">
        <v>1.3683190000000001</v>
      </c>
      <c r="I39" s="26">
        <v>3.478577</v>
      </c>
      <c r="J39" s="26">
        <v>0.29860500000000001</v>
      </c>
      <c r="K39" s="26">
        <v>3.4215249999999999</v>
      </c>
      <c r="L39" s="26">
        <v>2.7508910000000002</v>
      </c>
      <c r="M39" s="26">
        <v>1.511951</v>
      </c>
      <c r="N39" s="26">
        <v>0</v>
      </c>
      <c r="O39" s="26">
        <v>2.2140309999999999</v>
      </c>
      <c r="P39" s="26">
        <v>1.4708479999999999</v>
      </c>
      <c r="Q39" s="26">
        <v>3.780141</v>
      </c>
      <c r="R39" s="26">
        <v>1.077259</v>
      </c>
      <c r="S39" s="26">
        <v>3.8102290000000001</v>
      </c>
      <c r="T39" s="26">
        <v>0.65127999999999997</v>
      </c>
      <c r="U39" s="26">
        <v>6.7776750000000003</v>
      </c>
      <c r="V39" s="26">
        <v>5.969411</v>
      </c>
      <c r="W39" s="26">
        <v>6.8754090000000003</v>
      </c>
      <c r="X39" s="26">
        <v>4.1613790000000002</v>
      </c>
      <c r="Y39" s="26">
        <v>3.9201950000000001</v>
      </c>
      <c r="Z39" s="19">
        <v>11.646839999999999</v>
      </c>
      <c r="AA39" s="19" t="e">
        <v>#N/A</v>
      </c>
      <c r="AB39" s="20"/>
    </row>
    <row r="40" spans="2:28" hidden="1" x14ac:dyDescent="0.2">
      <c r="B40" s="16" t="s">
        <v>954</v>
      </c>
      <c r="C40" s="26">
        <v>4.3045559999999998</v>
      </c>
      <c r="D40" s="26">
        <v>10.6</v>
      </c>
      <c r="E40" s="26">
        <v>1.9147670000000001</v>
      </c>
      <c r="F40" s="26">
        <v>2.9521790000000001</v>
      </c>
      <c r="G40" s="26">
        <v>0.99351400000000001</v>
      </c>
      <c r="H40" s="26">
        <v>2.1285910000000001</v>
      </c>
      <c r="I40" s="26">
        <v>3.3654299999999999</v>
      </c>
      <c r="J40" s="26">
        <v>1.042624</v>
      </c>
      <c r="K40" s="26">
        <v>3.0331169999999998</v>
      </c>
      <c r="L40" s="26">
        <v>3.1110910000000001</v>
      </c>
      <c r="M40" s="26">
        <v>2.5177689999999999</v>
      </c>
      <c r="N40" s="26">
        <v>6.6646510000000001</v>
      </c>
      <c r="O40" s="26">
        <v>2.9521790000000001</v>
      </c>
      <c r="P40" s="26">
        <v>1.646639</v>
      </c>
      <c r="Q40" s="26">
        <v>4.6757239999999998</v>
      </c>
      <c r="R40" s="26">
        <v>1.9147670000000001</v>
      </c>
      <c r="S40" s="26">
        <v>5.9026050000000003</v>
      </c>
      <c r="T40" s="26">
        <v>3.7744740000000001</v>
      </c>
      <c r="U40" s="26">
        <v>6.5445599999999997</v>
      </c>
      <c r="V40" s="26">
        <v>7.4752989999999997</v>
      </c>
      <c r="W40" s="26">
        <v>9.5724070000000001</v>
      </c>
      <c r="X40" s="26">
        <v>4.1725789999999998</v>
      </c>
      <c r="Y40" s="26">
        <v>6.7620120000000004</v>
      </c>
      <c r="Z40" s="19">
        <v>11.221837000000001</v>
      </c>
      <c r="AA40" s="19" t="e">
        <v>#N/A</v>
      </c>
      <c r="AB40" s="20"/>
    </row>
    <row r="41" spans="2:28" hidden="1" x14ac:dyDescent="0.2">
      <c r="B41" s="16" t="s">
        <v>955</v>
      </c>
      <c r="C41" s="26">
        <v>4.2030190000000003</v>
      </c>
      <c r="D41" s="26">
        <v>11.6</v>
      </c>
      <c r="E41" s="26">
        <v>2.4129719999999999</v>
      </c>
      <c r="F41" s="26">
        <v>2.2258149999999999</v>
      </c>
      <c r="G41" s="26">
        <v>1.394163</v>
      </c>
      <c r="H41" s="26">
        <v>3.023441</v>
      </c>
      <c r="I41" s="26">
        <v>2.7884410000000002</v>
      </c>
      <c r="J41" s="26">
        <v>1.722906</v>
      </c>
      <c r="K41" s="26">
        <v>3.1321400000000001</v>
      </c>
      <c r="L41" s="26">
        <v>4.289822</v>
      </c>
      <c r="M41" s="26">
        <v>4.0541869999999998</v>
      </c>
      <c r="N41" s="26">
        <v>7.5209469999999996</v>
      </c>
      <c r="O41" s="26">
        <v>2.2258149999999999</v>
      </c>
      <c r="P41" s="26">
        <v>3.0009860000000002</v>
      </c>
      <c r="Q41" s="26">
        <v>5.1312360000000004</v>
      </c>
      <c r="R41" s="26">
        <v>2.4129719999999999</v>
      </c>
      <c r="S41" s="26">
        <v>6.6743550000000003</v>
      </c>
      <c r="T41" s="26">
        <v>6.2604550000000003</v>
      </c>
      <c r="U41" s="26">
        <v>4.680237</v>
      </c>
      <c r="V41" s="26">
        <v>8.4177739999999996</v>
      </c>
      <c r="W41" s="26">
        <v>11.485958</v>
      </c>
      <c r="X41" s="26">
        <v>4.2952000000000004</v>
      </c>
      <c r="Y41" s="26">
        <v>5.4003170000000003</v>
      </c>
      <c r="Z41" s="19">
        <v>6.5028980000000001</v>
      </c>
      <c r="AA41" s="19" t="e">
        <v>#N/A</v>
      </c>
      <c r="AB41" s="20"/>
    </row>
    <row r="42" spans="2:28" hidden="1" x14ac:dyDescent="0.2">
      <c r="B42" s="16" t="s">
        <v>956</v>
      </c>
      <c r="C42" s="26">
        <v>3.4315950000000002</v>
      </c>
      <c r="D42" s="26">
        <v>9.8000000000000007</v>
      </c>
      <c r="E42" s="26">
        <v>2.1777310000000001</v>
      </c>
      <c r="F42" s="26">
        <v>2.4709750000000001</v>
      </c>
      <c r="G42" s="26">
        <v>0.41033799999999998</v>
      </c>
      <c r="H42" s="26">
        <v>2.6791580000000002</v>
      </c>
      <c r="I42" s="26">
        <v>1.9157169999999999</v>
      </c>
      <c r="J42" s="26">
        <v>1.688601</v>
      </c>
      <c r="K42" s="26">
        <v>3.4609679999999998</v>
      </c>
      <c r="L42" s="26">
        <v>3.787865</v>
      </c>
      <c r="M42" s="26">
        <v>3.9235920000000002</v>
      </c>
      <c r="N42" s="26">
        <v>7.3373549999999996</v>
      </c>
      <c r="O42" s="26">
        <v>2.4709750000000001</v>
      </c>
      <c r="P42" s="26">
        <v>3.8290899999999999</v>
      </c>
      <c r="Q42" s="26">
        <v>4.2403040000000001</v>
      </c>
      <c r="R42" s="26">
        <v>2.1777310000000001</v>
      </c>
      <c r="S42" s="26">
        <v>5.071129</v>
      </c>
      <c r="T42" s="26">
        <v>6.6751139999999998</v>
      </c>
      <c r="U42" s="26">
        <v>5.4205639999999997</v>
      </c>
      <c r="V42" s="26">
        <v>7.1440489999999999</v>
      </c>
      <c r="W42" s="26">
        <v>8.7346609999999991</v>
      </c>
      <c r="X42" s="26">
        <v>4.8511499999999996</v>
      </c>
      <c r="Y42" s="26">
        <v>3.7467450000000002</v>
      </c>
      <c r="Z42" s="19">
        <v>9.2256780000000003</v>
      </c>
      <c r="AA42" s="19" t="e">
        <v>#N/A</v>
      </c>
      <c r="AB42" s="20"/>
    </row>
    <row r="43" spans="2:28" hidden="1" x14ac:dyDescent="0.2">
      <c r="B43" s="16" t="s">
        <v>957</v>
      </c>
      <c r="C43" s="26">
        <v>3.2817949999999998</v>
      </c>
      <c r="D43" s="26">
        <v>8.8000000000000007</v>
      </c>
      <c r="E43" s="26">
        <v>1.8110409999999999</v>
      </c>
      <c r="F43" s="26">
        <v>1.13734</v>
      </c>
      <c r="G43" s="26">
        <v>4.6782999999999998E-2</v>
      </c>
      <c r="H43" s="26">
        <v>2.642236</v>
      </c>
      <c r="I43" s="26">
        <v>1.353818</v>
      </c>
      <c r="J43" s="26">
        <v>1.050799</v>
      </c>
      <c r="K43" s="26">
        <v>3.0396079999999999</v>
      </c>
      <c r="L43" s="26">
        <v>4.0030929999999998</v>
      </c>
      <c r="M43" s="26">
        <v>4.113435</v>
      </c>
      <c r="N43" s="26">
        <v>6.5934980000000003</v>
      </c>
      <c r="O43" s="26">
        <v>1.13734</v>
      </c>
      <c r="P43" s="26">
        <v>3.8634580000000001</v>
      </c>
      <c r="Q43" s="26">
        <v>3.112889</v>
      </c>
      <c r="R43" s="26">
        <v>1.8110409999999999</v>
      </c>
      <c r="S43" s="26">
        <v>3.2345730000000001</v>
      </c>
      <c r="T43" s="26">
        <v>6.3049989999999996</v>
      </c>
      <c r="U43" s="26">
        <v>2.8593950000000001</v>
      </c>
      <c r="V43" s="26">
        <v>4.2709599999999996</v>
      </c>
      <c r="W43" s="26">
        <v>7.78146</v>
      </c>
      <c r="X43" s="26">
        <v>5.69984</v>
      </c>
      <c r="Y43" s="26">
        <v>4.5727019999999996</v>
      </c>
      <c r="Z43" s="19">
        <v>8.7638829999999999</v>
      </c>
      <c r="AA43" s="19" t="e">
        <v>#N/A</v>
      </c>
      <c r="AB43" s="20"/>
    </row>
    <row r="44" spans="2:28" hidden="1" x14ac:dyDescent="0.2">
      <c r="B44" s="16" t="s">
        <v>958</v>
      </c>
      <c r="C44" s="26">
        <v>3.870679</v>
      </c>
      <c r="D44" s="26">
        <v>11.1</v>
      </c>
      <c r="E44" s="26">
        <v>1.3862559999999999</v>
      </c>
      <c r="F44" s="26">
        <v>0.82746299999999995</v>
      </c>
      <c r="G44" s="26">
        <v>0.202014</v>
      </c>
      <c r="H44" s="26">
        <v>2.0059209999999998</v>
      </c>
      <c r="I44" s="26">
        <v>1.7577020000000001</v>
      </c>
      <c r="J44" s="26">
        <v>0.34379799999999999</v>
      </c>
      <c r="K44" s="26">
        <v>3.453446</v>
      </c>
      <c r="L44" s="26">
        <v>2.5426690000000001</v>
      </c>
      <c r="M44" s="26">
        <v>2.9728780000000001</v>
      </c>
      <c r="N44" s="26">
        <v>6.4568700000000003</v>
      </c>
      <c r="O44" s="26">
        <v>0.82746299999999995</v>
      </c>
      <c r="P44" s="26">
        <v>3.4723920000000001</v>
      </c>
      <c r="Q44" s="26">
        <v>2.9235609999999999</v>
      </c>
      <c r="R44" s="26">
        <v>1.3862559999999999</v>
      </c>
      <c r="S44" s="26">
        <v>2.7418439999999999</v>
      </c>
      <c r="T44" s="26">
        <v>4.0967460000000004</v>
      </c>
      <c r="U44" s="26">
        <v>0.33300600000000002</v>
      </c>
      <c r="V44" s="26">
        <v>5.5155310000000002</v>
      </c>
      <c r="W44" s="26">
        <v>9.3262239999999998</v>
      </c>
      <c r="X44" s="26">
        <v>6.2803060000000004</v>
      </c>
      <c r="Y44" s="26">
        <v>2.4853869999999998</v>
      </c>
      <c r="Z44" s="19">
        <v>8.3381150000000002</v>
      </c>
      <c r="AA44" s="19" t="e">
        <v>#N/A</v>
      </c>
      <c r="AB44" s="20"/>
    </row>
    <row r="45" spans="2:28" hidden="1" x14ac:dyDescent="0.2">
      <c r="B45" s="16" t="s">
        <v>959</v>
      </c>
      <c r="C45" s="26">
        <v>3.5608930000000001</v>
      </c>
      <c r="D45" s="26">
        <v>11.1</v>
      </c>
      <c r="E45" s="26">
        <v>1.5441119999999999</v>
      </c>
      <c r="F45" s="26">
        <v>1.5787990000000001</v>
      </c>
      <c r="G45" s="26">
        <v>0.25928200000000001</v>
      </c>
      <c r="H45" s="26">
        <v>1.5247740000000001</v>
      </c>
      <c r="I45" s="26">
        <v>2.4935900000000002</v>
      </c>
      <c r="J45" s="26">
        <v>0.99595699999999998</v>
      </c>
      <c r="K45" s="26">
        <v>3.7032820000000002</v>
      </c>
      <c r="L45" s="26">
        <v>2.8917989999999998</v>
      </c>
      <c r="M45" s="26">
        <v>1.5769059999999999</v>
      </c>
      <c r="N45" s="26">
        <v>6.0339879999999999</v>
      </c>
      <c r="O45" s="26">
        <v>1.5787990000000001</v>
      </c>
      <c r="P45" s="26">
        <v>2.9925920000000001</v>
      </c>
      <c r="Q45" s="26">
        <v>2.5715859999999999</v>
      </c>
      <c r="R45" s="26">
        <v>1.5441119999999999</v>
      </c>
      <c r="S45" s="26">
        <v>4.139494</v>
      </c>
      <c r="T45" s="26">
        <v>4.4387119999999998</v>
      </c>
      <c r="U45" s="26">
        <v>0.59889700000000001</v>
      </c>
      <c r="V45" s="26">
        <v>5.7100309999999999</v>
      </c>
      <c r="W45" s="26">
        <v>7.5106149999999996</v>
      </c>
      <c r="X45" s="26">
        <v>6.9773100000000001</v>
      </c>
      <c r="Y45" s="26">
        <v>1.8473250000000001</v>
      </c>
      <c r="Z45" s="19">
        <v>12.002984</v>
      </c>
      <c r="AA45" s="19" t="e">
        <v>#N/A</v>
      </c>
      <c r="AB45" s="20"/>
    </row>
    <row r="46" spans="2:28" hidden="1" x14ac:dyDescent="0.2">
      <c r="B46" s="16" t="s">
        <v>960</v>
      </c>
      <c r="C46" s="26">
        <v>3.5055000000000001</v>
      </c>
      <c r="D46" s="26">
        <v>10.8</v>
      </c>
      <c r="E46" s="26">
        <v>1.9839819999999999</v>
      </c>
      <c r="F46" s="26">
        <v>1.924207</v>
      </c>
      <c r="G46" s="26">
        <v>1.287261</v>
      </c>
      <c r="H46" s="26">
        <v>1.6681330000000001</v>
      </c>
      <c r="I46" s="26">
        <v>3.522011</v>
      </c>
      <c r="J46" s="26">
        <v>1.5412999999999999</v>
      </c>
      <c r="K46" s="26">
        <v>3.6426050000000001</v>
      </c>
      <c r="L46" s="26">
        <v>2.9815320000000001</v>
      </c>
      <c r="M46" s="26">
        <v>2.6371609999999999</v>
      </c>
      <c r="N46" s="26">
        <v>6.2926840000000004</v>
      </c>
      <c r="O46" s="26">
        <v>1.924207</v>
      </c>
      <c r="P46" s="26">
        <v>3.03485</v>
      </c>
      <c r="Q46" s="26">
        <v>2.907219</v>
      </c>
      <c r="R46" s="26">
        <v>1.9839819999999999</v>
      </c>
      <c r="S46" s="26">
        <v>4.9411509999999996</v>
      </c>
      <c r="T46" s="26">
        <v>2.1163599999999998</v>
      </c>
      <c r="U46" s="26">
        <v>0.62434299999999998</v>
      </c>
      <c r="V46" s="26">
        <v>5.3790360000000002</v>
      </c>
      <c r="W46" s="26">
        <v>8.2308489999999992</v>
      </c>
      <c r="X46" s="26">
        <v>6.7455420000000004</v>
      </c>
      <c r="Y46" s="26">
        <v>4.2616449999999997</v>
      </c>
      <c r="Z46" s="19">
        <v>7.3306789999999999</v>
      </c>
      <c r="AA46" s="19" t="e">
        <v>#N/A</v>
      </c>
      <c r="AB46" s="20"/>
    </row>
    <row r="47" spans="2:28" hidden="1" x14ac:dyDescent="0.2">
      <c r="B47" s="16" t="s">
        <v>961</v>
      </c>
      <c r="C47" s="26">
        <v>3.1261109999999999</v>
      </c>
      <c r="D47" s="26">
        <v>12.4</v>
      </c>
      <c r="E47" s="26">
        <v>2.2088359999999998</v>
      </c>
      <c r="F47" s="26">
        <v>2.3072050000000002</v>
      </c>
      <c r="G47" s="26">
        <v>1.8611059999999999</v>
      </c>
      <c r="H47" s="26">
        <v>1.6571089999999999</v>
      </c>
      <c r="I47" s="26">
        <v>4.8087390000000001</v>
      </c>
      <c r="J47" s="26">
        <v>1.6558949999999999</v>
      </c>
      <c r="K47" s="26">
        <v>4.0859180000000004</v>
      </c>
      <c r="L47" s="26">
        <v>2.8228650000000002</v>
      </c>
      <c r="M47" s="26">
        <v>2.998386</v>
      </c>
      <c r="N47" s="26">
        <v>7.2856949999999996</v>
      </c>
      <c r="O47" s="26">
        <v>2.3072050000000002</v>
      </c>
      <c r="P47" s="26">
        <v>3.3148110000000002</v>
      </c>
      <c r="Q47" s="26">
        <v>3.1064039999999999</v>
      </c>
      <c r="R47" s="26">
        <v>2.2088359999999998</v>
      </c>
      <c r="S47" s="26">
        <v>5.3834030000000004</v>
      </c>
      <c r="T47" s="26">
        <v>2.1743130000000002</v>
      </c>
      <c r="U47" s="26">
        <v>1.464718</v>
      </c>
      <c r="V47" s="26">
        <v>6.3461550000000004</v>
      </c>
      <c r="W47" s="26">
        <v>10.622754</v>
      </c>
      <c r="X47" s="26">
        <v>6.4174699999999998</v>
      </c>
      <c r="Y47" s="26">
        <v>5.0654089999999998</v>
      </c>
      <c r="Z47" s="19">
        <v>7.8819879999999998</v>
      </c>
      <c r="AA47" s="19" t="e">
        <v>#N/A</v>
      </c>
      <c r="AB47" s="20"/>
    </row>
    <row r="48" spans="2:28" hidden="1" x14ac:dyDescent="0.2">
      <c r="B48" s="16" t="s">
        <v>962</v>
      </c>
      <c r="C48" s="26">
        <v>3.3538950000000001</v>
      </c>
      <c r="D48" s="26">
        <v>12.5</v>
      </c>
      <c r="E48" s="26">
        <v>2.9737469999999999</v>
      </c>
      <c r="F48" s="26">
        <v>1.999166</v>
      </c>
      <c r="G48" s="26">
        <v>2.8517960000000002</v>
      </c>
      <c r="H48" s="26">
        <v>2.23475</v>
      </c>
      <c r="I48" s="26">
        <v>4.1010350000000004</v>
      </c>
      <c r="J48" s="26">
        <v>2.2940559999999999</v>
      </c>
      <c r="K48" s="26">
        <v>4.15944</v>
      </c>
      <c r="L48" s="26">
        <v>4.7039739999999997</v>
      </c>
      <c r="M48" s="26">
        <v>4.6436609999999998</v>
      </c>
      <c r="N48" s="26">
        <v>7.4781519999999997</v>
      </c>
      <c r="O48" s="26">
        <v>1.999166</v>
      </c>
      <c r="P48" s="26">
        <v>3.7911839999999999</v>
      </c>
      <c r="Q48" s="26">
        <v>2.6811590000000001</v>
      </c>
      <c r="R48" s="26">
        <v>2.9737469999999999</v>
      </c>
      <c r="S48" s="26">
        <v>6.3416439999999996</v>
      </c>
      <c r="T48" s="26">
        <v>4.2401910000000003</v>
      </c>
      <c r="U48" s="26">
        <v>5.5230399999999999</v>
      </c>
      <c r="V48" s="26">
        <v>5.9672489999999998</v>
      </c>
      <c r="W48" s="26">
        <v>7.020378</v>
      </c>
      <c r="X48" s="26">
        <v>7.0242490000000002</v>
      </c>
      <c r="Y48" s="26">
        <v>5.5609799999999998</v>
      </c>
      <c r="Z48" s="19">
        <v>7.6457930000000003</v>
      </c>
      <c r="AA48" s="19" t="e">
        <v>#N/A</v>
      </c>
      <c r="AB48" s="20"/>
    </row>
    <row r="49" spans="2:28" hidden="1" x14ac:dyDescent="0.2">
      <c r="B49" s="16" t="s">
        <v>963</v>
      </c>
      <c r="C49" s="26">
        <v>3.1194730000000002</v>
      </c>
      <c r="D49" s="26">
        <v>13.7</v>
      </c>
      <c r="E49" s="26">
        <v>3.3353739999999998</v>
      </c>
      <c r="F49" s="26">
        <v>1.584805</v>
      </c>
      <c r="G49" s="26">
        <v>4.0562500000000004</v>
      </c>
      <c r="H49" s="26">
        <v>3.0761150000000002</v>
      </c>
      <c r="I49" s="26">
        <v>3.188545</v>
      </c>
      <c r="J49" s="26">
        <v>1.902101</v>
      </c>
      <c r="K49" s="26">
        <v>4.1852859999999996</v>
      </c>
      <c r="L49" s="26">
        <v>4.8101630000000002</v>
      </c>
      <c r="M49" s="26">
        <v>5.3395789999999996</v>
      </c>
      <c r="N49" s="26">
        <v>7.9045920000000001</v>
      </c>
      <c r="O49" s="26">
        <v>1.584805</v>
      </c>
      <c r="P49" s="26">
        <v>3.1099019999999999</v>
      </c>
      <c r="Q49" s="26">
        <v>2.4883730000000002</v>
      </c>
      <c r="R49" s="26">
        <v>3.3353739999999998</v>
      </c>
      <c r="S49" s="26">
        <v>4.8458730000000001</v>
      </c>
      <c r="T49" s="26">
        <v>2.2548900000000001</v>
      </c>
      <c r="U49" s="26">
        <v>5.5045289999999998</v>
      </c>
      <c r="V49" s="26">
        <v>3.940909</v>
      </c>
      <c r="W49" s="26">
        <v>9.5296470000000006</v>
      </c>
      <c r="X49" s="26">
        <v>7.2569920000000003</v>
      </c>
      <c r="Y49" s="26">
        <v>7.7971579999999996</v>
      </c>
      <c r="Z49" s="19">
        <v>6.5941960000000002</v>
      </c>
      <c r="AA49" s="19" t="e">
        <v>#N/A</v>
      </c>
      <c r="AB49" s="20"/>
    </row>
    <row r="50" spans="2:28" hidden="1" x14ac:dyDescent="0.2">
      <c r="B50" s="16" t="s">
        <v>964</v>
      </c>
      <c r="C50" s="26">
        <v>2.3665020000000001</v>
      </c>
      <c r="D50" s="26">
        <v>12.2</v>
      </c>
      <c r="E50" s="26">
        <v>3.2576700000000001</v>
      </c>
      <c r="F50" s="26">
        <v>0.42698000000000003</v>
      </c>
      <c r="G50" s="26">
        <v>3.9884729999999999</v>
      </c>
      <c r="H50" s="26">
        <v>2.55938</v>
      </c>
      <c r="I50" s="26">
        <v>2.0606819999999999</v>
      </c>
      <c r="J50" s="26">
        <v>1.585588</v>
      </c>
      <c r="K50" s="26">
        <v>4.2255760000000002</v>
      </c>
      <c r="L50" s="26">
        <v>5.1853610000000003</v>
      </c>
      <c r="M50" s="26">
        <v>4.7146610000000004</v>
      </c>
      <c r="N50" s="26">
        <v>8.4707439999999998</v>
      </c>
      <c r="O50" s="26">
        <v>0.42698000000000003</v>
      </c>
      <c r="P50" s="26">
        <v>2.1473949999999999</v>
      </c>
      <c r="Q50" s="26">
        <v>2.8968120000000002</v>
      </c>
      <c r="R50" s="26">
        <v>3.2576700000000001</v>
      </c>
      <c r="S50" s="26">
        <v>5.0641629999999997</v>
      </c>
      <c r="T50" s="26">
        <v>4.5420730000000002</v>
      </c>
      <c r="U50" s="26">
        <v>4.5620890000000003</v>
      </c>
      <c r="V50" s="26">
        <v>6.2803740000000001</v>
      </c>
      <c r="W50" s="26">
        <v>6.5425209999999998</v>
      </c>
      <c r="X50" s="26">
        <v>7.0252879999999998</v>
      </c>
      <c r="Y50" s="26">
        <v>7.5482800000000001</v>
      </c>
      <c r="Z50" s="19">
        <v>8.8288580000000003</v>
      </c>
      <c r="AA50" s="19" t="e">
        <v>#N/A</v>
      </c>
      <c r="AB50" s="20"/>
    </row>
    <row r="51" spans="2:28" hidden="1" x14ac:dyDescent="0.2">
      <c r="B51" s="16" t="s">
        <v>965</v>
      </c>
      <c r="C51" s="26">
        <v>2.5907040000000001</v>
      </c>
      <c r="D51" s="26">
        <v>12.5</v>
      </c>
      <c r="E51" s="26">
        <v>3.784427</v>
      </c>
      <c r="F51" s="26">
        <v>1.556673</v>
      </c>
      <c r="G51" s="26">
        <v>5.0826060000000002</v>
      </c>
      <c r="H51" s="26">
        <v>2.5823209999999999</v>
      </c>
      <c r="I51" s="26">
        <v>0.90881400000000001</v>
      </c>
      <c r="J51" s="26">
        <v>2.6194229999999998</v>
      </c>
      <c r="K51" s="26">
        <v>4.1265080000000003</v>
      </c>
      <c r="L51" s="26">
        <v>5.0955539999999999</v>
      </c>
      <c r="M51" s="26">
        <v>3.305501</v>
      </c>
      <c r="N51" s="26">
        <v>8.2968720000000005</v>
      </c>
      <c r="O51" s="26">
        <v>1.556673</v>
      </c>
      <c r="P51" s="26">
        <v>1.52871</v>
      </c>
      <c r="Q51" s="26">
        <v>3.2018230000000001</v>
      </c>
      <c r="R51" s="26">
        <v>3.784427</v>
      </c>
      <c r="S51" s="26">
        <v>4.8409209999999998</v>
      </c>
      <c r="T51" s="26">
        <v>4.7956159999999999</v>
      </c>
      <c r="U51" s="26">
        <v>6.7174969999999998</v>
      </c>
      <c r="V51" s="26">
        <v>4.1506259999999999</v>
      </c>
      <c r="W51" s="26">
        <v>6.1594110000000004</v>
      </c>
      <c r="X51" s="26">
        <v>6.8275090000000001</v>
      </c>
      <c r="Y51" s="26">
        <v>4.0672090000000001</v>
      </c>
      <c r="Z51" s="19">
        <v>9.07864</v>
      </c>
      <c r="AA51" s="19" t="e">
        <v>#N/A</v>
      </c>
      <c r="AB51" s="20"/>
    </row>
    <row r="52" spans="2:28" hidden="1" x14ac:dyDescent="0.2">
      <c r="B52" s="16" t="s">
        <v>966</v>
      </c>
      <c r="C52" s="26">
        <v>1.4822930000000001</v>
      </c>
      <c r="D52" s="26">
        <v>13.8</v>
      </c>
      <c r="E52" s="26">
        <v>3.6353900000000001</v>
      </c>
      <c r="F52" s="26">
        <v>2.1219199999999998</v>
      </c>
      <c r="G52" s="26">
        <v>4.1335470000000001</v>
      </c>
      <c r="H52" s="26">
        <v>2.5510120000000001</v>
      </c>
      <c r="I52" s="26">
        <v>1.6421349999999999</v>
      </c>
      <c r="J52" s="26">
        <v>2.3846219999999998</v>
      </c>
      <c r="K52" s="26">
        <v>4.0648119999999999</v>
      </c>
      <c r="L52" s="26">
        <v>3.9587119999999998</v>
      </c>
      <c r="M52" s="26">
        <v>2.2360009999999999</v>
      </c>
      <c r="N52" s="26">
        <v>8.1726130000000001</v>
      </c>
      <c r="O52" s="26">
        <v>2.1219199999999998</v>
      </c>
      <c r="P52" s="26">
        <v>1.371658</v>
      </c>
      <c r="Q52" s="26">
        <v>4.4359310000000001</v>
      </c>
      <c r="R52" s="26">
        <v>3.6353900000000001</v>
      </c>
      <c r="S52" s="26">
        <v>4.8267870000000004</v>
      </c>
      <c r="T52" s="26">
        <v>5.1553519999999997</v>
      </c>
      <c r="U52" s="26">
        <v>2.5285359999999999</v>
      </c>
      <c r="V52" s="26">
        <v>7.6926620000000003</v>
      </c>
      <c r="W52" s="26">
        <v>7.6947520000000003</v>
      </c>
      <c r="X52" s="26">
        <v>6.2207340000000002</v>
      </c>
      <c r="Y52" s="26">
        <v>7.1314399999999996</v>
      </c>
      <c r="Z52" s="19">
        <v>8.8540989999999997</v>
      </c>
      <c r="AA52" s="19" t="e">
        <v>#N/A</v>
      </c>
      <c r="AB52" s="20"/>
    </row>
    <row r="53" spans="2:28" hidden="1" x14ac:dyDescent="0.2">
      <c r="B53" s="16" t="s">
        <v>967</v>
      </c>
      <c r="C53" s="26">
        <v>1.82569</v>
      </c>
      <c r="D53" s="26">
        <v>15</v>
      </c>
      <c r="E53" s="26">
        <v>3.1873049999999998</v>
      </c>
      <c r="F53" s="26">
        <v>1.990399</v>
      </c>
      <c r="G53" s="26">
        <v>3.2140149999999998</v>
      </c>
      <c r="H53" s="26">
        <v>2.300135</v>
      </c>
      <c r="I53" s="26">
        <v>2.1479699999999999</v>
      </c>
      <c r="J53" s="26">
        <v>1.6878880000000001</v>
      </c>
      <c r="K53" s="26">
        <v>3.8245200000000001</v>
      </c>
      <c r="L53" s="26">
        <v>3.5224139999999999</v>
      </c>
      <c r="M53" s="26">
        <v>2.0166819999999999</v>
      </c>
      <c r="N53" s="26">
        <v>8.8080049999999996</v>
      </c>
      <c r="O53" s="26">
        <v>1.990399</v>
      </c>
      <c r="P53" s="26">
        <v>2.294972</v>
      </c>
      <c r="Q53" s="26">
        <v>4.8275709999999998</v>
      </c>
      <c r="R53" s="26">
        <v>3.1873049999999998</v>
      </c>
      <c r="S53" s="26">
        <v>5.992076</v>
      </c>
      <c r="T53" s="26">
        <v>6.5385359999999997</v>
      </c>
      <c r="U53" s="26">
        <v>5.2042979999999996</v>
      </c>
      <c r="V53" s="26">
        <v>5.9371859999999996</v>
      </c>
      <c r="W53" s="26">
        <v>3.2159759999999999</v>
      </c>
      <c r="X53" s="26">
        <v>5.227176</v>
      </c>
      <c r="Y53" s="26">
        <v>5.9335779999999998</v>
      </c>
      <c r="Z53" s="19">
        <v>9.8039839999999998</v>
      </c>
      <c r="AA53" s="19" t="e">
        <v>#N/A</v>
      </c>
      <c r="AB53" s="20"/>
    </row>
    <row r="54" spans="2:28" hidden="1" x14ac:dyDescent="0.2">
      <c r="B54" s="16" t="s">
        <v>968</v>
      </c>
      <c r="C54" s="26">
        <v>2.2208130000000001</v>
      </c>
      <c r="D54" s="26">
        <v>14.3</v>
      </c>
      <c r="E54" s="26">
        <v>3.0342530000000001</v>
      </c>
      <c r="F54" s="26">
        <v>1.6546749999999999</v>
      </c>
      <c r="G54" s="26">
        <v>2.956979</v>
      </c>
      <c r="H54" s="26">
        <v>2.673902</v>
      </c>
      <c r="I54" s="26">
        <v>2.9470610000000002</v>
      </c>
      <c r="J54" s="26">
        <v>1.3243180000000001</v>
      </c>
      <c r="K54" s="26">
        <v>3.6433200000000001</v>
      </c>
      <c r="L54" s="26">
        <v>2.9614750000000001</v>
      </c>
      <c r="M54" s="26">
        <v>2.338044</v>
      </c>
      <c r="N54" s="26">
        <v>8.7111920000000005</v>
      </c>
      <c r="O54" s="26">
        <v>1.6546749999999999</v>
      </c>
      <c r="P54" s="26">
        <v>2.43147</v>
      </c>
      <c r="Q54" s="26">
        <v>4.4794770000000002</v>
      </c>
      <c r="R54" s="26">
        <v>3.0342530000000001</v>
      </c>
      <c r="S54" s="26">
        <v>5.421367</v>
      </c>
      <c r="T54" s="26">
        <v>5.9190779999999998</v>
      </c>
      <c r="U54" s="26">
        <v>4.0423090000000004</v>
      </c>
      <c r="V54" s="26">
        <v>1.627737</v>
      </c>
      <c r="W54" s="26">
        <v>3.5383810000000002</v>
      </c>
      <c r="X54" s="26">
        <v>5.5128740000000001</v>
      </c>
      <c r="Y54" s="26">
        <v>5.9674670000000001</v>
      </c>
      <c r="Z54" s="19">
        <v>8.1989520000000002</v>
      </c>
      <c r="AA54" s="19" t="e">
        <v>#N/A</v>
      </c>
      <c r="AB54" s="20"/>
    </row>
    <row r="55" spans="2:28" hidden="1" x14ac:dyDescent="0.2">
      <c r="B55" s="16" t="s">
        <v>969</v>
      </c>
      <c r="C55" s="26">
        <v>1.9734780000000001</v>
      </c>
      <c r="D55" s="26">
        <v>13.9</v>
      </c>
      <c r="E55" s="26">
        <v>2.417875</v>
      </c>
      <c r="F55" s="26">
        <v>0.819469</v>
      </c>
      <c r="G55" s="26">
        <v>2.0607839999999999</v>
      </c>
      <c r="H55" s="26">
        <v>2.1391810000000002</v>
      </c>
      <c r="I55" s="26">
        <v>3.4388459999999998</v>
      </c>
      <c r="J55" s="26">
        <v>-6.1406000000000002E-2</v>
      </c>
      <c r="K55" s="26">
        <v>3.5518420000000002</v>
      </c>
      <c r="L55" s="26">
        <v>3.7025760000000001</v>
      </c>
      <c r="M55" s="26">
        <v>2.52745</v>
      </c>
      <c r="N55" s="26">
        <v>10.092326999999999</v>
      </c>
      <c r="O55" s="26">
        <v>0.819469</v>
      </c>
      <c r="P55" s="26">
        <v>2.1908539999999999</v>
      </c>
      <c r="Q55" s="26">
        <v>3.743941</v>
      </c>
      <c r="R55" s="26">
        <v>2.417875</v>
      </c>
      <c r="S55" s="26">
        <v>6.929754</v>
      </c>
      <c r="T55" s="26">
        <v>6.6271849999999999</v>
      </c>
      <c r="U55" s="26">
        <v>0.99851999999999996</v>
      </c>
      <c r="V55" s="26">
        <v>5.9548949999999996</v>
      </c>
      <c r="W55" s="26">
        <v>5.6440349999999997</v>
      </c>
      <c r="X55" s="26">
        <v>5.4077539999999997</v>
      </c>
      <c r="Y55" s="26">
        <v>8.9165170000000007</v>
      </c>
      <c r="Z55" s="19">
        <v>9.185435</v>
      </c>
      <c r="AA55" s="19" t="e">
        <v>#N/A</v>
      </c>
      <c r="AB55" s="20"/>
    </row>
    <row r="56" spans="2:28" hidden="1" x14ac:dyDescent="0.2">
      <c r="B56" s="16" t="s">
        <v>970</v>
      </c>
      <c r="C56" s="26">
        <v>1.1492370000000001</v>
      </c>
      <c r="D56" s="26">
        <v>11.5</v>
      </c>
      <c r="E56" s="26">
        <v>2.191338</v>
      </c>
      <c r="F56" s="26">
        <v>0.44361699999999998</v>
      </c>
      <c r="G56" s="26">
        <v>2.6762830000000002</v>
      </c>
      <c r="H56" s="26">
        <v>1.7921549999999999</v>
      </c>
      <c r="I56" s="26">
        <v>2.78443</v>
      </c>
      <c r="J56" s="26">
        <v>0.81325400000000003</v>
      </c>
      <c r="K56" s="26">
        <v>2.9708109999999999</v>
      </c>
      <c r="L56" s="26">
        <v>1.44421</v>
      </c>
      <c r="M56" s="26">
        <v>1.4508760000000001</v>
      </c>
      <c r="N56" s="26">
        <v>11.000111</v>
      </c>
      <c r="O56" s="26">
        <v>0.44361699999999998</v>
      </c>
      <c r="P56" s="26">
        <v>1.5923050000000001</v>
      </c>
      <c r="Q56" s="26">
        <v>3.41059</v>
      </c>
      <c r="R56" s="26">
        <v>2.191338</v>
      </c>
      <c r="S56" s="26">
        <v>5.705692</v>
      </c>
      <c r="T56" s="26">
        <v>6.1248209999999998</v>
      </c>
      <c r="U56" s="26">
        <v>2.3509129999999998</v>
      </c>
      <c r="V56" s="26">
        <v>-2.769002</v>
      </c>
      <c r="W56" s="26">
        <v>6.1411730000000002</v>
      </c>
      <c r="X56" s="26">
        <v>3.9249700000000001</v>
      </c>
      <c r="Y56" s="26">
        <v>6.2910500000000003</v>
      </c>
      <c r="Z56" s="19">
        <v>7.6957409999999999</v>
      </c>
      <c r="AA56" s="19" t="e">
        <v>#N/A</v>
      </c>
      <c r="AB56" s="20"/>
    </row>
    <row r="57" spans="2:28" hidden="1" x14ac:dyDescent="0.2">
      <c r="B57" s="16" t="s">
        <v>971</v>
      </c>
      <c r="C57" s="26">
        <v>1.092428</v>
      </c>
      <c r="D57" s="26">
        <v>10.9</v>
      </c>
      <c r="E57" s="26">
        <v>1.2000759999999999</v>
      </c>
      <c r="F57" s="26">
        <v>-0.158799</v>
      </c>
      <c r="G57" s="26">
        <v>1.561016</v>
      </c>
      <c r="H57" s="26">
        <v>0.577484</v>
      </c>
      <c r="I57" s="26">
        <v>1.292743</v>
      </c>
      <c r="J57" s="26">
        <v>-5.3775000000000003E-2</v>
      </c>
      <c r="K57" s="26">
        <v>2.1993109999999998</v>
      </c>
      <c r="L57" s="26">
        <v>0.90334800000000004</v>
      </c>
      <c r="M57" s="26">
        <v>1.604579</v>
      </c>
      <c r="N57" s="26">
        <v>8.9406479999999995</v>
      </c>
      <c r="O57" s="26">
        <v>-0.158799</v>
      </c>
      <c r="P57" s="26">
        <v>0.97276700000000005</v>
      </c>
      <c r="Q57" s="26">
        <v>3.0240390000000001</v>
      </c>
      <c r="R57" s="26">
        <v>1.2000759999999999</v>
      </c>
      <c r="S57" s="26">
        <v>4.2351510000000001</v>
      </c>
      <c r="T57" s="26">
        <v>6.3219539999999999</v>
      </c>
      <c r="U57" s="26">
        <v>-1.1498459999999999</v>
      </c>
      <c r="V57" s="26">
        <v>-3.4503189999999999</v>
      </c>
      <c r="W57" s="26">
        <v>2.3099020000000001</v>
      </c>
      <c r="X57" s="26">
        <v>3.9097550000000001</v>
      </c>
      <c r="Y57" s="26">
        <v>5.4618589999999996</v>
      </c>
      <c r="Z57" s="19">
        <v>6.0741899999999998</v>
      </c>
      <c r="AA57" s="19" t="e">
        <v>#N/A</v>
      </c>
      <c r="AB57" s="20"/>
    </row>
    <row r="58" spans="2:28" hidden="1" x14ac:dyDescent="0.2">
      <c r="B58" s="16" t="s">
        <v>972</v>
      </c>
      <c r="C58" s="26">
        <v>1.877E-3</v>
      </c>
      <c r="D58" s="26">
        <v>9.5</v>
      </c>
      <c r="E58" s="26">
        <v>0.13308600000000001</v>
      </c>
      <c r="F58" s="26">
        <v>-0.90890700000000002</v>
      </c>
      <c r="G58" s="26">
        <v>0.41184500000000002</v>
      </c>
      <c r="H58" s="26">
        <v>-0.10650800000000001</v>
      </c>
      <c r="I58" s="26">
        <v>-1.212086</v>
      </c>
      <c r="J58" s="26">
        <v>-1.412911</v>
      </c>
      <c r="K58" s="26">
        <v>0.61109800000000003</v>
      </c>
      <c r="L58" s="26">
        <v>-8.4640999999999994E-2</v>
      </c>
      <c r="M58" s="26">
        <v>1.255627</v>
      </c>
      <c r="N58" s="26">
        <v>5.001309</v>
      </c>
      <c r="O58" s="26">
        <v>-0.90890700000000002</v>
      </c>
      <c r="P58" s="26">
        <v>1.3935219999999999</v>
      </c>
      <c r="Q58" s="26">
        <v>2.6770149999999999</v>
      </c>
      <c r="R58" s="26">
        <v>0.13308600000000001</v>
      </c>
      <c r="S58" s="26">
        <v>3.9352619999999998</v>
      </c>
      <c r="T58" s="26">
        <v>7.0713999999999997</v>
      </c>
      <c r="U58" s="26">
        <v>-0.60471799999999998</v>
      </c>
      <c r="V58" s="26">
        <v>-1.869426</v>
      </c>
      <c r="W58" s="26">
        <v>0.577399</v>
      </c>
      <c r="X58" s="26">
        <v>2.6495510000000002</v>
      </c>
      <c r="Y58" s="26">
        <v>3.2453050000000001</v>
      </c>
      <c r="Z58" s="19">
        <v>5.3489209999999998</v>
      </c>
      <c r="AA58" s="19" t="e">
        <v>#N/A</v>
      </c>
      <c r="AB58" s="20"/>
    </row>
    <row r="59" spans="2:28" x14ac:dyDescent="0.2">
      <c r="B59" s="16">
        <v>42005</v>
      </c>
      <c r="C59" s="21">
        <f>(VLOOKUP(B59,'Data Core CPI'!$B:$AY,MATCH($C$1,'Data Core CPI'!$B$1:$AY$1,),)-VLOOKUP(EDATE(B59,-12),'Data Core CPI'!$B:$AY,MATCH($C$1,'Data Core CPI'!$B$1:$AY$1,),))/VLOOKUP(EDATE(B59,-12),'Data Core CPI'!$B:$AY,MATCH($C$1,'Data Core CPI'!$B$1:$AY$1,),)</f>
        <v>1.6489068098200371E-2</v>
      </c>
      <c r="D59" s="21" t="e">
        <f>(VLOOKUP(B59,'Data Core CPI'!$B:$AY,MATCH($D$1,'Data Core CPI'!$B$1:$AY$1,),)-VLOOKUP(EDATE(B59,-12),'Data Core CPI'!$B:$AY,MATCH($D$1,'Data Core CPI'!$B$1:$AY$1,),))/VLOOKUP(EDATE(B59,-12),'Data Core CPI'!$B:$AY,MATCH($D$1,'Data Core CPI'!$B$1:$AY$1,),)</f>
        <v>#DIV/0!</v>
      </c>
      <c r="E59" s="21">
        <f>(VLOOKUP($B$59,'Data Core CPI'!$B:$AY,MATCH($E$1,'Data Core CPI'!$B$1:$AY$1,),)-VLOOKUP(EDATE($B$59,-12),'Data Core CPI'!$B:$AY,MATCH($E$1,'Data Core CPI'!$B$1:$AY$1,),))/VLOOKUP(EDATE($B$59,-12),'Data Core CPI'!$B:$AY,MATCH($E$1,'Data Core CPI'!$B$1:$AY$1,),)</f>
        <v>6.3753213367609722E-3</v>
      </c>
      <c r="F59" s="21">
        <f>(VLOOKUP(B59,'Data Core CPI'!$B:$AY,MATCH($F$1,'Data Core CPI'!$B$1:$AY$1,),)-VLOOKUP(EDATE(B59,-12),'Data Core CPI'!$B:$AY,MATCH($F$1,'Data Core CPI'!$B$1:$AY$1,),))/VLOOKUP(EDATE(B59,-12),'Data Core CPI'!$B:$AY,MATCH($F$1,'Data Core CPI'!$B$1:$AY$1,),)</f>
        <v>2.3054810564350731E-2</v>
      </c>
      <c r="G59" s="21">
        <f>(VLOOKUP(B59,'Data Core CPI'!$B:$AY,MATCH($G$1,'Data Core CPI'!$B$1:$AY$1,),)-VLOOKUP(EDATE(B59,-12),'Data Core CPI'!$B:$AY,MATCH($G$1,'Data Core CPI'!$B$1:$AY$1,),))/VLOOKUP(EDATE(B59,-12),'Data Core CPI'!$B:$AY,MATCH($G$1,'Data Core CPI'!$B$1:$AY$1,),)</f>
        <v>1.1606106661854097E-2</v>
      </c>
      <c r="H59" s="21">
        <f>(VLOOKUP(B59,'Data Core CPI'!$B:$AY,MATCH($H$1,'Data Core CPI'!$B$1:$AY$1,),)-VLOOKUP(EDATE(B59,-12),'Data Core CPI'!$B:$AY,MATCH($H$1,'Data Core CPI'!$B$1:$AY$1,),))/VLOOKUP(EDATE(B59,-12),'Data Core CPI'!$B:$AY,MATCH($H$1,'Data Core CPI'!$B$1:$AY$1,),)</f>
        <v>4.5839443783401244E-3</v>
      </c>
      <c r="I59" s="21">
        <f>(VLOOKUP(B59,'Data Core CPI'!$B:$AY,MATCH($I$1,'Data Core CPI'!$B$1:$AY$1,),)-VLOOKUP(EDATE(B59,-12),'Data Core CPI'!$B:$AY,MATCH($I$1,'Data Core CPI'!$B$1:$AY$1,),))/VLOOKUP(EDATE(B59,-12),'Data Core CPI'!$B:$AY,MATCH($I$1,'Data Core CPI'!$B$1:$AY$1,),)</f>
        <v>1.5400410677618069E-2</v>
      </c>
      <c r="J59" s="21">
        <f>(VLOOKUP(B59,'Data Core CPI'!$B:$AY,MATCH($J$1,'Data Core CPI'!$B$1:$AY$1,),)-VLOOKUP(EDATE(B59,-12),'Data Core CPI'!$B:$AY,MATCH($J$1,'Data Core CPI'!$B$1:$AY$1,),))/VLOOKUP(EDATE(B59,-12),'Data Core CPI'!$B:$AY,MATCH($J$1,'Data Core CPI'!$B$1:$AY$1,),)</f>
        <v>4.0780745876835911E-3</v>
      </c>
      <c r="K59" s="21">
        <f>(VLOOKUP(B59,'Data Core CPI'!$B:$AY,MATCH($K$1,'Data Core CPI'!$B$1:$AY$1,),)-VLOOKUP(EDATE(B59,-12),'Data Core CPI'!$B:$AY,MATCH($K$1,'Data Core CPI'!$B$1:$AY$1,),))/VLOOKUP(EDATE(B59,-12),'Data Core CPI'!$B:$AY,MATCH($K$1,'Data Core CPI'!$B$1:$AY$1,),)</f>
        <v>2.4438383046604391E-3</v>
      </c>
      <c r="L59" s="21">
        <f>(VLOOKUP(B59,'Data Core CPI'!$B:$AY,MATCH($L$1,'Data Core CPI'!$B$1:$AY$1,),)-VLOOKUP(EDATE(B59,-12),'Data Core CPI'!$B:$AY,MATCH($L$1,'Data Core CPI'!$B$1:$AY$1,),))/VLOOKUP(EDATE(B59,-12),'Data Core CPI'!$B:$AY,MATCH($L$1,'Data Core CPI'!$B$1:$AY$1,),)</f>
        <v>1.0472283028268485E-3</v>
      </c>
      <c r="M59" s="21">
        <f>(VLOOKUP(B59,'Data Core CPI'!$B:$AY,MATCH($M$1,'Data Core CPI'!$B$1:$AY$1,),)-VLOOKUP(EDATE(B59,-12),'Data Core CPI'!$B:$AY,MATCH($M$1,'Data Core CPI'!$B$1:$AY$1,),))/VLOOKUP(EDATE(B59,-12),'Data Core CPI'!$B:$AY,MATCH($M$1,'Data Core CPI'!$B$1:$AY$1,),)</f>
        <v>2.249411996829434E-2</v>
      </c>
      <c r="N59" s="21" t="e">
        <f>(VLOOKUP(B59,'Data Core CPI'!$B:$AY,MATCH($N$1,'Data Core CPI'!$B$1:$AY$1,),)-VLOOKUP(EDATE(B59,-12),'Data Core CPI'!$B:$AY,MATCH($N$1,'Data Core CPI'!$B$1:$AY$1,),))/VLOOKUP(EDATE(B59,-12),'Data Core CPI'!$B:$AY,MATCH($N$1,'Data Core CPI'!$B$1:$AY$1,),)</f>
        <v>#DIV/0!</v>
      </c>
      <c r="O59" s="21" t="e">
        <f>(VLOOKUP(B59,'Data Core CPI'!$B:$AY,MATCH($O$1,'Data Core CPI'!$B$1:$AY$1,),)-VLOOKUP(EDATE(B59,-12),'Data Core CPI'!$B:$AY,MATCH($O$1,'Data Core CPI'!$B$1:$AY$1,),))/VLOOKUP(EDATE(B59,-12),'Data Core CPI'!$B:$AY,MATCH($O$1,'Data Core CPI'!$B$1:$AY$1,),)</f>
        <v>#DIV/0!</v>
      </c>
      <c r="P59" s="21">
        <f>(VLOOKUP(B59,'Data Core CPI'!$B:$AY,MATCH($P$1,'Data Core CPI'!$B$1:$AY$1,),)-VLOOKUP(EDATE(B59,-12),'Data Core CPI'!$B:$AY,MATCH($P$1,'Data Core CPI'!$B$1:$AY$1,),))/VLOOKUP(EDATE(B59,-12),'Data Core CPI'!$B:$AY,MATCH($P$1,'Data Core CPI'!$B$1:$AY$1,),)</f>
        <v>2.5490562290256237E-2</v>
      </c>
      <c r="Q59" s="21" t="e">
        <f>(VLOOKUP(B59,'Data Core CPI'!$B:$AY,MATCH($Q$1,'Data Core CPI'!$B$1:$AY$1,),)-VLOOKUP(EDATE(B59,-12),'Data Core CPI'!$B:$AY,MATCH($Q$1,'Data Core CPI'!$B$1:$AY$1,),))/VLOOKUP(EDATE(B59,-12),'Data Core CPI'!$B:$AY,MATCH($Q$1,'Data Core CPI'!$B$1:$AY$1,),)</f>
        <v>#N/A</v>
      </c>
      <c r="R59" s="21">
        <f>(VLOOKUP(B59,'Data Core CPI'!$B:$AY,MATCH($R$1,'Data Core CPI'!$B$1:$AY$1,),)-VLOOKUP(EDATE(B59,-12),'Data Core CPI'!$B:$AY,MATCH($R$1,'Data Core CPI'!$B$1:$AY$1,),))/VLOOKUP(EDATE(B59,-12),'Data Core CPI'!$B:$AY,MATCH($R$1,'Data Core CPI'!$B$1:$AY$1,),)</f>
        <v>3.6310960269464059E-3</v>
      </c>
      <c r="S59" s="21" t="e">
        <f>(VLOOKUP(B59,'Data Core CPI'!$B:$AY,MATCH($S$1,'Data Core CPI'!$B$1:$AY$1,),)-VLOOKUP(EDATE(B59,-12),'Data Core CPI'!$B:$AY,MATCH($S$1,'Data Core CPI'!$B$1:$AY$1,),))/VLOOKUP(EDATE(B59,-12),'Data Core CPI'!$B:$AY,MATCH($S$1,'Data Core CPI'!$B$1:$AY$1,),)</f>
        <v>#DIV/0!</v>
      </c>
      <c r="T59" s="21" t="e">
        <f>(VLOOKUP(B59,'Data Core CPI'!$B:$AY,MATCH($T$1,'Data Core CPI'!$B$1:$AY$1,),)-VLOOKUP(EDATE(B59,-12),'Data Core CPI'!$B:$AY,MATCH($T$1,'Data Core CPI'!$B$1:$AY$1,),))/VLOOKUP(EDATE(B59,-12),'Data Core CPI'!$B:$AY,MATCH($T$1,'Data Core CPI'!$B$1:$AY$1,),)</f>
        <v>#DIV/0!</v>
      </c>
      <c r="U59" s="21">
        <f>(VLOOKUP(B59,'Data Core CPI'!$B:$AY,MATCH($U$1,'Data Core CPI'!$B$1:$AY$1,),)-VLOOKUP(EDATE(B59,-12),'Data Core CPI'!$B:$AY,MATCH($U$1,'Data Core CPI'!$B$1:$AY$1,),))/VLOOKUP(EDATE(B59,-12),'Data Core CPI'!$B:$AY,MATCH($U$1,'Data Core CPI'!$B$1:$AY$1,),)</f>
        <v>-1.1980588323129704E-2</v>
      </c>
      <c r="V59" s="21">
        <f>(VLOOKUP(B59,'Data Core CPI'!$B:$AY,MATCH($V$1,'Data Core CPI'!$B$1:$AY$1,),)-VLOOKUP(EDATE(B59,-12),'Data Core CPI'!$B:$AY,MATCH($V$1,'Data Core CPI'!$B$1:$AY$1,),))/VLOOKUP(EDATE(B59,-12),'Data Core CPI'!$B:$AY,MATCH($V$1,'Data Core CPI'!$B$1:$AY$1,),)</f>
        <v>1.1937558051967057E-2</v>
      </c>
      <c r="W59" s="21">
        <f>(VLOOKUP(B59,'Data Core CPI'!$B:$AY,MATCH($W$1,'Data Core CPI'!$B$1:$AY$1,),)-VLOOKUP(EDATE(B59,-12),'Data Core CPI'!$B:$AY,MATCH($W$1,'Data Core CPI'!$B$1:$AY$1,),))/VLOOKUP(EDATE(B59,-12),'Data Core CPI'!$B:$AY,MATCH($W$1,'Data Core CPI'!$B$1:$AY$1,),)</f>
        <v>8.4986426969079917E-2</v>
      </c>
      <c r="X59" s="21">
        <f>(VLOOKUP(B59,'Data Core CPI'!$B:$AY,MATCH($X$1,'Data Core CPI'!$B$1:$AY$1,),)-VLOOKUP(EDATE(B59,-12),'Data Core CPI'!$B:$AY,MATCH($X$1,'Data Core CPI'!$B$1:$AY$1,),))/VLOOKUP(EDATE(B59,-12),'Data Core CPI'!$B:$AY,MATCH($X$1,'Data Core CPI'!$B$1:$AY$1,),)</f>
        <v>1.0183299389002037E-2</v>
      </c>
      <c r="Y59" s="21">
        <f>(VLOOKUP(B59,'Data Core CPI'!$B:$AY,MATCH($Y$1,'Data Core CPI'!$B$1:$AY$1,),)-VLOOKUP(EDATE(B59,-12),'Data Core CPI'!$B:$AY,MATCH($Y$1,'Data Core CPI'!$B$1:$AY$1,),))/VLOOKUP(EDATE(B59,-12),'Data Core CPI'!$B:$AY,MATCH($Y$1,'Data Core CPI'!$B$1:$AY$1,),)</f>
        <v>7.9155811625274686E-3</v>
      </c>
      <c r="Z59" s="21" t="e">
        <f>(VLOOKUP(B59,Data!$B:$AY,MATCH($Z$1,Data!$B$1:$AY$1,),)-VLOOKUP(EDATE(B59,-12),Data!$B:$AY,MATCH($Z$1,Data!$B$1:$AY$1,),))/VLOOKUP(EDATE(B59,-12),Data!$B:$AY,MATCH($Z$1,Data!$B$1:$AY$1,),)</f>
        <v>#N/A</v>
      </c>
      <c r="AA59" s="21" t="e">
        <f>(VLOOKUP(B59,Data!$B:$AY,MATCH($AA$1,Data!$B$1:$AY$1,),)-VLOOKUP(EDATE(B59,-12),Data!$B:$AY,MATCH($AA$1,Data!$B$1:$AY$1,),))/VLOOKUP(EDATE(B59,-12),Data!$B:$AY,MATCH($AA$1,Data!$B$1:$AY$1,),)</f>
        <v>#N/A</v>
      </c>
      <c r="AB59" s="20"/>
    </row>
    <row r="60" spans="2:28" x14ac:dyDescent="0.2">
      <c r="B60" s="16">
        <v>42036</v>
      </c>
      <c r="C60" s="21">
        <f>(VLOOKUP(B60,'Data Core CPI'!$B:$AY,MATCH($C$1,'Data Core CPI'!$B$1:$AY$1,),)-VLOOKUP(EDATE(B60,-12),'Data Core CPI'!$B:$AY,MATCH($C$1,'Data Core CPI'!$B$1:$AY$1,),))/VLOOKUP(EDATE(B60,-12),'Data Core CPI'!$B:$AY,MATCH($C$1,'Data Core CPI'!$B$1:$AY$1,),)</f>
        <v>1.6977727993918577E-2</v>
      </c>
      <c r="D60" s="21" t="e">
        <f>(VLOOKUP(B60,'Data Core CPI'!$B:$AY,MATCH($D$1,'Data Core CPI'!$B$1:$AY$1,),)-VLOOKUP(EDATE(B60,-12),'Data Core CPI'!$B:$AY,MATCH($D$1,'Data Core CPI'!$B$1:$AY$1,),))/VLOOKUP(EDATE(B60,-12),'Data Core CPI'!$B:$AY,MATCH($D$1,'Data Core CPI'!$B$1:$AY$1,),)</f>
        <v>#DIV/0!</v>
      </c>
      <c r="E60" s="21">
        <f>(VLOOKUP(B60,'Data Core CPI'!$B:$AY,MATCH($E$1,'Data Core CPI'!$B$1:$AY$1,),)-VLOOKUP(EDATE(B60,-12),'Data Core CPI'!$B:$AY,MATCH($E$1,'Data Core CPI'!$B$1:$AY$1,),))/VLOOKUP(EDATE(B60,-12),'Data Core CPI'!$B:$AY,MATCH($E$1,'Data Core CPI'!$B$1:$AY$1,),)</f>
        <v>6.857025892948539E-3</v>
      </c>
      <c r="F60" s="21">
        <f>(VLOOKUP(B60,'Data Core CPI'!$B:$AY,MATCH($F$1,'Data Core CPI'!$B$1:$AY$1,),)-VLOOKUP(EDATE(B60,-12),'Data Core CPI'!$B:$AY,MATCH($F$1,'Data Core CPI'!$B$1:$AY$1,),))/VLOOKUP(EDATE(B60,-12),'Data Core CPI'!$B:$AY,MATCH($F$1,'Data Core CPI'!$B$1:$AY$1,),)</f>
        <v>2.2602954754358907E-2</v>
      </c>
      <c r="G60" s="21">
        <f>(VLOOKUP(B60,'Data Core CPI'!$B:$AY,MATCH($G$1,'Data Core CPI'!$B$1:$AY$1,),)-VLOOKUP(EDATE(B60,-12),'Data Core CPI'!$B:$AY,MATCH($G$1,'Data Core CPI'!$B$1:$AY$1,),))/VLOOKUP(EDATE(B60,-12),'Data Core CPI'!$B:$AY,MATCH($G$1,'Data Core CPI'!$B$1:$AY$1,),)</f>
        <v>1.1206808020146803E-2</v>
      </c>
      <c r="H60" s="21">
        <f>(VLOOKUP(B60,'Data Core CPI'!$B:$AY,MATCH($H$1,'Data Core CPI'!$B$1:$AY$1,),)-VLOOKUP(EDATE(B60,-12),'Data Core CPI'!$B:$AY,MATCH($H$1,'Data Core CPI'!$B$1:$AY$1,),))/VLOOKUP(EDATE(B60,-12),'Data Core CPI'!$B:$AY,MATCH($H$1,'Data Core CPI'!$B$1:$AY$1,),)</f>
        <v>3.1599963713733574E-3</v>
      </c>
      <c r="I60" s="21">
        <f>(VLOOKUP(B60,'Data Core CPI'!$B:$AY,MATCH($I$1,'Data Core CPI'!$B$1:$AY$1,),)-VLOOKUP(EDATE(B60,-12),'Data Core CPI'!$B:$AY,MATCH($I$1,'Data Core CPI'!$B$1:$AY$1,),))/VLOOKUP(EDATE(B60,-12),'Data Core CPI'!$B:$AY,MATCH($I$1,'Data Core CPI'!$B$1:$AY$1,),)</f>
        <v>1.4300306435137808E-2</v>
      </c>
      <c r="J60" s="21">
        <f>(VLOOKUP(B60,'Data Core CPI'!$B:$AY,MATCH($J$1,'Data Core CPI'!$B$1:$AY$1,),)-VLOOKUP(EDATE(B60,-12),'Data Core CPI'!$B:$AY,MATCH($J$1,'Data Core CPI'!$B$1:$AY$1,),))/VLOOKUP(EDATE(B60,-12),'Data Core CPI'!$B:$AY,MATCH($J$1,'Data Core CPI'!$B$1:$AY$1,),)</f>
        <v>7.4613466596654939E-3</v>
      </c>
      <c r="K60" s="21">
        <f>(VLOOKUP(B60,'Data Core CPI'!$B:$AY,MATCH($K$1,'Data Core CPI'!$B$1:$AY$1,),)-VLOOKUP(EDATE(B60,-12),'Data Core CPI'!$B:$AY,MATCH($K$1,'Data Core CPI'!$B$1:$AY$1,),))/VLOOKUP(EDATE(B60,-12),'Data Core CPI'!$B:$AY,MATCH($K$1,'Data Core CPI'!$B$1:$AY$1,),)</f>
        <v>1.570432386004707E-3</v>
      </c>
      <c r="L60" s="21">
        <f>(VLOOKUP(B60,'Data Core CPI'!$B:$AY,MATCH($L$1,'Data Core CPI'!$B$1:$AY$1,),)-VLOOKUP(EDATE(B60,-12),'Data Core CPI'!$B:$AY,MATCH($L$1,'Data Core CPI'!$B$1:$AY$1,),))/VLOOKUP(EDATE(B60,-12),'Data Core CPI'!$B:$AY,MATCH($L$1,'Data Core CPI'!$B$1:$AY$1,),)</f>
        <v>2.1191655193540876E-3</v>
      </c>
      <c r="M60" s="21">
        <f>(VLOOKUP(B60,'Data Core CPI'!$B:$AY,MATCH($M$1,'Data Core CPI'!$B$1:$AY$1,),)-VLOOKUP(EDATE(B60,-12),'Data Core CPI'!$B:$AY,MATCH($M$1,'Data Core CPI'!$B$1:$AY$1,),))/VLOOKUP(EDATE(B60,-12),'Data Core CPI'!$B:$AY,MATCH($M$1,'Data Core CPI'!$B$1:$AY$1,),)</f>
        <v>2.3599701655358209E-2</v>
      </c>
      <c r="N60" s="21" t="e">
        <f>(VLOOKUP(B60,'Data Core CPI'!$B:$AY,MATCH($N$1,'Data Core CPI'!$B$1:$AY$1,),)-VLOOKUP(EDATE(B60,-12),'Data Core CPI'!$B:$AY,MATCH($N$1,'Data Core CPI'!$B$1:$AY$1,),))/VLOOKUP(EDATE(B60,-12),'Data Core CPI'!$B:$AY,MATCH($N$1,'Data Core CPI'!$B$1:$AY$1,),)</f>
        <v>#DIV/0!</v>
      </c>
      <c r="O60" s="21" t="e">
        <f>(VLOOKUP(B60,'Data Core CPI'!$B:$AY,MATCH($O$1,'Data Core CPI'!$B$1:$AY$1,),)-VLOOKUP(EDATE(B60,-12),'Data Core CPI'!$B:$AY,MATCH($O$1,'Data Core CPI'!$B$1:$AY$1,),))/VLOOKUP(EDATE(B60,-12),'Data Core CPI'!$B:$AY,MATCH($O$1,'Data Core CPI'!$B$1:$AY$1,),)</f>
        <v>#DIV/0!</v>
      </c>
      <c r="P60" s="21">
        <f>(VLOOKUP(B60,'Data Core CPI'!$B:$AY,MATCH($P$1,'Data Core CPI'!$B$1:$AY$1,),)-VLOOKUP(EDATE(B60,-12),'Data Core CPI'!$B:$AY,MATCH($P$1,'Data Core CPI'!$B$1:$AY$1,),))/VLOOKUP(EDATE(B60,-12),'Data Core CPI'!$B:$AY,MATCH($P$1,'Data Core CPI'!$B$1:$AY$1,),)</f>
        <v>2.5472772050447064E-2</v>
      </c>
      <c r="Q60" s="21" t="e">
        <f>(VLOOKUP(B60,'Data Core CPI'!$B:$AY,MATCH($Q$1,'Data Core CPI'!$B$1:$AY$1,),)-VLOOKUP(EDATE(B60,-12),'Data Core CPI'!$B:$AY,MATCH($Q$1,'Data Core CPI'!$B$1:$AY$1,),))/VLOOKUP(EDATE(B60,-12),'Data Core CPI'!$B:$AY,MATCH($Q$1,'Data Core CPI'!$B$1:$AY$1,),)</f>
        <v>#N/A</v>
      </c>
      <c r="R60" s="21">
        <f>(VLOOKUP(B60,'Data Core CPI'!$B:$AY,MATCH($R$1,'Data Core CPI'!$B$1:$AY$1,),)-VLOOKUP(EDATE(B60,-12),'Data Core CPI'!$B:$AY,MATCH($R$1,'Data Core CPI'!$B$1:$AY$1,),))/VLOOKUP(EDATE(B60,-12),'Data Core CPI'!$B:$AY,MATCH($R$1,'Data Core CPI'!$B$1:$AY$1,),)</f>
        <v>1.2797645233277089E-3</v>
      </c>
      <c r="S60" s="21" t="e">
        <f>(VLOOKUP(B60,'Data Core CPI'!$B:$AY,MATCH($S$1,'Data Core CPI'!$B$1:$AY$1,),)-VLOOKUP(EDATE(B60,-12),'Data Core CPI'!$B:$AY,MATCH($S$1,'Data Core CPI'!$B$1:$AY$1,),))/VLOOKUP(EDATE(B60,-12),'Data Core CPI'!$B:$AY,MATCH($S$1,'Data Core CPI'!$B$1:$AY$1,),)</f>
        <v>#DIV/0!</v>
      </c>
      <c r="T60" s="21" t="e">
        <f>(VLOOKUP(B60,'Data Core CPI'!$B:$AY,MATCH($T$1,'Data Core CPI'!$B$1:$AY$1,),)-VLOOKUP(EDATE(B60,-12),'Data Core CPI'!$B:$AY,MATCH($T$1,'Data Core CPI'!$B$1:$AY$1,),))/VLOOKUP(EDATE(B60,-12),'Data Core CPI'!$B:$AY,MATCH($T$1,'Data Core CPI'!$B$1:$AY$1,),)</f>
        <v>#DIV/0!</v>
      </c>
      <c r="U60" s="21">
        <f>(VLOOKUP(B60,'Data Core CPI'!$B:$AY,MATCH($U$1,'Data Core CPI'!$B$1:$AY$1,),)-VLOOKUP(EDATE(B60,-12),'Data Core CPI'!$B:$AY,MATCH($U$1,'Data Core CPI'!$B$1:$AY$1,),))/VLOOKUP(EDATE(B60,-12),'Data Core CPI'!$B:$AY,MATCH($U$1,'Data Core CPI'!$B$1:$AY$1,),)</f>
        <v>-9.9976174163213232E-3</v>
      </c>
      <c r="V60" s="21">
        <f>(VLOOKUP(B60,'Data Core CPI'!$B:$AY,MATCH($V$1,'Data Core CPI'!$B$1:$AY$1,),)-VLOOKUP(EDATE(B60,-12),'Data Core CPI'!$B:$AY,MATCH($V$1,'Data Core CPI'!$B$1:$AY$1,),))/VLOOKUP(EDATE(B60,-12),'Data Core CPI'!$B:$AY,MATCH($V$1,'Data Core CPI'!$B$1:$AY$1,),)</f>
        <v>1.3274021936301868E-2</v>
      </c>
      <c r="W60" s="21">
        <f>(VLOOKUP(B60,'Data Core CPI'!$B:$AY,MATCH($W$1,'Data Core CPI'!$B$1:$AY$1,),)-VLOOKUP(EDATE(B60,-12),'Data Core CPI'!$B:$AY,MATCH($W$1,'Data Core CPI'!$B$1:$AY$1,),))/VLOOKUP(EDATE(B60,-12),'Data Core CPI'!$B:$AY,MATCH($W$1,'Data Core CPI'!$B$1:$AY$1,),)</f>
        <v>7.6930185944231788E-2</v>
      </c>
      <c r="X60" s="21">
        <f>(VLOOKUP(B60,'Data Core CPI'!$B:$AY,MATCH($X$1,'Data Core CPI'!$B$1:$AY$1,),)-VLOOKUP(EDATE(B60,-12),'Data Core CPI'!$B:$AY,MATCH($X$1,'Data Core CPI'!$B$1:$AY$1,),))/VLOOKUP(EDATE(B60,-12),'Data Core CPI'!$B:$AY,MATCH($X$1,'Data Core CPI'!$B$1:$AY$1,),)</f>
        <v>1.1178861788617827E-2</v>
      </c>
      <c r="Y60" s="21">
        <f>(VLOOKUP(B60,'Data Core CPI'!$B:$AY,MATCH($Y$1,'Data Core CPI'!$B$1:$AY$1,),)-VLOOKUP(EDATE(B60,-12),'Data Core CPI'!$B:$AY,MATCH($Y$1,'Data Core CPI'!$B$1:$AY$1,),))/VLOOKUP(EDATE(B60,-12),'Data Core CPI'!$B:$AY,MATCH($Y$1,'Data Core CPI'!$B$1:$AY$1,),)</f>
        <v>6.1458090857633109E-3</v>
      </c>
      <c r="Z60" s="21" t="e">
        <f>(VLOOKUP(B60,Data!$B:$AY,MATCH($Z$1,Data!$B$1:$AY$1,),)-VLOOKUP(EDATE(B60,-12),Data!$B:$AY,MATCH($Z$1,Data!$B$1:$AY$1,),))/VLOOKUP(EDATE(B60,-12),Data!$B:$AY,MATCH($Z$1,Data!$B$1:$AY$1,),)</f>
        <v>#N/A</v>
      </c>
      <c r="AA60" s="21" t="e">
        <f>(VLOOKUP(B60,Data!$B:$AY,MATCH($AA$1,Data!$B$1:$AY$1,),)-VLOOKUP(EDATE(B60,-12),Data!$B:$AY,MATCH($AA$1,Data!$B$1:$AY$1,),))/VLOOKUP(EDATE(B60,-12),Data!$B:$AY,MATCH($AA$1,Data!$B$1:$AY$1,),)</f>
        <v>#N/A</v>
      </c>
      <c r="AB60" s="20"/>
    </row>
    <row r="61" spans="2:28" x14ac:dyDescent="0.2">
      <c r="B61" s="16">
        <v>42064</v>
      </c>
      <c r="C61" s="21">
        <f>(VLOOKUP(B61,'Data Core CPI'!$B:$AY,MATCH($C$1,'Data Core CPI'!$B$1:$AY$1,),)-VLOOKUP(EDATE(B61,-12),'Data Core CPI'!$B:$AY,MATCH($C$1,'Data Core CPI'!$B$1:$AY$1,),))/VLOOKUP(EDATE(B61,-12),'Data Core CPI'!$B:$AY,MATCH($C$1,'Data Core CPI'!$B$1:$AY$1,),)</f>
        <v>1.7533839027091574E-2</v>
      </c>
      <c r="D61" s="21" t="e">
        <f>(VLOOKUP(B61,'Data Core CPI'!$B:$AY,MATCH($D$1,'Data Core CPI'!$B$1:$AY$1,),)-VLOOKUP(EDATE(B61,-12),'Data Core CPI'!$B:$AY,MATCH($D$1,'Data Core CPI'!$B$1:$AY$1,),))/VLOOKUP(EDATE(B61,-12),'Data Core CPI'!$B:$AY,MATCH($D$1,'Data Core CPI'!$B$1:$AY$1,),)</f>
        <v>#DIV/0!</v>
      </c>
      <c r="E61" s="21">
        <f>(VLOOKUP(B61,'Data Core CPI'!$B:$AY,MATCH($E$1,'Data Core CPI'!$B$1:$AY$1,),)-VLOOKUP(EDATE(B61,-12),'Data Core CPI'!$B:$AY,MATCH($E$1,'Data Core CPI'!$B$1:$AY$1,),))/VLOOKUP(EDATE(B61,-12),'Data Core CPI'!$B:$AY,MATCH($E$1,'Data Core CPI'!$B$1:$AY$1,),)</f>
        <v>6.4561686674064417E-3</v>
      </c>
      <c r="F61" s="21">
        <f>(VLOOKUP(B61,'Data Core CPI'!$B:$AY,MATCH($F$1,'Data Core CPI'!$B$1:$AY$1,),)-VLOOKUP(EDATE(B61,-12),'Data Core CPI'!$B:$AY,MATCH($F$1,'Data Core CPI'!$B$1:$AY$1,),))/VLOOKUP(EDATE(B61,-12),'Data Core CPI'!$B:$AY,MATCH($F$1,'Data Core CPI'!$B$1:$AY$1,),)</f>
        <v>2.0958641335532293E-2</v>
      </c>
      <c r="G61" s="21">
        <f>(VLOOKUP(B61,'Data Core CPI'!$B:$AY,MATCH($G$1,'Data Core CPI'!$B$1:$AY$1,),)-VLOOKUP(EDATE(B61,-12),'Data Core CPI'!$B:$AY,MATCH($G$1,'Data Core CPI'!$B$1:$AY$1,),))/VLOOKUP(EDATE(B61,-12),'Data Core CPI'!$B:$AY,MATCH($G$1,'Data Core CPI'!$B$1:$AY$1,),)</f>
        <v>1.0929674858065803E-2</v>
      </c>
      <c r="H61" s="21">
        <f>(VLOOKUP(B61,'Data Core CPI'!$B:$AY,MATCH($H$1,'Data Core CPI'!$B$1:$AY$1,),)-VLOOKUP(EDATE(B61,-12),'Data Core CPI'!$B:$AY,MATCH($H$1,'Data Core CPI'!$B$1:$AY$1,),))/VLOOKUP(EDATE(B61,-12),'Data Core CPI'!$B:$AY,MATCH($H$1,'Data Core CPI'!$B$1:$AY$1,),)</f>
        <v>3.7656514846086684E-3</v>
      </c>
      <c r="I61" s="21">
        <f>(VLOOKUP(B61,'Data Core CPI'!$B:$AY,MATCH($I$1,'Data Core CPI'!$B$1:$AY$1,),)-VLOOKUP(EDATE(B61,-12),'Data Core CPI'!$B:$AY,MATCH($I$1,'Data Core CPI'!$B$1:$AY$1,),))/VLOOKUP(EDATE(B61,-12),'Data Core CPI'!$B:$AY,MATCH($I$1,'Data Core CPI'!$B$1:$AY$1,),)</f>
        <v>1.2219959266802473E-2</v>
      </c>
      <c r="J61" s="21">
        <f>(VLOOKUP(B61,'Data Core CPI'!$B:$AY,MATCH($J$1,'Data Core CPI'!$B$1:$AY$1,),)-VLOOKUP(EDATE(B61,-12),'Data Core CPI'!$B:$AY,MATCH($J$1,'Data Core CPI'!$B$1:$AY$1,),))/VLOOKUP(EDATE(B61,-12),'Data Core CPI'!$B:$AY,MATCH($J$1,'Data Core CPI'!$B$1:$AY$1,),)</f>
        <v>4.4092043820388284E-3</v>
      </c>
      <c r="K61" s="21">
        <f>(VLOOKUP(B61,'Data Core CPI'!$B:$AY,MATCH($K$1,'Data Core CPI'!$B$1:$AY$1,),)-VLOOKUP(EDATE(B61,-12),'Data Core CPI'!$B:$AY,MATCH($K$1,'Data Core CPI'!$B$1:$AY$1,),))/VLOOKUP(EDATE(B61,-12),'Data Core CPI'!$B:$AY,MATCH($K$1,'Data Core CPI'!$B$1:$AY$1,),)</f>
        <v>1.7448964258663855E-3</v>
      </c>
      <c r="L61" s="21">
        <f>(VLOOKUP(B61,'Data Core CPI'!$B:$AY,MATCH($L$1,'Data Core CPI'!$B$1:$AY$1,),)-VLOOKUP(EDATE(B61,-12),'Data Core CPI'!$B:$AY,MATCH($L$1,'Data Core CPI'!$B$1:$AY$1,),))/VLOOKUP(EDATE(B61,-12),'Data Core CPI'!$B:$AY,MATCH($L$1,'Data Core CPI'!$B$1:$AY$1,),)</f>
        <v>1.5122653444039295E-3</v>
      </c>
      <c r="M61" s="21">
        <f>(VLOOKUP(B61,'Data Core CPI'!$B:$AY,MATCH($M$1,'Data Core CPI'!$B$1:$AY$1,),)-VLOOKUP(EDATE(B61,-12),'Data Core CPI'!$B:$AY,MATCH($M$1,'Data Core CPI'!$B$1:$AY$1,),))/VLOOKUP(EDATE(B61,-12),'Data Core CPI'!$B:$AY,MATCH($M$1,'Data Core CPI'!$B$1:$AY$1,),)</f>
        <v>2.4728465305555235E-2</v>
      </c>
      <c r="N61" s="21" t="e">
        <f>(VLOOKUP(B61,'Data Core CPI'!$B:$AY,MATCH($N$1,'Data Core CPI'!$B$1:$AY$1,),)-VLOOKUP(EDATE(B61,-12),'Data Core CPI'!$B:$AY,MATCH($N$1,'Data Core CPI'!$B$1:$AY$1,),))/VLOOKUP(EDATE(B61,-12),'Data Core CPI'!$B:$AY,MATCH($N$1,'Data Core CPI'!$B$1:$AY$1,),)</f>
        <v>#DIV/0!</v>
      </c>
      <c r="O61" s="21" t="e">
        <f>(VLOOKUP(B61,'Data Core CPI'!$B:$AY,MATCH($O$1,'Data Core CPI'!$B$1:$AY$1,),)-VLOOKUP(EDATE(B61,-12),'Data Core CPI'!$B:$AY,MATCH($O$1,'Data Core CPI'!$B$1:$AY$1,),))/VLOOKUP(EDATE(B61,-12),'Data Core CPI'!$B:$AY,MATCH($O$1,'Data Core CPI'!$B$1:$AY$1,),)</f>
        <v>#DIV/0!</v>
      </c>
      <c r="P61" s="21">
        <f>(VLOOKUP(B61,'Data Core CPI'!$B:$AY,MATCH($P$1,'Data Core CPI'!$B$1:$AY$1,),)-VLOOKUP(EDATE(B61,-12),'Data Core CPI'!$B:$AY,MATCH($P$1,'Data Core CPI'!$B$1:$AY$1,),))/VLOOKUP(EDATE(B61,-12),'Data Core CPI'!$B:$AY,MATCH($P$1,'Data Core CPI'!$B$1:$AY$1,),)</f>
        <v>2.8173536102779839E-2</v>
      </c>
      <c r="Q61" s="21" t="e">
        <f>(VLOOKUP(B61,'Data Core CPI'!$B:$AY,MATCH($Q$1,'Data Core CPI'!$B$1:$AY$1,),)-VLOOKUP(EDATE(B61,-12),'Data Core CPI'!$B:$AY,MATCH($Q$1,'Data Core CPI'!$B$1:$AY$1,),))/VLOOKUP(EDATE(B61,-12),'Data Core CPI'!$B:$AY,MATCH($Q$1,'Data Core CPI'!$B$1:$AY$1,),)</f>
        <v>#N/A</v>
      </c>
      <c r="R61" s="21">
        <f>(VLOOKUP(B61,'Data Core CPI'!$B:$AY,MATCH($R$1,'Data Core CPI'!$B$1:$AY$1,),)-VLOOKUP(EDATE(B61,-12),'Data Core CPI'!$B:$AY,MATCH($R$1,'Data Core CPI'!$B$1:$AY$1,),))/VLOOKUP(EDATE(B61,-12),'Data Core CPI'!$B:$AY,MATCH($R$1,'Data Core CPI'!$B$1:$AY$1,),)</f>
        <v>-2.4599559996529895E-4</v>
      </c>
      <c r="S61" s="21" t="e">
        <f>(VLOOKUP(B61,'Data Core CPI'!$B:$AY,MATCH($S$1,'Data Core CPI'!$B$1:$AY$1,),)-VLOOKUP(EDATE(B61,-12),'Data Core CPI'!$B:$AY,MATCH($S$1,'Data Core CPI'!$B$1:$AY$1,),))/VLOOKUP(EDATE(B61,-12),'Data Core CPI'!$B:$AY,MATCH($S$1,'Data Core CPI'!$B$1:$AY$1,),)</f>
        <v>#DIV/0!</v>
      </c>
      <c r="T61" s="21" t="e">
        <f>(VLOOKUP(B61,'Data Core CPI'!$B:$AY,MATCH($T$1,'Data Core CPI'!$B$1:$AY$1,),)-VLOOKUP(EDATE(B61,-12),'Data Core CPI'!$B:$AY,MATCH($T$1,'Data Core CPI'!$B$1:$AY$1,),))/VLOOKUP(EDATE(B61,-12),'Data Core CPI'!$B:$AY,MATCH($T$1,'Data Core CPI'!$B$1:$AY$1,),)</f>
        <v>#DIV/0!</v>
      </c>
      <c r="U61" s="21">
        <f>(VLOOKUP(B61,'Data Core CPI'!$B:$AY,MATCH($U$1,'Data Core CPI'!$B$1:$AY$1,),)-VLOOKUP(EDATE(B61,-12),'Data Core CPI'!$B:$AY,MATCH($U$1,'Data Core CPI'!$B$1:$AY$1,),))/VLOOKUP(EDATE(B61,-12),'Data Core CPI'!$B:$AY,MATCH($U$1,'Data Core CPI'!$B$1:$AY$1,),)</f>
        <v>-1.4124443502226093E-2</v>
      </c>
      <c r="V61" s="21">
        <f>(VLOOKUP(B61,'Data Core CPI'!$B:$AY,MATCH($V$1,'Data Core CPI'!$B$1:$AY$1,),)-VLOOKUP(EDATE(B61,-12),'Data Core CPI'!$B:$AY,MATCH($V$1,'Data Core CPI'!$B$1:$AY$1,),))/VLOOKUP(EDATE(B61,-12),'Data Core CPI'!$B:$AY,MATCH($V$1,'Data Core CPI'!$B$1:$AY$1,),)</f>
        <v>7.8766818609206316E-3</v>
      </c>
      <c r="W61" s="21">
        <f>(VLOOKUP(B61,'Data Core CPI'!$B:$AY,MATCH($W$1,'Data Core CPI'!$B$1:$AY$1,),)-VLOOKUP(EDATE(B61,-12),'Data Core CPI'!$B:$AY,MATCH($W$1,'Data Core CPI'!$B$1:$AY$1,),))/VLOOKUP(EDATE(B61,-12),'Data Core CPI'!$B:$AY,MATCH($W$1,'Data Core CPI'!$B$1:$AY$1,),)</f>
        <v>7.1425401538831354E-2</v>
      </c>
      <c r="X61" s="21">
        <f>(VLOOKUP(B61,'Data Core CPI'!$B:$AY,MATCH($X$1,'Data Core CPI'!$B$1:$AY$1,),)-VLOOKUP(EDATE(B61,-12),'Data Core CPI'!$B:$AY,MATCH($X$1,'Data Core CPI'!$B$1:$AY$1,),))/VLOOKUP(EDATE(B61,-12),'Data Core CPI'!$B:$AY,MATCH($X$1,'Data Core CPI'!$B$1:$AY$1,),)</f>
        <v>1.1178861788617827E-2</v>
      </c>
      <c r="Y61" s="21">
        <f>(VLOOKUP(B61,'Data Core CPI'!$B:$AY,MATCH($Y$1,'Data Core CPI'!$B$1:$AY$1,),)-VLOOKUP(EDATE(B61,-12),'Data Core CPI'!$B:$AY,MATCH($Y$1,'Data Core CPI'!$B$1:$AY$1,),))/VLOOKUP(EDATE(B61,-12),'Data Core CPI'!$B:$AY,MATCH($Y$1,'Data Core CPI'!$B$1:$AY$1,),)</f>
        <v>4.3782017766023267E-3</v>
      </c>
      <c r="Z61" s="21" t="e">
        <f>(VLOOKUP(B61,Data!$B:$AY,MATCH($Z$1,Data!$B$1:$AY$1,),)-VLOOKUP(EDATE(B61,-12),Data!$B:$AY,MATCH($Z$1,Data!$B$1:$AY$1,),))/VLOOKUP(EDATE(B61,-12),Data!$B:$AY,MATCH($Z$1,Data!$B$1:$AY$1,),)</f>
        <v>#N/A</v>
      </c>
      <c r="AA61" s="21" t="e">
        <f>(VLOOKUP(B61,Data!$B:$AY,MATCH($AA$1,Data!$B$1:$AY$1,),)-VLOOKUP(EDATE(B61,-12),Data!$B:$AY,MATCH($AA$1,Data!$B$1:$AY$1,),))/VLOOKUP(EDATE(B61,-12),Data!$B:$AY,MATCH($AA$1,Data!$B$1:$AY$1,),)</f>
        <v>#N/A</v>
      </c>
      <c r="AB61" s="20"/>
    </row>
    <row r="62" spans="2:28" x14ac:dyDescent="0.2">
      <c r="B62" s="16">
        <v>42095</v>
      </c>
      <c r="C62" s="21">
        <f>(VLOOKUP(B62,'Data Core CPI'!$B:$AY,MATCH($C$1,'Data Core CPI'!$B$1:$AY$1,),)-VLOOKUP(EDATE(B62,-12),'Data Core CPI'!$B:$AY,MATCH($C$1,'Data Core CPI'!$B$1:$AY$1,),))/VLOOKUP(EDATE(B62,-12),'Data Core CPI'!$B:$AY,MATCH($C$1,'Data Core CPI'!$B$1:$AY$1,),)</f>
        <v>1.8075085407777192E-2</v>
      </c>
      <c r="D62" s="21" t="e">
        <f>(VLOOKUP(B62,'Data Core CPI'!$B:$AY,MATCH($D$1,'Data Core CPI'!$B$1:$AY$1,),)-VLOOKUP(EDATE(B62,-12),'Data Core CPI'!$B:$AY,MATCH($D$1,'Data Core CPI'!$B$1:$AY$1,),))/VLOOKUP(EDATE(B62,-12),'Data Core CPI'!$B:$AY,MATCH($D$1,'Data Core CPI'!$B$1:$AY$1,),)</f>
        <v>#DIV/0!</v>
      </c>
      <c r="E62" s="21">
        <f>(VLOOKUP(B62,'Data Core CPI'!$B:$AY,MATCH($E$1,'Data Core CPI'!$B$1:$AY$1,),)-VLOOKUP(EDATE(B62,-12),'Data Core CPI'!$B:$AY,MATCH($E$1,'Data Core CPI'!$B$1:$AY$1,),))/VLOOKUP(EDATE(B62,-12),'Data Core CPI'!$B:$AY,MATCH($E$1,'Data Core CPI'!$B$1:$AY$1,),)</f>
        <v>9.2573958542966576E-3</v>
      </c>
      <c r="F62" s="21">
        <f>(VLOOKUP(B62,'Data Core CPI'!$B:$AY,MATCH($F$1,'Data Core CPI'!$B$1:$AY$1,),)-VLOOKUP(EDATE(B62,-12),'Data Core CPI'!$B:$AY,MATCH($F$1,'Data Core CPI'!$B$1:$AY$1,),))/VLOOKUP(EDATE(B62,-12),'Data Core CPI'!$B:$AY,MATCH($F$1,'Data Core CPI'!$B$1:$AY$1,),)</f>
        <v>5.5123712298253387E-3</v>
      </c>
      <c r="G62" s="21">
        <f>(VLOOKUP(B62,'Data Core CPI'!$B:$AY,MATCH($G$1,'Data Core CPI'!$B$1:$AY$1,),)-VLOOKUP(EDATE(B62,-12),'Data Core CPI'!$B:$AY,MATCH($G$1,'Data Core CPI'!$B$1:$AY$1,),))/VLOOKUP(EDATE(B62,-12),'Data Core CPI'!$B:$AY,MATCH($G$1,'Data Core CPI'!$B$1:$AY$1,),)</f>
        <v>1.8753484632928231E-2</v>
      </c>
      <c r="H62" s="21">
        <f>(VLOOKUP(B62,'Data Core CPI'!$B:$AY,MATCH($H$1,'Data Core CPI'!$B$1:$AY$1,),)-VLOOKUP(EDATE(B62,-12),'Data Core CPI'!$B:$AY,MATCH($H$1,'Data Core CPI'!$B$1:$AY$1,),))/VLOOKUP(EDATE(B62,-12),'Data Core CPI'!$B:$AY,MATCH($H$1,'Data Core CPI'!$B$1:$AY$1,),)</f>
        <v>4.955061348784864E-3</v>
      </c>
      <c r="I62" s="21">
        <f>(VLOOKUP(B62,'Data Core CPI'!$B:$AY,MATCH($I$1,'Data Core CPI'!$B$1:$AY$1,),)-VLOOKUP(EDATE(B62,-12),'Data Core CPI'!$B:$AY,MATCH($I$1,'Data Core CPI'!$B$1:$AY$1,),))/VLOOKUP(EDATE(B62,-12),'Data Core CPI'!$B:$AY,MATCH($I$1,'Data Core CPI'!$B$1:$AY$1,),)</f>
        <v>1.0131712259371834E-2</v>
      </c>
      <c r="J62" s="21">
        <f>(VLOOKUP(B62,'Data Core CPI'!$B:$AY,MATCH($J$1,'Data Core CPI'!$B$1:$AY$1,),)-VLOOKUP(EDATE(B62,-12),'Data Core CPI'!$B:$AY,MATCH($J$1,'Data Core CPI'!$B$1:$AY$1,),))/VLOOKUP(EDATE(B62,-12),'Data Core CPI'!$B:$AY,MATCH($J$1,'Data Core CPI'!$B$1:$AY$1,),)</f>
        <v>4.707342929887259E-3</v>
      </c>
      <c r="K62" s="21">
        <f>(VLOOKUP(B62,'Data Core CPI'!$B:$AY,MATCH($K$1,'Data Core CPI'!$B$1:$AY$1,),)-VLOOKUP(EDATE(B62,-12),'Data Core CPI'!$B:$AY,MATCH($K$1,'Data Core CPI'!$B$1:$AY$1,),))/VLOOKUP(EDATE(B62,-12),'Data Core CPI'!$B:$AY,MATCH($K$1,'Data Core CPI'!$B$1:$AY$1,),)</f>
        <v>1.5906712572793607E-3</v>
      </c>
      <c r="L62" s="21">
        <f>(VLOOKUP(B62,'Data Core CPI'!$B:$AY,MATCH($L$1,'Data Core CPI'!$B$1:$AY$1,),)-VLOOKUP(EDATE(B62,-12),'Data Core CPI'!$B:$AY,MATCH($L$1,'Data Core CPI'!$B$1:$AY$1,),))/VLOOKUP(EDATE(B62,-12),'Data Core CPI'!$B:$AY,MATCH($L$1,'Data Core CPI'!$B$1:$AY$1,),)</f>
        <v>-4.6158974502280648E-3</v>
      </c>
      <c r="M62" s="21">
        <f>(VLOOKUP(B62,'Data Core CPI'!$B:$AY,MATCH($M$1,'Data Core CPI'!$B$1:$AY$1,),)-VLOOKUP(EDATE(B62,-12),'Data Core CPI'!$B:$AY,MATCH($M$1,'Data Core CPI'!$B$1:$AY$1,),))/VLOOKUP(EDATE(B62,-12),'Data Core CPI'!$B:$AY,MATCH($M$1,'Data Core CPI'!$B$1:$AY$1,),)</f>
        <v>2.3377155067827858E-2</v>
      </c>
      <c r="N62" s="21" t="e">
        <f>(VLOOKUP(B62,'Data Core CPI'!$B:$AY,MATCH($N$1,'Data Core CPI'!$B$1:$AY$1,),)-VLOOKUP(EDATE(B62,-12),'Data Core CPI'!$B:$AY,MATCH($N$1,'Data Core CPI'!$B$1:$AY$1,),))/VLOOKUP(EDATE(B62,-12),'Data Core CPI'!$B:$AY,MATCH($N$1,'Data Core CPI'!$B$1:$AY$1,),)</f>
        <v>#DIV/0!</v>
      </c>
      <c r="O62" s="21" t="e">
        <f>(VLOOKUP(B62,'Data Core CPI'!$B:$AY,MATCH($O$1,'Data Core CPI'!$B$1:$AY$1,),)-VLOOKUP(EDATE(B62,-12),'Data Core CPI'!$B:$AY,MATCH($O$1,'Data Core CPI'!$B$1:$AY$1,),))/VLOOKUP(EDATE(B62,-12),'Data Core CPI'!$B:$AY,MATCH($O$1,'Data Core CPI'!$B$1:$AY$1,),)</f>
        <v>#DIV/0!</v>
      </c>
      <c r="P62" s="21">
        <f>(VLOOKUP(B62,'Data Core CPI'!$B:$AY,MATCH($P$1,'Data Core CPI'!$B$1:$AY$1,),)-VLOOKUP(EDATE(B62,-12),'Data Core CPI'!$B:$AY,MATCH($P$1,'Data Core CPI'!$B$1:$AY$1,),))/VLOOKUP(EDATE(B62,-12),'Data Core CPI'!$B:$AY,MATCH($P$1,'Data Core CPI'!$B$1:$AY$1,),)</f>
        <v>2.8335260583393026E-2</v>
      </c>
      <c r="Q62" s="21" t="e">
        <f>(VLOOKUP(B62,'Data Core CPI'!$B:$AY,MATCH($Q$1,'Data Core CPI'!$B$1:$AY$1,),)-VLOOKUP(EDATE(B62,-12),'Data Core CPI'!$B:$AY,MATCH($Q$1,'Data Core CPI'!$B$1:$AY$1,),))/VLOOKUP(EDATE(B62,-12),'Data Core CPI'!$B:$AY,MATCH($Q$1,'Data Core CPI'!$B$1:$AY$1,),)</f>
        <v>#N/A</v>
      </c>
      <c r="R62" s="21">
        <f>(VLOOKUP(B62,'Data Core CPI'!$B:$AY,MATCH($R$1,'Data Core CPI'!$B$1:$AY$1,),)-VLOOKUP(EDATE(B62,-12),'Data Core CPI'!$B:$AY,MATCH($R$1,'Data Core CPI'!$B$1:$AY$1,),))/VLOOKUP(EDATE(B62,-12),'Data Core CPI'!$B:$AY,MATCH($R$1,'Data Core CPI'!$B$1:$AY$1,),)</f>
        <v>-3.1103967024025E-3</v>
      </c>
      <c r="S62" s="21" t="e">
        <f>(VLOOKUP(B62,'Data Core CPI'!$B:$AY,MATCH($S$1,'Data Core CPI'!$B$1:$AY$1,),)-VLOOKUP(EDATE(B62,-12),'Data Core CPI'!$B:$AY,MATCH($S$1,'Data Core CPI'!$B$1:$AY$1,),))/VLOOKUP(EDATE(B62,-12),'Data Core CPI'!$B:$AY,MATCH($S$1,'Data Core CPI'!$B$1:$AY$1,),)</f>
        <v>#DIV/0!</v>
      </c>
      <c r="T62" s="21" t="e">
        <f>(VLOOKUP(B62,'Data Core CPI'!$B:$AY,MATCH($T$1,'Data Core CPI'!$B$1:$AY$1,),)-VLOOKUP(EDATE(B62,-12),'Data Core CPI'!$B:$AY,MATCH($T$1,'Data Core CPI'!$B$1:$AY$1,),))/VLOOKUP(EDATE(B62,-12),'Data Core CPI'!$B:$AY,MATCH($T$1,'Data Core CPI'!$B$1:$AY$1,),)</f>
        <v>#DIV/0!</v>
      </c>
      <c r="U62" s="21">
        <f>(VLOOKUP(B62,'Data Core CPI'!$B:$AY,MATCH($U$1,'Data Core CPI'!$B$1:$AY$1,),)-VLOOKUP(EDATE(B62,-12),'Data Core CPI'!$B:$AY,MATCH($U$1,'Data Core CPI'!$B$1:$AY$1,),))/VLOOKUP(EDATE(B62,-12),'Data Core CPI'!$B:$AY,MATCH($U$1,'Data Core CPI'!$B$1:$AY$1,),)</f>
        <v>-1.3909718239541926E-2</v>
      </c>
      <c r="V62" s="21">
        <f>(VLOOKUP(B62,'Data Core CPI'!$B:$AY,MATCH($V$1,'Data Core CPI'!$B$1:$AY$1,),)-VLOOKUP(EDATE(B62,-12),'Data Core CPI'!$B:$AY,MATCH($V$1,'Data Core CPI'!$B$1:$AY$1,),))/VLOOKUP(EDATE(B62,-12),'Data Core CPI'!$B:$AY,MATCH($V$1,'Data Core CPI'!$B$1:$AY$1,),)</f>
        <v>5.4812964433126124E-3</v>
      </c>
      <c r="W62" s="21">
        <f>(VLOOKUP(B62,'Data Core CPI'!$B:$AY,MATCH($W$1,'Data Core CPI'!$B$1:$AY$1,),)-VLOOKUP(EDATE(B62,-12),'Data Core CPI'!$B:$AY,MATCH($W$1,'Data Core CPI'!$B$1:$AY$1,),))/VLOOKUP(EDATE(B62,-12),'Data Core CPI'!$B:$AY,MATCH($W$1,'Data Core CPI'!$B$1:$AY$1,),)</f>
        <v>7.1807898148847998E-2</v>
      </c>
      <c r="X62" s="21">
        <f>(VLOOKUP(B62,'Data Core CPI'!$B:$AY,MATCH($X$1,'Data Core CPI'!$B$1:$AY$1,),)-VLOOKUP(EDATE(B62,-12),'Data Core CPI'!$B:$AY,MATCH($X$1,'Data Core CPI'!$B$1:$AY$1,),))/VLOOKUP(EDATE(B62,-12),'Data Core CPI'!$B:$AY,MATCH($X$1,'Data Core CPI'!$B$1:$AY$1,),)</f>
        <v>1.3184584178499102E-2</v>
      </c>
      <c r="Y62" s="21">
        <f>(VLOOKUP(B62,'Data Core CPI'!$B:$AY,MATCH($Y$1,'Data Core CPI'!$B$1:$AY$1,),)-VLOOKUP(EDATE(B62,-12),'Data Core CPI'!$B:$AY,MATCH($Y$1,'Data Core CPI'!$B$1:$AY$1,),))/VLOOKUP(EDATE(B62,-12),'Data Core CPI'!$B:$AY,MATCH($Y$1,'Data Core CPI'!$B$1:$AY$1,),)</f>
        <v>6.1131014174896922E-3</v>
      </c>
      <c r="Z62" s="21" t="e">
        <f>(VLOOKUP(B62,Data!$B:$AY,MATCH($Z$1,Data!$B$1:$AY$1,),)-VLOOKUP(EDATE(B62,-12),Data!$B:$AY,MATCH($Z$1,Data!$B$1:$AY$1,),))/VLOOKUP(EDATE(B62,-12),Data!$B:$AY,MATCH($Z$1,Data!$B$1:$AY$1,),)</f>
        <v>#N/A</v>
      </c>
      <c r="AA62" s="21" t="e">
        <f>(VLOOKUP(B62,Data!$B:$AY,MATCH($AA$1,Data!$B$1:$AY$1,),)-VLOOKUP(EDATE(B62,-12),Data!$B:$AY,MATCH($AA$1,Data!$B$1:$AY$1,),))/VLOOKUP(EDATE(B62,-12),Data!$B:$AY,MATCH($AA$1,Data!$B$1:$AY$1,),)</f>
        <v>#N/A</v>
      </c>
      <c r="AB62" s="20"/>
    </row>
    <row r="63" spans="2:28" x14ac:dyDescent="0.2">
      <c r="B63" s="16">
        <v>42125</v>
      </c>
      <c r="C63" s="21">
        <f>(VLOOKUP(B63,'Data Core CPI'!$B:$AY,MATCH($C$1,'Data Core CPI'!$B$1:$AY$1,),)-VLOOKUP(EDATE(B63,-12),'Data Core CPI'!$B:$AY,MATCH($C$1,'Data Core CPI'!$B$1:$AY$1,),))/VLOOKUP(EDATE(B63,-12),'Data Core CPI'!$B:$AY,MATCH($C$1,'Data Core CPI'!$B$1:$AY$1,),)</f>
        <v>1.718275170722278E-2</v>
      </c>
      <c r="D63" s="21" t="e">
        <f>(VLOOKUP(B63,'Data Core CPI'!$B:$AY,MATCH($D$1,'Data Core CPI'!$B$1:$AY$1,),)-VLOOKUP(EDATE(B63,-12),'Data Core CPI'!$B:$AY,MATCH($D$1,'Data Core CPI'!$B$1:$AY$1,),))/VLOOKUP(EDATE(B63,-12),'Data Core CPI'!$B:$AY,MATCH($D$1,'Data Core CPI'!$B$1:$AY$1,),)</f>
        <v>#DIV/0!</v>
      </c>
      <c r="E63" s="21">
        <f>(VLOOKUP(B63,'Data Core CPI'!$B:$AY,MATCH($E$1,'Data Core CPI'!$B$1:$AY$1,),)-VLOOKUP(EDATE(B63,-12),'Data Core CPI'!$B:$AY,MATCH($E$1,'Data Core CPI'!$B$1:$AY$1,),))/VLOOKUP(EDATE(B63,-12),'Data Core CPI'!$B:$AY,MATCH($E$1,'Data Core CPI'!$B$1:$AY$1,),)</f>
        <v>1.2795969773299708E-2</v>
      </c>
      <c r="F63" s="21">
        <f>(VLOOKUP(B63,'Data Core CPI'!$B:$AY,MATCH($F$1,'Data Core CPI'!$B$1:$AY$1,),)-VLOOKUP(EDATE(B63,-12),'Data Core CPI'!$B:$AY,MATCH($F$1,'Data Core CPI'!$B$1:$AY$1,),))/VLOOKUP(EDATE(B63,-12),'Data Core CPI'!$B:$AY,MATCH($F$1,'Data Core CPI'!$B$1:$AY$1,),)</f>
        <v>4.342581932295711E-3</v>
      </c>
      <c r="G63" s="21">
        <f>(VLOOKUP(B63,'Data Core CPI'!$B:$AY,MATCH($G$1,'Data Core CPI'!$B$1:$AY$1,),)-VLOOKUP(EDATE(B63,-12),'Data Core CPI'!$B:$AY,MATCH($G$1,'Data Core CPI'!$B$1:$AY$1,),))/VLOOKUP(EDATE(B63,-12),'Data Core CPI'!$B:$AY,MATCH($G$1,'Data Core CPI'!$B$1:$AY$1,),)</f>
        <v>2.1104255684831222E-2</v>
      </c>
      <c r="H63" s="21">
        <f>(VLOOKUP(B63,'Data Core CPI'!$B:$AY,MATCH($H$1,'Data Core CPI'!$B$1:$AY$1,),)-VLOOKUP(EDATE(B63,-12),'Data Core CPI'!$B:$AY,MATCH($H$1,'Data Core CPI'!$B$1:$AY$1,),))/VLOOKUP(EDATE(B63,-12),'Data Core CPI'!$B:$AY,MATCH($H$1,'Data Core CPI'!$B$1:$AY$1,),)</f>
        <v>6.4685968924201162E-3</v>
      </c>
      <c r="I63" s="21">
        <f>(VLOOKUP(B63,'Data Core CPI'!$B:$AY,MATCH($I$1,'Data Core CPI'!$B$1:$AY$1,),)-VLOOKUP(EDATE(B63,-12),'Data Core CPI'!$B:$AY,MATCH($I$1,'Data Core CPI'!$B$1:$AY$1,),))/VLOOKUP(EDATE(B63,-12),'Data Core CPI'!$B:$AY,MATCH($I$1,'Data Core CPI'!$B$1:$AY$1,),)</f>
        <v>1.2158054711246228E-2</v>
      </c>
      <c r="J63" s="21">
        <f>(VLOOKUP(B63,'Data Core CPI'!$B:$AY,MATCH($J$1,'Data Core CPI'!$B$1:$AY$1,),)-VLOOKUP(EDATE(B63,-12),'Data Core CPI'!$B:$AY,MATCH($J$1,'Data Core CPI'!$B$1:$AY$1,),))/VLOOKUP(EDATE(B63,-12),'Data Core CPI'!$B:$AY,MATCH($J$1,'Data Core CPI'!$B$1:$AY$1,),)</f>
        <v>6.2590640167038318E-3</v>
      </c>
      <c r="K63" s="21">
        <f>(VLOOKUP(B63,'Data Core CPI'!$B:$AY,MATCH($K$1,'Data Core CPI'!$B$1:$AY$1,),)-VLOOKUP(EDATE(B63,-12),'Data Core CPI'!$B:$AY,MATCH($K$1,'Data Core CPI'!$B$1:$AY$1,),))/VLOOKUP(EDATE(B63,-12),'Data Core CPI'!$B:$AY,MATCH($K$1,'Data Core CPI'!$B$1:$AY$1,),)</f>
        <v>4.4061960073898537E-3</v>
      </c>
      <c r="L63" s="21">
        <f>(VLOOKUP(B63,'Data Core CPI'!$B:$AY,MATCH($L$1,'Data Core CPI'!$B$1:$AY$1,),)-VLOOKUP(EDATE(B63,-12),'Data Core CPI'!$B:$AY,MATCH($L$1,'Data Core CPI'!$B$1:$AY$1,),))/VLOOKUP(EDATE(B63,-12),'Data Core CPI'!$B:$AY,MATCH($L$1,'Data Core CPI'!$B$1:$AY$1,),)</f>
        <v>-3.6865604391105917E-4</v>
      </c>
      <c r="M63" s="21">
        <f>(VLOOKUP(B63,'Data Core CPI'!$B:$AY,MATCH($M$1,'Data Core CPI'!$B$1:$AY$1,),)-VLOOKUP(EDATE(B63,-12),'Data Core CPI'!$B:$AY,MATCH($M$1,'Data Core CPI'!$B$1:$AY$1,),))/VLOOKUP(EDATE(B63,-12),'Data Core CPI'!$B:$AY,MATCH($M$1,'Data Core CPI'!$B$1:$AY$1,),)</f>
        <v>2.3769425620667497E-2</v>
      </c>
      <c r="N63" s="21" t="e">
        <f>(VLOOKUP(B63,'Data Core CPI'!$B:$AY,MATCH($N$1,'Data Core CPI'!$B$1:$AY$1,),)-VLOOKUP(EDATE(B63,-12),'Data Core CPI'!$B:$AY,MATCH($N$1,'Data Core CPI'!$B$1:$AY$1,),))/VLOOKUP(EDATE(B63,-12),'Data Core CPI'!$B:$AY,MATCH($N$1,'Data Core CPI'!$B$1:$AY$1,),)</f>
        <v>#DIV/0!</v>
      </c>
      <c r="O63" s="21" t="e">
        <f>(VLOOKUP(B63,'Data Core CPI'!$B:$AY,MATCH($O$1,'Data Core CPI'!$B$1:$AY$1,),)-VLOOKUP(EDATE(B63,-12),'Data Core CPI'!$B:$AY,MATCH($O$1,'Data Core CPI'!$B$1:$AY$1,),))/VLOOKUP(EDATE(B63,-12),'Data Core CPI'!$B:$AY,MATCH($O$1,'Data Core CPI'!$B$1:$AY$1,),)</f>
        <v>#DIV/0!</v>
      </c>
      <c r="P63" s="21">
        <f>(VLOOKUP(B63,'Data Core CPI'!$B:$AY,MATCH($P$1,'Data Core CPI'!$B$1:$AY$1,),)-VLOOKUP(EDATE(B63,-12),'Data Core CPI'!$B:$AY,MATCH($P$1,'Data Core CPI'!$B$1:$AY$1,),))/VLOOKUP(EDATE(B63,-12),'Data Core CPI'!$B:$AY,MATCH($P$1,'Data Core CPI'!$B$1:$AY$1,),)</f>
        <v>2.6826920866003329E-2</v>
      </c>
      <c r="Q63" s="21" t="e">
        <f>(VLOOKUP(B63,'Data Core CPI'!$B:$AY,MATCH($Q$1,'Data Core CPI'!$B$1:$AY$1,),)-VLOOKUP(EDATE(B63,-12),'Data Core CPI'!$B:$AY,MATCH($Q$1,'Data Core CPI'!$B$1:$AY$1,),))/VLOOKUP(EDATE(B63,-12),'Data Core CPI'!$B:$AY,MATCH($Q$1,'Data Core CPI'!$B$1:$AY$1,),)</f>
        <v>#N/A</v>
      </c>
      <c r="R63" s="21">
        <f>(VLOOKUP(B63,'Data Core CPI'!$B:$AY,MATCH($R$1,'Data Core CPI'!$B$1:$AY$1,),)-VLOOKUP(EDATE(B63,-12),'Data Core CPI'!$B:$AY,MATCH($R$1,'Data Core CPI'!$B$1:$AY$1,),))/VLOOKUP(EDATE(B63,-12),'Data Core CPI'!$B:$AY,MATCH($R$1,'Data Core CPI'!$B$1:$AY$1,),)</f>
        <v>-3.9939227232555895E-3</v>
      </c>
      <c r="S63" s="21" t="e">
        <f>(VLOOKUP(B63,'Data Core CPI'!$B:$AY,MATCH($S$1,'Data Core CPI'!$B$1:$AY$1,),)-VLOOKUP(EDATE(B63,-12),'Data Core CPI'!$B:$AY,MATCH($S$1,'Data Core CPI'!$B$1:$AY$1,),))/VLOOKUP(EDATE(B63,-12),'Data Core CPI'!$B:$AY,MATCH($S$1,'Data Core CPI'!$B$1:$AY$1,),)</f>
        <v>#DIV/0!</v>
      </c>
      <c r="T63" s="21" t="e">
        <f>(VLOOKUP(B63,'Data Core CPI'!$B:$AY,MATCH($T$1,'Data Core CPI'!$B$1:$AY$1,),)-VLOOKUP(EDATE(B63,-12),'Data Core CPI'!$B:$AY,MATCH($T$1,'Data Core CPI'!$B$1:$AY$1,),))/VLOOKUP(EDATE(B63,-12),'Data Core CPI'!$B:$AY,MATCH($T$1,'Data Core CPI'!$B$1:$AY$1,),)</f>
        <v>#DIV/0!</v>
      </c>
      <c r="U63" s="21">
        <f>(VLOOKUP(B63,'Data Core CPI'!$B:$AY,MATCH($U$1,'Data Core CPI'!$B$1:$AY$1,),)-VLOOKUP(EDATE(B63,-12),'Data Core CPI'!$B:$AY,MATCH($U$1,'Data Core CPI'!$B$1:$AY$1,),))/VLOOKUP(EDATE(B63,-12),'Data Core CPI'!$B:$AY,MATCH($U$1,'Data Core CPI'!$B$1:$AY$1,),)</f>
        <v>-1.3942324759489196E-2</v>
      </c>
      <c r="V63" s="21">
        <f>(VLOOKUP(B63,'Data Core CPI'!$B:$AY,MATCH($V$1,'Data Core CPI'!$B$1:$AY$1,),)-VLOOKUP(EDATE(B63,-12),'Data Core CPI'!$B:$AY,MATCH($V$1,'Data Core CPI'!$B$1:$AY$1,),))/VLOOKUP(EDATE(B63,-12),'Data Core CPI'!$B:$AY,MATCH($V$1,'Data Core CPI'!$B$1:$AY$1,),)</f>
        <v>9.9885022834760116E-3</v>
      </c>
      <c r="W63" s="21">
        <f>(VLOOKUP(B63,'Data Core CPI'!$B:$AY,MATCH($W$1,'Data Core CPI'!$B$1:$AY$1,),)-VLOOKUP(EDATE(B63,-12),'Data Core CPI'!$B:$AY,MATCH($W$1,'Data Core CPI'!$B$1:$AY$1,),))/VLOOKUP(EDATE(B63,-12),'Data Core CPI'!$B:$AY,MATCH($W$1,'Data Core CPI'!$B$1:$AY$1,),)</f>
        <v>7.6089877423316563E-2</v>
      </c>
      <c r="X63" s="21">
        <f>(VLOOKUP(B63,'Data Core CPI'!$B:$AY,MATCH($X$1,'Data Core CPI'!$B$1:$AY$1,),)-VLOOKUP(EDATE(B63,-12),'Data Core CPI'!$B:$AY,MATCH($X$1,'Data Core CPI'!$B$1:$AY$1,),))/VLOOKUP(EDATE(B63,-12),'Data Core CPI'!$B:$AY,MATCH($X$1,'Data Core CPI'!$B$1:$AY$1,),)</f>
        <v>1.3171225937183355E-2</v>
      </c>
      <c r="Y63" s="21">
        <f>(VLOOKUP(B63,'Data Core CPI'!$B:$AY,MATCH($Y$1,'Data Core CPI'!$B$1:$AY$1,),)-VLOOKUP(EDATE(B63,-12),'Data Core CPI'!$B:$AY,MATCH($Y$1,'Data Core CPI'!$B$1:$AY$1,),))/VLOOKUP(EDATE(B63,-12),'Data Core CPI'!$B:$AY,MATCH($Y$1,'Data Core CPI'!$B$1:$AY$1,),)</f>
        <v>6.1131014174896922E-3</v>
      </c>
      <c r="Z63" s="21" t="e">
        <f>(VLOOKUP(B63,Data!$B:$AY,MATCH($Z$1,Data!$B$1:$AY$1,),)-VLOOKUP(EDATE(B63,-12),Data!$B:$AY,MATCH($Z$1,Data!$B$1:$AY$1,),))/VLOOKUP(EDATE(B63,-12),Data!$B:$AY,MATCH($Z$1,Data!$B$1:$AY$1,),)</f>
        <v>#N/A</v>
      </c>
      <c r="AA63" s="21" t="e">
        <f>(VLOOKUP(B63,Data!$B:$AY,MATCH($AA$1,Data!$B$1:$AY$1,),)-VLOOKUP(EDATE(B63,-12),Data!$B:$AY,MATCH($AA$1,Data!$B$1:$AY$1,),))/VLOOKUP(EDATE(B63,-12),Data!$B:$AY,MATCH($AA$1,Data!$B$1:$AY$1,),)</f>
        <v>#N/A</v>
      </c>
      <c r="AB63" s="20"/>
    </row>
    <row r="64" spans="2:28" x14ac:dyDescent="0.2">
      <c r="B64" s="16">
        <v>42156</v>
      </c>
      <c r="C64" s="21">
        <f>(VLOOKUP(B64,'Data Core CPI'!$B:$AY,MATCH($C$1,'Data Core CPI'!$B$1:$AY$1,),)-VLOOKUP(EDATE(B64,-12),'Data Core CPI'!$B:$AY,MATCH($C$1,'Data Core CPI'!$B$1:$AY$1,),))/VLOOKUP(EDATE(B64,-12),'Data Core CPI'!$B:$AY,MATCH($C$1,'Data Core CPI'!$B$1:$AY$1,),)</f>
        <v>1.7623106230134564E-2</v>
      </c>
      <c r="D64" s="21" t="e">
        <f>(VLOOKUP(B64,'Data Core CPI'!$B:$AY,MATCH($D$1,'Data Core CPI'!$B$1:$AY$1,),)-VLOOKUP(EDATE(B64,-12),'Data Core CPI'!$B:$AY,MATCH($D$1,'Data Core CPI'!$B$1:$AY$1,),))/VLOOKUP(EDATE(B64,-12),'Data Core CPI'!$B:$AY,MATCH($D$1,'Data Core CPI'!$B$1:$AY$1,),)</f>
        <v>#DIV/0!</v>
      </c>
      <c r="E64" s="21">
        <f>(VLOOKUP(B64,'Data Core CPI'!$B:$AY,MATCH($E$1,'Data Core CPI'!$B$1:$AY$1,),)-VLOOKUP(EDATE(B64,-12),'Data Core CPI'!$B:$AY,MATCH($E$1,'Data Core CPI'!$B$1:$AY$1,),))/VLOOKUP(EDATE(B64,-12),'Data Core CPI'!$B:$AY,MATCH($E$1,'Data Core CPI'!$B$1:$AY$1,),)</f>
        <v>1.1974240289796717E-2</v>
      </c>
      <c r="F64" s="21">
        <f>(VLOOKUP(B64,'Data Core CPI'!$B:$AY,MATCH($F$1,'Data Core CPI'!$B$1:$AY$1,),)-VLOOKUP(EDATE(B64,-12),'Data Core CPI'!$B:$AY,MATCH($F$1,'Data Core CPI'!$B$1:$AY$1,),))/VLOOKUP(EDATE(B64,-12),'Data Core CPI'!$B:$AY,MATCH($F$1,'Data Core CPI'!$B$1:$AY$1,),)</f>
        <v>5.3774491033763538E-3</v>
      </c>
      <c r="G64" s="21">
        <f>(VLOOKUP(B64,'Data Core CPI'!$B:$AY,MATCH($G$1,'Data Core CPI'!$B$1:$AY$1,),)-VLOOKUP(EDATE(B64,-12),'Data Core CPI'!$B:$AY,MATCH($G$1,'Data Core CPI'!$B$1:$AY$1,),))/VLOOKUP(EDATE(B64,-12),'Data Core CPI'!$B:$AY,MATCH($G$1,'Data Core CPI'!$B$1:$AY$1,),)</f>
        <v>1.9442584019970802E-2</v>
      </c>
      <c r="H64" s="21">
        <f>(VLOOKUP(B64,'Data Core CPI'!$B:$AY,MATCH($H$1,'Data Core CPI'!$B$1:$AY$1,),)-VLOOKUP(EDATE(B64,-12),'Data Core CPI'!$B:$AY,MATCH($H$1,'Data Core CPI'!$B$1:$AY$1,),))/VLOOKUP(EDATE(B64,-12),'Data Core CPI'!$B:$AY,MATCH($H$1,'Data Core CPI'!$B$1:$AY$1,),)</f>
        <v>6.5366902386810883E-3</v>
      </c>
      <c r="I64" s="21">
        <f>(VLOOKUP(B64,'Data Core CPI'!$B:$AY,MATCH($I$1,'Data Core CPI'!$B$1:$AY$1,),)-VLOOKUP(EDATE(B64,-12),'Data Core CPI'!$B:$AY,MATCH($I$1,'Data Core CPI'!$B$1:$AY$1,),))/VLOOKUP(EDATE(B64,-12),'Data Core CPI'!$B:$AY,MATCH($I$1,'Data Core CPI'!$B$1:$AY$1,),)</f>
        <v>1.0111223458038422E-2</v>
      </c>
      <c r="J64" s="21">
        <f>(VLOOKUP(B64,'Data Core CPI'!$B:$AY,MATCH($J$1,'Data Core CPI'!$B$1:$AY$1,),)-VLOOKUP(EDATE(B64,-12),'Data Core CPI'!$B:$AY,MATCH($J$1,'Data Core CPI'!$B$1:$AY$1,),))/VLOOKUP(EDATE(B64,-12),'Data Core CPI'!$B:$AY,MATCH($J$1,'Data Core CPI'!$B$1:$AY$1,),)</f>
        <v>7.5734831369754715E-3</v>
      </c>
      <c r="K64" s="21">
        <f>(VLOOKUP(B64,'Data Core CPI'!$B:$AY,MATCH($K$1,'Data Core CPI'!$B$1:$AY$1,),)-VLOOKUP(EDATE(B64,-12),'Data Core CPI'!$B:$AY,MATCH($K$1,'Data Core CPI'!$B$1:$AY$1,),))/VLOOKUP(EDATE(B64,-12),'Data Core CPI'!$B:$AY,MATCH($K$1,'Data Core CPI'!$B$1:$AY$1,),)</f>
        <v>5.1275813628418494E-3</v>
      </c>
      <c r="L64" s="21">
        <f>(VLOOKUP(B64,'Data Core CPI'!$B:$AY,MATCH($L$1,'Data Core CPI'!$B$1:$AY$1,),)-VLOOKUP(EDATE(B64,-12),'Data Core CPI'!$B:$AY,MATCH($L$1,'Data Core CPI'!$B$1:$AY$1,),))/VLOOKUP(EDATE(B64,-12),'Data Core CPI'!$B:$AY,MATCH($L$1,'Data Core CPI'!$B$1:$AY$1,),)</f>
        <v>-3.9411449834581454E-3</v>
      </c>
      <c r="M64" s="21">
        <f>(VLOOKUP(B64,'Data Core CPI'!$B:$AY,MATCH($M$1,'Data Core CPI'!$B$1:$AY$1,),)-VLOOKUP(EDATE(B64,-12),'Data Core CPI'!$B:$AY,MATCH($M$1,'Data Core CPI'!$B$1:$AY$1,),))/VLOOKUP(EDATE(B64,-12),'Data Core CPI'!$B:$AY,MATCH($M$1,'Data Core CPI'!$B$1:$AY$1,),)</f>
        <v>2.3827088528850886E-2</v>
      </c>
      <c r="N64" s="21" t="e">
        <f>(VLOOKUP(B64,'Data Core CPI'!$B:$AY,MATCH($N$1,'Data Core CPI'!$B$1:$AY$1,),)-VLOOKUP(EDATE(B64,-12),'Data Core CPI'!$B:$AY,MATCH($N$1,'Data Core CPI'!$B$1:$AY$1,),))/VLOOKUP(EDATE(B64,-12),'Data Core CPI'!$B:$AY,MATCH($N$1,'Data Core CPI'!$B$1:$AY$1,),)</f>
        <v>#DIV/0!</v>
      </c>
      <c r="O64" s="21" t="e">
        <f>(VLOOKUP(B64,'Data Core CPI'!$B:$AY,MATCH($O$1,'Data Core CPI'!$B$1:$AY$1,),)-VLOOKUP(EDATE(B64,-12),'Data Core CPI'!$B:$AY,MATCH($O$1,'Data Core CPI'!$B$1:$AY$1,),))/VLOOKUP(EDATE(B64,-12),'Data Core CPI'!$B:$AY,MATCH($O$1,'Data Core CPI'!$B$1:$AY$1,),)</f>
        <v>#DIV/0!</v>
      </c>
      <c r="P64" s="21">
        <f>(VLOOKUP(B64,'Data Core CPI'!$B:$AY,MATCH($P$1,'Data Core CPI'!$B$1:$AY$1,),)-VLOOKUP(EDATE(B64,-12),'Data Core CPI'!$B:$AY,MATCH($P$1,'Data Core CPI'!$B$1:$AY$1,),))/VLOOKUP(EDATE(B64,-12),'Data Core CPI'!$B:$AY,MATCH($P$1,'Data Core CPI'!$B$1:$AY$1,),)</f>
        <v>2.5825908021164499E-2</v>
      </c>
      <c r="Q64" s="21" t="e">
        <f>(VLOOKUP(B64,'Data Core CPI'!$B:$AY,MATCH($Q$1,'Data Core CPI'!$B$1:$AY$1,),)-VLOOKUP(EDATE(B64,-12),'Data Core CPI'!$B:$AY,MATCH($Q$1,'Data Core CPI'!$B$1:$AY$1,),))/VLOOKUP(EDATE(B64,-12),'Data Core CPI'!$B:$AY,MATCH($Q$1,'Data Core CPI'!$B$1:$AY$1,),)</f>
        <v>#N/A</v>
      </c>
      <c r="R64" s="21">
        <f>(VLOOKUP(B64,'Data Core CPI'!$B:$AY,MATCH($R$1,'Data Core CPI'!$B$1:$AY$1,),)-VLOOKUP(EDATE(B64,-12),'Data Core CPI'!$B:$AY,MATCH($R$1,'Data Core CPI'!$B$1:$AY$1,),))/VLOOKUP(EDATE(B64,-12),'Data Core CPI'!$B:$AY,MATCH($R$1,'Data Core CPI'!$B$1:$AY$1,),)</f>
        <v>-2.4398419324582555E-3</v>
      </c>
      <c r="S64" s="21" t="e">
        <f>(VLOOKUP(B64,'Data Core CPI'!$B:$AY,MATCH($S$1,'Data Core CPI'!$B$1:$AY$1,),)-VLOOKUP(EDATE(B64,-12),'Data Core CPI'!$B:$AY,MATCH($S$1,'Data Core CPI'!$B$1:$AY$1,),))/VLOOKUP(EDATE(B64,-12),'Data Core CPI'!$B:$AY,MATCH($S$1,'Data Core CPI'!$B$1:$AY$1,),)</f>
        <v>#DIV/0!</v>
      </c>
      <c r="T64" s="21" t="e">
        <f>(VLOOKUP(B64,'Data Core CPI'!$B:$AY,MATCH($T$1,'Data Core CPI'!$B$1:$AY$1,),)-VLOOKUP(EDATE(B64,-12),'Data Core CPI'!$B:$AY,MATCH($T$1,'Data Core CPI'!$B$1:$AY$1,),))/VLOOKUP(EDATE(B64,-12),'Data Core CPI'!$B:$AY,MATCH($T$1,'Data Core CPI'!$B$1:$AY$1,),)</f>
        <v>#DIV/0!</v>
      </c>
      <c r="U64" s="21">
        <f>(VLOOKUP(B64,'Data Core CPI'!$B:$AY,MATCH($U$1,'Data Core CPI'!$B$1:$AY$1,),)-VLOOKUP(EDATE(B64,-12),'Data Core CPI'!$B:$AY,MATCH($U$1,'Data Core CPI'!$B$1:$AY$1,),))/VLOOKUP(EDATE(B64,-12),'Data Core CPI'!$B:$AY,MATCH($U$1,'Data Core CPI'!$B$1:$AY$1,),)</f>
        <v>-1.5496427619379647E-2</v>
      </c>
      <c r="V64" s="21">
        <f>(VLOOKUP(B64,'Data Core CPI'!$B:$AY,MATCH($V$1,'Data Core CPI'!$B$1:$AY$1,),)-VLOOKUP(EDATE(B64,-12),'Data Core CPI'!$B:$AY,MATCH($V$1,'Data Core CPI'!$B$1:$AY$1,),))/VLOOKUP(EDATE(B64,-12),'Data Core CPI'!$B:$AY,MATCH($V$1,'Data Core CPI'!$B$1:$AY$1,),)</f>
        <v>9.6535419377271892E-3</v>
      </c>
      <c r="W64" s="21">
        <f>(VLOOKUP(B64,'Data Core CPI'!$B:$AY,MATCH($W$1,'Data Core CPI'!$B$1:$AY$1,),)-VLOOKUP(EDATE(B64,-12),'Data Core CPI'!$B:$AY,MATCH($W$1,'Data Core CPI'!$B$1:$AY$1,),))/VLOOKUP(EDATE(B64,-12),'Data Core CPI'!$B:$AY,MATCH($W$1,'Data Core CPI'!$B$1:$AY$1,),)</f>
        <v>7.6673566931873854E-2</v>
      </c>
      <c r="X64" s="21">
        <f>(VLOOKUP(B64,'Data Core CPI'!$B:$AY,MATCH($X$1,'Data Core CPI'!$B$1:$AY$1,),)-VLOOKUP(EDATE(B64,-12),'Data Core CPI'!$B:$AY,MATCH($X$1,'Data Core CPI'!$B$1:$AY$1,),))/VLOOKUP(EDATE(B64,-12),'Data Core CPI'!$B:$AY,MATCH($X$1,'Data Core CPI'!$B$1:$AY$1,),)</f>
        <v>1.314459049544992E-2</v>
      </c>
      <c r="Y64" s="21">
        <f>(VLOOKUP(B64,'Data Core CPI'!$B:$AY,MATCH($Y$1,'Data Core CPI'!$B$1:$AY$1,),)-VLOOKUP(EDATE(B64,-12),'Data Core CPI'!$B:$AY,MATCH($Y$1,'Data Core CPI'!$B$1:$AY$1,),))/VLOOKUP(EDATE(B64,-12),'Data Core CPI'!$B:$AY,MATCH($Y$1,'Data Core CPI'!$B$1:$AY$1,),)</f>
        <v>3.4873535173633591E-3</v>
      </c>
      <c r="Z64" s="21" t="e">
        <f>(VLOOKUP(B64,Data!$B:$AY,MATCH($Z$1,Data!$B$1:$AY$1,),)-VLOOKUP(EDATE(B64,-12),Data!$B:$AY,MATCH($Z$1,Data!$B$1:$AY$1,),))/VLOOKUP(EDATE(B64,-12),Data!$B:$AY,MATCH($Z$1,Data!$B$1:$AY$1,),)</f>
        <v>#N/A</v>
      </c>
      <c r="AA64" s="21" t="e">
        <f>(VLOOKUP(B64,Data!$B:$AY,MATCH($AA$1,Data!$B$1:$AY$1,),)-VLOOKUP(EDATE(B64,-12),Data!$B:$AY,MATCH($AA$1,Data!$B$1:$AY$1,),))/VLOOKUP(EDATE(B64,-12),Data!$B:$AY,MATCH($AA$1,Data!$B$1:$AY$1,),)</f>
        <v>#N/A</v>
      </c>
      <c r="AB64" s="20"/>
    </row>
    <row r="65" spans="2:28" x14ac:dyDescent="0.2">
      <c r="B65" s="16">
        <v>42186</v>
      </c>
      <c r="C65" s="21">
        <f>(VLOOKUP(B65,'Data Core CPI'!$B:$AY,MATCH($C$1,'Data Core CPI'!$B$1:$AY$1,),)-VLOOKUP(EDATE(B65,-12),'Data Core CPI'!$B:$AY,MATCH($C$1,'Data Core CPI'!$B$1:$AY$1,),))/VLOOKUP(EDATE(B65,-12),'Data Core CPI'!$B:$AY,MATCH($C$1,'Data Core CPI'!$B$1:$AY$1,),)</f>
        <v>1.8048095703124933E-2</v>
      </c>
      <c r="D65" s="21" t="e">
        <f>(VLOOKUP(B65,'Data Core CPI'!$B:$AY,MATCH($D$1,'Data Core CPI'!$B$1:$AY$1,),)-VLOOKUP(EDATE(B65,-12),'Data Core CPI'!$B:$AY,MATCH($D$1,'Data Core CPI'!$B$1:$AY$1,),))/VLOOKUP(EDATE(B65,-12),'Data Core CPI'!$B:$AY,MATCH($D$1,'Data Core CPI'!$B$1:$AY$1,),)</f>
        <v>#DIV/0!</v>
      </c>
      <c r="E65" s="21">
        <f>(VLOOKUP(B65,'Data Core CPI'!$B:$AY,MATCH($E$1,'Data Core CPI'!$B$1:$AY$1,),)-VLOOKUP(EDATE(B65,-12),'Data Core CPI'!$B:$AY,MATCH($E$1,'Data Core CPI'!$B$1:$AY$1,),))/VLOOKUP(EDATE(B65,-12),'Data Core CPI'!$B:$AY,MATCH($E$1,'Data Core CPI'!$B$1:$AY$1,),)</f>
        <v>1.400304414003054E-2</v>
      </c>
      <c r="F65" s="21">
        <f>(VLOOKUP(B65,'Data Core CPI'!$B:$AY,MATCH($F$1,'Data Core CPI'!$B$1:$AY$1,),)-VLOOKUP(EDATE(B65,-12),'Data Core CPI'!$B:$AY,MATCH($F$1,'Data Core CPI'!$B$1:$AY$1,),))/VLOOKUP(EDATE(B65,-12),'Data Core CPI'!$B:$AY,MATCH($F$1,'Data Core CPI'!$B$1:$AY$1,),)</f>
        <v>5.2015530209066655E-3</v>
      </c>
      <c r="G65" s="21">
        <f>(VLOOKUP(B65,'Data Core CPI'!$B:$AY,MATCH($G$1,'Data Core CPI'!$B$1:$AY$1,),)-VLOOKUP(EDATE(B65,-12),'Data Core CPI'!$B:$AY,MATCH($G$1,'Data Core CPI'!$B$1:$AY$1,),))/VLOOKUP(EDATE(B65,-12),'Data Core CPI'!$B:$AY,MATCH($G$1,'Data Core CPI'!$B$1:$AY$1,),)</f>
        <v>1.9597072179139609E-2</v>
      </c>
      <c r="H65" s="21">
        <f>(VLOOKUP(B65,'Data Core CPI'!$B:$AY,MATCH($H$1,'Data Core CPI'!$B$1:$AY$1,),)-VLOOKUP(EDATE(B65,-12),'Data Core CPI'!$B:$AY,MATCH($H$1,'Data Core CPI'!$B$1:$AY$1,),))/VLOOKUP(EDATE(B65,-12),'Data Core CPI'!$B:$AY,MATCH($H$1,'Data Core CPI'!$B$1:$AY$1,),)</f>
        <v>6.8601134697019736E-3</v>
      </c>
      <c r="I65" s="21">
        <f>(VLOOKUP(B65,'Data Core CPI'!$B:$AY,MATCH($I$1,'Data Core CPI'!$B$1:$AY$1,),)-VLOOKUP(EDATE(B65,-12),'Data Core CPI'!$B:$AY,MATCH($I$1,'Data Core CPI'!$B$1:$AY$1,),))/VLOOKUP(EDATE(B65,-12),'Data Core CPI'!$B:$AY,MATCH($I$1,'Data Core CPI'!$B$1:$AY$1,),)</f>
        <v>1.4198782961460505E-2</v>
      </c>
      <c r="J65" s="21">
        <f>(VLOOKUP(B65,'Data Core CPI'!$B:$AY,MATCH($J$1,'Data Core CPI'!$B$1:$AY$1,),)-VLOOKUP(EDATE(B65,-12),'Data Core CPI'!$B:$AY,MATCH($J$1,'Data Core CPI'!$B$1:$AY$1,),))/VLOOKUP(EDATE(B65,-12),'Data Core CPI'!$B:$AY,MATCH($J$1,'Data Core CPI'!$B$1:$AY$1,),)</f>
        <v>7.6477459814321986E-3</v>
      </c>
      <c r="K65" s="21">
        <f>(VLOOKUP(B65,'Data Core CPI'!$B:$AY,MATCH($K$1,'Data Core CPI'!$B$1:$AY$1,),)-VLOOKUP(EDATE(B65,-12),'Data Core CPI'!$B:$AY,MATCH($K$1,'Data Core CPI'!$B$1:$AY$1,),))/VLOOKUP(EDATE(B65,-12),'Data Core CPI'!$B:$AY,MATCH($K$1,'Data Core CPI'!$B$1:$AY$1,),)</f>
        <v>6.6649210463898493E-3</v>
      </c>
      <c r="L65" s="21">
        <f>(VLOOKUP(B65,'Data Core CPI'!$B:$AY,MATCH($L$1,'Data Core CPI'!$B$1:$AY$1,),)-VLOOKUP(EDATE(B65,-12),'Data Core CPI'!$B:$AY,MATCH($L$1,'Data Core CPI'!$B$1:$AY$1,),))/VLOOKUP(EDATE(B65,-12),'Data Core CPI'!$B:$AY,MATCH($L$1,'Data Core CPI'!$B$1:$AY$1,),)</f>
        <v>1.5111481749930011E-3</v>
      </c>
      <c r="M65" s="21">
        <f>(VLOOKUP(B65,'Data Core CPI'!$B:$AY,MATCH($M$1,'Data Core CPI'!$B$1:$AY$1,),)-VLOOKUP(EDATE(B65,-12),'Data Core CPI'!$B:$AY,MATCH($M$1,'Data Core CPI'!$B$1:$AY$1,),))/VLOOKUP(EDATE(B65,-12),'Data Core CPI'!$B:$AY,MATCH($M$1,'Data Core CPI'!$B$1:$AY$1,),)</f>
        <v>2.3718244224699297E-2</v>
      </c>
      <c r="N65" s="21" t="e">
        <f>(VLOOKUP(B65,'Data Core CPI'!$B:$AY,MATCH($N$1,'Data Core CPI'!$B$1:$AY$1,),)-VLOOKUP(EDATE(B65,-12),'Data Core CPI'!$B:$AY,MATCH($N$1,'Data Core CPI'!$B$1:$AY$1,),))/VLOOKUP(EDATE(B65,-12),'Data Core CPI'!$B:$AY,MATCH($N$1,'Data Core CPI'!$B$1:$AY$1,),)</f>
        <v>#DIV/0!</v>
      </c>
      <c r="O65" s="21" t="e">
        <f>(VLOOKUP(B65,'Data Core CPI'!$B:$AY,MATCH($O$1,'Data Core CPI'!$B$1:$AY$1,),)-VLOOKUP(EDATE(B65,-12),'Data Core CPI'!$B:$AY,MATCH($O$1,'Data Core CPI'!$B$1:$AY$1,),))/VLOOKUP(EDATE(B65,-12),'Data Core CPI'!$B:$AY,MATCH($O$1,'Data Core CPI'!$B$1:$AY$1,),)</f>
        <v>#DIV/0!</v>
      </c>
      <c r="P65" s="21">
        <f>(VLOOKUP(B65,'Data Core CPI'!$B:$AY,MATCH($P$1,'Data Core CPI'!$B$1:$AY$1,),)-VLOOKUP(EDATE(B65,-12),'Data Core CPI'!$B:$AY,MATCH($P$1,'Data Core CPI'!$B$1:$AY$1,),))/VLOOKUP(EDATE(B65,-12),'Data Core CPI'!$B:$AY,MATCH($P$1,'Data Core CPI'!$B$1:$AY$1,),)</f>
        <v>2.6686879327843319E-2</v>
      </c>
      <c r="Q65" s="21" t="e">
        <f>(VLOOKUP(B65,'Data Core CPI'!$B:$AY,MATCH($Q$1,'Data Core CPI'!$B$1:$AY$1,),)-VLOOKUP(EDATE(B65,-12),'Data Core CPI'!$B:$AY,MATCH($Q$1,'Data Core CPI'!$B$1:$AY$1,),))/VLOOKUP(EDATE(B65,-12),'Data Core CPI'!$B:$AY,MATCH($Q$1,'Data Core CPI'!$B$1:$AY$1,),)</f>
        <v>#N/A</v>
      </c>
      <c r="R65" s="21">
        <f>(VLOOKUP(B65,'Data Core CPI'!$B:$AY,MATCH($R$1,'Data Core CPI'!$B$1:$AY$1,),)-VLOOKUP(EDATE(B65,-12),'Data Core CPI'!$B:$AY,MATCH($R$1,'Data Core CPI'!$B$1:$AY$1,),))/VLOOKUP(EDATE(B65,-12),'Data Core CPI'!$B:$AY,MATCH($R$1,'Data Core CPI'!$B$1:$AY$1,),)</f>
        <v>-4.0217995306683482E-3</v>
      </c>
      <c r="S65" s="21" t="e">
        <f>(VLOOKUP(B65,'Data Core CPI'!$B:$AY,MATCH($S$1,'Data Core CPI'!$B$1:$AY$1,),)-VLOOKUP(EDATE(B65,-12),'Data Core CPI'!$B:$AY,MATCH($S$1,'Data Core CPI'!$B$1:$AY$1,),))/VLOOKUP(EDATE(B65,-12),'Data Core CPI'!$B:$AY,MATCH($S$1,'Data Core CPI'!$B$1:$AY$1,),)</f>
        <v>#DIV/0!</v>
      </c>
      <c r="T65" s="21" t="e">
        <f>(VLOOKUP(B65,'Data Core CPI'!$B:$AY,MATCH($T$1,'Data Core CPI'!$B$1:$AY$1,),)-VLOOKUP(EDATE(B65,-12),'Data Core CPI'!$B:$AY,MATCH($T$1,'Data Core CPI'!$B$1:$AY$1,),))/VLOOKUP(EDATE(B65,-12),'Data Core CPI'!$B:$AY,MATCH($T$1,'Data Core CPI'!$B$1:$AY$1,),)</f>
        <v>#DIV/0!</v>
      </c>
      <c r="U65" s="21">
        <f>(VLOOKUP(B65,'Data Core CPI'!$B:$AY,MATCH($U$1,'Data Core CPI'!$B$1:$AY$1,),)-VLOOKUP(EDATE(B65,-12),'Data Core CPI'!$B:$AY,MATCH($U$1,'Data Core CPI'!$B$1:$AY$1,),))/VLOOKUP(EDATE(B65,-12),'Data Core CPI'!$B:$AY,MATCH($U$1,'Data Core CPI'!$B$1:$AY$1,),)</f>
        <v>-1.4617469777757438E-2</v>
      </c>
      <c r="V65" s="21">
        <f>(VLOOKUP(B65,'Data Core CPI'!$B:$AY,MATCH($V$1,'Data Core CPI'!$B$1:$AY$1,),)-VLOOKUP(EDATE(B65,-12),'Data Core CPI'!$B:$AY,MATCH($V$1,'Data Core CPI'!$B$1:$AY$1,),))/VLOOKUP(EDATE(B65,-12),'Data Core CPI'!$B:$AY,MATCH($V$1,'Data Core CPI'!$B$1:$AY$1,),)</f>
        <v>1.183270140335467E-2</v>
      </c>
      <c r="W65" s="21">
        <f>(VLOOKUP(B65,'Data Core CPI'!$B:$AY,MATCH($W$1,'Data Core CPI'!$B$1:$AY$1,),)-VLOOKUP(EDATE(B65,-12),'Data Core CPI'!$B:$AY,MATCH($W$1,'Data Core CPI'!$B$1:$AY$1,),))/VLOOKUP(EDATE(B65,-12),'Data Core CPI'!$B:$AY,MATCH($W$1,'Data Core CPI'!$B$1:$AY$1,),)</f>
        <v>7.2664556020353072E-2</v>
      </c>
      <c r="X65" s="21">
        <f>(VLOOKUP(B65,'Data Core CPI'!$B:$AY,MATCH($X$1,'Data Core CPI'!$B$1:$AY$1,),)-VLOOKUP(EDATE(B65,-12),'Data Core CPI'!$B:$AY,MATCH($X$1,'Data Core CPI'!$B$1:$AY$1,),))/VLOOKUP(EDATE(B65,-12),'Data Core CPI'!$B:$AY,MATCH($X$1,'Data Core CPI'!$B$1:$AY$1,),)</f>
        <v>1.2096774193548416E-2</v>
      </c>
      <c r="Y65" s="21">
        <f>(VLOOKUP(B65,'Data Core CPI'!$B:$AY,MATCH($Y$1,'Data Core CPI'!$B$1:$AY$1,),)-VLOOKUP(EDATE(B65,-12),'Data Core CPI'!$B:$AY,MATCH($Y$1,'Data Core CPI'!$B$1:$AY$1,),))/VLOOKUP(EDATE(B65,-12),'Data Core CPI'!$B:$AY,MATCH($Y$1,'Data Core CPI'!$B$1:$AY$1,),)</f>
        <v>5.2312809844214225E-3</v>
      </c>
      <c r="Z65" s="21" t="e">
        <f>(VLOOKUP(B65,Data!$B:$AY,MATCH($Z$1,Data!$B$1:$AY$1,),)-VLOOKUP(EDATE(B65,-12),Data!$B:$AY,MATCH($Z$1,Data!$B$1:$AY$1,),))/VLOOKUP(EDATE(B65,-12),Data!$B:$AY,MATCH($Z$1,Data!$B$1:$AY$1,),)</f>
        <v>#N/A</v>
      </c>
      <c r="AA65" s="21" t="e">
        <f>(VLOOKUP(B65,Data!$B:$AY,MATCH($AA$1,Data!$B$1:$AY$1,),)-VLOOKUP(EDATE(B65,-12),Data!$B:$AY,MATCH($AA$1,Data!$B$1:$AY$1,),))/VLOOKUP(EDATE(B65,-12),Data!$B:$AY,MATCH($AA$1,Data!$B$1:$AY$1,),)</f>
        <v>#N/A</v>
      </c>
      <c r="AB65" s="20"/>
    </row>
    <row r="66" spans="2:28" x14ac:dyDescent="0.2">
      <c r="B66" s="16">
        <v>42217</v>
      </c>
      <c r="C66" s="21">
        <f>(VLOOKUP(B66,'Data Core CPI'!$B:$AY,MATCH($C$1,'Data Core CPI'!$B$1:$AY$1,),)-VLOOKUP(EDATE(B66,-12),'Data Core CPI'!$B:$AY,MATCH($C$1,'Data Core CPI'!$B$1:$AY$1,),))/VLOOKUP(EDATE(B66,-12),'Data Core CPI'!$B:$AY,MATCH($C$1,'Data Core CPI'!$B$1:$AY$1,),)</f>
        <v>1.8275838722722444E-2</v>
      </c>
      <c r="D66" s="21" t="e">
        <f>(VLOOKUP(B66,'Data Core CPI'!$B:$AY,MATCH($D$1,'Data Core CPI'!$B$1:$AY$1,),)-VLOOKUP(EDATE(B66,-12),'Data Core CPI'!$B:$AY,MATCH($D$1,'Data Core CPI'!$B$1:$AY$1,),))/VLOOKUP(EDATE(B66,-12),'Data Core CPI'!$B:$AY,MATCH($D$1,'Data Core CPI'!$B$1:$AY$1,),)</f>
        <v>#DIV/0!</v>
      </c>
      <c r="E66" s="21">
        <f>(VLOOKUP(B66,'Data Core CPI'!$B:$AY,MATCH($E$1,'Data Core CPI'!$B$1:$AY$1,),)-VLOOKUP(EDATE(B66,-12),'Data Core CPI'!$B:$AY,MATCH($E$1,'Data Core CPI'!$B$1:$AY$1,),))/VLOOKUP(EDATE(B66,-12),'Data Core CPI'!$B:$AY,MATCH($E$1,'Data Core CPI'!$B$1:$AY$1,),)</f>
        <v>1.3856579346616672E-2</v>
      </c>
      <c r="F66" s="21">
        <f>(VLOOKUP(B66,'Data Core CPI'!$B:$AY,MATCH($F$1,'Data Core CPI'!$B$1:$AY$1,),)-VLOOKUP(EDATE(B66,-12),'Data Core CPI'!$B:$AY,MATCH($F$1,'Data Core CPI'!$B$1:$AY$1,),))/VLOOKUP(EDATE(B66,-12),'Data Core CPI'!$B:$AY,MATCH($F$1,'Data Core CPI'!$B$1:$AY$1,),)</f>
        <v>7.0082564190612163E-3</v>
      </c>
      <c r="G66" s="21">
        <f>(VLOOKUP(B66,'Data Core CPI'!$B:$AY,MATCH($G$1,'Data Core CPI'!$B$1:$AY$1,),)-VLOOKUP(EDATE(B66,-12),'Data Core CPI'!$B:$AY,MATCH($G$1,'Data Core CPI'!$B$1:$AY$1,),))/VLOOKUP(EDATE(B66,-12),'Data Core CPI'!$B:$AY,MATCH($G$1,'Data Core CPI'!$B$1:$AY$1,),)</f>
        <v>2.1374251445458459E-2</v>
      </c>
      <c r="H66" s="21">
        <f>(VLOOKUP(B66,'Data Core CPI'!$B:$AY,MATCH($H$1,'Data Core CPI'!$B$1:$AY$1,),)-VLOOKUP(EDATE(B66,-12),'Data Core CPI'!$B:$AY,MATCH($H$1,'Data Core CPI'!$B$1:$AY$1,),))/VLOOKUP(EDATE(B66,-12),'Data Core CPI'!$B:$AY,MATCH($H$1,'Data Core CPI'!$B$1:$AY$1,),)</f>
        <v>5.3517545024956772E-3</v>
      </c>
      <c r="I66" s="21">
        <f>(VLOOKUP(B66,'Data Core CPI'!$B:$AY,MATCH($I$1,'Data Core CPI'!$B$1:$AY$1,),)-VLOOKUP(EDATE(B66,-12),'Data Core CPI'!$B:$AY,MATCH($I$1,'Data Core CPI'!$B$1:$AY$1,),))/VLOOKUP(EDATE(B66,-12),'Data Core CPI'!$B:$AY,MATCH($I$1,'Data Core CPI'!$B$1:$AY$1,),)</f>
        <v>1.2108980827447052E-2</v>
      </c>
      <c r="J66" s="21">
        <f>(VLOOKUP(B66,'Data Core CPI'!$B:$AY,MATCH($J$1,'Data Core CPI'!$B$1:$AY$1,),)-VLOOKUP(EDATE(B66,-12),'Data Core CPI'!$B:$AY,MATCH($J$1,'Data Core CPI'!$B$1:$AY$1,),))/VLOOKUP(EDATE(B66,-12),'Data Core CPI'!$B:$AY,MATCH($J$1,'Data Core CPI'!$B$1:$AY$1,),)</f>
        <v>8.6912143264028588E-3</v>
      </c>
      <c r="K66" s="21">
        <f>(VLOOKUP(B66,'Data Core CPI'!$B:$AY,MATCH($K$1,'Data Core CPI'!$B$1:$AY$1,),)-VLOOKUP(EDATE(B66,-12),'Data Core CPI'!$B:$AY,MATCH($K$1,'Data Core CPI'!$B$1:$AY$1,),))/VLOOKUP(EDATE(B66,-12),'Data Core CPI'!$B:$AY,MATCH($K$1,'Data Core CPI'!$B$1:$AY$1,),)</f>
        <v>5.9519083304823339E-3</v>
      </c>
      <c r="L66" s="21">
        <f>(VLOOKUP(B66,'Data Core CPI'!$B:$AY,MATCH($L$1,'Data Core CPI'!$B$1:$AY$1,),)-VLOOKUP(EDATE(B66,-12),'Data Core CPI'!$B:$AY,MATCH($L$1,'Data Core CPI'!$B$1:$AY$1,),))/VLOOKUP(EDATE(B66,-12),'Data Core CPI'!$B:$AY,MATCH($L$1,'Data Core CPI'!$B$1:$AY$1,),)</f>
        <v>-4.0312084895517653E-4</v>
      </c>
      <c r="M66" s="21">
        <f>(VLOOKUP(B66,'Data Core CPI'!$B:$AY,MATCH($M$1,'Data Core CPI'!$B$1:$AY$1,),)-VLOOKUP(EDATE(B66,-12),'Data Core CPI'!$B:$AY,MATCH($M$1,'Data Core CPI'!$B$1:$AY$1,),))/VLOOKUP(EDATE(B66,-12),'Data Core CPI'!$B:$AY,MATCH($M$1,'Data Core CPI'!$B$1:$AY$1,),)</f>
        <v>2.383588774132326E-2</v>
      </c>
      <c r="N66" s="21" t="e">
        <f>(VLOOKUP(B66,'Data Core CPI'!$B:$AY,MATCH($N$1,'Data Core CPI'!$B$1:$AY$1,),)-VLOOKUP(EDATE(B66,-12),'Data Core CPI'!$B:$AY,MATCH($N$1,'Data Core CPI'!$B$1:$AY$1,),))/VLOOKUP(EDATE(B66,-12),'Data Core CPI'!$B:$AY,MATCH($N$1,'Data Core CPI'!$B$1:$AY$1,),)</f>
        <v>#DIV/0!</v>
      </c>
      <c r="O66" s="21" t="e">
        <f>(VLOOKUP(B66,'Data Core CPI'!$B:$AY,MATCH($O$1,'Data Core CPI'!$B$1:$AY$1,),)-VLOOKUP(EDATE(B66,-12),'Data Core CPI'!$B:$AY,MATCH($O$1,'Data Core CPI'!$B$1:$AY$1,),))/VLOOKUP(EDATE(B66,-12),'Data Core CPI'!$B:$AY,MATCH($O$1,'Data Core CPI'!$B$1:$AY$1,),)</f>
        <v>#DIV/0!</v>
      </c>
      <c r="P66" s="21">
        <f>(VLOOKUP(B66,'Data Core CPI'!$B:$AY,MATCH($P$1,'Data Core CPI'!$B$1:$AY$1,),)-VLOOKUP(EDATE(B66,-12),'Data Core CPI'!$B:$AY,MATCH($P$1,'Data Core CPI'!$B$1:$AY$1,),))/VLOOKUP(EDATE(B66,-12),'Data Core CPI'!$B:$AY,MATCH($P$1,'Data Core CPI'!$B$1:$AY$1,),)</f>
        <v>2.5019075218666802E-2</v>
      </c>
      <c r="Q66" s="21" t="e">
        <f>(VLOOKUP(B66,'Data Core CPI'!$B:$AY,MATCH($Q$1,'Data Core CPI'!$B$1:$AY$1,),)-VLOOKUP(EDATE(B66,-12),'Data Core CPI'!$B:$AY,MATCH($Q$1,'Data Core CPI'!$B$1:$AY$1,),))/VLOOKUP(EDATE(B66,-12),'Data Core CPI'!$B:$AY,MATCH($Q$1,'Data Core CPI'!$B$1:$AY$1,),)</f>
        <v>#N/A</v>
      </c>
      <c r="R66" s="21">
        <f>(VLOOKUP(B66,'Data Core CPI'!$B:$AY,MATCH($R$1,'Data Core CPI'!$B$1:$AY$1,),)-VLOOKUP(EDATE(B66,-12),'Data Core CPI'!$B:$AY,MATCH($R$1,'Data Core CPI'!$B$1:$AY$1,),))/VLOOKUP(EDATE(B66,-12),'Data Core CPI'!$B:$AY,MATCH($R$1,'Data Core CPI'!$B$1:$AY$1,),)</f>
        <v>-5.0379004433711442E-3</v>
      </c>
      <c r="S66" s="21" t="e">
        <f>(VLOOKUP(B66,'Data Core CPI'!$B:$AY,MATCH($S$1,'Data Core CPI'!$B$1:$AY$1,),)-VLOOKUP(EDATE(B66,-12),'Data Core CPI'!$B:$AY,MATCH($S$1,'Data Core CPI'!$B$1:$AY$1,),))/VLOOKUP(EDATE(B66,-12),'Data Core CPI'!$B:$AY,MATCH($S$1,'Data Core CPI'!$B$1:$AY$1,),)</f>
        <v>#DIV/0!</v>
      </c>
      <c r="T66" s="21" t="e">
        <f>(VLOOKUP(B66,'Data Core CPI'!$B:$AY,MATCH($T$1,'Data Core CPI'!$B$1:$AY$1,),)-VLOOKUP(EDATE(B66,-12),'Data Core CPI'!$B:$AY,MATCH($T$1,'Data Core CPI'!$B$1:$AY$1,),))/VLOOKUP(EDATE(B66,-12),'Data Core CPI'!$B:$AY,MATCH($T$1,'Data Core CPI'!$B$1:$AY$1,),)</f>
        <v>#DIV/0!</v>
      </c>
      <c r="U66" s="21">
        <f>(VLOOKUP(B66,'Data Core CPI'!$B:$AY,MATCH($U$1,'Data Core CPI'!$B$1:$AY$1,),)-VLOOKUP(EDATE(B66,-12),'Data Core CPI'!$B:$AY,MATCH($U$1,'Data Core CPI'!$B$1:$AY$1,),))/VLOOKUP(EDATE(B66,-12),'Data Core CPI'!$B:$AY,MATCH($U$1,'Data Core CPI'!$B$1:$AY$1,),)</f>
        <v>-1.120454375577019E-2</v>
      </c>
      <c r="V66" s="21">
        <f>(VLOOKUP(B66,'Data Core CPI'!$B:$AY,MATCH($V$1,'Data Core CPI'!$B$1:$AY$1,),)-VLOOKUP(EDATE(B66,-12),'Data Core CPI'!$B:$AY,MATCH($V$1,'Data Core CPI'!$B$1:$AY$1,),))/VLOOKUP(EDATE(B66,-12),'Data Core CPI'!$B:$AY,MATCH($V$1,'Data Core CPI'!$B$1:$AY$1,),)</f>
        <v>1.6194216155653769E-2</v>
      </c>
      <c r="W66" s="21">
        <f>(VLOOKUP(B66,'Data Core CPI'!$B:$AY,MATCH($W$1,'Data Core CPI'!$B$1:$AY$1,),)-VLOOKUP(EDATE(B66,-12),'Data Core CPI'!$B:$AY,MATCH($W$1,'Data Core CPI'!$B$1:$AY$1,),))/VLOOKUP(EDATE(B66,-12),'Data Core CPI'!$B:$AY,MATCH($W$1,'Data Core CPI'!$B$1:$AY$1,),)</f>
        <v>7.665709173797905E-2</v>
      </c>
      <c r="X66" s="21">
        <f>(VLOOKUP(B66,'Data Core CPI'!$B:$AY,MATCH($X$1,'Data Core CPI'!$B$1:$AY$1,),)-VLOOKUP(EDATE(B66,-12),'Data Core CPI'!$B:$AY,MATCH($X$1,'Data Core CPI'!$B$1:$AY$1,),))/VLOOKUP(EDATE(B66,-12),'Data Core CPI'!$B:$AY,MATCH($X$1,'Data Core CPI'!$B$1:$AY$1,),)</f>
        <v>1.2096774193548416E-2</v>
      </c>
      <c r="Y66" s="21">
        <f>(VLOOKUP(B66,'Data Core CPI'!$B:$AY,MATCH($Y$1,'Data Core CPI'!$B$1:$AY$1,),)-VLOOKUP(EDATE(B66,-12),'Data Core CPI'!$B:$AY,MATCH($Y$1,'Data Core CPI'!$B$1:$AY$1,),))/VLOOKUP(EDATE(B66,-12),'Data Core CPI'!$B:$AY,MATCH($Y$1,'Data Core CPI'!$B$1:$AY$1,),)</f>
        <v>4.3588158341394097E-3</v>
      </c>
      <c r="Z66" s="21" t="e">
        <f>(VLOOKUP(B66,Data!$B:$AY,MATCH($Z$1,Data!$B$1:$AY$1,),)-VLOOKUP(EDATE(B66,-12),Data!$B:$AY,MATCH($Z$1,Data!$B$1:$AY$1,),))/VLOOKUP(EDATE(B66,-12),Data!$B:$AY,MATCH($Z$1,Data!$B$1:$AY$1,),)</f>
        <v>#N/A</v>
      </c>
      <c r="AA66" s="21" t="e">
        <f>(VLOOKUP(B66,Data!$B:$AY,MATCH($AA$1,Data!$B$1:$AY$1,),)-VLOOKUP(EDATE(B66,-12),Data!$B:$AY,MATCH($AA$1,Data!$B$1:$AY$1,),))/VLOOKUP(EDATE(B66,-12),Data!$B:$AY,MATCH($AA$1,Data!$B$1:$AY$1,),)</f>
        <v>#N/A</v>
      </c>
      <c r="AB66" s="20"/>
    </row>
    <row r="67" spans="2:28" x14ac:dyDescent="0.2">
      <c r="B67" s="16">
        <v>42248</v>
      </c>
      <c r="C67" s="21">
        <f>(VLOOKUP(B67,'Data Core CPI'!$B:$AY,MATCH($C$1,'Data Core CPI'!$B$1:$AY$1,),)-VLOOKUP(EDATE(B67,-12),'Data Core CPI'!$B:$AY,MATCH($C$1,'Data Core CPI'!$B$1:$AY$1,),))/VLOOKUP(EDATE(B67,-12),'Data Core CPI'!$B:$AY,MATCH($C$1,'Data Core CPI'!$B$1:$AY$1,),)</f>
        <v>1.8915920003407857E-2</v>
      </c>
      <c r="D67" s="21" t="e">
        <f>(VLOOKUP(B67,'Data Core CPI'!$B:$AY,MATCH($D$1,'Data Core CPI'!$B$1:$AY$1,),)-VLOOKUP(EDATE(B67,-12),'Data Core CPI'!$B:$AY,MATCH($D$1,'Data Core CPI'!$B$1:$AY$1,),))/VLOOKUP(EDATE(B67,-12),'Data Core CPI'!$B:$AY,MATCH($D$1,'Data Core CPI'!$B$1:$AY$1,),)</f>
        <v>#DIV/0!</v>
      </c>
      <c r="E67" s="21">
        <f>(VLOOKUP(B67,'Data Core CPI'!$B:$AY,MATCH($E$1,'Data Core CPI'!$B$1:$AY$1,),)-VLOOKUP(EDATE(B67,-12),'Data Core CPI'!$B:$AY,MATCH($E$1,'Data Core CPI'!$B$1:$AY$1,),))/VLOOKUP(EDATE(B67,-12),'Data Core CPI'!$B:$AY,MATCH($E$1,'Data Core CPI'!$B$1:$AY$1,),)</f>
        <v>1.2975256487628163E-2</v>
      </c>
      <c r="F67" s="21">
        <f>(VLOOKUP(B67,'Data Core CPI'!$B:$AY,MATCH($F$1,'Data Core CPI'!$B$1:$AY$1,),)-VLOOKUP(EDATE(B67,-12),'Data Core CPI'!$B:$AY,MATCH($F$1,'Data Core CPI'!$B$1:$AY$1,),))/VLOOKUP(EDATE(B67,-12),'Data Core CPI'!$B:$AY,MATCH($F$1,'Data Core CPI'!$B$1:$AY$1,),)</f>
        <v>7.3321954507987053E-3</v>
      </c>
      <c r="G67" s="21">
        <f>(VLOOKUP(B67,'Data Core CPI'!$B:$AY,MATCH($G$1,'Data Core CPI'!$B$1:$AY$1,),)-VLOOKUP(EDATE(B67,-12),'Data Core CPI'!$B:$AY,MATCH($G$1,'Data Core CPI'!$B$1:$AY$1,),))/VLOOKUP(EDATE(B67,-12),'Data Core CPI'!$B:$AY,MATCH($G$1,'Data Core CPI'!$B$1:$AY$1,),)</f>
        <v>2.1047431190466832E-2</v>
      </c>
      <c r="H67" s="21">
        <f>(VLOOKUP(B67,'Data Core CPI'!$B:$AY,MATCH($H$1,'Data Core CPI'!$B$1:$AY$1,),)-VLOOKUP(EDATE(B67,-12),'Data Core CPI'!$B:$AY,MATCH($H$1,'Data Core CPI'!$B$1:$AY$1,),))/VLOOKUP(EDATE(B67,-12),'Data Core CPI'!$B:$AY,MATCH($H$1,'Data Core CPI'!$B$1:$AY$1,),)</f>
        <v>5.8167731524768687E-3</v>
      </c>
      <c r="I67" s="21">
        <f>(VLOOKUP(B67,'Data Core CPI'!$B:$AY,MATCH($I$1,'Data Core CPI'!$B$1:$AY$1,),)-VLOOKUP(EDATE(B67,-12),'Data Core CPI'!$B:$AY,MATCH($I$1,'Data Core CPI'!$B$1:$AY$1,),))/VLOOKUP(EDATE(B67,-12),'Data Core CPI'!$B:$AY,MATCH($I$1,'Data Core CPI'!$B$1:$AY$1,),)</f>
        <v>1.2096774193548416E-2</v>
      </c>
      <c r="J67" s="21">
        <f>(VLOOKUP(B67,'Data Core CPI'!$B:$AY,MATCH($J$1,'Data Core CPI'!$B$1:$AY$1,),)-VLOOKUP(EDATE(B67,-12),'Data Core CPI'!$B:$AY,MATCH($J$1,'Data Core CPI'!$B$1:$AY$1,),))/VLOOKUP(EDATE(B67,-12),'Data Core CPI'!$B:$AY,MATCH($J$1,'Data Core CPI'!$B$1:$AY$1,),)</f>
        <v>9.1973387194977559E-3</v>
      </c>
      <c r="K67" s="21">
        <f>(VLOOKUP(B67,'Data Core CPI'!$B:$AY,MATCH($K$1,'Data Core CPI'!$B$1:$AY$1,),)-VLOOKUP(EDATE(B67,-12),'Data Core CPI'!$B:$AY,MATCH($K$1,'Data Core CPI'!$B$1:$AY$1,),))/VLOOKUP(EDATE(B67,-12),'Data Core CPI'!$B:$AY,MATCH($K$1,'Data Core CPI'!$B$1:$AY$1,),)</f>
        <v>7.0236636183652395E-3</v>
      </c>
      <c r="L67" s="21">
        <f>(VLOOKUP(B67,'Data Core CPI'!$B:$AY,MATCH($L$1,'Data Core CPI'!$B$1:$AY$1,),)-VLOOKUP(EDATE(B67,-12),'Data Core CPI'!$B:$AY,MATCH($L$1,'Data Core CPI'!$B$1:$AY$1,),))/VLOOKUP(EDATE(B67,-12),'Data Core CPI'!$B:$AY,MATCH($L$1,'Data Core CPI'!$B$1:$AY$1,),)</f>
        <v>3.6854029647197225E-3</v>
      </c>
      <c r="M67" s="21">
        <f>(VLOOKUP(B67,'Data Core CPI'!$B:$AY,MATCH($M$1,'Data Core CPI'!$B$1:$AY$1,),)-VLOOKUP(EDATE(B67,-12),'Data Core CPI'!$B:$AY,MATCH($M$1,'Data Core CPI'!$B$1:$AY$1,),))/VLOOKUP(EDATE(B67,-12),'Data Core CPI'!$B:$AY,MATCH($M$1,'Data Core CPI'!$B$1:$AY$1,),)</f>
        <v>2.4610869052159506E-2</v>
      </c>
      <c r="N67" s="21" t="e">
        <f>(VLOOKUP(B67,'Data Core CPI'!$B:$AY,MATCH($N$1,'Data Core CPI'!$B$1:$AY$1,),)-VLOOKUP(EDATE(B67,-12),'Data Core CPI'!$B:$AY,MATCH($N$1,'Data Core CPI'!$B$1:$AY$1,),))/VLOOKUP(EDATE(B67,-12),'Data Core CPI'!$B:$AY,MATCH($N$1,'Data Core CPI'!$B$1:$AY$1,),)</f>
        <v>#DIV/0!</v>
      </c>
      <c r="O67" s="21" t="e">
        <f>(VLOOKUP(B67,'Data Core CPI'!$B:$AY,MATCH($O$1,'Data Core CPI'!$B$1:$AY$1,),)-VLOOKUP(EDATE(B67,-12),'Data Core CPI'!$B:$AY,MATCH($O$1,'Data Core CPI'!$B$1:$AY$1,),))/VLOOKUP(EDATE(B67,-12),'Data Core CPI'!$B:$AY,MATCH($O$1,'Data Core CPI'!$B$1:$AY$1,),)</f>
        <v>#DIV/0!</v>
      </c>
      <c r="P67" s="21">
        <f>(VLOOKUP(B67,'Data Core CPI'!$B:$AY,MATCH($P$1,'Data Core CPI'!$B$1:$AY$1,),)-VLOOKUP(EDATE(B67,-12),'Data Core CPI'!$B:$AY,MATCH($P$1,'Data Core CPI'!$B$1:$AY$1,),))/VLOOKUP(EDATE(B67,-12),'Data Core CPI'!$B:$AY,MATCH($P$1,'Data Core CPI'!$B$1:$AY$1,),)</f>
        <v>2.6678049203043924E-2</v>
      </c>
      <c r="Q67" s="21" t="e">
        <f>(VLOOKUP(B67,'Data Core CPI'!$B:$AY,MATCH($Q$1,'Data Core CPI'!$B$1:$AY$1,),)-VLOOKUP(EDATE(B67,-12),'Data Core CPI'!$B:$AY,MATCH($Q$1,'Data Core CPI'!$B$1:$AY$1,),))/VLOOKUP(EDATE(B67,-12),'Data Core CPI'!$B:$AY,MATCH($Q$1,'Data Core CPI'!$B$1:$AY$1,),)</f>
        <v>#N/A</v>
      </c>
      <c r="R67" s="21">
        <f>(VLOOKUP(B67,'Data Core CPI'!$B:$AY,MATCH($R$1,'Data Core CPI'!$B$1:$AY$1,),)-VLOOKUP(EDATE(B67,-12),'Data Core CPI'!$B:$AY,MATCH($R$1,'Data Core CPI'!$B$1:$AY$1,),))/VLOOKUP(EDATE(B67,-12),'Data Core CPI'!$B:$AY,MATCH($R$1,'Data Core CPI'!$B$1:$AY$1,),)</f>
        <v>-4.7919530300824034E-3</v>
      </c>
      <c r="S67" s="21" t="e">
        <f>(VLOOKUP(B67,'Data Core CPI'!$B:$AY,MATCH($S$1,'Data Core CPI'!$B$1:$AY$1,),)-VLOOKUP(EDATE(B67,-12),'Data Core CPI'!$B:$AY,MATCH($S$1,'Data Core CPI'!$B$1:$AY$1,),))/VLOOKUP(EDATE(B67,-12),'Data Core CPI'!$B:$AY,MATCH($S$1,'Data Core CPI'!$B$1:$AY$1,),)</f>
        <v>#DIV/0!</v>
      </c>
      <c r="T67" s="21" t="e">
        <f>(VLOOKUP(B67,'Data Core CPI'!$B:$AY,MATCH($T$1,'Data Core CPI'!$B$1:$AY$1,),)-VLOOKUP(EDATE(B67,-12),'Data Core CPI'!$B:$AY,MATCH($T$1,'Data Core CPI'!$B$1:$AY$1,),))/VLOOKUP(EDATE(B67,-12),'Data Core CPI'!$B:$AY,MATCH($T$1,'Data Core CPI'!$B$1:$AY$1,),)</f>
        <v>#DIV/0!</v>
      </c>
      <c r="U67" s="21">
        <f>(VLOOKUP(B67,'Data Core CPI'!$B:$AY,MATCH($U$1,'Data Core CPI'!$B$1:$AY$1,),)-VLOOKUP(EDATE(B67,-12),'Data Core CPI'!$B:$AY,MATCH($U$1,'Data Core CPI'!$B$1:$AY$1,),))/VLOOKUP(EDATE(B67,-12),'Data Core CPI'!$B:$AY,MATCH($U$1,'Data Core CPI'!$B$1:$AY$1,),)</f>
        <v>-1.1526437326650362E-2</v>
      </c>
      <c r="V67" s="21">
        <f>(VLOOKUP(B67,'Data Core CPI'!$B:$AY,MATCH($V$1,'Data Core CPI'!$B$1:$AY$1,),)-VLOOKUP(EDATE(B67,-12),'Data Core CPI'!$B:$AY,MATCH($V$1,'Data Core CPI'!$B$1:$AY$1,),))/VLOOKUP(EDATE(B67,-12),'Data Core CPI'!$B:$AY,MATCH($V$1,'Data Core CPI'!$B$1:$AY$1,),)</f>
        <v>1.6035023561545569E-2</v>
      </c>
      <c r="W67" s="21">
        <f>(VLOOKUP(B67,'Data Core CPI'!$B:$AY,MATCH($W$1,'Data Core CPI'!$B$1:$AY$1,),)-VLOOKUP(EDATE(B67,-12),'Data Core CPI'!$B:$AY,MATCH($W$1,'Data Core CPI'!$B$1:$AY$1,),))/VLOOKUP(EDATE(B67,-12),'Data Core CPI'!$B:$AY,MATCH($W$1,'Data Core CPI'!$B$1:$AY$1,),)</f>
        <v>8.4105216235891039E-2</v>
      </c>
      <c r="X67" s="21">
        <f>(VLOOKUP(B67,'Data Core CPI'!$B:$AY,MATCH($X$1,'Data Core CPI'!$B$1:$AY$1,),)-VLOOKUP(EDATE(B67,-12),'Data Core CPI'!$B:$AY,MATCH($X$1,'Data Core CPI'!$B$1:$AY$1,),))/VLOOKUP(EDATE(B67,-12),'Data Core CPI'!$B:$AY,MATCH($X$1,'Data Core CPI'!$B$1:$AY$1,),)</f>
        <v>1.4170040485830017E-2</v>
      </c>
      <c r="Y67" s="21">
        <f>(VLOOKUP(B67,'Data Core CPI'!$B:$AY,MATCH($Y$1,'Data Core CPI'!$B$1:$AY$1,),)-VLOOKUP(EDATE(B67,-12),'Data Core CPI'!$B:$AY,MATCH($Y$1,'Data Core CPI'!$B$1:$AY$1,),))/VLOOKUP(EDATE(B67,-12),'Data Core CPI'!$B:$AY,MATCH($Y$1,'Data Core CPI'!$B$1:$AY$1,),)</f>
        <v>2.6154900671848951E-3</v>
      </c>
      <c r="Z67" s="21" t="e">
        <f>(VLOOKUP(B67,Data!$B:$AY,MATCH($Z$1,Data!$B$1:$AY$1,),)-VLOOKUP(EDATE(B67,-12),Data!$B:$AY,MATCH($Z$1,Data!$B$1:$AY$1,),))/VLOOKUP(EDATE(B67,-12),Data!$B:$AY,MATCH($Z$1,Data!$B$1:$AY$1,),)</f>
        <v>#N/A</v>
      </c>
      <c r="AA67" s="21" t="e">
        <f>(VLOOKUP(B67,Data!$B:$AY,MATCH($AA$1,Data!$B$1:$AY$1,),)-VLOOKUP(EDATE(B67,-12),Data!$B:$AY,MATCH($AA$1,Data!$B$1:$AY$1,),))/VLOOKUP(EDATE(B67,-12),Data!$B:$AY,MATCH($AA$1,Data!$B$1:$AY$1,),)</f>
        <v>#N/A</v>
      </c>
      <c r="AB67" s="20"/>
    </row>
    <row r="68" spans="2:28" x14ac:dyDescent="0.2">
      <c r="B68" s="16">
        <v>42278</v>
      </c>
      <c r="C68" s="21">
        <f>(VLOOKUP(B68,'Data Core CPI'!$B:$AY,MATCH($C$1,'Data Core CPI'!$B$1:$AY$1,),)-VLOOKUP(EDATE(B68,-12),'Data Core CPI'!$B:$AY,MATCH($C$1,'Data Core CPI'!$B$1:$AY$1,),))/VLOOKUP(EDATE(B68,-12),'Data Core CPI'!$B:$AY,MATCH($C$1,'Data Core CPI'!$B$1:$AY$1,),)</f>
        <v>1.9097175846440578E-2</v>
      </c>
      <c r="D68" s="21" t="e">
        <f>(VLOOKUP(B68,'Data Core CPI'!$B:$AY,MATCH($D$1,'Data Core CPI'!$B$1:$AY$1,),)-VLOOKUP(EDATE(B68,-12),'Data Core CPI'!$B:$AY,MATCH($D$1,'Data Core CPI'!$B$1:$AY$1,),))/VLOOKUP(EDATE(B68,-12),'Data Core CPI'!$B:$AY,MATCH($D$1,'Data Core CPI'!$B$1:$AY$1,),)</f>
        <v>#DIV/0!</v>
      </c>
      <c r="E68" s="21">
        <f>(VLOOKUP(B68,'Data Core CPI'!$B:$AY,MATCH($E$1,'Data Core CPI'!$B$1:$AY$1,),)-VLOOKUP(EDATE(B68,-12),'Data Core CPI'!$B:$AY,MATCH($E$1,'Data Core CPI'!$B$1:$AY$1,),))/VLOOKUP(EDATE(B68,-12),'Data Core CPI'!$B:$AY,MATCH($E$1,'Data Core CPI'!$B$1:$AY$1,),)</f>
        <v>1.4584590625628675E-2</v>
      </c>
      <c r="F68" s="21">
        <f>(VLOOKUP(B68,'Data Core CPI'!$B:$AY,MATCH($F$1,'Data Core CPI'!$B$1:$AY$1,),)-VLOOKUP(EDATE(B68,-12),'Data Core CPI'!$B:$AY,MATCH($F$1,'Data Core CPI'!$B$1:$AY$1,),))/VLOOKUP(EDATE(B68,-12),'Data Core CPI'!$B:$AY,MATCH($F$1,'Data Core CPI'!$B$1:$AY$1,),)</f>
        <v>5.7573787210296462E-3</v>
      </c>
      <c r="G68" s="21">
        <f>(VLOOKUP(B68,'Data Core CPI'!$B:$AY,MATCH($G$1,'Data Core CPI'!$B$1:$AY$1,),)-VLOOKUP(EDATE(B68,-12),'Data Core CPI'!$B:$AY,MATCH($G$1,'Data Core CPI'!$B$1:$AY$1,),))/VLOOKUP(EDATE(B68,-12),'Data Core CPI'!$B:$AY,MATCH($G$1,'Data Core CPI'!$B$1:$AY$1,),)</f>
        <v>2.330300501469916E-2</v>
      </c>
      <c r="H68" s="21">
        <f>(VLOOKUP(B68,'Data Core CPI'!$B:$AY,MATCH($H$1,'Data Core CPI'!$B$1:$AY$1,),)-VLOOKUP(EDATE(B68,-12),'Data Core CPI'!$B:$AY,MATCH($H$1,'Data Core CPI'!$B$1:$AY$1,),))/VLOOKUP(EDATE(B68,-12),'Data Core CPI'!$B:$AY,MATCH($H$1,'Data Core CPI'!$B$1:$AY$1,),)</f>
        <v>6.1152293170791397E-3</v>
      </c>
      <c r="I68" s="21">
        <f>(VLOOKUP(B68,'Data Core CPI'!$B:$AY,MATCH($I$1,'Data Core CPI'!$B$1:$AY$1,),)-VLOOKUP(EDATE(B68,-12),'Data Core CPI'!$B:$AY,MATCH($I$1,'Data Core CPI'!$B$1:$AY$1,),))/VLOOKUP(EDATE(B68,-12),'Data Core CPI'!$B:$AY,MATCH($I$1,'Data Core CPI'!$B$1:$AY$1,),)</f>
        <v>1.207243460764576E-2</v>
      </c>
      <c r="J68" s="21">
        <f>(VLOOKUP(B68,'Data Core CPI'!$B:$AY,MATCH($J$1,'Data Core CPI'!$B$1:$AY$1,),)-VLOOKUP(EDATE(B68,-12),'Data Core CPI'!$B:$AY,MATCH($J$1,'Data Core CPI'!$B$1:$AY$1,),))/VLOOKUP(EDATE(B68,-12),'Data Core CPI'!$B:$AY,MATCH($J$1,'Data Core CPI'!$B$1:$AY$1,),)</f>
        <v>9.6759983442011571E-3</v>
      </c>
      <c r="K68" s="21">
        <f>(VLOOKUP(B68,'Data Core CPI'!$B:$AY,MATCH($K$1,'Data Core CPI'!$B$1:$AY$1,),)-VLOOKUP(EDATE(B68,-12),'Data Core CPI'!$B:$AY,MATCH($K$1,'Data Core CPI'!$B$1:$AY$1,),))/VLOOKUP(EDATE(B68,-12),'Data Core CPI'!$B:$AY,MATCH($K$1,'Data Core CPI'!$B$1:$AY$1,),)</f>
        <v>8.201181074911577E-3</v>
      </c>
      <c r="L68" s="21">
        <f>(VLOOKUP(B68,'Data Core CPI'!$B:$AY,MATCH($L$1,'Data Core CPI'!$B$1:$AY$1,),)-VLOOKUP(EDATE(B68,-12),'Data Core CPI'!$B:$AY,MATCH($L$1,'Data Core CPI'!$B$1:$AY$1,),))/VLOOKUP(EDATE(B68,-12),'Data Core CPI'!$B:$AY,MATCH($L$1,'Data Core CPI'!$B$1:$AY$1,),)</f>
        <v>1.3698302367592999E-3</v>
      </c>
      <c r="M68" s="21">
        <f>(VLOOKUP(B68,'Data Core CPI'!$B:$AY,MATCH($M$1,'Data Core CPI'!$B$1:$AY$1,),)-VLOOKUP(EDATE(B68,-12),'Data Core CPI'!$B:$AY,MATCH($M$1,'Data Core CPI'!$B$1:$AY$1,),))/VLOOKUP(EDATE(B68,-12),'Data Core CPI'!$B:$AY,MATCH($M$1,'Data Core CPI'!$B$1:$AY$1,),)</f>
        <v>2.5420449459542006E-2</v>
      </c>
      <c r="N68" s="21" t="e">
        <f>(VLOOKUP(B68,'Data Core CPI'!$B:$AY,MATCH($N$1,'Data Core CPI'!$B$1:$AY$1,),)-VLOOKUP(EDATE(B68,-12),'Data Core CPI'!$B:$AY,MATCH($N$1,'Data Core CPI'!$B$1:$AY$1,),))/VLOOKUP(EDATE(B68,-12),'Data Core CPI'!$B:$AY,MATCH($N$1,'Data Core CPI'!$B$1:$AY$1,),)</f>
        <v>#DIV/0!</v>
      </c>
      <c r="O68" s="21" t="e">
        <f>(VLOOKUP(B68,'Data Core CPI'!$B:$AY,MATCH($O$1,'Data Core CPI'!$B$1:$AY$1,),)-VLOOKUP(EDATE(B68,-12),'Data Core CPI'!$B:$AY,MATCH($O$1,'Data Core CPI'!$B$1:$AY$1,),))/VLOOKUP(EDATE(B68,-12),'Data Core CPI'!$B:$AY,MATCH($O$1,'Data Core CPI'!$B$1:$AY$1,),)</f>
        <v>#DIV/0!</v>
      </c>
      <c r="P68" s="21">
        <f>(VLOOKUP(B68,'Data Core CPI'!$B:$AY,MATCH($P$1,'Data Core CPI'!$B$1:$AY$1,),)-VLOOKUP(EDATE(B68,-12),'Data Core CPI'!$B:$AY,MATCH($P$1,'Data Core CPI'!$B$1:$AY$1,),))/VLOOKUP(EDATE(B68,-12),'Data Core CPI'!$B:$AY,MATCH($P$1,'Data Core CPI'!$B$1:$AY$1,),)</f>
        <v>2.4101138250049062E-2</v>
      </c>
      <c r="Q68" s="21" t="e">
        <f>(VLOOKUP(B68,'Data Core CPI'!$B:$AY,MATCH($Q$1,'Data Core CPI'!$B$1:$AY$1,),)-VLOOKUP(EDATE(B68,-12),'Data Core CPI'!$B:$AY,MATCH($Q$1,'Data Core CPI'!$B$1:$AY$1,),))/VLOOKUP(EDATE(B68,-12),'Data Core CPI'!$B:$AY,MATCH($Q$1,'Data Core CPI'!$B$1:$AY$1,),)</f>
        <v>#N/A</v>
      </c>
      <c r="R68" s="21">
        <f>(VLOOKUP(B68,'Data Core CPI'!$B:$AY,MATCH($R$1,'Data Core CPI'!$B$1:$AY$1,),)-VLOOKUP(EDATE(B68,-12),'Data Core CPI'!$B:$AY,MATCH($R$1,'Data Core CPI'!$B$1:$AY$1,),))/VLOOKUP(EDATE(B68,-12),'Data Core CPI'!$B:$AY,MATCH($R$1,'Data Core CPI'!$B$1:$AY$1,),)</f>
        <v>-5.7485443354678561E-3</v>
      </c>
      <c r="S68" s="21" t="e">
        <f>(VLOOKUP(B68,'Data Core CPI'!$B:$AY,MATCH($S$1,'Data Core CPI'!$B$1:$AY$1,),)-VLOOKUP(EDATE(B68,-12),'Data Core CPI'!$B:$AY,MATCH($S$1,'Data Core CPI'!$B$1:$AY$1,),))/VLOOKUP(EDATE(B68,-12),'Data Core CPI'!$B:$AY,MATCH($S$1,'Data Core CPI'!$B$1:$AY$1,),)</f>
        <v>#DIV/0!</v>
      </c>
      <c r="T68" s="21" t="e">
        <f>(VLOOKUP(B68,'Data Core CPI'!$B:$AY,MATCH($T$1,'Data Core CPI'!$B$1:$AY$1,),)-VLOOKUP(EDATE(B68,-12),'Data Core CPI'!$B:$AY,MATCH($T$1,'Data Core CPI'!$B$1:$AY$1,),))/VLOOKUP(EDATE(B68,-12),'Data Core CPI'!$B:$AY,MATCH($T$1,'Data Core CPI'!$B$1:$AY$1,),)</f>
        <v>#DIV/0!</v>
      </c>
      <c r="U68" s="21">
        <f>(VLOOKUP(B68,'Data Core CPI'!$B:$AY,MATCH($U$1,'Data Core CPI'!$B$1:$AY$1,),)-VLOOKUP(EDATE(B68,-12),'Data Core CPI'!$B:$AY,MATCH($U$1,'Data Core CPI'!$B$1:$AY$1,),))/VLOOKUP(EDATE(B68,-12),'Data Core CPI'!$B:$AY,MATCH($U$1,'Data Core CPI'!$B$1:$AY$1,),)</f>
        <v>-4.9526744441997766E-3</v>
      </c>
      <c r="V68" s="21">
        <f>(VLOOKUP(B68,'Data Core CPI'!$B:$AY,MATCH($V$1,'Data Core CPI'!$B$1:$AY$1,),)-VLOOKUP(EDATE(B68,-12),'Data Core CPI'!$B:$AY,MATCH($V$1,'Data Core CPI'!$B$1:$AY$1,),))/VLOOKUP(EDATE(B68,-12),'Data Core CPI'!$B:$AY,MATCH($V$1,'Data Core CPI'!$B$1:$AY$1,),)</f>
        <v>1.5922592983760472E-2</v>
      </c>
      <c r="W68" s="21">
        <f>(VLOOKUP(B68,'Data Core CPI'!$B:$AY,MATCH($W$1,'Data Core CPI'!$B$1:$AY$1,),)-VLOOKUP(EDATE(B68,-12),'Data Core CPI'!$B:$AY,MATCH($W$1,'Data Core CPI'!$B$1:$AY$1,),))/VLOOKUP(EDATE(B68,-12),'Data Core CPI'!$B:$AY,MATCH($W$1,'Data Core CPI'!$B$1:$AY$1,),)</f>
        <v>8.971550797224942E-2</v>
      </c>
      <c r="X68" s="21">
        <f>(VLOOKUP(B68,'Data Core CPI'!$B:$AY,MATCH($X$1,'Data Core CPI'!$B$1:$AY$1,),)-VLOOKUP(EDATE(B68,-12),'Data Core CPI'!$B:$AY,MATCH($X$1,'Data Core CPI'!$B$1:$AY$1,),))/VLOOKUP(EDATE(B68,-12),'Data Core CPI'!$B:$AY,MATCH($X$1,'Data Core CPI'!$B$1:$AY$1,),)</f>
        <v>1.41414141414142E-2</v>
      </c>
      <c r="Y68" s="21">
        <f>(VLOOKUP(B68,'Data Core CPI'!$B:$AY,MATCH($Y$1,'Data Core CPI'!$B$1:$AY$1,),)-VLOOKUP(EDATE(B68,-12),'Data Core CPI'!$B:$AY,MATCH($Y$1,'Data Core CPI'!$B$1:$AY$1,),))/VLOOKUP(EDATE(B68,-12),'Data Core CPI'!$B:$AY,MATCH($Y$1,'Data Core CPI'!$B$1:$AY$1,),)</f>
        <v>2.6105368704171616E-3</v>
      </c>
      <c r="Z68" s="21" t="e">
        <f>(VLOOKUP(B68,Data!$B:$AY,MATCH($Z$1,Data!$B$1:$AY$1,),)-VLOOKUP(EDATE(B68,-12),Data!$B:$AY,MATCH($Z$1,Data!$B$1:$AY$1,),))/VLOOKUP(EDATE(B68,-12),Data!$B:$AY,MATCH($Z$1,Data!$B$1:$AY$1,),)</f>
        <v>#N/A</v>
      </c>
      <c r="AA68" s="21" t="e">
        <f>(VLOOKUP(B68,Data!$B:$AY,MATCH($AA$1,Data!$B$1:$AY$1,),)-VLOOKUP(EDATE(B68,-12),Data!$B:$AY,MATCH($AA$1,Data!$B$1:$AY$1,),))/VLOOKUP(EDATE(B68,-12),Data!$B:$AY,MATCH($AA$1,Data!$B$1:$AY$1,),)</f>
        <v>#N/A</v>
      </c>
      <c r="AB68" s="20"/>
    </row>
    <row r="69" spans="2:28" x14ac:dyDescent="0.2">
      <c r="B69" s="16">
        <v>42309</v>
      </c>
      <c r="C69" s="21">
        <f>(VLOOKUP(B69,'Data Core CPI'!$B:$AY,MATCH($C$1,'Data Core CPI'!$B$1:$AY$1,),)-VLOOKUP(EDATE(B69,-12),'Data Core CPI'!$B:$AY,MATCH($C$1,'Data Core CPI'!$B$1:$AY$1,),))/VLOOKUP(EDATE(B69,-12),'Data Core CPI'!$B:$AY,MATCH($C$1,'Data Core CPI'!$B$1:$AY$1,),)</f>
        <v>2.0175631954773055E-2</v>
      </c>
      <c r="D69" s="21" t="e">
        <f>(VLOOKUP(B69,'Data Core CPI'!$B:$AY,MATCH($D$1,'Data Core CPI'!$B$1:$AY$1,),)-VLOOKUP(EDATE(B69,-12),'Data Core CPI'!$B:$AY,MATCH($D$1,'Data Core CPI'!$B$1:$AY$1,),))/VLOOKUP(EDATE(B69,-12),'Data Core CPI'!$B:$AY,MATCH($D$1,'Data Core CPI'!$B$1:$AY$1,),)</f>
        <v>#DIV/0!</v>
      </c>
      <c r="E69" s="21">
        <f>(VLOOKUP(B69,'Data Core CPI'!$B:$AY,MATCH($E$1,'Data Core CPI'!$B$1:$AY$1,),)-VLOOKUP(EDATE(B69,-12),'Data Core CPI'!$B:$AY,MATCH($E$1,'Data Core CPI'!$B$1:$AY$1,),))/VLOOKUP(EDATE(B69,-12),'Data Core CPI'!$B:$AY,MATCH($E$1,'Data Core CPI'!$B$1:$AY$1,),)</f>
        <v>9.0588827377957298E-3</v>
      </c>
      <c r="F69" s="21">
        <f>(VLOOKUP(B69,'Data Core CPI'!$B:$AY,MATCH($F$1,'Data Core CPI'!$B$1:$AY$1,),)-VLOOKUP(EDATE(B69,-12),'Data Core CPI'!$B:$AY,MATCH($F$1,'Data Core CPI'!$B$1:$AY$1,),))/VLOOKUP(EDATE(B69,-12),'Data Core CPI'!$B:$AY,MATCH($F$1,'Data Core CPI'!$B$1:$AY$1,),)</f>
        <v>8.4952737250486646E-3</v>
      </c>
      <c r="G69" s="21">
        <f>(VLOOKUP(B69,'Data Core CPI'!$B:$AY,MATCH($G$1,'Data Core CPI'!$B$1:$AY$1,),)-VLOOKUP(EDATE(B69,-12),'Data Core CPI'!$B:$AY,MATCH($G$1,'Data Core CPI'!$B$1:$AY$1,),))/VLOOKUP(EDATE(B69,-12),'Data Core CPI'!$B:$AY,MATCH($G$1,'Data Core CPI'!$B$1:$AY$1,),)</f>
        <v>1.1539202444355681E-2</v>
      </c>
      <c r="H69" s="21">
        <f>(VLOOKUP(B69,'Data Core CPI'!$B:$AY,MATCH($H$1,'Data Core CPI'!$B$1:$AY$1,),)-VLOOKUP(EDATE(B69,-12),'Data Core CPI'!$B:$AY,MATCH($H$1,'Data Core CPI'!$B$1:$AY$1,),))/VLOOKUP(EDATE(B69,-12),'Data Core CPI'!$B:$AY,MATCH($H$1,'Data Core CPI'!$B$1:$AY$1,),)</f>
        <v>6.0077967600792401E-3</v>
      </c>
      <c r="I69" s="21">
        <f>(VLOOKUP(B69,'Data Core CPI'!$B:$AY,MATCH($I$1,'Data Core CPI'!$B$1:$AY$1,),)-VLOOKUP(EDATE(B69,-12),'Data Core CPI'!$B:$AY,MATCH($I$1,'Data Core CPI'!$B$1:$AY$1,),))/VLOOKUP(EDATE(B69,-12),'Data Core CPI'!$B:$AY,MATCH($I$1,'Data Core CPI'!$B$1:$AY$1,),)</f>
        <v>1.4098690835851014E-2</v>
      </c>
      <c r="J69" s="21">
        <f>(VLOOKUP(B69,'Data Core CPI'!$B:$AY,MATCH($J$1,'Data Core CPI'!$B$1:$AY$1,),)-VLOOKUP(EDATE(B69,-12),'Data Core CPI'!$B:$AY,MATCH($J$1,'Data Core CPI'!$B$1:$AY$1,),))/VLOOKUP(EDATE(B69,-12),'Data Core CPI'!$B:$AY,MATCH($J$1,'Data Core CPI'!$B$1:$AY$1,),)</f>
        <v>6.553298148191917E-3</v>
      </c>
      <c r="K69" s="21">
        <f>(VLOOKUP(B69,'Data Core CPI'!$B:$AY,MATCH($K$1,'Data Core CPI'!$B$1:$AY$1,),)-VLOOKUP(EDATE(B69,-12),'Data Core CPI'!$B:$AY,MATCH($K$1,'Data Core CPI'!$B$1:$AY$1,),))/VLOOKUP(EDATE(B69,-12),'Data Core CPI'!$B:$AY,MATCH($K$1,'Data Core CPI'!$B$1:$AY$1,),)</f>
        <v>8.82925687419997E-3</v>
      </c>
      <c r="L69" s="21">
        <f>(VLOOKUP(B69,'Data Core CPI'!$B:$AY,MATCH($L$1,'Data Core CPI'!$B$1:$AY$1,),)-VLOOKUP(EDATE(B69,-12),'Data Core CPI'!$B:$AY,MATCH($L$1,'Data Core CPI'!$B$1:$AY$1,),))/VLOOKUP(EDATE(B69,-12),'Data Core CPI'!$B:$AY,MATCH($L$1,'Data Core CPI'!$B$1:$AY$1,),)</f>
        <v>2.6770552392362787E-4</v>
      </c>
      <c r="M69" s="21">
        <f>(VLOOKUP(B69,'Data Core CPI'!$B:$AY,MATCH($M$1,'Data Core CPI'!$B$1:$AY$1,),)-VLOOKUP(EDATE(B69,-12),'Data Core CPI'!$B:$AY,MATCH($M$1,'Data Core CPI'!$B$1:$AY$1,),))/VLOOKUP(EDATE(B69,-12),'Data Core CPI'!$B:$AY,MATCH($M$1,'Data Core CPI'!$B$1:$AY$1,),)</f>
        <v>2.3804109939459386E-2</v>
      </c>
      <c r="N69" s="21" t="e">
        <f>(VLOOKUP(B69,'Data Core CPI'!$B:$AY,MATCH($N$1,'Data Core CPI'!$B$1:$AY$1,),)-VLOOKUP(EDATE(B69,-12),'Data Core CPI'!$B:$AY,MATCH($N$1,'Data Core CPI'!$B$1:$AY$1,),))/VLOOKUP(EDATE(B69,-12),'Data Core CPI'!$B:$AY,MATCH($N$1,'Data Core CPI'!$B$1:$AY$1,),)</f>
        <v>#DIV/0!</v>
      </c>
      <c r="O69" s="21" t="e">
        <f>(VLOOKUP(B69,'Data Core CPI'!$B:$AY,MATCH($O$1,'Data Core CPI'!$B$1:$AY$1,),)-VLOOKUP(EDATE(B69,-12),'Data Core CPI'!$B:$AY,MATCH($O$1,'Data Core CPI'!$B$1:$AY$1,),))/VLOOKUP(EDATE(B69,-12),'Data Core CPI'!$B:$AY,MATCH($O$1,'Data Core CPI'!$B$1:$AY$1,),)</f>
        <v>#DIV/0!</v>
      </c>
      <c r="P69" s="21">
        <f>(VLOOKUP(B69,'Data Core CPI'!$B:$AY,MATCH($P$1,'Data Core CPI'!$B$1:$AY$1,),)-VLOOKUP(EDATE(B69,-12),'Data Core CPI'!$B:$AY,MATCH($P$1,'Data Core CPI'!$B$1:$AY$1,),))/VLOOKUP(EDATE(B69,-12),'Data Core CPI'!$B:$AY,MATCH($P$1,'Data Core CPI'!$B$1:$AY$1,),)</f>
        <v>2.2957917496781412E-2</v>
      </c>
      <c r="Q69" s="21" t="e">
        <f>(VLOOKUP(B69,'Data Core CPI'!$B:$AY,MATCH($Q$1,'Data Core CPI'!$B$1:$AY$1,),)-VLOOKUP(EDATE(B69,-12),'Data Core CPI'!$B:$AY,MATCH($Q$1,'Data Core CPI'!$B$1:$AY$1,),))/VLOOKUP(EDATE(B69,-12),'Data Core CPI'!$B:$AY,MATCH($Q$1,'Data Core CPI'!$B$1:$AY$1,),)</f>
        <v>#N/A</v>
      </c>
      <c r="R69" s="21">
        <f>(VLOOKUP(B69,'Data Core CPI'!$B:$AY,MATCH($R$1,'Data Core CPI'!$B$1:$AY$1,),)-VLOOKUP(EDATE(B69,-12),'Data Core CPI'!$B:$AY,MATCH($R$1,'Data Core CPI'!$B$1:$AY$1,),))/VLOOKUP(EDATE(B69,-12),'Data Core CPI'!$B:$AY,MATCH($R$1,'Data Core CPI'!$B$1:$AY$1,),)</f>
        <v>-8.6250073259963658E-3</v>
      </c>
      <c r="S69" s="21" t="e">
        <f>(VLOOKUP(B69,'Data Core CPI'!$B:$AY,MATCH($S$1,'Data Core CPI'!$B$1:$AY$1,),)-VLOOKUP(EDATE(B69,-12),'Data Core CPI'!$B:$AY,MATCH($S$1,'Data Core CPI'!$B$1:$AY$1,),))/VLOOKUP(EDATE(B69,-12),'Data Core CPI'!$B:$AY,MATCH($S$1,'Data Core CPI'!$B$1:$AY$1,),)</f>
        <v>#DIV/0!</v>
      </c>
      <c r="T69" s="21" t="e">
        <f>(VLOOKUP(B69,'Data Core CPI'!$B:$AY,MATCH($T$1,'Data Core CPI'!$B$1:$AY$1,),)-VLOOKUP(EDATE(B69,-12),'Data Core CPI'!$B:$AY,MATCH($T$1,'Data Core CPI'!$B$1:$AY$1,),))/VLOOKUP(EDATE(B69,-12),'Data Core CPI'!$B:$AY,MATCH($T$1,'Data Core CPI'!$B$1:$AY$1,),)</f>
        <v>#DIV/0!</v>
      </c>
      <c r="U69" s="21">
        <f>(VLOOKUP(B69,'Data Core CPI'!$B:$AY,MATCH($U$1,'Data Core CPI'!$B$1:$AY$1,),)-VLOOKUP(EDATE(B69,-12),'Data Core CPI'!$B:$AY,MATCH($U$1,'Data Core CPI'!$B$1:$AY$1,),))/VLOOKUP(EDATE(B69,-12),'Data Core CPI'!$B:$AY,MATCH($U$1,'Data Core CPI'!$B$1:$AY$1,),)</f>
        <v>-4.6345499440794734E-3</v>
      </c>
      <c r="V69" s="21">
        <f>(VLOOKUP(B69,'Data Core CPI'!$B:$AY,MATCH($V$1,'Data Core CPI'!$B$1:$AY$1,),)-VLOOKUP(EDATE(B69,-12),'Data Core CPI'!$B:$AY,MATCH($V$1,'Data Core CPI'!$B$1:$AY$1,),))/VLOOKUP(EDATE(B69,-12),'Data Core CPI'!$B:$AY,MATCH($V$1,'Data Core CPI'!$B$1:$AY$1,),)</f>
        <v>1.3322979704506854E-2</v>
      </c>
      <c r="W69" s="21">
        <f>(VLOOKUP(B69,'Data Core CPI'!$B:$AY,MATCH($W$1,'Data Core CPI'!$B$1:$AY$1,),)-VLOOKUP(EDATE(B69,-12),'Data Core CPI'!$B:$AY,MATCH($W$1,'Data Core CPI'!$B$1:$AY$1,),))/VLOOKUP(EDATE(B69,-12),'Data Core CPI'!$B:$AY,MATCH($W$1,'Data Core CPI'!$B$1:$AY$1,),)</f>
        <v>9.1761132678119375E-2</v>
      </c>
      <c r="X69" s="21">
        <f>(VLOOKUP(B69,'Data Core CPI'!$B:$AY,MATCH($X$1,'Data Core CPI'!$B$1:$AY$1,),)-VLOOKUP(EDATE(B69,-12),'Data Core CPI'!$B:$AY,MATCH($X$1,'Data Core CPI'!$B$1:$AY$1,),))/VLOOKUP(EDATE(B69,-12),'Data Core CPI'!$B:$AY,MATCH($X$1,'Data Core CPI'!$B$1:$AY$1,),)</f>
        <v>1.3157894736842077E-2</v>
      </c>
      <c r="Y69" s="21">
        <f>(VLOOKUP(B69,'Data Core CPI'!$B:$AY,MATCH($Y$1,'Data Core CPI'!$B$1:$AY$1,),)-VLOOKUP(EDATE(B69,-12),'Data Core CPI'!$B:$AY,MATCH($Y$1,'Data Core CPI'!$B$1:$AY$1,),))/VLOOKUP(EDATE(B69,-12),'Data Core CPI'!$B:$AY,MATCH($Y$1,'Data Core CPI'!$B$1:$AY$1,),)</f>
        <v>2.6132117034131106E-3</v>
      </c>
      <c r="Z69" s="21" t="e">
        <f>(VLOOKUP(B69,Data!$B:$AY,MATCH($Z$1,Data!$B$1:$AY$1,),)-VLOOKUP(EDATE(B69,-12),Data!$B:$AY,MATCH($Z$1,Data!$B$1:$AY$1,),))/VLOOKUP(EDATE(B69,-12),Data!$B:$AY,MATCH($Z$1,Data!$B$1:$AY$1,),)</f>
        <v>#N/A</v>
      </c>
      <c r="AA69" s="21" t="e">
        <f>(VLOOKUP(B69,Data!$B:$AY,MATCH($AA$1,Data!$B$1:$AY$1,),)-VLOOKUP(EDATE(B69,-12),Data!$B:$AY,MATCH($AA$1,Data!$B$1:$AY$1,),))/VLOOKUP(EDATE(B69,-12),Data!$B:$AY,MATCH($AA$1,Data!$B$1:$AY$1,),)</f>
        <v>#N/A</v>
      </c>
      <c r="AB69" s="20"/>
    </row>
    <row r="70" spans="2:28" x14ac:dyDescent="0.2">
      <c r="B70" s="16">
        <v>42339</v>
      </c>
      <c r="C70" s="21">
        <f>(VLOOKUP(B70,'Data Core CPI'!$B:$AY,MATCH($C$1,'Data Core CPI'!$B$1:$AY$1,),)-VLOOKUP(EDATE(B70,-12),'Data Core CPI'!$B:$AY,MATCH($C$1,'Data Core CPI'!$B$1:$AY$1,),))/VLOOKUP(EDATE(B70,-12),'Data Core CPI'!$B:$AY,MATCH($C$1,'Data Core CPI'!$B$1:$AY$1,),)</f>
        <v>2.095671815383169E-2</v>
      </c>
      <c r="D70" s="21" t="e">
        <f>(VLOOKUP(B70,'Data Core CPI'!$B:$AY,MATCH($D$1,'Data Core CPI'!$B$1:$AY$1,),)-VLOOKUP(EDATE(B70,-12),'Data Core CPI'!$B:$AY,MATCH($D$1,'Data Core CPI'!$B$1:$AY$1,),))/VLOOKUP(EDATE(B70,-12),'Data Core CPI'!$B:$AY,MATCH($D$1,'Data Core CPI'!$B$1:$AY$1,),)</f>
        <v>#DIV/0!</v>
      </c>
      <c r="E70" s="21">
        <f>(VLOOKUP(B70,'Data Core CPI'!$B:$AY,MATCH($E$1,'Data Core CPI'!$B$1:$AY$1,),)-VLOOKUP(EDATE(B70,-12),'Data Core CPI'!$B:$AY,MATCH($E$1,'Data Core CPI'!$B$1:$AY$1,),))/VLOOKUP(EDATE(B70,-12),'Data Core CPI'!$B:$AY,MATCH($E$1,'Data Core CPI'!$B$1:$AY$1,),)</f>
        <v>9.1273821464392842E-3</v>
      </c>
      <c r="F70" s="21">
        <f>(VLOOKUP(B70,'Data Core CPI'!$B:$AY,MATCH($F$1,'Data Core CPI'!$B$1:$AY$1,),)-VLOOKUP(EDATE(B70,-12),'Data Core CPI'!$B:$AY,MATCH($F$1,'Data Core CPI'!$B$1:$AY$1,),))/VLOOKUP(EDATE(B70,-12),'Data Core CPI'!$B:$AY,MATCH($F$1,'Data Core CPI'!$B$1:$AY$1,),)</f>
        <v>7.7432673134116307E-3</v>
      </c>
      <c r="G70" s="21">
        <f>(VLOOKUP(B70,'Data Core CPI'!$B:$AY,MATCH($G$1,'Data Core CPI'!$B$1:$AY$1,),)-VLOOKUP(EDATE(B70,-12),'Data Core CPI'!$B:$AY,MATCH($G$1,'Data Core CPI'!$B$1:$AY$1,),))/VLOOKUP(EDATE(B70,-12),'Data Core CPI'!$B:$AY,MATCH($G$1,'Data Core CPI'!$B$1:$AY$1,),)</f>
        <v>1.0056310748822447E-2</v>
      </c>
      <c r="H70" s="21">
        <f>(VLOOKUP(B70,'Data Core CPI'!$B:$AY,MATCH($H$1,'Data Core CPI'!$B$1:$AY$1,),)-VLOOKUP(EDATE(B70,-12),'Data Core CPI'!$B:$AY,MATCH($H$1,'Data Core CPI'!$B$1:$AY$1,),))/VLOOKUP(EDATE(B70,-12),'Data Core CPI'!$B:$AY,MATCH($H$1,'Data Core CPI'!$B$1:$AY$1,),)</f>
        <v>6.5261738434335094E-3</v>
      </c>
      <c r="I70" s="21">
        <f>(VLOOKUP(B70,'Data Core CPI'!$B:$AY,MATCH($I$1,'Data Core CPI'!$B$1:$AY$1,),)-VLOOKUP(EDATE(B70,-12),'Data Core CPI'!$B:$AY,MATCH($I$1,'Data Core CPI'!$B$1:$AY$1,),))/VLOOKUP(EDATE(B70,-12),'Data Core CPI'!$B:$AY,MATCH($I$1,'Data Core CPI'!$B$1:$AY$1,),)</f>
        <v>1.507537688442211E-2</v>
      </c>
      <c r="J70" s="21">
        <f>(VLOOKUP(B70,'Data Core CPI'!$B:$AY,MATCH($J$1,'Data Core CPI'!$B$1:$AY$1,),)-VLOOKUP(EDATE(B70,-12),'Data Core CPI'!$B:$AY,MATCH($J$1,'Data Core CPI'!$B$1:$AY$1,),))/VLOOKUP(EDATE(B70,-12),'Data Core CPI'!$B:$AY,MATCH($J$1,'Data Core CPI'!$B$1:$AY$1,),)</f>
        <v>5.3560613834413781E-3</v>
      </c>
      <c r="K70" s="21">
        <f>(VLOOKUP(B70,'Data Core CPI'!$B:$AY,MATCH($K$1,'Data Core CPI'!$B$1:$AY$1,),)-VLOOKUP(EDATE(B70,-12),'Data Core CPI'!$B:$AY,MATCH($K$1,'Data Core CPI'!$B$1:$AY$1,),))/VLOOKUP(EDATE(B70,-12),'Data Core CPI'!$B:$AY,MATCH($K$1,'Data Core CPI'!$B$1:$AY$1,),)</f>
        <v>8.217829771676028E-3</v>
      </c>
      <c r="L70" s="21">
        <f>(VLOOKUP(B70,'Data Core CPI'!$B:$AY,MATCH($L$1,'Data Core CPI'!$B$1:$AY$1,),)-VLOOKUP(EDATE(B70,-12),'Data Core CPI'!$B:$AY,MATCH($L$1,'Data Core CPI'!$B$1:$AY$1,),))/VLOOKUP(EDATE(B70,-12),'Data Core CPI'!$B:$AY,MATCH($L$1,'Data Core CPI'!$B$1:$AY$1,),)</f>
        <v>7.3282946750033667E-4</v>
      </c>
      <c r="M70" s="21">
        <f>(VLOOKUP(B70,'Data Core CPI'!$B:$AY,MATCH($M$1,'Data Core CPI'!$B$1:$AY$1,),)-VLOOKUP(EDATE(B70,-12),'Data Core CPI'!$B:$AY,MATCH($M$1,'Data Core CPI'!$B$1:$AY$1,),))/VLOOKUP(EDATE(B70,-12),'Data Core CPI'!$B:$AY,MATCH($M$1,'Data Core CPI'!$B$1:$AY$1,),)</f>
        <v>2.4354509225232662E-2</v>
      </c>
      <c r="N70" s="21" t="e">
        <f>(VLOOKUP(B70,'Data Core CPI'!$B:$AY,MATCH($N$1,'Data Core CPI'!$B$1:$AY$1,),)-VLOOKUP(EDATE(B70,-12),'Data Core CPI'!$B:$AY,MATCH($N$1,'Data Core CPI'!$B$1:$AY$1,),))/VLOOKUP(EDATE(B70,-12),'Data Core CPI'!$B:$AY,MATCH($N$1,'Data Core CPI'!$B$1:$AY$1,),)</f>
        <v>#DIV/0!</v>
      </c>
      <c r="O70" s="21" t="e">
        <f>(VLOOKUP(B70,'Data Core CPI'!$B:$AY,MATCH($O$1,'Data Core CPI'!$B$1:$AY$1,),)-VLOOKUP(EDATE(B70,-12),'Data Core CPI'!$B:$AY,MATCH($O$1,'Data Core CPI'!$B$1:$AY$1,),))/VLOOKUP(EDATE(B70,-12),'Data Core CPI'!$B:$AY,MATCH($O$1,'Data Core CPI'!$B$1:$AY$1,),)</f>
        <v>#DIV/0!</v>
      </c>
      <c r="P70" s="21">
        <f>(VLOOKUP(B70,'Data Core CPI'!$B:$AY,MATCH($P$1,'Data Core CPI'!$B$1:$AY$1,),)-VLOOKUP(EDATE(B70,-12),'Data Core CPI'!$B:$AY,MATCH($P$1,'Data Core CPI'!$B$1:$AY$1,),))/VLOOKUP(EDATE(B70,-12),'Data Core CPI'!$B:$AY,MATCH($P$1,'Data Core CPI'!$B$1:$AY$1,),)</f>
        <v>2.0771262395506838E-2</v>
      </c>
      <c r="Q70" s="21" t="e">
        <f>(VLOOKUP(B70,'Data Core CPI'!$B:$AY,MATCH($Q$1,'Data Core CPI'!$B$1:$AY$1,),)-VLOOKUP(EDATE(B70,-12),'Data Core CPI'!$B:$AY,MATCH($Q$1,'Data Core CPI'!$B$1:$AY$1,),))/VLOOKUP(EDATE(B70,-12),'Data Core CPI'!$B:$AY,MATCH($Q$1,'Data Core CPI'!$B$1:$AY$1,),)</f>
        <v>#N/A</v>
      </c>
      <c r="R70" s="21">
        <f>(VLOOKUP(B70,'Data Core CPI'!$B:$AY,MATCH($R$1,'Data Core CPI'!$B$1:$AY$1,),)-VLOOKUP(EDATE(B70,-12),'Data Core CPI'!$B:$AY,MATCH($R$1,'Data Core CPI'!$B$1:$AY$1,),))/VLOOKUP(EDATE(B70,-12),'Data Core CPI'!$B:$AY,MATCH($R$1,'Data Core CPI'!$B$1:$AY$1,),)</f>
        <v>-7.7185989448904195E-3</v>
      </c>
      <c r="S70" s="21" t="e">
        <f>(VLOOKUP(B70,'Data Core CPI'!$B:$AY,MATCH($S$1,'Data Core CPI'!$B$1:$AY$1,),)-VLOOKUP(EDATE(B70,-12),'Data Core CPI'!$B:$AY,MATCH($S$1,'Data Core CPI'!$B$1:$AY$1,),))/VLOOKUP(EDATE(B70,-12),'Data Core CPI'!$B:$AY,MATCH($S$1,'Data Core CPI'!$B$1:$AY$1,),)</f>
        <v>#DIV/0!</v>
      </c>
      <c r="T70" s="21" t="e">
        <f>(VLOOKUP(B70,'Data Core CPI'!$B:$AY,MATCH($T$1,'Data Core CPI'!$B$1:$AY$1,),)-VLOOKUP(EDATE(B70,-12),'Data Core CPI'!$B:$AY,MATCH($T$1,'Data Core CPI'!$B$1:$AY$1,),))/VLOOKUP(EDATE(B70,-12),'Data Core CPI'!$B:$AY,MATCH($T$1,'Data Core CPI'!$B$1:$AY$1,),)</f>
        <v>#DIV/0!</v>
      </c>
      <c r="U70" s="21">
        <f>(VLOOKUP(B70,'Data Core CPI'!$B:$AY,MATCH($U$1,'Data Core CPI'!$B$1:$AY$1,),)-VLOOKUP(EDATE(B70,-12),'Data Core CPI'!$B:$AY,MATCH($U$1,'Data Core CPI'!$B$1:$AY$1,),))/VLOOKUP(EDATE(B70,-12),'Data Core CPI'!$B:$AY,MATCH($U$1,'Data Core CPI'!$B$1:$AY$1,),)</f>
        <v>4.9035467603049786E-3</v>
      </c>
      <c r="V70" s="21">
        <f>(VLOOKUP(B70,'Data Core CPI'!$B:$AY,MATCH($V$1,'Data Core CPI'!$B$1:$AY$1,),)-VLOOKUP(EDATE(B70,-12),'Data Core CPI'!$B:$AY,MATCH($V$1,'Data Core CPI'!$B$1:$AY$1,),))/VLOOKUP(EDATE(B70,-12),'Data Core CPI'!$B:$AY,MATCH($V$1,'Data Core CPI'!$B$1:$AY$1,),)</f>
        <v>1.3511031467316118E-2</v>
      </c>
      <c r="W70" s="21">
        <f>(VLOOKUP(B70,'Data Core CPI'!$B:$AY,MATCH($W$1,'Data Core CPI'!$B$1:$AY$1,),)-VLOOKUP(EDATE(B70,-12),'Data Core CPI'!$B:$AY,MATCH($W$1,'Data Core CPI'!$B$1:$AY$1,),))/VLOOKUP(EDATE(B70,-12),'Data Core CPI'!$B:$AY,MATCH($W$1,'Data Core CPI'!$B$1:$AY$1,),)</f>
        <v>9.4454733104175431E-2</v>
      </c>
      <c r="X70" s="21">
        <f>(VLOOKUP(B70,'Data Core CPI'!$B:$AY,MATCH($X$1,'Data Core CPI'!$B$1:$AY$1,),)-VLOOKUP(EDATE(B70,-12),'Data Core CPI'!$B:$AY,MATCH($X$1,'Data Core CPI'!$B$1:$AY$1,),))/VLOOKUP(EDATE(B70,-12),'Data Core CPI'!$B:$AY,MATCH($X$1,'Data Core CPI'!$B$1:$AY$1,),)</f>
        <v>1.3131313131313103E-2</v>
      </c>
      <c r="Y70" s="21">
        <f>(VLOOKUP(B70,'Data Core CPI'!$B:$AY,MATCH($Y$1,'Data Core CPI'!$B$1:$AY$1,),)-VLOOKUP(EDATE(B70,-12),'Data Core CPI'!$B:$AY,MATCH($Y$1,'Data Core CPI'!$B$1:$AY$1,),))/VLOOKUP(EDATE(B70,-12),'Data Core CPI'!$B:$AY,MATCH($Y$1,'Data Core CPI'!$B$1:$AY$1,),)</f>
        <v>2.6132117034131106E-3</v>
      </c>
      <c r="Z70" s="21" t="e">
        <f>(VLOOKUP(B70,Data!$B:$AY,MATCH($Z$1,Data!$B$1:$AY$1,),)-VLOOKUP(EDATE(B70,-12),Data!$B:$AY,MATCH($Z$1,Data!$B$1:$AY$1,),))/VLOOKUP(EDATE(B70,-12),Data!$B:$AY,MATCH($Z$1,Data!$B$1:$AY$1,),)</f>
        <v>#N/A</v>
      </c>
      <c r="AA70" s="21" t="e">
        <f>(VLOOKUP(B70,Data!$B:$AY,MATCH($AA$1,Data!$B$1:$AY$1,),)-VLOOKUP(EDATE(B70,-12),Data!$B:$AY,MATCH($AA$1,Data!$B$1:$AY$1,),))/VLOOKUP(EDATE(B70,-12),Data!$B:$AY,MATCH($AA$1,Data!$B$1:$AY$1,),)</f>
        <v>#N/A</v>
      </c>
      <c r="AB70" s="20"/>
    </row>
    <row r="71" spans="2:28" x14ac:dyDescent="0.2">
      <c r="B71" s="16">
        <v>42370</v>
      </c>
      <c r="C71" s="21">
        <f>(VLOOKUP(B71,'Data Core CPI'!$B:$AY,MATCH($C$1,'Data Core CPI'!$B$1:$AY$1,),)-VLOOKUP(EDATE(B71,-12),'Data Core CPI'!$B:$AY,MATCH($C$1,'Data Core CPI'!$B$1:$AY$1,),))/VLOOKUP(EDATE(B71,-12),'Data Core CPI'!$B:$AY,MATCH($C$1,'Data Core CPI'!$B$1:$AY$1,),)</f>
        <v>2.2069068725780891E-2</v>
      </c>
      <c r="D71" s="21" t="e">
        <f>(VLOOKUP(B71,'Data Core CPI'!$B:$AY,MATCH($D$1,'Data Core CPI'!$B$1:$AY$1,),)-VLOOKUP(EDATE(B71,-12),'Data Core CPI'!$B:$AY,MATCH($D$1,'Data Core CPI'!$B$1:$AY$1,),))/VLOOKUP(EDATE(B71,-12),'Data Core CPI'!$B:$AY,MATCH($D$1,'Data Core CPI'!$B$1:$AY$1,),)</f>
        <v>#DIV/0!</v>
      </c>
      <c r="E71" s="21">
        <f>(VLOOKUP(B71,'Data Core CPI'!$B:$AY,MATCH($E$1,'Data Core CPI'!$B$1:$AY$1,),)-VLOOKUP(EDATE(B71,-12),'Data Core CPI'!$B:$AY,MATCH($E$1,'Data Core CPI'!$B$1:$AY$1,),))/VLOOKUP(EDATE(B71,-12),'Data Core CPI'!$B:$AY,MATCH($E$1,'Data Core CPI'!$B$1:$AY$1,),)</f>
        <v>9.9111065699397042E-3</v>
      </c>
      <c r="F71" s="21">
        <f>(VLOOKUP(B71,'Data Core CPI'!$B:$AY,MATCH($F$1,'Data Core CPI'!$B$1:$AY$1,),)-VLOOKUP(EDATE(B71,-12),'Data Core CPI'!$B:$AY,MATCH($F$1,'Data Core CPI'!$B$1:$AY$1,),))/VLOOKUP(EDATE(B71,-12),'Data Core CPI'!$B:$AY,MATCH($F$1,'Data Core CPI'!$B$1:$AY$1,),)</f>
        <v>5.8238195640096177E-3</v>
      </c>
      <c r="G71" s="21">
        <f>(VLOOKUP(B71,'Data Core CPI'!$B:$AY,MATCH($G$1,'Data Core CPI'!$B$1:$AY$1,),)-VLOOKUP(EDATE(B71,-12),'Data Core CPI'!$B:$AY,MATCH($G$1,'Data Core CPI'!$B$1:$AY$1,),))/VLOOKUP(EDATE(B71,-12),'Data Core CPI'!$B:$AY,MATCH($G$1,'Data Core CPI'!$B$1:$AY$1,),)</f>
        <v>1.2542046843757561E-2</v>
      </c>
      <c r="H71" s="21">
        <f>(VLOOKUP(B71,'Data Core CPI'!$B:$AY,MATCH($H$1,'Data Core CPI'!$B$1:$AY$1,),)-VLOOKUP(EDATE(B71,-12),'Data Core CPI'!$B:$AY,MATCH($H$1,'Data Core CPI'!$B$1:$AY$1,),))/VLOOKUP(EDATE(B71,-12),'Data Core CPI'!$B:$AY,MATCH($H$1,'Data Core CPI'!$B$1:$AY$1,),)</f>
        <v>6.3165498529950855E-3</v>
      </c>
      <c r="I71" s="21">
        <f>(VLOOKUP(B71,'Data Core CPI'!$B:$AY,MATCH($I$1,'Data Core CPI'!$B$1:$AY$1,),)-VLOOKUP(EDATE(B71,-12),'Data Core CPI'!$B:$AY,MATCH($I$1,'Data Core CPI'!$B$1:$AY$1,),))/VLOOKUP(EDATE(B71,-12),'Data Core CPI'!$B:$AY,MATCH($I$1,'Data Core CPI'!$B$1:$AY$1,),)</f>
        <v>1.4155712841253705E-2</v>
      </c>
      <c r="J71" s="21">
        <f>(VLOOKUP(B71,'Data Core CPI'!$B:$AY,MATCH($J$1,'Data Core CPI'!$B$1:$AY$1,),)-VLOOKUP(EDATE(B71,-12),'Data Core CPI'!$B:$AY,MATCH($J$1,'Data Core CPI'!$B$1:$AY$1,),))/VLOOKUP(EDATE(B71,-12),'Data Core CPI'!$B:$AY,MATCH($J$1,'Data Core CPI'!$B$1:$AY$1,),)</f>
        <v>7.3581568058113276E-3</v>
      </c>
      <c r="K71" s="21">
        <f>(VLOOKUP(B71,'Data Core CPI'!$B:$AY,MATCH($K$1,'Data Core CPI'!$B$1:$AY$1,),)-VLOOKUP(EDATE(B71,-12),'Data Core CPI'!$B:$AY,MATCH($K$1,'Data Core CPI'!$B$1:$AY$1,),))/VLOOKUP(EDATE(B71,-12),'Data Core CPI'!$B:$AY,MATCH($K$1,'Data Core CPI'!$B$1:$AY$1,),)</f>
        <v>8.1128600533672823E-3</v>
      </c>
      <c r="L71" s="21">
        <f>(VLOOKUP(B71,'Data Core CPI'!$B:$AY,MATCH($L$1,'Data Core CPI'!$B$1:$AY$1,),)-VLOOKUP(EDATE(B71,-12),'Data Core CPI'!$B:$AY,MATCH($L$1,'Data Core CPI'!$B$1:$AY$1,),))/VLOOKUP(EDATE(B71,-12),'Data Core CPI'!$B:$AY,MATCH($L$1,'Data Core CPI'!$B$1:$AY$1,),)</f>
        <v>4.387151298310442E-3</v>
      </c>
      <c r="M71" s="21">
        <f>(VLOOKUP(B71,'Data Core CPI'!$B:$AY,MATCH($M$1,'Data Core CPI'!$B$1:$AY$1,),)-VLOOKUP(EDATE(B71,-12),'Data Core CPI'!$B:$AY,MATCH($M$1,'Data Core CPI'!$B$1:$AY$1,),))/VLOOKUP(EDATE(B71,-12),'Data Core CPI'!$B:$AY,MATCH($M$1,'Data Core CPI'!$B$1:$AY$1,),)</f>
        <v>2.7167855364219357E-2</v>
      </c>
      <c r="N71" s="21" t="e">
        <f>(VLOOKUP(B71,'Data Core CPI'!$B:$AY,MATCH($N$1,'Data Core CPI'!$B$1:$AY$1,),)-VLOOKUP(EDATE(B71,-12),'Data Core CPI'!$B:$AY,MATCH($N$1,'Data Core CPI'!$B$1:$AY$1,),))/VLOOKUP(EDATE(B71,-12),'Data Core CPI'!$B:$AY,MATCH($N$1,'Data Core CPI'!$B$1:$AY$1,),)</f>
        <v>#DIV/0!</v>
      </c>
      <c r="O71" s="21" t="e">
        <f>(VLOOKUP(B71,'Data Core CPI'!$B:$AY,MATCH($O$1,'Data Core CPI'!$B$1:$AY$1,),)-VLOOKUP(EDATE(B71,-12),'Data Core CPI'!$B:$AY,MATCH($O$1,'Data Core CPI'!$B$1:$AY$1,),))/VLOOKUP(EDATE(B71,-12),'Data Core CPI'!$B:$AY,MATCH($O$1,'Data Core CPI'!$B$1:$AY$1,),)</f>
        <v>#DIV/0!</v>
      </c>
      <c r="P71" s="21">
        <f>(VLOOKUP(B71,'Data Core CPI'!$B:$AY,MATCH($P$1,'Data Core CPI'!$B$1:$AY$1,),)-VLOOKUP(EDATE(B71,-12),'Data Core CPI'!$B:$AY,MATCH($P$1,'Data Core CPI'!$B$1:$AY$1,),))/VLOOKUP(EDATE(B71,-12),'Data Core CPI'!$B:$AY,MATCH($P$1,'Data Core CPI'!$B$1:$AY$1,),)</f>
        <v>1.8491266689774421E-2</v>
      </c>
      <c r="Q71" s="21" t="e">
        <f>(VLOOKUP(B71,'Data Core CPI'!$B:$AY,MATCH($Q$1,'Data Core CPI'!$B$1:$AY$1,),)-VLOOKUP(EDATE(B71,-12),'Data Core CPI'!$B:$AY,MATCH($Q$1,'Data Core CPI'!$B$1:$AY$1,),))/VLOOKUP(EDATE(B71,-12),'Data Core CPI'!$B:$AY,MATCH($Q$1,'Data Core CPI'!$B$1:$AY$1,),)</f>
        <v>#N/A</v>
      </c>
      <c r="R71" s="21">
        <f>(VLOOKUP(B71,'Data Core CPI'!$B:$AY,MATCH($R$1,'Data Core CPI'!$B$1:$AY$1,),)-VLOOKUP(EDATE(B71,-12),'Data Core CPI'!$B:$AY,MATCH($R$1,'Data Core CPI'!$B$1:$AY$1,),))/VLOOKUP(EDATE(B71,-12),'Data Core CPI'!$B:$AY,MATCH($R$1,'Data Core CPI'!$B$1:$AY$1,),)</f>
        <v>-8.5156150210755795E-3</v>
      </c>
      <c r="S71" s="21" t="e">
        <f>(VLOOKUP(B71,'Data Core CPI'!$B:$AY,MATCH($S$1,'Data Core CPI'!$B$1:$AY$1,),)-VLOOKUP(EDATE(B71,-12),'Data Core CPI'!$B:$AY,MATCH($S$1,'Data Core CPI'!$B$1:$AY$1,),))/VLOOKUP(EDATE(B71,-12),'Data Core CPI'!$B:$AY,MATCH($S$1,'Data Core CPI'!$B$1:$AY$1,),)</f>
        <v>#DIV/0!</v>
      </c>
      <c r="T71" s="21" t="e">
        <f>(VLOOKUP(B71,'Data Core CPI'!$B:$AY,MATCH($T$1,'Data Core CPI'!$B$1:$AY$1,),)-VLOOKUP(EDATE(B71,-12),'Data Core CPI'!$B:$AY,MATCH($T$1,'Data Core CPI'!$B$1:$AY$1,),))/VLOOKUP(EDATE(B71,-12),'Data Core CPI'!$B:$AY,MATCH($T$1,'Data Core CPI'!$B$1:$AY$1,),)</f>
        <v>#DIV/0!</v>
      </c>
      <c r="U71" s="21">
        <f>(VLOOKUP(B71,'Data Core CPI'!$B:$AY,MATCH($U$1,'Data Core CPI'!$B$1:$AY$1,),)-VLOOKUP(EDATE(B71,-12),'Data Core CPI'!$B:$AY,MATCH($U$1,'Data Core CPI'!$B$1:$AY$1,),))/VLOOKUP(EDATE(B71,-12),'Data Core CPI'!$B:$AY,MATCH($U$1,'Data Core CPI'!$B$1:$AY$1,),)</f>
        <v>-2.4725069618602561E-3</v>
      </c>
      <c r="V71" s="21">
        <f>(VLOOKUP(B71,'Data Core CPI'!$B:$AY,MATCH($V$1,'Data Core CPI'!$B$1:$AY$1,),)-VLOOKUP(EDATE(B71,-12),'Data Core CPI'!$B:$AY,MATCH($V$1,'Data Core CPI'!$B$1:$AY$1,),))/VLOOKUP(EDATE(B71,-12),'Data Core CPI'!$B:$AY,MATCH($V$1,'Data Core CPI'!$B$1:$AY$1,),)</f>
        <v>9.3275627363730695E-3</v>
      </c>
      <c r="W71" s="21">
        <f>(VLOOKUP(B71,'Data Core CPI'!$B:$AY,MATCH($W$1,'Data Core CPI'!$B$1:$AY$1,),)-VLOOKUP(EDATE(B71,-12),'Data Core CPI'!$B:$AY,MATCH($W$1,'Data Core CPI'!$B$1:$AY$1,),))/VLOOKUP(EDATE(B71,-12),'Data Core CPI'!$B:$AY,MATCH($W$1,'Data Core CPI'!$B$1:$AY$1,),)</f>
        <v>9.81033394024831E-2</v>
      </c>
      <c r="X71" s="21">
        <f>(VLOOKUP(B71,'Data Core CPI'!$B:$AY,MATCH($X$1,'Data Core CPI'!$B$1:$AY$1,),)-VLOOKUP(EDATE(B71,-12),'Data Core CPI'!$B:$AY,MATCH($X$1,'Data Core CPI'!$B$1:$AY$1,),))/VLOOKUP(EDATE(B71,-12),'Data Core CPI'!$B:$AY,MATCH($X$1,'Data Core CPI'!$B$1:$AY$1,),)</f>
        <v>1.6129032258064457E-2</v>
      </c>
      <c r="Y71" s="21">
        <f>(VLOOKUP(B71,'Data Core CPI'!$B:$AY,MATCH($Y$1,'Data Core CPI'!$B$1:$AY$1,),)-VLOOKUP(EDATE(B71,-12),'Data Core CPI'!$B:$AY,MATCH($Y$1,'Data Core CPI'!$B$1:$AY$1,),))/VLOOKUP(EDATE(B71,-12),'Data Core CPI'!$B:$AY,MATCH($Y$1,'Data Core CPI'!$B$1:$AY$1,),)</f>
        <v>-8.7262417178991401E-4</v>
      </c>
      <c r="Z71" s="21" t="e">
        <f>(VLOOKUP(B71,Data!$B:$AY,MATCH($Z$1,Data!$B$1:$AY$1,),)-VLOOKUP(EDATE(B71,-12),Data!$B:$AY,MATCH($Z$1,Data!$B$1:$AY$1,),))/VLOOKUP(EDATE(B71,-12),Data!$B:$AY,MATCH($Z$1,Data!$B$1:$AY$1,),)</f>
        <v>#N/A</v>
      </c>
      <c r="AA71" s="21" t="e">
        <f>(VLOOKUP(B71,Data!$B:$AY,MATCH($AA$1,Data!$B$1:$AY$1,),)-VLOOKUP(EDATE(B71,-12),Data!$B:$AY,MATCH($AA$1,Data!$B$1:$AY$1,),))/VLOOKUP(EDATE(B71,-12),Data!$B:$AY,MATCH($AA$1,Data!$B$1:$AY$1,),)</f>
        <v>#N/A</v>
      </c>
      <c r="AB71" s="20"/>
    </row>
    <row r="72" spans="2:28" x14ac:dyDescent="0.2">
      <c r="B72" s="16">
        <v>42401</v>
      </c>
      <c r="C72" s="21">
        <f>(VLOOKUP(B72,'Data Core CPI'!$B:$AY,MATCH($C$1,'Data Core CPI'!$B$1:$AY$1,),)-VLOOKUP(EDATE(B72,-12),'Data Core CPI'!$B:$AY,MATCH($C$1,'Data Core CPI'!$B$1:$AY$1,),))/VLOOKUP(EDATE(B72,-12),'Data Core CPI'!$B:$AY,MATCH($C$1,'Data Core CPI'!$B$1:$AY$1,),)</f>
        <v>2.3313210281019837E-2</v>
      </c>
      <c r="D72" s="21" t="e">
        <f>(VLOOKUP(B72,'Data Core CPI'!$B:$AY,MATCH($D$1,'Data Core CPI'!$B$1:$AY$1,),)-VLOOKUP(EDATE(B72,-12),'Data Core CPI'!$B:$AY,MATCH($D$1,'Data Core CPI'!$B$1:$AY$1,),))/VLOOKUP(EDATE(B72,-12),'Data Core CPI'!$B:$AY,MATCH($D$1,'Data Core CPI'!$B$1:$AY$1,),)</f>
        <v>#DIV/0!</v>
      </c>
      <c r="E72" s="21">
        <f>(VLOOKUP(B72,'Data Core CPI'!$B:$AY,MATCH($E$1,'Data Core CPI'!$B$1:$AY$1,),)-VLOOKUP(EDATE(B72,-12),'Data Core CPI'!$B:$AY,MATCH($E$1,'Data Core CPI'!$B$1:$AY$1,),))/VLOOKUP(EDATE(B72,-12),'Data Core CPI'!$B:$AY,MATCH($E$1,'Data Core CPI'!$B$1:$AY$1,),)</f>
        <v>8.7416141492173156E-3</v>
      </c>
      <c r="F72" s="21">
        <f>(VLOOKUP(B72,'Data Core CPI'!$B:$AY,MATCH($F$1,'Data Core CPI'!$B$1:$AY$1,),)-VLOOKUP(EDATE(B72,-12),'Data Core CPI'!$B:$AY,MATCH($F$1,'Data Core CPI'!$B$1:$AY$1,),))/VLOOKUP(EDATE(B72,-12),'Data Core CPI'!$B:$AY,MATCH($F$1,'Data Core CPI'!$B$1:$AY$1,),)</f>
        <v>6.687413976471838E-3</v>
      </c>
      <c r="G72" s="21">
        <f>(VLOOKUP(B72,'Data Core CPI'!$B:$AY,MATCH($G$1,'Data Core CPI'!$B$1:$AY$1,),)-VLOOKUP(EDATE(B72,-12),'Data Core CPI'!$B:$AY,MATCH($G$1,'Data Core CPI'!$B$1:$AY$1,),))/VLOOKUP(EDATE(B72,-12),'Data Core CPI'!$B:$AY,MATCH($G$1,'Data Core CPI'!$B$1:$AY$1,),)</f>
        <v>1.1175879486358665E-2</v>
      </c>
      <c r="H72" s="21">
        <f>(VLOOKUP(B72,'Data Core CPI'!$B:$AY,MATCH($H$1,'Data Core CPI'!$B$1:$AY$1,),)-VLOOKUP(EDATE(B72,-12),'Data Core CPI'!$B:$AY,MATCH($H$1,'Data Core CPI'!$B$1:$AY$1,),))/VLOOKUP(EDATE(B72,-12),'Data Core CPI'!$B:$AY,MATCH($H$1,'Data Core CPI'!$B$1:$AY$1,),)</f>
        <v>4.5224016934762292E-3</v>
      </c>
      <c r="I72" s="21">
        <f>(VLOOKUP(B72,'Data Core CPI'!$B:$AY,MATCH($I$1,'Data Core CPI'!$B$1:$AY$1,),)-VLOOKUP(EDATE(B72,-12),'Data Core CPI'!$B:$AY,MATCH($I$1,'Data Core CPI'!$B$1:$AY$1,),))/VLOOKUP(EDATE(B72,-12),'Data Core CPI'!$B:$AY,MATCH($I$1,'Data Core CPI'!$B$1:$AY$1,),)</f>
        <v>1.3091641490433003E-2</v>
      </c>
      <c r="J72" s="21">
        <f>(VLOOKUP(B72,'Data Core CPI'!$B:$AY,MATCH($J$1,'Data Core CPI'!$B$1:$AY$1,),)-VLOOKUP(EDATE(B72,-12),'Data Core CPI'!$B:$AY,MATCH($J$1,'Data Core CPI'!$B$1:$AY$1,),))/VLOOKUP(EDATE(B72,-12),'Data Core CPI'!$B:$AY,MATCH($J$1,'Data Core CPI'!$B$1:$AY$1,),)</f>
        <v>2.7454993711642393E-3</v>
      </c>
      <c r="K72" s="21">
        <f>(VLOOKUP(B72,'Data Core CPI'!$B:$AY,MATCH($K$1,'Data Core CPI'!$B$1:$AY$1,),)-VLOOKUP(EDATE(B72,-12),'Data Core CPI'!$B:$AY,MATCH($K$1,'Data Core CPI'!$B$1:$AY$1,),))/VLOOKUP(EDATE(B72,-12),'Data Core CPI'!$B:$AY,MATCH($K$1,'Data Core CPI'!$B$1:$AY$1,),)</f>
        <v>9.5417702206439629E-3</v>
      </c>
      <c r="L72" s="21">
        <f>(VLOOKUP(B72,'Data Core CPI'!$B:$AY,MATCH($L$1,'Data Core CPI'!$B$1:$AY$1,),)-VLOOKUP(EDATE(B72,-12),'Data Core CPI'!$B:$AY,MATCH($L$1,'Data Core CPI'!$B$1:$AY$1,),))/VLOOKUP(EDATE(B72,-12),'Data Core CPI'!$B:$AY,MATCH($L$1,'Data Core CPI'!$B$1:$AY$1,),)</f>
        <v>5.6388906362122623E-3</v>
      </c>
      <c r="M72" s="21">
        <f>(VLOOKUP(B72,'Data Core CPI'!$B:$AY,MATCH($M$1,'Data Core CPI'!$B$1:$AY$1,),)-VLOOKUP(EDATE(B72,-12),'Data Core CPI'!$B:$AY,MATCH($M$1,'Data Core CPI'!$B$1:$AY$1,),))/VLOOKUP(EDATE(B72,-12),'Data Core CPI'!$B:$AY,MATCH($M$1,'Data Core CPI'!$B$1:$AY$1,),)</f>
        <v>2.660163311862614E-2</v>
      </c>
      <c r="N72" s="21" t="e">
        <f>(VLOOKUP(B72,'Data Core CPI'!$B:$AY,MATCH($N$1,'Data Core CPI'!$B$1:$AY$1,),)-VLOOKUP(EDATE(B72,-12),'Data Core CPI'!$B:$AY,MATCH($N$1,'Data Core CPI'!$B$1:$AY$1,),))/VLOOKUP(EDATE(B72,-12),'Data Core CPI'!$B:$AY,MATCH($N$1,'Data Core CPI'!$B$1:$AY$1,),)</f>
        <v>#DIV/0!</v>
      </c>
      <c r="O72" s="21" t="e">
        <f>(VLOOKUP(B72,'Data Core CPI'!$B:$AY,MATCH($O$1,'Data Core CPI'!$B$1:$AY$1,),)-VLOOKUP(EDATE(B72,-12),'Data Core CPI'!$B:$AY,MATCH($O$1,'Data Core CPI'!$B$1:$AY$1,),))/VLOOKUP(EDATE(B72,-12),'Data Core CPI'!$B:$AY,MATCH($O$1,'Data Core CPI'!$B$1:$AY$1,),)</f>
        <v>#DIV/0!</v>
      </c>
      <c r="P72" s="21">
        <f>(VLOOKUP(B72,'Data Core CPI'!$B:$AY,MATCH($P$1,'Data Core CPI'!$B$1:$AY$1,),)-VLOOKUP(EDATE(B72,-12),'Data Core CPI'!$B:$AY,MATCH($P$1,'Data Core CPI'!$B$1:$AY$1,),))/VLOOKUP(EDATE(B72,-12),'Data Core CPI'!$B:$AY,MATCH($P$1,'Data Core CPI'!$B$1:$AY$1,),)</f>
        <v>1.8471252123294545E-2</v>
      </c>
      <c r="Q72" s="21" t="e">
        <f>(VLOOKUP(B72,'Data Core CPI'!$B:$AY,MATCH($Q$1,'Data Core CPI'!$B$1:$AY$1,),)-VLOOKUP(EDATE(B72,-12),'Data Core CPI'!$B:$AY,MATCH($Q$1,'Data Core CPI'!$B$1:$AY$1,),))/VLOOKUP(EDATE(B72,-12),'Data Core CPI'!$B:$AY,MATCH($Q$1,'Data Core CPI'!$B$1:$AY$1,),)</f>
        <v>#N/A</v>
      </c>
      <c r="R72" s="21">
        <f>(VLOOKUP(B72,'Data Core CPI'!$B:$AY,MATCH($R$1,'Data Core CPI'!$B$1:$AY$1,),)-VLOOKUP(EDATE(B72,-12),'Data Core CPI'!$B:$AY,MATCH($R$1,'Data Core CPI'!$B$1:$AY$1,),))/VLOOKUP(EDATE(B72,-12),'Data Core CPI'!$B:$AY,MATCH($R$1,'Data Core CPI'!$B$1:$AY$1,),)</f>
        <v>-5.2174616361646241E-3</v>
      </c>
      <c r="S72" s="21" t="e">
        <f>(VLOOKUP(B72,'Data Core CPI'!$B:$AY,MATCH($S$1,'Data Core CPI'!$B$1:$AY$1,),)-VLOOKUP(EDATE(B72,-12),'Data Core CPI'!$B:$AY,MATCH($S$1,'Data Core CPI'!$B$1:$AY$1,),))/VLOOKUP(EDATE(B72,-12),'Data Core CPI'!$B:$AY,MATCH($S$1,'Data Core CPI'!$B$1:$AY$1,),)</f>
        <v>#DIV/0!</v>
      </c>
      <c r="T72" s="21" t="e">
        <f>(VLOOKUP(B72,'Data Core CPI'!$B:$AY,MATCH($T$1,'Data Core CPI'!$B$1:$AY$1,),)-VLOOKUP(EDATE(B72,-12),'Data Core CPI'!$B:$AY,MATCH($T$1,'Data Core CPI'!$B$1:$AY$1,),))/VLOOKUP(EDATE(B72,-12),'Data Core CPI'!$B:$AY,MATCH($T$1,'Data Core CPI'!$B$1:$AY$1,),)</f>
        <v>#DIV/0!</v>
      </c>
      <c r="U72" s="21">
        <f>(VLOOKUP(B72,'Data Core CPI'!$B:$AY,MATCH($U$1,'Data Core CPI'!$B$1:$AY$1,),)-VLOOKUP(EDATE(B72,-12),'Data Core CPI'!$B:$AY,MATCH($U$1,'Data Core CPI'!$B$1:$AY$1,),))/VLOOKUP(EDATE(B72,-12),'Data Core CPI'!$B:$AY,MATCH($U$1,'Data Core CPI'!$B$1:$AY$1,),)</f>
        <v>-4.1356769348452789E-3</v>
      </c>
      <c r="V72" s="21">
        <f>(VLOOKUP(B72,'Data Core CPI'!$B:$AY,MATCH($V$1,'Data Core CPI'!$B$1:$AY$1,),)-VLOOKUP(EDATE(B72,-12),'Data Core CPI'!$B:$AY,MATCH($V$1,'Data Core CPI'!$B$1:$AY$1,),))/VLOOKUP(EDATE(B72,-12),'Data Core CPI'!$B:$AY,MATCH($V$1,'Data Core CPI'!$B$1:$AY$1,),)</f>
        <v>9.0898803221920628E-3</v>
      </c>
      <c r="W72" s="21">
        <f>(VLOOKUP(B72,'Data Core CPI'!$B:$AY,MATCH($W$1,'Data Core CPI'!$B$1:$AY$1,),)-VLOOKUP(EDATE(B72,-12),'Data Core CPI'!$B:$AY,MATCH($W$1,'Data Core CPI'!$B$1:$AY$1,),))/VLOOKUP(EDATE(B72,-12),'Data Core CPI'!$B:$AY,MATCH($W$1,'Data Core CPI'!$B$1:$AY$1,),)</f>
        <v>0.100392412659265</v>
      </c>
      <c r="X72" s="21">
        <f>(VLOOKUP(B72,'Data Core CPI'!$B:$AY,MATCH($X$1,'Data Core CPI'!$B$1:$AY$1,),)-VLOOKUP(EDATE(B72,-12),'Data Core CPI'!$B:$AY,MATCH($X$1,'Data Core CPI'!$B$1:$AY$1,),))/VLOOKUP(EDATE(B72,-12),'Data Core CPI'!$B:$AY,MATCH($X$1,'Data Core CPI'!$B$1:$AY$1,),)</f>
        <v>1.507537688442211E-2</v>
      </c>
      <c r="Y72" s="21">
        <f>(VLOOKUP(B72,'Data Core CPI'!$B:$AY,MATCH($Y$1,'Data Core CPI'!$B$1:$AY$1,),)-VLOOKUP(EDATE(B72,-12),'Data Core CPI'!$B:$AY,MATCH($Y$1,'Data Core CPI'!$B$1:$AY$1,),))/VLOOKUP(EDATE(B72,-12),'Data Core CPI'!$B:$AY,MATCH($Y$1,'Data Core CPI'!$B$1:$AY$1,),)</f>
        <v>-8.7262417178991401E-4</v>
      </c>
      <c r="Z72" s="21" t="e">
        <f>(VLOOKUP(B72,Data!$B:$AY,MATCH($Z$1,Data!$B$1:$AY$1,),)-VLOOKUP(EDATE(B72,-12),Data!$B:$AY,MATCH($Z$1,Data!$B$1:$AY$1,),))/VLOOKUP(EDATE(B72,-12),Data!$B:$AY,MATCH($Z$1,Data!$B$1:$AY$1,),)</f>
        <v>#N/A</v>
      </c>
      <c r="AA72" s="21" t="e">
        <f>(VLOOKUP(B72,Data!$B:$AY,MATCH($AA$1,Data!$B$1:$AY$1,),)-VLOOKUP(EDATE(B72,-12),Data!$B:$AY,MATCH($AA$1,Data!$B$1:$AY$1,),))/VLOOKUP(EDATE(B72,-12),Data!$B:$AY,MATCH($AA$1,Data!$B$1:$AY$1,),)</f>
        <v>#N/A</v>
      </c>
      <c r="AB72" s="20"/>
    </row>
    <row r="73" spans="2:28" x14ac:dyDescent="0.2">
      <c r="B73" s="16">
        <v>42430</v>
      </c>
      <c r="C73" s="21">
        <f>(VLOOKUP(B73,'Data Core CPI'!$B:$AY,MATCH($C$1,'Data Core CPI'!$B$1:$AY$1,),)-VLOOKUP(EDATE(B73,-12),'Data Core CPI'!$B:$AY,MATCH($C$1,'Data Core CPI'!$B$1:$AY$1,),))/VLOOKUP(EDATE(B73,-12),'Data Core CPI'!$B:$AY,MATCH($C$1,'Data Core CPI'!$B$1:$AY$1,),)</f>
        <v>2.1947864150549033E-2</v>
      </c>
      <c r="D73" s="21" t="e">
        <f>(VLOOKUP(B73,'Data Core CPI'!$B:$AY,MATCH($D$1,'Data Core CPI'!$B$1:$AY$1,),)-VLOOKUP(EDATE(B73,-12),'Data Core CPI'!$B:$AY,MATCH($D$1,'Data Core CPI'!$B$1:$AY$1,),))/VLOOKUP(EDATE(B73,-12),'Data Core CPI'!$B:$AY,MATCH($D$1,'Data Core CPI'!$B$1:$AY$1,),)</f>
        <v>#DIV/0!</v>
      </c>
      <c r="E73" s="21">
        <f>(VLOOKUP(B73,'Data Core CPI'!$B:$AY,MATCH($E$1,'Data Core CPI'!$B$1:$AY$1,),)-VLOOKUP(EDATE(B73,-12),'Data Core CPI'!$B:$AY,MATCH($E$1,'Data Core CPI'!$B$1:$AY$1,),))/VLOOKUP(EDATE(B73,-12),'Data Core CPI'!$B:$AY,MATCH($E$1,'Data Core CPI'!$B$1:$AY$1,),)</f>
        <v>1.0323744612609013E-2</v>
      </c>
      <c r="F73" s="21">
        <f>(VLOOKUP(B73,'Data Core CPI'!$B:$AY,MATCH($F$1,'Data Core CPI'!$B$1:$AY$1,),)-VLOOKUP(EDATE(B73,-12),'Data Core CPI'!$B:$AY,MATCH($F$1,'Data Core CPI'!$B$1:$AY$1,),))/VLOOKUP(EDATE(B73,-12),'Data Core CPI'!$B:$AY,MATCH($F$1,'Data Core CPI'!$B$1:$AY$1,),)</f>
        <v>7.163977881775644E-3</v>
      </c>
      <c r="G73" s="21">
        <f>(VLOOKUP(B73,'Data Core CPI'!$B:$AY,MATCH($G$1,'Data Core CPI'!$B$1:$AY$1,),)-VLOOKUP(EDATE(B73,-12),'Data Core CPI'!$B:$AY,MATCH($G$1,'Data Core CPI'!$B$1:$AY$1,),))/VLOOKUP(EDATE(B73,-12),'Data Core CPI'!$B:$AY,MATCH($G$1,'Data Core CPI'!$B$1:$AY$1,),)</f>
        <v>1.4103507555026496E-2</v>
      </c>
      <c r="H73" s="21">
        <f>(VLOOKUP(B73,'Data Core CPI'!$B:$AY,MATCH($H$1,'Data Core CPI'!$B$1:$AY$1,),)-VLOOKUP(EDATE(B73,-12),'Data Core CPI'!$B:$AY,MATCH($H$1,'Data Core CPI'!$B$1:$AY$1,),))/VLOOKUP(EDATE(B73,-12),'Data Core CPI'!$B:$AY,MATCH($H$1,'Data Core CPI'!$B$1:$AY$1,),)</f>
        <v>4.682355454201103E-3</v>
      </c>
      <c r="I73" s="21">
        <f>(VLOOKUP(B73,'Data Core CPI'!$B:$AY,MATCH($I$1,'Data Core CPI'!$B$1:$AY$1,),)-VLOOKUP(EDATE(B73,-12),'Data Core CPI'!$B:$AY,MATCH($I$1,'Data Core CPI'!$B$1:$AY$1,),))/VLOOKUP(EDATE(B73,-12),'Data Core CPI'!$B:$AY,MATCH($I$1,'Data Core CPI'!$B$1:$AY$1,),)</f>
        <v>1.7102615694164873E-2</v>
      </c>
      <c r="J73" s="21">
        <f>(VLOOKUP(B73,'Data Core CPI'!$B:$AY,MATCH($J$1,'Data Core CPI'!$B$1:$AY$1,),)-VLOOKUP(EDATE(B73,-12),'Data Core CPI'!$B:$AY,MATCH($J$1,'Data Core CPI'!$B$1:$AY$1,),))/VLOOKUP(EDATE(B73,-12),'Data Core CPI'!$B:$AY,MATCH($J$1,'Data Core CPI'!$B$1:$AY$1,),)</f>
        <v>6.3824282988539224E-3</v>
      </c>
      <c r="K73" s="21">
        <f>(VLOOKUP(B73,'Data Core CPI'!$B:$AY,MATCH($K$1,'Data Core CPI'!$B$1:$AY$1,),)-VLOOKUP(EDATE(B73,-12),'Data Core CPI'!$B:$AY,MATCH($K$1,'Data Core CPI'!$B$1:$AY$1,),))/VLOOKUP(EDATE(B73,-12),'Data Core CPI'!$B:$AY,MATCH($K$1,'Data Core CPI'!$B$1:$AY$1,),)</f>
        <v>1.0104872038052572E-2</v>
      </c>
      <c r="L73" s="21">
        <f>(VLOOKUP(B73,'Data Core CPI'!$B:$AY,MATCH($L$1,'Data Core CPI'!$B$1:$AY$1,),)-VLOOKUP(EDATE(B73,-12),'Data Core CPI'!$B:$AY,MATCH($L$1,'Data Core CPI'!$B$1:$AY$1,),))/VLOOKUP(EDATE(B73,-12),'Data Core CPI'!$B:$AY,MATCH($L$1,'Data Core CPI'!$B$1:$AY$1,),)</f>
        <v>9.3958320295387671E-3</v>
      </c>
      <c r="M73" s="21">
        <f>(VLOOKUP(B73,'Data Core CPI'!$B:$AY,MATCH($M$1,'Data Core CPI'!$B$1:$AY$1,),)-VLOOKUP(EDATE(B73,-12),'Data Core CPI'!$B:$AY,MATCH($M$1,'Data Core CPI'!$B$1:$AY$1,),))/VLOOKUP(EDATE(B73,-12),'Data Core CPI'!$B:$AY,MATCH($M$1,'Data Core CPI'!$B$1:$AY$1,),)</f>
        <v>2.6683512259917289E-2</v>
      </c>
      <c r="N73" s="21" t="e">
        <f>(VLOOKUP(B73,'Data Core CPI'!$B:$AY,MATCH($N$1,'Data Core CPI'!$B$1:$AY$1,),)-VLOOKUP(EDATE(B73,-12),'Data Core CPI'!$B:$AY,MATCH($N$1,'Data Core CPI'!$B$1:$AY$1,),))/VLOOKUP(EDATE(B73,-12),'Data Core CPI'!$B:$AY,MATCH($N$1,'Data Core CPI'!$B$1:$AY$1,),)</f>
        <v>#DIV/0!</v>
      </c>
      <c r="O73" s="21" t="e">
        <f>(VLOOKUP(B73,'Data Core CPI'!$B:$AY,MATCH($O$1,'Data Core CPI'!$B$1:$AY$1,),)-VLOOKUP(EDATE(B73,-12),'Data Core CPI'!$B:$AY,MATCH($O$1,'Data Core CPI'!$B$1:$AY$1,),))/VLOOKUP(EDATE(B73,-12),'Data Core CPI'!$B:$AY,MATCH($O$1,'Data Core CPI'!$B$1:$AY$1,),)</f>
        <v>#DIV/0!</v>
      </c>
      <c r="P73" s="21">
        <f>(VLOOKUP(B73,'Data Core CPI'!$B:$AY,MATCH($P$1,'Data Core CPI'!$B$1:$AY$1,),)-VLOOKUP(EDATE(B73,-12),'Data Core CPI'!$B:$AY,MATCH($P$1,'Data Core CPI'!$B$1:$AY$1,),))/VLOOKUP(EDATE(B73,-12),'Data Core CPI'!$B:$AY,MATCH($P$1,'Data Core CPI'!$B$1:$AY$1,),)</f>
        <v>1.9023961906994513E-2</v>
      </c>
      <c r="Q73" s="21" t="e">
        <f>(VLOOKUP(B73,'Data Core CPI'!$B:$AY,MATCH($Q$1,'Data Core CPI'!$B$1:$AY$1,),)-VLOOKUP(EDATE(B73,-12),'Data Core CPI'!$B:$AY,MATCH($Q$1,'Data Core CPI'!$B$1:$AY$1,),))/VLOOKUP(EDATE(B73,-12),'Data Core CPI'!$B:$AY,MATCH($Q$1,'Data Core CPI'!$B$1:$AY$1,),)</f>
        <v>#N/A</v>
      </c>
      <c r="R73" s="21">
        <f>(VLOOKUP(B73,'Data Core CPI'!$B:$AY,MATCH($R$1,'Data Core CPI'!$B$1:$AY$1,),)-VLOOKUP(EDATE(B73,-12),'Data Core CPI'!$B:$AY,MATCH($R$1,'Data Core CPI'!$B$1:$AY$1,),))/VLOOKUP(EDATE(B73,-12),'Data Core CPI'!$B:$AY,MATCH($R$1,'Data Core CPI'!$B$1:$AY$1,),)</f>
        <v>-4.777573229093216E-3</v>
      </c>
      <c r="S73" s="21" t="e">
        <f>(VLOOKUP(B73,'Data Core CPI'!$B:$AY,MATCH($S$1,'Data Core CPI'!$B$1:$AY$1,),)-VLOOKUP(EDATE(B73,-12),'Data Core CPI'!$B:$AY,MATCH($S$1,'Data Core CPI'!$B$1:$AY$1,),))/VLOOKUP(EDATE(B73,-12),'Data Core CPI'!$B:$AY,MATCH($S$1,'Data Core CPI'!$B$1:$AY$1,),)</f>
        <v>#DIV/0!</v>
      </c>
      <c r="T73" s="21" t="e">
        <f>(VLOOKUP(B73,'Data Core CPI'!$B:$AY,MATCH($T$1,'Data Core CPI'!$B$1:$AY$1,),)-VLOOKUP(EDATE(B73,-12),'Data Core CPI'!$B:$AY,MATCH($T$1,'Data Core CPI'!$B$1:$AY$1,),))/VLOOKUP(EDATE(B73,-12),'Data Core CPI'!$B:$AY,MATCH($T$1,'Data Core CPI'!$B$1:$AY$1,),)</f>
        <v>#DIV/0!</v>
      </c>
      <c r="U73" s="21">
        <f>(VLOOKUP(B73,'Data Core CPI'!$B:$AY,MATCH($U$1,'Data Core CPI'!$B$1:$AY$1,),)-VLOOKUP(EDATE(B73,-12),'Data Core CPI'!$B:$AY,MATCH($U$1,'Data Core CPI'!$B$1:$AY$1,),))/VLOOKUP(EDATE(B73,-12),'Data Core CPI'!$B:$AY,MATCH($U$1,'Data Core CPI'!$B$1:$AY$1,),)</f>
        <v>-1.3845259392661392E-2</v>
      </c>
      <c r="V73" s="21">
        <f>(VLOOKUP(B73,'Data Core CPI'!$B:$AY,MATCH($V$1,'Data Core CPI'!$B$1:$AY$1,),)-VLOOKUP(EDATE(B73,-12),'Data Core CPI'!$B:$AY,MATCH($V$1,'Data Core CPI'!$B$1:$AY$1,),))/VLOOKUP(EDATE(B73,-12),'Data Core CPI'!$B:$AY,MATCH($V$1,'Data Core CPI'!$B$1:$AY$1,),)</f>
        <v>9.4816498369292984E-3</v>
      </c>
      <c r="W73" s="21">
        <f>(VLOOKUP(B73,'Data Core CPI'!$B:$AY,MATCH($W$1,'Data Core CPI'!$B$1:$AY$1,),)-VLOOKUP(EDATE(B73,-12),'Data Core CPI'!$B:$AY,MATCH($W$1,'Data Core CPI'!$B$1:$AY$1,),))/VLOOKUP(EDATE(B73,-12),'Data Core CPI'!$B:$AY,MATCH($W$1,'Data Core CPI'!$B$1:$AY$1,),)</f>
        <v>9.8426620757926048E-2</v>
      </c>
      <c r="X73" s="21">
        <f>(VLOOKUP(B73,'Data Core CPI'!$B:$AY,MATCH($X$1,'Data Core CPI'!$B$1:$AY$1,),)-VLOOKUP(EDATE(B73,-12),'Data Core CPI'!$B:$AY,MATCH($X$1,'Data Core CPI'!$B$1:$AY$1,),))/VLOOKUP(EDATE(B73,-12),'Data Core CPI'!$B:$AY,MATCH($X$1,'Data Core CPI'!$B$1:$AY$1,),)</f>
        <v>1.507537688442211E-2</v>
      </c>
      <c r="Y73" s="21">
        <f>(VLOOKUP(B73,'Data Core CPI'!$B:$AY,MATCH($Y$1,'Data Core CPI'!$B$1:$AY$1,),)-VLOOKUP(EDATE(B73,-12),'Data Core CPI'!$B:$AY,MATCH($Y$1,'Data Core CPI'!$B$1:$AY$1,),))/VLOOKUP(EDATE(B73,-12),'Data Core CPI'!$B:$AY,MATCH($Y$1,'Data Core CPI'!$B$1:$AY$1,),)</f>
        <v>-1.7436266170062888E-3</v>
      </c>
      <c r="Z73" s="21" t="e">
        <f>(VLOOKUP(B73,Data!$B:$AY,MATCH($Z$1,Data!$B$1:$AY$1,),)-VLOOKUP(EDATE(B73,-12),Data!$B:$AY,MATCH($Z$1,Data!$B$1:$AY$1,),))/VLOOKUP(EDATE(B73,-12),Data!$B:$AY,MATCH($Z$1,Data!$B$1:$AY$1,),)</f>
        <v>#N/A</v>
      </c>
      <c r="AA73" s="21" t="e">
        <f>(VLOOKUP(B73,Data!$B:$AY,MATCH($AA$1,Data!$B$1:$AY$1,),)-VLOOKUP(EDATE(B73,-12),Data!$B:$AY,MATCH($AA$1,Data!$B$1:$AY$1,),))/VLOOKUP(EDATE(B73,-12),Data!$B:$AY,MATCH($AA$1,Data!$B$1:$AY$1,),)</f>
        <v>#N/A</v>
      </c>
      <c r="AB73" s="20"/>
    </row>
    <row r="74" spans="2:28" x14ac:dyDescent="0.2">
      <c r="B74" s="16">
        <v>42461</v>
      </c>
      <c r="C74" s="21">
        <f>(VLOOKUP(B74,'Data Core CPI'!$B:$AY,MATCH($C$1,'Data Core CPI'!$B$1:$AY$1,),)-VLOOKUP(EDATE(B74,-12),'Data Core CPI'!$B:$AY,MATCH($C$1,'Data Core CPI'!$B$1:$AY$1,),))/VLOOKUP(EDATE(B74,-12),'Data Core CPI'!$B:$AY,MATCH($C$1,'Data Core CPI'!$B$1:$AY$1,),)</f>
        <v>2.1464284816209357E-2</v>
      </c>
      <c r="D74" s="21" t="e">
        <f>(VLOOKUP(B74,'Data Core CPI'!$B:$AY,MATCH($D$1,'Data Core CPI'!$B$1:$AY$1,),)-VLOOKUP(EDATE(B74,-12),'Data Core CPI'!$B:$AY,MATCH($D$1,'Data Core CPI'!$B$1:$AY$1,),))/VLOOKUP(EDATE(B74,-12),'Data Core CPI'!$B:$AY,MATCH($D$1,'Data Core CPI'!$B$1:$AY$1,),)</f>
        <v>#DIV/0!</v>
      </c>
      <c r="E74" s="21">
        <f>(VLOOKUP(B74,'Data Core CPI'!$B:$AY,MATCH($E$1,'Data Core CPI'!$B$1:$AY$1,),)-VLOOKUP(EDATE(B74,-12),'Data Core CPI'!$B:$AY,MATCH($E$1,'Data Core CPI'!$B$1:$AY$1,),))/VLOOKUP(EDATE(B74,-12),'Data Core CPI'!$B:$AY,MATCH($E$1,'Data Core CPI'!$B$1:$AY$1,),)</f>
        <v>7.1784646061814443E-3</v>
      </c>
      <c r="F74" s="21">
        <f>(VLOOKUP(B74,'Data Core CPI'!$B:$AY,MATCH($F$1,'Data Core CPI'!$B$1:$AY$1,),)-VLOOKUP(EDATE(B74,-12),'Data Core CPI'!$B:$AY,MATCH($F$1,'Data Core CPI'!$B$1:$AY$1,),))/VLOOKUP(EDATE(B74,-12),'Data Core CPI'!$B:$AY,MATCH($F$1,'Data Core CPI'!$B$1:$AY$1,),)</f>
        <v>6.2917364034209026E-3</v>
      </c>
      <c r="G74" s="21">
        <f>(VLOOKUP(B74,'Data Core CPI'!$B:$AY,MATCH($G$1,'Data Core CPI'!$B$1:$AY$1,),)-VLOOKUP(EDATE(B74,-12),'Data Core CPI'!$B:$AY,MATCH($G$1,'Data Core CPI'!$B$1:$AY$1,),))/VLOOKUP(EDATE(B74,-12),'Data Core CPI'!$B:$AY,MATCH($G$1,'Data Core CPI'!$B$1:$AY$1,),)</f>
        <v>9.2595615407740223E-3</v>
      </c>
      <c r="H74" s="21">
        <f>(VLOOKUP(B74,'Data Core CPI'!$B:$AY,MATCH($H$1,'Data Core CPI'!$B$1:$AY$1,),)-VLOOKUP(EDATE(B74,-12),'Data Core CPI'!$B:$AY,MATCH($H$1,'Data Core CPI'!$B$1:$AY$1,),))/VLOOKUP(EDATE(B74,-12),'Data Core CPI'!$B:$AY,MATCH($H$1,'Data Core CPI'!$B$1:$AY$1,),)</f>
        <v>4.2121560205763504E-3</v>
      </c>
      <c r="I74" s="21">
        <f>(VLOOKUP(B74,'Data Core CPI'!$B:$AY,MATCH($I$1,'Data Core CPI'!$B$1:$AY$1,),)-VLOOKUP(EDATE(B74,-12),'Data Core CPI'!$B:$AY,MATCH($I$1,'Data Core CPI'!$B$1:$AY$1,),))/VLOOKUP(EDATE(B74,-12),'Data Core CPI'!$B:$AY,MATCH($I$1,'Data Core CPI'!$B$1:$AY$1,),)</f>
        <v>1.5045135406218655E-2</v>
      </c>
      <c r="J74" s="21">
        <f>(VLOOKUP(B74,'Data Core CPI'!$B:$AY,MATCH($J$1,'Data Core CPI'!$B$1:$AY$1,),)-VLOOKUP(EDATE(B74,-12),'Data Core CPI'!$B:$AY,MATCH($J$1,'Data Core CPI'!$B$1:$AY$1,),))/VLOOKUP(EDATE(B74,-12),'Data Core CPI'!$B:$AY,MATCH($J$1,'Data Core CPI'!$B$1:$AY$1,),)</f>
        <v>3.3375803983831014E-3</v>
      </c>
      <c r="K74" s="21">
        <f>(VLOOKUP(B74,'Data Core CPI'!$B:$AY,MATCH($K$1,'Data Core CPI'!$B$1:$AY$1,),)-VLOOKUP(EDATE(B74,-12),'Data Core CPI'!$B:$AY,MATCH($K$1,'Data Core CPI'!$B$1:$AY$1,),))/VLOOKUP(EDATE(B74,-12),'Data Core CPI'!$B:$AY,MATCH($K$1,'Data Core CPI'!$B$1:$AY$1,),)</f>
        <v>6.5250529132441998E-3</v>
      </c>
      <c r="L74" s="21">
        <f>(VLOOKUP(B74,'Data Core CPI'!$B:$AY,MATCH($L$1,'Data Core CPI'!$B$1:$AY$1,),)-VLOOKUP(EDATE(B74,-12),'Data Core CPI'!$B:$AY,MATCH($L$1,'Data Core CPI'!$B$1:$AY$1,),))/VLOOKUP(EDATE(B74,-12),'Data Core CPI'!$B:$AY,MATCH($L$1,'Data Core CPI'!$B$1:$AY$1,),)</f>
        <v>1.0449723115425164E-2</v>
      </c>
      <c r="M74" s="21">
        <f>(VLOOKUP(B74,'Data Core CPI'!$B:$AY,MATCH($M$1,'Data Core CPI'!$B$1:$AY$1,),)-VLOOKUP(EDATE(B74,-12),'Data Core CPI'!$B:$AY,MATCH($M$1,'Data Core CPI'!$B$1:$AY$1,),))/VLOOKUP(EDATE(B74,-12),'Data Core CPI'!$B:$AY,MATCH($M$1,'Data Core CPI'!$B$1:$AY$1,),)</f>
        <v>2.6075496564059098E-2</v>
      </c>
      <c r="N74" s="21" t="e">
        <f>(VLOOKUP(B74,'Data Core CPI'!$B:$AY,MATCH($N$1,'Data Core CPI'!$B$1:$AY$1,),)-VLOOKUP(EDATE(B74,-12),'Data Core CPI'!$B:$AY,MATCH($N$1,'Data Core CPI'!$B$1:$AY$1,),))/VLOOKUP(EDATE(B74,-12),'Data Core CPI'!$B:$AY,MATCH($N$1,'Data Core CPI'!$B$1:$AY$1,),)</f>
        <v>#DIV/0!</v>
      </c>
      <c r="O74" s="21" t="e">
        <f>(VLOOKUP(B74,'Data Core CPI'!$B:$AY,MATCH($O$1,'Data Core CPI'!$B$1:$AY$1,),)-VLOOKUP(EDATE(B74,-12),'Data Core CPI'!$B:$AY,MATCH($O$1,'Data Core CPI'!$B$1:$AY$1,),))/VLOOKUP(EDATE(B74,-12),'Data Core CPI'!$B:$AY,MATCH($O$1,'Data Core CPI'!$B$1:$AY$1,),)</f>
        <v>#DIV/0!</v>
      </c>
      <c r="P74" s="21">
        <f>(VLOOKUP(B74,'Data Core CPI'!$B:$AY,MATCH($P$1,'Data Core CPI'!$B$1:$AY$1,),)-VLOOKUP(EDATE(B74,-12),'Data Core CPI'!$B:$AY,MATCH($P$1,'Data Core CPI'!$B$1:$AY$1,),))/VLOOKUP(EDATE(B74,-12),'Data Core CPI'!$B:$AY,MATCH($P$1,'Data Core CPI'!$B$1:$AY$1,),)</f>
        <v>1.9685087460909179E-2</v>
      </c>
      <c r="Q74" s="21" t="e">
        <f>(VLOOKUP(B74,'Data Core CPI'!$B:$AY,MATCH($Q$1,'Data Core CPI'!$B$1:$AY$1,),)-VLOOKUP(EDATE(B74,-12),'Data Core CPI'!$B:$AY,MATCH($Q$1,'Data Core CPI'!$B$1:$AY$1,),))/VLOOKUP(EDATE(B74,-12),'Data Core CPI'!$B:$AY,MATCH($Q$1,'Data Core CPI'!$B$1:$AY$1,),)</f>
        <v>#N/A</v>
      </c>
      <c r="R74" s="21">
        <f>(VLOOKUP(B74,'Data Core CPI'!$B:$AY,MATCH($R$1,'Data Core CPI'!$B$1:$AY$1,),)-VLOOKUP(EDATE(B74,-12),'Data Core CPI'!$B:$AY,MATCH($R$1,'Data Core CPI'!$B$1:$AY$1,),))/VLOOKUP(EDATE(B74,-12),'Data Core CPI'!$B:$AY,MATCH($R$1,'Data Core CPI'!$B$1:$AY$1,),)</f>
        <v>-2.304903857572274E-4</v>
      </c>
      <c r="S74" s="21" t="e">
        <f>(VLOOKUP(B74,'Data Core CPI'!$B:$AY,MATCH($S$1,'Data Core CPI'!$B$1:$AY$1,),)-VLOOKUP(EDATE(B74,-12),'Data Core CPI'!$B:$AY,MATCH($S$1,'Data Core CPI'!$B$1:$AY$1,),))/VLOOKUP(EDATE(B74,-12),'Data Core CPI'!$B:$AY,MATCH($S$1,'Data Core CPI'!$B$1:$AY$1,),)</f>
        <v>#DIV/0!</v>
      </c>
      <c r="T74" s="21" t="e">
        <f>(VLOOKUP(B74,'Data Core CPI'!$B:$AY,MATCH($T$1,'Data Core CPI'!$B$1:$AY$1,),)-VLOOKUP(EDATE(B74,-12),'Data Core CPI'!$B:$AY,MATCH($T$1,'Data Core CPI'!$B$1:$AY$1,),))/VLOOKUP(EDATE(B74,-12),'Data Core CPI'!$B:$AY,MATCH($T$1,'Data Core CPI'!$B$1:$AY$1,),)</f>
        <v>#DIV/0!</v>
      </c>
      <c r="U74" s="21">
        <f>(VLOOKUP(B74,'Data Core CPI'!$B:$AY,MATCH($U$1,'Data Core CPI'!$B$1:$AY$1,),)-VLOOKUP(EDATE(B74,-12),'Data Core CPI'!$B:$AY,MATCH($U$1,'Data Core CPI'!$B$1:$AY$1,),))/VLOOKUP(EDATE(B74,-12),'Data Core CPI'!$B:$AY,MATCH($U$1,'Data Core CPI'!$B$1:$AY$1,),)</f>
        <v>-9.1380888781442127E-3</v>
      </c>
      <c r="V74" s="21">
        <f>(VLOOKUP(B74,'Data Core CPI'!$B:$AY,MATCH($V$1,'Data Core CPI'!$B$1:$AY$1,),)-VLOOKUP(EDATE(B74,-12),'Data Core CPI'!$B:$AY,MATCH($V$1,'Data Core CPI'!$B$1:$AY$1,),))/VLOOKUP(EDATE(B74,-12),'Data Core CPI'!$B:$AY,MATCH($V$1,'Data Core CPI'!$B$1:$AY$1,),)</f>
        <v>1.1161639361456943E-2</v>
      </c>
      <c r="W74" s="21">
        <f>(VLOOKUP(B74,'Data Core CPI'!$B:$AY,MATCH($W$1,'Data Core CPI'!$B$1:$AY$1,),)-VLOOKUP(EDATE(B74,-12),'Data Core CPI'!$B:$AY,MATCH($W$1,'Data Core CPI'!$B$1:$AY$1,),))/VLOOKUP(EDATE(B74,-12),'Data Core CPI'!$B:$AY,MATCH($W$1,'Data Core CPI'!$B$1:$AY$1,),)</f>
        <v>9.6685515086805549E-2</v>
      </c>
      <c r="X74" s="21">
        <f>(VLOOKUP(B74,'Data Core CPI'!$B:$AY,MATCH($X$1,'Data Core CPI'!$B$1:$AY$1,),)-VLOOKUP(EDATE(B74,-12),'Data Core CPI'!$B:$AY,MATCH($X$1,'Data Core CPI'!$B$1:$AY$1,),))/VLOOKUP(EDATE(B74,-12),'Data Core CPI'!$B:$AY,MATCH($X$1,'Data Core CPI'!$B$1:$AY$1,),)</f>
        <v>1.7017017017016901E-2</v>
      </c>
      <c r="Y74" s="21">
        <f>(VLOOKUP(B74,'Data Core CPI'!$B:$AY,MATCH($Y$1,'Data Core CPI'!$B$1:$AY$1,),)-VLOOKUP(EDATE(B74,-12),'Data Core CPI'!$B:$AY,MATCH($Y$1,'Data Core CPI'!$B$1:$AY$1,),))/VLOOKUP(EDATE(B74,-12),'Data Core CPI'!$B:$AY,MATCH($Y$1,'Data Core CPI'!$B$1:$AY$1,),)</f>
        <v>-3.471819362749322E-3</v>
      </c>
      <c r="Z74" s="21" t="e">
        <f>(VLOOKUP(B74,Data!$B:$AY,MATCH($Z$1,Data!$B$1:$AY$1,),)-VLOOKUP(EDATE(B74,-12),Data!$B:$AY,MATCH($Z$1,Data!$B$1:$AY$1,),))/VLOOKUP(EDATE(B74,-12),Data!$B:$AY,MATCH($Z$1,Data!$B$1:$AY$1,),)</f>
        <v>#N/A</v>
      </c>
      <c r="AA74" s="21" t="e">
        <f>(VLOOKUP(B74,Data!$B:$AY,MATCH($AA$1,Data!$B$1:$AY$1,),)-VLOOKUP(EDATE(B74,-12),Data!$B:$AY,MATCH($AA$1,Data!$B$1:$AY$1,),))/VLOOKUP(EDATE(B74,-12),Data!$B:$AY,MATCH($AA$1,Data!$B$1:$AY$1,),)</f>
        <v>#N/A</v>
      </c>
      <c r="AB74" s="20"/>
    </row>
    <row r="75" spans="2:28" x14ac:dyDescent="0.2">
      <c r="B75" s="16">
        <v>42491</v>
      </c>
      <c r="C75" s="21">
        <f>(VLOOKUP(B75,'Data Core CPI'!$B:$AY,MATCH($C$1,'Data Core CPI'!$B$1:$AY$1,),)-VLOOKUP(EDATE(B75,-12),'Data Core CPI'!$B:$AY,MATCH($C$1,'Data Core CPI'!$B$1:$AY$1,),))/VLOOKUP(EDATE(B75,-12),'Data Core CPI'!$B:$AY,MATCH($C$1,'Data Core CPI'!$B$1:$AY$1,),)</f>
        <v>2.2406194620848432E-2</v>
      </c>
      <c r="D75" s="21" t="e">
        <f>(VLOOKUP(B75,'Data Core CPI'!$B:$AY,MATCH($D$1,'Data Core CPI'!$B$1:$AY$1,),)-VLOOKUP(EDATE(B75,-12),'Data Core CPI'!$B:$AY,MATCH($D$1,'Data Core CPI'!$B$1:$AY$1,),))/VLOOKUP(EDATE(B75,-12),'Data Core CPI'!$B:$AY,MATCH($D$1,'Data Core CPI'!$B$1:$AY$1,),)</f>
        <v>#DIV/0!</v>
      </c>
      <c r="E75" s="21">
        <f>(VLOOKUP(B75,'Data Core CPI'!$B:$AY,MATCH($E$1,'Data Core CPI'!$B$1:$AY$1,),)-VLOOKUP(EDATE(B75,-12),'Data Core CPI'!$B:$AY,MATCH($E$1,'Data Core CPI'!$B$1:$AY$1,),))/VLOOKUP(EDATE(B75,-12),'Data Core CPI'!$B:$AY,MATCH($E$1,'Data Core CPI'!$B$1:$AY$1,),)</f>
        <v>7.9586152009550066E-3</v>
      </c>
      <c r="F75" s="21">
        <f>(VLOOKUP(B75,'Data Core CPI'!$B:$AY,MATCH($F$1,'Data Core CPI'!$B$1:$AY$1,),)-VLOOKUP(EDATE(B75,-12),'Data Core CPI'!$B:$AY,MATCH($F$1,'Data Core CPI'!$B$1:$AY$1,),))/VLOOKUP(EDATE(B75,-12),'Data Core CPI'!$B:$AY,MATCH($F$1,'Data Core CPI'!$B$1:$AY$1,),)</f>
        <v>6.9927174486697653E-3</v>
      </c>
      <c r="G75" s="21">
        <f>(VLOOKUP(B75,'Data Core CPI'!$B:$AY,MATCH($G$1,'Data Core CPI'!$B$1:$AY$1,),)-VLOOKUP(EDATE(B75,-12),'Data Core CPI'!$B:$AY,MATCH($G$1,'Data Core CPI'!$B$1:$AY$1,),))/VLOOKUP(EDATE(B75,-12),'Data Core CPI'!$B:$AY,MATCH($G$1,'Data Core CPI'!$B$1:$AY$1,),)</f>
        <v>1.3289360500719152E-2</v>
      </c>
      <c r="H75" s="21">
        <f>(VLOOKUP(B75,'Data Core CPI'!$B:$AY,MATCH($H$1,'Data Core CPI'!$B$1:$AY$1,),)-VLOOKUP(EDATE(B75,-12),'Data Core CPI'!$B:$AY,MATCH($H$1,'Data Core CPI'!$B$1:$AY$1,),))/VLOOKUP(EDATE(B75,-12),'Data Core CPI'!$B:$AY,MATCH($H$1,'Data Core CPI'!$B$1:$AY$1,),)</f>
        <v>3.5815918939561763E-3</v>
      </c>
      <c r="I75" s="21">
        <f>(VLOOKUP(B75,'Data Core CPI'!$B:$AY,MATCH($I$1,'Data Core CPI'!$B$1:$AY$1,),)-VLOOKUP(EDATE(B75,-12),'Data Core CPI'!$B:$AY,MATCH($I$1,'Data Core CPI'!$B$1:$AY$1,),))/VLOOKUP(EDATE(B75,-12),'Data Core CPI'!$B:$AY,MATCH($I$1,'Data Core CPI'!$B$1:$AY$1,),)</f>
        <v>1.5015015015015015E-2</v>
      </c>
      <c r="J75" s="21">
        <f>(VLOOKUP(B75,'Data Core CPI'!$B:$AY,MATCH($J$1,'Data Core CPI'!$B$1:$AY$1,),)-VLOOKUP(EDATE(B75,-12),'Data Core CPI'!$B:$AY,MATCH($J$1,'Data Core CPI'!$B$1:$AY$1,),))/VLOOKUP(EDATE(B75,-12),'Data Core CPI'!$B:$AY,MATCH($J$1,'Data Core CPI'!$B$1:$AY$1,),)</f>
        <v>5.8447833471430679E-3</v>
      </c>
      <c r="K75" s="21">
        <f>(VLOOKUP(B75,'Data Core CPI'!$B:$AY,MATCH($K$1,'Data Core CPI'!$B$1:$AY$1,),)-VLOOKUP(EDATE(B75,-12),'Data Core CPI'!$B:$AY,MATCH($K$1,'Data Core CPI'!$B$1:$AY$1,),))/VLOOKUP(EDATE(B75,-12),'Data Core CPI'!$B:$AY,MATCH($K$1,'Data Core CPI'!$B$1:$AY$1,),)</f>
        <v>6.2897953954288545E-3</v>
      </c>
      <c r="L75" s="21">
        <f>(VLOOKUP(B75,'Data Core CPI'!$B:$AY,MATCH($L$1,'Data Core CPI'!$B$1:$AY$1,),)-VLOOKUP(EDATE(B75,-12),'Data Core CPI'!$B:$AY,MATCH($L$1,'Data Core CPI'!$B$1:$AY$1,),))/VLOOKUP(EDATE(B75,-12),'Data Core CPI'!$B:$AY,MATCH($L$1,'Data Core CPI'!$B$1:$AY$1,),)</f>
        <v>8.6071455698985434E-3</v>
      </c>
      <c r="M75" s="21">
        <f>(VLOOKUP(B75,'Data Core CPI'!$B:$AY,MATCH($M$1,'Data Core CPI'!$B$1:$AY$1,),)-VLOOKUP(EDATE(B75,-12),'Data Core CPI'!$B:$AY,MATCH($M$1,'Data Core CPI'!$B$1:$AY$1,),))/VLOOKUP(EDATE(B75,-12),'Data Core CPI'!$B:$AY,MATCH($M$1,'Data Core CPI'!$B$1:$AY$1,),)</f>
        <v>2.6026960149792007E-2</v>
      </c>
      <c r="N75" s="21" t="e">
        <f>(VLOOKUP(B75,'Data Core CPI'!$B:$AY,MATCH($N$1,'Data Core CPI'!$B$1:$AY$1,),)-VLOOKUP(EDATE(B75,-12),'Data Core CPI'!$B:$AY,MATCH($N$1,'Data Core CPI'!$B$1:$AY$1,),))/VLOOKUP(EDATE(B75,-12),'Data Core CPI'!$B:$AY,MATCH($N$1,'Data Core CPI'!$B$1:$AY$1,),)</f>
        <v>#DIV/0!</v>
      </c>
      <c r="O75" s="21" t="e">
        <f>(VLOOKUP(B75,'Data Core CPI'!$B:$AY,MATCH($O$1,'Data Core CPI'!$B$1:$AY$1,),)-VLOOKUP(EDATE(B75,-12),'Data Core CPI'!$B:$AY,MATCH($O$1,'Data Core CPI'!$B$1:$AY$1,),))/VLOOKUP(EDATE(B75,-12),'Data Core CPI'!$B:$AY,MATCH($O$1,'Data Core CPI'!$B$1:$AY$1,),)</f>
        <v>#DIV/0!</v>
      </c>
      <c r="P75" s="21">
        <f>(VLOOKUP(B75,'Data Core CPI'!$B:$AY,MATCH($P$1,'Data Core CPI'!$B$1:$AY$1,),)-VLOOKUP(EDATE(B75,-12),'Data Core CPI'!$B:$AY,MATCH($P$1,'Data Core CPI'!$B$1:$AY$1,),))/VLOOKUP(EDATE(B75,-12),'Data Core CPI'!$B:$AY,MATCH($P$1,'Data Core CPI'!$B$1:$AY$1,),)</f>
        <v>2.1330174344209901E-2</v>
      </c>
      <c r="Q75" s="21" t="e">
        <f>(VLOOKUP(B75,'Data Core CPI'!$B:$AY,MATCH($Q$1,'Data Core CPI'!$B$1:$AY$1,),)-VLOOKUP(EDATE(B75,-12),'Data Core CPI'!$B:$AY,MATCH($Q$1,'Data Core CPI'!$B$1:$AY$1,),))/VLOOKUP(EDATE(B75,-12),'Data Core CPI'!$B:$AY,MATCH($Q$1,'Data Core CPI'!$B$1:$AY$1,),)</f>
        <v>#N/A</v>
      </c>
      <c r="R75" s="21">
        <f>(VLOOKUP(B75,'Data Core CPI'!$B:$AY,MATCH($R$1,'Data Core CPI'!$B$1:$AY$1,),)-VLOOKUP(EDATE(B75,-12),'Data Core CPI'!$B:$AY,MATCH($R$1,'Data Core CPI'!$B$1:$AY$1,),))/VLOOKUP(EDATE(B75,-12),'Data Core CPI'!$B:$AY,MATCH($R$1,'Data Core CPI'!$B$1:$AY$1,),)</f>
        <v>-1.3240173557936619E-3</v>
      </c>
      <c r="S75" s="21" t="e">
        <f>(VLOOKUP(B75,'Data Core CPI'!$B:$AY,MATCH($S$1,'Data Core CPI'!$B$1:$AY$1,),)-VLOOKUP(EDATE(B75,-12),'Data Core CPI'!$B:$AY,MATCH($S$1,'Data Core CPI'!$B$1:$AY$1,),))/VLOOKUP(EDATE(B75,-12),'Data Core CPI'!$B:$AY,MATCH($S$1,'Data Core CPI'!$B$1:$AY$1,),)</f>
        <v>#DIV/0!</v>
      </c>
      <c r="T75" s="21" t="e">
        <f>(VLOOKUP(B75,'Data Core CPI'!$B:$AY,MATCH($T$1,'Data Core CPI'!$B$1:$AY$1,),)-VLOOKUP(EDATE(B75,-12),'Data Core CPI'!$B:$AY,MATCH($T$1,'Data Core CPI'!$B$1:$AY$1,),))/VLOOKUP(EDATE(B75,-12),'Data Core CPI'!$B:$AY,MATCH($T$1,'Data Core CPI'!$B$1:$AY$1,),)</f>
        <v>#DIV/0!</v>
      </c>
      <c r="U75" s="21">
        <f>(VLOOKUP(B75,'Data Core CPI'!$B:$AY,MATCH($U$1,'Data Core CPI'!$B$1:$AY$1,),)-VLOOKUP(EDATE(B75,-12),'Data Core CPI'!$B:$AY,MATCH($U$1,'Data Core CPI'!$B$1:$AY$1,),))/VLOOKUP(EDATE(B75,-12),'Data Core CPI'!$B:$AY,MATCH($U$1,'Data Core CPI'!$B$1:$AY$1,),)</f>
        <v>-9.3135358734789831E-3</v>
      </c>
      <c r="V75" s="21">
        <f>(VLOOKUP(B75,'Data Core CPI'!$B:$AY,MATCH($V$1,'Data Core CPI'!$B$1:$AY$1,),)-VLOOKUP(EDATE(B75,-12),'Data Core CPI'!$B:$AY,MATCH($V$1,'Data Core CPI'!$B$1:$AY$1,),))/VLOOKUP(EDATE(B75,-12),'Data Core CPI'!$B:$AY,MATCH($V$1,'Data Core CPI'!$B$1:$AY$1,),)</f>
        <v>1.3628891966290529E-2</v>
      </c>
      <c r="W75" s="21">
        <f>(VLOOKUP(B75,'Data Core CPI'!$B:$AY,MATCH($W$1,'Data Core CPI'!$B$1:$AY$1,),)-VLOOKUP(EDATE(B75,-12),'Data Core CPI'!$B:$AY,MATCH($W$1,'Data Core CPI'!$B$1:$AY$1,),))/VLOOKUP(EDATE(B75,-12),'Data Core CPI'!$B:$AY,MATCH($W$1,'Data Core CPI'!$B$1:$AY$1,),)</f>
        <v>9.1251578289942625E-2</v>
      </c>
      <c r="X75" s="21">
        <f>(VLOOKUP(B75,'Data Core CPI'!$B:$AY,MATCH($X$1,'Data Core CPI'!$B$1:$AY$1,),)-VLOOKUP(EDATE(B75,-12),'Data Core CPI'!$B:$AY,MATCH($X$1,'Data Core CPI'!$B$1:$AY$1,),))/VLOOKUP(EDATE(B75,-12),'Data Core CPI'!$B:$AY,MATCH($X$1,'Data Core CPI'!$B$1:$AY$1,),)</f>
        <v>1.5999999999999945E-2</v>
      </c>
      <c r="Y75" s="21">
        <f>(VLOOKUP(B75,'Data Core CPI'!$B:$AY,MATCH($Y$1,'Data Core CPI'!$B$1:$AY$1,),)-VLOOKUP(EDATE(B75,-12),'Data Core CPI'!$B:$AY,MATCH($Y$1,'Data Core CPI'!$B$1:$AY$1,),))/VLOOKUP(EDATE(B75,-12),'Data Core CPI'!$B:$AY,MATCH($Y$1,'Data Core CPI'!$B$1:$AY$1,),)</f>
        <v>-3.471819362749322E-3</v>
      </c>
      <c r="Z75" s="21" t="e">
        <f>(VLOOKUP(B75,Data!$B:$AY,MATCH($Z$1,Data!$B$1:$AY$1,),)-VLOOKUP(EDATE(B75,-12),Data!$B:$AY,MATCH($Z$1,Data!$B$1:$AY$1,),))/VLOOKUP(EDATE(B75,-12),Data!$B:$AY,MATCH($Z$1,Data!$B$1:$AY$1,),)</f>
        <v>#N/A</v>
      </c>
      <c r="AA75" s="21" t="e">
        <f>(VLOOKUP(B75,Data!$B:$AY,MATCH($AA$1,Data!$B$1:$AY$1,),)-VLOOKUP(EDATE(B75,-12),Data!$B:$AY,MATCH($AA$1,Data!$B$1:$AY$1,),))/VLOOKUP(EDATE(B75,-12),Data!$B:$AY,MATCH($AA$1,Data!$B$1:$AY$1,),)</f>
        <v>#N/A</v>
      </c>
      <c r="AB75" s="20"/>
    </row>
    <row r="76" spans="2:28" x14ac:dyDescent="0.2">
      <c r="B76" s="16">
        <v>42522</v>
      </c>
      <c r="C76" s="21">
        <f>(VLOOKUP(B76,'Data Core CPI'!$B:$AY,MATCH($C$1,'Data Core CPI'!$B$1:$AY$1,),)-VLOOKUP(EDATE(B76,-12),'Data Core CPI'!$B:$AY,MATCH($C$1,'Data Core CPI'!$B$1:$AY$1,),))/VLOOKUP(EDATE(B76,-12),'Data Core CPI'!$B:$AY,MATCH($C$1,'Data Core CPI'!$B$1:$AY$1,),)</f>
        <v>2.2446033960921454E-2</v>
      </c>
      <c r="D76" s="21" t="e">
        <f>(VLOOKUP(B76,'Data Core CPI'!$B:$AY,MATCH($D$1,'Data Core CPI'!$B$1:$AY$1,),)-VLOOKUP(EDATE(B76,-12),'Data Core CPI'!$B:$AY,MATCH($D$1,'Data Core CPI'!$B$1:$AY$1,),))/VLOOKUP(EDATE(B76,-12),'Data Core CPI'!$B:$AY,MATCH($D$1,'Data Core CPI'!$B$1:$AY$1,),)</f>
        <v>#DIV/0!</v>
      </c>
      <c r="E76" s="21">
        <f>(VLOOKUP(B76,'Data Core CPI'!$B:$AY,MATCH($E$1,'Data Core CPI'!$B$1:$AY$1,),)-VLOOKUP(EDATE(B76,-12),'Data Core CPI'!$B:$AY,MATCH($E$1,'Data Core CPI'!$B$1:$AY$1,),))/VLOOKUP(EDATE(B76,-12),'Data Core CPI'!$B:$AY,MATCH($E$1,'Data Core CPI'!$B$1:$AY$1,),)</f>
        <v>7.9546584468530527E-3</v>
      </c>
      <c r="F76" s="21">
        <f>(VLOOKUP(B76,'Data Core CPI'!$B:$AY,MATCH($F$1,'Data Core CPI'!$B$1:$AY$1,),)-VLOOKUP(EDATE(B76,-12),'Data Core CPI'!$B:$AY,MATCH($F$1,'Data Core CPI'!$B$1:$AY$1,),))/VLOOKUP(EDATE(B76,-12),'Data Core CPI'!$B:$AY,MATCH($F$1,'Data Core CPI'!$B$1:$AY$1,),)</f>
        <v>5.8067627612657944E-3</v>
      </c>
      <c r="G76" s="21">
        <f>(VLOOKUP(B76,'Data Core CPI'!$B:$AY,MATCH($G$1,'Data Core CPI'!$B$1:$AY$1,),)-VLOOKUP(EDATE(B76,-12),'Data Core CPI'!$B:$AY,MATCH($G$1,'Data Core CPI'!$B$1:$AY$1,),))/VLOOKUP(EDATE(B76,-12),'Data Core CPI'!$B:$AY,MATCH($G$1,'Data Core CPI'!$B$1:$AY$1,),)</f>
        <v>1.2244706361754161E-2</v>
      </c>
      <c r="H76" s="21">
        <f>(VLOOKUP(B76,'Data Core CPI'!$B:$AY,MATCH($H$1,'Data Core CPI'!$B$1:$AY$1,),)-VLOOKUP(EDATE(B76,-12),'Data Core CPI'!$B:$AY,MATCH($H$1,'Data Core CPI'!$B$1:$AY$1,),))/VLOOKUP(EDATE(B76,-12),'Data Core CPI'!$B:$AY,MATCH($H$1,'Data Core CPI'!$B$1:$AY$1,),)</f>
        <v>4.5376819036129128E-3</v>
      </c>
      <c r="I76" s="21">
        <f>(VLOOKUP(B76,'Data Core CPI'!$B:$AY,MATCH($I$1,'Data Core CPI'!$B$1:$AY$1,),)-VLOOKUP(EDATE(B76,-12),'Data Core CPI'!$B:$AY,MATCH($I$1,'Data Core CPI'!$B$1:$AY$1,),))/VLOOKUP(EDATE(B76,-12),'Data Core CPI'!$B:$AY,MATCH($I$1,'Data Core CPI'!$B$1:$AY$1,),)</f>
        <v>1.6016016016015957E-2</v>
      </c>
      <c r="J76" s="21">
        <f>(VLOOKUP(B76,'Data Core CPI'!$B:$AY,MATCH($J$1,'Data Core CPI'!$B$1:$AY$1,),)-VLOOKUP(EDATE(B76,-12),'Data Core CPI'!$B:$AY,MATCH($J$1,'Data Core CPI'!$B$1:$AY$1,),))/VLOOKUP(EDATE(B76,-12),'Data Core CPI'!$B:$AY,MATCH($J$1,'Data Core CPI'!$B$1:$AY$1,),)</f>
        <v>3.5500594340281172E-3</v>
      </c>
      <c r="K76" s="21">
        <f>(VLOOKUP(B76,'Data Core CPI'!$B:$AY,MATCH($K$1,'Data Core CPI'!$B$1:$AY$1,),)-VLOOKUP(EDATE(B76,-12),'Data Core CPI'!$B:$AY,MATCH($K$1,'Data Core CPI'!$B$1:$AY$1,),))/VLOOKUP(EDATE(B76,-12),'Data Core CPI'!$B:$AY,MATCH($K$1,'Data Core CPI'!$B$1:$AY$1,),)</f>
        <v>5.5110846600208135E-3</v>
      </c>
      <c r="L76" s="21">
        <f>(VLOOKUP(B76,'Data Core CPI'!$B:$AY,MATCH($L$1,'Data Core CPI'!$B$1:$AY$1,),)-VLOOKUP(EDATE(B76,-12),'Data Core CPI'!$B:$AY,MATCH($L$1,'Data Core CPI'!$B$1:$AY$1,),))/VLOOKUP(EDATE(B76,-12),'Data Core CPI'!$B:$AY,MATCH($L$1,'Data Core CPI'!$B$1:$AY$1,),)</f>
        <v>1.0563646676751554E-2</v>
      </c>
      <c r="M76" s="21">
        <f>(VLOOKUP(B76,'Data Core CPI'!$B:$AY,MATCH($M$1,'Data Core CPI'!$B$1:$AY$1,),)-VLOOKUP(EDATE(B76,-12),'Data Core CPI'!$B:$AY,MATCH($M$1,'Data Core CPI'!$B$1:$AY$1,),))/VLOOKUP(EDATE(B76,-12),'Data Core CPI'!$B:$AY,MATCH($M$1,'Data Core CPI'!$B$1:$AY$1,),)</f>
        <v>2.6220455938881827E-2</v>
      </c>
      <c r="N76" s="21" t="e">
        <f>(VLOOKUP(B76,'Data Core CPI'!$B:$AY,MATCH($N$1,'Data Core CPI'!$B$1:$AY$1,),)-VLOOKUP(EDATE(B76,-12),'Data Core CPI'!$B:$AY,MATCH($N$1,'Data Core CPI'!$B$1:$AY$1,),))/VLOOKUP(EDATE(B76,-12),'Data Core CPI'!$B:$AY,MATCH($N$1,'Data Core CPI'!$B$1:$AY$1,),)</f>
        <v>#DIV/0!</v>
      </c>
      <c r="O76" s="21" t="e">
        <f>(VLOOKUP(B76,'Data Core CPI'!$B:$AY,MATCH($O$1,'Data Core CPI'!$B$1:$AY$1,),)-VLOOKUP(EDATE(B76,-12),'Data Core CPI'!$B:$AY,MATCH($O$1,'Data Core CPI'!$B$1:$AY$1,),))/VLOOKUP(EDATE(B76,-12),'Data Core CPI'!$B:$AY,MATCH($O$1,'Data Core CPI'!$B$1:$AY$1,),)</f>
        <v>#DIV/0!</v>
      </c>
      <c r="P76" s="21">
        <f>(VLOOKUP(B76,'Data Core CPI'!$B:$AY,MATCH($P$1,'Data Core CPI'!$B$1:$AY$1,),)-VLOOKUP(EDATE(B76,-12),'Data Core CPI'!$B:$AY,MATCH($P$1,'Data Core CPI'!$B$1:$AY$1,),))/VLOOKUP(EDATE(B76,-12),'Data Core CPI'!$B:$AY,MATCH($P$1,'Data Core CPI'!$B$1:$AY$1,),)</f>
        <v>2.3419376488787988E-2</v>
      </c>
      <c r="Q76" s="21" t="e">
        <f>(VLOOKUP(B76,'Data Core CPI'!$B:$AY,MATCH($Q$1,'Data Core CPI'!$B$1:$AY$1,),)-VLOOKUP(EDATE(B76,-12),'Data Core CPI'!$B:$AY,MATCH($Q$1,'Data Core CPI'!$B$1:$AY$1,),))/VLOOKUP(EDATE(B76,-12),'Data Core CPI'!$B:$AY,MATCH($Q$1,'Data Core CPI'!$B$1:$AY$1,),)</f>
        <v>#N/A</v>
      </c>
      <c r="R76" s="21">
        <f>(VLOOKUP(B76,'Data Core CPI'!$B:$AY,MATCH($R$1,'Data Core CPI'!$B$1:$AY$1,),)-VLOOKUP(EDATE(B76,-12),'Data Core CPI'!$B:$AY,MATCH($R$1,'Data Core CPI'!$B$1:$AY$1,),))/VLOOKUP(EDATE(B76,-12),'Data Core CPI'!$B:$AY,MATCH($R$1,'Data Core CPI'!$B$1:$AY$1,),)</f>
        <v>-1.9841665503419754E-3</v>
      </c>
      <c r="S76" s="21" t="e">
        <f>(VLOOKUP(B76,'Data Core CPI'!$B:$AY,MATCH($S$1,'Data Core CPI'!$B$1:$AY$1,),)-VLOOKUP(EDATE(B76,-12),'Data Core CPI'!$B:$AY,MATCH($S$1,'Data Core CPI'!$B$1:$AY$1,),))/VLOOKUP(EDATE(B76,-12),'Data Core CPI'!$B:$AY,MATCH($S$1,'Data Core CPI'!$B$1:$AY$1,),)</f>
        <v>#DIV/0!</v>
      </c>
      <c r="T76" s="21" t="e">
        <f>(VLOOKUP(B76,'Data Core CPI'!$B:$AY,MATCH($T$1,'Data Core CPI'!$B$1:$AY$1,),)-VLOOKUP(EDATE(B76,-12),'Data Core CPI'!$B:$AY,MATCH($T$1,'Data Core CPI'!$B$1:$AY$1,),))/VLOOKUP(EDATE(B76,-12),'Data Core CPI'!$B:$AY,MATCH($T$1,'Data Core CPI'!$B$1:$AY$1,),)</f>
        <v>#DIV/0!</v>
      </c>
      <c r="U76" s="21">
        <f>(VLOOKUP(B76,'Data Core CPI'!$B:$AY,MATCH($U$1,'Data Core CPI'!$B$1:$AY$1,),)-VLOOKUP(EDATE(B76,-12),'Data Core CPI'!$B:$AY,MATCH($U$1,'Data Core CPI'!$B$1:$AY$1,),))/VLOOKUP(EDATE(B76,-12),'Data Core CPI'!$B:$AY,MATCH($U$1,'Data Core CPI'!$B$1:$AY$1,),)</f>
        <v>-7.0271176320646908E-3</v>
      </c>
      <c r="V76" s="21">
        <f>(VLOOKUP(B76,'Data Core CPI'!$B:$AY,MATCH($V$1,'Data Core CPI'!$B$1:$AY$1,),)-VLOOKUP(EDATE(B76,-12),'Data Core CPI'!$B:$AY,MATCH($V$1,'Data Core CPI'!$B$1:$AY$1,),))/VLOOKUP(EDATE(B76,-12),'Data Core CPI'!$B:$AY,MATCH($V$1,'Data Core CPI'!$B$1:$AY$1,),)</f>
        <v>1.7618775796961476E-2</v>
      </c>
      <c r="W76" s="21">
        <f>(VLOOKUP(B76,'Data Core CPI'!$B:$AY,MATCH($W$1,'Data Core CPI'!$B$1:$AY$1,),)-VLOOKUP(EDATE(B76,-12),'Data Core CPI'!$B:$AY,MATCH($W$1,'Data Core CPI'!$B$1:$AY$1,),))/VLOOKUP(EDATE(B76,-12),'Data Core CPI'!$B:$AY,MATCH($W$1,'Data Core CPI'!$B$1:$AY$1,),)</f>
        <v>9.0300325485732469E-2</v>
      </c>
      <c r="X76" s="21">
        <f>(VLOOKUP(B76,'Data Core CPI'!$B:$AY,MATCH($X$1,'Data Core CPI'!$B$1:$AY$1,),)-VLOOKUP(EDATE(B76,-12),'Data Core CPI'!$B:$AY,MATCH($X$1,'Data Core CPI'!$B$1:$AY$1,),))/VLOOKUP(EDATE(B76,-12),'Data Core CPI'!$B:$AY,MATCH($X$1,'Data Core CPI'!$B$1:$AY$1,),)</f>
        <v>1.3972055888223468E-2</v>
      </c>
      <c r="Y76" s="21">
        <f>(VLOOKUP(B76,'Data Core CPI'!$B:$AY,MATCH($Y$1,'Data Core CPI'!$B$1:$AY$1,),)-VLOOKUP(EDATE(B76,-12),'Data Core CPI'!$B:$AY,MATCH($Y$1,'Data Core CPI'!$B$1:$AY$1,),))/VLOOKUP(EDATE(B76,-12),'Data Core CPI'!$B:$AY,MATCH($Y$1,'Data Core CPI'!$B$1:$AY$1,),)</f>
        <v>-1.7375671062468067E-3</v>
      </c>
      <c r="Z76" s="21" t="e">
        <f>(VLOOKUP(B76,Data!$B:$AY,MATCH($Z$1,Data!$B$1:$AY$1,),)-VLOOKUP(EDATE(B76,-12),Data!$B:$AY,MATCH($Z$1,Data!$B$1:$AY$1,),))/VLOOKUP(EDATE(B76,-12),Data!$B:$AY,MATCH($Z$1,Data!$B$1:$AY$1,),)</f>
        <v>#N/A</v>
      </c>
      <c r="AA76" s="21" t="e">
        <f>(VLOOKUP(B76,Data!$B:$AY,MATCH($AA$1,Data!$B$1:$AY$1,),)-VLOOKUP(EDATE(B76,-12),Data!$B:$AY,MATCH($AA$1,Data!$B$1:$AY$1,),))/VLOOKUP(EDATE(B76,-12),Data!$B:$AY,MATCH($AA$1,Data!$B$1:$AY$1,),)</f>
        <v>#N/A</v>
      </c>
      <c r="AB76" s="20"/>
    </row>
    <row r="77" spans="2:28" x14ac:dyDescent="0.2">
      <c r="B77" s="16">
        <v>42552</v>
      </c>
      <c r="C77" s="21">
        <f>(VLOOKUP(B77,'Data Core CPI'!$B:$AY,MATCH($C$1,'Data Core CPI'!$B$1:$AY$1,),)-VLOOKUP(EDATE(B77,-12),'Data Core CPI'!$B:$AY,MATCH($C$1,'Data Core CPI'!$B$1:$AY$1,),))/VLOOKUP(EDATE(B77,-12),'Data Core CPI'!$B:$AY,MATCH($C$1,'Data Core CPI'!$B$1:$AY$1,),)</f>
        <v>2.1894878205243593E-2</v>
      </c>
      <c r="D77" s="21" t="e">
        <f>(VLOOKUP(B77,'Data Core CPI'!$B:$AY,MATCH($D$1,'Data Core CPI'!$B$1:$AY$1,),)-VLOOKUP(EDATE(B77,-12),'Data Core CPI'!$B:$AY,MATCH($D$1,'Data Core CPI'!$B$1:$AY$1,),))/VLOOKUP(EDATE(B77,-12),'Data Core CPI'!$B:$AY,MATCH($D$1,'Data Core CPI'!$B$1:$AY$1,),)</f>
        <v>#DIV/0!</v>
      </c>
      <c r="E77" s="21">
        <f>(VLOOKUP(B77,'Data Core CPI'!$B:$AY,MATCH($E$1,'Data Core CPI'!$B$1:$AY$1,),)-VLOOKUP(EDATE(B77,-12),'Data Core CPI'!$B:$AY,MATCH($E$1,'Data Core CPI'!$B$1:$AY$1,),))/VLOOKUP(EDATE(B77,-12),'Data Core CPI'!$B:$AY,MATCH($E$1,'Data Core CPI'!$B$1:$AY$1,),)</f>
        <v>8.7060942659860936E-3</v>
      </c>
      <c r="F77" s="21">
        <f>(VLOOKUP(B77,'Data Core CPI'!$B:$AY,MATCH($F$1,'Data Core CPI'!$B$1:$AY$1,),)-VLOOKUP(EDATE(B77,-12),'Data Core CPI'!$B:$AY,MATCH($F$1,'Data Core CPI'!$B$1:$AY$1,),))/VLOOKUP(EDATE(B77,-12),'Data Core CPI'!$B:$AY,MATCH($F$1,'Data Core CPI'!$B$1:$AY$1,),)</f>
        <v>2.3398862141620386E-3</v>
      </c>
      <c r="G77" s="21">
        <f>(VLOOKUP(B77,'Data Core CPI'!$B:$AY,MATCH($G$1,'Data Core CPI'!$B$1:$AY$1,),)-VLOOKUP(EDATE(B77,-12),'Data Core CPI'!$B:$AY,MATCH($G$1,'Data Core CPI'!$B$1:$AY$1,),))/VLOOKUP(EDATE(B77,-12),'Data Core CPI'!$B:$AY,MATCH($G$1,'Data Core CPI'!$B$1:$AY$1,),)</f>
        <v>1.4083778487371596E-2</v>
      </c>
      <c r="H77" s="21">
        <f>(VLOOKUP(B77,'Data Core CPI'!$B:$AY,MATCH($H$1,'Data Core CPI'!$B$1:$AY$1,),)-VLOOKUP(EDATE(B77,-12),'Data Core CPI'!$B:$AY,MATCH($H$1,'Data Core CPI'!$B$1:$AY$1,),))/VLOOKUP(EDATE(B77,-12),'Data Core CPI'!$B:$AY,MATCH($H$1,'Data Core CPI'!$B$1:$AY$1,),)</f>
        <v>3.6078268243124084E-3</v>
      </c>
      <c r="I77" s="21">
        <f>(VLOOKUP(B77,'Data Core CPI'!$B:$AY,MATCH($I$1,'Data Core CPI'!$B$1:$AY$1,),)-VLOOKUP(EDATE(B77,-12),'Data Core CPI'!$B:$AY,MATCH($I$1,'Data Core CPI'!$B$1:$AY$1,),))/VLOOKUP(EDATE(B77,-12),'Data Core CPI'!$B:$AY,MATCH($I$1,'Data Core CPI'!$B$1:$AY$1,),)</f>
        <v>1.4999999999999999E-2</v>
      </c>
      <c r="J77" s="21">
        <f>(VLOOKUP(B77,'Data Core CPI'!$B:$AY,MATCH($J$1,'Data Core CPI'!$B$1:$AY$1,),)-VLOOKUP(EDATE(B77,-12),'Data Core CPI'!$B:$AY,MATCH($J$1,'Data Core CPI'!$B$1:$AY$1,),))/VLOOKUP(EDATE(B77,-12),'Data Core CPI'!$B:$AY,MATCH($J$1,'Data Core CPI'!$B$1:$AY$1,),)</f>
        <v>5.9500487030628773E-3</v>
      </c>
      <c r="K77" s="21">
        <f>(VLOOKUP(B77,'Data Core CPI'!$B:$AY,MATCH($K$1,'Data Core CPI'!$B$1:$AY$1,),)-VLOOKUP(EDATE(B77,-12),'Data Core CPI'!$B:$AY,MATCH($K$1,'Data Core CPI'!$B$1:$AY$1,),))/VLOOKUP(EDATE(B77,-12),'Data Core CPI'!$B:$AY,MATCH($K$1,'Data Core CPI'!$B$1:$AY$1,),)</f>
        <v>6.4789434838722409E-3</v>
      </c>
      <c r="L77" s="21">
        <f>(VLOOKUP(B77,'Data Core CPI'!$B:$AY,MATCH($L$1,'Data Core CPI'!$B$1:$AY$1,),)-VLOOKUP(EDATE(B77,-12),'Data Core CPI'!$B:$AY,MATCH($L$1,'Data Core CPI'!$B$1:$AY$1,),))/VLOOKUP(EDATE(B77,-12),'Data Core CPI'!$B:$AY,MATCH($L$1,'Data Core CPI'!$B$1:$AY$1,),)</f>
        <v>1.0327241261897921E-2</v>
      </c>
      <c r="M77" s="21">
        <f>(VLOOKUP(B77,'Data Core CPI'!$B:$AY,MATCH($M$1,'Data Core CPI'!$B$1:$AY$1,),)-VLOOKUP(EDATE(B77,-12),'Data Core CPI'!$B:$AY,MATCH($M$1,'Data Core CPI'!$B$1:$AY$1,),))/VLOOKUP(EDATE(B77,-12),'Data Core CPI'!$B:$AY,MATCH($M$1,'Data Core CPI'!$B$1:$AY$1,),)</f>
        <v>2.7947206278950316E-2</v>
      </c>
      <c r="N77" s="21" t="e">
        <f>(VLOOKUP(B77,'Data Core CPI'!$B:$AY,MATCH($N$1,'Data Core CPI'!$B$1:$AY$1,),)-VLOOKUP(EDATE(B77,-12),'Data Core CPI'!$B:$AY,MATCH($N$1,'Data Core CPI'!$B$1:$AY$1,),))/VLOOKUP(EDATE(B77,-12),'Data Core CPI'!$B:$AY,MATCH($N$1,'Data Core CPI'!$B$1:$AY$1,),)</f>
        <v>#DIV/0!</v>
      </c>
      <c r="O77" s="21" t="e">
        <f>(VLOOKUP(B77,'Data Core CPI'!$B:$AY,MATCH($O$1,'Data Core CPI'!$B$1:$AY$1,),)-VLOOKUP(EDATE(B77,-12),'Data Core CPI'!$B:$AY,MATCH($O$1,'Data Core CPI'!$B$1:$AY$1,),))/VLOOKUP(EDATE(B77,-12),'Data Core CPI'!$B:$AY,MATCH($O$1,'Data Core CPI'!$B$1:$AY$1,),)</f>
        <v>#DIV/0!</v>
      </c>
      <c r="P77" s="21">
        <f>(VLOOKUP(B77,'Data Core CPI'!$B:$AY,MATCH($P$1,'Data Core CPI'!$B$1:$AY$1,),)-VLOOKUP(EDATE(B77,-12),'Data Core CPI'!$B:$AY,MATCH($P$1,'Data Core CPI'!$B$1:$AY$1,),))/VLOOKUP(EDATE(B77,-12),'Data Core CPI'!$B:$AY,MATCH($P$1,'Data Core CPI'!$B$1:$AY$1,),)</f>
        <v>2.3817424935194814E-2</v>
      </c>
      <c r="Q77" s="21" t="e">
        <f>(VLOOKUP(B77,'Data Core CPI'!$B:$AY,MATCH($Q$1,'Data Core CPI'!$B$1:$AY$1,),)-VLOOKUP(EDATE(B77,-12),'Data Core CPI'!$B:$AY,MATCH($Q$1,'Data Core CPI'!$B$1:$AY$1,),))/VLOOKUP(EDATE(B77,-12),'Data Core CPI'!$B:$AY,MATCH($Q$1,'Data Core CPI'!$B$1:$AY$1,),)</f>
        <v>#N/A</v>
      </c>
      <c r="R77" s="21">
        <f>(VLOOKUP(B77,'Data Core CPI'!$B:$AY,MATCH($R$1,'Data Core CPI'!$B$1:$AY$1,),)-VLOOKUP(EDATE(B77,-12),'Data Core CPI'!$B:$AY,MATCH($R$1,'Data Core CPI'!$B$1:$AY$1,),))/VLOOKUP(EDATE(B77,-12),'Data Core CPI'!$B:$AY,MATCH($R$1,'Data Core CPI'!$B$1:$AY$1,),)</f>
        <v>-3.3866911966812572E-4</v>
      </c>
      <c r="S77" s="21" t="e">
        <f>(VLOOKUP(B77,'Data Core CPI'!$B:$AY,MATCH($S$1,'Data Core CPI'!$B$1:$AY$1,),)-VLOOKUP(EDATE(B77,-12),'Data Core CPI'!$B:$AY,MATCH($S$1,'Data Core CPI'!$B$1:$AY$1,),))/VLOOKUP(EDATE(B77,-12),'Data Core CPI'!$B:$AY,MATCH($S$1,'Data Core CPI'!$B$1:$AY$1,),)</f>
        <v>#DIV/0!</v>
      </c>
      <c r="T77" s="21" t="e">
        <f>(VLOOKUP(B77,'Data Core CPI'!$B:$AY,MATCH($T$1,'Data Core CPI'!$B$1:$AY$1,),)-VLOOKUP(EDATE(B77,-12),'Data Core CPI'!$B:$AY,MATCH($T$1,'Data Core CPI'!$B$1:$AY$1,),))/VLOOKUP(EDATE(B77,-12),'Data Core CPI'!$B:$AY,MATCH($T$1,'Data Core CPI'!$B$1:$AY$1,),)</f>
        <v>#DIV/0!</v>
      </c>
      <c r="U77" s="21">
        <f>(VLOOKUP(B77,'Data Core CPI'!$B:$AY,MATCH($U$1,'Data Core CPI'!$B$1:$AY$1,),)-VLOOKUP(EDATE(B77,-12),'Data Core CPI'!$B:$AY,MATCH($U$1,'Data Core CPI'!$B$1:$AY$1,),))/VLOOKUP(EDATE(B77,-12),'Data Core CPI'!$B:$AY,MATCH($U$1,'Data Core CPI'!$B$1:$AY$1,),)</f>
        <v>-1.7246308313282138E-2</v>
      </c>
      <c r="V77" s="21">
        <f>(VLOOKUP(B77,'Data Core CPI'!$B:$AY,MATCH($V$1,'Data Core CPI'!$B$1:$AY$1,),)-VLOOKUP(EDATE(B77,-12),'Data Core CPI'!$B:$AY,MATCH($V$1,'Data Core CPI'!$B$1:$AY$1,),))/VLOOKUP(EDATE(B77,-12),'Data Core CPI'!$B:$AY,MATCH($V$1,'Data Core CPI'!$B$1:$AY$1,),)</f>
        <v>1.774556136161539E-2</v>
      </c>
      <c r="W77" s="21">
        <f>(VLOOKUP(B77,'Data Core CPI'!$B:$AY,MATCH($W$1,'Data Core CPI'!$B$1:$AY$1,),)-VLOOKUP(EDATE(B77,-12),'Data Core CPI'!$B:$AY,MATCH($W$1,'Data Core CPI'!$B$1:$AY$1,),))/VLOOKUP(EDATE(B77,-12),'Data Core CPI'!$B:$AY,MATCH($W$1,'Data Core CPI'!$B$1:$AY$1,),)</f>
        <v>9.7152503973690935E-2</v>
      </c>
      <c r="X77" s="21">
        <f>(VLOOKUP(B77,'Data Core CPI'!$B:$AY,MATCH($X$1,'Data Core CPI'!$B$1:$AY$1,),)-VLOOKUP(EDATE(B77,-12),'Data Core CPI'!$B:$AY,MATCH($X$1,'Data Core CPI'!$B$1:$AY$1,),))/VLOOKUP(EDATE(B77,-12),'Data Core CPI'!$B:$AY,MATCH($X$1,'Data Core CPI'!$B$1:$AY$1,),)</f>
        <v>1.5936254980079625E-2</v>
      </c>
      <c r="Y77" s="21">
        <f>(VLOOKUP(B77,'Data Core CPI'!$B:$AY,MATCH($Y$1,'Data Core CPI'!$B$1:$AY$1,),)-VLOOKUP(EDATE(B77,-12),'Data Core CPI'!$B:$AY,MATCH($Y$1,'Data Core CPI'!$B$1:$AY$1,),))/VLOOKUP(EDATE(B77,-12),'Data Core CPI'!$B:$AY,MATCH($Y$1,'Data Core CPI'!$B$1:$AY$1,),)</f>
        <v>-3.4694046534735155E-3</v>
      </c>
      <c r="Z77" s="21" t="e">
        <f>(VLOOKUP(B77,Data!$B:$AY,MATCH($Z$1,Data!$B$1:$AY$1,),)-VLOOKUP(EDATE(B77,-12),Data!$B:$AY,MATCH($Z$1,Data!$B$1:$AY$1,),))/VLOOKUP(EDATE(B77,-12),Data!$B:$AY,MATCH($Z$1,Data!$B$1:$AY$1,),)</f>
        <v>#N/A</v>
      </c>
      <c r="AA77" s="21" t="e">
        <f>(VLOOKUP(B77,Data!$B:$AY,MATCH($AA$1,Data!$B$1:$AY$1,),)-VLOOKUP(EDATE(B77,-12),Data!$B:$AY,MATCH($AA$1,Data!$B$1:$AY$1,),))/VLOOKUP(EDATE(B77,-12),Data!$B:$AY,MATCH($AA$1,Data!$B$1:$AY$1,),)</f>
        <v>#N/A</v>
      </c>
      <c r="AB77" s="20"/>
    </row>
    <row r="78" spans="2:28" x14ac:dyDescent="0.2">
      <c r="B78" s="16">
        <v>42583</v>
      </c>
      <c r="C78" s="21">
        <f>(VLOOKUP(B78,'Data Core CPI'!$B:$AY,MATCH($C$1,'Data Core CPI'!$B$1:$AY$1,),)-VLOOKUP(EDATE(B78,-12),'Data Core CPI'!$B:$AY,MATCH($C$1,'Data Core CPI'!$B$1:$AY$1,),))/VLOOKUP(EDATE(B78,-12),'Data Core CPI'!$B:$AY,MATCH($C$1,'Data Core CPI'!$B$1:$AY$1,),)</f>
        <v>2.3189273912566023E-2</v>
      </c>
      <c r="D78" s="21" t="e">
        <f>(VLOOKUP(B78,'Data Core CPI'!$B:$AY,MATCH($D$1,'Data Core CPI'!$B$1:$AY$1,),)-VLOOKUP(EDATE(B78,-12),'Data Core CPI'!$B:$AY,MATCH($D$1,'Data Core CPI'!$B$1:$AY$1,),))/VLOOKUP(EDATE(B78,-12),'Data Core CPI'!$B:$AY,MATCH($D$1,'Data Core CPI'!$B$1:$AY$1,),)</f>
        <v>#DIV/0!</v>
      </c>
      <c r="E78" s="21">
        <f>(VLOOKUP(B78,'Data Core CPI'!$B:$AY,MATCH($E$1,'Data Core CPI'!$B$1:$AY$1,),)-VLOOKUP(EDATE(B78,-12),'Data Core CPI'!$B:$AY,MATCH($E$1,'Data Core CPI'!$B$1:$AY$1,),))/VLOOKUP(EDATE(B78,-12),'Data Core CPI'!$B:$AY,MATCH($E$1,'Data Core CPI'!$B$1:$AY$1,),)</f>
        <v>7.9808459696728996E-3</v>
      </c>
      <c r="F78" s="21">
        <f>(VLOOKUP(B78,'Data Core CPI'!$B:$AY,MATCH($F$1,'Data Core CPI'!$B$1:$AY$1,),)-VLOOKUP(EDATE(B78,-12),'Data Core CPI'!$B:$AY,MATCH($F$1,'Data Core CPI'!$B$1:$AY$1,),))/VLOOKUP(EDATE(B78,-12),'Data Core CPI'!$B:$AY,MATCH($F$1,'Data Core CPI'!$B$1:$AY$1,),)</f>
        <v>2.5060881380822358E-3</v>
      </c>
      <c r="G78" s="21">
        <f>(VLOOKUP(B78,'Data Core CPI'!$B:$AY,MATCH($G$1,'Data Core CPI'!$B$1:$AY$1,),)-VLOOKUP(EDATE(B78,-12),'Data Core CPI'!$B:$AY,MATCH($G$1,'Data Core CPI'!$B$1:$AY$1,),))/VLOOKUP(EDATE(B78,-12),'Data Core CPI'!$B:$AY,MATCH($G$1,'Data Core CPI'!$B$1:$AY$1,),)</f>
        <v>1.1229459756392543E-2</v>
      </c>
      <c r="H78" s="21">
        <f>(VLOOKUP(B78,'Data Core CPI'!$B:$AY,MATCH($H$1,'Data Core CPI'!$B$1:$AY$1,),)-VLOOKUP(EDATE(B78,-12),'Data Core CPI'!$B:$AY,MATCH($H$1,'Data Core CPI'!$B$1:$AY$1,),))/VLOOKUP(EDATE(B78,-12),'Data Core CPI'!$B:$AY,MATCH($H$1,'Data Core CPI'!$B$1:$AY$1,),)</f>
        <v>2.5602940811206855E-3</v>
      </c>
      <c r="I78" s="21">
        <f>(VLOOKUP(B78,'Data Core CPI'!$B:$AY,MATCH($I$1,'Data Core CPI'!$B$1:$AY$1,),)-VLOOKUP(EDATE(B78,-12),'Data Core CPI'!$B:$AY,MATCH($I$1,'Data Core CPI'!$B$1:$AY$1,),))/VLOOKUP(EDATE(B78,-12),'Data Core CPI'!$B:$AY,MATCH($I$1,'Data Core CPI'!$B$1:$AY$1,),)</f>
        <v>1.4955134596211367E-2</v>
      </c>
      <c r="J78" s="21">
        <f>(VLOOKUP(B78,'Data Core CPI'!$B:$AY,MATCH($J$1,'Data Core CPI'!$B$1:$AY$1,),)-VLOOKUP(EDATE(B78,-12),'Data Core CPI'!$B:$AY,MATCH($J$1,'Data Core CPI'!$B$1:$AY$1,),))/VLOOKUP(EDATE(B78,-12),'Data Core CPI'!$B:$AY,MATCH($J$1,'Data Core CPI'!$B$1:$AY$1,),)</f>
        <v>4.5283775680001904E-3</v>
      </c>
      <c r="K78" s="21">
        <f>(VLOOKUP(B78,'Data Core CPI'!$B:$AY,MATCH($K$1,'Data Core CPI'!$B$1:$AY$1,),)-VLOOKUP(EDATE(B78,-12),'Data Core CPI'!$B:$AY,MATCH($K$1,'Data Core CPI'!$B$1:$AY$1,),))/VLOOKUP(EDATE(B78,-12),'Data Core CPI'!$B:$AY,MATCH($K$1,'Data Core CPI'!$B$1:$AY$1,),)</f>
        <v>9.3048954178376678E-3</v>
      </c>
      <c r="L78" s="21">
        <f>(VLOOKUP(B78,'Data Core CPI'!$B:$AY,MATCH($L$1,'Data Core CPI'!$B$1:$AY$1,),)-VLOOKUP(EDATE(B78,-12),'Data Core CPI'!$B:$AY,MATCH($L$1,'Data Core CPI'!$B$1:$AY$1,),))/VLOOKUP(EDATE(B78,-12),'Data Core CPI'!$B:$AY,MATCH($L$1,'Data Core CPI'!$B$1:$AY$1,),)</f>
        <v>1.1727004597851996E-2</v>
      </c>
      <c r="M78" s="21">
        <f>(VLOOKUP(B78,'Data Core CPI'!$B:$AY,MATCH($M$1,'Data Core CPI'!$B$1:$AY$1,),)-VLOOKUP(EDATE(B78,-12),'Data Core CPI'!$B:$AY,MATCH($M$1,'Data Core CPI'!$B$1:$AY$1,),))/VLOOKUP(EDATE(B78,-12),'Data Core CPI'!$B:$AY,MATCH($M$1,'Data Core CPI'!$B$1:$AY$1,),)</f>
        <v>2.7462065484852582E-2</v>
      </c>
      <c r="N78" s="21" t="e">
        <f>(VLOOKUP(B78,'Data Core CPI'!$B:$AY,MATCH($N$1,'Data Core CPI'!$B$1:$AY$1,),)-VLOOKUP(EDATE(B78,-12),'Data Core CPI'!$B:$AY,MATCH($N$1,'Data Core CPI'!$B$1:$AY$1,),))/VLOOKUP(EDATE(B78,-12),'Data Core CPI'!$B:$AY,MATCH($N$1,'Data Core CPI'!$B$1:$AY$1,),)</f>
        <v>#DIV/0!</v>
      </c>
      <c r="O78" s="21" t="e">
        <f>(VLOOKUP(B78,'Data Core CPI'!$B:$AY,MATCH($O$1,'Data Core CPI'!$B$1:$AY$1,),)-VLOOKUP(EDATE(B78,-12),'Data Core CPI'!$B:$AY,MATCH($O$1,'Data Core CPI'!$B$1:$AY$1,),))/VLOOKUP(EDATE(B78,-12),'Data Core CPI'!$B:$AY,MATCH($O$1,'Data Core CPI'!$B$1:$AY$1,),)</f>
        <v>#DIV/0!</v>
      </c>
      <c r="P78" s="21">
        <f>(VLOOKUP(B78,'Data Core CPI'!$B:$AY,MATCH($P$1,'Data Core CPI'!$B$1:$AY$1,),)-VLOOKUP(EDATE(B78,-12),'Data Core CPI'!$B:$AY,MATCH($P$1,'Data Core CPI'!$B$1:$AY$1,),))/VLOOKUP(EDATE(B78,-12),'Data Core CPI'!$B:$AY,MATCH($P$1,'Data Core CPI'!$B$1:$AY$1,),)</f>
        <v>2.0745562685335232E-2</v>
      </c>
      <c r="Q78" s="21" t="e">
        <f>(VLOOKUP(B78,'Data Core CPI'!$B:$AY,MATCH($Q$1,'Data Core CPI'!$B$1:$AY$1,),)-VLOOKUP(EDATE(B78,-12),'Data Core CPI'!$B:$AY,MATCH($Q$1,'Data Core CPI'!$B$1:$AY$1,),))/VLOOKUP(EDATE(B78,-12),'Data Core CPI'!$B:$AY,MATCH($Q$1,'Data Core CPI'!$B$1:$AY$1,),)</f>
        <v>#N/A</v>
      </c>
      <c r="R78" s="21">
        <f>(VLOOKUP(B78,'Data Core CPI'!$B:$AY,MATCH($R$1,'Data Core CPI'!$B$1:$AY$1,),)-VLOOKUP(EDATE(B78,-12),'Data Core CPI'!$B:$AY,MATCH($R$1,'Data Core CPI'!$B$1:$AY$1,),))/VLOOKUP(EDATE(B78,-12),'Data Core CPI'!$B:$AY,MATCH($R$1,'Data Core CPI'!$B$1:$AY$1,),)</f>
        <v>-2.0733810123905826E-4</v>
      </c>
      <c r="S78" s="21" t="e">
        <f>(VLOOKUP(B78,'Data Core CPI'!$B:$AY,MATCH($S$1,'Data Core CPI'!$B$1:$AY$1,),)-VLOOKUP(EDATE(B78,-12),'Data Core CPI'!$B:$AY,MATCH($S$1,'Data Core CPI'!$B$1:$AY$1,),))/VLOOKUP(EDATE(B78,-12),'Data Core CPI'!$B:$AY,MATCH($S$1,'Data Core CPI'!$B$1:$AY$1,),)</f>
        <v>#DIV/0!</v>
      </c>
      <c r="T78" s="21" t="e">
        <f>(VLOOKUP(B78,'Data Core CPI'!$B:$AY,MATCH($T$1,'Data Core CPI'!$B$1:$AY$1,),)-VLOOKUP(EDATE(B78,-12),'Data Core CPI'!$B:$AY,MATCH($T$1,'Data Core CPI'!$B$1:$AY$1,),))/VLOOKUP(EDATE(B78,-12),'Data Core CPI'!$B:$AY,MATCH($T$1,'Data Core CPI'!$B$1:$AY$1,),)</f>
        <v>#DIV/0!</v>
      </c>
      <c r="U78" s="21">
        <f>(VLOOKUP(B78,'Data Core CPI'!$B:$AY,MATCH($U$1,'Data Core CPI'!$B$1:$AY$1,),)-VLOOKUP(EDATE(B78,-12),'Data Core CPI'!$B:$AY,MATCH($U$1,'Data Core CPI'!$B$1:$AY$1,),))/VLOOKUP(EDATE(B78,-12),'Data Core CPI'!$B:$AY,MATCH($U$1,'Data Core CPI'!$B$1:$AY$1,),)</f>
        <v>-9.7955380252199922E-3</v>
      </c>
      <c r="V78" s="21">
        <f>(VLOOKUP(B78,'Data Core CPI'!$B:$AY,MATCH($V$1,'Data Core CPI'!$B$1:$AY$1,),)-VLOOKUP(EDATE(B78,-12),'Data Core CPI'!$B:$AY,MATCH($V$1,'Data Core CPI'!$B$1:$AY$1,),))/VLOOKUP(EDATE(B78,-12),'Data Core CPI'!$B:$AY,MATCH($V$1,'Data Core CPI'!$B$1:$AY$1,),)</f>
        <v>1.0023286222268914E-2</v>
      </c>
      <c r="W78" s="21">
        <f>(VLOOKUP(B78,'Data Core CPI'!$B:$AY,MATCH($W$1,'Data Core CPI'!$B$1:$AY$1,),)-VLOOKUP(EDATE(B78,-12),'Data Core CPI'!$B:$AY,MATCH($W$1,'Data Core CPI'!$B$1:$AY$1,),))/VLOOKUP(EDATE(B78,-12),'Data Core CPI'!$B:$AY,MATCH($W$1,'Data Core CPI'!$B$1:$AY$1,),)</f>
        <v>9.7396367222881253E-2</v>
      </c>
      <c r="X78" s="21">
        <f>(VLOOKUP(B78,'Data Core CPI'!$B:$AY,MATCH($X$1,'Data Core CPI'!$B$1:$AY$1,),)-VLOOKUP(EDATE(B78,-12),'Data Core CPI'!$B:$AY,MATCH($X$1,'Data Core CPI'!$B$1:$AY$1,),))/VLOOKUP(EDATE(B78,-12),'Data Core CPI'!$B:$AY,MATCH($X$1,'Data Core CPI'!$B$1:$AY$1,),)</f>
        <v>1.5936254980079625E-2</v>
      </c>
      <c r="Y78" s="21">
        <f>(VLOOKUP(B78,'Data Core CPI'!$B:$AY,MATCH($Y$1,'Data Core CPI'!$B$1:$AY$1,),)-VLOOKUP(EDATE(B78,-12),'Data Core CPI'!$B:$AY,MATCH($Y$1,'Data Core CPI'!$B$1:$AY$1,),))/VLOOKUP(EDATE(B78,-12),'Data Core CPI'!$B:$AY,MATCH($Y$1,'Data Core CPI'!$B$1:$AY$1,),)</f>
        <v>-3.471819362749322E-3</v>
      </c>
      <c r="Z78" s="21" t="e">
        <f>(VLOOKUP(B78,Data!$B:$AY,MATCH($Z$1,Data!$B$1:$AY$1,),)-VLOOKUP(EDATE(B78,-12),Data!$B:$AY,MATCH($Z$1,Data!$B$1:$AY$1,),))/VLOOKUP(EDATE(B78,-12),Data!$B:$AY,MATCH($Z$1,Data!$B$1:$AY$1,),)</f>
        <v>#N/A</v>
      </c>
      <c r="AA78" s="21" t="e">
        <f>(VLOOKUP(B78,Data!$B:$AY,MATCH($AA$1,Data!$B$1:$AY$1,),)-VLOOKUP(EDATE(B78,-12),Data!$B:$AY,MATCH($AA$1,Data!$B$1:$AY$1,),))/VLOOKUP(EDATE(B78,-12),Data!$B:$AY,MATCH($AA$1,Data!$B$1:$AY$1,),)</f>
        <v>#N/A</v>
      </c>
      <c r="AB78" s="20"/>
    </row>
    <row r="79" spans="2:28" x14ac:dyDescent="0.2">
      <c r="B79" s="16">
        <v>42614</v>
      </c>
      <c r="C79" s="21">
        <f>(VLOOKUP(B79,'Data Core CPI'!$B:$AY,MATCH($C$1,'Data Core CPI'!$B$1:$AY$1,),)-VLOOKUP(EDATE(B79,-12),'Data Core CPI'!$B:$AY,MATCH($C$1,'Data Core CPI'!$B$1:$AY$1,),))/VLOOKUP(EDATE(B79,-12),'Data Core CPI'!$B:$AY,MATCH($C$1,'Data Core CPI'!$B$1:$AY$1,),)</f>
        <v>2.2074633283960102E-2</v>
      </c>
      <c r="D79" s="21" t="e">
        <f>(VLOOKUP(B79,'Data Core CPI'!$B:$AY,MATCH($D$1,'Data Core CPI'!$B$1:$AY$1,),)-VLOOKUP(EDATE(B79,-12),'Data Core CPI'!$B:$AY,MATCH($D$1,'Data Core CPI'!$B$1:$AY$1,),))/VLOOKUP(EDATE(B79,-12),'Data Core CPI'!$B:$AY,MATCH($D$1,'Data Core CPI'!$B$1:$AY$1,),)</f>
        <v>#DIV/0!</v>
      </c>
      <c r="E79" s="21">
        <f>(VLOOKUP(B79,'Data Core CPI'!$B:$AY,MATCH($E$1,'Data Core CPI'!$B$1:$AY$1,),)-VLOOKUP(EDATE(B79,-12),'Data Core CPI'!$B:$AY,MATCH($E$1,'Data Core CPI'!$B$1:$AY$1,),))/VLOOKUP(EDATE(B79,-12),'Data Core CPI'!$B:$AY,MATCH($E$1,'Data Core CPI'!$B$1:$AY$1,),)</f>
        <v>7.9436004368981378E-3</v>
      </c>
      <c r="F79" s="21">
        <f>(VLOOKUP(B79,'Data Core CPI'!$B:$AY,MATCH($F$1,'Data Core CPI'!$B$1:$AY$1,),)-VLOOKUP(EDATE(B79,-12),'Data Core CPI'!$B:$AY,MATCH($F$1,'Data Core CPI'!$B$1:$AY$1,),))/VLOOKUP(EDATE(B79,-12),'Data Core CPI'!$B:$AY,MATCH($F$1,'Data Core CPI'!$B$1:$AY$1,),)</f>
        <v>6.1880879804612798E-4</v>
      </c>
      <c r="G79" s="21">
        <f>(VLOOKUP(B79,'Data Core CPI'!$B:$AY,MATCH($G$1,'Data Core CPI'!$B$1:$AY$1,),)-VLOOKUP(EDATE(B79,-12),'Data Core CPI'!$B:$AY,MATCH($G$1,'Data Core CPI'!$B$1:$AY$1,),))/VLOOKUP(EDATE(B79,-12),'Data Core CPI'!$B:$AY,MATCH($G$1,'Data Core CPI'!$B$1:$AY$1,),)</f>
        <v>1.1057371713451036E-2</v>
      </c>
      <c r="H79" s="21">
        <f>(VLOOKUP(B79,'Data Core CPI'!$B:$AY,MATCH($H$1,'Data Core CPI'!$B$1:$AY$1,),)-VLOOKUP(EDATE(B79,-12),'Data Core CPI'!$B:$AY,MATCH($H$1,'Data Core CPI'!$B$1:$AY$1,),))/VLOOKUP(EDATE(B79,-12),'Data Core CPI'!$B:$AY,MATCH($H$1,'Data Core CPI'!$B$1:$AY$1,),)</f>
        <v>4.947612632092006E-3</v>
      </c>
      <c r="I79" s="21">
        <f>(VLOOKUP(B79,'Data Core CPI'!$B:$AY,MATCH($I$1,'Data Core CPI'!$B$1:$AY$1,),)-VLOOKUP(EDATE(B79,-12),'Data Core CPI'!$B:$AY,MATCH($I$1,'Data Core CPI'!$B$1:$AY$1,),))/VLOOKUP(EDATE(B79,-12),'Data Core CPI'!$B:$AY,MATCH($I$1,'Data Core CPI'!$B$1:$AY$1,),)</f>
        <v>1.6932270916334546E-2</v>
      </c>
      <c r="J79" s="21">
        <f>(VLOOKUP(B79,'Data Core CPI'!$B:$AY,MATCH($J$1,'Data Core CPI'!$B$1:$AY$1,),)-VLOOKUP(EDATE(B79,-12),'Data Core CPI'!$B:$AY,MATCH($J$1,'Data Core CPI'!$B$1:$AY$1,),))/VLOOKUP(EDATE(B79,-12),'Data Core CPI'!$B:$AY,MATCH($J$1,'Data Core CPI'!$B$1:$AY$1,),)</f>
        <v>4.7198034296107557E-3</v>
      </c>
      <c r="K79" s="21">
        <f>(VLOOKUP(B79,'Data Core CPI'!$B:$AY,MATCH($K$1,'Data Core CPI'!$B$1:$AY$1,),)-VLOOKUP(EDATE(B79,-12),'Data Core CPI'!$B:$AY,MATCH($K$1,'Data Core CPI'!$B$1:$AY$1,),))/VLOOKUP(EDATE(B79,-12),'Data Core CPI'!$B:$AY,MATCH($K$1,'Data Core CPI'!$B$1:$AY$1,),)</f>
        <v>8.8847605292466762E-3</v>
      </c>
      <c r="L79" s="21">
        <f>(VLOOKUP(B79,'Data Core CPI'!$B:$AY,MATCH($L$1,'Data Core CPI'!$B$1:$AY$1,),)-VLOOKUP(EDATE(B79,-12),'Data Core CPI'!$B:$AY,MATCH($L$1,'Data Core CPI'!$B$1:$AY$1,),))/VLOOKUP(EDATE(B79,-12),'Data Core CPI'!$B:$AY,MATCH($L$1,'Data Core CPI'!$B$1:$AY$1,),)</f>
        <v>7.678453311656828E-3</v>
      </c>
      <c r="M79" s="21">
        <f>(VLOOKUP(B79,'Data Core CPI'!$B:$AY,MATCH($M$1,'Data Core CPI'!$B$1:$AY$1,),)-VLOOKUP(EDATE(B79,-12),'Data Core CPI'!$B:$AY,MATCH($M$1,'Data Core CPI'!$B$1:$AY$1,),))/VLOOKUP(EDATE(B79,-12),'Data Core CPI'!$B:$AY,MATCH($M$1,'Data Core CPI'!$B$1:$AY$1,),)</f>
        <v>2.7911815793343939E-2</v>
      </c>
      <c r="N79" s="21" t="e">
        <f>(VLOOKUP(B79,'Data Core CPI'!$B:$AY,MATCH($N$1,'Data Core CPI'!$B$1:$AY$1,),)-VLOOKUP(EDATE(B79,-12),'Data Core CPI'!$B:$AY,MATCH($N$1,'Data Core CPI'!$B$1:$AY$1,),))/VLOOKUP(EDATE(B79,-12),'Data Core CPI'!$B:$AY,MATCH($N$1,'Data Core CPI'!$B$1:$AY$1,),)</f>
        <v>#DIV/0!</v>
      </c>
      <c r="O79" s="21" t="e">
        <f>(VLOOKUP(B79,'Data Core CPI'!$B:$AY,MATCH($O$1,'Data Core CPI'!$B$1:$AY$1,),)-VLOOKUP(EDATE(B79,-12),'Data Core CPI'!$B:$AY,MATCH($O$1,'Data Core CPI'!$B$1:$AY$1,),))/VLOOKUP(EDATE(B79,-12),'Data Core CPI'!$B:$AY,MATCH($O$1,'Data Core CPI'!$B$1:$AY$1,),)</f>
        <v>#DIV/0!</v>
      </c>
      <c r="P79" s="21">
        <f>(VLOOKUP(B79,'Data Core CPI'!$B:$AY,MATCH($P$1,'Data Core CPI'!$B$1:$AY$1,),)-VLOOKUP(EDATE(B79,-12),'Data Core CPI'!$B:$AY,MATCH($P$1,'Data Core CPI'!$B$1:$AY$1,),))/VLOOKUP(EDATE(B79,-12),'Data Core CPI'!$B:$AY,MATCH($P$1,'Data Core CPI'!$B$1:$AY$1,),)</f>
        <v>2.0279355425368552E-2</v>
      </c>
      <c r="Q79" s="21" t="e">
        <f>(VLOOKUP(B79,'Data Core CPI'!$B:$AY,MATCH($Q$1,'Data Core CPI'!$B$1:$AY$1,),)-VLOOKUP(EDATE(B79,-12),'Data Core CPI'!$B:$AY,MATCH($Q$1,'Data Core CPI'!$B$1:$AY$1,),))/VLOOKUP(EDATE(B79,-12),'Data Core CPI'!$B:$AY,MATCH($Q$1,'Data Core CPI'!$B$1:$AY$1,),)</f>
        <v>#N/A</v>
      </c>
      <c r="R79" s="21">
        <f>(VLOOKUP(B79,'Data Core CPI'!$B:$AY,MATCH($R$1,'Data Core CPI'!$B$1:$AY$1,),)-VLOOKUP(EDATE(B79,-12),'Data Core CPI'!$B:$AY,MATCH($R$1,'Data Core CPI'!$B$1:$AY$1,),))/VLOOKUP(EDATE(B79,-12),'Data Core CPI'!$B:$AY,MATCH($R$1,'Data Core CPI'!$B$1:$AY$1,),)</f>
        <v>-1.7973158533041078E-3</v>
      </c>
      <c r="S79" s="21" t="e">
        <f>(VLOOKUP(B79,'Data Core CPI'!$B:$AY,MATCH($S$1,'Data Core CPI'!$B$1:$AY$1,),)-VLOOKUP(EDATE(B79,-12),'Data Core CPI'!$B:$AY,MATCH($S$1,'Data Core CPI'!$B$1:$AY$1,),))/VLOOKUP(EDATE(B79,-12),'Data Core CPI'!$B:$AY,MATCH($S$1,'Data Core CPI'!$B$1:$AY$1,),)</f>
        <v>#DIV/0!</v>
      </c>
      <c r="T79" s="21" t="e">
        <f>(VLOOKUP(B79,'Data Core CPI'!$B:$AY,MATCH($T$1,'Data Core CPI'!$B$1:$AY$1,),)-VLOOKUP(EDATE(B79,-12),'Data Core CPI'!$B:$AY,MATCH($T$1,'Data Core CPI'!$B$1:$AY$1,),))/VLOOKUP(EDATE(B79,-12),'Data Core CPI'!$B:$AY,MATCH($T$1,'Data Core CPI'!$B$1:$AY$1,),)</f>
        <v>#DIV/0!</v>
      </c>
      <c r="U79" s="21">
        <f>(VLOOKUP(B79,'Data Core CPI'!$B:$AY,MATCH($U$1,'Data Core CPI'!$B$1:$AY$1,),)-VLOOKUP(EDATE(B79,-12),'Data Core CPI'!$B:$AY,MATCH($U$1,'Data Core CPI'!$B$1:$AY$1,),))/VLOOKUP(EDATE(B79,-12),'Data Core CPI'!$B:$AY,MATCH($U$1,'Data Core CPI'!$B$1:$AY$1,),)</f>
        <v>-1.0685259264251672E-2</v>
      </c>
      <c r="V79" s="21">
        <f>(VLOOKUP(B79,'Data Core CPI'!$B:$AY,MATCH($V$1,'Data Core CPI'!$B$1:$AY$1,),)-VLOOKUP(EDATE(B79,-12),'Data Core CPI'!$B:$AY,MATCH($V$1,'Data Core CPI'!$B$1:$AY$1,),))/VLOOKUP(EDATE(B79,-12),'Data Core CPI'!$B:$AY,MATCH($V$1,'Data Core CPI'!$B$1:$AY$1,),)</f>
        <v>7.6912905281598257E-3</v>
      </c>
      <c r="W79" s="21">
        <f>(VLOOKUP(B79,'Data Core CPI'!$B:$AY,MATCH($W$1,'Data Core CPI'!$B$1:$AY$1,),)-VLOOKUP(EDATE(B79,-12),'Data Core CPI'!$B:$AY,MATCH($W$1,'Data Core CPI'!$B$1:$AY$1,),))/VLOOKUP(EDATE(B79,-12),'Data Core CPI'!$B:$AY,MATCH($W$1,'Data Core CPI'!$B$1:$AY$1,),)</f>
        <v>8.9542893541662893E-2</v>
      </c>
      <c r="X79" s="21">
        <f>(VLOOKUP(B79,'Data Core CPI'!$B:$AY,MATCH($X$1,'Data Core CPI'!$B$1:$AY$1,),)-VLOOKUP(EDATE(B79,-12),'Data Core CPI'!$B:$AY,MATCH($X$1,'Data Core CPI'!$B$1:$AY$1,),))/VLOOKUP(EDATE(B79,-12),'Data Core CPI'!$B:$AY,MATCH($X$1,'Data Core CPI'!$B$1:$AY$1,),)</f>
        <v>1.4970059880239521E-2</v>
      </c>
      <c r="Y79" s="21">
        <f>(VLOOKUP(B79,'Data Core CPI'!$B:$AY,MATCH($Y$1,'Data Core CPI'!$B$1:$AY$1,),)-VLOOKUP(EDATE(B79,-12),'Data Core CPI'!$B:$AY,MATCH($Y$1,'Data Core CPI'!$B$1:$AY$1,),))/VLOOKUP(EDATE(B79,-12),'Data Core CPI'!$B:$AY,MATCH($Y$1,'Data Core CPI'!$B$1:$AY$1,),)</f>
        <v>-3.4781561511472762E-3</v>
      </c>
      <c r="Z79" s="21" t="e">
        <f>(VLOOKUP(B79,Data!$B:$AY,MATCH($Z$1,Data!$B$1:$AY$1,),)-VLOOKUP(EDATE(B79,-12),Data!$B:$AY,MATCH($Z$1,Data!$B$1:$AY$1,),))/VLOOKUP(EDATE(B79,-12),Data!$B:$AY,MATCH($Z$1,Data!$B$1:$AY$1,),)</f>
        <v>#N/A</v>
      </c>
      <c r="AA79" s="21" t="e">
        <f>(VLOOKUP(B79,Data!$B:$AY,MATCH($AA$1,Data!$B$1:$AY$1,),)-VLOOKUP(EDATE(B79,-12),Data!$B:$AY,MATCH($AA$1,Data!$B$1:$AY$1,),))/VLOOKUP(EDATE(B79,-12),Data!$B:$AY,MATCH($AA$1,Data!$B$1:$AY$1,),)</f>
        <v>#N/A</v>
      </c>
      <c r="AB79" s="20"/>
    </row>
    <row r="80" spans="2:28" x14ac:dyDescent="0.2">
      <c r="B80" s="16">
        <v>42644</v>
      </c>
      <c r="C80" s="21">
        <f>(VLOOKUP(B80,'Data Core CPI'!$B:$AY,MATCH($C$1,'Data Core CPI'!$B$1:$AY$1,),)-VLOOKUP(EDATE(B80,-12),'Data Core CPI'!$B:$AY,MATCH($C$1,'Data Core CPI'!$B$1:$AY$1,),))/VLOOKUP(EDATE(B80,-12),'Data Core CPI'!$B:$AY,MATCH($C$1,'Data Core CPI'!$B$1:$AY$1,),)</f>
        <v>2.1448067221550963E-2</v>
      </c>
      <c r="D80" s="21" t="e">
        <f>(VLOOKUP(B80,'Data Core CPI'!$B:$AY,MATCH($D$1,'Data Core CPI'!$B$1:$AY$1,),)-VLOOKUP(EDATE(B80,-12),'Data Core CPI'!$B:$AY,MATCH($D$1,'Data Core CPI'!$B$1:$AY$1,),))/VLOOKUP(EDATE(B80,-12),'Data Core CPI'!$B:$AY,MATCH($D$1,'Data Core CPI'!$B$1:$AY$1,),)</f>
        <v>#DIV/0!</v>
      </c>
      <c r="E80" s="21">
        <f>(VLOOKUP(B80,'Data Core CPI'!$B:$AY,MATCH($E$1,'Data Core CPI'!$B$1:$AY$1,),)-VLOOKUP(EDATE(B80,-12),'Data Core CPI'!$B:$AY,MATCH($E$1,'Data Core CPI'!$B$1:$AY$1,),))/VLOOKUP(EDATE(B80,-12),'Data Core CPI'!$B:$AY,MATCH($E$1,'Data Core CPI'!$B$1:$AY$1,),)</f>
        <v>7.4353127788242285E-3</v>
      </c>
      <c r="F80" s="21">
        <f>(VLOOKUP(B80,'Data Core CPI'!$B:$AY,MATCH($F$1,'Data Core CPI'!$B$1:$AY$1,),)-VLOOKUP(EDATE(B80,-12),'Data Core CPI'!$B:$AY,MATCH($F$1,'Data Core CPI'!$B$1:$AY$1,),))/VLOOKUP(EDATE(B80,-12),'Data Core CPI'!$B:$AY,MATCH($F$1,'Data Core CPI'!$B$1:$AY$1,),)</f>
        <v>2.8777551915182857E-3</v>
      </c>
      <c r="G80" s="21">
        <f>(VLOOKUP(B80,'Data Core CPI'!$B:$AY,MATCH($G$1,'Data Core CPI'!$B$1:$AY$1,),)-VLOOKUP(EDATE(B80,-12),'Data Core CPI'!$B:$AY,MATCH($G$1,'Data Core CPI'!$B$1:$AY$1,),))/VLOOKUP(EDATE(B80,-12),'Data Core CPI'!$B:$AY,MATCH($G$1,'Data Core CPI'!$B$1:$AY$1,),)</f>
        <v>1.1021545356296496E-2</v>
      </c>
      <c r="H80" s="21">
        <f>(VLOOKUP(B80,'Data Core CPI'!$B:$AY,MATCH($H$1,'Data Core CPI'!$B$1:$AY$1,),)-VLOOKUP(EDATE(B80,-12),'Data Core CPI'!$B:$AY,MATCH($H$1,'Data Core CPI'!$B$1:$AY$1,),))/VLOOKUP(EDATE(B80,-12),'Data Core CPI'!$B:$AY,MATCH($H$1,'Data Core CPI'!$B$1:$AY$1,),)</f>
        <v>4.5392655460355534E-3</v>
      </c>
      <c r="I80" s="21">
        <f>(VLOOKUP(B80,'Data Core CPI'!$B:$AY,MATCH($I$1,'Data Core CPI'!$B$1:$AY$1,),)-VLOOKUP(EDATE(B80,-12),'Data Core CPI'!$B:$AY,MATCH($I$1,'Data Core CPI'!$B$1:$AY$1,),))/VLOOKUP(EDATE(B80,-12),'Data Core CPI'!$B:$AY,MATCH($I$1,'Data Core CPI'!$B$1:$AY$1,),)</f>
        <v>1.5904572564612411E-2</v>
      </c>
      <c r="J80" s="21">
        <f>(VLOOKUP(B80,'Data Core CPI'!$B:$AY,MATCH($J$1,'Data Core CPI'!$B$1:$AY$1,),)-VLOOKUP(EDATE(B80,-12),'Data Core CPI'!$B:$AY,MATCH($J$1,'Data Core CPI'!$B$1:$AY$1,),))/VLOOKUP(EDATE(B80,-12),'Data Core CPI'!$B:$AY,MATCH($J$1,'Data Core CPI'!$B$1:$AY$1,),)</f>
        <v>1.9223544207674942E-3</v>
      </c>
      <c r="K80" s="21">
        <f>(VLOOKUP(B80,'Data Core CPI'!$B:$AY,MATCH($K$1,'Data Core CPI'!$B$1:$AY$1,),)-VLOOKUP(EDATE(B80,-12),'Data Core CPI'!$B:$AY,MATCH($K$1,'Data Core CPI'!$B$1:$AY$1,),))/VLOOKUP(EDATE(B80,-12),'Data Core CPI'!$B:$AY,MATCH($K$1,'Data Core CPI'!$B$1:$AY$1,),)</f>
        <v>8.9954129942342188E-3</v>
      </c>
      <c r="L80" s="21">
        <f>(VLOOKUP(B80,'Data Core CPI'!$B:$AY,MATCH($L$1,'Data Core CPI'!$B$1:$AY$1,),)-VLOOKUP(EDATE(B80,-12),'Data Core CPI'!$B:$AY,MATCH($L$1,'Data Core CPI'!$B$1:$AY$1,),))/VLOOKUP(EDATE(B80,-12),'Data Core CPI'!$B:$AY,MATCH($L$1,'Data Core CPI'!$B$1:$AY$1,),)</f>
        <v>8.0066267231371242E-3</v>
      </c>
      <c r="M80" s="21">
        <f>(VLOOKUP(B80,'Data Core CPI'!$B:$AY,MATCH($M$1,'Data Core CPI'!$B$1:$AY$1,),)-VLOOKUP(EDATE(B80,-12),'Data Core CPI'!$B:$AY,MATCH($M$1,'Data Core CPI'!$B$1:$AY$1,),))/VLOOKUP(EDATE(B80,-12),'Data Core CPI'!$B:$AY,MATCH($M$1,'Data Core CPI'!$B$1:$AY$1,),)</f>
        <v>2.8046010289948853E-2</v>
      </c>
      <c r="N80" s="21" t="e">
        <f>(VLOOKUP(B80,'Data Core CPI'!$B:$AY,MATCH($N$1,'Data Core CPI'!$B$1:$AY$1,),)-VLOOKUP(EDATE(B80,-12),'Data Core CPI'!$B:$AY,MATCH($N$1,'Data Core CPI'!$B$1:$AY$1,),))/VLOOKUP(EDATE(B80,-12),'Data Core CPI'!$B:$AY,MATCH($N$1,'Data Core CPI'!$B$1:$AY$1,),)</f>
        <v>#DIV/0!</v>
      </c>
      <c r="O80" s="21" t="e">
        <f>(VLOOKUP(B80,'Data Core CPI'!$B:$AY,MATCH($O$1,'Data Core CPI'!$B$1:$AY$1,),)-VLOOKUP(EDATE(B80,-12),'Data Core CPI'!$B:$AY,MATCH($O$1,'Data Core CPI'!$B$1:$AY$1,),))/VLOOKUP(EDATE(B80,-12),'Data Core CPI'!$B:$AY,MATCH($O$1,'Data Core CPI'!$B$1:$AY$1,),)</f>
        <v>#DIV/0!</v>
      </c>
      <c r="P80" s="21">
        <f>(VLOOKUP(B80,'Data Core CPI'!$B:$AY,MATCH($P$1,'Data Core CPI'!$B$1:$AY$1,),)-VLOOKUP(EDATE(B80,-12),'Data Core CPI'!$B:$AY,MATCH($P$1,'Data Core CPI'!$B$1:$AY$1,),))/VLOOKUP(EDATE(B80,-12),'Data Core CPI'!$B:$AY,MATCH($P$1,'Data Core CPI'!$B$1:$AY$1,),)</f>
        <v>1.9686889618179888E-2</v>
      </c>
      <c r="Q80" s="21" t="e">
        <f>(VLOOKUP(B80,'Data Core CPI'!$B:$AY,MATCH($Q$1,'Data Core CPI'!$B$1:$AY$1,),)-VLOOKUP(EDATE(B80,-12),'Data Core CPI'!$B:$AY,MATCH($Q$1,'Data Core CPI'!$B$1:$AY$1,),))/VLOOKUP(EDATE(B80,-12),'Data Core CPI'!$B:$AY,MATCH($Q$1,'Data Core CPI'!$B$1:$AY$1,),)</f>
        <v>#N/A</v>
      </c>
      <c r="R80" s="21">
        <f>(VLOOKUP(B80,'Data Core CPI'!$B:$AY,MATCH($R$1,'Data Core CPI'!$B$1:$AY$1,),)-VLOOKUP(EDATE(B80,-12),'Data Core CPI'!$B:$AY,MATCH($R$1,'Data Core CPI'!$B$1:$AY$1,),))/VLOOKUP(EDATE(B80,-12),'Data Core CPI'!$B:$AY,MATCH($R$1,'Data Core CPI'!$B$1:$AY$1,),)</f>
        <v>-3.3830198637726946E-3</v>
      </c>
      <c r="S80" s="21" t="e">
        <f>(VLOOKUP(B80,'Data Core CPI'!$B:$AY,MATCH($S$1,'Data Core CPI'!$B$1:$AY$1,),)-VLOOKUP(EDATE(B80,-12),'Data Core CPI'!$B:$AY,MATCH($S$1,'Data Core CPI'!$B$1:$AY$1,),))/VLOOKUP(EDATE(B80,-12),'Data Core CPI'!$B:$AY,MATCH($S$1,'Data Core CPI'!$B$1:$AY$1,),)</f>
        <v>#DIV/0!</v>
      </c>
      <c r="T80" s="21" t="e">
        <f>(VLOOKUP(B80,'Data Core CPI'!$B:$AY,MATCH($T$1,'Data Core CPI'!$B$1:$AY$1,),)-VLOOKUP(EDATE(B80,-12),'Data Core CPI'!$B:$AY,MATCH($T$1,'Data Core CPI'!$B$1:$AY$1,),))/VLOOKUP(EDATE(B80,-12),'Data Core CPI'!$B:$AY,MATCH($T$1,'Data Core CPI'!$B$1:$AY$1,),)</f>
        <v>#DIV/0!</v>
      </c>
      <c r="U80" s="21">
        <f>(VLOOKUP(B80,'Data Core CPI'!$B:$AY,MATCH($U$1,'Data Core CPI'!$B$1:$AY$1,),)-VLOOKUP(EDATE(B80,-12),'Data Core CPI'!$B:$AY,MATCH($U$1,'Data Core CPI'!$B$1:$AY$1,),))/VLOOKUP(EDATE(B80,-12),'Data Core CPI'!$B:$AY,MATCH($U$1,'Data Core CPI'!$B$1:$AY$1,),)</f>
        <v>-1.4567861488141393E-2</v>
      </c>
      <c r="V80" s="21">
        <f>(VLOOKUP(B80,'Data Core CPI'!$B:$AY,MATCH($V$1,'Data Core CPI'!$B$1:$AY$1,),)-VLOOKUP(EDATE(B80,-12),'Data Core CPI'!$B:$AY,MATCH($V$1,'Data Core CPI'!$B$1:$AY$1,),))/VLOOKUP(EDATE(B80,-12),'Data Core CPI'!$B:$AY,MATCH($V$1,'Data Core CPI'!$B$1:$AY$1,),)</f>
        <v>2.1222017943156499E-3</v>
      </c>
      <c r="W80" s="21">
        <f>(VLOOKUP(B80,'Data Core CPI'!$B:$AY,MATCH($W$1,'Data Core CPI'!$B$1:$AY$1,),)-VLOOKUP(EDATE(B80,-12),'Data Core CPI'!$B:$AY,MATCH($W$1,'Data Core CPI'!$B$1:$AY$1,),))/VLOOKUP(EDATE(B80,-12),'Data Core CPI'!$B:$AY,MATCH($W$1,'Data Core CPI'!$B$1:$AY$1,),)</f>
        <v>8.3356220552851953E-2</v>
      </c>
      <c r="X80" s="21">
        <f>(VLOOKUP(B80,'Data Core CPI'!$B:$AY,MATCH($X$1,'Data Core CPI'!$B$1:$AY$1,),)-VLOOKUP(EDATE(B80,-12),'Data Core CPI'!$B:$AY,MATCH($X$1,'Data Core CPI'!$B$1:$AY$1,),))/VLOOKUP(EDATE(B80,-12),'Data Core CPI'!$B:$AY,MATCH($X$1,'Data Core CPI'!$B$1:$AY$1,),)</f>
        <v>1.6932270916334546E-2</v>
      </c>
      <c r="Y80" s="21">
        <f>(VLOOKUP(B80,'Data Core CPI'!$B:$AY,MATCH($Y$1,'Data Core CPI'!$B$1:$AY$1,),)-VLOOKUP(EDATE(B80,-12),'Data Core CPI'!$B:$AY,MATCH($Y$1,'Data Core CPI'!$B$1:$AY$1,),))/VLOOKUP(EDATE(B80,-12),'Data Core CPI'!$B:$AY,MATCH($Y$1,'Data Core CPI'!$B$1:$AY$1,),)</f>
        <v>-8.6768025832708424E-4</v>
      </c>
      <c r="Z80" s="21" t="e">
        <f>(VLOOKUP(B80,Data!$B:$AY,MATCH($Z$1,Data!$B$1:$AY$1,),)-VLOOKUP(EDATE(B80,-12),Data!$B:$AY,MATCH($Z$1,Data!$B$1:$AY$1,),))/VLOOKUP(EDATE(B80,-12),Data!$B:$AY,MATCH($Z$1,Data!$B$1:$AY$1,),)</f>
        <v>#N/A</v>
      </c>
      <c r="AA80" s="21" t="e">
        <f>(VLOOKUP(B80,Data!$B:$AY,MATCH($AA$1,Data!$B$1:$AY$1,),)-VLOOKUP(EDATE(B80,-12),Data!$B:$AY,MATCH($AA$1,Data!$B$1:$AY$1,),))/VLOOKUP(EDATE(B80,-12),Data!$B:$AY,MATCH($AA$1,Data!$B$1:$AY$1,),)</f>
        <v>#N/A</v>
      </c>
      <c r="AB80" s="20"/>
    </row>
    <row r="81" spans="2:28" x14ac:dyDescent="0.2">
      <c r="B81" s="16">
        <v>42675</v>
      </c>
      <c r="C81" s="21">
        <f>(VLOOKUP(B81,'Data Core CPI'!$B:$AY,MATCH($C$1,'Data Core CPI'!$B$1:$AY$1,),)-VLOOKUP(EDATE(B81,-12),'Data Core CPI'!$B:$AY,MATCH($C$1,'Data Core CPI'!$B$1:$AY$1,),))/VLOOKUP(EDATE(B81,-12),'Data Core CPI'!$B:$AY,MATCH($C$1,'Data Core CPI'!$B$1:$AY$1,),)</f>
        <v>2.1108671745663759E-2</v>
      </c>
      <c r="D81" s="21" t="e">
        <f>(VLOOKUP(B81,'Data Core CPI'!$B:$AY,MATCH($D$1,'Data Core CPI'!$B$1:$AY$1,),)-VLOOKUP(EDATE(B81,-12),'Data Core CPI'!$B:$AY,MATCH($D$1,'Data Core CPI'!$B$1:$AY$1,),))/VLOOKUP(EDATE(B81,-12),'Data Core CPI'!$B:$AY,MATCH($D$1,'Data Core CPI'!$B$1:$AY$1,),)</f>
        <v>#DIV/0!</v>
      </c>
      <c r="E81" s="21">
        <f>(VLOOKUP(B81,'Data Core CPI'!$B:$AY,MATCH($E$1,'Data Core CPI'!$B$1:$AY$1,),)-VLOOKUP(EDATE(B81,-12),'Data Core CPI'!$B:$AY,MATCH($E$1,'Data Core CPI'!$B$1:$AY$1,),))/VLOOKUP(EDATE(B81,-12),'Data Core CPI'!$B:$AY,MATCH($E$1,'Data Core CPI'!$B$1:$AY$1,),)</f>
        <v>7.880299251870386E-3</v>
      </c>
      <c r="F81" s="21">
        <f>(VLOOKUP(B81,'Data Core CPI'!$B:$AY,MATCH($F$1,'Data Core CPI'!$B$1:$AY$1,),)-VLOOKUP(EDATE(B81,-12),'Data Core CPI'!$B:$AY,MATCH($F$1,'Data Core CPI'!$B$1:$AY$1,),))/VLOOKUP(EDATE(B81,-12),'Data Core CPI'!$B:$AY,MATCH($F$1,'Data Core CPI'!$B$1:$AY$1,),)</f>
        <v>1.5614403889260202E-3</v>
      </c>
      <c r="G81" s="21">
        <f>(VLOOKUP(B81,'Data Core CPI'!$B:$AY,MATCH($G$1,'Data Core CPI'!$B$1:$AY$1,),)-VLOOKUP(EDATE(B81,-12),'Data Core CPI'!$B:$AY,MATCH($G$1,'Data Core CPI'!$B$1:$AY$1,),))/VLOOKUP(EDATE(B81,-12),'Data Core CPI'!$B:$AY,MATCH($G$1,'Data Core CPI'!$B$1:$AY$1,),)</f>
        <v>1.1635233217035653E-2</v>
      </c>
      <c r="H81" s="21">
        <f>(VLOOKUP(B81,'Data Core CPI'!$B:$AY,MATCH($H$1,'Data Core CPI'!$B$1:$AY$1,),)-VLOOKUP(EDATE(B81,-12),'Data Core CPI'!$B:$AY,MATCH($H$1,'Data Core CPI'!$B$1:$AY$1,),))/VLOOKUP(EDATE(B81,-12),'Data Core CPI'!$B:$AY,MATCH($H$1,'Data Core CPI'!$B$1:$AY$1,),)</f>
        <v>4.5464936374601111E-3</v>
      </c>
      <c r="I81" s="21">
        <f>(VLOOKUP(B81,'Data Core CPI'!$B:$AY,MATCH($I$1,'Data Core CPI'!$B$1:$AY$1,),)-VLOOKUP(EDATE(B81,-12),'Data Core CPI'!$B:$AY,MATCH($I$1,'Data Core CPI'!$B$1:$AY$1,),))/VLOOKUP(EDATE(B81,-12),'Data Core CPI'!$B:$AY,MATCH($I$1,'Data Core CPI'!$B$1:$AY$1,),)</f>
        <v>1.6881827209533296E-2</v>
      </c>
      <c r="J81" s="21">
        <f>(VLOOKUP(B81,'Data Core CPI'!$B:$AY,MATCH($J$1,'Data Core CPI'!$B$1:$AY$1,),)-VLOOKUP(EDATE(B81,-12),'Data Core CPI'!$B:$AY,MATCH($J$1,'Data Core CPI'!$B$1:$AY$1,),))/VLOOKUP(EDATE(B81,-12),'Data Core CPI'!$B:$AY,MATCH($J$1,'Data Core CPI'!$B$1:$AY$1,),)</f>
        <v>4.3977597743384061E-3</v>
      </c>
      <c r="K81" s="21">
        <f>(VLOOKUP(B81,'Data Core CPI'!$B:$AY,MATCH($K$1,'Data Core CPI'!$B$1:$AY$1,),)-VLOOKUP(EDATE(B81,-12),'Data Core CPI'!$B:$AY,MATCH($K$1,'Data Core CPI'!$B$1:$AY$1,),))/VLOOKUP(EDATE(B81,-12),'Data Core CPI'!$B:$AY,MATCH($K$1,'Data Core CPI'!$B$1:$AY$1,),)</f>
        <v>9.7472450111029084E-3</v>
      </c>
      <c r="L81" s="21">
        <f>(VLOOKUP(B81,'Data Core CPI'!$B:$AY,MATCH($L$1,'Data Core CPI'!$B$1:$AY$1,),)-VLOOKUP(EDATE(B81,-12),'Data Core CPI'!$B:$AY,MATCH($L$1,'Data Core CPI'!$B$1:$AY$1,),))/VLOOKUP(EDATE(B81,-12),'Data Core CPI'!$B:$AY,MATCH($L$1,'Data Core CPI'!$B$1:$AY$1,),)</f>
        <v>1.0441715732877499E-2</v>
      </c>
      <c r="M81" s="21">
        <f>(VLOOKUP(B81,'Data Core CPI'!$B:$AY,MATCH($M$1,'Data Core CPI'!$B$1:$AY$1,),)-VLOOKUP(EDATE(B81,-12),'Data Core CPI'!$B:$AY,MATCH($M$1,'Data Core CPI'!$B$1:$AY$1,),))/VLOOKUP(EDATE(B81,-12),'Data Core CPI'!$B:$AY,MATCH($M$1,'Data Core CPI'!$B$1:$AY$1,),)</f>
        <v>3.0169328180183107E-2</v>
      </c>
      <c r="N81" s="21" t="e">
        <f>(VLOOKUP(B81,'Data Core CPI'!$B:$AY,MATCH($N$1,'Data Core CPI'!$B$1:$AY$1,),)-VLOOKUP(EDATE(B81,-12),'Data Core CPI'!$B:$AY,MATCH($N$1,'Data Core CPI'!$B$1:$AY$1,),))/VLOOKUP(EDATE(B81,-12),'Data Core CPI'!$B:$AY,MATCH($N$1,'Data Core CPI'!$B$1:$AY$1,),)</f>
        <v>#DIV/0!</v>
      </c>
      <c r="O81" s="21" t="e">
        <f>(VLOOKUP(B81,'Data Core CPI'!$B:$AY,MATCH($O$1,'Data Core CPI'!$B$1:$AY$1,),)-VLOOKUP(EDATE(B81,-12),'Data Core CPI'!$B:$AY,MATCH($O$1,'Data Core CPI'!$B$1:$AY$1,),))/VLOOKUP(EDATE(B81,-12),'Data Core CPI'!$B:$AY,MATCH($O$1,'Data Core CPI'!$B$1:$AY$1,),)</f>
        <v>#DIV/0!</v>
      </c>
      <c r="P81" s="21">
        <f>(VLOOKUP(B81,'Data Core CPI'!$B:$AY,MATCH($P$1,'Data Core CPI'!$B$1:$AY$1,),)-VLOOKUP(EDATE(B81,-12),'Data Core CPI'!$B:$AY,MATCH($P$1,'Data Core CPI'!$B$1:$AY$1,),))/VLOOKUP(EDATE(B81,-12),'Data Core CPI'!$B:$AY,MATCH($P$1,'Data Core CPI'!$B$1:$AY$1,),)</f>
        <v>1.818911553947929E-2</v>
      </c>
      <c r="Q81" s="21" t="e">
        <f>(VLOOKUP(B81,'Data Core CPI'!$B:$AY,MATCH($Q$1,'Data Core CPI'!$B$1:$AY$1,),)-VLOOKUP(EDATE(B81,-12),'Data Core CPI'!$B:$AY,MATCH($Q$1,'Data Core CPI'!$B$1:$AY$1,),))/VLOOKUP(EDATE(B81,-12),'Data Core CPI'!$B:$AY,MATCH($Q$1,'Data Core CPI'!$B$1:$AY$1,),)</f>
        <v>#N/A</v>
      </c>
      <c r="R81" s="21">
        <f>(VLOOKUP(B81,'Data Core CPI'!$B:$AY,MATCH($R$1,'Data Core CPI'!$B$1:$AY$1,),)-VLOOKUP(EDATE(B81,-12),'Data Core CPI'!$B:$AY,MATCH($R$1,'Data Core CPI'!$B$1:$AY$1,),))/VLOOKUP(EDATE(B81,-12),'Data Core CPI'!$B:$AY,MATCH($R$1,'Data Core CPI'!$B$1:$AY$1,),)</f>
        <v>-3.7964690202857278E-3</v>
      </c>
      <c r="S81" s="21" t="e">
        <f>(VLOOKUP(B81,'Data Core CPI'!$B:$AY,MATCH($S$1,'Data Core CPI'!$B$1:$AY$1,),)-VLOOKUP(EDATE(B81,-12),'Data Core CPI'!$B:$AY,MATCH($S$1,'Data Core CPI'!$B$1:$AY$1,),))/VLOOKUP(EDATE(B81,-12),'Data Core CPI'!$B:$AY,MATCH($S$1,'Data Core CPI'!$B$1:$AY$1,),)</f>
        <v>#DIV/0!</v>
      </c>
      <c r="T81" s="21" t="e">
        <f>(VLOOKUP(B81,'Data Core CPI'!$B:$AY,MATCH($T$1,'Data Core CPI'!$B$1:$AY$1,),)-VLOOKUP(EDATE(B81,-12),'Data Core CPI'!$B:$AY,MATCH($T$1,'Data Core CPI'!$B$1:$AY$1,),))/VLOOKUP(EDATE(B81,-12),'Data Core CPI'!$B:$AY,MATCH($T$1,'Data Core CPI'!$B$1:$AY$1,),)</f>
        <v>#DIV/0!</v>
      </c>
      <c r="U81" s="21">
        <f>(VLOOKUP(B81,'Data Core CPI'!$B:$AY,MATCH($U$1,'Data Core CPI'!$B$1:$AY$1,),)-VLOOKUP(EDATE(B81,-12),'Data Core CPI'!$B:$AY,MATCH($U$1,'Data Core CPI'!$B$1:$AY$1,),))/VLOOKUP(EDATE(B81,-12),'Data Core CPI'!$B:$AY,MATCH($U$1,'Data Core CPI'!$B$1:$AY$1,),)</f>
        <v>-1.9115275615694781E-2</v>
      </c>
      <c r="V81" s="21">
        <f>(VLOOKUP(B81,'Data Core CPI'!$B:$AY,MATCH($V$1,'Data Core CPI'!$B$1:$AY$1,),)-VLOOKUP(EDATE(B81,-12),'Data Core CPI'!$B:$AY,MATCH($V$1,'Data Core CPI'!$B$1:$AY$1,),))/VLOOKUP(EDATE(B81,-12),'Data Core CPI'!$B:$AY,MATCH($V$1,'Data Core CPI'!$B$1:$AY$1,),)</f>
        <v>4.1679977637567858E-3</v>
      </c>
      <c r="W81" s="21">
        <f>(VLOOKUP(B81,'Data Core CPI'!$B:$AY,MATCH($W$1,'Data Core CPI'!$B$1:$AY$1,),)-VLOOKUP(EDATE(B81,-12),'Data Core CPI'!$B:$AY,MATCH($W$1,'Data Core CPI'!$B$1:$AY$1,),))/VLOOKUP(EDATE(B81,-12),'Data Core CPI'!$B:$AY,MATCH($W$1,'Data Core CPI'!$B$1:$AY$1,),)</f>
        <v>8.4127645520424926E-2</v>
      </c>
      <c r="X81" s="21">
        <f>(VLOOKUP(B81,'Data Core CPI'!$B:$AY,MATCH($X$1,'Data Core CPI'!$B$1:$AY$1,),)-VLOOKUP(EDATE(B81,-12),'Data Core CPI'!$B:$AY,MATCH($X$1,'Data Core CPI'!$B$1:$AY$1,),))/VLOOKUP(EDATE(B81,-12),'Data Core CPI'!$B:$AY,MATCH($X$1,'Data Core CPI'!$B$1:$AY$1,),)</f>
        <v>1.8981018981019039E-2</v>
      </c>
      <c r="Y81" s="21">
        <f>(VLOOKUP(B81,'Data Core CPI'!$B:$AY,MATCH($Y$1,'Data Core CPI'!$B$1:$AY$1,),)-VLOOKUP(EDATE(B81,-12),'Data Core CPI'!$B:$AY,MATCH($Y$1,'Data Core CPI'!$B$1:$AY$1,),))/VLOOKUP(EDATE(B81,-12),'Data Core CPI'!$B:$AY,MATCH($Y$1,'Data Core CPI'!$B$1:$AY$1,),)</f>
        <v>0</v>
      </c>
      <c r="Z81" s="21" t="e">
        <f>(VLOOKUP(B81,Data!$B:$AY,MATCH($Z$1,Data!$B$1:$AY$1,),)-VLOOKUP(EDATE(B81,-12),Data!$B:$AY,MATCH($Z$1,Data!$B$1:$AY$1,),))/VLOOKUP(EDATE(B81,-12),Data!$B:$AY,MATCH($Z$1,Data!$B$1:$AY$1,),)</f>
        <v>#N/A</v>
      </c>
      <c r="AA81" s="21" t="e">
        <f>(VLOOKUP(B81,Data!$B:$AY,MATCH($AA$1,Data!$B$1:$AY$1,),)-VLOOKUP(EDATE(B81,-12),Data!$B:$AY,MATCH($AA$1,Data!$B$1:$AY$1,),))/VLOOKUP(EDATE(B81,-12),Data!$B:$AY,MATCH($AA$1,Data!$B$1:$AY$1,),)</f>
        <v>#N/A</v>
      </c>
      <c r="AB81" s="20"/>
    </row>
    <row r="82" spans="2:28" x14ac:dyDescent="0.2">
      <c r="B82" s="16">
        <v>42705</v>
      </c>
      <c r="C82" s="21">
        <f>(VLOOKUP(B82,'Data Core CPI'!$B:$AY,MATCH($C$1,'Data Core CPI'!$B$1:$AY$1,),)-VLOOKUP(EDATE(B82,-12),'Data Core CPI'!$B:$AY,MATCH($C$1,'Data Core CPI'!$B$1:$AY$1,),))/VLOOKUP(EDATE(B82,-12),'Data Core CPI'!$B:$AY,MATCH($C$1,'Data Core CPI'!$B$1:$AY$1,),)</f>
        <v>2.1967036526930633E-2</v>
      </c>
      <c r="D82" s="21" t="e">
        <f>(VLOOKUP(B82,'Data Core CPI'!$B:$AY,MATCH($D$1,'Data Core CPI'!$B$1:$AY$1,),)-VLOOKUP(EDATE(B82,-12),'Data Core CPI'!$B:$AY,MATCH($D$1,'Data Core CPI'!$B$1:$AY$1,),))/VLOOKUP(EDATE(B82,-12),'Data Core CPI'!$B:$AY,MATCH($D$1,'Data Core CPI'!$B$1:$AY$1,),)</f>
        <v>#DIV/0!</v>
      </c>
      <c r="E82" s="21">
        <f>(VLOOKUP(B82,'Data Core CPI'!$B:$AY,MATCH($E$1,'Data Core CPI'!$B$1:$AY$1,),)-VLOOKUP(EDATE(B82,-12),'Data Core CPI'!$B:$AY,MATCH($E$1,'Data Core CPI'!$B$1:$AY$1,),))/VLOOKUP(EDATE(B82,-12),'Data Core CPI'!$B:$AY,MATCH($E$1,'Data Core CPI'!$B$1:$AY$1,),)</f>
        <v>8.547858065798622E-3</v>
      </c>
      <c r="F82" s="21">
        <f>(VLOOKUP(B82,'Data Core CPI'!$B:$AY,MATCH($F$1,'Data Core CPI'!$B$1:$AY$1,),)-VLOOKUP(EDATE(B82,-12),'Data Core CPI'!$B:$AY,MATCH($F$1,'Data Core CPI'!$B$1:$AY$1,),))/VLOOKUP(EDATE(B82,-12),'Data Core CPI'!$B:$AY,MATCH($F$1,'Data Core CPI'!$B$1:$AY$1,),)</f>
        <v>-9.9633944886538017E-5</v>
      </c>
      <c r="G82" s="21">
        <f>(VLOOKUP(B82,'Data Core CPI'!$B:$AY,MATCH($G$1,'Data Core CPI'!$B$1:$AY$1,),)-VLOOKUP(EDATE(B82,-12),'Data Core CPI'!$B:$AY,MATCH($G$1,'Data Core CPI'!$B$1:$AY$1,),))/VLOOKUP(EDATE(B82,-12),'Data Core CPI'!$B:$AY,MATCH($G$1,'Data Core CPI'!$B$1:$AY$1,),)</f>
        <v>1.3135557316665939E-2</v>
      </c>
      <c r="H82" s="21">
        <f>(VLOOKUP(B82,'Data Core CPI'!$B:$AY,MATCH($H$1,'Data Core CPI'!$B$1:$AY$1,),)-VLOOKUP(EDATE(B82,-12),'Data Core CPI'!$B:$AY,MATCH($H$1,'Data Core CPI'!$B$1:$AY$1,),))/VLOOKUP(EDATE(B82,-12),'Data Core CPI'!$B:$AY,MATCH($H$1,'Data Core CPI'!$B$1:$AY$1,),)</f>
        <v>2.3726292376023929E-3</v>
      </c>
      <c r="I82" s="21">
        <f>(VLOOKUP(B82,'Data Core CPI'!$B:$AY,MATCH($I$1,'Data Core CPI'!$B$1:$AY$1,),)-VLOOKUP(EDATE(B82,-12),'Data Core CPI'!$B:$AY,MATCH($I$1,'Data Core CPI'!$B$1:$AY$1,),))/VLOOKUP(EDATE(B82,-12),'Data Core CPI'!$B:$AY,MATCH($I$1,'Data Core CPI'!$B$1:$AY$1,),)</f>
        <v>1.7821782178217793E-2</v>
      </c>
      <c r="J82" s="21">
        <f>(VLOOKUP(B82,'Data Core CPI'!$B:$AY,MATCH($J$1,'Data Core CPI'!$B$1:$AY$1,),)-VLOOKUP(EDATE(B82,-12),'Data Core CPI'!$B:$AY,MATCH($J$1,'Data Core CPI'!$B$1:$AY$1,),))/VLOOKUP(EDATE(B82,-12),'Data Core CPI'!$B:$AY,MATCH($J$1,'Data Core CPI'!$B$1:$AY$1,),)</f>
        <v>6.8025032571562387E-3</v>
      </c>
      <c r="K82" s="21">
        <f>(VLOOKUP(B82,'Data Core CPI'!$B:$AY,MATCH($K$1,'Data Core CPI'!$B$1:$AY$1,),)-VLOOKUP(EDATE(B82,-12),'Data Core CPI'!$B:$AY,MATCH($K$1,'Data Core CPI'!$B$1:$AY$1,),))/VLOOKUP(EDATE(B82,-12),'Data Core CPI'!$B:$AY,MATCH($K$1,'Data Core CPI'!$B$1:$AY$1,),)</f>
        <v>1.1698131105230753E-2</v>
      </c>
      <c r="L82" s="21">
        <f>(VLOOKUP(B82,'Data Core CPI'!$B:$AY,MATCH($L$1,'Data Core CPI'!$B$1:$AY$1,),)-VLOOKUP(EDATE(B82,-12),'Data Core CPI'!$B:$AY,MATCH($L$1,'Data Core CPI'!$B$1:$AY$1,),))/VLOOKUP(EDATE(B82,-12),'Data Core CPI'!$B:$AY,MATCH($L$1,'Data Core CPI'!$B$1:$AY$1,),)</f>
        <v>1.0422007336838833E-2</v>
      </c>
      <c r="M82" s="21">
        <f>(VLOOKUP(B82,'Data Core CPI'!$B:$AY,MATCH($M$1,'Data Core CPI'!$B$1:$AY$1,),)-VLOOKUP(EDATE(B82,-12),'Data Core CPI'!$B:$AY,MATCH($M$1,'Data Core CPI'!$B$1:$AY$1,),))/VLOOKUP(EDATE(B82,-12),'Data Core CPI'!$B:$AY,MATCH($M$1,'Data Core CPI'!$B$1:$AY$1,),)</f>
        <v>3.1551571546528427E-2</v>
      </c>
      <c r="N82" s="21" t="e">
        <f>(VLOOKUP(B82,'Data Core CPI'!$B:$AY,MATCH($N$1,'Data Core CPI'!$B$1:$AY$1,),)-VLOOKUP(EDATE(B82,-12),'Data Core CPI'!$B:$AY,MATCH($N$1,'Data Core CPI'!$B$1:$AY$1,),))/VLOOKUP(EDATE(B82,-12),'Data Core CPI'!$B:$AY,MATCH($N$1,'Data Core CPI'!$B$1:$AY$1,),)</f>
        <v>#DIV/0!</v>
      </c>
      <c r="O82" s="21" t="e">
        <f>(VLOOKUP(B82,'Data Core CPI'!$B:$AY,MATCH($O$1,'Data Core CPI'!$B$1:$AY$1,),)-VLOOKUP(EDATE(B82,-12),'Data Core CPI'!$B:$AY,MATCH($O$1,'Data Core CPI'!$B$1:$AY$1,),))/VLOOKUP(EDATE(B82,-12),'Data Core CPI'!$B:$AY,MATCH($O$1,'Data Core CPI'!$B$1:$AY$1,),)</f>
        <v>#DIV/0!</v>
      </c>
      <c r="P82" s="21">
        <f>(VLOOKUP(B82,'Data Core CPI'!$B:$AY,MATCH($P$1,'Data Core CPI'!$B$1:$AY$1,),)-VLOOKUP(EDATE(B82,-12),'Data Core CPI'!$B:$AY,MATCH($P$1,'Data Core CPI'!$B$1:$AY$1,),))/VLOOKUP(EDATE(B82,-12),'Data Core CPI'!$B:$AY,MATCH($P$1,'Data Core CPI'!$B$1:$AY$1,),)</f>
        <v>1.9443216086421401E-2</v>
      </c>
      <c r="Q82" s="21" t="e">
        <f>(VLOOKUP(B82,'Data Core CPI'!$B:$AY,MATCH($Q$1,'Data Core CPI'!$B$1:$AY$1,),)-VLOOKUP(EDATE(B82,-12),'Data Core CPI'!$B:$AY,MATCH($Q$1,'Data Core CPI'!$B$1:$AY$1,),))/VLOOKUP(EDATE(B82,-12),'Data Core CPI'!$B:$AY,MATCH($Q$1,'Data Core CPI'!$B$1:$AY$1,),)</f>
        <v>#N/A</v>
      </c>
      <c r="R82" s="21">
        <f>(VLOOKUP(B82,'Data Core CPI'!$B:$AY,MATCH($R$1,'Data Core CPI'!$B$1:$AY$1,),)-VLOOKUP(EDATE(B82,-12),'Data Core CPI'!$B:$AY,MATCH($R$1,'Data Core CPI'!$B$1:$AY$1,),))/VLOOKUP(EDATE(B82,-12),'Data Core CPI'!$B:$AY,MATCH($R$1,'Data Core CPI'!$B$1:$AY$1,),)</f>
        <v>-3.4953889003703697E-3</v>
      </c>
      <c r="S82" s="21" t="e">
        <f>(VLOOKUP(B82,'Data Core CPI'!$B:$AY,MATCH($S$1,'Data Core CPI'!$B$1:$AY$1,),)-VLOOKUP(EDATE(B82,-12),'Data Core CPI'!$B:$AY,MATCH($S$1,'Data Core CPI'!$B$1:$AY$1,),))/VLOOKUP(EDATE(B82,-12),'Data Core CPI'!$B:$AY,MATCH($S$1,'Data Core CPI'!$B$1:$AY$1,),)</f>
        <v>#DIV/0!</v>
      </c>
      <c r="T82" s="21" t="e">
        <f>(VLOOKUP(B82,'Data Core CPI'!$B:$AY,MATCH($T$1,'Data Core CPI'!$B$1:$AY$1,),)-VLOOKUP(EDATE(B82,-12),'Data Core CPI'!$B:$AY,MATCH($T$1,'Data Core CPI'!$B$1:$AY$1,),))/VLOOKUP(EDATE(B82,-12),'Data Core CPI'!$B:$AY,MATCH($T$1,'Data Core CPI'!$B$1:$AY$1,),)</f>
        <v>#DIV/0!</v>
      </c>
      <c r="U82" s="21">
        <f>(VLOOKUP(B82,'Data Core CPI'!$B:$AY,MATCH($U$1,'Data Core CPI'!$B$1:$AY$1,),)-VLOOKUP(EDATE(B82,-12),'Data Core CPI'!$B:$AY,MATCH($U$1,'Data Core CPI'!$B$1:$AY$1,),))/VLOOKUP(EDATE(B82,-12),'Data Core CPI'!$B:$AY,MATCH($U$1,'Data Core CPI'!$B$1:$AY$1,),)</f>
        <v>-1.8358435410519042E-2</v>
      </c>
      <c r="V82" s="21">
        <f>(VLOOKUP(B82,'Data Core CPI'!$B:$AY,MATCH($V$1,'Data Core CPI'!$B$1:$AY$1,),)-VLOOKUP(EDATE(B82,-12),'Data Core CPI'!$B:$AY,MATCH($V$1,'Data Core CPI'!$B$1:$AY$1,),))/VLOOKUP(EDATE(B82,-12),'Data Core CPI'!$B:$AY,MATCH($V$1,'Data Core CPI'!$B$1:$AY$1,),)</f>
        <v>3.4467299499065058E-3</v>
      </c>
      <c r="W82" s="21">
        <f>(VLOOKUP(B82,'Data Core CPI'!$B:$AY,MATCH($W$1,'Data Core CPI'!$B$1:$AY$1,),)-VLOOKUP(EDATE(B82,-12),'Data Core CPI'!$B:$AY,MATCH($W$1,'Data Core CPI'!$B$1:$AY$1,),))/VLOOKUP(EDATE(B82,-12),'Data Core CPI'!$B:$AY,MATCH($W$1,'Data Core CPI'!$B$1:$AY$1,),)</f>
        <v>9.5055328290154992E-2</v>
      </c>
      <c r="X82" s="21">
        <f>(VLOOKUP(B82,'Data Core CPI'!$B:$AY,MATCH($X$1,'Data Core CPI'!$B$1:$AY$1,),)-VLOOKUP(EDATE(B82,-12),'Data Core CPI'!$B:$AY,MATCH($X$1,'Data Core CPI'!$B$1:$AY$1,),))/VLOOKUP(EDATE(B82,-12),'Data Core CPI'!$B:$AY,MATCH($X$1,'Data Core CPI'!$B$1:$AY$1,),)</f>
        <v>1.7946161515453612E-2</v>
      </c>
      <c r="Y82" s="21">
        <f>(VLOOKUP(B82,'Data Core CPI'!$B:$AY,MATCH($Y$1,'Data Core CPI'!$B$1:$AY$1,),)-VLOOKUP(EDATE(B82,-12),'Data Core CPI'!$B:$AY,MATCH($Y$1,'Data Core CPI'!$B$1:$AY$1,),))/VLOOKUP(EDATE(B82,-12),'Data Core CPI'!$B:$AY,MATCH($Y$1,'Data Core CPI'!$B$1:$AY$1,),)</f>
        <v>8.6843378117467383E-4</v>
      </c>
      <c r="Z82" s="21" t="e">
        <f>(VLOOKUP(B82,Data!$B:$AY,MATCH($Z$1,Data!$B$1:$AY$1,),)-VLOOKUP(EDATE(B82,-12),Data!$B:$AY,MATCH($Z$1,Data!$B$1:$AY$1,),))/VLOOKUP(EDATE(B82,-12),Data!$B:$AY,MATCH($Z$1,Data!$B$1:$AY$1,),)</f>
        <v>#N/A</v>
      </c>
      <c r="AA82" s="21" t="e">
        <f>(VLOOKUP(B82,Data!$B:$AY,MATCH($AA$1,Data!$B$1:$AY$1,),)-VLOOKUP(EDATE(B82,-12),Data!$B:$AY,MATCH($AA$1,Data!$B$1:$AY$1,),))/VLOOKUP(EDATE(B82,-12),Data!$B:$AY,MATCH($AA$1,Data!$B$1:$AY$1,),)</f>
        <v>#N/A</v>
      </c>
      <c r="AB82" s="20"/>
    </row>
    <row r="83" spans="2:28" x14ac:dyDescent="0.2">
      <c r="B83" s="16">
        <v>42736</v>
      </c>
      <c r="C83" s="21">
        <f>(VLOOKUP(B83,'Data Core CPI'!$B:$AY,MATCH($C$1,'Data Core CPI'!$B$1:$AY$1,),)-VLOOKUP(EDATE(B83,-12),'Data Core CPI'!$B:$AY,MATCH($C$1,'Data Core CPI'!$B$1:$AY$1,),))/VLOOKUP(EDATE(B83,-12),'Data Core CPI'!$B:$AY,MATCH($C$1,'Data Core CPI'!$B$1:$AY$1,),)</f>
        <v>2.2717050815420328E-2</v>
      </c>
      <c r="D83" s="21" t="e">
        <f>(VLOOKUP(B83,'Data Core CPI'!$B:$AY,MATCH($D$1,'Data Core CPI'!$B$1:$AY$1,),)-VLOOKUP(EDATE(B83,-12),'Data Core CPI'!$B:$AY,MATCH($D$1,'Data Core CPI'!$B$1:$AY$1,),))/VLOOKUP(EDATE(B83,-12),'Data Core CPI'!$B:$AY,MATCH($D$1,'Data Core CPI'!$B$1:$AY$1,),)</f>
        <v>#DIV/0!</v>
      </c>
      <c r="E83" s="21">
        <f>(VLOOKUP(B83,'Data Core CPI'!$B:$AY,MATCH($E$1,'Data Core CPI'!$B$1:$AY$1,),)-VLOOKUP(EDATE(B83,-12),'Data Core CPI'!$B:$AY,MATCH($E$1,'Data Core CPI'!$B$1:$AY$1,),))/VLOOKUP(EDATE(B83,-12),'Data Core CPI'!$B:$AY,MATCH($E$1,'Data Core CPI'!$B$1:$AY$1,),)</f>
        <v>8.7009307972480722E-3</v>
      </c>
      <c r="F83" s="21">
        <f>(VLOOKUP(B83,'Data Core CPI'!$B:$AY,MATCH($F$1,'Data Core CPI'!$B$1:$AY$1,),)-VLOOKUP(EDATE(B83,-12),'Data Core CPI'!$B:$AY,MATCH($F$1,'Data Core CPI'!$B$1:$AY$1,),))/VLOOKUP(EDATE(B83,-12),'Data Core CPI'!$B:$AY,MATCH($F$1,'Data Core CPI'!$B$1:$AY$1,),)</f>
        <v>1.6377797481595359E-3</v>
      </c>
      <c r="G83" s="21">
        <f>(VLOOKUP(B83,'Data Core CPI'!$B:$AY,MATCH($G$1,'Data Core CPI'!$B$1:$AY$1,),)-VLOOKUP(EDATE(B83,-12),'Data Core CPI'!$B:$AY,MATCH($G$1,'Data Core CPI'!$B$1:$AY$1,),))/VLOOKUP(EDATE(B83,-12),'Data Core CPI'!$B:$AY,MATCH($G$1,'Data Core CPI'!$B$1:$AY$1,),)</f>
        <v>1.0162104627967228E-2</v>
      </c>
      <c r="H83" s="21">
        <f>(VLOOKUP(B83,'Data Core CPI'!$B:$AY,MATCH($H$1,'Data Core CPI'!$B$1:$AY$1,),)-VLOOKUP(EDATE(B83,-12),'Data Core CPI'!$B:$AY,MATCH($H$1,'Data Core CPI'!$B$1:$AY$1,),))/VLOOKUP(EDATE(B83,-12),'Data Core CPI'!$B:$AY,MATCH($H$1,'Data Core CPI'!$B$1:$AY$1,),)</f>
        <v>5.1635158662233348E-3</v>
      </c>
      <c r="I83" s="21">
        <f>(VLOOKUP(B83,'Data Core CPI'!$B:$AY,MATCH($I$1,'Data Core CPI'!$B$1:$AY$1,),)-VLOOKUP(EDATE(B83,-12),'Data Core CPI'!$B:$AY,MATCH($I$1,'Data Core CPI'!$B$1:$AY$1,),))/VLOOKUP(EDATE(B83,-12),'Data Core CPI'!$B:$AY,MATCH($I$1,'Data Core CPI'!$B$1:$AY$1,),)</f>
        <v>1.7946161515453612E-2</v>
      </c>
      <c r="J83" s="21">
        <f>(VLOOKUP(B83,'Data Core CPI'!$B:$AY,MATCH($J$1,'Data Core CPI'!$B$1:$AY$1,),)-VLOOKUP(EDATE(B83,-12),'Data Core CPI'!$B:$AY,MATCH($J$1,'Data Core CPI'!$B$1:$AY$1,),))/VLOOKUP(EDATE(B83,-12),'Data Core CPI'!$B:$AY,MATCH($J$1,'Data Core CPI'!$B$1:$AY$1,),)</f>
        <v>5.1413447026417598E-3</v>
      </c>
      <c r="K83" s="21">
        <f>(VLOOKUP(B83,'Data Core CPI'!$B:$AY,MATCH($K$1,'Data Core CPI'!$B$1:$AY$1,),)-VLOOKUP(EDATE(B83,-12),'Data Core CPI'!$B:$AY,MATCH($K$1,'Data Core CPI'!$B$1:$AY$1,),))/VLOOKUP(EDATE(B83,-12),'Data Core CPI'!$B:$AY,MATCH($K$1,'Data Core CPI'!$B$1:$AY$1,),)</f>
        <v>1.2396109218765489E-2</v>
      </c>
      <c r="L83" s="21">
        <f>(VLOOKUP(B83,'Data Core CPI'!$B:$AY,MATCH($L$1,'Data Core CPI'!$B$1:$AY$1,),)-VLOOKUP(EDATE(B83,-12),'Data Core CPI'!$B:$AY,MATCH($L$1,'Data Core CPI'!$B$1:$AY$1,),))/VLOOKUP(EDATE(B83,-12),'Data Core CPI'!$B:$AY,MATCH($L$1,'Data Core CPI'!$B$1:$AY$1,),)</f>
        <v>8.1646608452224032E-3</v>
      </c>
      <c r="M83" s="21">
        <f>(VLOOKUP(B83,'Data Core CPI'!$B:$AY,MATCH($M$1,'Data Core CPI'!$B$1:$AY$1,),)-VLOOKUP(EDATE(B83,-12),'Data Core CPI'!$B:$AY,MATCH($M$1,'Data Core CPI'!$B$1:$AY$1,),))/VLOOKUP(EDATE(B83,-12),'Data Core CPI'!$B:$AY,MATCH($M$1,'Data Core CPI'!$B$1:$AY$1,),)</f>
        <v>3.5284065289482178E-2</v>
      </c>
      <c r="N83" s="21" t="e">
        <f>(VLOOKUP(B83,'Data Core CPI'!$B:$AY,MATCH($N$1,'Data Core CPI'!$B$1:$AY$1,),)-VLOOKUP(EDATE(B83,-12),'Data Core CPI'!$B:$AY,MATCH($N$1,'Data Core CPI'!$B$1:$AY$1,),))/VLOOKUP(EDATE(B83,-12),'Data Core CPI'!$B:$AY,MATCH($N$1,'Data Core CPI'!$B$1:$AY$1,),)</f>
        <v>#DIV/0!</v>
      </c>
      <c r="O83" s="21" t="e">
        <f>(VLOOKUP(B83,'Data Core CPI'!$B:$AY,MATCH($O$1,'Data Core CPI'!$B$1:$AY$1,),)-VLOOKUP(EDATE(B83,-12),'Data Core CPI'!$B:$AY,MATCH($O$1,'Data Core CPI'!$B$1:$AY$1,),))/VLOOKUP(EDATE(B83,-12),'Data Core CPI'!$B:$AY,MATCH($O$1,'Data Core CPI'!$B$1:$AY$1,),)</f>
        <v>#DIV/0!</v>
      </c>
      <c r="P83" s="21">
        <f>(VLOOKUP(B83,'Data Core CPI'!$B:$AY,MATCH($P$1,'Data Core CPI'!$B$1:$AY$1,),)-VLOOKUP(EDATE(B83,-12),'Data Core CPI'!$B:$AY,MATCH($P$1,'Data Core CPI'!$B$1:$AY$1,),))/VLOOKUP(EDATE(B83,-12),'Data Core CPI'!$B:$AY,MATCH($P$1,'Data Core CPI'!$B$1:$AY$1,),)</f>
        <v>2.2779764102268063E-2</v>
      </c>
      <c r="Q83" s="21" t="e">
        <f>(VLOOKUP(B83,'Data Core CPI'!$B:$AY,MATCH($Q$1,'Data Core CPI'!$B$1:$AY$1,),)-VLOOKUP(EDATE(B83,-12),'Data Core CPI'!$B:$AY,MATCH($Q$1,'Data Core CPI'!$B$1:$AY$1,),))/VLOOKUP(EDATE(B83,-12),'Data Core CPI'!$B:$AY,MATCH($Q$1,'Data Core CPI'!$B$1:$AY$1,),)</f>
        <v>#N/A</v>
      </c>
      <c r="R83" s="21">
        <f>(VLOOKUP(B83,'Data Core CPI'!$B:$AY,MATCH($R$1,'Data Core CPI'!$B$1:$AY$1,),)-VLOOKUP(EDATE(B83,-12),'Data Core CPI'!$B:$AY,MATCH($R$1,'Data Core CPI'!$B$1:$AY$1,),))/VLOOKUP(EDATE(B83,-12),'Data Core CPI'!$B:$AY,MATCH($R$1,'Data Core CPI'!$B$1:$AY$1,),)</f>
        <v>-2.3501919929015715E-3</v>
      </c>
      <c r="S83" s="21" t="e">
        <f>(VLOOKUP(B83,'Data Core CPI'!$B:$AY,MATCH($S$1,'Data Core CPI'!$B$1:$AY$1,),)-VLOOKUP(EDATE(B83,-12),'Data Core CPI'!$B:$AY,MATCH($S$1,'Data Core CPI'!$B$1:$AY$1,),))/VLOOKUP(EDATE(B83,-12),'Data Core CPI'!$B:$AY,MATCH($S$1,'Data Core CPI'!$B$1:$AY$1,),)</f>
        <v>#DIV/0!</v>
      </c>
      <c r="T83" s="21" t="e">
        <f>(VLOOKUP(B83,'Data Core CPI'!$B:$AY,MATCH($T$1,'Data Core CPI'!$B$1:$AY$1,),)-VLOOKUP(EDATE(B83,-12),'Data Core CPI'!$B:$AY,MATCH($T$1,'Data Core CPI'!$B$1:$AY$1,),))/VLOOKUP(EDATE(B83,-12),'Data Core CPI'!$B:$AY,MATCH($T$1,'Data Core CPI'!$B$1:$AY$1,),)</f>
        <v>#DIV/0!</v>
      </c>
      <c r="U83" s="21">
        <f>(VLOOKUP(B83,'Data Core CPI'!$B:$AY,MATCH($U$1,'Data Core CPI'!$B$1:$AY$1,),)-VLOOKUP(EDATE(B83,-12),'Data Core CPI'!$B:$AY,MATCH($U$1,'Data Core CPI'!$B$1:$AY$1,),))/VLOOKUP(EDATE(B83,-12),'Data Core CPI'!$B:$AY,MATCH($U$1,'Data Core CPI'!$B$1:$AY$1,),)</f>
        <v>-1.8328872496631336E-2</v>
      </c>
      <c r="V83" s="21">
        <f>(VLOOKUP(B83,'Data Core CPI'!$B:$AY,MATCH($V$1,'Data Core CPI'!$B$1:$AY$1,),)-VLOOKUP(EDATE(B83,-12),'Data Core CPI'!$B:$AY,MATCH($V$1,'Data Core CPI'!$B$1:$AY$1,),))/VLOOKUP(EDATE(B83,-12),'Data Core CPI'!$B:$AY,MATCH($V$1,'Data Core CPI'!$B$1:$AY$1,),)</f>
        <v>1.3901192682330575E-3</v>
      </c>
      <c r="W83" s="21">
        <f>(VLOOKUP(B83,'Data Core CPI'!$B:$AY,MATCH($W$1,'Data Core CPI'!$B$1:$AY$1,),)-VLOOKUP(EDATE(B83,-12),'Data Core CPI'!$B:$AY,MATCH($W$1,'Data Core CPI'!$B$1:$AY$1,),))/VLOOKUP(EDATE(B83,-12),'Data Core CPI'!$B:$AY,MATCH($W$1,'Data Core CPI'!$B$1:$AY$1,),)</f>
        <v>9.4190396750148717E-2</v>
      </c>
      <c r="X83" s="21">
        <f>(VLOOKUP(B83,'Data Core CPI'!$B:$AY,MATCH($X$1,'Data Core CPI'!$B$1:$AY$1,),)-VLOOKUP(EDATE(B83,-12),'Data Core CPI'!$B:$AY,MATCH($X$1,'Data Core CPI'!$B$1:$AY$1,),))/VLOOKUP(EDATE(B83,-12),'Data Core CPI'!$B:$AY,MATCH($X$1,'Data Core CPI'!$B$1:$AY$1,),)</f>
        <v>1.8849206349206407E-2</v>
      </c>
      <c r="Y83" s="21">
        <f>(VLOOKUP(B83,'Data Core CPI'!$B:$AY,MATCH($Y$1,'Data Core CPI'!$B$1:$AY$1,),)-VLOOKUP(EDATE(B83,-12),'Data Core CPI'!$B:$AY,MATCH($Y$1,'Data Core CPI'!$B$1:$AY$1,),))/VLOOKUP(EDATE(B83,-12),'Data Core CPI'!$B:$AY,MATCH($Y$1,'Data Core CPI'!$B$1:$AY$1,),)</f>
        <v>3.4934447806678308E-3</v>
      </c>
      <c r="Z83" s="21" t="e">
        <f>(VLOOKUP(B83,Data!$B:$AY,MATCH($Z$1,Data!$B$1:$AY$1,),)-VLOOKUP(EDATE(B83,-12),Data!$B:$AY,MATCH($Z$1,Data!$B$1:$AY$1,),))/VLOOKUP(EDATE(B83,-12),Data!$B:$AY,MATCH($Z$1,Data!$B$1:$AY$1,),)</f>
        <v>#N/A</v>
      </c>
      <c r="AA83" s="21" t="e">
        <f>(VLOOKUP(B83,Data!$B:$AY,MATCH($AA$1,Data!$B$1:$AY$1,),)-VLOOKUP(EDATE(B83,-12),Data!$B:$AY,MATCH($AA$1,Data!$B$1:$AY$1,),))/VLOOKUP(EDATE(B83,-12),Data!$B:$AY,MATCH($AA$1,Data!$B$1:$AY$1,),)</f>
        <v>#N/A</v>
      </c>
      <c r="AB83" s="20"/>
    </row>
    <row r="84" spans="2:28" x14ac:dyDescent="0.2">
      <c r="B84" s="16">
        <v>42767</v>
      </c>
      <c r="C84" s="21">
        <f>(VLOOKUP(B84,'Data Core CPI'!$B:$AY,MATCH($C$1,'Data Core CPI'!$B$1:$AY$1,),)-VLOOKUP(EDATE(B84,-12),'Data Core CPI'!$B:$AY,MATCH($C$1,'Data Core CPI'!$B$1:$AY$1,),))/VLOOKUP(EDATE(B84,-12),'Data Core CPI'!$B:$AY,MATCH($C$1,'Data Core CPI'!$B$1:$AY$1,),)</f>
        <v>2.2235829354726101E-2</v>
      </c>
      <c r="D84" s="21" t="e">
        <f>(VLOOKUP(B84,'Data Core CPI'!$B:$AY,MATCH($D$1,'Data Core CPI'!$B$1:$AY$1,),)-VLOOKUP(EDATE(B84,-12),'Data Core CPI'!$B:$AY,MATCH($D$1,'Data Core CPI'!$B$1:$AY$1,),))/VLOOKUP(EDATE(B84,-12),'Data Core CPI'!$B:$AY,MATCH($D$1,'Data Core CPI'!$B$1:$AY$1,),)</f>
        <v>#DIV/0!</v>
      </c>
      <c r="E84" s="21">
        <f>(VLOOKUP(B84,'Data Core CPI'!$B:$AY,MATCH($E$1,'Data Core CPI'!$B$1:$AY$1,),)-VLOOKUP(EDATE(B84,-12),'Data Core CPI'!$B:$AY,MATCH($E$1,'Data Core CPI'!$B$1:$AY$1,),))/VLOOKUP(EDATE(B84,-12),'Data Core CPI'!$B:$AY,MATCH($E$1,'Data Core CPI'!$B$1:$AY$1,),)</f>
        <v>8.36356307940345E-3</v>
      </c>
      <c r="F84" s="21">
        <f>(VLOOKUP(B84,'Data Core CPI'!$B:$AY,MATCH($F$1,'Data Core CPI'!$B$1:$AY$1,),)-VLOOKUP(EDATE(B84,-12),'Data Core CPI'!$B:$AY,MATCH($F$1,'Data Core CPI'!$B$1:$AY$1,),))/VLOOKUP(EDATE(B84,-12),'Data Core CPI'!$B:$AY,MATCH($F$1,'Data Core CPI'!$B$1:$AY$1,),)</f>
        <v>-1.1726569358539061E-3</v>
      </c>
      <c r="G84" s="21">
        <f>(VLOOKUP(B84,'Data Core CPI'!$B:$AY,MATCH($G$1,'Data Core CPI'!$B$1:$AY$1,),)-VLOOKUP(EDATE(B84,-12),'Data Core CPI'!$B:$AY,MATCH($G$1,'Data Core CPI'!$B$1:$AY$1,),))/VLOOKUP(EDATE(B84,-12),'Data Core CPI'!$B:$AY,MATCH($G$1,'Data Core CPI'!$B$1:$AY$1,),)</f>
        <v>1.0813112047625742E-2</v>
      </c>
      <c r="H84" s="21">
        <f>(VLOOKUP(B84,'Data Core CPI'!$B:$AY,MATCH($H$1,'Data Core CPI'!$B$1:$AY$1,),)-VLOOKUP(EDATE(B84,-12),'Data Core CPI'!$B:$AY,MATCH($H$1,'Data Core CPI'!$B$1:$AY$1,),))/VLOOKUP(EDATE(B84,-12),'Data Core CPI'!$B:$AY,MATCH($H$1,'Data Core CPI'!$B$1:$AY$1,),)</f>
        <v>1.8834611897523262E-3</v>
      </c>
      <c r="I84" s="21">
        <f>(VLOOKUP(B84,'Data Core CPI'!$B:$AY,MATCH($I$1,'Data Core CPI'!$B$1:$AY$1,),)-VLOOKUP(EDATE(B84,-12),'Data Core CPI'!$B:$AY,MATCH($I$1,'Data Core CPI'!$B$1:$AY$1,),))/VLOOKUP(EDATE(B84,-12),'Data Core CPI'!$B:$AY,MATCH($I$1,'Data Core CPI'!$B$1:$AY$1,),)</f>
        <v>2.0874751491053764E-2</v>
      </c>
      <c r="J84" s="21">
        <f>(VLOOKUP(B84,'Data Core CPI'!$B:$AY,MATCH($J$1,'Data Core CPI'!$B$1:$AY$1,),)-VLOOKUP(EDATE(B84,-12),'Data Core CPI'!$B:$AY,MATCH($J$1,'Data Core CPI'!$B$1:$AY$1,),))/VLOOKUP(EDATE(B84,-12),'Data Core CPI'!$B:$AY,MATCH($J$1,'Data Core CPI'!$B$1:$AY$1,),)</f>
        <v>7.6473950947748524E-3</v>
      </c>
      <c r="K84" s="21">
        <f>(VLOOKUP(B84,'Data Core CPI'!$B:$AY,MATCH($K$1,'Data Core CPI'!$B$1:$AY$1,),)-VLOOKUP(EDATE(B84,-12),'Data Core CPI'!$B:$AY,MATCH($K$1,'Data Core CPI'!$B$1:$AY$1,),))/VLOOKUP(EDATE(B84,-12),'Data Core CPI'!$B:$AY,MATCH($K$1,'Data Core CPI'!$B$1:$AY$1,),)</f>
        <v>1.164459961181313E-2</v>
      </c>
      <c r="L84" s="21">
        <f>(VLOOKUP(B84,'Data Core CPI'!$B:$AY,MATCH($L$1,'Data Core CPI'!$B$1:$AY$1,),)-VLOOKUP(EDATE(B84,-12),'Data Core CPI'!$B:$AY,MATCH($L$1,'Data Core CPI'!$B$1:$AY$1,),))/VLOOKUP(EDATE(B84,-12),'Data Core CPI'!$B:$AY,MATCH($L$1,'Data Core CPI'!$B$1:$AY$1,),)</f>
        <v>8.9792446478123965E-3</v>
      </c>
      <c r="M84" s="21">
        <f>(VLOOKUP(B84,'Data Core CPI'!$B:$AY,MATCH($M$1,'Data Core CPI'!$B$1:$AY$1,),)-VLOOKUP(EDATE(B84,-12),'Data Core CPI'!$B:$AY,MATCH($M$1,'Data Core CPI'!$B$1:$AY$1,),))/VLOOKUP(EDATE(B84,-12),'Data Core CPI'!$B:$AY,MATCH($M$1,'Data Core CPI'!$B$1:$AY$1,),)</f>
        <v>3.8823803517657497E-2</v>
      </c>
      <c r="N84" s="21" t="e">
        <f>(VLOOKUP(B84,'Data Core CPI'!$B:$AY,MATCH($N$1,'Data Core CPI'!$B$1:$AY$1,),)-VLOOKUP(EDATE(B84,-12),'Data Core CPI'!$B:$AY,MATCH($N$1,'Data Core CPI'!$B$1:$AY$1,),))/VLOOKUP(EDATE(B84,-12),'Data Core CPI'!$B:$AY,MATCH($N$1,'Data Core CPI'!$B$1:$AY$1,),)</f>
        <v>#DIV/0!</v>
      </c>
      <c r="O84" s="21" t="e">
        <f>(VLOOKUP(B84,'Data Core CPI'!$B:$AY,MATCH($O$1,'Data Core CPI'!$B$1:$AY$1,),)-VLOOKUP(EDATE(B84,-12),'Data Core CPI'!$B:$AY,MATCH($O$1,'Data Core CPI'!$B$1:$AY$1,),))/VLOOKUP(EDATE(B84,-12),'Data Core CPI'!$B:$AY,MATCH($O$1,'Data Core CPI'!$B$1:$AY$1,),)</f>
        <v>#DIV/0!</v>
      </c>
      <c r="P84" s="21">
        <f>(VLOOKUP(B84,'Data Core CPI'!$B:$AY,MATCH($P$1,'Data Core CPI'!$B$1:$AY$1,),)-VLOOKUP(EDATE(B84,-12),'Data Core CPI'!$B:$AY,MATCH($P$1,'Data Core CPI'!$B$1:$AY$1,),))/VLOOKUP(EDATE(B84,-12),'Data Core CPI'!$B:$AY,MATCH($P$1,'Data Core CPI'!$B$1:$AY$1,),)</f>
        <v>2.1767617578265942E-2</v>
      </c>
      <c r="Q84" s="21" t="e">
        <f>(VLOOKUP(B84,'Data Core CPI'!$B:$AY,MATCH($Q$1,'Data Core CPI'!$B$1:$AY$1,),)-VLOOKUP(EDATE(B84,-12),'Data Core CPI'!$B:$AY,MATCH($Q$1,'Data Core CPI'!$B$1:$AY$1,),))/VLOOKUP(EDATE(B84,-12),'Data Core CPI'!$B:$AY,MATCH($Q$1,'Data Core CPI'!$B$1:$AY$1,),)</f>
        <v>#N/A</v>
      </c>
      <c r="R84" s="21">
        <f>(VLOOKUP(B84,'Data Core CPI'!$B:$AY,MATCH($R$1,'Data Core CPI'!$B$1:$AY$1,),)-VLOOKUP(EDATE(B84,-12),'Data Core CPI'!$B:$AY,MATCH($R$1,'Data Core CPI'!$B$1:$AY$1,),))/VLOOKUP(EDATE(B84,-12),'Data Core CPI'!$B:$AY,MATCH($R$1,'Data Core CPI'!$B$1:$AY$1,),)</f>
        <v>-7.0916724893999364E-4</v>
      </c>
      <c r="S84" s="21" t="e">
        <f>(VLOOKUP(B84,'Data Core CPI'!$B:$AY,MATCH($S$1,'Data Core CPI'!$B$1:$AY$1,),)-VLOOKUP(EDATE(B84,-12),'Data Core CPI'!$B:$AY,MATCH($S$1,'Data Core CPI'!$B$1:$AY$1,),))/VLOOKUP(EDATE(B84,-12),'Data Core CPI'!$B:$AY,MATCH($S$1,'Data Core CPI'!$B$1:$AY$1,),)</f>
        <v>#DIV/0!</v>
      </c>
      <c r="T84" s="21" t="e">
        <f>(VLOOKUP(B84,'Data Core CPI'!$B:$AY,MATCH($T$1,'Data Core CPI'!$B$1:$AY$1,),)-VLOOKUP(EDATE(B84,-12),'Data Core CPI'!$B:$AY,MATCH($T$1,'Data Core CPI'!$B$1:$AY$1,),))/VLOOKUP(EDATE(B84,-12),'Data Core CPI'!$B:$AY,MATCH($T$1,'Data Core CPI'!$B$1:$AY$1,),)</f>
        <v>#DIV/0!</v>
      </c>
      <c r="U84" s="21">
        <f>(VLOOKUP(B84,'Data Core CPI'!$B:$AY,MATCH($U$1,'Data Core CPI'!$B$1:$AY$1,),)-VLOOKUP(EDATE(B84,-12),'Data Core CPI'!$B:$AY,MATCH($U$1,'Data Core CPI'!$B$1:$AY$1,),))/VLOOKUP(EDATE(B84,-12),'Data Core CPI'!$B:$AY,MATCH($U$1,'Data Core CPI'!$B$1:$AY$1,),)</f>
        <v>-4.4430954632032078E-3</v>
      </c>
      <c r="V84" s="21">
        <f>(VLOOKUP(B84,'Data Core CPI'!$B:$AY,MATCH($V$1,'Data Core CPI'!$B$1:$AY$1,),)-VLOOKUP(EDATE(B84,-12),'Data Core CPI'!$B:$AY,MATCH($V$1,'Data Core CPI'!$B$1:$AY$1,),))/VLOOKUP(EDATE(B84,-12),'Data Core CPI'!$B:$AY,MATCH($V$1,'Data Core CPI'!$B$1:$AY$1,),)</f>
        <v>1.764417383398851E-3</v>
      </c>
      <c r="W84" s="21">
        <f>(VLOOKUP(B84,'Data Core CPI'!$B:$AY,MATCH($W$1,'Data Core CPI'!$B$1:$AY$1,),)-VLOOKUP(EDATE(B84,-12),'Data Core CPI'!$B:$AY,MATCH($W$1,'Data Core CPI'!$B$1:$AY$1,),))/VLOOKUP(EDATE(B84,-12),'Data Core CPI'!$B:$AY,MATCH($W$1,'Data Core CPI'!$B$1:$AY$1,),)</f>
        <v>0.1001857628610896</v>
      </c>
      <c r="X84" s="21">
        <f>(VLOOKUP(B84,'Data Core CPI'!$B:$AY,MATCH($X$1,'Data Core CPI'!$B$1:$AY$1,),)-VLOOKUP(EDATE(B84,-12),'Data Core CPI'!$B:$AY,MATCH($X$1,'Data Core CPI'!$B$1:$AY$1,),))/VLOOKUP(EDATE(B84,-12),'Data Core CPI'!$B:$AY,MATCH($X$1,'Data Core CPI'!$B$1:$AY$1,),)</f>
        <v>1.9801980198019802E-2</v>
      </c>
      <c r="Y84" s="21">
        <f>(VLOOKUP(B84,'Data Core CPI'!$B:$AY,MATCH($Y$1,'Data Core CPI'!$B$1:$AY$1,),)-VLOOKUP(EDATE(B84,-12),'Data Core CPI'!$B:$AY,MATCH($Y$1,'Data Core CPI'!$B$1:$AY$1,),))/VLOOKUP(EDATE(B84,-12),'Data Core CPI'!$B:$AY,MATCH($Y$1,'Data Core CPI'!$B$1:$AY$1,),)</f>
        <v>4.3667306319503489E-3</v>
      </c>
      <c r="Z84" s="21" t="e">
        <f>(VLOOKUP(B84,Data!$B:$AY,MATCH($Z$1,Data!$B$1:$AY$1,),)-VLOOKUP(EDATE(B84,-12),Data!$B:$AY,MATCH($Z$1,Data!$B$1:$AY$1,),))/VLOOKUP(EDATE(B84,-12),Data!$B:$AY,MATCH($Z$1,Data!$B$1:$AY$1,),)</f>
        <v>#N/A</v>
      </c>
      <c r="AA84" s="21" t="e">
        <f>(VLOOKUP(B84,Data!$B:$AY,MATCH($AA$1,Data!$B$1:$AY$1,),)-VLOOKUP(EDATE(B84,-12),Data!$B:$AY,MATCH($AA$1,Data!$B$1:$AY$1,),))/VLOOKUP(EDATE(B84,-12),Data!$B:$AY,MATCH($AA$1,Data!$B$1:$AY$1,),)</f>
        <v>#N/A</v>
      </c>
      <c r="AB84" s="20"/>
    </row>
    <row r="85" spans="2:28" x14ac:dyDescent="0.2">
      <c r="B85" s="16">
        <v>42795</v>
      </c>
      <c r="C85" s="21">
        <f>(VLOOKUP(B85,'Data Core CPI'!$B:$AY,MATCH($C$1,'Data Core CPI'!$B$1:$AY$1,),)-VLOOKUP(EDATE(B85,-12),'Data Core CPI'!$B:$AY,MATCH($C$1,'Data Core CPI'!$B$1:$AY$1,),))/VLOOKUP(EDATE(B85,-12),'Data Core CPI'!$B:$AY,MATCH($C$1,'Data Core CPI'!$B$1:$AY$1,),)</f>
        <v>2.0020216879127462E-2</v>
      </c>
      <c r="D85" s="21" t="e">
        <f>(VLOOKUP(B85,'Data Core CPI'!$B:$AY,MATCH($D$1,'Data Core CPI'!$B$1:$AY$1,),)-VLOOKUP(EDATE(B85,-12),'Data Core CPI'!$B:$AY,MATCH($D$1,'Data Core CPI'!$B$1:$AY$1,),))/VLOOKUP(EDATE(B85,-12),'Data Core CPI'!$B:$AY,MATCH($D$1,'Data Core CPI'!$B$1:$AY$1,),)</f>
        <v>#DIV/0!</v>
      </c>
      <c r="E85" s="21">
        <f>(VLOOKUP(B85,'Data Core CPI'!$B:$AY,MATCH($E$1,'Data Core CPI'!$B$1:$AY$1,),)-VLOOKUP(EDATE(B85,-12),'Data Core CPI'!$B:$AY,MATCH($E$1,'Data Core CPI'!$B$1:$AY$1,),))/VLOOKUP(EDATE(B85,-12),'Data Core CPI'!$B:$AY,MATCH($E$1,'Data Core CPI'!$B$1:$AY$1,),)</f>
        <v>6.9444444444444727E-3</v>
      </c>
      <c r="F85" s="21">
        <f>(VLOOKUP(B85,'Data Core CPI'!$B:$AY,MATCH($F$1,'Data Core CPI'!$B$1:$AY$1,),)-VLOOKUP(EDATE(B85,-12),'Data Core CPI'!$B:$AY,MATCH($F$1,'Data Core CPI'!$B$1:$AY$1,),))/VLOOKUP(EDATE(B85,-12),'Data Core CPI'!$B:$AY,MATCH($F$1,'Data Core CPI'!$B$1:$AY$1,),)</f>
        <v>-2.6175739427245189E-3</v>
      </c>
      <c r="G85" s="21">
        <f>(VLOOKUP(B85,'Data Core CPI'!$B:$AY,MATCH($G$1,'Data Core CPI'!$B$1:$AY$1,),)-VLOOKUP(EDATE(B85,-12),'Data Core CPI'!$B:$AY,MATCH($G$1,'Data Core CPI'!$B$1:$AY$1,),))/VLOOKUP(EDATE(B85,-12),'Data Core CPI'!$B:$AY,MATCH($G$1,'Data Core CPI'!$B$1:$AY$1,),)</f>
        <v>9.2547762106215646E-3</v>
      </c>
      <c r="H85" s="21">
        <f>(VLOOKUP(B85,'Data Core CPI'!$B:$AY,MATCH($H$1,'Data Core CPI'!$B$1:$AY$1,),)-VLOOKUP(EDATE(B85,-12),'Data Core CPI'!$B:$AY,MATCH($H$1,'Data Core CPI'!$B$1:$AY$1,),))/VLOOKUP(EDATE(B85,-12),'Data Core CPI'!$B:$AY,MATCH($H$1,'Data Core CPI'!$B$1:$AY$1,),)</f>
        <v>4.0143373456799497E-3</v>
      </c>
      <c r="I85" s="21">
        <f>(VLOOKUP(B85,'Data Core CPI'!$B:$AY,MATCH($I$1,'Data Core CPI'!$B$1:$AY$1,),)-VLOOKUP(EDATE(B85,-12),'Data Core CPI'!$B:$AY,MATCH($I$1,'Data Core CPI'!$B$1:$AY$1,),))/VLOOKUP(EDATE(B85,-12),'Data Core CPI'!$B:$AY,MATCH($I$1,'Data Core CPI'!$B$1:$AY$1,),)</f>
        <v>1.8793273986152381E-2</v>
      </c>
      <c r="J85" s="21">
        <f>(VLOOKUP(B85,'Data Core CPI'!$B:$AY,MATCH($J$1,'Data Core CPI'!$B$1:$AY$1,),)-VLOOKUP(EDATE(B85,-12),'Data Core CPI'!$B:$AY,MATCH($J$1,'Data Core CPI'!$B$1:$AY$1,),))/VLOOKUP(EDATE(B85,-12),'Data Core CPI'!$B:$AY,MATCH($J$1,'Data Core CPI'!$B$1:$AY$1,),)</f>
        <v>7.2961562054792576E-3</v>
      </c>
      <c r="K85" s="21">
        <f>(VLOOKUP(B85,'Data Core CPI'!$B:$AY,MATCH($K$1,'Data Core CPI'!$B$1:$AY$1,),)-VLOOKUP(EDATE(B85,-12),'Data Core CPI'!$B:$AY,MATCH($K$1,'Data Core CPI'!$B$1:$AY$1,),))/VLOOKUP(EDATE(B85,-12),'Data Core CPI'!$B:$AY,MATCH($K$1,'Data Core CPI'!$B$1:$AY$1,),)</f>
        <v>1.0195688620239569E-2</v>
      </c>
      <c r="L85" s="21">
        <f>(VLOOKUP(B85,'Data Core CPI'!$B:$AY,MATCH($L$1,'Data Core CPI'!$B$1:$AY$1,),)-VLOOKUP(EDATE(B85,-12),'Data Core CPI'!$B:$AY,MATCH($L$1,'Data Core CPI'!$B$1:$AY$1,),))/VLOOKUP(EDATE(B85,-12),'Data Core CPI'!$B:$AY,MATCH($L$1,'Data Core CPI'!$B$1:$AY$1,),)</f>
        <v>6.3824869478439489E-3</v>
      </c>
      <c r="M85" s="21">
        <f>(VLOOKUP(B85,'Data Core CPI'!$B:$AY,MATCH($M$1,'Data Core CPI'!$B$1:$AY$1,),)-VLOOKUP(EDATE(B85,-12),'Data Core CPI'!$B:$AY,MATCH($M$1,'Data Core CPI'!$B$1:$AY$1,),))/VLOOKUP(EDATE(B85,-12),'Data Core CPI'!$B:$AY,MATCH($M$1,'Data Core CPI'!$B$1:$AY$1,),)</f>
        <v>4.0546830065071371E-2</v>
      </c>
      <c r="N85" s="21" t="e">
        <f>(VLOOKUP(B85,'Data Core CPI'!$B:$AY,MATCH($N$1,'Data Core CPI'!$B$1:$AY$1,),)-VLOOKUP(EDATE(B85,-12),'Data Core CPI'!$B:$AY,MATCH($N$1,'Data Core CPI'!$B$1:$AY$1,),))/VLOOKUP(EDATE(B85,-12),'Data Core CPI'!$B:$AY,MATCH($N$1,'Data Core CPI'!$B$1:$AY$1,),)</f>
        <v>#DIV/0!</v>
      </c>
      <c r="O85" s="21" t="e">
        <f>(VLOOKUP(B85,'Data Core CPI'!$B:$AY,MATCH($O$1,'Data Core CPI'!$B$1:$AY$1,),)-VLOOKUP(EDATE(B85,-12),'Data Core CPI'!$B:$AY,MATCH($O$1,'Data Core CPI'!$B$1:$AY$1,),))/VLOOKUP(EDATE(B85,-12),'Data Core CPI'!$B:$AY,MATCH($O$1,'Data Core CPI'!$B$1:$AY$1,),)</f>
        <v>#DIV/0!</v>
      </c>
      <c r="P85" s="21">
        <f>(VLOOKUP(B85,'Data Core CPI'!$B:$AY,MATCH($P$1,'Data Core CPI'!$B$1:$AY$1,),)-VLOOKUP(EDATE(B85,-12),'Data Core CPI'!$B:$AY,MATCH($P$1,'Data Core CPI'!$B$1:$AY$1,),))/VLOOKUP(EDATE(B85,-12),'Data Core CPI'!$B:$AY,MATCH($P$1,'Data Core CPI'!$B$1:$AY$1,),)</f>
        <v>1.8382230052163908E-2</v>
      </c>
      <c r="Q85" s="21" t="e">
        <f>(VLOOKUP(B85,'Data Core CPI'!$B:$AY,MATCH($Q$1,'Data Core CPI'!$B$1:$AY$1,),)-VLOOKUP(EDATE(B85,-12),'Data Core CPI'!$B:$AY,MATCH($Q$1,'Data Core CPI'!$B$1:$AY$1,),))/VLOOKUP(EDATE(B85,-12),'Data Core CPI'!$B:$AY,MATCH($Q$1,'Data Core CPI'!$B$1:$AY$1,),)</f>
        <v>#N/A</v>
      </c>
      <c r="R85" s="21">
        <f>(VLOOKUP(B85,'Data Core CPI'!$B:$AY,MATCH($R$1,'Data Core CPI'!$B$1:$AY$1,),)-VLOOKUP(EDATE(B85,-12),'Data Core CPI'!$B:$AY,MATCH($R$1,'Data Core CPI'!$B$1:$AY$1,),))/VLOOKUP(EDATE(B85,-12),'Data Core CPI'!$B:$AY,MATCH($R$1,'Data Core CPI'!$B$1:$AY$1,),)</f>
        <v>1.381225838682572E-3</v>
      </c>
      <c r="S85" s="21" t="e">
        <f>(VLOOKUP(B85,'Data Core CPI'!$B:$AY,MATCH($S$1,'Data Core CPI'!$B$1:$AY$1,),)-VLOOKUP(EDATE(B85,-12),'Data Core CPI'!$B:$AY,MATCH($S$1,'Data Core CPI'!$B$1:$AY$1,),))/VLOOKUP(EDATE(B85,-12),'Data Core CPI'!$B:$AY,MATCH($S$1,'Data Core CPI'!$B$1:$AY$1,),)</f>
        <v>#DIV/0!</v>
      </c>
      <c r="T85" s="21" t="e">
        <f>(VLOOKUP(B85,'Data Core CPI'!$B:$AY,MATCH($T$1,'Data Core CPI'!$B$1:$AY$1,),)-VLOOKUP(EDATE(B85,-12),'Data Core CPI'!$B:$AY,MATCH($T$1,'Data Core CPI'!$B$1:$AY$1,),))/VLOOKUP(EDATE(B85,-12),'Data Core CPI'!$B:$AY,MATCH($T$1,'Data Core CPI'!$B$1:$AY$1,),)</f>
        <v>#DIV/0!</v>
      </c>
      <c r="U85" s="21">
        <f>(VLOOKUP(B85,'Data Core CPI'!$B:$AY,MATCH($U$1,'Data Core CPI'!$B$1:$AY$1,),)-VLOOKUP(EDATE(B85,-12),'Data Core CPI'!$B:$AY,MATCH($U$1,'Data Core CPI'!$B$1:$AY$1,),))/VLOOKUP(EDATE(B85,-12),'Data Core CPI'!$B:$AY,MATCH($U$1,'Data Core CPI'!$B$1:$AY$1,),)</f>
        <v>4.8098389852264381E-3</v>
      </c>
      <c r="V85" s="21">
        <f>(VLOOKUP(B85,'Data Core CPI'!$B:$AY,MATCH($V$1,'Data Core CPI'!$B$1:$AY$1,),)-VLOOKUP(EDATE(B85,-12),'Data Core CPI'!$B:$AY,MATCH($V$1,'Data Core CPI'!$B$1:$AY$1,),))/VLOOKUP(EDATE(B85,-12),'Data Core CPI'!$B:$AY,MATCH($V$1,'Data Core CPI'!$B$1:$AY$1,),)</f>
        <v>4.7075614771996364E-3</v>
      </c>
      <c r="W85" s="21">
        <f>(VLOOKUP(B85,'Data Core CPI'!$B:$AY,MATCH($W$1,'Data Core CPI'!$B$1:$AY$1,),)-VLOOKUP(EDATE(B85,-12),'Data Core CPI'!$B:$AY,MATCH($W$1,'Data Core CPI'!$B$1:$AY$1,),))/VLOOKUP(EDATE(B85,-12),'Data Core CPI'!$B:$AY,MATCH($W$1,'Data Core CPI'!$B$1:$AY$1,),)</f>
        <v>0.10786803349724076</v>
      </c>
      <c r="X85" s="21">
        <f>(VLOOKUP(B85,'Data Core CPI'!$B:$AY,MATCH($X$1,'Data Core CPI'!$B$1:$AY$1,),)-VLOOKUP(EDATE(B85,-12),'Data Core CPI'!$B:$AY,MATCH($X$1,'Data Core CPI'!$B$1:$AY$1,),))/VLOOKUP(EDATE(B85,-12),'Data Core CPI'!$B:$AY,MATCH($X$1,'Data Core CPI'!$B$1:$AY$1,),)</f>
        <v>2.0792079207920734E-2</v>
      </c>
      <c r="Y85" s="21">
        <f>(VLOOKUP(B85,'Data Core CPI'!$B:$AY,MATCH($Y$1,'Data Core CPI'!$B$1:$AY$1,),)-VLOOKUP(EDATE(B85,-12),'Data Core CPI'!$B:$AY,MATCH($Y$1,'Data Core CPI'!$B$1:$AY$1,),))/VLOOKUP(EDATE(B85,-12),'Data Core CPI'!$B:$AY,MATCH($Y$1,'Data Core CPI'!$B$1:$AY$1,),)</f>
        <v>6.1131014174896922E-3</v>
      </c>
      <c r="Z85" s="21" t="e">
        <f>(VLOOKUP(B85,Data!$B:$AY,MATCH($Z$1,Data!$B$1:$AY$1,),)-VLOOKUP(EDATE(B85,-12),Data!$B:$AY,MATCH($Z$1,Data!$B$1:$AY$1,),))/VLOOKUP(EDATE(B85,-12),Data!$B:$AY,MATCH($Z$1,Data!$B$1:$AY$1,),)</f>
        <v>#N/A</v>
      </c>
      <c r="AA85" s="21" t="e">
        <f>(VLOOKUP(B85,Data!$B:$AY,MATCH($AA$1,Data!$B$1:$AY$1,),)-VLOOKUP(EDATE(B85,-12),Data!$B:$AY,MATCH($AA$1,Data!$B$1:$AY$1,),))/VLOOKUP(EDATE(B85,-12),Data!$B:$AY,MATCH($AA$1,Data!$B$1:$AY$1,),)</f>
        <v>#N/A</v>
      </c>
      <c r="AB85" s="20"/>
    </row>
    <row r="86" spans="2:28" x14ac:dyDescent="0.2">
      <c r="B86" s="16">
        <v>42826</v>
      </c>
      <c r="C86" s="21">
        <f>(VLOOKUP(B86,'Data Core CPI'!$B:$AY,MATCH($C$1,'Data Core CPI'!$B$1:$AY$1,),)-VLOOKUP(EDATE(B86,-12),'Data Core CPI'!$B:$AY,MATCH($C$1,'Data Core CPI'!$B$1:$AY$1,),))/VLOOKUP(EDATE(B86,-12),'Data Core CPI'!$B:$AY,MATCH($C$1,'Data Core CPI'!$B$1:$AY$1,),)</f>
        <v>1.882619484302513E-2</v>
      </c>
      <c r="D86" s="21" t="e">
        <f>(VLOOKUP(B86,'Data Core CPI'!$B:$AY,MATCH($D$1,'Data Core CPI'!$B$1:$AY$1,),)-VLOOKUP(EDATE(B86,-12),'Data Core CPI'!$B:$AY,MATCH($D$1,'Data Core CPI'!$B$1:$AY$1,),))/VLOOKUP(EDATE(B86,-12),'Data Core CPI'!$B:$AY,MATCH($D$1,'Data Core CPI'!$B$1:$AY$1,),)</f>
        <v>#DIV/0!</v>
      </c>
      <c r="E86" s="21">
        <f>(VLOOKUP(B86,'Data Core CPI'!$B:$AY,MATCH($E$1,'Data Core CPI'!$B$1:$AY$1,),)-VLOOKUP(EDATE(B86,-12),'Data Core CPI'!$B:$AY,MATCH($E$1,'Data Core CPI'!$B$1:$AY$1,),))/VLOOKUP(EDATE(B86,-12),'Data Core CPI'!$B:$AY,MATCH($E$1,'Data Core CPI'!$B$1:$AY$1,),)</f>
        <v>1.2571767966739361E-2</v>
      </c>
      <c r="F86" s="21">
        <f>(VLOOKUP(B86,'Data Core CPI'!$B:$AY,MATCH($F$1,'Data Core CPI'!$B$1:$AY$1,),)-VLOOKUP(EDATE(B86,-12),'Data Core CPI'!$B:$AY,MATCH($F$1,'Data Core CPI'!$B$1:$AY$1,),))/VLOOKUP(EDATE(B86,-12),'Data Core CPI'!$B:$AY,MATCH($F$1,'Data Core CPI'!$B$1:$AY$1,),)</f>
        <v>-1.8159914597708389E-3</v>
      </c>
      <c r="G86" s="21">
        <f>(VLOOKUP(B86,'Data Core CPI'!$B:$AY,MATCH($G$1,'Data Core CPI'!$B$1:$AY$1,),)-VLOOKUP(EDATE(B86,-12),'Data Core CPI'!$B:$AY,MATCH($G$1,'Data Core CPI'!$B$1:$AY$1,),))/VLOOKUP(EDATE(B86,-12),'Data Core CPI'!$B:$AY,MATCH($G$1,'Data Core CPI'!$B$1:$AY$1,),)</f>
        <v>1.399548532731376E-2</v>
      </c>
      <c r="H86" s="21">
        <f>(VLOOKUP(B86,'Data Core CPI'!$B:$AY,MATCH($H$1,'Data Core CPI'!$B$1:$AY$1,),)-VLOOKUP(EDATE(B86,-12),'Data Core CPI'!$B:$AY,MATCH($H$1,'Data Core CPI'!$B$1:$AY$1,),))/VLOOKUP(EDATE(B86,-12),'Data Core CPI'!$B:$AY,MATCH($H$1,'Data Core CPI'!$B$1:$AY$1,),)</f>
        <v>4.848975548232607E-3</v>
      </c>
      <c r="I86" s="21">
        <f>(VLOOKUP(B86,'Data Core CPI'!$B:$AY,MATCH($I$1,'Data Core CPI'!$B$1:$AY$1,),)-VLOOKUP(EDATE(B86,-12),'Data Core CPI'!$B:$AY,MATCH($I$1,'Data Core CPI'!$B$1:$AY$1,),))/VLOOKUP(EDATE(B86,-12),'Data Core CPI'!$B:$AY,MATCH($I$1,'Data Core CPI'!$B$1:$AY$1,),)</f>
        <v>2.3715415019762761E-2</v>
      </c>
      <c r="J86" s="21">
        <f>(VLOOKUP(B86,'Data Core CPI'!$B:$AY,MATCH($J$1,'Data Core CPI'!$B$1:$AY$1,),)-VLOOKUP(EDATE(B86,-12),'Data Core CPI'!$B:$AY,MATCH($J$1,'Data Core CPI'!$B$1:$AY$1,),))/VLOOKUP(EDATE(B86,-12),'Data Core CPI'!$B:$AY,MATCH($J$1,'Data Core CPI'!$B$1:$AY$1,),)</f>
        <v>1.2231811691169131E-2</v>
      </c>
      <c r="K86" s="21">
        <f>(VLOOKUP(B86,'Data Core CPI'!$B:$AY,MATCH($K$1,'Data Core CPI'!$B$1:$AY$1,),)-VLOOKUP(EDATE(B86,-12),'Data Core CPI'!$B:$AY,MATCH($K$1,'Data Core CPI'!$B$1:$AY$1,),))/VLOOKUP(EDATE(B86,-12),'Data Core CPI'!$B:$AY,MATCH($K$1,'Data Core CPI'!$B$1:$AY$1,),)</f>
        <v>1.4683013702429259E-2</v>
      </c>
      <c r="L86" s="21">
        <f>(VLOOKUP(B86,'Data Core CPI'!$B:$AY,MATCH($L$1,'Data Core CPI'!$B$1:$AY$1,),)-VLOOKUP(EDATE(B86,-12),'Data Core CPI'!$B:$AY,MATCH($L$1,'Data Core CPI'!$B$1:$AY$1,),))/VLOOKUP(EDATE(B86,-12),'Data Core CPI'!$B:$AY,MATCH($L$1,'Data Core CPI'!$B$1:$AY$1,),)</f>
        <v>1.4198690374480741E-2</v>
      </c>
      <c r="M86" s="21">
        <f>(VLOOKUP(B86,'Data Core CPI'!$B:$AY,MATCH($M$1,'Data Core CPI'!$B$1:$AY$1,),)-VLOOKUP(EDATE(B86,-12),'Data Core CPI'!$B:$AY,MATCH($M$1,'Data Core CPI'!$B$1:$AY$1,),))/VLOOKUP(EDATE(B86,-12),'Data Core CPI'!$B:$AY,MATCH($M$1,'Data Core CPI'!$B$1:$AY$1,),)</f>
        <v>4.4083694790126686E-2</v>
      </c>
      <c r="N86" s="21" t="e">
        <f>(VLOOKUP(B86,'Data Core CPI'!$B:$AY,MATCH($N$1,'Data Core CPI'!$B$1:$AY$1,),)-VLOOKUP(EDATE(B86,-12),'Data Core CPI'!$B:$AY,MATCH($N$1,'Data Core CPI'!$B$1:$AY$1,),))/VLOOKUP(EDATE(B86,-12),'Data Core CPI'!$B:$AY,MATCH($N$1,'Data Core CPI'!$B$1:$AY$1,),)</f>
        <v>#DIV/0!</v>
      </c>
      <c r="O86" s="21" t="e">
        <f>(VLOOKUP(B86,'Data Core CPI'!$B:$AY,MATCH($O$1,'Data Core CPI'!$B$1:$AY$1,),)-VLOOKUP(EDATE(B86,-12),'Data Core CPI'!$B:$AY,MATCH($O$1,'Data Core CPI'!$B$1:$AY$1,),))/VLOOKUP(EDATE(B86,-12),'Data Core CPI'!$B:$AY,MATCH($O$1,'Data Core CPI'!$B$1:$AY$1,),)</f>
        <v>#DIV/0!</v>
      </c>
      <c r="P86" s="21">
        <f>(VLOOKUP(B86,'Data Core CPI'!$B:$AY,MATCH($P$1,'Data Core CPI'!$B$1:$AY$1,),)-VLOOKUP(EDATE(B86,-12),'Data Core CPI'!$B:$AY,MATCH($P$1,'Data Core CPI'!$B$1:$AY$1,),))/VLOOKUP(EDATE(B86,-12),'Data Core CPI'!$B:$AY,MATCH($P$1,'Data Core CPI'!$B$1:$AY$1,),)</f>
        <v>1.6437113312981751E-2</v>
      </c>
      <c r="Q86" s="21" t="e">
        <f>(VLOOKUP(B86,'Data Core CPI'!$B:$AY,MATCH($Q$1,'Data Core CPI'!$B$1:$AY$1,),)-VLOOKUP(EDATE(B86,-12),'Data Core CPI'!$B:$AY,MATCH($Q$1,'Data Core CPI'!$B$1:$AY$1,),))/VLOOKUP(EDATE(B86,-12),'Data Core CPI'!$B:$AY,MATCH($Q$1,'Data Core CPI'!$B$1:$AY$1,),)</f>
        <v>#N/A</v>
      </c>
      <c r="R86" s="21">
        <f>(VLOOKUP(B86,'Data Core CPI'!$B:$AY,MATCH($R$1,'Data Core CPI'!$B$1:$AY$1,),)-VLOOKUP(EDATE(B86,-12),'Data Core CPI'!$B:$AY,MATCH($R$1,'Data Core CPI'!$B$1:$AY$1,),))/VLOOKUP(EDATE(B86,-12),'Data Core CPI'!$B:$AY,MATCH($R$1,'Data Core CPI'!$B$1:$AY$1,),)</f>
        <v>1.4790714385516954E-3</v>
      </c>
      <c r="S86" s="21" t="e">
        <f>(VLOOKUP(B86,'Data Core CPI'!$B:$AY,MATCH($S$1,'Data Core CPI'!$B$1:$AY$1,),)-VLOOKUP(EDATE(B86,-12),'Data Core CPI'!$B:$AY,MATCH($S$1,'Data Core CPI'!$B$1:$AY$1,),))/VLOOKUP(EDATE(B86,-12),'Data Core CPI'!$B:$AY,MATCH($S$1,'Data Core CPI'!$B$1:$AY$1,),)</f>
        <v>#DIV/0!</v>
      </c>
      <c r="T86" s="21" t="e">
        <f>(VLOOKUP(B86,'Data Core CPI'!$B:$AY,MATCH($T$1,'Data Core CPI'!$B$1:$AY$1,),)-VLOOKUP(EDATE(B86,-12),'Data Core CPI'!$B:$AY,MATCH($T$1,'Data Core CPI'!$B$1:$AY$1,),))/VLOOKUP(EDATE(B86,-12),'Data Core CPI'!$B:$AY,MATCH($T$1,'Data Core CPI'!$B$1:$AY$1,),)</f>
        <v>#DIV/0!</v>
      </c>
      <c r="U86" s="21">
        <f>(VLOOKUP(B86,'Data Core CPI'!$B:$AY,MATCH($U$1,'Data Core CPI'!$B$1:$AY$1,),)-VLOOKUP(EDATE(B86,-12),'Data Core CPI'!$B:$AY,MATCH($U$1,'Data Core CPI'!$B$1:$AY$1,),))/VLOOKUP(EDATE(B86,-12),'Data Core CPI'!$B:$AY,MATCH($U$1,'Data Core CPI'!$B$1:$AY$1,),)</f>
        <v>4.3097026305184676E-3</v>
      </c>
      <c r="V86" s="21">
        <f>(VLOOKUP(B86,'Data Core CPI'!$B:$AY,MATCH($V$1,'Data Core CPI'!$B$1:$AY$1,),)-VLOOKUP(EDATE(B86,-12),'Data Core CPI'!$B:$AY,MATCH($V$1,'Data Core CPI'!$B$1:$AY$1,),))/VLOOKUP(EDATE(B86,-12),'Data Core CPI'!$B:$AY,MATCH($V$1,'Data Core CPI'!$B$1:$AY$1,),)</f>
        <v>9.4189280986121133E-3</v>
      </c>
      <c r="W86" s="21">
        <f>(VLOOKUP(B86,'Data Core CPI'!$B:$AY,MATCH($W$1,'Data Core CPI'!$B$1:$AY$1,),)-VLOOKUP(EDATE(B86,-12),'Data Core CPI'!$B:$AY,MATCH($W$1,'Data Core CPI'!$B$1:$AY$1,),))/VLOOKUP(EDATE(B86,-12),'Data Core CPI'!$B:$AY,MATCH($W$1,'Data Core CPI'!$B$1:$AY$1,),)</f>
        <v>0.10805648705117822</v>
      </c>
      <c r="X86" s="21">
        <f>(VLOOKUP(B86,'Data Core CPI'!$B:$AY,MATCH($X$1,'Data Core CPI'!$B$1:$AY$1,),)-VLOOKUP(EDATE(B86,-12),'Data Core CPI'!$B:$AY,MATCH($X$1,'Data Core CPI'!$B$1:$AY$1,),))/VLOOKUP(EDATE(B86,-12),'Data Core CPI'!$B:$AY,MATCH($X$1,'Data Core CPI'!$B$1:$AY$1,),)</f>
        <v>1.6732283464566958E-2</v>
      </c>
      <c r="Y86" s="21">
        <f>(VLOOKUP(B86,'Data Core CPI'!$B:$AY,MATCH($Y$1,'Data Core CPI'!$B$1:$AY$1,),)-VLOOKUP(EDATE(B86,-12),'Data Core CPI'!$B:$AY,MATCH($Y$1,'Data Core CPI'!$B$1:$AY$1,),))/VLOOKUP(EDATE(B86,-12),'Data Core CPI'!$B:$AY,MATCH($Y$1,'Data Core CPI'!$B$1:$AY$1,),)</f>
        <v>9.5818430431767777E-3</v>
      </c>
      <c r="Z86" s="21" t="e">
        <f>(VLOOKUP(B86,Data!$B:$AY,MATCH($Z$1,Data!$B$1:$AY$1,),)-VLOOKUP(EDATE(B86,-12),Data!$B:$AY,MATCH($Z$1,Data!$B$1:$AY$1,),))/VLOOKUP(EDATE(B86,-12),Data!$B:$AY,MATCH($Z$1,Data!$B$1:$AY$1,),)</f>
        <v>#N/A</v>
      </c>
      <c r="AA86" s="21" t="e">
        <f>(VLOOKUP(B86,Data!$B:$AY,MATCH($AA$1,Data!$B$1:$AY$1,),)-VLOOKUP(EDATE(B86,-12),Data!$B:$AY,MATCH($AA$1,Data!$B$1:$AY$1,),))/VLOOKUP(EDATE(B86,-12),Data!$B:$AY,MATCH($AA$1,Data!$B$1:$AY$1,),)</f>
        <v>#N/A</v>
      </c>
      <c r="AB86" s="20"/>
    </row>
    <row r="87" spans="2:28" x14ac:dyDescent="0.2">
      <c r="B87" s="16">
        <v>42856</v>
      </c>
      <c r="C87" s="21">
        <f>(VLOOKUP(B87,'Data Core CPI'!$B:$AY,MATCH($C$1,'Data Core CPI'!$B$1:$AY$1,),)-VLOOKUP(EDATE(B87,-12),'Data Core CPI'!$B:$AY,MATCH($C$1,'Data Core CPI'!$B$1:$AY$1,),))/VLOOKUP(EDATE(B87,-12),'Data Core CPI'!$B:$AY,MATCH($C$1,'Data Core CPI'!$B$1:$AY$1,),)</f>
        <v>1.7334919970093982E-2</v>
      </c>
      <c r="D87" s="21" t="e">
        <f>(VLOOKUP(B87,'Data Core CPI'!$B:$AY,MATCH($D$1,'Data Core CPI'!$B$1:$AY$1,),)-VLOOKUP(EDATE(B87,-12),'Data Core CPI'!$B:$AY,MATCH($D$1,'Data Core CPI'!$B$1:$AY$1,),))/VLOOKUP(EDATE(B87,-12),'Data Core CPI'!$B:$AY,MATCH($D$1,'Data Core CPI'!$B$1:$AY$1,),)</f>
        <v>#DIV/0!</v>
      </c>
      <c r="E87" s="21">
        <f>(VLOOKUP(B87,'Data Core CPI'!$B:$AY,MATCH($E$1,'Data Core CPI'!$B$1:$AY$1,),)-VLOOKUP(EDATE(B87,-12),'Data Core CPI'!$B:$AY,MATCH($E$1,'Data Core CPI'!$B$1:$AY$1,),))/VLOOKUP(EDATE(B87,-12),'Data Core CPI'!$B:$AY,MATCH($E$1,'Data Core CPI'!$B$1:$AY$1,),)</f>
        <v>9.1788393209633525E-3</v>
      </c>
      <c r="F87" s="21">
        <f>(VLOOKUP(B87,'Data Core CPI'!$B:$AY,MATCH($F$1,'Data Core CPI'!$B$1:$AY$1,),)-VLOOKUP(EDATE(B87,-12),'Data Core CPI'!$B:$AY,MATCH($F$1,'Data Core CPI'!$B$1:$AY$1,),))/VLOOKUP(EDATE(B87,-12),'Data Core CPI'!$B:$AY,MATCH($F$1,'Data Core CPI'!$B$1:$AY$1,),)</f>
        <v>-2.1224084419615434E-3</v>
      </c>
      <c r="G87" s="21">
        <f>(VLOOKUP(B87,'Data Core CPI'!$B:$AY,MATCH($G$1,'Data Core CPI'!$B$1:$AY$1,),)-VLOOKUP(EDATE(B87,-12),'Data Core CPI'!$B:$AY,MATCH($G$1,'Data Core CPI'!$B$1:$AY$1,),))/VLOOKUP(EDATE(B87,-12),'Data Core CPI'!$B:$AY,MATCH($G$1,'Data Core CPI'!$B$1:$AY$1,),)</f>
        <v>1.0237095554779106E-2</v>
      </c>
      <c r="H87" s="21">
        <f>(VLOOKUP(B87,'Data Core CPI'!$B:$AY,MATCH($H$1,'Data Core CPI'!$B$1:$AY$1,),)-VLOOKUP(EDATE(B87,-12),'Data Core CPI'!$B:$AY,MATCH($H$1,'Data Core CPI'!$B$1:$AY$1,),))/VLOOKUP(EDATE(B87,-12),'Data Core CPI'!$B:$AY,MATCH($H$1,'Data Core CPI'!$B$1:$AY$1,),)</f>
        <v>4.4669736055114248E-3</v>
      </c>
      <c r="I87" s="21">
        <f>(VLOOKUP(B87,'Data Core CPI'!$B:$AY,MATCH($I$1,'Data Core CPI'!$B$1:$AY$1,),)-VLOOKUP(EDATE(B87,-12),'Data Core CPI'!$B:$AY,MATCH($I$1,'Data Core CPI'!$B$1:$AY$1,),))/VLOOKUP(EDATE(B87,-12),'Data Core CPI'!$B:$AY,MATCH($I$1,'Data Core CPI'!$B$1:$AY$1,),)</f>
        <v>2.4654832347140037E-2</v>
      </c>
      <c r="J87" s="21">
        <f>(VLOOKUP(B87,'Data Core CPI'!$B:$AY,MATCH($J$1,'Data Core CPI'!$B$1:$AY$1,),)-VLOOKUP(EDATE(B87,-12),'Data Core CPI'!$B:$AY,MATCH($J$1,'Data Core CPI'!$B$1:$AY$1,),))/VLOOKUP(EDATE(B87,-12),'Data Core CPI'!$B:$AY,MATCH($J$1,'Data Core CPI'!$B$1:$AY$1,),)</f>
        <v>7.2164938191975518E-3</v>
      </c>
      <c r="K87" s="21">
        <f>(VLOOKUP(B87,'Data Core CPI'!$B:$AY,MATCH($K$1,'Data Core CPI'!$B$1:$AY$1,),)-VLOOKUP(EDATE(B87,-12),'Data Core CPI'!$B:$AY,MATCH($K$1,'Data Core CPI'!$B$1:$AY$1,),))/VLOOKUP(EDATE(B87,-12),'Data Core CPI'!$B:$AY,MATCH($K$1,'Data Core CPI'!$B$1:$AY$1,),)</f>
        <v>1.1087621224592961E-2</v>
      </c>
      <c r="L87" s="21">
        <f>(VLOOKUP(B87,'Data Core CPI'!$B:$AY,MATCH($L$1,'Data Core CPI'!$B$1:$AY$1,),)-VLOOKUP(EDATE(B87,-12),'Data Core CPI'!$B:$AY,MATCH($L$1,'Data Core CPI'!$B$1:$AY$1,),))/VLOOKUP(EDATE(B87,-12),'Data Core CPI'!$B:$AY,MATCH($L$1,'Data Core CPI'!$B$1:$AY$1,),)</f>
        <v>1.431167606046926E-2</v>
      </c>
      <c r="M87" s="21">
        <f>(VLOOKUP(B87,'Data Core CPI'!$B:$AY,MATCH($M$1,'Data Core CPI'!$B$1:$AY$1,),)-VLOOKUP(EDATE(B87,-12),'Data Core CPI'!$B:$AY,MATCH($M$1,'Data Core CPI'!$B$1:$AY$1,),))/VLOOKUP(EDATE(B87,-12),'Data Core CPI'!$B:$AY,MATCH($M$1,'Data Core CPI'!$B$1:$AY$1,),)</f>
        <v>4.6555568595235346E-2</v>
      </c>
      <c r="N87" s="21" t="e">
        <f>(VLOOKUP(B87,'Data Core CPI'!$B:$AY,MATCH($N$1,'Data Core CPI'!$B$1:$AY$1,),)-VLOOKUP(EDATE(B87,-12),'Data Core CPI'!$B:$AY,MATCH($N$1,'Data Core CPI'!$B$1:$AY$1,),))/VLOOKUP(EDATE(B87,-12),'Data Core CPI'!$B:$AY,MATCH($N$1,'Data Core CPI'!$B$1:$AY$1,),)</f>
        <v>#DIV/0!</v>
      </c>
      <c r="O87" s="21" t="e">
        <f>(VLOOKUP(B87,'Data Core CPI'!$B:$AY,MATCH($O$1,'Data Core CPI'!$B$1:$AY$1,),)-VLOOKUP(EDATE(B87,-12),'Data Core CPI'!$B:$AY,MATCH($O$1,'Data Core CPI'!$B$1:$AY$1,),))/VLOOKUP(EDATE(B87,-12),'Data Core CPI'!$B:$AY,MATCH($O$1,'Data Core CPI'!$B$1:$AY$1,),)</f>
        <v>#DIV/0!</v>
      </c>
      <c r="P87" s="21">
        <f>(VLOOKUP(B87,'Data Core CPI'!$B:$AY,MATCH($P$1,'Data Core CPI'!$B$1:$AY$1,),)-VLOOKUP(EDATE(B87,-12),'Data Core CPI'!$B:$AY,MATCH($P$1,'Data Core CPI'!$B$1:$AY$1,),))/VLOOKUP(EDATE(B87,-12),'Data Core CPI'!$B:$AY,MATCH($P$1,'Data Core CPI'!$B$1:$AY$1,),)</f>
        <v>1.6699342342880164E-2</v>
      </c>
      <c r="Q87" s="21" t="e">
        <f>(VLOOKUP(B87,'Data Core CPI'!$B:$AY,MATCH($Q$1,'Data Core CPI'!$B$1:$AY$1,),)-VLOOKUP(EDATE(B87,-12),'Data Core CPI'!$B:$AY,MATCH($Q$1,'Data Core CPI'!$B$1:$AY$1,),))/VLOOKUP(EDATE(B87,-12),'Data Core CPI'!$B:$AY,MATCH($Q$1,'Data Core CPI'!$B$1:$AY$1,),)</f>
        <v>#N/A</v>
      </c>
      <c r="R87" s="21">
        <f>(VLOOKUP(B87,'Data Core CPI'!$B:$AY,MATCH($R$1,'Data Core CPI'!$B$1:$AY$1,),)-VLOOKUP(EDATE(B87,-12),'Data Core CPI'!$B:$AY,MATCH($R$1,'Data Core CPI'!$B$1:$AY$1,),))/VLOOKUP(EDATE(B87,-12),'Data Core CPI'!$B:$AY,MATCH($R$1,'Data Core CPI'!$B$1:$AY$1,),)</f>
        <v>2.8402284162606238E-3</v>
      </c>
      <c r="S87" s="21" t="e">
        <f>(VLOOKUP(B87,'Data Core CPI'!$B:$AY,MATCH($S$1,'Data Core CPI'!$B$1:$AY$1,),)-VLOOKUP(EDATE(B87,-12),'Data Core CPI'!$B:$AY,MATCH($S$1,'Data Core CPI'!$B$1:$AY$1,),))/VLOOKUP(EDATE(B87,-12),'Data Core CPI'!$B:$AY,MATCH($S$1,'Data Core CPI'!$B$1:$AY$1,),)</f>
        <v>#DIV/0!</v>
      </c>
      <c r="T87" s="21" t="e">
        <f>(VLOOKUP(B87,'Data Core CPI'!$B:$AY,MATCH($T$1,'Data Core CPI'!$B$1:$AY$1,),)-VLOOKUP(EDATE(B87,-12),'Data Core CPI'!$B:$AY,MATCH($T$1,'Data Core CPI'!$B$1:$AY$1,),))/VLOOKUP(EDATE(B87,-12),'Data Core CPI'!$B:$AY,MATCH($T$1,'Data Core CPI'!$B$1:$AY$1,),)</f>
        <v>#DIV/0!</v>
      </c>
      <c r="U87" s="21">
        <f>(VLOOKUP(B87,'Data Core CPI'!$B:$AY,MATCH($U$1,'Data Core CPI'!$B$1:$AY$1,),)-VLOOKUP(EDATE(B87,-12),'Data Core CPI'!$B:$AY,MATCH($U$1,'Data Core CPI'!$B$1:$AY$1,),))/VLOOKUP(EDATE(B87,-12),'Data Core CPI'!$B:$AY,MATCH($U$1,'Data Core CPI'!$B$1:$AY$1,),)</f>
        <v>7.2278519716696341E-3</v>
      </c>
      <c r="V87" s="21">
        <f>(VLOOKUP(B87,'Data Core CPI'!$B:$AY,MATCH($V$1,'Data Core CPI'!$B$1:$AY$1,),)-VLOOKUP(EDATE(B87,-12),'Data Core CPI'!$B:$AY,MATCH($V$1,'Data Core CPI'!$B$1:$AY$1,),))/VLOOKUP(EDATE(B87,-12),'Data Core CPI'!$B:$AY,MATCH($V$1,'Data Core CPI'!$B$1:$AY$1,),)</f>
        <v>2.5407316596486019E-3</v>
      </c>
      <c r="W87" s="21">
        <f>(VLOOKUP(B87,'Data Core CPI'!$B:$AY,MATCH($W$1,'Data Core CPI'!$B$1:$AY$1,),)-VLOOKUP(EDATE(B87,-12),'Data Core CPI'!$B:$AY,MATCH($W$1,'Data Core CPI'!$B$1:$AY$1,),))/VLOOKUP(EDATE(B87,-12),'Data Core CPI'!$B:$AY,MATCH($W$1,'Data Core CPI'!$B$1:$AY$1,),)</f>
        <v>0.10626954614841627</v>
      </c>
      <c r="X87" s="21">
        <f>(VLOOKUP(B87,'Data Core CPI'!$B:$AY,MATCH($X$1,'Data Core CPI'!$B$1:$AY$1,),)-VLOOKUP(EDATE(B87,-12),'Data Core CPI'!$B:$AY,MATCH($X$1,'Data Core CPI'!$B$1:$AY$1,),))/VLOOKUP(EDATE(B87,-12),'Data Core CPI'!$B:$AY,MATCH($X$1,'Data Core CPI'!$B$1:$AY$1,),)</f>
        <v>1.870078740157486E-2</v>
      </c>
      <c r="Y87" s="21">
        <f>(VLOOKUP(B87,'Data Core CPI'!$B:$AY,MATCH($Y$1,'Data Core CPI'!$B$1:$AY$1,),)-VLOOKUP(EDATE(B87,-12),'Data Core CPI'!$B:$AY,MATCH($Y$1,'Data Core CPI'!$B$1:$AY$1,),))/VLOOKUP(EDATE(B87,-12),'Data Core CPI'!$B:$AY,MATCH($Y$1,'Data Core CPI'!$B$1:$AY$1,),)</f>
        <v>8.7111398606814997E-3</v>
      </c>
      <c r="Z87" s="21" t="e">
        <f>(VLOOKUP(B87,Data!$B:$AY,MATCH($Z$1,Data!$B$1:$AY$1,),)-VLOOKUP(EDATE(B87,-12),Data!$B:$AY,MATCH($Z$1,Data!$B$1:$AY$1,),))/VLOOKUP(EDATE(B87,-12),Data!$B:$AY,MATCH($Z$1,Data!$B$1:$AY$1,),)</f>
        <v>#N/A</v>
      </c>
      <c r="AA87" s="21" t="e">
        <f>(VLOOKUP(B87,Data!$B:$AY,MATCH($AA$1,Data!$B$1:$AY$1,),)-VLOOKUP(EDATE(B87,-12),Data!$B:$AY,MATCH($AA$1,Data!$B$1:$AY$1,),))/VLOOKUP(EDATE(B87,-12),Data!$B:$AY,MATCH($AA$1,Data!$B$1:$AY$1,),)</f>
        <v>#N/A</v>
      </c>
      <c r="AB87" s="20"/>
    </row>
    <row r="88" spans="2:28" x14ac:dyDescent="0.2">
      <c r="B88" s="16">
        <v>42887</v>
      </c>
      <c r="C88" s="21">
        <f>(VLOOKUP(B88,'Data Core CPI'!$B:$AY,MATCH($C$1,'Data Core CPI'!$B$1:$AY$1,),)-VLOOKUP(EDATE(B88,-12),'Data Core CPI'!$B:$AY,MATCH($C$1,'Data Core CPI'!$B$1:$AY$1,),))/VLOOKUP(EDATE(B88,-12),'Data Core CPI'!$B:$AY,MATCH($C$1,'Data Core CPI'!$B$1:$AY$1,),)</f>
        <v>1.7030990321634503E-2</v>
      </c>
      <c r="D88" s="21" t="e">
        <f>(VLOOKUP(B88,'Data Core CPI'!$B:$AY,MATCH($D$1,'Data Core CPI'!$B$1:$AY$1,),)-VLOOKUP(EDATE(B88,-12),'Data Core CPI'!$B:$AY,MATCH($D$1,'Data Core CPI'!$B$1:$AY$1,),))/VLOOKUP(EDATE(B88,-12),'Data Core CPI'!$B:$AY,MATCH($D$1,'Data Core CPI'!$B$1:$AY$1,),)</f>
        <v>#DIV/0!</v>
      </c>
      <c r="E88" s="21">
        <f>(VLOOKUP(B88,'Data Core CPI'!$B:$AY,MATCH($E$1,'Data Core CPI'!$B$1:$AY$1,),)-VLOOKUP(EDATE(B88,-12),'Data Core CPI'!$B:$AY,MATCH($E$1,'Data Core CPI'!$B$1:$AY$1,),))/VLOOKUP(EDATE(B88,-12),'Data Core CPI'!$B:$AY,MATCH($E$1,'Data Core CPI'!$B$1:$AY$1,),)</f>
        <v>1.1837821840781184E-2</v>
      </c>
      <c r="F88" s="21">
        <f>(VLOOKUP(B88,'Data Core CPI'!$B:$AY,MATCH($F$1,'Data Core CPI'!$B$1:$AY$1,),)-VLOOKUP(EDATE(B88,-12),'Data Core CPI'!$B:$AY,MATCH($F$1,'Data Core CPI'!$B$1:$AY$1,),))/VLOOKUP(EDATE(B88,-12),'Data Core CPI'!$B:$AY,MATCH($F$1,'Data Core CPI'!$B$1:$AY$1,),)</f>
        <v>-2.8926852551608281E-3</v>
      </c>
      <c r="G88" s="21">
        <f>(VLOOKUP(B88,'Data Core CPI'!$B:$AY,MATCH($G$1,'Data Core CPI'!$B$1:$AY$1,),)-VLOOKUP(EDATE(B88,-12),'Data Core CPI'!$B:$AY,MATCH($G$1,'Data Core CPI'!$B$1:$AY$1,),))/VLOOKUP(EDATE(B88,-12),'Data Core CPI'!$B:$AY,MATCH($G$1,'Data Core CPI'!$B$1:$AY$1,),)</f>
        <v>1.4801052580687526E-2</v>
      </c>
      <c r="H88" s="21">
        <f>(VLOOKUP(B88,'Data Core CPI'!$B:$AY,MATCH($H$1,'Data Core CPI'!$B$1:$AY$1,),)-VLOOKUP(EDATE(B88,-12),'Data Core CPI'!$B:$AY,MATCH($H$1,'Data Core CPI'!$B$1:$AY$1,),))/VLOOKUP(EDATE(B88,-12),'Data Core CPI'!$B:$AY,MATCH($H$1,'Data Core CPI'!$B$1:$AY$1,),)</f>
        <v>5.3529279811332089E-3</v>
      </c>
      <c r="I88" s="21">
        <f>(VLOOKUP(B88,'Data Core CPI'!$B:$AY,MATCH($I$1,'Data Core CPI'!$B$1:$AY$1,),)-VLOOKUP(EDATE(B88,-12),'Data Core CPI'!$B:$AY,MATCH($I$1,'Data Core CPI'!$B$1:$AY$1,),))/VLOOKUP(EDATE(B88,-12),'Data Core CPI'!$B:$AY,MATCH($I$1,'Data Core CPI'!$B$1:$AY$1,),)</f>
        <v>2.4630541871921183E-2</v>
      </c>
      <c r="J88" s="21">
        <f>(VLOOKUP(B88,'Data Core CPI'!$B:$AY,MATCH($J$1,'Data Core CPI'!$B$1:$AY$1,),)-VLOOKUP(EDATE(B88,-12),'Data Core CPI'!$B:$AY,MATCH($J$1,'Data Core CPI'!$B$1:$AY$1,),))/VLOOKUP(EDATE(B88,-12),'Data Core CPI'!$B:$AY,MATCH($J$1,'Data Core CPI'!$B$1:$AY$1,),)</f>
        <v>8.4346607422979974E-3</v>
      </c>
      <c r="K88" s="21">
        <f>(VLOOKUP(B88,'Data Core CPI'!$B:$AY,MATCH($K$1,'Data Core CPI'!$B$1:$AY$1,),)-VLOOKUP(EDATE(B88,-12),'Data Core CPI'!$B:$AY,MATCH($K$1,'Data Core CPI'!$B$1:$AY$1,),))/VLOOKUP(EDATE(B88,-12),'Data Core CPI'!$B:$AY,MATCH($K$1,'Data Core CPI'!$B$1:$AY$1,),)</f>
        <v>1.2852838988819325E-2</v>
      </c>
      <c r="L88" s="21">
        <f>(VLOOKUP(B88,'Data Core CPI'!$B:$AY,MATCH($L$1,'Data Core CPI'!$B$1:$AY$1,),)-VLOOKUP(EDATE(B88,-12),'Data Core CPI'!$B:$AY,MATCH($L$1,'Data Core CPI'!$B$1:$AY$1,),))/VLOOKUP(EDATE(B88,-12),'Data Core CPI'!$B:$AY,MATCH($L$1,'Data Core CPI'!$B$1:$AY$1,),)</f>
        <v>1.6625850528761251E-2</v>
      </c>
      <c r="M88" s="21">
        <f>(VLOOKUP(B88,'Data Core CPI'!$B:$AY,MATCH($M$1,'Data Core CPI'!$B$1:$AY$1,),)-VLOOKUP(EDATE(B88,-12),'Data Core CPI'!$B:$AY,MATCH($M$1,'Data Core CPI'!$B$1:$AY$1,),))/VLOOKUP(EDATE(B88,-12),'Data Core CPI'!$B:$AY,MATCH($M$1,'Data Core CPI'!$B$1:$AY$1,),)</f>
        <v>4.7022640964494891E-2</v>
      </c>
      <c r="N88" s="21" t="e">
        <f>(VLOOKUP(B88,'Data Core CPI'!$B:$AY,MATCH($N$1,'Data Core CPI'!$B$1:$AY$1,),)-VLOOKUP(EDATE(B88,-12),'Data Core CPI'!$B:$AY,MATCH($N$1,'Data Core CPI'!$B$1:$AY$1,),))/VLOOKUP(EDATE(B88,-12),'Data Core CPI'!$B:$AY,MATCH($N$1,'Data Core CPI'!$B$1:$AY$1,),)</f>
        <v>#DIV/0!</v>
      </c>
      <c r="O88" s="21" t="e">
        <f>(VLOOKUP(B88,'Data Core CPI'!$B:$AY,MATCH($O$1,'Data Core CPI'!$B$1:$AY$1,),)-VLOOKUP(EDATE(B88,-12),'Data Core CPI'!$B:$AY,MATCH($O$1,'Data Core CPI'!$B$1:$AY$1,),))/VLOOKUP(EDATE(B88,-12),'Data Core CPI'!$B:$AY,MATCH($O$1,'Data Core CPI'!$B$1:$AY$1,),)</f>
        <v>#DIV/0!</v>
      </c>
      <c r="P88" s="21">
        <f>(VLOOKUP(B88,'Data Core CPI'!$B:$AY,MATCH($P$1,'Data Core CPI'!$B$1:$AY$1,),)-VLOOKUP(EDATE(B88,-12),'Data Core CPI'!$B:$AY,MATCH($P$1,'Data Core CPI'!$B$1:$AY$1,),))/VLOOKUP(EDATE(B88,-12),'Data Core CPI'!$B:$AY,MATCH($P$1,'Data Core CPI'!$B$1:$AY$1,),)</f>
        <v>1.6441793625321059E-2</v>
      </c>
      <c r="Q88" s="21" t="e">
        <f>(VLOOKUP(B88,'Data Core CPI'!$B:$AY,MATCH($Q$1,'Data Core CPI'!$B$1:$AY$1,),)-VLOOKUP(EDATE(B88,-12),'Data Core CPI'!$B:$AY,MATCH($Q$1,'Data Core CPI'!$B$1:$AY$1,),))/VLOOKUP(EDATE(B88,-12),'Data Core CPI'!$B:$AY,MATCH($Q$1,'Data Core CPI'!$B$1:$AY$1,),)</f>
        <v>#N/A</v>
      </c>
      <c r="R88" s="21">
        <f>(VLOOKUP(B88,'Data Core CPI'!$B:$AY,MATCH($R$1,'Data Core CPI'!$B$1:$AY$1,),)-VLOOKUP(EDATE(B88,-12),'Data Core CPI'!$B:$AY,MATCH($R$1,'Data Core CPI'!$B$1:$AY$1,),))/VLOOKUP(EDATE(B88,-12),'Data Core CPI'!$B:$AY,MATCH($R$1,'Data Core CPI'!$B$1:$AY$1,),)</f>
        <v>2.5206054248464488E-3</v>
      </c>
      <c r="S88" s="21" t="e">
        <f>(VLOOKUP(B88,'Data Core CPI'!$B:$AY,MATCH($S$1,'Data Core CPI'!$B$1:$AY$1,),)-VLOOKUP(EDATE(B88,-12),'Data Core CPI'!$B:$AY,MATCH($S$1,'Data Core CPI'!$B$1:$AY$1,),))/VLOOKUP(EDATE(B88,-12),'Data Core CPI'!$B:$AY,MATCH($S$1,'Data Core CPI'!$B$1:$AY$1,),)</f>
        <v>#DIV/0!</v>
      </c>
      <c r="T88" s="21" t="e">
        <f>(VLOOKUP(B88,'Data Core CPI'!$B:$AY,MATCH($T$1,'Data Core CPI'!$B$1:$AY$1,),)-VLOOKUP(EDATE(B88,-12),'Data Core CPI'!$B:$AY,MATCH($T$1,'Data Core CPI'!$B$1:$AY$1,),))/VLOOKUP(EDATE(B88,-12),'Data Core CPI'!$B:$AY,MATCH($T$1,'Data Core CPI'!$B$1:$AY$1,),)</f>
        <v>#DIV/0!</v>
      </c>
      <c r="U88" s="21">
        <f>(VLOOKUP(B88,'Data Core CPI'!$B:$AY,MATCH($U$1,'Data Core CPI'!$B$1:$AY$1,),)-VLOOKUP(EDATE(B88,-12),'Data Core CPI'!$B:$AY,MATCH($U$1,'Data Core CPI'!$B$1:$AY$1,),))/VLOOKUP(EDATE(B88,-12),'Data Core CPI'!$B:$AY,MATCH($U$1,'Data Core CPI'!$B$1:$AY$1,),)</f>
        <v>1.0806550853416908E-2</v>
      </c>
      <c r="V88" s="21">
        <f>(VLOOKUP(B88,'Data Core CPI'!$B:$AY,MATCH($V$1,'Data Core CPI'!$B$1:$AY$1,),)-VLOOKUP(EDATE(B88,-12),'Data Core CPI'!$B:$AY,MATCH($V$1,'Data Core CPI'!$B$1:$AY$1,),))/VLOOKUP(EDATE(B88,-12),'Data Core CPI'!$B:$AY,MATCH($V$1,'Data Core CPI'!$B$1:$AY$1,),)</f>
        <v>-8.2572415125471644E-4</v>
      </c>
      <c r="W88" s="21">
        <f>(VLOOKUP(B88,'Data Core CPI'!$B:$AY,MATCH($W$1,'Data Core CPI'!$B$1:$AY$1,),)-VLOOKUP(EDATE(B88,-12),'Data Core CPI'!$B:$AY,MATCH($W$1,'Data Core CPI'!$B$1:$AY$1,),))/VLOOKUP(EDATE(B88,-12),'Data Core CPI'!$B:$AY,MATCH($W$1,'Data Core CPI'!$B$1:$AY$1,),)</f>
        <v>0.1044813158697208</v>
      </c>
      <c r="X88" s="21">
        <f>(VLOOKUP(B88,'Data Core CPI'!$B:$AY,MATCH($X$1,'Data Core CPI'!$B$1:$AY$1,),)-VLOOKUP(EDATE(B88,-12),'Data Core CPI'!$B:$AY,MATCH($X$1,'Data Core CPI'!$B$1:$AY$1,),))/VLOOKUP(EDATE(B88,-12),'Data Core CPI'!$B:$AY,MATCH($X$1,'Data Core CPI'!$B$1:$AY$1,),)</f>
        <v>1.968503937007874E-2</v>
      </c>
      <c r="Y88" s="21">
        <f>(VLOOKUP(B88,'Data Core CPI'!$B:$AY,MATCH($Y$1,'Data Core CPI'!$B$1:$AY$1,),)-VLOOKUP(EDATE(B88,-12),'Data Core CPI'!$B:$AY,MATCH($Y$1,'Data Core CPI'!$B$1:$AY$1,),))/VLOOKUP(EDATE(B88,-12),'Data Core CPI'!$B:$AY,MATCH($Y$1,'Data Core CPI'!$B$1:$AY$1,),)</f>
        <v>7.8332123518628054E-3</v>
      </c>
      <c r="Z88" s="21" t="e">
        <f>(VLOOKUP(B88,Data!$B:$AY,MATCH($Z$1,Data!$B$1:$AY$1,),)-VLOOKUP(EDATE(B88,-12),Data!$B:$AY,MATCH($Z$1,Data!$B$1:$AY$1,),))/VLOOKUP(EDATE(B88,-12),Data!$B:$AY,MATCH($Z$1,Data!$B$1:$AY$1,),)</f>
        <v>#N/A</v>
      </c>
      <c r="AA88" s="21" t="e">
        <f>(VLOOKUP(B88,Data!$B:$AY,MATCH($AA$1,Data!$B$1:$AY$1,),)-VLOOKUP(EDATE(B88,-12),Data!$B:$AY,MATCH($AA$1,Data!$B$1:$AY$1,),))/VLOOKUP(EDATE(B88,-12),Data!$B:$AY,MATCH($AA$1,Data!$B$1:$AY$1,),)</f>
        <v>#N/A</v>
      </c>
      <c r="AB88" s="20"/>
    </row>
    <row r="89" spans="2:28" x14ac:dyDescent="0.2">
      <c r="B89" s="16">
        <v>42917</v>
      </c>
      <c r="C89" s="21">
        <f>(VLOOKUP(B89,'Data Core CPI'!$B:$AY,MATCH($C$1,'Data Core CPI'!$B$1:$AY$1,),)-VLOOKUP(EDATE(B89,-12),'Data Core CPI'!$B:$AY,MATCH($C$1,'Data Core CPI'!$B$1:$AY$1,),))/VLOOKUP(EDATE(B89,-12),'Data Core CPI'!$B:$AY,MATCH($C$1,'Data Core CPI'!$B$1:$AY$1,),)</f>
        <v>1.692099494081311E-2</v>
      </c>
      <c r="D89" s="21" t="e">
        <f>(VLOOKUP(B89,'Data Core CPI'!$B:$AY,MATCH($D$1,'Data Core CPI'!$B$1:$AY$1,),)-VLOOKUP(EDATE(B89,-12),'Data Core CPI'!$B:$AY,MATCH($D$1,'Data Core CPI'!$B$1:$AY$1,),))/VLOOKUP(EDATE(B89,-12),'Data Core CPI'!$B:$AY,MATCH($D$1,'Data Core CPI'!$B$1:$AY$1,),)</f>
        <v>#DIV/0!</v>
      </c>
      <c r="E89" s="21">
        <f>(VLOOKUP(B89,'Data Core CPI'!$B:$AY,MATCH($E$1,'Data Core CPI'!$B$1:$AY$1,),)-VLOOKUP(EDATE(B89,-12),'Data Core CPI'!$B:$AY,MATCH($E$1,'Data Core CPI'!$B$1:$AY$1,),))/VLOOKUP(EDATE(B89,-12),'Data Core CPI'!$B:$AY,MATCH($E$1,'Data Core CPI'!$B$1:$AY$1,),)</f>
        <v>1.2103174603174591E-2</v>
      </c>
      <c r="F89" s="21">
        <f>(VLOOKUP(B89,'Data Core CPI'!$B:$AY,MATCH($F$1,'Data Core CPI'!$B$1:$AY$1,),)-VLOOKUP(EDATE(B89,-12),'Data Core CPI'!$B:$AY,MATCH($F$1,'Data Core CPI'!$B$1:$AY$1,),))/VLOOKUP(EDATE(B89,-12),'Data Core CPI'!$B:$AY,MATCH($F$1,'Data Core CPI'!$B$1:$AY$1,),)</f>
        <v>-2.2436795546938024E-4</v>
      </c>
      <c r="G89" s="21">
        <f>(VLOOKUP(B89,'Data Core CPI'!$B:$AY,MATCH($G$1,'Data Core CPI'!$B$1:$AY$1,),)-VLOOKUP(EDATE(B89,-12),'Data Core CPI'!$B:$AY,MATCH($G$1,'Data Core CPI'!$B$1:$AY$1,),))/VLOOKUP(EDATE(B89,-12),'Data Core CPI'!$B:$AY,MATCH($G$1,'Data Core CPI'!$B$1:$AY$1,),)</f>
        <v>1.3766543591111785E-2</v>
      </c>
      <c r="H89" s="21">
        <f>(VLOOKUP(B89,'Data Core CPI'!$B:$AY,MATCH($H$1,'Data Core CPI'!$B$1:$AY$1,),)-VLOOKUP(EDATE(B89,-12),'Data Core CPI'!$B:$AY,MATCH($H$1,'Data Core CPI'!$B$1:$AY$1,),))/VLOOKUP(EDATE(B89,-12),'Data Core CPI'!$B:$AY,MATCH($H$1,'Data Core CPI'!$B$1:$AY$1,),)</f>
        <v>5.8884717472918405E-3</v>
      </c>
      <c r="I89" s="21">
        <f>(VLOOKUP(B89,'Data Core CPI'!$B:$AY,MATCH($I$1,'Data Core CPI'!$B$1:$AY$1,),)-VLOOKUP(EDATE(B89,-12),'Data Core CPI'!$B:$AY,MATCH($I$1,'Data Core CPI'!$B$1:$AY$1,),))/VLOOKUP(EDATE(B89,-12),'Data Core CPI'!$B:$AY,MATCH($I$1,'Data Core CPI'!$B$1:$AY$1,),)</f>
        <v>2.3645320197044392E-2</v>
      </c>
      <c r="J89" s="21">
        <f>(VLOOKUP(B89,'Data Core CPI'!$B:$AY,MATCH($J$1,'Data Core CPI'!$B$1:$AY$1,),)-VLOOKUP(EDATE(B89,-12),'Data Core CPI'!$B:$AY,MATCH($J$1,'Data Core CPI'!$B$1:$AY$1,),))/VLOOKUP(EDATE(B89,-12),'Data Core CPI'!$B:$AY,MATCH($J$1,'Data Core CPI'!$B$1:$AY$1,),)</f>
        <v>8.3559220404664774E-3</v>
      </c>
      <c r="K89" s="21">
        <f>(VLOOKUP(B89,'Data Core CPI'!$B:$AY,MATCH($K$1,'Data Core CPI'!$B$1:$AY$1,),)-VLOOKUP(EDATE(B89,-12),'Data Core CPI'!$B:$AY,MATCH($K$1,'Data Core CPI'!$B$1:$AY$1,),))/VLOOKUP(EDATE(B89,-12),'Data Core CPI'!$B:$AY,MATCH($K$1,'Data Core CPI'!$B$1:$AY$1,),)</f>
        <v>1.4474756451649905E-2</v>
      </c>
      <c r="L89" s="21">
        <f>(VLOOKUP(B89,'Data Core CPI'!$B:$AY,MATCH($L$1,'Data Core CPI'!$B$1:$AY$1,),)-VLOOKUP(EDATE(B89,-12),'Data Core CPI'!$B:$AY,MATCH($L$1,'Data Core CPI'!$B$1:$AY$1,),))/VLOOKUP(EDATE(B89,-12),'Data Core CPI'!$B:$AY,MATCH($L$1,'Data Core CPI'!$B$1:$AY$1,),)</f>
        <v>1.9547490160892061E-2</v>
      </c>
      <c r="M89" s="21">
        <f>(VLOOKUP(B89,'Data Core CPI'!$B:$AY,MATCH($M$1,'Data Core CPI'!$B$1:$AY$1,),)-VLOOKUP(EDATE(B89,-12),'Data Core CPI'!$B:$AY,MATCH($M$1,'Data Core CPI'!$B$1:$AY$1,),))/VLOOKUP(EDATE(B89,-12),'Data Core CPI'!$B:$AY,MATCH($M$1,'Data Core CPI'!$B$1:$AY$1,),)</f>
        <v>4.6317464052719741E-2</v>
      </c>
      <c r="N89" s="21" t="e">
        <f>(VLOOKUP(B89,'Data Core CPI'!$B:$AY,MATCH($N$1,'Data Core CPI'!$B$1:$AY$1,),)-VLOOKUP(EDATE(B89,-12),'Data Core CPI'!$B:$AY,MATCH($N$1,'Data Core CPI'!$B$1:$AY$1,),))/VLOOKUP(EDATE(B89,-12),'Data Core CPI'!$B:$AY,MATCH($N$1,'Data Core CPI'!$B$1:$AY$1,),)</f>
        <v>#DIV/0!</v>
      </c>
      <c r="O89" s="21" t="e">
        <f>(VLOOKUP(B89,'Data Core CPI'!$B:$AY,MATCH($O$1,'Data Core CPI'!$B$1:$AY$1,),)-VLOOKUP(EDATE(B89,-12),'Data Core CPI'!$B:$AY,MATCH($O$1,'Data Core CPI'!$B$1:$AY$1,),))/VLOOKUP(EDATE(B89,-12),'Data Core CPI'!$B:$AY,MATCH($O$1,'Data Core CPI'!$B$1:$AY$1,),)</f>
        <v>#DIV/0!</v>
      </c>
      <c r="P89" s="21">
        <f>(VLOOKUP(B89,'Data Core CPI'!$B:$AY,MATCH($P$1,'Data Core CPI'!$B$1:$AY$1,),)-VLOOKUP(EDATE(B89,-12),'Data Core CPI'!$B:$AY,MATCH($P$1,'Data Core CPI'!$B$1:$AY$1,),))/VLOOKUP(EDATE(B89,-12),'Data Core CPI'!$B:$AY,MATCH($P$1,'Data Core CPI'!$B$1:$AY$1,),)</f>
        <v>1.6233747186495888E-2</v>
      </c>
      <c r="Q89" s="21" t="e">
        <f>(VLOOKUP(B89,'Data Core CPI'!$B:$AY,MATCH($Q$1,'Data Core CPI'!$B$1:$AY$1,),)-VLOOKUP(EDATE(B89,-12),'Data Core CPI'!$B:$AY,MATCH($Q$1,'Data Core CPI'!$B$1:$AY$1,),))/VLOOKUP(EDATE(B89,-12),'Data Core CPI'!$B:$AY,MATCH($Q$1,'Data Core CPI'!$B$1:$AY$1,),)</f>
        <v>#N/A</v>
      </c>
      <c r="R89" s="21">
        <f>(VLOOKUP(B89,'Data Core CPI'!$B:$AY,MATCH($R$1,'Data Core CPI'!$B$1:$AY$1,),)-VLOOKUP(EDATE(B89,-12),'Data Core CPI'!$B:$AY,MATCH($R$1,'Data Core CPI'!$B$1:$AY$1,),))/VLOOKUP(EDATE(B89,-12),'Data Core CPI'!$B:$AY,MATCH($R$1,'Data Core CPI'!$B$1:$AY$1,),)</f>
        <v>2.6736319958113545E-3</v>
      </c>
      <c r="S89" s="21" t="e">
        <f>(VLOOKUP(B89,'Data Core CPI'!$B:$AY,MATCH($S$1,'Data Core CPI'!$B$1:$AY$1,),)-VLOOKUP(EDATE(B89,-12),'Data Core CPI'!$B:$AY,MATCH($S$1,'Data Core CPI'!$B$1:$AY$1,),))/VLOOKUP(EDATE(B89,-12),'Data Core CPI'!$B:$AY,MATCH($S$1,'Data Core CPI'!$B$1:$AY$1,),)</f>
        <v>#DIV/0!</v>
      </c>
      <c r="T89" s="21" t="e">
        <f>(VLOOKUP(B89,'Data Core CPI'!$B:$AY,MATCH($T$1,'Data Core CPI'!$B$1:$AY$1,),)-VLOOKUP(EDATE(B89,-12),'Data Core CPI'!$B:$AY,MATCH($T$1,'Data Core CPI'!$B$1:$AY$1,),))/VLOOKUP(EDATE(B89,-12),'Data Core CPI'!$B:$AY,MATCH($T$1,'Data Core CPI'!$B$1:$AY$1,),)</f>
        <v>#DIV/0!</v>
      </c>
      <c r="U89" s="21">
        <f>(VLOOKUP(B89,'Data Core CPI'!$B:$AY,MATCH($U$1,'Data Core CPI'!$B$1:$AY$1,),)-VLOOKUP(EDATE(B89,-12),'Data Core CPI'!$B:$AY,MATCH($U$1,'Data Core CPI'!$B$1:$AY$1,),))/VLOOKUP(EDATE(B89,-12),'Data Core CPI'!$B:$AY,MATCH($U$1,'Data Core CPI'!$B$1:$AY$1,),)</f>
        <v>1.3156643165918108E-2</v>
      </c>
      <c r="V89" s="21">
        <f>(VLOOKUP(B89,'Data Core CPI'!$B:$AY,MATCH($V$1,'Data Core CPI'!$B$1:$AY$1,),)-VLOOKUP(EDATE(B89,-12),'Data Core CPI'!$B:$AY,MATCH($V$1,'Data Core CPI'!$B$1:$AY$1,),))/VLOOKUP(EDATE(B89,-12),'Data Core CPI'!$B:$AY,MATCH($V$1,'Data Core CPI'!$B$1:$AY$1,),)</f>
        <v>7.9911174900432181E-4</v>
      </c>
      <c r="W89" s="21">
        <f>(VLOOKUP(B89,'Data Core CPI'!$B:$AY,MATCH($W$1,'Data Core CPI'!$B$1:$AY$1,),)-VLOOKUP(EDATE(B89,-12),'Data Core CPI'!$B:$AY,MATCH($W$1,'Data Core CPI'!$B$1:$AY$1,),))/VLOOKUP(EDATE(B89,-12),'Data Core CPI'!$B:$AY,MATCH($W$1,'Data Core CPI'!$B$1:$AY$1,),)</f>
        <v>0.10113653404830604</v>
      </c>
      <c r="X89" s="21">
        <f>(VLOOKUP(B89,'Data Core CPI'!$B:$AY,MATCH($X$1,'Data Core CPI'!$B$1:$AY$1,),)-VLOOKUP(EDATE(B89,-12),'Data Core CPI'!$B:$AY,MATCH($X$1,'Data Core CPI'!$B$1:$AY$1,),))/VLOOKUP(EDATE(B89,-12),'Data Core CPI'!$B:$AY,MATCH($X$1,'Data Core CPI'!$B$1:$AY$1,),)</f>
        <v>2.0588235294117591E-2</v>
      </c>
      <c r="Y89" s="21">
        <f>(VLOOKUP(B89,'Data Core CPI'!$B:$AY,MATCH($Y$1,'Data Core CPI'!$B$1:$AY$1,),)-VLOOKUP(EDATE(B89,-12),'Data Core CPI'!$B:$AY,MATCH($Y$1,'Data Core CPI'!$B$1:$AY$1,),))/VLOOKUP(EDATE(B89,-12),'Data Core CPI'!$B:$AY,MATCH($Y$1,'Data Core CPI'!$B$1:$AY$1,),)</f>
        <v>6.96226589434739E-3</v>
      </c>
      <c r="Z89" s="21" t="e">
        <f>(VLOOKUP(B89,Data!$B:$AY,MATCH($Z$1,Data!$B$1:$AY$1,),)-VLOOKUP(EDATE(B89,-12),Data!$B:$AY,MATCH($Z$1,Data!$B$1:$AY$1,),))/VLOOKUP(EDATE(B89,-12),Data!$B:$AY,MATCH($Z$1,Data!$B$1:$AY$1,),)</f>
        <v>#N/A</v>
      </c>
      <c r="AA89" s="21" t="e">
        <f>(VLOOKUP(B89,Data!$B:$AY,MATCH($AA$1,Data!$B$1:$AY$1,),)-VLOOKUP(EDATE(B89,-12),Data!$B:$AY,MATCH($AA$1,Data!$B$1:$AY$1,),))/VLOOKUP(EDATE(B89,-12),Data!$B:$AY,MATCH($AA$1,Data!$B$1:$AY$1,),)</f>
        <v>#N/A</v>
      </c>
      <c r="AB89" s="20"/>
    </row>
    <row r="90" spans="2:28" x14ac:dyDescent="0.2">
      <c r="B90" s="16">
        <v>42948</v>
      </c>
      <c r="C90" s="21">
        <f>(VLOOKUP(B90,'Data Core CPI'!$B:$AY,MATCH($C$1,'Data Core CPI'!$B$1:$AY$1,),)-VLOOKUP(EDATE(B90,-12),'Data Core CPI'!$B:$AY,MATCH($C$1,'Data Core CPI'!$B$1:$AY$1,),))/VLOOKUP(EDATE(B90,-12),'Data Core CPI'!$B:$AY,MATCH($C$1,'Data Core CPI'!$B$1:$AY$1,),)</f>
        <v>1.6844603072695995E-2</v>
      </c>
      <c r="D90" s="21" t="e">
        <f>(VLOOKUP(B90,'Data Core CPI'!$B:$AY,MATCH($D$1,'Data Core CPI'!$B$1:$AY$1,),)-VLOOKUP(EDATE(B90,-12),'Data Core CPI'!$B:$AY,MATCH($D$1,'Data Core CPI'!$B$1:$AY$1,),))/VLOOKUP(EDATE(B90,-12),'Data Core CPI'!$B:$AY,MATCH($D$1,'Data Core CPI'!$B$1:$AY$1,),)</f>
        <v>#DIV/0!</v>
      </c>
      <c r="E90" s="21">
        <f>(VLOOKUP(B90,'Data Core CPI'!$B:$AY,MATCH($E$1,'Data Core CPI'!$B$1:$AY$1,),)-VLOOKUP(EDATE(B90,-12),'Data Core CPI'!$B:$AY,MATCH($E$1,'Data Core CPI'!$B$1:$AY$1,),))/VLOOKUP(EDATE(B90,-12),'Data Core CPI'!$B:$AY,MATCH($E$1,'Data Core CPI'!$B$1:$AY$1,),)</f>
        <v>1.2272367379255689E-2</v>
      </c>
      <c r="F90" s="21">
        <f>(VLOOKUP(B90,'Data Core CPI'!$B:$AY,MATCH($F$1,'Data Core CPI'!$B$1:$AY$1,),)-VLOOKUP(EDATE(B90,-12),'Data Core CPI'!$B:$AY,MATCH($F$1,'Data Core CPI'!$B$1:$AY$1,),))/VLOOKUP(EDATE(B90,-12),'Data Core CPI'!$B:$AY,MATCH($F$1,'Data Core CPI'!$B$1:$AY$1,),)</f>
        <v>-8.0209300497281744E-4</v>
      </c>
      <c r="G90" s="21">
        <f>(VLOOKUP(B90,'Data Core CPI'!$B:$AY,MATCH($G$1,'Data Core CPI'!$B$1:$AY$1,),)-VLOOKUP(EDATE(B90,-12),'Data Core CPI'!$B:$AY,MATCH($G$1,'Data Core CPI'!$B$1:$AY$1,),))/VLOOKUP(EDATE(B90,-12),'Data Core CPI'!$B:$AY,MATCH($G$1,'Data Core CPI'!$B$1:$AY$1,),)</f>
        <v>1.4279788945837198E-2</v>
      </c>
      <c r="H90" s="21">
        <f>(VLOOKUP(B90,'Data Core CPI'!$B:$AY,MATCH($H$1,'Data Core CPI'!$B$1:$AY$1,),)-VLOOKUP(EDATE(B90,-12),'Data Core CPI'!$B:$AY,MATCH($H$1,'Data Core CPI'!$B$1:$AY$1,),))/VLOOKUP(EDATE(B90,-12),'Data Core CPI'!$B:$AY,MATCH($H$1,'Data Core CPI'!$B$1:$AY$1,),)</f>
        <v>5.8457916048129926E-3</v>
      </c>
      <c r="I90" s="21">
        <f>(VLOOKUP(B90,'Data Core CPI'!$B:$AY,MATCH($I$1,'Data Core CPI'!$B$1:$AY$1,),)-VLOOKUP(EDATE(B90,-12),'Data Core CPI'!$B:$AY,MATCH($I$1,'Data Core CPI'!$B$1:$AY$1,),))/VLOOKUP(EDATE(B90,-12),'Data Core CPI'!$B:$AY,MATCH($I$1,'Data Core CPI'!$B$1:$AY$1,),)</f>
        <v>2.6522593320235786E-2</v>
      </c>
      <c r="J90" s="21">
        <f>(VLOOKUP(B90,'Data Core CPI'!$B:$AY,MATCH($J$1,'Data Core CPI'!$B$1:$AY$1,),)-VLOOKUP(EDATE(B90,-12),'Data Core CPI'!$B:$AY,MATCH($J$1,'Data Core CPI'!$B$1:$AY$1,),))/VLOOKUP(EDATE(B90,-12),'Data Core CPI'!$B:$AY,MATCH($J$1,'Data Core CPI'!$B$1:$AY$1,),)</f>
        <v>8.8073811606449569E-3</v>
      </c>
      <c r="K90" s="21">
        <f>(VLOOKUP(B90,'Data Core CPI'!$B:$AY,MATCH($K$1,'Data Core CPI'!$B$1:$AY$1,),)-VLOOKUP(EDATE(B90,-12),'Data Core CPI'!$B:$AY,MATCH($K$1,'Data Core CPI'!$B$1:$AY$1,),))/VLOOKUP(EDATE(B90,-12),'Data Core CPI'!$B:$AY,MATCH($K$1,'Data Core CPI'!$B$1:$AY$1,),)</f>
        <v>1.2455843116991544E-2</v>
      </c>
      <c r="L90" s="21">
        <f>(VLOOKUP(B90,'Data Core CPI'!$B:$AY,MATCH($L$1,'Data Core CPI'!$B$1:$AY$1,),)-VLOOKUP(EDATE(B90,-12),'Data Core CPI'!$B:$AY,MATCH($L$1,'Data Core CPI'!$B$1:$AY$1,),))/VLOOKUP(EDATE(B90,-12),'Data Core CPI'!$B:$AY,MATCH($L$1,'Data Core CPI'!$B$1:$AY$1,),)</f>
        <v>1.74359197985351E-2</v>
      </c>
      <c r="M90" s="21">
        <f>(VLOOKUP(B90,'Data Core CPI'!$B:$AY,MATCH($M$1,'Data Core CPI'!$B$1:$AY$1,),)-VLOOKUP(EDATE(B90,-12),'Data Core CPI'!$B:$AY,MATCH($M$1,'Data Core CPI'!$B$1:$AY$1,),))/VLOOKUP(EDATE(B90,-12),'Data Core CPI'!$B:$AY,MATCH($M$1,'Data Core CPI'!$B$1:$AY$1,),)</f>
        <v>4.7473294269771524E-2</v>
      </c>
      <c r="N90" s="21" t="e">
        <f>(VLOOKUP(B90,'Data Core CPI'!$B:$AY,MATCH($N$1,'Data Core CPI'!$B$1:$AY$1,),)-VLOOKUP(EDATE(B90,-12),'Data Core CPI'!$B:$AY,MATCH($N$1,'Data Core CPI'!$B$1:$AY$1,),))/VLOOKUP(EDATE(B90,-12),'Data Core CPI'!$B:$AY,MATCH($N$1,'Data Core CPI'!$B$1:$AY$1,),)</f>
        <v>#DIV/0!</v>
      </c>
      <c r="O90" s="21" t="e">
        <f>(VLOOKUP(B90,'Data Core CPI'!$B:$AY,MATCH($O$1,'Data Core CPI'!$B$1:$AY$1,),)-VLOOKUP(EDATE(B90,-12),'Data Core CPI'!$B:$AY,MATCH($O$1,'Data Core CPI'!$B$1:$AY$1,),))/VLOOKUP(EDATE(B90,-12),'Data Core CPI'!$B:$AY,MATCH($O$1,'Data Core CPI'!$B$1:$AY$1,),)</f>
        <v>#DIV/0!</v>
      </c>
      <c r="P90" s="21">
        <f>(VLOOKUP(B90,'Data Core CPI'!$B:$AY,MATCH($P$1,'Data Core CPI'!$B$1:$AY$1,),)-VLOOKUP(EDATE(B90,-12),'Data Core CPI'!$B:$AY,MATCH($P$1,'Data Core CPI'!$B$1:$AY$1,),))/VLOOKUP(EDATE(B90,-12),'Data Core CPI'!$B:$AY,MATCH($P$1,'Data Core CPI'!$B$1:$AY$1,),)</f>
        <v>1.6333459145817842E-2</v>
      </c>
      <c r="Q90" s="21" t="e">
        <f>(VLOOKUP(B90,'Data Core CPI'!$B:$AY,MATCH($Q$1,'Data Core CPI'!$B$1:$AY$1,),)-VLOOKUP(EDATE(B90,-12),'Data Core CPI'!$B:$AY,MATCH($Q$1,'Data Core CPI'!$B$1:$AY$1,),))/VLOOKUP(EDATE(B90,-12),'Data Core CPI'!$B:$AY,MATCH($Q$1,'Data Core CPI'!$B$1:$AY$1,),)</f>
        <v>#N/A</v>
      </c>
      <c r="R90" s="21">
        <f>(VLOOKUP(B90,'Data Core CPI'!$B:$AY,MATCH($R$1,'Data Core CPI'!$B$1:$AY$1,),)-VLOOKUP(EDATE(B90,-12),'Data Core CPI'!$B:$AY,MATCH($R$1,'Data Core CPI'!$B$1:$AY$1,),))/VLOOKUP(EDATE(B90,-12),'Data Core CPI'!$B:$AY,MATCH($R$1,'Data Core CPI'!$B$1:$AY$1,),)</f>
        <v>3.4272138057938029E-3</v>
      </c>
      <c r="S90" s="21" t="e">
        <f>(VLOOKUP(B90,'Data Core CPI'!$B:$AY,MATCH($S$1,'Data Core CPI'!$B$1:$AY$1,),)-VLOOKUP(EDATE(B90,-12),'Data Core CPI'!$B:$AY,MATCH($S$1,'Data Core CPI'!$B$1:$AY$1,),))/VLOOKUP(EDATE(B90,-12),'Data Core CPI'!$B:$AY,MATCH($S$1,'Data Core CPI'!$B$1:$AY$1,),)</f>
        <v>#DIV/0!</v>
      </c>
      <c r="T90" s="21" t="e">
        <f>(VLOOKUP(B90,'Data Core CPI'!$B:$AY,MATCH($T$1,'Data Core CPI'!$B$1:$AY$1,),)-VLOOKUP(EDATE(B90,-12),'Data Core CPI'!$B:$AY,MATCH($T$1,'Data Core CPI'!$B$1:$AY$1,),))/VLOOKUP(EDATE(B90,-12),'Data Core CPI'!$B:$AY,MATCH($T$1,'Data Core CPI'!$B$1:$AY$1,),)</f>
        <v>#DIV/0!</v>
      </c>
      <c r="U90" s="21">
        <f>(VLOOKUP(B90,'Data Core CPI'!$B:$AY,MATCH($U$1,'Data Core CPI'!$B$1:$AY$1,),)-VLOOKUP(EDATE(B90,-12),'Data Core CPI'!$B:$AY,MATCH($U$1,'Data Core CPI'!$B$1:$AY$1,),))/VLOOKUP(EDATE(B90,-12),'Data Core CPI'!$B:$AY,MATCH($U$1,'Data Core CPI'!$B$1:$AY$1,),)</f>
        <v>9.0839483762186566E-3</v>
      </c>
      <c r="V90" s="21">
        <f>(VLOOKUP(B90,'Data Core CPI'!$B:$AY,MATCH($V$1,'Data Core CPI'!$B$1:$AY$1,),)-VLOOKUP(EDATE(B90,-12),'Data Core CPI'!$B:$AY,MATCH($V$1,'Data Core CPI'!$B$1:$AY$1,),))/VLOOKUP(EDATE(B90,-12),'Data Core CPI'!$B:$AY,MATCH($V$1,'Data Core CPI'!$B$1:$AY$1,),)</f>
        <v>4.712119992697667E-3</v>
      </c>
      <c r="W90" s="21">
        <f>(VLOOKUP(B90,'Data Core CPI'!$B:$AY,MATCH($W$1,'Data Core CPI'!$B$1:$AY$1,),)-VLOOKUP(EDATE(B90,-12),'Data Core CPI'!$B:$AY,MATCH($W$1,'Data Core CPI'!$B$1:$AY$1,),))/VLOOKUP(EDATE(B90,-12),'Data Core CPI'!$B:$AY,MATCH($W$1,'Data Core CPI'!$B$1:$AY$1,),)</f>
        <v>0.10281704049931731</v>
      </c>
      <c r="X90" s="21">
        <f>(VLOOKUP(B90,'Data Core CPI'!$B:$AY,MATCH($X$1,'Data Core CPI'!$B$1:$AY$1,),)-VLOOKUP(EDATE(B90,-12),'Data Core CPI'!$B:$AY,MATCH($X$1,'Data Core CPI'!$B$1:$AY$1,),))/VLOOKUP(EDATE(B90,-12),'Data Core CPI'!$B:$AY,MATCH($X$1,'Data Core CPI'!$B$1:$AY$1,),)</f>
        <v>2.0588235294117591E-2</v>
      </c>
      <c r="Y90" s="21">
        <f>(VLOOKUP(B90,'Data Core CPI'!$B:$AY,MATCH($Y$1,'Data Core CPI'!$B$1:$AY$1,),)-VLOOKUP(EDATE(B90,-12),'Data Core CPI'!$B:$AY,MATCH($Y$1,'Data Core CPI'!$B$1:$AY$1,),))/VLOOKUP(EDATE(B90,-12),'Data Core CPI'!$B:$AY,MATCH($Y$1,'Data Core CPI'!$B$1:$AY$1,),)</f>
        <v>6.0980283532618028E-3</v>
      </c>
      <c r="Z90" s="21" t="e">
        <f>(VLOOKUP(B90,Data!$B:$AY,MATCH($Z$1,Data!$B$1:$AY$1,),)-VLOOKUP(EDATE(B90,-12),Data!$B:$AY,MATCH($Z$1,Data!$B$1:$AY$1,),))/VLOOKUP(EDATE(B90,-12),Data!$B:$AY,MATCH($Z$1,Data!$B$1:$AY$1,),)</f>
        <v>#N/A</v>
      </c>
      <c r="AA90" s="21" t="e">
        <f>(VLOOKUP(B90,Data!$B:$AY,MATCH($AA$1,Data!$B$1:$AY$1,),)-VLOOKUP(EDATE(B90,-12),Data!$B:$AY,MATCH($AA$1,Data!$B$1:$AY$1,),))/VLOOKUP(EDATE(B90,-12),Data!$B:$AY,MATCH($AA$1,Data!$B$1:$AY$1,),)</f>
        <v>#N/A</v>
      </c>
      <c r="AB90" s="20"/>
    </row>
    <row r="91" spans="2:28" x14ac:dyDescent="0.2">
      <c r="B91" s="16">
        <v>42979</v>
      </c>
      <c r="C91" s="21">
        <f>(VLOOKUP(B91,'Data Core CPI'!$B:$AY,MATCH($C$1,'Data Core CPI'!$B$1:$AY$1,),)-VLOOKUP(EDATE(B91,-12),'Data Core CPI'!$B:$AY,MATCH($C$1,'Data Core CPI'!$B$1:$AY$1,),))/VLOOKUP(EDATE(B91,-12),'Data Core CPI'!$B:$AY,MATCH($C$1,'Data Core CPI'!$B$1:$AY$1,),)</f>
        <v>1.6925926791641309E-2</v>
      </c>
      <c r="D91" s="21" t="e">
        <f>(VLOOKUP(B91,'Data Core CPI'!$B:$AY,MATCH($D$1,'Data Core CPI'!$B$1:$AY$1,),)-VLOOKUP(EDATE(B91,-12),'Data Core CPI'!$B:$AY,MATCH($D$1,'Data Core CPI'!$B$1:$AY$1,),))/VLOOKUP(EDATE(B91,-12),'Data Core CPI'!$B:$AY,MATCH($D$1,'Data Core CPI'!$B$1:$AY$1,),)</f>
        <v>#DIV/0!</v>
      </c>
      <c r="E91" s="21">
        <f>(VLOOKUP(B91,'Data Core CPI'!$B:$AY,MATCH($E$1,'Data Core CPI'!$B$1:$AY$1,),)-VLOOKUP(EDATE(B91,-12),'Data Core CPI'!$B:$AY,MATCH($E$1,'Data Core CPI'!$B$1:$AY$1,),))/VLOOKUP(EDATE(B91,-12),'Data Core CPI'!$B:$AY,MATCH($E$1,'Data Core CPI'!$B$1:$AY$1,),)</f>
        <v>1.1525958033691278E-2</v>
      </c>
      <c r="F91" s="21">
        <f>(VLOOKUP(B91,'Data Core CPI'!$B:$AY,MATCH($F$1,'Data Core CPI'!$B$1:$AY$1,),)-VLOOKUP(EDATE(B91,-12),'Data Core CPI'!$B:$AY,MATCH($F$1,'Data Core CPI'!$B$1:$AY$1,),))/VLOOKUP(EDATE(B91,-12),'Data Core CPI'!$B:$AY,MATCH($F$1,'Data Core CPI'!$B$1:$AY$1,),)</f>
        <v>-6.0050071601990538E-4</v>
      </c>
      <c r="G91" s="21">
        <f>(VLOOKUP(B91,'Data Core CPI'!$B:$AY,MATCH($G$1,'Data Core CPI'!$B$1:$AY$1,),)-VLOOKUP(EDATE(B91,-12),'Data Core CPI'!$B:$AY,MATCH($G$1,'Data Core CPI'!$B$1:$AY$1,),))/VLOOKUP(EDATE(B91,-12),'Data Core CPI'!$B:$AY,MATCH($G$1,'Data Core CPI'!$B$1:$AY$1,),)</f>
        <v>1.448148813362028E-2</v>
      </c>
      <c r="H91" s="21">
        <f>(VLOOKUP(B91,'Data Core CPI'!$B:$AY,MATCH($H$1,'Data Core CPI'!$B$1:$AY$1,),)-VLOOKUP(EDATE(B91,-12),'Data Core CPI'!$B:$AY,MATCH($H$1,'Data Core CPI'!$B$1:$AY$1,),))/VLOOKUP(EDATE(B91,-12),'Data Core CPI'!$B:$AY,MATCH($H$1,'Data Core CPI'!$B$1:$AY$1,),)</f>
        <v>5.7948114027895964E-3</v>
      </c>
      <c r="I91" s="21">
        <f>(VLOOKUP(B91,'Data Core CPI'!$B:$AY,MATCH($I$1,'Data Core CPI'!$B$1:$AY$1,),)-VLOOKUP(EDATE(B91,-12),'Data Core CPI'!$B:$AY,MATCH($I$1,'Data Core CPI'!$B$1:$AY$1,),))/VLOOKUP(EDATE(B91,-12),'Data Core CPI'!$B:$AY,MATCH($I$1,'Data Core CPI'!$B$1:$AY$1,),)</f>
        <v>2.5465230166503514E-2</v>
      </c>
      <c r="J91" s="21">
        <f>(VLOOKUP(B91,'Data Core CPI'!$B:$AY,MATCH($J$1,'Data Core CPI'!$B$1:$AY$1,),)-VLOOKUP(EDATE(B91,-12),'Data Core CPI'!$B:$AY,MATCH($J$1,'Data Core CPI'!$B$1:$AY$1,),))/VLOOKUP(EDATE(B91,-12),'Data Core CPI'!$B:$AY,MATCH($J$1,'Data Core CPI'!$B$1:$AY$1,),)</f>
        <v>7.4221188670499615E-3</v>
      </c>
      <c r="K91" s="21">
        <f>(VLOOKUP(B91,'Data Core CPI'!$B:$AY,MATCH($K$1,'Data Core CPI'!$B$1:$AY$1,),)-VLOOKUP(EDATE(B91,-12),'Data Core CPI'!$B:$AY,MATCH($K$1,'Data Core CPI'!$B$1:$AY$1,),))/VLOOKUP(EDATE(B91,-12),'Data Core CPI'!$B:$AY,MATCH($K$1,'Data Core CPI'!$B$1:$AY$1,),)</f>
        <v>1.2503527017951011E-2</v>
      </c>
      <c r="L91" s="21">
        <f>(VLOOKUP(B91,'Data Core CPI'!$B:$AY,MATCH($L$1,'Data Core CPI'!$B$1:$AY$1,),)-VLOOKUP(EDATE(B91,-12),'Data Core CPI'!$B:$AY,MATCH($L$1,'Data Core CPI'!$B$1:$AY$1,),))/VLOOKUP(EDATE(B91,-12),'Data Core CPI'!$B:$AY,MATCH($L$1,'Data Core CPI'!$B$1:$AY$1,),)</f>
        <v>1.5735164439734318E-2</v>
      </c>
      <c r="M91" s="21">
        <f>(VLOOKUP(B91,'Data Core CPI'!$B:$AY,MATCH($M$1,'Data Core CPI'!$B$1:$AY$1,),)-VLOOKUP(EDATE(B91,-12),'Data Core CPI'!$B:$AY,MATCH($M$1,'Data Core CPI'!$B$1:$AY$1,),))/VLOOKUP(EDATE(B91,-12),'Data Core CPI'!$B:$AY,MATCH($M$1,'Data Core CPI'!$B$1:$AY$1,),)</f>
        <v>4.5103761756394897E-2</v>
      </c>
      <c r="N91" s="21" t="e">
        <f>(VLOOKUP(B91,'Data Core CPI'!$B:$AY,MATCH($N$1,'Data Core CPI'!$B$1:$AY$1,),)-VLOOKUP(EDATE(B91,-12),'Data Core CPI'!$B:$AY,MATCH($N$1,'Data Core CPI'!$B$1:$AY$1,),))/VLOOKUP(EDATE(B91,-12),'Data Core CPI'!$B:$AY,MATCH($N$1,'Data Core CPI'!$B$1:$AY$1,),)</f>
        <v>#DIV/0!</v>
      </c>
      <c r="O91" s="21" t="e">
        <f>(VLOOKUP(B91,'Data Core CPI'!$B:$AY,MATCH($O$1,'Data Core CPI'!$B$1:$AY$1,),)-VLOOKUP(EDATE(B91,-12),'Data Core CPI'!$B:$AY,MATCH($O$1,'Data Core CPI'!$B$1:$AY$1,),))/VLOOKUP(EDATE(B91,-12),'Data Core CPI'!$B:$AY,MATCH($O$1,'Data Core CPI'!$B$1:$AY$1,),)</f>
        <v>#DIV/0!</v>
      </c>
      <c r="P91" s="21">
        <f>(VLOOKUP(B91,'Data Core CPI'!$B:$AY,MATCH($P$1,'Data Core CPI'!$B$1:$AY$1,),)-VLOOKUP(EDATE(B91,-12),'Data Core CPI'!$B:$AY,MATCH($P$1,'Data Core CPI'!$B$1:$AY$1,),))/VLOOKUP(EDATE(B91,-12),'Data Core CPI'!$B:$AY,MATCH($P$1,'Data Core CPI'!$B$1:$AY$1,),)</f>
        <v>1.4590157706952035E-2</v>
      </c>
      <c r="Q91" s="21" t="e">
        <f>(VLOOKUP(B91,'Data Core CPI'!$B:$AY,MATCH($Q$1,'Data Core CPI'!$B$1:$AY$1,),)-VLOOKUP(EDATE(B91,-12),'Data Core CPI'!$B:$AY,MATCH($Q$1,'Data Core CPI'!$B$1:$AY$1,),))/VLOOKUP(EDATE(B91,-12),'Data Core CPI'!$B:$AY,MATCH($Q$1,'Data Core CPI'!$B$1:$AY$1,),)</f>
        <v>#N/A</v>
      </c>
      <c r="R91" s="21">
        <f>(VLOOKUP(B91,'Data Core CPI'!$B:$AY,MATCH($R$1,'Data Core CPI'!$B$1:$AY$1,),)-VLOOKUP(EDATE(B91,-12),'Data Core CPI'!$B:$AY,MATCH($R$1,'Data Core CPI'!$B$1:$AY$1,),))/VLOOKUP(EDATE(B91,-12),'Data Core CPI'!$B:$AY,MATCH($R$1,'Data Core CPI'!$B$1:$AY$1,),)</f>
        <v>4.9283233298203161E-3</v>
      </c>
      <c r="S91" s="21" t="e">
        <f>(VLOOKUP(B91,'Data Core CPI'!$B:$AY,MATCH($S$1,'Data Core CPI'!$B$1:$AY$1,),)-VLOOKUP(EDATE(B91,-12),'Data Core CPI'!$B:$AY,MATCH($S$1,'Data Core CPI'!$B$1:$AY$1,),))/VLOOKUP(EDATE(B91,-12),'Data Core CPI'!$B:$AY,MATCH($S$1,'Data Core CPI'!$B$1:$AY$1,),)</f>
        <v>#DIV/0!</v>
      </c>
      <c r="T91" s="21" t="e">
        <f>(VLOOKUP(B91,'Data Core CPI'!$B:$AY,MATCH($T$1,'Data Core CPI'!$B$1:$AY$1,),)-VLOOKUP(EDATE(B91,-12),'Data Core CPI'!$B:$AY,MATCH($T$1,'Data Core CPI'!$B$1:$AY$1,),))/VLOOKUP(EDATE(B91,-12),'Data Core CPI'!$B:$AY,MATCH($T$1,'Data Core CPI'!$B$1:$AY$1,),)</f>
        <v>#DIV/0!</v>
      </c>
      <c r="U91" s="21">
        <f>(VLOOKUP(B91,'Data Core CPI'!$B:$AY,MATCH($U$1,'Data Core CPI'!$B$1:$AY$1,),)-VLOOKUP(EDATE(B91,-12),'Data Core CPI'!$B:$AY,MATCH($U$1,'Data Core CPI'!$B$1:$AY$1,),))/VLOOKUP(EDATE(B91,-12),'Data Core CPI'!$B:$AY,MATCH($U$1,'Data Core CPI'!$B$1:$AY$1,),)</f>
        <v>5.8915917857343056E-3</v>
      </c>
      <c r="V91" s="21">
        <f>(VLOOKUP(B91,'Data Core CPI'!$B:$AY,MATCH($V$1,'Data Core CPI'!$B$1:$AY$1,),)-VLOOKUP(EDATE(B91,-12),'Data Core CPI'!$B:$AY,MATCH($V$1,'Data Core CPI'!$B$1:$AY$1,),))/VLOOKUP(EDATE(B91,-12),'Data Core CPI'!$B:$AY,MATCH($V$1,'Data Core CPI'!$B$1:$AY$1,),)</f>
        <v>2.3471978167804047E-3</v>
      </c>
      <c r="W91" s="21">
        <f>(VLOOKUP(B91,'Data Core CPI'!$B:$AY,MATCH($W$1,'Data Core CPI'!$B$1:$AY$1,),)-VLOOKUP(EDATE(B91,-12),'Data Core CPI'!$B:$AY,MATCH($W$1,'Data Core CPI'!$B$1:$AY$1,),))/VLOOKUP(EDATE(B91,-12),'Data Core CPI'!$B:$AY,MATCH($W$1,'Data Core CPI'!$B$1:$AY$1,),)</f>
        <v>0.11042894260764745</v>
      </c>
      <c r="X91" s="21">
        <f>(VLOOKUP(B91,'Data Core CPI'!$B:$AY,MATCH($X$1,'Data Core CPI'!$B$1:$AY$1,),)-VLOOKUP(EDATE(B91,-12),'Data Core CPI'!$B:$AY,MATCH($X$1,'Data Core CPI'!$B$1:$AY$1,),))/VLOOKUP(EDATE(B91,-12),'Data Core CPI'!$B:$AY,MATCH($X$1,'Data Core CPI'!$B$1:$AY$1,),)</f>
        <v>2.1632251720747325E-2</v>
      </c>
      <c r="Y91" s="21">
        <f>(VLOOKUP(B91,'Data Core CPI'!$B:$AY,MATCH($Y$1,'Data Core CPI'!$B$1:$AY$1,),)-VLOOKUP(EDATE(B91,-12),'Data Core CPI'!$B:$AY,MATCH($Y$1,'Data Core CPI'!$B$1:$AY$1,),))/VLOOKUP(EDATE(B91,-12),'Data Core CPI'!$B:$AY,MATCH($Y$1,'Data Core CPI'!$B$1:$AY$1,),)</f>
        <v>8.7260409761987841E-3</v>
      </c>
      <c r="Z91" s="21" t="e">
        <f>(VLOOKUP(B91,Data!$B:$AY,MATCH($Z$1,Data!$B$1:$AY$1,),)-VLOOKUP(EDATE(B91,-12),Data!$B:$AY,MATCH($Z$1,Data!$B$1:$AY$1,),))/VLOOKUP(EDATE(B91,-12),Data!$B:$AY,MATCH($Z$1,Data!$B$1:$AY$1,),)</f>
        <v>#N/A</v>
      </c>
      <c r="AA91" s="21" t="e">
        <f>(VLOOKUP(B91,Data!$B:$AY,MATCH($AA$1,Data!$B$1:$AY$1,),)-VLOOKUP(EDATE(B91,-12),Data!$B:$AY,MATCH($AA$1,Data!$B$1:$AY$1,),))/VLOOKUP(EDATE(B91,-12),Data!$B:$AY,MATCH($AA$1,Data!$B$1:$AY$1,),)</f>
        <v>#N/A</v>
      </c>
      <c r="AB91" s="20"/>
    </row>
    <row r="92" spans="2:28" x14ac:dyDescent="0.2">
      <c r="B92" s="16">
        <v>43009</v>
      </c>
      <c r="C92" s="21">
        <f>(VLOOKUP(B92,'Data Core CPI'!$B:$AY,MATCH($C$1,'Data Core CPI'!$B$1:$AY$1,),)-VLOOKUP(EDATE(B92,-12),'Data Core CPI'!$B:$AY,MATCH($C$1,'Data Core CPI'!$B$1:$AY$1,),))/VLOOKUP(EDATE(B92,-12),'Data Core CPI'!$B:$AY,MATCH($C$1,'Data Core CPI'!$B$1:$AY$1,),)</f>
        <v>1.7734615500510805E-2</v>
      </c>
      <c r="D92" s="21" t="e">
        <f>(VLOOKUP(B92,'Data Core CPI'!$B:$AY,MATCH($D$1,'Data Core CPI'!$B$1:$AY$1,),)-VLOOKUP(EDATE(B92,-12),'Data Core CPI'!$B:$AY,MATCH($D$1,'Data Core CPI'!$B$1:$AY$1,),))/VLOOKUP(EDATE(B92,-12),'Data Core CPI'!$B:$AY,MATCH($D$1,'Data Core CPI'!$B$1:$AY$1,),)</f>
        <v>#DIV/0!</v>
      </c>
      <c r="E92" s="21">
        <f>(VLOOKUP(B92,'Data Core CPI'!$B:$AY,MATCH($E$1,'Data Core CPI'!$B$1:$AY$1,),)-VLOOKUP(EDATE(B92,-12),'Data Core CPI'!$B:$AY,MATCH($E$1,'Data Core CPI'!$B$1:$AY$1,),))/VLOOKUP(EDATE(B92,-12),'Data Core CPI'!$B:$AY,MATCH($E$1,'Data Core CPI'!$B$1:$AY$1,),)</f>
        <v>8.7581184806140577E-3</v>
      </c>
      <c r="F92" s="21">
        <f>(VLOOKUP(B92,'Data Core CPI'!$B:$AY,MATCH($F$1,'Data Core CPI'!$B$1:$AY$1,),)-VLOOKUP(EDATE(B92,-12),'Data Core CPI'!$B:$AY,MATCH($F$1,'Data Core CPI'!$B$1:$AY$1,),))/VLOOKUP(EDATE(B92,-12),'Data Core CPI'!$B:$AY,MATCH($F$1,'Data Core CPI'!$B$1:$AY$1,),)</f>
        <v>-3.4775765861748455E-5</v>
      </c>
      <c r="G92" s="21">
        <f>(VLOOKUP(B92,'Data Core CPI'!$B:$AY,MATCH($G$1,'Data Core CPI'!$B$1:$AY$1,),)-VLOOKUP(EDATE(B92,-12),'Data Core CPI'!$B:$AY,MATCH($G$1,'Data Core CPI'!$B$1:$AY$1,),))/VLOOKUP(EDATE(B92,-12),'Data Core CPI'!$B:$AY,MATCH($G$1,'Data Core CPI'!$B$1:$AY$1,),)</f>
        <v>1.032965050025211E-2</v>
      </c>
      <c r="H92" s="21">
        <f>(VLOOKUP(B92,'Data Core CPI'!$B:$AY,MATCH($H$1,'Data Core CPI'!$B$1:$AY$1,),)-VLOOKUP(EDATE(B92,-12),'Data Core CPI'!$B:$AY,MATCH($H$1,'Data Core CPI'!$B$1:$AY$1,),))/VLOOKUP(EDATE(B92,-12),'Data Core CPI'!$B:$AY,MATCH($H$1,'Data Core CPI'!$B$1:$AY$1,),)</f>
        <v>5.9099809365077711E-3</v>
      </c>
      <c r="I92" s="21">
        <f>(VLOOKUP(B92,'Data Core CPI'!$B:$AY,MATCH($I$1,'Data Core CPI'!$B$1:$AY$1,),)-VLOOKUP(EDATE(B92,-12),'Data Core CPI'!$B:$AY,MATCH($I$1,'Data Core CPI'!$B$1:$AY$1,),))/VLOOKUP(EDATE(B92,-12),'Data Core CPI'!$B:$AY,MATCH($I$1,'Data Core CPI'!$B$1:$AY$1,),)</f>
        <v>2.446183953033268E-2</v>
      </c>
      <c r="J92" s="21">
        <f>(VLOOKUP(B92,'Data Core CPI'!$B:$AY,MATCH($J$1,'Data Core CPI'!$B$1:$AY$1,),)-VLOOKUP(EDATE(B92,-12),'Data Core CPI'!$B:$AY,MATCH($J$1,'Data Core CPI'!$B$1:$AY$1,),))/VLOOKUP(EDATE(B92,-12),'Data Core CPI'!$B:$AY,MATCH($J$1,'Data Core CPI'!$B$1:$AY$1,),)</f>
        <v>3.9079517717572889E-3</v>
      </c>
      <c r="K92" s="21">
        <f>(VLOOKUP(B92,'Data Core CPI'!$B:$AY,MATCH($K$1,'Data Core CPI'!$B$1:$AY$1,),)-VLOOKUP(EDATE(B92,-12),'Data Core CPI'!$B:$AY,MATCH($K$1,'Data Core CPI'!$B$1:$AY$1,),))/VLOOKUP(EDATE(B92,-12),'Data Core CPI'!$B:$AY,MATCH($K$1,'Data Core CPI'!$B$1:$AY$1,),)</f>
        <v>9.1236910138822579E-3</v>
      </c>
      <c r="L92" s="21">
        <f>(VLOOKUP(B92,'Data Core CPI'!$B:$AY,MATCH($L$1,'Data Core CPI'!$B$1:$AY$1,),)-VLOOKUP(EDATE(B92,-12),'Data Core CPI'!$B:$AY,MATCH($L$1,'Data Core CPI'!$B$1:$AY$1,),))/VLOOKUP(EDATE(B92,-12),'Data Core CPI'!$B:$AY,MATCH($L$1,'Data Core CPI'!$B$1:$AY$1,),)</f>
        <v>1.4795646247753045E-2</v>
      </c>
      <c r="M92" s="21">
        <f>(VLOOKUP(B92,'Data Core CPI'!$B:$AY,MATCH($M$1,'Data Core CPI'!$B$1:$AY$1,),)-VLOOKUP(EDATE(B92,-12),'Data Core CPI'!$B:$AY,MATCH($M$1,'Data Core CPI'!$B$1:$AY$1,),))/VLOOKUP(EDATE(B92,-12),'Data Core CPI'!$B:$AY,MATCH($M$1,'Data Core CPI'!$B$1:$AY$1,),)</f>
        <v>4.6917421441819158E-2</v>
      </c>
      <c r="N92" s="21" t="e">
        <f>(VLOOKUP(B92,'Data Core CPI'!$B:$AY,MATCH($N$1,'Data Core CPI'!$B$1:$AY$1,),)-VLOOKUP(EDATE(B92,-12),'Data Core CPI'!$B:$AY,MATCH($N$1,'Data Core CPI'!$B$1:$AY$1,),))/VLOOKUP(EDATE(B92,-12),'Data Core CPI'!$B:$AY,MATCH($N$1,'Data Core CPI'!$B$1:$AY$1,),)</f>
        <v>#DIV/0!</v>
      </c>
      <c r="O92" s="21" t="e">
        <f>(VLOOKUP(B92,'Data Core CPI'!$B:$AY,MATCH($O$1,'Data Core CPI'!$B$1:$AY$1,),)-VLOOKUP(EDATE(B92,-12),'Data Core CPI'!$B:$AY,MATCH($O$1,'Data Core CPI'!$B$1:$AY$1,),))/VLOOKUP(EDATE(B92,-12),'Data Core CPI'!$B:$AY,MATCH($O$1,'Data Core CPI'!$B$1:$AY$1,),)</f>
        <v>#DIV/0!</v>
      </c>
      <c r="P92" s="21">
        <f>(VLOOKUP(B92,'Data Core CPI'!$B:$AY,MATCH($P$1,'Data Core CPI'!$B$1:$AY$1,),)-VLOOKUP(EDATE(B92,-12),'Data Core CPI'!$B:$AY,MATCH($P$1,'Data Core CPI'!$B$1:$AY$1,),))/VLOOKUP(EDATE(B92,-12),'Data Core CPI'!$B:$AY,MATCH($P$1,'Data Core CPI'!$B$1:$AY$1,),)</f>
        <v>1.7254187385628447E-2</v>
      </c>
      <c r="Q92" s="21" t="e">
        <f>(VLOOKUP(B92,'Data Core CPI'!$B:$AY,MATCH($Q$1,'Data Core CPI'!$B$1:$AY$1,),)-VLOOKUP(EDATE(B92,-12),'Data Core CPI'!$B:$AY,MATCH($Q$1,'Data Core CPI'!$B$1:$AY$1,),))/VLOOKUP(EDATE(B92,-12),'Data Core CPI'!$B:$AY,MATCH($Q$1,'Data Core CPI'!$B$1:$AY$1,),)</f>
        <v>#N/A</v>
      </c>
      <c r="R92" s="21">
        <f>(VLOOKUP(B92,'Data Core CPI'!$B:$AY,MATCH($R$1,'Data Core CPI'!$B$1:$AY$1,),)-VLOOKUP(EDATE(B92,-12),'Data Core CPI'!$B:$AY,MATCH($R$1,'Data Core CPI'!$B$1:$AY$1,),))/VLOOKUP(EDATE(B92,-12),'Data Core CPI'!$B:$AY,MATCH($R$1,'Data Core CPI'!$B$1:$AY$1,),)</f>
        <v>5.1559588189926562E-3</v>
      </c>
      <c r="S92" s="21" t="e">
        <f>(VLOOKUP(B92,'Data Core CPI'!$B:$AY,MATCH($S$1,'Data Core CPI'!$B$1:$AY$1,),)-VLOOKUP(EDATE(B92,-12),'Data Core CPI'!$B:$AY,MATCH($S$1,'Data Core CPI'!$B$1:$AY$1,),))/VLOOKUP(EDATE(B92,-12),'Data Core CPI'!$B:$AY,MATCH($S$1,'Data Core CPI'!$B$1:$AY$1,),)</f>
        <v>#DIV/0!</v>
      </c>
      <c r="T92" s="21" t="e">
        <f>(VLOOKUP(B92,'Data Core CPI'!$B:$AY,MATCH($T$1,'Data Core CPI'!$B$1:$AY$1,),)-VLOOKUP(EDATE(B92,-12),'Data Core CPI'!$B:$AY,MATCH($T$1,'Data Core CPI'!$B$1:$AY$1,),))/VLOOKUP(EDATE(B92,-12),'Data Core CPI'!$B:$AY,MATCH($T$1,'Data Core CPI'!$B$1:$AY$1,),)</f>
        <v>#DIV/0!</v>
      </c>
      <c r="U92" s="21">
        <f>(VLOOKUP(B92,'Data Core CPI'!$B:$AY,MATCH($U$1,'Data Core CPI'!$B$1:$AY$1,),)-VLOOKUP(EDATE(B92,-12),'Data Core CPI'!$B:$AY,MATCH($U$1,'Data Core CPI'!$B$1:$AY$1,),))/VLOOKUP(EDATE(B92,-12),'Data Core CPI'!$B:$AY,MATCH($U$1,'Data Core CPI'!$B$1:$AY$1,),)</f>
        <v>9.3685294656752835E-3</v>
      </c>
      <c r="V92" s="21">
        <f>(VLOOKUP(B92,'Data Core CPI'!$B:$AY,MATCH($V$1,'Data Core CPI'!$B$1:$AY$1,),)-VLOOKUP(EDATE(B92,-12),'Data Core CPI'!$B:$AY,MATCH($V$1,'Data Core CPI'!$B$1:$AY$1,),))/VLOOKUP(EDATE(B92,-12),'Data Core CPI'!$B:$AY,MATCH($V$1,'Data Core CPI'!$B$1:$AY$1,),)</f>
        <v>6.350142885664707E-3</v>
      </c>
      <c r="W92" s="21">
        <f>(VLOOKUP(B92,'Data Core CPI'!$B:$AY,MATCH($W$1,'Data Core CPI'!$B$1:$AY$1,),)-VLOOKUP(EDATE(B92,-12),'Data Core CPI'!$B:$AY,MATCH($W$1,'Data Core CPI'!$B$1:$AY$1,),))/VLOOKUP(EDATE(B92,-12),'Data Core CPI'!$B:$AY,MATCH($W$1,'Data Core CPI'!$B$1:$AY$1,),)</f>
        <v>0.11840471465769731</v>
      </c>
      <c r="X92" s="21">
        <f>(VLOOKUP(B92,'Data Core CPI'!$B:$AY,MATCH($X$1,'Data Core CPI'!$B$1:$AY$1,),)-VLOOKUP(EDATE(B92,-12),'Data Core CPI'!$B:$AY,MATCH($X$1,'Data Core CPI'!$B$1:$AY$1,),))/VLOOKUP(EDATE(B92,-12),'Data Core CPI'!$B:$AY,MATCH($X$1,'Data Core CPI'!$B$1:$AY$1,),)</f>
        <v>2.0568070519099008E-2</v>
      </c>
      <c r="Y92" s="21">
        <f>(VLOOKUP(B92,'Data Core CPI'!$B:$AY,MATCH($Y$1,'Data Core CPI'!$B$1:$AY$1,),)-VLOOKUP(EDATE(B92,-12),'Data Core CPI'!$B:$AY,MATCH($Y$1,'Data Core CPI'!$B$1:$AY$1,),))/VLOOKUP(EDATE(B92,-12),'Data Core CPI'!$B:$AY,MATCH($Y$1,'Data Core CPI'!$B$1:$AY$1,),)</f>
        <v>6.950468294671829E-3</v>
      </c>
      <c r="Z92" s="21" t="e">
        <f>(VLOOKUP(B92,Data!$B:$AY,MATCH($Z$1,Data!$B$1:$AY$1,),)-VLOOKUP(EDATE(B92,-12),Data!$B:$AY,MATCH($Z$1,Data!$B$1:$AY$1,),))/VLOOKUP(EDATE(B92,-12),Data!$B:$AY,MATCH($Z$1,Data!$B$1:$AY$1,),)</f>
        <v>#N/A</v>
      </c>
      <c r="AA92" s="21" t="e">
        <f>(VLOOKUP(B92,Data!$B:$AY,MATCH($AA$1,Data!$B$1:$AY$1,),)-VLOOKUP(EDATE(B92,-12),Data!$B:$AY,MATCH($AA$1,Data!$B$1:$AY$1,),))/VLOOKUP(EDATE(B92,-12),Data!$B:$AY,MATCH($AA$1,Data!$B$1:$AY$1,),)</f>
        <v>#N/A</v>
      </c>
      <c r="AB92" s="20"/>
    </row>
    <row r="93" spans="2:28" x14ac:dyDescent="0.2">
      <c r="B93" s="16">
        <v>43040</v>
      </c>
      <c r="C93" s="21">
        <f>(VLOOKUP(B93,'Data Core CPI'!$B:$AY,MATCH($C$1,'Data Core CPI'!$B$1:$AY$1,),)-VLOOKUP(EDATE(B93,-12),'Data Core CPI'!$B:$AY,MATCH($C$1,'Data Core CPI'!$B$1:$AY$1,),))/VLOOKUP(EDATE(B93,-12),'Data Core CPI'!$B:$AY,MATCH($C$1,'Data Core CPI'!$B$1:$AY$1,),)</f>
        <v>1.7112875382964462E-2</v>
      </c>
      <c r="D93" s="21" t="e">
        <f>(VLOOKUP(B93,'Data Core CPI'!$B:$AY,MATCH($D$1,'Data Core CPI'!$B$1:$AY$1,),)-VLOOKUP(EDATE(B93,-12),'Data Core CPI'!$B:$AY,MATCH($D$1,'Data Core CPI'!$B$1:$AY$1,),))/VLOOKUP(EDATE(B93,-12),'Data Core CPI'!$B:$AY,MATCH($D$1,'Data Core CPI'!$B$1:$AY$1,),)</f>
        <v>#DIV/0!</v>
      </c>
      <c r="E93" s="21">
        <f>(VLOOKUP(B93,'Data Core CPI'!$B:$AY,MATCH($E$1,'Data Core CPI'!$B$1:$AY$1,),)-VLOOKUP(EDATE(B93,-12),'Data Core CPI'!$B:$AY,MATCH($E$1,'Data Core CPI'!$B$1:$AY$1,),))/VLOOKUP(EDATE(B93,-12),'Data Core CPI'!$B:$AY,MATCH($E$1,'Data Core CPI'!$B$1:$AY$1,),)</f>
        <v>9.2042755344417318E-3</v>
      </c>
      <c r="F93" s="21">
        <f>(VLOOKUP(B93,'Data Core CPI'!$B:$AY,MATCH($F$1,'Data Core CPI'!$B$1:$AY$1,),)-VLOOKUP(EDATE(B93,-12),'Data Core CPI'!$B:$AY,MATCH($F$1,'Data Core CPI'!$B$1:$AY$1,),))/VLOOKUP(EDATE(B93,-12),'Data Core CPI'!$B:$AY,MATCH($F$1,'Data Core CPI'!$B$1:$AY$1,),)</f>
        <v>3.7881461846606948E-4</v>
      </c>
      <c r="G93" s="21">
        <f>(VLOOKUP(B93,'Data Core CPI'!$B:$AY,MATCH($G$1,'Data Core CPI'!$B$1:$AY$1,),)-VLOOKUP(EDATE(B93,-12),'Data Core CPI'!$B:$AY,MATCH($G$1,'Data Core CPI'!$B$1:$AY$1,),))/VLOOKUP(EDATE(B93,-12),'Data Core CPI'!$B:$AY,MATCH($G$1,'Data Core CPI'!$B$1:$AY$1,),)</f>
        <v>1.2518523061582656E-2</v>
      </c>
      <c r="H93" s="21">
        <f>(VLOOKUP(B93,'Data Core CPI'!$B:$AY,MATCH($H$1,'Data Core CPI'!$B$1:$AY$1,),)-VLOOKUP(EDATE(B93,-12),'Data Core CPI'!$B:$AY,MATCH($H$1,'Data Core CPI'!$B$1:$AY$1,),))/VLOOKUP(EDATE(B93,-12),'Data Core CPI'!$B:$AY,MATCH($H$1,'Data Core CPI'!$B$1:$AY$1,),)</f>
        <v>6.9156045278088336E-3</v>
      </c>
      <c r="I93" s="21">
        <f>(VLOOKUP(B93,'Data Core CPI'!$B:$AY,MATCH($I$1,'Data Core CPI'!$B$1:$AY$1,),)-VLOOKUP(EDATE(B93,-12),'Data Core CPI'!$B:$AY,MATCH($I$1,'Data Core CPI'!$B$1:$AY$1,),))/VLOOKUP(EDATE(B93,-12),'Data Core CPI'!$B:$AY,MATCH($I$1,'Data Core CPI'!$B$1:$AY$1,),)</f>
        <v>2.44140625E-2</v>
      </c>
      <c r="J93" s="21">
        <f>(VLOOKUP(B93,'Data Core CPI'!$B:$AY,MATCH($J$1,'Data Core CPI'!$B$1:$AY$1,),)-VLOOKUP(EDATE(B93,-12),'Data Core CPI'!$B:$AY,MATCH($J$1,'Data Core CPI'!$B$1:$AY$1,),))/VLOOKUP(EDATE(B93,-12),'Data Core CPI'!$B:$AY,MATCH($J$1,'Data Core CPI'!$B$1:$AY$1,),)</f>
        <v>2.6492259292987038E-3</v>
      </c>
      <c r="K93" s="21">
        <f>(VLOOKUP(B93,'Data Core CPI'!$B:$AY,MATCH($K$1,'Data Core CPI'!$B$1:$AY$1,),)-VLOOKUP(EDATE(B93,-12),'Data Core CPI'!$B:$AY,MATCH($K$1,'Data Core CPI'!$B$1:$AY$1,),))/VLOOKUP(EDATE(B93,-12),'Data Core CPI'!$B:$AY,MATCH($K$1,'Data Core CPI'!$B$1:$AY$1,),)</f>
        <v>7.6124188522016757E-3</v>
      </c>
      <c r="L93" s="21">
        <f>(VLOOKUP(B93,'Data Core CPI'!$B:$AY,MATCH($L$1,'Data Core CPI'!$B$1:$AY$1,),)-VLOOKUP(EDATE(B93,-12),'Data Core CPI'!$B:$AY,MATCH($L$1,'Data Core CPI'!$B$1:$AY$1,),))/VLOOKUP(EDATE(B93,-12),'Data Core CPI'!$B:$AY,MATCH($L$1,'Data Core CPI'!$B$1:$AY$1,),)</f>
        <v>1.4936392099811881E-2</v>
      </c>
      <c r="M93" s="21">
        <f>(VLOOKUP(B93,'Data Core CPI'!$B:$AY,MATCH($M$1,'Data Core CPI'!$B$1:$AY$1,),)-VLOOKUP(EDATE(B93,-12),'Data Core CPI'!$B:$AY,MATCH($M$1,'Data Core CPI'!$B$1:$AY$1,),))/VLOOKUP(EDATE(B93,-12),'Data Core CPI'!$B:$AY,MATCH($M$1,'Data Core CPI'!$B$1:$AY$1,),)</f>
        <v>4.7999907603642741E-2</v>
      </c>
      <c r="N93" s="21" t="e">
        <f>(VLOOKUP(B93,'Data Core CPI'!$B:$AY,MATCH($N$1,'Data Core CPI'!$B$1:$AY$1,),)-VLOOKUP(EDATE(B93,-12),'Data Core CPI'!$B:$AY,MATCH($N$1,'Data Core CPI'!$B$1:$AY$1,),))/VLOOKUP(EDATE(B93,-12),'Data Core CPI'!$B:$AY,MATCH($N$1,'Data Core CPI'!$B$1:$AY$1,),)</f>
        <v>#DIV/0!</v>
      </c>
      <c r="O93" s="21" t="e">
        <f>(VLOOKUP(B93,'Data Core CPI'!$B:$AY,MATCH($O$1,'Data Core CPI'!$B$1:$AY$1,),)-VLOOKUP(EDATE(B93,-12),'Data Core CPI'!$B:$AY,MATCH($O$1,'Data Core CPI'!$B$1:$AY$1,),))/VLOOKUP(EDATE(B93,-12),'Data Core CPI'!$B:$AY,MATCH($O$1,'Data Core CPI'!$B$1:$AY$1,),)</f>
        <v>#DIV/0!</v>
      </c>
      <c r="P93" s="21">
        <f>(VLOOKUP(B93,'Data Core CPI'!$B:$AY,MATCH($P$1,'Data Core CPI'!$B$1:$AY$1,),)-VLOOKUP(EDATE(B93,-12),'Data Core CPI'!$B:$AY,MATCH($P$1,'Data Core CPI'!$B$1:$AY$1,),))/VLOOKUP(EDATE(B93,-12),'Data Core CPI'!$B:$AY,MATCH($P$1,'Data Core CPI'!$B$1:$AY$1,),)</f>
        <v>1.8592057761732887E-2</v>
      </c>
      <c r="Q93" s="21" t="e">
        <f>(VLOOKUP(B93,'Data Core CPI'!$B:$AY,MATCH($Q$1,'Data Core CPI'!$B$1:$AY$1,),)-VLOOKUP(EDATE(B93,-12),'Data Core CPI'!$B:$AY,MATCH($Q$1,'Data Core CPI'!$B$1:$AY$1,),))/VLOOKUP(EDATE(B93,-12),'Data Core CPI'!$B:$AY,MATCH($Q$1,'Data Core CPI'!$B$1:$AY$1,),)</f>
        <v>#N/A</v>
      </c>
      <c r="R93" s="21">
        <f>(VLOOKUP(B93,'Data Core CPI'!$B:$AY,MATCH($R$1,'Data Core CPI'!$B$1:$AY$1,),)-VLOOKUP(EDATE(B93,-12),'Data Core CPI'!$B:$AY,MATCH($R$1,'Data Core CPI'!$B$1:$AY$1,),))/VLOOKUP(EDATE(B93,-12),'Data Core CPI'!$B:$AY,MATCH($R$1,'Data Core CPI'!$B$1:$AY$1,),)</f>
        <v>5.6260330989982158E-3</v>
      </c>
      <c r="S93" s="21" t="e">
        <f>(VLOOKUP(B93,'Data Core CPI'!$B:$AY,MATCH($S$1,'Data Core CPI'!$B$1:$AY$1,),)-VLOOKUP(EDATE(B93,-12),'Data Core CPI'!$B:$AY,MATCH($S$1,'Data Core CPI'!$B$1:$AY$1,),))/VLOOKUP(EDATE(B93,-12),'Data Core CPI'!$B:$AY,MATCH($S$1,'Data Core CPI'!$B$1:$AY$1,),)</f>
        <v>#DIV/0!</v>
      </c>
      <c r="T93" s="21" t="e">
        <f>(VLOOKUP(B93,'Data Core CPI'!$B:$AY,MATCH($T$1,'Data Core CPI'!$B$1:$AY$1,),)-VLOOKUP(EDATE(B93,-12),'Data Core CPI'!$B:$AY,MATCH($T$1,'Data Core CPI'!$B$1:$AY$1,),))/VLOOKUP(EDATE(B93,-12),'Data Core CPI'!$B:$AY,MATCH($T$1,'Data Core CPI'!$B$1:$AY$1,),)</f>
        <v>#DIV/0!</v>
      </c>
      <c r="U93" s="21">
        <f>(VLOOKUP(B93,'Data Core CPI'!$B:$AY,MATCH($U$1,'Data Core CPI'!$B$1:$AY$1,),)-VLOOKUP(EDATE(B93,-12),'Data Core CPI'!$B:$AY,MATCH($U$1,'Data Core CPI'!$B$1:$AY$1,),))/VLOOKUP(EDATE(B93,-12),'Data Core CPI'!$B:$AY,MATCH($U$1,'Data Core CPI'!$B$1:$AY$1,),)</f>
        <v>1.0106878765269398E-2</v>
      </c>
      <c r="V93" s="21">
        <f>(VLOOKUP(B93,'Data Core CPI'!$B:$AY,MATCH($V$1,'Data Core CPI'!$B$1:$AY$1,),)-VLOOKUP(EDATE(B93,-12),'Data Core CPI'!$B:$AY,MATCH($V$1,'Data Core CPI'!$B$1:$AY$1,),))/VLOOKUP(EDATE(B93,-12),'Data Core CPI'!$B:$AY,MATCH($V$1,'Data Core CPI'!$B$1:$AY$1,),)</f>
        <v>2.8622415755750839E-3</v>
      </c>
      <c r="W93" s="21">
        <f>(VLOOKUP(B93,'Data Core CPI'!$B:$AY,MATCH($W$1,'Data Core CPI'!$B$1:$AY$1,),)-VLOOKUP(EDATE(B93,-12),'Data Core CPI'!$B:$AY,MATCH($W$1,'Data Core CPI'!$B$1:$AY$1,),))/VLOOKUP(EDATE(B93,-12),'Data Core CPI'!$B:$AY,MATCH($W$1,'Data Core CPI'!$B$1:$AY$1,),)</f>
        <v>0.12151821161409379</v>
      </c>
      <c r="X93" s="21">
        <f>(VLOOKUP(B93,'Data Core CPI'!$B:$AY,MATCH($X$1,'Data Core CPI'!$B$1:$AY$1,),)-VLOOKUP(EDATE(B93,-12),'Data Core CPI'!$B:$AY,MATCH($X$1,'Data Core CPI'!$B$1:$AY$1,),))/VLOOKUP(EDATE(B93,-12),'Data Core CPI'!$B:$AY,MATCH($X$1,'Data Core CPI'!$B$1:$AY$1,),)</f>
        <v>2.156862745098042E-2</v>
      </c>
      <c r="Y93" s="21">
        <f>(VLOOKUP(B93,'Data Core CPI'!$B:$AY,MATCH($Y$1,'Data Core CPI'!$B$1:$AY$1,),)-VLOOKUP(EDATE(B93,-12),'Data Core CPI'!$B:$AY,MATCH($Y$1,'Data Core CPI'!$B$1:$AY$1,),))/VLOOKUP(EDATE(B93,-12),'Data Core CPI'!$B:$AY,MATCH($Y$1,'Data Core CPI'!$B$1:$AY$1,),)</f>
        <v>7.8189020758465035E-3</v>
      </c>
      <c r="Z93" s="21" t="e">
        <f>(VLOOKUP(B93,Data!$B:$AY,MATCH($Z$1,Data!$B$1:$AY$1,),)-VLOOKUP(EDATE(B93,-12),Data!$B:$AY,MATCH($Z$1,Data!$B$1:$AY$1,),))/VLOOKUP(EDATE(B93,-12),Data!$B:$AY,MATCH($Z$1,Data!$B$1:$AY$1,),)</f>
        <v>#N/A</v>
      </c>
      <c r="AA93" s="21" t="e">
        <f>(VLOOKUP(B93,Data!$B:$AY,MATCH($AA$1,Data!$B$1:$AY$1,),)-VLOOKUP(EDATE(B93,-12),Data!$B:$AY,MATCH($AA$1,Data!$B$1:$AY$1,),))/VLOOKUP(EDATE(B93,-12),Data!$B:$AY,MATCH($AA$1,Data!$B$1:$AY$1,),)</f>
        <v>#N/A</v>
      </c>
      <c r="AB93" s="20"/>
    </row>
    <row r="94" spans="2:28" x14ac:dyDescent="0.2">
      <c r="B94" s="16">
        <v>43070</v>
      </c>
      <c r="C94" s="21">
        <f>(VLOOKUP(B94,'Data Core CPI'!$B:$AY,MATCH($C$1,'Data Core CPI'!$B$1:$AY$1,),)-VLOOKUP(EDATE(B94,-12),'Data Core CPI'!$B:$AY,MATCH($C$1,'Data Core CPI'!$B$1:$AY$1,),))/VLOOKUP(EDATE(B94,-12),'Data Core CPI'!$B:$AY,MATCH($C$1,'Data Core CPI'!$B$1:$AY$1,),)</f>
        <v>1.7757129299749524E-2</v>
      </c>
      <c r="D94" s="21" t="e">
        <f>(VLOOKUP(B94,'Data Core CPI'!$B:$AY,MATCH($D$1,'Data Core CPI'!$B$1:$AY$1,),)-VLOOKUP(EDATE(B94,-12),'Data Core CPI'!$B:$AY,MATCH($D$1,'Data Core CPI'!$B$1:$AY$1,),))/VLOOKUP(EDATE(B94,-12),'Data Core CPI'!$B:$AY,MATCH($D$1,'Data Core CPI'!$B$1:$AY$1,),)</f>
        <v>#DIV/0!</v>
      </c>
      <c r="E94" s="21">
        <f>(VLOOKUP(B94,'Data Core CPI'!$B:$AY,MATCH($E$1,'Data Core CPI'!$B$1:$AY$1,),)-VLOOKUP(EDATE(B94,-12),'Data Core CPI'!$B:$AY,MATCH($E$1,'Data Core CPI'!$B$1:$AY$1,),))/VLOOKUP(EDATE(B94,-12),'Data Core CPI'!$B:$AY,MATCH($E$1,'Data Core CPI'!$B$1:$AY$1,),)</f>
        <v>9.1652705233074491E-3</v>
      </c>
      <c r="F94" s="21">
        <f>(VLOOKUP(B94,'Data Core CPI'!$B:$AY,MATCH($F$1,'Data Core CPI'!$B$1:$AY$1,),)-VLOOKUP(EDATE(B94,-12),'Data Core CPI'!$B:$AY,MATCH($F$1,'Data Core CPI'!$B$1:$AY$1,),))/VLOOKUP(EDATE(B94,-12),'Data Core CPI'!$B:$AY,MATCH($F$1,'Data Core CPI'!$B$1:$AY$1,),)</f>
        <v>2.2160797310413331E-3</v>
      </c>
      <c r="G94" s="21">
        <f>(VLOOKUP(B94,'Data Core CPI'!$B:$AY,MATCH($G$1,'Data Core CPI'!$B$1:$AY$1,),)-VLOOKUP(EDATE(B94,-12),'Data Core CPI'!$B:$AY,MATCH($G$1,'Data Core CPI'!$B$1:$AY$1,),))/VLOOKUP(EDATE(B94,-12),'Data Core CPI'!$B:$AY,MATCH($G$1,'Data Core CPI'!$B$1:$AY$1,),)</f>
        <v>1.261005262060033E-2</v>
      </c>
      <c r="H94" s="21">
        <f>(VLOOKUP(B94,'Data Core CPI'!$B:$AY,MATCH($H$1,'Data Core CPI'!$B$1:$AY$1,),)-VLOOKUP(EDATE(B94,-12),'Data Core CPI'!$B:$AY,MATCH($H$1,'Data Core CPI'!$B$1:$AY$1,),))/VLOOKUP(EDATE(B94,-12),'Data Core CPI'!$B:$AY,MATCH($H$1,'Data Core CPI'!$B$1:$AY$1,),)</f>
        <v>7.8062764091326982E-3</v>
      </c>
      <c r="I94" s="21">
        <f>(VLOOKUP(B94,'Data Core CPI'!$B:$AY,MATCH($I$1,'Data Core CPI'!$B$1:$AY$1,),)-VLOOKUP(EDATE(B94,-12),'Data Core CPI'!$B:$AY,MATCH($I$1,'Data Core CPI'!$B$1:$AY$1,),))/VLOOKUP(EDATE(B94,-12),'Data Core CPI'!$B:$AY,MATCH($I$1,'Data Core CPI'!$B$1:$AY$1,),)</f>
        <v>2.3346303501945581E-2</v>
      </c>
      <c r="J94" s="21">
        <f>(VLOOKUP(B94,'Data Core CPI'!$B:$AY,MATCH($J$1,'Data Core CPI'!$B$1:$AY$1,),)-VLOOKUP(EDATE(B94,-12),'Data Core CPI'!$B:$AY,MATCH($J$1,'Data Core CPI'!$B$1:$AY$1,),))/VLOOKUP(EDATE(B94,-12),'Data Core CPI'!$B:$AY,MATCH($J$1,'Data Core CPI'!$B$1:$AY$1,),)</f>
        <v>3.8553436115991045E-3</v>
      </c>
      <c r="K94" s="21">
        <f>(VLOOKUP(B94,'Data Core CPI'!$B:$AY,MATCH($K$1,'Data Core CPI'!$B$1:$AY$1,),)-VLOOKUP(EDATE(B94,-12),'Data Core CPI'!$B:$AY,MATCH($K$1,'Data Core CPI'!$B$1:$AY$1,),))/VLOOKUP(EDATE(B94,-12),'Data Core CPI'!$B:$AY,MATCH($K$1,'Data Core CPI'!$B$1:$AY$1,),)</f>
        <v>6.6677670549605984E-3</v>
      </c>
      <c r="L94" s="21">
        <f>(VLOOKUP(B94,'Data Core CPI'!$B:$AY,MATCH($L$1,'Data Core CPI'!$B$1:$AY$1,),)-VLOOKUP(EDATE(B94,-12),'Data Core CPI'!$B:$AY,MATCH($L$1,'Data Core CPI'!$B$1:$AY$1,),))/VLOOKUP(EDATE(B94,-12),'Data Core CPI'!$B:$AY,MATCH($L$1,'Data Core CPI'!$B$1:$AY$1,),)</f>
        <v>1.3511427186289632E-2</v>
      </c>
      <c r="M94" s="21">
        <f>(VLOOKUP(B94,'Data Core CPI'!$B:$AY,MATCH($M$1,'Data Core CPI'!$B$1:$AY$1,),)-VLOOKUP(EDATE(B94,-12),'Data Core CPI'!$B:$AY,MATCH($M$1,'Data Core CPI'!$B$1:$AY$1,),))/VLOOKUP(EDATE(B94,-12),'Data Core CPI'!$B:$AY,MATCH($M$1,'Data Core CPI'!$B$1:$AY$1,),)</f>
        <v>4.7891431135038194E-2</v>
      </c>
      <c r="N94" s="21" t="e">
        <f>(VLOOKUP(B94,'Data Core CPI'!$B:$AY,MATCH($N$1,'Data Core CPI'!$B$1:$AY$1,),)-VLOOKUP(EDATE(B94,-12),'Data Core CPI'!$B:$AY,MATCH($N$1,'Data Core CPI'!$B$1:$AY$1,),))/VLOOKUP(EDATE(B94,-12),'Data Core CPI'!$B:$AY,MATCH($N$1,'Data Core CPI'!$B$1:$AY$1,),)</f>
        <v>#DIV/0!</v>
      </c>
      <c r="O94" s="21" t="e">
        <f>(VLOOKUP(B94,'Data Core CPI'!$B:$AY,MATCH($O$1,'Data Core CPI'!$B$1:$AY$1,),)-VLOOKUP(EDATE(B94,-12),'Data Core CPI'!$B:$AY,MATCH($O$1,'Data Core CPI'!$B$1:$AY$1,),))/VLOOKUP(EDATE(B94,-12),'Data Core CPI'!$B:$AY,MATCH($O$1,'Data Core CPI'!$B$1:$AY$1,),)</f>
        <v>#DIV/0!</v>
      </c>
      <c r="P94" s="21">
        <f>(VLOOKUP(B94,'Data Core CPI'!$B:$AY,MATCH($P$1,'Data Core CPI'!$B$1:$AY$1,),)-VLOOKUP(EDATE(B94,-12),'Data Core CPI'!$B:$AY,MATCH($P$1,'Data Core CPI'!$B$1:$AY$1,),))/VLOOKUP(EDATE(B94,-12),'Data Core CPI'!$B:$AY,MATCH($P$1,'Data Core CPI'!$B$1:$AY$1,),)</f>
        <v>1.8100065898535852E-2</v>
      </c>
      <c r="Q94" s="21" t="e">
        <f>(VLOOKUP(B94,'Data Core CPI'!$B:$AY,MATCH($Q$1,'Data Core CPI'!$B$1:$AY$1,),)-VLOOKUP(EDATE(B94,-12),'Data Core CPI'!$B:$AY,MATCH($Q$1,'Data Core CPI'!$B$1:$AY$1,),))/VLOOKUP(EDATE(B94,-12),'Data Core CPI'!$B:$AY,MATCH($Q$1,'Data Core CPI'!$B$1:$AY$1,),)</f>
        <v>#N/A</v>
      </c>
      <c r="R94" s="21">
        <f>(VLOOKUP(B94,'Data Core CPI'!$B:$AY,MATCH($R$1,'Data Core CPI'!$B$1:$AY$1,),)-VLOOKUP(EDATE(B94,-12),'Data Core CPI'!$B:$AY,MATCH($R$1,'Data Core CPI'!$B$1:$AY$1,),))/VLOOKUP(EDATE(B94,-12),'Data Core CPI'!$B:$AY,MATCH($R$1,'Data Core CPI'!$B$1:$AY$1,),)</f>
        <v>6.4029848328222214E-3</v>
      </c>
      <c r="S94" s="21" t="e">
        <f>(VLOOKUP(B94,'Data Core CPI'!$B:$AY,MATCH($S$1,'Data Core CPI'!$B$1:$AY$1,),)-VLOOKUP(EDATE(B94,-12),'Data Core CPI'!$B:$AY,MATCH($S$1,'Data Core CPI'!$B$1:$AY$1,),))/VLOOKUP(EDATE(B94,-12),'Data Core CPI'!$B:$AY,MATCH($S$1,'Data Core CPI'!$B$1:$AY$1,),)</f>
        <v>#DIV/0!</v>
      </c>
      <c r="T94" s="21" t="e">
        <f>(VLOOKUP(B94,'Data Core CPI'!$B:$AY,MATCH($T$1,'Data Core CPI'!$B$1:$AY$1,),)-VLOOKUP(EDATE(B94,-12),'Data Core CPI'!$B:$AY,MATCH($T$1,'Data Core CPI'!$B$1:$AY$1,),))/VLOOKUP(EDATE(B94,-12),'Data Core CPI'!$B:$AY,MATCH($T$1,'Data Core CPI'!$B$1:$AY$1,),)</f>
        <v>#DIV/0!</v>
      </c>
      <c r="U94" s="21">
        <f>(VLOOKUP(B94,'Data Core CPI'!$B:$AY,MATCH($U$1,'Data Core CPI'!$B$1:$AY$1,),)-VLOOKUP(EDATE(B94,-12),'Data Core CPI'!$B:$AY,MATCH($U$1,'Data Core CPI'!$B$1:$AY$1,),))/VLOOKUP(EDATE(B94,-12),'Data Core CPI'!$B:$AY,MATCH($U$1,'Data Core CPI'!$B$1:$AY$1,),)</f>
        <v>2.8095082964294882E-3</v>
      </c>
      <c r="V94" s="21">
        <f>(VLOOKUP(B94,'Data Core CPI'!$B:$AY,MATCH($V$1,'Data Core CPI'!$B$1:$AY$1,),)-VLOOKUP(EDATE(B94,-12),'Data Core CPI'!$B:$AY,MATCH($V$1,'Data Core CPI'!$B$1:$AY$1,),))/VLOOKUP(EDATE(B94,-12),'Data Core CPI'!$B:$AY,MATCH($V$1,'Data Core CPI'!$B$1:$AY$1,),)</f>
        <v>3.3632476633887417E-3</v>
      </c>
      <c r="W94" s="21">
        <f>(VLOOKUP(B94,'Data Core CPI'!$B:$AY,MATCH($W$1,'Data Core CPI'!$B$1:$AY$1,),)-VLOOKUP(EDATE(B94,-12),'Data Core CPI'!$B:$AY,MATCH($W$1,'Data Core CPI'!$B$1:$AY$1,),))/VLOOKUP(EDATE(B94,-12),'Data Core CPI'!$B:$AY,MATCH($W$1,'Data Core CPI'!$B$1:$AY$1,),)</f>
        <v>0.11590524460462584</v>
      </c>
      <c r="X94" s="21">
        <f>(VLOOKUP(B94,'Data Core CPI'!$B:$AY,MATCH($X$1,'Data Core CPI'!$B$1:$AY$1,),)-VLOOKUP(EDATE(B94,-12),'Data Core CPI'!$B:$AY,MATCH($X$1,'Data Core CPI'!$B$1:$AY$1,),))/VLOOKUP(EDATE(B94,-12),'Data Core CPI'!$B:$AY,MATCH($X$1,'Data Core CPI'!$B$1:$AY$1,),)</f>
        <v>1.9588638589618023E-2</v>
      </c>
      <c r="Y94" s="21">
        <f>(VLOOKUP(B94,'Data Core CPI'!$B:$AY,MATCH($Y$1,'Data Core CPI'!$B$1:$AY$1,),)-VLOOKUP(EDATE(B94,-12),'Data Core CPI'!$B:$AY,MATCH($Y$1,'Data Core CPI'!$B$1:$AY$1,),))/VLOOKUP(EDATE(B94,-12),'Data Core CPI'!$B:$AY,MATCH($Y$1,'Data Core CPI'!$B$1:$AY$1,),)</f>
        <v>7.8131162501834592E-3</v>
      </c>
      <c r="Z94" s="21" t="e">
        <f>(VLOOKUP(B94,Data!$B:$AY,MATCH($Z$1,Data!$B$1:$AY$1,),)-VLOOKUP(EDATE(B94,-12),Data!$B:$AY,MATCH($Z$1,Data!$B$1:$AY$1,),))/VLOOKUP(EDATE(B94,-12),Data!$B:$AY,MATCH($Z$1,Data!$B$1:$AY$1,),)</f>
        <v>#N/A</v>
      </c>
      <c r="AA94" s="21" t="e">
        <f>(VLOOKUP(B94,Data!$B:$AY,MATCH($AA$1,Data!$B$1:$AY$1,),)-VLOOKUP(EDATE(B94,-12),Data!$B:$AY,MATCH($AA$1,Data!$B$1:$AY$1,),))/VLOOKUP(EDATE(B94,-12),Data!$B:$AY,MATCH($AA$1,Data!$B$1:$AY$1,),)</f>
        <v>#N/A</v>
      </c>
      <c r="AB94" s="20"/>
    </row>
    <row r="95" spans="2:28" x14ac:dyDescent="0.2">
      <c r="B95" s="16">
        <v>43101</v>
      </c>
      <c r="C95" s="21">
        <f>(VLOOKUP(B95,'Data Core CPI'!$B:$AY,MATCH($C$1,'Data Core CPI'!$B$1:$AY$1,),)-VLOOKUP(EDATE(B95,-12),'Data Core CPI'!$B:$AY,MATCH($C$1,'Data Core CPI'!$B$1:$AY$1,),))/VLOOKUP(EDATE(B95,-12),'Data Core CPI'!$B:$AY,MATCH($C$1,'Data Core CPI'!$B$1:$AY$1,),)</f>
        <v>1.8213801727904086E-2</v>
      </c>
      <c r="D95" s="21" t="e">
        <f>(VLOOKUP(B95,'Data Core CPI'!$B:$AY,MATCH($D$1,'Data Core CPI'!$B$1:$AY$1,),)-VLOOKUP(EDATE(B95,-12),'Data Core CPI'!$B:$AY,MATCH($D$1,'Data Core CPI'!$B$1:$AY$1,),))/VLOOKUP(EDATE(B95,-12),'Data Core CPI'!$B:$AY,MATCH($D$1,'Data Core CPI'!$B$1:$AY$1,),)</f>
        <v>#DIV/0!</v>
      </c>
      <c r="E95" s="21">
        <f>(VLOOKUP(B95,'Data Core CPI'!$B:$AY,MATCH($E$1,'Data Core CPI'!$B$1:$AY$1,),)-VLOOKUP(EDATE(B95,-12),'Data Core CPI'!$B:$AY,MATCH($E$1,'Data Core CPI'!$B$1:$AY$1,),))/VLOOKUP(EDATE(B95,-12),'Data Core CPI'!$B:$AY,MATCH($E$1,'Data Core CPI'!$B$1:$AY$1,),)</f>
        <v>9.7291875626880527E-3</v>
      </c>
      <c r="F95" s="21">
        <f>(VLOOKUP(B95,'Data Core CPI'!$B:$AY,MATCH($F$1,'Data Core CPI'!$B$1:$AY$1,),)-VLOOKUP(EDATE(B95,-12),'Data Core CPI'!$B:$AY,MATCH($F$1,'Data Core CPI'!$B$1:$AY$1,),))/VLOOKUP(EDATE(B95,-12),'Data Core CPI'!$B:$AY,MATCH($F$1,'Data Core CPI'!$B$1:$AY$1,),)</f>
        <v>8.3364403399745787E-4</v>
      </c>
      <c r="G95" s="21">
        <f>(VLOOKUP(B95,'Data Core CPI'!$B:$AY,MATCH($G$1,'Data Core CPI'!$B$1:$AY$1,),)-VLOOKUP(EDATE(B95,-12),'Data Core CPI'!$B:$AY,MATCH($G$1,'Data Core CPI'!$B$1:$AY$1,),))/VLOOKUP(EDATE(B95,-12),'Data Core CPI'!$B:$AY,MATCH($G$1,'Data Core CPI'!$B$1:$AY$1,),)</f>
        <v>1.313319334659045E-2</v>
      </c>
      <c r="H95" s="21">
        <f>(VLOOKUP(B95,'Data Core CPI'!$B:$AY,MATCH($H$1,'Data Core CPI'!$B$1:$AY$1,),)-VLOOKUP(EDATE(B95,-12),'Data Core CPI'!$B:$AY,MATCH($H$1,'Data Core CPI'!$B$1:$AY$1,),))/VLOOKUP(EDATE(B95,-12),'Data Core CPI'!$B:$AY,MATCH($H$1,'Data Core CPI'!$B$1:$AY$1,),)</f>
        <v>9.100009965890667E-3</v>
      </c>
      <c r="I95" s="21">
        <f>(VLOOKUP(B95,'Data Core CPI'!$B:$AY,MATCH($I$1,'Data Core CPI'!$B$1:$AY$1,),)-VLOOKUP(EDATE(B95,-12),'Data Core CPI'!$B:$AY,MATCH($I$1,'Data Core CPI'!$B$1:$AY$1,),))/VLOOKUP(EDATE(B95,-12),'Data Core CPI'!$B:$AY,MATCH($I$1,'Data Core CPI'!$B$1:$AY$1,),)</f>
        <v>2.3506366307541684E-2</v>
      </c>
      <c r="J95" s="21">
        <f>(VLOOKUP(B95,'Data Core CPI'!$B:$AY,MATCH($J$1,'Data Core CPI'!$B$1:$AY$1,),)-VLOOKUP(EDATE(B95,-12),'Data Core CPI'!$B:$AY,MATCH($J$1,'Data Core CPI'!$B$1:$AY$1,),))/VLOOKUP(EDATE(B95,-12),'Data Core CPI'!$B:$AY,MATCH($J$1,'Data Core CPI'!$B$1:$AY$1,),)</f>
        <v>4.0537298396128955E-3</v>
      </c>
      <c r="K95" s="21">
        <f>(VLOOKUP(B95,'Data Core CPI'!$B:$AY,MATCH($K$1,'Data Core CPI'!$B$1:$AY$1,),)-VLOOKUP(EDATE(B95,-12),'Data Core CPI'!$B:$AY,MATCH($K$1,'Data Core CPI'!$B$1:$AY$1,),))/VLOOKUP(EDATE(B95,-12),'Data Core CPI'!$B:$AY,MATCH($K$1,'Data Core CPI'!$B$1:$AY$1,),)</f>
        <v>7.5182806486384065E-3</v>
      </c>
      <c r="L95" s="21">
        <f>(VLOOKUP(B95,'Data Core CPI'!$B:$AY,MATCH($L$1,'Data Core CPI'!$B$1:$AY$1,),)-VLOOKUP(EDATE(B95,-12),'Data Core CPI'!$B:$AY,MATCH($L$1,'Data Core CPI'!$B$1:$AY$1,),))/VLOOKUP(EDATE(B95,-12),'Data Core CPI'!$B:$AY,MATCH($L$1,'Data Core CPI'!$B$1:$AY$1,),)</f>
        <v>1.2165212980735675E-2</v>
      </c>
      <c r="M95" s="21">
        <f>(VLOOKUP(B95,'Data Core CPI'!$B:$AY,MATCH($M$1,'Data Core CPI'!$B$1:$AY$1,),)-VLOOKUP(EDATE(B95,-12),'Data Core CPI'!$B:$AY,MATCH($M$1,'Data Core CPI'!$B$1:$AY$1,),))/VLOOKUP(EDATE(B95,-12),'Data Core CPI'!$B:$AY,MATCH($M$1,'Data Core CPI'!$B$1:$AY$1,),)</f>
        <v>4.4199916514022004E-2</v>
      </c>
      <c r="N95" s="21" t="e">
        <f>(VLOOKUP(B95,'Data Core CPI'!$B:$AY,MATCH($N$1,'Data Core CPI'!$B$1:$AY$1,),)-VLOOKUP(EDATE(B95,-12),'Data Core CPI'!$B:$AY,MATCH($N$1,'Data Core CPI'!$B$1:$AY$1,),))/VLOOKUP(EDATE(B95,-12),'Data Core CPI'!$B:$AY,MATCH($N$1,'Data Core CPI'!$B$1:$AY$1,),)</f>
        <v>#DIV/0!</v>
      </c>
      <c r="O95" s="21" t="e">
        <f>(VLOOKUP(B95,'Data Core CPI'!$B:$AY,MATCH($O$1,'Data Core CPI'!$B$1:$AY$1,),)-VLOOKUP(EDATE(B95,-12),'Data Core CPI'!$B:$AY,MATCH($O$1,'Data Core CPI'!$B$1:$AY$1,),))/VLOOKUP(EDATE(B95,-12),'Data Core CPI'!$B:$AY,MATCH($O$1,'Data Core CPI'!$B$1:$AY$1,),)</f>
        <v>#DIV/0!</v>
      </c>
      <c r="P95" s="21">
        <f>(VLOOKUP(B95,'Data Core CPI'!$B:$AY,MATCH($P$1,'Data Core CPI'!$B$1:$AY$1,),)-VLOOKUP(EDATE(B95,-12),'Data Core CPI'!$B:$AY,MATCH($P$1,'Data Core CPI'!$B$1:$AY$1,),))/VLOOKUP(EDATE(B95,-12),'Data Core CPI'!$B:$AY,MATCH($P$1,'Data Core CPI'!$B$1:$AY$1,),)</f>
        <v>1.6335561027768529E-2</v>
      </c>
      <c r="Q95" s="21" t="e">
        <f>(VLOOKUP(B95,'Data Core CPI'!$B:$AY,MATCH($Q$1,'Data Core CPI'!$B$1:$AY$1,),)-VLOOKUP(EDATE(B95,-12),'Data Core CPI'!$B:$AY,MATCH($Q$1,'Data Core CPI'!$B$1:$AY$1,),))/VLOOKUP(EDATE(B95,-12),'Data Core CPI'!$B:$AY,MATCH($Q$1,'Data Core CPI'!$B$1:$AY$1,),)</f>
        <v>#N/A</v>
      </c>
      <c r="R95" s="21">
        <f>(VLOOKUP(B95,'Data Core CPI'!$B:$AY,MATCH($R$1,'Data Core CPI'!$B$1:$AY$1,),)-VLOOKUP(EDATE(B95,-12),'Data Core CPI'!$B:$AY,MATCH($R$1,'Data Core CPI'!$B$1:$AY$1,),))/VLOOKUP(EDATE(B95,-12),'Data Core CPI'!$B:$AY,MATCH($R$1,'Data Core CPI'!$B$1:$AY$1,),)</f>
        <v>4.1971532115273342E-3</v>
      </c>
      <c r="S95" s="21" t="e">
        <f>(VLOOKUP(B95,'Data Core CPI'!$B:$AY,MATCH($S$1,'Data Core CPI'!$B$1:$AY$1,),)-VLOOKUP(EDATE(B95,-12),'Data Core CPI'!$B:$AY,MATCH($S$1,'Data Core CPI'!$B$1:$AY$1,),))/VLOOKUP(EDATE(B95,-12),'Data Core CPI'!$B:$AY,MATCH($S$1,'Data Core CPI'!$B$1:$AY$1,),)</f>
        <v>#DIV/0!</v>
      </c>
      <c r="T95" s="21" t="e">
        <f>(VLOOKUP(B95,'Data Core CPI'!$B:$AY,MATCH($T$1,'Data Core CPI'!$B$1:$AY$1,),)-VLOOKUP(EDATE(B95,-12),'Data Core CPI'!$B:$AY,MATCH($T$1,'Data Core CPI'!$B$1:$AY$1,),))/VLOOKUP(EDATE(B95,-12),'Data Core CPI'!$B:$AY,MATCH($T$1,'Data Core CPI'!$B$1:$AY$1,),)</f>
        <v>#DIV/0!</v>
      </c>
      <c r="U95" s="21">
        <f>(VLOOKUP(B95,'Data Core CPI'!$B:$AY,MATCH($U$1,'Data Core CPI'!$B$1:$AY$1,),)-VLOOKUP(EDATE(B95,-12),'Data Core CPI'!$B:$AY,MATCH($U$1,'Data Core CPI'!$B$1:$AY$1,),))/VLOOKUP(EDATE(B95,-12),'Data Core CPI'!$B:$AY,MATCH($U$1,'Data Core CPI'!$B$1:$AY$1,),)</f>
        <v>6.757798167780696E-4</v>
      </c>
      <c r="V95" s="21">
        <f>(VLOOKUP(B95,'Data Core CPI'!$B:$AY,MATCH($V$1,'Data Core CPI'!$B$1:$AY$1,),)-VLOOKUP(EDATE(B95,-12),'Data Core CPI'!$B:$AY,MATCH($V$1,'Data Core CPI'!$B$1:$AY$1,),))/VLOOKUP(EDATE(B95,-12),'Data Core CPI'!$B:$AY,MATCH($V$1,'Data Core CPI'!$B$1:$AY$1,),)</f>
        <v>2.6973894388998098E-3</v>
      </c>
      <c r="W95" s="21">
        <f>(VLOOKUP(B95,'Data Core CPI'!$B:$AY,MATCH($W$1,'Data Core CPI'!$B$1:$AY$1,),)-VLOOKUP(EDATE(B95,-12),'Data Core CPI'!$B:$AY,MATCH($W$1,'Data Core CPI'!$B$1:$AY$1,),))/VLOOKUP(EDATE(B95,-12),'Data Core CPI'!$B:$AY,MATCH($W$1,'Data Core CPI'!$B$1:$AY$1,),)</f>
        <v>0.11027161347066677</v>
      </c>
      <c r="X95" s="21">
        <f>(VLOOKUP(B95,'Data Core CPI'!$B:$AY,MATCH($X$1,'Data Core CPI'!$B$1:$AY$1,),)-VLOOKUP(EDATE(B95,-12),'Data Core CPI'!$B:$AY,MATCH($X$1,'Data Core CPI'!$B$1:$AY$1,),))/VLOOKUP(EDATE(B95,-12),'Data Core CPI'!$B:$AY,MATCH($X$1,'Data Core CPI'!$B$1:$AY$1,),)</f>
        <v>2.1421616358325245E-2</v>
      </c>
      <c r="Y95" s="21">
        <f>(VLOOKUP(B95,'Data Core CPI'!$B:$AY,MATCH($Y$1,'Data Core CPI'!$B$1:$AY$1,),)-VLOOKUP(EDATE(B95,-12),'Data Core CPI'!$B:$AY,MATCH($Y$1,'Data Core CPI'!$B$1:$AY$1,),))/VLOOKUP(EDATE(B95,-12),'Data Core CPI'!$B:$AY,MATCH($Y$1,'Data Core CPI'!$B$1:$AY$1,),)</f>
        <v>9.5731030911291662E-3</v>
      </c>
      <c r="Z95" s="21" t="e">
        <f>(VLOOKUP(B95,Data!$B:$AY,MATCH($Z$1,Data!$B$1:$AY$1,),)-VLOOKUP(EDATE(B95,-12),Data!$B:$AY,MATCH($Z$1,Data!$B$1:$AY$1,),))/VLOOKUP(EDATE(B95,-12),Data!$B:$AY,MATCH($Z$1,Data!$B$1:$AY$1,),)</f>
        <v>#N/A</v>
      </c>
      <c r="AA95" s="21" t="e">
        <f>(VLOOKUP(B95,Data!$B:$AY,MATCH($AA$1,Data!$B$1:$AY$1,),)-VLOOKUP(EDATE(B95,-12),Data!$B:$AY,MATCH($AA$1,Data!$B$1:$AY$1,),))/VLOOKUP(EDATE(B95,-12),Data!$B:$AY,MATCH($AA$1,Data!$B$1:$AY$1,),)</f>
        <v>#N/A</v>
      </c>
      <c r="AB95" s="20"/>
    </row>
    <row r="96" spans="2:28" x14ac:dyDescent="0.2">
      <c r="B96" s="16">
        <v>43132</v>
      </c>
      <c r="C96" s="21">
        <f>(VLOOKUP(B96,'Data Core CPI'!$B:$AY,MATCH($C$1,'Data Core CPI'!$B$1:$AY$1,),)-VLOOKUP(EDATE(B96,-12),'Data Core CPI'!$B:$AY,MATCH($C$1,'Data Core CPI'!$B$1:$AY$1,),))/VLOOKUP(EDATE(B96,-12),'Data Core CPI'!$B:$AY,MATCH($C$1,'Data Core CPI'!$B$1:$AY$1,),)</f>
        <v>1.847548771371391E-2</v>
      </c>
      <c r="D96" s="21" t="e">
        <f>(VLOOKUP(B96,'Data Core CPI'!$B:$AY,MATCH($D$1,'Data Core CPI'!$B$1:$AY$1,),)-VLOOKUP(EDATE(B96,-12),'Data Core CPI'!$B:$AY,MATCH($D$1,'Data Core CPI'!$B$1:$AY$1,),))/VLOOKUP(EDATE(B96,-12),'Data Core CPI'!$B:$AY,MATCH($D$1,'Data Core CPI'!$B$1:$AY$1,),)</f>
        <v>#DIV/0!</v>
      </c>
      <c r="E96" s="21">
        <f>(VLOOKUP(B96,'Data Core CPI'!$B:$AY,MATCH($E$1,'Data Core CPI'!$B$1:$AY$1,),)-VLOOKUP(EDATE(B96,-12),'Data Core CPI'!$B:$AY,MATCH($E$1,'Data Core CPI'!$B$1:$AY$1,),))/VLOOKUP(EDATE(B96,-12),'Data Core CPI'!$B:$AY,MATCH($E$1,'Data Core CPI'!$B$1:$AY$1,),)</f>
        <v>9.9930048965723994E-3</v>
      </c>
      <c r="F96" s="21">
        <f>(VLOOKUP(B96,'Data Core CPI'!$B:$AY,MATCH($F$1,'Data Core CPI'!$B$1:$AY$1,),)-VLOOKUP(EDATE(B96,-12),'Data Core CPI'!$B:$AY,MATCH($F$1,'Data Core CPI'!$B$1:$AY$1,),))/VLOOKUP(EDATE(B96,-12),'Data Core CPI'!$B:$AY,MATCH($F$1,'Data Core CPI'!$B$1:$AY$1,),)</f>
        <v>3.6236076869574814E-3</v>
      </c>
      <c r="G96" s="21">
        <f>(VLOOKUP(B96,'Data Core CPI'!$B:$AY,MATCH($G$1,'Data Core CPI'!$B$1:$AY$1,),)-VLOOKUP(EDATE(B96,-12),'Data Core CPI'!$B:$AY,MATCH($G$1,'Data Core CPI'!$B$1:$AY$1,),))/VLOOKUP(EDATE(B96,-12),'Data Core CPI'!$B:$AY,MATCH($G$1,'Data Core CPI'!$B$1:$AY$1,),)</f>
        <v>1.2730150663844312E-2</v>
      </c>
      <c r="H96" s="21">
        <f>(VLOOKUP(B96,'Data Core CPI'!$B:$AY,MATCH($H$1,'Data Core CPI'!$B$1:$AY$1,),)-VLOOKUP(EDATE(B96,-12),'Data Core CPI'!$B:$AY,MATCH($H$1,'Data Core CPI'!$B$1:$AY$1,),))/VLOOKUP(EDATE(B96,-12),'Data Core CPI'!$B:$AY,MATCH($H$1,'Data Core CPI'!$B$1:$AY$1,),)</f>
        <v>7.9807565308924397E-3</v>
      </c>
      <c r="I96" s="21">
        <f>(VLOOKUP(B96,'Data Core CPI'!$B:$AY,MATCH($I$1,'Data Core CPI'!$B$1:$AY$1,),)-VLOOKUP(EDATE(B96,-12),'Data Core CPI'!$B:$AY,MATCH($I$1,'Data Core CPI'!$B$1:$AY$1,),))/VLOOKUP(EDATE(B96,-12),'Data Core CPI'!$B:$AY,MATCH($I$1,'Data Core CPI'!$B$1:$AY$1,),)</f>
        <v>2.239532619279452E-2</v>
      </c>
      <c r="J96" s="21">
        <f>(VLOOKUP(B96,'Data Core CPI'!$B:$AY,MATCH($J$1,'Data Core CPI'!$B$1:$AY$1,),)-VLOOKUP(EDATE(B96,-12),'Data Core CPI'!$B:$AY,MATCH($J$1,'Data Core CPI'!$B$1:$AY$1,),))/VLOOKUP(EDATE(B96,-12),'Data Core CPI'!$B:$AY,MATCH($J$1,'Data Core CPI'!$B$1:$AY$1,),)</f>
        <v>4.2176347241984378E-3</v>
      </c>
      <c r="K96" s="21">
        <f>(VLOOKUP(B96,'Data Core CPI'!$B:$AY,MATCH($K$1,'Data Core CPI'!$B$1:$AY$1,),)-VLOOKUP(EDATE(B96,-12),'Data Core CPI'!$B:$AY,MATCH($K$1,'Data Core CPI'!$B$1:$AY$1,),))/VLOOKUP(EDATE(B96,-12),'Data Core CPI'!$B:$AY,MATCH($K$1,'Data Core CPI'!$B$1:$AY$1,),)</f>
        <v>1.0606993908864827E-2</v>
      </c>
      <c r="L96" s="21">
        <f>(VLOOKUP(B96,'Data Core CPI'!$B:$AY,MATCH($L$1,'Data Core CPI'!$B$1:$AY$1,),)-VLOOKUP(EDATE(B96,-12),'Data Core CPI'!$B:$AY,MATCH($L$1,'Data Core CPI'!$B$1:$AY$1,),))/VLOOKUP(EDATE(B96,-12),'Data Core CPI'!$B:$AY,MATCH($L$1,'Data Core CPI'!$B$1:$AY$1,),)</f>
        <v>1.2735477005361272E-2</v>
      </c>
      <c r="M96" s="21">
        <f>(VLOOKUP(B96,'Data Core CPI'!$B:$AY,MATCH($M$1,'Data Core CPI'!$B$1:$AY$1,),)-VLOOKUP(EDATE(B96,-12),'Data Core CPI'!$B:$AY,MATCH($M$1,'Data Core CPI'!$B$1:$AY$1,),))/VLOOKUP(EDATE(B96,-12),'Data Core CPI'!$B:$AY,MATCH($M$1,'Data Core CPI'!$B$1:$AY$1,),)</f>
        <v>4.194650720211833E-2</v>
      </c>
      <c r="N96" s="21" t="e">
        <f>(VLOOKUP(B96,'Data Core CPI'!$B:$AY,MATCH($N$1,'Data Core CPI'!$B$1:$AY$1,),)-VLOOKUP(EDATE(B96,-12),'Data Core CPI'!$B:$AY,MATCH($N$1,'Data Core CPI'!$B$1:$AY$1,),))/VLOOKUP(EDATE(B96,-12),'Data Core CPI'!$B:$AY,MATCH($N$1,'Data Core CPI'!$B$1:$AY$1,),)</f>
        <v>#DIV/0!</v>
      </c>
      <c r="O96" s="21" t="e">
        <f>(VLOOKUP(B96,'Data Core CPI'!$B:$AY,MATCH($O$1,'Data Core CPI'!$B$1:$AY$1,),)-VLOOKUP(EDATE(B96,-12),'Data Core CPI'!$B:$AY,MATCH($O$1,'Data Core CPI'!$B$1:$AY$1,),))/VLOOKUP(EDATE(B96,-12),'Data Core CPI'!$B:$AY,MATCH($O$1,'Data Core CPI'!$B$1:$AY$1,),)</f>
        <v>#DIV/0!</v>
      </c>
      <c r="P96" s="21">
        <f>(VLOOKUP(B96,'Data Core CPI'!$B:$AY,MATCH($P$1,'Data Core CPI'!$B$1:$AY$1,),)-VLOOKUP(EDATE(B96,-12),'Data Core CPI'!$B:$AY,MATCH($P$1,'Data Core CPI'!$B$1:$AY$1,),))/VLOOKUP(EDATE(B96,-12),'Data Core CPI'!$B:$AY,MATCH($P$1,'Data Core CPI'!$B$1:$AY$1,),)</f>
        <v>1.9516137618630504E-2</v>
      </c>
      <c r="Q96" s="21" t="e">
        <f>(VLOOKUP(B96,'Data Core CPI'!$B:$AY,MATCH($Q$1,'Data Core CPI'!$B$1:$AY$1,),)-VLOOKUP(EDATE(B96,-12),'Data Core CPI'!$B:$AY,MATCH($Q$1,'Data Core CPI'!$B$1:$AY$1,),))/VLOOKUP(EDATE(B96,-12),'Data Core CPI'!$B:$AY,MATCH($Q$1,'Data Core CPI'!$B$1:$AY$1,),)</f>
        <v>#N/A</v>
      </c>
      <c r="R96" s="21">
        <f>(VLOOKUP(B96,'Data Core CPI'!$B:$AY,MATCH($R$1,'Data Core CPI'!$B$1:$AY$1,),)-VLOOKUP(EDATE(B96,-12),'Data Core CPI'!$B:$AY,MATCH($R$1,'Data Core CPI'!$B$1:$AY$1,),))/VLOOKUP(EDATE(B96,-12),'Data Core CPI'!$B:$AY,MATCH($R$1,'Data Core CPI'!$B$1:$AY$1,),)</f>
        <v>4.8914530556714809E-3</v>
      </c>
      <c r="S96" s="21" t="e">
        <f>(VLOOKUP(B96,'Data Core CPI'!$B:$AY,MATCH($S$1,'Data Core CPI'!$B$1:$AY$1,),)-VLOOKUP(EDATE(B96,-12),'Data Core CPI'!$B:$AY,MATCH($S$1,'Data Core CPI'!$B$1:$AY$1,),))/VLOOKUP(EDATE(B96,-12),'Data Core CPI'!$B:$AY,MATCH($S$1,'Data Core CPI'!$B$1:$AY$1,),)</f>
        <v>#DIV/0!</v>
      </c>
      <c r="T96" s="21" t="e">
        <f>(VLOOKUP(B96,'Data Core CPI'!$B:$AY,MATCH($T$1,'Data Core CPI'!$B$1:$AY$1,),)-VLOOKUP(EDATE(B96,-12),'Data Core CPI'!$B:$AY,MATCH($T$1,'Data Core CPI'!$B$1:$AY$1,),))/VLOOKUP(EDATE(B96,-12),'Data Core CPI'!$B:$AY,MATCH($T$1,'Data Core CPI'!$B$1:$AY$1,),)</f>
        <v>#DIV/0!</v>
      </c>
      <c r="U96" s="21">
        <f>(VLOOKUP(B96,'Data Core CPI'!$B:$AY,MATCH($U$1,'Data Core CPI'!$B$1:$AY$1,),)-VLOOKUP(EDATE(B96,-12),'Data Core CPI'!$B:$AY,MATCH($U$1,'Data Core CPI'!$B$1:$AY$1,),))/VLOOKUP(EDATE(B96,-12),'Data Core CPI'!$B:$AY,MATCH($U$1,'Data Core CPI'!$B$1:$AY$1,),)</f>
        <v>5.0127134786651937E-3</v>
      </c>
      <c r="V96" s="21">
        <f>(VLOOKUP(B96,'Data Core CPI'!$B:$AY,MATCH($V$1,'Data Core CPI'!$B$1:$AY$1,),)-VLOOKUP(EDATE(B96,-12),'Data Core CPI'!$B:$AY,MATCH($V$1,'Data Core CPI'!$B$1:$AY$1,),))/VLOOKUP(EDATE(B96,-12),'Data Core CPI'!$B:$AY,MATCH($V$1,'Data Core CPI'!$B$1:$AY$1,),)</f>
        <v>6.1098539804604517E-3</v>
      </c>
      <c r="W96" s="21">
        <f>(VLOOKUP(B96,'Data Core CPI'!$B:$AY,MATCH($W$1,'Data Core CPI'!$B$1:$AY$1,),)-VLOOKUP(EDATE(B96,-12),'Data Core CPI'!$B:$AY,MATCH($W$1,'Data Core CPI'!$B$1:$AY$1,),))/VLOOKUP(EDATE(B96,-12),'Data Core CPI'!$B:$AY,MATCH($W$1,'Data Core CPI'!$B$1:$AY$1,),)</f>
        <v>0.10783085309033653</v>
      </c>
      <c r="X96" s="21">
        <f>(VLOOKUP(B96,'Data Core CPI'!$B:$AY,MATCH($X$1,'Data Core CPI'!$B$1:$AY$1,),)-VLOOKUP(EDATE(B96,-12),'Data Core CPI'!$B:$AY,MATCH($X$1,'Data Core CPI'!$B$1:$AY$1,),))/VLOOKUP(EDATE(B96,-12),'Data Core CPI'!$B:$AY,MATCH($X$1,'Data Core CPI'!$B$1:$AY$1,),)</f>
        <v>1.9417475728155338E-2</v>
      </c>
      <c r="Y96" s="21">
        <f>(VLOOKUP(B96,'Data Core CPI'!$B:$AY,MATCH($Y$1,'Data Core CPI'!$B$1:$AY$1,),)-VLOOKUP(EDATE(B96,-12),'Data Core CPI'!$B:$AY,MATCH($Y$1,'Data Core CPI'!$B$1:$AY$1,),))/VLOOKUP(EDATE(B96,-12),'Data Core CPI'!$B:$AY,MATCH($Y$1,'Data Core CPI'!$B$1:$AY$1,),)</f>
        <v>8.6952903561233613E-3</v>
      </c>
      <c r="Z96" s="21" t="e">
        <f>(VLOOKUP(B96,Data!$B:$AY,MATCH($Z$1,Data!$B$1:$AY$1,),)-VLOOKUP(EDATE(B96,-12),Data!$B:$AY,MATCH($Z$1,Data!$B$1:$AY$1,),))/VLOOKUP(EDATE(B96,-12),Data!$B:$AY,MATCH($Z$1,Data!$B$1:$AY$1,),)</f>
        <v>#N/A</v>
      </c>
      <c r="AA96" s="21" t="e">
        <f>(VLOOKUP(B96,Data!$B:$AY,MATCH($AA$1,Data!$B$1:$AY$1,),)-VLOOKUP(EDATE(B96,-12),Data!$B:$AY,MATCH($AA$1,Data!$B$1:$AY$1,),))/VLOOKUP(EDATE(B96,-12),Data!$B:$AY,MATCH($AA$1,Data!$B$1:$AY$1,),)</f>
        <v>#N/A</v>
      </c>
      <c r="AB96" s="20"/>
    </row>
    <row r="97" spans="2:28" s="3" customFormat="1" x14ac:dyDescent="0.2">
      <c r="B97" s="16">
        <v>43160</v>
      </c>
      <c r="C97" s="21">
        <f>(VLOOKUP(B97,'Data Core CPI'!$B:$AY,MATCH($C$1,'Data Core CPI'!$B$1:$AY$1,),)-VLOOKUP(EDATE(B97,-12),'Data Core CPI'!$B:$AY,MATCH($C$1,'Data Core CPI'!$B$1:$AY$1,),))/VLOOKUP(EDATE(B97,-12),'Data Core CPI'!$B:$AY,MATCH($C$1,'Data Core CPI'!$B$1:$AY$1,),)</f>
        <v>2.1170657031692856E-2</v>
      </c>
      <c r="D97" s="21" t="e">
        <f>(VLOOKUP(B97,'Data Core CPI'!$B:$AY,MATCH($D$1,'Data Core CPI'!$B$1:$AY$1,),)-VLOOKUP(EDATE(B97,-12),'Data Core CPI'!$B:$AY,MATCH($D$1,'Data Core CPI'!$B$1:$AY$1,),))/VLOOKUP(EDATE(B97,-12),'Data Core CPI'!$B:$AY,MATCH($D$1,'Data Core CPI'!$B$1:$AY$1,),)</f>
        <v>#DIV/0!</v>
      </c>
      <c r="E97" s="21">
        <f>(VLOOKUP(B97,'Data Core CPI'!$B:$AY,MATCH($E$1,'Data Core CPI'!$B$1:$AY$1,),)-VLOOKUP(EDATE(B97,-12),'Data Core CPI'!$B:$AY,MATCH($E$1,'Data Core CPI'!$B$1:$AY$1,),))/VLOOKUP(EDATE(B97,-12),'Data Core CPI'!$B:$AY,MATCH($E$1,'Data Core CPI'!$B$1:$AY$1,),)</f>
        <v>1.1133004926108329E-2</v>
      </c>
      <c r="F97" s="21">
        <f>(VLOOKUP(B97,'Data Core CPI'!$B:$AY,MATCH($F$1,'Data Core CPI'!$B$1:$AY$1,),)-VLOOKUP(EDATE(B97,-12),'Data Core CPI'!$B:$AY,MATCH($F$1,'Data Core CPI'!$B$1:$AY$1,),))/VLOOKUP(EDATE(B97,-12),'Data Core CPI'!$B:$AY,MATCH($F$1,'Data Core CPI'!$B$1:$AY$1,),)</f>
        <v>3.5782414128204898E-3</v>
      </c>
      <c r="G97" s="21">
        <f>(VLOOKUP(B97,'Data Core CPI'!$B:$AY,MATCH($G$1,'Data Core CPI'!$B$1:$AY$1,),)-VLOOKUP(EDATE(B97,-12),'Data Core CPI'!$B:$AY,MATCH($G$1,'Data Core CPI'!$B$1:$AY$1,),))/VLOOKUP(EDATE(B97,-12),'Data Core CPI'!$B:$AY,MATCH($G$1,'Data Core CPI'!$B$1:$AY$1,),)</f>
        <v>1.486571507215596E-2</v>
      </c>
      <c r="H97" s="21">
        <f>(VLOOKUP(B97,'Data Core CPI'!$B:$AY,MATCH($H$1,'Data Core CPI'!$B$1:$AY$1,),)-VLOOKUP(EDATE(B97,-12),'Data Core CPI'!$B:$AY,MATCH($H$1,'Data Core CPI'!$B$1:$AY$1,),))/VLOOKUP(EDATE(B97,-12),'Data Core CPI'!$B:$AY,MATCH($H$1,'Data Core CPI'!$B$1:$AY$1,),)</f>
        <v>1.1907618060003022E-2</v>
      </c>
      <c r="I97" s="21">
        <f>(VLOOKUP(B97,'Data Core CPI'!$B:$AY,MATCH($I$1,'Data Core CPI'!$B$1:$AY$1,),)-VLOOKUP(EDATE(B97,-12),'Data Core CPI'!$B:$AY,MATCH($I$1,'Data Core CPI'!$B$1:$AY$1,),))/VLOOKUP(EDATE(B97,-12),'Data Core CPI'!$B:$AY,MATCH($I$1,'Data Core CPI'!$B$1:$AY$1,),)</f>
        <v>2.1359223300970901E-2</v>
      </c>
      <c r="J97" s="21">
        <f>(VLOOKUP(B97,'Data Core CPI'!$B:$AY,MATCH($J$1,'Data Core CPI'!$B$1:$AY$1,),)-VLOOKUP(EDATE(B97,-12),'Data Core CPI'!$B:$AY,MATCH($J$1,'Data Core CPI'!$B$1:$AY$1,),))/VLOOKUP(EDATE(B97,-12),'Data Core CPI'!$B:$AY,MATCH($J$1,'Data Core CPI'!$B$1:$AY$1,),)</f>
        <v>6.0104677353925752E-3</v>
      </c>
      <c r="K97" s="21">
        <f>(VLOOKUP(B97,'Data Core CPI'!$B:$AY,MATCH($K$1,'Data Core CPI'!$B$1:$AY$1,),)-VLOOKUP(EDATE(B97,-12),'Data Core CPI'!$B:$AY,MATCH($K$1,'Data Core CPI'!$B$1:$AY$1,),))/VLOOKUP(EDATE(B97,-12),'Data Core CPI'!$B:$AY,MATCH($K$1,'Data Core CPI'!$B$1:$AY$1,),)</f>
        <v>1.1319798411565387E-2</v>
      </c>
      <c r="L97" s="21">
        <f>(VLOOKUP(B97,'Data Core CPI'!$B:$AY,MATCH($L$1,'Data Core CPI'!$B$1:$AY$1,),)-VLOOKUP(EDATE(B97,-12),'Data Core CPI'!$B:$AY,MATCH($L$1,'Data Core CPI'!$B$1:$AY$1,),))/VLOOKUP(EDATE(B97,-12),'Data Core CPI'!$B:$AY,MATCH($L$1,'Data Core CPI'!$B$1:$AY$1,),)</f>
        <v>1.281610243419194E-2</v>
      </c>
      <c r="M97" s="21">
        <f>(VLOOKUP(B97,'Data Core CPI'!$B:$AY,MATCH($M$1,'Data Core CPI'!$B$1:$AY$1,),)-VLOOKUP(EDATE(B97,-12),'Data Core CPI'!$B:$AY,MATCH($M$1,'Data Core CPI'!$B$1:$AY$1,),))/VLOOKUP(EDATE(B97,-12),'Data Core CPI'!$B:$AY,MATCH($M$1,'Data Core CPI'!$B$1:$AY$1,),)</f>
        <v>4.0211722918318413E-2</v>
      </c>
      <c r="N97" s="21" t="e">
        <f>(VLOOKUP(B97,'Data Core CPI'!$B:$AY,MATCH($N$1,'Data Core CPI'!$B$1:$AY$1,),)-VLOOKUP(EDATE(B97,-12),'Data Core CPI'!$B:$AY,MATCH($N$1,'Data Core CPI'!$B$1:$AY$1,),))/VLOOKUP(EDATE(B97,-12),'Data Core CPI'!$B:$AY,MATCH($N$1,'Data Core CPI'!$B$1:$AY$1,),)</f>
        <v>#DIV/0!</v>
      </c>
      <c r="O97" s="21" t="e">
        <f>(VLOOKUP(B97,'Data Core CPI'!$B:$AY,MATCH($O$1,'Data Core CPI'!$B$1:$AY$1,),)-VLOOKUP(EDATE(B97,-12),'Data Core CPI'!$B:$AY,MATCH($O$1,'Data Core CPI'!$B$1:$AY$1,),))/VLOOKUP(EDATE(B97,-12),'Data Core CPI'!$B:$AY,MATCH($O$1,'Data Core CPI'!$B$1:$AY$1,),)</f>
        <v>#DIV/0!</v>
      </c>
      <c r="P97" s="21">
        <f>(VLOOKUP(B97,'Data Core CPI'!$B:$AY,MATCH($P$1,'Data Core CPI'!$B$1:$AY$1,),)-VLOOKUP(EDATE(B97,-12),'Data Core CPI'!$B:$AY,MATCH($P$1,'Data Core CPI'!$B$1:$AY$1,),))/VLOOKUP(EDATE(B97,-12),'Data Core CPI'!$B:$AY,MATCH($P$1,'Data Core CPI'!$B$1:$AY$1,),)</f>
        <v>2.0502453961671115E-2</v>
      </c>
      <c r="Q97" s="21" t="e">
        <f>(VLOOKUP(B97,'Data Core CPI'!$B:$AY,MATCH($Q$1,'Data Core CPI'!$B$1:$AY$1,),)-VLOOKUP(EDATE(B97,-12),'Data Core CPI'!$B:$AY,MATCH($Q$1,'Data Core CPI'!$B$1:$AY$1,),))/VLOOKUP(EDATE(B97,-12),'Data Core CPI'!$B:$AY,MATCH($Q$1,'Data Core CPI'!$B$1:$AY$1,),)</f>
        <v>#N/A</v>
      </c>
      <c r="R97" s="21">
        <f>(VLOOKUP(B97,'Data Core CPI'!$B:$AY,MATCH($R$1,'Data Core CPI'!$B$1:$AY$1,),)-VLOOKUP(EDATE(B97,-12),'Data Core CPI'!$B:$AY,MATCH($R$1,'Data Core CPI'!$B$1:$AY$1,),))/VLOOKUP(EDATE(B97,-12),'Data Core CPI'!$B:$AY,MATCH($R$1,'Data Core CPI'!$B$1:$AY$1,),)</f>
        <v>5.0768677155593874E-3</v>
      </c>
      <c r="S97" s="21" t="e">
        <f>(VLOOKUP(B97,'Data Core CPI'!$B:$AY,MATCH($S$1,'Data Core CPI'!$B$1:$AY$1,),)-VLOOKUP(EDATE(B97,-12),'Data Core CPI'!$B:$AY,MATCH($S$1,'Data Core CPI'!$B$1:$AY$1,),))/VLOOKUP(EDATE(B97,-12),'Data Core CPI'!$B:$AY,MATCH($S$1,'Data Core CPI'!$B$1:$AY$1,),)</f>
        <v>#DIV/0!</v>
      </c>
      <c r="T97" s="21" t="e">
        <f>(VLOOKUP(B97,'Data Core CPI'!$B:$AY,MATCH($T$1,'Data Core CPI'!$B$1:$AY$1,),)-VLOOKUP(EDATE(B97,-12),'Data Core CPI'!$B:$AY,MATCH($T$1,'Data Core CPI'!$B$1:$AY$1,),))/VLOOKUP(EDATE(B97,-12),'Data Core CPI'!$B:$AY,MATCH($T$1,'Data Core CPI'!$B$1:$AY$1,),)</f>
        <v>#DIV/0!</v>
      </c>
      <c r="U97" s="21">
        <f>(VLOOKUP(B97,'Data Core CPI'!$B:$AY,MATCH($U$1,'Data Core CPI'!$B$1:$AY$1,),)-VLOOKUP(EDATE(B97,-12),'Data Core CPI'!$B:$AY,MATCH($U$1,'Data Core CPI'!$B$1:$AY$1,),))/VLOOKUP(EDATE(B97,-12),'Data Core CPI'!$B:$AY,MATCH($U$1,'Data Core CPI'!$B$1:$AY$1,),)</f>
        <v>4.4306548266638611E-5</v>
      </c>
      <c r="V97" s="21">
        <f>(VLOOKUP(B97,'Data Core CPI'!$B:$AY,MATCH($V$1,'Data Core CPI'!$B$1:$AY$1,),)-VLOOKUP(EDATE(B97,-12),'Data Core CPI'!$B:$AY,MATCH($V$1,'Data Core CPI'!$B$1:$AY$1,),))/VLOOKUP(EDATE(B97,-12),'Data Core CPI'!$B:$AY,MATCH($V$1,'Data Core CPI'!$B$1:$AY$1,),)</f>
        <v>2.3768338715620678E-3</v>
      </c>
      <c r="W97" s="21">
        <f>(VLOOKUP(B97,'Data Core CPI'!$B:$AY,MATCH($W$1,'Data Core CPI'!$B$1:$AY$1,),)-VLOOKUP(EDATE(B97,-12),'Data Core CPI'!$B:$AY,MATCH($W$1,'Data Core CPI'!$B$1:$AY$1,),))/VLOOKUP(EDATE(B97,-12),'Data Core CPI'!$B:$AY,MATCH($W$1,'Data Core CPI'!$B$1:$AY$1,),)</f>
        <v>0.10405679997679682</v>
      </c>
      <c r="X97" s="21">
        <f>(VLOOKUP(B97,'Data Core CPI'!$B:$AY,MATCH($X$1,'Data Core CPI'!$B$1:$AY$1,),)-VLOOKUP(EDATE(B97,-12),'Data Core CPI'!$B:$AY,MATCH($X$1,'Data Core CPI'!$B$1:$AY$1,),))/VLOOKUP(EDATE(B97,-12),'Data Core CPI'!$B:$AY,MATCH($X$1,'Data Core CPI'!$B$1:$AY$1,),)</f>
        <v>1.9398642095053348E-2</v>
      </c>
      <c r="Y97" s="21">
        <f>(VLOOKUP(B97,'Data Core CPI'!$B:$AY,MATCH($Y$1,'Data Core CPI'!$B$1:$AY$1,),)-VLOOKUP(EDATE(B97,-12),'Data Core CPI'!$B:$AY,MATCH($Y$1,'Data Core CPI'!$B$1:$AY$1,),))/VLOOKUP(EDATE(B97,-12),'Data Core CPI'!$B:$AY,MATCH($Y$1,'Data Core CPI'!$B$1:$AY$1,),)</f>
        <v>6.9444375105464145E-3</v>
      </c>
      <c r="Z97" s="21" t="e">
        <f>(VLOOKUP(B97,Data!$B:$AY,MATCH($Z$1,Data!$B$1:$AY$1,),)-VLOOKUP(EDATE(B97,-12),Data!$B:$AY,MATCH($Z$1,Data!$B$1:$AY$1,),))/VLOOKUP(EDATE(B97,-12),Data!$B:$AY,MATCH($Z$1,Data!$B$1:$AY$1,),)</f>
        <v>#N/A</v>
      </c>
      <c r="AA97" s="21" t="e">
        <f>(VLOOKUP(B97,Data!$B:$AY,MATCH($AA$1,Data!$B$1:$AY$1,),)-VLOOKUP(EDATE(B97,-12),Data!$B:$AY,MATCH($AA$1,Data!$B$1:$AY$1,),))/VLOOKUP(EDATE(B97,-12),Data!$B:$AY,MATCH($AA$1,Data!$B$1:$AY$1,),)</f>
        <v>#N/A</v>
      </c>
      <c r="AB97" s="20"/>
    </row>
    <row r="98" spans="2:28" s="3" customFormat="1" x14ac:dyDescent="0.2">
      <c r="B98" s="16">
        <v>43191</v>
      </c>
      <c r="C98" s="21">
        <f>(VLOOKUP(B98,'Data Core CPI'!$B:$AY,MATCH($C$1,'Data Core CPI'!$B$1:$AY$1,),)-VLOOKUP(EDATE(B98,-12),'Data Core CPI'!$B:$AY,MATCH($C$1,'Data Core CPI'!$B$1:$AY$1,),))/VLOOKUP(EDATE(B98,-12),'Data Core CPI'!$B:$AY,MATCH($C$1,'Data Core CPI'!$B$1:$AY$1,),)</f>
        <v>2.1391336994662009E-2</v>
      </c>
      <c r="D98" s="21" t="e">
        <f>(VLOOKUP(B98,'Data Core CPI'!$B:$AY,MATCH($D$1,'Data Core CPI'!$B$1:$AY$1,),)-VLOOKUP(EDATE(B98,-12),'Data Core CPI'!$B:$AY,MATCH($D$1,'Data Core CPI'!$B$1:$AY$1,),))/VLOOKUP(EDATE(B98,-12),'Data Core CPI'!$B:$AY,MATCH($D$1,'Data Core CPI'!$B$1:$AY$1,),)</f>
        <v>#DIV/0!</v>
      </c>
      <c r="E98" s="21">
        <f>(VLOOKUP(B98,'Data Core CPI'!$B:$AY,MATCH($E$1,'Data Core CPI'!$B$1:$AY$1,),)-VLOOKUP(EDATE(B98,-12),'Data Core CPI'!$B:$AY,MATCH($E$1,'Data Core CPI'!$B$1:$AY$1,),))/VLOOKUP(EDATE(B98,-12),'Data Core CPI'!$B:$AY,MATCH($E$1,'Data Core CPI'!$B$1:$AY$1,),)</f>
        <v>7.3320950239515103E-3</v>
      </c>
      <c r="F98" s="21">
        <f>(VLOOKUP(B98,'Data Core CPI'!$B:$AY,MATCH($F$1,'Data Core CPI'!$B$1:$AY$1,),)-VLOOKUP(EDATE(B98,-12),'Data Core CPI'!$B:$AY,MATCH($F$1,'Data Core CPI'!$B$1:$AY$1,),))/VLOOKUP(EDATE(B98,-12),'Data Core CPI'!$B:$AY,MATCH($F$1,'Data Core CPI'!$B$1:$AY$1,),)</f>
        <v>1.3741803462336108E-3</v>
      </c>
      <c r="G98" s="21">
        <f>(VLOOKUP(B98,'Data Core CPI'!$B:$AY,MATCH($G$1,'Data Core CPI'!$B$1:$AY$1,),)-VLOOKUP(EDATE(B98,-12),'Data Core CPI'!$B:$AY,MATCH($G$1,'Data Core CPI'!$B$1:$AY$1,),))/VLOOKUP(EDATE(B98,-12),'Data Core CPI'!$B:$AY,MATCH($G$1,'Data Core CPI'!$B$1:$AY$1,),)</f>
        <v>1.060150890961218E-2</v>
      </c>
      <c r="H98" s="21">
        <f>(VLOOKUP(B98,'Data Core CPI'!$B:$AY,MATCH($H$1,'Data Core CPI'!$B$1:$AY$1,),)-VLOOKUP(EDATE(B98,-12),'Data Core CPI'!$B:$AY,MATCH($H$1,'Data Core CPI'!$B$1:$AY$1,),))/VLOOKUP(EDATE(B98,-12),'Data Core CPI'!$B:$AY,MATCH($H$1,'Data Core CPI'!$B$1:$AY$1,),)</f>
        <v>1.1377471932467667E-2</v>
      </c>
      <c r="I98" s="21">
        <f>(VLOOKUP(B98,'Data Core CPI'!$B:$AY,MATCH($I$1,'Data Core CPI'!$B$1:$AY$1,),)-VLOOKUP(EDATE(B98,-12),'Data Core CPI'!$B:$AY,MATCH($I$1,'Data Core CPI'!$B$1:$AY$1,),))/VLOOKUP(EDATE(B98,-12),'Data Core CPI'!$B:$AY,MATCH($I$1,'Data Core CPI'!$B$1:$AY$1,),)</f>
        <v>1.9305019305019305E-2</v>
      </c>
      <c r="J98" s="21">
        <f>(VLOOKUP(B98,'Data Core CPI'!$B:$AY,MATCH($J$1,'Data Core CPI'!$B$1:$AY$1,),)-VLOOKUP(EDATE(B98,-12),'Data Core CPI'!$B:$AY,MATCH($J$1,'Data Core CPI'!$B$1:$AY$1,),))/VLOOKUP(EDATE(B98,-12),'Data Core CPI'!$B:$AY,MATCH($J$1,'Data Core CPI'!$B$1:$AY$1,),)</f>
        <v>3.1555630476766119E-3</v>
      </c>
      <c r="K98" s="21">
        <f>(VLOOKUP(B98,'Data Core CPI'!$B:$AY,MATCH($K$1,'Data Core CPI'!$B$1:$AY$1,),)-VLOOKUP(EDATE(B98,-12),'Data Core CPI'!$B:$AY,MATCH($K$1,'Data Core CPI'!$B$1:$AY$1,),))/VLOOKUP(EDATE(B98,-12),'Data Core CPI'!$B:$AY,MATCH($K$1,'Data Core CPI'!$B$1:$AY$1,),)</f>
        <v>6.8213809489412183E-3</v>
      </c>
      <c r="L98" s="21">
        <f>(VLOOKUP(B98,'Data Core CPI'!$B:$AY,MATCH($L$1,'Data Core CPI'!$B$1:$AY$1,),)-VLOOKUP(EDATE(B98,-12),'Data Core CPI'!$B:$AY,MATCH($L$1,'Data Core CPI'!$B$1:$AY$1,),))/VLOOKUP(EDATE(B98,-12),'Data Core CPI'!$B:$AY,MATCH($L$1,'Data Core CPI'!$B$1:$AY$1,),)</f>
        <v>1.0459084336029035E-2</v>
      </c>
      <c r="M98" s="21">
        <f>(VLOOKUP(B98,'Data Core CPI'!$B:$AY,MATCH($M$1,'Data Core CPI'!$B$1:$AY$1,),)-VLOOKUP(EDATE(B98,-12),'Data Core CPI'!$B:$AY,MATCH($M$1,'Data Core CPI'!$B$1:$AY$1,),))/VLOOKUP(EDATE(B98,-12),'Data Core CPI'!$B:$AY,MATCH($M$1,'Data Core CPI'!$B$1:$AY$1,),)</f>
        <v>3.7277489464099138E-2</v>
      </c>
      <c r="N98" s="21" t="e">
        <f>(VLOOKUP(B98,'Data Core CPI'!$B:$AY,MATCH($N$1,'Data Core CPI'!$B$1:$AY$1,),)-VLOOKUP(EDATE(B98,-12),'Data Core CPI'!$B:$AY,MATCH($N$1,'Data Core CPI'!$B$1:$AY$1,),))/VLOOKUP(EDATE(B98,-12),'Data Core CPI'!$B:$AY,MATCH($N$1,'Data Core CPI'!$B$1:$AY$1,),)</f>
        <v>#DIV/0!</v>
      </c>
      <c r="O98" s="21" t="e">
        <f>(VLOOKUP(B98,'Data Core CPI'!$B:$AY,MATCH($O$1,'Data Core CPI'!$B$1:$AY$1,),)-VLOOKUP(EDATE(B98,-12),'Data Core CPI'!$B:$AY,MATCH($O$1,'Data Core CPI'!$B$1:$AY$1,),))/VLOOKUP(EDATE(B98,-12),'Data Core CPI'!$B:$AY,MATCH($O$1,'Data Core CPI'!$B$1:$AY$1,),)</f>
        <v>#DIV/0!</v>
      </c>
      <c r="P98" s="21">
        <f>(VLOOKUP(B98,'Data Core CPI'!$B:$AY,MATCH($P$1,'Data Core CPI'!$B$1:$AY$1,),)-VLOOKUP(EDATE(B98,-12),'Data Core CPI'!$B:$AY,MATCH($P$1,'Data Core CPI'!$B$1:$AY$1,),))/VLOOKUP(EDATE(B98,-12),'Data Core CPI'!$B:$AY,MATCH($P$1,'Data Core CPI'!$B$1:$AY$1,),)</f>
        <v>2.0123323096659783E-2</v>
      </c>
      <c r="Q98" s="21" t="e">
        <f>(VLOOKUP(B98,'Data Core CPI'!$B:$AY,MATCH($Q$1,'Data Core CPI'!$B$1:$AY$1,),)-VLOOKUP(EDATE(B98,-12),'Data Core CPI'!$B:$AY,MATCH($Q$1,'Data Core CPI'!$B$1:$AY$1,),))/VLOOKUP(EDATE(B98,-12),'Data Core CPI'!$B:$AY,MATCH($Q$1,'Data Core CPI'!$B$1:$AY$1,),)</f>
        <v>#N/A</v>
      </c>
      <c r="R98" s="21">
        <f>(VLOOKUP(B98,'Data Core CPI'!$B:$AY,MATCH($R$1,'Data Core CPI'!$B$1:$AY$1,),)-VLOOKUP(EDATE(B98,-12),'Data Core CPI'!$B:$AY,MATCH($R$1,'Data Core CPI'!$B$1:$AY$1,),))/VLOOKUP(EDATE(B98,-12),'Data Core CPI'!$B:$AY,MATCH($R$1,'Data Core CPI'!$B$1:$AY$1,),)</f>
        <v>3.3812939603094947E-3</v>
      </c>
      <c r="S98" s="21" t="e">
        <f>(VLOOKUP(B98,'Data Core CPI'!$B:$AY,MATCH($S$1,'Data Core CPI'!$B$1:$AY$1,),)-VLOOKUP(EDATE(B98,-12),'Data Core CPI'!$B:$AY,MATCH($S$1,'Data Core CPI'!$B$1:$AY$1,),))/VLOOKUP(EDATE(B98,-12),'Data Core CPI'!$B:$AY,MATCH($S$1,'Data Core CPI'!$B$1:$AY$1,),)</f>
        <v>#DIV/0!</v>
      </c>
      <c r="T98" s="21" t="e">
        <f>(VLOOKUP(B98,'Data Core CPI'!$B:$AY,MATCH($T$1,'Data Core CPI'!$B$1:$AY$1,),)-VLOOKUP(EDATE(B98,-12),'Data Core CPI'!$B:$AY,MATCH($T$1,'Data Core CPI'!$B$1:$AY$1,),))/VLOOKUP(EDATE(B98,-12),'Data Core CPI'!$B:$AY,MATCH($T$1,'Data Core CPI'!$B$1:$AY$1,),)</f>
        <v>#DIV/0!</v>
      </c>
      <c r="U98" s="21">
        <f>(VLOOKUP(B98,'Data Core CPI'!$B:$AY,MATCH($U$1,'Data Core CPI'!$B$1:$AY$1,),)-VLOOKUP(EDATE(B98,-12),'Data Core CPI'!$B:$AY,MATCH($U$1,'Data Core CPI'!$B$1:$AY$1,),))/VLOOKUP(EDATE(B98,-12),'Data Core CPI'!$B:$AY,MATCH($U$1,'Data Core CPI'!$B$1:$AY$1,),)</f>
        <v>2.8206483807407066E-3</v>
      </c>
      <c r="V98" s="21">
        <f>(VLOOKUP(B98,'Data Core CPI'!$B:$AY,MATCH($V$1,'Data Core CPI'!$B$1:$AY$1,),)-VLOOKUP(EDATE(B98,-12),'Data Core CPI'!$B:$AY,MATCH($V$1,'Data Core CPI'!$B$1:$AY$1,),))/VLOOKUP(EDATE(B98,-12),'Data Core CPI'!$B:$AY,MATCH($V$1,'Data Core CPI'!$B$1:$AY$1,),)</f>
        <v>-5.4043008449807641E-3</v>
      </c>
      <c r="W98" s="21">
        <f>(VLOOKUP(B98,'Data Core CPI'!$B:$AY,MATCH($W$1,'Data Core CPI'!$B$1:$AY$1,),)-VLOOKUP(EDATE(B98,-12),'Data Core CPI'!$B:$AY,MATCH($W$1,'Data Core CPI'!$B$1:$AY$1,),))/VLOOKUP(EDATE(B98,-12),'Data Core CPI'!$B:$AY,MATCH($W$1,'Data Core CPI'!$B$1:$AY$1,),)</f>
        <v>0.11194533752618074</v>
      </c>
      <c r="X98" s="21">
        <f>(VLOOKUP(B98,'Data Core CPI'!$B:$AY,MATCH($X$1,'Data Core CPI'!$B$1:$AY$1,),)-VLOOKUP(EDATE(B98,-12),'Data Core CPI'!$B:$AY,MATCH($X$1,'Data Core CPI'!$B$1:$AY$1,),))/VLOOKUP(EDATE(B98,-12),'Data Core CPI'!$B:$AY,MATCH($X$1,'Data Core CPI'!$B$1:$AY$1,),)</f>
        <v>2.3233301064859688E-2</v>
      </c>
      <c r="Y98" s="21">
        <f>(VLOOKUP(B98,'Data Core CPI'!$B:$AY,MATCH($Y$1,'Data Core CPI'!$B$1:$AY$1,),)-VLOOKUP(EDATE(B98,-12),'Data Core CPI'!$B:$AY,MATCH($Y$1,'Data Core CPI'!$B$1:$AY$1,),))/VLOOKUP(EDATE(B98,-12),'Data Core CPI'!$B:$AY,MATCH($Y$1,'Data Core CPI'!$B$1:$AY$1,),)</f>
        <v>6.0400533144370338E-3</v>
      </c>
      <c r="Z98" s="21" t="e">
        <f>(VLOOKUP(B98,Data!$B:$AY,MATCH($Z$1,Data!$B$1:$AY$1,),)-VLOOKUP(EDATE(B98,-12),Data!$B:$AY,MATCH($Z$1,Data!$B$1:$AY$1,),))/VLOOKUP(EDATE(B98,-12),Data!$B:$AY,MATCH($Z$1,Data!$B$1:$AY$1,),)</f>
        <v>#N/A</v>
      </c>
      <c r="AA98" s="21" t="e">
        <f>(VLOOKUP(B98,Data!$B:$AY,MATCH($AA$1,Data!$B$1:$AY$1,),)-VLOOKUP(EDATE(B98,-12),Data!$B:$AY,MATCH($AA$1,Data!$B$1:$AY$1,),))/VLOOKUP(EDATE(B98,-12),Data!$B:$AY,MATCH($AA$1,Data!$B$1:$AY$1,),)</f>
        <v>#N/A</v>
      </c>
      <c r="AB98" s="20"/>
    </row>
    <row r="99" spans="2:28" s="3" customFormat="1" x14ac:dyDescent="0.2">
      <c r="B99" s="16">
        <v>43221</v>
      </c>
      <c r="C99" s="21">
        <f>(VLOOKUP(B99,'Data Core CPI'!$B:$AY,MATCH($C$1,'Data Core CPI'!$B$1:$AY$1,),)-VLOOKUP(EDATE(B99,-12),'Data Core CPI'!$B:$AY,MATCH($C$1,'Data Core CPI'!$B$1:$AY$1,),))/VLOOKUP(EDATE(B99,-12),'Data Core CPI'!$B:$AY,MATCH($C$1,'Data Core CPI'!$B$1:$AY$1,),)</f>
        <v>2.2371491618746742E-2</v>
      </c>
      <c r="D99" s="21" t="e">
        <f>(VLOOKUP(B99,'Data Core CPI'!$B:$AY,MATCH($D$1,'Data Core CPI'!$B$1:$AY$1,),)-VLOOKUP(EDATE(B99,-12),'Data Core CPI'!$B:$AY,MATCH($D$1,'Data Core CPI'!$B$1:$AY$1,),))/VLOOKUP(EDATE(B99,-12),'Data Core CPI'!$B:$AY,MATCH($D$1,'Data Core CPI'!$B$1:$AY$1,),)</f>
        <v>#DIV/0!</v>
      </c>
      <c r="E99" s="21">
        <f>(VLOOKUP(B99,'Data Core CPI'!$B:$AY,MATCH($E$1,'Data Core CPI'!$B$1:$AY$1,),)-VLOOKUP(EDATE(B99,-12),'Data Core CPI'!$B:$AY,MATCH($E$1,'Data Core CPI'!$B$1:$AY$1,),))/VLOOKUP(EDATE(B99,-12),'Data Core CPI'!$B:$AY,MATCH($E$1,'Data Core CPI'!$B$1:$AY$1,),)</f>
        <v>1.2322738386308119E-2</v>
      </c>
      <c r="F99" s="21">
        <f>(VLOOKUP(B99,'Data Core CPI'!$B:$AY,MATCH($F$1,'Data Core CPI'!$B$1:$AY$1,),)-VLOOKUP(EDATE(B99,-12),'Data Core CPI'!$B:$AY,MATCH($F$1,'Data Core CPI'!$B$1:$AY$1,),))/VLOOKUP(EDATE(B99,-12),'Data Core CPI'!$B:$AY,MATCH($F$1,'Data Core CPI'!$B$1:$AY$1,),)</f>
        <v>6.7778863743584057E-4</v>
      </c>
      <c r="G99" s="21">
        <f>(VLOOKUP(B99,'Data Core CPI'!$B:$AY,MATCH($G$1,'Data Core CPI'!$B$1:$AY$1,),)-VLOOKUP(EDATE(B99,-12),'Data Core CPI'!$B:$AY,MATCH($G$1,'Data Core CPI'!$B$1:$AY$1,),))/VLOOKUP(EDATE(B99,-12),'Data Core CPI'!$B:$AY,MATCH($G$1,'Data Core CPI'!$B$1:$AY$1,),)</f>
        <v>1.596697767573637E-2</v>
      </c>
      <c r="H99" s="21">
        <f>(VLOOKUP(B99,'Data Core CPI'!$B:$AY,MATCH($H$1,'Data Core CPI'!$B$1:$AY$1,),)-VLOOKUP(EDATE(B99,-12),'Data Core CPI'!$B:$AY,MATCH($H$1,'Data Core CPI'!$B$1:$AY$1,),))/VLOOKUP(EDATE(B99,-12),'Data Core CPI'!$B:$AY,MATCH($H$1,'Data Core CPI'!$B$1:$AY$1,),)</f>
        <v>1.2207787583309112E-2</v>
      </c>
      <c r="I99" s="21">
        <f>(VLOOKUP(B99,'Data Core CPI'!$B:$AY,MATCH($I$1,'Data Core CPI'!$B$1:$AY$1,),)-VLOOKUP(EDATE(B99,-12),'Data Core CPI'!$B:$AY,MATCH($I$1,'Data Core CPI'!$B$1:$AY$1,),))/VLOOKUP(EDATE(B99,-12),'Data Core CPI'!$B:$AY,MATCH($I$1,'Data Core CPI'!$B$1:$AY$1,),)</f>
        <v>1.9249278152069296E-2</v>
      </c>
      <c r="J99" s="21">
        <f>(VLOOKUP(B99,'Data Core CPI'!$B:$AY,MATCH($J$1,'Data Core CPI'!$B$1:$AY$1,),)-VLOOKUP(EDATE(B99,-12),'Data Core CPI'!$B:$AY,MATCH($J$1,'Data Core CPI'!$B$1:$AY$1,),))/VLOOKUP(EDATE(B99,-12),'Data Core CPI'!$B:$AY,MATCH($J$1,'Data Core CPI'!$B$1:$AY$1,),)</f>
        <v>6.6321241475135765E-3</v>
      </c>
      <c r="K99" s="21">
        <f>(VLOOKUP(B99,'Data Core CPI'!$B:$AY,MATCH($K$1,'Data Core CPI'!$B$1:$AY$1,),)-VLOOKUP(EDATE(B99,-12),'Data Core CPI'!$B:$AY,MATCH($K$1,'Data Core CPI'!$B$1:$AY$1,),))/VLOOKUP(EDATE(B99,-12),'Data Core CPI'!$B:$AY,MATCH($K$1,'Data Core CPI'!$B$1:$AY$1,),)</f>
        <v>1.1132955108957543E-2</v>
      </c>
      <c r="L99" s="21">
        <f>(VLOOKUP(B99,'Data Core CPI'!$B:$AY,MATCH($L$1,'Data Core CPI'!$B$1:$AY$1,),)-VLOOKUP(EDATE(B99,-12),'Data Core CPI'!$B:$AY,MATCH($L$1,'Data Core CPI'!$B$1:$AY$1,),))/VLOOKUP(EDATE(B99,-12),'Data Core CPI'!$B:$AY,MATCH($L$1,'Data Core CPI'!$B$1:$AY$1,),)</f>
        <v>1.0050614535290861E-2</v>
      </c>
      <c r="M99" s="21">
        <f>(VLOOKUP(B99,'Data Core CPI'!$B:$AY,MATCH($M$1,'Data Core CPI'!$B$1:$AY$1,),)-VLOOKUP(EDATE(B99,-12),'Data Core CPI'!$B:$AY,MATCH($M$1,'Data Core CPI'!$B$1:$AY$1,),))/VLOOKUP(EDATE(B99,-12),'Data Core CPI'!$B:$AY,MATCH($M$1,'Data Core CPI'!$B$1:$AY$1,),)</f>
        <v>3.6243463374337953E-2</v>
      </c>
      <c r="N99" s="21" t="e">
        <f>(VLOOKUP(B99,'Data Core CPI'!$B:$AY,MATCH($N$1,'Data Core CPI'!$B$1:$AY$1,),)-VLOOKUP(EDATE(B99,-12),'Data Core CPI'!$B:$AY,MATCH($N$1,'Data Core CPI'!$B$1:$AY$1,),))/VLOOKUP(EDATE(B99,-12),'Data Core CPI'!$B:$AY,MATCH($N$1,'Data Core CPI'!$B$1:$AY$1,),)</f>
        <v>#DIV/0!</v>
      </c>
      <c r="O99" s="21" t="e">
        <f>(VLOOKUP(B99,'Data Core CPI'!$B:$AY,MATCH($O$1,'Data Core CPI'!$B$1:$AY$1,),)-VLOOKUP(EDATE(B99,-12),'Data Core CPI'!$B:$AY,MATCH($O$1,'Data Core CPI'!$B$1:$AY$1,),))/VLOOKUP(EDATE(B99,-12),'Data Core CPI'!$B:$AY,MATCH($O$1,'Data Core CPI'!$B$1:$AY$1,),)</f>
        <v>#DIV/0!</v>
      </c>
      <c r="P99" s="21">
        <f>(VLOOKUP(B99,'Data Core CPI'!$B:$AY,MATCH($P$1,'Data Core CPI'!$B$1:$AY$1,),)-VLOOKUP(EDATE(B99,-12),'Data Core CPI'!$B:$AY,MATCH($P$1,'Data Core CPI'!$B$1:$AY$1,),))/VLOOKUP(EDATE(B99,-12),'Data Core CPI'!$B:$AY,MATCH($P$1,'Data Core CPI'!$B$1:$AY$1,),)</f>
        <v>1.6550209007642227E-2</v>
      </c>
      <c r="Q99" s="21" t="e">
        <f>(VLOOKUP(B99,'Data Core CPI'!$B:$AY,MATCH($Q$1,'Data Core CPI'!$B$1:$AY$1,),)-VLOOKUP(EDATE(B99,-12),'Data Core CPI'!$B:$AY,MATCH($Q$1,'Data Core CPI'!$B$1:$AY$1,),))/VLOOKUP(EDATE(B99,-12),'Data Core CPI'!$B:$AY,MATCH($Q$1,'Data Core CPI'!$B$1:$AY$1,),)</f>
        <v>#N/A</v>
      </c>
      <c r="R99" s="21">
        <f>(VLOOKUP(B99,'Data Core CPI'!$B:$AY,MATCH($R$1,'Data Core CPI'!$B$1:$AY$1,),)-VLOOKUP(EDATE(B99,-12),'Data Core CPI'!$B:$AY,MATCH($R$1,'Data Core CPI'!$B$1:$AY$1,),))/VLOOKUP(EDATE(B99,-12),'Data Core CPI'!$B:$AY,MATCH($R$1,'Data Core CPI'!$B$1:$AY$1,),)</f>
        <v>2.992459122470848E-3</v>
      </c>
      <c r="S99" s="21" t="e">
        <f>(VLOOKUP(B99,'Data Core CPI'!$B:$AY,MATCH($S$1,'Data Core CPI'!$B$1:$AY$1,),)-VLOOKUP(EDATE(B99,-12),'Data Core CPI'!$B:$AY,MATCH($S$1,'Data Core CPI'!$B$1:$AY$1,),))/VLOOKUP(EDATE(B99,-12),'Data Core CPI'!$B:$AY,MATCH($S$1,'Data Core CPI'!$B$1:$AY$1,),)</f>
        <v>#DIV/0!</v>
      </c>
      <c r="T99" s="21" t="e">
        <f>(VLOOKUP(B99,'Data Core CPI'!$B:$AY,MATCH($T$1,'Data Core CPI'!$B$1:$AY$1,),)-VLOOKUP(EDATE(B99,-12),'Data Core CPI'!$B:$AY,MATCH($T$1,'Data Core CPI'!$B$1:$AY$1,),))/VLOOKUP(EDATE(B99,-12),'Data Core CPI'!$B:$AY,MATCH($T$1,'Data Core CPI'!$B$1:$AY$1,),)</f>
        <v>#DIV/0!</v>
      </c>
      <c r="U99" s="21">
        <f>(VLOOKUP(B99,'Data Core CPI'!$B:$AY,MATCH($U$1,'Data Core CPI'!$B$1:$AY$1,),)-VLOOKUP(EDATE(B99,-12),'Data Core CPI'!$B:$AY,MATCH($U$1,'Data Core CPI'!$B$1:$AY$1,),))/VLOOKUP(EDATE(B99,-12),'Data Core CPI'!$B:$AY,MATCH($U$1,'Data Core CPI'!$B$1:$AY$1,),)</f>
        <v>1.4357582373947769E-3</v>
      </c>
      <c r="V99" s="21">
        <f>(VLOOKUP(B99,'Data Core CPI'!$B:$AY,MATCH($V$1,'Data Core CPI'!$B$1:$AY$1,),)-VLOOKUP(EDATE(B99,-12),'Data Core CPI'!$B:$AY,MATCH($V$1,'Data Core CPI'!$B$1:$AY$1,),))/VLOOKUP(EDATE(B99,-12),'Data Core CPI'!$B:$AY,MATCH($V$1,'Data Core CPI'!$B$1:$AY$1,),)</f>
        <v>1.6383306356013568E-3</v>
      </c>
      <c r="W99" s="21">
        <f>(VLOOKUP(B99,'Data Core CPI'!$B:$AY,MATCH($W$1,'Data Core CPI'!$B$1:$AY$1,),)-VLOOKUP(EDATE(B99,-12),'Data Core CPI'!$B:$AY,MATCH($W$1,'Data Core CPI'!$B$1:$AY$1,),))/VLOOKUP(EDATE(B99,-12),'Data Core CPI'!$B:$AY,MATCH($W$1,'Data Core CPI'!$B$1:$AY$1,),)</f>
        <v>0.11802552315836635</v>
      </c>
      <c r="X99" s="21">
        <f>(VLOOKUP(B99,'Data Core CPI'!$B:$AY,MATCH($X$1,'Data Core CPI'!$B$1:$AY$1,),)-VLOOKUP(EDATE(B99,-12),'Data Core CPI'!$B:$AY,MATCH($X$1,'Data Core CPI'!$B$1:$AY$1,),))/VLOOKUP(EDATE(B99,-12),'Data Core CPI'!$B:$AY,MATCH($X$1,'Data Core CPI'!$B$1:$AY$1,),)</f>
        <v>2.3188405797101505E-2</v>
      </c>
      <c r="Y99" s="21">
        <f>(VLOOKUP(B99,'Data Core CPI'!$B:$AY,MATCH($Y$1,'Data Core CPI'!$B$1:$AY$1,),)-VLOOKUP(EDATE(B99,-12),'Data Core CPI'!$B:$AY,MATCH($Y$1,'Data Core CPI'!$B$1:$AY$1,),))/VLOOKUP(EDATE(B99,-12),'Data Core CPI'!$B:$AY,MATCH($Y$1,'Data Core CPI'!$B$1:$AY$1,),)</f>
        <v>6.0442736839178262E-3</v>
      </c>
      <c r="Z99" s="21" t="e">
        <f>(VLOOKUP(B99,Data!$B:$AY,MATCH($Z$1,Data!$B$1:$AY$1,),)-VLOOKUP(EDATE(B99,-12),Data!$B:$AY,MATCH($Z$1,Data!$B$1:$AY$1,),))/VLOOKUP(EDATE(B99,-12),Data!$B:$AY,MATCH($Z$1,Data!$B$1:$AY$1,),)</f>
        <v>#N/A</v>
      </c>
      <c r="AA99" s="21" t="e">
        <f>(VLOOKUP(B99,Data!$B:$AY,MATCH($AA$1,Data!$B$1:$AY$1,),)-VLOOKUP(EDATE(B99,-12),Data!$B:$AY,MATCH($AA$1,Data!$B$1:$AY$1,),))/VLOOKUP(EDATE(B99,-12),Data!$B:$AY,MATCH($AA$1,Data!$B$1:$AY$1,),)</f>
        <v>#N/A</v>
      </c>
    </row>
    <row r="100" spans="2:28" s="3" customFormat="1" x14ac:dyDescent="0.2">
      <c r="B100" s="16">
        <v>43252</v>
      </c>
      <c r="C100" s="21">
        <f>(VLOOKUP(B100,'Data Core CPI'!$B:$AY,MATCH($C$1,'Data Core CPI'!$B$1:$AY$1,),)-VLOOKUP(EDATE(B100,-12),'Data Core CPI'!$B:$AY,MATCH($C$1,'Data Core CPI'!$B$1:$AY$1,),))/VLOOKUP(EDATE(B100,-12),'Data Core CPI'!$B:$AY,MATCH($C$1,'Data Core CPI'!$B$1:$AY$1,),)</f>
        <v>2.2549770695775635E-2</v>
      </c>
      <c r="D100" s="21" t="e">
        <f>(VLOOKUP(B100,'Data Core CPI'!$B:$AY,MATCH($D$1,'Data Core CPI'!$B$1:$AY$1,),)-VLOOKUP(EDATE(B100,-12),'Data Core CPI'!$B:$AY,MATCH($D$1,'Data Core CPI'!$B$1:$AY$1,),))/VLOOKUP(EDATE(B100,-12),'Data Core CPI'!$B:$AY,MATCH($D$1,'Data Core CPI'!$B$1:$AY$1,),)</f>
        <v>#DIV/0!</v>
      </c>
      <c r="E100" s="21">
        <f>(VLOOKUP(B100,'Data Core CPI'!$B:$AY,MATCH($E$1,'Data Core CPI'!$B$1:$AY$1,),)-VLOOKUP(EDATE(B100,-12),'Data Core CPI'!$B:$AY,MATCH($E$1,'Data Core CPI'!$B$1:$AY$1,),))/VLOOKUP(EDATE(B100,-12),'Data Core CPI'!$B:$AY,MATCH($E$1,'Data Core CPI'!$B$1:$AY$1,),)</f>
        <v>9.6519450131618331E-3</v>
      </c>
      <c r="F100" s="21">
        <f>(VLOOKUP(B100,'Data Core CPI'!$B:$AY,MATCH($F$1,'Data Core CPI'!$B$1:$AY$1,),)-VLOOKUP(EDATE(B100,-12),'Data Core CPI'!$B:$AY,MATCH($F$1,'Data Core CPI'!$B$1:$AY$1,),))/VLOOKUP(EDATE(B100,-12),'Data Core CPI'!$B:$AY,MATCH($F$1,'Data Core CPI'!$B$1:$AY$1,),)</f>
        <v>1.0062519259900788E-3</v>
      </c>
      <c r="G100" s="21">
        <f>(VLOOKUP(B100,'Data Core CPI'!$B:$AY,MATCH($G$1,'Data Core CPI'!$B$1:$AY$1,),)-VLOOKUP(EDATE(B100,-12),'Data Core CPI'!$B:$AY,MATCH($G$1,'Data Core CPI'!$B$1:$AY$1,),))/VLOOKUP(EDATE(B100,-12),'Data Core CPI'!$B:$AY,MATCH($G$1,'Data Core CPI'!$B$1:$AY$1,),)</f>
        <v>1.1843346199842557E-2</v>
      </c>
      <c r="H100" s="21">
        <f>(VLOOKUP(B100,'Data Core CPI'!$B:$AY,MATCH($H$1,'Data Core CPI'!$B$1:$AY$1,),)-VLOOKUP(EDATE(B100,-12),'Data Core CPI'!$B:$AY,MATCH($H$1,'Data Core CPI'!$B$1:$AY$1,),))/VLOOKUP(EDATE(B100,-12),'Data Core CPI'!$B:$AY,MATCH($H$1,'Data Core CPI'!$B$1:$AY$1,),)</f>
        <v>9.8965424300435558E-3</v>
      </c>
      <c r="I100" s="21">
        <f>(VLOOKUP(B100,'Data Core CPI'!$B:$AY,MATCH($I$1,'Data Core CPI'!$B$1:$AY$1,),)-VLOOKUP(EDATE(B100,-12),'Data Core CPI'!$B:$AY,MATCH($I$1,'Data Core CPI'!$B$1:$AY$1,),))/VLOOKUP(EDATE(B100,-12),'Data Core CPI'!$B:$AY,MATCH($I$1,'Data Core CPI'!$B$1:$AY$1,),)</f>
        <v>1.7307692307692281E-2</v>
      </c>
      <c r="J100" s="21">
        <f>(VLOOKUP(B100,'Data Core CPI'!$B:$AY,MATCH($J$1,'Data Core CPI'!$B$1:$AY$1,),)-VLOOKUP(EDATE(B100,-12),'Data Core CPI'!$B:$AY,MATCH($J$1,'Data Core CPI'!$B$1:$AY$1,),))/VLOOKUP(EDATE(B100,-12),'Data Core CPI'!$B:$AY,MATCH($J$1,'Data Core CPI'!$B$1:$AY$1,),)</f>
        <v>7.1757253207362067E-3</v>
      </c>
      <c r="K100" s="21">
        <f>(VLOOKUP(B100,'Data Core CPI'!$B:$AY,MATCH($K$1,'Data Core CPI'!$B$1:$AY$1,),)-VLOOKUP(EDATE(B100,-12),'Data Core CPI'!$B:$AY,MATCH($K$1,'Data Core CPI'!$B$1:$AY$1,),))/VLOOKUP(EDATE(B100,-12),'Data Core CPI'!$B:$AY,MATCH($K$1,'Data Core CPI'!$B$1:$AY$1,),)</f>
        <v>9.7142884970318425E-3</v>
      </c>
      <c r="L100" s="21">
        <f>(VLOOKUP(B100,'Data Core CPI'!$B:$AY,MATCH($L$1,'Data Core CPI'!$B$1:$AY$1,),)-VLOOKUP(EDATE(B100,-12),'Data Core CPI'!$B:$AY,MATCH($L$1,'Data Core CPI'!$B$1:$AY$1,),))/VLOOKUP(EDATE(B100,-12),'Data Core CPI'!$B:$AY,MATCH($L$1,'Data Core CPI'!$B$1:$AY$1,),)</f>
        <v>9.6950911843148579E-3</v>
      </c>
      <c r="M100" s="21">
        <f>(VLOOKUP(B100,'Data Core CPI'!$B:$AY,MATCH($M$1,'Data Core CPI'!$B$1:$AY$1,),)-VLOOKUP(EDATE(B100,-12),'Data Core CPI'!$B:$AY,MATCH($M$1,'Data Core CPI'!$B$1:$AY$1,),))/VLOOKUP(EDATE(B100,-12),'Data Core CPI'!$B:$AY,MATCH($M$1,'Data Core CPI'!$B$1:$AY$1,),)</f>
        <v>3.5824650998080264E-2</v>
      </c>
      <c r="N100" s="21" t="e">
        <f>(VLOOKUP(B100,'Data Core CPI'!$B:$AY,MATCH($N$1,'Data Core CPI'!$B$1:$AY$1,),)-VLOOKUP(EDATE(B100,-12),'Data Core CPI'!$B:$AY,MATCH($N$1,'Data Core CPI'!$B$1:$AY$1,),))/VLOOKUP(EDATE(B100,-12),'Data Core CPI'!$B:$AY,MATCH($N$1,'Data Core CPI'!$B$1:$AY$1,),)</f>
        <v>#DIV/0!</v>
      </c>
      <c r="O100" s="21" t="e">
        <f>(VLOOKUP(B100,'Data Core CPI'!$B:$AY,MATCH($O$1,'Data Core CPI'!$B$1:$AY$1,),)-VLOOKUP(EDATE(B100,-12),'Data Core CPI'!$B:$AY,MATCH($O$1,'Data Core CPI'!$B$1:$AY$1,),))/VLOOKUP(EDATE(B100,-12),'Data Core CPI'!$B:$AY,MATCH($O$1,'Data Core CPI'!$B$1:$AY$1,),)</f>
        <v>#DIV/0!</v>
      </c>
      <c r="P100" s="21">
        <f>(VLOOKUP(B100,'Data Core CPI'!$B:$AY,MATCH($P$1,'Data Core CPI'!$B$1:$AY$1,),)-VLOOKUP(EDATE(B100,-12),'Data Core CPI'!$B:$AY,MATCH($P$1,'Data Core CPI'!$B$1:$AY$1,),))/VLOOKUP(EDATE(B100,-12),'Data Core CPI'!$B:$AY,MATCH($P$1,'Data Core CPI'!$B$1:$AY$1,),)</f>
        <v>1.7921088330655519E-2</v>
      </c>
      <c r="Q100" s="21" t="e">
        <f>(VLOOKUP(B100,'Data Core CPI'!$B:$AY,MATCH($Q$1,'Data Core CPI'!$B$1:$AY$1,),)-VLOOKUP(EDATE(B100,-12),'Data Core CPI'!$B:$AY,MATCH($Q$1,'Data Core CPI'!$B$1:$AY$1,),))/VLOOKUP(EDATE(B100,-12),'Data Core CPI'!$B:$AY,MATCH($Q$1,'Data Core CPI'!$B$1:$AY$1,),)</f>
        <v>#N/A</v>
      </c>
      <c r="R100" s="21">
        <f>(VLOOKUP(B100,'Data Core CPI'!$B:$AY,MATCH($R$1,'Data Core CPI'!$B$1:$AY$1,),)-VLOOKUP(EDATE(B100,-12),'Data Core CPI'!$B:$AY,MATCH($R$1,'Data Core CPI'!$B$1:$AY$1,),))/VLOOKUP(EDATE(B100,-12),'Data Core CPI'!$B:$AY,MATCH($R$1,'Data Core CPI'!$B$1:$AY$1,),)</f>
        <v>3.0374509329100055E-3</v>
      </c>
      <c r="S100" s="21" t="e">
        <f>(VLOOKUP(B100,'Data Core CPI'!$B:$AY,MATCH($S$1,'Data Core CPI'!$B$1:$AY$1,),)-VLOOKUP(EDATE(B100,-12),'Data Core CPI'!$B:$AY,MATCH($S$1,'Data Core CPI'!$B$1:$AY$1,),))/VLOOKUP(EDATE(B100,-12),'Data Core CPI'!$B:$AY,MATCH($S$1,'Data Core CPI'!$B$1:$AY$1,),)</f>
        <v>#DIV/0!</v>
      </c>
      <c r="T100" s="21" t="e">
        <f>(VLOOKUP(B100,'Data Core CPI'!$B:$AY,MATCH($T$1,'Data Core CPI'!$B$1:$AY$1,),)-VLOOKUP(EDATE(B100,-12),'Data Core CPI'!$B:$AY,MATCH($T$1,'Data Core CPI'!$B$1:$AY$1,),))/VLOOKUP(EDATE(B100,-12),'Data Core CPI'!$B:$AY,MATCH($T$1,'Data Core CPI'!$B$1:$AY$1,),)</f>
        <v>#DIV/0!</v>
      </c>
      <c r="U100" s="21">
        <f>(VLOOKUP(B100,'Data Core CPI'!$B:$AY,MATCH($U$1,'Data Core CPI'!$B$1:$AY$1,),)-VLOOKUP(EDATE(B100,-12),'Data Core CPI'!$B:$AY,MATCH($U$1,'Data Core CPI'!$B$1:$AY$1,),))/VLOOKUP(EDATE(B100,-12),'Data Core CPI'!$B:$AY,MATCH($U$1,'Data Core CPI'!$B$1:$AY$1,),)</f>
        <v>2.4901899362726905E-4</v>
      </c>
      <c r="V100" s="21">
        <f>(VLOOKUP(B100,'Data Core CPI'!$B:$AY,MATCH($V$1,'Data Core CPI'!$B$1:$AY$1,),)-VLOOKUP(EDATE(B100,-12),'Data Core CPI'!$B:$AY,MATCH($V$1,'Data Core CPI'!$B$1:$AY$1,),))/VLOOKUP(EDATE(B100,-12),'Data Core CPI'!$B:$AY,MATCH($V$1,'Data Core CPI'!$B$1:$AY$1,),)</f>
        <v>-2.3722382367114365E-3</v>
      </c>
      <c r="W100" s="21">
        <f>(VLOOKUP(B100,'Data Core CPI'!$B:$AY,MATCH($W$1,'Data Core CPI'!$B$1:$AY$1,),)-VLOOKUP(EDATE(B100,-12),'Data Core CPI'!$B:$AY,MATCH($W$1,'Data Core CPI'!$B$1:$AY$1,),))/VLOOKUP(EDATE(B100,-12),'Data Core CPI'!$B:$AY,MATCH($W$1,'Data Core CPI'!$B$1:$AY$1,),)</f>
        <v>0.13605456841323288</v>
      </c>
      <c r="X100" s="21">
        <f>(VLOOKUP(B100,'Data Core CPI'!$B:$AY,MATCH($X$1,'Data Core CPI'!$B$1:$AY$1,),)-VLOOKUP(EDATE(B100,-12),'Data Core CPI'!$B:$AY,MATCH($X$1,'Data Core CPI'!$B$1:$AY$1,),))/VLOOKUP(EDATE(B100,-12),'Data Core CPI'!$B:$AY,MATCH($X$1,'Data Core CPI'!$B$1:$AY$1,),)</f>
        <v>2.3166023166023224E-2</v>
      </c>
      <c r="Y100" s="21">
        <f>(VLOOKUP(B100,'Data Core CPI'!$B:$AY,MATCH($Y$1,'Data Core CPI'!$B$1:$AY$1,),)-VLOOKUP(EDATE(B100,-12),'Data Core CPI'!$B:$AY,MATCH($Y$1,'Data Core CPI'!$B$1:$AY$1,),))/VLOOKUP(EDATE(B100,-12),'Data Core CPI'!$B:$AY,MATCH($Y$1,'Data Core CPI'!$B$1:$AY$1,),)</f>
        <v>6.9084508581179569E-3</v>
      </c>
      <c r="Z100" s="21" t="e">
        <f>(VLOOKUP(B100,Data!$B:$AY,MATCH($Z$1,Data!$B$1:$AY$1,),)-VLOOKUP(EDATE(B100,-12),Data!$B:$AY,MATCH($Z$1,Data!$B$1:$AY$1,),))/VLOOKUP(EDATE(B100,-12),Data!$B:$AY,MATCH($Z$1,Data!$B$1:$AY$1,),)</f>
        <v>#N/A</v>
      </c>
      <c r="AA100" s="21" t="e">
        <f>(VLOOKUP(B100,Data!$B:$AY,MATCH($AA$1,Data!$B$1:$AY$1,),)-VLOOKUP(EDATE(B100,-12),Data!$B:$AY,MATCH($AA$1,Data!$B$1:$AY$1,),))/VLOOKUP(EDATE(B100,-12),Data!$B:$AY,MATCH($AA$1,Data!$B$1:$AY$1,),)</f>
        <v>#N/A</v>
      </c>
    </row>
    <row r="101" spans="2:28" s="3" customFormat="1" x14ac:dyDescent="0.2">
      <c r="B101" s="16">
        <v>43282</v>
      </c>
      <c r="C101" s="21">
        <f>(VLOOKUP(B101,'Data Core CPI'!$B:$AY,MATCH($C$1,'Data Core CPI'!$B$1:$AY$1,),)-VLOOKUP(EDATE(B101,-12),'Data Core CPI'!$B:$AY,MATCH($C$1,'Data Core CPI'!$B$1:$AY$1,),))/VLOOKUP(EDATE(B101,-12),'Data Core CPI'!$B:$AY,MATCH($C$1,'Data Core CPI'!$B$1:$AY$1,),)</f>
        <v>2.3541368789777715E-2</v>
      </c>
      <c r="D101" s="21" t="e">
        <f>(VLOOKUP(B101,'Data Core CPI'!$B:$AY,MATCH($D$1,'Data Core CPI'!$B$1:$AY$1,),)-VLOOKUP(EDATE(B101,-12),'Data Core CPI'!$B:$AY,MATCH($D$1,'Data Core CPI'!$B$1:$AY$1,),))/VLOOKUP(EDATE(B101,-12),'Data Core CPI'!$B:$AY,MATCH($D$1,'Data Core CPI'!$B$1:$AY$1,),)</f>
        <v>#DIV/0!</v>
      </c>
      <c r="E101" s="21">
        <f>(VLOOKUP(B101,'Data Core CPI'!$B:$AY,MATCH($E$1,'Data Core CPI'!$B$1:$AY$1,),)-VLOOKUP(EDATE(B101,-12),'Data Core CPI'!$B:$AY,MATCH($E$1,'Data Core CPI'!$B$1:$AY$1,),))/VLOOKUP(EDATE(B101,-12),'Data Core CPI'!$B:$AY,MATCH($E$1,'Data Core CPI'!$B$1:$AY$1,),)</f>
        <v>1.1370319545187324E-2</v>
      </c>
      <c r="F101" s="21">
        <f>(VLOOKUP(B101,'Data Core CPI'!$B:$AY,MATCH($F$1,'Data Core CPI'!$B$1:$AY$1,),)-VLOOKUP(EDATE(B101,-12),'Data Core CPI'!$B:$AY,MATCH($F$1,'Data Core CPI'!$B$1:$AY$1,),))/VLOOKUP(EDATE(B101,-12),'Data Core CPI'!$B:$AY,MATCH($F$1,'Data Core CPI'!$B$1:$AY$1,),)</f>
        <v>5.5256774440641532E-4</v>
      </c>
      <c r="G101" s="21">
        <f>(VLOOKUP(B101,'Data Core CPI'!$B:$AY,MATCH($G$1,'Data Core CPI'!$B$1:$AY$1,),)-VLOOKUP(EDATE(B101,-12),'Data Core CPI'!$B:$AY,MATCH($G$1,'Data Core CPI'!$B$1:$AY$1,),))/VLOOKUP(EDATE(B101,-12),'Data Core CPI'!$B:$AY,MATCH($G$1,'Data Core CPI'!$B$1:$AY$1,),)</f>
        <v>1.2468770017668792E-2</v>
      </c>
      <c r="H101" s="21">
        <f>(VLOOKUP(B101,'Data Core CPI'!$B:$AY,MATCH($H$1,'Data Core CPI'!$B$1:$AY$1,),)-VLOOKUP(EDATE(B101,-12),'Data Core CPI'!$B:$AY,MATCH($H$1,'Data Core CPI'!$B$1:$AY$1,),))/VLOOKUP(EDATE(B101,-12),'Data Core CPI'!$B:$AY,MATCH($H$1,'Data Core CPI'!$B$1:$AY$1,),)</f>
        <v>1.1335563994825545E-2</v>
      </c>
      <c r="I101" s="21">
        <f>(VLOOKUP(B101,'Data Core CPI'!$B:$AY,MATCH($I$1,'Data Core CPI'!$B$1:$AY$1,),)-VLOOKUP(EDATE(B101,-12),'Data Core CPI'!$B:$AY,MATCH($I$1,'Data Core CPI'!$B$1:$AY$1,),))/VLOOKUP(EDATE(B101,-12),'Data Core CPI'!$B:$AY,MATCH($I$1,'Data Core CPI'!$B$1:$AY$1,),)</f>
        <v>1.8286814244465748E-2</v>
      </c>
      <c r="J101" s="21">
        <f>(VLOOKUP(B101,'Data Core CPI'!$B:$AY,MATCH($J$1,'Data Core CPI'!$B$1:$AY$1,),)-VLOOKUP(EDATE(B101,-12),'Data Core CPI'!$B:$AY,MATCH($J$1,'Data Core CPI'!$B$1:$AY$1,),))/VLOOKUP(EDATE(B101,-12),'Data Core CPI'!$B:$AY,MATCH($J$1,'Data Core CPI'!$B$1:$AY$1,),)</f>
        <v>5.6594352752463196E-3</v>
      </c>
      <c r="K101" s="21">
        <f>(VLOOKUP(B101,'Data Core CPI'!$B:$AY,MATCH($K$1,'Data Core CPI'!$B$1:$AY$1,),)-VLOOKUP(EDATE(B101,-12),'Data Core CPI'!$B:$AY,MATCH($K$1,'Data Core CPI'!$B$1:$AY$1,),))/VLOOKUP(EDATE(B101,-12),'Data Core CPI'!$B:$AY,MATCH($K$1,'Data Core CPI'!$B$1:$AY$1,),)</f>
        <v>9.1113328777830439E-3</v>
      </c>
      <c r="L101" s="21">
        <f>(VLOOKUP(B101,'Data Core CPI'!$B:$AY,MATCH($L$1,'Data Core CPI'!$B$1:$AY$1,),)-VLOOKUP(EDATE(B101,-12),'Data Core CPI'!$B:$AY,MATCH($L$1,'Data Core CPI'!$B$1:$AY$1,),))/VLOOKUP(EDATE(B101,-12),'Data Core CPI'!$B:$AY,MATCH($L$1,'Data Core CPI'!$B$1:$AY$1,),)</f>
        <v>8.5285443969988859E-3</v>
      </c>
      <c r="M101" s="21">
        <f>(VLOOKUP(B101,'Data Core CPI'!$B:$AY,MATCH($M$1,'Data Core CPI'!$B$1:$AY$1,),)-VLOOKUP(EDATE(B101,-12),'Data Core CPI'!$B:$AY,MATCH($M$1,'Data Core CPI'!$B$1:$AY$1,),))/VLOOKUP(EDATE(B101,-12),'Data Core CPI'!$B:$AY,MATCH($M$1,'Data Core CPI'!$B$1:$AY$1,),)</f>
        <v>3.5610164561208947E-2</v>
      </c>
      <c r="N101" s="21" t="e">
        <f>(VLOOKUP(B101,'Data Core CPI'!$B:$AY,MATCH($N$1,'Data Core CPI'!$B$1:$AY$1,),)-VLOOKUP(EDATE(B101,-12),'Data Core CPI'!$B:$AY,MATCH($N$1,'Data Core CPI'!$B$1:$AY$1,),))/VLOOKUP(EDATE(B101,-12),'Data Core CPI'!$B:$AY,MATCH($N$1,'Data Core CPI'!$B$1:$AY$1,),)</f>
        <v>#DIV/0!</v>
      </c>
      <c r="O101" s="21" t="e">
        <f>(VLOOKUP(B101,'Data Core CPI'!$B:$AY,MATCH($O$1,'Data Core CPI'!$B$1:$AY$1,),)-VLOOKUP(EDATE(B101,-12),'Data Core CPI'!$B:$AY,MATCH($O$1,'Data Core CPI'!$B$1:$AY$1,),))/VLOOKUP(EDATE(B101,-12),'Data Core CPI'!$B:$AY,MATCH($O$1,'Data Core CPI'!$B$1:$AY$1,),)</f>
        <v>#DIV/0!</v>
      </c>
      <c r="P101" s="21">
        <f>(VLOOKUP(B101,'Data Core CPI'!$B:$AY,MATCH($P$1,'Data Core CPI'!$B$1:$AY$1,),)-VLOOKUP(EDATE(B101,-12),'Data Core CPI'!$B:$AY,MATCH($P$1,'Data Core CPI'!$B$1:$AY$1,),))/VLOOKUP(EDATE(B101,-12),'Data Core CPI'!$B:$AY,MATCH($P$1,'Data Core CPI'!$B$1:$AY$1,),)</f>
        <v>2.2951866985969176E-2</v>
      </c>
      <c r="Q101" s="21" t="e">
        <f>(VLOOKUP(B101,'Data Core CPI'!$B:$AY,MATCH($Q$1,'Data Core CPI'!$B$1:$AY$1,),)-VLOOKUP(EDATE(B101,-12),'Data Core CPI'!$B:$AY,MATCH($Q$1,'Data Core CPI'!$B$1:$AY$1,),))/VLOOKUP(EDATE(B101,-12),'Data Core CPI'!$B:$AY,MATCH($Q$1,'Data Core CPI'!$B$1:$AY$1,),)</f>
        <v>#N/A</v>
      </c>
      <c r="R101" s="21">
        <f>(VLOOKUP(B101,'Data Core CPI'!$B:$AY,MATCH($R$1,'Data Core CPI'!$B$1:$AY$1,),)-VLOOKUP(EDATE(B101,-12),'Data Core CPI'!$B:$AY,MATCH($R$1,'Data Core CPI'!$B$1:$AY$1,),))/VLOOKUP(EDATE(B101,-12),'Data Core CPI'!$B:$AY,MATCH($R$1,'Data Core CPI'!$B$1:$AY$1,),)</f>
        <v>4.6543412536858087E-3</v>
      </c>
      <c r="S101" s="21" t="e">
        <f>(VLOOKUP(B101,'Data Core CPI'!$B:$AY,MATCH($S$1,'Data Core CPI'!$B$1:$AY$1,),)-VLOOKUP(EDATE(B101,-12),'Data Core CPI'!$B:$AY,MATCH($S$1,'Data Core CPI'!$B$1:$AY$1,),))/VLOOKUP(EDATE(B101,-12),'Data Core CPI'!$B:$AY,MATCH($S$1,'Data Core CPI'!$B$1:$AY$1,),)</f>
        <v>#DIV/0!</v>
      </c>
      <c r="T101" s="21" t="e">
        <f>(VLOOKUP(B101,'Data Core CPI'!$B:$AY,MATCH($T$1,'Data Core CPI'!$B$1:$AY$1,),)-VLOOKUP(EDATE(B101,-12),'Data Core CPI'!$B:$AY,MATCH($T$1,'Data Core CPI'!$B$1:$AY$1,),))/VLOOKUP(EDATE(B101,-12),'Data Core CPI'!$B:$AY,MATCH($T$1,'Data Core CPI'!$B$1:$AY$1,),)</f>
        <v>#DIV/0!</v>
      </c>
      <c r="U101" s="21">
        <f>(VLOOKUP(B101,'Data Core CPI'!$B:$AY,MATCH($U$1,'Data Core CPI'!$B$1:$AY$1,),)-VLOOKUP(EDATE(B101,-12),'Data Core CPI'!$B:$AY,MATCH($U$1,'Data Core CPI'!$B$1:$AY$1,),))/VLOOKUP(EDATE(B101,-12),'Data Core CPI'!$B:$AY,MATCH($U$1,'Data Core CPI'!$B$1:$AY$1,),)</f>
        <v>-3.5412670638565427E-3</v>
      </c>
      <c r="V101" s="21">
        <f>(VLOOKUP(B101,'Data Core CPI'!$B:$AY,MATCH($V$1,'Data Core CPI'!$B$1:$AY$1,),)-VLOOKUP(EDATE(B101,-12),'Data Core CPI'!$B:$AY,MATCH($V$1,'Data Core CPI'!$B$1:$AY$1,),))/VLOOKUP(EDATE(B101,-12),'Data Core CPI'!$B:$AY,MATCH($V$1,'Data Core CPI'!$B$1:$AY$1,),)</f>
        <v>1.3252308854327032E-3</v>
      </c>
      <c r="W101" s="21">
        <f>(VLOOKUP(B101,'Data Core CPI'!$B:$AY,MATCH($W$1,'Data Core CPI'!$B$1:$AY$1,),)-VLOOKUP(EDATE(B101,-12),'Data Core CPI'!$B:$AY,MATCH($W$1,'Data Core CPI'!$B$1:$AY$1,),))/VLOOKUP(EDATE(B101,-12),'Data Core CPI'!$B:$AY,MATCH($W$1,'Data Core CPI'!$B$1:$AY$1,),)</f>
        <v>0.14107430710831467</v>
      </c>
      <c r="X101" s="21">
        <f>(VLOOKUP(B101,'Data Core CPI'!$B:$AY,MATCH($X$1,'Data Core CPI'!$B$1:$AY$1,),)-VLOOKUP(EDATE(B101,-12),'Data Core CPI'!$B:$AY,MATCH($X$1,'Data Core CPI'!$B$1:$AY$1,),))/VLOOKUP(EDATE(B101,-12),'Data Core CPI'!$B:$AY,MATCH($X$1,'Data Core CPI'!$B$1:$AY$1,),)</f>
        <v>2.5936599423631152E-2</v>
      </c>
      <c r="Y101" s="21">
        <f>(VLOOKUP(B101,'Data Core CPI'!$B:$AY,MATCH($Y$1,'Data Core CPI'!$B$1:$AY$1,),)-VLOOKUP(EDATE(B101,-12),'Data Core CPI'!$B:$AY,MATCH($Y$1,'Data Core CPI'!$B$1:$AY$1,),))/VLOOKUP(EDATE(B101,-12),'Data Core CPI'!$B:$AY,MATCH($Y$1,'Data Core CPI'!$B$1:$AY$1,),)</f>
        <v>6.9144261473673462E-3</v>
      </c>
      <c r="Z101" s="21" t="e">
        <f>(VLOOKUP(B101,Data!$B:$AY,MATCH($Z$1,Data!$B$1:$AY$1,),)-VLOOKUP(EDATE(B101,-12),Data!$B:$AY,MATCH($Z$1,Data!$B$1:$AY$1,),))/VLOOKUP(EDATE(B101,-12),Data!$B:$AY,MATCH($Z$1,Data!$B$1:$AY$1,),)</f>
        <v>#N/A</v>
      </c>
      <c r="AA101" s="21" t="e">
        <f>(VLOOKUP(B101,Data!$B:$AY,MATCH($AA$1,Data!$B$1:$AY$1,),)-VLOOKUP(EDATE(B101,-12),Data!$B:$AY,MATCH($AA$1,Data!$B$1:$AY$1,),))/VLOOKUP(EDATE(B101,-12),Data!$B:$AY,MATCH($AA$1,Data!$B$1:$AY$1,),)</f>
        <v>#N/A</v>
      </c>
    </row>
    <row r="102" spans="2:28" s="3" customFormat="1" x14ac:dyDescent="0.2">
      <c r="B102" s="16">
        <v>43313</v>
      </c>
      <c r="C102" s="21">
        <f>(VLOOKUP(B102,'Data Core CPI'!$B:$AY,MATCH($C$1,'Data Core CPI'!$B$1:$AY$1,),)-VLOOKUP(EDATE(B102,-12),'Data Core CPI'!$B:$AY,MATCH($C$1,'Data Core CPI'!$B$1:$AY$1,),))/VLOOKUP(EDATE(B102,-12),'Data Core CPI'!$B:$AY,MATCH($C$1,'Data Core CPI'!$B$1:$AY$1,),)</f>
        <v>2.1990822923883185E-2</v>
      </c>
      <c r="D102" s="21" t="e">
        <f>(VLOOKUP(B102,'Data Core CPI'!$B:$AY,MATCH($D$1,'Data Core CPI'!$B$1:$AY$1,),)-VLOOKUP(EDATE(B102,-12),'Data Core CPI'!$B:$AY,MATCH($D$1,'Data Core CPI'!$B$1:$AY$1,),))/VLOOKUP(EDATE(B102,-12),'Data Core CPI'!$B:$AY,MATCH($D$1,'Data Core CPI'!$B$1:$AY$1,),)</f>
        <v>#DIV/0!</v>
      </c>
      <c r="E102" s="21">
        <f>(VLOOKUP(B102,'Data Core CPI'!$B:$AY,MATCH($E$1,'Data Core CPI'!$B$1:$AY$1,),)-VLOOKUP(EDATE(B102,-12),'Data Core CPI'!$B:$AY,MATCH($E$1,'Data Core CPI'!$B$1:$AY$1,),))/VLOOKUP(EDATE(B102,-12),'Data Core CPI'!$B:$AY,MATCH($E$1,'Data Core CPI'!$B$1:$AY$1,),)</f>
        <v>1.0363707469691067E-2</v>
      </c>
      <c r="F102" s="21">
        <f>(VLOOKUP(B102,'Data Core CPI'!$B:$AY,MATCH($F$1,'Data Core CPI'!$B$1:$AY$1,),)-VLOOKUP(EDATE(B102,-12),'Data Core CPI'!$B:$AY,MATCH($F$1,'Data Core CPI'!$B$1:$AY$1,),))/VLOOKUP(EDATE(B102,-12),'Data Core CPI'!$B:$AY,MATCH($F$1,'Data Core CPI'!$B$1:$AY$1,),)</f>
        <v>2.9410446534837054E-3</v>
      </c>
      <c r="G102" s="21">
        <f>(VLOOKUP(B102,'Data Core CPI'!$B:$AY,MATCH($G$1,'Data Core CPI'!$B$1:$AY$1,),)-VLOOKUP(EDATE(B102,-12),'Data Core CPI'!$B:$AY,MATCH($G$1,'Data Core CPI'!$B$1:$AY$1,),))/VLOOKUP(EDATE(B102,-12),'Data Core CPI'!$B:$AY,MATCH($G$1,'Data Core CPI'!$B$1:$AY$1,),)</f>
        <v>1.2187788815888691E-2</v>
      </c>
      <c r="H102" s="21">
        <f>(VLOOKUP(B102,'Data Core CPI'!$B:$AY,MATCH($H$1,'Data Core CPI'!$B$1:$AY$1,),)-VLOOKUP(EDATE(B102,-12),'Data Core CPI'!$B:$AY,MATCH($H$1,'Data Core CPI'!$B$1:$AY$1,),))/VLOOKUP(EDATE(B102,-12),'Data Core CPI'!$B:$AY,MATCH($H$1,'Data Core CPI'!$B$1:$AY$1,),)</f>
        <v>1.1697525421157155E-2</v>
      </c>
      <c r="I102" s="21">
        <f>(VLOOKUP(B102,'Data Core CPI'!$B:$AY,MATCH($I$1,'Data Core CPI'!$B$1:$AY$1,),)-VLOOKUP(EDATE(B102,-12),'Data Core CPI'!$B:$AY,MATCH($I$1,'Data Core CPI'!$B$1:$AY$1,),))/VLOOKUP(EDATE(B102,-12),'Data Core CPI'!$B:$AY,MATCH($I$1,'Data Core CPI'!$B$1:$AY$1,),)</f>
        <v>1.9138755980861243E-2</v>
      </c>
      <c r="J102" s="21">
        <f>(VLOOKUP(B102,'Data Core CPI'!$B:$AY,MATCH($J$1,'Data Core CPI'!$B$1:$AY$1,),)-VLOOKUP(EDATE(B102,-12),'Data Core CPI'!$B:$AY,MATCH($J$1,'Data Core CPI'!$B$1:$AY$1,),))/VLOOKUP(EDATE(B102,-12),'Data Core CPI'!$B:$AY,MATCH($J$1,'Data Core CPI'!$B$1:$AY$1,),)</f>
        <v>7.7438873844393845E-3</v>
      </c>
      <c r="K102" s="21">
        <f>(VLOOKUP(B102,'Data Core CPI'!$B:$AY,MATCH($K$1,'Data Core CPI'!$B$1:$AY$1,),)-VLOOKUP(EDATE(B102,-12),'Data Core CPI'!$B:$AY,MATCH($K$1,'Data Core CPI'!$B$1:$AY$1,),))/VLOOKUP(EDATE(B102,-12),'Data Core CPI'!$B:$AY,MATCH($K$1,'Data Core CPI'!$B$1:$AY$1,),)</f>
        <v>7.7692390738941649E-3</v>
      </c>
      <c r="L102" s="21">
        <f>(VLOOKUP(B102,'Data Core CPI'!$B:$AY,MATCH($L$1,'Data Core CPI'!$B$1:$AY$1,),)-VLOOKUP(EDATE(B102,-12),'Data Core CPI'!$B:$AY,MATCH($L$1,'Data Core CPI'!$B$1:$AY$1,),))/VLOOKUP(EDATE(B102,-12),'Data Core CPI'!$B:$AY,MATCH($L$1,'Data Core CPI'!$B$1:$AY$1,),)</f>
        <v>7.8014654169775493E-3</v>
      </c>
      <c r="M102" s="21">
        <f>(VLOOKUP(B102,'Data Core CPI'!$B:$AY,MATCH($M$1,'Data Core CPI'!$B$1:$AY$1,),)-VLOOKUP(EDATE(B102,-12),'Data Core CPI'!$B:$AY,MATCH($M$1,'Data Core CPI'!$B$1:$AY$1,),))/VLOOKUP(EDATE(B102,-12),'Data Core CPI'!$B:$AY,MATCH($M$1,'Data Core CPI'!$B$1:$AY$1,),)</f>
        <v>3.4981775112393823E-2</v>
      </c>
      <c r="N102" s="21" t="e">
        <f>(VLOOKUP(B102,'Data Core CPI'!$B:$AY,MATCH($N$1,'Data Core CPI'!$B$1:$AY$1,),)-VLOOKUP(EDATE(B102,-12),'Data Core CPI'!$B:$AY,MATCH($N$1,'Data Core CPI'!$B$1:$AY$1,),))/VLOOKUP(EDATE(B102,-12),'Data Core CPI'!$B:$AY,MATCH($N$1,'Data Core CPI'!$B$1:$AY$1,),)</f>
        <v>#DIV/0!</v>
      </c>
      <c r="O102" s="21" t="e">
        <f>(VLOOKUP(B102,'Data Core CPI'!$B:$AY,MATCH($O$1,'Data Core CPI'!$B$1:$AY$1,),)-VLOOKUP(EDATE(B102,-12),'Data Core CPI'!$B:$AY,MATCH($O$1,'Data Core CPI'!$B$1:$AY$1,),))/VLOOKUP(EDATE(B102,-12),'Data Core CPI'!$B:$AY,MATCH($O$1,'Data Core CPI'!$B$1:$AY$1,),)</f>
        <v>#DIV/0!</v>
      </c>
      <c r="P102" s="21">
        <f>(VLOOKUP(B102,'Data Core CPI'!$B:$AY,MATCH($P$1,'Data Core CPI'!$B$1:$AY$1,),)-VLOOKUP(EDATE(B102,-12),'Data Core CPI'!$B:$AY,MATCH($P$1,'Data Core CPI'!$B$1:$AY$1,),))/VLOOKUP(EDATE(B102,-12),'Data Core CPI'!$B:$AY,MATCH($P$1,'Data Core CPI'!$B$1:$AY$1,),)</f>
        <v>2.3624433561993102E-2</v>
      </c>
      <c r="Q102" s="21" t="e">
        <f>(VLOOKUP(B102,'Data Core CPI'!$B:$AY,MATCH($Q$1,'Data Core CPI'!$B$1:$AY$1,),)-VLOOKUP(EDATE(B102,-12),'Data Core CPI'!$B:$AY,MATCH($Q$1,'Data Core CPI'!$B$1:$AY$1,),))/VLOOKUP(EDATE(B102,-12),'Data Core CPI'!$B:$AY,MATCH($Q$1,'Data Core CPI'!$B$1:$AY$1,),)</f>
        <v>#N/A</v>
      </c>
      <c r="R102" s="21">
        <f>(VLOOKUP(B102,'Data Core CPI'!$B:$AY,MATCH($R$1,'Data Core CPI'!$B$1:$AY$1,),)-VLOOKUP(EDATE(B102,-12),'Data Core CPI'!$B:$AY,MATCH($R$1,'Data Core CPI'!$B$1:$AY$1,),))/VLOOKUP(EDATE(B102,-12),'Data Core CPI'!$B:$AY,MATCH($R$1,'Data Core CPI'!$B$1:$AY$1,),)</f>
        <v>5.3789997417591018E-3</v>
      </c>
      <c r="S102" s="21" t="e">
        <f>(VLOOKUP(B102,'Data Core CPI'!$B:$AY,MATCH($S$1,'Data Core CPI'!$B$1:$AY$1,),)-VLOOKUP(EDATE(B102,-12),'Data Core CPI'!$B:$AY,MATCH($S$1,'Data Core CPI'!$B$1:$AY$1,),))/VLOOKUP(EDATE(B102,-12),'Data Core CPI'!$B:$AY,MATCH($S$1,'Data Core CPI'!$B$1:$AY$1,),)</f>
        <v>#DIV/0!</v>
      </c>
      <c r="T102" s="21" t="e">
        <f>(VLOOKUP(B102,'Data Core CPI'!$B:$AY,MATCH($T$1,'Data Core CPI'!$B$1:$AY$1,),)-VLOOKUP(EDATE(B102,-12),'Data Core CPI'!$B:$AY,MATCH($T$1,'Data Core CPI'!$B$1:$AY$1,),))/VLOOKUP(EDATE(B102,-12),'Data Core CPI'!$B:$AY,MATCH($T$1,'Data Core CPI'!$B$1:$AY$1,),)</f>
        <v>#DIV/0!</v>
      </c>
      <c r="U102" s="21">
        <f>(VLOOKUP(B102,'Data Core CPI'!$B:$AY,MATCH($U$1,'Data Core CPI'!$B$1:$AY$1,),)-VLOOKUP(EDATE(B102,-12),'Data Core CPI'!$B:$AY,MATCH($U$1,'Data Core CPI'!$B$1:$AY$1,),))/VLOOKUP(EDATE(B102,-12),'Data Core CPI'!$B:$AY,MATCH($U$1,'Data Core CPI'!$B$1:$AY$1,),)</f>
        <v>2.8104315367018679E-4</v>
      </c>
      <c r="V102" s="21">
        <f>(VLOOKUP(B102,'Data Core CPI'!$B:$AY,MATCH($V$1,'Data Core CPI'!$B$1:$AY$1,),)-VLOOKUP(EDATE(B102,-12),'Data Core CPI'!$B:$AY,MATCH($V$1,'Data Core CPI'!$B$1:$AY$1,),))/VLOOKUP(EDATE(B102,-12),'Data Core CPI'!$B:$AY,MATCH($V$1,'Data Core CPI'!$B$1:$AY$1,),)</f>
        <v>-5.0797967690531455E-4</v>
      </c>
      <c r="W102" s="21">
        <f>(VLOOKUP(B102,'Data Core CPI'!$B:$AY,MATCH($W$1,'Data Core CPI'!$B$1:$AY$1,),)-VLOOKUP(EDATE(B102,-12),'Data Core CPI'!$B:$AY,MATCH($W$1,'Data Core CPI'!$B$1:$AY$1,),))/VLOOKUP(EDATE(B102,-12),'Data Core CPI'!$B:$AY,MATCH($W$1,'Data Core CPI'!$B$1:$AY$1,),)</f>
        <v>0.16364026220166911</v>
      </c>
      <c r="X102" s="21">
        <f>(VLOOKUP(B102,'Data Core CPI'!$B:$AY,MATCH($X$1,'Data Core CPI'!$B$1:$AY$1,),)-VLOOKUP(EDATE(B102,-12),'Data Core CPI'!$B:$AY,MATCH($X$1,'Data Core CPI'!$B$1:$AY$1,),))/VLOOKUP(EDATE(B102,-12),'Data Core CPI'!$B:$AY,MATCH($X$1,'Data Core CPI'!$B$1:$AY$1,),)</f>
        <v>2.6897214217099053E-2</v>
      </c>
      <c r="Y102" s="21">
        <f>(VLOOKUP(B102,'Data Core CPI'!$B:$AY,MATCH($Y$1,'Data Core CPI'!$B$1:$AY$1,),)-VLOOKUP(EDATE(B102,-12),'Data Core CPI'!$B:$AY,MATCH($Y$1,'Data Core CPI'!$B$1:$AY$1,),))/VLOOKUP(EDATE(B102,-12),'Data Core CPI'!$B:$AY,MATCH($Y$1,'Data Core CPI'!$B$1:$AY$1,),)</f>
        <v>9.5236672542399776E-3</v>
      </c>
      <c r="Z102" s="21" t="e">
        <f>(VLOOKUP(B102,Data!$B:$AY,MATCH($Z$1,Data!$B$1:$AY$1,),)-VLOOKUP(EDATE(B102,-12),Data!$B:$AY,MATCH($Z$1,Data!$B$1:$AY$1,),))/VLOOKUP(EDATE(B102,-12),Data!$B:$AY,MATCH($Z$1,Data!$B$1:$AY$1,),)</f>
        <v>#N/A</v>
      </c>
      <c r="AA102" s="21" t="e">
        <f>(VLOOKUP(B102,Data!$B:$AY,MATCH($AA$1,Data!$B$1:$AY$1,),)-VLOOKUP(EDATE(B102,-12),Data!$B:$AY,MATCH($AA$1,Data!$B$1:$AY$1,),))/VLOOKUP(EDATE(B102,-12),Data!$B:$AY,MATCH($AA$1,Data!$B$1:$AY$1,),)</f>
        <v>#N/A</v>
      </c>
    </row>
    <row r="103" spans="2:28" s="3" customFormat="1" x14ac:dyDescent="0.2">
      <c r="B103" s="16">
        <v>43344</v>
      </c>
      <c r="C103" s="21">
        <f>(VLOOKUP(B103,'Data Core CPI'!$B:$AY,MATCH($C$1,'Data Core CPI'!$B$1:$AY$1,),)-VLOOKUP(EDATE(B103,-12),'Data Core CPI'!$B:$AY,MATCH($C$1,'Data Core CPI'!$B$1:$AY$1,),))/VLOOKUP(EDATE(B103,-12),'Data Core CPI'!$B:$AY,MATCH($C$1,'Data Core CPI'!$B$1:$AY$1,),)</f>
        <v>2.1697136514303092E-2</v>
      </c>
      <c r="D103" s="21" t="e">
        <f>(VLOOKUP(B103,'Data Core CPI'!$B:$AY,MATCH($D$1,'Data Core CPI'!$B$1:$AY$1,),)-VLOOKUP(EDATE(B103,-12),'Data Core CPI'!$B:$AY,MATCH($D$1,'Data Core CPI'!$B$1:$AY$1,),))/VLOOKUP(EDATE(B103,-12),'Data Core CPI'!$B:$AY,MATCH($D$1,'Data Core CPI'!$B$1:$AY$1,),)</f>
        <v>#DIV/0!</v>
      </c>
      <c r="E103" s="21">
        <f>(VLOOKUP(B103,'Data Core CPI'!$B:$AY,MATCH($E$1,'Data Core CPI'!$B$1:$AY$1,),)-VLOOKUP(EDATE(B103,-12),'Data Core CPI'!$B:$AY,MATCH($E$1,'Data Core CPI'!$B$1:$AY$1,),))/VLOOKUP(EDATE(B103,-12),'Data Core CPI'!$B:$AY,MATCH($E$1,'Data Core CPI'!$B$1:$AY$1,),)</f>
        <v>9.5442150370080806E-3</v>
      </c>
      <c r="F103" s="21">
        <f>(VLOOKUP(B103,'Data Core CPI'!$B:$AY,MATCH($F$1,'Data Core CPI'!$B$1:$AY$1,),)-VLOOKUP(EDATE(B103,-12),'Data Core CPI'!$B:$AY,MATCH($F$1,'Data Core CPI'!$B$1:$AY$1,),))/VLOOKUP(EDATE(B103,-12),'Data Core CPI'!$B:$AY,MATCH($F$1,'Data Core CPI'!$B$1:$AY$1,),)</f>
        <v>2.2101341326218743E-3</v>
      </c>
      <c r="G103" s="21">
        <f>(VLOOKUP(B103,'Data Core CPI'!$B:$AY,MATCH($G$1,'Data Core CPI'!$B$1:$AY$1,),)-VLOOKUP(EDATE(B103,-12),'Data Core CPI'!$B:$AY,MATCH($G$1,'Data Core CPI'!$B$1:$AY$1,),))/VLOOKUP(EDATE(B103,-12),'Data Core CPI'!$B:$AY,MATCH($G$1,'Data Core CPI'!$B$1:$AY$1,),)</f>
        <v>1.1853233517987862E-2</v>
      </c>
      <c r="H103" s="21">
        <f>(VLOOKUP(B103,'Data Core CPI'!$B:$AY,MATCH($H$1,'Data Core CPI'!$B$1:$AY$1,),)-VLOOKUP(EDATE(B103,-12),'Data Core CPI'!$B:$AY,MATCH($H$1,'Data Core CPI'!$B$1:$AY$1,),))/VLOOKUP(EDATE(B103,-12),'Data Core CPI'!$B:$AY,MATCH($H$1,'Data Core CPI'!$B$1:$AY$1,),)</f>
        <v>9.5457258150573408E-3</v>
      </c>
      <c r="I103" s="21">
        <f>(VLOOKUP(B103,'Data Core CPI'!$B:$AY,MATCH($I$1,'Data Core CPI'!$B$1:$AY$1,),)-VLOOKUP(EDATE(B103,-12),'Data Core CPI'!$B:$AY,MATCH($I$1,'Data Core CPI'!$B$1:$AY$1,),))/VLOOKUP(EDATE(B103,-12),'Data Core CPI'!$B:$AY,MATCH($I$1,'Data Core CPI'!$B$1:$AY$1,),)</f>
        <v>1.7191977077363869E-2</v>
      </c>
      <c r="J103" s="21">
        <f>(VLOOKUP(B103,'Data Core CPI'!$B:$AY,MATCH($J$1,'Data Core CPI'!$B$1:$AY$1,),)-VLOOKUP(EDATE(B103,-12),'Data Core CPI'!$B:$AY,MATCH($J$1,'Data Core CPI'!$B$1:$AY$1,),))/VLOOKUP(EDATE(B103,-12),'Data Core CPI'!$B:$AY,MATCH($J$1,'Data Core CPI'!$B$1:$AY$1,),)</f>
        <v>6.6679343098126429E-3</v>
      </c>
      <c r="K103" s="21">
        <f>(VLOOKUP(B103,'Data Core CPI'!$B:$AY,MATCH($K$1,'Data Core CPI'!$B$1:$AY$1,),)-VLOOKUP(EDATE(B103,-12),'Data Core CPI'!$B:$AY,MATCH($K$1,'Data Core CPI'!$B$1:$AY$1,),))/VLOOKUP(EDATE(B103,-12),'Data Core CPI'!$B:$AY,MATCH($K$1,'Data Core CPI'!$B$1:$AY$1,),)</f>
        <v>8.0158885135036065E-3</v>
      </c>
      <c r="L103" s="21">
        <f>(VLOOKUP(B103,'Data Core CPI'!$B:$AY,MATCH($L$1,'Data Core CPI'!$B$1:$AY$1,),)-VLOOKUP(EDATE(B103,-12),'Data Core CPI'!$B:$AY,MATCH($L$1,'Data Core CPI'!$B$1:$AY$1,),))/VLOOKUP(EDATE(B103,-12),'Data Core CPI'!$B:$AY,MATCH($L$1,'Data Core CPI'!$B$1:$AY$1,),)</f>
        <v>1.1611010702957624E-2</v>
      </c>
      <c r="M103" s="21">
        <f>(VLOOKUP(B103,'Data Core CPI'!$B:$AY,MATCH($M$1,'Data Core CPI'!$B$1:$AY$1,),)-VLOOKUP(EDATE(B103,-12),'Data Core CPI'!$B:$AY,MATCH($M$1,'Data Core CPI'!$B$1:$AY$1,),))/VLOOKUP(EDATE(B103,-12),'Data Core CPI'!$B:$AY,MATCH($M$1,'Data Core CPI'!$B$1:$AY$1,),)</f>
        <v>3.5939520522729793E-2</v>
      </c>
      <c r="N103" s="21" t="e">
        <f>(VLOOKUP(B103,'Data Core CPI'!$B:$AY,MATCH($N$1,'Data Core CPI'!$B$1:$AY$1,),)-VLOOKUP(EDATE(B103,-12),'Data Core CPI'!$B:$AY,MATCH($N$1,'Data Core CPI'!$B$1:$AY$1,),))/VLOOKUP(EDATE(B103,-12),'Data Core CPI'!$B:$AY,MATCH($N$1,'Data Core CPI'!$B$1:$AY$1,),)</f>
        <v>#DIV/0!</v>
      </c>
      <c r="O103" s="21" t="e">
        <f>(VLOOKUP(B103,'Data Core CPI'!$B:$AY,MATCH($O$1,'Data Core CPI'!$B$1:$AY$1,),)-VLOOKUP(EDATE(B103,-12),'Data Core CPI'!$B:$AY,MATCH($O$1,'Data Core CPI'!$B$1:$AY$1,),))/VLOOKUP(EDATE(B103,-12),'Data Core CPI'!$B:$AY,MATCH($O$1,'Data Core CPI'!$B$1:$AY$1,),)</f>
        <v>#DIV/0!</v>
      </c>
      <c r="P103" s="21">
        <f>(VLOOKUP(B103,'Data Core CPI'!$B:$AY,MATCH($P$1,'Data Core CPI'!$B$1:$AY$1,),)-VLOOKUP(EDATE(B103,-12),'Data Core CPI'!$B:$AY,MATCH($P$1,'Data Core CPI'!$B$1:$AY$1,),))/VLOOKUP(EDATE(B103,-12),'Data Core CPI'!$B:$AY,MATCH($P$1,'Data Core CPI'!$B$1:$AY$1,),)</f>
        <v>1.8780181062373488E-2</v>
      </c>
      <c r="Q103" s="21" t="e">
        <f>(VLOOKUP(B103,'Data Core CPI'!$B:$AY,MATCH($Q$1,'Data Core CPI'!$B$1:$AY$1,),)-VLOOKUP(EDATE(B103,-12),'Data Core CPI'!$B:$AY,MATCH($Q$1,'Data Core CPI'!$B$1:$AY$1,),))/VLOOKUP(EDATE(B103,-12),'Data Core CPI'!$B:$AY,MATCH($Q$1,'Data Core CPI'!$B$1:$AY$1,),)</f>
        <v>#N/A</v>
      </c>
      <c r="R103" s="21">
        <f>(VLOOKUP(B103,'Data Core CPI'!$B:$AY,MATCH($R$1,'Data Core CPI'!$B$1:$AY$1,),)-VLOOKUP(EDATE(B103,-12),'Data Core CPI'!$B:$AY,MATCH($R$1,'Data Core CPI'!$B$1:$AY$1,),))/VLOOKUP(EDATE(B103,-12),'Data Core CPI'!$B:$AY,MATCH($R$1,'Data Core CPI'!$B$1:$AY$1,),)</f>
        <v>2.7287487822546348E-3</v>
      </c>
      <c r="S103" s="21" t="e">
        <f>(VLOOKUP(B103,'Data Core CPI'!$B:$AY,MATCH($S$1,'Data Core CPI'!$B$1:$AY$1,),)-VLOOKUP(EDATE(B103,-12),'Data Core CPI'!$B:$AY,MATCH($S$1,'Data Core CPI'!$B$1:$AY$1,),))/VLOOKUP(EDATE(B103,-12),'Data Core CPI'!$B:$AY,MATCH($S$1,'Data Core CPI'!$B$1:$AY$1,),)</f>
        <v>#DIV/0!</v>
      </c>
      <c r="T103" s="21" t="e">
        <f>(VLOOKUP(B103,'Data Core CPI'!$B:$AY,MATCH($T$1,'Data Core CPI'!$B$1:$AY$1,),)-VLOOKUP(EDATE(B103,-12),'Data Core CPI'!$B:$AY,MATCH($T$1,'Data Core CPI'!$B$1:$AY$1,),))/VLOOKUP(EDATE(B103,-12),'Data Core CPI'!$B:$AY,MATCH($T$1,'Data Core CPI'!$B$1:$AY$1,),)</f>
        <v>#DIV/0!</v>
      </c>
      <c r="U103" s="21">
        <f>(VLOOKUP(B103,'Data Core CPI'!$B:$AY,MATCH($U$1,'Data Core CPI'!$B$1:$AY$1,),)-VLOOKUP(EDATE(B103,-12),'Data Core CPI'!$B:$AY,MATCH($U$1,'Data Core CPI'!$B$1:$AY$1,),))/VLOOKUP(EDATE(B103,-12),'Data Core CPI'!$B:$AY,MATCH($U$1,'Data Core CPI'!$B$1:$AY$1,),)</f>
        <v>1.9272294110147907E-3</v>
      </c>
      <c r="V103" s="21">
        <f>(VLOOKUP(B103,'Data Core CPI'!$B:$AY,MATCH($V$1,'Data Core CPI'!$B$1:$AY$1,),)-VLOOKUP(EDATE(B103,-12),'Data Core CPI'!$B:$AY,MATCH($V$1,'Data Core CPI'!$B$1:$AY$1,),))/VLOOKUP(EDATE(B103,-12),'Data Core CPI'!$B:$AY,MATCH($V$1,'Data Core CPI'!$B$1:$AY$1,),)</f>
        <v>2.2757518249324872E-3</v>
      </c>
      <c r="W103" s="21">
        <f>(VLOOKUP(B103,'Data Core CPI'!$B:$AY,MATCH($W$1,'Data Core CPI'!$B$1:$AY$1,),)-VLOOKUP(EDATE(B103,-12),'Data Core CPI'!$B:$AY,MATCH($W$1,'Data Core CPI'!$B$1:$AY$1,),))/VLOOKUP(EDATE(B103,-12),'Data Core CPI'!$B:$AY,MATCH($W$1,'Data Core CPI'!$B$1:$AY$1,),)</f>
        <v>0.22509645523938998</v>
      </c>
      <c r="X103" s="21">
        <f>(VLOOKUP(B103,'Data Core CPI'!$B:$AY,MATCH($X$1,'Data Core CPI'!$B$1:$AY$1,),)-VLOOKUP(EDATE(B103,-12),'Data Core CPI'!$B:$AY,MATCH($X$1,'Data Core CPI'!$B$1:$AY$1,),))/VLOOKUP(EDATE(B103,-12),'Data Core CPI'!$B:$AY,MATCH($X$1,'Data Core CPI'!$B$1:$AY$1,),)</f>
        <v>2.3099133782483072E-2</v>
      </c>
      <c r="Y103" s="21">
        <f>(VLOOKUP(B103,'Data Core CPI'!$B:$AY,MATCH($Y$1,'Data Core CPI'!$B$1:$AY$1,),)-VLOOKUP(EDATE(B103,-12),'Data Core CPI'!$B:$AY,MATCH($Y$1,'Data Core CPI'!$B$1:$AY$1,),))/VLOOKUP(EDATE(B103,-12),'Data Core CPI'!$B:$AY,MATCH($Y$1,'Data Core CPI'!$B$1:$AY$1,),)</f>
        <v>8.6507548763730003E-3</v>
      </c>
      <c r="Z103" s="21" t="e">
        <f>(VLOOKUP(B103,Data!$B:$AY,MATCH($Z$1,Data!$B$1:$AY$1,),)-VLOOKUP(EDATE(B103,-12),Data!$B:$AY,MATCH($Z$1,Data!$B$1:$AY$1,),))/VLOOKUP(EDATE(B103,-12),Data!$B:$AY,MATCH($Z$1,Data!$B$1:$AY$1,),)</f>
        <v>#N/A</v>
      </c>
      <c r="AA103" s="21" t="e">
        <f>(VLOOKUP(B103,Data!$B:$AY,MATCH($AA$1,Data!$B$1:$AY$1,),)-VLOOKUP(EDATE(B103,-12),Data!$B:$AY,MATCH($AA$1,Data!$B$1:$AY$1,),))/VLOOKUP(EDATE(B103,-12),Data!$B:$AY,MATCH($AA$1,Data!$B$1:$AY$1,),)</f>
        <v>#N/A</v>
      </c>
    </row>
    <row r="104" spans="2:28" s="3" customFormat="1" x14ac:dyDescent="0.2">
      <c r="B104" s="16">
        <v>43374</v>
      </c>
      <c r="C104" s="21">
        <f>(VLOOKUP(B104,'Data Core CPI'!$B:$AY,MATCH($C$1,'Data Core CPI'!$B$1:$AY$1,),)-VLOOKUP(EDATE(B104,-12),'Data Core CPI'!$B:$AY,MATCH($C$1,'Data Core CPI'!$B$1:$AY$1,),))/VLOOKUP(EDATE(B104,-12),'Data Core CPI'!$B:$AY,MATCH($C$1,'Data Core CPI'!$B$1:$AY$1,),)</f>
        <v>2.1389194517031192E-2</v>
      </c>
      <c r="D104" s="21" t="e">
        <f>(VLOOKUP(B104,'Data Core CPI'!$B:$AY,MATCH($D$1,'Data Core CPI'!$B$1:$AY$1,),)-VLOOKUP(EDATE(B104,-12),'Data Core CPI'!$B:$AY,MATCH($D$1,'Data Core CPI'!$B$1:$AY$1,),))/VLOOKUP(EDATE(B104,-12),'Data Core CPI'!$B:$AY,MATCH($D$1,'Data Core CPI'!$B$1:$AY$1,),)</f>
        <v>#DIV/0!</v>
      </c>
      <c r="E104" s="21">
        <f>(VLOOKUP(B104,'Data Core CPI'!$B:$AY,MATCH($E$1,'Data Core CPI'!$B$1:$AY$1,),)-VLOOKUP(EDATE(B104,-12),'Data Core CPI'!$B:$AY,MATCH($E$1,'Data Core CPI'!$B$1:$AY$1,),))/VLOOKUP(EDATE(B104,-12),'Data Core CPI'!$B:$AY,MATCH($E$1,'Data Core CPI'!$B$1:$AY$1,),)</f>
        <v>1.1803726465710601E-2</v>
      </c>
      <c r="F104" s="21">
        <f>(VLOOKUP(B104,'Data Core CPI'!$B:$AY,MATCH($F$1,'Data Core CPI'!$B$1:$AY$1,),)-VLOOKUP(EDATE(B104,-12),'Data Core CPI'!$B:$AY,MATCH($F$1,'Data Core CPI'!$B$1:$AY$1,),))/VLOOKUP(EDATE(B104,-12),'Data Core CPI'!$B:$AY,MATCH($F$1,'Data Core CPI'!$B$1:$AY$1,),)</f>
        <v>2.0001728912484571E-3</v>
      </c>
      <c r="G104" s="21">
        <f>(VLOOKUP(B104,'Data Core CPI'!$B:$AY,MATCH($G$1,'Data Core CPI'!$B$1:$AY$1,),)-VLOOKUP(EDATE(B104,-12),'Data Core CPI'!$B:$AY,MATCH($G$1,'Data Core CPI'!$B$1:$AY$1,),))/VLOOKUP(EDATE(B104,-12),'Data Core CPI'!$B:$AY,MATCH($G$1,'Data Core CPI'!$B$1:$AY$1,),)</f>
        <v>1.665956461684364E-2</v>
      </c>
      <c r="H104" s="21">
        <f>(VLOOKUP(B104,'Data Core CPI'!$B:$AY,MATCH($H$1,'Data Core CPI'!$B$1:$AY$1,),)-VLOOKUP(EDATE(B104,-12),'Data Core CPI'!$B:$AY,MATCH($H$1,'Data Core CPI'!$B$1:$AY$1,),))/VLOOKUP(EDATE(B104,-12),'Data Core CPI'!$B:$AY,MATCH($H$1,'Data Core CPI'!$B$1:$AY$1,),)</f>
        <v>9.784188308799532E-3</v>
      </c>
      <c r="I104" s="21">
        <f>(VLOOKUP(B104,'Data Core CPI'!$B:$AY,MATCH($I$1,'Data Core CPI'!$B$1:$AY$1,),)-VLOOKUP(EDATE(B104,-12),'Data Core CPI'!$B:$AY,MATCH($I$1,'Data Core CPI'!$B$1:$AY$1,),))/VLOOKUP(EDATE(B104,-12),'Data Core CPI'!$B:$AY,MATCH($I$1,'Data Core CPI'!$B$1:$AY$1,),)</f>
        <v>1.8147086914995142E-2</v>
      </c>
      <c r="J104" s="21">
        <f>(VLOOKUP(B104,'Data Core CPI'!$B:$AY,MATCH($J$1,'Data Core CPI'!$B$1:$AY$1,),)-VLOOKUP(EDATE(B104,-12),'Data Core CPI'!$B:$AY,MATCH($J$1,'Data Core CPI'!$B$1:$AY$1,),))/VLOOKUP(EDATE(B104,-12),'Data Core CPI'!$B:$AY,MATCH($J$1,'Data Core CPI'!$B$1:$AY$1,),)</f>
        <v>7.9747155248857237E-3</v>
      </c>
      <c r="K104" s="21">
        <f>(VLOOKUP(B104,'Data Core CPI'!$B:$AY,MATCH($K$1,'Data Core CPI'!$B$1:$AY$1,),)-VLOOKUP(EDATE(B104,-12),'Data Core CPI'!$B:$AY,MATCH($K$1,'Data Core CPI'!$B$1:$AY$1,),))/VLOOKUP(EDATE(B104,-12),'Data Core CPI'!$B:$AY,MATCH($K$1,'Data Core CPI'!$B$1:$AY$1,),)</f>
        <v>1.0023475162031214E-2</v>
      </c>
      <c r="L104" s="21">
        <f>(VLOOKUP(B104,'Data Core CPI'!$B:$AY,MATCH($L$1,'Data Core CPI'!$B$1:$AY$1,),)-VLOOKUP(EDATE(B104,-12),'Data Core CPI'!$B:$AY,MATCH($L$1,'Data Core CPI'!$B$1:$AY$1,),))/VLOOKUP(EDATE(B104,-12),'Data Core CPI'!$B:$AY,MATCH($L$1,'Data Core CPI'!$B$1:$AY$1,),)</f>
        <v>1.1578291676399581E-2</v>
      </c>
      <c r="M104" s="21">
        <f>(VLOOKUP(B104,'Data Core CPI'!$B:$AY,MATCH($M$1,'Data Core CPI'!$B$1:$AY$1,),)-VLOOKUP(EDATE(B104,-12),'Data Core CPI'!$B:$AY,MATCH($M$1,'Data Core CPI'!$B$1:$AY$1,),))/VLOOKUP(EDATE(B104,-12),'Data Core CPI'!$B:$AY,MATCH($M$1,'Data Core CPI'!$B$1:$AY$1,),)</f>
        <v>3.4857101269566031E-2</v>
      </c>
      <c r="N104" s="21" t="e">
        <f>(VLOOKUP(B104,'Data Core CPI'!$B:$AY,MATCH($N$1,'Data Core CPI'!$B$1:$AY$1,),)-VLOOKUP(EDATE(B104,-12),'Data Core CPI'!$B:$AY,MATCH($N$1,'Data Core CPI'!$B$1:$AY$1,),))/VLOOKUP(EDATE(B104,-12),'Data Core CPI'!$B:$AY,MATCH($N$1,'Data Core CPI'!$B$1:$AY$1,),)</f>
        <v>#DIV/0!</v>
      </c>
      <c r="O104" s="21" t="e">
        <f>(VLOOKUP(B104,'Data Core CPI'!$B:$AY,MATCH($O$1,'Data Core CPI'!$B$1:$AY$1,),)-VLOOKUP(EDATE(B104,-12),'Data Core CPI'!$B:$AY,MATCH($O$1,'Data Core CPI'!$B$1:$AY$1,),))/VLOOKUP(EDATE(B104,-12),'Data Core CPI'!$B:$AY,MATCH($O$1,'Data Core CPI'!$B$1:$AY$1,),)</f>
        <v>#DIV/0!</v>
      </c>
      <c r="P104" s="21">
        <f>(VLOOKUP(B104,'Data Core CPI'!$B:$AY,MATCH($P$1,'Data Core CPI'!$B$1:$AY$1,),)-VLOOKUP(EDATE(B104,-12),'Data Core CPI'!$B:$AY,MATCH($P$1,'Data Core CPI'!$B$1:$AY$1,),))/VLOOKUP(EDATE(B104,-12),'Data Core CPI'!$B:$AY,MATCH($P$1,'Data Core CPI'!$B$1:$AY$1,),)</f>
        <v>2.0780144352226242E-2</v>
      </c>
      <c r="Q104" s="21" t="e">
        <f>(VLOOKUP(B104,'Data Core CPI'!$B:$AY,MATCH($Q$1,'Data Core CPI'!$B$1:$AY$1,),)-VLOOKUP(EDATE(B104,-12),'Data Core CPI'!$B:$AY,MATCH($Q$1,'Data Core CPI'!$B$1:$AY$1,),))/VLOOKUP(EDATE(B104,-12),'Data Core CPI'!$B:$AY,MATCH($Q$1,'Data Core CPI'!$B$1:$AY$1,),)</f>
        <v>#N/A</v>
      </c>
      <c r="R104" s="21">
        <f>(VLOOKUP(B104,'Data Core CPI'!$B:$AY,MATCH($R$1,'Data Core CPI'!$B$1:$AY$1,),)-VLOOKUP(EDATE(B104,-12),'Data Core CPI'!$B:$AY,MATCH($R$1,'Data Core CPI'!$B$1:$AY$1,),))/VLOOKUP(EDATE(B104,-12),'Data Core CPI'!$B:$AY,MATCH($R$1,'Data Core CPI'!$B$1:$AY$1,),)</f>
        <v>2.8126613709526533E-3</v>
      </c>
      <c r="S104" s="21" t="e">
        <f>(VLOOKUP(B104,'Data Core CPI'!$B:$AY,MATCH($S$1,'Data Core CPI'!$B$1:$AY$1,),)-VLOOKUP(EDATE(B104,-12),'Data Core CPI'!$B:$AY,MATCH($S$1,'Data Core CPI'!$B$1:$AY$1,),))/VLOOKUP(EDATE(B104,-12),'Data Core CPI'!$B:$AY,MATCH($S$1,'Data Core CPI'!$B$1:$AY$1,),)</f>
        <v>#DIV/0!</v>
      </c>
      <c r="T104" s="21" t="e">
        <f>(VLOOKUP(B104,'Data Core CPI'!$B:$AY,MATCH($T$1,'Data Core CPI'!$B$1:$AY$1,),)-VLOOKUP(EDATE(B104,-12),'Data Core CPI'!$B:$AY,MATCH($T$1,'Data Core CPI'!$B$1:$AY$1,),))/VLOOKUP(EDATE(B104,-12),'Data Core CPI'!$B:$AY,MATCH($T$1,'Data Core CPI'!$B$1:$AY$1,),)</f>
        <v>#DIV/0!</v>
      </c>
      <c r="U104" s="21">
        <f>(VLOOKUP(B104,'Data Core CPI'!$B:$AY,MATCH($U$1,'Data Core CPI'!$B$1:$AY$1,),)-VLOOKUP(EDATE(B104,-12),'Data Core CPI'!$B:$AY,MATCH($U$1,'Data Core CPI'!$B$1:$AY$1,),))/VLOOKUP(EDATE(B104,-12),'Data Core CPI'!$B:$AY,MATCH($U$1,'Data Core CPI'!$B$1:$AY$1,),)</f>
        <v>3.143402082429355E-3</v>
      </c>
      <c r="V104" s="21">
        <f>(VLOOKUP(B104,'Data Core CPI'!$B:$AY,MATCH($V$1,'Data Core CPI'!$B$1:$AY$1,),)-VLOOKUP(EDATE(B104,-12),'Data Core CPI'!$B:$AY,MATCH($V$1,'Data Core CPI'!$B$1:$AY$1,),))/VLOOKUP(EDATE(B104,-12),'Data Core CPI'!$B:$AY,MATCH($V$1,'Data Core CPI'!$B$1:$AY$1,),)</f>
        <v>2.5396242580013537E-3</v>
      </c>
      <c r="W104" s="21">
        <f>(VLOOKUP(B104,'Data Core CPI'!$B:$AY,MATCH($W$1,'Data Core CPI'!$B$1:$AY$1,),)-VLOOKUP(EDATE(B104,-12),'Data Core CPI'!$B:$AY,MATCH($W$1,'Data Core CPI'!$B$1:$AY$1,),))/VLOOKUP(EDATE(B104,-12),'Data Core CPI'!$B:$AY,MATCH($W$1,'Data Core CPI'!$B$1:$AY$1,),)</f>
        <v>0.22640941691795163</v>
      </c>
      <c r="X104" s="21">
        <f>(VLOOKUP(B104,'Data Core CPI'!$B:$AY,MATCH($X$1,'Data Core CPI'!$B$1:$AY$1,),)-VLOOKUP(EDATE(B104,-12),'Data Core CPI'!$B:$AY,MATCH($X$1,'Data Core CPI'!$B$1:$AY$1,),))/VLOOKUP(EDATE(B104,-12),'Data Core CPI'!$B:$AY,MATCH($X$1,'Data Core CPI'!$B$1:$AY$1,),)</f>
        <v>2.4952015355086316E-2</v>
      </c>
      <c r="Y104" s="21">
        <f>(VLOOKUP(B104,'Data Core CPI'!$B:$AY,MATCH($Y$1,'Data Core CPI'!$B$1:$AY$1,),)-VLOOKUP(EDATE(B104,-12),'Data Core CPI'!$B:$AY,MATCH($Y$1,'Data Core CPI'!$B$1:$AY$1,),))/VLOOKUP(EDATE(B104,-12),'Data Core CPI'!$B:$AY,MATCH($Y$1,'Data Core CPI'!$B$1:$AY$1,),)</f>
        <v>8.6283640347873617E-3</v>
      </c>
      <c r="Z104" s="21" t="e">
        <f>(VLOOKUP(B104,Data!$B:$AY,MATCH($Z$1,Data!$B$1:$AY$1,),)-VLOOKUP(EDATE(B104,-12),Data!$B:$AY,MATCH($Z$1,Data!$B$1:$AY$1,),))/VLOOKUP(EDATE(B104,-12),Data!$B:$AY,MATCH($Z$1,Data!$B$1:$AY$1,),)</f>
        <v>#N/A</v>
      </c>
      <c r="AA104" s="21" t="e">
        <f>(VLOOKUP(B104,Data!$B:$AY,MATCH($AA$1,Data!$B$1:$AY$1,),)-VLOOKUP(EDATE(B104,-12),Data!$B:$AY,MATCH($AA$1,Data!$B$1:$AY$1,),))/VLOOKUP(EDATE(B104,-12),Data!$B:$AY,MATCH($AA$1,Data!$B$1:$AY$1,),)</f>
        <v>#N/A</v>
      </c>
    </row>
    <row r="105" spans="2:28" s="3" customFormat="1" x14ac:dyDescent="0.2">
      <c r="B105" s="16">
        <v>43405</v>
      </c>
      <c r="C105" s="21">
        <f>(VLOOKUP(B105,'Data Core CPI'!$B:$AY,MATCH($C$1,'Data Core CPI'!$B$1:$AY$1,),)-VLOOKUP(EDATE(B105,-12),'Data Core CPI'!$B:$AY,MATCH($C$1,'Data Core CPI'!$B$1:$AY$1,),))/VLOOKUP(EDATE(B105,-12),'Data Core CPI'!$B:$AY,MATCH($C$1,'Data Core CPI'!$B$1:$AY$1,),)</f>
        <v>2.214211857166605E-2</v>
      </c>
      <c r="D105" s="21" t="e">
        <f>(VLOOKUP(B105,'Data Core CPI'!$B:$AY,MATCH($D$1,'Data Core CPI'!$B$1:$AY$1,),)-VLOOKUP(EDATE(B105,-12),'Data Core CPI'!$B:$AY,MATCH($D$1,'Data Core CPI'!$B$1:$AY$1,),))/VLOOKUP(EDATE(B105,-12),'Data Core CPI'!$B:$AY,MATCH($D$1,'Data Core CPI'!$B$1:$AY$1,),)</f>
        <v>#DIV/0!</v>
      </c>
      <c r="E105" s="21">
        <f>(VLOOKUP(B105,'Data Core CPI'!$B:$AY,MATCH($E$1,'Data Core CPI'!$B$1:$AY$1,),)-VLOOKUP(EDATE(B105,-12),'Data Core CPI'!$B:$AY,MATCH($E$1,'Data Core CPI'!$B$1:$AY$1,),))/VLOOKUP(EDATE(B105,-12),'Data Core CPI'!$B:$AY,MATCH($E$1,'Data Core CPI'!$B$1:$AY$1,),)</f>
        <v>9.3164656271452675E-3</v>
      </c>
      <c r="F105" s="21">
        <f>(VLOOKUP(B105,'Data Core CPI'!$B:$AY,MATCH($F$1,'Data Core CPI'!$B$1:$AY$1,),)-VLOOKUP(EDATE(B105,-12),'Data Core CPI'!$B:$AY,MATCH($F$1,'Data Core CPI'!$B$1:$AY$1,),))/VLOOKUP(EDATE(B105,-12),'Data Core CPI'!$B:$AY,MATCH($F$1,'Data Core CPI'!$B$1:$AY$1,),)</f>
        <v>2.2014610147592906E-3</v>
      </c>
      <c r="G105" s="21">
        <f>(VLOOKUP(B105,'Data Core CPI'!$B:$AY,MATCH($G$1,'Data Core CPI'!$B$1:$AY$1,),)-VLOOKUP(EDATE(B105,-12),'Data Core CPI'!$B:$AY,MATCH($G$1,'Data Core CPI'!$B$1:$AY$1,),))/VLOOKUP(EDATE(B105,-12),'Data Core CPI'!$B:$AY,MATCH($G$1,'Data Core CPI'!$B$1:$AY$1,),)</f>
        <v>1.2732070612579504E-2</v>
      </c>
      <c r="H105" s="21">
        <f>(VLOOKUP(B105,'Data Core CPI'!$B:$AY,MATCH($H$1,'Data Core CPI'!$B$1:$AY$1,),)-VLOOKUP(EDATE(B105,-12),'Data Core CPI'!$B:$AY,MATCH($H$1,'Data Core CPI'!$B$1:$AY$1,),))/VLOOKUP(EDATE(B105,-12),'Data Core CPI'!$B:$AY,MATCH($H$1,'Data Core CPI'!$B$1:$AY$1,),)</f>
        <v>8.8007516937836303E-3</v>
      </c>
      <c r="I105" s="21">
        <f>(VLOOKUP(B105,'Data Core CPI'!$B:$AY,MATCH($I$1,'Data Core CPI'!$B$1:$AY$1,),)-VLOOKUP(EDATE(B105,-12),'Data Core CPI'!$B:$AY,MATCH($I$1,'Data Core CPI'!$B$1:$AY$1,),))/VLOOKUP(EDATE(B105,-12),'Data Core CPI'!$B:$AY,MATCH($I$1,'Data Core CPI'!$B$1:$AY$1,),)</f>
        <v>1.8112488083889336E-2</v>
      </c>
      <c r="J105" s="21">
        <f>(VLOOKUP(B105,'Data Core CPI'!$B:$AY,MATCH($J$1,'Data Core CPI'!$B$1:$AY$1,),)-VLOOKUP(EDATE(B105,-12),'Data Core CPI'!$B:$AY,MATCH($J$1,'Data Core CPI'!$B$1:$AY$1,),))/VLOOKUP(EDATE(B105,-12),'Data Core CPI'!$B:$AY,MATCH($J$1,'Data Core CPI'!$B$1:$AY$1,),)</f>
        <v>8.4748207593813504E-3</v>
      </c>
      <c r="K105" s="21">
        <f>(VLOOKUP(B105,'Data Core CPI'!$B:$AY,MATCH($K$1,'Data Core CPI'!$B$1:$AY$1,),)-VLOOKUP(EDATE(B105,-12),'Data Core CPI'!$B:$AY,MATCH($K$1,'Data Core CPI'!$B$1:$AY$1,),))/VLOOKUP(EDATE(B105,-12),'Data Core CPI'!$B:$AY,MATCH($K$1,'Data Core CPI'!$B$1:$AY$1,),)</f>
        <v>9.3269387533286424E-3</v>
      </c>
      <c r="L105" s="21">
        <f>(VLOOKUP(B105,'Data Core CPI'!$B:$AY,MATCH($L$1,'Data Core CPI'!$B$1:$AY$1,),)-VLOOKUP(EDATE(B105,-12),'Data Core CPI'!$B:$AY,MATCH($L$1,'Data Core CPI'!$B$1:$AY$1,),))/VLOOKUP(EDATE(B105,-12),'Data Core CPI'!$B:$AY,MATCH($L$1,'Data Core CPI'!$B$1:$AY$1,),)</f>
        <v>1.0801052060642347E-2</v>
      </c>
      <c r="M105" s="21">
        <f>(VLOOKUP(B105,'Data Core CPI'!$B:$AY,MATCH($M$1,'Data Core CPI'!$B$1:$AY$1,),)-VLOOKUP(EDATE(B105,-12),'Data Core CPI'!$B:$AY,MATCH($M$1,'Data Core CPI'!$B$1:$AY$1,),))/VLOOKUP(EDATE(B105,-12),'Data Core CPI'!$B:$AY,MATCH($M$1,'Data Core CPI'!$B$1:$AY$1,),)</f>
        <v>3.3751379865806334E-2</v>
      </c>
      <c r="N105" s="21" t="e">
        <f>(VLOOKUP(B105,'Data Core CPI'!$B:$AY,MATCH($N$1,'Data Core CPI'!$B$1:$AY$1,),)-VLOOKUP(EDATE(B105,-12),'Data Core CPI'!$B:$AY,MATCH($N$1,'Data Core CPI'!$B$1:$AY$1,),))/VLOOKUP(EDATE(B105,-12),'Data Core CPI'!$B:$AY,MATCH($N$1,'Data Core CPI'!$B$1:$AY$1,),)</f>
        <v>#DIV/0!</v>
      </c>
      <c r="O105" s="21" t="e">
        <f>(VLOOKUP(B105,'Data Core CPI'!$B:$AY,MATCH($O$1,'Data Core CPI'!$B$1:$AY$1,),)-VLOOKUP(EDATE(B105,-12),'Data Core CPI'!$B:$AY,MATCH($O$1,'Data Core CPI'!$B$1:$AY$1,),))/VLOOKUP(EDATE(B105,-12),'Data Core CPI'!$B:$AY,MATCH($O$1,'Data Core CPI'!$B$1:$AY$1,),)</f>
        <v>#DIV/0!</v>
      </c>
      <c r="P105" s="21">
        <f>(VLOOKUP(B105,'Data Core CPI'!$B:$AY,MATCH($P$1,'Data Core CPI'!$B$1:$AY$1,),)-VLOOKUP(EDATE(B105,-12),'Data Core CPI'!$B:$AY,MATCH($P$1,'Data Core CPI'!$B$1:$AY$1,),))/VLOOKUP(EDATE(B105,-12),'Data Core CPI'!$B:$AY,MATCH($P$1,'Data Core CPI'!$B$1:$AY$1,),)</f>
        <v>2.0468315205157388E-2</v>
      </c>
      <c r="Q105" s="21" t="e">
        <f>(VLOOKUP(B105,'Data Core CPI'!$B:$AY,MATCH($Q$1,'Data Core CPI'!$B$1:$AY$1,),)-VLOOKUP(EDATE(B105,-12),'Data Core CPI'!$B:$AY,MATCH($Q$1,'Data Core CPI'!$B$1:$AY$1,),))/VLOOKUP(EDATE(B105,-12),'Data Core CPI'!$B:$AY,MATCH($Q$1,'Data Core CPI'!$B$1:$AY$1,),)</f>
        <v>#N/A</v>
      </c>
      <c r="R105" s="21">
        <f>(VLOOKUP(B105,'Data Core CPI'!$B:$AY,MATCH($R$1,'Data Core CPI'!$B$1:$AY$1,),)-VLOOKUP(EDATE(B105,-12),'Data Core CPI'!$B:$AY,MATCH($R$1,'Data Core CPI'!$B$1:$AY$1,),))/VLOOKUP(EDATE(B105,-12),'Data Core CPI'!$B:$AY,MATCH($R$1,'Data Core CPI'!$B$1:$AY$1,),)</f>
        <v>1.5783984751517712E-3</v>
      </c>
      <c r="S105" s="21" t="e">
        <f>(VLOOKUP(B105,'Data Core CPI'!$B:$AY,MATCH($S$1,'Data Core CPI'!$B$1:$AY$1,),)-VLOOKUP(EDATE(B105,-12),'Data Core CPI'!$B:$AY,MATCH($S$1,'Data Core CPI'!$B$1:$AY$1,),))/VLOOKUP(EDATE(B105,-12),'Data Core CPI'!$B:$AY,MATCH($S$1,'Data Core CPI'!$B$1:$AY$1,),)</f>
        <v>#DIV/0!</v>
      </c>
      <c r="T105" s="21" t="e">
        <f>(VLOOKUP(B105,'Data Core CPI'!$B:$AY,MATCH($T$1,'Data Core CPI'!$B$1:$AY$1,),)-VLOOKUP(EDATE(B105,-12),'Data Core CPI'!$B:$AY,MATCH($T$1,'Data Core CPI'!$B$1:$AY$1,),))/VLOOKUP(EDATE(B105,-12),'Data Core CPI'!$B:$AY,MATCH($T$1,'Data Core CPI'!$B$1:$AY$1,),)</f>
        <v>#DIV/0!</v>
      </c>
      <c r="U105" s="21">
        <f>(VLOOKUP(B105,'Data Core CPI'!$B:$AY,MATCH($U$1,'Data Core CPI'!$B$1:$AY$1,),)-VLOOKUP(EDATE(B105,-12),'Data Core CPI'!$B:$AY,MATCH($U$1,'Data Core CPI'!$B$1:$AY$1,),))/VLOOKUP(EDATE(B105,-12),'Data Core CPI'!$B:$AY,MATCH($U$1,'Data Core CPI'!$B$1:$AY$1,),)</f>
        <v>2.0342453798670342E-3</v>
      </c>
      <c r="V105" s="21">
        <f>(VLOOKUP(B105,'Data Core CPI'!$B:$AY,MATCH($V$1,'Data Core CPI'!$B$1:$AY$1,),)-VLOOKUP(EDATE(B105,-12),'Data Core CPI'!$B:$AY,MATCH($V$1,'Data Core CPI'!$B$1:$AY$1,),))/VLOOKUP(EDATE(B105,-12),'Data Core CPI'!$B:$AY,MATCH($V$1,'Data Core CPI'!$B$1:$AY$1,),)</f>
        <v>1.6575231924371937E-3</v>
      </c>
      <c r="W105" s="21">
        <f>(VLOOKUP(B105,'Data Core CPI'!$B:$AY,MATCH($W$1,'Data Core CPI'!$B$1:$AY$1,),)-VLOOKUP(EDATE(B105,-12),'Data Core CPI'!$B:$AY,MATCH($W$1,'Data Core CPI'!$B$1:$AY$1,),))/VLOOKUP(EDATE(B105,-12),'Data Core CPI'!$B:$AY,MATCH($W$1,'Data Core CPI'!$B$1:$AY$1,),)</f>
        <v>0.19176810129380978</v>
      </c>
      <c r="X105" s="21">
        <f>(VLOOKUP(B105,'Data Core CPI'!$B:$AY,MATCH($X$1,'Data Core CPI'!$B$1:$AY$1,),)-VLOOKUP(EDATE(B105,-12),'Data Core CPI'!$B:$AY,MATCH($X$1,'Data Core CPI'!$B$1:$AY$1,),))/VLOOKUP(EDATE(B105,-12),'Data Core CPI'!$B:$AY,MATCH($X$1,'Data Core CPI'!$B$1:$AY$1,),)</f>
        <v>2.591170825335895E-2</v>
      </c>
      <c r="Y105" s="21">
        <f>(VLOOKUP(B105,'Data Core CPI'!$B:$AY,MATCH($Y$1,'Data Core CPI'!$B$1:$AY$1,),)-VLOOKUP(EDATE(B105,-12),'Data Core CPI'!$B:$AY,MATCH($Y$1,'Data Core CPI'!$B$1:$AY$1,),))/VLOOKUP(EDATE(B105,-12),'Data Core CPI'!$B:$AY,MATCH($Y$1,'Data Core CPI'!$B$1:$AY$1,),)</f>
        <v>6.8965448855500336E-3</v>
      </c>
      <c r="Z105" s="21" t="e">
        <f>(VLOOKUP(B105,Data!$B:$AY,MATCH($Z$1,Data!$B$1:$AY$1,),)-VLOOKUP(EDATE(B105,-12),Data!$B:$AY,MATCH($Z$1,Data!$B$1:$AY$1,),))/VLOOKUP(EDATE(B105,-12),Data!$B:$AY,MATCH($Z$1,Data!$B$1:$AY$1,),)</f>
        <v>#N/A</v>
      </c>
      <c r="AA105" s="21" t="e">
        <f>(VLOOKUP(B105,Data!$B:$AY,MATCH($AA$1,Data!$B$1:$AY$1,),)-VLOOKUP(EDATE(B105,-12),Data!$B:$AY,MATCH($AA$1,Data!$B$1:$AY$1,),))/VLOOKUP(EDATE(B105,-12),Data!$B:$AY,MATCH($AA$1,Data!$B$1:$AY$1,),)</f>
        <v>#N/A</v>
      </c>
    </row>
    <row r="106" spans="2:28" s="3" customFormat="1" x14ac:dyDescent="0.2">
      <c r="B106" s="16">
        <v>43435</v>
      </c>
      <c r="C106" s="21">
        <f>(VLOOKUP(B106,'Data Core CPI'!$B:$AY,MATCH($C$1,'Data Core CPI'!$B$1:$AY$1,),)-VLOOKUP(EDATE(B106,-12),'Data Core CPI'!$B:$AY,MATCH($C$1,'Data Core CPI'!$B$1:$AY$1,),))/VLOOKUP(EDATE(B106,-12),'Data Core CPI'!$B:$AY,MATCH($C$1,'Data Core CPI'!$B$1:$AY$1,),)</f>
        <v>2.1789558361851796E-2</v>
      </c>
      <c r="D106" s="21" t="e">
        <f>(VLOOKUP(B106,'Data Core CPI'!$B:$AY,MATCH($D$1,'Data Core CPI'!$B$1:$AY$1,),)-VLOOKUP(EDATE(B106,-12),'Data Core CPI'!$B:$AY,MATCH($D$1,'Data Core CPI'!$B$1:$AY$1,),))/VLOOKUP(EDATE(B106,-12),'Data Core CPI'!$B:$AY,MATCH($D$1,'Data Core CPI'!$B$1:$AY$1,),)</f>
        <v>#DIV/0!</v>
      </c>
      <c r="E106" s="21">
        <f>(VLOOKUP(B106,'Data Core CPI'!$B:$AY,MATCH($E$1,'Data Core CPI'!$B$1:$AY$1,),)-VLOOKUP(EDATE(B106,-12),'Data Core CPI'!$B:$AY,MATCH($E$1,'Data Core CPI'!$B$1:$AY$1,),))/VLOOKUP(EDATE(B106,-12),'Data Core CPI'!$B:$AY,MATCH($E$1,'Data Core CPI'!$B$1:$AY$1,),)</f>
        <v>9.277343749999889E-3</v>
      </c>
      <c r="F106" s="21">
        <f>(VLOOKUP(B106,'Data Core CPI'!$B:$AY,MATCH($F$1,'Data Core CPI'!$B$1:$AY$1,),)-VLOOKUP(EDATE(B106,-12),'Data Core CPI'!$B:$AY,MATCH($F$1,'Data Core CPI'!$B$1:$AY$1,),))/VLOOKUP(EDATE(B106,-12),'Data Core CPI'!$B:$AY,MATCH($F$1,'Data Core CPI'!$B$1:$AY$1,),)</f>
        <v>2.1555023971015263E-3</v>
      </c>
      <c r="G106" s="21">
        <f>(VLOOKUP(B106,'Data Core CPI'!$B:$AY,MATCH($G$1,'Data Core CPI'!$B$1:$AY$1,),)-VLOOKUP(EDATE(B106,-12),'Data Core CPI'!$B:$AY,MATCH($G$1,'Data Core CPI'!$B$1:$AY$1,),))/VLOOKUP(EDATE(B106,-12),'Data Core CPI'!$B:$AY,MATCH($G$1,'Data Core CPI'!$B$1:$AY$1,),)</f>
        <v>1.2092527022352492E-2</v>
      </c>
      <c r="H106" s="21">
        <f>(VLOOKUP(B106,'Data Core CPI'!$B:$AY,MATCH($H$1,'Data Core CPI'!$B$1:$AY$1,),)-VLOOKUP(EDATE(B106,-12),'Data Core CPI'!$B:$AY,MATCH($H$1,'Data Core CPI'!$B$1:$AY$1,),))/VLOOKUP(EDATE(B106,-12),'Data Core CPI'!$B:$AY,MATCH($H$1,'Data Core CPI'!$B$1:$AY$1,),)</f>
        <v>7.0381514922438606E-3</v>
      </c>
      <c r="I106" s="21">
        <f>(VLOOKUP(B106,'Data Core CPI'!$B:$AY,MATCH($I$1,'Data Core CPI'!$B$1:$AY$1,),)-VLOOKUP(EDATE(B106,-12),'Data Core CPI'!$B:$AY,MATCH($I$1,'Data Core CPI'!$B$1:$AY$1,),))/VLOOKUP(EDATE(B106,-12),'Data Core CPI'!$B:$AY,MATCH($I$1,'Data Core CPI'!$B$1:$AY$1,),)</f>
        <v>1.8060836501901059E-2</v>
      </c>
      <c r="J106" s="21">
        <f>(VLOOKUP(B106,'Data Core CPI'!$B:$AY,MATCH($J$1,'Data Core CPI'!$B$1:$AY$1,),)-VLOOKUP(EDATE(B106,-12),'Data Core CPI'!$B:$AY,MATCH($J$1,'Data Core CPI'!$B$1:$AY$1,),))/VLOOKUP(EDATE(B106,-12),'Data Core CPI'!$B:$AY,MATCH($J$1,'Data Core CPI'!$B$1:$AY$1,),)</f>
        <v>5.2296253025946393E-3</v>
      </c>
      <c r="K106" s="21">
        <f>(VLOOKUP(B106,'Data Core CPI'!$B:$AY,MATCH($K$1,'Data Core CPI'!$B$1:$AY$1,),)-VLOOKUP(EDATE(B106,-12),'Data Core CPI'!$B:$AY,MATCH($K$1,'Data Core CPI'!$B$1:$AY$1,),))/VLOOKUP(EDATE(B106,-12),'Data Core CPI'!$B:$AY,MATCH($K$1,'Data Core CPI'!$B$1:$AY$1,),)</f>
        <v>9.7544600410591018E-3</v>
      </c>
      <c r="L106" s="21">
        <f>(VLOOKUP(B106,'Data Core CPI'!$B:$AY,MATCH($L$1,'Data Core CPI'!$B$1:$AY$1,),)-VLOOKUP(EDATE(B106,-12),'Data Core CPI'!$B:$AY,MATCH($L$1,'Data Core CPI'!$B$1:$AY$1,),))/VLOOKUP(EDATE(B106,-12),'Data Core CPI'!$B:$AY,MATCH($L$1,'Data Core CPI'!$B$1:$AY$1,),)</f>
        <v>1.2940289543465898E-2</v>
      </c>
      <c r="M106" s="21">
        <f>(VLOOKUP(B106,'Data Core CPI'!$B:$AY,MATCH($M$1,'Data Core CPI'!$B$1:$AY$1,),)-VLOOKUP(EDATE(B106,-12),'Data Core CPI'!$B:$AY,MATCH($M$1,'Data Core CPI'!$B$1:$AY$1,),))/VLOOKUP(EDATE(B106,-12),'Data Core CPI'!$B:$AY,MATCH($M$1,'Data Core CPI'!$B$1:$AY$1,),)</f>
        <v>3.4308788242214325E-2</v>
      </c>
      <c r="N106" s="21" t="e">
        <f>(VLOOKUP(B106,'Data Core CPI'!$B:$AY,MATCH($N$1,'Data Core CPI'!$B$1:$AY$1,),)-VLOOKUP(EDATE(B106,-12),'Data Core CPI'!$B:$AY,MATCH($N$1,'Data Core CPI'!$B$1:$AY$1,),))/VLOOKUP(EDATE(B106,-12),'Data Core CPI'!$B:$AY,MATCH($N$1,'Data Core CPI'!$B$1:$AY$1,),)</f>
        <v>#DIV/0!</v>
      </c>
      <c r="O106" s="21" t="e">
        <f>(VLOOKUP(B106,'Data Core CPI'!$B:$AY,MATCH($O$1,'Data Core CPI'!$B$1:$AY$1,),)-VLOOKUP(EDATE(B106,-12),'Data Core CPI'!$B:$AY,MATCH($O$1,'Data Core CPI'!$B$1:$AY$1,),))/VLOOKUP(EDATE(B106,-12),'Data Core CPI'!$B:$AY,MATCH($O$1,'Data Core CPI'!$B$1:$AY$1,),)</f>
        <v>#DIV/0!</v>
      </c>
      <c r="P106" s="21">
        <f>(VLOOKUP(B106,'Data Core CPI'!$B:$AY,MATCH($P$1,'Data Core CPI'!$B$1:$AY$1,),)-VLOOKUP(EDATE(B106,-12),'Data Core CPI'!$B:$AY,MATCH($P$1,'Data Core CPI'!$B$1:$AY$1,),))/VLOOKUP(EDATE(B106,-12),'Data Core CPI'!$B:$AY,MATCH($P$1,'Data Core CPI'!$B$1:$AY$1,),)</f>
        <v>2.5275257946125614E-2</v>
      </c>
      <c r="Q106" s="21" t="e">
        <f>(VLOOKUP(B106,'Data Core CPI'!$B:$AY,MATCH($Q$1,'Data Core CPI'!$B$1:$AY$1,),)-VLOOKUP(EDATE(B106,-12),'Data Core CPI'!$B:$AY,MATCH($Q$1,'Data Core CPI'!$B$1:$AY$1,),))/VLOOKUP(EDATE(B106,-12),'Data Core CPI'!$B:$AY,MATCH($Q$1,'Data Core CPI'!$B$1:$AY$1,),)</f>
        <v>#N/A</v>
      </c>
      <c r="R106" s="21">
        <f>(VLOOKUP(B106,'Data Core CPI'!$B:$AY,MATCH($R$1,'Data Core CPI'!$B$1:$AY$1,),)-VLOOKUP(EDATE(B106,-12),'Data Core CPI'!$B:$AY,MATCH($R$1,'Data Core CPI'!$B$1:$AY$1,),))/VLOOKUP(EDATE(B106,-12),'Data Core CPI'!$B:$AY,MATCH($R$1,'Data Core CPI'!$B$1:$AY$1,),)</f>
        <v>2.2666962627007369E-3</v>
      </c>
      <c r="S106" s="21" t="e">
        <f>(VLOOKUP(B106,'Data Core CPI'!$B:$AY,MATCH($S$1,'Data Core CPI'!$B$1:$AY$1,),)-VLOOKUP(EDATE(B106,-12),'Data Core CPI'!$B:$AY,MATCH($S$1,'Data Core CPI'!$B$1:$AY$1,),))/VLOOKUP(EDATE(B106,-12),'Data Core CPI'!$B:$AY,MATCH($S$1,'Data Core CPI'!$B$1:$AY$1,),)</f>
        <v>#DIV/0!</v>
      </c>
      <c r="T106" s="21" t="e">
        <f>(VLOOKUP(B106,'Data Core CPI'!$B:$AY,MATCH($T$1,'Data Core CPI'!$B$1:$AY$1,),)-VLOOKUP(EDATE(B106,-12),'Data Core CPI'!$B:$AY,MATCH($T$1,'Data Core CPI'!$B$1:$AY$1,),))/VLOOKUP(EDATE(B106,-12),'Data Core CPI'!$B:$AY,MATCH($T$1,'Data Core CPI'!$B$1:$AY$1,),)</f>
        <v>#DIV/0!</v>
      </c>
      <c r="U106" s="21">
        <f>(VLOOKUP(B106,'Data Core CPI'!$B:$AY,MATCH($U$1,'Data Core CPI'!$B$1:$AY$1,),)-VLOOKUP(EDATE(B106,-12),'Data Core CPI'!$B:$AY,MATCH($U$1,'Data Core CPI'!$B$1:$AY$1,),))/VLOOKUP(EDATE(B106,-12),'Data Core CPI'!$B:$AY,MATCH($U$1,'Data Core CPI'!$B$1:$AY$1,),)</f>
        <v>6.3979264825067914E-3</v>
      </c>
      <c r="V106" s="21">
        <f>(VLOOKUP(B106,'Data Core CPI'!$B:$AY,MATCH($V$1,'Data Core CPI'!$B$1:$AY$1,),)-VLOOKUP(EDATE(B106,-12),'Data Core CPI'!$B:$AY,MATCH($V$1,'Data Core CPI'!$B$1:$AY$1,),))/VLOOKUP(EDATE(B106,-12),'Data Core CPI'!$B:$AY,MATCH($V$1,'Data Core CPI'!$B$1:$AY$1,),)</f>
        <v>4.6838384269126251E-3</v>
      </c>
      <c r="W106" s="21">
        <f>(VLOOKUP(B106,'Data Core CPI'!$B:$AY,MATCH($W$1,'Data Core CPI'!$B$1:$AY$1,),)-VLOOKUP(EDATE(B106,-12),'Data Core CPI'!$B:$AY,MATCH($W$1,'Data Core CPI'!$B$1:$AY$1,),))/VLOOKUP(EDATE(B106,-12),'Data Core CPI'!$B:$AY,MATCH($W$1,'Data Core CPI'!$B$1:$AY$1,),)</f>
        <v>0.18216883004567858</v>
      </c>
      <c r="X106" s="21">
        <f>(VLOOKUP(B106,'Data Core CPI'!$B:$AY,MATCH($X$1,'Data Core CPI'!$B$1:$AY$1,),)-VLOOKUP(EDATE(B106,-12),'Data Core CPI'!$B:$AY,MATCH($X$1,'Data Core CPI'!$B$1:$AY$1,),))/VLOOKUP(EDATE(B106,-12),'Data Core CPI'!$B:$AY,MATCH($X$1,'Data Core CPI'!$B$1:$AY$1,),)</f>
        <v>2.5936599423631152E-2</v>
      </c>
      <c r="Y106" s="21">
        <f>(VLOOKUP(B106,'Data Core CPI'!$B:$AY,MATCH($Y$1,'Data Core CPI'!$B$1:$AY$1,),)-VLOOKUP(EDATE(B106,-12),'Data Core CPI'!$B:$AY,MATCH($Y$1,'Data Core CPI'!$B$1:$AY$1,),))/VLOOKUP(EDATE(B106,-12),'Data Core CPI'!$B:$AY,MATCH($Y$1,'Data Core CPI'!$B$1:$AY$1,),)</f>
        <v>6.0286561793477383E-3</v>
      </c>
      <c r="Z106" s="21" t="e">
        <f>(VLOOKUP(B106,Data!$B:$AY,MATCH($Z$1,Data!$B$1:$AY$1,),)-VLOOKUP(EDATE(B106,-12),Data!$B:$AY,MATCH($Z$1,Data!$B$1:$AY$1,),))/VLOOKUP(EDATE(B106,-12),Data!$B:$AY,MATCH($Z$1,Data!$B$1:$AY$1,),)</f>
        <v>#N/A</v>
      </c>
      <c r="AA106" s="21" t="e">
        <f>(VLOOKUP(B106,Data!$B:$AY,MATCH($AA$1,Data!$B$1:$AY$1,),)-VLOOKUP(EDATE(B106,-12),Data!$B:$AY,MATCH($AA$1,Data!$B$1:$AY$1,),))/VLOOKUP(EDATE(B106,-12),Data!$B:$AY,MATCH($AA$1,Data!$B$1:$AY$1,),)</f>
        <v>#N/A</v>
      </c>
    </row>
    <row r="107" spans="2:28" s="3" customFormat="1" x14ac:dyDescent="0.2">
      <c r="B107" s="16">
        <v>43466</v>
      </c>
      <c r="C107" s="21">
        <f>(VLOOKUP(B107,'Data Core CPI'!$B:$AY,MATCH($C$1,'Data Core CPI'!$B$1:$AY$1,),)-VLOOKUP(EDATE(B107,-12),'Data Core CPI'!$B:$AY,MATCH($C$1,'Data Core CPI'!$B$1:$AY$1,),))/VLOOKUP(EDATE(B107,-12),'Data Core CPI'!$B:$AY,MATCH($C$1,'Data Core CPI'!$B$1:$AY$1,),)</f>
        <v>2.1537322861013369E-2</v>
      </c>
      <c r="D107" s="21" t="e">
        <f>(VLOOKUP(B107,'Data Core CPI'!$B:$AY,MATCH($D$1,'Data Core CPI'!$B$1:$AY$1,),)-VLOOKUP(EDATE(B107,-12),'Data Core CPI'!$B:$AY,MATCH($D$1,'Data Core CPI'!$B$1:$AY$1,),))/VLOOKUP(EDATE(B107,-12),'Data Core CPI'!$B:$AY,MATCH($D$1,'Data Core CPI'!$B$1:$AY$1,),)</f>
        <v>#DIV/0!</v>
      </c>
      <c r="E107" s="21">
        <f>(VLOOKUP(B107,'Data Core CPI'!$B:$AY,MATCH($E$1,'Data Core CPI'!$B$1:$AY$1,),)-VLOOKUP(EDATE(B107,-12),'Data Core CPI'!$B:$AY,MATCH($E$1,'Data Core CPI'!$B$1:$AY$1,),))/VLOOKUP(EDATE(B107,-12),'Data Core CPI'!$B:$AY,MATCH($E$1,'Data Core CPI'!$B$1:$AY$1,),)</f>
        <v>1.1224793880997272E-2</v>
      </c>
      <c r="F107" s="21">
        <f>(VLOOKUP(B107,'Data Core CPI'!$B:$AY,MATCH($F$1,'Data Core CPI'!$B$1:$AY$1,),)-VLOOKUP(EDATE(B107,-12),'Data Core CPI'!$B:$AY,MATCH($F$1,'Data Core CPI'!$B$1:$AY$1,),))/VLOOKUP(EDATE(B107,-12),'Data Core CPI'!$B:$AY,MATCH($F$1,'Data Core CPI'!$B$1:$AY$1,),)</f>
        <v>3.8441525236676734E-3</v>
      </c>
      <c r="G107" s="21">
        <f>(VLOOKUP(B107,'Data Core CPI'!$B:$AY,MATCH($G$1,'Data Core CPI'!$B$1:$AY$1,),)-VLOOKUP(EDATE(B107,-12),'Data Core CPI'!$B:$AY,MATCH($G$1,'Data Core CPI'!$B$1:$AY$1,),))/VLOOKUP(EDATE(B107,-12),'Data Core CPI'!$B:$AY,MATCH($G$1,'Data Core CPI'!$B$1:$AY$1,),)</f>
        <v>1.3472760357025226E-2</v>
      </c>
      <c r="H107" s="21">
        <f>(VLOOKUP(B107,'Data Core CPI'!$B:$AY,MATCH($H$1,'Data Core CPI'!$B$1:$AY$1,),)-VLOOKUP(EDATE(B107,-12),'Data Core CPI'!$B:$AY,MATCH($H$1,'Data Core CPI'!$B$1:$AY$1,),))/VLOOKUP(EDATE(B107,-12),'Data Core CPI'!$B:$AY,MATCH($H$1,'Data Core CPI'!$B$1:$AY$1,),)</f>
        <v>8.2541680273073865E-3</v>
      </c>
      <c r="I107" s="21">
        <f>(VLOOKUP(B107,'Data Core CPI'!$B:$AY,MATCH($I$1,'Data Core CPI'!$B$1:$AY$1,),)-VLOOKUP(EDATE(B107,-12),'Data Core CPI'!$B:$AY,MATCH($I$1,'Data Core CPI'!$B$1:$AY$1,),))/VLOOKUP(EDATE(B107,-12),'Data Core CPI'!$B:$AY,MATCH($I$1,'Data Core CPI'!$B$1:$AY$1,),)</f>
        <v>1.8181818181818236E-2</v>
      </c>
      <c r="J107" s="21">
        <f>(VLOOKUP(B107,'Data Core CPI'!$B:$AY,MATCH($J$1,'Data Core CPI'!$B$1:$AY$1,),)-VLOOKUP(EDATE(B107,-12),'Data Core CPI'!$B:$AY,MATCH($J$1,'Data Core CPI'!$B$1:$AY$1,),))/VLOOKUP(EDATE(B107,-12),'Data Core CPI'!$B:$AY,MATCH($J$1,'Data Core CPI'!$B$1:$AY$1,),)</f>
        <v>5.8289930684656804E-3</v>
      </c>
      <c r="K107" s="21">
        <f>(VLOOKUP(B107,'Data Core CPI'!$B:$AY,MATCH($K$1,'Data Core CPI'!$B$1:$AY$1,),)-VLOOKUP(EDATE(B107,-12),'Data Core CPI'!$B:$AY,MATCH($K$1,'Data Core CPI'!$B$1:$AY$1,),))/VLOOKUP(EDATE(B107,-12),'Data Core CPI'!$B:$AY,MATCH($K$1,'Data Core CPI'!$B$1:$AY$1,),)</f>
        <v>8.9152972671278832E-3</v>
      </c>
      <c r="L107" s="21">
        <f>(VLOOKUP(B107,'Data Core CPI'!$B:$AY,MATCH($L$1,'Data Core CPI'!$B$1:$AY$1,),)-VLOOKUP(EDATE(B107,-12),'Data Core CPI'!$B:$AY,MATCH($L$1,'Data Core CPI'!$B$1:$AY$1,),))/VLOOKUP(EDATE(B107,-12),'Data Core CPI'!$B:$AY,MATCH($L$1,'Data Core CPI'!$B$1:$AY$1,),)</f>
        <v>1.1721275554621092E-2</v>
      </c>
      <c r="M107" s="21">
        <f>(VLOOKUP(B107,'Data Core CPI'!$B:$AY,MATCH($M$1,'Data Core CPI'!$B$1:$AY$1,),)-VLOOKUP(EDATE(B107,-12),'Data Core CPI'!$B:$AY,MATCH($M$1,'Data Core CPI'!$B$1:$AY$1,),))/VLOOKUP(EDATE(B107,-12),'Data Core CPI'!$B:$AY,MATCH($M$1,'Data Core CPI'!$B$1:$AY$1,),)</f>
        <v>3.4258015289470437E-2</v>
      </c>
      <c r="N107" s="21" t="e">
        <f>(VLOOKUP(B107,'Data Core CPI'!$B:$AY,MATCH($N$1,'Data Core CPI'!$B$1:$AY$1,),)-VLOOKUP(EDATE(B107,-12),'Data Core CPI'!$B:$AY,MATCH($N$1,'Data Core CPI'!$B$1:$AY$1,),))/VLOOKUP(EDATE(B107,-12),'Data Core CPI'!$B:$AY,MATCH($N$1,'Data Core CPI'!$B$1:$AY$1,),)</f>
        <v>#DIV/0!</v>
      </c>
      <c r="O107" s="21" t="e">
        <f>(VLOOKUP(B107,'Data Core CPI'!$B:$AY,MATCH($O$1,'Data Core CPI'!$B$1:$AY$1,),)-VLOOKUP(EDATE(B107,-12),'Data Core CPI'!$B:$AY,MATCH($O$1,'Data Core CPI'!$B$1:$AY$1,),))/VLOOKUP(EDATE(B107,-12),'Data Core CPI'!$B:$AY,MATCH($O$1,'Data Core CPI'!$B$1:$AY$1,),)</f>
        <v>#DIV/0!</v>
      </c>
      <c r="P107" s="21">
        <f>(VLOOKUP(B107,'Data Core CPI'!$B:$AY,MATCH($P$1,'Data Core CPI'!$B$1:$AY$1,),)-VLOOKUP(EDATE(B107,-12),'Data Core CPI'!$B:$AY,MATCH($P$1,'Data Core CPI'!$B$1:$AY$1,),))/VLOOKUP(EDATE(B107,-12),'Data Core CPI'!$B:$AY,MATCH($P$1,'Data Core CPI'!$B$1:$AY$1,),)</f>
        <v>2.3232616222912148E-2</v>
      </c>
      <c r="Q107" s="21" t="e">
        <f>(VLOOKUP(B107,'Data Core CPI'!$B:$AY,MATCH($Q$1,'Data Core CPI'!$B$1:$AY$1,),)-VLOOKUP(EDATE(B107,-12),'Data Core CPI'!$B:$AY,MATCH($Q$1,'Data Core CPI'!$B$1:$AY$1,),))/VLOOKUP(EDATE(B107,-12),'Data Core CPI'!$B:$AY,MATCH($Q$1,'Data Core CPI'!$B$1:$AY$1,),)</f>
        <v>#N/A</v>
      </c>
      <c r="R107" s="21">
        <f>(VLOOKUP(B107,'Data Core CPI'!$B:$AY,MATCH($R$1,'Data Core CPI'!$B$1:$AY$1,),)-VLOOKUP(EDATE(B107,-12),'Data Core CPI'!$B:$AY,MATCH($R$1,'Data Core CPI'!$B$1:$AY$1,),))/VLOOKUP(EDATE(B107,-12),'Data Core CPI'!$B:$AY,MATCH($R$1,'Data Core CPI'!$B$1:$AY$1,),)</f>
        <v>4.97617197926841E-3</v>
      </c>
      <c r="S107" s="21" t="e">
        <f>(VLOOKUP(B107,'Data Core CPI'!$B:$AY,MATCH($S$1,'Data Core CPI'!$B$1:$AY$1,),)-VLOOKUP(EDATE(B107,-12),'Data Core CPI'!$B:$AY,MATCH($S$1,'Data Core CPI'!$B$1:$AY$1,),))/VLOOKUP(EDATE(B107,-12),'Data Core CPI'!$B:$AY,MATCH($S$1,'Data Core CPI'!$B$1:$AY$1,),)</f>
        <v>#DIV/0!</v>
      </c>
      <c r="T107" s="21" t="e">
        <f>(VLOOKUP(B107,'Data Core CPI'!$B:$AY,MATCH($T$1,'Data Core CPI'!$B$1:$AY$1,),)-VLOOKUP(EDATE(B107,-12),'Data Core CPI'!$B:$AY,MATCH($T$1,'Data Core CPI'!$B$1:$AY$1,),))/VLOOKUP(EDATE(B107,-12),'Data Core CPI'!$B:$AY,MATCH($T$1,'Data Core CPI'!$B$1:$AY$1,),)</f>
        <v>#DIV/0!</v>
      </c>
      <c r="U107" s="21">
        <f>(VLOOKUP(B107,'Data Core CPI'!$B:$AY,MATCH($U$1,'Data Core CPI'!$B$1:$AY$1,),)-VLOOKUP(EDATE(B107,-12),'Data Core CPI'!$B:$AY,MATCH($U$1,'Data Core CPI'!$B$1:$AY$1,),))/VLOOKUP(EDATE(B107,-12),'Data Core CPI'!$B:$AY,MATCH($U$1,'Data Core CPI'!$B$1:$AY$1,),)</f>
        <v>2.8944930498648581E-3</v>
      </c>
      <c r="V107" s="21">
        <f>(VLOOKUP(B107,'Data Core CPI'!$B:$AY,MATCH($V$1,'Data Core CPI'!$B$1:$AY$1,),)-VLOOKUP(EDATE(B107,-12),'Data Core CPI'!$B:$AY,MATCH($V$1,'Data Core CPI'!$B$1:$AY$1,),))/VLOOKUP(EDATE(B107,-12),'Data Core CPI'!$B:$AY,MATCH($V$1,'Data Core CPI'!$B$1:$AY$1,),)</f>
        <v>8.9986078373512877E-3</v>
      </c>
      <c r="W107" s="21">
        <f>(VLOOKUP(B107,'Data Core CPI'!$B:$AY,MATCH($W$1,'Data Core CPI'!$B$1:$AY$1,),)-VLOOKUP(EDATE(B107,-12),'Data Core CPI'!$B:$AY,MATCH($W$1,'Data Core CPI'!$B$1:$AY$1,),))/VLOOKUP(EDATE(B107,-12),'Data Core CPI'!$B:$AY,MATCH($W$1,'Data Core CPI'!$B$1:$AY$1,),)</f>
        <v>0.17589415304922304</v>
      </c>
      <c r="X107" s="21">
        <f>(VLOOKUP(B107,'Data Core CPI'!$B:$AY,MATCH($X$1,'Data Core CPI'!$B$1:$AY$1,),)-VLOOKUP(EDATE(B107,-12),'Data Core CPI'!$B:$AY,MATCH($X$1,'Data Core CPI'!$B$1:$AY$1,),))/VLOOKUP(EDATE(B107,-12),'Data Core CPI'!$B:$AY,MATCH($X$1,'Data Core CPI'!$B$1:$AY$1,),)</f>
        <v>2.7645376549094294E-2</v>
      </c>
      <c r="Y107" s="21">
        <f>(VLOOKUP(B107,'Data Core CPI'!$B:$AY,MATCH($Y$1,'Data Core CPI'!$B$1:$AY$1,),)-VLOOKUP(EDATE(B107,-12),'Data Core CPI'!$B:$AY,MATCH($Y$1,'Data Core CPI'!$B$1:$AY$1,),))/VLOOKUP(EDATE(B107,-12),'Data Core CPI'!$B:$AY,MATCH($Y$1,'Data Core CPI'!$B$1:$AY$1,),)</f>
        <v>6.8965448855500336E-3</v>
      </c>
    </row>
    <row r="108" spans="2:28" s="3" customFormat="1" x14ac:dyDescent="0.2">
      <c r="B108" s="16">
        <v>43497</v>
      </c>
      <c r="C108" s="21">
        <f>(VLOOKUP(B108,'Data Core CPI'!$B:$AY,MATCH($C$1,'Data Core CPI'!$B$1:$AY$1,),)-VLOOKUP(EDATE(B108,-12),'Data Core CPI'!$B:$AY,MATCH($C$1,'Data Core CPI'!$B$1:$AY$1,),))/VLOOKUP(EDATE(B108,-12),'Data Core CPI'!$B:$AY,MATCH($C$1,'Data Core CPI'!$B$1:$AY$1,),)</f>
        <v>2.0842350307184798E-2</v>
      </c>
      <c r="D108" s="21" t="e">
        <f>(VLOOKUP(B108,'Data Core CPI'!$B:$AY,MATCH($D$1,'Data Core CPI'!$B$1:$AY$1,),)-VLOOKUP(EDATE(B108,-12),'Data Core CPI'!$B:$AY,MATCH($D$1,'Data Core CPI'!$B$1:$AY$1,),))/VLOOKUP(EDATE(B108,-12),'Data Core CPI'!$B:$AY,MATCH($D$1,'Data Core CPI'!$B$1:$AY$1,),)</f>
        <v>#DIV/0!</v>
      </c>
      <c r="E108" s="21">
        <f>(VLOOKUP(B108,'Data Core CPI'!$B:$AY,MATCH($E$1,'Data Core CPI'!$B$1:$AY$1,),)-VLOOKUP(EDATE(B108,-12),'Data Core CPI'!$B:$AY,MATCH($E$1,'Data Core CPI'!$B$1:$AY$1,),))/VLOOKUP(EDATE(B108,-12),'Data Core CPI'!$B:$AY,MATCH($E$1,'Data Core CPI'!$B$1:$AY$1,),)</f>
        <v>9.894132779261898E-3</v>
      </c>
      <c r="F108" s="21">
        <f>(VLOOKUP(B108,'Data Core CPI'!$B:$AY,MATCH($F$1,'Data Core CPI'!$B$1:$AY$1,),)-VLOOKUP(EDATE(B108,-12),'Data Core CPI'!$B:$AY,MATCH($F$1,'Data Core CPI'!$B$1:$AY$1,),))/VLOOKUP(EDATE(B108,-12),'Data Core CPI'!$B:$AY,MATCH($F$1,'Data Core CPI'!$B$1:$AY$1,),)</f>
        <v>3.810211566485748E-3</v>
      </c>
      <c r="G108" s="21">
        <f>(VLOOKUP(B108,'Data Core CPI'!$B:$AY,MATCH($G$1,'Data Core CPI'!$B$1:$AY$1,),)-VLOOKUP(EDATE(B108,-12),'Data Core CPI'!$B:$AY,MATCH($G$1,'Data Core CPI'!$B$1:$AY$1,),))/VLOOKUP(EDATE(B108,-12),'Data Core CPI'!$B:$AY,MATCH($G$1,'Data Core CPI'!$B$1:$AY$1,),)</f>
        <v>1.3140258099660984E-2</v>
      </c>
      <c r="H108" s="21">
        <f>(VLOOKUP(B108,'Data Core CPI'!$B:$AY,MATCH($H$1,'Data Core CPI'!$B$1:$AY$1,),)-VLOOKUP(EDATE(B108,-12),'Data Core CPI'!$B:$AY,MATCH($H$1,'Data Core CPI'!$B$1:$AY$1,),))/VLOOKUP(EDATE(B108,-12),'Data Core CPI'!$B:$AY,MATCH($H$1,'Data Core CPI'!$B$1:$AY$1,),)</f>
        <v>7.3080664694553854E-3</v>
      </c>
      <c r="I108" s="21">
        <f>(VLOOKUP(B108,'Data Core CPI'!$B:$AY,MATCH($I$1,'Data Core CPI'!$B$1:$AY$1,),)-VLOOKUP(EDATE(B108,-12),'Data Core CPI'!$B:$AY,MATCH($I$1,'Data Core CPI'!$B$1:$AY$1,),))/VLOOKUP(EDATE(B108,-12),'Data Core CPI'!$B:$AY,MATCH($I$1,'Data Core CPI'!$B$1:$AY$1,),)</f>
        <v>1.809523809523815E-2</v>
      </c>
      <c r="J108" s="21">
        <f>(VLOOKUP(B108,'Data Core CPI'!$B:$AY,MATCH($J$1,'Data Core CPI'!$B$1:$AY$1,),)-VLOOKUP(EDATE(B108,-12),'Data Core CPI'!$B:$AY,MATCH($J$1,'Data Core CPI'!$B$1:$AY$1,),))/VLOOKUP(EDATE(B108,-12),'Data Core CPI'!$B:$AY,MATCH($J$1,'Data Core CPI'!$B$1:$AY$1,),)</f>
        <v>4.4048676312028771E-3</v>
      </c>
      <c r="K108" s="21">
        <f>(VLOOKUP(B108,'Data Core CPI'!$B:$AY,MATCH($K$1,'Data Core CPI'!$B$1:$AY$1,),)-VLOOKUP(EDATE(B108,-12),'Data Core CPI'!$B:$AY,MATCH($K$1,'Data Core CPI'!$B$1:$AY$1,),))/VLOOKUP(EDATE(B108,-12),'Data Core CPI'!$B:$AY,MATCH($K$1,'Data Core CPI'!$B$1:$AY$1,),)</f>
        <v>7.308268722145933E-3</v>
      </c>
      <c r="L108" s="21">
        <f>(VLOOKUP(B108,'Data Core CPI'!$B:$AY,MATCH($L$1,'Data Core CPI'!$B$1:$AY$1,),)-VLOOKUP(EDATE(B108,-12),'Data Core CPI'!$B:$AY,MATCH($L$1,'Data Core CPI'!$B$1:$AY$1,),))/VLOOKUP(EDATE(B108,-12),'Data Core CPI'!$B:$AY,MATCH($L$1,'Data Core CPI'!$B$1:$AY$1,),)</f>
        <v>1.1498219121199259E-2</v>
      </c>
      <c r="M108" s="21">
        <f>(VLOOKUP(B108,'Data Core CPI'!$B:$AY,MATCH($M$1,'Data Core CPI'!$B$1:$AY$1,),)-VLOOKUP(EDATE(B108,-12),'Data Core CPI'!$B:$AY,MATCH($M$1,'Data Core CPI'!$B$1:$AY$1,),))/VLOOKUP(EDATE(B108,-12),'Data Core CPI'!$B:$AY,MATCH($M$1,'Data Core CPI'!$B$1:$AY$1,),)</f>
        <v>3.3545922537846454E-2</v>
      </c>
      <c r="N108" s="21" t="e">
        <f>(VLOOKUP(B108,'Data Core CPI'!$B:$AY,MATCH($N$1,'Data Core CPI'!$B$1:$AY$1,),)-VLOOKUP(EDATE(B108,-12),'Data Core CPI'!$B:$AY,MATCH($N$1,'Data Core CPI'!$B$1:$AY$1,),))/VLOOKUP(EDATE(B108,-12),'Data Core CPI'!$B:$AY,MATCH($N$1,'Data Core CPI'!$B$1:$AY$1,),)</f>
        <v>#DIV/0!</v>
      </c>
      <c r="O108" s="21" t="e">
        <f>(VLOOKUP(B108,'Data Core CPI'!$B:$AY,MATCH($O$1,'Data Core CPI'!$B$1:$AY$1,),)-VLOOKUP(EDATE(B108,-12),'Data Core CPI'!$B:$AY,MATCH($O$1,'Data Core CPI'!$B$1:$AY$1,),))/VLOOKUP(EDATE(B108,-12),'Data Core CPI'!$B:$AY,MATCH($O$1,'Data Core CPI'!$B$1:$AY$1,),)</f>
        <v>#DIV/0!</v>
      </c>
      <c r="P108" s="21">
        <f>(VLOOKUP(B108,'Data Core CPI'!$B:$AY,MATCH($P$1,'Data Core CPI'!$B$1:$AY$1,),)-VLOOKUP(EDATE(B108,-12),'Data Core CPI'!$B:$AY,MATCH($P$1,'Data Core CPI'!$B$1:$AY$1,),))/VLOOKUP(EDATE(B108,-12),'Data Core CPI'!$B:$AY,MATCH($P$1,'Data Core CPI'!$B$1:$AY$1,),)</f>
        <v>2.1214117807896619E-2</v>
      </c>
      <c r="Q108" s="21" t="e">
        <f>(VLOOKUP(B108,'Data Core CPI'!$B:$AY,MATCH($Q$1,'Data Core CPI'!$B$1:$AY$1,),)-VLOOKUP(EDATE(B108,-12),'Data Core CPI'!$B:$AY,MATCH($Q$1,'Data Core CPI'!$B$1:$AY$1,),))/VLOOKUP(EDATE(B108,-12),'Data Core CPI'!$B:$AY,MATCH($Q$1,'Data Core CPI'!$B$1:$AY$1,),)</f>
        <v>#N/A</v>
      </c>
      <c r="R108" s="21">
        <f>(VLOOKUP(B108,'Data Core CPI'!$B:$AY,MATCH($R$1,'Data Core CPI'!$B$1:$AY$1,),)-VLOOKUP(EDATE(B108,-12),'Data Core CPI'!$B:$AY,MATCH($R$1,'Data Core CPI'!$B$1:$AY$1,),))/VLOOKUP(EDATE(B108,-12),'Data Core CPI'!$B:$AY,MATCH($R$1,'Data Core CPI'!$B$1:$AY$1,),)</f>
        <v>3.5505726697867097E-3</v>
      </c>
      <c r="S108" s="21" t="e">
        <f>(VLOOKUP(B108,'Data Core CPI'!$B:$AY,MATCH($S$1,'Data Core CPI'!$B$1:$AY$1,),)-VLOOKUP(EDATE(B108,-12),'Data Core CPI'!$B:$AY,MATCH($S$1,'Data Core CPI'!$B$1:$AY$1,),))/VLOOKUP(EDATE(B108,-12),'Data Core CPI'!$B:$AY,MATCH($S$1,'Data Core CPI'!$B$1:$AY$1,),)</f>
        <v>#DIV/0!</v>
      </c>
      <c r="T108" s="21" t="e">
        <f>(VLOOKUP(B108,'Data Core CPI'!$B:$AY,MATCH($T$1,'Data Core CPI'!$B$1:$AY$1,),)-VLOOKUP(EDATE(B108,-12),'Data Core CPI'!$B:$AY,MATCH($T$1,'Data Core CPI'!$B$1:$AY$1,),))/VLOOKUP(EDATE(B108,-12),'Data Core CPI'!$B:$AY,MATCH($T$1,'Data Core CPI'!$B$1:$AY$1,),)</f>
        <v>#DIV/0!</v>
      </c>
      <c r="U108" s="21">
        <f>(VLOOKUP(B108,'Data Core CPI'!$B:$AY,MATCH($U$1,'Data Core CPI'!$B$1:$AY$1,),)-VLOOKUP(EDATE(B108,-12),'Data Core CPI'!$B:$AY,MATCH($U$1,'Data Core CPI'!$B$1:$AY$1,),))/VLOOKUP(EDATE(B108,-12),'Data Core CPI'!$B:$AY,MATCH($U$1,'Data Core CPI'!$B$1:$AY$1,),)</f>
        <v>2.4385647504467471E-3</v>
      </c>
      <c r="V108" s="21">
        <f>(VLOOKUP(B108,'Data Core CPI'!$B:$AY,MATCH($V$1,'Data Core CPI'!$B$1:$AY$1,),)-VLOOKUP(EDATE(B108,-12),'Data Core CPI'!$B:$AY,MATCH($V$1,'Data Core CPI'!$B$1:$AY$1,),))/VLOOKUP(EDATE(B108,-12),'Data Core CPI'!$B:$AY,MATCH($V$1,'Data Core CPI'!$B$1:$AY$1,),)</f>
        <v>6.5534273455750778E-3</v>
      </c>
      <c r="W108" s="21">
        <f>(VLOOKUP(B108,'Data Core CPI'!$B:$AY,MATCH($W$1,'Data Core CPI'!$B$1:$AY$1,),)-VLOOKUP(EDATE(B108,-12),'Data Core CPI'!$B:$AY,MATCH($W$1,'Data Core CPI'!$B$1:$AY$1,),))/VLOOKUP(EDATE(B108,-12),'Data Core CPI'!$B:$AY,MATCH($W$1,'Data Core CPI'!$B$1:$AY$1,),)</f>
        <v>0.16719715103041624</v>
      </c>
      <c r="X108" s="21">
        <f>(VLOOKUP(B108,'Data Core CPI'!$B:$AY,MATCH($X$1,'Data Core CPI'!$B$1:$AY$1,),)-VLOOKUP(EDATE(B108,-12),'Data Core CPI'!$B:$AY,MATCH($X$1,'Data Core CPI'!$B$1:$AY$1,),))/VLOOKUP(EDATE(B108,-12),'Data Core CPI'!$B:$AY,MATCH($X$1,'Data Core CPI'!$B$1:$AY$1,),)</f>
        <v>2.7619047619047671E-2</v>
      </c>
      <c r="Y108" s="21">
        <f>(VLOOKUP(B108,'Data Core CPI'!$B:$AY,MATCH($Y$1,'Data Core CPI'!$B$1:$AY$1,),)-VLOOKUP(EDATE(B108,-12),'Data Core CPI'!$B:$AY,MATCH($Y$1,'Data Core CPI'!$B$1:$AY$1,),))/VLOOKUP(EDATE(B108,-12),'Data Core CPI'!$B:$AY,MATCH($Y$1,'Data Core CPI'!$B$1:$AY$1,),)</f>
        <v>8.6209290057472753E-3</v>
      </c>
    </row>
    <row r="109" spans="2:28" s="3" customFormat="1" x14ac:dyDescent="0.2">
      <c r="B109" s="16">
        <v>43525</v>
      </c>
      <c r="C109" s="21">
        <f>(VLOOKUP(B109,'Data Core CPI'!$B:$AY,MATCH($C$1,'Data Core CPI'!$B$1:$AY$1,),)-VLOOKUP(EDATE(B109,-12),'Data Core CPI'!$B:$AY,MATCH($C$1,'Data Core CPI'!$B$1:$AY$1,),))/VLOOKUP(EDATE(B109,-12),'Data Core CPI'!$B:$AY,MATCH($C$1,'Data Core CPI'!$B$1:$AY$1,),)</f>
        <v>2.0365470176806667E-2</v>
      </c>
      <c r="D109" s="21" t="e">
        <f>(VLOOKUP(B109,'Data Core CPI'!$B:$AY,MATCH($D$1,'Data Core CPI'!$B$1:$AY$1,),)-VLOOKUP(EDATE(B109,-12),'Data Core CPI'!$B:$AY,MATCH($D$1,'Data Core CPI'!$B$1:$AY$1,),))/VLOOKUP(EDATE(B109,-12),'Data Core CPI'!$B:$AY,MATCH($D$1,'Data Core CPI'!$B$1:$AY$1,),)</f>
        <v>#DIV/0!</v>
      </c>
      <c r="E109" s="21">
        <f>(VLOOKUP(B109,'Data Core CPI'!$B:$AY,MATCH($E$1,'Data Core CPI'!$B$1:$AY$1,),)-VLOOKUP(EDATE(B109,-12),'Data Core CPI'!$B:$AY,MATCH($E$1,'Data Core CPI'!$B$1:$AY$1,),))/VLOOKUP(EDATE(B109,-12),'Data Core CPI'!$B:$AY,MATCH($E$1,'Data Core CPI'!$B$1:$AY$1,),)</f>
        <v>7.697554321348595E-3</v>
      </c>
      <c r="F109" s="21">
        <f>(VLOOKUP(B109,'Data Core CPI'!$B:$AY,MATCH($F$1,'Data Core CPI'!$B$1:$AY$1,),)-VLOOKUP(EDATE(B109,-12),'Data Core CPI'!$B:$AY,MATCH($F$1,'Data Core CPI'!$B$1:$AY$1,),))/VLOOKUP(EDATE(B109,-12),'Data Core CPI'!$B:$AY,MATCH($F$1,'Data Core CPI'!$B$1:$AY$1,),)</f>
        <v>3.0075981952418719E-3</v>
      </c>
      <c r="G109" s="21">
        <f>(VLOOKUP(B109,'Data Core CPI'!$B:$AY,MATCH($G$1,'Data Core CPI'!$B$1:$AY$1,),)-VLOOKUP(EDATE(B109,-12),'Data Core CPI'!$B:$AY,MATCH($G$1,'Data Core CPI'!$B$1:$AY$1,),))/VLOOKUP(EDATE(B109,-12),'Data Core CPI'!$B:$AY,MATCH($G$1,'Data Core CPI'!$B$1:$AY$1,),)</f>
        <v>9.9238445429026181E-3</v>
      </c>
      <c r="H109" s="21">
        <f>(VLOOKUP(B109,'Data Core CPI'!$B:$AY,MATCH($H$1,'Data Core CPI'!$B$1:$AY$1,),)-VLOOKUP(EDATE(B109,-12),'Data Core CPI'!$B:$AY,MATCH($H$1,'Data Core CPI'!$B$1:$AY$1,),))/VLOOKUP(EDATE(B109,-12),'Data Core CPI'!$B:$AY,MATCH($H$1,'Data Core CPI'!$B$1:$AY$1,),)</f>
        <v>3.9394803334597611E-3</v>
      </c>
      <c r="I109" s="21">
        <f>(VLOOKUP(B109,'Data Core CPI'!$B:$AY,MATCH($I$1,'Data Core CPI'!$B$1:$AY$1,),)-VLOOKUP(EDATE(B109,-12),'Data Core CPI'!$B:$AY,MATCH($I$1,'Data Core CPI'!$B$1:$AY$1,),))/VLOOKUP(EDATE(B109,-12),'Data Core CPI'!$B:$AY,MATCH($I$1,'Data Core CPI'!$B$1:$AY$1,),)</f>
        <v>1.711026615969579E-2</v>
      </c>
      <c r="J109" s="21">
        <f>(VLOOKUP(B109,'Data Core CPI'!$B:$AY,MATCH($J$1,'Data Core CPI'!$B$1:$AY$1,),)-VLOOKUP(EDATE(B109,-12),'Data Core CPI'!$B:$AY,MATCH($J$1,'Data Core CPI'!$B$1:$AY$1,),))/VLOOKUP(EDATE(B109,-12),'Data Core CPI'!$B:$AY,MATCH($J$1,'Data Core CPI'!$B$1:$AY$1,),)</f>
        <v>4.2975408680461097E-3</v>
      </c>
      <c r="K109" s="21">
        <f>(VLOOKUP(B109,'Data Core CPI'!$B:$AY,MATCH($K$1,'Data Core CPI'!$B$1:$AY$1,),)-VLOOKUP(EDATE(B109,-12),'Data Core CPI'!$B:$AY,MATCH($K$1,'Data Core CPI'!$B$1:$AY$1,),))/VLOOKUP(EDATE(B109,-12),'Data Core CPI'!$B:$AY,MATCH($K$1,'Data Core CPI'!$B$1:$AY$1,),)</f>
        <v>7.4431388824720566E-3</v>
      </c>
      <c r="L109" s="21">
        <f>(VLOOKUP(B109,'Data Core CPI'!$B:$AY,MATCH($L$1,'Data Core CPI'!$B$1:$AY$1,),)-VLOOKUP(EDATE(B109,-12),'Data Core CPI'!$B:$AY,MATCH($L$1,'Data Core CPI'!$B$1:$AY$1,),))/VLOOKUP(EDATE(B109,-12),'Data Core CPI'!$B:$AY,MATCH($L$1,'Data Core CPI'!$B$1:$AY$1,),)</f>
        <v>1.2197483812762444E-2</v>
      </c>
      <c r="M109" s="21">
        <f>(VLOOKUP(B109,'Data Core CPI'!$B:$AY,MATCH($M$1,'Data Core CPI'!$B$1:$AY$1,),)-VLOOKUP(EDATE(B109,-12),'Data Core CPI'!$B:$AY,MATCH($M$1,'Data Core CPI'!$B$1:$AY$1,),))/VLOOKUP(EDATE(B109,-12),'Data Core CPI'!$B:$AY,MATCH($M$1,'Data Core CPI'!$B$1:$AY$1,),)</f>
        <v>3.3521717601029122E-2</v>
      </c>
      <c r="N109" s="21" t="e">
        <f>(VLOOKUP(B109,'Data Core CPI'!$B:$AY,MATCH($N$1,'Data Core CPI'!$B$1:$AY$1,),)-VLOOKUP(EDATE(B109,-12),'Data Core CPI'!$B:$AY,MATCH($N$1,'Data Core CPI'!$B$1:$AY$1,),))/VLOOKUP(EDATE(B109,-12),'Data Core CPI'!$B:$AY,MATCH($N$1,'Data Core CPI'!$B$1:$AY$1,),)</f>
        <v>#DIV/0!</v>
      </c>
      <c r="O109" s="21" t="e">
        <f>(VLOOKUP(B109,'Data Core CPI'!$B:$AY,MATCH($O$1,'Data Core CPI'!$B$1:$AY$1,),)-VLOOKUP(EDATE(B109,-12),'Data Core CPI'!$B:$AY,MATCH($O$1,'Data Core CPI'!$B$1:$AY$1,),))/VLOOKUP(EDATE(B109,-12),'Data Core CPI'!$B:$AY,MATCH($O$1,'Data Core CPI'!$B$1:$AY$1,),)</f>
        <v>#DIV/0!</v>
      </c>
      <c r="P109" s="21">
        <f>(VLOOKUP(B109,'Data Core CPI'!$B:$AY,MATCH($P$1,'Data Core CPI'!$B$1:$AY$1,),)-VLOOKUP(EDATE(B109,-12),'Data Core CPI'!$B:$AY,MATCH($P$1,'Data Core CPI'!$B$1:$AY$1,),))/VLOOKUP(EDATE(B109,-12),'Data Core CPI'!$B:$AY,MATCH($P$1,'Data Core CPI'!$B$1:$AY$1,),)</f>
        <v>2.0359204399903963E-2</v>
      </c>
      <c r="Q109" s="21" t="e">
        <f>(VLOOKUP(B109,'Data Core CPI'!$B:$AY,MATCH($Q$1,'Data Core CPI'!$B$1:$AY$1,),)-VLOOKUP(EDATE(B109,-12),'Data Core CPI'!$B:$AY,MATCH($Q$1,'Data Core CPI'!$B$1:$AY$1,),))/VLOOKUP(EDATE(B109,-12),'Data Core CPI'!$B:$AY,MATCH($Q$1,'Data Core CPI'!$B$1:$AY$1,),)</f>
        <v>#N/A</v>
      </c>
      <c r="R109" s="21">
        <f>(VLOOKUP(B109,'Data Core CPI'!$B:$AY,MATCH($R$1,'Data Core CPI'!$B$1:$AY$1,),)-VLOOKUP(EDATE(B109,-12),'Data Core CPI'!$B:$AY,MATCH($R$1,'Data Core CPI'!$B$1:$AY$1,),))/VLOOKUP(EDATE(B109,-12),'Data Core CPI'!$B:$AY,MATCH($R$1,'Data Core CPI'!$B$1:$AY$1,),)</f>
        <v>4.5987116844472481E-3</v>
      </c>
      <c r="S109" s="21" t="e">
        <f>(VLOOKUP(B109,'Data Core CPI'!$B:$AY,MATCH($S$1,'Data Core CPI'!$B$1:$AY$1,),)-VLOOKUP(EDATE(B109,-12),'Data Core CPI'!$B:$AY,MATCH($S$1,'Data Core CPI'!$B$1:$AY$1,),))/VLOOKUP(EDATE(B109,-12),'Data Core CPI'!$B:$AY,MATCH($S$1,'Data Core CPI'!$B$1:$AY$1,),)</f>
        <v>#DIV/0!</v>
      </c>
      <c r="T109" s="21" t="e">
        <f>(VLOOKUP(B109,'Data Core CPI'!$B:$AY,MATCH($T$1,'Data Core CPI'!$B$1:$AY$1,),)-VLOOKUP(EDATE(B109,-12),'Data Core CPI'!$B:$AY,MATCH($T$1,'Data Core CPI'!$B$1:$AY$1,),))/VLOOKUP(EDATE(B109,-12),'Data Core CPI'!$B:$AY,MATCH($T$1,'Data Core CPI'!$B$1:$AY$1,),)</f>
        <v>#DIV/0!</v>
      </c>
      <c r="U109" s="21">
        <f>(VLOOKUP(B109,'Data Core CPI'!$B:$AY,MATCH($U$1,'Data Core CPI'!$B$1:$AY$1,),)-VLOOKUP(EDATE(B109,-12),'Data Core CPI'!$B:$AY,MATCH($U$1,'Data Core CPI'!$B$1:$AY$1,),))/VLOOKUP(EDATE(B109,-12),'Data Core CPI'!$B:$AY,MATCH($U$1,'Data Core CPI'!$B$1:$AY$1,),)</f>
        <v>4.5810539327452368E-3</v>
      </c>
      <c r="V109" s="21">
        <f>(VLOOKUP(B109,'Data Core CPI'!$B:$AY,MATCH($V$1,'Data Core CPI'!$B$1:$AY$1,),)-VLOOKUP(EDATE(B109,-12),'Data Core CPI'!$B:$AY,MATCH($V$1,'Data Core CPI'!$B$1:$AY$1,),))/VLOOKUP(EDATE(B109,-12),'Data Core CPI'!$B:$AY,MATCH($V$1,'Data Core CPI'!$B$1:$AY$1,),)</f>
        <v>1.0429920063231972E-2</v>
      </c>
      <c r="W109" s="21">
        <f>(VLOOKUP(B109,'Data Core CPI'!$B:$AY,MATCH($W$1,'Data Core CPI'!$B$1:$AY$1,),)-VLOOKUP(EDATE(B109,-12),'Data Core CPI'!$B:$AY,MATCH($W$1,'Data Core CPI'!$B$1:$AY$1,),))/VLOOKUP(EDATE(B109,-12),'Data Core CPI'!$B:$AY,MATCH($W$1,'Data Core CPI'!$B$1:$AY$1,),)</f>
        <v>0.16195281382438273</v>
      </c>
      <c r="X109" s="21">
        <f>(VLOOKUP(B109,'Data Core CPI'!$B:$AY,MATCH($X$1,'Data Core CPI'!$B$1:$AY$1,),)-VLOOKUP(EDATE(B109,-12),'Data Core CPI'!$B:$AY,MATCH($X$1,'Data Core CPI'!$B$1:$AY$1,),))/VLOOKUP(EDATE(B109,-12),'Data Core CPI'!$B:$AY,MATCH($X$1,'Data Core CPI'!$B$1:$AY$1,),)</f>
        <v>2.7592768791627077E-2</v>
      </c>
      <c r="Y109" s="21">
        <f>(VLOOKUP(B109,'Data Core CPI'!$B:$AY,MATCH($Y$1,'Data Core CPI'!$B$1:$AY$1,),)-VLOOKUP(EDATE(B109,-12),'Data Core CPI'!$B:$AY,MATCH($Y$1,'Data Core CPI'!$B$1:$AY$1,),))/VLOOKUP(EDATE(B109,-12),'Data Core CPI'!$B:$AY,MATCH($Y$1,'Data Core CPI'!$B$1:$AY$1,),)</f>
        <v>1.2931393508620981E-2</v>
      </c>
    </row>
    <row r="110" spans="2:28" s="3" customFormat="1" x14ac:dyDescent="0.2">
      <c r="B110" s="16">
        <v>43556</v>
      </c>
      <c r="C110" s="21">
        <f>(VLOOKUP(B110,'Data Core CPI'!$B:$AY,MATCH($C$1,'Data Core CPI'!$B$1:$AY$1,),)-VLOOKUP(EDATE(B110,-12),'Data Core CPI'!$B:$AY,MATCH($C$1,'Data Core CPI'!$B$1:$AY$1,),))/VLOOKUP(EDATE(B110,-12),'Data Core CPI'!$B:$AY,MATCH($C$1,'Data Core CPI'!$B$1:$AY$1,),)</f>
        <v>2.0648328096165298E-2</v>
      </c>
      <c r="D110" s="21" t="e">
        <f>(VLOOKUP(B110,'Data Core CPI'!$B:$AY,MATCH($D$1,'Data Core CPI'!$B$1:$AY$1,),)-VLOOKUP(EDATE(B110,-12),'Data Core CPI'!$B:$AY,MATCH($D$1,'Data Core CPI'!$B$1:$AY$1,),))/VLOOKUP(EDATE(B110,-12),'Data Core CPI'!$B:$AY,MATCH($D$1,'Data Core CPI'!$B$1:$AY$1,),)</f>
        <v>#DIV/0!</v>
      </c>
      <c r="E110" s="21">
        <f>(VLOOKUP(B110,'Data Core CPI'!$B:$AY,MATCH($E$1,'Data Core CPI'!$B$1:$AY$1,),)-VLOOKUP(EDATE(B110,-12),'Data Core CPI'!$B:$AY,MATCH($E$1,'Data Core CPI'!$B$1:$AY$1,),))/VLOOKUP(EDATE(B110,-12),'Data Core CPI'!$B:$AY,MATCH($E$1,'Data Core CPI'!$B$1:$AY$1,),)</f>
        <v>1.2907608695652157E-2</v>
      </c>
      <c r="F110" s="21">
        <f>(VLOOKUP(B110,'Data Core CPI'!$B:$AY,MATCH($F$1,'Data Core CPI'!$B$1:$AY$1,),)-VLOOKUP(EDATE(B110,-12),'Data Core CPI'!$B:$AY,MATCH($F$1,'Data Core CPI'!$B$1:$AY$1,),))/VLOOKUP(EDATE(B110,-12),'Data Core CPI'!$B:$AY,MATCH($F$1,'Data Core CPI'!$B$1:$AY$1,),)</f>
        <v>5.452384859016739E-3</v>
      </c>
      <c r="G110" s="21">
        <f>(VLOOKUP(B110,'Data Core CPI'!$B:$AY,MATCH($G$1,'Data Core CPI'!$B$1:$AY$1,),)-VLOOKUP(EDATE(B110,-12),'Data Core CPI'!$B:$AY,MATCH($G$1,'Data Core CPI'!$B$1:$AY$1,),))/VLOOKUP(EDATE(B110,-12),'Data Core CPI'!$B:$AY,MATCH($G$1,'Data Core CPI'!$B$1:$AY$1,),)</f>
        <v>1.9097296187706041E-2</v>
      </c>
      <c r="H110" s="21">
        <f>(VLOOKUP(B110,'Data Core CPI'!$B:$AY,MATCH($H$1,'Data Core CPI'!$B$1:$AY$1,),)-VLOOKUP(EDATE(B110,-12),'Data Core CPI'!$B:$AY,MATCH($H$1,'Data Core CPI'!$B$1:$AY$1,),))/VLOOKUP(EDATE(B110,-12),'Data Core CPI'!$B:$AY,MATCH($H$1,'Data Core CPI'!$B$1:$AY$1,),)</f>
        <v>6.217848837664533E-3</v>
      </c>
      <c r="I110" s="21">
        <f>(VLOOKUP(B110,'Data Core CPI'!$B:$AY,MATCH($I$1,'Data Core CPI'!$B$1:$AY$1,),)-VLOOKUP(EDATE(B110,-12),'Data Core CPI'!$B:$AY,MATCH($I$1,'Data Core CPI'!$B$1:$AY$1,),))/VLOOKUP(EDATE(B110,-12),'Data Core CPI'!$B:$AY,MATCH($I$1,'Data Core CPI'!$B$1:$AY$1,),)</f>
        <v>1.7992424242424296E-2</v>
      </c>
      <c r="J110" s="21">
        <f>(VLOOKUP(B110,'Data Core CPI'!$B:$AY,MATCH($J$1,'Data Core CPI'!$B$1:$AY$1,),)-VLOOKUP(EDATE(B110,-12),'Data Core CPI'!$B:$AY,MATCH($J$1,'Data Core CPI'!$B$1:$AY$1,),))/VLOOKUP(EDATE(B110,-12),'Data Core CPI'!$B:$AY,MATCH($J$1,'Data Core CPI'!$B$1:$AY$1,),)</f>
        <v>7.9009433962262954E-3</v>
      </c>
      <c r="K110" s="21">
        <f>(VLOOKUP(B110,'Data Core CPI'!$B:$AY,MATCH($K$1,'Data Core CPI'!$B$1:$AY$1,),)-VLOOKUP(EDATE(B110,-12),'Data Core CPI'!$B:$AY,MATCH($K$1,'Data Core CPI'!$B$1:$AY$1,),))/VLOOKUP(EDATE(B110,-12),'Data Core CPI'!$B:$AY,MATCH($K$1,'Data Core CPI'!$B$1:$AY$1,),)</f>
        <v>1.0891843624383512E-2</v>
      </c>
      <c r="L110" s="21">
        <f>(VLOOKUP(B110,'Data Core CPI'!$B:$AY,MATCH($L$1,'Data Core CPI'!$B$1:$AY$1,),)-VLOOKUP(EDATE(B110,-12),'Data Core CPI'!$B:$AY,MATCH($L$1,'Data Core CPI'!$B$1:$AY$1,),))/VLOOKUP(EDATE(B110,-12),'Data Core CPI'!$B:$AY,MATCH($L$1,'Data Core CPI'!$B$1:$AY$1,),)</f>
        <v>1.557464987296282E-2</v>
      </c>
      <c r="M110" s="21">
        <f>(VLOOKUP(B110,'Data Core CPI'!$B:$AY,MATCH($M$1,'Data Core CPI'!$B$1:$AY$1,),)-VLOOKUP(EDATE(B110,-12),'Data Core CPI'!$B:$AY,MATCH($M$1,'Data Core CPI'!$B$1:$AY$1,),))/VLOOKUP(EDATE(B110,-12),'Data Core CPI'!$B:$AY,MATCH($M$1,'Data Core CPI'!$B$1:$AY$1,),)</f>
        <v>3.6812056721558947E-2</v>
      </c>
      <c r="N110" s="21" t="e">
        <f>(VLOOKUP(B110,'Data Core CPI'!$B:$AY,MATCH($N$1,'Data Core CPI'!$B$1:$AY$1,),)-VLOOKUP(EDATE(B110,-12),'Data Core CPI'!$B:$AY,MATCH($N$1,'Data Core CPI'!$B$1:$AY$1,),))/VLOOKUP(EDATE(B110,-12),'Data Core CPI'!$B:$AY,MATCH($N$1,'Data Core CPI'!$B$1:$AY$1,),)</f>
        <v>#DIV/0!</v>
      </c>
      <c r="O110" s="21" t="e">
        <f>(VLOOKUP(B110,'Data Core CPI'!$B:$AY,MATCH($O$1,'Data Core CPI'!$B$1:$AY$1,),)-VLOOKUP(EDATE(B110,-12),'Data Core CPI'!$B:$AY,MATCH($O$1,'Data Core CPI'!$B$1:$AY$1,),))/VLOOKUP(EDATE(B110,-12),'Data Core CPI'!$B:$AY,MATCH($O$1,'Data Core CPI'!$B$1:$AY$1,),)</f>
        <v>#DIV/0!</v>
      </c>
      <c r="P110" s="21">
        <f>(VLOOKUP(B110,'Data Core CPI'!$B:$AY,MATCH($P$1,'Data Core CPI'!$B$1:$AY$1,),)-VLOOKUP(EDATE(B110,-12),'Data Core CPI'!$B:$AY,MATCH($P$1,'Data Core CPI'!$B$1:$AY$1,),))/VLOOKUP(EDATE(B110,-12),'Data Core CPI'!$B:$AY,MATCH($P$1,'Data Core CPI'!$B$1:$AY$1,),)</f>
        <v>2.2213110252102691E-2</v>
      </c>
      <c r="Q110" s="21" t="e">
        <f>(VLOOKUP(B110,'Data Core CPI'!$B:$AY,MATCH($Q$1,'Data Core CPI'!$B$1:$AY$1,),)-VLOOKUP(EDATE(B110,-12),'Data Core CPI'!$B:$AY,MATCH($Q$1,'Data Core CPI'!$B$1:$AY$1,),))/VLOOKUP(EDATE(B110,-12),'Data Core CPI'!$B:$AY,MATCH($Q$1,'Data Core CPI'!$B$1:$AY$1,),)</f>
        <v>#N/A</v>
      </c>
      <c r="R110" s="21">
        <f>(VLOOKUP(B110,'Data Core CPI'!$B:$AY,MATCH($R$1,'Data Core CPI'!$B$1:$AY$1,),)-VLOOKUP(EDATE(B110,-12),'Data Core CPI'!$B:$AY,MATCH($R$1,'Data Core CPI'!$B$1:$AY$1,),))/VLOOKUP(EDATE(B110,-12),'Data Core CPI'!$B:$AY,MATCH($R$1,'Data Core CPI'!$B$1:$AY$1,),)</f>
        <v>4.7633472545698307E-3</v>
      </c>
      <c r="S110" s="21" t="e">
        <f>(VLOOKUP(B110,'Data Core CPI'!$B:$AY,MATCH($S$1,'Data Core CPI'!$B$1:$AY$1,),)-VLOOKUP(EDATE(B110,-12),'Data Core CPI'!$B:$AY,MATCH($S$1,'Data Core CPI'!$B$1:$AY$1,),))/VLOOKUP(EDATE(B110,-12),'Data Core CPI'!$B:$AY,MATCH($S$1,'Data Core CPI'!$B$1:$AY$1,),)</f>
        <v>#DIV/0!</v>
      </c>
      <c r="T110" s="21" t="e">
        <f>(VLOOKUP(B110,'Data Core CPI'!$B:$AY,MATCH($T$1,'Data Core CPI'!$B$1:$AY$1,),)-VLOOKUP(EDATE(B110,-12),'Data Core CPI'!$B:$AY,MATCH($T$1,'Data Core CPI'!$B$1:$AY$1,),))/VLOOKUP(EDATE(B110,-12),'Data Core CPI'!$B:$AY,MATCH($T$1,'Data Core CPI'!$B$1:$AY$1,),)</f>
        <v>#DIV/0!</v>
      </c>
      <c r="U110" s="21">
        <f>(VLOOKUP(B110,'Data Core CPI'!$B:$AY,MATCH($U$1,'Data Core CPI'!$B$1:$AY$1,),)-VLOOKUP(EDATE(B110,-12),'Data Core CPI'!$B:$AY,MATCH($U$1,'Data Core CPI'!$B$1:$AY$1,),))/VLOOKUP(EDATE(B110,-12),'Data Core CPI'!$B:$AY,MATCH($U$1,'Data Core CPI'!$B$1:$AY$1,),)</f>
        <v>5.0466038927257173E-3</v>
      </c>
      <c r="V110" s="21">
        <f>(VLOOKUP(B110,'Data Core CPI'!$B:$AY,MATCH($V$1,'Data Core CPI'!$B$1:$AY$1,),)-VLOOKUP(EDATE(B110,-12),'Data Core CPI'!$B:$AY,MATCH($V$1,'Data Core CPI'!$B$1:$AY$1,),))/VLOOKUP(EDATE(B110,-12),'Data Core CPI'!$B:$AY,MATCH($V$1,'Data Core CPI'!$B$1:$AY$1,),)</f>
        <v>1.5435720550932907E-2</v>
      </c>
      <c r="W110" s="21">
        <f>(VLOOKUP(B110,'Data Core CPI'!$B:$AY,MATCH($W$1,'Data Core CPI'!$B$1:$AY$1,),)-VLOOKUP(EDATE(B110,-12),'Data Core CPI'!$B:$AY,MATCH($W$1,'Data Core CPI'!$B$1:$AY$1,),))/VLOOKUP(EDATE(B110,-12),'Data Core CPI'!$B:$AY,MATCH($W$1,'Data Core CPI'!$B$1:$AY$1,),)</f>
        <v>0.15605035722125546</v>
      </c>
      <c r="X110" s="21">
        <f>(VLOOKUP(B110,'Data Core CPI'!$B:$AY,MATCH($X$1,'Data Core CPI'!$B$1:$AY$1,),)-VLOOKUP(EDATE(B110,-12),'Data Core CPI'!$B:$AY,MATCH($X$1,'Data Core CPI'!$B$1:$AY$1,),))/VLOOKUP(EDATE(B110,-12),'Data Core CPI'!$B:$AY,MATCH($X$1,'Data Core CPI'!$B$1:$AY$1,),)</f>
        <v>2.2705771050141831E-2</v>
      </c>
      <c r="Y110" s="21">
        <f>(VLOOKUP(B110,'Data Core CPI'!$B:$AY,MATCH($Y$1,'Data Core CPI'!$B$1:$AY$1,),)-VLOOKUP(EDATE(B110,-12),'Data Core CPI'!$B:$AY,MATCH($Y$1,'Data Core CPI'!$B$1:$AY$1,),))/VLOOKUP(EDATE(B110,-12),'Data Core CPI'!$B:$AY,MATCH($Y$1,'Data Core CPI'!$B$1:$AY$1,),)</f>
        <v>1.8010383814429001E-2</v>
      </c>
    </row>
    <row r="111" spans="2:28" s="3" customFormat="1" x14ac:dyDescent="0.2">
      <c r="B111" s="16">
        <v>43586</v>
      </c>
      <c r="C111" s="21">
        <f>(VLOOKUP(B111,'Data Core CPI'!$B:$AY,MATCH($C$1,'Data Core CPI'!$B$1:$AY$1,),)-VLOOKUP(EDATE(B111,-12),'Data Core CPI'!$B:$AY,MATCH($C$1,'Data Core CPI'!$B$1:$AY$1,),))/VLOOKUP(EDATE(B111,-12),'Data Core CPI'!$B:$AY,MATCH($C$1,'Data Core CPI'!$B$1:$AY$1,),)</f>
        <v>1.9890124468522553E-2</v>
      </c>
      <c r="D111" s="21" t="e">
        <f>(VLOOKUP(B111,'Data Core CPI'!$B:$AY,MATCH($D$1,'Data Core CPI'!$B$1:$AY$1,),)-VLOOKUP(EDATE(B111,-12),'Data Core CPI'!$B:$AY,MATCH($D$1,'Data Core CPI'!$B$1:$AY$1,),))/VLOOKUP(EDATE(B111,-12),'Data Core CPI'!$B:$AY,MATCH($D$1,'Data Core CPI'!$B$1:$AY$1,),)</f>
        <v>#DIV/0!</v>
      </c>
      <c r="E111" s="21">
        <f>(VLOOKUP(B111,'Data Core CPI'!$B:$AY,MATCH($E$1,'Data Core CPI'!$B$1:$AY$1,),)-VLOOKUP(EDATE(B111,-12),'Data Core CPI'!$B:$AY,MATCH($E$1,'Data Core CPI'!$B$1:$AY$1,),))/VLOOKUP(EDATE(B111,-12),'Data Core CPI'!$B:$AY,MATCH($E$1,'Data Core CPI'!$B$1:$AY$1,),)</f>
        <v>7.8253308859046276E-3</v>
      </c>
      <c r="F111" s="21">
        <f>(VLOOKUP(B111,'Data Core CPI'!$B:$AY,MATCH($F$1,'Data Core CPI'!$B$1:$AY$1,),)-VLOOKUP(EDATE(B111,-12),'Data Core CPI'!$B:$AY,MATCH($F$1,'Data Core CPI'!$B$1:$AY$1,),))/VLOOKUP(EDATE(B111,-12),'Data Core CPI'!$B:$AY,MATCH($F$1,'Data Core CPI'!$B$1:$AY$1,),)</f>
        <v>4.7363338070993861E-3</v>
      </c>
      <c r="G111" s="21">
        <f>(VLOOKUP(B111,'Data Core CPI'!$B:$AY,MATCH($G$1,'Data Core CPI'!$B$1:$AY$1,),)-VLOOKUP(EDATE(B111,-12),'Data Core CPI'!$B:$AY,MATCH($G$1,'Data Core CPI'!$B$1:$AY$1,),))/VLOOKUP(EDATE(B111,-12),'Data Core CPI'!$B:$AY,MATCH($G$1,'Data Core CPI'!$B$1:$AY$1,),)</f>
        <v>1.1821408548764104E-2</v>
      </c>
      <c r="H111" s="21">
        <f>(VLOOKUP(B111,'Data Core CPI'!$B:$AY,MATCH($H$1,'Data Core CPI'!$B$1:$AY$1,),)-VLOOKUP(EDATE(B111,-12),'Data Core CPI'!$B:$AY,MATCH($H$1,'Data Core CPI'!$B$1:$AY$1,),))/VLOOKUP(EDATE(B111,-12),'Data Core CPI'!$B:$AY,MATCH($H$1,'Data Core CPI'!$B$1:$AY$1,),)</f>
        <v>3.9058530140637653E-3</v>
      </c>
      <c r="I111" s="21">
        <f>(VLOOKUP(B111,'Data Core CPI'!$B:$AY,MATCH($I$1,'Data Core CPI'!$B$1:$AY$1,),)-VLOOKUP(EDATE(B111,-12),'Data Core CPI'!$B:$AY,MATCH($I$1,'Data Core CPI'!$B$1:$AY$1,),))/VLOOKUP(EDATE(B111,-12),'Data Core CPI'!$B:$AY,MATCH($I$1,'Data Core CPI'!$B$1:$AY$1,),)</f>
        <v>1.6997167138810172E-2</v>
      </c>
      <c r="J111" s="21">
        <f>(VLOOKUP(B111,'Data Core CPI'!$B:$AY,MATCH($J$1,'Data Core CPI'!$B$1:$AY$1,),)-VLOOKUP(EDATE(B111,-12),'Data Core CPI'!$B:$AY,MATCH($J$1,'Data Core CPI'!$B$1:$AY$1,),))/VLOOKUP(EDATE(B111,-12),'Data Core CPI'!$B:$AY,MATCH($J$1,'Data Core CPI'!$B$1:$AY$1,),)</f>
        <v>4.5572175251619397E-3</v>
      </c>
      <c r="K111" s="21">
        <f>(VLOOKUP(B111,'Data Core CPI'!$B:$AY,MATCH($K$1,'Data Core CPI'!$B$1:$AY$1,),)-VLOOKUP(EDATE(B111,-12),'Data Core CPI'!$B:$AY,MATCH($K$1,'Data Core CPI'!$B$1:$AY$1,),))/VLOOKUP(EDATE(B111,-12),'Data Core CPI'!$B:$AY,MATCH($K$1,'Data Core CPI'!$B$1:$AY$1,),)</f>
        <v>8.0803907163357024E-3</v>
      </c>
      <c r="L111" s="21">
        <f>(VLOOKUP(B111,'Data Core CPI'!$B:$AY,MATCH($L$1,'Data Core CPI'!$B$1:$AY$1,),)-VLOOKUP(EDATE(B111,-12),'Data Core CPI'!$B:$AY,MATCH($L$1,'Data Core CPI'!$B$1:$AY$1,),))/VLOOKUP(EDATE(B111,-12),'Data Core CPI'!$B:$AY,MATCH($L$1,'Data Core CPI'!$B$1:$AY$1,),)</f>
        <v>1.7665031767847658E-2</v>
      </c>
      <c r="M111" s="21">
        <f>(VLOOKUP(B111,'Data Core CPI'!$B:$AY,MATCH($M$1,'Data Core CPI'!$B$1:$AY$1,),)-VLOOKUP(EDATE(B111,-12),'Data Core CPI'!$B:$AY,MATCH($M$1,'Data Core CPI'!$B$1:$AY$1,),))/VLOOKUP(EDATE(B111,-12),'Data Core CPI'!$B:$AY,MATCH($M$1,'Data Core CPI'!$B$1:$AY$1,),)</f>
        <v>3.534825670997345E-2</v>
      </c>
      <c r="N111" s="21" t="e">
        <f>(VLOOKUP(B111,'Data Core CPI'!$B:$AY,MATCH($N$1,'Data Core CPI'!$B$1:$AY$1,),)-VLOOKUP(EDATE(B111,-12),'Data Core CPI'!$B:$AY,MATCH($N$1,'Data Core CPI'!$B$1:$AY$1,),))/VLOOKUP(EDATE(B111,-12),'Data Core CPI'!$B:$AY,MATCH($N$1,'Data Core CPI'!$B$1:$AY$1,),)</f>
        <v>#DIV/0!</v>
      </c>
      <c r="O111" s="21" t="e">
        <f>(VLOOKUP(B111,'Data Core CPI'!$B:$AY,MATCH($O$1,'Data Core CPI'!$B$1:$AY$1,),)-VLOOKUP(EDATE(B111,-12),'Data Core CPI'!$B:$AY,MATCH($O$1,'Data Core CPI'!$B$1:$AY$1,),))/VLOOKUP(EDATE(B111,-12),'Data Core CPI'!$B:$AY,MATCH($O$1,'Data Core CPI'!$B$1:$AY$1,),)</f>
        <v>#DIV/0!</v>
      </c>
      <c r="P111" s="21">
        <f>(VLOOKUP(B111,'Data Core CPI'!$B:$AY,MATCH($P$1,'Data Core CPI'!$B$1:$AY$1,),)-VLOOKUP(EDATE(B111,-12),'Data Core CPI'!$B:$AY,MATCH($P$1,'Data Core CPI'!$B$1:$AY$1,),))/VLOOKUP(EDATE(B111,-12),'Data Core CPI'!$B:$AY,MATCH($P$1,'Data Core CPI'!$B$1:$AY$1,),)</f>
        <v>2.6264573935822044E-2</v>
      </c>
      <c r="Q111" s="21" t="e">
        <f>(VLOOKUP(B111,'Data Core CPI'!$B:$AY,MATCH($Q$1,'Data Core CPI'!$B$1:$AY$1,),)-VLOOKUP(EDATE(B111,-12),'Data Core CPI'!$B:$AY,MATCH($Q$1,'Data Core CPI'!$B$1:$AY$1,),))/VLOOKUP(EDATE(B111,-12),'Data Core CPI'!$B:$AY,MATCH($Q$1,'Data Core CPI'!$B$1:$AY$1,),)</f>
        <v>#N/A</v>
      </c>
      <c r="R111" s="21">
        <f>(VLOOKUP(B111,'Data Core CPI'!$B:$AY,MATCH($R$1,'Data Core CPI'!$B$1:$AY$1,),)-VLOOKUP(EDATE(B111,-12),'Data Core CPI'!$B:$AY,MATCH($R$1,'Data Core CPI'!$B$1:$AY$1,),))/VLOOKUP(EDATE(B111,-12),'Data Core CPI'!$B:$AY,MATCH($R$1,'Data Core CPI'!$B$1:$AY$1,),)</f>
        <v>5.8023028571825052E-3</v>
      </c>
      <c r="S111" s="21" t="e">
        <f>(VLOOKUP(B111,'Data Core CPI'!$B:$AY,MATCH($S$1,'Data Core CPI'!$B$1:$AY$1,),)-VLOOKUP(EDATE(B111,-12),'Data Core CPI'!$B:$AY,MATCH($S$1,'Data Core CPI'!$B$1:$AY$1,),))/VLOOKUP(EDATE(B111,-12),'Data Core CPI'!$B:$AY,MATCH($S$1,'Data Core CPI'!$B$1:$AY$1,),)</f>
        <v>#DIV/0!</v>
      </c>
      <c r="T111" s="21" t="e">
        <f>(VLOOKUP(B111,'Data Core CPI'!$B:$AY,MATCH($T$1,'Data Core CPI'!$B$1:$AY$1,),)-VLOOKUP(EDATE(B111,-12),'Data Core CPI'!$B:$AY,MATCH($T$1,'Data Core CPI'!$B$1:$AY$1,),))/VLOOKUP(EDATE(B111,-12),'Data Core CPI'!$B:$AY,MATCH($T$1,'Data Core CPI'!$B$1:$AY$1,),)</f>
        <v>#DIV/0!</v>
      </c>
      <c r="U111" s="21">
        <f>(VLOOKUP(B111,'Data Core CPI'!$B:$AY,MATCH($U$1,'Data Core CPI'!$B$1:$AY$1,),)-VLOOKUP(EDATE(B111,-12),'Data Core CPI'!$B:$AY,MATCH($U$1,'Data Core CPI'!$B$1:$AY$1,),))/VLOOKUP(EDATE(B111,-12),'Data Core CPI'!$B:$AY,MATCH($U$1,'Data Core CPI'!$B$1:$AY$1,),)</f>
        <v>2.3198795796256317E-3</v>
      </c>
      <c r="V111" s="21">
        <f>(VLOOKUP(B111,'Data Core CPI'!$B:$AY,MATCH($V$1,'Data Core CPI'!$B$1:$AY$1,),)-VLOOKUP(EDATE(B111,-12),'Data Core CPI'!$B:$AY,MATCH($V$1,'Data Core CPI'!$B$1:$AY$1,),))/VLOOKUP(EDATE(B111,-12),'Data Core CPI'!$B:$AY,MATCH($V$1,'Data Core CPI'!$B$1:$AY$1,),)</f>
        <v>7.2208482579924783E-3</v>
      </c>
      <c r="W111" s="21">
        <f>(VLOOKUP(B111,'Data Core CPI'!$B:$AY,MATCH($W$1,'Data Core CPI'!$B$1:$AY$1,),)-VLOOKUP(EDATE(B111,-12),'Data Core CPI'!$B:$AY,MATCH($W$1,'Data Core CPI'!$B$1:$AY$1,),))/VLOOKUP(EDATE(B111,-12),'Data Core CPI'!$B:$AY,MATCH($W$1,'Data Core CPI'!$B$1:$AY$1,),)</f>
        <v>0.15819839664188357</v>
      </c>
      <c r="X111" s="21">
        <f>(VLOOKUP(B111,'Data Core CPI'!$B:$AY,MATCH($X$1,'Data Core CPI'!$B$1:$AY$1,),)-VLOOKUP(EDATE(B111,-12),'Data Core CPI'!$B:$AY,MATCH($X$1,'Data Core CPI'!$B$1:$AY$1,),))/VLOOKUP(EDATE(B111,-12),'Data Core CPI'!$B:$AY,MATCH($X$1,'Data Core CPI'!$B$1:$AY$1,),)</f>
        <v>2.3607176581680829E-2</v>
      </c>
      <c r="Y111" s="21">
        <f>(VLOOKUP(B111,'Data Core CPI'!$B:$AY,MATCH($Y$1,'Data Core CPI'!$B$1:$AY$1,),)-VLOOKUP(EDATE(B111,-12),'Data Core CPI'!$B:$AY,MATCH($Y$1,'Data Core CPI'!$B$1:$AY$1,),))/VLOOKUP(EDATE(B111,-12),'Data Core CPI'!$B:$AY,MATCH($Y$1,'Data Core CPI'!$B$1:$AY$1,),)</f>
        <v>1.545087344975375E-2</v>
      </c>
    </row>
    <row r="112" spans="2:28" s="3" customFormat="1" x14ac:dyDescent="0.2">
      <c r="B112" s="16">
        <v>43617</v>
      </c>
      <c r="C112" s="21">
        <f>(VLOOKUP(B112,'Data Core CPI'!$B:$AY,MATCH($C$1,'Data Core CPI'!$B$1:$AY$1,),)-VLOOKUP(EDATE(B112,-12),'Data Core CPI'!$B:$AY,MATCH($C$1,'Data Core CPI'!$B$1:$AY$1,),))/VLOOKUP(EDATE(B112,-12),'Data Core CPI'!$B:$AY,MATCH($C$1,'Data Core CPI'!$B$1:$AY$1,),)</f>
        <v>2.1265675233600866E-2</v>
      </c>
      <c r="D112" s="21" t="e">
        <f>(VLOOKUP(B112,'Data Core CPI'!$B:$AY,MATCH($D$1,'Data Core CPI'!$B$1:$AY$1,),)-VLOOKUP(EDATE(B112,-12),'Data Core CPI'!$B:$AY,MATCH($D$1,'Data Core CPI'!$B$1:$AY$1,),))/VLOOKUP(EDATE(B112,-12),'Data Core CPI'!$B:$AY,MATCH($D$1,'Data Core CPI'!$B$1:$AY$1,),)</f>
        <v>#DIV/0!</v>
      </c>
      <c r="E112" s="21">
        <f>(VLOOKUP(B112,'Data Core CPI'!$B:$AY,MATCH($E$1,'Data Core CPI'!$B$1:$AY$1,),)-VLOOKUP(EDATE(B112,-12),'Data Core CPI'!$B:$AY,MATCH($E$1,'Data Core CPI'!$B$1:$AY$1,),))/VLOOKUP(EDATE(B112,-12),'Data Core CPI'!$B:$AY,MATCH($E$1,'Data Core CPI'!$B$1:$AY$1,),)</f>
        <v>1.1201235998454968E-2</v>
      </c>
      <c r="F112" s="21">
        <f>(VLOOKUP(B112,'Data Core CPI'!$B:$AY,MATCH($F$1,'Data Core CPI'!$B$1:$AY$1,),)-VLOOKUP(EDATE(B112,-12),'Data Core CPI'!$B:$AY,MATCH($F$1,'Data Core CPI'!$B$1:$AY$1,),))/VLOOKUP(EDATE(B112,-12),'Data Core CPI'!$B:$AY,MATCH($F$1,'Data Core CPI'!$B$1:$AY$1,),)</f>
        <v>3.556697949668234E-3</v>
      </c>
      <c r="G112" s="21">
        <f>(VLOOKUP(B112,'Data Core CPI'!$B:$AY,MATCH($G$1,'Data Core CPI'!$B$1:$AY$1,),)-VLOOKUP(EDATE(B112,-12),'Data Core CPI'!$B:$AY,MATCH($G$1,'Data Core CPI'!$B$1:$AY$1,),))/VLOOKUP(EDATE(B112,-12),'Data Core CPI'!$B:$AY,MATCH($G$1,'Data Core CPI'!$B$1:$AY$1,),)</f>
        <v>1.6047991190468552E-2</v>
      </c>
      <c r="H112" s="21">
        <f>(VLOOKUP(B112,'Data Core CPI'!$B:$AY,MATCH($H$1,'Data Core CPI'!$B$1:$AY$1,),)-VLOOKUP(EDATE(B112,-12),'Data Core CPI'!$B:$AY,MATCH($H$1,'Data Core CPI'!$B$1:$AY$1,),))/VLOOKUP(EDATE(B112,-12),'Data Core CPI'!$B:$AY,MATCH($H$1,'Data Core CPI'!$B$1:$AY$1,),)</f>
        <v>7.5882072884721511E-3</v>
      </c>
      <c r="I112" s="21">
        <f>(VLOOKUP(B112,'Data Core CPI'!$B:$AY,MATCH($I$1,'Data Core CPI'!$B$1:$AY$1,),)-VLOOKUP(EDATE(B112,-12),'Data Core CPI'!$B:$AY,MATCH($I$1,'Data Core CPI'!$B$1:$AY$1,),))/VLOOKUP(EDATE(B112,-12),'Data Core CPI'!$B:$AY,MATCH($I$1,'Data Core CPI'!$B$1:$AY$1,),)</f>
        <v>1.795841209829873E-2</v>
      </c>
      <c r="J112" s="21">
        <f>(VLOOKUP(B112,'Data Core CPI'!$B:$AY,MATCH($J$1,'Data Core CPI'!$B$1:$AY$1,),)-VLOOKUP(EDATE(B112,-12),'Data Core CPI'!$B:$AY,MATCH($J$1,'Data Core CPI'!$B$1:$AY$1,),))/VLOOKUP(EDATE(B112,-12),'Data Core CPI'!$B:$AY,MATCH($J$1,'Data Core CPI'!$B$1:$AY$1,),)</f>
        <v>5.5732608917216705E-3</v>
      </c>
      <c r="K112" s="21">
        <f>(VLOOKUP(B112,'Data Core CPI'!$B:$AY,MATCH($K$1,'Data Core CPI'!$B$1:$AY$1,),)-VLOOKUP(EDATE(B112,-12),'Data Core CPI'!$B:$AY,MATCH($K$1,'Data Core CPI'!$B$1:$AY$1,),))/VLOOKUP(EDATE(B112,-12),'Data Core CPI'!$B:$AY,MATCH($K$1,'Data Core CPI'!$B$1:$AY$1,),)</f>
        <v>9.561024356883099E-3</v>
      </c>
      <c r="L112" s="21">
        <f>(VLOOKUP(B112,'Data Core CPI'!$B:$AY,MATCH($L$1,'Data Core CPI'!$B$1:$AY$1,),)-VLOOKUP(EDATE(B112,-12),'Data Core CPI'!$B:$AY,MATCH($L$1,'Data Core CPI'!$B$1:$AY$1,),))/VLOOKUP(EDATE(B112,-12),'Data Core CPI'!$B:$AY,MATCH($L$1,'Data Core CPI'!$B$1:$AY$1,),)</f>
        <v>1.807139997395215E-2</v>
      </c>
      <c r="M112" s="21">
        <f>(VLOOKUP(B112,'Data Core CPI'!$B:$AY,MATCH($M$1,'Data Core CPI'!$B$1:$AY$1,),)-VLOOKUP(EDATE(B112,-12),'Data Core CPI'!$B:$AY,MATCH($M$1,'Data Core CPI'!$B$1:$AY$1,),))/VLOOKUP(EDATE(B112,-12),'Data Core CPI'!$B:$AY,MATCH($M$1,'Data Core CPI'!$B$1:$AY$1,),)</f>
        <v>3.5715635239522793E-2</v>
      </c>
      <c r="N112" s="21" t="e">
        <f>(VLOOKUP(B112,'Data Core CPI'!$B:$AY,MATCH($N$1,'Data Core CPI'!$B$1:$AY$1,),)-VLOOKUP(EDATE(B112,-12),'Data Core CPI'!$B:$AY,MATCH($N$1,'Data Core CPI'!$B$1:$AY$1,),))/VLOOKUP(EDATE(B112,-12),'Data Core CPI'!$B:$AY,MATCH($N$1,'Data Core CPI'!$B$1:$AY$1,),)</f>
        <v>#DIV/0!</v>
      </c>
      <c r="O112" s="21" t="e">
        <f>(VLOOKUP(B112,'Data Core CPI'!$B:$AY,MATCH($O$1,'Data Core CPI'!$B$1:$AY$1,),)-VLOOKUP(EDATE(B112,-12),'Data Core CPI'!$B:$AY,MATCH($O$1,'Data Core CPI'!$B$1:$AY$1,),))/VLOOKUP(EDATE(B112,-12),'Data Core CPI'!$B:$AY,MATCH($O$1,'Data Core CPI'!$B$1:$AY$1,),)</f>
        <v>#DIV/0!</v>
      </c>
      <c r="P112" s="21">
        <f>(VLOOKUP(B112,'Data Core CPI'!$B:$AY,MATCH($P$1,'Data Core CPI'!$B$1:$AY$1,),)-VLOOKUP(EDATE(B112,-12),'Data Core CPI'!$B:$AY,MATCH($P$1,'Data Core CPI'!$B$1:$AY$1,),))/VLOOKUP(EDATE(B112,-12),'Data Core CPI'!$B:$AY,MATCH($P$1,'Data Core CPI'!$B$1:$AY$1,),)</f>
        <v>2.5829452645845932E-2</v>
      </c>
      <c r="Q112" s="21" t="e">
        <f>(VLOOKUP(B112,'Data Core CPI'!$B:$AY,MATCH($Q$1,'Data Core CPI'!$B$1:$AY$1,),)-VLOOKUP(EDATE(B112,-12),'Data Core CPI'!$B:$AY,MATCH($Q$1,'Data Core CPI'!$B$1:$AY$1,),))/VLOOKUP(EDATE(B112,-12),'Data Core CPI'!$B:$AY,MATCH($Q$1,'Data Core CPI'!$B$1:$AY$1,),)</f>
        <v>#N/A</v>
      </c>
      <c r="R112" s="21">
        <f>(VLOOKUP(B112,'Data Core CPI'!$B:$AY,MATCH($R$1,'Data Core CPI'!$B$1:$AY$1,),)-VLOOKUP(EDATE(B112,-12),'Data Core CPI'!$B:$AY,MATCH($R$1,'Data Core CPI'!$B$1:$AY$1,),))/VLOOKUP(EDATE(B112,-12),'Data Core CPI'!$B:$AY,MATCH($R$1,'Data Core CPI'!$B$1:$AY$1,),)</f>
        <v>7.3232451185817095E-3</v>
      </c>
      <c r="S112" s="21" t="e">
        <f>(VLOOKUP(B112,'Data Core CPI'!$B:$AY,MATCH($S$1,'Data Core CPI'!$B$1:$AY$1,),)-VLOOKUP(EDATE(B112,-12),'Data Core CPI'!$B:$AY,MATCH($S$1,'Data Core CPI'!$B$1:$AY$1,),))/VLOOKUP(EDATE(B112,-12),'Data Core CPI'!$B:$AY,MATCH($S$1,'Data Core CPI'!$B$1:$AY$1,),)</f>
        <v>#DIV/0!</v>
      </c>
      <c r="T112" s="21" t="e">
        <f>(VLOOKUP(B112,'Data Core CPI'!$B:$AY,MATCH($T$1,'Data Core CPI'!$B$1:$AY$1,),)-VLOOKUP(EDATE(B112,-12),'Data Core CPI'!$B:$AY,MATCH($T$1,'Data Core CPI'!$B$1:$AY$1,),))/VLOOKUP(EDATE(B112,-12),'Data Core CPI'!$B:$AY,MATCH($T$1,'Data Core CPI'!$B$1:$AY$1,),)</f>
        <v>#DIV/0!</v>
      </c>
      <c r="U112" s="21">
        <f>(VLOOKUP(B112,'Data Core CPI'!$B:$AY,MATCH($U$1,'Data Core CPI'!$B$1:$AY$1,),)-VLOOKUP(EDATE(B112,-12),'Data Core CPI'!$B:$AY,MATCH($U$1,'Data Core CPI'!$B$1:$AY$1,),))/VLOOKUP(EDATE(B112,-12),'Data Core CPI'!$B:$AY,MATCH($U$1,'Data Core CPI'!$B$1:$AY$1,),)</f>
        <v>3.4942893018632183E-3</v>
      </c>
      <c r="V112" s="21">
        <f>(VLOOKUP(B112,'Data Core CPI'!$B:$AY,MATCH($V$1,'Data Core CPI'!$B$1:$AY$1,),)-VLOOKUP(EDATE(B112,-12),'Data Core CPI'!$B:$AY,MATCH($V$1,'Data Core CPI'!$B$1:$AY$1,),))/VLOOKUP(EDATE(B112,-12),'Data Core CPI'!$B:$AY,MATCH($V$1,'Data Core CPI'!$B$1:$AY$1,),)</f>
        <v>1.1863816491088608E-2</v>
      </c>
      <c r="W112" s="21">
        <f>(VLOOKUP(B112,'Data Core CPI'!$B:$AY,MATCH($W$1,'Data Core CPI'!$B$1:$AY$1,),)-VLOOKUP(EDATE(B112,-12),'Data Core CPI'!$B:$AY,MATCH($W$1,'Data Core CPI'!$B$1:$AY$1,),))/VLOOKUP(EDATE(B112,-12),'Data Core CPI'!$B:$AY,MATCH($W$1,'Data Core CPI'!$B$1:$AY$1,),)</f>
        <v>0.14802326930697834</v>
      </c>
      <c r="X112" s="21">
        <f>(VLOOKUP(B112,'Data Core CPI'!$B:$AY,MATCH($X$1,'Data Core CPI'!$B$1:$AY$1,),)-VLOOKUP(EDATE(B112,-12),'Data Core CPI'!$B:$AY,MATCH($X$1,'Data Core CPI'!$B$1:$AY$1,),))/VLOOKUP(EDATE(B112,-12),'Data Core CPI'!$B:$AY,MATCH($X$1,'Data Core CPI'!$B$1:$AY$1,),)</f>
        <v>2.4528301886792399E-2</v>
      </c>
      <c r="Y112" s="21">
        <f>(VLOOKUP(B112,'Data Core CPI'!$B:$AY,MATCH($Y$1,'Data Core CPI'!$B$1:$AY$1,),)-VLOOKUP(EDATE(B112,-12),'Data Core CPI'!$B:$AY,MATCH($Y$1,'Data Core CPI'!$B$1:$AY$1,),))/VLOOKUP(EDATE(B112,-12),'Data Core CPI'!$B:$AY,MATCH($Y$1,'Data Core CPI'!$B$1:$AY$1,),)</f>
        <v>1.8867645332462567E-2</v>
      </c>
    </row>
    <row r="113" spans="2:25" s="3" customFormat="1" x14ac:dyDescent="0.2">
      <c r="B113" s="16">
        <v>43647</v>
      </c>
      <c r="C113" s="21">
        <f>(VLOOKUP(B113,'Data Core CPI'!$B:$AY,MATCH($C$1,'Data Core CPI'!$B$1:$AY$1,),)-VLOOKUP(EDATE(B113,-12),'Data Core CPI'!$B:$AY,MATCH($C$1,'Data Core CPI'!$B$1:$AY$1,),))/VLOOKUP(EDATE(B113,-12),'Data Core CPI'!$B:$AY,MATCH($C$1,'Data Core CPI'!$B$1:$AY$1,),)</f>
        <v>2.2099950962064237E-2</v>
      </c>
      <c r="D113" s="21" t="e">
        <f>(VLOOKUP(B113,'Data Core CPI'!$B:$AY,MATCH($D$1,'Data Core CPI'!$B$1:$AY$1,),)-VLOOKUP(EDATE(B113,-12),'Data Core CPI'!$B:$AY,MATCH($D$1,'Data Core CPI'!$B$1:$AY$1,),))/VLOOKUP(EDATE(B113,-12),'Data Core CPI'!$B:$AY,MATCH($D$1,'Data Core CPI'!$B$1:$AY$1,),)</f>
        <v>#DIV/0!</v>
      </c>
      <c r="E113" s="21">
        <f>(VLOOKUP(B113,'Data Core CPI'!$B:$AY,MATCH($E$1,'Data Core CPI'!$B$1:$AY$1,),)-VLOOKUP(EDATE(B113,-12),'Data Core CPI'!$B:$AY,MATCH($E$1,'Data Core CPI'!$B$1:$AY$1,),))/VLOOKUP(EDATE(B113,-12),'Data Core CPI'!$B:$AY,MATCH($E$1,'Data Core CPI'!$B$1:$AY$1,),)</f>
        <v>8.7226206629190863E-3</v>
      </c>
      <c r="F113" s="21">
        <f>(VLOOKUP(B113,'Data Core CPI'!$B:$AY,MATCH($F$1,'Data Core CPI'!$B$1:$AY$1,),)-VLOOKUP(EDATE(B113,-12),'Data Core CPI'!$B:$AY,MATCH($F$1,'Data Core CPI'!$B$1:$AY$1,),))/VLOOKUP(EDATE(B113,-12),'Data Core CPI'!$B:$AY,MATCH($F$1,'Data Core CPI'!$B$1:$AY$1,),)</f>
        <v>4.6294357949889422E-3</v>
      </c>
      <c r="G113" s="21">
        <f>(VLOOKUP(B113,'Data Core CPI'!$B:$AY,MATCH($G$1,'Data Core CPI'!$B$1:$AY$1,),)-VLOOKUP(EDATE(B113,-12),'Data Core CPI'!$B:$AY,MATCH($G$1,'Data Core CPI'!$B$1:$AY$1,),))/VLOOKUP(EDATE(B113,-12),'Data Core CPI'!$B:$AY,MATCH($G$1,'Data Core CPI'!$B$1:$AY$1,),)</f>
        <v>1.6365492168953374E-2</v>
      </c>
      <c r="H113" s="21">
        <f>(VLOOKUP(B113,'Data Core CPI'!$B:$AY,MATCH($H$1,'Data Core CPI'!$B$1:$AY$1,),)-VLOOKUP(EDATE(B113,-12),'Data Core CPI'!$B:$AY,MATCH($H$1,'Data Core CPI'!$B$1:$AY$1,),))/VLOOKUP(EDATE(B113,-12),'Data Core CPI'!$B:$AY,MATCH($H$1,'Data Core CPI'!$B$1:$AY$1,),)</f>
        <v>7.0968942517702594E-3</v>
      </c>
      <c r="I113" s="21">
        <f>(VLOOKUP(B113,'Data Core CPI'!$B:$AY,MATCH($I$1,'Data Core CPI'!$B$1:$AY$1,),)-VLOOKUP(EDATE(B113,-12),'Data Core CPI'!$B:$AY,MATCH($I$1,'Data Core CPI'!$B$1:$AY$1,),))/VLOOKUP(EDATE(B113,-12),'Data Core CPI'!$B:$AY,MATCH($I$1,'Data Core CPI'!$B$1:$AY$1,),)</f>
        <v>1.890359168241966E-2</v>
      </c>
      <c r="J113" s="21">
        <f>(VLOOKUP(B113,'Data Core CPI'!$B:$AY,MATCH($J$1,'Data Core CPI'!$B$1:$AY$1,),)-VLOOKUP(EDATE(B113,-12),'Data Core CPI'!$B:$AY,MATCH($J$1,'Data Core CPI'!$B$1:$AY$1,),))/VLOOKUP(EDATE(B113,-12),'Data Core CPI'!$B:$AY,MATCH($J$1,'Data Core CPI'!$B$1:$AY$1,),)</f>
        <v>5.8132829802163876E-3</v>
      </c>
      <c r="K113" s="21">
        <f>(VLOOKUP(B113,'Data Core CPI'!$B:$AY,MATCH($K$1,'Data Core CPI'!$B$1:$AY$1,),)-VLOOKUP(EDATE(B113,-12),'Data Core CPI'!$B:$AY,MATCH($K$1,'Data Core CPI'!$B$1:$AY$1,),))/VLOOKUP(EDATE(B113,-12),'Data Core CPI'!$B:$AY,MATCH($K$1,'Data Core CPI'!$B$1:$AY$1,),)</f>
        <v>9.4714094189907311E-3</v>
      </c>
      <c r="L113" s="21">
        <f>(VLOOKUP(B113,'Data Core CPI'!$B:$AY,MATCH($L$1,'Data Core CPI'!$B$1:$AY$1,),)-VLOOKUP(EDATE(B113,-12),'Data Core CPI'!$B:$AY,MATCH($L$1,'Data Core CPI'!$B$1:$AY$1,),))/VLOOKUP(EDATE(B113,-12),'Data Core CPI'!$B:$AY,MATCH($L$1,'Data Core CPI'!$B$1:$AY$1,),)</f>
        <v>1.4717836696639725E-2</v>
      </c>
      <c r="M113" s="21">
        <f>(VLOOKUP(B113,'Data Core CPI'!$B:$AY,MATCH($M$1,'Data Core CPI'!$B$1:$AY$1,),)-VLOOKUP(EDATE(B113,-12),'Data Core CPI'!$B:$AY,MATCH($M$1,'Data Core CPI'!$B$1:$AY$1,),))/VLOOKUP(EDATE(B113,-12),'Data Core CPI'!$B:$AY,MATCH($M$1,'Data Core CPI'!$B$1:$AY$1,),)</f>
        <v>3.591036766487482E-2</v>
      </c>
      <c r="N113" s="21" t="e">
        <f>(VLOOKUP(B113,'Data Core CPI'!$B:$AY,MATCH($N$1,'Data Core CPI'!$B$1:$AY$1,),)-VLOOKUP(EDATE(B113,-12),'Data Core CPI'!$B:$AY,MATCH($N$1,'Data Core CPI'!$B$1:$AY$1,),))/VLOOKUP(EDATE(B113,-12),'Data Core CPI'!$B:$AY,MATCH($N$1,'Data Core CPI'!$B$1:$AY$1,),)</f>
        <v>#DIV/0!</v>
      </c>
      <c r="O113" s="21" t="e">
        <f>(VLOOKUP(B113,'Data Core CPI'!$B:$AY,MATCH($O$1,'Data Core CPI'!$B$1:$AY$1,),)-VLOOKUP(EDATE(B113,-12),'Data Core CPI'!$B:$AY,MATCH($O$1,'Data Core CPI'!$B$1:$AY$1,),))/VLOOKUP(EDATE(B113,-12),'Data Core CPI'!$B:$AY,MATCH($O$1,'Data Core CPI'!$B$1:$AY$1,),)</f>
        <v>#DIV/0!</v>
      </c>
      <c r="P113" s="21">
        <f>(VLOOKUP(B113,'Data Core CPI'!$B:$AY,MATCH($P$1,'Data Core CPI'!$B$1:$AY$1,),)-VLOOKUP(EDATE(B113,-12),'Data Core CPI'!$B:$AY,MATCH($P$1,'Data Core CPI'!$B$1:$AY$1,),))/VLOOKUP(EDATE(B113,-12),'Data Core CPI'!$B:$AY,MATCH($P$1,'Data Core CPI'!$B$1:$AY$1,),)</f>
        <v>2.4358448613812558E-2</v>
      </c>
      <c r="Q113" s="21" t="e">
        <f>(VLOOKUP(B113,'Data Core CPI'!$B:$AY,MATCH($Q$1,'Data Core CPI'!$B$1:$AY$1,),)-VLOOKUP(EDATE(B113,-12),'Data Core CPI'!$B:$AY,MATCH($Q$1,'Data Core CPI'!$B$1:$AY$1,),))/VLOOKUP(EDATE(B113,-12),'Data Core CPI'!$B:$AY,MATCH($Q$1,'Data Core CPI'!$B$1:$AY$1,),)</f>
        <v>#N/A</v>
      </c>
      <c r="R113" s="21">
        <f>(VLOOKUP(B113,'Data Core CPI'!$B:$AY,MATCH($R$1,'Data Core CPI'!$B$1:$AY$1,),)-VLOOKUP(EDATE(B113,-12),'Data Core CPI'!$B:$AY,MATCH($R$1,'Data Core CPI'!$B$1:$AY$1,),))/VLOOKUP(EDATE(B113,-12),'Data Core CPI'!$B:$AY,MATCH($R$1,'Data Core CPI'!$B$1:$AY$1,),)</f>
        <v>4.2480341755993401E-3</v>
      </c>
      <c r="S113" s="21" t="e">
        <f>(VLOOKUP(B113,'Data Core CPI'!$B:$AY,MATCH($S$1,'Data Core CPI'!$B$1:$AY$1,),)-VLOOKUP(EDATE(B113,-12),'Data Core CPI'!$B:$AY,MATCH($S$1,'Data Core CPI'!$B$1:$AY$1,),))/VLOOKUP(EDATE(B113,-12),'Data Core CPI'!$B:$AY,MATCH($S$1,'Data Core CPI'!$B$1:$AY$1,),)</f>
        <v>#DIV/0!</v>
      </c>
      <c r="T113" s="21" t="e">
        <f>(VLOOKUP(B113,'Data Core CPI'!$B:$AY,MATCH($T$1,'Data Core CPI'!$B$1:$AY$1,),)-VLOOKUP(EDATE(B113,-12),'Data Core CPI'!$B:$AY,MATCH($T$1,'Data Core CPI'!$B$1:$AY$1,),))/VLOOKUP(EDATE(B113,-12),'Data Core CPI'!$B:$AY,MATCH($T$1,'Data Core CPI'!$B$1:$AY$1,),)</f>
        <v>#DIV/0!</v>
      </c>
      <c r="U113" s="21">
        <f>(VLOOKUP(B113,'Data Core CPI'!$B:$AY,MATCH($U$1,'Data Core CPI'!$B$1:$AY$1,),)-VLOOKUP(EDATE(B113,-12),'Data Core CPI'!$B:$AY,MATCH($U$1,'Data Core CPI'!$B$1:$AY$1,),))/VLOOKUP(EDATE(B113,-12),'Data Core CPI'!$B:$AY,MATCH($U$1,'Data Core CPI'!$B$1:$AY$1,),)</f>
        <v>9.2413776701279968E-3</v>
      </c>
      <c r="V113" s="21">
        <f>(VLOOKUP(B113,'Data Core CPI'!$B:$AY,MATCH($V$1,'Data Core CPI'!$B$1:$AY$1,),)-VLOOKUP(EDATE(B113,-12),'Data Core CPI'!$B:$AY,MATCH($V$1,'Data Core CPI'!$B$1:$AY$1,),))/VLOOKUP(EDATE(B113,-12),'Data Core CPI'!$B:$AY,MATCH($V$1,'Data Core CPI'!$B$1:$AY$1,),)</f>
        <v>6.9524175251470229E-3</v>
      </c>
      <c r="W113" s="21">
        <f>(VLOOKUP(B113,'Data Core CPI'!$B:$AY,MATCH($W$1,'Data Core CPI'!$B$1:$AY$1,),)-VLOOKUP(EDATE(B113,-12),'Data Core CPI'!$B:$AY,MATCH($W$1,'Data Core CPI'!$B$1:$AY$1,),))/VLOOKUP(EDATE(B113,-12),'Data Core CPI'!$B:$AY,MATCH($W$1,'Data Core CPI'!$B$1:$AY$1,),)</f>
        <v>0.15956561868884156</v>
      </c>
      <c r="X113" s="21">
        <f>(VLOOKUP(B113,'Data Core CPI'!$B:$AY,MATCH($X$1,'Data Core CPI'!$B$1:$AY$1,),)-VLOOKUP(EDATE(B113,-12),'Data Core CPI'!$B:$AY,MATCH($X$1,'Data Core CPI'!$B$1:$AY$1,),))/VLOOKUP(EDATE(B113,-12),'Data Core CPI'!$B:$AY,MATCH($X$1,'Data Core CPI'!$B$1:$AY$1,),)</f>
        <v>2.3408239700374533E-2</v>
      </c>
      <c r="Y113" s="21">
        <f>(VLOOKUP(B113,'Data Core CPI'!$B:$AY,MATCH($Y$1,'Data Core CPI'!$B$1:$AY$1,),)-VLOOKUP(EDATE(B113,-12),'Data Core CPI'!$B:$AY,MATCH($Y$1,'Data Core CPI'!$B$1:$AY$1,),))/VLOOKUP(EDATE(B113,-12),'Data Core CPI'!$B:$AY,MATCH($Y$1,'Data Core CPI'!$B$1:$AY$1,),)</f>
        <v>2.0600835486555762E-2</v>
      </c>
    </row>
    <row r="114" spans="2:25" s="3" customFormat="1" x14ac:dyDescent="0.2">
      <c r="B114" s="16">
        <v>43678</v>
      </c>
      <c r="C114" s="21">
        <f>(VLOOKUP(B114,'Data Core CPI'!$B:$AY,MATCH($C$1,'Data Core CPI'!$B$1:$AY$1,),)-VLOOKUP(EDATE(B114,-12),'Data Core CPI'!$B:$AY,MATCH($C$1,'Data Core CPI'!$B$1:$AY$1,),))/VLOOKUP(EDATE(B114,-12),'Data Core CPI'!$B:$AY,MATCH($C$1,'Data Core CPI'!$B$1:$AY$1,),)</f>
        <v>2.386393510346646E-2</v>
      </c>
      <c r="D114" s="21" t="e">
        <f>(VLOOKUP(B114,'Data Core CPI'!$B:$AY,MATCH($D$1,'Data Core CPI'!$B$1:$AY$1,),)-VLOOKUP(EDATE(B114,-12),'Data Core CPI'!$B:$AY,MATCH($D$1,'Data Core CPI'!$B$1:$AY$1,),))/VLOOKUP(EDATE(B114,-12),'Data Core CPI'!$B:$AY,MATCH($D$1,'Data Core CPI'!$B$1:$AY$1,),)</f>
        <v>#DIV/0!</v>
      </c>
      <c r="E114" s="21">
        <f>(VLOOKUP(B114,'Data Core CPI'!$B:$AY,MATCH($E$1,'Data Core CPI'!$B$1:$AY$1,),)-VLOOKUP(EDATE(B114,-12),'Data Core CPI'!$B:$AY,MATCH($E$1,'Data Core CPI'!$B$1:$AY$1,),))/VLOOKUP(EDATE(B114,-12),'Data Core CPI'!$B:$AY,MATCH($E$1,'Data Core CPI'!$B$1:$AY$1,),)</f>
        <v>9.4832591445712187E-3</v>
      </c>
      <c r="F114" s="21">
        <f>(VLOOKUP(B114,'Data Core CPI'!$B:$AY,MATCH($F$1,'Data Core CPI'!$B$1:$AY$1,),)-VLOOKUP(EDATE(B114,-12),'Data Core CPI'!$B:$AY,MATCH($F$1,'Data Core CPI'!$B$1:$AY$1,),))/VLOOKUP(EDATE(B114,-12),'Data Core CPI'!$B:$AY,MATCH($F$1,'Data Core CPI'!$B$1:$AY$1,),)</f>
        <v>3.4259566363262508E-3</v>
      </c>
      <c r="G114" s="21">
        <f>(VLOOKUP(B114,'Data Core CPI'!$B:$AY,MATCH($G$1,'Data Core CPI'!$B$1:$AY$1,),)-VLOOKUP(EDATE(B114,-12),'Data Core CPI'!$B:$AY,MATCH($G$1,'Data Core CPI'!$B$1:$AY$1,),))/VLOOKUP(EDATE(B114,-12),'Data Core CPI'!$B:$AY,MATCH($G$1,'Data Core CPI'!$B$1:$AY$1,),)</f>
        <v>1.4366721012260684E-2</v>
      </c>
      <c r="H114" s="21">
        <f>(VLOOKUP(B114,'Data Core CPI'!$B:$AY,MATCH($H$1,'Data Core CPI'!$B$1:$AY$1,),)-VLOOKUP(EDATE(B114,-12),'Data Core CPI'!$B:$AY,MATCH($H$1,'Data Core CPI'!$B$1:$AY$1,),))/VLOOKUP(EDATE(B114,-12),'Data Core CPI'!$B:$AY,MATCH($H$1,'Data Core CPI'!$B$1:$AY$1,),)</f>
        <v>6.447723868751273E-3</v>
      </c>
      <c r="I114" s="21">
        <f>(VLOOKUP(B114,'Data Core CPI'!$B:$AY,MATCH($I$1,'Data Core CPI'!$B$1:$AY$1,),)-VLOOKUP(EDATE(B114,-12),'Data Core CPI'!$B:$AY,MATCH($I$1,'Data Core CPI'!$B$1:$AY$1,),))/VLOOKUP(EDATE(B114,-12),'Data Core CPI'!$B:$AY,MATCH($I$1,'Data Core CPI'!$B$1:$AY$1,),)</f>
        <v>1.5023474178403702E-2</v>
      </c>
      <c r="J114" s="21">
        <f>(VLOOKUP(B114,'Data Core CPI'!$B:$AY,MATCH($J$1,'Data Core CPI'!$B$1:$AY$1,),)-VLOOKUP(EDATE(B114,-12),'Data Core CPI'!$B:$AY,MATCH($J$1,'Data Core CPI'!$B$1:$AY$1,),))/VLOOKUP(EDATE(B114,-12),'Data Core CPI'!$B:$AY,MATCH($J$1,'Data Core CPI'!$B$1:$AY$1,),)</f>
        <v>5.7380077388243583E-3</v>
      </c>
      <c r="K114" s="21">
        <f>(VLOOKUP(B114,'Data Core CPI'!$B:$AY,MATCH($K$1,'Data Core CPI'!$B$1:$AY$1,),)-VLOOKUP(EDATE(B114,-12),'Data Core CPI'!$B:$AY,MATCH($K$1,'Data Core CPI'!$B$1:$AY$1,),))/VLOOKUP(EDATE(B114,-12),'Data Core CPI'!$B:$AY,MATCH($K$1,'Data Core CPI'!$B$1:$AY$1,),)</f>
        <v>1.0203485371141248E-2</v>
      </c>
      <c r="L114" s="21">
        <f>(VLOOKUP(B114,'Data Core CPI'!$B:$AY,MATCH($L$1,'Data Core CPI'!$B$1:$AY$1,),)-VLOOKUP(EDATE(B114,-12),'Data Core CPI'!$B:$AY,MATCH($L$1,'Data Core CPI'!$B$1:$AY$1,),))/VLOOKUP(EDATE(B114,-12),'Data Core CPI'!$B:$AY,MATCH($L$1,'Data Core CPI'!$B$1:$AY$1,),)</f>
        <v>1.4575526453903889E-2</v>
      </c>
      <c r="M114" s="21">
        <f>(VLOOKUP(B114,'Data Core CPI'!$B:$AY,MATCH($M$1,'Data Core CPI'!$B$1:$AY$1,),)-VLOOKUP(EDATE(B114,-12),'Data Core CPI'!$B:$AY,MATCH($M$1,'Data Core CPI'!$B$1:$AY$1,),))/VLOOKUP(EDATE(B114,-12),'Data Core CPI'!$B:$AY,MATCH($M$1,'Data Core CPI'!$B$1:$AY$1,),)</f>
        <v>3.6149055530930785E-2</v>
      </c>
      <c r="N114" s="21" t="e">
        <f>(VLOOKUP(B114,'Data Core CPI'!$B:$AY,MATCH($N$1,'Data Core CPI'!$B$1:$AY$1,),)-VLOOKUP(EDATE(B114,-12),'Data Core CPI'!$B:$AY,MATCH($N$1,'Data Core CPI'!$B$1:$AY$1,),))/VLOOKUP(EDATE(B114,-12),'Data Core CPI'!$B:$AY,MATCH($N$1,'Data Core CPI'!$B$1:$AY$1,),)</f>
        <v>#DIV/0!</v>
      </c>
      <c r="O114" s="21" t="e">
        <f>(VLOOKUP(B114,'Data Core CPI'!$B:$AY,MATCH($O$1,'Data Core CPI'!$B$1:$AY$1,),)-VLOOKUP(EDATE(B114,-12),'Data Core CPI'!$B:$AY,MATCH($O$1,'Data Core CPI'!$B$1:$AY$1,),))/VLOOKUP(EDATE(B114,-12),'Data Core CPI'!$B:$AY,MATCH($O$1,'Data Core CPI'!$B$1:$AY$1,),)</f>
        <v>#DIV/0!</v>
      </c>
      <c r="P114" s="21">
        <f>(VLOOKUP(B114,'Data Core CPI'!$B:$AY,MATCH($P$1,'Data Core CPI'!$B$1:$AY$1,),)-VLOOKUP(EDATE(B114,-12),'Data Core CPI'!$B:$AY,MATCH($P$1,'Data Core CPI'!$B$1:$AY$1,),))/VLOOKUP(EDATE(B114,-12),'Data Core CPI'!$B:$AY,MATCH($P$1,'Data Core CPI'!$B$1:$AY$1,),)</f>
        <v>2.5340595613495071E-2</v>
      </c>
      <c r="Q114" s="21" t="e">
        <f>(VLOOKUP(B114,'Data Core CPI'!$B:$AY,MATCH($Q$1,'Data Core CPI'!$B$1:$AY$1,),)-VLOOKUP(EDATE(B114,-12),'Data Core CPI'!$B:$AY,MATCH($Q$1,'Data Core CPI'!$B$1:$AY$1,),))/VLOOKUP(EDATE(B114,-12),'Data Core CPI'!$B:$AY,MATCH($Q$1,'Data Core CPI'!$B$1:$AY$1,),)</f>
        <v>#N/A</v>
      </c>
      <c r="R114" s="21">
        <f>(VLOOKUP(B114,'Data Core CPI'!$B:$AY,MATCH($R$1,'Data Core CPI'!$B$1:$AY$1,),)-VLOOKUP(EDATE(B114,-12),'Data Core CPI'!$B:$AY,MATCH($R$1,'Data Core CPI'!$B$1:$AY$1,),))/VLOOKUP(EDATE(B114,-12),'Data Core CPI'!$B:$AY,MATCH($R$1,'Data Core CPI'!$B$1:$AY$1,),)</f>
        <v>3.8424304717285885E-3</v>
      </c>
      <c r="S114" s="21" t="e">
        <f>(VLOOKUP(B114,'Data Core CPI'!$B:$AY,MATCH($S$1,'Data Core CPI'!$B$1:$AY$1,),)-VLOOKUP(EDATE(B114,-12),'Data Core CPI'!$B:$AY,MATCH($S$1,'Data Core CPI'!$B$1:$AY$1,),))/VLOOKUP(EDATE(B114,-12),'Data Core CPI'!$B:$AY,MATCH($S$1,'Data Core CPI'!$B$1:$AY$1,),)</f>
        <v>#DIV/0!</v>
      </c>
      <c r="T114" s="21" t="e">
        <f>(VLOOKUP(B114,'Data Core CPI'!$B:$AY,MATCH($T$1,'Data Core CPI'!$B$1:$AY$1,),)-VLOOKUP(EDATE(B114,-12),'Data Core CPI'!$B:$AY,MATCH($T$1,'Data Core CPI'!$B$1:$AY$1,),))/VLOOKUP(EDATE(B114,-12),'Data Core CPI'!$B:$AY,MATCH($T$1,'Data Core CPI'!$B$1:$AY$1,),)</f>
        <v>#DIV/0!</v>
      </c>
      <c r="U114" s="21">
        <f>(VLOOKUP(B114,'Data Core CPI'!$B:$AY,MATCH($U$1,'Data Core CPI'!$B$1:$AY$1,),)-VLOOKUP(EDATE(B114,-12),'Data Core CPI'!$B:$AY,MATCH($U$1,'Data Core CPI'!$B$1:$AY$1,),))/VLOOKUP(EDATE(B114,-12),'Data Core CPI'!$B:$AY,MATCH($U$1,'Data Core CPI'!$B$1:$AY$1,),)</f>
        <v>7.2637777470024555E-3</v>
      </c>
      <c r="V114" s="21">
        <f>(VLOOKUP(B114,'Data Core CPI'!$B:$AY,MATCH($V$1,'Data Core CPI'!$B$1:$AY$1,),)-VLOOKUP(EDATE(B114,-12),'Data Core CPI'!$B:$AY,MATCH($V$1,'Data Core CPI'!$B$1:$AY$1,),))/VLOOKUP(EDATE(B114,-12),'Data Core CPI'!$B:$AY,MATCH($V$1,'Data Core CPI'!$B$1:$AY$1,),)</f>
        <v>1.0476541402325963E-2</v>
      </c>
      <c r="W114" s="21">
        <f>(VLOOKUP(B114,'Data Core CPI'!$B:$AY,MATCH($W$1,'Data Core CPI'!$B$1:$AY$1,),)-VLOOKUP(EDATE(B114,-12),'Data Core CPI'!$B:$AY,MATCH($W$1,'Data Core CPI'!$B$1:$AY$1,),))/VLOOKUP(EDATE(B114,-12),'Data Core CPI'!$B:$AY,MATCH($W$1,'Data Core CPI'!$B$1:$AY$1,),)</f>
        <v>0.1491077145957517</v>
      </c>
      <c r="X114" s="21">
        <f>(VLOOKUP(B114,'Data Core CPI'!$B:$AY,MATCH($X$1,'Data Core CPI'!$B$1:$AY$1,),)-VLOOKUP(EDATE(B114,-12),'Data Core CPI'!$B:$AY,MATCH($X$1,'Data Core CPI'!$B$1:$AY$1,),))/VLOOKUP(EDATE(B114,-12),'Data Core CPI'!$B:$AY,MATCH($X$1,'Data Core CPI'!$B$1:$AY$1,),)</f>
        <v>2.5257249766136469E-2</v>
      </c>
      <c r="Y114" s="21">
        <f>(VLOOKUP(B114,'Data Core CPI'!$B:$AY,MATCH($Y$1,'Data Core CPI'!$B$1:$AY$1,),)-VLOOKUP(EDATE(B114,-12),'Data Core CPI'!$B:$AY,MATCH($Y$1,'Data Core CPI'!$B$1:$AY$1,),))/VLOOKUP(EDATE(B114,-12),'Data Core CPI'!$B:$AY,MATCH($Y$1,'Data Core CPI'!$B$1:$AY$1,),)</f>
        <v>2.1440416378528816E-2</v>
      </c>
    </row>
    <row r="115" spans="2:25" s="3" customFormat="1" x14ac:dyDescent="0.2">
      <c r="B115" s="16">
        <v>43709</v>
      </c>
      <c r="C115" s="21">
        <f>(VLOOKUP(B115,'Data Core CPI'!$B:$AY,MATCH($C$1,'Data Core CPI'!$B$1:$AY$1,),)-VLOOKUP(EDATE(B115,-12),'Data Core CPI'!$B:$AY,MATCH($C$1,'Data Core CPI'!$B$1:$AY$1,),))/VLOOKUP(EDATE(B115,-12),'Data Core CPI'!$B:$AY,MATCH($C$1,'Data Core CPI'!$B$1:$AY$1,),)</f>
        <v>2.3577008667025438E-2</v>
      </c>
      <c r="D115" s="21" t="e">
        <f>(VLOOKUP(B115,'Data Core CPI'!$B:$AY,MATCH($D$1,'Data Core CPI'!$B$1:$AY$1,),)-VLOOKUP(EDATE(B115,-12),'Data Core CPI'!$B:$AY,MATCH($D$1,'Data Core CPI'!$B$1:$AY$1,),))/VLOOKUP(EDATE(B115,-12),'Data Core CPI'!$B:$AY,MATCH($D$1,'Data Core CPI'!$B$1:$AY$1,),)</f>
        <v>#DIV/0!</v>
      </c>
      <c r="E115" s="21">
        <f>(VLOOKUP(B115,'Data Core CPI'!$B:$AY,MATCH($E$1,'Data Core CPI'!$B$1:$AY$1,),)-VLOOKUP(EDATE(B115,-12),'Data Core CPI'!$B:$AY,MATCH($E$1,'Data Core CPI'!$B$1:$AY$1,),))/VLOOKUP(EDATE(B115,-12),'Data Core CPI'!$B:$AY,MATCH($E$1,'Data Core CPI'!$B$1:$AY$1,),)</f>
        <v>1.0129268763264492E-2</v>
      </c>
      <c r="F115" s="21">
        <f>(VLOOKUP(B115,'Data Core CPI'!$B:$AY,MATCH($F$1,'Data Core CPI'!$B$1:$AY$1,),)-VLOOKUP(EDATE(B115,-12),'Data Core CPI'!$B:$AY,MATCH($F$1,'Data Core CPI'!$B$1:$AY$1,),))/VLOOKUP(EDATE(B115,-12),'Data Core CPI'!$B:$AY,MATCH($F$1,'Data Core CPI'!$B$1:$AY$1,),)</f>
        <v>3.431178084207555E-3</v>
      </c>
      <c r="G115" s="21">
        <f>(VLOOKUP(B115,'Data Core CPI'!$B:$AY,MATCH($G$1,'Data Core CPI'!$B$1:$AY$1,),)-VLOOKUP(EDATE(B115,-12),'Data Core CPI'!$B:$AY,MATCH($G$1,'Data Core CPI'!$B$1:$AY$1,),))/VLOOKUP(EDATE(B115,-12),'Data Core CPI'!$B:$AY,MATCH($G$1,'Data Core CPI'!$B$1:$AY$1,),)</f>
        <v>1.5600051248023279E-2</v>
      </c>
      <c r="H115" s="21">
        <f>(VLOOKUP(B115,'Data Core CPI'!$B:$AY,MATCH($H$1,'Data Core CPI'!$B$1:$AY$1,),)-VLOOKUP(EDATE(B115,-12),'Data Core CPI'!$B:$AY,MATCH($H$1,'Data Core CPI'!$B$1:$AY$1,),))/VLOOKUP(EDATE(B115,-12),'Data Core CPI'!$B:$AY,MATCH($H$1,'Data Core CPI'!$B$1:$AY$1,),)</f>
        <v>7.6790798414856027E-3</v>
      </c>
      <c r="I115" s="21">
        <f>(VLOOKUP(B115,'Data Core CPI'!$B:$AY,MATCH($I$1,'Data Core CPI'!$B$1:$AY$1,),)-VLOOKUP(EDATE(B115,-12),'Data Core CPI'!$B:$AY,MATCH($I$1,'Data Core CPI'!$B$1:$AY$1,),))/VLOOKUP(EDATE(B115,-12),'Data Core CPI'!$B:$AY,MATCH($I$1,'Data Core CPI'!$B$1:$AY$1,),)</f>
        <v>1.6901408450704199E-2</v>
      </c>
      <c r="J115" s="21">
        <f>(VLOOKUP(B115,'Data Core CPI'!$B:$AY,MATCH($J$1,'Data Core CPI'!$B$1:$AY$1,),)-VLOOKUP(EDATE(B115,-12),'Data Core CPI'!$B:$AY,MATCH($J$1,'Data Core CPI'!$B$1:$AY$1,),))/VLOOKUP(EDATE(B115,-12),'Data Core CPI'!$B:$AY,MATCH($J$1,'Data Core CPI'!$B$1:$AY$1,),)</f>
        <v>5.9631523574172852E-3</v>
      </c>
      <c r="K115" s="21">
        <f>(VLOOKUP(B115,'Data Core CPI'!$B:$AY,MATCH($K$1,'Data Core CPI'!$B$1:$AY$1,),)-VLOOKUP(EDATE(B115,-12),'Data Core CPI'!$B:$AY,MATCH($K$1,'Data Core CPI'!$B$1:$AY$1,),))/VLOOKUP(EDATE(B115,-12),'Data Core CPI'!$B:$AY,MATCH($K$1,'Data Core CPI'!$B$1:$AY$1,),)</f>
        <v>1.0778081711721278E-2</v>
      </c>
      <c r="L115" s="21">
        <f>(VLOOKUP(B115,'Data Core CPI'!$B:$AY,MATCH($L$1,'Data Core CPI'!$B$1:$AY$1,),)-VLOOKUP(EDATE(B115,-12),'Data Core CPI'!$B:$AY,MATCH($L$1,'Data Core CPI'!$B$1:$AY$1,),))/VLOOKUP(EDATE(B115,-12),'Data Core CPI'!$B:$AY,MATCH($L$1,'Data Core CPI'!$B$1:$AY$1,),)</f>
        <v>1.6055370246189443E-2</v>
      </c>
      <c r="M115" s="21">
        <f>(VLOOKUP(B115,'Data Core CPI'!$B:$AY,MATCH($M$1,'Data Core CPI'!$B$1:$AY$1,),)-VLOOKUP(EDATE(B115,-12),'Data Core CPI'!$B:$AY,MATCH($M$1,'Data Core CPI'!$B$1:$AY$1,),))/VLOOKUP(EDATE(B115,-12),'Data Core CPI'!$B:$AY,MATCH($M$1,'Data Core CPI'!$B$1:$AY$1,),)</f>
        <v>3.6046316436120301E-2</v>
      </c>
      <c r="N115" s="21" t="e">
        <f>(VLOOKUP(B115,'Data Core CPI'!$B:$AY,MATCH($N$1,'Data Core CPI'!$B$1:$AY$1,),)-VLOOKUP(EDATE(B115,-12),'Data Core CPI'!$B:$AY,MATCH($N$1,'Data Core CPI'!$B$1:$AY$1,),))/VLOOKUP(EDATE(B115,-12),'Data Core CPI'!$B:$AY,MATCH($N$1,'Data Core CPI'!$B$1:$AY$1,),)</f>
        <v>#DIV/0!</v>
      </c>
      <c r="O115" s="21" t="e">
        <f>(VLOOKUP(B115,'Data Core CPI'!$B:$AY,MATCH($O$1,'Data Core CPI'!$B$1:$AY$1,),)-VLOOKUP(EDATE(B115,-12),'Data Core CPI'!$B:$AY,MATCH($O$1,'Data Core CPI'!$B$1:$AY$1,),))/VLOOKUP(EDATE(B115,-12),'Data Core CPI'!$B:$AY,MATCH($O$1,'Data Core CPI'!$B$1:$AY$1,),)</f>
        <v>#DIV/0!</v>
      </c>
      <c r="P115" s="21">
        <f>(VLOOKUP(B115,'Data Core CPI'!$B:$AY,MATCH($P$1,'Data Core CPI'!$B$1:$AY$1,),)-VLOOKUP(EDATE(B115,-12),'Data Core CPI'!$B:$AY,MATCH($P$1,'Data Core CPI'!$B$1:$AY$1,),))/VLOOKUP(EDATE(B115,-12),'Data Core CPI'!$B:$AY,MATCH($P$1,'Data Core CPI'!$B$1:$AY$1,),)</f>
        <v>2.4012619770974471E-2</v>
      </c>
      <c r="Q115" s="21" t="e">
        <f>(VLOOKUP(B115,'Data Core CPI'!$B:$AY,MATCH($Q$1,'Data Core CPI'!$B$1:$AY$1,),)-VLOOKUP(EDATE(B115,-12),'Data Core CPI'!$B:$AY,MATCH($Q$1,'Data Core CPI'!$B$1:$AY$1,),))/VLOOKUP(EDATE(B115,-12),'Data Core CPI'!$B:$AY,MATCH($Q$1,'Data Core CPI'!$B$1:$AY$1,),)</f>
        <v>#N/A</v>
      </c>
      <c r="R115" s="21">
        <f>(VLOOKUP(B115,'Data Core CPI'!$B:$AY,MATCH($R$1,'Data Core CPI'!$B$1:$AY$1,),)-VLOOKUP(EDATE(B115,-12),'Data Core CPI'!$B:$AY,MATCH($R$1,'Data Core CPI'!$B$1:$AY$1,),))/VLOOKUP(EDATE(B115,-12),'Data Core CPI'!$B:$AY,MATCH($R$1,'Data Core CPI'!$B$1:$AY$1,),)</f>
        <v>3.7596307530422348E-3</v>
      </c>
      <c r="S115" s="21" t="e">
        <f>(VLOOKUP(B115,'Data Core CPI'!$B:$AY,MATCH($S$1,'Data Core CPI'!$B$1:$AY$1,),)-VLOOKUP(EDATE(B115,-12),'Data Core CPI'!$B:$AY,MATCH($S$1,'Data Core CPI'!$B$1:$AY$1,),))/VLOOKUP(EDATE(B115,-12),'Data Core CPI'!$B:$AY,MATCH($S$1,'Data Core CPI'!$B$1:$AY$1,),)</f>
        <v>#DIV/0!</v>
      </c>
      <c r="T115" s="21" t="e">
        <f>(VLOOKUP(B115,'Data Core CPI'!$B:$AY,MATCH($T$1,'Data Core CPI'!$B$1:$AY$1,),)-VLOOKUP(EDATE(B115,-12),'Data Core CPI'!$B:$AY,MATCH($T$1,'Data Core CPI'!$B$1:$AY$1,),))/VLOOKUP(EDATE(B115,-12),'Data Core CPI'!$B:$AY,MATCH($T$1,'Data Core CPI'!$B$1:$AY$1,),)</f>
        <v>#DIV/0!</v>
      </c>
      <c r="U115" s="21">
        <f>(VLOOKUP(B115,'Data Core CPI'!$B:$AY,MATCH($U$1,'Data Core CPI'!$B$1:$AY$1,),)-VLOOKUP(EDATE(B115,-12),'Data Core CPI'!$B:$AY,MATCH($U$1,'Data Core CPI'!$B$1:$AY$1,),))/VLOOKUP(EDATE(B115,-12),'Data Core CPI'!$B:$AY,MATCH($U$1,'Data Core CPI'!$B$1:$AY$1,),)</f>
        <v>7.063850007008177E-3</v>
      </c>
      <c r="V115" s="21">
        <f>(VLOOKUP(B115,'Data Core CPI'!$B:$AY,MATCH($V$1,'Data Core CPI'!$B$1:$AY$1,),)-VLOOKUP(EDATE(B115,-12),'Data Core CPI'!$B:$AY,MATCH($V$1,'Data Core CPI'!$B$1:$AY$1,),))/VLOOKUP(EDATE(B115,-12),'Data Core CPI'!$B:$AY,MATCH($V$1,'Data Core CPI'!$B$1:$AY$1,),)</f>
        <v>1.3991789754871165E-2</v>
      </c>
      <c r="W115" s="21">
        <f>(VLOOKUP(B115,'Data Core CPI'!$B:$AY,MATCH($W$1,'Data Core CPI'!$B$1:$AY$1,),)-VLOOKUP(EDATE(B115,-12),'Data Core CPI'!$B:$AY,MATCH($W$1,'Data Core CPI'!$B$1:$AY$1,),))/VLOOKUP(EDATE(B115,-12),'Data Core CPI'!$B:$AY,MATCH($W$1,'Data Core CPI'!$B$1:$AY$1,),)</f>
        <v>9.5062088124822919E-2</v>
      </c>
      <c r="X115" s="21">
        <f>(VLOOKUP(B115,'Data Core CPI'!$B:$AY,MATCH($X$1,'Data Core CPI'!$B$1:$AY$1,),)-VLOOKUP(EDATE(B115,-12),'Data Core CPI'!$B:$AY,MATCH($X$1,'Data Core CPI'!$B$1:$AY$1,),))/VLOOKUP(EDATE(B115,-12),'Data Core CPI'!$B:$AY,MATCH($X$1,'Data Core CPI'!$B$1:$AY$1,),)</f>
        <v>2.5399811853245559E-2</v>
      </c>
      <c r="Y115" s="21">
        <f>(VLOOKUP(B115,'Data Core CPI'!$B:$AY,MATCH($Y$1,'Data Core CPI'!$B$1:$AY$1,),)-VLOOKUP(EDATE(B115,-12),'Data Core CPI'!$B:$AY,MATCH($Y$1,'Data Core CPI'!$B$1:$AY$1,),))/VLOOKUP(EDATE(B115,-12),'Data Core CPI'!$B:$AY,MATCH($Y$1,'Data Core CPI'!$B$1:$AY$1,),)</f>
        <v>2.3155925906561497E-2</v>
      </c>
    </row>
    <row r="116" spans="2:25" s="3" customFormat="1" x14ac:dyDescent="0.2">
      <c r="B116" s="16">
        <v>43739</v>
      </c>
      <c r="C116" s="21">
        <f>(VLOOKUP(B116,'Data Core CPI'!$B:$AY,MATCH($C$1,'Data Core CPI'!$B$1:$AY$1,),)-VLOOKUP(EDATE(B116,-12),'Data Core CPI'!$B:$AY,MATCH($C$1,'Data Core CPI'!$B$1:$AY$1,),))/VLOOKUP(EDATE(B116,-12),'Data Core CPI'!$B:$AY,MATCH($C$1,'Data Core CPI'!$B$1:$AY$1,),)</f>
        <v>2.3145277949989676E-2</v>
      </c>
      <c r="D116" s="21" t="e">
        <f>(VLOOKUP(B116,'Data Core CPI'!$B:$AY,MATCH($D$1,'Data Core CPI'!$B$1:$AY$1,),)-VLOOKUP(EDATE(B116,-12),'Data Core CPI'!$B:$AY,MATCH($D$1,'Data Core CPI'!$B$1:$AY$1,),))/VLOOKUP(EDATE(B116,-12),'Data Core CPI'!$B:$AY,MATCH($D$1,'Data Core CPI'!$B$1:$AY$1,),)</f>
        <v>#DIV/0!</v>
      </c>
      <c r="E116" s="21">
        <f>(VLOOKUP(B116,'Data Core CPI'!$B:$AY,MATCH($E$1,'Data Core CPI'!$B$1:$AY$1,),)-VLOOKUP(EDATE(B116,-12),'Data Core CPI'!$B:$AY,MATCH($E$1,'Data Core CPI'!$B$1:$AY$1,),))/VLOOKUP(EDATE(B116,-12),'Data Core CPI'!$B:$AY,MATCH($E$1,'Data Core CPI'!$B$1:$AY$1,),)</f>
        <v>1.0701889703046658E-2</v>
      </c>
      <c r="F116" s="21">
        <f>(VLOOKUP(B116,'Data Core CPI'!$B:$AY,MATCH($F$1,'Data Core CPI'!$B$1:$AY$1,),)-VLOOKUP(EDATE(B116,-12),'Data Core CPI'!$B:$AY,MATCH($F$1,'Data Core CPI'!$B$1:$AY$1,),))/VLOOKUP(EDATE(B116,-12),'Data Core CPI'!$B:$AY,MATCH($F$1,'Data Core CPI'!$B$1:$AY$1,),)</f>
        <v>5.0137541078869559E-3</v>
      </c>
      <c r="G116" s="21">
        <f>(VLOOKUP(B116,'Data Core CPI'!$B:$AY,MATCH($G$1,'Data Core CPI'!$B$1:$AY$1,),)-VLOOKUP(EDATE(B116,-12),'Data Core CPI'!$B:$AY,MATCH($G$1,'Data Core CPI'!$B$1:$AY$1,),))/VLOOKUP(EDATE(B116,-12),'Data Core CPI'!$B:$AY,MATCH($G$1,'Data Core CPI'!$B$1:$AY$1,),)</f>
        <v>1.5899643110154536E-2</v>
      </c>
      <c r="H116" s="21">
        <f>(VLOOKUP(B116,'Data Core CPI'!$B:$AY,MATCH($H$1,'Data Core CPI'!$B$1:$AY$1,),)-VLOOKUP(EDATE(B116,-12),'Data Core CPI'!$B:$AY,MATCH($H$1,'Data Core CPI'!$B$1:$AY$1,),))/VLOOKUP(EDATE(B116,-12),'Data Core CPI'!$B:$AY,MATCH($H$1,'Data Core CPI'!$B$1:$AY$1,),)</f>
        <v>8.4195933728009875E-3</v>
      </c>
      <c r="I116" s="21">
        <f>(VLOOKUP(B116,'Data Core CPI'!$B:$AY,MATCH($I$1,'Data Core CPI'!$B$1:$AY$1,),)-VLOOKUP(EDATE(B116,-12),'Data Core CPI'!$B:$AY,MATCH($I$1,'Data Core CPI'!$B$1:$AY$1,),))/VLOOKUP(EDATE(B116,-12),'Data Core CPI'!$B:$AY,MATCH($I$1,'Data Core CPI'!$B$1:$AY$1,),)</f>
        <v>1.6885553470919433E-2</v>
      </c>
      <c r="J116" s="21">
        <f>(VLOOKUP(B116,'Data Core CPI'!$B:$AY,MATCH($J$1,'Data Core CPI'!$B$1:$AY$1,),)-VLOOKUP(EDATE(B116,-12),'Data Core CPI'!$B:$AY,MATCH($J$1,'Data Core CPI'!$B$1:$AY$1,),))/VLOOKUP(EDATE(B116,-12),'Data Core CPI'!$B:$AY,MATCH($J$1,'Data Core CPI'!$B$1:$AY$1,),)</f>
        <v>6.9237755611560124E-3</v>
      </c>
      <c r="K116" s="21">
        <f>(VLOOKUP(B116,'Data Core CPI'!$B:$AY,MATCH($K$1,'Data Core CPI'!$B$1:$AY$1,),)-VLOOKUP(EDATE(B116,-12),'Data Core CPI'!$B:$AY,MATCH($K$1,'Data Core CPI'!$B$1:$AY$1,),))/VLOOKUP(EDATE(B116,-12),'Data Core CPI'!$B:$AY,MATCH($K$1,'Data Core CPI'!$B$1:$AY$1,),)</f>
        <v>1.0546302522873086E-2</v>
      </c>
      <c r="L116" s="21">
        <f>(VLOOKUP(B116,'Data Core CPI'!$B:$AY,MATCH($L$1,'Data Core CPI'!$B$1:$AY$1,),)-VLOOKUP(EDATE(B116,-12),'Data Core CPI'!$B:$AY,MATCH($L$1,'Data Core CPI'!$B$1:$AY$1,),))/VLOOKUP(EDATE(B116,-12),'Data Core CPI'!$B:$AY,MATCH($L$1,'Data Core CPI'!$B$1:$AY$1,),)</f>
        <v>1.6475903846301893E-2</v>
      </c>
      <c r="M116" s="21">
        <f>(VLOOKUP(B116,'Data Core CPI'!$B:$AY,MATCH($M$1,'Data Core CPI'!$B$1:$AY$1,),)-VLOOKUP(EDATE(B116,-12),'Data Core CPI'!$B:$AY,MATCH($M$1,'Data Core CPI'!$B$1:$AY$1,),))/VLOOKUP(EDATE(B116,-12),'Data Core CPI'!$B:$AY,MATCH($M$1,'Data Core CPI'!$B$1:$AY$1,),)</f>
        <v>3.5467887327454373E-2</v>
      </c>
      <c r="N116" s="21" t="e">
        <f>(VLOOKUP(B116,'Data Core CPI'!$B:$AY,MATCH($N$1,'Data Core CPI'!$B$1:$AY$1,),)-VLOOKUP(EDATE(B116,-12),'Data Core CPI'!$B:$AY,MATCH($N$1,'Data Core CPI'!$B$1:$AY$1,),))/VLOOKUP(EDATE(B116,-12),'Data Core CPI'!$B:$AY,MATCH($N$1,'Data Core CPI'!$B$1:$AY$1,),)</f>
        <v>#DIV/0!</v>
      </c>
      <c r="O116" s="21" t="e">
        <f>(VLOOKUP(B116,'Data Core CPI'!$B:$AY,MATCH($O$1,'Data Core CPI'!$B$1:$AY$1,),)-VLOOKUP(EDATE(B116,-12),'Data Core CPI'!$B:$AY,MATCH($O$1,'Data Core CPI'!$B$1:$AY$1,),))/VLOOKUP(EDATE(B116,-12),'Data Core CPI'!$B:$AY,MATCH($O$1,'Data Core CPI'!$B$1:$AY$1,),)</f>
        <v>#DIV/0!</v>
      </c>
      <c r="P116" s="21">
        <f>(VLOOKUP(B116,'Data Core CPI'!$B:$AY,MATCH($P$1,'Data Core CPI'!$B$1:$AY$1,),)-VLOOKUP(EDATE(B116,-12),'Data Core CPI'!$B:$AY,MATCH($P$1,'Data Core CPI'!$B$1:$AY$1,),))/VLOOKUP(EDATE(B116,-12),'Data Core CPI'!$B:$AY,MATCH($P$1,'Data Core CPI'!$B$1:$AY$1,),)</f>
        <v>2.1903100481210885E-2</v>
      </c>
      <c r="Q116" s="21" t="e">
        <f>(VLOOKUP(B116,'Data Core CPI'!$B:$AY,MATCH($Q$1,'Data Core CPI'!$B$1:$AY$1,),)-VLOOKUP(EDATE(B116,-12),'Data Core CPI'!$B:$AY,MATCH($Q$1,'Data Core CPI'!$B$1:$AY$1,),))/VLOOKUP(EDATE(B116,-12),'Data Core CPI'!$B:$AY,MATCH($Q$1,'Data Core CPI'!$B$1:$AY$1,),)</f>
        <v>#N/A</v>
      </c>
      <c r="R116" s="21">
        <f>(VLOOKUP(B116,'Data Core CPI'!$B:$AY,MATCH($R$1,'Data Core CPI'!$B$1:$AY$1,),)-VLOOKUP(EDATE(B116,-12),'Data Core CPI'!$B:$AY,MATCH($R$1,'Data Core CPI'!$B$1:$AY$1,),))/VLOOKUP(EDATE(B116,-12),'Data Core CPI'!$B:$AY,MATCH($R$1,'Data Core CPI'!$B$1:$AY$1,),)</f>
        <v>2.1314677346581496E-3</v>
      </c>
      <c r="S116" s="21" t="e">
        <f>(VLOOKUP(B116,'Data Core CPI'!$B:$AY,MATCH($S$1,'Data Core CPI'!$B$1:$AY$1,),)-VLOOKUP(EDATE(B116,-12),'Data Core CPI'!$B:$AY,MATCH($S$1,'Data Core CPI'!$B$1:$AY$1,),))/VLOOKUP(EDATE(B116,-12),'Data Core CPI'!$B:$AY,MATCH($S$1,'Data Core CPI'!$B$1:$AY$1,),)</f>
        <v>#DIV/0!</v>
      </c>
      <c r="T116" s="21" t="e">
        <f>(VLOOKUP(B116,'Data Core CPI'!$B:$AY,MATCH($T$1,'Data Core CPI'!$B$1:$AY$1,),)-VLOOKUP(EDATE(B116,-12),'Data Core CPI'!$B:$AY,MATCH($T$1,'Data Core CPI'!$B$1:$AY$1,),))/VLOOKUP(EDATE(B116,-12),'Data Core CPI'!$B:$AY,MATCH($T$1,'Data Core CPI'!$B$1:$AY$1,),)</f>
        <v>#DIV/0!</v>
      </c>
      <c r="U116" s="21">
        <f>(VLOOKUP(B116,'Data Core CPI'!$B:$AY,MATCH($U$1,'Data Core CPI'!$B$1:$AY$1,),)-VLOOKUP(EDATE(B116,-12),'Data Core CPI'!$B:$AY,MATCH($U$1,'Data Core CPI'!$B$1:$AY$1,),))/VLOOKUP(EDATE(B116,-12),'Data Core CPI'!$B:$AY,MATCH($U$1,'Data Core CPI'!$B$1:$AY$1,),)</f>
        <v>3.5344012747994778E-3</v>
      </c>
      <c r="V116" s="21">
        <f>(VLOOKUP(B116,'Data Core CPI'!$B:$AY,MATCH($V$1,'Data Core CPI'!$B$1:$AY$1,),)-VLOOKUP(EDATE(B116,-12),'Data Core CPI'!$B:$AY,MATCH($V$1,'Data Core CPI'!$B$1:$AY$1,),))/VLOOKUP(EDATE(B116,-12),'Data Core CPI'!$B:$AY,MATCH($V$1,'Data Core CPI'!$B$1:$AY$1,),)</f>
        <v>1.1513072072382469E-2</v>
      </c>
      <c r="W116" s="21">
        <f>(VLOOKUP(B116,'Data Core CPI'!$B:$AY,MATCH($W$1,'Data Core CPI'!$B$1:$AY$1,),)-VLOOKUP(EDATE(B116,-12),'Data Core CPI'!$B:$AY,MATCH($W$1,'Data Core CPI'!$B$1:$AY$1,),))/VLOOKUP(EDATE(B116,-12),'Data Core CPI'!$B:$AY,MATCH($W$1,'Data Core CPI'!$B$1:$AY$1,),)</f>
        <v>8.8132524514158594E-2</v>
      </c>
      <c r="X116" s="21">
        <f>(VLOOKUP(B116,'Data Core CPI'!$B:$AY,MATCH($X$1,'Data Core CPI'!$B$1:$AY$1,),)-VLOOKUP(EDATE(B116,-12),'Data Core CPI'!$B:$AY,MATCH($X$1,'Data Core CPI'!$B$1:$AY$1,),))/VLOOKUP(EDATE(B116,-12),'Data Core CPI'!$B:$AY,MATCH($X$1,'Data Core CPI'!$B$1:$AY$1,),)</f>
        <v>2.5280898876404521E-2</v>
      </c>
      <c r="Y116" s="21">
        <f>(VLOOKUP(B116,'Data Core CPI'!$B:$AY,MATCH($Y$1,'Data Core CPI'!$B$1:$AY$1,),)-VLOOKUP(EDATE(B116,-12),'Data Core CPI'!$B:$AY,MATCH($Y$1,'Data Core CPI'!$B$1:$AY$1,),))/VLOOKUP(EDATE(B116,-12),'Data Core CPI'!$B:$AY,MATCH($Y$1,'Data Core CPI'!$B$1:$AY$1,),)</f>
        <v>2.3951565530290771E-2</v>
      </c>
    </row>
    <row r="117" spans="2:25" s="3" customFormat="1" x14ac:dyDescent="0.2">
      <c r="B117" s="16">
        <v>43770</v>
      </c>
      <c r="C117" s="21">
        <f>(VLOOKUP(B117,'Data Core CPI'!$B:$AY,MATCH($C$1,'Data Core CPI'!$B$1:$AY$1,),)-VLOOKUP(EDATE(B117,-12),'Data Core CPI'!$B:$AY,MATCH($C$1,'Data Core CPI'!$B$1:$AY$1,),))/VLOOKUP(EDATE(B117,-12),'Data Core CPI'!$B:$AY,MATCH($C$1,'Data Core CPI'!$B$1:$AY$1,),)</f>
        <v>2.3168647484274357E-2</v>
      </c>
      <c r="D117" s="21" t="e">
        <f>(VLOOKUP(B117,'Data Core CPI'!$B:$AY,MATCH($D$1,'Data Core CPI'!$B$1:$AY$1,),)-VLOOKUP(EDATE(B117,-12),'Data Core CPI'!$B:$AY,MATCH($D$1,'Data Core CPI'!$B$1:$AY$1,),))/VLOOKUP(EDATE(B117,-12),'Data Core CPI'!$B:$AY,MATCH($D$1,'Data Core CPI'!$B$1:$AY$1,),)</f>
        <v>#DIV/0!</v>
      </c>
      <c r="E117" s="21">
        <f>(VLOOKUP(B117,'Data Core CPI'!$B:$AY,MATCH($E$1,'Data Core CPI'!$B$1:$AY$1,),)-VLOOKUP(EDATE(B117,-12),'Data Core CPI'!$B:$AY,MATCH($E$1,'Data Core CPI'!$B$1:$AY$1,),))/VLOOKUP(EDATE(B117,-12),'Data Core CPI'!$B:$AY,MATCH($E$1,'Data Core CPI'!$B$1:$AY$1,),)</f>
        <v>1.3116984065293377E-2</v>
      </c>
      <c r="F117" s="21">
        <f>(VLOOKUP(B117,'Data Core CPI'!$B:$AY,MATCH($F$1,'Data Core CPI'!$B$1:$AY$1,),)-VLOOKUP(EDATE(B117,-12),'Data Core CPI'!$B:$AY,MATCH($F$1,'Data Core CPI'!$B$1:$AY$1,),))/VLOOKUP(EDATE(B117,-12),'Data Core CPI'!$B:$AY,MATCH($F$1,'Data Core CPI'!$B$1:$AY$1,),)</f>
        <v>6.543265583394943E-3</v>
      </c>
      <c r="G117" s="21">
        <f>(VLOOKUP(B117,'Data Core CPI'!$B:$AY,MATCH($G$1,'Data Core CPI'!$B$1:$AY$1,),)-VLOOKUP(EDATE(B117,-12),'Data Core CPI'!$B:$AY,MATCH($G$1,'Data Core CPI'!$B$1:$AY$1,),))/VLOOKUP(EDATE(B117,-12),'Data Core CPI'!$B:$AY,MATCH($G$1,'Data Core CPI'!$B$1:$AY$1,),)</f>
        <v>1.6274531178702433E-2</v>
      </c>
      <c r="H117" s="21">
        <f>(VLOOKUP(B117,'Data Core CPI'!$B:$AY,MATCH($H$1,'Data Core CPI'!$B$1:$AY$1,),)-VLOOKUP(EDATE(B117,-12),'Data Core CPI'!$B:$AY,MATCH($H$1,'Data Core CPI'!$B$1:$AY$1,),))/VLOOKUP(EDATE(B117,-12),'Data Core CPI'!$B:$AY,MATCH($H$1,'Data Core CPI'!$B$1:$AY$1,),)</f>
        <v>9.9975685034923382E-3</v>
      </c>
      <c r="I117" s="21">
        <f>(VLOOKUP(B117,'Data Core CPI'!$B:$AY,MATCH($I$1,'Data Core CPI'!$B$1:$AY$1,),)-VLOOKUP(EDATE(B117,-12),'Data Core CPI'!$B:$AY,MATCH($I$1,'Data Core CPI'!$B$1:$AY$1,),))/VLOOKUP(EDATE(B117,-12),'Data Core CPI'!$B:$AY,MATCH($I$1,'Data Core CPI'!$B$1:$AY$1,),)</f>
        <v>1.6853932584269638E-2</v>
      </c>
      <c r="J117" s="21">
        <f>(VLOOKUP(B117,'Data Core CPI'!$B:$AY,MATCH($J$1,'Data Core CPI'!$B$1:$AY$1,),)-VLOOKUP(EDATE(B117,-12),'Data Core CPI'!$B:$AY,MATCH($J$1,'Data Core CPI'!$B$1:$AY$1,),))/VLOOKUP(EDATE(B117,-12),'Data Core CPI'!$B:$AY,MATCH($J$1,'Data Core CPI'!$B$1:$AY$1,),)</f>
        <v>6.8903812842053911E-3</v>
      </c>
      <c r="K117" s="21">
        <f>(VLOOKUP(B117,'Data Core CPI'!$B:$AY,MATCH($K$1,'Data Core CPI'!$B$1:$AY$1,),)-VLOOKUP(EDATE(B117,-12),'Data Core CPI'!$B:$AY,MATCH($K$1,'Data Core CPI'!$B$1:$AY$1,),))/VLOOKUP(EDATE(B117,-12),'Data Core CPI'!$B:$AY,MATCH($K$1,'Data Core CPI'!$B$1:$AY$1,),)</f>
        <v>1.0694503334881356E-2</v>
      </c>
      <c r="L117" s="21">
        <f>(VLOOKUP(B117,'Data Core CPI'!$B:$AY,MATCH($L$1,'Data Core CPI'!$B$1:$AY$1,),)-VLOOKUP(EDATE(B117,-12),'Data Core CPI'!$B:$AY,MATCH($L$1,'Data Core CPI'!$B$1:$AY$1,),))/VLOOKUP(EDATE(B117,-12),'Data Core CPI'!$B:$AY,MATCH($L$1,'Data Core CPI'!$B$1:$AY$1,),)</f>
        <v>1.6529403321101834E-2</v>
      </c>
      <c r="M117" s="21">
        <f>(VLOOKUP(B117,'Data Core CPI'!$B:$AY,MATCH($M$1,'Data Core CPI'!$B$1:$AY$1,),)-VLOOKUP(EDATE(B117,-12),'Data Core CPI'!$B:$AY,MATCH($M$1,'Data Core CPI'!$B$1:$AY$1,),))/VLOOKUP(EDATE(B117,-12),'Data Core CPI'!$B:$AY,MATCH($M$1,'Data Core CPI'!$B$1:$AY$1,),)</f>
        <v>3.5591782343142662E-2</v>
      </c>
      <c r="N117" s="21" t="e">
        <f>(VLOOKUP(B117,'Data Core CPI'!$B:$AY,MATCH($N$1,'Data Core CPI'!$B$1:$AY$1,),)-VLOOKUP(EDATE(B117,-12),'Data Core CPI'!$B:$AY,MATCH($N$1,'Data Core CPI'!$B$1:$AY$1,),))/VLOOKUP(EDATE(B117,-12),'Data Core CPI'!$B:$AY,MATCH($N$1,'Data Core CPI'!$B$1:$AY$1,),)</f>
        <v>#DIV/0!</v>
      </c>
      <c r="O117" s="21" t="e">
        <f>(VLOOKUP(B117,'Data Core CPI'!$B:$AY,MATCH($O$1,'Data Core CPI'!$B$1:$AY$1,),)-VLOOKUP(EDATE(B117,-12),'Data Core CPI'!$B:$AY,MATCH($O$1,'Data Core CPI'!$B$1:$AY$1,),))/VLOOKUP(EDATE(B117,-12),'Data Core CPI'!$B:$AY,MATCH($O$1,'Data Core CPI'!$B$1:$AY$1,),)</f>
        <v>#DIV/0!</v>
      </c>
      <c r="P117" s="21">
        <f>(VLOOKUP(B117,'Data Core CPI'!$B:$AY,MATCH($P$1,'Data Core CPI'!$B$1:$AY$1,),)-VLOOKUP(EDATE(B117,-12),'Data Core CPI'!$B:$AY,MATCH($P$1,'Data Core CPI'!$B$1:$AY$1,),))/VLOOKUP(EDATE(B117,-12),'Data Core CPI'!$B:$AY,MATCH($P$1,'Data Core CPI'!$B$1:$AY$1,),)</f>
        <v>2.1241445082852688E-2</v>
      </c>
      <c r="Q117" s="21" t="e">
        <f>(VLOOKUP(B117,'Data Core CPI'!$B:$AY,MATCH($Q$1,'Data Core CPI'!$B$1:$AY$1,),)-VLOOKUP(EDATE(B117,-12),'Data Core CPI'!$B:$AY,MATCH($Q$1,'Data Core CPI'!$B$1:$AY$1,),))/VLOOKUP(EDATE(B117,-12),'Data Core CPI'!$B:$AY,MATCH($Q$1,'Data Core CPI'!$B$1:$AY$1,),)</f>
        <v>#N/A</v>
      </c>
      <c r="R117" s="21">
        <f>(VLOOKUP(B117,'Data Core CPI'!$B:$AY,MATCH($R$1,'Data Core CPI'!$B$1:$AY$1,),)-VLOOKUP(EDATE(B117,-12),'Data Core CPI'!$B:$AY,MATCH($R$1,'Data Core CPI'!$B$1:$AY$1,),))/VLOOKUP(EDATE(B117,-12),'Data Core CPI'!$B:$AY,MATCH($R$1,'Data Core CPI'!$B$1:$AY$1,),)</f>
        <v>4.2990286492062026E-3</v>
      </c>
      <c r="S117" s="21" t="e">
        <f>(VLOOKUP(B117,'Data Core CPI'!$B:$AY,MATCH($S$1,'Data Core CPI'!$B$1:$AY$1,),)-VLOOKUP(EDATE(B117,-12),'Data Core CPI'!$B:$AY,MATCH($S$1,'Data Core CPI'!$B$1:$AY$1,),))/VLOOKUP(EDATE(B117,-12),'Data Core CPI'!$B:$AY,MATCH($S$1,'Data Core CPI'!$B$1:$AY$1,),)</f>
        <v>#DIV/0!</v>
      </c>
      <c r="T117" s="21" t="e">
        <f>(VLOOKUP(B117,'Data Core CPI'!$B:$AY,MATCH($T$1,'Data Core CPI'!$B$1:$AY$1,),)-VLOOKUP(EDATE(B117,-12),'Data Core CPI'!$B:$AY,MATCH($T$1,'Data Core CPI'!$B$1:$AY$1,),))/VLOOKUP(EDATE(B117,-12),'Data Core CPI'!$B:$AY,MATCH($T$1,'Data Core CPI'!$B$1:$AY$1,),)</f>
        <v>#DIV/0!</v>
      </c>
      <c r="U117" s="21">
        <f>(VLOOKUP(B117,'Data Core CPI'!$B:$AY,MATCH($U$1,'Data Core CPI'!$B$1:$AY$1,),)-VLOOKUP(EDATE(B117,-12),'Data Core CPI'!$B:$AY,MATCH($U$1,'Data Core CPI'!$B$1:$AY$1,),))/VLOOKUP(EDATE(B117,-12),'Data Core CPI'!$B:$AY,MATCH($U$1,'Data Core CPI'!$B$1:$AY$1,),)</f>
        <v>9.6111370707977518E-3</v>
      </c>
      <c r="V117" s="21">
        <f>(VLOOKUP(B117,'Data Core CPI'!$B:$AY,MATCH($V$1,'Data Core CPI'!$B$1:$AY$1,),)-VLOOKUP(EDATE(B117,-12),'Data Core CPI'!$B:$AY,MATCH($V$1,'Data Core CPI'!$B$1:$AY$1,),))/VLOOKUP(EDATE(B117,-12),'Data Core CPI'!$B:$AY,MATCH($V$1,'Data Core CPI'!$B$1:$AY$1,),)</f>
        <v>1.6437946726365421E-2</v>
      </c>
      <c r="W117" s="21">
        <f>(VLOOKUP(B117,'Data Core CPI'!$B:$AY,MATCH($W$1,'Data Core CPI'!$B$1:$AY$1,),)-VLOOKUP(EDATE(B117,-12),'Data Core CPI'!$B:$AY,MATCH($W$1,'Data Core CPI'!$B$1:$AY$1,),))/VLOOKUP(EDATE(B117,-12),'Data Core CPI'!$B:$AY,MATCH($W$1,'Data Core CPI'!$B$1:$AY$1,),)</f>
        <v>0.11213677048486255</v>
      </c>
      <c r="X117" s="21">
        <f>(VLOOKUP(B117,'Data Core CPI'!$B:$AY,MATCH($X$1,'Data Core CPI'!$B$1:$AY$1,),)-VLOOKUP(EDATE(B117,-12),'Data Core CPI'!$B:$AY,MATCH($X$1,'Data Core CPI'!$B$1:$AY$1,),))/VLOOKUP(EDATE(B117,-12),'Data Core CPI'!$B:$AY,MATCH($X$1,'Data Core CPI'!$B$1:$AY$1,),)</f>
        <v>2.4321796071094425E-2</v>
      </c>
      <c r="Y117" s="21">
        <f>(VLOOKUP(B117,'Data Core CPI'!$B:$AY,MATCH($Y$1,'Data Core CPI'!$B$1:$AY$1,),)-VLOOKUP(EDATE(B117,-12),'Data Core CPI'!$B:$AY,MATCH($Y$1,'Data Core CPI'!$B$1:$AY$1,),))/VLOOKUP(EDATE(B117,-12),'Data Core CPI'!$B:$AY,MATCH($Y$1,'Data Core CPI'!$B$1:$AY$1,),)</f>
        <v>2.4828865772268206E-2</v>
      </c>
    </row>
    <row r="118" spans="2:25" s="3" customFormat="1" x14ac:dyDescent="0.2">
      <c r="B118" s="16">
        <v>43800</v>
      </c>
      <c r="C118" s="21">
        <f>(VLOOKUP(B118,'Data Core CPI'!$B:$AY,MATCH($C$1,'Data Core CPI'!$B$1:$AY$1,),)-VLOOKUP(EDATE(B118,-12),'Data Core CPI'!$B:$AY,MATCH($C$1,'Data Core CPI'!$B$1:$AY$1,),))/VLOOKUP(EDATE(B118,-12),'Data Core CPI'!$B:$AY,MATCH($C$1,'Data Core CPI'!$B$1:$AY$1,),)</f>
        <v>2.2588104171945515E-2</v>
      </c>
      <c r="D118" s="21" t="e">
        <f>(VLOOKUP(B118,'Data Core CPI'!$B:$AY,MATCH($D$1,'Data Core CPI'!$B$1:$AY$1,),)-VLOOKUP(EDATE(B118,-12),'Data Core CPI'!$B:$AY,MATCH($D$1,'Data Core CPI'!$B$1:$AY$1,),))/VLOOKUP(EDATE(B118,-12),'Data Core CPI'!$B:$AY,MATCH($D$1,'Data Core CPI'!$B$1:$AY$1,),)</f>
        <v>#DIV/0!</v>
      </c>
      <c r="E118" s="21">
        <f>(VLOOKUP(B118,'Data Core CPI'!$B:$AY,MATCH($E$1,'Data Core CPI'!$B$1:$AY$1,),)-VLOOKUP(EDATE(B118,-12),'Data Core CPI'!$B:$AY,MATCH($E$1,'Data Core CPI'!$B$1:$AY$1,),))/VLOOKUP(EDATE(B118,-12),'Data Core CPI'!$B:$AY,MATCH($E$1,'Data Core CPI'!$B$1:$AY$1,),)</f>
        <v>1.2965650701499791E-2</v>
      </c>
      <c r="F118" s="21">
        <f>(VLOOKUP(B118,'Data Core CPI'!$B:$AY,MATCH($F$1,'Data Core CPI'!$B$1:$AY$1,),)-VLOOKUP(EDATE(B118,-12),'Data Core CPI'!$B:$AY,MATCH($F$1,'Data Core CPI'!$B$1:$AY$1,),))/VLOOKUP(EDATE(B118,-12),'Data Core CPI'!$B:$AY,MATCH($F$1,'Data Core CPI'!$B$1:$AY$1,),)</f>
        <v>7.1053983963744868E-3</v>
      </c>
      <c r="G118" s="21">
        <f>(VLOOKUP(B118,'Data Core CPI'!$B:$AY,MATCH($G$1,'Data Core CPI'!$B$1:$AY$1,),)-VLOOKUP(EDATE(B118,-12),'Data Core CPI'!$B:$AY,MATCH($G$1,'Data Core CPI'!$B$1:$AY$1,),))/VLOOKUP(EDATE(B118,-12),'Data Core CPI'!$B:$AY,MATCH($G$1,'Data Core CPI'!$B$1:$AY$1,),)</f>
        <v>1.6990321555540411E-2</v>
      </c>
      <c r="H118" s="21">
        <f>(VLOOKUP(B118,'Data Core CPI'!$B:$AY,MATCH($H$1,'Data Core CPI'!$B$1:$AY$1,),)-VLOOKUP(EDATE(B118,-12),'Data Core CPI'!$B:$AY,MATCH($H$1,'Data Core CPI'!$B$1:$AY$1,),))/VLOOKUP(EDATE(B118,-12),'Data Core CPI'!$B:$AY,MATCH($H$1,'Data Core CPI'!$B$1:$AY$1,),)</f>
        <v>1.1877614376846087E-2</v>
      </c>
      <c r="I118" s="21">
        <f>(VLOOKUP(B118,'Data Core CPI'!$B:$AY,MATCH($I$1,'Data Core CPI'!$B$1:$AY$1,),)-VLOOKUP(EDATE(B118,-12),'Data Core CPI'!$B:$AY,MATCH($I$1,'Data Core CPI'!$B$1:$AY$1,),))/VLOOKUP(EDATE(B118,-12),'Data Core CPI'!$B:$AY,MATCH($I$1,'Data Core CPI'!$B$1:$AY$1,),)</f>
        <v>1.4005602240896359E-2</v>
      </c>
      <c r="J118" s="21">
        <f>(VLOOKUP(B118,'Data Core CPI'!$B:$AY,MATCH($J$1,'Data Core CPI'!$B$1:$AY$1,),)-VLOOKUP(EDATE(B118,-12),'Data Core CPI'!$B:$AY,MATCH($J$1,'Data Core CPI'!$B$1:$AY$1,),))/VLOOKUP(EDATE(B118,-12),'Data Core CPI'!$B:$AY,MATCH($J$1,'Data Core CPI'!$B$1:$AY$1,),)</f>
        <v>7.6361892135995814E-3</v>
      </c>
      <c r="K118" s="21">
        <f>(VLOOKUP(B118,'Data Core CPI'!$B:$AY,MATCH($K$1,'Data Core CPI'!$B$1:$AY$1,),)-VLOOKUP(EDATE(B118,-12),'Data Core CPI'!$B:$AY,MATCH($K$1,'Data Core CPI'!$B$1:$AY$1,),))/VLOOKUP(EDATE(B118,-12),'Data Core CPI'!$B:$AY,MATCH($K$1,'Data Core CPI'!$B$1:$AY$1,),)</f>
        <v>1.077479769630323E-2</v>
      </c>
      <c r="L118" s="21">
        <f>(VLOOKUP(B118,'Data Core CPI'!$B:$AY,MATCH($L$1,'Data Core CPI'!$B$1:$AY$1,),)-VLOOKUP(EDATE(B118,-12),'Data Core CPI'!$B:$AY,MATCH($L$1,'Data Core CPI'!$B$1:$AY$1,),))/VLOOKUP(EDATE(B118,-12),'Data Core CPI'!$B:$AY,MATCH($L$1,'Data Core CPI'!$B$1:$AY$1,),)</f>
        <v>1.7108335871662144E-2</v>
      </c>
      <c r="M118" s="21">
        <f>(VLOOKUP(B118,'Data Core CPI'!$B:$AY,MATCH($M$1,'Data Core CPI'!$B$1:$AY$1,),)-VLOOKUP(EDATE(B118,-12),'Data Core CPI'!$B:$AY,MATCH($M$1,'Data Core CPI'!$B$1:$AY$1,),))/VLOOKUP(EDATE(B118,-12),'Data Core CPI'!$B:$AY,MATCH($M$1,'Data Core CPI'!$B$1:$AY$1,),)</f>
        <v>3.518199949585854E-2</v>
      </c>
      <c r="N118" s="21" t="e">
        <f>(VLOOKUP(B118,'Data Core CPI'!$B:$AY,MATCH($N$1,'Data Core CPI'!$B$1:$AY$1,),)-VLOOKUP(EDATE(B118,-12),'Data Core CPI'!$B:$AY,MATCH($N$1,'Data Core CPI'!$B$1:$AY$1,),))/VLOOKUP(EDATE(B118,-12),'Data Core CPI'!$B:$AY,MATCH($N$1,'Data Core CPI'!$B$1:$AY$1,),)</f>
        <v>#DIV/0!</v>
      </c>
      <c r="O118" s="21" t="e">
        <f>(VLOOKUP(B118,'Data Core CPI'!$B:$AY,MATCH($O$1,'Data Core CPI'!$B$1:$AY$1,),)-VLOOKUP(EDATE(B118,-12),'Data Core CPI'!$B:$AY,MATCH($O$1,'Data Core CPI'!$B$1:$AY$1,),))/VLOOKUP(EDATE(B118,-12),'Data Core CPI'!$B:$AY,MATCH($O$1,'Data Core CPI'!$B$1:$AY$1,),)</f>
        <v>#DIV/0!</v>
      </c>
      <c r="P118" s="21">
        <f>(VLOOKUP(B118,'Data Core CPI'!$B:$AY,MATCH($P$1,'Data Core CPI'!$B$1:$AY$1,),)-VLOOKUP(EDATE(B118,-12),'Data Core CPI'!$B:$AY,MATCH($P$1,'Data Core CPI'!$B$1:$AY$1,),))/VLOOKUP(EDATE(B118,-12),'Data Core CPI'!$B:$AY,MATCH($P$1,'Data Core CPI'!$B$1:$AY$1,),)</f>
        <v>1.9166404010386169E-2</v>
      </c>
      <c r="Q118" s="21" t="e">
        <f>(VLOOKUP(B118,'Data Core CPI'!$B:$AY,MATCH($Q$1,'Data Core CPI'!$B$1:$AY$1,),)-VLOOKUP(EDATE(B118,-12),'Data Core CPI'!$B:$AY,MATCH($Q$1,'Data Core CPI'!$B$1:$AY$1,),))/VLOOKUP(EDATE(B118,-12),'Data Core CPI'!$B:$AY,MATCH($Q$1,'Data Core CPI'!$B$1:$AY$1,),)</f>
        <v>#N/A</v>
      </c>
      <c r="R118" s="21">
        <f>(VLOOKUP(B118,'Data Core CPI'!$B:$AY,MATCH($R$1,'Data Core CPI'!$B$1:$AY$1,),)-VLOOKUP(EDATE(B118,-12),'Data Core CPI'!$B:$AY,MATCH($R$1,'Data Core CPI'!$B$1:$AY$1,),))/VLOOKUP(EDATE(B118,-12),'Data Core CPI'!$B:$AY,MATCH($R$1,'Data Core CPI'!$B$1:$AY$1,),)</f>
        <v>3.665199855147825E-3</v>
      </c>
      <c r="S118" s="21" t="e">
        <f>(VLOOKUP(B118,'Data Core CPI'!$B:$AY,MATCH($S$1,'Data Core CPI'!$B$1:$AY$1,),)-VLOOKUP(EDATE(B118,-12),'Data Core CPI'!$B:$AY,MATCH($S$1,'Data Core CPI'!$B$1:$AY$1,),))/VLOOKUP(EDATE(B118,-12),'Data Core CPI'!$B:$AY,MATCH($S$1,'Data Core CPI'!$B$1:$AY$1,),)</f>
        <v>#DIV/0!</v>
      </c>
      <c r="T118" s="21" t="e">
        <f>(VLOOKUP(B118,'Data Core CPI'!$B:$AY,MATCH($T$1,'Data Core CPI'!$B$1:$AY$1,),)-VLOOKUP(EDATE(B118,-12),'Data Core CPI'!$B:$AY,MATCH($T$1,'Data Core CPI'!$B$1:$AY$1,),))/VLOOKUP(EDATE(B118,-12),'Data Core CPI'!$B:$AY,MATCH($T$1,'Data Core CPI'!$B$1:$AY$1,),)</f>
        <v>#DIV/0!</v>
      </c>
      <c r="U118" s="21">
        <f>(VLOOKUP(B118,'Data Core CPI'!$B:$AY,MATCH($U$1,'Data Core CPI'!$B$1:$AY$1,),)-VLOOKUP(EDATE(B118,-12),'Data Core CPI'!$B:$AY,MATCH($U$1,'Data Core CPI'!$B$1:$AY$1,),))/VLOOKUP(EDATE(B118,-12),'Data Core CPI'!$B:$AY,MATCH($U$1,'Data Core CPI'!$B$1:$AY$1,),)</f>
        <v>6.4052553903031053E-3</v>
      </c>
      <c r="V118" s="21">
        <f>(VLOOKUP(B118,'Data Core CPI'!$B:$AY,MATCH($V$1,'Data Core CPI'!$B$1:$AY$1,),)-VLOOKUP(EDATE(B118,-12),'Data Core CPI'!$B:$AY,MATCH($V$1,'Data Core CPI'!$B$1:$AY$1,),))/VLOOKUP(EDATE(B118,-12),'Data Core CPI'!$B:$AY,MATCH($V$1,'Data Core CPI'!$B$1:$AY$1,),)</f>
        <v>1.5799282191802457E-2</v>
      </c>
      <c r="W118" s="21">
        <f>(VLOOKUP(B118,'Data Core CPI'!$B:$AY,MATCH($W$1,'Data Core CPI'!$B$1:$AY$1,),)-VLOOKUP(EDATE(B118,-12),'Data Core CPI'!$B:$AY,MATCH($W$1,'Data Core CPI'!$B$1:$AY$1,),))/VLOOKUP(EDATE(B118,-12),'Data Core CPI'!$B:$AY,MATCH($W$1,'Data Core CPI'!$B$1:$AY$1,),)</f>
        <v>0.11725710211779984</v>
      </c>
      <c r="X118" s="21">
        <f>(VLOOKUP(B118,'Data Core CPI'!$B:$AY,MATCH($X$1,'Data Core CPI'!$B$1:$AY$1,),)-VLOOKUP(EDATE(B118,-12),'Data Core CPI'!$B:$AY,MATCH($X$1,'Data Core CPI'!$B$1:$AY$1,),))/VLOOKUP(EDATE(B118,-12),'Data Core CPI'!$B:$AY,MATCH($X$1,'Data Core CPI'!$B$1:$AY$1,),)</f>
        <v>2.5280898876404521E-2</v>
      </c>
      <c r="Y118" s="21">
        <f>(VLOOKUP(B118,'Data Core CPI'!$B:$AY,MATCH($Y$1,'Data Core CPI'!$B$1:$AY$1,),)-VLOOKUP(EDATE(B118,-12),'Data Core CPI'!$B:$AY,MATCH($Y$1,'Data Core CPI'!$B$1:$AY$1,),))/VLOOKUP(EDATE(B118,-12),'Data Core CPI'!$B:$AY,MATCH($Y$1,'Data Core CPI'!$B$1:$AY$1,),)</f>
        <v>3.0822379856435378E-2</v>
      </c>
    </row>
    <row r="119" spans="2:25" s="3" customFormat="1" x14ac:dyDescent="0.2">
      <c r="B119" s="16">
        <v>43831</v>
      </c>
      <c r="C119" s="21">
        <f>(VLOOKUP(B119,'Data Core CPI'!$B:$AY,MATCH($C$1,'Data Core CPI'!$B$1:$AY$1,),)-VLOOKUP(EDATE(B119,-12),'Data Core CPI'!$B:$AY,MATCH($C$1,'Data Core CPI'!$B$1:$AY$1,),))/VLOOKUP(EDATE(B119,-12),'Data Core CPI'!$B:$AY,MATCH($C$1,'Data Core CPI'!$B$1:$AY$1,),)</f>
        <v>2.2612407814928612E-2</v>
      </c>
      <c r="D119" s="21" t="e">
        <f>(VLOOKUP(B119,'Data Core CPI'!$B:$AY,MATCH($D$1,'Data Core CPI'!$B$1:$AY$1,),)-VLOOKUP(EDATE(B119,-12),'Data Core CPI'!$B:$AY,MATCH($D$1,'Data Core CPI'!$B$1:$AY$1,),))/VLOOKUP(EDATE(B119,-12),'Data Core CPI'!$B:$AY,MATCH($D$1,'Data Core CPI'!$B$1:$AY$1,),)</f>
        <v>#DIV/0!</v>
      </c>
      <c r="E119" s="21">
        <f>(VLOOKUP(B119,'Data Core CPI'!$B:$AY,MATCH($E$1,'Data Core CPI'!$B$1:$AY$1,),)-VLOOKUP(EDATE(B119,-12),'Data Core CPI'!$B:$AY,MATCH($E$1,'Data Core CPI'!$B$1:$AY$1,),))/VLOOKUP(EDATE(B119,-12),'Data Core CPI'!$B:$AY,MATCH($E$1,'Data Core CPI'!$B$1:$AY$1,),)</f>
        <v>1.090373280943025E-2</v>
      </c>
      <c r="F119" s="21">
        <f>(VLOOKUP(B119,'Data Core CPI'!$B:$AY,MATCH($F$1,'Data Core CPI'!$B$1:$AY$1,),)-VLOOKUP(EDATE(B119,-12),'Data Core CPI'!$B:$AY,MATCH($F$1,'Data Core CPI'!$B$1:$AY$1,),))/VLOOKUP(EDATE(B119,-12),'Data Core CPI'!$B:$AY,MATCH($F$1,'Data Core CPI'!$B$1:$AY$1,),)</f>
        <v>6.6012675229576772E-3</v>
      </c>
      <c r="G119" s="21">
        <f>(VLOOKUP(B119,'Data Core CPI'!$B:$AY,MATCH($G$1,'Data Core CPI'!$B$1:$AY$1,),)-VLOOKUP(EDATE(B119,-12),'Data Core CPI'!$B:$AY,MATCH($G$1,'Data Core CPI'!$B$1:$AY$1,),))/VLOOKUP(EDATE(B119,-12),'Data Core CPI'!$B:$AY,MATCH($G$1,'Data Core CPI'!$B$1:$AY$1,),)</f>
        <v>1.4485463265894434E-2</v>
      </c>
      <c r="H119" s="21">
        <f>(VLOOKUP(B119,'Data Core CPI'!$B:$AY,MATCH($H$1,'Data Core CPI'!$B$1:$AY$1,),)-VLOOKUP(EDATE(B119,-12),'Data Core CPI'!$B:$AY,MATCH($H$1,'Data Core CPI'!$B$1:$AY$1,),))/VLOOKUP(EDATE(B119,-12),'Data Core CPI'!$B:$AY,MATCH($H$1,'Data Core CPI'!$B$1:$AY$1,),)</f>
        <v>1.069691388226311E-2</v>
      </c>
      <c r="I119" s="21">
        <f>(VLOOKUP(B119,'Data Core CPI'!$B:$AY,MATCH($I$1,'Data Core CPI'!$B$1:$AY$1,),)-VLOOKUP(EDATE(B119,-12),'Data Core CPI'!$B:$AY,MATCH($I$1,'Data Core CPI'!$B$1:$AY$1,),))/VLOOKUP(EDATE(B119,-12),'Data Core CPI'!$B:$AY,MATCH($I$1,'Data Core CPI'!$B$1:$AY$1,),)</f>
        <v>1.6917293233082678E-2</v>
      </c>
      <c r="J119" s="21">
        <f>(VLOOKUP(B119,'Data Core CPI'!$B:$AY,MATCH($J$1,'Data Core CPI'!$B$1:$AY$1,),)-VLOOKUP(EDATE(B119,-12),'Data Core CPI'!$B:$AY,MATCH($J$1,'Data Core CPI'!$B$1:$AY$1,),))/VLOOKUP(EDATE(B119,-12),'Data Core CPI'!$B:$AY,MATCH($J$1,'Data Core CPI'!$B$1:$AY$1,),)</f>
        <v>7.8357112862237604E-3</v>
      </c>
      <c r="K119" s="21">
        <f>(VLOOKUP(B119,'Data Core CPI'!$B:$AY,MATCH($K$1,'Data Core CPI'!$B$1:$AY$1,),)-VLOOKUP(EDATE(B119,-12),'Data Core CPI'!$B:$AY,MATCH($K$1,'Data Core CPI'!$B$1:$AY$1,),))/VLOOKUP(EDATE(B119,-12),'Data Core CPI'!$B:$AY,MATCH($K$1,'Data Core CPI'!$B$1:$AY$1,),)</f>
        <v>1.029833648282142E-2</v>
      </c>
      <c r="L119" s="21">
        <f>(VLOOKUP(B119,'Data Core CPI'!$B:$AY,MATCH($L$1,'Data Core CPI'!$B$1:$AY$1,),)-VLOOKUP(EDATE(B119,-12),'Data Core CPI'!$B:$AY,MATCH($L$1,'Data Core CPI'!$B$1:$AY$1,),))/VLOOKUP(EDATE(B119,-12),'Data Core CPI'!$B:$AY,MATCH($L$1,'Data Core CPI'!$B$1:$AY$1,),)</f>
        <v>1.6240454289851505E-2</v>
      </c>
      <c r="M119" s="21">
        <f>(VLOOKUP(B119,'Data Core CPI'!$B:$AY,MATCH($M$1,'Data Core CPI'!$B$1:$AY$1,),)-VLOOKUP(EDATE(B119,-12),'Data Core CPI'!$B:$AY,MATCH($M$1,'Data Core CPI'!$B$1:$AY$1,),))/VLOOKUP(EDATE(B119,-12),'Data Core CPI'!$B:$AY,MATCH($M$1,'Data Core CPI'!$B$1:$AY$1,),)</f>
        <v>3.5730075512424547E-2</v>
      </c>
      <c r="N119" s="21" t="e">
        <f>(VLOOKUP(B119,'Data Core CPI'!$B:$AY,MATCH($N$1,'Data Core CPI'!$B$1:$AY$1,),)-VLOOKUP(EDATE(B119,-12),'Data Core CPI'!$B:$AY,MATCH($N$1,'Data Core CPI'!$B$1:$AY$1,),))/VLOOKUP(EDATE(B119,-12),'Data Core CPI'!$B:$AY,MATCH($N$1,'Data Core CPI'!$B$1:$AY$1,),)</f>
        <v>#DIV/0!</v>
      </c>
      <c r="O119" s="21" t="e">
        <f>(VLOOKUP(B119,'Data Core CPI'!$B:$AY,MATCH($O$1,'Data Core CPI'!$B$1:$AY$1,),)-VLOOKUP(EDATE(B119,-12),'Data Core CPI'!$B:$AY,MATCH($O$1,'Data Core CPI'!$B$1:$AY$1,),))/VLOOKUP(EDATE(B119,-12),'Data Core CPI'!$B:$AY,MATCH($O$1,'Data Core CPI'!$B$1:$AY$1,),)</f>
        <v>#DIV/0!</v>
      </c>
      <c r="P119" s="21">
        <f>(VLOOKUP(B119,'Data Core CPI'!$B:$AY,MATCH($P$1,'Data Core CPI'!$B$1:$AY$1,),)-VLOOKUP(EDATE(B119,-12),'Data Core CPI'!$B:$AY,MATCH($P$1,'Data Core CPI'!$B$1:$AY$1,),))/VLOOKUP(EDATE(B119,-12),'Data Core CPI'!$B:$AY,MATCH($P$1,'Data Core CPI'!$B$1:$AY$1,),)</f>
        <v>1.768022169040815E-2</v>
      </c>
      <c r="Q119" s="21" t="e">
        <f>(VLOOKUP(B119,'Data Core CPI'!$B:$AY,MATCH($Q$1,'Data Core CPI'!$B$1:$AY$1,),)-VLOOKUP(EDATE(B119,-12),'Data Core CPI'!$B:$AY,MATCH($Q$1,'Data Core CPI'!$B$1:$AY$1,),))/VLOOKUP(EDATE(B119,-12),'Data Core CPI'!$B:$AY,MATCH($Q$1,'Data Core CPI'!$B$1:$AY$1,),)</f>
        <v>#N/A</v>
      </c>
      <c r="R119" s="21">
        <f>(VLOOKUP(B119,'Data Core CPI'!$B:$AY,MATCH($R$1,'Data Core CPI'!$B$1:$AY$1,),)-VLOOKUP(EDATE(B119,-12),'Data Core CPI'!$B:$AY,MATCH($R$1,'Data Core CPI'!$B$1:$AY$1,),))/VLOOKUP(EDATE(B119,-12),'Data Core CPI'!$B:$AY,MATCH($R$1,'Data Core CPI'!$B$1:$AY$1,),)</f>
        <v>4.0765446735514877E-3</v>
      </c>
      <c r="S119" s="21" t="e">
        <f>(VLOOKUP(B119,'Data Core CPI'!$B:$AY,MATCH($S$1,'Data Core CPI'!$B$1:$AY$1,),)-VLOOKUP(EDATE(B119,-12),'Data Core CPI'!$B:$AY,MATCH($S$1,'Data Core CPI'!$B$1:$AY$1,),))/VLOOKUP(EDATE(B119,-12),'Data Core CPI'!$B:$AY,MATCH($S$1,'Data Core CPI'!$B$1:$AY$1,),)</f>
        <v>#DIV/0!</v>
      </c>
      <c r="T119" s="21" t="e">
        <f>(VLOOKUP(B119,'Data Core CPI'!$B:$AY,MATCH($T$1,'Data Core CPI'!$B$1:$AY$1,),)-VLOOKUP(EDATE(B119,-12),'Data Core CPI'!$B:$AY,MATCH($T$1,'Data Core CPI'!$B$1:$AY$1,),))/VLOOKUP(EDATE(B119,-12),'Data Core CPI'!$B:$AY,MATCH($T$1,'Data Core CPI'!$B$1:$AY$1,),)</f>
        <v>#DIV/0!</v>
      </c>
      <c r="U119" s="21">
        <f>(VLOOKUP(B119,'Data Core CPI'!$B:$AY,MATCH($U$1,'Data Core CPI'!$B$1:$AY$1,),)-VLOOKUP(EDATE(B119,-12),'Data Core CPI'!$B:$AY,MATCH($U$1,'Data Core CPI'!$B$1:$AY$1,),))/VLOOKUP(EDATE(B119,-12),'Data Core CPI'!$B:$AY,MATCH($U$1,'Data Core CPI'!$B$1:$AY$1,),)</f>
        <v>6.0384292948196848E-3</v>
      </c>
      <c r="V119" s="21">
        <f>(VLOOKUP(B119,'Data Core CPI'!$B:$AY,MATCH($V$1,'Data Core CPI'!$B$1:$AY$1,),)-VLOOKUP(EDATE(B119,-12),'Data Core CPI'!$B:$AY,MATCH($V$1,'Data Core CPI'!$B$1:$AY$1,),))/VLOOKUP(EDATE(B119,-12),'Data Core CPI'!$B:$AY,MATCH($V$1,'Data Core CPI'!$B$1:$AY$1,),)</f>
        <v>1.1427454660713005E-2</v>
      </c>
      <c r="W119" s="21">
        <f>(VLOOKUP(B119,'Data Core CPI'!$B:$AY,MATCH($W$1,'Data Core CPI'!$B$1:$AY$1,),)-VLOOKUP(EDATE(B119,-12),'Data Core CPI'!$B:$AY,MATCH($W$1,'Data Core CPI'!$B$1:$AY$1,),))/VLOOKUP(EDATE(B119,-12),'Data Core CPI'!$B:$AY,MATCH($W$1,'Data Core CPI'!$B$1:$AY$1,),)</f>
        <v>0.12151878362174841</v>
      </c>
      <c r="X119" s="21">
        <f>(VLOOKUP(B119,'Data Core CPI'!$B:$AY,MATCH($X$1,'Data Core CPI'!$B$1:$AY$1,),)-VLOOKUP(EDATE(B119,-12),'Data Core CPI'!$B:$AY,MATCH($X$1,'Data Core CPI'!$B$1:$AY$1,),))/VLOOKUP(EDATE(B119,-12),'Data Core CPI'!$B:$AY,MATCH($X$1,'Data Core CPI'!$B$1:$AY$1,),)</f>
        <v>2.968460111317257E-2</v>
      </c>
      <c r="Y119" s="21">
        <f>(VLOOKUP(B119,'Data Core CPI'!$B:$AY,MATCH($Y$1,'Data Core CPI'!$B$1:$AY$1,),)-VLOOKUP(EDATE(B119,-12),'Data Core CPI'!$B:$AY,MATCH($Y$1,'Data Core CPI'!$B$1:$AY$1,),))/VLOOKUP(EDATE(B119,-12),'Data Core CPI'!$B:$AY,MATCH($Y$1,'Data Core CPI'!$B$1:$AY$1,),)</f>
        <v>3.1678174095531877E-2</v>
      </c>
    </row>
    <row r="120" spans="2:25" s="3" customFormat="1" x14ac:dyDescent="0.2">
      <c r="B120" s="16">
        <v>43862</v>
      </c>
      <c r="C120" s="21">
        <f>(VLOOKUP(B120,'Data Core CPI'!$B:$AY,MATCH($C$1,'Data Core CPI'!$B$1:$AY$1,),)-VLOOKUP(EDATE(B120,-12),'Data Core CPI'!$B:$AY,MATCH($C$1,'Data Core CPI'!$B$1:$AY$1,),))/VLOOKUP(EDATE(B120,-12),'Data Core CPI'!$B:$AY,MATCH($C$1,'Data Core CPI'!$B$1:$AY$1,),)</f>
        <v>2.3567427353170946E-2</v>
      </c>
      <c r="D120" s="21" t="e">
        <f>(VLOOKUP(B120,'Data Core CPI'!$B:$AY,MATCH($D$1,'Data Core CPI'!$B$1:$AY$1,),)-VLOOKUP(EDATE(B120,-12),'Data Core CPI'!$B:$AY,MATCH($D$1,'Data Core CPI'!$B$1:$AY$1,),))/VLOOKUP(EDATE(B120,-12),'Data Core CPI'!$B:$AY,MATCH($D$1,'Data Core CPI'!$B$1:$AY$1,),)</f>
        <v>#DIV/0!</v>
      </c>
      <c r="E120" s="21">
        <f>(VLOOKUP(B120,'Data Core CPI'!$B:$AY,MATCH($E$1,'Data Core CPI'!$B$1:$AY$1,),)-VLOOKUP(EDATE(B120,-12),'Data Core CPI'!$B:$AY,MATCH($E$1,'Data Core CPI'!$B$1:$AY$1,),))/VLOOKUP(EDATE(B120,-12),'Data Core CPI'!$B:$AY,MATCH($E$1,'Data Core CPI'!$B$1:$AY$1,),)</f>
        <v>1.2148525521700884E-2</v>
      </c>
      <c r="F120" s="21">
        <f>(VLOOKUP(B120,'Data Core CPI'!$B:$AY,MATCH($F$1,'Data Core CPI'!$B$1:$AY$1,),)-VLOOKUP(EDATE(B120,-12),'Data Core CPI'!$B:$AY,MATCH($F$1,'Data Core CPI'!$B$1:$AY$1,),))/VLOOKUP(EDATE(B120,-12),'Data Core CPI'!$B:$AY,MATCH($F$1,'Data Core CPI'!$B$1:$AY$1,),)</f>
        <v>5.0487435772847162E-3</v>
      </c>
      <c r="G120" s="21">
        <f>(VLOOKUP(B120,'Data Core CPI'!$B:$AY,MATCH($G$1,'Data Core CPI'!$B$1:$AY$1,),)-VLOOKUP(EDATE(B120,-12),'Data Core CPI'!$B:$AY,MATCH($G$1,'Data Core CPI'!$B$1:$AY$1,),))/VLOOKUP(EDATE(B120,-12),'Data Core CPI'!$B:$AY,MATCH($G$1,'Data Core CPI'!$B$1:$AY$1,),)</f>
        <v>1.5292066915078334E-2</v>
      </c>
      <c r="H120" s="21">
        <f>(VLOOKUP(B120,'Data Core CPI'!$B:$AY,MATCH($H$1,'Data Core CPI'!$B$1:$AY$1,),)-VLOOKUP(EDATE(B120,-12),'Data Core CPI'!$B:$AY,MATCH($H$1,'Data Core CPI'!$B$1:$AY$1,),))/VLOOKUP(EDATE(B120,-12),'Data Core CPI'!$B:$AY,MATCH($H$1,'Data Core CPI'!$B$1:$AY$1,),)</f>
        <v>1.4168133377745345E-2</v>
      </c>
      <c r="I120" s="21">
        <f>(VLOOKUP(B120,'Data Core CPI'!$B:$AY,MATCH($I$1,'Data Core CPI'!$B$1:$AY$1,),)-VLOOKUP(EDATE(B120,-12),'Data Core CPI'!$B:$AY,MATCH($I$1,'Data Core CPI'!$B$1:$AY$1,),))/VLOOKUP(EDATE(B120,-12),'Data Core CPI'!$B:$AY,MATCH($I$1,'Data Core CPI'!$B$1:$AY$1,),)</f>
        <v>1.5902712815715515E-2</v>
      </c>
      <c r="J120" s="21">
        <f>(VLOOKUP(B120,'Data Core CPI'!$B:$AY,MATCH($J$1,'Data Core CPI'!$B$1:$AY$1,),)-VLOOKUP(EDATE(B120,-12),'Data Core CPI'!$B:$AY,MATCH($J$1,'Data Core CPI'!$B$1:$AY$1,),))/VLOOKUP(EDATE(B120,-12),'Data Core CPI'!$B:$AY,MATCH($J$1,'Data Core CPI'!$B$1:$AY$1,),)</f>
        <v>7.3644511211788171E-3</v>
      </c>
      <c r="K120" s="21">
        <f>(VLOOKUP(B120,'Data Core CPI'!$B:$AY,MATCH($K$1,'Data Core CPI'!$B$1:$AY$1,),)-VLOOKUP(EDATE(B120,-12),'Data Core CPI'!$B:$AY,MATCH($K$1,'Data Core CPI'!$B$1:$AY$1,),))/VLOOKUP(EDATE(B120,-12),'Data Core CPI'!$B:$AY,MATCH($K$1,'Data Core CPI'!$B$1:$AY$1,),)</f>
        <v>1.0991374254142726E-2</v>
      </c>
      <c r="L120" s="21">
        <f>(VLOOKUP(B120,'Data Core CPI'!$B:$AY,MATCH($L$1,'Data Core CPI'!$B$1:$AY$1,),)-VLOOKUP(EDATE(B120,-12),'Data Core CPI'!$B:$AY,MATCH($L$1,'Data Core CPI'!$B$1:$AY$1,),))/VLOOKUP(EDATE(B120,-12),'Data Core CPI'!$B:$AY,MATCH($L$1,'Data Core CPI'!$B$1:$AY$1,),)</f>
        <v>1.5468914728233914E-2</v>
      </c>
      <c r="M120" s="21">
        <f>(VLOOKUP(B120,'Data Core CPI'!$B:$AY,MATCH($M$1,'Data Core CPI'!$B$1:$AY$1,),)-VLOOKUP(EDATE(B120,-12),'Data Core CPI'!$B:$AY,MATCH($M$1,'Data Core CPI'!$B$1:$AY$1,),))/VLOOKUP(EDATE(B120,-12),'Data Core CPI'!$B:$AY,MATCH($M$1,'Data Core CPI'!$B$1:$AY$1,),)</f>
        <v>3.4914140442176084E-2</v>
      </c>
      <c r="N120" s="21" t="e">
        <f>(VLOOKUP(B120,'Data Core CPI'!$B:$AY,MATCH($N$1,'Data Core CPI'!$B$1:$AY$1,),)-VLOOKUP(EDATE(B120,-12),'Data Core CPI'!$B:$AY,MATCH($N$1,'Data Core CPI'!$B$1:$AY$1,),))/VLOOKUP(EDATE(B120,-12),'Data Core CPI'!$B:$AY,MATCH($N$1,'Data Core CPI'!$B$1:$AY$1,),)</f>
        <v>#DIV/0!</v>
      </c>
      <c r="O120" s="21" t="e">
        <f>(VLOOKUP(B120,'Data Core CPI'!$B:$AY,MATCH($O$1,'Data Core CPI'!$B$1:$AY$1,),)-VLOOKUP(EDATE(B120,-12),'Data Core CPI'!$B:$AY,MATCH($O$1,'Data Core CPI'!$B$1:$AY$1,),))/VLOOKUP(EDATE(B120,-12),'Data Core CPI'!$B:$AY,MATCH($O$1,'Data Core CPI'!$B$1:$AY$1,),)</f>
        <v>#DIV/0!</v>
      </c>
      <c r="P120" s="21">
        <f>(VLOOKUP(B120,'Data Core CPI'!$B:$AY,MATCH($P$1,'Data Core CPI'!$B$1:$AY$1,),)-VLOOKUP(EDATE(B120,-12),'Data Core CPI'!$B:$AY,MATCH($P$1,'Data Core CPI'!$B$1:$AY$1,),))/VLOOKUP(EDATE(B120,-12),'Data Core CPI'!$B:$AY,MATCH($P$1,'Data Core CPI'!$B$1:$AY$1,),)</f>
        <v>1.9153946486459968E-2</v>
      </c>
      <c r="Q120" s="21" t="e">
        <f>(VLOOKUP(B120,'Data Core CPI'!$B:$AY,MATCH($Q$1,'Data Core CPI'!$B$1:$AY$1,),)-VLOOKUP(EDATE(B120,-12),'Data Core CPI'!$B:$AY,MATCH($Q$1,'Data Core CPI'!$B$1:$AY$1,),))/VLOOKUP(EDATE(B120,-12),'Data Core CPI'!$B:$AY,MATCH($Q$1,'Data Core CPI'!$B$1:$AY$1,),)</f>
        <v>#N/A</v>
      </c>
      <c r="R120" s="21">
        <f>(VLOOKUP(B120,'Data Core CPI'!$B:$AY,MATCH($R$1,'Data Core CPI'!$B$1:$AY$1,),)-VLOOKUP(EDATE(B120,-12),'Data Core CPI'!$B:$AY,MATCH($R$1,'Data Core CPI'!$B$1:$AY$1,),))/VLOOKUP(EDATE(B120,-12),'Data Core CPI'!$B:$AY,MATCH($R$1,'Data Core CPI'!$B$1:$AY$1,),)</f>
        <v>3.4613139645841423E-3</v>
      </c>
      <c r="S120" s="21" t="e">
        <f>(VLOOKUP(B120,'Data Core CPI'!$B:$AY,MATCH($S$1,'Data Core CPI'!$B$1:$AY$1,),)-VLOOKUP(EDATE(B120,-12),'Data Core CPI'!$B:$AY,MATCH($S$1,'Data Core CPI'!$B$1:$AY$1,),))/VLOOKUP(EDATE(B120,-12),'Data Core CPI'!$B:$AY,MATCH($S$1,'Data Core CPI'!$B$1:$AY$1,),)</f>
        <v>#DIV/0!</v>
      </c>
      <c r="T120" s="21" t="e">
        <f>(VLOOKUP(B120,'Data Core CPI'!$B:$AY,MATCH($T$1,'Data Core CPI'!$B$1:$AY$1,),)-VLOOKUP(EDATE(B120,-12),'Data Core CPI'!$B:$AY,MATCH($T$1,'Data Core CPI'!$B$1:$AY$1,),))/VLOOKUP(EDATE(B120,-12),'Data Core CPI'!$B:$AY,MATCH($T$1,'Data Core CPI'!$B$1:$AY$1,),)</f>
        <v>#DIV/0!</v>
      </c>
      <c r="U120" s="21">
        <f>(VLOOKUP(B120,'Data Core CPI'!$B:$AY,MATCH($U$1,'Data Core CPI'!$B$1:$AY$1,),)-VLOOKUP(EDATE(B120,-12),'Data Core CPI'!$B:$AY,MATCH($U$1,'Data Core CPI'!$B$1:$AY$1,),))/VLOOKUP(EDATE(B120,-12),'Data Core CPI'!$B:$AY,MATCH($U$1,'Data Core CPI'!$B$1:$AY$1,),)</f>
        <v>6.7477694710661503E-3</v>
      </c>
      <c r="V120" s="21">
        <f>(VLOOKUP(B120,'Data Core CPI'!$B:$AY,MATCH($V$1,'Data Core CPI'!$B$1:$AY$1,),)-VLOOKUP(EDATE(B120,-12),'Data Core CPI'!$B:$AY,MATCH($V$1,'Data Core CPI'!$B$1:$AY$1,),))/VLOOKUP(EDATE(B120,-12),'Data Core CPI'!$B:$AY,MATCH($V$1,'Data Core CPI'!$B$1:$AY$1,),)</f>
        <v>1.0773312371032748E-2</v>
      </c>
      <c r="W120" s="21">
        <f>(VLOOKUP(B120,'Data Core CPI'!$B:$AY,MATCH($W$1,'Data Core CPI'!$B$1:$AY$1,),)-VLOOKUP(EDATE(B120,-12),'Data Core CPI'!$B:$AY,MATCH($W$1,'Data Core CPI'!$B$1:$AY$1,),))/VLOOKUP(EDATE(B120,-12),'Data Core CPI'!$B:$AY,MATCH($W$1,'Data Core CPI'!$B$1:$AY$1,),)</f>
        <v>0.12297686714430241</v>
      </c>
      <c r="X120" s="21">
        <f>(VLOOKUP(B120,'Data Core CPI'!$B:$AY,MATCH($X$1,'Data Core CPI'!$B$1:$AY$1,),)-VLOOKUP(EDATE(B120,-12),'Data Core CPI'!$B:$AY,MATCH($X$1,'Data Core CPI'!$B$1:$AY$1,),))/VLOOKUP(EDATE(B120,-12),'Data Core CPI'!$B:$AY,MATCH($X$1,'Data Core CPI'!$B$1:$AY$1,),)</f>
        <v>3.2437442075996289E-2</v>
      </c>
      <c r="Y120" s="21">
        <f>(VLOOKUP(B120,'Data Core CPI'!$B:$AY,MATCH($Y$1,'Data Core CPI'!$B$1:$AY$1,),)-VLOOKUP(EDATE(B120,-12),'Data Core CPI'!$B:$AY,MATCH($Y$1,'Data Core CPI'!$B$1:$AY$1,),))/VLOOKUP(EDATE(B120,-12),'Data Core CPI'!$B:$AY,MATCH($Y$1,'Data Core CPI'!$B$1:$AY$1,),)</f>
        <v>3.5897637563042512E-2</v>
      </c>
    </row>
    <row r="121" spans="2:25" s="3" customFormat="1" x14ac:dyDescent="0.2">
      <c r="B121" s="16">
        <v>43891</v>
      </c>
      <c r="C121" s="21">
        <f>(VLOOKUP(B121,'Data Core CPI'!$B:$AY,MATCH($C$1,'Data Core CPI'!$B$1:$AY$1,),)-VLOOKUP(EDATE(B121,-12),'Data Core CPI'!$B:$AY,MATCH($C$1,'Data Core CPI'!$B$1:$AY$1,),))/VLOOKUP(EDATE(B121,-12),'Data Core CPI'!$B:$AY,MATCH($C$1,'Data Core CPI'!$B$1:$AY$1,),)</f>
        <v>2.0913785797684388E-2</v>
      </c>
      <c r="D121" s="21" t="e">
        <f>(VLOOKUP(B121,'Data Core CPI'!$B:$AY,MATCH($D$1,'Data Core CPI'!$B$1:$AY$1,),)-VLOOKUP(EDATE(B121,-12),'Data Core CPI'!$B:$AY,MATCH($D$1,'Data Core CPI'!$B$1:$AY$1,),))/VLOOKUP(EDATE(B121,-12),'Data Core CPI'!$B:$AY,MATCH($D$1,'Data Core CPI'!$B$1:$AY$1,),)</f>
        <v>#DIV/0!</v>
      </c>
      <c r="E121" s="21">
        <f>(VLOOKUP(B121,'Data Core CPI'!$B:$AY,MATCH($E$1,'Data Core CPI'!$B$1:$AY$1,),)-VLOOKUP(EDATE(B121,-12),'Data Core CPI'!$B:$AY,MATCH($E$1,'Data Core CPI'!$B$1:$AY$1,),))/VLOOKUP(EDATE(B121,-12),'Data Core CPI'!$B:$AY,MATCH($E$1,'Data Core CPI'!$B$1:$AY$1,),)</f>
        <v>1.034616128408425E-2</v>
      </c>
      <c r="F121" s="21">
        <f>(VLOOKUP(B121,'Data Core CPI'!$B:$AY,MATCH($F$1,'Data Core CPI'!$B$1:$AY$1,),)-VLOOKUP(EDATE(B121,-12),'Data Core CPI'!$B:$AY,MATCH($F$1,'Data Core CPI'!$B$1:$AY$1,),))/VLOOKUP(EDATE(B121,-12),'Data Core CPI'!$B:$AY,MATCH($F$1,'Data Core CPI'!$B$1:$AY$1,),)</f>
        <v>4.8738093582702188E-3</v>
      </c>
      <c r="G121" s="21">
        <f>(VLOOKUP(B121,'Data Core CPI'!$B:$AY,MATCH($G$1,'Data Core CPI'!$B$1:$AY$1,),)-VLOOKUP(EDATE(B121,-12),'Data Core CPI'!$B:$AY,MATCH($G$1,'Data Core CPI'!$B$1:$AY$1,),))/VLOOKUP(EDATE(B121,-12),'Data Core CPI'!$B:$AY,MATCH($G$1,'Data Core CPI'!$B$1:$AY$1,),)</f>
        <v>1.4778339297549358E-2</v>
      </c>
      <c r="H121" s="21">
        <f>(VLOOKUP(B121,'Data Core CPI'!$B:$AY,MATCH($H$1,'Data Core CPI'!$B$1:$AY$1,),)-VLOOKUP(EDATE(B121,-12),'Data Core CPI'!$B:$AY,MATCH($H$1,'Data Core CPI'!$B$1:$AY$1,),))/VLOOKUP(EDATE(B121,-12),'Data Core CPI'!$B:$AY,MATCH($H$1,'Data Core CPI'!$B$1:$AY$1,),)</f>
        <v>9.8446981304051058E-3</v>
      </c>
      <c r="I121" s="21">
        <f>(VLOOKUP(B121,'Data Core CPI'!$B:$AY,MATCH($I$1,'Data Core CPI'!$B$1:$AY$1,),)-VLOOKUP(EDATE(B121,-12),'Data Core CPI'!$B:$AY,MATCH($I$1,'Data Core CPI'!$B$1:$AY$1,),))/VLOOKUP(EDATE(B121,-12),'Data Core CPI'!$B:$AY,MATCH($I$1,'Data Core CPI'!$B$1:$AY$1,),)</f>
        <v>1.6822429906542029E-2</v>
      </c>
      <c r="J121" s="21">
        <f>(VLOOKUP(B121,'Data Core CPI'!$B:$AY,MATCH($J$1,'Data Core CPI'!$B$1:$AY$1,),)-VLOOKUP(EDATE(B121,-12),'Data Core CPI'!$B:$AY,MATCH($J$1,'Data Core CPI'!$B$1:$AY$1,),))/VLOOKUP(EDATE(B121,-12),'Data Core CPI'!$B:$AY,MATCH($J$1,'Data Core CPI'!$B$1:$AY$1,),)</f>
        <v>5.8714389492078058E-3</v>
      </c>
      <c r="K121" s="21">
        <f>(VLOOKUP(B121,'Data Core CPI'!$B:$AY,MATCH($K$1,'Data Core CPI'!$B$1:$AY$1,),)-VLOOKUP(EDATE(B121,-12),'Data Core CPI'!$B:$AY,MATCH($K$1,'Data Core CPI'!$B$1:$AY$1,),))/VLOOKUP(EDATE(B121,-12),'Data Core CPI'!$B:$AY,MATCH($K$1,'Data Core CPI'!$B$1:$AY$1,),)</f>
        <v>1.0199996890837344E-2</v>
      </c>
      <c r="L121" s="21">
        <f>(VLOOKUP(B121,'Data Core CPI'!$B:$AY,MATCH($L$1,'Data Core CPI'!$B$1:$AY$1,),)-VLOOKUP(EDATE(B121,-12),'Data Core CPI'!$B:$AY,MATCH($L$1,'Data Core CPI'!$B$1:$AY$1,),))/VLOOKUP(EDATE(B121,-12),'Data Core CPI'!$B:$AY,MATCH($L$1,'Data Core CPI'!$B$1:$AY$1,),)</f>
        <v>1.3918695434790913E-2</v>
      </c>
      <c r="M121" s="21">
        <f>(VLOOKUP(B121,'Data Core CPI'!$B:$AY,MATCH($M$1,'Data Core CPI'!$B$1:$AY$1,),)-VLOOKUP(EDATE(B121,-12),'Data Core CPI'!$B:$AY,MATCH($M$1,'Data Core CPI'!$B$1:$AY$1,),))/VLOOKUP(EDATE(B121,-12),'Data Core CPI'!$B:$AY,MATCH($M$1,'Data Core CPI'!$B$1:$AY$1,),)</f>
        <v>3.4164355029005271E-2</v>
      </c>
      <c r="N121" s="21" t="e">
        <f>(VLOOKUP(B121,'Data Core CPI'!$B:$AY,MATCH($N$1,'Data Core CPI'!$B$1:$AY$1,),)-VLOOKUP(EDATE(B121,-12),'Data Core CPI'!$B:$AY,MATCH($N$1,'Data Core CPI'!$B$1:$AY$1,),))/VLOOKUP(EDATE(B121,-12),'Data Core CPI'!$B:$AY,MATCH($N$1,'Data Core CPI'!$B$1:$AY$1,),)</f>
        <v>#DIV/0!</v>
      </c>
      <c r="O121" s="21" t="e">
        <f>(VLOOKUP(B121,'Data Core CPI'!$B:$AY,MATCH($O$1,'Data Core CPI'!$B$1:$AY$1,),)-VLOOKUP(EDATE(B121,-12),'Data Core CPI'!$B:$AY,MATCH($O$1,'Data Core CPI'!$B$1:$AY$1,),))/VLOOKUP(EDATE(B121,-12),'Data Core CPI'!$B:$AY,MATCH($O$1,'Data Core CPI'!$B$1:$AY$1,),)</f>
        <v>#DIV/0!</v>
      </c>
      <c r="P121" s="21">
        <f>(VLOOKUP(B121,'Data Core CPI'!$B:$AY,MATCH($P$1,'Data Core CPI'!$B$1:$AY$1,),)-VLOOKUP(EDATE(B121,-12),'Data Core CPI'!$B:$AY,MATCH($P$1,'Data Core CPI'!$B$1:$AY$1,),))/VLOOKUP(EDATE(B121,-12),'Data Core CPI'!$B:$AY,MATCH($P$1,'Data Core CPI'!$B$1:$AY$1,),)</f>
        <v>1.911859051617033E-2</v>
      </c>
      <c r="Q121" s="21" t="e">
        <f>(VLOOKUP(B121,'Data Core CPI'!$B:$AY,MATCH($Q$1,'Data Core CPI'!$B$1:$AY$1,),)-VLOOKUP(EDATE(B121,-12),'Data Core CPI'!$B:$AY,MATCH($Q$1,'Data Core CPI'!$B$1:$AY$1,),))/VLOOKUP(EDATE(B121,-12),'Data Core CPI'!$B:$AY,MATCH($Q$1,'Data Core CPI'!$B$1:$AY$1,),)</f>
        <v>#N/A</v>
      </c>
      <c r="R121" s="21">
        <f>(VLOOKUP(B121,'Data Core CPI'!$B:$AY,MATCH($R$1,'Data Core CPI'!$B$1:$AY$1,),)-VLOOKUP(EDATE(B121,-12),'Data Core CPI'!$B:$AY,MATCH($R$1,'Data Core CPI'!$B$1:$AY$1,),))/VLOOKUP(EDATE(B121,-12),'Data Core CPI'!$B:$AY,MATCH($R$1,'Data Core CPI'!$B$1:$AY$1,),)</f>
        <v>-4.7122974132855853E-4</v>
      </c>
      <c r="S121" s="21" t="e">
        <f>(VLOOKUP(B121,'Data Core CPI'!$B:$AY,MATCH($S$1,'Data Core CPI'!$B$1:$AY$1,),)-VLOOKUP(EDATE(B121,-12),'Data Core CPI'!$B:$AY,MATCH($S$1,'Data Core CPI'!$B$1:$AY$1,),))/VLOOKUP(EDATE(B121,-12),'Data Core CPI'!$B:$AY,MATCH($S$1,'Data Core CPI'!$B$1:$AY$1,),)</f>
        <v>#DIV/0!</v>
      </c>
      <c r="T121" s="21" t="e">
        <f>(VLOOKUP(B121,'Data Core CPI'!$B:$AY,MATCH($T$1,'Data Core CPI'!$B$1:$AY$1,),)-VLOOKUP(EDATE(B121,-12),'Data Core CPI'!$B:$AY,MATCH($T$1,'Data Core CPI'!$B$1:$AY$1,),))/VLOOKUP(EDATE(B121,-12),'Data Core CPI'!$B:$AY,MATCH($T$1,'Data Core CPI'!$B$1:$AY$1,),)</f>
        <v>#DIV/0!</v>
      </c>
      <c r="U121" s="21">
        <f>(VLOOKUP(B121,'Data Core CPI'!$B:$AY,MATCH($U$1,'Data Core CPI'!$B$1:$AY$1,),)-VLOOKUP(EDATE(B121,-12),'Data Core CPI'!$B:$AY,MATCH($U$1,'Data Core CPI'!$B$1:$AY$1,),))/VLOOKUP(EDATE(B121,-12),'Data Core CPI'!$B:$AY,MATCH($U$1,'Data Core CPI'!$B$1:$AY$1,),)</f>
        <v>1.4386631547303451E-2</v>
      </c>
      <c r="V121" s="21">
        <f>(VLOOKUP(B121,'Data Core CPI'!$B:$AY,MATCH($V$1,'Data Core CPI'!$B$1:$AY$1,),)-VLOOKUP(EDATE(B121,-12),'Data Core CPI'!$B:$AY,MATCH($V$1,'Data Core CPI'!$B$1:$AY$1,),))/VLOOKUP(EDATE(B121,-12),'Data Core CPI'!$B:$AY,MATCH($V$1,'Data Core CPI'!$B$1:$AY$1,),)</f>
        <v>1.0509529290131289E-2</v>
      </c>
      <c r="W121" s="21">
        <f>(VLOOKUP(B121,'Data Core CPI'!$B:$AY,MATCH($W$1,'Data Core CPI'!$B$1:$AY$1,),)-VLOOKUP(EDATE(B121,-12),'Data Core CPI'!$B:$AY,MATCH($W$1,'Data Core CPI'!$B$1:$AY$1,),))/VLOOKUP(EDATE(B121,-12),'Data Core CPI'!$B:$AY,MATCH($W$1,'Data Core CPI'!$B$1:$AY$1,),)</f>
        <v>0.12786267156080453</v>
      </c>
      <c r="X121" s="21">
        <f>(VLOOKUP(B121,'Data Core CPI'!$B:$AY,MATCH($X$1,'Data Core CPI'!$B$1:$AY$1,),)-VLOOKUP(EDATE(B121,-12),'Data Core CPI'!$B:$AY,MATCH($X$1,'Data Core CPI'!$B$1:$AY$1,),))/VLOOKUP(EDATE(B121,-12),'Data Core CPI'!$B:$AY,MATCH($X$1,'Data Core CPI'!$B$1:$AY$1,),)</f>
        <v>3.1481481481481534E-2</v>
      </c>
      <c r="Y121" s="21">
        <f>(VLOOKUP(B121,'Data Core CPI'!$B:$AY,MATCH($Y$1,'Data Core CPI'!$B$1:$AY$1,),)-VLOOKUP(EDATE(B121,-12),'Data Core CPI'!$B:$AY,MATCH($Y$1,'Data Core CPI'!$B$1:$AY$1,),))/VLOOKUP(EDATE(B121,-12),'Data Core CPI'!$B:$AY,MATCH($Y$1,'Data Core CPI'!$B$1:$AY$1,),)</f>
        <v>3.6595573054584454E-2</v>
      </c>
    </row>
    <row r="122" spans="2:25" s="3" customFormat="1" x14ac:dyDescent="0.2">
      <c r="B122" s="16">
        <v>43922</v>
      </c>
      <c r="C122" s="21">
        <f>(VLOOKUP(B122,'Data Core CPI'!$B:$AY,MATCH($C$1,'Data Core CPI'!$B$1:$AY$1,),)-VLOOKUP(EDATE(B122,-12),'Data Core CPI'!$B:$AY,MATCH($C$1,'Data Core CPI'!$B$1:$AY$1,),))/VLOOKUP(EDATE(B122,-12),'Data Core CPI'!$B:$AY,MATCH($C$1,'Data Core CPI'!$B$1:$AY$1,),)</f>
        <v>1.432062010464367E-2</v>
      </c>
      <c r="D122" s="21" t="e">
        <f>(VLOOKUP(B122,'Data Core CPI'!$B:$AY,MATCH($D$1,'Data Core CPI'!$B$1:$AY$1,),)-VLOOKUP(EDATE(B122,-12),'Data Core CPI'!$B:$AY,MATCH($D$1,'Data Core CPI'!$B$1:$AY$1,),))/VLOOKUP(EDATE(B122,-12),'Data Core CPI'!$B:$AY,MATCH($D$1,'Data Core CPI'!$B$1:$AY$1,),)</f>
        <v>#DIV/0!</v>
      </c>
      <c r="E122" s="21">
        <f>(VLOOKUP(B122,'Data Core CPI'!$B:$AY,MATCH($E$1,'Data Core CPI'!$B$1:$AY$1,),)-VLOOKUP(EDATE(B122,-12),'Data Core CPI'!$B:$AY,MATCH($E$1,'Data Core CPI'!$B$1:$AY$1,),))/VLOOKUP(EDATE(B122,-12),'Data Core CPI'!$B:$AY,MATCH($E$1,'Data Core CPI'!$B$1:$AY$1,),)</f>
        <v>8.5273546038133613E-3</v>
      </c>
      <c r="F122" s="21">
        <f>(VLOOKUP(B122,'Data Core CPI'!$B:$AY,MATCH($F$1,'Data Core CPI'!$B$1:$AY$1,),)-VLOOKUP(EDATE(B122,-12),'Data Core CPI'!$B:$AY,MATCH($F$1,'Data Core CPI'!$B$1:$AY$1,),))/VLOOKUP(EDATE(B122,-12),'Data Core CPI'!$B:$AY,MATCH($F$1,'Data Core CPI'!$B$1:$AY$1,),)</f>
        <v>6.6660205044409278E-4</v>
      </c>
      <c r="G122" s="21">
        <f>(VLOOKUP(B122,'Data Core CPI'!$B:$AY,MATCH($G$1,'Data Core CPI'!$B$1:$AY$1,),)-VLOOKUP(EDATE(B122,-12),'Data Core CPI'!$B:$AY,MATCH($G$1,'Data Core CPI'!$B$1:$AY$1,),))/VLOOKUP(EDATE(B122,-12),'Data Core CPI'!$B:$AY,MATCH($G$1,'Data Core CPI'!$B$1:$AY$1,),)</f>
        <v>1.2465712165565917E-2</v>
      </c>
      <c r="H122" s="21">
        <f>(VLOOKUP(B122,'Data Core CPI'!$B:$AY,MATCH($H$1,'Data Core CPI'!$B$1:$AY$1,),)-VLOOKUP(EDATE(B122,-12),'Data Core CPI'!$B:$AY,MATCH($H$1,'Data Core CPI'!$B$1:$AY$1,),))/VLOOKUP(EDATE(B122,-12),'Data Core CPI'!$B:$AY,MATCH($H$1,'Data Core CPI'!$B$1:$AY$1,),)</f>
        <v>6.8243119029578097E-3</v>
      </c>
      <c r="I122" s="21">
        <f>(VLOOKUP(B122,'Data Core CPI'!$B:$AY,MATCH($I$1,'Data Core CPI'!$B$1:$AY$1,),)-VLOOKUP(EDATE(B122,-12),'Data Core CPI'!$B:$AY,MATCH($I$1,'Data Core CPI'!$B$1:$AY$1,),))/VLOOKUP(EDATE(B122,-12),'Data Core CPI'!$B:$AY,MATCH($I$1,'Data Core CPI'!$B$1:$AY$1,),)</f>
        <v>1.3953488372093023E-2</v>
      </c>
      <c r="J122" s="21">
        <f>(VLOOKUP(B122,'Data Core CPI'!$B:$AY,MATCH($J$1,'Data Core CPI'!$B$1:$AY$1,),)-VLOOKUP(EDATE(B122,-12),'Data Core CPI'!$B:$AY,MATCH($J$1,'Data Core CPI'!$B$1:$AY$1,),))/VLOOKUP(EDATE(B122,-12),'Data Core CPI'!$B:$AY,MATCH($J$1,'Data Core CPI'!$B$1:$AY$1,),)</f>
        <v>5.3235053235053875E-3</v>
      </c>
      <c r="K122" s="21">
        <f>(VLOOKUP(B122,'Data Core CPI'!$B:$AY,MATCH($K$1,'Data Core CPI'!$B$1:$AY$1,),)-VLOOKUP(EDATE(B122,-12),'Data Core CPI'!$B:$AY,MATCH($K$1,'Data Core CPI'!$B$1:$AY$1,),))/VLOOKUP(EDATE(B122,-12),'Data Core CPI'!$B:$AY,MATCH($K$1,'Data Core CPI'!$B$1:$AY$1,),)</f>
        <v>9.440386400779599E-3</v>
      </c>
      <c r="L122" s="21">
        <f>(VLOOKUP(B122,'Data Core CPI'!$B:$AY,MATCH($L$1,'Data Core CPI'!$B$1:$AY$1,),)-VLOOKUP(EDATE(B122,-12),'Data Core CPI'!$B:$AY,MATCH($L$1,'Data Core CPI'!$B$1:$AY$1,),))/VLOOKUP(EDATE(B122,-12),'Data Core CPI'!$B:$AY,MATCH($L$1,'Data Core CPI'!$B$1:$AY$1,),)</f>
        <v>5.2400098011827975E-3</v>
      </c>
      <c r="M122" s="21">
        <f>(VLOOKUP(B122,'Data Core CPI'!$B:$AY,MATCH($M$1,'Data Core CPI'!$B$1:$AY$1,),)-VLOOKUP(EDATE(B122,-12),'Data Core CPI'!$B:$AY,MATCH($M$1,'Data Core CPI'!$B$1:$AY$1,),))/VLOOKUP(EDATE(B122,-12),'Data Core CPI'!$B:$AY,MATCH($M$1,'Data Core CPI'!$B$1:$AY$1,),)</f>
        <v>3.0959441866791997E-2</v>
      </c>
      <c r="N122" s="21" t="e">
        <f>(VLOOKUP(B122,'Data Core CPI'!$B:$AY,MATCH($N$1,'Data Core CPI'!$B$1:$AY$1,),)-VLOOKUP(EDATE(B122,-12),'Data Core CPI'!$B:$AY,MATCH($N$1,'Data Core CPI'!$B$1:$AY$1,),))/VLOOKUP(EDATE(B122,-12),'Data Core CPI'!$B:$AY,MATCH($N$1,'Data Core CPI'!$B$1:$AY$1,),)</f>
        <v>#DIV/0!</v>
      </c>
      <c r="O122" s="21" t="e">
        <f>(VLOOKUP(B122,'Data Core CPI'!$B:$AY,MATCH($O$1,'Data Core CPI'!$B$1:$AY$1,),)-VLOOKUP(EDATE(B122,-12),'Data Core CPI'!$B:$AY,MATCH($O$1,'Data Core CPI'!$B$1:$AY$1,),))/VLOOKUP(EDATE(B122,-12),'Data Core CPI'!$B:$AY,MATCH($O$1,'Data Core CPI'!$B$1:$AY$1,),)</f>
        <v>#DIV/0!</v>
      </c>
      <c r="P122" s="21">
        <f>(VLOOKUP(B122,'Data Core CPI'!$B:$AY,MATCH($P$1,'Data Core CPI'!$B$1:$AY$1,),)-VLOOKUP(EDATE(B122,-12),'Data Core CPI'!$B:$AY,MATCH($P$1,'Data Core CPI'!$B$1:$AY$1,),))/VLOOKUP(EDATE(B122,-12),'Data Core CPI'!$B:$AY,MATCH($P$1,'Data Core CPI'!$B$1:$AY$1,),)</f>
        <v>1.6304524042225061E-2</v>
      </c>
      <c r="Q122" s="21" t="e">
        <f>(VLOOKUP(B122,'Data Core CPI'!$B:$AY,MATCH($Q$1,'Data Core CPI'!$B$1:$AY$1,),)-VLOOKUP(EDATE(B122,-12),'Data Core CPI'!$B:$AY,MATCH($Q$1,'Data Core CPI'!$B$1:$AY$1,),))/VLOOKUP(EDATE(B122,-12),'Data Core CPI'!$B:$AY,MATCH($Q$1,'Data Core CPI'!$B$1:$AY$1,),)</f>
        <v>#N/A</v>
      </c>
      <c r="R122" s="21">
        <f>(VLOOKUP(B122,'Data Core CPI'!$B:$AY,MATCH($R$1,'Data Core CPI'!$B$1:$AY$1,),)-VLOOKUP(EDATE(B122,-12),'Data Core CPI'!$B:$AY,MATCH($R$1,'Data Core CPI'!$B$1:$AY$1,),))/VLOOKUP(EDATE(B122,-12),'Data Core CPI'!$B:$AY,MATCH($R$1,'Data Core CPI'!$B$1:$AY$1,),)</f>
        <v>-5.2251221023850844E-3</v>
      </c>
      <c r="S122" s="21" t="e">
        <f>(VLOOKUP(B122,'Data Core CPI'!$B:$AY,MATCH($S$1,'Data Core CPI'!$B$1:$AY$1,),)-VLOOKUP(EDATE(B122,-12),'Data Core CPI'!$B:$AY,MATCH($S$1,'Data Core CPI'!$B$1:$AY$1,),))/VLOOKUP(EDATE(B122,-12),'Data Core CPI'!$B:$AY,MATCH($S$1,'Data Core CPI'!$B$1:$AY$1,),)</f>
        <v>#DIV/0!</v>
      </c>
      <c r="T122" s="21" t="e">
        <f>(VLOOKUP(B122,'Data Core CPI'!$B:$AY,MATCH($T$1,'Data Core CPI'!$B$1:$AY$1,),)-VLOOKUP(EDATE(B122,-12),'Data Core CPI'!$B:$AY,MATCH($T$1,'Data Core CPI'!$B$1:$AY$1,),))/VLOOKUP(EDATE(B122,-12),'Data Core CPI'!$B:$AY,MATCH($T$1,'Data Core CPI'!$B$1:$AY$1,),)</f>
        <v>#DIV/0!</v>
      </c>
      <c r="U122" s="21">
        <f>(VLOOKUP(B122,'Data Core CPI'!$B:$AY,MATCH($U$1,'Data Core CPI'!$B$1:$AY$1,),)-VLOOKUP(EDATE(B122,-12),'Data Core CPI'!$B:$AY,MATCH($U$1,'Data Core CPI'!$B$1:$AY$1,),))/VLOOKUP(EDATE(B122,-12),'Data Core CPI'!$B:$AY,MATCH($U$1,'Data Core CPI'!$B$1:$AY$1,),)</f>
        <v>3.0811176583900373E-3</v>
      </c>
      <c r="V122" s="21">
        <f>(VLOOKUP(B122,'Data Core CPI'!$B:$AY,MATCH($V$1,'Data Core CPI'!$B$1:$AY$1,),)-VLOOKUP(EDATE(B122,-12),'Data Core CPI'!$B:$AY,MATCH($V$1,'Data Core CPI'!$B$1:$AY$1,),))/VLOOKUP(EDATE(B122,-12),'Data Core CPI'!$B:$AY,MATCH($V$1,'Data Core CPI'!$B$1:$AY$1,),)</f>
        <v>7.5689262552539873E-3</v>
      </c>
      <c r="W122" s="21"/>
      <c r="X122" s="21">
        <f>(VLOOKUP(B122,'Data Core CPI'!$B:$AY,MATCH($X$1,'Data Core CPI'!$B$1:$AY$1,),)-VLOOKUP(EDATE(B122,-12),'Data Core CPI'!$B:$AY,MATCH($X$1,'Data Core CPI'!$B$1:$AY$1,),))/VLOOKUP(EDATE(B122,-12),'Data Core CPI'!$B:$AY,MATCH($X$1,'Data Core CPI'!$B$1:$AY$1,),)</f>
        <v>2.9602220166512518E-2</v>
      </c>
      <c r="Y122" s="21">
        <f>(VLOOKUP(B122,'Data Core CPI'!$B:$AY,MATCH($Y$1,'Data Core CPI'!$B$1:$AY$1,),)-VLOOKUP(EDATE(B122,-12),'Data Core CPI'!$B:$AY,MATCH($Y$1,'Data Core CPI'!$B$1:$AY$1,),))/VLOOKUP(EDATE(B122,-12),'Data Core CPI'!$B:$AY,MATCH($Y$1,'Data Core CPI'!$B$1:$AY$1,),)</f>
        <v>3.4540433160521404E-2</v>
      </c>
    </row>
    <row r="123" spans="2:25" s="3" customFormat="1" x14ac:dyDescent="0.2">
      <c r="B123" s="16">
        <v>43952</v>
      </c>
      <c r="C123" s="21">
        <f>(VLOOKUP(B123,'Data Core CPI'!$B:$AY,MATCH($C$1,'Data Core CPI'!$B$1:$AY$1,),)-VLOOKUP(EDATE(B123,-12),'Data Core CPI'!$B:$AY,MATCH($C$1,'Data Core CPI'!$B$1:$AY$1,),))/VLOOKUP(EDATE(B123,-12),'Data Core CPI'!$B:$AY,MATCH($C$1,'Data Core CPI'!$B$1:$AY$1,),)</f>
        <v>1.2219793925896991E-2</v>
      </c>
      <c r="D123" s="21" t="e">
        <f>(VLOOKUP(B123,'Data Core CPI'!$B:$AY,MATCH($D$1,'Data Core CPI'!$B$1:$AY$1,),)-VLOOKUP(EDATE(B123,-12),'Data Core CPI'!$B:$AY,MATCH($D$1,'Data Core CPI'!$B$1:$AY$1,),))/VLOOKUP(EDATE(B123,-12),'Data Core CPI'!$B:$AY,MATCH($D$1,'Data Core CPI'!$B$1:$AY$1,),)</f>
        <v>#DIV/0!</v>
      </c>
      <c r="E123" s="21"/>
      <c r="F123" s="21"/>
      <c r="G123" s="21"/>
      <c r="H123" s="21"/>
      <c r="I123" s="21"/>
      <c r="J123" s="21"/>
      <c r="K123" s="21"/>
      <c r="L123" s="21">
        <f>(VLOOKUP(B123,'Data Core CPI'!$B:$AY,MATCH($L$1,'Data Core CPI'!$B$1:$AY$1,),)-VLOOKUP(EDATE(B123,-12),'Data Core CPI'!$B:$AY,MATCH($L$1,'Data Core CPI'!$B$1:$AY$1,),))/VLOOKUP(EDATE(B123,-12),'Data Core CPI'!$B:$AY,MATCH($L$1,'Data Core CPI'!$B$1:$AY$1,),)</f>
        <v>7.7706000260413825E-3</v>
      </c>
      <c r="M123" s="21">
        <f>(VLOOKUP(B123,'Data Core CPI'!$B:$AY,MATCH($M$1,'Data Core CPI'!$B$1:$AY$1,),)-VLOOKUP(EDATE(B123,-12),'Data Core CPI'!$B:$AY,MATCH($M$1,'Data Core CPI'!$B$1:$AY$1,),))/VLOOKUP(EDATE(B123,-12),'Data Core CPI'!$B:$AY,MATCH($M$1,'Data Core CPI'!$B$1:$AY$1,),)</f>
        <v>3.0928301978822521E-2</v>
      </c>
      <c r="N123" s="21" t="e">
        <f>(VLOOKUP(B123,'Data Core CPI'!$B:$AY,MATCH($N$1,'Data Core CPI'!$B$1:$AY$1,),)-VLOOKUP(EDATE(B123,-12),'Data Core CPI'!$B:$AY,MATCH($N$1,'Data Core CPI'!$B$1:$AY$1,),))/VLOOKUP(EDATE(B123,-12),'Data Core CPI'!$B:$AY,MATCH($N$1,'Data Core CPI'!$B$1:$AY$1,),)</f>
        <v>#DIV/0!</v>
      </c>
      <c r="O123" s="21" t="e">
        <f>(VLOOKUP(B123,'Data Core CPI'!$B:$AY,MATCH($O$1,'Data Core CPI'!$B$1:$AY$1,),)-VLOOKUP(EDATE(B123,-12),'Data Core CPI'!$B:$AY,MATCH($O$1,'Data Core CPI'!$B$1:$AY$1,),))/VLOOKUP(EDATE(B123,-12),'Data Core CPI'!$B:$AY,MATCH($O$1,'Data Core CPI'!$B$1:$AY$1,),)</f>
        <v>#DIV/0!</v>
      </c>
      <c r="P123" s="21"/>
      <c r="Q123" s="21" t="e">
        <f>(VLOOKUP(B123,'Data Core CPI'!$B:$AY,MATCH($Q$1,'Data Core CPI'!$B$1:$AY$1,),)-VLOOKUP(EDATE(B123,-12),'Data Core CPI'!$B:$AY,MATCH($Q$1,'Data Core CPI'!$B$1:$AY$1,),))/VLOOKUP(EDATE(B123,-12),'Data Core CPI'!$B:$AY,MATCH($Q$1,'Data Core CPI'!$B$1:$AY$1,),)</f>
        <v>#N/A</v>
      </c>
      <c r="R123" s="21">
        <f>(VLOOKUP(B123,'Data Core CPI'!$B:$AY,MATCH($R$1,'Data Core CPI'!$B$1:$AY$1,),)-VLOOKUP(EDATE(B123,-12),'Data Core CPI'!$B:$AY,MATCH($R$1,'Data Core CPI'!$B$1:$AY$1,),))/VLOOKUP(EDATE(B123,-12),'Data Core CPI'!$B:$AY,MATCH($R$1,'Data Core CPI'!$B$1:$AY$1,),)</f>
        <v>-6.2928209343610054E-3</v>
      </c>
      <c r="S123" s="21" t="e">
        <f>(VLOOKUP(B123,'Data Core CPI'!$B:$AY,MATCH($S$1,'Data Core CPI'!$B$1:$AY$1,),)-VLOOKUP(EDATE(B123,-12),'Data Core CPI'!$B:$AY,MATCH($S$1,'Data Core CPI'!$B$1:$AY$1,),))/VLOOKUP(EDATE(B123,-12),'Data Core CPI'!$B:$AY,MATCH($S$1,'Data Core CPI'!$B$1:$AY$1,),)</f>
        <v>#DIV/0!</v>
      </c>
      <c r="T123" s="21" t="e">
        <f>(VLOOKUP(B123,'Data Core CPI'!$B:$AY,MATCH($T$1,'Data Core CPI'!$B$1:$AY$1,),)-VLOOKUP(EDATE(B123,-12),'Data Core CPI'!$B:$AY,MATCH($T$1,'Data Core CPI'!$B$1:$AY$1,),))/VLOOKUP(EDATE(B123,-12),'Data Core CPI'!$B:$AY,MATCH($T$1,'Data Core CPI'!$B$1:$AY$1,),)</f>
        <v>#DIV/0!</v>
      </c>
      <c r="U123" s="21">
        <f>(VLOOKUP(B123,'Data Core CPI'!$B:$AY,MATCH($U$1,'Data Core CPI'!$B$1:$AY$1,),)-VLOOKUP(EDATE(B123,-12),'Data Core CPI'!$B:$AY,MATCH($U$1,'Data Core CPI'!$B$1:$AY$1,),))/VLOOKUP(EDATE(B123,-12),'Data Core CPI'!$B:$AY,MATCH($U$1,'Data Core CPI'!$B$1:$AY$1,),)</f>
        <v>7.1249492037849249E-3</v>
      </c>
      <c r="V123" s="21">
        <f>(VLOOKUP(B123,'Data Core CPI'!$B:$AY,MATCH($V$1,'Data Core CPI'!$B$1:$AY$1,),)-VLOOKUP(EDATE(B123,-12),'Data Core CPI'!$B:$AY,MATCH($V$1,'Data Core CPI'!$B$1:$AY$1,),))/VLOOKUP(EDATE(B123,-12),'Data Core CPI'!$B:$AY,MATCH($V$1,'Data Core CPI'!$B$1:$AY$1,),)</f>
        <v>7.1300447555232935E-3</v>
      </c>
      <c r="W123" s="21"/>
      <c r="X123" s="21"/>
      <c r="Y123" s="21"/>
    </row>
    <row r="124" spans="2:25" s="3" customFormat="1" x14ac:dyDescent="0.2"/>
    <row r="125" spans="2:25" s="3" customFormat="1" x14ac:dyDescent="0.2"/>
    <row r="126" spans="2:25" s="3" customFormat="1" x14ac:dyDescent="0.2"/>
    <row r="127" spans="2:25" s="3" customFormat="1" x14ac:dyDescent="0.2"/>
    <row r="128" spans="2:25" s="3" customFormat="1" x14ac:dyDescent="0.2"/>
    <row r="129" s="3" customFormat="1" x14ac:dyDescent="0.2"/>
    <row r="130" s="3" customFormat="1" x14ac:dyDescent="0.2"/>
    <row r="131" s="3" customFormat="1" x14ac:dyDescent="0.2"/>
    <row r="132" s="3" customFormat="1" x14ac:dyDescent="0.2"/>
    <row r="133" s="3" customFormat="1" x14ac:dyDescent="0.2"/>
    <row r="134" s="3" customFormat="1" x14ac:dyDescent="0.2"/>
    <row r="135" s="3" customFormat="1" x14ac:dyDescent="0.2"/>
    <row r="136" s="3" customFormat="1" x14ac:dyDescent="0.2"/>
    <row r="137" s="3" customFormat="1" x14ac:dyDescent="0.2"/>
    <row r="138" s="3" customFormat="1" x14ac:dyDescent="0.2"/>
    <row r="139" s="3" customFormat="1" x14ac:dyDescent="0.2"/>
    <row r="140" s="3" customFormat="1" x14ac:dyDescent="0.2"/>
    <row r="141" s="3" customFormat="1" x14ac:dyDescent="0.2"/>
    <row r="142" s="3" customFormat="1" x14ac:dyDescent="0.2"/>
    <row r="143" s="3" customFormat="1" x14ac:dyDescent="0.2"/>
    <row r="144" s="3" customFormat="1" x14ac:dyDescent="0.2"/>
    <row r="145" s="3" customFormat="1" x14ac:dyDescent="0.2"/>
    <row r="146" s="3" customFormat="1" x14ac:dyDescent="0.2"/>
    <row r="147" s="3" customFormat="1" x14ac:dyDescent="0.2"/>
    <row r="148" s="3" customFormat="1" x14ac:dyDescent="0.2"/>
    <row r="149" s="3" customFormat="1" x14ac:dyDescent="0.2"/>
    <row r="150" s="3" customFormat="1" x14ac:dyDescent="0.2"/>
    <row r="151" s="3" customFormat="1" x14ac:dyDescent="0.2"/>
    <row r="152" s="3" customFormat="1" x14ac:dyDescent="0.2"/>
    <row r="153" s="3" customFormat="1" x14ac:dyDescent="0.2"/>
    <row r="154" s="3" customFormat="1" x14ac:dyDescent="0.2"/>
    <row r="155" s="3" customFormat="1" x14ac:dyDescent="0.2"/>
    <row r="156" s="3" customFormat="1" x14ac:dyDescent="0.2"/>
    <row r="157" s="3" customFormat="1" x14ac:dyDescent="0.2"/>
    <row r="158" s="3" customFormat="1" x14ac:dyDescent="0.2"/>
    <row r="159" s="3" customFormat="1" x14ac:dyDescent="0.2"/>
    <row r="160" s="3" customFormat="1" x14ac:dyDescent="0.2"/>
    <row r="161" s="3" customFormat="1" x14ac:dyDescent="0.2"/>
    <row r="162" s="3" customFormat="1" x14ac:dyDescent="0.2"/>
    <row r="163" s="3" customFormat="1" x14ac:dyDescent="0.2"/>
    <row r="164" s="3" customFormat="1" x14ac:dyDescent="0.2"/>
    <row r="165" s="3" customFormat="1" x14ac:dyDescent="0.2"/>
    <row r="166" s="3" customFormat="1" x14ac:dyDescent="0.2"/>
    <row r="167" s="3" customFormat="1" x14ac:dyDescent="0.2"/>
    <row r="168" s="3" customFormat="1" x14ac:dyDescent="0.2"/>
    <row r="169" s="3" customFormat="1" x14ac:dyDescent="0.2"/>
    <row r="170" s="3" customFormat="1" x14ac:dyDescent="0.2"/>
    <row r="171" s="3" customFormat="1" x14ac:dyDescent="0.2"/>
    <row r="172" s="3" customFormat="1" x14ac:dyDescent="0.2"/>
    <row r="173" s="3" customFormat="1" x14ac:dyDescent="0.2"/>
    <row r="174" s="3" customFormat="1" x14ac:dyDescent="0.2"/>
    <row r="175" s="3" customFormat="1" x14ac:dyDescent="0.2"/>
    <row r="176" s="3" customFormat="1" x14ac:dyDescent="0.2"/>
    <row r="177" s="3" customFormat="1" x14ac:dyDescent="0.2"/>
    <row r="178" s="3" customFormat="1" x14ac:dyDescent="0.2"/>
    <row r="179" s="3" customFormat="1" x14ac:dyDescent="0.2"/>
    <row r="180" s="3" customFormat="1" x14ac:dyDescent="0.2"/>
    <row r="181" s="3" customFormat="1" x14ac:dyDescent="0.2"/>
    <row r="182" s="3" customFormat="1" x14ac:dyDescent="0.2"/>
    <row r="183" s="3" customFormat="1" x14ac:dyDescent="0.2"/>
    <row r="184" s="3" customFormat="1" x14ac:dyDescent="0.2"/>
    <row r="185" s="3" customFormat="1" x14ac:dyDescent="0.2"/>
    <row r="186" s="3" customFormat="1" x14ac:dyDescent="0.2"/>
    <row r="187" s="3" customFormat="1" x14ac:dyDescent="0.2"/>
    <row r="188" s="3" customFormat="1" x14ac:dyDescent="0.2"/>
    <row r="189" s="3" customFormat="1" x14ac:dyDescent="0.2"/>
    <row r="190" s="3" customFormat="1" x14ac:dyDescent="0.2"/>
    <row r="191" s="3" customFormat="1" x14ac:dyDescent="0.2"/>
    <row r="192" s="3" customFormat="1" x14ac:dyDescent="0.2"/>
    <row r="193" s="3" customFormat="1" x14ac:dyDescent="0.2"/>
    <row r="194" s="3" customFormat="1" x14ac:dyDescent="0.2"/>
    <row r="195" s="3" customFormat="1" x14ac:dyDescent="0.2"/>
    <row r="196" s="3" customFormat="1" x14ac:dyDescent="0.2"/>
    <row r="197" s="3" customFormat="1" x14ac:dyDescent="0.2"/>
    <row r="198" s="3" customFormat="1" x14ac:dyDescent="0.2"/>
    <row r="199" s="3" customFormat="1" x14ac:dyDescent="0.2"/>
    <row r="200" s="3" customFormat="1" x14ac:dyDescent="0.2"/>
    <row r="201" s="3" customFormat="1" x14ac:dyDescent="0.2"/>
    <row r="202" s="3" customFormat="1" x14ac:dyDescent="0.2"/>
    <row r="203" s="3" customFormat="1" x14ac:dyDescent="0.2"/>
    <row r="204" s="3" customFormat="1" x14ac:dyDescent="0.2"/>
    <row r="205" s="3" customFormat="1" x14ac:dyDescent="0.2"/>
    <row r="206" s="3" customFormat="1" x14ac:dyDescent="0.2"/>
    <row r="207" s="3" customFormat="1" x14ac:dyDescent="0.2"/>
    <row r="208" s="3" customFormat="1" x14ac:dyDescent="0.2"/>
    <row r="209" s="3" customFormat="1" x14ac:dyDescent="0.2"/>
    <row r="210" s="3" customFormat="1" x14ac:dyDescent="0.2"/>
    <row r="211" s="3" customFormat="1" x14ac:dyDescent="0.2"/>
    <row r="212" s="3" customFormat="1" x14ac:dyDescent="0.2"/>
    <row r="213" s="3" customFormat="1" x14ac:dyDescent="0.2"/>
    <row r="214" s="3" customFormat="1" x14ac:dyDescent="0.2"/>
    <row r="215" s="3" customFormat="1" x14ac:dyDescent="0.2"/>
    <row r="216" s="3" customFormat="1" x14ac:dyDescent="0.2"/>
    <row r="217" s="3" customFormat="1" x14ac:dyDescent="0.2"/>
    <row r="218" s="3" customFormat="1" x14ac:dyDescent="0.2"/>
    <row r="219" s="3" customFormat="1" x14ac:dyDescent="0.2"/>
    <row r="220" s="3" customFormat="1" x14ac:dyDescent="0.2"/>
    <row r="221" s="3" customFormat="1" x14ac:dyDescent="0.2"/>
    <row r="222" s="3" customFormat="1" x14ac:dyDescent="0.2"/>
    <row r="223" s="3" customFormat="1" x14ac:dyDescent="0.2"/>
    <row r="224" s="3" customFormat="1" x14ac:dyDescent="0.2"/>
    <row r="225" s="3" customFormat="1" x14ac:dyDescent="0.2"/>
    <row r="226" s="3" customFormat="1" x14ac:dyDescent="0.2"/>
    <row r="227" s="3" customFormat="1" x14ac:dyDescent="0.2"/>
    <row r="228" s="3" customFormat="1" x14ac:dyDescent="0.2"/>
    <row r="229" s="3" customFormat="1" x14ac:dyDescent="0.2"/>
    <row r="230" s="3" customFormat="1" x14ac:dyDescent="0.2"/>
    <row r="231" s="3" customFormat="1" x14ac:dyDescent="0.2"/>
    <row r="232" s="3" customFormat="1" x14ac:dyDescent="0.2"/>
    <row r="233" s="3" customFormat="1" x14ac:dyDescent="0.2"/>
    <row r="234" s="3" customFormat="1" x14ac:dyDescent="0.2"/>
    <row r="235" s="3" customFormat="1" x14ac:dyDescent="0.2"/>
    <row r="236" s="3" customFormat="1" x14ac:dyDescent="0.2"/>
    <row r="237" s="3" customFormat="1" x14ac:dyDescent="0.2"/>
    <row r="238" s="3" customFormat="1" x14ac:dyDescent="0.2"/>
    <row r="239" s="3" customFormat="1" x14ac:dyDescent="0.2"/>
    <row r="240" s="3" customFormat="1" x14ac:dyDescent="0.2"/>
    <row r="241" s="3" customFormat="1" x14ac:dyDescent="0.2"/>
    <row r="242" s="3" customFormat="1" x14ac:dyDescent="0.2"/>
    <row r="243" s="3" customFormat="1" x14ac:dyDescent="0.2"/>
    <row r="244" s="3" customFormat="1" x14ac:dyDescent="0.2"/>
    <row r="245" s="3" customFormat="1" x14ac:dyDescent="0.2"/>
    <row r="246" s="3" customFormat="1" x14ac:dyDescent="0.2"/>
    <row r="247" s="3" customFormat="1" x14ac:dyDescent="0.2"/>
    <row r="248" s="3" customFormat="1" x14ac:dyDescent="0.2"/>
    <row r="249" s="3" customFormat="1" x14ac:dyDescent="0.2"/>
    <row r="250" s="3" customFormat="1" x14ac:dyDescent="0.2"/>
    <row r="251" s="3" customFormat="1" x14ac:dyDescent="0.2"/>
    <row r="252" s="3" customFormat="1" x14ac:dyDescent="0.2"/>
    <row r="253" s="3" customFormat="1" x14ac:dyDescent="0.2"/>
    <row r="254" s="3" customFormat="1" x14ac:dyDescent="0.2"/>
    <row r="255" s="3" customFormat="1" x14ac:dyDescent="0.2"/>
    <row r="256" s="3" customFormat="1" x14ac:dyDescent="0.2"/>
    <row r="257" s="3" customFormat="1" x14ac:dyDescent="0.2"/>
    <row r="258" s="3" customFormat="1" x14ac:dyDescent="0.2"/>
    <row r="259" s="3" customFormat="1" x14ac:dyDescent="0.2"/>
    <row r="260" s="3" customFormat="1" x14ac:dyDescent="0.2"/>
    <row r="261" s="3" customFormat="1" x14ac:dyDescent="0.2"/>
    <row r="262" s="3" customFormat="1" x14ac:dyDescent="0.2"/>
    <row r="263" s="3" customFormat="1" x14ac:dyDescent="0.2"/>
    <row r="264" s="3" customFormat="1" x14ac:dyDescent="0.2"/>
    <row r="265" s="3" customFormat="1" x14ac:dyDescent="0.2"/>
    <row r="266" s="3" customFormat="1" x14ac:dyDescent="0.2"/>
    <row r="267" s="3" customFormat="1" x14ac:dyDescent="0.2"/>
    <row r="268" s="3" customFormat="1" x14ac:dyDescent="0.2"/>
    <row r="269" s="3" customFormat="1" x14ac:dyDescent="0.2"/>
    <row r="270" s="3" customFormat="1" x14ac:dyDescent="0.2"/>
    <row r="271" s="3" customFormat="1" x14ac:dyDescent="0.2"/>
    <row r="272" s="3" customFormat="1" x14ac:dyDescent="0.2"/>
    <row r="273" s="3" customFormat="1" x14ac:dyDescent="0.2"/>
    <row r="274" s="3" customFormat="1" x14ac:dyDescent="0.2"/>
    <row r="275" s="3" customFormat="1" x14ac:dyDescent="0.2"/>
    <row r="276" s="3" customFormat="1" x14ac:dyDescent="0.2"/>
    <row r="277" s="3" customFormat="1" x14ac:dyDescent="0.2"/>
    <row r="278" s="3" customFormat="1" x14ac:dyDescent="0.2"/>
    <row r="279" s="3" customFormat="1" x14ac:dyDescent="0.2"/>
    <row r="280" s="3" customFormat="1" x14ac:dyDescent="0.2"/>
    <row r="281" s="3" customFormat="1" x14ac:dyDescent="0.2"/>
    <row r="282" s="3" customFormat="1" x14ac:dyDescent="0.2"/>
    <row r="283" s="3" customFormat="1" x14ac:dyDescent="0.2"/>
    <row r="284" s="3" customFormat="1" x14ac:dyDescent="0.2"/>
    <row r="285" s="3" customFormat="1" x14ac:dyDescent="0.2"/>
    <row r="286" s="3" customFormat="1" x14ac:dyDescent="0.2"/>
    <row r="287" s="3" customFormat="1" x14ac:dyDescent="0.2"/>
    <row r="288" s="3" customFormat="1" x14ac:dyDescent="0.2"/>
    <row r="289" s="3" customFormat="1" x14ac:dyDescent="0.2"/>
    <row r="290" s="3" customFormat="1" x14ac:dyDescent="0.2"/>
    <row r="291" s="3" customFormat="1" x14ac:dyDescent="0.2"/>
    <row r="292" s="3" customFormat="1" x14ac:dyDescent="0.2"/>
    <row r="293" s="3" customFormat="1" x14ac:dyDescent="0.2"/>
    <row r="294" s="3" customFormat="1" x14ac:dyDescent="0.2"/>
    <row r="295" s="3" customFormat="1" x14ac:dyDescent="0.2"/>
    <row r="296" s="3" customFormat="1" x14ac:dyDescent="0.2"/>
    <row r="297" s="3" customFormat="1" x14ac:dyDescent="0.2"/>
    <row r="298" s="3" customFormat="1" x14ac:dyDescent="0.2"/>
    <row r="299" s="3" customFormat="1" x14ac:dyDescent="0.2"/>
    <row r="300" s="3" customFormat="1" x14ac:dyDescent="0.2"/>
    <row r="301" s="3" customFormat="1" x14ac:dyDescent="0.2"/>
    <row r="302" s="3" customFormat="1" x14ac:dyDescent="0.2"/>
    <row r="303" s="3" customFormat="1" x14ac:dyDescent="0.2"/>
    <row r="304" s="3" customFormat="1" x14ac:dyDescent="0.2"/>
    <row r="305" s="3" customFormat="1" x14ac:dyDescent="0.2"/>
    <row r="306" s="3" customFormat="1" x14ac:dyDescent="0.2"/>
    <row r="307" s="3" customFormat="1" x14ac:dyDescent="0.2"/>
    <row r="308" s="3" customFormat="1" x14ac:dyDescent="0.2"/>
    <row r="309" s="3" customFormat="1" x14ac:dyDescent="0.2"/>
    <row r="310" s="3" customFormat="1" x14ac:dyDescent="0.2"/>
    <row r="311" s="3" customFormat="1" x14ac:dyDescent="0.2"/>
    <row r="312" s="3" customFormat="1" x14ac:dyDescent="0.2"/>
    <row r="313" s="3" customFormat="1" x14ac:dyDescent="0.2"/>
    <row r="314" s="3" customFormat="1" x14ac:dyDescent="0.2"/>
    <row r="315" s="3" customFormat="1" x14ac:dyDescent="0.2"/>
    <row r="316" s="3" customFormat="1" x14ac:dyDescent="0.2"/>
    <row r="317" s="3" customFormat="1" x14ac:dyDescent="0.2"/>
    <row r="318" s="3" customFormat="1" x14ac:dyDescent="0.2"/>
    <row r="319" s="3" customFormat="1" x14ac:dyDescent="0.2"/>
    <row r="320" s="3" customFormat="1" x14ac:dyDescent="0.2"/>
    <row r="321" s="3" customFormat="1" x14ac:dyDescent="0.2"/>
    <row r="322" s="3" customFormat="1" x14ac:dyDescent="0.2"/>
    <row r="323" s="3" customFormat="1" x14ac:dyDescent="0.2"/>
    <row r="324" s="3" customFormat="1" x14ac:dyDescent="0.2"/>
    <row r="325" s="3" customFormat="1" x14ac:dyDescent="0.2"/>
    <row r="326" s="3" customFormat="1" x14ac:dyDescent="0.2"/>
    <row r="327" s="3" customFormat="1" x14ac:dyDescent="0.2"/>
    <row r="328" s="3" customFormat="1" x14ac:dyDescent="0.2"/>
    <row r="329" s="3" customFormat="1" x14ac:dyDescent="0.2"/>
    <row r="330" s="3" customFormat="1" x14ac:dyDescent="0.2"/>
    <row r="331" s="3" customFormat="1" x14ac:dyDescent="0.2"/>
    <row r="332" s="3" customFormat="1" x14ac:dyDescent="0.2"/>
    <row r="333" s="3" customFormat="1" x14ac:dyDescent="0.2"/>
    <row r="334" s="3" customFormat="1" x14ac:dyDescent="0.2"/>
    <row r="335" s="3" customFormat="1" x14ac:dyDescent="0.2"/>
    <row r="336" s="3" customFormat="1" x14ac:dyDescent="0.2"/>
    <row r="337" s="3" customFormat="1" x14ac:dyDescent="0.2"/>
    <row r="338" s="3" customFormat="1" x14ac:dyDescent="0.2"/>
    <row r="339" s="3" customFormat="1" x14ac:dyDescent="0.2"/>
    <row r="340" s="3" customFormat="1" x14ac:dyDescent="0.2"/>
    <row r="341" s="3" customFormat="1" x14ac:dyDescent="0.2"/>
    <row r="342" s="3" customFormat="1" x14ac:dyDescent="0.2"/>
    <row r="343" s="3" customFormat="1" x14ac:dyDescent="0.2"/>
    <row r="344" s="3" customFormat="1" x14ac:dyDescent="0.2"/>
    <row r="345" s="3" customFormat="1" x14ac:dyDescent="0.2"/>
    <row r="346" s="3" customFormat="1" x14ac:dyDescent="0.2"/>
    <row r="347" s="3" customFormat="1" x14ac:dyDescent="0.2"/>
    <row r="348" s="3" customFormat="1" x14ac:dyDescent="0.2"/>
    <row r="349" s="3" customFormat="1" x14ac:dyDescent="0.2"/>
    <row r="350" s="3" customFormat="1" x14ac:dyDescent="0.2"/>
    <row r="351" s="3" customFormat="1" x14ac:dyDescent="0.2"/>
    <row r="352" s="3" customFormat="1" x14ac:dyDescent="0.2"/>
    <row r="353" s="3" customFormat="1" x14ac:dyDescent="0.2"/>
    <row r="354" s="3" customFormat="1" x14ac:dyDescent="0.2"/>
    <row r="355" s="3" customFormat="1" x14ac:dyDescent="0.2"/>
    <row r="356" s="3" customFormat="1" x14ac:dyDescent="0.2"/>
    <row r="357" s="3" customFormat="1" x14ac:dyDescent="0.2"/>
    <row r="358" s="3" customFormat="1" x14ac:dyDescent="0.2"/>
    <row r="359" s="3" customFormat="1" x14ac:dyDescent="0.2"/>
    <row r="360" s="3" customFormat="1" x14ac:dyDescent="0.2"/>
    <row r="361" s="3" customFormat="1" x14ac:dyDescent="0.2"/>
    <row r="362" s="3" customFormat="1" x14ac:dyDescent="0.2"/>
    <row r="363" s="3" customFormat="1" x14ac:dyDescent="0.2"/>
    <row r="364" s="3" customFormat="1" x14ac:dyDescent="0.2"/>
    <row r="365" s="3" customFormat="1" x14ac:dyDescent="0.2"/>
    <row r="366" s="3" customFormat="1" x14ac:dyDescent="0.2"/>
    <row r="367" s="3" customFormat="1" x14ac:dyDescent="0.2"/>
    <row r="368" s="3" customFormat="1" x14ac:dyDescent="0.2"/>
    <row r="369" s="3" customFormat="1" x14ac:dyDescent="0.2"/>
    <row r="370" s="3" customFormat="1" x14ac:dyDescent="0.2"/>
    <row r="371" s="3" customFormat="1" x14ac:dyDescent="0.2"/>
    <row r="372" s="3" customFormat="1" x14ac:dyDescent="0.2"/>
    <row r="373" s="3" customFormat="1" x14ac:dyDescent="0.2"/>
    <row r="374" s="3" customFormat="1" x14ac:dyDescent="0.2"/>
    <row r="375" s="3" customFormat="1" x14ac:dyDescent="0.2"/>
    <row r="376" s="3" customFormat="1" x14ac:dyDescent="0.2"/>
    <row r="377" s="3" customFormat="1" x14ac:dyDescent="0.2"/>
    <row r="378" s="3" customFormat="1" x14ac:dyDescent="0.2"/>
    <row r="379" s="3" customFormat="1" x14ac:dyDescent="0.2"/>
    <row r="380" s="3" customFormat="1" x14ac:dyDescent="0.2"/>
    <row r="381" s="3" customFormat="1" x14ac:dyDescent="0.2"/>
    <row r="382" s="3" customFormat="1" x14ac:dyDescent="0.2"/>
    <row r="383" s="3" customFormat="1" x14ac:dyDescent="0.2"/>
    <row r="384" s="3" customFormat="1" x14ac:dyDescent="0.2"/>
    <row r="385" s="3" customFormat="1" x14ac:dyDescent="0.2"/>
    <row r="386" s="3" customFormat="1" x14ac:dyDescent="0.2"/>
    <row r="387" s="3" customFormat="1" x14ac:dyDescent="0.2"/>
    <row r="388" s="3" customFormat="1" x14ac:dyDescent="0.2"/>
    <row r="389" s="3" customFormat="1" x14ac:dyDescent="0.2"/>
    <row r="390" s="3" customFormat="1" x14ac:dyDescent="0.2"/>
    <row r="391" s="3" customFormat="1" x14ac:dyDescent="0.2"/>
  </sheetData>
  <conditionalFormatting sqref="D24:D58">
    <cfRule type="colorScale" priority="26">
      <colorScale>
        <cfvo type="min"/>
        <cfvo type="percentile" val="50"/>
        <cfvo type="max"/>
        <color rgb="FFF8696B"/>
        <color rgb="FFFFEB84"/>
        <color rgb="FF63BE7B"/>
      </colorScale>
    </cfRule>
  </conditionalFormatting>
  <conditionalFormatting sqref="E24:E58">
    <cfRule type="colorScale" priority="25">
      <colorScale>
        <cfvo type="min"/>
        <cfvo type="percentile" val="50"/>
        <cfvo type="max"/>
        <color rgb="FFF8696B"/>
        <color rgb="FFFFEB84"/>
        <color rgb="FF63BE7B"/>
      </colorScale>
    </cfRule>
  </conditionalFormatting>
  <conditionalFormatting sqref="F24:F58">
    <cfRule type="colorScale" priority="24">
      <colorScale>
        <cfvo type="min"/>
        <cfvo type="percentile" val="50"/>
        <cfvo type="max"/>
        <color rgb="FFF8696B"/>
        <color rgb="FFFFEB84"/>
        <color rgb="FF63BE7B"/>
      </colorScale>
    </cfRule>
  </conditionalFormatting>
  <conditionalFormatting sqref="G24:G58">
    <cfRule type="colorScale" priority="23">
      <colorScale>
        <cfvo type="min"/>
        <cfvo type="percentile" val="50"/>
        <cfvo type="max"/>
        <color rgb="FFF8696B"/>
        <color rgb="FFFFEB84"/>
        <color rgb="FF63BE7B"/>
      </colorScale>
    </cfRule>
  </conditionalFormatting>
  <conditionalFormatting sqref="H24:H58">
    <cfRule type="colorScale" priority="22">
      <colorScale>
        <cfvo type="min"/>
        <cfvo type="percentile" val="50"/>
        <cfvo type="max"/>
        <color rgb="FFF8696B"/>
        <color rgb="FFFFEB84"/>
        <color rgb="FF63BE7B"/>
      </colorScale>
    </cfRule>
  </conditionalFormatting>
  <conditionalFormatting sqref="I24:I58">
    <cfRule type="colorScale" priority="21">
      <colorScale>
        <cfvo type="min"/>
        <cfvo type="percentile" val="50"/>
        <cfvo type="max"/>
        <color rgb="FFF8696B"/>
        <color rgb="FFFFEB84"/>
        <color rgb="FF63BE7B"/>
      </colorScale>
    </cfRule>
  </conditionalFormatting>
  <conditionalFormatting sqref="J24:J58">
    <cfRule type="colorScale" priority="20">
      <colorScale>
        <cfvo type="min"/>
        <cfvo type="percentile" val="50"/>
        <cfvo type="max"/>
        <color rgb="FFF8696B"/>
        <color rgb="FFFFEB84"/>
        <color rgb="FF63BE7B"/>
      </colorScale>
    </cfRule>
  </conditionalFormatting>
  <conditionalFormatting sqref="K24:K58">
    <cfRule type="colorScale" priority="19">
      <colorScale>
        <cfvo type="min"/>
        <cfvo type="percentile" val="50"/>
        <cfvo type="max"/>
        <color rgb="FFF8696B"/>
        <color rgb="FFFFEB84"/>
        <color rgb="FF63BE7B"/>
      </colorScale>
    </cfRule>
  </conditionalFormatting>
  <conditionalFormatting sqref="L24:L58">
    <cfRule type="colorScale" priority="18">
      <colorScale>
        <cfvo type="min"/>
        <cfvo type="percentile" val="50"/>
        <cfvo type="max"/>
        <color rgb="FFF8696B"/>
        <color rgb="FFFFEB84"/>
        <color rgb="FF63BE7B"/>
      </colorScale>
    </cfRule>
  </conditionalFormatting>
  <conditionalFormatting sqref="M24:M58">
    <cfRule type="colorScale" priority="17">
      <colorScale>
        <cfvo type="min"/>
        <cfvo type="percentile" val="50"/>
        <cfvo type="max"/>
        <color rgb="FFF8696B"/>
        <color rgb="FFFFEB84"/>
        <color rgb="FF63BE7B"/>
      </colorScale>
    </cfRule>
  </conditionalFormatting>
  <conditionalFormatting sqref="N24:N58">
    <cfRule type="colorScale" priority="16">
      <colorScale>
        <cfvo type="min"/>
        <cfvo type="percentile" val="50"/>
        <cfvo type="max"/>
        <color rgb="FFF8696B"/>
        <color rgb="FFFFEB84"/>
        <color rgb="FF63BE7B"/>
      </colorScale>
    </cfRule>
  </conditionalFormatting>
  <conditionalFormatting sqref="O24:O58">
    <cfRule type="colorScale" priority="15">
      <colorScale>
        <cfvo type="min"/>
        <cfvo type="percentile" val="50"/>
        <cfvo type="max"/>
        <color rgb="FFF8696B"/>
        <color rgb="FFFFEB84"/>
        <color rgb="FF63BE7B"/>
      </colorScale>
    </cfRule>
  </conditionalFormatting>
  <conditionalFormatting sqref="P24:P58">
    <cfRule type="colorScale" priority="14">
      <colorScale>
        <cfvo type="min"/>
        <cfvo type="percentile" val="50"/>
        <cfvo type="max"/>
        <color rgb="FFF8696B"/>
        <color rgb="FFFFEB84"/>
        <color rgb="FF63BE7B"/>
      </colorScale>
    </cfRule>
  </conditionalFormatting>
  <conditionalFormatting sqref="Q24:Q58">
    <cfRule type="colorScale" priority="13">
      <colorScale>
        <cfvo type="min"/>
        <cfvo type="percentile" val="50"/>
        <cfvo type="max"/>
        <color rgb="FFF8696B"/>
        <color rgb="FFFFEB84"/>
        <color rgb="FF63BE7B"/>
      </colorScale>
    </cfRule>
  </conditionalFormatting>
  <conditionalFormatting sqref="R24:R58">
    <cfRule type="colorScale" priority="12">
      <colorScale>
        <cfvo type="min"/>
        <cfvo type="percentile" val="50"/>
        <cfvo type="max"/>
        <color rgb="FFF8696B"/>
        <color rgb="FFFFEB84"/>
        <color rgb="FF63BE7B"/>
      </colorScale>
    </cfRule>
  </conditionalFormatting>
  <conditionalFormatting sqref="S24:S58">
    <cfRule type="colorScale" priority="11">
      <colorScale>
        <cfvo type="min"/>
        <cfvo type="percentile" val="50"/>
        <cfvo type="max"/>
        <color rgb="FFF8696B"/>
        <color rgb="FFFFEB84"/>
        <color rgb="FF63BE7B"/>
      </colorScale>
    </cfRule>
  </conditionalFormatting>
  <conditionalFormatting sqref="T24:T58">
    <cfRule type="colorScale" priority="10">
      <colorScale>
        <cfvo type="min"/>
        <cfvo type="percentile" val="50"/>
        <cfvo type="max"/>
        <color rgb="FFF8696B"/>
        <color rgb="FFFFEB84"/>
        <color rgb="FF63BE7B"/>
      </colorScale>
    </cfRule>
  </conditionalFormatting>
  <conditionalFormatting sqref="U24:U58">
    <cfRule type="colorScale" priority="9">
      <colorScale>
        <cfvo type="min"/>
        <cfvo type="percentile" val="50"/>
        <cfvo type="max"/>
        <color rgb="FFF8696B"/>
        <color rgb="FFFFEB84"/>
        <color rgb="FF63BE7B"/>
      </colorScale>
    </cfRule>
  </conditionalFormatting>
  <conditionalFormatting sqref="V24:V58">
    <cfRule type="colorScale" priority="8">
      <colorScale>
        <cfvo type="min"/>
        <cfvo type="percentile" val="50"/>
        <cfvo type="max"/>
        <color rgb="FFF8696B"/>
        <color rgb="FFFFEB84"/>
        <color rgb="FF63BE7B"/>
      </colorScale>
    </cfRule>
  </conditionalFormatting>
  <conditionalFormatting sqref="W24:W58">
    <cfRule type="colorScale" priority="7">
      <colorScale>
        <cfvo type="min"/>
        <cfvo type="percentile" val="50"/>
        <cfvo type="max"/>
        <color rgb="FFF8696B"/>
        <color rgb="FFFFEB84"/>
        <color rgb="FF63BE7B"/>
      </colorScale>
    </cfRule>
  </conditionalFormatting>
  <conditionalFormatting sqref="X24:X58">
    <cfRule type="colorScale" priority="6">
      <colorScale>
        <cfvo type="min"/>
        <cfvo type="percentile" val="50"/>
        <cfvo type="max"/>
        <color rgb="FFF8696B"/>
        <color rgb="FFFFEB84"/>
        <color rgb="FF63BE7B"/>
      </colorScale>
    </cfRule>
  </conditionalFormatting>
  <conditionalFormatting sqref="Y24:Y58">
    <cfRule type="colorScale" priority="5">
      <colorScale>
        <cfvo type="min"/>
        <cfvo type="percentile" val="50"/>
        <cfvo type="max"/>
        <color rgb="FFF8696B"/>
        <color rgb="FFFFEB84"/>
        <color rgb="FF63BE7B"/>
      </colorScale>
    </cfRule>
  </conditionalFormatting>
  <conditionalFormatting sqref="Z24:Z58">
    <cfRule type="colorScale" priority="4">
      <colorScale>
        <cfvo type="min"/>
        <cfvo type="percentile" val="50"/>
        <cfvo type="max"/>
        <color rgb="FFF8696B"/>
        <color rgb="FFFFEB84"/>
        <color rgb="FF63BE7B"/>
      </colorScale>
    </cfRule>
  </conditionalFormatting>
  <conditionalFormatting sqref="AA24:AB58 AB59:AB98">
    <cfRule type="colorScale" priority="3">
      <colorScale>
        <cfvo type="min"/>
        <cfvo type="percentile" val="50"/>
        <cfvo type="max"/>
        <color rgb="FFF8696B"/>
        <color rgb="FFFFEB84"/>
        <color rgb="FF63BE7B"/>
      </colorScale>
    </cfRule>
  </conditionalFormatting>
  <conditionalFormatting sqref="C24:C123">
    <cfRule type="colorScale" priority="28">
      <colorScale>
        <cfvo type="min"/>
        <cfvo type="percentile" val="50"/>
        <cfvo type="max"/>
        <color rgb="FFF8696B"/>
        <color rgb="FFFFEB84"/>
        <color rgb="FF63BE7B"/>
      </colorScale>
    </cfRule>
  </conditionalFormatting>
  <conditionalFormatting sqref="D59:D123">
    <cfRule type="colorScale" priority="29">
      <colorScale>
        <cfvo type="min"/>
        <cfvo type="percentile" val="50"/>
        <cfvo type="max"/>
        <color rgb="FFF8696B"/>
        <color rgb="FFFFEB84"/>
        <color rgb="FF63BE7B"/>
      </colorScale>
    </cfRule>
  </conditionalFormatting>
  <conditionalFormatting sqref="E59:AA105 Z106:AA106 E106:Y123">
    <cfRule type="colorScale" priority="30">
      <colorScale>
        <cfvo type="min"/>
        <cfvo type="percentile" val="50"/>
        <cfvo type="max"/>
        <color rgb="FFF8696B"/>
        <color rgb="FFFFEB84"/>
        <color rgb="FF63BE7B"/>
      </colorScale>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FF0000"/>
  </sheetPr>
  <dimension ref="A1:FR1458"/>
  <sheetViews>
    <sheetView tabSelected="1" zoomScale="140" zoomScaleNormal="140" workbookViewId="0">
      <pane ySplit="2" topLeftCell="A781" activePane="bottomLeft" state="frozen"/>
      <selection pane="bottomLeft" activeCell="K22" sqref="K22"/>
    </sheetView>
  </sheetViews>
  <sheetFormatPr baseColWidth="10" defaultColWidth="8.83203125" defaultRowHeight="15" x14ac:dyDescent="0.2"/>
  <cols>
    <col min="1" max="1" width="11.1640625" style="33" customWidth="1"/>
    <col min="2" max="2" width="12.6640625" style="2" customWidth="1"/>
    <col min="3" max="5" width="11" style="1" customWidth="1"/>
    <col min="6" max="9" width="9.1640625" style="33"/>
    <col min="10" max="174" width="9.1640625" style="27"/>
  </cols>
  <sheetData>
    <row r="1" spans="1:17" ht="16" thickBot="1" x14ac:dyDescent="0.25"/>
    <row r="2" spans="1:17" ht="33" thickBot="1" x14ac:dyDescent="0.25">
      <c r="A2" s="42" t="s">
        <v>3</v>
      </c>
      <c r="B2" s="48" t="s">
        <v>839</v>
      </c>
      <c r="C2" s="43" t="s">
        <v>4</v>
      </c>
      <c r="D2" s="44" t="s">
        <v>5</v>
      </c>
      <c r="E2" s="45" t="s">
        <v>891</v>
      </c>
      <c r="F2" s="45" t="s">
        <v>986</v>
      </c>
      <c r="G2" s="45" t="s">
        <v>985</v>
      </c>
      <c r="H2" s="46" t="s">
        <v>900</v>
      </c>
      <c r="I2" s="47" t="s">
        <v>901</v>
      </c>
      <c r="K2" s="37" t="str">
        <f>Table143454[[#Headers],[JPN]]</f>
        <v>JPN</v>
      </c>
      <c r="L2" s="27" t="str">
        <f>VLOOKUP(K2,Notes!O13:P246,2,)</f>
        <v>Japan</v>
      </c>
      <c r="M2" s="27" t="str">
        <f>L2&amp;" CPI yoy %"</f>
        <v>Japan CPI yoy %</v>
      </c>
      <c r="N2" s="27" t="str">
        <f>L2&amp;" Core CPI yoy %"</f>
        <v>Japan Core CPI yoy %</v>
      </c>
      <c r="Q2" s="38" t="s">
        <v>1410</v>
      </c>
    </row>
    <row r="3" spans="1:17" x14ac:dyDescent="0.2">
      <c r="A3" s="39">
        <f>IF(Data!B31="",#N/A,Data!B31)</f>
        <v>18749</v>
      </c>
      <c r="B3" s="40">
        <f>VLOOKUP(A3,Data!B:AY,MATCH($B$2,Data!$C$1:$AY$1,0),FALSE)</f>
        <v>0</v>
      </c>
      <c r="C3" s="41"/>
      <c r="D3" s="41"/>
      <c r="E3" s="41" t="e">
        <f>(Table143454[[#This Row],[JPN]]-#REF!)/#REF!</f>
        <v>#REF!</v>
      </c>
      <c r="F3" s="40">
        <f>VLOOKUP(Table143454[[#This Row],[Date]],'Data Core CPI'!$B:$AY,MATCH($B$2,'Data Core CPI'!$C$1:$AY$1,0),FALSE)</f>
        <v>0</v>
      </c>
      <c r="G3" s="41" t="e">
        <f t="shared" ref="G3:G66" si="0">(F3/F2)-1</f>
        <v>#VALUE!</v>
      </c>
      <c r="H3" s="41" t="e">
        <f t="shared" ref="H3:H66" si="1">((1+G3)^12)-1</f>
        <v>#VALUE!</v>
      </c>
      <c r="I3" s="41" t="e">
        <f>(Table143454[[#This Row],[Core CPI]]-#REF!)/#REF!</f>
        <v>#REF!</v>
      </c>
    </row>
    <row r="4" spans="1:17" x14ac:dyDescent="0.2">
      <c r="A4" s="34">
        <f>IF(Data!B32="",#N/A,Data!B32)</f>
        <v>18780</v>
      </c>
      <c r="B4" s="35">
        <f>VLOOKUP(A4,Data!B:AY,MATCH($B$2,Data!$C$1:$AY$1,0),FALSE)</f>
        <v>0</v>
      </c>
      <c r="C4" s="36" t="e">
        <f>(B4/B3)-1</f>
        <v>#DIV/0!</v>
      </c>
      <c r="D4" s="36" t="e">
        <f>(Table143454[[#This Row],[JPN]]-#REF!)/#REF!</f>
        <v>#REF!</v>
      </c>
      <c r="E4" s="36" t="e">
        <f>(Table143454[[#This Row],[JPN]]-#REF!)/#REF!</f>
        <v>#REF!</v>
      </c>
      <c r="F4" s="35">
        <f>VLOOKUP(Table143454[[#This Row],[Date]],'Data Core CPI'!$B:$AY,MATCH($B$2,'Data Core CPI'!$C$1:$AY$1,0),FALSE)</f>
        <v>0</v>
      </c>
      <c r="G4" s="36" t="e">
        <f t="shared" si="0"/>
        <v>#DIV/0!</v>
      </c>
      <c r="H4" s="36" t="e">
        <f t="shared" si="1"/>
        <v>#DIV/0!</v>
      </c>
      <c r="I4" s="36" t="e">
        <f>(Table143454[[#This Row],[Core CPI]]-#REF!)/#REF!</f>
        <v>#REF!</v>
      </c>
    </row>
    <row r="5" spans="1:17" x14ac:dyDescent="0.2">
      <c r="A5" s="34">
        <f>IF(Data!B33="",#N/A,Data!B33)</f>
        <v>18810</v>
      </c>
      <c r="B5" s="35">
        <f>VLOOKUP(A5,Data!B:AY,MATCH($B$2,Data!$C$1:$AY$1,0),FALSE)</f>
        <v>0</v>
      </c>
      <c r="C5" s="36" t="e">
        <f t="shared" ref="C5:C68" si="2">(B5/B4)-1</f>
        <v>#DIV/0!</v>
      </c>
      <c r="D5" s="36" t="e">
        <f>(Table143454[[#This Row],[JPN]]-#REF!)/#REF!</f>
        <v>#REF!</v>
      </c>
      <c r="E5" s="36" t="e">
        <f>(Table143454[[#This Row],[JPN]]-#REF!)/#REF!</f>
        <v>#REF!</v>
      </c>
      <c r="F5" s="35">
        <f>VLOOKUP(Table143454[[#This Row],[Date]],'Data Core CPI'!$B:$AY,MATCH($B$2,'Data Core CPI'!$C$1:$AY$1,0),FALSE)</f>
        <v>0</v>
      </c>
      <c r="G5" s="36" t="e">
        <f t="shared" si="0"/>
        <v>#DIV/0!</v>
      </c>
      <c r="H5" s="36" t="e">
        <f t="shared" si="1"/>
        <v>#DIV/0!</v>
      </c>
      <c r="I5" s="36" t="e">
        <f>(Table143454[[#This Row],[Core CPI]]-#REF!)/#REF!</f>
        <v>#REF!</v>
      </c>
    </row>
    <row r="6" spans="1:17" x14ac:dyDescent="0.2">
      <c r="A6" s="34">
        <f>IF(Data!B34="",#N/A,Data!B34)</f>
        <v>18841</v>
      </c>
      <c r="B6" s="35">
        <f>VLOOKUP(A6,Data!B:AY,MATCH($B$2,Data!$C$1:$AY$1,0),FALSE)</f>
        <v>0</v>
      </c>
      <c r="C6" s="36" t="e">
        <f t="shared" si="2"/>
        <v>#DIV/0!</v>
      </c>
      <c r="D6" s="36" t="e">
        <f>(Table143454[[#This Row],[JPN]]-#REF!)/#REF!</f>
        <v>#REF!</v>
      </c>
      <c r="E6" s="36" t="e">
        <f>(Table143454[[#This Row],[JPN]]-#REF!)/#REF!</f>
        <v>#REF!</v>
      </c>
      <c r="F6" s="35">
        <f>VLOOKUP(Table143454[[#This Row],[Date]],'Data Core CPI'!$B:$AY,MATCH($B$2,'Data Core CPI'!$C$1:$AY$1,0),FALSE)</f>
        <v>0</v>
      </c>
      <c r="G6" s="36" t="e">
        <f t="shared" si="0"/>
        <v>#DIV/0!</v>
      </c>
      <c r="H6" s="36" t="e">
        <f t="shared" si="1"/>
        <v>#DIV/0!</v>
      </c>
      <c r="I6" s="36" t="e">
        <f>(Table143454[[#This Row],[Core CPI]]-#REF!)/#REF!</f>
        <v>#REF!</v>
      </c>
    </row>
    <row r="7" spans="1:17" x14ac:dyDescent="0.2">
      <c r="A7" s="34">
        <f>IF(Data!B35="",#N/A,Data!B35)</f>
        <v>18872</v>
      </c>
      <c r="B7" s="35">
        <f>VLOOKUP(A7,Data!B:AY,MATCH($B$2,Data!$C$1:$AY$1,0),FALSE)</f>
        <v>0</v>
      </c>
      <c r="C7" s="36" t="e">
        <f t="shared" si="2"/>
        <v>#DIV/0!</v>
      </c>
      <c r="D7" s="36" t="e">
        <f>(Table143454[[#This Row],[JPN]]-#REF!)/#REF!</f>
        <v>#REF!</v>
      </c>
      <c r="E7" s="36" t="e">
        <f>(Table143454[[#This Row],[JPN]]-#REF!)/#REF!</f>
        <v>#REF!</v>
      </c>
      <c r="F7" s="35">
        <f>VLOOKUP(Table143454[[#This Row],[Date]],'Data Core CPI'!$B:$AY,MATCH($B$2,'Data Core CPI'!$C$1:$AY$1,0),FALSE)</f>
        <v>0</v>
      </c>
      <c r="G7" s="36" t="e">
        <f t="shared" si="0"/>
        <v>#DIV/0!</v>
      </c>
      <c r="H7" s="36" t="e">
        <f t="shared" si="1"/>
        <v>#DIV/0!</v>
      </c>
      <c r="I7" s="36" t="e">
        <f>(Table143454[[#This Row],[Core CPI]]-#REF!)/#REF!</f>
        <v>#REF!</v>
      </c>
    </row>
    <row r="8" spans="1:17" x14ac:dyDescent="0.2">
      <c r="A8" s="34">
        <f>IF(Data!B36="",#N/A,Data!B36)</f>
        <v>18902</v>
      </c>
      <c r="B8" s="35">
        <f>VLOOKUP(A8,Data!B:AY,MATCH($B$2,Data!$C$1:$AY$1,0),FALSE)</f>
        <v>0</v>
      </c>
      <c r="C8" s="36" t="e">
        <f t="shared" si="2"/>
        <v>#DIV/0!</v>
      </c>
      <c r="D8" s="36" t="e">
        <f>(Table143454[[#This Row],[JPN]]-#REF!)/#REF!</f>
        <v>#REF!</v>
      </c>
      <c r="E8" s="36" t="e">
        <f>(Table143454[[#This Row],[JPN]]-#REF!)/#REF!</f>
        <v>#REF!</v>
      </c>
      <c r="F8" s="35">
        <f>VLOOKUP(Table143454[[#This Row],[Date]],'Data Core CPI'!$B:$AY,MATCH($B$2,'Data Core CPI'!$C$1:$AY$1,0),FALSE)</f>
        <v>0</v>
      </c>
      <c r="G8" s="36" t="e">
        <f t="shared" si="0"/>
        <v>#DIV/0!</v>
      </c>
      <c r="H8" s="36" t="e">
        <f t="shared" si="1"/>
        <v>#DIV/0!</v>
      </c>
      <c r="I8" s="36" t="e">
        <f>(Table143454[[#This Row],[Core CPI]]-#REF!)/#REF!</f>
        <v>#REF!</v>
      </c>
    </row>
    <row r="9" spans="1:17" x14ac:dyDescent="0.2">
      <c r="A9" s="34">
        <f>IF(Data!B37="",#N/A,Data!B37)</f>
        <v>18933</v>
      </c>
      <c r="B9" s="35">
        <f>VLOOKUP(A9,Data!B:AY,MATCH($B$2,Data!$C$1:$AY$1,0),FALSE)</f>
        <v>0</v>
      </c>
      <c r="C9" s="36" t="e">
        <f t="shared" si="2"/>
        <v>#DIV/0!</v>
      </c>
      <c r="D9" s="36" t="e">
        <f>(Table143454[[#This Row],[JPN]]-#REF!)/#REF!</f>
        <v>#REF!</v>
      </c>
      <c r="E9" s="36" t="e">
        <f>(Table143454[[#This Row],[JPN]]-#REF!)/#REF!</f>
        <v>#REF!</v>
      </c>
      <c r="F9" s="35">
        <f>VLOOKUP(Table143454[[#This Row],[Date]],'Data Core CPI'!$B:$AY,MATCH($B$2,'Data Core CPI'!$C$1:$AY$1,0),FALSE)</f>
        <v>0</v>
      </c>
      <c r="G9" s="36" t="e">
        <f t="shared" si="0"/>
        <v>#DIV/0!</v>
      </c>
      <c r="H9" s="36" t="e">
        <f t="shared" si="1"/>
        <v>#DIV/0!</v>
      </c>
      <c r="I9" s="36" t="e">
        <f>(Table143454[[#This Row],[Core CPI]]-#REF!)/#REF!</f>
        <v>#REF!</v>
      </c>
    </row>
    <row r="10" spans="1:17" x14ac:dyDescent="0.2">
      <c r="A10" s="34">
        <f>IF(Data!B38="",#N/A,Data!B38)</f>
        <v>18963</v>
      </c>
      <c r="B10" s="35">
        <f>VLOOKUP(A10,Data!B:AY,MATCH($B$2,Data!$C$1:$AY$1,0),FALSE)</f>
        <v>0</v>
      </c>
      <c r="C10" s="36" t="e">
        <f t="shared" si="2"/>
        <v>#DIV/0!</v>
      </c>
      <c r="D10" s="36" t="e">
        <f>(Table143454[[#This Row],[JPN]]-#REF!)/#REF!</f>
        <v>#REF!</v>
      </c>
      <c r="E10" s="36" t="e">
        <f>(Table143454[[#This Row],[JPN]]-#REF!)/#REF!</f>
        <v>#REF!</v>
      </c>
      <c r="F10" s="35">
        <f>VLOOKUP(Table143454[[#This Row],[Date]],'Data Core CPI'!$B:$AY,MATCH($B$2,'Data Core CPI'!$C$1:$AY$1,0),FALSE)</f>
        <v>0</v>
      </c>
      <c r="G10" s="36" t="e">
        <f t="shared" si="0"/>
        <v>#DIV/0!</v>
      </c>
      <c r="H10" s="36" t="e">
        <f t="shared" si="1"/>
        <v>#DIV/0!</v>
      </c>
      <c r="I10" s="36" t="e">
        <f>(Table143454[[#This Row],[Core CPI]]-#REF!)/#REF!</f>
        <v>#REF!</v>
      </c>
    </row>
    <row r="11" spans="1:17" x14ac:dyDescent="0.2">
      <c r="A11" s="34">
        <f>IF(Data!B39="",#N/A,Data!B39)</f>
        <v>18994</v>
      </c>
      <c r="B11" s="35">
        <f>VLOOKUP(A11,Data!B:AY,MATCH($B$2,Data!$C$1:$AY$1,0),FALSE)</f>
        <v>0</v>
      </c>
      <c r="C11" s="36" t="e">
        <f t="shared" si="2"/>
        <v>#DIV/0!</v>
      </c>
      <c r="D11" s="36" t="e">
        <f>(Table143454[[#This Row],[JPN]]-#REF!)/#REF!</f>
        <v>#REF!</v>
      </c>
      <c r="E11" s="36" t="e">
        <f>(Table143454[[#This Row],[JPN]]-#REF!)/#REF!</f>
        <v>#REF!</v>
      </c>
      <c r="F11" s="35">
        <f>VLOOKUP(Table143454[[#This Row],[Date]],'Data Core CPI'!$B:$AY,MATCH($B$2,'Data Core CPI'!$C$1:$AY$1,0),FALSE)</f>
        <v>0</v>
      </c>
      <c r="G11" s="36" t="e">
        <f t="shared" si="0"/>
        <v>#DIV/0!</v>
      </c>
      <c r="H11" s="36" t="e">
        <f t="shared" si="1"/>
        <v>#DIV/0!</v>
      </c>
      <c r="I11" s="36" t="e">
        <f>(Table143454[[#This Row],[Core CPI]]-#REF!)/#REF!</f>
        <v>#REF!</v>
      </c>
    </row>
    <row r="12" spans="1:17" x14ac:dyDescent="0.2">
      <c r="A12" s="34">
        <f>IF(Data!B40="",#N/A,Data!B40)</f>
        <v>19025</v>
      </c>
      <c r="B12" s="35">
        <f>VLOOKUP(A12,Data!B:AY,MATCH($B$2,Data!$C$1:$AY$1,0),FALSE)</f>
        <v>0</v>
      </c>
      <c r="C12" s="36" t="e">
        <f t="shared" si="2"/>
        <v>#DIV/0!</v>
      </c>
      <c r="D12" s="36" t="e">
        <f>(Table143454[[#This Row],[JPN]]-#REF!)/#REF!</f>
        <v>#REF!</v>
      </c>
      <c r="E12" s="36" t="e">
        <f>(Table143454[[#This Row],[JPN]]-#REF!)/#REF!</f>
        <v>#REF!</v>
      </c>
      <c r="F12" s="35">
        <f>VLOOKUP(Table143454[[#This Row],[Date]],'Data Core CPI'!$B:$AY,MATCH($B$2,'Data Core CPI'!$C$1:$AY$1,0),FALSE)</f>
        <v>0</v>
      </c>
      <c r="G12" s="36" t="e">
        <f t="shared" si="0"/>
        <v>#DIV/0!</v>
      </c>
      <c r="H12" s="36" t="e">
        <f t="shared" si="1"/>
        <v>#DIV/0!</v>
      </c>
      <c r="I12" s="36" t="e">
        <f>(Table143454[[#This Row],[Core CPI]]-#REF!)/#REF!</f>
        <v>#REF!</v>
      </c>
    </row>
    <row r="13" spans="1:17" x14ac:dyDescent="0.2">
      <c r="A13" s="34">
        <f>IF(Data!B41="",#N/A,Data!B41)</f>
        <v>19054</v>
      </c>
      <c r="B13" s="35">
        <f>VLOOKUP(A13,Data!B:AY,MATCH($B$2,Data!$C$1:$AY$1,0),FALSE)</f>
        <v>0</v>
      </c>
      <c r="C13" s="36" t="e">
        <f t="shared" si="2"/>
        <v>#DIV/0!</v>
      </c>
      <c r="D13" s="36" t="e">
        <f>(Table143454[[#This Row],[JPN]]-#REF!)/#REF!</f>
        <v>#REF!</v>
      </c>
      <c r="E13" s="36" t="e">
        <f>(Table143454[[#This Row],[JPN]]-#REF!)/#REF!</f>
        <v>#REF!</v>
      </c>
      <c r="F13" s="35">
        <f>VLOOKUP(Table143454[[#This Row],[Date]],'Data Core CPI'!$B:$AY,MATCH($B$2,'Data Core CPI'!$C$1:$AY$1,0),FALSE)</f>
        <v>0</v>
      </c>
      <c r="G13" s="36" t="e">
        <f t="shared" si="0"/>
        <v>#DIV/0!</v>
      </c>
      <c r="H13" s="36" t="e">
        <f t="shared" si="1"/>
        <v>#DIV/0!</v>
      </c>
      <c r="I13" s="36" t="e">
        <f>(Table143454[[#This Row],[Core CPI]]-#REF!)/#REF!</f>
        <v>#REF!</v>
      </c>
    </row>
    <row r="14" spans="1:17" x14ac:dyDescent="0.2">
      <c r="A14" s="34">
        <f>IF(Data!B42="",#N/A,Data!B42)</f>
        <v>19085</v>
      </c>
      <c r="B14" s="35">
        <f>VLOOKUP(A14,Data!B:AY,MATCH($B$2,Data!$C$1:$AY$1,0),FALSE)</f>
        <v>0</v>
      </c>
      <c r="C14" s="36" t="e">
        <f t="shared" si="2"/>
        <v>#DIV/0!</v>
      </c>
      <c r="D14" s="36" t="e">
        <f>(Table143454[[#This Row],[JPN]]-B2)/B2</f>
        <v>#VALUE!</v>
      </c>
      <c r="E14" s="36" t="e">
        <f>(Table143454[[#This Row],[JPN]]-B2)/B2</f>
        <v>#VALUE!</v>
      </c>
      <c r="F14" s="35">
        <f>VLOOKUP(Table143454[[#This Row],[Date]],'Data Core CPI'!$B:$AY,MATCH($B$2,'Data Core CPI'!$C$1:$AY$1,0),FALSE)</f>
        <v>0</v>
      </c>
      <c r="G14" s="36" t="e">
        <f t="shared" si="0"/>
        <v>#DIV/0!</v>
      </c>
      <c r="H14" s="36" t="e">
        <f t="shared" si="1"/>
        <v>#DIV/0!</v>
      </c>
      <c r="I14" s="36" t="e">
        <f>(Table143454[[#This Row],[Core CPI]]-F2)/F2</f>
        <v>#VALUE!</v>
      </c>
    </row>
    <row r="15" spans="1:17" x14ac:dyDescent="0.2">
      <c r="A15" s="34">
        <f>IF(Data!B43="",#N/A,Data!B43)</f>
        <v>19115</v>
      </c>
      <c r="B15" s="35">
        <f>VLOOKUP(A15,Data!B:AY,MATCH($B$2,Data!$C$1:$AY$1,0),FALSE)</f>
        <v>0</v>
      </c>
      <c r="C15" s="36" t="e">
        <f t="shared" si="2"/>
        <v>#DIV/0!</v>
      </c>
      <c r="D15" s="36" t="e">
        <f>(Table143454[[#This Row],[JPN]]-B3)/B3</f>
        <v>#DIV/0!</v>
      </c>
      <c r="E15" s="36" t="e">
        <f>(Table143454[[#This Row],[JPN]]-B3)/B3</f>
        <v>#DIV/0!</v>
      </c>
      <c r="F15" s="35">
        <f>VLOOKUP(Table143454[[#This Row],[Date]],'Data Core CPI'!$B:$AY,MATCH($B$2,'Data Core CPI'!$C$1:$AY$1,0),FALSE)</f>
        <v>0</v>
      </c>
      <c r="G15" s="36" t="e">
        <f t="shared" si="0"/>
        <v>#DIV/0!</v>
      </c>
      <c r="H15" s="36" t="e">
        <f t="shared" si="1"/>
        <v>#DIV/0!</v>
      </c>
      <c r="I15" s="36" t="e">
        <f>(Table143454[[#This Row],[Core CPI]]-F3)/F3</f>
        <v>#DIV/0!</v>
      </c>
    </row>
    <row r="16" spans="1:17" x14ac:dyDescent="0.2">
      <c r="A16" s="34">
        <f>IF(Data!B44="",#N/A,Data!B44)</f>
        <v>19146</v>
      </c>
      <c r="B16" s="35">
        <f>VLOOKUP(A16,Data!B:AY,MATCH($B$2,Data!$C$1:$AY$1,0),FALSE)</f>
        <v>0</v>
      </c>
      <c r="C16" s="36" t="e">
        <f t="shared" si="2"/>
        <v>#DIV/0!</v>
      </c>
      <c r="D16" s="36" t="e">
        <f>(Table143454[[#This Row],[JPN]]-B4)/B4</f>
        <v>#DIV/0!</v>
      </c>
      <c r="E16" s="36" t="e">
        <f>(Table143454[[#This Row],[JPN]]-B4)/B4</f>
        <v>#DIV/0!</v>
      </c>
      <c r="F16" s="35">
        <f>VLOOKUP(Table143454[[#This Row],[Date]],'Data Core CPI'!$B:$AY,MATCH($B$2,'Data Core CPI'!$C$1:$AY$1,0),FALSE)</f>
        <v>0</v>
      </c>
      <c r="G16" s="36" t="e">
        <f t="shared" si="0"/>
        <v>#DIV/0!</v>
      </c>
      <c r="H16" s="36" t="e">
        <f t="shared" si="1"/>
        <v>#DIV/0!</v>
      </c>
      <c r="I16" s="36" t="e">
        <f>(Table143454[[#This Row],[Core CPI]]-F4)/F4</f>
        <v>#DIV/0!</v>
      </c>
    </row>
    <row r="17" spans="1:9" x14ac:dyDescent="0.2">
      <c r="A17" s="34">
        <f>IF(Data!B45="",#N/A,Data!B45)</f>
        <v>19176</v>
      </c>
      <c r="B17" s="35">
        <f>VLOOKUP(A17,Data!B:AY,MATCH($B$2,Data!$C$1:$AY$1,0),FALSE)</f>
        <v>0</v>
      </c>
      <c r="C17" s="36" t="e">
        <f t="shared" si="2"/>
        <v>#DIV/0!</v>
      </c>
      <c r="D17" s="36" t="e">
        <f>(Table143454[[#This Row],[JPN]]-B5)/B5</f>
        <v>#DIV/0!</v>
      </c>
      <c r="E17" s="36" t="e">
        <f>(Table143454[[#This Row],[JPN]]-B5)/B5</f>
        <v>#DIV/0!</v>
      </c>
      <c r="F17" s="35">
        <f>VLOOKUP(Table143454[[#This Row],[Date]],'Data Core CPI'!$B:$AY,MATCH($B$2,'Data Core CPI'!$C$1:$AY$1,0),FALSE)</f>
        <v>0</v>
      </c>
      <c r="G17" s="36" t="e">
        <f t="shared" si="0"/>
        <v>#DIV/0!</v>
      </c>
      <c r="H17" s="36" t="e">
        <f t="shared" si="1"/>
        <v>#DIV/0!</v>
      </c>
      <c r="I17" s="36" t="e">
        <f>(Table143454[[#This Row],[Core CPI]]-F5)/F5</f>
        <v>#DIV/0!</v>
      </c>
    </row>
    <row r="18" spans="1:9" x14ac:dyDescent="0.2">
      <c r="A18" s="34">
        <f>IF(Data!B46="",#N/A,Data!B46)</f>
        <v>19207</v>
      </c>
      <c r="B18" s="35">
        <f>VLOOKUP(A18,Data!B:AY,MATCH($B$2,Data!$C$1:$AY$1,0),FALSE)</f>
        <v>0</v>
      </c>
      <c r="C18" s="36" t="e">
        <f t="shared" si="2"/>
        <v>#DIV/0!</v>
      </c>
      <c r="D18" s="36" t="e">
        <f>(Table143454[[#This Row],[JPN]]-B6)/B6</f>
        <v>#DIV/0!</v>
      </c>
      <c r="E18" s="36" t="e">
        <f>(Table143454[[#This Row],[JPN]]-B6)/B6</f>
        <v>#DIV/0!</v>
      </c>
      <c r="F18" s="35">
        <f>VLOOKUP(Table143454[[#This Row],[Date]],'Data Core CPI'!$B:$AY,MATCH($B$2,'Data Core CPI'!$C$1:$AY$1,0),FALSE)</f>
        <v>0</v>
      </c>
      <c r="G18" s="36" t="e">
        <f t="shared" si="0"/>
        <v>#DIV/0!</v>
      </c>
      <c r="H18" s="36" t="e">
        <f t="shared" si="1"/>
        <v>#DIV/0!</v>
      </c>
      <c r="I18" s="36" t="e">
        <f>(Table143454[[#This Row],[Core CPI]]-F6)/F6</f>
        <v>#DIV/0!</v>
      </c>
    </row>
    <row r="19" spans="1:9" x14ac:dyDescent="0.2">
      <c r="A19" s="34">
        <f>IF(Data!B47="",#N/A,Data!B47)</f>
        <v>19238</v>
      </c>
      <c r="B19" s="35">
        <f>VLOOKUP(A19,Data!B:AY,MATCH($B$2,Data!$C$1:$AY$1,0),FALSE)</f>
        <v>0</v>
      </c>
      <c r="C19" s="36" t="e">
        <f t="shared" si="2"/>
        <v>#DIV/0!</v>
      </c>
      <c r="D19" s="36" t="e">
        <f>(Table143454[[#This Row],[JPN]]-B7)/B7</f>
        <v>#DIV/0!</v>
      </c>
      <c r="E19" s="36" t="e">
        <f>(Table143454[[#This Row],[JPN]]-B7)/B7</f>
        <v>#DIV/0!</v>
      </c>
      <c r="F19" s="35">
        <f>VLOOKUP(Table143454[[#This Row],[Date]],'Data Core CPI'!$B:$AY,MATCH($B$2,'Data Core CPI'!$C$1:$AY$1,0),FALSE)</f>
        <v>0</v>
      </c>
      <c r="G19" s="36" t="e">
        <f t="shared" si="0"/>
        <v>#DIV/0!</v>
      </c>
      <c r="H19" s="36" t="e">
        <f t="shared" si="1"/>
        <v>#DIV/0!</v>
      </c>
      <c r="I19" s="36" t="e">
        <f>(Table143454[[#This Row],[Core CPI]]-F7)/F7</f>
        <v>#DIV/0!</v>
      </c>
    </row>
    <row r="20" spans="1:9" x14ac:dyDescent="0.2">
      <c r="A20" s="34">
        <f>IF(Data!B48="",#N/A,Data!B48)</f>
        <v>19268</v>
      </c>
      <c r="B20" s="35">
        <f>VLOOKUP(A20,Data!B:AY,MATCH($B$2,Data!$C$1:$AY$1,0),FALSE)</f>
        <v>0</v>
      </c>
      <c r="C20" s="36" t="e">
        <f t="shared" si="2"/>
        <v>#DIV/0!</v>
      </c>
      <c r="D20" s="36" t="e">
        <f>(Table143454[[#This Row],[JPN]]-B8)/B8</f>
        <v>#DIV/0!</v>
      </c>
      <c r="E20" s="36" t="e">
        <f>(Table143454[[#This Row],[JPN]]-B8)/B8</f>
        <v>#DIV/0!</v>
      </c>
      <c r="F20" s="35">
        <f>VLOOKUP(Table143454[[#This Row],[Date]],'Data Core CPI'!$B:$AY,MATCH($B$2,'Data Core CPI'!$C$1:$AY$1,0),FALSE)</f>
        <v>0</v>
      </c>
      <c r="G20" s="36" t="e">
        <f t="shared" si="0"/>
        <v>#DIV/0!</v>
      </c>
      <c r="H20" s="36" t="e">
        <f t="shared" si="1"/>
        <v>#DIV/0!</v>
      </c>
      <c r="I20" s="36" t="e">
        <f>(Table143454[[#This Row],[Core CPI]]-F8)/F8</f>
        <v>#DIV/0!</v>
      </c>
    </row>
    <row r="21" spans="1:9" x14ac:dyDescent="0.2">
      <c r="A21" s="34">
        <f>IF(Data!B49="",#N/A,Data!B49)</f>
        <v>19299</v>
      </c>
      <c r="B21" s="35">
        <f>VLOOKUP(A21,Data!B:AY,MATCH($B$2,Data!$C$1:$AY$1,0),FALSE)</f>
        <v>0</v>
      </c>
      <c r="C21" s="36" t="e">
        <f t="shared" si="2"/>
        <v>#DIV/0!</v>
      </c>
      <c r="D21" s="36" t="e">
        <f>(Table143454[[#This Row],[JPN]]-B9)/B9</f>
        <v>#DIV/0!</v>
      </c>
      <c r="E21" s="36" t="e">
        <f>(Table143454[[#This Row],[JPN]]-B9)/B9</f>
        <v>#DIV/0!</v>
      </c>
      <c r="F21" s="35">
        <f>VLOOKUP(Table143454[[#This Row],[Date]],'Data Core CPI'!$B:$AY,MATCH($B$2,'Data Core CPI'!$C$1:$AY$1,0),FALSE)</f>
        <v>0</v>
      </c>
      <c r="G21" s="36" t="e">
        <f t="shared" si="0"/>
        <v>#DIV/0!</v>
      </c>
      <c r="H21" s="36" t="e">
        <f t="shared" si="1"/>
        <v>#DIV/0!</v>
      </c>
      <c r="I21" s="36" t="e">
        <f>(Table143454[[#This Row],[Core CPI]]-F9)/F9</f>
        <v>#DIV/0!</v>
      </c>
    </row>
    <row r="22" spans="1:9" x14ac:dyDescent="0.2">
      <c r="A22" s="34">
        <f>IF(Data!B50="",#N/A,Data!B50)</f>
        <v>19329</v>
      </c>
      <c r="B22" s="35">
        <f>VLOOKUP(A22,Data!B:AY,MATCH($B$2,Data!$C$1:$AY$1,0),FALSE)</f>
        <v>0</v>
      </c>
      <c r="C22" s="36" t="e">
        <f t="shared" si="2"/>
        <v>#DIV/0!</v>
      </c>
      <c r="D22" s="36" t="e">
        <f>(Table143454[[#This Row],[JPN]]-B10)/B10</f>
        <v>#DIV/0!</v>
      </c>
      <c r="E22" s="36" t="e">
        <f>(Table143454[[#This Row],[JPN]]-B10)/B10</f>
        <v>#DIV/0!</v>
      </c>
      <c r="F22" s="35">
        <f>VLOOKUP(Table143454[[#This Row],[Date]],'Data Core CPI'!$B:$AY,MATCH($B$2,'Data Core CPI'!$C$1:$AY$1,0),FALSE)</f>
        <v>0</v>
      </c>
      <c r="G22" s="36" t="e">
        <f t="shared" si="0"/>
        <v>#DIV/0!</v>
      </c>
      <c r="H22" s="36" t="e">
        <f t="shared" si="1"/>
        <v>#DIV/0!</v>
      </c>
      <c r="I22" s="36" t="e">
        <f>(Table143454[[#This Row],[Core CPI]]-F10)/F10</f>
        <v>#DIV/0!</v>
      </c>
    </row>
    <row r="23" spans="1:9" x14ac:dyDescent="0.2">
      <c r="A23" s="34">
        <f>IF(Data!B51="",#N/A,Data!B51)</f>
        <v>19360</v>
      </c>
      <c r="B23" s="35">
        <f>VLOOKUP(A23,Data!B:AY,MATCH($B$2,Data!$C$1:$AY$1,0),FALSE)</f>
        <v>0</v>
      </c>
      <c r="C23" s="36" t="e">
        <f t="shared" si="2"/>
        <v>#DIV/0!</v>
      </c>
      <c r="D23" s="36" t="e">
        <f>(Table143454[[#This Row],[JPN]]-B11)/B11</f>
        <v>#DIV/0!</v>
      </c>
      <c r="E23" s="36" t="e">
        <f>(Table143454[[#This Row],[JPN]]-B11)/B11</f>
        <v>#DIV/0!</v>
      </c>
      <c r="F23" s="35">
        <f>VLOOKUP(Table143454[[#This Row],[Date]],'Data Core CPI'!$B:$AY,MATCH($B$2,'Data Core CPI'!$C$1:$AY$1,0),FALSE)</f>
        <v>0</v>
      </c>
      <c r="G23" s="36" t="e">
        <f t="shared" si="0"/>
        <v>#DIV/0!</v>
      </c>
      <c r="H23" s="36" t="e">
        <f t="shared" si="1"/>
        <v>#DIV/0!</v>
      </c>
      <c r="I23" s="36" t="e">
        <f>(Table143454[[#This Row],[Core CPI]]-F11)/F11</f>
        <v>#DIV/0!</v>
      </c>
    </row>
    <row r="24" spans="1:9" x14ac:dyDescent="0.2">
      <c r="A24" s="34">
        <f>IF(Data!B52="",#N/A,Data!B52)</f>
        <v>19391</v>
      </c>
      <c r="B24" s="35">
        <f>VLOOKUP(A24,Data!B:AY,MATCH($B$2,Data!$C$1:$AY$1,0),FALSE)</f>
        <v>0</v>
      </c>
      <c r="C24" s="36" t="e">
        <f t="shared" si="2"/>
        <v>#DIV/0!</v>
      </c>
      <c r="D24" s="36" t="e">
        <f>(Table143454[[#This Row],[JPN]]-B12)/B12</f>
        <v>#DIV/0!</v>
      </c>
      <c r="E24" s="36" t="e">
        <f>(Table143454[[#This Row],[JPN]]-B12)/B12</f>
        <v>#DIV/0!</v>
      </c>
      <c r="F24" s="35">
        <f>VLOOKUP(Table143454[[#This Row],[Date]],'Data Core CPI'!$B:$AY,MATCH($B$2,'Data Core CPI'!$C$1:$AY$1,0),FALSE)</f>
        <v>0</v>
      </c>
      <c r="G24" s="36" t="e">
        <f t="shared" si="0"/>
        <v>#DIV/0!</v>
      </c>
      <c r="H24" s="36" t="e">
        <f t="shared" si="1"/>
        <v>#DIV/0!</v>
      </c>
      <c r="I24" s="36" t="e">
        <f>(Table143454[[#This Row],[Core CPI]]-F12)/F12</f>
        <v>#DIV/0!</v>
      </c>
    </row>
    <row r="25" spans="1:9" x14ac:dyDescent="0.2">
      <c r="A25" s="34">
        <f>IF(Data!B53="",#N/A,Data!B53)</f>
        <v>19419</v>
      </c>
      <c r="B25" s="35">
        <f>VLOOKUP(A25,Data!B:AY,MATCH($B$2,Data!$C$1:$AY$1,0),FALSE)</f>
        <v>0</v>
      </c>
      <c r="C25" s="36" t="e">
        <f t="shared" si="2"/>
        <v>#DIV/0!</v>
      </c>
      <c r="D25" s="36" t="e">
        <f>(Table143454[[#This Row],[JPN]]-B13)/B13</f>
        <v>#DIV/0!</v>
      </c>
      <c r="E25" s="36" t="e">
        <f>(Table143454[[#This Row],[JPN]]-B13)/B13</f>
        <v>#DIV/0!</v>
      </c>
      <c r="F25" s="35">
        <f>VLOOKUP(Table143454[[#This Row],[Date]],'Data Core CPI'!$B:$AY,MATCH($B$2,'Data Core CPI'!$C$1:$AY$1,0),FALSE)</f>
        <v>0</v>
      </c>
      <c r="G25" s="36" t="e">
        <f t="shared" si="0"/>
        <v>#DIV/0!</v>
      </c>
      <c r="H25" s="36" t="e">
        <f t="shared" si="1"/>
        <v>#DIV/0!</v>
      </c>
      <c r="I25" s="36" t="e">
        <f>(Table143454[[#This Row],[Core CPI]]-F13)/F13</f>
        <v>#DIV/0!</v>
      </c>
    </row>
    <row r="26" spans="1:9" x14ac:dyDescent="0.2">
      <c r="A26" s="34">
        <f>IF(Data!B54="",#N/A,Data!B54)</f>
        <v>19450</v>
      </c>
      <c r="B26" s="35">
        <f>VLOOKUP(A26,Data!B:AY,MATCH($B$2,Data!$C$1:$AY$1,0),FALSE)</f>
        <v>0</v>
      </c>
      <c r="C26" s="36" t="e">
        <f t="shared" si="2"/>
        <v>#DIV/0!</v>
      </c>
      <c r="D26" s="36" t="e">
        <f>(Table143454[[#This Row],[JPN]]-B14)/B14</f>
        <v>#DIV/0!</v>
      </c>
      <c r="E26" s="36" t="e">
        <f>(Table143454[[#This Row],[JPN]]-B14)/B14</f>
        <v>#DIV/0!</v>
      </c>
      <c r="F26" s="35">
        <f>VLOOKUP(Table143454[[#This Row],[Date]],'Data Core CPI'!$B:$AY,MATCH($B$2,'Data Core CPI'!$C$1:$AY$1,0),FALSE)</f>
        <v>0</v>
      </c>
      <c r="G26" s="36" t="e">
        <f t="shared" si="0"/>
        <v>#DIV/0!</v>
      </c>
      <c r="H26" s="36" t="e">
        <f t="shared" si="1"/>
        <v>#DIV/0!</v>
      </c>
      <c r="I26" s="36" t="e">
        <f>(Table143454[[#This Row],[Core CPI]]-F14)/F14</f>
        <v>#DIV/0!</v>
      </c>
    </row>
    <row r="27" spans="1:9" x14ac:dyDescent="0.2">
      <c r="A27" s="34">
        <f>IF(Data!B55="",#N/A,Data!B55)</f>
        <v>19480</v>
      </c>
      <c r="B27" s="35">
        <f>VLOOKUP(A27,Data!B:AY,MATCH($B$2,Data!$C$1:$AY$1,0),FALSE)</f>
        <v>0</v>
      </c>
      <c r="C27" s="36" t="e">
        <f t="shared" si="2"/>
        <v>#DIV/0!</v>
      </c>
      <c r="D27" s="36" t="e">
        <f>(Table143454[[#This Row],[JPN]]-B15)/B15</f>
        <v>#DIV/0!</v>
      </c>
      <c r="E27" s="36" t="e">
        <f>(Table143454[[#This Row],[JPN]]-B15)/B15</f>
        <v>#DIV/0!</v>
      </c>
      <c r="F27" s="35">
        <f>VLOOKUP(Table143454[[#This Row],[Date]],'Data Core CPI'!$B:$AY,MATCH($B$2,'Data Core CPI'!$C$1:$AY$1,0),FALSE)</f>
        <v>0</v>
      </c>
      <c r="G27" s="36" t="e">
        <f t="shared" si="0"/>
        <v>#DIV/0!</v>
      </c>
      <c r="H27" s="36" t="e">
        <f t="shared" si="1"/>
        <v>#DIV/0!</v>
      </c>
      <c r="I27" s="36" t="e">
        <f>(Table143454[[#This Row],[Core CPI]]-F15)/F15</f>
        <v>#DIV/0!</v>
      </c>
    </row>
    <row r="28" spans="1:9" x14ac:dyDescent="0.2">
      <c r="A28" s="34">
        <f>IF(Data!B56="",#N/A,Data!B56)</f>
        <v>19511</v>
      </c>
      <c r="B28" s="35">
        <f>VLOOKUP(A28,Data!B:AY,MATCH($B$2,Data!$C$1:$AY$1,0),FALSE)</f>
        <v>0</v>
      </c>
      <c r="C28" s="36" t="e">
        <f t="shared" si="2"/>
        <v>#DIV/0!</v>
      </c>
      <c r="D28" s="36" t="e">
        <f>(Table143454[[#This Row],[JPN]]-B16)/B16</f>
        <v>#DIV/0!</v>
      </c>
      <c r="E28" s="36" t="e">
        <f>(Table143454[[#This Row],[JPN]]-B16)/B16</f>
        <v>#DIV/0!</v>
      </c>
      <c r="F28" s="35">
        <f>VLOOKUP(Table143454[[#This Row],[Date]],'Data Core CPI'!$B:$AY,MATCH($B$2,'Data Core CPI'!$C$1:$AY$1,0),FALSE)</f>
        <v>0</v>
      </c>
      <c r="G28" s="36" t="e">
        <f t="shared" si="0"/>
        <v>#DIV/0!</v>
      </c>
      <c r="H28" s="36" t="e">
        <f t="shared" si="1"/>
        <v>#DIV/0!</v>
      </c>
      <c r="I28" s="36" t="e">
        <f>(Table143454[[#This Row],[Core CPI]]-F16)/F16</f>
        <v>#DIV/0!</v>
      </c>
    </row>
    <row r="29" spans="1:9" x14ac:dyDescent="0.2">
      <c r="A29" s="34">
        <f>IF(Data!B57="",#N/A,Data!B57)</f>
        <v>19541</v>
      </c>
      <c r="B29" s="35">
        <f>VLOOKUP(A29,Data!B:AY,MATCH($B$2,Data!$C$1:$AY$1,0),FALSE)</f>
        <v>0</v>
      </c>
      <c r="C29" s="36" t="e">
        <f t="shared" si="2"/>
        <v>#DIV/0!</v>
      </c>
      <c r="D29" s="36" t="e">
        <f>(Table143454[[#This Row],[JPN]]-B17)/B17</f>
        <v>#DIV/0!</v>
      </c>
      <c r="E29" s="36" t="e">
        <f>(Table143454[[#This Row],[JPN]]-B17)/B17</f>
        <v>#DIV/0!</v>
      </c>
      <c r="F29" s="35">
        <f>VLOOKUP(Table143454[[#This Row],[Date]],'Data Core CPI'!$B:$AY,MATCH($B$2,'Data Core CPI'!$C$1:$AY$1,0),FALSE)</f>
        <v>0</v>
      </c>
      <c r="G29" s="36" t="e">
        <f t="shared" si="0"/>
        <v>#DIV/0!</v>
      </c>
      <c r="H29" s="36" t="e">
        <f t="shared" si="1"/>
        <v>#DIV/0!</v>
      </c>
      <c r="I29" s="36" t="e">
        <f>(Table143454[[#This Row],[Core CPI]]-F17)/F17</f>
        <v>#DIV/0!</v>
      </c>
    </row>
    <row r="30" spans="1:9" x14ac:dyDescent="0.2">
      <c r="A30" s="34">
        <f>IF(Data!B58="",#N/A,Data!B58)</f>
        <v>19572</v>
      </c>
      <c r="B30" s="35">
        <f>VLOOKUP(A30,Data!B:AY,MATCH($B$2,Data!$C$1:$AY$1,0),FALSE)</f>
        <v>0</v>
      </c>
      <c r="C30" s="36" t="e">
        <f t="shared" si="2"/>
        <v>#DIV/0!</v>
      </c>
      <c r="D30" s="36" t="e">
        <f>(Table143454[[#This Row],[JPN]]-B18)/B18</f>
        <v>#DIV/0!</v>
      </c>
      <c r="E30" s="36" t="e">
        <f>(Table143454[[#This Row],[JPN]]-B18)/B18</f>
        <v>#DIV/0!</v>
      </c>
      <c r="F30" s="35">
        <f>VLOOKUP(Table143454[[#This Row],[Date]],'Data Core CPI'!$B:$AY,MATCH($B$2,'Data Core CPI'!$C$1:$AY$1,0),FALSE)</f>
        <v>0</v>
      </c>
      <c r="G30" s="36" t="e">
        <f t="shared" si="0"/>
        <v>#DIV/0!</v>
      </c>
      <c r="H30" s="36" t="e">
        <f t="shared" si="1"/>
        <v>#DIV/0!</v>
      </c>
      <c r="I30" s="36" t="e">
        <f>(Table143454[[#This Row],[Core CPI]]-F18)/F18</f>
        <v>#DIV/0!</v>
      </c>
    </row>
    <row r="31" spans="1:9" x14ac:dyDescent="0.2">
      <c r="A31" s="34">
        <f>IF(Data!B59="",#N/A,Data!B59)</f>
        <v>19603</v>
      </c>
      <c r="B31" s="35">
        <f>VLOOKUP(A31,Data!B:AY,MATCH($B$2,Data!$C$1:$AY$1,0),FALSE)</f>
        <v>0</v>
      </c>
      <c r="C31" s="36" t="e">
        <f t="shared" si="2"/>
        <v>#DIV/0!</v>
      </c>
      <c r="D31" s="36" t="e">
        <f>(Table143454[[#This Row],[JPN]]-B19)/B19</f>
        <v>#DIV/0!</v>
      </c>
      <c r="E31" s="36" t="e">
        <f>(Table143454[[#This Row],[JPN]]-B19)/B19</f>
        <v>#DIV/0!</v>
      </c>
      <c r="F31" s="35">
        <f>VLOOKUP(Table143454[[#This Row],[Date]],'Data Core CPI'!$B:$AY,MATCH($B$2,'Data Core CPI'!$C$1:$AY$1,0),FALSE)</f>
        <v>0</v>
      </c>
      <c r="G31" s="36" t="e">
        <f t="shared" si="0"/>
        <v>#DIV/0!</v>
      </c>
      <c r="H31" s="36" t="e">
        <f t="shared" si="1"/>
        <v>#DIV/0!</v>
      </c>
      <c r="I31" s="36" t="e">
        <f>(Table143454[[#This Row],[Core CPI]]-F19)/F19</f>
        <v>#DIV/0!</v>
      </c>
    </row>
    <row r="32" spans="1:9" x14ac:dyDescent="0.2">
      <c r="A32" s="34">
        <f>IF(Data!B60="",#N/A,Data!B60)</f>
        <v>19633</v>
      </c>
      <c r="B32" s="35">
        <f>VLOOKUP(A32,Data!B:AY,MATCH($B$2,Data!$C$1:$AY$1,0),FALSE)</f>
        <v>0</v>
      </c>
      <c r="C32" s="36" t="e">
        <f t="shared" si="2"/>
        <v>#DIV/0!</v>
      </c>
      <c r="D32" s="36" t="e">
        <f>(Table143454[[#This Row],[JPN]]-B20)/B20</f>
        <v>#DIV/0!</v>
      </c>
      <c r="E32" s="36" t="e">
        <f>(Table143454[[#This Row],[JPN]]-B20)/B20</f>
        <v>#DIV/0!</v>
      </c>
      <c r="F32" s="35">
        <f>VLOOKUP(Table143454[[#This Row],[Date]],'Data Core CPI'!$B:$AY,MATCH($B$2,'Data Core CPI'!$C$1:$AY$1,0),FALSE)</f>
        <v>0</v>
      </c>
      <c r="G32" s="36" t="e">
        <f t="shared" si="0"/>
        <v>#DIV/0!</v>
      </c>
      <c r="H32" s="36" t="e">
        <f t="shared" si="1"/>
        <v>#DIV/0!</v>
      </c>
      <c r="I32" s="36" t="e">
        <f>(Table143454[[#This Row],[Core CPI]]-F20)/F20</f>
        <v>#DIV/0!</v>
      </c>
    </row>
    <row r="33" spans="1:9" x14ac:dyDescent="0.2">
      <c r="A33" s="34">
        <f>IF(Data!B61="",#N/A,Data!B61)</f>
        <v>19664</v>
      </c>
      <c r="B33" s="35">
        <f>VLOOKUP(A33,Data!B:AY,MATCH($B$2,Data!$C$1:$AY$1,0),FALSE)</f>
        <v>0</v>
      </c>
      <c r="C33" s="36" t="e">
        <f t="shared" si="2"/>
        <v>#DIV/0!</v>
      </c>
      <c r="D33" s="36" t="e">
        <f>(Table143454[[#This Row],[JPN]]-B21)/B21</f>
        <v>#DIV/0!</v>
      </c>
      <c r="E33" s="36" t="e">
        <f>(Table143454[[#This Row],[JPN]]-B21)/B21</f>
        <v>#DIV/0!</v>
      </c>
      <c r="F33" s="35">
        <f>VLOOKUP(Table143454[[#This Row],[Date]],'Data Core CPI'!$B:$AY,MATCH($B$2,'Data Core CPI'!$C$1:$AY$1,0),FALSE)</f>
        <v>0</v>
      </c>
      <c r="G33" s="36" t="e">
        <f t="shared" si="0"/>
        <v>#DIV/0!</v>
      </c>
      <c r="H33" s="36" t="e">
        <f t="shared" si="1"/>
        <v>#DIV/0!</v>
      </c>
      <c r="I33" s="36" t="e">
        <f>(Table143454[[#This Row],[Core CPI]]-F21)/F21</f>
        <v>#DIV/0!</v>
      </c>
    </row>
    <row r="34" spans="1:9" x14ac:dyDescent="0.2">
      <c r="A34" s="34">
        <f>IF(Data!B62="",#N/A,Data!B62)</f>
        <v>19694</v>
      </c>
      <c r="B34" s="35">
        <f>VLOOKUP(A34,Data!B:AY,MATCH($B$2,Data!$C$1:$AY$1,0),FALSE)</f>
        <v>0</v>
      </c>
      <c r="C34" s="36" t="e">
        <f t="shared" si="2"/>
        <v>#DIV/0!</v>
      </c>
      <c r="D34" s="36" t="e">
        <f>(Table143454[[#This Row],[JPN]]-B22)/B22</f>
        <v>#DIV/0!</v>
      </c>
      <c r="E34" s="36" t="e">
        <f>(Table143454[[#This Row],[JPN]]-B22)/B22</f>
        <v>#DIV/0!</v>
      </c>
      <c r="F34" s="35">
        <f>VLOOKUP(Table143454[[#This Row],[Date]],'Data Core CPI'!$B:$AY,MATCH($B$2,'Data Core CPI'!$C$1:$AY$1,0),FALSE)</f>
        <v>0</v>
      </c>
      <c r="G34" s="36" t="e">
        <f t="shared" si="0"/>
        <v>#DIV/0!</v>
      </c>
      <c r="H34" s="36" t="e">
        <f t="shared" si="1"/>
        <v>#DIV/0!</v>
      </c>
      <c r="I34" s="36" t="e">
        <f>(Table143454[[#This Row],[Core CPI]]-F22)/F22</f>
        <v>#DIV/0!</v>
      </c>
    </row>
    <row r="35" spans="1:9" x14ac:dyDescent="0.2">
      <c r="A35" s="34">
        <f>IF(Data!B63="",#N/A,Data!B63)</f>
        <v>19725</v>
      </c>
      <c r="B35" s="35">
        <f>VLOOKUP(A35,Data!B:AY,MATCH($B$2,Data!$C$1:$AY$1,0),FALSE)</f>
        <v>0</v>
      </c>
      <c r="C35" s="36" t="e">
        <f t="shared" si="2"/>
        <v>#DIV/0!</v>
      </c>
      <c r="D35" s="36" t="e">
        <f>(Table143454[[#This Row],[JPN]]-B23)/B23</f>
        <v>#DIV/0!</v>
      </c>
      <c r="E35" s="36" t="e">
        <f>(Table143454[[#This Row],[JPN]]-B23)/B23</f>
        <v>#DIV/0!</v>
      </c>
      <c r="F35" s="35">
        <f>VLOOKUP(Table143454[[#This Row],[Date]],'Data Core CPI'!$B:$AY,MATCH($B$2,'Data Core CPI'!$C$1:$AY$1,0),FALSE)</f>
        <v>0</v>
      </c>
      <c r="G35" s="36" t="e">
        <f t="shared" si="0"/>
        <v>#DIV/0!</v>
      </c>
      <c r="H35" s="36" t="e">
        <f t="shared" si="1"/>
        <v>#DIV/0!</v>
      </c>
      <c r="I35" s="36" t="e">
        <f>(Table143454[[#This Row],[Core CPI]]-F23)/F23</f>
        <v>#DIV/0!</v>
      </c>
    </row>
    <row r="36" spans="1:9" x14ac:dyDescent="0.2">
      <c r="A36" s="34">
        <f>IF(Data!B64="",#N/A,Data!B64)</f>
        <v>19756</v>
      </c>
      <c r="B36" s="35">
        <f>VLOOKUP(A36,Data!B:AY,MATCH($B$2,Data!$C$1:$AY$1,0),FALSE)</f>
        <v>0</v>
      </c>
      <c r="C36" s="36" t="e">
        <f t="shared" si="2"/>
        <v>#DIV/0!</v>
      </c>
      <c r="D36" s="36" t="e">
        <f>(Table143454[[#This Row],[JPN]]-B24)/B24</f>
        <v>#DIV/0!</v>
      </c>
      <c r="E36" s="36" t="e">
        <f>(Table143454[[#This Row],[JPN]]-B24)/B24</f>
        <v>#DIV/0!</v>
      </c>
      <c r="F36" s="35">
        <f>VLOOKUP(Table143454[[#This Row],[Date]],'Data Core CPI'!$B:$AY,MATCH($B$2,'Data Core CPI'!$C$1:$AY$1,0),FALSE)</f>
        <v>0</v>
      </c>
      <c r="G36" s="36" t="e">
        <f t="shared" si="0"/>
        <v>#DIV/0!</v>
      </c>
      <c r="H36" s="36" t="e">
        <f t="shared" si="1"/>
        <v>#DIV/0!</v>
      </c>
      <c r="I36" s="36" t="e">
        <f>(Table143454[[#This Row],[Core CPI]]-F24)/F24</f>
        <v>#DIV/0!</v>
      </c>
    </row>
    <row r="37" spans="1:9" x14ac:dyDescent="0.2">
      <c r="A37" s="34">
        <f>IF(Data!B65="",#N/A,Data!B65)</f>
        <v>19784</v>
      </c>
      <c r="B37" s="35">
        <f>VLOOKUP(A37,Data!B:AY,MATCH($B$2,Data!$C$1:$AY$1,0),FALSE)</f>
        <v>0</v>
      </c>
      <c r="C37" s="36" t="e">
        <f t="shared" si="2"/>
        <v>#DIV/0!</v>
      </c>
      <c r="D37" s="36" t="e">
        <f>(Table143454[[#This Row],[JPN]]-B25)/B25</f>
        <v>#DIV/0!</v>
      </c>
      <c r="E37" s="36" t="e">
        <f>(Table143454[[#This Row],[JPN]]-B25)/B25</f>
        <v>#DIV/0!</v>
      </c>
      <c r="F37" s="35">
        <f>VLOOKUP(Table143454[[#This Row],[Date]],'Data Core CPI'!$B:$AY,MATCH($B$2,'Data Core CPI'!$C$1:$AY$1,0),FALSE)</f>
        <v>0</v>
      </c>
      <c r="G37" s="36" t="e">
        <f t="shared" si="0"/>
        <v>#DIV/0!</v>
      </c>
      <c r="H37" s="36" t="e">
        <f t="shared" si="1"/>
        <v>#DIV/0!</v>
      </c>
      <c r="I37" s="36" t="e">
        <f>(Table143454[[#This Row],[Core CPI]]-F25)/F25</f>
        <v>#DIV/0!</v>
      </c>
    </row>
    <row r="38" spans="1:9" x14ac:dyDescent="0.2">
      <c r="A38" s="34">
        <f>IF(Data!B66="",#N/A,Data!B66)</f>
        <v>19815</v>
      </c>
      <c r="B38" s="35">
        <f>VLOOKUP(A38,Data!B:AY,MATCH($B$2,Data!$C$1:$AY$1,0),FALSE)</f>
        <v>0</v>
      </c>
      <c r="C38" s="36" t="e">
        <f t="shared" si="2"/>
        <v>#DIV/0!</v>
      </c>
      <c r="D38" s="36" t="e">
        <f>(Table143454[[#This Row],[JPN]]-B26)/B26</f>
        <v>#DIV/0!</v>
      </c>
      <c r="E38" s="36" t="e">
        <f>(Table143454[[#This Row],[JPN]]-B26)/B26</f>
        <v>#DIV/0!</v>
      </c>
      <c r="F38" s="35">
        <f>VLOOKUP(Table143454[[#This Row],[Date]],'Data Core CPI'!$B:$AY,MATCH($B$2,'Data Core CPI'!$C$1:$AY$1,0),FALSE)</f>
        <v>0</v>
      </c>
      <c r="G38" s="36" t="e">
        <f t="shared" si="0"/>
        <v>#DIV/0!</v>
      </c>
      <c r="H38" s="36" t="e">
        <f t="shared" si="1"/>
        <v>#DIV/0!</v>
      </c>
      <c r="I38" s="36" t="e">
        <f>(Table143454[[#This Row],[Core CPI]]-F26)/F26</f>
        <v>#DIV/0!</v>
      </c>
    </row>
    <row r="39" spans="1:9" x14ac:dyDescent="0.2">
      <c r="A39" s="34">
        <f>IF(Data!B67="",#N/A,Data!B67)</f>
        <v>19845</v>
      </c>
      <c r="B39" s="35">
        <f>VLOOKUP(A39,Data!B:AY,MATCH($B$2,Data!$C$1:$AY$1,0),FALSE)</f>
        <v>0</v>
      </c>
      <c r="C39" s="36" t="e">
        <f t="shared" si="2"/>
        <v>#DIV/0!</v>
      </c>
      <c r="D39" s="36" t="e">
        <f>(Table143454[[#This Row],[JPN]]-B27)/B27</f>
        <v>#DIV/0!</v>
      </c>
      <c r="E39" s="36" t="e">
        <f>(Table143454[[#This Row],[JPN]]-B27)/B27</f>
        <v>#DIV/0!</v>
      </c>
      <c r="F39" s="35">
        <f>VLOOKUP(Table143454[[#This Row],[Date]],'Data Core CPI'!$B:$AY,MATCH($B$2,'Data Core CPI'!$C$1:$AY$1,0),FALSE)</f>
        <v>0</v>
      </c>
      <c r="G39" s="36" t="e">
        <f t="shared" si="0"/>
        <v>#DIV/0!</v>
      </c>
      <c r="H39" s="36" t="e">
        <f t="shared" si="1"/>
        <v>#DIV/0!</v>
      </c>
      <c r="I39" s="36" t="e">
        <f>(Table143454[[#This Row],[Core CPI]]-F27)/F27</f>
        <v>#DIV/0!</v>
      </c>
    </row>
    <row r="40" spans="1:9" x14ac:dyDescent="0.2">
      <c r="A40" s="34">
        <f>IF(Data!B68="",#N/A,Data!B68)</f>
        <v>19876</v>
      </c>
      <c r="B40" s="35">
        <f>VLOOKUP(A40,Data!B:AY,MATCH($B$2,Data!$C$1:$AY$1,0),FALSE)</f>
        <v>0</v>
      </c>
      <c r="C40" s="36" t="e">
        <f t="shared" si="2"/>
        <v>#DIV/0!</v>
      </c>
      <c r="D40" s="36" t="e">
        <f>(Table143454[[#This Row],[JPN]]-B28)/B28</f>
        <v>#DIV/0!</v>
      </c>
      <c r="E40" s="36" t="e">
        <f>(Table143454[[#This Row],[JPN]]-B28)/B28</f>
        <v>#DIV/0!</v>
      </c>
      <c r="F40" s="35">
        <f>VLOOKUP(Table143454[[#This Row],[Date]],'Data Core CPI'!$B:$AY,MATCH($B$2,'Data Core CPI'!$C$1:$AY$1,0),FALSE)</f>
        <v>0</v>
      </c>
      <c r="G40" s="36" t="e">
        <f t="shared" si="0"/>
        <v>#DIV/0!</v>
      </c>
      <c r="H40" s="36" t="e">
        <f t="shared" si="1"/>
        <v>#DIV/0!</v>
      </c>
      <c r="I40" s="36" t="e">
        <f>(Table143454[[#This Row],[Core CPI]]-F28)/F28</f>
        <v>#DIV/0!</v>
      </c>
    </row>
    <row r="41" spans="1:9" x14ac:dyDescent="0.2">
      <c r="A41" s="34">
        <f>IF(Data!B69="",#N/A,Data!B69)</f>
        <v>19906</v>
      </c>
      <c r="B41" s="35">
        <f>VLOOKUP(A41,Data!B:AY,MATCH($B$2,Data!$C$1:$AY$1,0),FALSE)</f>
        <v>0</v>
      </c>
      <c r="C41" s="36" t="e">
        <f t="shared" si="2"/>
        <v>#DIV/0!</v>
      </c>
      <c r="D41" s="36" t="e">
        <f>(Table143454[[#This Row],[JPN]]-B29)/B29</f>
        <v>#DIV/0!</v>
      </c>
      <c r="E41" s="36" t="e">
        <f>(Table143454[[#This Row],[JPN]]-B29)/B29</f>
        <v>#DIV/0!</v>
      </c>
      <c r="F41" s="35">
        <f>VLOOKUP(Table143454[[#This Row],[Date]],'Data Core CPI'!$B:$AY,MATCH($B$2,'Data Core CPI'!$C$1:$AY$1,0),FALSE)</f>
        <v>0</v>
      </c>
      <c r="G41" s="36" t="e">
        <f t="shared" si="0"/>
        <v>#DIV/0!</v>
      </c>
      <c r="H41" s="36" t="e">
        <f t="shared" si="1"/>
        <v>#DIV/0!</v>
      </c>
      <c r="I41" s="36" t="e">
        <f>(Table143454[[#This Row],[Core CPI]]-F29)/F29</f>
        <v>#DIV/0!</v>
      </c>
    </row>
    <row r="42" spans="1:9" x14ac:dyDescent="0.2">
      <c r="A42" s="34">
        <f>IF(Data!B70="",#N/A,Data!B70)</f>
        <v>19937</v>
      </c>
      <c r="B42" s="35">
        <f>VLOOKUP(A42,Data!B:AY,MATCH($B$2,Data!$C$1:$AY$1,0),FALSE)</f>
        <v>0</v>
      </c>
      <c r="C42" s="36" t="e">
        <f t="shared" si="2"/>
        <v>#DIV/0!</v>
      </c>
      <c r="D42" s="36" t="e">
        <f>(Table143454[[#This Row],[JPN]]-B30)/B30</f>
        <v>#DIV/0!</v>
      </c>
      <c r="E42" s="36" t="e">
        <f>(Table143454[[#This Row],[JPN]]-B30)/B30</f>
        <v>#DIV/0!</v>
      </c>
      <c r="F42" s="35">
        <f>VLOOKUP(Table143454[[#This Row],[Date]],'Data Core CPI'!$B:$AY,MATCH($B$2,'Data Core CPI'!$C$1:$AY$1,0),FALSE)</f>
        <v>0</v>
      </c>
      <c r="G42" s="36" t="e">
        <f t="shared" si="0"/>
        <v>#DIV/0!</v>
      </c>
      <c r="H42" s="36" t="e">
        <f t="shared" si="1"/>
        <v>#DIV/0!</v>
      </c>
      <c r="I42" s="36" t="e">
        <f>(Table143454[[#This Row],[Core CPI]]-F30)/F30</f>
        <v>#DIV/0!</v>
      </c>
    </row>
    <row r="43" spans="1:9" x14ac:dyDescent="0.2">
      <c r="A43" s="34">
        <f>IF(Data!B71="",#N/A,Data!B71)</f>
        <v>19968</v>
      </c>
      <c r="B43" s="35">
        <f>VLOOKUP(A43,Data!B:AY,MATCH($B$2,Data!$C$1:$AY$1,0),FALSE)</f>
        <v>0</v>
      </c>
      <c r="C43" s="36" t="e">
        <f t="shared" si="2"/>
        <v>#DIV/0!</v>
      </c>
      <c r="D43" s="36" t="e">
        <f>(Table143454[[#This Row],[JPN]]-B31)/B31</f>
        <v>#DIV/0!</v>
      </c>
      <c r="E43" s="36" t="e">
        <f>(Table143454[[#This Row],[JPN]]-B31)/B31</f>
        <v>#DIV/0!</v>
      </c>
      <c r="F43" s="35">
        <f>VLOOKUP(Table143454[[#This Row],[Date]],'Data Core CPI'!$B:$AY,MATCH($B$2,'Data Core CPI'!$C$1:$AY$1,0),FALSE)</f>
        <v>0</v>
      </c>
      <c r="G43" s="36" t="e">
        <f t="shared" si="0"/>
        <v>#DIV/0!</v>
      </c>
      <c r="H43" s="36" t="e">
        <f t="shared" si="1"/>
        <v>#DIV/0!</v>
      </c>
      <c r="I43" s="36" t="e">
        <f>(Table143454[[#This Row],[Core CPI]]-F31)/F31</f>
        <v>#DIV/0!</v>
      </c>
    </row>
    <row r="44" spans="1:9" x14ac:dyDescent="0.2">
      <c r="A44" s="34">
        <f>IF(Data!B72="",#N/A,Data!B72)</f>
        <v>19998</v>
      </c>
      <c r="B44" s="35">
        <f>VLOOKUP(A44,Data!B:AY,MATCH($B$2,Data!$C$1:$AY$1,0),FALSE)</f>
        <v>0</v>
      </c>
      <c r="C44" s="36" t="e">
        <f t="shared" si="2"/>
        <v>#DIV/0!</v>
      </c>
      <c r="D44" s="36" t="e">
        <f>(Table143454[[#This Row],[JPN]]-B32)/B32</f>
        <v>#DIV/0!</v>
      </c>
      <c r="E44" s="36" t="e">
        <f>(Table143454[[#This Row],[JPN]]-B32)/B32</f>
        <v>#DIV/0!</v>
      </c>
      <c r="F44" s="35">
        <f>VLOOKUP(Table143454[[#This Row],[Date]],'Data Core CPI'!$B:$AY,MATCH($B$2,'Data Core CPI'!$C$1:$AY$1,0),FALSE)</f>
        <v>0</v>
      </c>
      <c r="G44" s="36" t="e">
        <f t="shared" si="0"/>
        <v>#DIV/0!</v>
      </c>
      <c r="H44" s="36" t="e">
        <f t="shared" si="1"/>
        <v>#DIV/0!</v>
      </c>
      <c r="I44" s="36" t="e">
        <f>(Table143454[[#This Row],[Core CPI]]-F32)/F32</f>
        <v>#DIV/0!</v>
      </c>
    </row>
    <row r="45" spans="1:9" x14ac:dyDescent="0.2">
      <c r="A45" s="34">
        <f>IF(Data!B73="",#N/A,Data!B73)</f>
        <v>20029</v>
      </c>
      <c r="B45" s="35">
        <f>VLOOKUP(A45,Data!B:AY,MATCH($B$2,Data!$C$1:$AY$1,0),FALSE)</f>
        <v>0</v>
      </c>
      <c r="C45" s="36" t="e">
        <f t="shared" si="2"/>
        <v>#DIV/0!</v>
      </c>
      <c r="D45" s="36" t="e">
        <f>(Table143454[[#This Row],[JPN]]-B33)/B33</f>
        <v>#DIV/0!</v>
      </c>
      <c r="E45" s="36" t="e">
        <f>(Table143454[[#This Row],[JPN]]-B33)/B33</f>
        <v>#DIV/0!</v>
      </c>
      <c r="F45" s="35">
        <f>VLOOKUP(Table143454[[#This Row],[Date]],'Data Core CPI'!$B:$AY,MATCH($B$2,'Data Core CPI'!$C$1:$AY$1,0),FALSE)</f>
        <v>0</v>
      </c>
      <c r="G45" s="36" t="e">
        <f t="shared" si="0"/>
        <v>#DIV/0!</v>
      </c>
      <c r="H45" s="36" t="e">
        <f t="shared" si="1"/>
        <v>#DIV/0!</v>
      </c>
      <c r="I45" s="36" t="e">
        <f>(Table143454[[#This Row],[Core CPI]]-F33)/F33</f>
        <v>#DIV/0!</v>
      </c>
    </row>
    <row r="46" spans="1:9" x14ac:dyDescent="0.2">
      <c r="A46" s="34">
        <f>IF(Data!B74="",#N/A,Data!B74)</f>
        <v>20059</v>
      </c>
      <c r="B46" s="35">
        <f>VLOOKUP(A46,Data!B:AY,MATCH($B$2,Data!$C$1:$AY$1,0),FALSE)</f>
        <v>0</v>
      </c>
      <c r="C46" s="36" t="e">
        <f t="shared" si="2"/>
        <v>#DIV/0!</v>
      </c>
      <c r="D46" s="36" t="e">
        <f>(Table143454[[#This Row],[JPN]]-B34)/B34</f>
        <v>#DIV/0!</v>
      </c>
      <c r="E46" s="36" t="e">
        <f>(Table143454[[#This Row],[JPN]]-B34)/B34</f>
        <v>#DIV/0!</v>
      </c>
      <c r="F46" s="35">
        <f>VLOOKUP(Table143454[[#This Row],[Date]],'Data Core CPI'!$B:$AY,MATCH($B$2,'Data Core CPI'!$C$1:$AY$1,0),FALSE)</f>
        <v>0</v>
      </c>
      <c r="G46" s="36" t="e">
        <f t="shared" si="0"/>
        <v>#DIV/0!</v>
      </c>
      <c r="H46" s="36" t="e">
        <f t="shared" si="1"/>
        <v>#DIV/0!</v>
      </c>
      <c r="I46" s="36" t="e">
        <f>(Table143454[[#This Row],[Core CPI]]-F34)/F34</f>
        <v>#DIV/0!</v>
      </c>
    </row>
    <row r="47" spans="1:9" x14ac:dyDescent="0.2">
      <c r="A47" s="34">
        <f>IF(Data!B75="",#N/A,Data!B75)</f>
        <v>20090</v>
      </c>
      <c r="B47" s="35">
        <f>VLOOKUP(A47,Data!B:AY,MATCH($B$2,Data!$C$1:$AY$1,0),FALSE)</f>
        <v>3.506081</v>
      </c>
      <c r="C47" s="36" t="e">
        <f t="shared" si="2"/>
        <v>#DIV/0!</v>
      </c>
      <c r="D47" s="36" t="e">
        <f>(Table143454[[#This Row],[JPN]]-B35)/B35</f>
        <v>#DIV/0!</v>
      </c>
      <c r="E47" s="36" t="e">
        <f>(Table143454[[#This Row],[JPN]]-B35)/B35</f>
        <v>#DIV/0!</v>
      </c>
      <c r="F47" s="35">
        <f>VLOOKUP(Table143454[[#This Row],[Date]],'Data Core CPI'!$B:$AY,MATCH($B$2,'Data Core CPI'!$C$1:$AY$1,0),FALSE)</f>
        <v>0</v>
      </c>
      <c r="G47" s="36" t="e">
        <f t="shared" si="0"/>
        <v>#DIV/0!</v>
      </c>
      <c r="H47" s="36" t="e">
        <f t="shared" si="1"/>
        <v>#DIV/0!</v>
      </c>
      <c r="I47" s="36" t="e">
        <f>(Table143454[[#This Row],[Core CPI]]-F35)/F35</f>
        <v>#DIV/0!</v>
      </c>
    </row>
    <row r="48" spans="1:9" x14ac:dyDescent="0.2">
      <c r="A48" s="34">
        <f>IF(Data!B76="",#N/A,Data!B76)</f>
        <v>20121</v>
      </c>
      <c r="B48" s="35">
        <f>VLOOKUP(A48,Data!B:AY,MATCH($B$2,Data!$C$1:$AY$1,0),FALSE)</f>
        <v>3.496054</v>
      </c>
      <c r="C48" s="36">
        <f t="shared" si="2"/>
        <v>-2.8598882912288515E-3</v>
      </c>
      <c r="D48" s="36" t="e">
        <f>(Table143454[[#This Row],[JPN]]-B36)/B36</f>
        <v>#DIV/0!</v>
      </c>
      <c r="E48" s="36" t="e">
        <f>(Table143454[[#This Row],[JPN]]-B36)/B36</f>
        <v>#DIV/0!</v>
      </c>
      <c r="F48" s="35">
        <f>VLOOKUP(Table143454[[#This Row],[Date]],'Data Core CPI'!$B:$AY,MATCH($B$2,'Data Core CPI'!$C$1:$AY$1,0),FALSE)</f>
        <v>0</v>
      </c>
      <c r="G48" s="36" t="e">
        <f t="shared" si="0"/>
        <v>#DIV/0!</v>
      </c>
      <c r="H48" s="36" t="e">
        <f t="shared" si="1"/>
        <v>#DIV/0!</v>
      </c>
      <c r="I48" s="36" t="e">
        <f>(Table143454[[#This Row],[Core CPI]]-F36)/F36</f>
        <v>#DIV/0!</v>
      </c>
    </row>
    <row r="49" spans="1:9" x14ac:dyDescent="0.2">
      <c r="A49" s="34">
        <f>IF(Data!B77="",#N/A,Data!B77)</f>
        <v>20149</v>
      </c>
      <c r="B49" s="35">
        <f>VLOOKUP(A49,Data!B:AY,MATCH($B$2,Data!$C$1:$AY$1,0),FALSE)</f>
        <v>3.496054</v>
      </c>
      <c r="C49" s="36">
        <f t="shared" si="2"/>
        <v>0</v>
      </c>
      <c r="D49" s="36" t="e">
        <f>(Table143454[[#This Row],[JPN]]-B37)/B37</f>
        <v>#DIV/0!</v>
      </c>
      <c r="E49" s="36" t="e">
        <f>(Table143454[[#This Row],[JPN]]-B37)/B37</f>
        <v>#DIV/0!</v>
      </c>
      <c r="F49" s="35">
        <f>VLOOKUP(Table143454[[#This Row],[Date]],'Data Core CPI'!$B:$AY,MATCH($B$2,'Data Core CPI'!$C$1:$AY$1,0),FALSE)</f>
        <v>0</v>
      </c>
      <c r="G49" s="36" t="e">
        <f t="shared" si="0"/>
        <v>#DIV/0!</v>
      </c>
      <c r="H49" s="36" t="e">
        <f t="shared" si="1"/>
        <v>#DIV/0!</v>
      </c>
      <c r="I49" s="36" t="e">
        <f>(Table143454[[#This Row],[Core CPI]]-F37)/F37</f>
        <v>#DIV/0!</v>
      </c>
    </row>
    <row r="50" spans="1:9" x14ac:dyDescent="0.2">
      <c r="A50" s="34">
        <f>IF(Data!B78="",#N/A,Data!B78)</f>
        <v>20180</v>
      </c>
      <c r="B50" s="35">
        <f>VLOOKUP(A50,Data!B:AY,MATCH($B$2,Data!$C$1:$AY$1,0),FALSE)</f>
        <v>3.502739</v>
      </c>
      <c r="C50" s="36">
        <f t="shared" si="2"/>
        <v>1.9121558191035337E-3</v>
      </c>
      <c r="D50" s="36" t="e">
        <f>(Table143454[[#This Row],[JPN]]-B38)/B38</f>
        <v>#DIV/0!</v>
      </c>
      <c r="E50" s="36" t="e">
        <f>(Table143454[[#This Row],[JPN]]-B38)/B38</f>
        <v>#DIV/0!</v>
      </c>
      <c r="F50" s="35">
        <f>VLOOKUP(Table143454[[#This Row],[Date]],'Data Core CPI'!$B:$AY,MATCH($B$2,'Data Core CPI'!$C$1:$AY$1,0),FALSE)</f>
        <v>0</v>
      </c>
      <c r="G50" s="36" t="e">
        <f t="shared" si="0"/>
        <v>#DIV/0!</v>
      </c>
      <c r="H50" s="36" t="e">
        <f t="shared" si="1"/>
        <v>#DIV/0!</v>
      </c>
      <c r="I50" s="36" t="e">
        <f>(Table143454[[#This Row],[Core CPI]]-F38)/F38</f>
        <v>#DIV/0!</v>
      </c>
    </row>
    <row r="51" spans="1:9" x14ac:dyDescent="0.2">
      <c r="A51" s="34">
        <f>IF(Data!B79="",#N/A,Data!B79)</f>
        <v>20210</v>
      </c>
      <c r="B51" s="35">
        <f>VLOOKUP(A51,Data!B:AY,MATCH($B$2,Data!$C$1:$AY$1,0),FALSE)</f>
        <v>3.506081</v>
      </c>
      <c r="C51" s="36">
        <f t="shared" si="2"/>
        <v>9.5411048325333425E-4</v>
      </c>
      <c r="D51" s="36" t="e">
        <f>(Table143454[[#This Row],[JPN]]-B39)/B39</f>
        <v>#DIV/0!</v>
      </c>
      <c r="E51" s="36" t="e">
        <f>(Table143454[[#This Row],[JPN]]-B39)/B39</f>
        <v>#DIV/0!</v>
      </c>
      <c r="F51" s="35">
        <f>VLOOKUP(Table143454[[#This Row],[Date]],'Data Core CPI'!$B:$AY,MATCH($B$2,'Data Core CPI'!$C$1:$AY$1,0),FALSE)</f>
        <v>0</v>
      </c>
      <c r="G51" s="36" t="e">
        <f t="shared" si="0"/>
        <v>#DIV/0!</v>
      </c>
      <c r="H51" s="36" t="e">
        <f t="shared" si="1"/>
        <v>#DIV/0!</v>
      </c>
      <c r="I51" s="36" t="e">
        <f>(Table143454[[#This Row],[Core CPI]]-F39)/F39</f>
        <v>#DIV/0!</v>
      </c>
    </row>
    <row r="52" spans="1:9" x14ac:dyDescent="0.2">
      <c r="A52" s="34">
        <f>IF(Data!B80="",#N/A,Data!B80)</f>
        <v>20241</v>
      </c>
      <c r="B52" s="35">
        <f>VLOOKUP(A52,Data!B:AY,MATCH($B$2,Data!$C$1:$AY$1,0),FALSE)</f>
        <v>3.509423</v>
      </c>
      <c r="C52" s="36">
        <f t="shared" si="2"/>
        <v>9.5320102416351915E-4</v>
      </c>
      <c r="D52" s="36" t="e">
        <f>(Table143454[[#This Row],[JPN]]-B40)/B40</f>
        <v>#DIV/0!</v>
      </c>
      <c r="E52" s="36" t="e">
        <f>(Table143454[[#This Row],[JPN]]-B40)/B40</f>
        <v>#DIV/0!</v>
      </c>
      <c r="F52" s="35">
        <f>VLOOKUP(Table143454[[#This Row],[Date]],'Data Core CPI'!$B:$AY,MATCH($B$2,'Data Core CPI'!$C$1:$AY$1,0),FALSE)</f>
        <v>0</v>
      </c>
      <c r="G52" s="36" t="e">
        <f t="shared" si="0"/>
        <v>#DIV/0!</v>
      </c>
      <c r="H52" s="36" t="e">
        <f t="shared" si="1"/>
        <v>#DIV/0!</v>
      </c>
      <c r="I52" s="36" t="e">
        <f>(Table143454[[#This Row],[Core CPI]]-F40)/F40</f>
        <v>#DIV/0!</v>
      </c>
    </row>
    <row r="53" spans="1:9" x14ac:dyDescent="0.2">
      <c r="A53" s="34">
        <f>IF(Data!B81="",#N/A,Data!B81)</f>
        <v>20271</v>
      </c>
      <c r="B53" s="35">
        <f>VLOOKUP(A53,Data!B:AY,MATCH($B$2,Data!$C$1:$AY$1,0),FALSE)</f>
        <v>3.509423</v>
      </c>
      <c r="C53" s="36">
        <f t="shared" si="2"/>
        <v>0</v>
      </c>
      <c r="D53" s="36" t="e">
        <f>(Table143454[[#This Row],[JPN]]-B41)/B41</f>
        <v>#DIV/0!</v>
      </c>
      <c r="E53" s="36" t="e">
        <f>(Table143454[[#This Row],[JPN]]-B41)/B41</f>
        <v>#DIV/0!</v>
      </c>
      <c r="F53" s="35">
        <f>VLOOKUP(Table143454[[#This Row],[Date]],'Data Core CPI'!$B:$AY,MATCH($B$2,'Data Core CPI'!$C$1:$AY$1,0),FALSE)</f>
        <v>0</v>
      </c>
      <c r="G53" s="36" t="e">
        <f t="shared" si="0"/>
        <v>#DIV/0!</v>
      </c>
      <c r="H53" s="36" t="e">
        <f t="shared" si="1"/>
        <v>#DIV/0!</v>
      </c>
      <c r="I53" s="36" t="e">
        <f>(Table143454[[#This Row],[Core CPI]]-F41)/F41</f>
        <v>#DIV/0!</v>
      </c>
    </row>
    <row r="54" spans="1:9" x14ac:dyDescent="0.2">
      <c r="A54" s="34">
        <f>IF(Data!B82="",#N/A,Data!B82)</f>
        <v>20302</v>
      </c>
      <c r="B54" s="35">
        <f>VLOOKUP(A54,Data!B:AY,MATCH($B$2,Data!$C$1:$AY$1,0),FALSE)</f>
        <v>3.516108</v>
      </c>
      <c r="C54" s="36">
        <f t="shared" si="2"/>
        <v>1.9048715415610484E-3</v>
      </c>
      <c r="D54" s="36" t="e">
        <f>(Table143454[[#This Row],[JPN]]-B42)/B42</f>
        <v>#DIV/0!</v>
      </c>
      <c r="E54" s="36" t="e">
        <f>(Table143454[[#This Row],[JPN]]-B42)/B42</f>
        <v>#DIV/0!</v>
      </c>
      <c r="F54" s="35">
        <f>VLOOKUP(Table143454[[#This Row],[Date]],'Data Core CPI'!$B:$AY,MATCH($B$2,'Data Core CPI'!$C$1:$AY$1,0),FALSE)</f>
        <v>0</v>
      </c>
      <c r="G54" s="36" t="e">
        <f t="shared" si="0"/>
        <v>#DIV/0!</v>
      </c>
      <c r="H54" s="36" t="e">
        <f t="shared" si="1"/>
        <v>#DIV/0!</v>
      </c>
      <c r="I54" s="36" t="e">
        <f>(Table143454[[#This Row],[Core CPI]]-F42)/F42</f>
        <v>#DIV/0!</v>
      </c>
    </row>
    <row r="55" spans="1:9" x14ac:dyDescent="0.2">
      <c r="A55" s="34">
        <f>IF(Data!B83="",#N/A,Data!B83)</f>
        <v>20333</v>
      </c>
      <c r="B55" s="35">
        <f>VLOOKUP(A55,Data!B:AY,MATCH($B$2,Data!$C$1:$AY$1,0),FALSE)</f>
        <v>3.516108</v>
      </c>
      <c r="C55" s="36">
        <f t="shared" si="2"/>
        <v>0</v>
      </c>
      <c r="D55" s="36" t="e">
        <f>(Table143454[[#This Row],[JPN]]-B43)/B43</f>
        <v>#DIV/0!</v>
      </c>
      <c r="E55" s="36" t="e">
        <f>(Table143454[[#This Row],[JPN]]-B43)/B43</f>
        <v>#DIV/0!</v>
      </c>
      <c r="F55" s="35">
        <f>VLOOKUP(Table143454[[#This Row],[Date]],'Data Core CPI'!$B:$AY,MATCH($B$2,'Data Core CPI'!$C$1:$AY$1,0),FALSE)</f>
        <v>0</v>
      </c>
      <c r="G55" s="36" t="e">
        <f t="shared" si="0"/>
        <v>#DIV/0!</v>
      </c>
      <c r="H55" s="36" t="e">
        <f t="shared" si="1"/>
        <v>#DIV/0!</v>
      </c>
      <c r="I55" s="36" t="e">
        <f>(Table143454[[#This Row],[Core CPI]]-F43)/F43</f>
        <v>#DIV/0!</v>
      </c>
    </row>
    <row r="56" spans="1:9" x14ac:dyDescent="0.2">
      <c r="A56" s="34">
        <f>IF(Data!B84="",#N/A,Data!B84)</f>
        <v>20363</v>
      </c>
      <c r="B56" s="35">
        <f>VLOOKUP(A56,Data!B:AY,MATCH($B$2,Data!$C$1:$AY$1,0),FALSE)</f>
        <v>3.529477</v>
      </c>
      <c r="C56" s="36">
        <f t="shared" si="2"/>
        <v>3.8022154040775469E-3</v>
      </c>
      <c r="D56" s="36" t="e">
        <f>(Table143454[[#This Row],[JPN]]-B44)/B44</f>
        <v>#DIV/0!</v>
      </c>
      <c r="E56" s="36" t="e">
        <f>(Table143454[[#This Row],[JPN]]-B44)/B44</f>
        <v>#DIV/0!</v>
      </c>
      <c r="F56" s="35">
        <f>VLOOKUP(Table143454[[#This Row],[Date]],'Data Core CPI'!$B:$AY,MATCH($B$2,'Data Core CPI'!$C$1:$AY$1,0),FALSE)</f>
        <v>0</v>
      </c>
      <c r="G56" s="36" t="e">
        <f t="shared" si="0"/>
        <v>#DIV/0!</v>
      </c>
      <c r="H56" s="36" t="e">
        <f t="shared" si="1"/>
        <v>#DIV/0!</v>
      </c>
      <c r="I56" s="36" t="e">
        <f>(Table143454[[#This Row],[Core CPI]]-F44)/F44</f>
        <v>#DIV/0!</v>
      </c>
    </row>
    <row r="57" spans="1:9" x14ac:dyDescent="0.2">
      <c r="A57" s="34">
        <f>IF(Data!B85="",#N/A,Data!B85)</f>
        <v>20394</v>
      </c>
      <c r="B57" s="35">
        <f>VLOOKUP(A57,Data!B:AY,MATCH($B$2,Data!$C$1:$AY$1,0),FALSE)</f>
        <v>3.539504</v>
      </c>
      <c r="C57" s="36">
        <f t="shared" si="2"/>
        <v>2.8409308234620401E-3</v>
      </c>
      <c r="D57" s="36" t="e">
        <f>(Table143454[[#This Row],[JPN]]-B45)/B45</f>
        <v>#DIV/0!</v>
      </c>
      <c r="E57" s="36" t="e">
        <f>(Table143454[[#This Row],[JPN]]-B45)/B45</f>
        <v>#DIV/0!</v>
      </c>
      <c r="F57" s="35">
        <f>VLOOKUP(Table143454[[#This Row],[Date]],'Data Core CPI'!$B:$AY,MATCH($B$2,'Data Core CPI'!$C$1:$AY$1,0),FALSE)</f>
        <v>0</v>
      </c>
      <c r="G57" s="36" t="e">
        <f t="shared" si="0"/>
        <v>#DIV/0!</v>
      </c>
      <c r="H57" s="36" t="e">
        <f t="shared" si="1"/>
        <v>#DIV/0!</v>
      </c>
      <c r="I57" s="36" t="e">
        <f>(Table143454[[#This Row],[Core CPI]]-F45)/F45</f>
        <v>#DIV/0!</v>
      </c>
    </row>
    <row r="58" spans="1:9" x14ac:dyDescent="0.2">
      <c r="A58" s="34">
        <f>IF(Data!B86="",#N/A,Data!B86)</f>
        <v>20424</v>
      </c>
      <c r="B58" s="35">
        <f>VLOOKUP(A58,Data!B:AY,MATCH($B$2,Data!$C$1:$AY$1,0),FALSE)</f>
        <v>3.5629</v>
      </c>
      <c r="C58" s="36">
        <f t="shared" si="2"/>
        <v>6.6099656901079662E-3</v>
      </c>
      <c r="D58" s="36" t="e">
        <f>(Table143454[[#This Row],[JPN]]-B46)/B46</f>
        <v>#DIV/0!</v>
      </c>
      <c r="E58" s="36" t="e">
        <f>(Table143454[[#This Row],[JPN]]-B46)/B46</f>
        <v>#DIV/0!</v>
      </c>
      <c r="F58" s="35">
        <f>VLOOKUP(Table143454[[#This Row],[Date]],'Data Core CPI'!$B:$AY,MATCH($B$2,'Data Core CPI'!$C$1:$AY$1,0),FALSE)</f>
        <v>0</v>
      </c>
      <c r="G58" s="36" t="e">
        <f t="shared" si="0"/>
        <v>#DIV/0!</v>
      </c>
      <c r="H58" s="36" t="e">
        <f t="shared" si="1"/>
        <v>#DIV/0!</v>
      </c>
      <c r="I58" s="36" t="e">
        <f>(Table143454[[#This Row],[Core CPI]]-F46)/F46</f>
        <v>#DIV/0!</v>
      </c>
    </row>
    <row r="59" spans="1:9" x14ac:dyDescent="0.2">
      <c r="A59" s="34">
        <f>IF(Data!B87="",#N/A,Data!B87)</f>
        <v>20455</v>
      </c>
      <c r="B59" s="35">
        <f>VLOOKUP(A59,Data!B:AY,MATCH($B$2,Data!$C$1:$AY$1,0),FALSE)</f>
        <v>3.569585</v>
      </c>
      <c r="C59" s="36">
        <f t="shared" si="2"/>
        <v>1.8762805579723985E-3</v>
      </c>
      <c r="D59" s="36">
        <f>((1+C59)^12)-1</f>
        <v>2.274917431383261E-2</v>
      </c>
      <c r="E59" s="36">
        <f>(Table143454[[#This Row],[JPN]]-B47)/B47</f>
        <v>1.8112530771536656E-2</v>
      </c>
      <c r="F59" s="35">
        <f>VLOOKUP(Table143454[[#This Row],[Date]],'Data Core CPI'!$B:$AY,MATCH($B$2,'Data Core CPI'!$C$1:$AY$1,0),FALSE)</f>
        <v>0</v>
      </c>
      <c r="G59" s="36" t="e">
        <f t="shared" si="0"/>
        <v>#DIV/0!</v>
      </c>
      <c r="H59" s="36" t="e">
        <f t="shared" si="1"/>
        <v>#DIV/0!</v>
      </c>
      <c r="I59" s="36" t="e">
        <f>(Table143454[[#This Row],[Core CPI]]-F47)/F47</f>
        <v>#DIV/0!</v>
      </c>
    </row>
    <row r="60" spans="1:9" x14ac:dyDescent="0.2">
      <c r="A60" s="34">
        <f>IF(Data!B88="",#N/A,Data!B88)</f>
        <v>20486</v>
      </c>
      <c r="B60" s="35">
        <f>VLOOKUP(A60,Data!B:AY,MATCH($B$2,Data!$C$1:$AY$1,0),FALSE)</f>
        <v>3.6063499999999999</v>
      </c>
      <c r="C60" s="36">
        <f t="shared" si="2"/>
        <v>1.0299516610474235E-2</v>
      </c>
      <c r="D60" s="36">
        <f t="shared" ref="D60:D123" si="3">((1+C60)^12)-1</f>
        <v>0.13084151134823774</v>
      </c>
      <c r="E60" s="36">
        <f>(Table143454[[#This Row],[JPN]]-B48)/B48</f>
        <v>3.1548711776191084E-2</v>
      </c>
      <c r="F60" s="35">
        <f>VLOOKUP(Table143454[[#This Row],[Date]],'Data Core CPI'!$B:$AY,MATCH($B$2,'Data Core CPI'!$C$1:$AY$1,0),FALSE)</f>
        <v>0</v>
      </c>
      <c r="G60" s="36" t="e">
        <f t="shared" si="0"/>
        <v>#DIV/0!</v>
      </c>
      <c r="H60" s="36" t="e">
        <f t="shared" si="1"/>
        <v>#DIV/0!</v>
      </c>
      <c r="I60" s="36" t="e">
        <f>(Table143454[[#This Row],[Core CPI]]-F48)/F48</f>
        <v>#DIV/0!</v>
      </c>
    </row>
    <row r="61" spans="1:9" x14ac:dyDescent="0.2">
      <c r="A61" s="34">
        <f>IF(Data!B89="",#N/A,Data!B89)</f>
        <v>20515</v>
      </c>
      <c r="B61" s="35">
        <f>VLOOKUP(A61,Data!B:AY,MATCH($B$2,Data!$C$1:$AY$1,0),FALSE)</f>
        <v>3.6297459999999999</v>
      </c>
      <c r="C61" s="36">
        <f t="shared" si="2"/>
        <v>6.4874457554036091E-3</v>
      </c>
      <c r="D61" s="36">
        <f t="shared" si="3"/>
        <v>8.0688041995367499E-2</v>
      </c>
      <c r="E61" s="36">
        <f>(Table143454[[#This Row],[JPN]]-B49)/B49</f>
        <v>3.8240828087895647E-2</v>
      </c>
      <c r="F61" s="35">
        <f>VLOOKUP(Table143454[[#This Row],[Date]],'Data Core CPI'!$B:$AY,MATCH($B$2,'Data Core CPI'!$C$1:$AY$1,0),FALSE)</f>
        <v>0</v>
      </c>
      <c r="G61" s="36" t="e">
        <f t="shared" si="0"/>
        <v>#DIV/0!</v>
      </c>
      <c r="H61" s="36" t="e">
        <f t="shared" si="1"/>
        <v>#DIV/0!</v>
      </c>
      <c r="I61" s="36" t="e">
        <f>(Table143454[[#This Row],[Core CPI]]-F49)/F49</f>
        <v>#DIV/0!</v>
      </c>
    </row>
    <row r="62" spans="1:9" x14ac:dyDescent="0.2">
      <c r="A62" s="34">
        <f>IF(Data!B90="",#N/A,Data!B90)</f>
        <v>20546</v>
      </c>
      <c r="B62" s="35">
        <f>VLOOKUP(A62,Data!B:AY,MATCH($B$2,Data!$C$1:$AY$1,0),FALSE)</f>
        <v>3.643116</v>
      </c>
      <c r="C62" s="36">
        <f t="shared" si="2"/>
        <v>3.6834533325471597E-3</v>
      </c>
      <c r="D62" s="36">
        <f t="shared" si="3"/>
        <v>4.5108003152214193E-2</v>
      </c>
      <c r="E62" s="36">
        <f>(Table143454[[#This Row],[JPN]]-B50)/B50</f>
        <v>4.007635167792975E-2</v>
      </c>
      <c r="F62" s="35">
        <f>VLOOKUP(Table143454[[#This Row],[Date]],'Data Core CPI'!$B:$AY,MATCH($B$2,'Data Core CPI'!$C$1:$AY$1,0),FALSE)</f>
        <v>0</v>
      </c>
      <c r="G62" s="36" t="e">
        <f t="shared" si="0"/>
        <v>#DIV/0!</v>
      </c>
      <c r="H62" s="36" t="e">
        <f t="shared" si="1"/>
        <v>#DIV/0!</v>
      </c>
      <c r="I62" s="36" t="e">
        <f>(Table143454[[#This Row],[Core CPI]]-F50)/F50</f>
        <v>#DIV/0!</v>
      </c>
    </row>
    <row r="63" spans="1:9" x14ac:dyDescent="0.2">
      <c r="A63" s="34">
        <f>IF(Data!B91="",#N/A,Data!B91)</f>
        <v>20576</v>
      </c>
      <c r="B63" s="35">
        <f>VLOOKUP(A63,Data!B:AY,MATCH($B$2,Data!$C$1:$AY$1,0),FALSE)</f>
        <v>3.6497999999999999</v>
      </c>
      <c r="C63" s="36">
        <f t="shared" si="2"/>
        <v>1.8346931582744475E-3</v>
      </c>
      <c r="D63" s="36">
        <f t="shared" si="3"/>
        <v>2.2239844724393887E-2</v>
      </c>
      <c r="E63" s="36">
        <f>(Table143454[[#This Row],[JPN]]-B51)/B51</f>
        <v>4.0991351882629048E-2</v>
      </c>
      <c r="F63" s="35">
        <f>VLOOKUP(Table143454[[#This Row],[Date]],'Data Core CPI'!$B:$AY,MATCH($B$2,'Data Core CPI'!$C$1:$AY$1,0),FALSE)</f>
        <v>0</v>
      </c>
      <c r="G63" s="36" t="e">
        <f t="shared" si="0"/>
        <v>#DIV/0!</v>
      </c>
      <c r="H63" s="36" t="e">
        <f t="shared" si="1"/>
        <v>#DIV/0!</v>
      </c>
      <c r="I63" s="36" t="e">
        <f>(Table143454[[#This Row],[Core CPI]]-F51)/F51</f>
        <v>#DIV/0!</v>
      </c>
    </row>
    <row r="64" spans="1:9" x14ac:dyDescent="0.2">
      <c r="A64" s="34">
        <f>IF(Data!B92="",#N/A,Data!B92)</f>
        <v>20607</v>
      </c>
      <c r="B64" s="35">
        <f>VLOOKUP(A64,Data!B:AY,MATCH($B$2,Data!$C$1:$AY$1,0),FALSE)</f>
        <v>3.636431</v>
      </c>
      <c r="C64" s="36">
        <f t="shared" si="2"/>
        <v>-3.6629404350922989E-3</v>
      </c>
      <c r="D64" s="36">
        <f t="shared" si="3"/>
        <v>-4.3080478032533343E-2</v>
      </c>
      <c r="E64" s="36">
        <f>(Table143454[[#This Row],[JPN]]-B52)/B52</f>
        <v>3.6190564659774556E-2</v>
      </c>
      <c r="F64" s="35">
        <f>VLOOKUP(Table143454[[#This Row],[Date]],'Data Core CPI'!$B:$AY,MATCH($B$2,'Data Core CPI'!$C$1:$AY$1,0),FALSE)</f>
        <v>0</v>
      </c>
      <c r="G64" s="36" t="e">
        <f t="shared" si="0"/>
        <v>#DIV/0!</v>
      </c>
      <c r="H64" s="36" t="e">
        <f t="shared" si="1"/>
        <v>#DIV/0!</v>
      </c>
      <c r="I64" s="36" t="e">
        <f>(Table143454[[#This Row],[Core CPI]]-F52)/F52</f>
        <v>#DIV/0!</v>
      </c>
    </row>
    <row r="65" spans="1:9" x14ac:dyDescent="0.2">
      <c r="A65" s="34">
        <f>IF(Data!B93="",#N/A,Data!B93)</f>
        <v>20637</v>
      </c>
      <c r="B65" s="35">
        <f>VLOOKUP(A65,Data!B:AY,MATCH($B$2,Data!$C$1:$AY$1,0),FALSE)</f>
        <v>3.636431</v>
      </c>
      <c r="C65" s="36">
        <f t="shared" si="2"/>
        <v>0</v>
      </c>
      <c r="D65" s="36">
        <f t="shared" si="3"/>
        <v>0</v>
      </c>
      <c r="E65" s="36">
        <f>(Table143454[[#This Row],[JPN]]-B53)/B53</f>
        <v>3.6190564659774556E-2</v>
      </c>
      <c r="F65" s="35">
        <f>VLOOKUP(Table143454[[#This Row],[Date]],'Data Core CPI'!$B:$AY,MATCH($B$2,'Data Core CPI'!$C$1:$AY$1,0),FALSE)</f>
        <v>0</v>
      </c>
      <c r="G65" s="36" t="e">
        <f t="shared" si="0"/>
        <v>#DIV/0!</v>
      </c>
      <c r="H65" s="36" t="e">
        <f t="shared" si="1"/>
        <v>#DIV/0!</v>
      </c>
      <c r="I65" s="36" t="e">
        <f>(Table143454[[#This Row],[Core CPI]]-F53)/F53</f>
        <v>#DIV/0!</v>
      </c>
    </row>
    <row r="66" spans="1:9" x14ac:dyDescent="0.2">
      <c r="A66" s="34">
        <f>IF(Data!B94="",#N/A,Data!B94)</f>
        <v>20668</v>
      </c>
      <c r="B66" s="35">
        <f>VLOOKUP(A66,Data!B:AY,MATCH($B$2,Data!$C$1:$AY$1,0),FALSE)</f>
        <v>3.6397729999999999</v>
      </c>
      <c r="C66" s="36">
        <f t="shared" si="2"/>
        <v>9.1903297491402469E-4</v>
      </c>
      <c r="D66" s="36">
        <f t="shared" si="3"/>
        <v>1.108431185053016E-2</v>
      </c>
      <c r="E66" s="36">
        <f>(Table143454[[#This Row],[JPN]]-B54)/B54</f>
        <v>3.5170990197115649E-2</v>
      </c>
      <c r="F66" s="35">
        <f>VLOOKUP(Table143454[[#This Row],[Date]],'Data Core CPI'!$B:$AY,MATCH($B$2,'Data Core CPI'!$C$1:$AY$1,0),FALSE)</f>
        <v>0</v>
      </c>
      <c r="G66" s="36" t="e">
        <f t="shared" si="0"/>
        <v>#DIV/0!</v>
      </c>
      <c r="H66" s="36" t="e">
        <f t="shared" si="1"/>
        <v>#DIV/0!</v>
      </c>
      <c r="I66" s="36" t="e">
        <f>(Table143454[[#This Row],[Core CPI]]-F54)/F54</f>
        <v>#DIV/0!</v>
      </c>
    </row>
    <row r="67" spans="1:9" x14ac:dyDescent="0.2">
      <c r="A67" s="34">
        <f>IF(Data!B95="",#N/A,Data!B95)</f>
        <v>20699</v>
      </c>
      <c r="B67" s="35">
        <f>VLOOKUP(A67,Data!B:AY,MATCH($B$2,Data!$C$1:$AY$1,0),FALSE)</f>
        <v>3.646458</v>
      </c>
      <c r="C67" s="36">
        <f t="shared" si="2"/>
        <v>1.8366530000635262E-3</v>
      </c>
      <c r="D67" s="36">
        <f t="shared" si="3"/>
        <v>2.2263842095643582E-2</v>
      </c>
      <c r="E67" s="36">
        <f>(Table143454[[#This Row],[JPN]]-B55)/B55</f>
        <v>3.7072240101839862E-2</v>
      </c>
      <c r="F67" s="35">
        <f>VLOOKUP(Table143454[[#This Row],[Date]],'Data Core CPI'!$B:$AY,MATCH($B$2,'Data Core CPI'!$C$1:$AY$1,0),FALSE)</f>
        <v>0</v>
      </c>
      <c r="G67" s="36" t="e">
        <f t="shared" ref="G67:G130" si="4">(F67/F66)-1</f>
        <v>#DIV/0!</v>
      </c>
      <c r="H67" s="36" t="e">
        <f t="shared" ref="H67:H130" si="5">((1+G67)^12)-1</f>
        <v>#DIV/0!</v>
      </c>
      <c r="I67" s="36" t="e">
        <f>(Table143454[[#This Row],[Core CPI]]-F55)/F55</f>
        <v>#DIV/0!</v>
      </c>
    </row>
    <row r="68" spans="1:9" x14ac:dyDescent="0.2">
      <c r="A68" s="34">
        <f>IF(Data!B96="",#N/A,Data!B96)</f>
        <v>20729</v>
      </c>
      <c r="B68" s="35">
        <f>VLOOKUP(A68,Data!B:AY,MATCH($B$2,Data!$C$1:$AY$1,0),FALSE)</f>
        <v>3.6397729999999999</v>
      </c>
      <c r="C68" s="36">
        <f t="shared" si="2"/>
        <v>-1.8332858900336202E-3</v>
      </c>
      <c r="D68" s="36">
        <f t="shared" si="3"/>
        <v>-2.1778958796002557E-2</v>
      </c>
      <c r="E68" s="36">
        <f>(Table143454[[#This Row],[JPN]]-B56)/B56</f>
        <v>3.1249955729984909E-2</v>
      </c>
      <c r="F68" s="35">
        <f>VLOOKUP(Table143454[[#This Row],[Date]],'Data Core CPI'!$B:$AY,MATCH($B$2,'Data Core CPI'!$C$1:$AY$1,0),FALSE)</f>
        <v>0</v>
      </c>
      <c r="G68" s="36" t="e">
        <f t="shared" si="4"/>
        <v>#DIV/0!</v>
      </c>
      <c r="H68" s="36" t="e">
        <f t="shared" si="5"/>
        <v>#DIV/0!</v>
      </c>
      <c r="I68" s="36" t="e">
        <f>(Table143454[[#This Row],[Core CPI]]-F56)/F56</f>
        <v>#DIV/0!</v>
      </c>
    </row>
    <row r="69" spans="1:9" x14ac:dyDescent="0.2">
      <c r="A69" s="34">
        <f>IF(Data!B97="",#N/A,Data!B97)</f>
        <v>20760</v>
      </c>
      <c r="B69" s="35">
        <f>VLOOKUP(A69,Data!B:AY,MATCH($B$2,Data!$C$1:$AY$1,0),FALSE)</f>
        <v>3.6497999999999999</v>
      </c>
      <c r="C69" s="36">
        <f t="shared" ref="C69:C132" si="6">(B69/B68)-1</f>
        <v>2.7548421288909886E-3</v>
      </c>
      <c r="D69" s="36">
        <f t="shared" si="3"/>
        <v>3.3563617946015034E-2</v>
      </c>
      <c r="E69" s="36">
        <f>(Table143454[[#This Row],[JPN]]-B57)/B57</f>
        <v>3.116142826791549E-2</v>
      </c>
      <c r="F69" s="35">
        <f>VLOOKUP(Table143454[[#This Row],[Date]],'Data Core CPI'!$B:$AY,MATCH($B$2,'Data Core CPI'!$C$1:$AY$1,0),FALSE)</f>
        <v>0</v>
      </c>
      <c r="G69" s="36" t="e">
        <f t="shared" si="4"/>
        <v>#DIV/0!</v>
      </c>
      <c r="H69" s="36" t="e">
        <f t="shared" si="5"/>
        <v>#DIV/0!</v>
      </c>
      <c r="I69" s="36" t="e">
        <f>(Table143454[[#This Row],[Core CPI]]-F57)/F57</f>
        <v>#DIV/0!</v>
      </c>
    </row>
    <row r="70" spans="1:9" x14ac:dyDescent="0.2">
      <c r="A70" s="34">
        <f>IF(Data!B98="",#N/A,Data!B98)</f>
        <v>20790</v>
      </c>
      <c r="B70" s="35">
        <f>VLOOKUP(A70,Data!B:AY,MATCH($B$2,Data!$C$1:$AY$1,0),FALSE)</f>
        <v>3.6698539999999999</v>
      </c>
      <c r="C70" s="36">
        <f t="shared" si="6"/>
        <v>5.4945476464463017E-3</v>
      </c>
      <c r="D70" s="36">
        <f t="shared" si="3"/>
        <v>6.7964064216690989E-2</v>
      </c>
      <c r="E70" s="36">
        <f>(Table143454[[#This Row],[JPN]]-B58)/B58</f>
        <v>3.0018804906115804E-2</v>
      </c>
      <c r="F70" s="35">
        <f>VLOOKUP(Table143454[[#This Row],[Date]],'Data Core CPI'!$B:$AY,MATCH($B$2,'Data Core CPI'!$C$1:$AY$1,0),FALSE)</f>
        <v>0</v>
      </c>
      <c r="G70" s="36" t="e">
        <f t="shared" si="4"/>
        <v>#DIV/0!</v>
      </c>
      <c r="H70" s="36" t="e">
        <f t="shared" si="5"/>
        <v>#DIV/0!</v>
      </c>
      <c r="I70" s="36" t="e">
        <f>(Table143454[[#This Row],[Core CPI]]-F58)/F58</f>
        <v>#DIV/0!</v>
      </c>
    </row>
    <row r="71" spans="1:9" x14ac:dyDescent="0.2">
      <c r="A71" s="34">
        <f>IF(Data!B99="",#N/A,Data!B99)</f>
        <v>20821</v>
      </c>
      <c r="B71" s="35">
        <f>VLOOKUP(A71,Data!B:AY,MATCH($B$2,Data!$C$1:$AY$1,0),FALSE)</f>
        <v>3.6832229999999999</v>
      </c>
      <c r="C71" s="36">
        <f t="shared" si="6"/>
        <v>3.6429242144238039E-3</v>
      </c>
      <c r="D71" s="36">
        <f t="shared" si="3"/>
        <v>4.460169332377717E-2</v>
      </c>
      <c r="E71" s="36">
        <f>(Table143454[[#This Row],[JPN]]-B59)/B59</f>
        <v>3.1835073264819276E-2</v>
      </c>
      <c r="F71" s="35">
        <f>VLOOKUP(Table143454[[#This Row],[Date]],'Data Core CPI'!$B:$AY,MATCH($B$2,'Data Core CPI'!$C$1:$AY$1,0),FALSE)</f>
        <v>0</v>
      </c>
      <c r="G71" s="36" t="e">
        <f t="shared" si="4"/>
        <v>#DIV/0!</v>
      </c>
      <c r="H71" s="36" t="e">
        <f t="shared" si="5"/>
        <v>#DIV/0!</v>
      </c>
      <c r="I71" s="36" t="e">
        <f>(Table143454[[#This Row],[Core CPI]]-F59)/F59</f>
        <v>#DIV/0!</v>
      </c>
    </row>
    <row r="72" spans="1:9" x14ac:dyDescent="0.2">
      <c r="A72" s="34">
        <f>IF(Data!B100="",#N/A,Data!B100)</f>
        <v>20852</v>
      </c>
      <c r="B72" s="35">
        <f>VLOOKUP(A72,Data!B:AY,MATCH($B$2,Data!$C$1:$AY$1,0),FALSE)</f>
        <v>3.6698539999999999</v>
      </c>
      <c r="C72" s="36">
        <f t="shared" si="6"/>
        <v>-3.6297014869857147E-3</v>
      </c>
      <c r="D72" s="36">
        <f t="shared" si="3"/>
        <v>-4.2697320527846694E-2</v>
      </c>
      <c r="E72" s="36">
        <f>(Table143454[[#This Row],[JPN]]-B60)/B60</f>
        <v>1.7608939786765015E-2</v>
      </c>
      <c r="F72" s="35">
        <f>VLOOKUP(Table143454[[#This Row],[Date]],'Data Core CPI'!$B:$AY,MATCH($B$2,'Data Core CPI'!$C$1:$AY$1,0),FALSE)</f>
        <v>0</v>
      </c>
      <c r="G72" s="36" t="e">
        <f t="shared" si="4"/>
        <v>#DIV/0!</v>
      </c>
      <c r="H72" s="36" t="e">
        <f t="shared" si="5"/>
        <v>#DIV/0!</v>
      </c>
      <c r="I72" s="36" t="e">
        <f>(Table143454[[#This Row],[Core CPI]]-F60)/F60</f>
        <v>#DIV/0!</v>
      </c>
    </row>
    <row r="73" spans="1:9" x14ac:dyDescent="0.2">
      <c r="A73" s="34">
        <f>IF(Data!B101="",#N/A,Data!B101)</f>
        <v>20880</v>
      </c>
      <c r="B73" s="35">
        <f>VLOOKUP(A73,Data!B:AY,MATCH($B$2,Data!$C$1:$AY$1,0),FALSE)</f>
        <v>3.6598269999999999</v>
      </c>
      <c r="C73" s="36">
        <f t="shared" si="6"/>
        <v>-2.7322612834188575E-3</v>
      </c>
      <c r="D73" s="36">
        <f t="shared" si="3"/>
        <v>-3.2298888665335146E-2</v>
      </c>
      <c r="E73" s="36">
        <f>(Table143454[[#This Row],[JPN]]-B61)/B61</f>
        <v>8.2873567461745328E-3</v>
      </c>
      <c r="F73" s="35">
        <f>VLOOKUP(Table143454[[#This Row],[Date]],'Data Core CPI'!$B:$AY,MATCH($B$2,'Data Core CPI'!$C$1:$AY$1,0),FALSE)</f>
        <v>0</v>
      </c>
      <c r="G73" s="36" t="e">
        <f t="shared" si="4"/>
        <v>#DIV/0!</v>
      </c>
      <c r="H73" s="36" t="e">
        <f t="shared" si="5"/>
        <v>#DIV/0!</v>
      </c>
      <c r="I73" s="36" t="e">
        <f>(Table143454[[#This Row],[Core CPI]]-F61)/F61</f>
        <v>#DIV/0!</v>
      </c>
    </row>
    <row r="74" spans="1:9" x14ac:dyDescent="0.2">
      <c r="A74" s="34">
        <f>IF(Data!B102="",#N/A,Data!B102)</f>
        <v>20911</v>
      </c>
      <c r="B74" s="35">
        <f>VLOOKUP(A74,Data!B:AY,MATCH($B$2,Data!$C$1:$AY$1,0),FALSE)</f>
        <v>3.6531419999999999</v>
      </c>
      <c r="C74" s="36">
        <f t="shared" si="6"/>
        <v>-1.826589071013518E-3</v>
      </c>
      <c r="D74" s="36">
        <f t="shared" si="3"/>
        <v>-2.1700199876244497E-2</v>
      </c>
      <c r="E74" s="36">
        <f>(Table143454[[#This Row],[JPN]]-B62)/B62</f>
        <v>2.7520397374115641E-3</v>
      </c>
      <c r="F74" s="35">
        <f>VLOOKUP(Table143454[[#This Row],[Date]],'Data Core CPI'!$B:$AY,MATCH($B$2,'Data Core CPI'!$C$1:$AY$1,0),FALSE)</f>
        <v>0</v>
      </c>
      <c r="G74" s="36" t="e">
        <f t="shared" si="4"/>
        <v>#DIV/0!</v>
      </c>
      <c r="H74" s="36" t="e">
        <f t="shared" si="5"/>
        <v>#DIV/0!</v>
      </c>
      <c r="I74" s="36" t="e">
        <f>(Table143454[[#This Row],[Core CPI]]-F62)/F62</f>
        <v>#DIV/0!</v>
      </c>
    </row>
    <row r="75" spans="1:9" x14ac:dyDescent="0.2">
      <c r="A75" s="34">
        <f>IF(Data!B103="",#N/A,Data!B103)</f>
        <v>20941</v>
      </c>
      <c r="B75" s="35">
        <f>VLOOKUP(A75,Data!B:AY,MATCH($B$2,Data!$C$1:$AY$1,0),FALSE)</f>
        <v>3.6531419999999999</v>
      </c>
      <c r="C75" s="36">
        <f t="shared" si="6"/>
        <v>0</v>
      </c>
      <c r="D75" s="36">
        <f t="shared" si="3"/>
        <v>0</v>
      </c>
      <c r="E75" s="36">
        <f>(Table143454[[#This Row],[JPN]]-B63)/B63</f>
        <v>9.1566661186913152E-4</v>
      </c>
      <c r="F75" s="35">
        <f>VLOOKUP(Table143454[[#This Row],[Date]],'Data Core CPI'!$B:$AY,MATCH($B$2,'Data Core CPI'!$C$1:$AY$1,0),FALSE)</f>
        <v>0</v>
      </c>
      <c r="G75" s="36" t="e">
        <f t="shared" si="4"/>
        <v>#DIV/0!</v>
      </c>
      <c r="H75" s="36" t="e">
        <f t="shared" si="5"/>
        <v>#DIV/0!</v>
      </c>
      <c r="I75" s="36" t="e">
        <f>(Table143454[[#This Row],[Core CPI]]-F63)/F63</f>
        <v>#DIV/0!</v>
      </c>
    </row>
    <row r="76" spans="1:9" x14ac:dyDescent="0.2">
      <c r="A76" s="34">
        <f>IF(Data!B104="",#N/A,Data!B104)</f>
        <v>20972</v>
      </c>
      <c r="B76" s="35">
        <f>VLOOKUP(A76,Data!B:AY,MATCH($B$2,Data!$C$1:$AY$1,0),FALSE)</f>
        <v>3.6531419999999999</v>
      </c>
      <c r="C76" s="36">
        <f t="shared" si="6"/>
        <v>0</v>
      </c>
      <c r="D76" s="36">
        <f t="shared" si="3"/>
        <v>0</v>
      </c>
      <c r="E76" s="36">
        <f>(Table143454[[#This Row],[JPN]]-B64)/B64</f>
        <v>4.595439869476396E-3</v>
      </c>
      <c r="F76" s="35">
        <f>VLOOKUP(Table143454[[#This Row],[Date]],'Data Core CPI'!$B:$AY,MATCH($B$2,'Data Core CPI'!$C$1:$AY$1,0),FALSE)</f>
        <v>0</v>
      </c>
      <c r="G76" s="36" t="e">
        <f t="shared" si="4"/>
        <v>#DIV/0!</v>
      </c>
      <c r="H76" s="36" t="e">
        <f t="shared" si="5"/>
        <v>#DIV/0!</v>
      </c>
      <c r="I76" s="36" t="e">
        <f>(Table143454[[#This Row],[Core CPI]]-F64)/F64</f>
        <v>#DIV/0!</v>
      </c>
    </row>
    <row r="77" spans="1:9" x14ac:dyDescent="0.2">
      <c r="A77" s="34">
        <f>IF(Data!B105="",#N/A,Data!B105)</f>
        <v>21002</v>
      </c>
      <c r="B77" s="35">
        <f>VLOOKUP(A77,Data!B:AY,MATCH($B$2,Data!$C$1:$AY$1,0),FALSE)</f>
        <v>3.6731959999999999</v>
      </c>
      <c r="C77" s="36">
        <f t="shared" si="6"/>
        <v>5.4895210752825552E-3</v>
      </c>
      <c r="D77" s="36">
        <f t="shared" si="3"/>
        <v>6.7899999625369745E-2</v>
      </c>
      <c r="E77" s="36">
        <f>(Table143454[[#This Row],[JPN]]-B65)/B65</f>
        <v>1.0110187708772677E-2</v>
      </c>
      <c r="F77" s="35">
        <f>VLOOKUP(Table143454[[#This Row],[Date]],'Data Core CPI'!$B:$AY,MATCH($B$2,'Data Core CPI'!$C$1:$AY$1,0),FALSE)</f>
        <v>0</v>
      </c>
      <c r="G77" s="36" t="e">
        <f t="shared" si="4"/>
        <v>#DIV/0!</v>
      </c>
      <c r="H77" s="36" t="e">
        <f t="shared" si="5"/>
        <v>#DIV/0!</v>
      </c>
      <c r="I77" s="36" t="e">
        <f>(Table143454[[#This Row],[Core CPI]]-F65)/F65</f>
        <v>#DIV/0!</v>
      </c>
    </row>
    <row r="78" spans="1:9" x14ac:dyDescent="0.2">
      <c r="A78" s="34">
        <f>IF(Data!B106="",#N/A,Data!B106)</f>
        <v>21033</v>
      </c>
      <c r="B78" s="35">
        <f>VLOOKUP(A78,Data!B:AY,MATCH($B$2,Data!$C$1:$AY$1,0),FALSE)</f>
        <v>3.676539</v>
      </c>
      <c r="C78" s="36">
        <f t="shared" si="6"/>
        <v>9.1010662104618056E-4</v>
      </c>
      <c r="D78" s="36">
        <f t="shared" si="3"/>
        <v>1.0976113044623981E-2</v>
      </c>
      <c r="E78" s="36">
        <f>(Table143454[[#This Row],[JPN]]-B66)/B66</f>
        <v>1.0101179386736502E-2</v>
      </c>
      <c r="F78" s="35">
        <f>VLOOKUP(Table143454[[#This Row],[Date]],'Data Core CPI'!$B:$AY,MATCH($B$2,'Data Core CPI'!$C$1:$AY$1,0),FALSE)</f>
        <v>0</v>
      </c>
      <c r="G78" s="36" t="e">
        <f t="shared" si="4"/>
        <v>#DIV/0!</v>
      </c>
      <c r="H78" s="36" t="e">
        <f t="shared" si="5"/>
        <v>#DIV/0!</v>
      </c>
      <c r="I78" s="36" t="e">
        <f>(Table143454[[#This Row],[Core CPI]]-F66)/F66</f>
        <v>#DIV/0!</v>
      </c>
    </row>
    <row r="79" spans="1:9" x14ac:dyDescent="0.2">
      <c r="A79" s="34">
        <f>IF(Data!B107="",#N/A,Data!B107)</f>
        <v>21064</v>
      </c>
      <c r="B79" s="35">
        <f>VLOOKUP(A79,Data!B:AY,MATCH($B$2,Data!$C$1:$AY$1,0),FALSE)</f>
        <v>3.686566</v>
      </c>
      <c r="C79" s="36">
        <f t="shared" si="6"/>
        <v>2.7272932505271186E-3</v>
      </c>
      <c r="D79" s="36">
        <f t="shared" si="3"/>
        <v>3.3222925902437472E-2</v>
      </c>
      <c r="E79" s="36">
        <f>(Table143454[[#This Row],[JPN]]-B67)/B67</f>
        <v>1.0999166862747366E-2</v>
      </c>
      <c r="F79" s="35">
        <f>VLOOKUP(Table143454[[#This Row],[Date]],'Data Core CPI'!$B:$AY,MATCH($B$2,'Data Core CPI'!$C$1:$AY$1,0),FALSE)</f>
        <v>0</v>
      </c>
      <c r="G79" s="36" t="e">
        <f t="shared" si="4"/>
        <v>#DIV/0!</v>
      </c>
      <c r="H79" s="36" t="e">
        <f t="shared" si="5"/>
        <v>#DIV/0!</v>
      </c>
      <c r="I79" s="36" t="e">
        <f>(Table143454[[#This Row],[Core CPI]]-F67)/F67</f>
        <v>#DIV/0!</v>
      </c>
    </row>
    <row r="80" spans="1:9" x14ac:dyDescent="0.2">
      <c r="A80" s="34">
        <f>IF(Data!B108="",#N/A,Data!B108)</f>
        <v>21094</v>
      </c>
      <c r="B80" s="35">
        <f>VLOOKUP(A80,Data!B:AY,MATCH($B$2,Data!$C$1:$AY$1,0),FALSE)</f>
        <v>3.70662</v>
      </c>
      <c r="C80" s="36">
        <f t="shared" si="6"/>
        <v>5.4397507056702654E-3</v>
      </c>
      <c r="D80" s="36">
        <f t="shared" si="3"/>
        <v>6.7265857039105148E-2</v>
      </c>
      <c r="E80" s="36">
        <f>(Table143454[[#This Row],[JPN]]-B68)/B68</f>
        <v>1.8365705773409523E-2</v>
      </c>
      <c r="F80" s="35">
        <f>VLOOKUP(Table143454[[#This Row],[Date]],'Data Core CPI'!$B:$AY,MATCH($B$2,'Data Core CPI'!$C$1:$AY$1,0),FALSE)</f>
        <v>0</v>
      </c>
      <c r="G80" s="36" t="e">
        <f t="shared" si="4"/>
        <v>#DIV/0!</v>
      </c>
      <c r="H80" s="36" t="e">
        <f t="shared" si="5"/>
        <v>#DIV/0!</v>
      </c>
      <c r="I80" s="36" t="e">
        <f>(Table143454[[#This Row],[Core CPI]]-F68)/F68</f>
        <v>#DIV/0!</v>
      </c>
    </row>
    <row r="81" spans="1:9" x14ac:dyDescent="0.2">
      <c r="A81" s="34">
        <f>IF(Data!B109="",#N/A,Data!B109)</f>
        <v>21125</v>
      </c>
      <c r="B81" s="35">
        <f>VLOOKUP(A81,Data!B:AY,MATCH($B$2,Data!$C$1:$AY$1,0),FALSE)</f>
        <v>3.7266729999999999</v>
      </c>
      <c r="C81" s="36">
        <f t="shared" si="6"/>
        <v>5.4100501265303969E-3</v>
      </c>
      <c r="D81" s="36">
        <f t="shared" si="3"/>
        <v>6.6887595513083875E-2</v>
      </c>
      <c r="E81" s="36">
        <f>(Table143454[[#This Row],[JPN]]-B69)/B69</f>
        <v>2.1062249986300612E-2</v>
      </c>
      <c r="F81" s="35">
        <f>VLOOKUP(Table143454[[#This Row],[Date]],'Data Core CPI'!$B:$AY,MATCH($B$2,'Data Core CPI'!$C$1:$AY$1,0),FALSE)</f>
        <v>0</v>
      </c>
      <c r="G81" s="36" t="e">
        <f t="shared" si="4"/>
        <v>#DIV/0!</v>
      </c>
      <c r="H81" s="36" t="e">
        <f t="shared" si="5"/>
        <v>#DIV/0!</v>
      </c>
      <c r="I81" s="36" t="e">
        <f>(Table143454[[#This Row],[Core CPI]]-F69)/F69</f>
        <v>#DIV/0!</v>
      </c>
    </row>
    <row r="82" spans="1:9" x14ac:dyDescent="0.2">
      <c r="A82" s="34">
        <f>IF(Data!B110="",#N/A,Data!B110)</f>
        <v>21155</v>
      </c>
      <c r="B82" s="35">
        <f>VLOOKUP(A82,Data!B:AY,MATCH($B$2,Data!$C$1:$AY$1,0),FALSE)</f>
        <v>3.7500689999999999</v>
      </c>
      <c r="C82" s="36">
        <f t="shared" si="6"/>
        <v>6.2779857529760008E-3</v>
      </c>
      <c r="D82" s="36">
        <f t="shared" si="3"/>
        <v>7.7992306364063291E-2</v>
      </c>
      <c r="E82" s="36">
        <f>(Table143454[[#This Row],[JPN]]-B70)/B70</f>
        <v>2.1857817776946963E-2</v>
      </c>
      <c r="F82" s="35">
        <f>VLOOKUP(Table143454[[#This Row],[Date]],'Data Core CPI'!$B:$AY,MATCH($B$2,'Data Core CPI'!$C$1:$AY$1,0),FALSE)</f>
        <v>0</v>
      </c>
      <c r="G82" s="36" t="e">
        <f t="shared" si="4"/>
        <v>#DIV/0!</v>
      </c>
      <c r="H82" s="36" t="e">
        <f t="shared" si="5"/>
        <v>#DIV/0!</v>
      </c>
      <c r="I82" s="36" t="e">
        <f>(Table143454[[#This Row],[Core CPI]]-F70)/F70</f>
        <v>#DIV/0!</v>
      </c>
    </row>
    <row r="83" spans="1:9" x14ac:dyDescent="0.2">
      <c r="A83" s="34">
        <f>IF(Data!B111="",#N/A,Data!B111)</f>
        <v>21186</v>
      </c>
      <c r="B83" s="35">
        <f>VLOOKUP(A83,Data!B:AY,MATCH($B$2,Data!$C$1:$AY$1,0),FALSE)</f>
        <v>3.7600959999999999</v>
      </c>
      <c r="C83" s="36">
        <f t="shared" si="6"/>
        <v>2.6738174684253213E-3</v>
      </c>
      <c r="D83" s="36">
        <f t="shared" si="3"/>
        <v>3.2561894323780871E-2</v>
      </c>
      <c r="E83" s="36">
        <f>(Table143454[[#This Row],[JPN]]-B71)/B71</f>
        <v>2.0871122926849655E-2</v>
      </c>
      <c r="F83" s="35">
        <f>VLOOKUP(Table143454[[#This Row],[Date]],'Data Core CPI'!$B:$AY,MATCH($B$2,'Data Core CPI'!$C$1:$AY$1,0),FALSE)</f>
        <v>0</v>
      </c>
      <c r="G83" s="36" t="e">
        <f t="shared" si="4"/>
        <v>#DIV/0!</v>
      </c>
      <c r="H83" s="36" t="e">
        <f t="shared" si="5"/>
        <v>#DIV/0!</v>
      </c>
      <c r="I83" s="36" t="e">
        <f>(Table143454[[#This Row],[Core CPI]]-F71)/F71</f>
        <v>#DIV/0!</v>
      </c>
    </row>
    <row r="84" spans="1:9" x14ac:dyDescent="0.2">
      <c r="A84" s="34">
        <f>IF(Data!B112="",#N/A,Data!B112)</f>
        <v>21217</v>
      </c>
      <c r="B84" s="35">
        <f>VLOOKUP(A84,Data!B:AY,MATCH($B$2,Data!$C$1:$AY$1,0),FALSE)</f>
        <v>3.753412</v>
      </c>
      <c r="C84" s="36">
        <f t="shared" si="6"/>
        <v>-1.7776141885739172E-3</v>
      </c>
      <c r="D84" s="36">
        <f t="shared" si="3"/>
        <v>-2.1124046891941028E-2</v>
      </c>
      <c r="E84" s="36">
        <f>(Table143454[[#This Row],[JPN]]-B72)/B72</f>
        <v>2.2768753198356126E-2</v>
      </c>
      <c r="F84" s="35">
        <f>VLOOKUP(Table143454[[#This Row],[Date]],'Data Core CPI'!$B:$AY,MATCH($B$2,'Data Core CPI'!$C$1:$AY$1,0),FALSE)</f>
        <v>0</v>
      </c>
      <c r="G84" s="36" t="e">
        <f t="shared" si="4"/>
        <v>#DIV/0!</v>
      </c>
      <c r="H84" s="36" t="e">
        <f t="shared" si="5"/>
        <v>#DIV/0!</v>
      </c>
      <c r="I84" s="36" t="e">
        <f>(Table143454[[#This Row],[Core CPI]]-F72)/F72</f>
        <v>#DIV/0!</v>
      </c>
    </row>
    <row r="85" spans="1:9" x14ac:dyDescent="0.2">
      <c r="A85" s="34">
        <f>IF(Data!B113="",#N/A,Data!B113)</f>
        <v>21245</v>
      </c>
      <c r="B85" s="35">
        <f>VLOOKUP(A85,Data!B:AY,MATCH($B$2,Data!$C$1:$AY$1,0),FALSE)</f>
        <v>3.7567539999999999</v>
      </c>
      <c r="C85" s="36">
        <f t="shared" si="6"/>
        <v>8.9038986394252007E-4</v>
      </c>
      <c r="D85" s="36">
        <f t="shared" si="3"/>
        <v>1.0737158387205792E-2</v>
      </c>
      <c r="E85" s="36">
        <f>(Table143454[[#This Row],[JPN]]-B73)/B73</f>
        <v>2.6484038726420672E-2</v>
      </c>
      <c r="F85" s="35">
        <f>VLOOKUP(Table143454[[#This Row],[Date]],'Data Core CPI'!$B:$AY,MATCH($B$2,'Data Core CPI'!$C$1:$AY$1,0),FALSE)</f>
        <v>0</v>
      </c>
      <c r="G85" s="36" t="e">
        <f t="shared" si="4"/>
        <v>#DIV/0!</v>
      </c>
      <c r="H85" s="36" t="e">
        <f t="shared" si="5"/>
        <v>#DIV/0!</v>
      </c>
      <c r="I85" s="36" t="e">
        <f>(Table143454[[#This Row],[Core CPI]]-F73)/F73</f>
        <v>#DIV/0!</v>
      </c>
    </row>
    <row r="86" spans="1:9" x14ac:dyDescent="0.2">
      <c r="A86" s="34">
        <f>IF(Data!B114="",#N/A,Data!B114)</f>
        <v>21276</v>
      </c>
      <c r="B86" s="35">
        <f>VLOOKUP(A86,Data!B:AY,MATCH($B$2,Data!$C$1:$AY$1,0),FALSE)</f>
        <v>3.7901769999999999</v>
      </c>
      <c r="C86" s="36">
        <f t="shared" si="6"/>
        <v>8.8967763127423272E-3</v>
      </c>
      <c r="D86" s="36">
        <f t="shared" si="3"/>
        <v>0.11214345981324669</v>
      </c>
      <c r="E86" s="36">
        <f>(Table143454[[#This Row],[JPN]]-B74)/B74</f>
        <v>3.7511544856455081E-2</v>
      </c>
      <c r="F86" s="35">
        <f>VLOOKUP(Table143454[[#This Row],[Date]],'Data Core CPI'!$B:$AY,MATCH($B$2,'Data Core CPI'!$C$1:$AY$1,0),FALSE)</f>
        <v>0</v>
      </c>
      <c r="G86" s="36" t="e">
        <f t="shared" si="4"/>
        <v>#DIV/0!</v>
      </c>
      <c r="H86" s="36" t="e">
        <f t="shared" si="5"/>
        <v>#DIV/0!</v>
      </c>
      <c r="I86" s="36" t="e">
        <f>(Table143454[[#This Row],[Core CPI]]-F74)/F74</f>
        <v>#DIV/0!</v>
      </c>
    </row>
    <row r="87" spans="1:9" x14ac:dyDescent="0.2">
      <c r="A87" s="34">
        <f>IF(Data!B115="",#N/A,Data!B115)</f>
        <v>21306</v>
      </c>
      <c r="B87" s="35">
        <f>VLOOKUP(A87,Data!B:AY,MATCH($B$2,Data!$C$1:$AY$1,0),FALSE)</f>
        <v>3.8135729999999999</v>
      </c>
      <c r="C87" s="36">
        <f t="shared" si="6"/>
        <v>6.1727987901356585E-3</v>
      </c>
      <c r="D87" s="36">
        <f t="shared" si="3"/>
        <v>7.6640883749230282E-2</v>
      </c>
      <c r="E87" s="36">
        <f>(Table143454[[#This Row],[JPN]]-B75)/B75</f>
        <v>4.3915894865296776E-2</v>
      </c>
      <c r="F87" s="35">
        <f>VLOOKUP(Table143454[[#This Row],[Date]],'Data Core CPI'!$B:$AY,MATCH($B$2,'Data Core CPI'!$C$1:$AY$1,0),FALSE)</f>
        <v>0</v>
      </c>
      <c r="G87" s="36" t="e">
        <f t="shared" si="4"/>
        <v>#DIV/0!</v>
      </c>
      <c r="H87" s="36" t="e">
        <f t="shared" si="5"/>
        <v>#DIV/0!</v>
      </c>
      <c r="I87" s="36" t="e">
        <f>(Table143454[[#This Row],[Core CPI]]-F75)/F75</f>
        <v>#DIV/0!</v>
      </c>
    </row>
    <row r="88" spans="1:9" x14ac:dyDescent="0.2">
      <c r="A88" s="34">
        <f>IF(Data!B116="",#N/A,Data!B116)</f>
        <v>21337</v>
      </c>
      <c r="B88" s="35">
        <f>VLOOKUP(A88,Data!B:AY,MATCH($B$2,Data!$C$1:$AY$1,0),FALSE)</f>
        <v>3.8235999999999999</v>
      </c>
      <c r="C88" s="36">
        <f t="shared" si="6"/>
        <v>2.6292927918254438E-3</v>
      </c>
      <c r="D88" s="36">
        <f t="shared" si="3"/>
        <v>3.2011806068118931E-2</v>
      </c>
      <c r="E88" s="36">
        <f>(Table143454[[#This Row],[JPN]]-B76)/B76</f>
        <v>4.6660655402938074E-2</v>
      </c>
      <c r="F88" s="35">
        <f>VLOOKUP(Table143454[[#This Row],[Date]],'Data Core CPI'!$B:$AY,MATCH($B$2,'Data Core CPI'!$C$1:$AY$1,0),FALSE)</f>
        <v>0</v>
      </c>
      <c r="G88" s="36" t="e">
        <f t="shared" si="4"/>
        <v>#DIV/0!</v>
      </c>
      <c r="H88" s="36" t="e">
        <f t="shared" si="5"/>
        <v>#DIV/0!</v>
      </c>
      <c r="I88" s="36" t="e">
        <f>(Table143454[[#This Row],[Core CPI]]-F76)/F76</f>
        <v>#DIV/0!</v>
      </c>
    </row>
    <row r="89" spans="1:9" x14ac:dyDescent="0.2">
      <c r="A89" s="34">
        <f>IF(Data!B117="",#N/A,Data!B117)</f>
        <v>21367</v>
      </c>
      <c r="B89" s="35">
        <f>VLOOKUP(A89,Data!B:AY,MATCH($B$2,Data!$C$1:$AY$1,0),FALSE)</f>
        <v>3.816916</v>
      </c>
      <c r="C89" s="36">
        <f t="shared" si="6"/>
        <v>-1.7480908044774646E-3</v>
      </c>
      <c r="D89" s="36">
        <f t="shared" si="3"/>
        <v>-2.0776576035640537E-2</v>
      </c>
      <c r="E89" s="36">
        <f>(Table143454[[#This Row],[JPN]]-B77)/B77</f>
        <v>3.9126689672971462E-2</v>
      </c>
      <c r="F89" s="35">
        <f>VLOOKUP(Table143454[[#This Row],[Date]],'Data Core CPI'!$B:$AY,MATCH($B$2,'Data Core CPI'!$C$1:$AY$1,0),FALSE)</f>
        <v>0</v>
      </c>
      <c r="G89" s="36" t="e">
        <f t="shared" si="4"/>
        <v>#DIV/0!</v>
      </c>
      <c r="H89" s="36" t="e">
        <f t="shared" si="5"/>
        <v>#DIV/0!</v>
      </c>
      <c r="I89" s="36" t="e">
        <f>(Table143454[[#This Row],[Core CPI]]-F77)/F77</f>
        <v>#DIV/0!</v>
      </c>
    </row>
    <row r="90" spans="1:9" x14ac:dyDescent="0.2">
      <c r="A90" s="34">
        <f>IF(Data!B118="",#N/A,Data!B118)</f>
        <v>21398</v>
      </c>
      <c r="B90" s="35">
        <f>VLOOKUP(A90,Data!B:AY,MATCH($B$2,Data!$C$1:$AY$1,0),FALSE)</f>
        <v>3.8135729999999999</v>
      </c>
      <c r="C90" s="36">
        <f t="shared" si="6"/>
        <v>-8.7583798019130743E-4</v>
      </c>
      <c r="D90" s="36">
        <f t="shared" si="3"/>
        <v>-1.0459575195032267E-2</v>
      </c>
      <c r="E90" s="36">
        <f>(Table143454[[#This Row],[JPN]]-B78)/B78</f>
        <v>3.7272554432307092E-2</v>
      </c>
      <c r="F90" s="35">
        <f>VLOOKUP(Table143454[[#This Row],[Date]],'Data Core CPI'!$B:$AY,MATCH($B$2,'Data Core CPI'!$C$1:$AY$1,0),FALSE)</f>
        <v>0</v>
      </c>
      <c r="G90" s="36" t="e">
        <f t="shared" si="4"/>
        <v>#DIV/0!</v>
      </c>
      <c r="H90" s="36" t="e">
        <f t="shared" si="5"/>
        <v>#DIV/0!</v>
      </c>
      <c r="I90" s="36" t="e">
        <f>(Table143454[[#This Row],[Core CPI]]-F78)/F78</f>
        <v>#DIV/0!</v>
      </c>
    </row>
    <row r="91" spans="1:9" x14ac:dyDescent="0.2">
      <c r="A91" s="34">
        <f>IF(Data!B119="",#N/A,Data!B119)</f>
        <v>21429</v>
      </c>
      <c r="B91" s="35">
        <f>VLOOKUP(A91,Data!B:AY,MATCH($B$2,Data!$C$1:$AY$1,0),FALSE)</f>
        <v>3.8035459999999999</v>
      </c>
      <c r="C91" s="36">
        <f t="shared" si="6"/>
        <v>-2.6292927918254438E-3</v>
      </c>
      <c r="D91" s="36">
        <f t="shared" si="3"/>
        <v>-3.109921891612466E-2</v>
      </c>
      <c r="E91" s="36">
        <f>(Table143454[[#This Row],[JPN]]-B79)/B79</f>
        <v>3.1731427024499187E-2</v>
      </c>
      <c r="F91" s="35">
        <f>VLOOKUP(Table143454[[#This Row],[Date]],'Data Core CPI'!$B:$AY,MATCH($B$2,'Data Core CPI'!$C$1:$AY$1,0),FALSE)</f>
        <v>0</v>
      </c>
      <c r="G91" s="36" t="e">
        <f t="shared" si="4"/>
        <v>#DIV/0!</v>
      </c>
      <c r="H91" s="36" t="e">
        <f t="shared" si="5"/>
        <v>#DIV/0!</v>
      </c>
      <c r="I91" s="36" t="e">
        <f>(Table143454[[#This Row],[Core CPI]]-F79)/F79</f>
        <v>#DIV/0!</v>
      </c>
    </row>
    <row r="92" spans="1:9" x14ac:dyDescent="0.2">
      <c r="A92" s="34">
        <f>IF(Data!B120="",#N/A,Data!B120)</f>
        <v>21459</v>
      </c>
      <c r="B92" s="35">
        <f>VLOOKUP(A92,Data!B:AY,MATCH($B$2,Data!$C$1:$AY$1,0),FALSE)</f>
        <v>3.7801499999999999</v>
      </c>
      <c r="C92" s="36">
        <f t="shared" si="6"/>
        <v>-6.1511021557252299E-3</v>
      </c>
      <c r="D92" s="36">
        <f t="shared" si="3"/>
        <v>-7.1366545717436503E-2</v>
      </c>
      <c r="E92" s="36">
        <f>(Table143454[[#This Row],[JPN]]-B80)/B80</f>
        <v>1.9837479968272946E-2</v>
      </c>
      <c r="F92" s="35">
        <f>VLOOKUP(Table143454[[#This Row],[Date]],'Data Core CPI'!$B:$AY,MATCH($B$2,'Data Core CPI'!$C$1:$AY$1,0),FALSE)</f>
        <v>0</v>
      </c>
      <c r="G92" s="36" t="e">
        <f t="shared" si="4"/>
        <v>#DIV/0!</v>
      </c>
      <c r="H92" s="36" t="e">
        <f t="shared" si="5"/>
        <v>#DIV/0!</v>
      </c>
      <c r="I92" s="36" t="e">
        <f>(Table143454[[#This Row],[Core CPI]]-F80)/F80</f>
        <v>#DIV/0!</v>
      </c>
    </row>
    <row r="93" spans="1:9" x14ac:dyDescent="0.2">
      <c r="A93" s="34">
        <f>IF(Data!B121="",#N/A,Data!B121)</f>
        <v>21490</v>
      </c>
      <c r="B93" s="35">
        <f>VLOOKUP(A93,Data!B:AY,MATCH($B$2,Data!$C$1:$AY$1,0),FALSE)</f>
        <v>3.7768079999999999</v>
      </c>
      <c r="C93" s="36">
        <f t="shared" si="6"/>
        <v>-8.8409190111504721E-4</v>
      </c>
      <c r="D93" s="36">
        <f t="shared" si="3"/>
        <v>-1.0557667716051156E-2</v>
      </c>
      <c r="E93" s="36">
        <f>(Table143454[[#This Row],[JPN]]-B81)/B81</f>
        <v>1.3453018281990409E-2</v>
      </c>
      <c r="F93" s="35">
        <f>VLOOKUP(Table143454[[#This Row],[Date]],'Data Core CPI'!$B:$AY,MATCH($B$2,'Data Core CPI'!$C$1:$AY$1,0),FALSE)</f>
        <v>0</v>
      </c>
      <c r="G93" s="36" t="e">
        <f t="shared" si="4"/>
        <v>#DIV/0!</v>
      </c>
      <c r="H93" s="36" t="e">
        <f t="shared" si="5"/>
        <v>#DIV/0!</v>
      </c>
      <c r="I93" s="36" t="e">
        <f>(Table143454[[#This Row],[Core CPI]]-F81)/F81</f>
        <v>#DIV/0!</v>
      </c>
    </row>
    <row r="94" spans="1:9" x14ac:dyDescent="0.2">
      <c r="A94" s="34">
        <f>IF(Data!B122="",#N/A,Data!B122)</f>
        <v>21520</v>
      </c>
      <c r="B94" s="35">
        <f>VLOOKUP(A94,Data!B:AY,MATCH($B$2,Data!$C$1:$AY$1,0),FALSE)</f>
        <v>3.7667809999999999</v>
      </c>
      <c r="C94" s="36">
        <f t="shared" si="6"/>
        <v>-2.6548874075674744E-3</v>
      </c>
      <c r="D94" s="36">
        <f t="shared" si="3"/>
        <v>-3.1397545023199358E-2</v>
      </c>
      <c r="E94" s="36">
        <f>(Table143454[[#This Row],[JPN]]-B82)/B82</f>
        <v>4.4564513346287927E-3</v>
      </c>
      <c r="F94" s="35">
        <f>VLOOKUP(Table143454[[#This Row],[Date]],'Data Core CPI'!$B:$AY,MATCH($B$2,'Data Core CPI'!$C$1:$AY$1,0),FALSE)</f>
        <v>0</v>
      </c>
      <c r="G94" s="36" t="e">
        <f t="shared" si="4"/>
        <v>#DIV/0!</v>
      </c>
      <c r="H94" s="36" t="e">
        <f t="shared" si="5"/>
        <v>#DIV/0!</v>
      </c>
      <c r="I94" s="36" t="e">
        <f>(Table143454[[#This Row],[Core CPI]]-F82)/F82</f>
        <v>#DIV/0!</v>
      </c>
    </row>
    <row r="95" spans="1:9" x14ac:dyDescent="0.2">
      <c r="A95" s="34">
        <f>IF(Data!B123="",#N/A,Data!B123)</f>
        <v>21551</v>
      </c>
      <c r="B95" s="35">
        <f>VLOOKUP(A95,Data!B:AY,MATCH($B$2,Data!$C$1:$AY$1,0),FALSE)</f>
        <v>3.7600959999999999</v>
      </c>
      <c r="C95" s="36">
        <f t="shared" si="6"/>
        <v>-1.7747248910939817E-3</v>
      </c>
      <c r="D95" s="36">
        <f t="shared" si="3"/>
        <v>-2.1090046746609525E-2</v>
      </c>
      <c r="E95" s="36">
        <f>(Table143454[[#This Row],[JPN]]-B83)/B83</f>
        <v>0</v>
      </c>
      <c r="F95" s="35">
        <f>VLOOKUP(Table143454[[#This Row],[Date]],'Data Core CPI'!$B:$AY,MATCH($B$2,'Data Core CPI'!$C$1:$AY$1,0),FALSE)</f>
        <v>0</v>
      </c>
      <c r="G95" s="36" t="e">
        <f t="shared" si="4"/>
        <v>#DIV/0!</v>
      </c>
      <c r="H95" s="36" t="e">
        <f t="shared" si="5"/>
        <v>#DIV/0!</v>
      </c>
      <c r="I95" s="36" t="e">
        <f>(Table143454[[#This Row],[Core CPI]]-F83)/F83</f>
        <v>#DIV/0!</v>
      </c>
    </row>
    <row r="96" spans="1:9" x14ac:dyDescent="0.2">
      <c r="A96" s="34">
        <f>IF(Data!B124="",#N/A,Data!B124)</f>
        <v>21582</v>
      </c>
      <c r="B96" s="35">
        <f>VLOOKUP(A96,Data!B:AY,MATCH($B$2,Data!$C$1:$AY$1,0),FALSE)</f>
        <v>3.7567539999999999</v>
      </c>
      <c r="C96" s="36">
        <f t="shared" si="6"/>
        <v>-8.8880709428695859E-4</v>
      </c>
      <c r="D96" s="36">
        <f t="shared" si="3"/>
        <v>-1.0613700741994636E-2</v>
      </c>
      <c r="E96" s="36">
        <f>(Table143454[[#This Row],[JPN]]-B84)/B84</f>
        <v>8.9038986394244916E-4</v>
      </c>
      <c r="F96" s="35">
        <f>VLOOKUP(Table143454[[#This Row],[Date]],'Data Core CPI'!$B:$AY,MATCH($B$2,'Data Core CPI'!$C$1:$AY$1,0),FALSE)</f>
        <v>0</v>
      </c>
      <c r="G96" s="36" t="e">
        <f t="shared" si="4"/>
        <v>#DIV/0!</v>
      </c>
      <c r="H96" s="36" t="e">
        <f t="shared" si="5"/>
        <v>#DIV/0!</v>
      </c>
      <c r="I96" s="36" t="e">
        <f>(Table143454[[#This Row],[Core CPI]]-F84)/F84</f>
        <v>#DIV/0!</v>
      </c>
    </row>
    <row r="97" spans="1:9" x14ac:dyDescent="0.2">
      <c r="A97" s="34">
        <f>IF(Data!B125="",#N/A,Data!B125)</f>
        <v>21610</v>
      </c>
      <c r="B97" s="35">
        <f>VLOOKUP(A97,Data!B:AY,MATCH($B$2,Data!$C$1:$AY$1,0),FALSE)</f>
        <v>3.7467269999999999</v>
      </c>
      <c r="C97" s="36">
        <f t="shared" si="6"/>
        <v>-2.669059512547256E-3</v>
      </c>
      <c r="D97" s="36">
        <f t="shared" si="3"/>
        <v>-3.1562696235813092E-2</v>
      </c>
      <c r="E97" s="36">
        <f>(Table143454[[#This Row],[JPN]]-B85)/B85</f>
        <v>-2.6690595125472704E-3</v>
      </c>
      <c r="F97" s="35">
        <f>VLOOKUP(Table143454[[#This Row],[Date]],'Data Core CPI'!$B:$AY,MATCH($B$2,'Data Core CPI'!$C$1:$AY$1,0),FALSE)</f>
        <v>0</v>
      </c>
      <c r="G97" s="36" t="e">
        <f t="shared" si="4"/>
        <v>#DIV/0!</v>
      </c>
      <c r="H97" s="36" t="e">
        <f t="shared" si="5"/>
        <v>#DIV/0!</v>
      </c>
      <c r="I97" s="36" t="e">
        <f>(Table143454[[#This Row],[Core CPI]]-F85)/F85</f>
        <v>#DIV/0!</v>
      </c>
    </row>
    <row r="98" spans="1:9" x14ac:dyDescent="0.2">
      <c r="A98" s="34">
        <f>IF(Data!B126="",#N/A,Data!B126)</f>
        <v>21641</v>
      </c>
      <c r="B98" s="35">
        <f>VLOOKUP(A98,Data!B:AY,MATCH($B$2,Data!$C$1:$AY$1,0),FALSE)</f>
        <v>3.7400419999999999</v>
      </c>
      <c r="C98" s="36">
        <f t="shared" si="6"/>
        <v>-1.7842239373191404E-3</v>
      </c>
      <c r="D98" s="36">
        <f t="shared" si="3"/>
        <v>-2.1201823811017095E-2</v>
      </c>
      <c r="E98" s="36">
        <f>(Table143454[[#This Row],[JPN]]-B86)/B86</f>
        <v>-1.3227614435948517E-2</v>
      </c>
      <c r="F98" s="35">
        <f>VLOOKUP(Table143454[[#This Row],[Date]],'Data Core CPI'!$B:$AY,MATCH($B$2,'Data Core CPI'!$C$1:$AY$1,0),FALSE)</f>
        <v>0</v>
      </c>
      <c r="G98" s="36" t="e">
        <f t="shared" si="4"/>
        <v>#DIV/0!</v>
      </c>
      <c r="H98" s="36" t="e">
        <f t="shared" si="5"/>
        <v>#DIV/0!</v>
      </c>
      <c r="I98" s="36" t="e">
        <f>(Table143454[[#This Row],[Core CPI]]-F86)/F86</f>
        <v>#DIV/0!</v>
      </c>
    </row>
    <row r="99" spans="1:9" x14ac:dyDescent="0.2">
      <c r="A99" s="34">
        <f>IF(Data!B127="",#N/A,Data!B127)</f>
        <v>21671</v>
      </c>
      <c r="B99" s="35">
        <f>VLOOKUP(A99,Data!B:AY,MATCH($B$2,Data!$C$1:$AY$1,0),FALSE)</f>
        <v>3.7567539999999999</v>
      </c>
      <c r="C99" s="36">
        <f t="shared" si="6"/>
        <v>4.468399017979019E-3</v>
      </c>
      <c r="D99" s="36">
        <f t="shared" si="3"/>
        <v>5.4958410010601755E-2</v>
      </c>
      <c r="E99" s="36">
        <f>(Table143454[[#This Row],[JPN]]-B87)/B87</f>
        <v>-1.4899151006156157E-2</v>
      </c>
      <c r="F99" s="35">
        <f>VLOOKUP(Table143454[[#This Row],[Date]],'Data Core CPI'!$B:$AY,MATCH($B$2,'Data Core CPI'!$C$1:$AY$1,0),FALSE)</f>
        <v>0</v>
      </c>
      <c r="G99" s="36" t="e">
        <f t="shared" si="4"/>
        <v>#DIV/0!</v>
      </c>
      <c r="H99" s="36" t="e">
        <f t="shared" si="5"/>
        <v>#DIV/0!</v>
      </c>
      <c r="I99" s="36" t="e">
        <f>(Table143454[[#This Row],[Core CPI]]-F87)/F87</f>
        <v>#DIV/0!</v>
      </c>
    </row>
    <row r="100" spans="1:9" x14ac:dyDescent="0.2">
      <c r="A100" s="34">
        <f>IF(Data!B128="",#N/A,Data!B128)</f>
        <v>21702</v>
      </c>
      <c r="B100" s="35">
        <f>VLOOKUP(A100,Data!B:AY,MATCH($B$2,Data!$C$1:$AY$1,0),FALSE)</f>
        <v>3.753412</v>
      </c>
      <c r="C100" s="36">
        <f t="shared" si="6"/>
        <v>-8.8959777510055904E-4</v>
      </c>
      <c r="D100" s="36">
        <f t="shared" si="3"/>
        <v>-1.0623096517334951E-2</v>
      </c>
      <c r="E100" s="36">
        <f>(Table143454[[#This Row],[JPN]]-B88)/B88</f>
        <v>-1.8356522648812615E-2</v>
      </c>
      <c r="F100" s="35">
        <f>VLOOKUP(Table143454[[#This Row],[Date]],'Data Core CPI'!$B:$AY,MATCH($B$2,'Data Core CPI'!$C$1:$AY$1,0),FALSE)</f>
        <v>0</v>
      </c>
      <c r="G100" s="36" t="e">
        <f t="shared" si="4"/>
        <v>#DIV/0!</v>
      </c>
      <c r="H100" s="36" t="e">
        <f t="shared" si="5"/>
        <v>#DIV/0!</v>
      </c>
      <c r="I100" s="36" t="e">
        <f>(Table143454[[#This Row],[Core CPI]]-F88)/F88</f>
        <v>#DIV/0!</v>
      </c>
    </row>
    <row r="101" spans="1:9" x14ac:dyDescent="0.2">
      <c r="A101" s="34">
        <f>IF(Data!B129="",#N/A,Data!B129)</f>
        <v>21732</v>
      </c>
      <c r="B101" s="35">
        <f>VLOOKUP(A101,Data!B:AY,MATCH($B$2,Data!$C$1:$AY$1,0),FALSE)</f>
        <v>3.7400419999999999</v>
      </c>
      <c r="C101" s="36">
        <f t="shared" si="6"/>
        <v>-3.5620923042820607E-3</v>
      </c>
      <c r="D101" s="36">
        <f t="shared" si="3"/>
        <v>-4.1917530780148371E-2</v>
      </c>
      <c r="E101" s="36">
        <f>(Table143454[[#This Row],[JPN]]-B89)/B89</f>
        <v>-2.0140343670125335E-2</v>
      </c>
      <c r="F101" s="35">
        <f>VLOOKUP(Table143454[[#This Row],[Date]],'Data Core CPI'!$B:$AY,MATCH($B$2,'Data Core CPI'!$C$1:$AY$1,0),FALSE)</f>
        <v>0</v>
      </c>
      <c r="G101" s="36" t="e">
        <f t="shared" si="4"/>
        <v>#DIV/0!</v>
      </c>
      <c r="H101" s="36" t="e">
        <f t="shared" si="5"/>
        <v>#DIV/0!</v>
      </c>
      <c r="I101" s="36" t="e">
        <f>(Table143454[[#This Row],[Core CPI]]-F89)/F89</f>
        <v>#DIV/0!</v>
      </c>
    </row>
    <row r="102" spans="1:9" x14ac:dyDescent="0.2">
      <c r="A102" s="34">
        <f>IF(Data!B130="",#N/A,Data!B130)</f>
        <v>21763</v>
      </c>
      <c r="B102" s="35">
        <f>VLOOKUP(A102,Data!B:AY,MATCH($B$2,Data!$C$1:$AY$1,0),FALSE)</f>
        <v>3.7500689999999999</v>
      </c>
      <c r="C102" s="36">
        <f t="shared" si="6"/>
        <v>2.6809859354519627E-3</v>
      </c>
      <c r="D102" s="36">
        <f t="shared" si="3"/>
        <v>3.2650483575717093E-2</v>
      </c>
      <c r="E102" s="36">
        <f>(Table143454[[#This Row],[JPN]]-B90)/B90</f>
        <v>-1.6652100274467018E-2</v>
      </c>
      <c r="F102" s="35">
        <f>VLOOKUP(Table143454[[#This Row],[Date]],'Data Core CPI'!$B:$AY,MATCH($B$2,'Data Core CPI'!$C$1:$AY$1,0),FALSE)</f>
        <v>0</v>
      </c>
      <c r="G102" s="36" t="e">
        <f t="shared" si="4"/>
        <v>#DIV/0!</v>
      </c>
      <c r="H102" s="36" t="e">
        <f t="shared" si="5"/>
        <v>#DIV/0!</v>
      </c>
      <c r="I102" s="36" t="e">
        <f>(Table143454[[#This Row],[Core CPI]]-F90)/F90</f>
        <v>#DIV/0!</v>
      </c>
    </row>
    <row r="103" spans="1:9" x14ac:dyDescent="0.2">
      <c r="A103" s="34">
        <f>IF(Data!B131="",#N/A,Data!B131)</f>
        <v>21794</v>
      </c>
      <c r="B103" s="35">
        <f>VLOOKUP(A103,Data!B:AY,MATCH($B$2,Data!$C$1:$AY$1,0),FALSE)</f>
        <v>3.763439</v>
      </c>
      <c r="C103" s="36">
        <f t="shared" si="6"/>
        <v>3.5652677324071735E-3</v>
      </c>
      <c r="D103" s="36">
        <f t="shared" si="3"/>
        <v>4.3632198160967528E-2</v>
      </c>
      <c r="E103" s="36">
        <f>(Table143454[[#This Row],[JPN]]-B91)/B91</f>
        <v>-1.0544633875862129E-2</v>
      </c>
      <c r="F103" s="35">
        <f>VLOOKUP(Table143454[[#This Row],[Date]],'Data Core CPI'!$B:$AY,MATCH($B$2,'Data Core CPI'!$C$1:$AY$1,0),FALSE)</f>
        <v>0</v>
      </c>
      <c r="G103" s="36" t="e">
        <f t="shared" si="4"/>
        <v>#DIV/0!</v>
      </c>
      <c r="H103" s="36" t="e">
        <f t="shared" si="5"/>
        <v>#DIV/0!</v>
      </c>
      <c r="I103" s="36" t="e">
        <f>(Table143454[[#This Row],[Core CPI]]-F91)/F91</f>
        <v>#DIV/0!</v>
      </c>
    </row>
    <row r="104" spans="1:9" x14ac:dyDescent="0.2">
      <c r="A104" s="34">
        <f>IF(Data!B132="",#N/A,Data!B132)</f>
        <v>21824</v>
      </c>
      <c r="B104" s="35">
        <f>VLOOKUP(A104,Data!B:AY,MATCH($B$2,Data!$C$1:$AY$1,0),FALSE)</f>
        <v>3.8035459999999999</v>
      </c>
      <c r="C104" s="36">
        <f t="shared" si="6"/>
        <v>1.0657008124749678E-2</v>
      </c>
      <c r="D104" s="36">
        <f t="shared" si="3"/>
        <v>0.13565260666422163</v>
      </c>
      <c r="E104" s="36">
        <f>(Table143454[[#This Row],[JPN]]-B92)/B92</f>
        <v>6.1891723873391197E-3</v>
      </c>
      <c r="F104" s="35">
        <f>VLOOKUP(Table143454[[#This Row],[Date]],'Data Core CPI'!$B:$AY,MATCH($B$2,'Data Core CPI'!$C$1:$AY$1,0),FALSE)</f>
        <v>0</v>
      </c>
      <c r="G104" s="36" t="e">
        <f t="shared" si="4"/>
        <v>#DIV/0!</v>
      </c>
      <c r="H104" s="36" t="e">
        <f t="shared" si="5"/>
        <v>#DIV/0!</v>
      </c>
      <c r="I104" s="36" t="e">
        <f>(Table143454[[#This Row],[Core CPI]]-F92)/F92</f>
        <v>#DIV/0!</v>
      </c>
    </row>
    <row r="105" spans="1:9" x14ac:dyDescent="0.2">
      <c r="A105" s="34">
        <f>IF(Data!B133="",#N/A,Data!B133)</f>
        <v>21855</v>
      </c>
      <c r="B105" s="35">
        <f>VLOOKUP(A105,Data!B:AY,MATCH($B$2,Data!$C$1:$AY$1,0),FALSE)</f>
        <v>3.8202579999999999</v>
      </c>
      <c r="C105" s="36">
        <f t="shared" si="6"/>
        <v>4.393794632692849E-3</v>
      </c>
      <c r="D105" s="36">
        <f t="shared" si="3"/>
        <v>5.4018541148451504E-2</v>
      </c>
      <c r="E105" s="36">
        <f>(Table143454[[#This Row],[JPN]]-B93)/B93</f>
        <v>1.1504423841508488E-2</v>
      </c>
      <c r="F105" s="35">
        <f>VLOOKUP(Table143454[[#This Row],[Date]],'Data Core CPI'!$B:$AY,MATCH($B$2,'Data Core CPI'!$C$1:$AY$1,0),FALSE)</f>
        <v>0</v>
      </c>
      <c r="G105" s="36" t="e">
        <f t="shared" si="4"/>
        <v>#DIV/0!</v>
      </c>
      <c r="H105" s="36" t="e">
        <f t="shared" si="5"/>
        <v>#DIV/0!</v>
      </c>
      <c r="I105" s="36" t="e">
        <f>(Table143454[[#This Row],[Core CPI]]-F93)/F93</f>
        <v>#DIV/0!</v>
      </c>
    </row>
    <row r="106" spans="1:9" x14ac:dyDescent="0.2">
      <c r="A106" s="34">
        <f>IF(Data!B134="",#N/A,Data!B134)</f>
        <v>21885</v>
      </c>
      <c r="B106" s="35">
        <f>VLOOKUP(A106,Data!B:AY,MATCH($B$2,Data!$C$1:$AY$1,0),FALSE)</f>
        <v>3.8336269999999999</v>
      </c>
      <c r="C106" s="36">
        <f t="shared" si="6"/>
        <v>3.4995018661043709E-3</v>
      </c>
      <c r="D106" s="36">
        <f t="shared" si="3"/>
        <v>4.2811795400967689E-2</v>
      </c>
      <c r="E106" s="36">
        <f>(Table143454[[#This Row],[JPN]]-B94)/B94</f>
        <v>1.774618699627081E-2</v>
      </c>
      <c r="F106" s="35">
        <f>VLOOKUP(Table143454[[#This Row],[Date]],'Data Core CPI'!$B:$AY,MATCH($B$2,'Data Core CPI'!$C$1:$AY$1,0),FALSE)</f>
        <v>0</v>
      </c>
      <c r="G106" s="36" t="e">
        <f t="shared" si="4"/>
        <v>#DIV/0!</v>
      </c>
      <c r="H106" s="36" t="e">
        <f t="shared" si="5"/>
        <v>#DIV/0!</v>
      </c>
      <c r="I106" s="36" t="e">
        <f>(Table143454[[#This Row],[Core CPI]]-F94)/F94</f>
        <v>#DIV/0!</v>
      </c>
    </row>
    <row r="107" spans="1:9" x14ac:dyDescent="0.2">
      <c r="A107" s="34">
        <f>IF(Data!B135="",#N/A,Data!B135)</f>
        <v>21916</v>
      </c>
      <c r="B107" s="35">
        <f>VLOOKUP(A107,Data!B:AY,MATCH($B$2,Data!$C$1:$AY$1,0),FALSE)</f>
        <v>3.8536809999999999</v>
      </c>
      <c r="C107" s="36">
        <f t="shared" si="6"/>
        <v>5.2310775148443067E-3</v>
      </c>
      <c r="D107" s="36">
        <f t="shared" si="3"/>
        <v>6.4610831007201108E-2</v>
      </c>
      <c r="E107" s="36">
        <f>(Table143454[[#This Row],[JPN]]-B95)/B95</f>
        <v>2.488899219594394E-2</v>
      </c>
      <c r="F107" s="35">
        <f>VLOOKUP(Table143454[[#This Row],[Date]],'Data Core CPI'!$B:$AY,MATCH($B$2,'Data Core CPI'!$C$1:$AY$1,0),FALSE)</f>
        <v>3.680599</v>
      </c>
      <c r="G107" s="36" t="e">
        <f t="shared" si="4"/>
        <v>#DIV/0!</v>
      </c>
      <c r="H107" s="36" t="e">
        <f t="shared" si="5"/>
        <v>#DIV/0!</v>
      </c>
      <c r="I107" s="36" t="e">
        <f>(Table143454[[#This Row],[Core CPI]]-F95)/F95</f>
        <v>#DIV/0!</v>
      </c>
    </row>
    <row r="108" spans="1:9" x14ac:dyDescent="0.2">
      <c r="A108" s="34">
        <f>IF(Data!B136="",#N/A,Data!B136)</f>
        <v>21947</v>
      </c>
      <c r="B108" s="35">
        <f>VLOOKUP(A108,Data!B:AY,MATCH($B$2,Data!$C$1:$AY$1,0),FALSE)</f>
        <v>3.8469959999999999</v>
      </c>
      <c r="C108" s="36">
        <f t="shared" si="6"/>
        <v>-1.7347050780799345E-3</v>
      </c>
      <c r="D108" s="36">
        <f t="shared" si="3"/>
        <v>-2.0618997571328013E-2</v>
      </c>
      <c r="E108" s="36">
        <f>(Table143454[[#This Row],[JPN]]-B96)/B96</f>
        <v>2.4021269425679705E-2</v>
      </c>
      <c r="F108" s="35">
        <f>VLOOKUP(Table143454[[#This Row],[Date]],'Data Core CPI'!$B:$AY,MATCH($B$2,'Data Core CPI'!$C$1:$AY$1,0),FALSE)</f>
        <v>3.6786979999999998</v>
      </c>
      <c r="G108" s="36">
        <f t="shared" si="4"/>
        <v>-5.1649201665271427E-4</v>
      </c>
      <c r="H108" s="36">
        <f t="shared" si="5"/>
        <v>-6.180328052345696E-3</v>
      </c>
      <c r="I108" s="36" t="e">
        <f>(Table143454[[#This Row],[Core CPI]]-F96)/F96</f>
        <v>#DIV/0!</v>
      </c>
    </row>
    <row r="109" spans="1:9" x14ac:dyDescent="0.2">
      <c r="A109" s="34">
        <f>IF(Data!B137="",#N/A,Data!B137)</f>
        <v>21976</v>
      </c>
      <c r="B109" s="35">
        <f>VLOOKUP(A109,Data!B:AY,MATCH($B$2,Data!$C$1:$AY$1,0),FALSE)</f>
        <v>3.8403119999999999</v>
      </c>
      <c r="C109" s="36">
        <f t="shared" si="6"/>
        <v>-1.7374595658534719E-3</v>
      </c>
      <c r="D109" s="36">
        <f t="shared" si="3"/>
        <v>-2.0651425649163335E-2</v>
      </c>
      <c r="E109" s="36">
        <f>(Table143454[[#This Row],[JPN]]-B97)/B97</f>
        <v>2.4977800624384972E-2</v>
      </c>
      <c r="F109" s="35">
        <f>VLOOKUP(Table143454[[#This Row],[Date]],'Data Core CPI'!$B:$AY,MATCH($B$2,'Data Core CPI'!$C$1:$AY$1,0),FALSE)</f>
        <v>3.674534</v>
      </c>
      <c r="G109" s="36">
        <f t="shared" si="4"/>
        <v>-1.1319222181325195E-3</v>
      </c>
      <c r="H109" s="36">
        <f t="shared" si="5"/>
        <v>-1.349882250460277E-2</v>
      </c>
      <c r="I109" s="36" t="e">
        <f>(Table143454[[#This Row],[Core CPI]]-F97)/F97</f>
        <v>#DIV/0!</v>
      </c>
    </row>
    <row r="110" spans="1:9" x14ac:dyDescent="0.2">
      <c r="A110" s="34">
        <f>IF(Data!B138="",#N/A,Data!B138)</f>
        <v>22007</v>
      </c>
      <c r="B110" s="35">
        <f>VLOOKUP(A110,Data!B:AY,MATCH($B$2,Data!$C$1:$AY$1,0),FALSE)</f>
        <v>3.8369689999999999</v>
      </c>
      <c r="C110" s="36">
        <f t="shared" si="6"/>
        <v>-8.7050218836393078E-4</v>
      </c>
      <c r="D110" s="36">
        <f t="shared" si="3"/>
        <v>-1.039615801024163E-2</v>
      </c>
      <c r="E110" s="36">
        <f>(Table143454[[#This Row],[JPN]]-B98)/B98</f>
        <v>2.5916019124918914E-2</v>
      </c>
      <c r="F110" s="35">
        <f>VLOOKUP(Table143454[[#This Row],[Date]],'Data Core CPI'!$B:$AY,MATCH($B$2,'Data Core CPI'!$C$1:$AY$1,0),FALSE)</f>
        <v>3.6731180000000001</v>
      </c>
      <c r="G110" s="36">
        <f t="shared" si="4"/>
        <v>-3.8535498650982269E-4</v>
      </c>
      <c r="H110" s="36">
        <f t="shared" si="5"/>
        <v>-4.614471517894736E-3</v>
      </c>
      <c r="I110" s="36" t="e">
        <f>(Table143454[[#This Row],[Core CPI]]-F98)/F98</f>
        <v>#DIV/0!</v>
      </c>
    </row>
    <row r="111" spans="1:9" x14ac:dyDescent="0.2">
      <c r="A111" s="34">
        <f>IF(Data!B139="",#N/A,Data!B139)</f>
        <v>22037</v>
      </c>
      <c r="B111" s="35">
        <f>VLOOKUP(A111,Data!B:AY,MATCH($B$2,Data!$C$1:$AY$1,0),FALSE)</f>
        <v>3.8436539999999999</v>
      </c>
      <c r="C111" s="36">
        <f t="shared" si="6"/>
        <v>1.742260622903169E-3</v>
      </c>
      <c r="D111" s="36">
        <f t="shared" si="3"/>
        <v>2.1108636694072924E-2</v>
      </c>
      <c r="E111" s="36">
        <f>(Table143454[[#This Row],[JPN]]-B99)/B99</f>
        <v>2.3131671650579191E-2</v>
      </c>
      <c r="F111" s="35">
        <f>VLOOKUP(Table143454[[#This Row],[Date]],'Data Core CPI'!$B:$AY,MATCH($B$2,'Data Core CPI'!$C$1:$AY$1,0),FALSE)</f>
        <v>3.677152</v>
      </c>
      <c r="G111" s="36">
        <f t="shared" si="4"/>
        <v>1.0982494981102153E-3</v>
      </c>
      <c r="H111" s="36">
        <f t="shared" si="5"/>
        <v>1.3258892152355761E-2</v>
      </c>
      <c r="I111" s="36" t="e">
        <f>(Table143454[[#This Row],[Core CPI]]-F99)/F99</f>
        <v>#DIV/0!</v>
      </c>
    </row>
    <row r="112" spans="1:9" x14ac:dyDescent="0.2">
      <c r="A112" s="34">
        <f>IF(Data!B140="",#N/A,Data!B140)</f>
        <v>22068</v>
      </c>
      <c r="B112" s="35">
        <f>VLOOKUP(A112,Data!B:AY,MATCH($B$2,Data!$C$1:$AY$1,0),FALSE)</f>
        <v>3.8436539999999999</v>
      </c>
      <c r="C112" s="36">
        <f t="shared" si="6"/>
        <v>0</v>
      </c>
      <c r="D112" s="36">
        <f t="shared" si="3"/>
        <v>0</v>
      </c>
      <c r="E112" s="36">
        <f>(Table143454[[#This Row],[JPN]]-B100)/B100</f>
        <v>2.404265772049536E-2</v>
      </c>
      <c r="F112" s="35">
        <f>VLOOKUP(Table143454[[#This Row],[Date]],'Data Core CPI'!$B:$AY,MATCH($B$2,'Data Core CPI'!$C$1:$AY$1,0),FALSE)</f>
        <v>3.6726269999999999</v>
      </c>
      <c r="G112" s="36">
        <f t="shared" si="4"/>
        <v>-1.2305719208779431E-3</v>
      </c>
      <c r="H112" s="36">
        <f t="shared" si="5"/>
        <v>-1.4667327601083913E-2</v>
      </c>
      <c r="I112" s="36" t="e">
        <f>(Table143454[[#This Row],[Core CPI]]-F100)/F100</f>
        <v>#DIV/0!</v>
      </c>
    </row>
    <row r="113" spans="1:9" x14ac:dyDescent="0.2">
      <c r="A113" s="34">
        <f>IF(Data!B141="",#N/A,Data!B141)</f>
        <v>22098</v>
      </c>
      <c r="B113" s="35">
        <f>VLOOKUP(A113,Data!B:AY,MATCH($B$2,Data!$C$1:$AY$1,0),FALSE)</f>
        <v>3.860366</v>
      </c>
      <c r="C113" s="36">
        <f t="shared" si="6"/>
        <v>4.3479459909763207E-3</v>
      </c>
      <c r="D113" s="36">
        <f t="shared" si="3"/>
        <v>5.344131909320704E-2</v>
      </c>
      <c r="E113" s="36">
        <f>(Table143454[[#This Row],[JPN]]-B101)/B101</f>
        <v>3.2171831225424767E-2</v>
      </c>
      <c r="F113" s="35">
        <f>VLOOKUP(Table143454[[#This Row],[Date]],'Data Core CPI'!$B:$AY,MATCH($B$2,'Data Core CPI'!$C$1:$AY$1,0),FALSE)</f>
        <v>3.6892999999999998</v>
      </c>
      <c r="G113" s="36">
        <f t="shared" si="4"/>
        <v>4.5398021634104335E-3</v>
      </c>
      <c r="H113" s="36">
        <f t="shared" si="5"/>
        <v>5.5858668972447623E-2</v>
      </c>
      <c r="I113" s="36" t="e">
        <f>(Table143454[[#This Row],[Core CPI]]-F101)/F101</f>
        <v>#DIV/0!</v>
      </c>
    </row>
    <row r="114" spans="1:9" x14ac:dyDescent="0.2">
      <c r="A114" s="34">
        <f>IF(Data!B142="",#N/A,Data!B142)</f>
        <v>22129</v>
      </c>
      <c r="B114" s="35">
        <f>VLOOKUP(A114,Data!B:AY,MATCH($B$2,Data!$C$1:$AY$1,0),FALSE)</f>
        <v>3.8670499999999999</v>
      </c>
      <c r="C114" s="36">
        <f t="shared" si="6"/>
        <v>1.7314420446143952E-3</v>
      </c>
      <c r="D114" s="36">
        <f t="shared" si="3"/>
        <v>2.0976311787623381E-2</v>
      </c>
      <c r="E114" s="36">
        <f>(Table143454[[#This Row],[JPN]]-B102)/B102</f>
        <v>3.1194359357121164E-2</v>
      </c>
      <c r="F114" s="35">
        <f>VLOOKUP(Table143454[[#This Row],[Date]],'Data Core CPI'!$B:$AY,MATCH($B$2,'Data Core CPI'!$C$1:$AY$1,0),FALSE)</f>
        <v>3.7031849999999999</v>
      </c>
      <c r="G114" s="36">
        <f t="shared" si="4"/>
        <v>3.7635865882417185E-3</v>
      </c>
      <c r="H114" s="36">
        <f t="shared" si="5"/>
        <v>4.6109729639046915E-2</v>
      </c>
      <c r="I114" s="36" t="e">
        <f>(Table143454[[#This Row],[Core CPI]]-F102)/F102</f>
        <v>#DIV/0!</v>
      </c>
    </row>
    <row r="115" spans="1:9" x14ac:dyDescent="0.2">
      <c r="A115" s="34">
        <f>IF(Data!B143="",#N/A,Data!B143)</f>
        <v>22160</v>
      </c>
      <c r="B115" s="35">
        <f>VLOOKUP(A115,Data!B:AY,MATCH($B$2,Data!$C$1:$AY$1,0),FALSE)</f>
        <v>3.8637079999999999</v>
      </c>
      <c r="C115" s="36">
        <f t="shared" si="6"/>
        <v>-8.6422466738211856E-4</v>
      </c>
      <c r="D115" s="36">
        <f t="shared" si="3"/>
        <v>-1.0321543375319875E-2</v>
      </c>
      <c r="E115" s="36">
        <f>(Table143454[[#This Row],[JPN]]-B103)/B103</f>
        <v>2.6642918883499889E-2</v>
      </c>
      <c r="F115" s="35">
        <f>VLOOKUP(Table143454[[#This Row],[Date]],'Data Core CPI'!$B:$AY,MATCH($B$2,'Data Core CPI'!$C$1:$AY$1,0),FALSE)</f>
        <v>3.7043020000000002</v>
      </c>
      <c r="G115" s="36">
        <f t="shared" si="4"/>
        <v>3.0163224359580632E-4</v>
      </c>
      <c r="H115" s="36">
        <f t="shared" si="5"/>
        <v>3.6255977774173331E-3</v>
      </c>
      <c r="I115" s="36" t="e">
        <f>(Table143454[[#This Row],[Core CPI]]-F103)/F103</f>
        <v>#DIV/0!</v>
      </c>
    </row>
    <row r="116" spans="1:9" x14ac:dyDescent="0.2">
      <c r="A116" s="34">
        <f>IF(Data!B144="",#N/A,Data!B144)</f>
        <v>22190</v>
      </c>
      <c r="B116" s="35">
        <f>VLOOKUP(A116,Data!B:AY,MATCH($B$2,Data!$C$1:$AY$1,0),FALSE)</f>
        <v>3.8637079999999999</v>
      </c>
      <c r="C116" s="36">
        <f t="shared" si="6"/>
        <v>0</v>
      </c>
      <c r="D116" s="36">
        <f t="shared" si="3"/>
        <v>0</v>
      </c>
      <c r="E116" s="36">
        <f>(Table143454[[#This Row],[JPN]]-B104)/B104</f>
        <v>1.5817345182626962E-2</v>
      </c>
      <c r="F116" s="35">
        <f>VLOOKUP(Table143454[[#This Row],[Date]],'Data Core CPI'!$B:$AY,MATCH($B$2,'Data Core CPI'!$C$1:$AY$1,0),FALSE)</f>
        <v>3.7056339999999999</v>
      </c>
      <c r="G116" s="36">
        <f t="shared" si="4"/>
        <v>3.5958191313767429E-4</v>
      </c>
      <c r="H116" s="36">
        <f t="shared" si="5"/>
        <v>4.3235269385815123E-3</v>
      </c>
      <c r="I116" s="36" t="e">
        <f>(Table143454[[#This Row],[Core CPI]]-F104)/F104</f>
        <v>#DIV/0!</v>
      </c>
    </row>
    <row r="117" spans="1:9" x14ac:dyDescent="0.2">
      <c r="A117" s="34">
        <f>IF(Data!B145="",#N/A,Data!B145)</f>
        <v>22221</v>
      </c>
      <c r="B117" s="35">
        <f>VLOOKUP(A117,Data!B:AY,MATCH($B$2,Data!$C$1:$AY$1,0),FALSE)</f>
        <v>3.8804189999999998</v>
      </c>
      <c r="C117" s="36">
        <f t="shared" si="6"/>
        <v>4.325119807190303E-3</v>
      </c>
      <c r="D117" s="36">
        <f t="shared" si="3"/>
        <v>5.3154051641169264E-2</v>
      </c>
      <c r="E117" s="36">
        <f>(Table143454[[#This Row],[JPN]]-B105)/B105</f>
        <v>1.57478892786822E-2</v>
      </c>
      <c r="F117" s="35">
        <f>VLOOKUP(Table143454[[#This Row],[Date]],'Data Core CPI'!$B:$AY,MATCH($B$2,'Data Core CPI'!$C$1:$AY$1,0),FALSE)</f>
        <v>3.717911</v>
      </c>
      <c r="G117" s="36">
        <f t="shared" si="4"/>
        <v>3.3130632976705598E-3</v>
      </c>
      <c r="H117" s="36">
        <f t="shared" si="5"/>
        <v>4.0489261566213575E-2</v>
      </c>
      <c r="I117" s="36" t="e">
        <f>(Table143454[[#This Row],[Core CPI]]-F105)/F105</f>
        <v>#DIV/0!</v>
      </c>
    </row>
    <row r="118" spans="1:9" x14ac:dyDescent="0.2">
      <c r="A118" s="34">
        <f>IF(Data!B146="",#N/A,Data!B146)</f>
        <v>22251</v>
      </c>
      <c r="B118" s="35">
        <f>VLOOKUP(A118,Data!B:AY,MATCH($B$2,Data!$C$1:$AY$1,0),FALSE)</f>
        <v>3.8871039999999999</v>
      </c>
      <c r="C118" s="36">
        <f t="shared" si="6"/>
        <v>1.7227521048628347E-3</v>
      </c>
      <c r="D118" s="36">
        <f t="shared" si="3"/>
        <v>2.0870034209041322E-2</v>
      </c>
      <c r="E118" s="36">
        <f>(Table143454[[#This Row],[JPN]]-B106)/B106</f>
        <v>1.394945308972417E-2</v>
      </c>
      <c r="F118" s="35">
        <f>VLOOKUP(Table143454[[#This Row],[Date]],'Data Core CPI'!$B:$AY,MATCH($B$2,'Data Core CPI'!$C$1:$AY$1,0),FALSE)</f>
        <v>3.72594</v>
      </c>
      <c r="G118" s="36">
        <f t="shared" si="4"/>
        <v>2.1595460461534266E-3</v>
      </c>
      <c r="H118" s="36">
        <f t="shared" si="5"/>
        <v>2.6224579234988221E-2</v>
      </c>
      <c r="I118" s="36" t="e">
        <f>(Table143454[[#This Row],[Core CPI]]-F106)/F106</f>
        <v>#DIV/0!</v>
      </c>
    </row>
    <row r="119" spans="1:9" x14ac:dyDescent="0.2">
      <c r="A119" s="34">
        <f>IF(Data!B147="",#N/A,Data!B147)</f>
        <v>22282</v>
      </c>
      <c r="B119" s="35">
        <f>VLOOKUP(A119,Data!B:AY,MATCH($B$2,Data!$C$1:$AY$1,0),FALSE)</f>
        <v>3.903816</v>
      </c>
      <c r="C119" s="36">
        <f t="shared" si="6"/>
        <v>4.2993447049526345E-3</v>
      </c>
      <c r="D119" s="36">
        <f t="shared" si="3"/>
        <v>5.2829758383486469E-2</v>
      </c>
      <c r="E119" s="36">
        <f>(Table143454[[#This Row],[JPN]]-B107)/B107</f>
        <v>1.3009639355203516E-2</v>
      </c>
      <c r="F119" s="35">
        <f>VLOOKUP(Table143454[[#This Row],[Date]],'Data Core CPI'!$B:$AY,MATCH($B$2,'Data Core CPI'!$C$1:$AY$1,0),FALSE)</f>
        <v>3.7496710000000002</v>
      </c>
      <c r="G119" s="36">
        <f t="shared" si="4"/>
        <v>6.3691310112348187E-3</v>
      </c>
      <c r="H119" s="36">
        <f t="shared" si="5"/>
        <v>7.9164581031083925E-2</v>
      </c>
      <c r="I119" s="36">
        <f>(Table143454[[#This Row],[Core CPI]]-F107)/F107</f>
        <v>1.8766510559830137E-2</v>
      </c>
    </row>
    <row r="120" spans="1:9" x14ac:dyDescent="0.2">
      <c r="A120" s="34">
        <f>IF(Data!B148="",#N/A,Data!B148)</f>
        <v>22313</v>
      </c>
      <c r="B120" s="35">
        <f>VLOOKUP(A120,Data!B:AY,MATCH($B$2,Data!$C$1:$AY$1,0),FALSE)</f>
        <v>3.903816</v>
      </c>
      <c r="C120" s="36">
        <f t="shared" si="6"/>
        <v>0</v>
      </c>
      <c r="D120" s="36">
        <f t="shared" si="3"/>
        <v>0</v>
      </c>
      <c r="E120" s="36">
        <f>(Table143454[[#This Row],[JPN]]-B108)/B108</f>
        <v>1.4769965968251616E-2</v>
      </c>
      <c r="F120" s="35">
        <f>VLOOKUP(Table143454[[#This Row],[Date]],'Data Core CPI'!$B:$AY,MATCH($B$2,'Data Core CPI'!$C$1:$AY$1,0),FALSE)</f>
        <v>3.7515329999999998</v>
      </c>
      <c r="G120" s="36">
        <f t="shared" si="4"/>
        <v>4.9657689967985696E-4</v>
      </c>
      <c r="H120" s="36">
        <f t="shared" si="5"/>
        <v>5.9752246140694076E-3</v>
      </c>
      <c r="I120" s="36">
        <f>(Table143454[[#This Row],[Core CPI]]-F108)/F108</f>
        <v>1.9799124581577499E-2</v>
      </c>
    </row>
    <row r="121" spans="1:9" x14ac:dyDescent="0.2">
      <c r="A121" s="34">
        <f>IF(Data!B149="",#N/A,Data!B149)</f>
        <v>22341</v>
      </c>
      <c r="B121" s="35">
        <f>VLOOKUP(A121,Data!B:AY,MATCH($B$2,Data!$C$1:$AY$1,0),FALSE)</f>
        <v>3.9071579999999999</v>
      </c>
      <c r="C121" s="36">
        <f t="shared" si="6"/>
        <v>8.5608543025594841E-4</v>
      </c>
      <c r="D121" s="36">
        <f t="shared" si="3"/>
        <v>1.032153368888844E-2</v>
      </c>
      <c r="E121" s="36">
        <f>(Table143454[[#This Row],[JPN]]-B109)/B109</f>
        <v>1.7406398230143789E-2</v>
      </c>
      <c r="F121" s="35">
        <f>VLOOKUP(Table143454[[#This Row],[Date]],'Data Core CPI'!$B:$AY,MATCH($B$2,'Data Core CPI'!$C$1:$AY$1,0),FALSE)</f>
        <v>3.7542810000000002</v>
      </c>
      <c r="G121" s="36">
        <f t="shared" si="4"/>
        <v>7.3250055377371837E-4</v>
      </c>
      <c r="H121" s="36">
        <f t="shared" si="5"/>
        <v>8.8255060202391267E-3</v>
      </c>
      <c r="I121" s="36">
        <f>(Table143454[[#This Row],[Core CPI]]-F109)/F109</f>
        <v>2.1702615896328686E-2</v>
      </c>
    </row>
    <row r="122" spans="1:9" x14ac:dyDescent="0.2">
      <c r="A122" s="34">
        <f>IF(Data!B150="",#N/A,Data!B150)</f>
        <v>22372</v>
      </c>
      <c r="B122" s="35">
        <f>VLOOKUP(A122,Data!B:AY,MATCH($B$2,Data!$C$1:$AY$1,0),FALSE)</f>
        <v>3.913843</v>
      </c>
      <c r="C122" s="36">
        <f t="shared" si="6"/>
        <v>1.7109622902375943E-3</v>
      </c>
      <c r="D122" s="36">
        <f t="shared" si="3"/>
        <v>2.0725861510314525E-2</v>
      </c>
      <c r="E122" s="36">
        <f>(Table143454[[#This Row],[JPN]]-B110)/B110</f>
        <v>2.0035084985049426E-2</v>
      </c>
      <c r="F122" s="35">
        <f>VLOOKUP(Table143454[[#This Row],[Date]],'Data Core CPI'!$B:$AY,MATCH($B$2,'Data Core CPI'!$C$1:$AY$1,0),FALSE)</f>
        <v>3.7613789999999998</v>
      </c>
      <c r="G122" s="36">
        <f t="shared" si="4"/>
        <v>1.8906416434996132E-3</v>
      </c>
      <c r="H122" s="36">
        <f t="shared" si="5"/>
        <v>2.2925111562718037E-2</v>
      </c>
      <c r="I122" s="36">
        <f>(Table143454[[#This Row],[Core CPI]]-F110)/F110</f>
        <v>2.4028904053722124E-2</v>
      </c>
    </row>
    <row r="123" spans="1:9" x14ac:dyDescent="0.2">
      <c r="A123" s="34">
        <f>IF(Data!B151="",#N/A,Data!B151)</f>
        <v>22402</v>
      </c>
      <c r="B123" s="35">
        <f>VLOOKUP(A123,Data!B:AY,MATCH($B$2,Data!$C$1:$AY$1,0),FALSE)</f>
        <v>3.92387</v>
      </c>
      <c r="C123" s="36">
        <f t="shared" si="6"/>
        <v>2.5619320958965019E-3</v>
      </c>
      <c r="D123" s="36">
        <f t="shared" si="3"/>
        <v>3.1180096653866229E-2</v>
      </c>
      <c r="E123" s="36">
        <f>(Table143454[[#This Row],[JPN]]-B111)/B111</f>
        <v>2.086972448612702E-2</v>
      </c>
      <c r="F123" s="35">
        <f>VLOOKUP(Table143454[[#This Row],[Date]],'Data Core CPI'!$B:$AY,MATCH($B$2,'Data Core CPI'!$C$1:$AY$1,0),FALSE)</f>
        <v>3.7725559999999998</v>
      </c>
      <c r="G123" s="36">
        <f t="shared" si="4"/>
        <v>2.9715165634731644E-3</v>
      </c>
      <c r="H123" s="36">
        <f t="shared" si="5"/>
        <v>3.6246784054663417E-2</v>
      </c>
      <c r="I123" s="36">
        <f>(Table143454[[#This Row],[Core CPI]]-F111)/F111</f>
        <v>2.5945079235234175E-2</v>
      </c>
    </row>
    <row r="124" spans="1:9" x14ac:dyDescent="0.2">
      <c r="A124" s="34">
        <f>IF(Data!B152="",#N/A,Data!B152)</f>
        <v>22433</v>
      </c>
      <c r="B124" s="35">
        <f>VLOOKUP(A124,Data!B:AY,MATCH($B$2,Data!$C$1:$AY$1,0),FALSE)</f>
        <v>3.92387</v>
      </c>
      <c r="C124" s="36">
        <f t="shared" si="6"/>
        <v>0</v>
      </c>
      <c r="D124" s="36">
        <f t="shared" ref="D124:D187" si="7">((1+C124)^12)-1</f>
        <v>0</v>
      </c>
      <c r="E124" s="36">
        <f>(Table143454[[#This Row],[JPN]]-B112)/B112</f>
        <v>2.086972448612702E-2</v>
      </c>
      <c r="F124" s="35">
        <f>VLOOKUP(Table143454[[#This Row],[Date]],'Data Core CPI'!$B:$AY,MATCH($B$2,'Data Core CPI'!$C$1:$AY$1,0),FALSE)</f>
        <v>3.7694920000000001</v>
      </c>
      <c r="G124" s="36">
        <f t="shared" si="4"/>
        <v>-8.1218144939387837E-4</v>
      </c>
      <c r="H124" s="36">
        <f t="shared" si="5"/>
        <v>-9.7027588871656523E-3</v>
      </c>
      <c r="I124" s="36">
        <f>(Table143454[[#This Row],[Core CPI]]-F112)/F112</f>
        <v>2.6374853749101177E-2</v>
      </c>
    </row>
    <row r="125" spans="1:9" x14ac:dyDescent="0.2">
      <c r="A125" s="34">
        <f>IF(Data!B153="",#N/A,Data!B153)</f>
        <v>22463</v>
      </c>
      <c r="B125" s="35">
        <f>VLOOKUP(A125,Data!B:AY,MATCH($B$2,Data!$C$1:$AY$1,0),FALSE)</f>
        <v>3.9338959999999998</v>
      </c>
      <c r="C125" s="36">
        <f t="shared" si="6"/>
        <v>2.5551305216533482E-3</v>
      </c>
      <c r="D125" s="36">
        <f t="shared" si="7"/>
        <v>3.1096151081234202E-2</v>
      </c>
      <c r="E125" s="36">
        <f>(Table143454[[#This Row],[JPN]]-B113)/B113</f>
        <v>1.904741674753116E-2</v>
      </c>
      <c r="F125" s="35">
        <f>VLOOKUP(Table143454[[#This Row],[Date]],'Data Core CPI'!$B:$AY,MATCH($B$2,'Data Core CPI'!$C$1:$AY$1,0),FALSE)</f>
        <v>3.78999</v>
      </c>
      <c r="G125" s="36">
        <f t="shared" si="4"/>
        <v>5.4378680204123508E-3</v>
      </c>
      <c r="H125" s="36">
        <f t="shared" si="5"/>
        <v>6.7241875830876152E-2</v>
      </c>
      <c r="I125" s="36">
        <f>(Table143454[[#This Row],[Core CPI]]-F113)/F113</f>
        <v>2.7292440300328024E-2</v>
      </c>
    </row>
    <row r="126" spans="1:9" x14ac:dyDescent="0.2">
      <c r="A126" s="34">
        <f>IF(Data!B154="",#N/A,Data!B154)</f>
        <v>22494</v>
      </c>
      <c r="B126" s="35">
        <f>VLOOKUP(A126,Data!B:AY,MATCH($B$2,Data!$C$1:$AY$1,0),FALSE)</f>
        <v>3.9405809999999999</v>
      </c>
      <c r="C126" s="36">
        <f t="shared" si="6"/>
        <v>1.6993331801349321E-3</v>
      </c>
      <c r="D126" s="36">
        <f t="shared" si="7"/>
        <v>2.0583672284247623E-2</v>
      </c>
      <c r="E126" s="36">
        <f>(Table143454[[#This Row],[JPN]]-B114)/B114</f>
        <v>1.9014752847778028E-2</v>
      </c>
      <c r="F126" s="35">
        <f>VLOOKUP(Table143454[[#This Row],[Date]],'Data Core CPI'!$B:$AY,MATCH($B$2,'Data Core CPI'!$C$1:$AY$1,0),FALSE)</f>
        <v>3.7949549999999999</v>
      </c>
      <c r="G126" s="36">
        <f t="shared" si="4"/>
        <v>1.3100298417674239E-3</v>
      </c>
      <c r="H126" s="36">
        <f t="shared" si="5"/>
        <v>1.5834121936294077E-2</v>
      </c>
      <c r="I126" s="36">
        <f>(Table143454[[#This Row],[Core CPI]]-F114)/F114</f>
        <v>2.4781370630956839E-2</v>
      </c>
    </row>
    <row r="127" spans="1:9" x14ac:dyDescent="0.2">
      <c r="A127" s="34">
        <f>IF(Data!B155="",#N/A,Data!B155)</f>
        <v>22525</v>
      </c>
      <c r="B127" s="35">
        <f>VLOOKUP(A127,Data!B:AY,MATCH($B$2,Data!$C$1:$AY$1,0),FALSE)</f>
        <v>3.9472659999999999</v>
      </c>
      <c r="C127" s="36">
        <f t="shared" si="6"/>
        <v>1.6964503457739255E-3</v>
      </c>
      <c r="D127" s="36">
        <f t="shared" si="7"/>
        <v>2.0548426653016927E-2</v>
      </c>
      <c r="E127" s="36">
        <f>(Table143454[[#This Row],[JPN]]-B115)/B115</f>
        <v>2.1626375492143822E-2</v>
      </c>
      <c r="F127" s="35">
        <f>VLOOKUP(Table143454[[#This Row],[Date]],'Data Core CPI'!$B:$AY,MATCH($B$2,'Data Core CPI'!$C$1:$AY$1,0),FALSE)</f>
        <v>3.8016529999999999</v>
      </c>
      <c r="G127" s="36">
        <f t="shared" si="4"/>
        <v>1.764974815248177E-3</v>
      </c>
      <c r="H127" s="36">
        <f t="shared" si="5"/>
        <v>2.138651117267254E-2</v>
      </c>
      <c r="I127" s="36">
        <f>(Table143454[[#This Row],[Core CPI]]-F115)/F115</f>
        <v>2.6280524644048928E-2</v>
      </c>
    </row>
    <row r="128" spans="1:9" x14ac:dyDescent="0.2">
      <c r="A128" s="34">
        <f>IF(Data!B156="",#N/A,Data!B156)</f>
        <v>22555</v>
      </c>
      <c r="B128" s="35">
        <f>VLOOKUP(A128,Data!B:AY,MATCH($B$2,Data!$C$1:$AY$1,0),FALSE)</f>
        <v>3.9572929999999999</v>
      </c>
      <c r="C128" s="36">
        <f t="shared" si="6"/>
        <v>2.540239244074316E-3</v>
      </c>
      <c r="D128" s="36">
        <f t="shared" si="7"/>
        <v>3.0912383614553063E-2</v>
      </c>
      <c r="E128" s="36">
        <f>(Table143454[[#This Row],[JPN]]-B116)/B116</f>
        <v>2.4221550903950305E-2</v>
      </c>
      <c r="F128" s="35">
        <f>VLOOKUP(Table143454[[#This Row],[Date]],'Data Core CPI'!$B:$AY,MATCH($B$2,'Data Core CPI'!$C$1:$AY$1,0),FALSE)</f>
        <v>3.8129599999999999</v>
      </c>
      <c r="G128" s="36">
        <f t="shared" si="4"/>
        <v>2.9742325246413515E-3</v>
      </c>
      <c r="H128" s="36">
        <f t="shared" si="5"/>
        <v>3.6280457369166408E-2</v>
      </c>
      <c r="I128" s="36">
        <f>(Table143454[[#This Row],[Core CPI]]-F116)/F116</f>
        <v>2.8962925102694988E-2</v>
      </c>
    </row>
    <row r="129" spans="1:9" x14ac:dyDescent="0.2">
      <c r="A129" s="34">
        <f>IF(Data!B157="",#N/A,Data!B157)</f>
        <v>22586</v>
      </c>
      <c r="B129" s="35">
        <f>VLOOKUP(A129,Data!B:AY,MATCH($B$2,Data!$C$1:$AY$1,0),FALSE)</f>
        <v>3.9840309999999999</v>
      </c>
      <c r="C129" s="36">
        <f t="shared" si="6"/>
        <v>6.756638944854565E-3</v>
      </c>
      <c r="D129" s="36">
        <f t="shared" si="7"/>
        <v>8.4161613578195071E-2</v>
      </c>
      <c r="E129" s="36">
        <f>(Table143454[[#This Row],[JPN]]-B117)/B117</f>
        <v>2.6701240252663447E-2</v>
      </c>
      <c r="F129" s="35">
        <f>VLOOKUP(Table143454[[#This Row],[Date]],'Data Core CPI'!$B:$AY,MATCH($B$2,'Data Core CPI'!$C$1:$AY$1,0),FALSE)</f>
        <v>3.833351</v>
      </c>
      <c r="G129" s="36">
        <f t="shared" si="4"/>
        <v>5.3478137719777941E-3</v>
      </c>
      <c r="H129" s="36">
        <f t="shared" si="5"/>
        <v>6.6095362415630188E-2</v>
      </c>
      <c r="I129" s="36">
        <f>(Table143454[[#This Row],[Core CPI]]-F117)/F117</f>
        <v>3.1049694304140143E-2</v>
      </c>
    </row>
    <row r="130" spans="1:9" x14ac:dyDescent="0.2">
      <c r="A130" s="34">
        <f>IF(Data!B158="",#N/A,Data!B158)</f>
        <v>22616</v>
      </c>
      <c r="B130" s="35">
        <f>VLOOKUP(A130,Data!B:AY,MATCH($B$2,Data!$C$1:$AY$1,0),FALSE)</f>
        <v>3.9973999999999998</v>
      </c>
      <c r="C130" s="36">
        <f t="shared" si="6"/>
        <v>3.3556465800592683E-3</v>
      </c>
      <c r="D130" s="36">
        <f t="shared" si="7"/>
        <v>4.1019318961379669E-2</v>
      </c>
      <c r="E130" s="36">
        <f>(Table143454[[#This Row],[JPN]]-B118)/B118</f>
        <v>2.8374851817702832E-2</v>
      </c>
      <c r="F130" s="35">
        <f>VLOOKUP(Table143454[[#This Row],[Date]],'Data Core CPI'!$B:$AY,MATCH($B$2,'Data Core CPI'!$C$1:$AY$1,0),FALSE)</f>
        <v>3.8415490000000001</v>
      </c>
      <c r="G130" s="36">
        <f t="shared" si="4"/>
        <v>2.1385988395010713E-3</v>
      </c>
      <c r="H130" s="36">
        <f t="shared" si="5"/>
        <v>2.5967206237024643E-2</v>
      </c>
      <c r="I130" s="36">
        <f>(Table143454[[#This Row],[Core CPI]]-F118)/F118</f>
        <v>3.1028143233653809E-2</v>
      </c>
    </row>
    <row r="131" spans="1:9" x14ac:dyDescent="0.2">
      <c r="A131" s="34">
        <f>IF(Data!B159="",#N/A,Data!B159)</f>
        <v>22647</v>
      </c>
      <c r="B131" s="35">
        <f>VLOOKUP(A131,Data!B:AY,MATCH($B$2,Data!$C$1:$AY$1,0),FALSE)</f>
        <v>4.0141119999999999</v>
      </c>
      <c r="C131" s="36">
        <f t="shared" si="6"/>
        <v>4.1807174663530677E-3</v>
      </c>
      <c r="D131" s="36">
        <f t="shared" si="7"/>
        <v>5.1338412029790836E-2</v>
      </c>
      <c r="E131" s="36">
        <f>(Table143454[[#This Row],[JPN]]-B119)/B119</f>
        <v>2.8253380794586617E-2</v>
      </c>
      <c r="F131" s="35">
        <f>VLOOKUP(Table143454[[#This Row],[Date]],'Data Core CPI'!$B:$AY,MATCH($B$2,'Data Core CPI'!$C$1:$AY$1,0),FALSE)</f>
        <v>3.8652799999999998</v>
      </c>
      <c r="G131" s="36">
        <f t="shared" ref="G131:G194" si="8">(F131/F130)-1</f>
        <v>6.1774560209957308E-3</v>
      </c>
      <c r="H131" s="36">
        <f t="shared" ref="H131:H194" si="9">((1+G131)^12)-1</f>
        <v>7.6700686114857586E-2</v>
      </c>
      <c r="I131" s="36">
        <f>(Table143454[[#This Row],[Core CPI]]-F119)/F119</f>
        <v>3.0831771640765181E-2</v>
      </c>
    </row>
    <row r="132" spans="1:9" x14ac:dyDescent="0.2">
      <c r="A132" s="34">
        <f>IF(Data!B160="",#N/A,Data!B160)</f>
        <v>22678</v>
      </c>
      <c r="B132" s="35">
        <f>VLOOKUP(A132,Data!B:AY,MATCH($B$2,Data!$C$1:$AY$1,0),FALSE)</f>
        <v>4.0375079999999999</v>
      </c>
      <c r="C132" s="36">
        <f t="shared" si="6"/>
        <v>5.8284372732997358E-3</v>
      </c>
      <c r="D132" s="36">
        <f t="shared" si="7"/>
        <v>7.2227447942206924E-2</v>
      </c>
      <c r="E132" s="36">
        <f>(Table143454[[#This Row],[JPN]]-B120)/B120</f>
        <v>3.4246491125606307E-2</v>
      </c>
      <c r="F132" s="35">
        <f>VLOOKUP(Table143454[[#This Row],[Date]],'Data Core CPI'!$B:$AY,MATCH($B$2,'Data Core CPI'!$C$1:$AY$1,0),FALSE)</f>
        <v>3.8946369999999999</v>
      </c>
      <c r="G132" s="36">
        <f t="shared" si="8"/>
        <v>7.595051328752378E-3</v>
      </c>
      <c r="H132" s="36">
        <f t="shared" si="9"/>
        <v>9.5045866571126458E-2</v>
      </c>
      <c r="I132" s="36">
        <f>(Table143454[[#This Row],[Core CPI]]-F120)/F120</f>
        <v>3.8145472797387128E-2</v>
      </c>
    </row>
    <row r="133" spans="1:9" x14ac:dyDescent="0.2">
      <c r="A133" s="34">
        <f>IF(Data!B161="",#N/A,Data!B161)</f>
        <v>22706</v>
      </c>
      <c r="B133" s="35">
        <f>VLOOKUP(A133,Data!B:AY,MATCH($B$2,Data!$C$1:$AY$1,0),FALSE)</f>
        <v>4.0609039999999998</v>
      </c>
      <c r="C133" s="36">
        <f t="shared" ref="C133:C196" si="10">(B133/B132)-1</f>
        <v>5.7946634409145048E-3</v>
      </c>
      <c r="D133" s="36">
        <f t="shared" si="7"/>
        <v>7.1795487082904286E-2</v>
      </c>
      <c r="E133" s="36">
        <f>(Table143454[[#This Row],[JPN]]-B121)/B121</f>
        <v>3.9349829210899571E-2</v>
      </c>
      <c r="F133" s="35">
        <f>VLOOKUP(Table143454[[#This Row],[Date]],'Data Core CPI'!$B:$AY,MATCH($B$2,'Data Core CPI'!$C$1:$AY$1,0),FALSE)</f>
        <v>3.9176060000000001</v>
      </c>
      <c r="G133" s="36">
        <f t="shared" si="8"/>
        <v>5.8975971316455045E-3</v>
      </c>
      <c r="H133" s="36">
        <f t="shared" si="9"/>
        <v>7.3112487327077869E-2</v>
      </c>
      <c r="I133" s="36">
        <f>(Table143454[[#This Row],[Core CPI]]-F121)/F121</f>
        <v>4.3503669544181681E-2</v>
      </c>
    </row>
    <row r="134" spans="1:9" x14ac:dyDescent="0.2">
      <c r="A134" s="34">
        <f>IF(Data!B162="",#N/A,Data!B162)</f>
        <v>22737</v>
      </c>
      <c r="B134" s="35">
        <f>VLOOKUP(A134,Data!B:AY,MATCH($B$2,Data!$C$1:$AY$1,0),FALSE)</f>
        <v>4.0943269999999998</v>
      </c>
      <c r="C134" s="36">
        <f t="shared" si="10"/>
        <v>8.2304334207359275E-3</v>
      </c>
      <c r="D134" s="36">
        <f t="shared" si="7"/>
        <v>0.10336100149080774</v>
      </c>
      <c r="E134" s="36">
        <f>(Table143454[[#This Row],[JPN]]-B122)/B122</f>
        <v>4.6114266719436595E-2</v>
      </c>
      <c r="F134" s="35">
        <f>VLOOKUP(Table143454[[#This Row],[Date]],'Data Core CPI'!$B:$AY,MATCH($B$2,'Data Core CPI'!$C$1:$AY$1,0),FALSE)</f>
        <v>3.9460259999999998</v>
      </c>
      <c r="G134" s="36">
        <f t="shared" si="8"/>
        <v>7.2544303842703162E-3</v>
      </c>
      <c r="H134" s="36">
        <f t="shared" si="9"/>
        <v>9.0611908749672621E-2</v>
      </c>
      <c r="I134" s="36">
        <f>(Table143454[[#This Row],[Core CPI]]-F122)/F122</f>
        <v>4.9090240574002249E-2</v>
      </c>
    </row>
    <row r="135" spans="1:9" x14ac:dyDescent="0.2">
      <c r="A135" s="34">
        <f>IF(Data!B163="",#N/A,Data!B163)</f>
        <v>22767</v>
      </c>
      <c r="B135" s="35">
        <f>VLOOKUP(A135,Data!B:AY,MATCH($B$2,Data!$C$1:$AY$1,0),FALSE)</f>
        <v>4.0943269999999998</v>
      </c>
      <c r="C135" s="36">
        <f t="shared" si="10"/>
        <v>0</v>
      </c>
      <c r="D135" s="36">
        <f t="shared" si="7"/>
        <v>0</v>
      </c>
      <c r="E135" s="36">
        <f>(Table143454[[#This Row],[JPN]]-B123)/B123</f>
        <v>4.3441041624722496E-2</v>
      </c>
      <c r="F135" s="35">
        <f>VLOOKUP(Table143454[[#This Row],[Date]],'Data Core CPI'!$B:$AY,MATCH($B$2,'Data Core CPI'!$C$1:$AY$1,0),FALSE)</f>
        <v>3.9496199999999999</v>
      </c>
      <c r="G135" s="36">
        <f t="shared" si="8"/>
        <v>9.1078974137537294E-4</v>
      </c>
      <c r="H135" s="36">
        <f t="shared" si="9"/>
        <v>1.0984392960149192E-2</v>
      </c>
      <c r="I135" s="36">
        <f>(Table143454[[#This Row],[Core CPI]]-F123)/F123</f>
        <v>4.6934757230906614E-2</v>
      </c>
    </row>
    <row r="136" spans="1:9" x14ac:dyDescent="0.2">
      <c r="A136" s="34">
        <f>IF(Data!B164="",#N/A,Data!B164)</f>
        <v>22798</v>
      </c>
      <c r="B136" s="35">
        <f>VLOOKUP(A136,Data!B:AY,MATCH($B$2,Data!$C$1:$AY$1,0),FALSE)</f>
        <v>4.1076969999999999</v>
      </c>
      <c r="C136" s="36">
        <f t="shared" si="10"/>
        <v>3.2654939383200965E-3</v>
      </c>
      <c r="D136" s="36">
        <f t="shared" si="7"/>
        <v>3.9897432300099345E-2</v>
      </c>
      <c r="E136" s="36">
        <f>(Table143454[[#This Row],[JPN]]-B124)/B124</f>
        <v>4.6848392021142382E-2</v>
      </c>
      <c r="F136" s="35">
        <f>VLOOKUP(Table143454[[#This Row],[Date]],'Data Core CPI'!$B:$AY,MATCH($B$2,'Data Core CPI'!$C$1:$AY$1,0),FALSE)</f>
        <v>3.9595509999999998</v>
      </c>
      <c r="G136" s="36">
        <f t="shared" si="8"/>
        <v>2.5144191086736711E-3</v>
      </c>
      <c r="H136" s="36">
        <f t="shared" si="9"/>
        <v>3.0593818520324723E-2</v>
      </c>
      <c r="I136" s="36">
        <f>(Table143454[[#This Row],[Core CPI]]-F124)/F124</f>
        <v>5.0420321889527754E-2</v>
      </c>
    </row>
    <row r="137" spans="1:9" x14ac:dyDescent="0.2">
      <c r="A137" s="34">
        <f>IF(Data!B165="",#N/A,Data!B165)</f>
        <v>22828</v>
      </c>
      <c r="B137" s="35">
        <f>VLOOKUP(A137,Data!B:AY,MATCH($B$2,Data!$C$1:$AY$1,0),FALSE)</f>
        <v>4.1344349999999999</v>
      </c>
      <c r="C137" s="36">
        <f t="shared" si="10"/>
        <v>6.5092435006768312E-3</v>
      </c>
      <c r="D137" s="36">
        <f t="shared" si="7"/>
        <v>8.0968932161230356E-2</v>
      </c>
      <c r="E137" s="36">
        <f>(Table143454[[#This Row],[JPN]]-B125)/B125</f>
        <v>5.0977199193878039E-2</v>
      </c>
      <c r="F137" s="35">
        <f>VLOOKUP(Table143454[[#This Row],[Date]],'Data Core CPI'!$B:$AY,MATCH($B$2,'Data Core CPI'!$C$1:$AY$1,0),FALSE)</f>
        <v>3.9839370000000001</v>
      </c>
      <c r="G137" s="36">
        <f t="shared" si="8"/>
        <v>6.1587791140966797E-3</v>
      </c>
      <c r="H137" s="36">
        <f t="shared" si="9"/>
        <v>7.6460878886496664E-2</v>
      </c>
      <c r="I137" s="36">
        <f>(Table143454[[#This Row],[Core CPI]]-F125)/F125</f>
        <v>5.1173485945873232E-2</v>
      </c>
    </row>
    <row r="138" spans="1:9" x14ac:dyDescent="0.2">
      <c r="A138" s="34">
        <f>IF(Data!B166="",#N/A,Data!B166)</f>
        <v>22859</v>
      </c>
      <c r="B138" s="35">
        <f>VLOOKUP(A138,Data!B:AY,MATCH($B$2,Data!$C$1:$AY$1,0),FALSE)</f>
        <v>4.1377769999999998</v>
      </c>
      <c r="C138" s="36">
        <f t="shared" si="10"/>
        <v>8.0833294029281078E-4</v>
      </c>
      <c r="D138" s="36">
        <f t="shared" si="7"/>
        <v>9.7432362331406619E-3</v>
      </c>
      <c r="E138" s="36">
        <f>(Table143454[[#This Row],[JPN]]-B126)/B126</f>
        <v>5.0042366848949416E-2</v>
      </c>
      <c r="F138" s="35">
        <f>VLOOKUP(Table143454[[#This Row],[Date]],'Data Core CPI'!$B:$AY,MATCH($B$2,'Data Core CPI'!$C$1:$AY$1,0),FALSE)</f>
        <v>3.989347</v>
      </c>
      <c r="G138" s="36">
        <f t="shared" si="8"/>
        <v>1.3579532005651984E-3</v>
      </c>
      <c r="H138" s="36">
        <f t="shared" si="9"/>
        <v>1.641769743422139E-2</v>
      </c>
      <c r="I138" s="36">
        <f>(Table143454[[#This Row],[Core CPI]]-F126)/F126</f>
        <v>5.1223795802585306E-2</v>
      </c>
    </row>
    <row r="139" spans="1:9" x14ac:dyDescent="0.2">
      <c r="A139" s="34">
        <f>IF(Data!B167="",#N/A,Data!B167)</f>
        <v>22890</v>
      </c>
      <c r="B139" s="35">
        <f>VLOOKUP(A139,Data!B:AY,MATCH($B$2,Data!$C$1:$AY$1,0),FALSE)</f>
        <v>4.1511459999999998</v>
      </c>
      <c r="C139" s="36">
        <f t="shared" si="10"/>
        <v>3.2309619392247857E-3</v>
      </c>
      <c r="D139" s="36">
        <f t="shared" si="7"/>
        <v>3.9467999331127324E-2</v>
      </c>
      <c r="E139" s="36">
        <f>(Table143454[[#This Row],[JPN]]-B127)/B127</f>
        <v>5.1650940169727565E-2</v>
      </c>
      <c r="F139" s="35">
        <f>VLOOKUP(Table143454[[#This Row],[Date]],'Data Core CPI'!$B:$AY,MATCH($B$2,'Data Core CPI'!$C$1:$AY$1,0),FALSE)</f>
        <v>4.0007390000000003</v>
      </c>
      <c r="G139" s="36">
        <f t="shared" si="8"/>
        <v>2.8556051905237467E-3</v>
      </c>
      <c r="H139" s="36">
        <f t="shared" si="9"/>
        <v>3.4810614013975005E-2</v>
      </c>
      <c r="I139" s="36">
        <f>(Table143454[[#This Row],[Core CPI]]-F127)/F127</f>
        <v>5.2368272433070649E-2</v>
      </c>
    </row>
    <row r="140" spans="1:9" x14ac:dyDescent="0.2">
      <c r="A140" s="34">
        <f>IF(Data!B168="",#N/A,Data!B168)</f>
        <v>22920</v>
      </c>
      <c r="B140" s="35">
        <f>VLOOKUP(A140,Data!B:AY,MATCH($B$2,Data!$C$1:$AY$1,0),FALSE)</f>
        <v>4.1678579999999998</v>
      </c>
      <c r="C140" s="36">
        <f t="shared" si="10"/>
        <v>4.0258762279139493E-3</v>
      </c>
      <c r="D140" s="36">
        <f t="shared" si="7"/>
        <v>4.9394707472520283E-2</v>
      </c>
      <c r="E140" s="36">
        <f>(Table143454[[#This Row],[JPN]]-B128)/B128</f>
        <v>5.3209352959207187E-2</v>
      </c>
      <c r="F140" s="35">
        <f>VLOOKUP(Table143454[[#This Row],[Date]],'Data Core CPI'!$B:$AY,MATCH($B$2,'Data Core CPI'!$C$1:$AY$1,0),FALSE)</f>
        <v>4.018472</v>
      </c>
      <c r="G140" s="36">
        <f t="shared" si="8"/>
        <v>4.4324311083527856E-3</v>
      </c>
      <c r="H140" s="36">
        <f t="shared" si="9"/>
        <v>5.4505189062344028E-2</v>
      </c>
      <c r="I140" s="36">
        <f>(Table143454[[#This Row],[Core CPI]]-F128)/F128</f>
        <v>5.3898283748059286E-2</v>
      </c>
    </row>
    <row r="141" spans="1:9" x14ac:dyDescent="0.2">
      <c r="A141" s="34">
        <f>IF(Data!B169="",#N/A,Data!B169)</f>
        <v>22951</v>
      </c>
      <c r="B141" s="35">
        <f>VLOOKUP(A141,Data!B:AY,MATCH($B$2,Data!$C$1:$AY$1,0),FALSE)</f>
        <v>4.1945959999999998</v>
      </c>
      <c r="C141" s="36">
        <f t="shared" si="10"/>
        <v>6.4152857415007425E-3</v>
      </c>
      <c r="D141" s="36">
        <f t="shared" si="7"/>
        <v>7.9758650715442192E-2</v>
      </c>
      <c r="E141" s="36">
        <f>(Table143454[[#This Row],[JPN]]-B129)/B129</f>
        <v>5.2852249392637732E-2</v>
      </c>
      <c r="F141" s="35">
        <f>VLOOKUP(Table143454[[#This Row],[Date]],'Data Core CPI'!$B:$AY,MATCH($B$2,'Data Core CPI'!$C$1:$AY$1,0),FALSE)</f>
        <v>4.0407250000000001</v>
      </c>
      <c r="G141" s="36">
        <f t="shared" si="8"/>
        <v>5.5376770075790116E-3</v>
      </c>
      <c r="H141" s="36">
        <f t="shared" si="9"/>
        <v>6.8513900822328999E-2</v>
      </c>
      <c r="I141" s="36">
        <f>(Table143454[[#This Row],[Core CPI]]-F129)/F129</f>
        <v>5.4097315899326773E-2</v>
      </c>
    </row>
    <row r="142" spans="1:9" x14ac:dyDescent="0.2">
      <c r="A142" s="34">
        <f>IF(Data!B170="",#N/A,Data!B170)</f>
        <v>22981</v>
      </c>
      <c r="B142" s="35">
        <f>VLOOKUP(A142,Data!B:AY,MATCH($B$2,Data!$C$1:$AY$1,0),FALSE)</f>
        <v>4.2581009999999999</v>
      </c>
      <c r="C142" s="36">
        <f t="shared" si="10"/>
        <v>1.5139717865558566E-2</v>
      </c>
      <c r="D142" s="36">
        <f t="shared" si="7"/>
        <v>0.19759463351390072</v>
      </c>
      <c r="E142" s="36">
        <f>(Table143454[[#This Row],[JPN]]-B130)/B130</f>
        <v>6.5217641466953538E-2</v>
      </c>
      <c r="F142" s="35">
        <f>VLOOKUP(Table143454[[#This Row],[Date]],'Data Core CPI'!$B:$AY,MATCH($B$2,'Data Core CPI'!$C$1:$AY$1,0),FALSE)</f>
        <v>4.100403</v>
      </c>
      <c r="G142" s="36">
        <f t="shared" si="8"/>
        <v>1.476913177709438E-2</v>
      </c>
      <c r="H142" s="36">
        <f t="shared" si="9"/>
        <v>0.19235883919451369</v>
      </c>
      <c r="I142" s="36">
        <f>(Table143454[[#This Row],[Core CPI]]-F130)/F130</f>
        <v>6.7382714628916596E-2</v>
      </c>
    </row>
    <row r="143" spans="1:9" x14ac:dyDescent="0.2">
      <c r="A143" s="34">
        <f>IF(Data!B171="",#N/A,Data!B171)</f>
        <v>23012</v>
      </c>
      <c r="B143" s="35">
        <f>VLOOKUP(A143,Data!B:AY,MATCH($B$2,Data!$C$1:$AY$1,0),FALSE)</f>
        <v>4.3048929999999999</v>
      </c>
      <c r="C143" s="36">
        <f t="shared" si="10"/>
        <v>1.0988936147827477E-2</v>
      </c>
      <c r="D143" s="36">
        <f t="shared" si="7"/>
        <v>0.14013646120493672</v>
      </c>
      <c r="E143" s="36">
        <f>(Table143454[[#This Row],[JPN]]-B131)/B131</f>
        <v>7.2439682799084817E-2</v>
      </c>
      <c r="F143" s="35">
        <f>VLOOKUP(Table143454[[#This Row],[Date]],'Data Core CPI'!$B:$AY,MATCH($B$2,'Data Core CPI'!$C$1:$AY$1,0),FALSE)</f>
        <v>4.14527</v>
      </c>
      <c r="G143" s="36">
        <f t="shared" si="8"/>
        <v>1.0942095203812841E-2</v>
      </c>
      <c r="H143" s="36">
        <f t="shared" si="9"/>
        <v>0.13950272772599015</v>
      </c>
      <c r="I143" s="36">
        <f>(Table143454[[#This Row],[Core CPI]]-F131)/F131</f>
        <v>7.2437184369567073E-2</v>
      </c>
    </row>
    <row r="144" spans="1:9" x14ac:dyDescent="0.2">
      <c r="A144" s="34">
        <f>IF(Data!B172="",#N/A,Data!B172)</f>
        <v>23043</v>
      </c>
      <c r="B144" s="35">
        <f>VLOOKUP(A144,Data!B:AY,MATCH($B$2,Data!$C$1:$AY$1,0),FALSE)</f>
        <v>4.3650539999999998</v>
      </c>
      <c r="C144" s="36">
        <f t="shared" si="10"/>
        <v>1.3975027950752672E-2</v>
      </c>
      <c r="D144" s="36">
        <f t="shared" si="7"/>
        <v>0.18120999333819809</v>
      </c>
      <c r="E144" s="36">
        <f>(Table143454[[#This Row],[JPN]]-B132)/B132</f>
        <v>8.1125783527859235E-2</v>
      </c>
      <c r="F144" s="35">
        <f>VLOOKUP(Table143454[[#This Row],[Date]],'Data Core CPI'!$B:$AY,MATCH($B$2,'Data Core CPI'!$C$1:$AY$1,0),FALSE)</f>
        <v>4.1936809999999998</v>
      </c>
      <c r="G144" s="36">
        <f t="shared" si="8"/>
        <v>1.1678612008385381E-2</v>
      </c>
      <c r="H144" s="36">
        <f t="shared" si="9"/>
        <v>0.1495048912491479</v>
      </c>
      <c r="I144" s="36">
        <f>(Table143454[[#This Row],[Core CPI]]-F132)/F132</f>
        <v>7.6783535923887092E-2</v>
      </c>
    </row>
    <row r="145" spans="1:9" x14ac:dyDescent="0.2">
      <c r="A145" s="34">
        <f>IF(Data!B173="",#N/A,Data!B173)</f>
        <v>23071</v>
      </c>
      <c r="B145" s="35">
        <f>VLOOKUP(A145,Data!B:AY,MATCH($B$2,Data!$C$1:$AY$1,0),FALSE)</f>
        <v>4.3784229999999997</v>
      </c>
      <c r="C145" s="36">
        <f t="shared" si="10"/>
        <v>3.0627341609061887E-3</v>
      </c>
      <c r="D145" s="36">
        <f t="shared" si="7"/>
        <v>3.7378276663853294E-2</v>
      </c>
      <c r="E145" s="36">
        <f>(Table143454[[#This Row],[JPN]]-B133)/B133</f>
        <v>7.8189240622285064E-2</v>
      </c>
      <c r="F145" s="35">
        <f>VLOOKUP(Table143454[[#This Row],[Date]],'Data Core CPI'!$B:$AY,MATCH($B$2,'Data Core CPI'!$C$1:$AY$1,0),FALSE)</f>
        <v>4.206404</v>
      </c>
      <c r="G145" s="36">
        <f t="shared" si="8"/>
        <v>3.0338502141675772E-3</v>
      </c>
      <c r="H145" s="36">
        <f t="shared" si="9"/>
        <v>3.7019868367401232E-2</v>
      </c>
      <c r="I145" s="36">
        <f>(Table143454[[#This Row],[Core CPI]]-F133)/F133</f>
        <v>7.3717979807055606E-2</v>
      </c>
    </row>
    <row r="146" spans="1:9" x14ac:dyDescent="0.2">
      <c r="A146" s="34">
        <f>IF(Data!B174="",#N/A,Data!B174)</f>
        <v>23102</v>
      </c>
      <c r="B146" s="35">
        <f>VLOOKUP(A146,Data!B:AY,MATCH($B$2,Data!$C$1:$AY$1,0),FALSE)</f>
        <v>4.4051619999999998</v>
      </c>
      <c r="C146" s="36">
        <f t="shared" si="10"/>
        <v>6.1069933170001534E-3</v>
      </c>
      <c r="D146" s="36">
        <f t="shared" si="7"/>
        <v>7.5796217107037656E-2</v>
      </c>
      <c r="E146" s="36">
        <f>(Table143454[[#This Row],[JPN]]-B134)/B134</f>
        <v>7.5918459859214957E-2</v>
      </c>
      <c r="F146" s="35">
        <f>VLOOKUP(Table143454[[#This Row],[Date]],'Data Core CPI'!$B:$AY,MATCH($B$2,'Data Core CPI'!$C$1:$AY$1,0),FALSE)</f>
        <v>4.2322509999999998</v>
      </c>
      <c r="G146" s="36">
        <f t="shared" si="8"/>
        <v>6.1446784474339378E-3</v>
      </c>
      <c r="H146" s="36">
        <f t="shared" si="9"/>
        <v>7.6279861976270347E-2</v>
      </c>
      <c r="I146" s="36">
        <f>(Table143454[[#This Row],[Core CPI]]-F134)/F134</f>
        <v>7.2535001036485816E-2</v>
      </c>
    </row>
    <row r="147" spans="1:9" x14ac:dyDescent="0.2">
      <c r="A147" s="34">
        <f>IF(Data!B175="",#N/A,Data!B175)</f>
        <v>23132</v>
      </c>
      <c r="B147" s="35">
        <f>VLOOKUP(A147,Data!B:AY,MATCH($B$2,Data!$C$1:$AY$1,0),FALSE)</f>
        <v>4.4051619999999998</v>
      </c>
      <c r="C147" s="36">
        <f t="shared" si="10"/>
        <v>0</v>
      </c>
      <c r="D147" s="36">
        <f t="shared" si="7"/>
        <v>0</v>
      </c>
      <c r="E147" s="36">
        <f>(Table143454[[#This Row],[JPN]]-B135)/B135</f>
        <v>7.5918459859214957E-2</v>
      </c>
      <c r="F147" s="35">
        <f>VLOOKUP(Table143454[[#This Row],[Date]],'Data Core CPI'!$B:$AY,MATCH($B$2,'Data Core CPI'!$C$1:$AY$1,0),FALSE)</f>
        <v>4.2350440000000003</v>
      </c>
      <c r="G147" s="36">
        <f t="shared" si="8"/>
        <v>6.5993250400331327E-4</v>
      </c>
      <c r="H147" s="36">
        <f t="shared" si="9"/>
        <v>7.9479970917917253E-3</v>
      </c>
      <c r="I147" s="36">
        <f>(Table143454[[#This Row],[Core CPI]]-F135)/F135</f>
        <v>7.2266192697019047E-2</v>
      </c>
    </row>
    <row r="148" spans="1:9" x14ac:dyDescent="0.2">
      <c r="A148" s="34">
        <f>IF(Data!B176="",#N/A,Data!B176)</f>
        <v>23163</v>
      </c>
      <c r="B148" s="35">
        <f>VLOOKUP(A148,Data!B:AY,MATCH($B$2,Data!$C$1:$AY$1,0),FALSE)</f>
        <v>4.4118469999999999</v>
      </c>
      <c r="C148" s="36">
        <f t="shared" si="10"/>
        <v>1.517537834022864E-3</v>
      </c>
      <c r="D148" s="36">
        <f t="shared" si="7"/>
        <v>1.8363218280362581E-2</v>
      </c>
      <c r="E148" s="36">
        <f>(Table143454[[#This Row],[JPN]]-B136)/B136</f>
        <v>7.4043922908627366E-2</v>
      </c>
      <c r="F148" s="35">
        <f>VLOOKUP(Table143454[[#This Row],[Date]],'Data Core CPI'!$B:$AY,MATCH($B$2,'Data Core CPI'!$C$1:$AY$1,0),FALSE)</f>
        <v>4.2450640000000002</v>
      </c>
      <c r="G148" s="36">
        <f t="shared" si="8"/>
        <v>2.3659730571865545E-3</v>
      </c>
      <c r="H148" s="36">
        <f t="shared" si="9"/>
        <v>2.8764062686281067E-2</v>
      </c>
      <c r="I148" s="36">
        <f>(Table143454[[#This Row],[Core CPI]]-F136)/F136</f>
        <v>7.2107418240098531E-2</v>
      </c>
    </row>
    <row r="149" spans="1:9" x14ac:dyDescent="0.2">
      <c r="A149" s="34">
        <f>IF(Data!B177="",#N/A,Data!B177)</f>
        <v>23193</v>
      </c>
      <c r="B149" s="35">
        <f>VLOOKUP(A149,Data!B:AY,MATCH($B$2,Data!$C$1:$AY$1,0),FALSE)</f>
        <v>4.4085039999999998</v>
      </c>
      <c r="C149" s="36">
        <f t="shared" si="10"/>
        <v>-7.5773253242916727E-4</v>
      </c>
      <c r="D149" s="36">
        <f t="shared" si="7"/>
        <v>-9.0549914720822189E-3</v>
      </c>
      <c r="E149" s="36">
        <f>(Table143454[[#This Row],[JPN]]-B137)/B137</f>
        <v>6.6289347879456298E-2</v>
      </c>
      <c r="F149" s="35">
        <f>VLOOKUP(Table143454[[#This Row],[Date]],'Data Core CPI'!$B:$AY,MATCH($B$2,'Data Core CPI'!$C$1:$AY$1,0),FALSE)</f>
        <v>4.2481730000000004</v>
      </c>
      <c r="G149" s="36">
        <f t="shared" si="8"/>
        <v>7.3238000652064983E-4</v>
      </c>
      <c r="H149" s="36">
        <f t="shared" si="9"/>
        <v>8.8240477556629227E-3</v>
      </c>
      <c r="I149" s="36">
        <f>(Table143454[[#This Row],[Core CPI]]-F137)/F137</f>
        <v>6.6325346008232644E-2</v>
      </c>
    </row>
    <row r="150" spans="1:9" x14ac:dyDescent="0.2">
      <c r="A150" s="34">
        <f>IF(Data!B178="",#N/A,Data!B178)</f>
        <v>23224</v>
      </c>
      <c r="B150" s="35">
        <f>VLOOKUP(A150,Data!B:AY,MATCH($B$2,Data!$C$1:$AY$1,0),FALSE)</f>
        <v>4.4252159999999998</v>
      </c>
      <c r="C150" s="36">
        <f t="shared" si="10"/>
        <v>3.7908551290868342E-3</v>
      </c>
      <c r="D150" s="36">
        <f t="shared" si="7"/>
        <v>4.6450807743611211E-2</v>
      </c>
      <c r="E150" s="36">
        <f>(Table143454[[#This Row],[JPN]]-B138)/B138</f>
        <v>6.9467010909481111E-2</v>
      </c>
      <c r="F150" s="35">
        <f>VLOOKUP(Table143454[[#This Row],[Date]],'Data Core CPI'!$B:$AY,MATCH($B$2,'Data Core CPI'!$C$1:$AY$1,0),FALSE)</f>
        <v>4.2667070000000002</v>
      </c>
      <c r="G150" s="36">
        <f t="shared" si="8"/>
        <v>4.3628166743678864E-3</v>
      </c>
      <c r="H150" s="36">
        <f t="shared" si="9"/>
        <v>5.3628505235137292E-2</v>
      </c>
      <c r="I150" s="36">
        <f>(Table143454[[#This Row],[Core CPI]]-F138)/F138</f>
        <v>6.9525162890067035E-2</v>
      </c>
    </row>
    <row r="151" spans="1:9" x14ac:dyDescent="0.2">
      <c r="A151" s="34">
        <f>IF(Data!B179="",#N/A,Data!B179)</f>
        <v>23255</v>
      </c>
      <c r="B151" s="35">
        <f>VLOOKUP(A151,Data!B:AY,MATCH($B$2,Data!$C$1:$AY$1,0),FALSE)</f>
        <v>4.4552969999999998</v>
      </c>
      <c r="C151" s="36">
        <f t="shared" si="10"/>
        <v>6.7976342849704885E-3</v>
      </c>
      <c r="D151" s="36">
        <f t="shared" si="7"/>
        <v>8.4691499683366311E-2</v>
      </c>
      <c r="E151" s="36">
        <f>(Table143454[[#This Row],[JPN]]-B139)/B139</f>
        <v>7.3269164707769868E-2</v>
      </c>
      <c r="F151" s="35">
        <f>VLOOKUP(Table143454[[#This Row],[Date]],'Data Core CPI'!$B:$AY,MATCH($B$2,'Data Core CPI'!$C$1:$AY$1,0),FALSE)</f>
        <v>4.2917079999999999</v>
      </c>
      <c r="G151" s="36">
        <f t="shared" si="8"/>
        <v>5.8595539839036981E-3</v>
      </c>
      <c r="H151" s="36">
        <f t="shared" si="9"/>
        <v>7.2625565960809935E-2</v>
      </c>
      <c r="I151" s="36">
        <f>(Table143454[[#This Row],[Core CPI]]-F139)/F139</f>
        <v>7.272881335173316E-2</v>
      </c>
    </row>
    <row r="152" spans="1:9" x14ac:dyDescent="0.2">
      <c r="A152" s="34">
        <f>IF(Data!B180="",#N/A,Data!B180)</f>
        <v>23285</v>
      </c>
      <c r="B152" s="35">
        <f>VLOOKUP(A152,Data!B:AY,MATCH($B$2,Data!$C$1:$AY$1,0),FALSE)</f>
        <v>4.5054309999999997</v>
      </c>
      <c r="C152" s="36">
        <f t="shared" si="10"/>
        <v>1.1252672941893582E-2</v>
      </c>
      <c r="D152" s="36">
        <f t="shared" si="7"/>
        <v>0.14371071687347725</v>
      </c>
      <c r="E152" s="36">
        <f>(Table143454[[#This Row],[JPN]]-B140)/B140</f>
        <v>8.0994362091990638E-2</v>
      </c>
      <c r="F152" s="35">
        <f>VLOOKUP(Table143454[[#This Row],[Date]],'Data Core CPI'!$B:$AY,MATCH($B$2,'Data Core CPI'!$C$1:$AY$1,0),FALSE)</f>
        <v>4.3301319999999999</v>
      </c>
      <c r="G152" s="36">
        <f t="shared" si="8"/>
        <v>8.9530788208331824E-3</v>
      </c>
      <c r="H152" s="36">
        <f t="shared" si="9"/>
        <v>0.11288845997883623</v>
      </c>
      <c r="I152" s="36">
        <f>(Table143454[[#This Row],[Core CPI]]-F140)/F140</f>
        <v>7.7556842501328813E-2</v>
      </c>
    </row>
    <row r="153" spans="1:9" x14ac:dyDescent="0.2">
      <c r="A153" s="34">
        <f>IF(Data!B181="",#N/A,Data!B181)</f>
        <v>23316</v>
      </c>
      <c r="B153" s="35">
        <f>VLOOKUP(A153,Data!B:AY,MATCH($B$2,Data!$C$1:$AY$1,0),FALSE)</f>
        <v>4.5221419999999997</v>
      </c>
      <c r="C153" s="36">
        <f t="shared" si="10"/>
        <v>3.709079109190716E-3</v>
      </c>
      <c r="D153" s="36">
        <f t="shared" si="7"/>
        <v>4.5428249125740949E-2</v>
      </c>
      <c r="E153" s="36">
        <f>(Table143454[[#This Row],[JPN]]-B141)/B141</f>
        <v>7.8087615589200937E-2</v>
      </c>
      <c r="F153" s="35">
        <f>VLOOKUP(Table143454[[#This Row],[Date]],'Data Core CPI'!$B:$AY,MATCH($B$2,'Data Core CPI'!$C$1:$AY$1,0),FALSE)</f>
        <v>4.3497269999999997</v>
      </c>
      <c r="G153" s="36">
        <f t="shared" si="8"/>
        <v>4.5252662043557823E-3</v>
      </c>
      <c r="H153" s="36">
        <f t="shared" si="9"/>
        <v>5.5675340882283209E-2</v>
      </c>
      <c r="I153" s="36">
        <f>(Table143454[[#This Row],[Core CPI]]-F141)/F141</f>
        <v>7.6471920261834095E-2</v>
      </c>
    </row>
    <row r="154" spans="1:9" x14ac:dyDescent="0.2">
      <c r="A154" s="34">
        <f>IF(Data!B182="",#N/A,Data!B182)</f>
        <v>23346</v>
      </c>
      <c r="B154" s="35">
        <f>VLOOKUP(A154,Data!B:AY,MATCH($B$2,Data!$C$1:$AY$1,0),FALSE)</f>
        <v>4.5522229999999997</v>
      </c>
      <c r="C154" s="36">
        <f t="shared" si="10"/>
        <v>6.6519361842241054E-3</v>
      </c>
      <c r="D154" s="36">
        <f t="shared" si="7"/>
        <v>8.2809352645611289E-2</v>
      </c>
      <c r="E154" s="36">
        <f>(Table143454[[#This Row],[JPN]]-B142)/B142</f>
        <v>6.9073514226177302E-2</v>
      </c>
      <c r="F154" s="35">
        <f>VLOOKUP(Table143454[[#This Row],[Date]],'Data Core CPI'!$B:$AY,MATCH($B$2,'Data Core CPI'!$C$1:$AY$1,0),FALSE)</f>
        <v>4.3747280000000002</v>
      </c>
      <c r="G154" s="36">
        <f t="shared" si="8"/>
        <v>5.747717040632816E-3</v>
      </c>
      <c r="H154" s="36">
        <f t="shared" si="9"/>
        <v>7.1195316572359779E-2</v>
      </c>
      <c r="I154" s="36">
        <f>(Table143454[[#This Row],[Core CPI]]-F142)/F142</f>
        <v>6.690196061216426E-2</v>
      </c>
    </row>
    <row r="155" spans="1:9" x14ac:dyDescent="0.2">
      <c r="A155" s="34">
        <f>IF(Data!B183="",#N/A,Data!B183)</f>
        <v>23377</v>
      </c>
      <c r="B155" s="35">
        <f>VLOOKUP(A155,Data!B:AY,MATCH($B$2,Data!$C$1:$AY$1,0),FALSE)</f>
        <v>4.5856469999999998</v>
      </c>
      <c r="C155" s="36">
        <f t="shared" si="10"/>
        <v>7.342346805066402E-3</v>
      </c>
      <c r="D155" s="36">
        <f t="shared" si="7"/>
        <v>9.1754762851618876E-2</v>
      </c>
      <c r="E155" s="36">
        <f>(Table143454[[#This Row],[JPN]]-B143)/B143</f>
        <v>6.5217416553675078E-2</v>
      </c>
      <c r="F155" s="35">
        <f>VLOOKUP(Table143454[[#This Row],[Date]],'Data Core CPI'!$B:$AY,MATCH($B$2,'Data Core CPI'!$C$1:$AY$1,0),FALSE)</f>
        <v>4.4145899999999996</v>
      </c>
      <c r="G155" s="36">
        <f t="shared" si="8"/>
        <v>9.1118807843595384E-3</v>
      </c>
      <c r="H155" s="36">
        <f t="shared" si="9"/>
        <v>0.11499220823633216</v>
      </c>
      <c r="I155" s="36">
        <f>(Table143454[[#This Row],[Core CPI]]-F143)/F143</f>
        <v>6.4970436183891409E-2</v>
      </c>
    </row>
    <row r="156" spans="1:9" x14ac:dyDescent="0.2">
      <c r="A156" s="34">
        <f>IF(Data!B184="",#N/A,Data!B184)</f>
        <v>23408</v>
      </c>
      <c r="B156" s="35">
        <f>VLOOKUP(A156,Data!B:AY,MATCH($B$2,Data!$C$1:$AY$1,0),FALSE)</f>
        <v>4.5923309999999997</v>
      </c>
      <c r="C156" s="36">
        <f t="shared" si="10"/>
        <v>1.4575914805479151E-3</v>
      </c>
      <c r="D156" s="36">
        <f t="shared" si="7"/>
        <v>1.7632003106193173E-2</v>
      </c>
      <c r="E156" s="36">
        <f>(Table143454[[#This Row],[JPN]]-B144)/B144</f>
        <v>5.2067397104365712E-2</v>
      </c>
      <c r="F156" s="35">
        <f>VLOOKUP(Table143454[[#This Row],[Date]],'Data Core CPI'!$B:$AY,MATCH($B$2,'Data Core CPI'!$C$1:$AY$1,0),FALSE)</f>
        <v>4.4250109999999996</v>
      </c>
      <c r="G156" s="36">
        <f t="shared" si="8"/>
        <v>2.3605816168659199E-3</v>
      </c>
      <c r="H156" s="36">
        <f t="shared" si="9"/>
        <v>2.8697663513311822E-2</v>
      </c>
      <c r="I156" s="36">
        <f>(Table143454[[#This Row],[Core CPI]]-F144)/F144</f>
        <v>5.5161563313947774E-2</v>
      </c>
    </row>
    <row r="157" spans="1:9" x14ac:dyDescent="0.2">
      <c r="A157" s="34">
        <f>IF(Data!B185="",#N/A,Data!B185)</f>
        <v>23437</v>
      </c>
      <c r="B157" s="35">
        <f>VLOOKUP(A157,Data!B:AY,MATCH($B$2,Data!$C$1:$AY$1,0),FALSE)</f>
        <v>4.6056999999999997</v>
      </c>
      <c r="C157" s="36">
        <f t="shared" si="10"/>
        <v>2.9111577540903433E-3</v>
      </c>
      <c r="D157" s="36">
        <f t="shared" si="7"/>
        <v>3.5498695923370516E-2</v>
      </c>
      <c r="E157" s="36">
        <f>(Table143454[[#This Row],[JPN]]-B145)/B145</f>
        <v>5.1908415427198325E-2</v>
      </c>
      <c r="F157" s="35">
        <f>VLOOKUP(Table143454[[#This Row],[Date]],'Data Core CPI'!$B:$AY,MATCH($B$2,'Data Core CPI'!$C$1:$AY$1,0),FALSE)</f>
        <v>4.44306</v>
      </c>
      <c r="G157" s="36">
        <f t="shared" si="8"/>
        <v>4.0788599169585549E-3</v>
      </c>
      <c r="H157" s="36">
        <f t="shared" si="9"/>
        <v>5.0059434683633386E-2</v>
      </c>
      <c r="I157" s="36">
        <f>(Table143454[[#This Row],[Core CPI]]-F145)/F145</f>
        <v>5.6260882216734288E-2</v>
      </c>
    </row>
    <row r="158" spans="1:9" x14ac:dyDescent="0.2">
      <c r="A158" s="34">
        <f>IF(Data!B186="",#N/A,Data!B186)</f>
        <v>23468</v>
      </c>
      <c r="B158" s="35">
        <f>VLOOKUP(A158,Data!B:AY,MATCH($B$2,Data!$C$1:$AY$1,0),FALSE)</f>
        <v>4.6123849999999997</v>
      </c>
      <c r="C158" s="36">
        <f t="shared" si="10"/>
        <v>1.4514623184316289E-3</v>
      </c>
      <c r="D158" s="36">
        <f t="shared" si="7"/>
        <v>1.7557267780894614E-2</v>
      </c>
      <c r="E158" s="36">
        <f>(Table143454[[#This Row],[JPN]]-B146)/B146</f>
        <v>4.7040948777820189E-2</v>
      </c>
      <c r="F158" s="35">
        <f>VLOOKUP(Table143454[[#This Row],[Date]],'Data Core CPI'!$B:$AY,MATCH($B$2,'Data Core CPI'!$C$1:$AY$1,0),FALSE)</f>
        <v>4.4533509999999996</v>
      </c>
      <c r="G158" s="36">
        <f t="shared" si="8"/>
        <v>2.3161964952080893E-3</v>
      </c>
      <c r="H158" s="36">
        <f t="shared" si="9"/>
        <v>2.8151180498971362E-2</v>
      </c>
      <c r="I158" s="36">
        <f>(Table143454[[#This Row],[Core CPI]]-F146)/F146</f>
        <v>5.22417030558915E-2</v>
      </c>
    </row>
    <row r="159" spans="1:9" x14ac:dyDescent="0.2">
      <c r="A159" s="34">
        <f>IF(Data!B187="",#N/A,Data!B187)</f>
        <v>23498</v>
      </c>
      <c r="B159" s="35">
        <f>VLOOKUP(A159,Data!B:AY,MATCH($B$2,Data!$C$1:$AY$1,0),FALSE)</f>
        <v>4.6524929999999998</v>
      </c>
      <c r="C159" s="36">
        <f t="shared" si="10"/>
        <v>8.6957181588267485E-3</v>
      </c>
      <c r="D159" s="36">
        <f t="shared" si="7"/>
        <v>0.10948676875858743</v>
      </c>
      <c r="E159" s="36">
        <f>(Table143454[[#This Row],[JPN]]-B147)/B147</f>
        <v>5.6145721769142648E-2</v>
      </c>
      <c r="F159" s="35">
        <f>VLOOKUP(Table143454[[#This Row],[Date]],'Data Core CPI'!$B:$AY,MATCH($B$2,'Data Core CPI'!$C$1:$AY$1,0),FALSE)</f>
        <v>4.4985900000000001</v>
      </c>
      <c r="G159" s="36">
        <f t="shared" si="8"/>
        <v>1.0158417784720042E-2</v>
      </c>
      <c r="H159" s="36">
        <f t="shared" si="9"/>
        <v>0.12894776122400509</v>
      </c>
      <c r="I159" s="36">
        <f>(Table143454[[#This Row],[Core CPI]]-F147)/F147</f>
        <v>6.2229813905121133E-2</v>
      </c>
    </row>
    <row r="160" spans="1:9" x14ac:dyDescent="0.2">
      <c r="A160" s="34">
        <f>IF(Data!B188="",#N/A,Data!B188)</f>
        <v>23529</v>
      </c>
      <c r="B160" s="35">
        <f>VLOOKUP(A160,Data!B:AY,MATCH($B$2,Data!$C$1:$AY$1,0),FALSE)</f>
        <v>4.6825729999999997</v>
      </c>
      <c r="C160" s="36">
        <f t="shared" si="10"/>
        <v>6.4653509419574373E-3</v>
      </c>
      <c r="D160" s="36">
        <f t="shared" si="7"/>
        <v>8.040339203112068E-2</v>
      </c>
      <c r="E160" s="36">
        <f>(Table143454[[#This Row],[JPN]]-B148)/B148</f>
        <v>6.1363415367758634E-2</v>
      </c>
      <c r="F160" s="35">
        <f>VLOOKUP(Table143454[[#This Row],[Date]],'Data Core CPI'!$B:$AY,MATCH($B$2,'Data Core CPI'!$C$1:$AY$1,0),FALSE)</f>
        <v>4.5193380000000003</v>
      </c>
      <c r="G160" s="36">
        <f t="shared" si="8"/>
        <v>4.6121117950290724E-3</v>
      </c>
      <c r="H160" s="36">
        <f t="shared" si="9"/>
        <v>5.677107465774256E-2</v>
      </c>
      <c r="I160" s="36">
        <f>(Table143454[[#This Row],[Core CPI]]-F148)/F148</f>
        <v>6.461009775117646E-2</v>
      </c>
    </row>
    <row r="161" spans="1:9" x14ac:dyDescent="0.2">
      <c r="A161" s="34">
        <f>IF(Data!B189="",#N/A,Data!B189)</f>
        <v>23559</v>
      </c>
      <c r="B161" s="35">
        <f>VLOOKUP(A161,Data!B:AY,MATCH($B$2,Data!$C$1:$AY$1,0),FALSE)</f>
        <v>4.7093119999999997</v>
      </c>
      <c r="C161" s="36">
        <f t="shared" si="10"/>
        <v>5.710322081470931E-3</v>
      </c>
      <c r="D161" s="36">
        <f t="shared" si="7"/>
        <v>7.0717473703496792E-2</v>
      </c>
      <c r="E161" s="36">
        <f>(Table143454[[#This Row],[JPN]]-B149)/B149</f>
        <v>6.8233577649016539E-2</v>
      </c>
      <c r="F161" s="35">
        <f>VLOOKUP(Table143454[[#This Row],[Date]],'Data Core CPI'!$B:$AY,MATCH($B$2,'Data Core CPI'!$C$1:$AY$1,0),FALSE)</f>
        <v>4.5439939999999996</v>
      </c>
      <c r="G161" s="36">
        <f t="shared" si="8"/>
        <v>5.4556662944880152E-3</v>
      </c>
      <c r="H161" s="36">
        <f t="shared" si="9"/>
        <v>6.7468605857713415E-2</v>
      </c>
      <c r="I161" s="36">
        <f>(Table143454[[#This Row],[Core CPI]]-F149)/F149</f>
        <v>6.9634875980803798E-2</v>
      </c>
    </row>
    <row r="162" spans="1:9" x14ac:dyDescent="0.2">
      <c r="A162" s="34">
        <f>IF(Data!B190="",#N/A,Data!B190)</f>
        <v>23590</v>
      </c>
      <c r="B162" s="35">
        <f>VLOOKUP(A162,Data!B:AY,MATCH($B$2,Data!$C$1:$AY$1,0),FALSE)</f>
        <v>4.7226809999999997</v>
      </c>
      <c r="C162" s="36">
        <f t="shared" si="10"/>
        <v>2.8388435508202026E-3</v>
      </c>
      <c r="D162" s="36">
        <f t="shared" si="7"/>
        <v>3.4603084297481823E-2</v>
      </c>
      <c r="E162" s="36">
        <f>(Table143454[[#This Row],[JPN]]-B150)/B150</f>
        <v>6.7220447544255435E-2</v>
      </c>
      <c r="F162" s="35">
        <f>VLOOKUP(Table143454[[#This Row],[Date]],'Data Core CPI'!$B:$AY,MATCH($B$2,'Data Core CPI'!$C$1:$AY$1,0),FALSE)</f>
        <v>4.5637759999999998</v>
      </c>
      <c r="G162" s="36">
        <f t="shared" si="8"/>
        <v>4.35343884697037E-3</v>
      </c>
      <c r="H162" s="36">
        <f t="shared" si="9"/>
        <v>5.3510457389886801E-2</v>
      </c>
      <c r="I162" s="36">
        <f>(Table143454[[#This Row],[Core CPI]]-F150)/F150</f>
        <v>6.9624888702223886E-2</v>
      </c>
    </row>
    <row r="163" spans="1:9" x14ac:dyDescent="0.2">
      <c r="A163" s="34">
        <f>IF(Data!B191="",#N/A,Data!B191)</f>
        <v>23621</v>
      </c>
      <c r="B163" s="35">
        <f>VLOOKUP(A163,Data!B:AY,MATCH($B$2,Data!$C$1:$AY$1,0),FALSE)</f>
        <v>4.7427349999999997</v>
      </c>
      <c r="C163" s="36">
        <f t="shared" si="10"/>
        <v>4.2463168695916487E-3</v>
      </c>
      <c r="D163" s="36">
        <f t="shared" si="7"/>
        <v>5.2162868697728682E-2</v>
      </c>
      <c r="E163" s="36">
        <f>(Table143454[[#This Row],[JPN]]-B151)/B151</f>
        <v>6.4516013186101812E-2</v>
      </c>
      <c r="F163" s="35">
        <f>VLOOKUP(Table143454[[#This Row],[Date]],'Data Core CPI'!$B:$AY,MATCH($B$2,'Data Core CPI'!$C$1:$AY$1,0),FALSE)</f>
        <v>4.5827960000000001</v>
      </c>
      <c r="G163" s="36">
        <f t="shared" si="8"/>
        <v>4.1676015650198295E-3</v>
      </c>
      <c r="H163" s="36">
        <f t="shared" si="9"/>
        <v>5.1173641763604616E-2</v>
      </c>
      <c r="I163" s="36">
        <f>(Table143454[[#This Row],[Core CPI]]-F151)/F151</f>
        <v>6.7825676863384046E-2</v>
      </c>
    </row>
    <row r="164" spans="1:9" x14ac:dyDescent="0.2">
      <c r="A164" s="34">
        <f>IF(Data!B192="",#N/A,Data!B192)</f>
        <v>23651</v>
      </c>
      <c r="B164" s="35">
        <f>VLOOKUP(A164,Data!B:AY,MATCH($B$2,Data!$C$1:$AY$1,0),FALSE)</f>
        <v>4.7627889999999997</v>
      </c>
      <c r="C164" s="36">
        <f t="shared" si="10"/>
        <v>4.2283619051033394E-3</v>
      </c>
      <c r="D164" s="36">
        <f t="shared" si="7"/>
        <v>5.1937150894740158E-2</v>
      </c>
      <c r="E164" s="36">
        <f>(Table143454[[#This Row],[JPN]]-B152)/B152</f>
        <v>5.7121727088928896E-2</v>
      </c>
      <c r="F164" s="35">
        <f>VLOOKUP(Table143454[[#This Row],[Date]],'Data Core CPI'!$B:$AY,MATCH($B$2,'Data Core CPI'!$C$1:$AY$1,0),FALSE)</f>
        <v>4.6018160000000004</v>
      </c>
      <c r="G164" s="36">
        <f t="shared" si="8"/>
        <v>4.1503047484550137E-3</v>
      </c>
      <c r="H164" s="36">
        <f t="shared" si="9"/>
        <v>5.0956384382899289E-2</v>
      </c>
      <c r="I164" s="36">
        <f>(Table143454[[#This Row],[Core CPI]]-F152)/F152</f>
        <v>6.2742660039001238E-2</v>
      </c>
    </row>
    <row r="165" spans="1:9" x14ac:dyDescent="0.2">
      <c r="A165" s="34">
        <f>IF(Data!B193="",#N/A,Data!B193)</f>
        <v>23682</v>
      </c>
      <c r="B165" s="35">
        <f>VLOOKUP(A165,Data!B:AY,MATCH($B$2,Data!$C$1:$AY$1,0),FALSE)</f>
        <v>4.7962119999999997</v>
      </c>
      <c r="C165" s="36">
        <f t="shared" si="10"/>
        <v>7.0175269154271191E-3</v>
      </c>
      <c r="D165" s="36">
        <f t="shared" si="7"/>
        <v>8.7537780403215137E-2</v>
      </c>
      <c r="E165" s="36">
        <f>(Table143454[[#This Row],[JPN]]-B153)/B153</f>
        <v>6.0606234832961917E-2</v>
      </c>
      <c r="F165" s="35">
        <f>VLOOKUP(Table143454[[#This Row],[Date]],'Data Core CPI'!$B:$AY,MATCH($B$2,'Data Core CPI'!$C$1:$AY$1,0),FALSE)</f>
        <v>4.6303650000000003</v>
      </c>
      <c r="G165" s="36">
        <f t="shared" si="8"/>
        <v>6.203855173696704E-3</v>
      </c>
      <c r="H165" s="36">
        <f t="shared" si="9"/>
        <v>7.7039728748422576E-2</v>
      </c>
      <c r="I165" s="36">
        <f>(Table143454[[#This Row],[Core CPI]]-F153)/F153</f>
        <v>6.4518531852688826E-2</v>
      </c>
    </row>
    <row r="166" spans="1:9" x14ac:dyDescent="0.2">
      <c r="A166" s="34">
        <f>IF(Data!B194="",#N/A,Data!B194)</f>
        <v>23712</v>
      </c>
      <c r="B166" s="35">
        <f>VLOOKUP(A166,Data!B:AY,MATCH($B$2,Data!$C$1:$AY$1,0),FALSE)</f>
        <v>4.8162659999999997</v>
      </c>
      <c r="C166" s="36">
        <f t="shared" si="10"/>
        <v>4.1812163432308758E-3</v>
      </c>
      <c r="D166" s="36">
        <f t="shared" si="7"/>
        <v>5.1344679704705021E-2</v>
      </c>
      <c r="E166" s="36">
        <f>(Table143454[[#This Row],[JPN]]-B154)/B154</f>
        <v>5.8003089918925332E-2</v>
      </c>
      <c r="F166" s="35">
        <f>VLOOKUP(Table143454[[#This Row],[Date]],'Data Core CPI'!$B:$AY,MATCH($B$2,'Data Core CPI'!$C$1:$AY$1,0),FALSE)</f>
        <v>4.6448609999999997</v>
      </c>
      <c r="G166" s="36">
        <f t="shared" si="8"/>
        <v>3.1306387293441595E-3</v>
      </c>
      <c r="H166" s="36">
        <f t="shared" si="9"/>
        <v>3.8221322140213898E-2</v>
      </c>
      <c r="I166" s="36">
        <f>(Table143454[[#This Row],[Core CPI]]-F154)/F154</f>
        <v>6.1748524708278893E-2</v>
      </c>
    </row>
    <row r="167" spans="1:9" x14ac:dyDescent="0.2">
      <c r="A167" s="34">
        <f>IF(Data!B195="",#N/A,Data!B195)</f>
        <v>23743</v>
      </c>
      <c r="B167" s="35">
        <f>VLOOKUP(A167,Data!B:AY,MATCH($B$2,Data!$C$1:$AY$1,0),FALSE)</f>
        <v>4.8396619999999997</v>
      </c>
      <c r="C167" s="36">
        <f t="shared" si="10"/>
        <v>4.8577051184466313E-3</v>
      </c>
      <c r="D167" s="36">
        <f t="shared" si="7"/>
        <v>5.9875379261573602E-2</v>
      </c>
      <c r="E167" s="36">
        <f>(Table143454[[#This Row],[JPN]]-B155)/B155</f>
        <v>5.5393491910737981E-2</v>
      </c>
      <c r="F167" s="35">
        <f>VLOOKUP(Table143454[[#This Row],[Date]],'Data Core CPI'!$B:$AY,MATCH($B$2,'Data Core CPI'!$C$1:$AY$1,0),FALSE)</f>
        <v>4.6708939999999997</v>
      </c>
      <c r="G167" s="36">
        <f t="shared" si="8"/>
        <v>5.6046887086609321E-3</v>
      </c>
      <c r="H167" s="36">
        <f t="shared" si="9"/>
        <v>6.936871734343053E-2</v>
      </c>
      <c r="I167" s="36">
        <f>(Table143454[[#This Row],[Core CPI]]-F155)/F155</f>
        <v>5.8058392738623545E-2</v>
      </c>
    </row>
    <row r="168" spans="1:9" x14ac:dyDescent="0.2">
      <c r="A168" s="34">
        <f>IF(Data!B196="",#N/A,Data!B196)</f>
        <v>23774</v>
      </c>
      <c r="B168" s="35">
        <f>VLOOKUP(A168,Data!B:AY,MATCH($B$2,Data!$C$1:$AY$1,0),FALSE)</f>
        <v>4.8496889999999997</v>
      </c>
      <c r="C168" s="36">
        <f t="shared" si="10"/>
        <v>2.0718389011464833E-3</v>
      </c>
      <c r="D168" s="36">
        <f t="shared" si="7"/>
        <v>2.514733859787377E-2</v>
      </c>
      <c r="E168" s="36">
        <f>(Table143454[[#This Row],[JPN]]-B156)/B156</f>
        <v>5.6040821099350199E-2</v>
      </c>
      <c r="F168" s="35">
        <f>VLOOKUP(Table143454[[#This Row],[Date]],'Data Core CPI'!$B:$AY,MATCH($B$2,'Data Core CPI'!$C$1:$AY$1,0),FALSE)</f>
        <v>4.6830020000000001</v>
      </c>
      <c r="G168" s="36">
        <f t="shared" si="8"/>
        <v>2.592223244629599E-3</v>
      </c>
      <c r="H168" s="36">
        <f t="shared" si="9"/>
        <v>3.1554028515431432E-2</v>
      </c>
      <c r="I168" s="36">
        <f>(Table143454[[#This Row],[Core CPI]]-F156)/F156</f>
        <v>5.8302905913680342E-2</v>
      </c>
    </row>
    <row r="169" spans="1:9" x14ac:dyDescent="0.2">
      <c r="A169" s="34">
        <f>IF(Data!B197="",#N/A,Data!B197)</f>
        <v>23802</v>
      </c>
      <c r="B169" s="35">
        <f>VLOOKUP(A169,Data!B:AY,MATCH($B$2,Data!$C$1:$AY$1,0),FALSE)</f>
        <v>4.8597159999999997</v>
      </c>
      <c r="C169" s="36">
        <f t="shared" si="10"/>
        <v>2.0675552597291258E-3</v>
      </c>
      <c r="D169" s="36">
        <f t="shared" si="7"/>
        <v>2.5094752423715949E-2</v>
      </c>
      <c r="E169" s="36">
        <f>(Table143454[[#This Row],[JPN]]-B157)/B157</f>
        <v>5.5152528388735703E-2</v>
      </c>
      <c r="F169" s="35">
        <f>VLOOKUP(Table143454[[#This Row],[Date]],'Data Core CPI'!$B:$AY,MATCH($B$2,'Data Core CPI'!$C$1:$AY$1,0),FALSE)</f>
        <v>4.6932479999999996</v>
      </c>
      <c r="G169" s="36">
        <f t="shared" si="8"/>
        <v>2.1879127961079714E-3</v>
      </c>
      <c r="H169" s="36">
        <f t="shared" si="9"/>
        <v>2.657320861504231E-2</v>
      </c>
      <c r="I169" s="36">
        <f>(Table143454[[#This Row],[Core CPI]]-F157)/F157</f>
        <v>5.6309840515320439E-2</v>
      </c>
    </row>
    <row r="170" spans="1:9" x14ac:dyDescent="0.2">
      <c r="A170" s="34">
        <f>IF(Data!B198="",#N/A,Data!B198)</f>
        <v>23833</v>
      </c>
      <c r="B170" s="35">
        <f>VLOOKUP(A170,Data!B:AY,MATCH($B$2,Data!$C$1:$AY$1,0),FALSE)</f>
        <v>4.8663999999999996</v>
      </c>
      <c r="C170" s="36">
        <f t="shared" si="10"/>
        <v>1.3753890145020709E-3</v>
      </c>
      <c r="D170" s="36">
        <f t="shared" si="7"/>
        <v>1.6630094215028146E-2</v>
      </c>
      <c r="E170" s="36">
        <f>(Table143454[[#This Row],[JPN]]-B158)/B158</f>
        <v>5.5072375788231015E-2</v>
      </c>
      <c r="F170" s="35">
        <f>VLOOKUP(Table143454[[#This Row],[Date]],'Data Core CPI'!$B:$AY,MATCH($B$2,'Data Core CPI'!$C$1:$AY$1,0),FALSE)</f>
        <v>4.6995449999999996</v>
      </c>
      <c r="G170" s="36">
        <f t="shared" si="8"/>
        <v>1.3417147357224213E-3</v>
      </c>
      <c r="H170" s="36">
        <f t="shared" si="9"/>
        <v>1.6219922910395645E-2</v>
      </c>
      <c r="I170" s="36">
        <f>(Table143454[[#This Row],[Core CPI]]-F158)/F158</f>
        <v>5.5282864521570399E-2</v>
      </c>
    </row>
    <row r="171" spans="1:9" x14ac:dyDescent="0.2">
      <c r="A171" s="34">
        <f>IF(Data!B199="",#N/A,Data!B199)</f>
        <v>23863</v>
      </c>
      <c r="B171" s="35">
        <f>VLOOKUP(A171,Data!B:AY,MATCH($B$2,Data!$C$1:$AY$1,0),FALSE)</f>
        <v>4.8764269999999996</v>
      </c>
      <c r="C171" s="36">
        <f t="shared" si="10"/>
        <v>2.0604553674175019E-3</v>
      </c>
      <c r="D171" s="36">
        <f t="shared" si="7"/>
        <v>2.5007599272786729E-2</v>
      </c>
      <c r="E171" s="36">
        <f>(Table143454[[#This Row],[JPN]]-B159)/B159</f>
        <v>4.8132044475940078E-2</v>
      </c>
      <c r="F171" s="35">
        <f>VLOOKUP(Table143454[[#This Row],[Date]],'Data Core CPI'!$B:$AY,MATCH($B$2,'Data Core CPI'!$C$1:$AY$1,0),FALSE)</f>
        <v>4.708189</v>
      </c>
      <c r="G171" s="36">
        <f t="shared" si="8"/>
        <v>1.8393269986776151E-3</v>
      </c>
      <c r="H171" s="36">
        <f t="shared" si="9"/>
        <v>2.2296584825319155E-2</v>
      </c>
      <c r="I171" s="36">
        <f>(Table143454[[#This Row],[Core CPI]]-F159)/F159</f>
        <v>4.6592154430610447E-2</v>
      </c>
    </row>
    <row r="172" spans="1:9" x14ac:dyDescent="0.2">
      <c r="A172" s="34">
        <f>IF(Data!B200="",#N/A,Data!B200)</f>
        <v>23894</v>
      </c>
      <c r="B172" s="35">
        <f>VLOOKUP(A172,Data!B:AY,MATCH($B$2,Data!$C$1:$AY$1,0),FALSE)</f>
        <v>4.8897959999999996</v>
      </c>
      <c r="C172" s="36">
        <f t="shared" si="10"/>
        <v>2.7415564715722596E-3</v>
      </c>
      <c r="D172" s="36">
        <f t="shared" si="7"/>
        <v>3.3399303748114617E-2</v>
      </c>
      <c r="E172" s="36">
        <f>(Table143454[[#This Row],[JPN]]-B160)/B160</f>
        <v>4.4254088510739704E-2</v>
      </c>
      <c r="F172" s="35">
        <f>VLOOKUP(Table143454[[#This Row],[Date]],'Data Core CPI'!$B:$AY,MATCH($B$2,'Data Core CPI'!$C$1:$AY$1,0),FALSE)</f>
        <v>4.7159870000000002</v>
      </c>
      <c r="G172" s="36">
        <f t="shared" si="8"/>
        <v>1.6562631619079227E-3</v>
      </c>
      <c r="H172" s="36">
        <f t="shared" si="9"/>
        <v>2.0057212947646619E-2</v>
      </c>
      <c r="I172" s="36">
        <f>(Table143454[[#This Row],[Core CPI]]-F160)/F160</f>
        <v>4.3512788819955454E-2</v>
      </c>
    </row>
    <row r="173" spans="1:9" x14ac:dyDescent="0.2">
      <c r="A173" s="34">
        <f>IF(Data!B201="",#N/A,Data!B201)</f>
        <v>23924</v>
      </c>
      <c r="B173" s="35">
        <f>VLOOKUP(A173,Data!B:AY,MATCH($B$2,Data!$C$1:$AY$1,0),FALSE)</f>
        <v>4.9165349999999997</v>
      </c>
      <c r="C173" s="36">
        <f t="shared" si="10"/>
        <v>5.4683262860046877E-3</v>
      </c>
      <c r="D173" s="36">
        <f t="shared" si="7"/>
        <v>6.7629906806567774E-2</v>
      </c>
      <c r="E173" s="36">
        <f>(Table143454[[#This Row],[JPN]]-B161)/B161</f>
        <v>4.400281824606226E-2</v>
      </c>
      <c r="F173" s="35">
        <f>VLOOKUP(Table143454[[#This Row],[Date]],'Data Core CPI'!$B:$AY,MATCH($B$2,'Data Core CPI'!$C$1:$AY$1,0),FALSE)</f>
        <v>4.7330550000000002</v>
      </c>
      <c r="G173" s="36">
        <f t="shared" si="8"/>
        <v>3.6191787636394857E-3</v>
      </c>
      <c r="H173" s="36">
        <f t="shared" si="9"/>
        <v>4.4305157852361221E-2</v>
      </c>
      <c r="I173" s="36">
        <f>(Table143454[[#This Row],[Core CPI]]-F161)/F161</f>
        <v>4.1606789093471645E-2</v>
      </c>
    </row>
    <row r="174" spans="1:9" x14ac:dyDescent="0.2">
      <c r="A174" s="34">
        <f>IF(Data!B202="",#N/A,Data!B202)</f>
        <v>23955</v>
      </c>
      <c r="B174" s="35">
        <f>VLOOKUP(A174,Data!B:AY,MATCH($B$2,Data!$C$1:$AY$1,0),FALSE)</f>
        <v>4.9232199999999997</v>
      </c>
      <c r="C174" s="36">
        <f t="shared" si="10"/>
        <v>1.3596974291854025E-3</v>
      </c>
      <c r="D174" s="36">
        <f t="shared" si="7"/>
        <v>1.643894316538308E-2</v>
      </c>
      <c r="E174" s="36">
        <f>(Table143454[[#This Row],[JPN]]-B162)/B162</f>
        <v>4.2462956951782267E-2</v>
      </c>
      <c r="F174" s="35">
        <f>VLOOKUP(Table143454[[#This Row],[Date]],'Data Core CPI'!$B:$AY,MATCH($B$2,'Data Core CPI'!$C$1:$AY$1,0),FALSE)</f>
        <v>4.7412140000000003</v>
      </c>
      <c r="G174" s="36">
        <f t="shared" si="8"/>
        <v>1.7238337606471088E-3</v>
      </c>
      <c r="H174" s="36">
        <f t="shared" si="9"/>
        <v>2.0883262258815094E-2</v>
      </c>
      <c r="I174" s="36">
        <f>(Table143454[[#This Row],[Core CPI]]-F162)/F162</f>
        <v>3.8879647029126857E-2</v>
      </c>
    </row>
    <row r="175" spans="1:9" x14ac:dyDescent="0.2">
      <c r="A175" s="34">
        <f>IF(Data!B203="",#N/A,Data!B203)</f>
        <v>23986</v>
      </c>
      <c r="B175" s="35">
        <f>VLOOKUP(A175,Data!B:AY,MATCH($B$2,Data!$C$1:$AY$1,0),FALSE)</f>
        <v>4.9365889999999997</v>
      </c>
      <c r="C175" s="36">
        <f t="shared" si="10"/>
        <v>2.7154992058042726E-3</v>
      </c>
      <c r="D175" s="36">
        <f t="shared" si="7"/>
        <v>3.3077102536159808E-2</v>
      </c>
      <c r="E175" s="36">
        <f>(Table143454[[#This Row],[JPN]]-B163)/B163</f>
        <v>4.0873883950927045E-2</v>
      </c>
      <c r="F175" s="35">
        <f>VLOOKUP(Table143454[[#This Row],[Date]],'Data Core CPI'!$B:$AY,MATCH($B$2,'Data Core CPI'!$C$1:$AY$1,0),FALSE)</f>
        <v>4.7552690000000002</v>
      </c>
      <c r="G175" s="36">
        <f t="shared" si="8"/>
        <v>2.9644306289486888E-3</v>
      </c>
      <c r="H175" s="36">
        <f t="shared" si="9"/>
        <v>3.6158935200386821E-2</v>
      </c>
      <c r="I175" s="36">
        <f>(Table143454[[#This Row],[Core CPI]]-F163)/F163</f>
        <v>3.7634884904324803E-2</v>
      </c>
    </row>
    <row r="176" spans="1:9" x14ac:dyDescent="0.2">
      <c r="A176" s="34">
        <f>IF(Data!B204="",#N/A,Data!B204)</f>
        <v>24016</v>
      </c>
      <c r="B176" s="35">
        <f>VLOOKUP(A176,Data!B:AY,MATCH($B$2,Data!$C$1:$AY$1,0),FALSE)</f>
        <v>4.9365889999999997</v>
      </c>
      <c r="C176" s="36">
        <f t="shared" si="10"/>
        <v>0</v>
      </c>
      <c r="D176" s="36">
        <f t="shared" si="7"/>
        <v>0</v>
      </c>
      <c r="E176" s="36">
        <f>(Table143454[[#This Row],[JPN]]-B164)/B164</f>
        <v>3.6491223944625714E-2</v>
      </c>
      <c r="F176" s="35">
        <f>VLOOKUP(Table143454[[#This Row],[Date]],'Data Core CPI'!$B:$AY,MATCH($B$2,'Data Core CPI'!$C$1:$AY$1,0),FALSE)</f>
        <v>4.7576599999999996</v>
      </c>
      <c r="G176" s="36">
        <f t="shared" si="8"/>
        <v>5.0281067169888338E-4</v>
      </c>
      <c r="H176" s="36">
        <f t="shared" si="9"/>
        <v>6.0504420841480666E-3</v>
      </c>
      <c r="I176" s="36">
        <f>(Table143454[[#This Row],[Core CPI]]-F164)/F164</f>
        <v>3.3865760821379903E-2</v>
      </c>
    </row>
    <row r="177" spans="1:9" x14ac:dyDescent="0.2">
      <c r="A177" s="34">
        <f>IF(Data!B205="",#N/A,Data!B205)</f>
        <v>24047</v>
      </c>
      <c r="B177" s="35">
        <f>VLOOKUP(A177,Data!B:AY,MATCH($B$2,Data!$C$1:$AY$1,0),FALSE)</f>
        <v>4.9532999999999996</v>
      </c>
      <c r="C177" s="36">
        <f t="shared" si="10"/>
        <v>3.3851309071910585E-3</v>
      </c>
      <c r="D177" s="36">
        <f t="shared" si="7"/>
        <v>4.1386471512048439E-2</v>
      </c>
      <c r="E177" s="36">
        <f>(Table143454[[#This Row],[JPN]]-B165)/B165</f>
        <v>3.2752513858853589E-2</v>
      </c>
      <c r="F177" s="35">
        <f>VLOOKUP(Table143454[[#This Row],[Date]],'Data Core CPI'!$B:$AY,MATCH($B$2,'Data Core CPI'!$C$1:$AY$1,0),FALSE)</f>
        <v>4.776065</v>
      </c>
      <c r="G177" s="36">
        <f t="shared" si="8"/>
        <v>3.868498379455465E-3</v>
      </c>
      <c r="H177" s="36">
        <f t="shared" si="9"/>
        <v>4.7422537059002901E-2</v>
      </c>
      <c r="I177" s="36">
        <f>(Table143454[[#This Row],[Core CPI]]-F165)/F165</f>
        <v>3.146620190848879E-2</v>
      </c>
    </row>
    <row r="178" spans="1:9" x14ac:dyDescent="0.2">
      <c r="A178" s="34">
        <f>IF(Data!B206="",#N/A,Data!B206)</f>
        <v>24077</v>
      </c>
      <c r="B178" s="35">
        <f>VLOOKUP(A178,Data!B:AY,MATCH($B$2,Data!$C$1:$AY$1,0),FALSE)</f>
        <v>4.9766959999999996</v>
      </c>
      <c r="C178" s="36">
        <f t="shared" si="10"/>
        <v>4.7233157692851968E-3</v>
      </c>
      <c r="D178" s="36">
        <f t="shared" si="7"/>
        <v>5.8175661138206491E-2</v>
      </c>
      <c r="E178" s="36">
        <f>(Table143454[[#This Row],[JPN]]-B166)/B166</f>
        <v>3.3310037277841355E-2</v>
      </c>
      <c r="F178" s="35">
        <f>VLOOKUP(Table143454[[#This Row],[Date]],'Data Core CPI'!$B:$AY,MATCH($B$2,'Data Core CPI'!$C$1:$AY$1,0),FALSE)</f>
        <v>4.7937089999999998</v>
      </c>
      <c r="G178" s="36">
        <f t="shared" si="8"/>
        <v>3.6942545798686055E-3</v>
      </c>
      <c r="H178" s="36">
        <f t="shared" si="9"/>
        <v>4.5242975645674699E-2</v>
      </c>
      <c r="I178" s="36">
        <f>(Table143454[[#This Row],[Core CPI]]-F166)/F166</f>
        <v>3.2045738290123235E-2</v>
      </c>
    </row>
    <row r="179" spans="1:9" x14ac:dyDescent="0.2">
      <c r="A179" s="34">
        <f>IF(Data!B207="",#N/A,Data!B207)</f>
        <v>24108</v>
      </c>
      <c r="B179" s="35">
        <f>VLOOKUP(A179,Data!B:AY,MATCH($B$2,Data!$C$1:$AY$1,0),FALSE)</f>
        <v>4.9900659999999997</v>
      </c>
      <c r="C179" s="36">
        <f t="shared" si="10"/>
        <v>2.6865213386553233E-3</v>
      </c>
      <c r="D179" s="36">
        <f t="shared" si="7"/>
        <v>3.2718895887577037E-2</v>
      </c>
      <c r="E179" s="36">
        <f>(Table143454[[#This Row],[JPN]]-B167)/B167</f>
        <v>3.1077376891196121E-2</v>
      </c>
      <c r="F179" s="35">
        <f>VLOOKUP(Table143454[[#This Row],[Date]],'Data Core CPI'!$B:$AY,MATCH($B$2,'Data Core CPI'!$C$1:$AY$1,0),FALSE)</f>
        <v>4.806432</v>
      </c>
      <c r="G179" s="36">
        <f t="shared" si="8"/>
        <v>2.6541035344449515E-3</v>
      </c>
      <c r="H179" s="36">
        <f t="shared" si="9"/>
        <v>3.2318301774656222E-2</v>
      </c>
      <c r="I179" s="36">
        <f>(Table143454[[#This Row],[Core CPI]]-F167)/F167</f>
        <v>2.9017571368564647E-2</v>
      </c>
    </row>
    <row r="180" spans="1:9" x14ac:dyDescent="0.2">
      <c r="A180" s="34">
        <f>IF(Data!B208="",#N/A,Data!B208)</f>
        <v>24139</v>
      </c>
      <c r="B180" s="35">
        <f>VLOOKUP(A180,Data!B:AY,MATCH($B$2,Data!$C$1:$AY$1,0),FALSE)</f>
        <v>4.9900659999999997</v>
      </c>
      <c r="C180" s="36">
        <f t="shared" si="10"/>
        <v>0</v>
      </c>
      <c r="D180" s="36">
        <f t="shared" si="7"/>
        <v>0</v>
      </c>
      <c r="E180" s="36">
        <f>(Table143454[[#This Row],[JPN]]-B168)/B168</f>
        <v>2.8945567437417118E-2</v>
      </c>
      <c r="F180" s="35">
        <f>VLOOKUP(Table143454[[#This Row],[Date]],'Data Core CPI'!$B:$AY,MATCH($B$2,'Data Core CPI'!$C$1:$AY$1,0),FALSE)</f>
        <v>4.809755</v>
      </c>
      <c r="G180" s="36">
        <f t="shared" si="8"/>
        <v>6.913652372486645E-4</v>
      </c>
      <c r="H180" s="36">
        <f t="shared" si="9"/>
        <v>8.3280027308485494E-3</v>
      </c>
      <c r="I180" s="36">
        <f>(Table143454[[#This Row],[Core CPI]]-F168)/F168</f>
        <v>2.7066612399482191E-2</v>
      </c>
    </row>
    <row r="181" spans="1:9" x14ac:dyDescent="0.2">
      <c r="A181" s="34">
        <f>IF(Data!B209="",#N/A,Data!B209)</f>
        <v>24167</v>
      </c>
      <c r="B181" s="35">
        <f>VLOOKUP(A181,Data!B:AY,MATCH($B$2,Data!$C$1:$AY$1,0),FALSE)</f>
        <v>4.9867229999999996</v>
      </c>
      <c r="C181" s="36">
        <f t="shared" si="10"/>
        <v>-6.6993101894841089E-4</v>
      </c>
      <c r="D181" s="36">
        <f t="shared" si="7"/>
        <v>-8.0096169755761171E-3</v>
      </c>
      <c r="E181" s="36">
        <f>(Table143454[[#This Row],[JPN]]-B169)/B169</f>
        <v>2.6134654782295895E-2</v>
      </c>
      <c r="F181" s="35">
        <f>VLOOKUP(Table143454[[#This Row],[Date]],'Data Core CPI'!$B:$AY,MATCH($B$2,'Data Core CPI'!$C$1:$AY$1,0),FALSE)</f>
        <v>4.8084680000000004</v>
      </c>
      <c r="G181" s="36">
        <f t="shared" si="8"/>
        <v>-2.6758119696312921E-4</v>
      </c>
      <c r="H181" s="36">
        <f t="shared" si="9"/>
        <v>-3.2062529959423491E-3</v>
      </c>
      <c r="I181" s="36">
        <f>(Table143454[[#This Row],[Core CPI]]-F169)/F169</f>
        <v>2.4550162275677904E-2</v>
      </c>
    </row>
    <row r="182" spans="1:9" x14ac:dyDescent="0.2">
      <c r="A182" s="34">
        <f>IF(Data!B210="",#N/A,Data!B210)</f>
        <v>24198</v>
      </c>
      <c r="B182" s="35">
        <f>VLOOKUP(A182,Data!B:AY,MATCH($B$2,Data!$C$1:$AY$1,0),FALSE)</f>
        <v>5.0000929999999997</v>
      </c>
      <c r="C182" s="36">
        <f t="shared" si="10"/>
        <v>2.6811194445730546E-3</v>
      </c>
      <c r="D182" s="36">
        <f t="shared" si="7"/>
        <v>3.2652133572413033E-2</v>
      </c>
      <c r="E182" s="36">
        <f>(Table143454[[#This Row],[JPN]]-B170)/B170</f>
        <v>2.7472669735327977E-2</v>
      </c>
      <c r="F182" s="35">
        <f>VLOOKUP(Table143454[[#This Row],[Date]],'Data Core CPI'!$B:$AY,MATCH($B$2,'Data Core CPI'!$C$1:$AY$1,0),FALSE)</f>
        <v>4.8225230000000003</v>
      </c>
      <c r="G182" s="36">
        <f t="shared" si="8"/>
        <v>2.9229683965870112E-3</v>
      </c>
      <c r="H182" s="36">
        <f t="shared" si="9"/>
        <v>3.5645038262515305E-2</v>
      </c>
      <c r="I182" s="36">
        <f>(Table143454[[#This Row],[Core CPI]]-F170)/F170</f>
        <v>2.6168065206312676E-2</v>
      </c>
    </row>
    <row r="183" spans="1:9" x14ac:dyDescent="0.2">
      <c r="A183" s="34">
        <f>IF(Data!B211="",#N/A,Data!B211)</f>
        <v>24228</v>
      </c>
      <c r="B183" s="35">
        <f>VLOOKUP(A183,Data!B:AY,MATCH($B$2,Data!$C$1:$AY$1,0),FALSE)</f>
        <v>5.0067769999999996</v>
      </c>
      <c r="C183" s="36">
        <f t="shared" si="10"/>
        <v>1.3367751359825153E-3</v>
      </c>
      <c r="D183" s="36">
        <f t="shared" si="7"/>
        <v>1.6159768618569936E-2</v>
      </c>
      <c r="E183" s="36">
        <f>(Table143454[[#This Row],[JPN]]-B171)/B171</f>
        <v>2.6730637001230611E-2</v>
      </c>
      <c r="F183" s="35">
        <f>VLOOKUP(Table143454[[#This Row],[Date]],'Data Core CPI'!$B:$AY,MATCH($B$2,'Data Core CPI'!$C$1:$AY$1,0),FALSE)</f>
        <v>4.8288200000000003</v>
      </c>
      <c r="G183" s="36">
        <f t="shared" si="8"/>
        <v>1.3057480493094964E-3</v>
      </c>
      <c r="H183" s="36">
        <f t="shared" si="9"/>
        <v>1.578199635933597E-2</v>
      </c>
      <c r="I183" s="36">
        <f>(Table143454[[#This Row],[Core CPI]]-F171)/F171</f>
        <v>2.5621528787395827E-2</v>
      </c>
    </row>
    <row r="184" spans="1:9" x14ac:dyDescent="0.2">
      <c r="A184" s="34">
        <f>IF(Data!B212="",#N/A,Data!B212)</f>
        <v>24259</v>
      </c>
      <c r="B184" s="35">
        <f>VLOOKUP(A184,Data!B:AY,MATCH($B$2,Data!$C$1:$AY$1,0),FALSE)</f>
        <v>5.0067769999999996</v>
      </c>
      <c r="C184" s="36">
        <f t="shared" si="10"/>
        <v>0</v>
      </c>
      <c r="D184" s="36">
        <f t="shared" si="7"/>
        <v>0</v>
      </c>
      <c r="E184" s="36">
        <f>(Table143454[[#This Row],[JPN]]-B172)/B172</f>
        <v>2.3923492922813143E-2</v>
      </c>
      <c r="F184" s="35">
        <f>VLOOKUP(Table143454[[#This Row],[Date]],'Data Core CPI'!$B:$AY,MATCH($B$2,'Data Core CPI'!$C$1:$AY$1,0),FALSE)</f>
        <v>4.8309530000000001</v>
      </c>
      <c r="G184" s="36">
        <f t="shared" si="8"/>
        <v>4.417228225528369E-4</v>
      </c>
      <c r="H184" s="36">
        <f t="shared" si="9"/>
        <v>5.3135707084011052E-3</v>
      </c>
      <c r="I184" s="36">
        <f>(Table143454[[#This Row],[Core CPI]]-F172)/F172</f>
        <v>2.4377929794971848E-2</v>
      </c>
    </row>
    <row r="185" spans="1:9" x14ac:dyDescent="0.2">
      <c r="A185" s="34">
        <f>IF(Data!B213="",#N/A,Data!B213)</f>
        <v>24289</v>
      </c>
      <c r="B185" s="35">
        <f>VLOOKUP(A185,Data!B:AY,MATCH($B$2,Data!$C$1:$AY$1,0),FALSE)</f>
        <v>5.0101190000000004</v>
      </c>
      <c r="C185" s="36">
        <f t="shared" si="10"/>
        <v>6.6749527690190824E-4</v>
      </c>
      <c r="D185" s="36">
        <f t="shared" si="7"/>
        <v>8.0394151460885244E-3</v>
      </c>
      <c r="E185" s="36">
        <f>(Table143454[[#This Row],[JPN]]-B173)/B173</f>
        <v>1.9034543636931453E-2</v>
      </c>
      <c r="F185" s="35">
        <f>VLOOKUP(Table143454[[#This Row],[Date]],'Data Core CPI'!$B:$AY,MATCH($B$2,'Data Core CPI'!$C$1:$AY$1,0),FALSE)</f>
        <v>4.8345019999999996</v>
      </c>
      <c r="G185" s="36">
        <f t="shared" si="8"/>
        <v>7.3463765844938855E-4</v>
      </c>
      <c r="H185" s="36">
        <f t="shared" si="9"/>
        <v>8.8513589752812205E-3</v>
      </c>
      <c r="I185" s="36">
        <f>(Table143454[[#This Row],[Core CPI]]-F173)/F173</f>
        <v>2.1433725152147903E-2</v>
      </c>
    </row>
    <row r="186" spans="1:9" x14ac:dyDescent="0.2">
      <c r="A186" s="34">
        <f>IF(Data!B214="",#N/A,Data!B214)</f>
        <v>24320</v>
      </c>
      <c r="B186" s="35">
        <f>VLOOKUP(A186,Data!B:AY,MATCH($B$2,Data!$C$1:$AY$1,0),FALSE)</f>
        <v>5.0168039999999996</v>
      </c>
      <c r="C186" s="36">
        <f t="shared" si="10"/>
        <v>1.3342996443794775E-3</v>
      </c>
      <c r="D186" s="36">
        <f t="shared" si="7"/>
        <v>1.6129623386707204E-2</v>
      </c>
      <c r="E186" s="36">
        <f>(Table143454[[#This Row],[JPN]]-B174)/B174</f>
        <v>1.9008697559727148E-2</v>
      </c>
      <c r="F186" s="35">
        <f>VLOOKUP(Table143454[[#This Row],[Date]],'Data Core CPI'!$B:$AY,MATCH($B$2,'Data Core CPI'!$C$1:$AY$1,0),FALSE)</f>
        <v>4.8487869999999997</v>
      </c>
      <c r="G186" s="36">
        <f t="shared" si="8"/>
        <v>2.9548027904424679E-3</v>
      </c>
      <c r="H186" s="36">
        <f t="shared" si="9"/>
        <v>3.6039583679119191E-2</v>
      </c>
      <c r="I186" s="36">
        <f>(Table143454[[#This Row],[Core CPI]]-F174)/F174</f>
        <v>2.2688914695687533E-2</v>
      </c>
    </row>
    <row r="187" spans="1:9" x14ac:dyDescent="0.2">
      <c r="A187" s="34">
        <f>IF(Data!B215="",#N/A,Data!B215)</f>
        <v>24351</v>
      </c>
      <c r="B187" s="35">
        <f>VLOOKUP(A187,Data!B:AY,MATCH($B$2,Data!$C$1:$AY$1,0),FALSE)</f>
        <v>5.0201460000000004</v>
      </c>
      <c r="C187" s="36">
        <f t="shared" si="10"/>
        <v>6.6616116555495708E-4</v>
      </c>
      <c r="D187" s="36">
        <f t="shared" si="7"/>
        <v>8.023287987362071E-3</v>
      </c>
      <c r="E187" s="36">
        <f>(Table143454[[#This Row],[JPN]]-B175)/B175</f>
        <v>1.6926059673997729E-2</v>
      </c>
      <c r="F187" s="35">
        <f>VLOOKUP(Table143454[[#This Row],[Date]],'Data Core CPI'!$B:$AY,MATCH($B$2,'Data Core CPI'!$C$1:$AY$1,0),FALSE)</f>
        <v>4.8562010000000004</v>
      </c>
      <c r="G187" s="36">
        <f t="shared" si="8"/>
        <v>1.5290422120008973E-3</v>
      </c>
      <c r="H187" s="36">
        <f t="shared" si="9"/>
        <v>1.850360175013388E-2</v>
      </c>
      <c r="I187" s="36">
        <f>(Table143454[[#This Row],[Core CPI]]-F175)/F175</f>
        <v>2.1225297664548576E-2</v>
      </c>
    </row>
    <row r="188" spans="1:9" x14ac:dyDescent="0.2">
      <c r="A188" s="34">
        <f>IF(Data!B216="",#N/A,Data!B216)</f>
        <v>24381</v>
      </c>
      <c r="B188" s="35">
        <f>VLOOKUP(A188,Data!B:AY,MATCH($B$2,Data!$C$1:$AY$1,0),FALSE)</f>
        <v>5.0268309999999996</v>
      </c>
      <c r="C188" s="36">
        <f t="shared" si="10"/>
        <v>1.3316345779583738E-3</v>
      </c>
      <c r="D188" s="36">
        <f t="shared" ref="D188:D251" si="11">((1+C188)^12)-1</f>
        <v>1.6097170528970528E-2</v>
      </c>
      <c r="E188" s="36">
        <f>(Table143454[[#This Row],[JPN]]-B176)/B176</f>
        <v>1.8280233578286533E-2</v>
      </c>
      <c r="F188" s="35">
        <f>VLOOKUP(Table143454[[#This Row],[Date]],'Data Core CPI'!$B:$AY,MATCH($B$2,'Data Core CPI'!$C$1:$AY$1,0),FALSE)</f>
        <v>4.8695560000000002</v>
      </c>
      <c r="G188" s="36">
        <f t="shared" si="8"/>
        <v>2.7500920987413302E-3</v>
      </c>
      <c r="H188" s="36">
        <f t="shared" si="9"/>
        <v>3.350486782802431E-2</v>
      </c>
      <c r="I188" s="36">
        <f>(Table143454[[#This Row],[Core CPI]]-F176)/F176</f>
        <v>2.3519124947978771E-2</v>
      </c>
    </row>
    <row r="189" spans="1:9" x14ac:dyDescent="0.2">
      <c r="A189" s="34">
        <f>IF(Data!B217="",#N/A,Data!B217)</f>
        <v>24412</v>
      </c>
      <c r="B189" s="35">
        <f>VLOOKUP(A189,Data!B:AY,MATCH($B$2,Data!$C$1:$AY$1,0),FALSE)</f>
        <v>5.0569119999999996</v>
      </c>
      <c r="C189" s="36">
        <f t="shared" si="10"/>
        <v>5.9840881859765105E-3</v>
      </c>
      <c r="D189" s="36">
        <f t="shared" si="11"/>
        <v>7.4220256584170974E-2</v>
      </c>
      <c r="E189" s="36">
        <f>(Table143454[[#This Row],[JPN]]-B177)/B177</f>
        <v>2.0917771990390254E-2</v>
      </c>
      <c r="F189" s="35">
        <f>VLOOKUP(Table143454[[#This Row],[Date]],'Data Core CPI'!$B:$AY,MATCH($B$2,'Data Core CPI'!$C$1:$AY$1,0),FALSE)</f>
        <v>4.8948280000000004</v>
      </c>
      <c r="G189" s="36">
        <f t="shared" si="8"/>
        <v>5.1897955378272798E-3</v>
      </c>
      <c r="H189" s="36">
        <f t="shared" si="9"/>
        <v>6.408630308027341E-2</v>
      </c>
      <c r="I189" s="36">
        <f>(Table143454[[#This Row],[Core CPI]]-F177)/F177</f>
        <v>2.4866286367543237E-2</v>
      </c>
    </row>
    <row r="190" spans="1:9" x14ac:dyDescent="0.2">
      <c r="A190" s="34">
        <f>IF(Data!B218="",#N/A,Data!B218)</f>
        <v>24442</v>
      </c>
      <c r="B190" s="35">
        <f>VLOOKUP(A190,Data!B:AY,MATCH($B$2,Data!$C$1:$AY$1,0),FALSE)</f>
        <v>5.0936769999999996</v>
      </c>
      <c r="C190" s="36">
        <f t="shared" si="10"/>
        <v>7.2702471389654022E-3</v>
      </c>
      <c r="D190" s="36">
        <f t="shared" si="11"/>
        <v>9.0817434945092756E-2</v>
      </c>
      <c r="E190" s="36">
        <f>(Table143454[[#This Row],[JPN]]-B178)/B178</f>
        <v>2.3505755625820829E-2</v>
      </c>
      <c r="F190" s="35">
        <f>VLOOKUP(Table143454[[#This Row],[Date]],'Data Core CPI'!$B:$AY,MATCH($B$2,'Data Core CPI'!$C$1:$AY$1,0),FALSE)</f>
        <v>4.9370479999999999</v>
      </c>
      <c r="G190" s="36">
        <f t="shared" si="8"/>
        <v>8.6254307607946945E-3</v>
      </c>
      <c r="H190" s="36">
        <f t="shared" si="9"/>
        <v>0.10855939622964184</v>
      </c>
      <c r="I190" s="36">
        <f>(Table143454[[#This Row],[Core CPI]]-F178)/F178</f>
        <v>2.9901481295589723E-2</v>
      </c>
    </row>
    <row r="191" spans="1:9" x14ac:dyDescent="0.2">
      <c r="A191" s="34">
        <f>IF(Data!B219="",#N/A,Data!B219)</f>
        <v>24473</v>
      </c>
      <c r="B191" s="35">
        <f>VLOOKUP(A191,Data!B:AY,MATCH($B$2,Data!$C$1:$AY$1,0),FALSE)</f>
        <v>5.1425099999999997</v>
      </c>
      <c r="C191" s="36">
        <f t="shared" si="10"/>
        <v>9.5869840195992317E-3</v>
      </c>
      <c r="D191" s="36">
        <f t="shared" si="11"/>
        <v>0.12130798322934155</v>
      </c>
      <c r="E191" s="36">
        <f>(Table143454[[#This Row],[JPN]]-B179)/B179</f>
        <v>3.054949573813253E-2</v>
      </c>
      <c r="F191" s="35">
        <f>VLOOKUP(Table143454[[#This Row],[Date]],'Data Core CPI'!$B:$AY,MATCH($B$2,'Data Core CPI'!$C$1:$AY$1,0),FALSE)</f>
        <v>5.0005689999999996</v>
      </c>
      <c r="G191" s="36">
        <f t="shared" si="8"/>
        <v>1.2866190484678297E-2</v>
      </c>
      <c r="H191" s="36">
        <f t="shared" si="9"/>
        <v>0.16580226641889717</v>
      </c>
      <c r="I191" s="36">
        <f>(Table143454[[#This Row],[Core CPI]]-F179)/F179</f>
        <v>4.0391084280397511E-2</v>
      </c>
    </row>
    <row r="192" spans="1:9" x14ac:dyDescent="0.2">
      <c r="A192" s="34">
        <f>IF(Data!B220="",#N/A,Data!B220)</f>
        <v>24504</v>
      </c>
      <c r="B192" s="35">
        <f>VLOOKUP(A192,Data!B:AY,MATCH($B$2,Data!$C$1:$AY$1,0),FALSE)</f>
        <v>5.1575610000000003</v>
      </c>
      <c r="C192" s="36">
        <f t="shared" si="10"/>
        <v>2.92678089104359E-3</v>
      </c>
      <c r="D192" s="36">
        <f t="shared" si="11"/>
        <v>3.5692281853230812E-2</v>
      </c>
      <c r="E192" s="36">
        <f>(Table143454[[#This Row],[JPN]]-B180)/B180</f>
        <v>3.3565688309533506E-2</v>
      </c>
      <c r="F192" s="35">
        <f>VLOOKUP(Table143454[[#This Row],[Date]],'Data Core CPI'!$B:$AY,MATCH($B$2,'Data Core CPI'!$C$1:$AY$1,0),FALSE)</f>
        <v>5.0234059999999996</v>
      </c>
      <c r="G192" s="36">
        <f t="shared" si="8"/>
        <v>4.5668802890230786E-3</v>
      </c>
      <c r="H192" s="36">
        <f t="shared" si="9"/>
        <v>5.6200257183216529E-2</v>
      </c>
      <c r="I192" s="36">
        <f>(Table143454[[#This Row],[Core CPI]]-F180)/F180</f>
        <v>4.4420349893081787E-2</v>
      </c>
    </row>
    <row r="193" spans="1:9" x14ac:dyDescent="0.2">
      <c r="A193" s="34">
        <f>IF(Data!B221="",#N/A,Data!B221)</f>
        <v>24532</v>
      </c>
      <c r="B193" s="35">
        <f>VLOOKUP(A193,Data!B:AY,MATCH($B$2,Data!$C$1:$AY$1,0),FALSE)</f>
        <v>5.1675950000000004</v>
      </c>
      <c r="C193" s="36">
        <f t="shared" si="10"/>
        <v>1.9454932282914061E-3</v>
      </c>
      <c r="D193" s="36">
        <f t="shared" si="11"/>
        <v>2.3597352138580607E-2</v>
      </c>
      <c r="E193" s="36">
        <f>(Table143454[[#This Row],[JPN]]-B181)/B181</f>
        <v>3.6270713251969441E-2</v>
      </c>
      <c r="F193" s="35">
        <f>VLOOKUP(Table143454[[#This Row],[Date]],'Data Core CPI'!$B:$AY,MATCH($B$2,'Data Core CPI'!$C$1:$AY$1,0),FALSE)</f>
        <v>5.0350820000000001</v>
      </c>
      <c r="G193" s="36">
        <f t="shared" si="8"/>
        <v>2.3243193960433839E-3</v>
      </c>
      <c r="H193" s="36">
        <f t="shared" si="9"/>
        <v>2.8251172206670283E-2</v>
      </c>
      <c r="I193" s="36">
        <f>(Table143454[[#This Row],[Core CPI]]-F181)/F181</f>
        <v>4.7128108162516551E-2</v>
      </c>
    </row>
    <row r="194" spans="1:9" x14ac:dyDescent="0.2">
      <c r="A194" s="34">
        <f>IF(Data!B222="",#N/A,Data!B222)</f>
        <v>24563</v>
      </c>
      <c r="B194" s="35">
        <f>VLOOKUP(A194,Data!B:AY,MATCH($B$2,Data!$C$1:$AY$1,0),FALSE)</f>
        <v>5.172612</v>
      </c>
      <c r="C194" s="36">
        <f t="shared" si="10"/>
        <v>9.7085781683725614E-4</v>
      </c>
      <c r="D194" s="36">
        <f t="shared" si="11"/>
        <v>1.171270484716791E-2</v>
      </c>
      <c r="E194" s="36">
        <f>(Table143454[[#This Row],[JPN]]-B182)/B182</f>
        <v>3.4503158241256777E-2</v>
      </c>
      <c r="F194" s="35">
        <f>VLOOKUP(Table143454[[#This Row],[Date]],'Data Core CPI'!$B:$AY,MATCH($B$2,'Data Core CPI'!$C$1:$AY$1,0),FALSE)</f>
        <v>5.0413649999999999</v>
      </c>
      <c r="G194" s="36">
        <f t="shared" si="8"/>
        <v>1.2478446229873263E-3</v>
      </c>
      <c r="H194" s="36">
        <f t="shared" si="9"/>
        <v>1.5077333816433391E-2</v>
      </c>
      <c r="I194" s="36">
        <f>(Table143454[[#This Row],[Core CPI]]-F182)/F182</f>
        <v>4.5379151120689215E-2</v>
      </c>
    </row>
    <row r="195" spans="1:9" x14ac:dyDescent="0.2">
      <c r="A195" s="34">
        <f>IF(Data!B223="",#N/A,Data!B223)</f>
        <v>24593</v>
      </c>
      <c r="B195" s="35">
        <f>VLOOKUP(A195,Data!B:AY,MATCH($B$2,Data!$C$1:$AY$1,0),FALSE)</f>
        <v>5.1876639999999998</v>
      </c>
      <c r="C195" s="36">
        <f t="shared" si="10"/>
        <v>2.9099418243625497E-3</v>
      </c>
      <c r="D195" s="36">
        <f t="shared" si="11"/>
        <v>3.5483630757425111E-2</v>
      </c>
      <c r="E195" s="36">
        <f>(Table143454[[#This Row],[JPN]]-B183)/B183</f>
        <v>3.6128431523912541E-2</v>
      </c>
      <c r="F195" s="35">
        <f>VLOOKUP(Table143454[[#This Row],[Date]],'Data Core CPI'!$B:$AY,MATCH($B$2,'Data Core CPI'!$C$1:$AY$1,0),FALSE)</f>
        <v>5.055326</v>
      </c>
      <c r="G195" s="36">
        <f t="shared" ref="G195:G258" si="12">(F195/F194)-1</f>
        <v>2.7692896665882927E-3</v>
      </c>
      <c r="H195" s="36">
        <f t="shared" ref="H195:H258" si="13">((1+G195)^12)-1</f>
        <v>3.3742329216886136E-2</v>
      </c>
      <c r="I195" s="36">
        <f>(Table143454[[#This Row],[Core CPI]]-F183)/F183</f>
        <v>4.6907111882405976E-2</v>
      </c>
    </row>
    <row r="196" spans="1:9" x14ac:dyDescent="0.2">
      <c r="A196" s="34">
        <f>IF(Data!B224="",#N/A,Data!B224)</f>
        <v>24624</v>
      </c>
      <c r="B196" s="35">
        <f>VLOOKUP(A196,Data!B:AY,MATCH($B$2,Data!$C$1:$AY$1,0),FALSE)</f>
        <v>5.2027150000000004</v>
      </c>
      <c r="C196" s="36">
        <f t="shared" si="10"/>
        <v>2.9013058671496506E-3</v>
      </c>
      <c r="D196" s="36">
        <f t="shared" si="11"/>
        <v>3.5376638472779165E-2</v>
      </c>
      <c r="E196" s="36">
        <f>(Table143454[[#This Row],[JPN]]-B184)/B184</f>
        <v>3.9134557021413344E-2</v>
      </c>
      <c r="F196" s="35">
        <f>VLOOKUP(Table143454[[#This Row],[Date]],'Data Core CPI'!$B:$AY,MATCH($B$2,'Data Core CPI'!$C$1:$AY$1,0),FALSE)</f>
        <v>5.0675119999999998</v>
      </c>
      <c r="G196" s="36">
        <f t="shared" si="12"/>
        <v>2.4105270362386744E-3</v>
      </c>
      <c r="H196" s="36">
        <f t="shared" si="13"/>
        <v>2.9312924966934162E-2</v>
      </c>
      <c r="I196" s="36">
        <f>(Table143454[[#This Row],[Core CPI]]-F184)/F184</f>
        <v>4.8967356958347502E-2</v>
      </c>
    </row>
    <row r="197" spans="1:9" x14ac:dyDescent="0.2">
      <c r="A197" s="34">
        <f>IF(Data!B225="",#N/A,Data!B225)</f>
        <v>24654</v>
      </c>
      <c r="B197" s="35">
        <f>VLOOKUP(A197,Data!B:AY,MATCH($B$2,Data!$C$1:$AY$1,0),FALSE)</f>
        <v>5.2127489999999996</v>
      </c>
      <c r="C197" s="36">
        <f t="shared" ref="C197:C260" si="14">(B197/B196)-1</f>
        <v>1.9286084284837468E-3</v>
      </c>
      <c r="D197" s="36">
        <f t="shared" si="11"/>
        <v>2.3390375196231661E-2</v>
      </c>
      <c r="E197" s="36">
        <f>(Table143454[[#This Row],[JPN]]-B185)/B185</f>
        <v>4.0444149130988545E-2</v>
      </c>
      <c r="F197" s="35">
        <f>VLOOKUP(Table143454[[#This Row],[Date]],'Data Core CPI'!$B:$AY,MATCH($B$2,'Data Core CPI'!$C$1:$AY$1,0),FALSE)</f>
        <v>5.0734170000000001</v>
      </c>
      <c r="G197" s="36">
        <f t="shared" si="12"/>
        <v>1.16526611086476E-3</v>
      </c>
      <c r="H197" s="36">
        <f t="shared" si="13"/>
        <v>1.4073160117133332E-2</v>
      </c>
      <c r="I197" s="36">
        <f>(Table143454[[#This Row],[Core CPI]]-F185)/F185</f>
        <v>4.9418740544527738E-2</v>
      </c>
    </row>
    <row r="198" spans="1:9" x14ac:dyDescent="0.2">
      <c r="A198" s="34">
        <f>IF(Data!B226="",#N/A,Data!B226)</f>
        <v>24685</v>
      </c>
      <c r="B198" s="35">
        <f>VLOOKUP(A198,Data!B:AY,MATCH($B$2,Data!$C$1:$AY$1,0),FALSE)</f>
        <v>5.2227829999999997</v>
      </c>
      <c r="C198" s="36">
        <f t="shared" si="14"/>
        <v>1.9248960577231689E-3</v>
      </c>
      <c r="D198" s="36">
        <f t="shared" si="11"/>
        <v>2.3344873426325297E-2</v>
      </c>
      <c r="E198" s="36">
        <f>(Table143454[[#This Row],[JPN]]-B186)/B186</f>
        <v>4.1057812902397649E-2</v>
      </c>
      <c r="F198" s="35">
        <f>VLOOKUP(Table143454[[#This Row],[Date]],'Data Core CPI'!$B:$AY,MATCH($B$2,'Data Core CPI'!$C$1:$AY$1,0),FALSE)</f>
        <v>5.0793160000000004</v>
      </c>
      <c r="G198" s="36">
        <f t="shared" si="12"/>
        <v>1.1627272112662013E-3</v>
      </c>
      <c r="H198" s="36">
        <f t="shared" si="13"/>
        <v>1.4042300947924913E-2</v>
      </c>
      <c r="I198" s="36">
        <f>(Table143454[[#This Row],[Core CPI]]-F186)/F186</f>
        <v>4.7543643389573655E-2</v>
      </c>
    </row>
    <row r="199" spans="1:9" x14ac:dyDescent="0.2">
      <c r="A199" s="34">
        <f>IF(Data!B227="",#N/A,Data!B227)</f>
        <v>24716</v>
      </c>
      <c r="B199" s="35">
        <f>VLOOKUP(A199,Data!B:AY,MATCH($B$2,Data!$C$1:$AY$1,0),FALSE)</f>
        <v>5.2478689999999997</v>
      </c>
      <c r="C199" s="36">
        <f t="shared" si="14"/>
        <v>4.8031863472022263E-3</v>
      </c>
      <c r="D199" s="36">
        <f t="shared" si="11"/>
        <v>5.9185539932296694E-2</v>
      </c>
      <c r="E199" s="36">
        <f>(Table143454[[#This Row],[JPN]]-B187)/B187</f>
        <v>4.5361828122130153E-2</v>
      </c>
      <c r="F199" s="35">
        <f>VLOOKUP(Table143454[[#This Row],[Date]],'Data Core CPI'!$B:$AY,MATCH($B$2,'Data Core CPI'!$C$1:$AY$1,0),FALSE)</f>
        <v>5.1080519999999998</v>
      </c>
      <c r="G199" s="36">
        <f t="shared" si="12"/>
        <v>5.657454665155548E-3</v>
      </c>
      <c r="H199" s="36">
        <f t="shared" si="13"/>
        <v>7.0042252990802245E-2</v>
      </c>
      <c r="I199" s="36">
        <f>(Table143454[[#This Row],[Core CPI]]-F187)/F187</f>
        <v>5.1861733070768565E-2</v>
      </c>
    </row>
    <row r="200" spans="1:9" x14ac:dyDescent="0.2">
      <c r="A200" s="34">
        <f>IF(Data!B228="",#N/A,Data!B228)</f>
        <v>24746</v>
      </c>
      <c r="B200" s="35">
        <f>VLOOKUP(A200,Data!B:AY,MATCH($B$2,Data!$C$1:$AY$1,0),FALSE)</f>
        <v>5.2428509999999999</v>
      </c>
      <c r="C200" s="36">
        <f t="shared" si="14"/>
        <v>-9.5619764898857706E-4</v>
      </c>
      <c r="D200" s="36">
        <f t="shared" si="11"/>
        <v>-1.1414218992656378E-2</v>
      </c>
      <c r="E200" s="36">
        <f>(Table143454[[#This Row],[JPN]]-B188)/B188</f>
        <v>4.2973396161518129E-2</v>
      </c>
      <c r="F200" s="35">
        <f>VLOOKUP(Table143454[[#This Row],[Date]],'Data Core CPI'!$B:$AY,MATCH($B$2,'Data Core CPI'!$C$1:$AY$1,0),FALSE)</f>
        <v>5.1079850000000002</v>
      </c>
      <c r="G200" s="36">
        <f t="shared" si="12"/>
        <v>-1.3116546190183875E-5</v>
      </c>
      <c r="H200" s="36">
        <f t="shared" si="13"/>
        <v>-1.5738719988867E-4</v>
      </c>
      <c r="I200" s="36">
        <f>(Table143454[[#This Row],[Core CPI]]-F188)/F188</f>
        <v>4.8963190894611333E-2</v>
      </c>
    </row>
    <row r="201" spans="1:9" x14ac:dyDescent="0.2">
      <c r="A201" s="34">
        <f>IF(Data!B229="",#N/A,Data!B229)</f>
        <v>24777</v>
      </c>
      <c r="B201" s="35">
        <f>VLOOKUP(A201,Data!B:AY,MATCH($B$2,Data!$C$1:$AY$1,0),FALSE)</f>
        <v>5.2478689999999997</v>
      </c>
      <c r="C201" s="36">
        <f t="shared" si="14"/>
        <v>9.5711283803412428E-4</v>
      </c>
      <c r="D201" s="36">
        <f t="shared" si="11"/>
        <v>1.1546007652492918E-2</v>
      </c>
      <c r="E201" s="36">
        <f>(Table143454[[#This Row],[JPN]]-B189)/B189</f>
        <v>3.7761582562639028E-2</v>
      </c>
      <c r="F201" s="35">
        <f>VLOOKUP(Table143454[[#This Row],[Date]],'Data Core CPI'!$B:$AY,MATCH($B$2,'Data Core CPI'!$C$1:$AY$1,0),FALSE)</f>
        <v>5.1178140000000001</v>
      </c>
      <c r="G201" s="36">
        <f t="shared" si="12"/>
        <v>1.9242421424494616E-3</v>
      </c>
      <c r="H201" s="36">
        <f t="shared" si="13"/>
        <v>2.3336858712525776E-2</v>
      </c>
      <c r="I201" s="36">
        <f>(Table143454[[#This Row],[Core CPI]]-F189)/F189</f>
        <v>4.5555431161217443E-2</v>
      </c>
    </row>
    <row r="202" spans="1:9" x14ac:dyDescent="0.2">
      <c r="A202" s="34">
        <f>IF(Data!B230="",#N/A,Data!B230)</f>
        <v>24807</v>
      </c>
      <c r="B202" s="35">
        <f>VLOOKUP(A202,Data!B:AY,MATCH($B$2,Data!$C$1:$AY$1,0),FALSE)</f>
        <v>5.2478689999999997</v>
      </c>
      <c r="C202" s="36">
        <f t="shared" si="14"/>
        <v>0</v>
      </c>
      <c r="D202" s="36">
        <f t="shared" si="11"/>
        <v>0</v>
      </c>
      <c r="E202" s="36">
        <f>(Table143454[[#This Row],[JPN]]-B190)/B190</f>
        <v>3.0271255911986591E-2</v>
      </c>
      <c r="F202" s="35">
        <f>VLOOKUP(Table143454[[#This Row],[Date]],'Data Core CPI'!$B:$AY,MATCH($B$2,'Data Core CPI'!$C$1:$AY$1,0),FALSE)</f>
        <v>5.1200349999999997</v>
      </c>
      <c r="G202" s="36">
        <f t="shared" si="12"/>
        <v>4.339743492045578E-4</v>
      </c>
      <c r="H202" s="36">
        <f t="shared" si="13"/>
        <v>5.2201402156273335E-3</v>
      </c>
      <c r="I202" s="36">
        <f>(Table143454[[#This Row],[Core CPI]]-F190)/F190</f>
        <v>3.7064051230613883E-2</v>
      </c>
    </row>
    <row r="203" spans="1:9" x14ac:dyDescent="0.2">
      <c r="A203" s="34">
        <f>IF(Data!B231="",#N/A,Data!B231)</f>
        <v>24838</v>
      </c>
      <c r="B203" s="35">
        <f>VLOOKUP(A203,Data!B:AY,MATCH($B$2,Data!$C$1:$AY$1,0),FALSE)</f>
        <v>5.2579029999999998</v>
      </c>
      <c r="C203" s="36">
        <f t="shared" si="14"/>
        <v>1.912014190903033E-3</v>
      </c>
      <c r="D203" s="36">
        <f t="shared" si="11"/>
        <v>2.3186997398691789E-2</v>
      </c>
      <c r="E203" s="36">
        <f>(Table143454[[#This Row],[JPN]]-B191)/B191</f>
        <v>2.2439042413140681E-2</v>
      </c>
      <c r="F203" s="35">
        <f>VLOOKUP(Table143454[[#This Row],[Date]],'Data Core CPI'!$B:$AY,MATCH($B$2,'Data Core CPI'!$C$1:$AY$1,0),FALSE)</f>
        <v>5.1317079999999997</v>
      </c>
      <c r="G203" s="36">
        <f t="shared" si="12"/>
        <v>2.2798672274702003E-3</v>
      </c>
      <c r="H203" s="36">
        <f t="shared" si="13"/>
        <v>2.7704081655879342E-2</v>
      </c>
      <c r="I203" s="36">
        <f>(Table143454[[#This Row],[Core CPI]]-F191)/F191</f>
        <v>2.6224815615982926E-2</v>
      </c>
    </row>
    <row r="204" spans="1:9" x14ac:dyDescent="0.2">
      <c r="A204" s="34">
        <f>IF(Data!B232="",#N/A,Data!B232)</f>
        <v>24869</v>
      </c>
      <c r="B204" s="35">
        <f>VLOOKUP(A204,Data!B:AY,MATCH($B$2,Data!$C$1:$AY$1,0),FALSE)</f>
        <v>5.2579029999999998</v>
      </c>
      <c r="C204" s="36">
        <f t="shared" si="14"/>
        <v>0</v>
      </c>
      <c r="D204" s="36">
        <f t="shared" si="11"/>
        <v>0</v>
      </c>
      <c r="E204" s="36">
        <f>(Table143454[[#This Row],[JPN]]-B192)/B192</f>
        <v>1.9455320063107247E-2</v>
      </c>
      <c r="F204" s="35">
        <f>VLOOKUP(Table143454[[#This Row],[Date]],'Data Core CPI'!$B:$AY,MATCH($B$2,'Data Core CPI'!$C$1:$AY$1,0),FALSE)</f>
        <v>5.1339259999999998</v>
      </c>
      <c r="G204" s="36">
        <f t="shared" si="12"/>
        <v>4.3221477137822539E-4</v>
      </c>
      <c r="H204" s="36">
        <f t="shared" si="13"/>
        <v>5.1989244712047356E-3</v>
      </c>
      <c r="I204" s="36">
        <f>(Table143454[[#This Row],[Core CPI]]-F192)/F192</f>
        <v>2.2001008877243884E-2</v>
      </c>
    </row>
    <row r="205" spans="1:9" x14ac:dyDescent="0.2">
      <c r="A205" s="34">
        <f>IF(Data!B233="",#N/A,Data!B233)</f>
        <v>24898</v>
      </c>
      <c r="B205" s="35">
        <f>VLOOKUP(A205,Data!B:AY,MATCH($B$2,Data!$C$1:$AY$1,0),FALSE)</f>
        <v>5.2629200000000003</v>
      </c>
      <c r="C205" s="36">
        <f t="shared" si="14"/>
        <v>9.5418268461799904E-4</v>
      </c>
      <c r="D205" s="36">
        <f t="shared" si="11"/>
        <v>1.1510474414584415E-2</v>
      </c>
      <c r="E205" s="36">
        <f>(Table143454[[#This Row],[JPN]]-B193)/B193</f>
        <v>1.8446685547145215E-2</v>
      </c>
      <c r="F205" s="35">
        <f>VLOOKUP(Table143454[[#This Row],[Date]],'Data Core CPI'!$B:$AY,MATCH($B$2,'Data Core CPI'!$C$1:$AY$1,0),FALSE)</f>
        <v>5.1402060000000001</v>
      </c>
      <c r="G205" s="36">
        <f t="shared" si="12"/>
        <v>1.2232353952901232E-3</v>
      </c>
      <c r="H205" s="36">
        <f t="shared" si="13"/>
        <v>1.4777984646120901E-2</v>
      </c>
      <c r="I205" s="36">
        <f>(Table143454[[#This Row],[Core CPI]]-F193)/F193</f>
        <v>2.0878309429717329E-2</v>
      </c>
    </row>
    <row r="206" spans="1:9" x14ac:dyDescent="0.2">
      <c r="A206" s="34">
        <f>IF(Data!B234="",#N/A,Data!B234)</f>
        <v>24929</v>
      </c>
      <c r="B206" s="35">
        <f>VLOOKUP(A206,Data!B:AY,MATCH($B$2,Data!$C$1:$AY$1,0),FALSE)</f>
        <v>5.2729540000000004</v>
      </c>
      <c r="C206" s="36">
        <f t="shared" si="14"/>
        <v>1.9065461758871471E-3</v>
      </c>
      <c r="D206" s="36">
        <f t="shared" si="11"/>
        <v>2.3119989910782568E-2</v>
      </c>
      <c r="E206" s="36">
        <f>(Table143454[[#This Row],[JPN]]-B194)/B194</f>
        <v>1.9398709974767173E-2</v>
      </c>
      <c r="F206" s="35">
        <f>VLOOKUP(Table143454[[#This Row],[Date]],'Data Core CPI'!$B:$AY,MATCH($B$2,'Data Core CPI'!$C$1:$AY$1,0),FALSE)</f>
        <v>5.1527719999999997</v>
      </c>
      <c r="G206" s="36">
        <f t="shared" si="12"/>
        <v>2.4446491055027941E-3</v>
      </c>
      <c r="H206" s="36">
        <f t="shared" si="13"/>
        <v>2.9733457620767956E-2</v>
      </c>
      <c r="I206" s="36">
        <f>(Table143454[[#This Row],[Core CPI]]-F194)/F194</f>
        <v>2.2098578460397096E-2</v>
      </c>
    </row>
    <row r="207" spans="1:9" x14ac:dyDescent="0.2">
      <c r="A207" s="34">
        <f>IF(Data!B235="",#N/A,Data!B235)</f>
        <v>24959</v>
      </c>
      <c r="B207" s="35">
        <f>VLOOKUP(A207,Data!B:AY,MATCH($B$2,Data!$C$1:$AY$1,0),FALSE)</f>
        <v>5.277971</v>
      </c>
      <c r="C207" s="36">
        <f t="shared" si="14"/>
        <v>9.5145908725924322E-4</v>
      </c>
      <c r="D207" s="36">
        <f t="shared" si="11"/>
        <v>1.147744705638587E-2</v>
      </c>
      <c r="E207" s="36">
        <f>(Table143454[[#This Row],[JPN]]-B195)/B195</f>
        <v>1.7408027967886923E-2</v>
      </c>
      <c r="F207" s="35">
        <f>VLOOKUP(Table143454[[#This Row],[Date]],'Data Core CPI'!$B:$AY,MATCH($B$2,'Data Core CPI'!$C$1:$AY$1,0),FALSE)</f>
        <v>5.159503</v>
      </c>
      <c r="G207" s="36">
        <f t="shared" si="12"/>
        <v>1.3062871790174846E-3</v>
      </c>
      <c r="H207" s="36">
        <f t="shared" si="13"/>
        <v>1.578855946804314E-2</v>
      </c>
      <c r="I207" s="36">
        <f>(Table143454[[#This Row],[Core CPI]]-F195)/F195</f>
        <v>2.0607375271149666E-2</v>
      </c>
    </row>
    <row r="208" spans="1:9" x14ac:dyDescent="0.2">
      <c r="A208" s="34">
        <f>IF(Data!B236="",#N/A,Data!B236)</f>
        <v>24990</v>
      </c>
      <c r="B208" s="35">
        <f>VLOOKUP(A208,Data!B:AY,MATCH($B$2,Data!$C$1:$AY$1,0),FALSE)</f>
        <v>5.2729540000000004</v>
      </c>
      <c r="C208" s="36">
        <f t="shared" si="14"/>
        <v>-9.505546733772352E-4</v>
      </c>
      <c r="D208" s="36">
        <f t="shared" si="11"/>
        <v>-1.134721005375483E-2</v>
      </c>
      <c r="E208" s="36">
        <f>(Table143454[[#This Row],[JPN]]-B196)/B196</f>
        <v>1.3500451206725706E-2</v>
      </c>
      <c r="F208" s="35">
        <f>VLOOKUP(Table143454[[#This Row],[Date]],'Data Core CPI'!$B:$AY,MATCH($B$2,'Data Core CPI'!$C$1:$AY$1,0),FALSE)</f>
        <v>5.1545550000000002</v>
      </c>
      <c r="G208" s="36">
        <f t="shared" si="12"/>
        <v>-9.590070981642107E-4</v>
      </c>
      <c r="H208" s="36">
        <f t="shared" si="13"/>
        <v>-1.1447578953982407E-2</v>
      </c>
      <c r="I208" s="36">
        <f>(Table143454[[#This Row],[Core CPI]]-F196)/F196</f>
        <v>1.7176673681285892E-2</v>
      </c>
    </row>
    <row r="209" spans="1:9" x14ac:dyDescent="0.2">
      <c r="A209" s="34">
        <f>IF(Data!B237="",#N/A,Data!B237)</f>
        <v>25020</v>
      </c>
      <c r="B209" s="35">
        <f>VLOOKUP(A209,Data!B:AY,MATCH($B$2,Data!$C$1:$AY$1,0),FALSE)</f>
        <v>5.2629200000000003</v>
      </c>
      <c r="C209" s="36">
        <f t="shared" si="14"/>
        <v>-1.9029181745184864E-3</v>
      </c>
      <c r="D209" s="36">
        <f t="shared" si="11"/>
        <v>-2.2597535126646195E-2</v>
      </c>
      <c r="E209" s="36">
        <f>(Table143454[[#This Row],[JPN]]-B197)/B197</f>
        <v>9.6246721259743446E-3</v>
      </c>
      <c r="F209" s="35">
        <f>VLOOKUP(Table143454[[#This Row],[Date]],'Data Core CPI'!$B:$AY,MATCH($B$2,'Data Core CPI'!$C$1:$AY$1,0),FALSE)</f>
        <v>5.1486530000000004</v>
      </c>
      <c r="G209" s="36">
        <f t="shared" si="12"/>
        <v>-1.1450066979593609E-3</v>
      </c>
      <c r="H209" s="36">
        <f t="shared" si="13"/>
        <v>-1.3653881116910127E-2</v>
      </c>
      <c r="I209" s="36">
        <f>(Table143454[[#This Row],[Core CPI]]-F197)/F197</f>
        <v>1.4829453206783574E-2</v>
      </c>
    </row>
    <row r="210" spans="1:9" x14ac:dyDescent="0.2">
      <c r="A210" s="34">
        <f>IF(Data!B238="",#N/A,Data!B238)</f>
        <v>25051</v>
      </c>
      <c r="B210" s="35">
        <f>VLOOKUP(A210,Data!B:AY,MATCH($B$2,Data!$C$1:$AY$1,0),FALSE)</f>
        <v>5.2629200000000003</v>
      </c>
      <c r="C210" s="36">
        <f t="shared" si="14"/>
        <v>0</v>
      </c>
      <c r="D210" s="36">
        <f t="shared" si="11"/>
        <v>0</v>
      </c>
      <c r="E210" s="36">
        <f>(Table143454[[#This Row],[JPN]]-B198)/B198</f>
        <v>7.6849832742429723E-3</v>
      </c>
      <c r="F210" s="35">
        <f>VLOOKUP(Table143454[[#This Row],[Date]],'Data Core CPI'!$B:$AY,MATCH($B$2,'Data Core CPI'!$C$1:$AY$1,0),FALSE)</f>
        <v>5.1499839999999999</v>
      </c>
      <c r="G210" s="36">
        <f t="shared" si="12"/>
        <v>2.5851421721356793E-4</v>
      </c>
      <c r="H210" s="36">
        <f t="shared" si="13"/>
        <v>3.1065851632163799E-3</v>
      </c>
      <c r="I210" s="36">
        <f>(Table143454[[#This Row],[Core CPI]]-F198)/F198</f>
        <v>1.391289693336652E-2</v>
      </c>
    </row>
    <row r="211" spans="1:9" x14ac:dyDescent="0.2">
      <c r="A211" s="34">
        <f>IF(Data!B239="",#N/A,Data!B239)</f>
        <v>25082</v>
      </c>
      <c r="B211" s="35">
        <f>VLOOKUP(A211,Data!B:AY,MATCH($B$2,Data!$C$1:$AY$1,0),FALSE)</f>
        <v>5.2679369999999999</v>
      </c>
      <c r="C211" s="36">
        <f t="shared" si="14"/>
        <v>9.5327308794357357E-4</v>
      </c>
      <c r="D211" s="36">
        <f t="shared" si="11"/>
        <v>1.1499444195845809E-2</v>
      </c>
      <c r="E211" s="36">
        <f>(Table143454[[#This Row],[JPN]]-B199)/B199</f>
        <v>3.8240283818060622E-3</v>
      </c>
      <c r="F211" s="35">
        <f>VLOOKUP(Table143454[[#This Row],[Date]],'Data Core CPI'!$B:$AY,MATCH($B$2,'Data Core CPI'!$C$1:$AY$1,0),FALSE)</f>
        <v>5.1575920000000002</v>
      </c>
      <c r="G211" s="36">
        <f t="shared" si="12"/>
        <v>1.4772861430250028E-3</v>
      </c>
      <c r="H211" s="36">
        <f t="shared" si="13"/>
        <v>1.787218206454444E-2</v>
      </c>
      <c r="I211" s="36">
        <f>(Table143454[[#This Row],[Core CPI]]-F199)/F199</f>
        <v>9.6984134069113548E-3</v>
      </c>
    </row>
    <row r="212" spans="1:9" x14ac:dyDescent="0.2">
      <c r="A212" s="34">
        <f>IF(Data!B240="",#N/A,Data!B240)</f>
        <v>25112</v>
      </c>
      <c r="B212" s="35">
        <f>VLOOKUP(A212,Data!B:AY,MATCH($B$2,Data!$C$1:$AY$1,0),FALSE)</f>
        <v>5.2729540000000004</v>
      </c>
      <c r="C212" s="36">
        <f t="shared" si="14"/>
        <v>9.5236522380592881E-4</v>
      </c>
      <c r="D212" s="36">
        <f t="shared" si="11"/>
        <v>1.1488435096646876E-2</v>
      </c>
      <c r="E212" s="36">
        <f>(Table143454[[#This Row],[JPN]]-B200)/B200</f>
        <v>5.7417233486132709E-3</v>
      </c>
      <c r="F212" s="35">
        <f>VLOOKUP(Table143454[[#This Row],[Date]],'Data Core CPI'!$B:$AY,MATCH($B$2,'Data Core CPI'!$C$1:$AY$1,0),FALSE)</f>
        <v>5.1612090000000004</v>
      </c>
      <c r="G212" s="36">
        <f t="shared" si="12"/>
        <v>7.0129626383796939E-4</v>
      </c>
      <c r="H212" s="36">
        <f t="shared" si="13"/>
        <v>8.4480910515887242E-3</v>
      </c>
      <c r="I212" s="36">
        <f>(Table143454[[#This Row],[Core CPI]]-F200)/F200</f>
        <v>1.0419764349347181E-2</v>
      </c>
    </row>
    <row r="213" spans="1:9" x14ac:dyDescent="0.2">
      <c r="A213" s="34">
        <f>IF(Data!B241="",#N/A,Data!B241)</f>
        <v>25143</v>
      </c>
      <c r="B213" s="35">
        <f>VLOOKUP(A213,Data!B:AY,MATCH($B$2,Data!$C$1:$AY$1,0),FALSE)</f>
        <v>5.2829879999999996</v>
      </c>
      <c r="C213" s="36">
        <f t="shared" si="14"/>
        <v>1.9029181745182644E-3</v>
      </c>
      <c r="D213" s="36">
        <f t="shared" si="11"/>
        <v>2.3075532988371616E-2</v>
      </c>
      <c r="E213" s="36">
        <f>(Table143454[[#This Row],[JPN]]-B201)/B201</f>
        <v>6.6920496681605246E-3</v>
      </c>
      <c r="F213" s="35">
        <f>VLOOKUP(Table143454[[#This Row],[Date]],'Data Core CPI'!$B:$AY,MATCH($B$2,'Data Core CPI'!$C$1:$AY$1,0),FALSE)</f>
        <v>5.1675560000000003</v>
      </c>
      <c r="G213" s="36">
        <f t="shared" si="12"/>
        <v>1.2297506262581859E-3</v>
      </c>
      <c r="H213" s="36">
        <f t="shared" si="13"/>
        <v>1.4857228706970149E-2</v>
      </c>
      <c r="I213" s="36">
        <f>(Table143454[[#This Row],[Core CPI]]-F201)/F201</f>
        <v>9.719384096413073E-3</v>
      </c>
    </row>
    <row r="214" spans="1:9" x14ac:dyDescent="0.2">
      <c r="A214" s="34">
        <f>IF(Data!B242="",#N/A,Data!B242)</f>
        <v>25173</v>
      </c>
      <c r="B214" s="35">
        <f>VLOOKUP(A214,Data!B:AY,MATCH($B$2,Data!$C$1:$AY$1,0),FALSE)</f>
        <v>5.2980390000000002</v>
      </c>
      <c r="C214" s="36">
        <f t="shared" si="14"/>
        <v>2.8489559317568247E-3</v>
      </c>
      <c r="D214" s="36">
        <f t="shared" si="11"/>
        <v>3.4728283445951691E-2</v>
      </c>
      <c r="E214" s="36">
        <f>(Table143454[[#This Row],[JPN]]-B202)/B202</f>
        <v>9.5600709545151548E-3</v>
      </c>
      <c r="F214" s="35">
        <f>VLOOKUP(Table143454[[#This Row],[Date]],'Data Core CPI'!$B:$AY,MATCH($B$2,'Data Core CPI'!$C$1:$AY$1,0),FALSE)</f>
        <v>5.1779650000000004</v>
      </c>
      <c r="G214" s="36">
        <f t="shared" si="12"/>
        <v>2.0142984420488119E-3</v>
      </c>
      <c r="H214" s="36">
        <f t="shared" si="13"/>
        <v>2.4441175780336666E-2</v>
      </c>
      <c r="I214" s="36">
        <f>(Table143454[[#This Row],[Core CPI]]-F202)/F202</f>
        <v>1.1314375780634451E-2</v>
      </c>
    </row>
    <row r="215" spans="1:9" x14ac:dyDescent="0.2">
      <c r="A215" s="34">
        <f>IF(Data!B243="",#N/A,Data!B243)</f>
        <v>25204</v>
      </c>
      <c r="B215" s="35">
        <f>VLOOKUP(A215,Data!B:AY,MATCH($B$2,Data!$C$1:$AY$1,0),FALSE)</f>
        <v>5.313091</v>
      </c>
      <c r="C215" s="36">
        <f t="shared" si="14"/>
        <v>2.8410511889398471E-3</v>
      </c>
      <c r="D215" s="36">
        <f t="shared" si="11"/>
        <v>3.463041539112699E-2</v>
      </c>
      <c r="E215" s="36">
        <f>(Table143454[[#This Row],[JPN]]-B203)/B203</f>
        <v>1.0496199720687171E-2</v>
      </c>
      <c r="F215" s="35">
        <f>VLOOKUP(Table143454[[#This Row],[Date]],'Data Core CPI'!$B:$AY,MATCH($B$2,'Data Core CPI'!$C$1:$AY$1,0),FALSE)</f>
        <v>5.191478</v>
      </c>
      <c r="G215" s="36">
        <f t="shared" si="12"/>
        <v>2.6097125028847756E-3</v>
      </c>
      <c r="H215" s="36">
        <f t="shared" si="13"/>
        <v>3.1769982863320445E-2</v>
      </c>
      <c r="I215" s="36">
        <f>(Table143454[[#This Row],[Core CPI]]-F203)/F203</f>
        <v>1.1647194267483715E-2</v>
      </c>
    </row>
    <row r="216" spans="1:9" x14ac:dyDescent="0.2">
      <c r="A216" s="34">
        <f>IF(Data!B244="",#N/A,Data!B244)</f>
        <v>25235</v>
      </c>
      <c r="B216" s="35">
        <f>VLOOKUP(A216,Data!B:AY,MATCH($B$2,Data!$C$1:$AY$1,0),FALSE)</f>
        <v>5.3231250000000001</v>
      </c>
      <c r="C216" s="36">
        <f t="shared" si="14"/>
        <v>1.888542846339325E-3</v>
      </c>
      <c r="D216" s="36">
        <f t="shared" si="11"/>
        <v>2.2899397527739396E-2</v>
      </c>
      <c r="E216" s="36">
        <f>(Table143454[[#This Row],[JPN]]-B204)/B204</f>
        <v>1.2404565089922796E-2</v>
      </c>
      <c r="F216" s="35">
        <f>VLOOKUP(Table143454[[#This Row],[Date]],'Data Core CPI'!$B:$AY,MATCH($B$2,'Data Core CPI'!$C$1:$AY$1,0),FALSE)</f>
        <v>5.2031479999999997</v>
      </c>
      <c r="G216" s="36">
        <f t="shared" si="12"/>
        <v>2.247914755682201E-3</v>
      </c>
      <c r="H216" s="36">
        <f t="shared" si="13"/>
        <v>2.7310994699163871E-2</v>
      </c>
      <c r="I216" s="36">
        <f>(Table143454[[#This Row],[Core CPI]]-F204)/F204</f>
        <v>1.3483248492479226E-2</v>
      </c>
    </row>
    <row r="217" spans="1:9" x14ac:dyDescent="0.2">
      <c r="A217" s="34">
        <f>IF(Data!B245="",#N/A,Data!B245)</f>
        <v>25263</v>
      </c>
      <c r="B217" s="35">
        <f>VLOOKUP(A217,Data!B:AY,MATCH($B$2,Data!$C$1:$AY$1,0),FALSE)</f>
        <v>5.3431930000000003</v>
      </c>
      <c r="C217" s="36">
        <f t="shared" si="14"/>
        <v>3.7699659504519811E-3</v>
      </c>
      <c r="D217" s="36">
        <f t="shared" si="11"/>
        <v>4.618951431635554E-2</v>
      </c>
      <c r="E217" s="36">
        <f>(Table143454[[#This Row],[JPN]]-B205)/B205</f>
        <v>1.5252559415685596E-2</v>
      </c>
      <c r="F217" s="35">
        <f>VLOOKUP(Table143454[[#This Row],[Date]],'Data Core CPI'!$B:$AY,MATCH($B$2,'Data Core CPI'!$C$1:$AY$1,0),FALSE)</f>
        <v>5.2282710000000003</v>
      </c>
      <c r="G217" s="36">
        <f t="shared" si="12"/>
        <v>4.8284231007844625E-3</v>
      </c>
      <c r="H217" s="36">
        <f t="shared" si="13"/>
        <v>5.9504815559323632E-2</v>
      </c>
      <c r="I217" s="36">
        <f>(Table143454[[#This Row],[Core CPI]]-F205)/F205</f>
        <v>1.7132581845941637E-2</v>
      </c>
    </row>
    <row r="218" spans="1:9" x14ac:dyDescent="0.2">
      <c r="A218" s="34">
        <f>IF(Data!B246="",#N/A,Data!B246)</f>
        <v>25294</v>
      </c>
      <c r="B218" s="35">
        <f>VLOOKUP(A218,Data!B:AY,MATCH($B$2,Data!$C$1:$AY$1,0),FALSE)</f>
        <v>5.3632609999999996</v>
      </c>
      <c r="C218" s="36">
        <f t="shared" si="14"/>
        <v>3.7558066871250517E-3</v>
      </c>
      <c r="D218" s="36">
        <f t="shared" si="11"/>
        <v>4.6012436410683977E-2</v>
      </c>
      <c r="E218" s="36">
        <f>(Table143454[[#This Row],[JPN]]-B206)/B206</f>
        <v>1.7126453217683909E-2</v>
      </c>
      <c r="F218" s="35">
        <f>VLOOKUP(Table143454[[#This Row],[Date]],'Data Core CPI'!$B:$AY,MATCH($B$2,'Data Core CPI'!$C$1:$AY$1,0),FALSE)</f>
        <v>5.2445139999999997</v>
      </c>
      <c r="G218" s="36">
        <f t="shared" si="12"/>
        <v>3.106763211011776E-3</v>
      </c>
      <c r="H218" s="36">
        <f t="shared" si="13"/>
        <v>3.7924832411584397E-2</v>
      </c>
      <c r="I218" s="36">
        <f>(Table143454[[#This Row],[Core CPI]]-F206)/F206</f>
        <v>1.7804397322450906E-2</v>
      </c>
    </row>
    <row r="219" spans="1:9" x14ac:dyDescent="0.2">
      <c r="A219" s="34">
        <f>IF(Data!B247="",#N/A,Data!B247)</f>
        <v>25324</v>
      </c>
      <c r="B219" s="35">
        <f>VLOOKUP(A219,Data!B:AY,MATCH($B$2,Data!$C$1:$AY$1,0),FALSE)</f>
        <v>5.3783130000000003</v>
      </c>
      <c r="C219" s="36">
        <f t="shared" si="14"/>
        <v>2.8065014922824538E-3</v>
      </c>
      <c r="D219" s="36">
        <f t="shared" si="11"/>
        <v>3.4202757655606986E-2</v>
      </c>
      <c r="E219" s="36">
        <f>(Table143454[[#This Row],[JPN]]-B207)/B207</f>
        <v>1.9011472401042062E-2</v>
      </c>
      <c r="F219" s="35">
        <f>VLOOKUP(Table143454[[#This Row],[Date]],'Data Core CPI'!$B:$AY,MATCH($B$2,'Data Core CPI'!$C$1:$AY$1,0),FALSE)</f>
        <v>5.2522529999999996</v>
      </c>
      <c r="G219" s="36">
        <f t="shared" si="12"/>
        <v>1.4756372087099123E-3</v>
      </c>
      <c r="H219" s="36">
        <f t="shared" si="13"/>
        <v>1.7852071104144551E-2</v>
      </c>
      <c r="I219" s="36">
        <f>(Table143454[[#This Row],[Core CPI]]-F207)/F207</f>
        <v>1.7976537662639146E-2</v>
      </c>
    </row>
    <row r="220" spans="1:9" x14ac:dyDescent="0.2">
      <c r="A220" s="34">
        <f>IF(Data!B248="",#N/A,Data!B248)</f>
        <v>25355</v>
      </c>
      <c r="B220" s="35">
        <f>VLOOKUP(A220,Data!B:AY,MATCH($B$2,Data!$C$1:$AY$1,0),FALSE)</f>
        <v>5.3983809999999997</v>
      </c>
      <c r="C220" s="36">
        <f t="shared" si="14"/>
        <v>3.7312815375376562E-3</v>
      </c>
      <c r="D220" s="36">
        <f t="shared" si="11"/>
        <v>4.5705786157804518E-2</v>
      </c>
      <c r="E220" s="36">
        <f>(Table143454[[#This Row],[JPN]]-B208)/B208</f>
        <v>2.3786856475516243E-2</v>
      </c>
      <c r="F220" s="35">
        <f>VLOOKUP(Table143454[[#This Row],[Date]],'Data Core CPI'!$B:$AY,MATCH($B$2,'Data Core CPI'!$C$1:$AY$1,0),FALSE)</f>
        <v>5.2600559999999996</v>
      </c>
      <c r="G220" s="36">
        <f t="shared" si="12"/>
        <v>1.4856481589899939E-3</v>
      </c>
      <c r="H220" s="36">
        <f t="shared" si="13"/>
        <v>1.7974173645655123E-2</v>
      </c>
      <c r="I220" s="36">
        <f>(Table143454[[#This Row],[Core CPI]]-F208)/F208</f>
        <v>2.0467528234735955E-2</v>
      </c>
    </row>
    <row r="221" spans="1:9" x14ac:dyDescent="0.2">
      <c r="A221" s="34">
        <f>IF(Data!B249="",#N/A,Data!B249)</f>
        <v>25385</v>
      </c>
      <c r="B221" s="35">
        <f>VLOOKUP(A221,Data!B:AY,MATCH($B$2,Data!$C$1:$AY$1,0),FALSE)</f>
        <v>5.4284829999999999</v>
      </c>
      <c r="C221" s="36">
        <f t="shared" si="14"/>
        <v>5.576116246704288E-3</v>
      </c>
      <c r="D221" s="36">
        <f t="shared" si="11"/>
        <v>6.9004163880751479E-2</v>
      </c>
      <c r="E221" s="36">
        <f>(Table143454[[#This Row],[JPN]]-B209)/B209</f>
        <v>3.1458391919314689E-2</v>
      </c>
      <c r="F221" s="35">
        <f>VLOOKUP(Table143454[[#This Row],[Date]],'Data Core CPI'!$B:$AY,MATCH($B$2,'Data Core CPI'!$C$1:$AY$1,0),FALSE)</f>
        <v>5.2888570000000001</v>
      </c>
      <c r="G221" s="36">
        <f t="shared" si="12"/>
        <v>5.4754169917583528E-3</v>
      </c>
      <c r="H221" s="36">
        <f t="shared" si="13"/>
        <v>6.7720259247804115E-2</v>
      </c>
      <c r="I221" s="36">
        <f>(Table143454[[#This Row],[Core CPI]]-F209)/F209</f>
        <v>2.7231200082817732E-2</v>
      </c>
    </row>
    <row r="222" spans="1:9" x14ac:dyDescent="0.2">
      <c r="A222" s="34">
        <f>IF(Data!B250="",#N/A,Data!B250)</f>
        <v>25416</v>
      </c>
      <c r="B222" s="35">
        <f>VLOOKUP(A222,Data!B:AY,MATCH($B$2,Data!$C$1:$AY$1,0),FALSE)</f>
        <v>5.4435349999999998</v>
      </c>
      <c r="C222" s="36">
        <f t="shared" si="14"/>
        <v>2.7727820092648958E-3</v>
      </c>
      <c r="D222" s="36">
        <f t="shared" si="11"/>
        <v>3.3785532593495038E-2</v>
      </c>
      <c r="E222" s="36">
        <f>(Table143454[[#This Row],[JPN]]-B210)/B210</f>
        <v>3.4318401191733773E-2</v>
      </c>
      <c r="F222" s="35">
        <f>VLOOKUP(Table143454[[#This Row],[Date]],'Data Core CPI'!$B:$AY,MATCH($B$2,'Data Core CPI'!$C$1:$AY$1,0),FALSE)</f>
        <v>5.3041400000000003</v>
      </c>
      <c r="G222" s="36">
        <f t="shared" si="12"/>
        <v>2.8896602800945193E-3</v>
      </c>
      <c r="H222" s="36">
        <f t="shared" si="13"/>
        <v>3.5232375439013364E-2</v>
      </c>
      <c r="I222" s="36">
        <f>(Table143454[[#This Row],[Core CPI]]-F210)/F210</f>
        <v>2.9933296880145725E-2</v>
      </c>
    </row>
    <row r="223" spans="1:9" x14ac:dyDescent="0.2">
      <c r="A223" s="34">
        <f>IF(Data!B251="",#N/A,Data!B251)</f>
        <v>25447</v>
      </c>
      <c r="B223" s="35">
        <f>VLOOKUP(A223,Data!B:AY,MATCH($B$2,Data!$C$1:$AY$1,0),FALSE)</f>
        <v>5.4535689999999999</v>
      </c>
      <c r="C223" s="36">
        <f t="shared" si="14"/>
        <v>1.8432874960847556E-3</v>
      </c>
      <c r="D223" s="36">
        <f t="shared" si="11"/>
        <v>2.2345082314659148E-2</v>
      </c>
      <c r="E223" s="36">
        <f>(Table143454[[#This Row],[JPN]]-B211)/B211</f>
        <v>3.5238082763708073E-2</v>
      </c>
      <c r="F223" s="35">
        <f>VLOOKUP(Table143454[[#This Row],[Date]],'Data Core CPI'!$B:$AY,MATCH($B$2,'Data Core CPI'!$C$1:$AY$1,0),FALSE)</f>
        <v>5.3175829999999999</v>
      </c>
      <c r="G223" s="36">
        <f t="shared" si="12"/>
        <v>2.5344353655822882E-3</v>
      </c>
      <c r="H223" s="36">
        <f t="shared" si="13"/>
        <v>3.0840768338047386E-2</v>
      </c>
      <c r="I223" s="36">
        <f>(Table143454[[#This Row],[Core CPI]]-F211)/F211</f>
        <v>3.1020483977794243E-2</v>
      </c>
    </row>
    <row r="224" spans="1:9" x14ac:dyDescent="0.2">
      <c r="A224" s="34">
        <f>IF(Data!B252="",#N/A,Data!B252)</f>
        <v>25477</v>
      </c>
      <c r="B224" s="35">
        <f>VLOOKUP(A224,Data!B:AY,MATCH($B$2,Data!$C$1:$AY$1,0),FALSE)</f>
        <v>5.4686199999999996</v>
      </c>
      <c r="C224" s="36">
        <f t="shared" si="14"/>
        <v>2.7598440580838268E-3</v>
      </c>
      <c r="D224" s="36">
        <f t="shared" si="11"/>
        <v>3.3625486953102302E-2</v>
      </c>
      <c r="E224" s="36">
        <f>(Table143454[[#This Row],[JPN]]-B212)/B212</f>
        <v>3.7107473344163297E-2</v>
      </c>
      <c r="F224" s="35">
        <f>VLOOKUP(Table143454[[#This Row],[Date]],'Data Core CPI'!$B:$AY,MATCH($B$2,'Data Core CPI'!$C$1:$AY$1,0),FALSE)</f>
        <v>5.3350840000000002</v>
      </c>
      <c r="G224" s="36">
        <f t="shared" si="12"/>
        <v>3.2911569034277388E-3</v>
      </c>
      <c r="H224" s="36">
        <f t="shared" si="13"/>
        <v>4.0216677084166097E-2</v>
      </c>
      <c r="I224" s="36">
        <f>(Table143454[[#This Row],[Core CPI]]-F212)/F212</f>
        <v>3.3688812059344965E-2</v>
      </c>
    </row>
    <row r="225" spans="1:9" x14ac:dyDescent="0.2">
      <c r="A225" s="34">
        <f>IF(Data!B253="",#N/A,Data!B253)</f>
        <v>25508</v>
      </c>
      <c r="B225" s="35">
        <f>VLOOKUP(A225,Data!B:AY,MATCH($B$2,Data!$C$1:$AY$1,0),FALSE)</f>
        <v>5.498723</v>
      </c>
      <c r="C225" s="36">
        <f t="shared" si="14"/>
        <v>5.5046794255224629E-3</v>
      </c>
      <c r="D225" s="36">
        <f t="shared" si="11"/>
        <v>6.8093206346883095E-2</v>
      </c>
      <c r="E225" s="36">
        <f>(Table143454[[#This Row],[JPN]]-B213)/B213</f>
        <v>4.0835792169128624E-2</v>
      </c>
      <c r="F225" s="35">
        <f>VLOOKUP(Table143454[[#This Row],[Date]],'Data Core CPI'!$B:$AY,MATCH($B$2,'Data Core CPI'!$C$1:$AY$1,0),FALSE)</f>
        <v>5.3683240000000003</v>
      </c>
      <c r="G225" s="36">
        <f t="shared" si="12"/>
        <v>6.2304548531944004E-3</v>
      </c>
      <c r="H225" s="36">
        <f t="shared" si="13"/>
        <v>7.7381445714671315E-2</v>
      </c>
      <c r="I225" s="36">
        <f>(Table143454[[#This Row],[Core CPI]]-F213)/F213</f>
        <v>3.8851635086296125E-2</v>
      </c>
    </row>
    <row r="226" spans="1:9" x14ac:dyDescent="0.2">
      <c r="A226" s="34">
        <f>IF(Data!B254="",#N/A,Data!B254)</f>
        <v>25538</v>
      </c>
      <c r="B226" s="35">
        <f>VLOOKUP(A226,Data!B:AY,MATCH($B$2,Data!$C$1:$AY$1,0),FALSE)</f>
        <v>5.5187910000000002</v>
      </c>
      <c r="C226" s="36">
        <f t="shared" si="14"/>
        <v>3.649574637602182E-3</v>
      </c>
      <c r="D226" s="36">
        <f t="shared" si="11"/>
        <v>4.468475828243923E-2</v>
      </c>
      <c r="E226" s="36">
        <f>(Table143454[[#This Row],[JPN]]-B214)/B214</f>
        <v>4.1666737447572592E-2</v>
      </c>
      <c r="F226" s="35">
        <f>VLOOKUP(Table143454[[#This Row],[Date]],'Data Core CPI'!$B:$AY,MATCH($B$2,'Data Core CPI'!$C$1:$AY$1,0),FALSE)</f>
        <v>5.381011</v>
      </c>
      <c r="G226" s="36">
        <f t="shared" si="12"/>
        <v>2.3633074307733981E-3</v>
      </c>
      <c r="H226" s="36">
        <f t="shared" si="13"/>
        <v>2.873123323329585E-2</v>
      </c>
      <c r="I226" s="36">
        <f>(Table143454[[#This Row],[Core CPI]]-F214)/F214</f>
        <v>3.9213474791737604E-2</v>
      </c>
    </row>
    <row r="227" spans="1:9" x14ac:dyDescent="0.2">
      <c r="A227" s="34">
        <f>IF(Data!B255="",#N/A,Data!B255)</f>
        <v>25569</v>
      </c>
      <c r="B227" s="35">
        <f>VLOOKUP(A227,Data!B:AY,MATCH($B$2,Data!$C$1:$AY$1,0),FALSE)</f>
        <v>5.543876</v>
      </c>
      <c r="C227" s="36">
        <f t="shared" si="14"/>
        <v>4.5453795949148557E-3</v>
      </c>
      <c r="D227" s="36">
        <f t="shared" si="11"/>
        <v>5.5929019505835509E-2</v>
      </c>
      <c r="E227" s="36">
        <f>(Table143454[[#This Row],[JPN]]-B215)/B215</f>
        <v>4.3437050108872596E-2</v>
      </c>
      <c r="F227" s="35">
        <f>VLOOKUP(Table143454[[#This Row],[Date]],'Data Core CPI'!$B:$AY,MATCH($B$2,'Data Core CPI'!$C$1:$AY$1,0),FALSE)</f>
        <v>5.3999730000000001</v>
      </c>
      <c r="G227" s="36">
        <f t="shared" si="12"/>
        <v>3.5238731160371906E-3</v>
      </c>
      <c r="H227" s="36">
        <f t="shared" si="13"/>
        <v>4.3115747981359975E-2</v>
      </c>
      <c r="I227" s="36">
        <f>(Table143454[[#This Row],[Core CPI]]-F215)/F215</f>
        <v>4.0161010024505561E-2</v>
      </c>
    </row>
    <row r="228" spans="1:9" x14ac:dyDescent="0.2">
      <c r="A228" s="34">
        <f>IF(Data!B256="",#N/A,Data!B256)</f>
        <v>25600</v>
      </c>
      <c r="B228" s="35">
        <f>VLOOKUP(A228,Data!B:AY,MATCH($B$2,Data!$C$1:$AY$1,0),FALSE)</f>
        <v>5.5890300000000002</v>
      </c>
      <c r="C228" s="36">
        <f t="shared" si="14"/>
        <v>8.144843066475449E-3</v>
      </c>
      <c r="D228" s="36">
        <f t="shared" si="11"/>
        <v>0.10223753238745692</v>
      </c>
      <c r="E228" s="36">
        <f>(Table143454[[#This Row],[JPN]]-B216)/B216</f>
        <v>4.9952800281789375E-2</v>
      </c>
      <c r="F228" s="35">
        <f>VLOOKUP(Table143454[[#This Row],[Date]],'Data Core CPI'!$B:$AY,MATCH($B$2,'Data Core CPI'!$C$1:$AY$1,0),FALSE)</f>
        <v>5.4524990000000004</v>
      </c>
      <c r="G228" s="36">
        <f t="shared" si="12"/>
        <v>9.7270856724653854E-3</v>
      </c>
      <c r="H228" s="36">
        <f t="shared" si="13"/>
        <v>0.12317667285648093</v>
      </c>
      <c r="I228" s="36">
        <f>(Table143454[[#This Row],[Core CPI]]-F216)/F216</f>
        <v>4.7923103475050258E-2</v>
      </c>
    </row>
    <row r="229" spans="1:9" x14ac:dyDescent="0.2">
      <c r="A229" s="34">
        <f>IF(Data!B257="",#N/A,Data!B257)</f>
        <v>25628</v>
      </c>
      <c r="B229" s="35">
        <f>VLOOKUP(A229,Data!B:AY,MATCH($B$2,Data!$C$1:$AY$1,0),FALSE)</f>
        <v>5.6090980000000004</v>
      </c>
      <c r="C229" s="36">
        <f t="shared" si="14"/>
        <v>3.5906051676231066E-3</v>
      </c>
      <c r="D229" s="36">
        <f t="shared" si="11"/>
        <v>4.3948430333535793E-2</v>
      </c>
      <c r="E229" s="36">
        <f>(Table143454[[#This Row],[JPN]]-B217)/B217</f>
        <v>4.9765187220450403E-2</v>
      </c>
      <c r="F229" s="35">
        <f>VLOOKUP(Table143454[[#This Row],[Date]],'Data Core CPI'!$B:$AY,MATCH($B$2,'Data Core CPI'!$C$1:$AY$1,0),FALSE)</f>
        <v>5.4665189999999999</v>
      </c>
      <c r="G229" s="36">
        <f t="shared" si="12"/>
        <v>2.5712980415033559E-3</v>
      </c>
      <c r="H229" s="36">
        <f t="shared" si="13"/>
        <v>3.1295702155804683E-2</v>
      </c>
      <c r="I229" s="36">
        <f>(Table143454[[#This Row],[Core CPI]]-F217)/F217</f>
        <v>4.5569175737064808E-2</v>
      </c>
    </row>
    <row r="230" spans="1:9" x14ac:dyDescent="0.2">
      <c r="A230" s="34">
        <f>IF(Data!B258="",#N/A,Data!B258)</f>
        <v>25659</v>
      </c>
      <c r="B230" s="35">
        <f>VLOOKUP(A230,Data!B:AY,MATCH($B$2,Data!$C$1:$AY$1,0),FALSE)</f>
        <v>5.6341840000000003</v>
      </c>
      <c r="C230" s="36">
        <f t="shared" si="14"/>
        <v>4.4723768420520393E-3</v>
      </c>
      <c r="D230" s="36">
        <f t="shared" si="11"/>
        <v>5.5008544354691047E-2</v>
      </c>
      <c r="E230" s="36">
        <f>(Table143454[[#This Row],[JPN]]-B218)/B218</f>
        <v>5.0514602962637975E-2</v>
      </c>
      <c r="F230" s="35">
        <f>VLOOKUP(Table143454[[#This Row],[Date]],'Data Core CPI'!$B:$AY,MATCH($B$2,'Data Core CPI'!$C$1:$AY$1,0),FALSE)</f>
        <v>5.4863790000000003</v>
      </c>
      <c r="G230" s="36">
        <f t="shared" si="12"/>
        <v>3.6330249652476443E-3</v>
      </c>
      <c r="H230" s="36">
        <f t="shared" si="13"/>
        <v>4.447806116832953E-2</v>
      </c>
      <c r="I230" s="36">
        <f>(Table143454[[#This Row],[Core CPI]]-F218)/F218</f>
        <v>4.6117714625225653E-2</v>
      </c>
    </row>
    <row r="231" spans="1:9" x14ac:dyDescent="0.2">
      <c r="A231" s="34">
        <f>IF(Data!B259="",#N/A,Data!B259)</f>
        <v>25689</v>
      </c>
      <c r="B231" s="35">
        <f>VLOOKUP(A231,Data!B:AY,MATCH($B$2,Data!$C$1:$AY$1,0),FALSE)</f>
        <v>5.6592690000000001</v>
      </c>
      <c r="C231" s="36">
        <f t="shared" si="14"/>
        <v>4.4522862583116218E-3</v>
      </c>
      <c r="D231" s="36">
        <f t="shared" si="11"/>
        <v>5.4755355837157849E-2</v>
      </c>
      <c r="E231" s="36">
        <f>(Table143454[[#This Row],[JPN]]-B219)/B219</f>
        <v>5.2238685253163906E-2</v>
      </c>
      <c r="F231" s="35">
        <f>VLOOKUP(Table143454[[#This Row],[Date]],'Data Core CPI'!$B:$AY,MATCH($B$2,'Data Core CPI'!$C$1:$AY$1,0),FALSE)</f>
        <v>5.509347</v>
      </c>
      <c r="G231" s="36">
        <f t="shared" si="12"/>
        <v>4.1863677299727176E-3</v>
      </c>
      <c r="H231" s="36">
        <f t="shared" si="13"/>
        <v>5.1409401519044939E-2</v>
      </c>
      <c r="I231" s="36">
        <f>(Table143454[[#This Row],[Core CPI]]-F219)/F219</f>
        <v>4.8949279480634385E-2</v>
      </c>
    </row>
    <row r="232" spans="1:9" x14ac:dyDescent="0.2">
      <c r="A232" s="34">
        <f>IF(Data!B260="",#N/A,Data!B260)</f>
        <v>25720</v>
      </c>
      <c r="B232" s="35">
        <f>VLOOKUP(A232,Data!B:AY,MATCH($B$2,Data!$C$1:$AY$1,0),FALSE)</f>
        <v>5.6693030000000002</v>
      </c>
      <c r="C232" s="36">
        <f t="shared" si="14"/>
        <v>1.7730205084791617E-3</v>
      </c>
      <c r="D232" s="36">
        <f t="shared" si="11"/>
        <v>2.1484954928583155E-2</v>
      </c>
      <c r="E232" s="36">
        <f>(Table143454[[#This Row],[JPN]]-B220)/B220</f>
        <v>5.0185787183231523E-2</v>
      </c>
      <c r="F232" s="35">
        <f>VLOOKUP(Table143454[[#This Row],[Date]],'Data Core CPI'!$B:$AY,MATCH($B$2,'Data Core CPI'!$C$1:$AY$1,0),FALSE)</f>
        <v>5.52102</v>
      </c>
      <c r="G232" s="36">
        <f t="shared" si="12"/>
        <v>2.1187628951306881E-3</v>
      </c>
      <c r="H232" s="36">
        <f t="shared" si="13"/>
        <v>2.5723541581222475E-2</v>
      </c>
      <c r="I232" s="36">
        <f>(Table143454[[#This Row],[Core CPI]]-F220)/F220</f>
        <v>4.9612399563807009E-2</v>
      </c>
    </row>
    <row r="233" spans="1:9" x14ac:dyDescent="0.2">
      <c r="A233" s="34">
        <f>IF(Data!B261="",#N/A,Data!B261)</f>
        <v>25750</v>
      </c>
      <c r="B233" s="35">
        <f>VLOOKUP(A233,Data!B:AY,MATCH($B$2,Data!$C$1:$AY$1,0),FALSE)</f>
        <v>5.6793380000000004</v>
      </c>
      <c r="C233" s="36">
        <f t="shared" si="14"/>
        <v>1.7700588590872091E-3</v>
      </c>
      <c r="D233" s="36">
        <f t="shared" si="11"/>
        <v>2.1448716406971657E-2</v>
      </c>
      <c r="E233" s="36">
        <f>(Table143454[[#This Row],[JPN]]-B221)/B221</f>
        <v>4.621088432993168E-2</v>
      </c>
      <c r="F233" s="35">
        <f>VLOOKUP(Table143454[[#This Row],[Date]],'Data Core CPI'!$B:$AY,MATCH($B$2,'Data Core CPI'!$C$1:$AY$1,0),FALSE)</f>
        <v>5.5255910000000004</v>
      </c>
      <c r="G233" s="36">
        <f t="shared" si="12"/>
        <v>8.2792672368525722E-4</v>
      </c>
      <c r="H233" s="36">
        <f t="shared" si="13"/>
        <v>9.9804863054857584E-3</v>
      </c>
      <c r="I233" s="36">
        <f>(Table143454[[#This Row],[Core CPI]]-F221)/F221</f>
        <v>4.4760900133998749E-2</v>
      </c>
    </row>
    <row r="234" spans="1:9" x14ac:dyDescent="0.2">
      <c r="A234" s="34">
        <f>IF(Data!B262="",#N/A,Data!B262)</f>
        <v>25781</v>
      </c>
      <c r="B234" s="35">
        <f>VLOOKUP(A234,Data!B:AY,MATCH($B$2,Data!$C$1:$AY$1,0),FALSE)</f>
        <v>5.6893719999999997</v>
      </c>
      <c r="C234" s="36">
        <f t="shared" si="14"/>
        <v>1.766755209849924E-3</v>
      </c>
      <c r="D234" s="36">
        <f t="shared" si="11"/>
        <v>2.1408294591163113E-2</v>
      </c>
      <c r="E234" s="36">
        <f>(Table143454[[#This Row],[JPN]]-B222)/B222</f>
        <v>4.5161278470699624E-2</v>
      </c>
      <c r="F234" s="35">
        <f>VLOOKUP(Table143454[[#This Row],[Date]],'Data Core CPI'!$B:$AY,MATCH($B$2,'Data Core CPI'!$C$1:$AY$1,0),FALSE)</f>
        <v>5.5368120000000003</v>
      </c>
      <c r="G234" s="36">
        <f t="shared" si="12"/>
        <v>2.0307330021349657E-3</v>
      </c>
      <c r="H234" s="36">
        <f t="shared" si="13"/>
        <v>2.4642822710172041E-2</v>
      </c>
      <c r="I234" s="36">
        <f>(Table143454[[#This Row],[Core CPI]]-F222)/F222</f>
        <v>4.3866112131278584E-2</v>
      </c>
    </row>
    <row r="235" spans="1:9" x14ac:dyDescent="0.2">
      <c r="A235" s="34">
        <f>IF(Data!B263="",#N/A,Data!B263)</f>
        <v>25812</v>
      </c>
      <c r="B235" s="35">
        <f>VLOOKUP(A235,Data!B:AY,MATCH($B$2,Data!$C$1:$AY$1,0),FALSE)</f>
        <v>5.7244919999999997</v>
      </c>
      <c r="C235" s="36">
        <f t="shared" si="14"/>
        <v>6.1729132846297663E-3</v>
      </c>
      <c r="D235" s="36">
        <f t="shared" si="11"/>
        <v>7.6642353908597416E-2</v>
      </c>
      <c r="E235" s="36">
        <f>(Table143454[[#This Row],[JPN]]-B223)/B223</f>
        <v>4.9678109876302987E-2</v>
      </c>
      <c r="F235" s="35">
        <f>VLOOKUP(Table143454[[#This Row],[Date]],'Data Core CPI'!$B:$AY,MATCH($B$2,'Data Core CPI'!$C$1:$AY$1,0),FALSE)</f>
        <v>5.579885</v>
      </c>
      <c r="G235" s="36">
        <f t="shared" si="12"/>
        <v>7.779386405028621E-3</v>
      </c>
      <c r="H235" s="36">
        <f t="shared" si="13"/>
        <v>9.7452292771881055E-2</v>
      </c>
      <c r="I235" s="36">
        <f>(Table143454[[#This Row],[Core CPI]]-F223)/F223</f>
        <v>4.9327297759151109E-2</v>
      </c>
    </row>
    <row r="236" spans="1:9" x14ac:dyDescent="0.2">
      <c r="A236" s="34">
        <f>IF(Data!B264="",#N/A,Data!B264)</f>
        <v>25842</v>
      </c>
      <c r="B236" s="35">
        <f>VLOOKUP(A236,Data!B:AY,MATCH($B$2,Data!$C$1:$AY$1,0),FALSE)</f>
        <v>5.7495770000000004</v>
      </c>
      <c r="C236" s="36">
        <f t="shared" si="14"/>
        <v>4.3820482236678338E-3</v>
      </c>
      <c r="D236" s="36">
        <f t="shared" si="11"/>
        <v>5.3870629403547809E-2</v>
      </c>
      <c r="E236" s="36">
        <f>(Table143454[[#This Row],[JPN]]-B224)/B224</f>
        <v>5.1376215571753168E-2</v>
      </c>
      <c r="F236" s="35">
        <f>VLOOKUP(Table143454[[#This Row],[Date]],'Data Core CPI'!$B:$AY,MATCH($B$2,'Data Core CPI'!$C$1:$AY$1,0),FALSE)</f>
        <v>5.6095069999999998</v>
      </c>
      <c r="G236" s="36">
        <f t="shared" si="12"/>
        <v>5.3087115594676604E-3</v>
      </c>
      <c r="H236" s="36">
        <f t="shared" si="13"/>
        <v>6.5597889555443878E-2</v>
      </c>
      <c r="I236" s="36">
        <f>(Table143454[[#This Row],[Core CPI]]-F224)/F224</f>
        <v>5.1437428164205032E-2</v>
      </c>
    </row>
    <row r="237" spans="1:9" x14ac:dyDescent="0.2">
      <c r="A237" s="34">
        <f>IF(Data!B265="",#N/A,Data!B265)</f>
        <v>25873</v>
      </c>
      <c r="B237" s="35">
        <f>VLOOKUP(A237,Data!B:AY,MATCH($B$2,Data!$C$1:$AY$1,0),FALSE)</f>
        <v>5.7947309999999996</v>
      </c>
      <c r="C237" s="36">
        <f t="shared" si="14"/>
        <v>7.8534473057756404E-3</v>
      </c>
      <c r="D237" s="36">
        <f t="shared" si="11"/>
        <v>9.8420494738330921E-2</v>
      </c>
      <c r="E237" s="36">
        <f>(Table143454[[#This Row],[JPN]]-B225)/B225</f>
        <v>5.3832135206665181E-2</v>
      </c>
      <c r="F237" s="35">
        <f>VLOOKUP(Table143454[[#This Row],[Date]],'Data Core CPI'!$B:$AY,MATCH($B$2,'Data Core CPI'!$C$1:$AY$1,0),FALSE)</f>
        <v>5.6580399999999997</v>
      </c>
      <c r="G237" s="36">
        <f t="shared" si="12"/>
        <v>8.6519189654277184E-3</v>
      </c>
      <c r="H237" s="36">
        <f t="shared" si="13"/>
        <v>0.10890879836315026</v>
      </c>
      <c r="I237" s="36">
        <f>(Table143454[[#This Row],[Core CPI]]-F225)/F225</f>
        <v>5.3967681533379767E-2</v>
      </c>
    </row>
    <row r="238" spans="1:9" x14ac:dyDescent="0.2">
      <c r="A238" s="34">
        <f>IF(Data!B266="",#N/A,Data!B266)</f>
        <v>25903</v>
      </c>
      <c r="B238" s="35">
        <f>VLOOKUP(A238,Data!B:AY,MATCH($B$2,Data!$C$1:$AY$1,0),FALSE)</f>
        <v>5.8147989999999998</v>
      </c>
      <c r="C238" s="36">
        <f t="shared" si="14"/>
        <v>3.4631460890937049E-3</v>
      </c>
      <c r="D238" s="36">
        <f t="shared" si="11"/>
        <v>4.2358525464294194E-2</v>
      </c>
      <c r="E238" s="36">
        <f>(Table143454[[#This Row],[JPN]]-B226)/B226</f>
        <v>5.3636385215529922E-2</v>
      </c>
      <c r="F238" s="35">
        <f>VLOOKUP(Table143454[[#This Row],[Date]],'Data Core CPI'!$B:$AY,MATCH($B$2,'Data Core CPI'!$C$1:$AY$1,0),FALSE)</f>
        <v>5.6738410000000004</v>
      </c>
      <c r="G238" s="36">
        <f t="shared" si="12"/>
        <v>2.7926631837174032E-3</v>
      </c>
      <c r="H238" s="36">
        <f t="shared" si="13"/>
        <v>3.4031511888581001E-2</v>
      </c>
      <c r="I238" s="36">
        <f>(Table143454[[#This Row],[Core CPI]]-F226)/F226</f>
        <v>5.4419141681739801E-2</v>
      </c>
    </row>
    <row r="239" spans="1:9" x14ac:dyDescent="0.2">
      <c r="A239" s="34">
        <f>IF(Data!B267="",#N/A,Data!B267)</f>
        <v>25934</v>
      </c>
      <c r="B239" s="35">
        <f>VLOOKUP(A239,Data!B:AY,MATCH($B$2,Data!$C$1:$AY$1,0),FALSE)</f>
        <v>5.8331090000000003</v>
      </c>
      <c r="C239" s="36">
        <f t="shared" si="14"/>
        <v>3.1488620672872614E-3</v>
      </c>
      <c r="D239" s="36">
        <f t="shared" si="11"/>
        <v>3.8447674494954898E-2</v>
      </c>
      <c r="E239" s="36">
        <f>(Table143454[[#This Row],[JPN]]-B227)/B227</f>
        <v>5.2171621443192505E-2</v>
      </c>
      <c r="F239" s="35">
        <f>VLOOKUP(Table143454[[#This Row],[Date]],'Data Core CPI'!$B:$AY,MATCH($B$2,'Data Core CPI'!$C$1:$AY$1,0),FALSE)</f>
        <v>5.7329129999999999</v>
      </c>
      <c r="G239" s="36">
        <f t="shared" si="12"/>
        <v>1.0411289283573488E-2</v>
      </c>
      <c r="H239" s="36">
        <f t="shared" si="13"/>
        <v>0.13234372864541499</v>
      </c>
      <c r="I239" s="36">
        <f>(Table143454[[#This Row],[Core CPI]]-F227)/F227</f>
        <v>6.1655863834874688E-2</v>
      </c>
    </row>
    <row r="240" spans="1:9" x14ac:dyDescent="0.2">
      <c r="A240" s="34">
        <f>IF(Data!B268="",#N/A,Data!B268)</f>
        <v>25965</v>
      </c>
      <c r="B240" s="35">
        <f>VLOOKUP(A240,Data!B:AY,MATCH($B$2,Data!$C$1:$AY$1,0),FALSE)</f>
        <v>5.8558279999999998</v>
      </c>
      <c r="C240" s="36">
        <f t="shared" si="14"/>
        <v>3.8948354985308686E-3</v>
      </c>
      <c r="D240" s="36">
        <f t="shared" si="11"/>
        <v>4.7752342084678157E-2</v>
      </c>
      <c r="E240" s="36">
        <f>(Table143454[[#This Row],[JPN]]-B228)/B228</f>
        <v>4.7736011436689305E-2</v>
      </c>
      <c r="F240" s="35">
        <f>VLOOKUP(Table143454[[#This Row],[Date]],'Data Core CPI'!$B:$AY,MATCH($B$2,'Data Core CPI'!$C$1:$AY$1,0),FALSE)</f>
        <v>5.759925</v>
      </c>
      <c r="G240" s="36">
        <f t="shared" si="12"/>
        <v>4.7117407851819948E-3</v>
      </c>
      <c r="H240" s="36">
        <f t="shared" si="13"/>
        <v>5.8029380980887613E-2</v>
      </c>
      <c r="I240" s="36">
        <f>(Table143454[[#This Row],[Core CPI]]-F228)/F228</f>
        <v>5.6382587140318505E-2</v>
      </c>
    </row>
    <row r="241" spans="1:9" x14ac:dyDescent="0.2">
      <c r="A241" s="34">
        <f>IF(Data!B269="",#N/A,Data!B269)</f>
        <v>25993</v>
      </c>
      <c r="B241" s="35">
        <f>VLOOKUP(A241,Data!B:AY,MATCH($B$2,Data!$C$1:$AY$1,0),FALSE)</f>
        <v>5.8785470000000002</v>
      </c>
      <c r="C241" s="36">
        <f t="shared" si="14"/>
        <v>3.8797246093977833E-3</v>
      </c>
      <c r="D241" s="36">
        <f t="shared" si="11"/>
        <v>4.7563105225320035E-2</v>
      </c>
      <c r="E241" s="36">
        <f>(Table143454[[#This Row],[JPN]]-B229)/B229</f>
        <v>4.8037848509689049E-2</v>
      </c>
      <c r="F241" s="35">
        <f>VLOOKUP(Table143454[[#This Row],[Date]],'Data Core CPI'!$B:$AY,MATCH($B$2,'Data Core CPI'!$C$1:$AY$1,0),FALSE)</f>
        <v>5.7847920000000004</v>
      </c>
      <c r="G241" s="36">
        <f t="shared" si="12"/>
        <v>4.3172437141110187E-3</v>
      </c>
      <c r="H241" s="36">
        <f t="shared" si="13"/>
        <v>5.3054947698651267E-2</v>
      </c>
      <c r="I241" s="36">
        <f>(Table143454[[#This Row],[Core CPI]]-F229)/F229</f>
        <v>5.8222243442307704E-2</v>
      </c>
    </row>
    <row r="242" spans="1:9" x14ac:dyDescent="0.2">
      <c r="A242" s="34">
        <f>IF(Data!B270="",#N/A,Data!B270)</f>
        <v>26024</v>
      </c>
      <c r="B242" s="35">
        <f>VLOOKUP(A242,Data!B:AY,MATCH($B$2,Data!$C$1:$AY$1,0),FALSE)</f>
        <v>5.8955859999999998</v>
      </c>
      <c r="C242" s="36">
        <f t="shared" si="14"/>
        <v>2.898505361954129E-3</v>
      </c>
      <c r="D242" s="36">
        <f t="shared" si="11"/>
        <v>3.5341944732451003E-2</v>
      </c>
      <c r="E242" s="36">
        <f>(Table143454[[#This Row],[JPN]]-B230)/B230</f>
        <v>4.6395715865864419E-2</v>
      </c>
      <c r="F242" s="35">
        <f>VLOOKUP(Table143454[[#This Row],[Date]],'Data Core CPI'!$B:$AY,MATCH($B$2,'Data Core CPI'!$C$1:$AY$1,0),FALSE)</f>
        <v>5.7988650000000002</v>
      </c>
      <c r="G242" s="36">
        <f t="shared" si="12"/>
        <v>2.432758170042959E-3</v>
      </c>
      <c r="H242" s="36">
        <f t="shared" si="13"/>
        <v>2.9586891579971075E-2</v>
      </c>
      <c r="I242" s="36">
        <f>(Table143454[[#This Row],[Core CPI]]-F230)/F230</f>
        <v>5.6956692200812196E-2</v>
      </c>
    </row>
    <row r="243" spans="1:9" x14ac:dyDescent="0.2">
      <c r="A243" s="34">
        <f>IF(Data!B271="",#N/A,Data!B271)</f>
        <v>26054</v>
      </c>
      <c r="B243" s="35">
        <f>VLOOKUP(A243,Data!B:AY,MATCH($B$2,Data!$C$1:$AY$1,0),FALSE)</f>
        <v>5.929665</v>
      </c>
      <c r="C243" s="36">
        <f t="shared" si="14"/>
        <v>5.7804262375276139E-3</v>
      </c>
      <c r="D243" s="36">
        <f t="shared" si="11"/>
        <v>7.1613443773817176E-2</v>
      </c>
      <c r="E243" s="36">
        <f>(Table143454[[#This Row],[JPN]]-B231)/B231</f>
        <v>4.7779315667800887E-2</v>
      </c>
      <c r="F243" s="35">
        <f>VLOOKUP(Table143454[[#This Row],[Date]],'Data Core CPI'!$B:$AY,MATCH($B$2,'Data Core CPI'!$C$1:$AY$1,0),FALSE)</f>
        <v>5.8384020000000003</v>
      </c>
      <c r="G243" s="36">
        <f t="shared" si="12"/>
        <v>6.8180583614207979E-3</v>
      </c>
      <c r="H243" s="36">
        <f t="shared" si="13"/>
        <v>8.4955580090200877E-2</v>
      </c>
      <c r="I243" s="36">
        <f>(Table143454[[#This Row],[Core CPI]]-F231)/F231</f>
        <v>5.9726679041999048E-2</v>
      </c>
    </row>
    <row r="244" spans="1:9" x14ac:dyDescent="0.2">
      <c r="A244" s="34">
        <f>IF(Data!B272="",#N/A,Data!B272)</f>
        <v>26085</v>
      </c>
      <c r="B244" s="35">
        <f>VLOOKUP(A244,Data!B:AY,MATCH($B$2,Data!$C$1:$AY$1,0),FALSE)</f>
        <v>5.9353449999999999</v>
      </c>
      <c r="C244" s="36">
        <f t="shared" si="14"/>
        <v>9.578955978120085E-4</v>
      </c>
      <c r="D244" s="36">
        <f t="shared" si="11"/>
        <v>1.1555500178280997E-2</v>
      </c>
      <c r="E244" s="36">
        <f>(Table143454[[#This Row],[JPN]]-B232)/B232</f>
        <v>4.6926756252047147E-2</v>
      </c>
      <c r="F244" s="35">
        <f>VLOOKUP(Table143454[[#This Row],[Date]],'Data Core CPI'!$B:$AY,MATCH($B$2,'Data Core CPI'!$C$1:$AY$1,0),FALSE)</f>
        <v>5.8409849999999999</v>
      </c>
      <c r="G244" s="36">
        <f t="shared" si="12"/>
        <v>4.4241557878321736E-4</v>
      </c>
      <c r="H244" s="36">
        <f t="shared" si="13"/>
        <v>5.3219242971329628E-3</v>
      </c>
      <c r="I244" s="36">
        <f>(Table143454[[#This Row],[Core CPI]]-F232)/F232</f>
        <v>5.7953965028201278E-2</v>
      </c>
    </row>
    <row r="245" spans="1:9" x14ac:dyDescent="0.2">
      <c r="A245" s="34">
        <f>IF(Data!B273="",#N/A,Data!B273)</f>
        <v>26115</v>
      </c>
      <c r="B245" s="35">
        <f>VLOOKUP(A245,Data!B:AY,MATCH($B$2,Data!$C$1:$AY$1,0),FALSE)</f>
        <v>5.9523840000000003</v>
      </c>
      <c r="C245" s="36">
        <f t="shared" si="14"/>
        <v>2.8707682535724643E-3</v>
      </c>
      <c r="D245" s="36">
        <f t="shared" si="11"/>
        <v>3.4998384258228654E-2</v>
      </c>
      <c r="E245" s="36">
        <f>(Table143454[[#This Row],[JPN]]-B233)/B233</f>
        <v>4.8077082223315443E-2</v>
      </c>
      <c r="F245" s="35">
        <f>VLOOKUP(Table143454[[#This Row],[Date]],'Data Core CPI'!$B:$AY,MATCH($B$2,'Data Core CPI'!$C$1:$AY$1,0),FALSE)</f>
        <v>5.8627880000000001</v>
      </c>
      <c r="G245" s="36">
        <f t="shared" si="12"/>
        <v>3.7327608271551238E-3</v>
      </c>
      <c r="H245" s="36">
        <f t="shared" si="13"/>
        <v>4.5724280122632299E-2</v>
      </c>
      <c r="I245" s="36">
        <f>(Table143454[[#This Row],[Core CPI]]-F233)/F233</f>
        <v>6.102460352204854E-2</v>
      </c>
    </row>
    <row r="246" spans="1:9" x14ac:dyDescent="0.2">
      <c r="A246" s="34">
        <f>IF(Data!B274="",#N/A,Data!B274)</f>
        <v>26146</v>
      </c>
      <c r="B246" s="35">
        <f>VLOOKUP(A246,Data!B:AY,MATCH($B$2,Data!$C$1:$AY$1,0),FALSE)</f>
        <v>5.9637440000000002</v>
      </c>
      <c r="C246" s="36">
        <f t="shared" si="14"/>
        <v>1.9084790228587334E-3</v>
      </c>
      <c r="D246" s="36">
        <f t="shared" si="11"/>
        <v>2.3143675417551135E-2</v>
      </c>
      <c r="E246" s="36">
        <f>(Table143454[[#This Row],[JPN]]-B234)/B234</f>
        <v>4.82253577371985E-2</v>
      </c>
      <c r="F246" s="35">
        <f>VLOOKUP(Table143454[[#This Row],[Date]],'Data Core CPI'!$B:$AY,MATCH($B$2,'Data Core CPI'!$C$1:$AY$1,0),FALSE)</f>
        <v>5.8700609999999998</v>
      </c>
      <c r="G246" s="36">
        <f t="shared" si="12"/>
        <v>1.2405360725988857E-3</v>
      </c>
      <c r="H246" s="36">
        <f t="shared" si="13"/>
        <v>1.4988423410687846E-2</v>
      </c>
      <c r="I246" s="36">
        <f>(Table143454[[#This Row],[Core CPI]]-F234)/F234</f>
        <v>6.0187884291538062E-2</v>
      </c>
    </row>
    <row r="247" spans="1:9" x14ac:dyDescent="0.2">
      <c r="A247" s="34">
        <f>IF(Data!B275="",#N/A,Data!B275)</f>
        <v>26177</v>
      </c>
      <c r="B247" s="35">
        <f>VLOOKUP(A247,Data!B:AY,MATCH($B$2,Data!$C$1:$AY$1,0),FALSE)</f>
        <v>6.0035020000000001</v>
      </c>
      <c r="C247" s="36">
        <f t="shared" si="14"/>
        <v>6.66661748056252E-3</v>
      </c>
      <c r="D247" s="36">
        <f t="shared" si="11"/>
        <v>8.2998871818623643E-2</v>
      </c>
      <c r="E247" s="36">
        <f>(Table143454[[#This Row],[JPN]]-B235)/B235</f>
        <v>4.8739696028922815E-2</v>
      </c>
      <c r="F247" s="35">
        <f>VLOOKUP(Table143454[[#This Row],[Date]],'Data Core CPI'!$B:$AY,MATCH($B$2,'Data Core CPI'!$C$1:$AY$1,0),FALSE)</f>
        <v>5.9049690000000004</v>
      </c>
      <c r="G247" s="36">
        <f t="shared" si="12"/>
        <v>5.9467865836488887E-3</v>
      </c>
      <c r="H247" s="36">
        <f t="shared" si="13"/>
        <v>7.3742372691615765E-2</v>
      </c>
      <c r="I247" s="36">
        <f>(Table143454[[#This Row],[Core CPI]]-F235)/F235</f>
        <v>5.8259982060562245E-2</v>
      </c>
    </row>
    <row r="248" spans="1:9" x14ac:dyDescent="0.2">
      <c r="A248" s="34">
        <f>IF(Data!B276="",#N/A,Data!B276)</f>
        <v>26207</v>
      </c>
      <c r="B248" s="35">
        <f>VLOOKUP(A248,Data!B:AY,MATCH($B$2,Data!$C$1:$AY$1,0),FALSE)</f>
        <v>6.0319000000000003</v>
      </c>
      <c r="C248" s="36">
        <f t="shared" si="14"/>
        <v>4.7302391171020197E-3</v>
      </c>
      <c r="D248" s="36">
        <f t="shared" si="11"/>
        <v>5.8263164581595417E-2</v>
      </c>
      <c r="E248" s="36">
        <f>(Table143454[[#This Row],[JPN]]-B236)/B236</f>
        <v>4.9103264466238097E-2</v>
      </c>
      <c r="F248" s="35">
        <f>VLOOKUP(Table143454[[#This Row],[Date]],'Data Core CPI'!$B:$AY,MATCH($B$2,'Data Core CPI'!$C$1:$AY$1,0),FALSE)</f>
        <v>5.931864</v>
      </c>
      <c r="G248" s="36">
        <f t="shared" si="12"/>
        <v>4.5546386441654985E-3</v>
      </c>
      <c r="H248" s="36">
        <f t="shared" si="13"/>
        <v>5.6045817348651106E-2</v>
      </c>
      <c r="I248" s="36">
        <f>(Table143454[[#This Row],[Core CPI]]-F236)/F236</f>
        <v>5.7466190879162861E-2</v>
      </c>
    </row>
    <row r="249" spans="1:9" x14ac:dyDescent="0.2">
      <c r="A249" s="34">
        <f>IF(Data!B277="",#N/A,Data!B277)</f>
        <v>26238</v>
      </c>
      <c r="B249" s="35">
        <f>VLOOKUP(A249,Data!B:AY,MATCH($B$2,Data!$C$1:$AY$1,0),FALSE)</f>
        <v>6.0602989999999997</v>
      </c>
      <c r="C249" s="36">
        <f t="shared" si="14"/>
        <v>4.7081350818150014E-3</v>
      </c>
      <c r="D249" s="36">
        <f t="shared" si="11"/>
        <v>5.7983817287580397E-2</v>
      </c>
      <c r="E249" s="36">
        <f>(Table143454[[#This Row],[JPN]]-B237)/B237</f>
        <v>4.5829219682501234E-2</v>
      </c>
      <c r="F249" s="35">
        <f>VLOOKUP(Table143454[[#This Row],[Date]],'Data Core CPI'!$B:$AY,MATCH($B$2,'Data Core CPI'!$C$1:$AY$1,0),FALSE)</f>
        <v>5.9621979999999999</v>
      </c>
      <c r="G249" s="36">
        <f t="shared" si="12"/>
        <v>5.1137382785579888E-3</v>
      </c>
      <c r="H249" s="36">
        <f t="shared" si="13"/>
        <v>6.3120541390684792E-2</v>
      </c>
      <c r="I249" s="36">
        <f>(Table143454[[#This Row],[Core CPI]]-F237)/F237</f>
        <v>5.3756777965514591E-2</v>
      </c>
    </row>
    <row r="250" spans="1:9" x14ac:dyDescent="0.2">
      <c r="A250" s="34">
        <f>IF(Data!B278="",#N/A,Data!B278)</f>
        <v>26268</v>
      </c>
      <c r="B250" s="35">
        <f>VLOOKUP(A250,Data!B:AY,MATCH($B$2,Data!$C$1:$AY$1,0),FALSE)</f>
        <v>6.083018</v>
      </c>
      <c r="C250" s="36">
        <f t="shared" si="14"/>
        <v>3.7488249342152447E-3</v>
      </c>
      <c r="D250" s="36">
        <f t="shared" si="11"/>
        <v>4.5925131658519636E-2</v>
      </c>
      <c r="E250" s="36">
        <f>(Table143454[[#This Row],[JPN]]-B238)/B238</f>
        <v>4.6126959848483189E-2</v>
      </c>
      <c r="F250" s="35">
        <f>VLOOKUP(Table143454[[#This Row],[Date]],'Data Core CPI'!$B:$AY,MATCH($B$2,'Data Core CPI'!$C$1:$AY$1,0),FALSE)</f>
        <v>5.988397</v>
      </c>
      <c r="G250" s="36">
        <f t="shared" si="12"/>
        <v>4.3941848291519925E-3</v>
      </c>
      <c r="H250" s="36">
        <f t="shared" si="13"/>
        <v>5.4023454860784526E-2</v>
      </c>
      <c r="I250" s="36">
        <f>(Table143454[[#This Row],[Core CPI]]-F238)/F238</f>
        <v>5.5439692441152225E-2</v>
      </c>
    </row>
    <row r="251" spans="1:9" x14ac:dyDescent="0.2">
      <c r="A251" s="34">
        <f>IF(Data!B279="",#N/A,Data!B279)</f>
        <v>26299</v>
      </c>
      <c r="B251" s="35">
        <f>VLOOKUP(A251,Data!B:AY,MATCH($B$2,Data!$C$1:$AY$1,0),FALSE)</f>
        <v>6.1057370000000004</v>
      </c>
      <c r="C251" s="36">
        <f t="shared" si="14"/>
        <v>3.7348237338767909E-3</v>
      </c>
      <c r="D251" s="36">
        <f t="shared" si="11"/>
        <v>4.5750070924115871E-2</v>
      </c>
      <c r="E251" s="36">
        <f>(Table143454[[#This Row],[JPN]]-B239)/B239</f>
        <v>4.6738025982370653E-2</v>
      </c>
      <c r="F251" s="35">
        <f>VLOOKUP(Table143454[[#This Row],[Date]],'Data Core CPI'!$B:$AY,MATCH($B$2,'Data Core CPI'!$C$1:$AY$1,0),FALSE)</f>
        <v>6.0132989999999999</v>
      </c>
      <c r="G251" s="36">
        <f t="shared" si="12"/>
        <v>4.1583749373996781E-3</v>
      </c>
      <c r="H251" s="36">
        <f t="shared" si="13"/>
        <v>5.1057745202669924E-2</v>
      </c>
      <c r="I251" s="36">
        <f>(Table143454[[#This Row],[Core CPI]]-F239)/F239</f>
        <v>4.8908120531394775E-2</v>
      </c>
    </row>
    <row r="252" spans="1:9" x14ac:dyDescent="0.2">
      <c r="A252" s="34">
        <f>IF(Data!B280="",#N/A,Data!B280)</f>
        <v>26330</v>
      </c>
      <c r="B252" s="35">
        <f>VLOOKUP(A252,Data!B:AY,MATCH($B$2,Data!$C$1:$AY$1,0),FALSE)</f>
        <v>6.1398159999999997</v>
      </c>
      <c r="C252" s="36">
        <f t="shared" si="14"/>
        <v>5.5814719828253256E-3</v>
      </c>
      <c r="D252" s="36">
        <f t="shared" ref="D252:D315" si="15">((1+C252)^12)-1</f>
        <v>6.9072488557565759E-2</v>
      </c>
      <c r="E252" s="36">
        <f>(Table143454[[#This Row],[JPN]]-B240)/B240</f>
        <v>4.8496643002492547E-2</v>
      </c>
      <c r="F252" s="35">
        <f>VLOOKUP(Table143454[[#This Row],[Date]],'Data Core CPI'!$B:$AY,MATCH($B$2,'Data Core CPI'!$C$1:$AY$1,0),FALSE)</f>
        <v>6.0518020000000003</v>
      </c>
      <c r="G252" s="36">
        <f t="shared" si="12"/>
        <v>6.402974473745715E-3</v>
      </c>
      <c r="H252" s="36">
        <f t="shared" si="13"/>
        <v>7.9600159837409645E-2</v>
      </c>
      <c r="I252" s="36">
        <f>(Table143454[[#This Row],[Core CPI]]-F240)/F240</f>
        <v>5.067375009223217E-2</v>
      </c>
    </row>
    <row r="253" spans="1:9" x14ac:dyDescent="0.2">
      <c r="A253" s="34">
        <f>IF(Data!B281="",#N/A,Data!B281)</f>
        <v>26359</v>
      </c>
      <c r="B253" s="35">
        <f>VLOOKUP(A253,Data!B:AY,MATCH($B$2,Data!$C$1:$AY$1,0),FALSE)</f>
        <v>6.1568550000000002</v>
      </c>
      <c r="C253" s="36">
        <f t="shared" si="14"/>
        <v>2.7751645977664996E-3</v>
      </c>
      <c r="D253" s="36">
        <f t="shared" si="15"/>
        <v>3.3815008276383507E-2</v>
      </c>
      <c r="E253" s="36">
        <f>(Table143454[[#This Row],[JPN]]-B241)/B241</f>
        <v>4.7342991388858502E-2</v>
      </c>
      <c r="F253" s="35">
        <f>VLOOKUP(Table143454[[#This Row],[Date]],'Data Core CPI'!$B:$AY,MATCH($B$2,'Data Core CPI'!$C$1:$AY$1,0),FALSE)</f>
        <v>6.065874</v>
      </c>
      <c r="G253" s="36">
        <f t="shared" si="12"/>
        <v>2.3252578322952022E-3</v>
      </c>
      <c r="H253" s="36">
        <f t="shared" si="13"/>
        <v>2.8262724792510463E-2</v>
      </c>
      <c r="I253" s="36">
        <f>(Table143454[[#This Row],[Core CPI]]-F241)/F241</f>
        <v>4.8589819651251004E-2</v>
      </c>
    </row>
    <row r="254" spans="1:9" x14ac:dyDescent="0.2">
      <c r="A254" s="34">
        <f>IF(Data!B282="",#N/A,Data!B282)</f>
        <v>26390</v>
      </c>
      <c r="B254" s="35">
        <f>VLOOKUP(A254,Data!B:AY,MATCH($B$2,Data!$C$1:$AY$1,0),FALSE)</f>
        <v>6.168215</v>
      </c>
      <c r="C254" s="36">
        <f t="shared" si="14"/>
        <v>1.8450978624637848E-3</v>
      </c>
      <c r="D254" s="36">
        <f t="shared" si="15"/>
        <v>2.2367251501190566E-2</v>
      </c>
      <c r="E254" s="36">
        <f>(Table143454[[#This Row],[JPN]]-B242)/B242</f>
        <v>4.6242901044951296E-2</v>
      </c>
      <c r="F254" s="35">
        <f>VLOOKUP(Table143454[[#This Row],[Date]],'Data Core CPI'!$B:$AY,MATCH($B$2,'Data Core CPI'!$C$1:$AY$1,0),FALSE)</f>
        <v>6.0763290000000003</v>
      </c>
      <c r="G254" s="36">
        <f t="shared" si="12"/>
        <v>1.7235768497665394E-3</v>
      </c>
      <c r="H254" s="36">
        <f t="shared" si="13"/>
        <v>2.0880120367140265E-2</v>
      </c>
      <c r="I254" s="36">
        <f>(Table143454[[#This Row],[Core CPI]]-F242)/F242</f>
        <v>4.7847984045153689E-2</v>
      </c>
    </row>
    <row r="255" spans="1:9" x14ac:dyDescent="0.2">
      <c r="A255" s="34">
        <f>IF(Data!B283="",#N/A,Data!B283)</f>
        <v>26420</v>
      </c>
      <c r="B255" s="35">
        <f>VLOOKUP(A255,Data!B:AY,MATCH($B$2,Data!$C$1:$AY$1,0),FALSE)</f>
        <v>6.2250120000000004</v>
      </c>
      <c r="C255" s="36">
        <f t="shared" si="14"/>
        <v>9.2080123666247182E-3</v>
      </c>
      <c r="D255" s="36">
        <f t="shared" si="15"/>
        <v>0.1162674937039665</v>
      </c>
      <c r="E255" s="36">
        <f>(Table143454[[#This Row],[JPN]]-B243)/B243</f>
        <v>4.9808378719539886E-2</v>
      </c>
      <c r="F255" s="35">
        <f>VLOOKUP(Table143454[[#This Row],[Date]],'Data Core CPI'!$B:$AY,MATCH($B$2,'Data Core CPI'!$C$1:$AY$1,0),FALSE)</f>
        <v>6.1284900000000002</v>
      </c>
      <c r="G255" s="36">
        <f t="shared" si="12"/>
        <v>8.5842948925247686E-3</v>
      </c>
      <c r="H255" s="36">
        <f t="shared" si="13"/>
        <v>0.10801697890449735</v>
      </c>
      <c r="I255" s="36">
        <f>(Table143454[[#This Row],[Core CPI]]-F243)/F243</f>
        <v>4.9686198380995326E-2</v>
      </c>
    </row>
    <row r="256" spans="1:9" x14ac:dyDescent="0.2">
      <c r="A256" s="34">
        <f>IF(Data!B284="",#N/A,Data!B284)</f>
        <v>26451</v>
      </c>
      <c r="B256" s="35">
        <f>VLOOKUP(A256,Data!B:AY,MATCH($B$2,Data!$C$1:$AY$1,0),FALSE)</f>
        <v>6.2590909999999997</v>
      </c>
      <c r="C256" s="36">
        <f t="shared" si="14"/>
        <v>5.4745275993042242E-3</v>
      </c>
      <c r="D256" s="36">
        <f t="shared" si="15"/>
        <v>6.7708925890002769E-2</v>
      </c>
      <c r="E256" s="36">
        <f>(Table143454[[#This Row],[JPN]]-B244)/B244</f>
        <v>5.454543922889063E-2</v>
      </c>
      <c r="F256" s="35">
        <f>VLOOKUP(Table143454[[#This Row],[Date]],'Data Core CPI'!$B:$AY,MATCH($B$2,'Data Core CPI'!$C$1:$AY$1,0),FALSE)</f>
        <v>6.1552680000000004</v>
      </c>
      <c r="G256" s="36">
        <f t="shared" si="12"/>
        <v>4.3694286847169028E-3</v>
      </c>
      <c r="H256" s="36">
        <f t="shared" si="13"/>
        <v>5.371174433620185E-2</v>
      </c>
      <c r="I256" s="36">
        <f>(Table143454[[#This Row],[Core CPI]]-F244)/F244</f>
        <v>5.3806506950454511E-2</v>
      </c>
    </row>
    <row r="257" spans="1:9" x14ac:dyDescent="0.2">
      <c r="A257" s="34">
        <f>IF(Data!B285="",#N/A,Data!B285)</f>
        <v>26481</v>
      </c>
      <c r="B257" s="35">
        <f>VLOOKUP(A257,Data!B:AY,MATCH($B$2,Data!$C$1:$AY$1,0),FALSE)</f>
        <v>6.2818100000000001</v>
      </c>
      <c r="C257" s="36">
        <f t="shared" si="14"/>
        <v>3.6297602958641484E-3</v>
      </c>
      <c r="D257" s="36">
        <f t="shared" si="15"/>
        <v>4.4437291510987631E-2</v>
      </c>
      <c r="E257" s="36">
        <f>(Table143454[[#This Row],[JPN]]-B245)/B245</f>
        <v>5.5343539664107648E-2</v>
      </c>
      <c r="F257" s="35">
        <f>VLOOKUP(Table143454[[#This Row],[Date]],'Data Core CPI'!$B:$AY,MATCH($B$2,'Data Core CPI'!$C$1:$AY$1,0),FALSE)</f>
        <v>6.1742910000000002</v>
      </c>
      <c r="G257" s="36">
        <f t="shared" si="12"/>
        <v>3.0905234345603994E-3</v>
      </c>
      <c r="H257" s="36">
        <f t="shared" si="13"/>
        <v>3.7723208810752862E-2</v>
      </c>
      <c r="I257" s="36">
        <f>(Table143454[[#This Row],[Core CPI]]-F245)/F245</f>
        <v>5.3132229922009812E-2</v>
      </c>
    </row>
    <row r="258" spans="1:9" x14ac:dyDescent="0.2">
      <c r="A258" s="34">
        <f>IF(Data!B286="",#N/A,Data!B286)</f>
        <v>26512</v>
      </c>
      <c r="B258" s="35">
        <f>VLOOKUP(A258,Data!B:AY,MATCH($B$2,Data!$C$1:$AY$1,0),FALSE)</f>
        <v>6.3215680000000001</v>
      </c>
      <c r="C258" s="36">
        <f t="shared" si="14"/>
        <v>6.3290675776568328E-3</v>
      </c>
      <c r="D258" s="36">
        <f t="shared" si="15"/>
        <v>7.8649156955322486E-2</v>
      </c>
      <c r="E258" s="36">
        <f>(Table143454[[#This Row],[JPN]]-B246)/B246</f>
        <v>5.999989268486372E-2</v>
      </c>
      <c r="F258" s="35">
        <f>VLOOKUP(Table143454[[#This Row],[Date]],'Data Core CPI'!$B:$AY,MATCH($B$2,'Data Core CPI'!$C$1:$AY$1,0),FALSE)</f>
        <v>6.2060550000000001</v>
      </c>
      <c r="G258" s="36">
        <f t="shared" si="12"/>
        <v>5.1445582982725391E-3</v>
      </c>
      <c r="H258" s="36">
        <f t="shared" si="13"/>
        <v>6.3511791707974163E-2</v>
      </c>
      <c r="I258" s="36">
        <f>(Table143454[[#This Row],[Core CPI]]-F246)/F246</f>
        <v>5.7238587469534023E-2</v>
      </c>
    </row>
    <row r="259" spans="1:9" x14ac:dyDescent="0.2">
      <c r="A259" s="34">
        <f>IF(Data!B287="",#N/A,Data!B287)</f>
        <v>26543</v>
      </c>
      <c r="B259" s="35">
        <f>VLOOKUP(A259,Data!B:AY,MATCH($B$2,Data!$C$1:$AY$1,0),FALSE)</f>
        <v>6.3840459999999997</v>
      </c>
      <c r="C259" s="36">
        <f t="shared" si="14"/>
        <v>9.8833074325863635E-3</v>
      </c>
      <c r="D259" s="36">
        <f t="shared" si="15"/>
        <v>0.12526374006420649</v>
      </c>
      <c r="E259" s="36">
        <f>(Table143454[[#This Row],[JPN]]-B247)/B247</f>
        <v>6.3387003119179358E-2</v>
      </c>
      <c r="F259" s="35">
        <f>VLOOKUP(Table143454[[#This Row],[Date]],'Data Core CPI'!$B:$AY,MATCH($B$2,'Data Core CPI'!$C$1:$AY$1,0),FALSE)</f>
        <v>6.2544370000000002</v>
      </c>
      <c r="G259" s="36">
        <f t="shared" ref="G259:G322" si="16">(F259/F258)-1</f>
        <v>7.7959347766012321E-3</v>
      </c>
      <c r="H259" s="36">
        <f t="shared" ref="H259:H322" si="17">((1+G259)^12)-1</f>
        <v>9.7668562588619778E-2</v>
      </c>
      <c r="I259" s="36">
        <f>(Table143454[[#This Row],[Core CPI]]-F247)/F247</f>
        <v>5.9182021107985476E-2</v>
      </c>
    </row>
    <row r="260" spans="1:9" x14ac:dyDescent="0.2">
      <c r="A260" s="34">
        <f>IF(Data!B288="",#N/A,Data!B288)</f>
        <v>26573</v>
      </c>
      <c r="B260" s="35">
        <f>VLOOKUP(A260,Data!B:AY,MATCH($B$2,Data!$C$1:$AY$1,0),FALSE)</f>
        <v>6.4522019999999998</v>
      </c>
      <c r="C260" s="36">
        <f t="shared" si="14"/>
        <v>1.0675988236926948E-2</v>
      </c>
      <c r="D260" s="36">
        <f t="shared" si="15"/>
        <v>0.13590856341586277</v>
      </c>
      <c r="E260" s="36">
        <f>(Table143454[[#This Row],[JPN]]-B248)/B248</f>
        <v>6.9679868698088412E-2</v>
      </c>
      <c r="F260" s="35">
        <f>VLOOKUP(Table143454[[#This Row],[Date]],'Data Core CPI'!$B:$AY,MATCH($B$2,'Data Core CPI'!$C$1:$AY$1,0),FALSE)</f>
        <v>6.3282600000000002</v>
      </c>
      <c r="G260" s="36">
        <f t="shared" si="16"/>
        <v>1.1803300600837341E-2</v>
      </c>
      <c r="H260" s="36">
        <f t="shared" si="17"/>
        <v>0.1512061510496483</v>
      </c>
      <c r="I260" s="36">
        <f>(Table143454[[#This Row],[Core CPI]]-F248)/F248</f>
        <v>6.6824863145884705E-2</v>
      </c>
    </row>
    <row r="261" spans="1:9" x14ac:dyDescent="0.2">
      <c r="A261" s="34">
        <f>IF(Data!B289="",#N/A,Data!B289)</f>
        <v>26604</v>
      </c>
      <c r="B261" s="35">
        <f>VLOOKUP(A261,Data!B:AY,MATCH($B$2,Data!$C$1:$AY$1,0),FALSE)</f>
        <v>6.5033200000000004</v>
      </c>
      <c r="C261" s="36">
        <f t="shared" ref="C261:C324" si="18">(B261/B260)-1</f>
        <v>7.9225665904447684E-3</v>
      </c>
      <c r="D261" s="36">
        <f t="shared" si="15"/>
        <v>9.932480100946206E-2</v>
      </c>
      <c r="E261" s="36">
        <f>(Table143454[[#This Row],[JPN]]-B249)/B249</f>
        <v>7.3102168721378397E-2</v>
      </c>
      <c r="F261" s="35">
        <f>VLOOKUP(Table143454[[#This Row],[Date]],'Data Core CPI'!$B:$AY,MATCH($B$2,'Data Core CPI'!$C$1:$AY$1,0),FALSE)</f>
        <v>6.385643</v>
      </c>
      <c r="G261" s="36">
        <f t="shared" si="16"/>
        <v>9.0677374191325821E-3</v>
      </c>
      <c r="H261" s="36">
        <f t="shared" si="17"/>
        <v>0.11440704812979718</v>
      </c>
      <c r="I261" s="36">
        <f>(Table143454[[#This Row],[Core CPI]]-F249)/F249</f>
        <v>7.1021626588046907E-2</v>
      </c>
    </row>
    <row r="262" spans="1:9" x14ac:dyDescent="0.2">
      <c r="A262" s="34">
        <f>IF(Data!B290="",#N/A,Data!B290)</f>
        <v>26634</v>
      </c>
      <c r="B262" s="35">
        <f>VLOOKUP(A262,Data!B:AY,MATCH($B$2,Data!$C$1:$AY$1,0),FALSE)</f>
        <v>6.5317189999999998</v>
      </c>
      <c r="C262" s="36">
        <f t="shared" si="18"/>
        <v>4.3668464722632638E-3</v>
      </c>
      <c r="D262" s="36">
        <f t="shared" si="15"/>
        <v>5.3679235949904092E-2</v>
      </c>
      <c r="E262" s="36">
        <f>(Table143454[[#This Row],[JPN]]-B250)/B250</f>
        <v>7.3762892038129718E-2</v>
      </c>
      <c r="F262" s="35">
        <f>VLOOKUP(Table143454[[#This Row],[Date]],'Data Core CPI'!$B:$AY,MATCH($B$2,'Data Core CPI'!$C$1:$AY$1,0),FALSE)</f>
        <v>6.4102059999999996</v>
      </c>
      <c r="G262" s="36">
        <f t="shared" si="16"/>
        <v>3.8465977506101368E-3</v>
      </c>
      <c r="H262" s="36">
        <f t="shared" si="17"/>
        <v>4.7148360192140748E-2</v>
      </c>
      <c r="I262" s="36">
        <f>(Table143454[[#This Row],[Core CPI]]-F250)/F250</f>
        <v>7.0437714800805573E-2</v>
      </c>
    </row>
    <row r="263" spans="1:9" x14ac:dyDescent="0.2">
      <c r="A263" s="34">
        <f>IF(Data!B291="",#N/A,Data!B291)</f>
        <v>26665</v>
      </c>
      <c r="B263" s="35">
        <f>VLOOKUP(A263,Data!B:AY,MATCH($B$2,Data!$C$1:$AY$1,0),FALSE)</f>
        <v>6.5998760000000001</v>
      </c>
      <c r="C263" s="36">
        <f t="shared" si="18"/>
        <v>1.0434772224585886E-2</v>
      </c>
      <c r="D263" s="36">
        <f t="shared" si="15"/>
        <v>0.13265957024977082</v>
      </c>
      <c r="E263" s="36">
        <f>(Table143454[[#This Row],[JPN]]-B251)/B251</f>
        <v>8.0930279178418538E-2</v>
      </c>
      <c r="F263" s="35">
        <f>VLOOKUP(Table143454[[#This Row],[Date]],'Data Core CPI'!$B:$AY,MATCH($B$2,'Data Core CPI'!$C$1:$AY$1,0),FALSE)</f>
        <v>6.483511</v>
      </c>
      <c r="G263" s="36">
        <f t="shared" si="16"/>
        <v>1.1435669930108361E-2</v>
      </c>
      <c r="H263" s="36">
        <f t="shared" si="17"/>
        <v>0.14619679050982004</v>
      </c>
      <c r="I263" s="36">
        <f>(Table143454[[#This Row],[Core CPI]]-F251)/F251</f>
        <v>7.8195346680748803E-2</v>
      </c>
    </row>
    <row r="264" spans="1:9" x14ac:dyDescent="0.2">
      <c r="A264" s="34">
        <f>IF(Data!B292="",#N/A,Data!B292)</f>
        <v>26696</v>
      </c>
      <c r="B264" s="35">
        <f>VLOOKUP(A264,Data!B:AY,MATCH($B$2,Data!$C$1:$AY$1,0),FALSE)</f>
        <v>6.6737130000000002</v>
      </c>
      <c r="C264" s="36">
        <f t="shared" si="18"/>
        <v>1.1187634434344007E-2</v>
      </c>
      <c r="D264" s="36">
        <f t="shared" si="15"/>
        <v>0.14282833880914292</v>
      </c>
      <c r="E264" s="36">
        <f>(Table143454[[#This Row],[JPN]]-B252)/B252</f>
        <v>8.6956514657768338E-2</v>
      </c>
      <c r="F264" s="35">
        <f>VLOOKUP(Table143454[[#This Row],[Date]],'Data Core CPI'!$B:$AY,MATCH($B$2,'Data Core CPI'!$C$1:$AY$1,0),FALSE)</f>
        <v>6.5642430000000003</v>
      </c>
      <c r="G264" s="36">
        <f t="shared" si="16"/>
        <v>1.2451895277111547E-2</v>
      </c>
      <c r="H264" s="36">
        <f t="shared" si="17"/>
        <v>0.16009290959523237</v>
      </c>
      <c r="I264" s="36">
        <f>(Table143454[[#This Row],[Core CPI]]-F252)/F252</f>
        <v>8.4675770952189103E-2</v>
      </c>
    </row>
    <row r="265" spans="1:9" x14ac:dyDescent="0.2">
      <c r="A265" s="34">
        <f>IF(Data!B293="",#N/A,Data!B293)</f>
        <v>26724</v>
      </c>
      <c r="B265" s="35">
        <f>VLOOKUP(A265,Data!B:AY,MATCH($B$2,Data!$C$1:$AY$1,0),FALSE)</f>
        <v>6.7475500000000004</v>
      </c>
      <c r="C265" s="36">
        <f t="shared" si="18"/>
        <v>1.1063856057340171E-2</v>
      </c>
      <c r="D265" s="36">
        <f t="shared" si="15"/>
        <v>0.141150760069922</v>
      </c>
      <c r="E265" s="36">
        <f>(Table143454[[#This Row],[JPN]]-B253)/B253</f>
        <v>9.5941028333459244E-2</v>
      </c>
      <c r="F265" s="35">
        <f>VLOOKUP(Table143454[[#This Row],[Date]],'Data Core CPI'!$B:$AY,MATCH($B$2,'Data Core CPI'!$C$1:$AY$1,0),FALSE)</f>
        <v>6.6351000000000004</v>
      </c>
      <c r="G265" s="36">
        <f t="shared" si="16"/>
        <v>1.0794390152832678E-2</v>
      </c>
      <c r="H265" s="36">
        <f t="shared" si="17"/>
        <v>0.13750646950089029</v>
      </c>
      <c r="I265" s="36">
        <f>(Table143454[[#This Row],[Core CPI]]-F253)/F253</f>
        <v>9.3840722705417295E-2</v>
      </c>
    </row>
    <row r="266" spans="1:9" x14ac:dyDescent="0.2">
      <c r="A266" s="34">
        <f>IF(Data!B294="",#N/A,Data!B294)</f>
        <v>26755</v>
      </c>
      <c r="B266" s="35">
        <f>VLOOKUP(A266,Data!B:AY,MATCH($B$2,Data!$C$1:$AY$1,0),FALSE)</f>
        <v>6.8157069999999997</v>
      </c>
      <c r="C266" s="36">
        <f t="shared" si="18"/>
        <v>1.0100999622084883E-2</v>
      </c>
      <c r="D266" s="36">
        <f t="shared" si="15"/>
        <v>0.12817795905550255</v>
      </c>
      <c r="E266" s="36">
        <f>(Table143454[[#This Row],[JPN]]-B254)/B254</f>
        <v>0.10497234613255207</v>
      </c>
      <c r="F266" s="35">
        <f>VLOOKUP(Table143454[[#This Row],[Date]],'Data Core CPI'!$B:$AY,MATCH($B$2,'Data Core CPI'!$C$1:$AY$1,0),FALSE)</f>
        <v>6.6906140000000001</v>
      </c>
      <c r="G266" s="36">
        <f t="shared" si="16"/>
        <v>8.3667164021641316E-3</v>
      </c>
      <c r="H266" s="36">
        <f t="shared" si="17"/>
        <v>0.1051520345223067</v>
      </c>
      <c r="I266" s="36">
        <f>(Table143454[[#This Row],[Core CPI]]-F254)/F254</f>
        <v>0.10109475638991894</v>
      </c>
    </row>
    <row r="267" spans="1:9" x14ac:dyDescent="0.2">
      <c r="A267" s="34">
        <f>IF(Data!B295="",#N/A,Data!B295)</f>
        <v>26785</v>
      </c>
      <c r="B267" s="35">
        <f>VLOOKUP(A267,Data!B:AY,MATCH($B$2,Data!$C$1:$AY$1,0),FALSE)</f>
        <v>6.9179430000000002</v>
      </c>
      <c r="C267" s="36">
        <f t="shared" si="18"/>
        <v>1.5000057954369206E-2</v>
      </c>
      <c r="D267" s="36">
        <f t="shared" si="15"/>
        <v>0.19561899066924449</v>
      </c>
      <c r="E267" s="36">
        <f>(Table143454[[#This Row],[JPN]]-B255)/B255</f>
        <v>0.11131400228626061</v>
      </c>
      <c r="F267" s="35">
        <f>VLOOKUP(Table143454[[#This Row],[Date]],'Data Core CPI'!$B:$AY,MATCH($B$2,'Data Core CPI'!$C$1:$AY$1,0),FALSE)</f>
        <v>6.7905470000000001</v>
      </c>
      <c r="G267" s="36">
        <f t="shared" si="16"/>
        <v>1.4936297326374026E-2</v>
      </c>
      <c r="H267" s="36">
        <f t="shared" si="17"/>
        <v>0.19471802026370422</v>
      </c>
      <c r="I267" s="36">
        <f>(Table143454[[#This Row],[Core CPI]]-F255)/F255</f>
        <v>0.10802938407340142</v>
      </c>
    </row>
    <row r="268" spans="1:9" x14ac:dyDescent="0.2">
      <c r="A268" s="34">
        <f>IF(Data!B296="",#N/A,Data!B296)</f>
        <v>26816</v>
      </c>
      <c r="B268" s="35">
        <f>VLOOKUP(A268,Data!B:AY,MATCH($B$2,Data!$C$1:$AY$1,0),FALSE)</f>
        <v>6.9804199999999996</v>
      </c>
      <c r="C268" s="36">
        <f t="shared" si="18"/>
        <v>9.0311527574018502E-3</v>
      </c>
      <c r="D268" s="36">
        <f t="shared" si="15"/>
        <v>0.11392229879763094</v>
      </c>
      <c r="E268" s="36">
        <f>(Table143454[[#This Row],[JPN]]-B256)/B256</f>
        <v>0.11524500921938984</v>
      </c>
      <c r="F268" s="35">
        <f>VLOOKUP(Table143454[[#This Row],[Date]],'Data Core CPI'!$B:$AY,MATCH($B$2,'Data Core CPI'!$C$1:$AY$1,0),FALSE)</f>
        <v>6.8497649999999997</v>
      </c>
      <c r="G268" s="36">
        <f t="shared" si="16"/>
        <v>8.7206524010510211E-3</v>
      </c>
      <c r="H268" s="36">
        <f t="shared" si="17"/>
        <v>0.10981592221210401</v>
      </c>
      <c r="I268" s="36">
        <f>(Table143454[[#This Row],[Core CPI]]-F256)/F256</f>
        <v>0.11282969319938616</v>
      </c>
    </row>
    <row r="269" spans="1:9" x14ac:dyDescent="0.2">
      <c r="A269" s="34">
        <f>IF(Data!B297="",#N/A,Data!B297)</f>
        <v>26846</v>
      </c>
      <c r="B269" s="35">
        <f>VLOOKUP(A269,Data!B:AY,MATCH($B$2,Data!$C$1:$AY$1,0),FALSE)</f>
        <v>7.0201779999999996</v>
      </c>
      <c r="C269" s="36">
        <f t="shared" si="18"/>
        <v>5.6956458207386707E-3</v>
      </c>
      <c r="D269" s="36">
        <f t="shared" si="15"/>
        <v>7.0529989884776212E-2</v>
      </c>
      <c r="E269" s="36">
        <f>(Table143454[[#This Row],[JPN]]-B257)/B257</f>
        <v>0.11754064513253337</v>
      </c>
      <c r="F269" s="35">
        <f>VLOOKUP(Table143454[[#This Row],[Date]],'Data Core CPI'!$B:$AY,MATCH($B$2,'Data Core CPI'!$C$1:$AY$1,0),FALSE)</f>
        <v>6.8849289999999996</v>
      </c>
      <c r="G269" s="36">
        <f t="shared" si="16"/>
        <v>5.1336067733711577E-3</v>
      </c>
      <c r="H269" s="36">
        <f t="shared" si="17"/>
        <v>6.3372750478369433E-2</v>
      </c>
      <c r="I269" s="36">
        <f>(Table143454[[#This Row],[Core CPI]]-F257)/F257</f>
        <v>0.11509629202769993</v>
      </c>
    </row>
    <row r="270" spans="1:9" x14ac:dyDescent="0.2">
      <c r="A270" s="34">
        <f>IF(Data!B298="",#N/A,Data!B298)</f>
        <v>26877</v>
      </c>
      <c r="B270" s="35">
        <f>VLOOKUP(A270,Data!B:AY,MATCH($B$2,Data!$C$1:$AY$1,0),FALSE)</f>
        <v>7.0656160000000003</v>
      </c>
      <c r="C270" s="36">
        <f t="shared" si="18"/>
        <v>6.4724854554971678E-3</v>
      </c>
      <c r="D270" s="36">
        <f t="shared" si="15"/>
        <v>8.0495299256567288E-2</v>
      </c>
      <c r="E270" s="36">
        <f>(Table143454[[#This Row],[JPN]]-B258)/B258</f>
        <v>0.11769991242679036</v>
      </c>
      <c r="F270" s="35">
        <f>VLOOKUP(Table143454[[#This Row],[Date]],'Data Core CPI'!$B:$AY,MATCH($B$2,'Data Core CPI'!$C$1:$AY$1,0),FALSE)</f>
        <v>6.9267830000000004</v>
      </c>
      <c r="G270" s="36">
        <f t="shared" si="16"/>
        <v>6.0790750347607947E-3</v>
      </c>
      <c r="H270" s="36">
        <f t="shared" si="17"/>
        <v>7.5438046861821872E-2</v>
      </c>
      <c r="I270" s="36">
        <f>(Table143454[[#This Row],[Core CPI]]-F258)/F258</f>
        <v>0.11613303459282914</v>
      </c>
    </row>
    <row r="271" spans="1:9" x14ac:dyDescent="0.2">
      <c r="A271" s="34">
        <f>IF(Data!B299="",#N/A,Data!B299)</f>
        <v>26908</v>
      </c>
      <c r="B271" s="35">
        <f>VLOOKUP(A271,Data!B:AY,MATCH($B$2,Data!$C$1:$AY$1,0),FALSE)</f>
        <v>7.1053740000000003</v>
      </c>
      <c r="C271" s="36">
        <f t="shared" si="18"/>
        <v>5.6269686889296455E-3</v>
      </c>
      <c r="D271" s="36">
        <f t="shared" si="15"/>
        <v>6.9653064674441323E-2</v>
      </c>
      <c r="E271" s="36">
        <f>(Table143454[[#This Row],[JPN]]-B259)/B259</f>
        <v>0.11298916079238788</v>
      </c>
      <c r="F271" s="35">
        <f>VLOOKUP(Table143454[[#This Row],[Date]],'Data Core CPI'!$B:$AY,MATCH($B$2,'Data Core CPI'!$C$1:$AY$1,0),FALSE)</f>
        <v>6.9670909999999999</v>
      </c>
      <c r="G271" s="36">
        <f t="shared" si="16"/>
        <v>5.8191515455296994E-3</v>
      </c>
      <c r="H271" s="36">
        <f t="shared" si="17"/>
        <v>7.2108669355799071E-2</v>
      </c>
      <c r="I271" s="36">
        <f>(Table143454[[#This Row],[Core CPI]]-F259)/F259</f>
        <v>0.11394374905367176</v>
      </c>
    </row>
    <row r="272" spans="1:9" x14ac:dyDescent="0.2">
      <c r="A272" s="34">
        <f>IF(Data!B300="",#N/A,Data!B300)</f>
        <v>26938</v>
      </c>
      <c r="B272" s="35">
        <f>VLOOKUP(A272,Data!B:AY,MATCH($B$2,Data!$C$1:$AY$1,0),FALSE)</f>
        <v>7.162172</v>
      </c>
      <c r="C272" s="36">
        <f t="shared" si="18"/>
        <v>7.9936678913734571E-3</v>
      </c>
      <c r="D272" s="36">
        <f t="shared" si="15"/>
        <v>0.10025575058028369</v>
      </c>
      <c r="E272" s="36">
        <f>(Table143454[[#This Row],[JPN]]-B260)/B260</f>
        <v>0.11003530267651264</v>
      </c>
      <c r="F272" s="35">
        <f>VLOOKUP(Table143454[[#This Row],[Date]],'Data Core CPI'!$B:$AY,MATCH($B$2,'Data Core CPI'!$C$1:$AY$1,0),FALSE)</f>
        <v>6.9980969999999996</v>
      </c>
      <c r="G272" s="36">
        <f t="shared" si="16"/>
        <v>4.4503509427391563E-3</v>
      </c>
      <c r="H272" s="36">
        <f t="shared" si="17"/>
        <v>5.4730969259177087E-2</v>
      </c>
      <c r="I272" s="36">
        <f>(Table143454[[#This Row],[Core CPI]]-F260)/F260</f>
        <v>0.10584852708327397</v>
      </c>
    </row>
    <row r="273" spans="1:9" x14ac:dyDescent="0.2">
      <c r="A273" s="34">
        <f>IF(Data!B301="",#N/A,Data!B301)</f>
        <v>26969</v>
      </c>
      <c r="B273" s="35">
        <f>VLOOKUP(A273,Data!B:AY,MATCH($B$2,Data!$C$1:$AY$1,0),FALSE)</f>
        <v>7.2473679999999998</v>
      </c>
      <c r="C273" s="36">
        <f t="shared" si="18"/>
        <v>1.1895274226868535E-2</v>
      </c>
      <c r="D273" s="36">
        <f t="shared" si="15"/>
        <v>0.15246252436350205</v>
      </c>
      <c r="E273" s="36">
        <f>(Table143454[[#This Row],[JPN]]-B261)/B261</f>
        <v>0.11441048572113925</v>
      </c>
      <c r="F273" s="35">
        <f>VLOOKUP(Table143454[[#This Row],[Date]],'Data Core CPI'!$B:$AY,MATCH($B$2,'Data Core CPI'!$C$1:$AY$1,0),FALSE)</f>
        <v>7.0879519999999996</v>
      </c>
      <c r="G273" s="36">
        <f t="shared" si="16"/>
        <v>1.2839919195175575E-2</v>
      </c>
      <c r="H273" s="36">
        <f t="shared" si="17"/>
        <v>0.16543946121900843</v>
      </c>
      <c r="I273" s="36">
        <f>(Table143454[[#This Row],[Core CPI]]-F261)/F261</f>
        <v>0.10998250293666584</v>
      </c>
    </row>
    <row r="274" spans="1:9" x14ac:dyDescent="0.2">
      <c r="A274" s="34">
        <f>IF(Data!B302="",#N/A,Data!B302)</f>
        <v>26999</v>
      </c>
      <c r="B274" s="35">
        <f>VLOOKUP(A274,Data!B:AY,MATCH($B$2,Data!$C$1:$AY$1,0),FALSE)</f>
        <v>7.3496040000000002</v>
      </c>
      <c r="C274" s="36">
        <f t="shared" si="18"/>
        <v>1.4106638437568098E-2</v>
      </c>
      <c r="D274" s="36">
        <f t="shared" si="15"/>
        <v>0.18305111146074893</v>
      </c>
      <c r="E274" s="36">
        <f>(Table143454[[#This Row],[JPN]]-B262)/B262</f>
        <v>0.12521741979408491</v>
      </c>
      <c r="F274" s="35">
        <f>VLOOKUP(Table143454[[#This Row],[Date]],'Data Core CPI'!$B:$AY,MATCH($B$2,'Data Core CPI'!$C$1:$AY$1,0),FALSE)</f>
        <v>7.1552860000000003</v>
      </c>
      <c r="G274" s="36">
        <f t="shared" si="16"/>
        <v>9.4997821655677939E-3</v>
      </c>
      <c r="H274" s="36">
        <f t="shared" si="17"/>
        <v>0.12014631574783063</v>
      </c>
      <c r="I274" s="36">
        <f>(Table143454[[#This Row],[Core CPI]]-F262)/F262</f>
        <v>0.11623339405941099</v>
      </c>
    </row>
    <row r="275" spans="1:9" x14ac:dyDescent="0.2">
      <c r="A275" s="34">
        <f>IF(Data!B303="",#N/A,Data!B303)</f>
        <v>27030</v>
      </c>
      <c r="B275" s="35">
        <f>VLOOKUP(A275,Data!B:AY,MATCH($B$2,Data!$C$1:$AY$1,0),FALSE)</f>
        <v>7.4688790000000003</v>
      </c>
      <c r="C275" s="36">
        <f t="shared" si="18"/>
        <v>1.6228765522604993E-2</v>
      </c>
      <c r="D275" s="36">
        <f t="shared" si="15"/>
        <v>0.21310336505643823</v>
      </c>
      <c r="E275" s="36">
        <f>(Table143454[[#This Row],[JPN]]-B263)/B263</f>
        <v>0.13166959500451222</v>
      </c>
      <c r="F275" s="35">
        <f>VLOOKUP(Table143454[[#This Row],[Date]],'Data Core CPI'!$B:$AY,MATCH($B$2,'Data Core CPI'!$C$1:$AY$1,0),FALSE)</f>
        <v>7.2498310000000004</v>
      </c>
      <c r="G275" s="36">
        <f t="shared" si="16"/>
        <v>1.3213308314999672E-2</v>
      </c>
      <c r="H275" s="36">
        <f t="shared" si="17"/>
        <v>0.17060567747168487</v>
      </c>
      <c r="I275" s="36">
        <f>(Table143454[[#This Row],[Core CPI]]-F263)/F263</f>
        <v>0.11819521860917646</v>
      </c>
    </row>
    <row r="276" spans="1:9" x14ac:dyDescent="0.2">
      <c r="A276" s="34">
        <f>IF(Data!B304="",#N/A,Data!B304)</f>
        <v>27061</v>
      </c>
      <c r="B276" s="35">
        <f>VLOOKUP(A276,Data!B:AY,MATCH($B$2,Data!$C$1:$AY$1,0),FALSE)</f>
        <v>7.6279120000000002</v>
      </c>
      <c r="C276" s="36">
        <f t="shared" si="18"/>
        <v>2.1292753571185097E-2</v>
      </c>
      <c r="D276" s="36">
        <f t="shared" si="15"/>
        <v>0.28766533820422624</v>
      </c>
      <c r="E276" s="36">
        <f>(Table143454[[#This Row],[JPN]]-B264)/B264</f>
        <v>0.14297872863277158</v>
      </c>
      <c r="F276" s="35">
        <f>VLOOKUP(Table143454[[#This Row],[Date]],'Data Core CPI'!$B:$AY,MATCH($B$2,'Data Core CPI'!$C$1:$AY$1,0),FALSE)</f>
        <v>7.3985909999999997</v>
      </c>
      <c r="G276" s="36">
        <f t="shared" si="16"/>
        <v>2.0519098996928165E-2</v>
      </c>
      <c r="H276" s="36">
        <f t="shared" si="17"/>
        <v>0.2760087229958923</v>
      </c>
      <c r="I276" s="36">
        <f>(Table143454[[#This Row],[Core CPI]]-F264)/F264</f>
        <v>0.12710498377345253</v>
      </c>
    </row>
    <row r="277" spans="1:9" x14ac:dyDescent="0.2">
      <c r="A277" s="34">
        <f>IF(Data!B305="",#N/A,Data!B305)</f>
        <v>27089</v>
      </c>
      <c r="B277" s="35">
        <f>VLOOKUP(A277,Data!B:AY,MATCH($B$2,Data!$C$1:$AY$1,0),FALSE)</f>
        <v>7.8267040000000003</v>
      </c>
      <c r="C277" s="36">
        <f t="shared" si="18"/>
        <v>2.6061129179256515E-2</v>
      </c>
      <c r="D277" s="36">
        <f t="shared" si="15"/>
        <v>0.36169180490221997</v>
      </c>
      <c r="E277" s="36">
        <f>(Table143454[[#This Row],[JPN]]-B265)/B265</f>
        <v>0.1599327163192566</v>
      </c>
      <c r="F277" s="35">
        <f>VLOOKUP(Table143454[[#This Row],[Date]],'Data Core CPI'!$B:$AY,MATCH($B$2,'Data Core CPI'!$C$1:$AY$1,0),FALSE)</f>
        <v>7.5137280000000004</v>
      </c>
      <c r="G277" s="36">
        <f t="shared" si="16"/>
        <v>1.5562017146237839E-2</v>
      </c>
      <c r="H277" s="36">
        <f t="shared" si="17"/>
        <v>0.20358673994103449</v>
      </c>
      <c r="I277" s="36">
        <f>(Table143454[[#This Row],[Core CPI]]-F265)/F265</f>
        <v>0.13242121445042274</v>
      </c>
    </row>
    <row r="278" spans="1:9" x14ac:dyDescent="0.2">
      <c r="A278" s="34">
        <f>IF(Data!B306="",#N/A,Data!B306)</f>
        <v>27120</v>
      </c>
      <c r="B278" s="35">
        <f>VLOOKUP(A278,Data!B:AY,MATCH($B$2,Data!$C$1:$AY$1,0),FALSE)</f>
        <v>7.9232589999999998</v>
      </c>
      <c r="C278" s="36">
        <f t="shared" si="18"/>
        <v>1.2336610660119485E-2</v>
      </c>
      <c r="D278" s="36">
        <f t="shared" si="15"/>
        <v>0.15850874969609929</v>
      </c>
      <c r="E278" s="36">
        <f>(Table143454[[#This Row],[JPN]]-B266)/B266</f>
        <v>0.16249994314603022</v>
      </c>
      <c r="F278" s="35">
        <f>VLOOKUP(Table143454[[#This Row],[Date]],'Data Core CPI'!$B:$AY,MATCH($B$2,'Data Core CPI'!$C$1:$AY$1,0),FALSE)</f>
        <v>7.5939519999999998</v>
      </c>
      <c r="G278" s="36">
        <f t="shared" si="16"/>
        <v>1.0676990170525036E-2</v>
      </c>
      <c r="H278" s="36">
        <f t="shared" si="17"/>
        <v>0.13592207648441512</v>
      </c>
      <c r="I278" s="36">
        <f>(Table143454[[#This Row],[Core CPI]]-F266)/F266</f>
        <v>0.1350157100678652</v>
      </c>
    </row>
    <row r="279" spans="1:9" x14ac:dyDescent="0.2">
      <c r="A279" s="34">
        <f>IF(Data!B307="",#N/A,Data!B307)</f>
        <v>27150</v>
      </c>
      <c r="B279" s="35">
        <f>VLOOKUP(A279,Data!B:AY,MATCH($B$2,Data!$C$1:$AY$1,0),FALSE)</f>
        <v>8.0368549999999992</v>
      </c>
      <c r="C279" s="36">
        <f t="shared" si="18"/>
        <v>1.4337029750005614E-2</v>
      </c>
      <c r="D279" s="36">
        <f t="shared" si="15"/>
        <v>0.18628042312314341</v>
      </c>
      <c r="E279" s="36">
        <f>(Table143454[[#This Row],[JPN]]-B267)/B267</f>
        <v>0.16174056363286007</v>
      </c>
      <c r="F279" s="35">
        <f>VLOOKUP(Table143454[[#This Row],[Date]],'Data Core CPI'!$B:$AY,MATCH($B$2,'Data Core CPI'!$C$1:$AY$1,0),FALSE)</f>
        <v>7.720726</v>
      </c>
      <c r="G279" s="36">
        <f t="shared" si="16"/>
        <v>1.6694074442398454E-2</v>
      </c>
      <c r="H279" s="36">
        <f t="shared" si="17"/>
        <v>0.21978561838543653</v>
      </c>
      <c r="I279" s="36">
        <f>(Table143454[[#This Row],[Core CPI]]-F267)/F267</f>
        <v>0.13698145377684592</v>
      </c>
    </row>
    <row r="280" spans="1:9" x14ac:dyDescent="0.2">
      <c r="A280" s="34">
        <f>IF(Data!B308="",#N/A,Data!B308)</f>
        <v>27181</v>
      </c>
      <c r="B280" s="35">
        <f>VLOOKUP(A280,Data!B:AY,MATCH($B$2,Data!$C$1:$AY$1,0),FALSE)</f>
        <v>8.1504499999999993</v>
      </c>
      <c r="C280" s="36">
        <f t="shared" si="18"/>
        <v>1.4134260229903273E-2</v>
      </c>
      <c r="D280" s="36">
        <f t="shared" si="15"/>
        <v>0.18343785052790773</v>
      </c>
      <c r="E280" s="36">
        <f>(Table143454[[#This Row],[JPN]]-B268)/B268</f>
        <v>0.16761598872274158</v>
      </c>
      <c r="F280" s="35">
        <f>VLOOKUP(Table143454[[#This Row],[Date]],'Data Core CPI'!$B:$AY,MATCH($B$2,'Data Core CPI'!$C$1:$AY$1,0),FALSE)</f>
        <v>7.8381400000000001</v>
      </c>
      <c r="G280" s="36">
        <f t="shared" si="16"/>
        <v>1.5207637209246894E-2</v>
      </c>
      <c r="H280" s="36">
        <f t="shared" si="17"/>
        <v>0.19855650836066463</v>
      </c>
      <c r="I280" s="36">
        <f>(Table143454[[#This Row],[Core CPI]]-F268)/F268</f>
        <v>0.14429327137500345</v>
      </c>
    </row>
    <row r="281" spans="1:9" x14ac:dyDescent="0.2">
      <c r="A281" s="34">
        <f>IF(Data!B309="",#N/A,Data!B309)</f>
        <v>27211</v>
      </c>
      <c r="B281" s="35">
        <f>VLOOKUP(A281,Data!B:AY,MATCH($B$2,Data!$C$1:$AY$1,0),FALSE)</f>
        <v>8.3151630000000001</v>
      </c>
      <c r="C281" s="36">
        <f t="shared" si="18"/>
        <v>2.0209068210957692E-2</v>
      </c>
      <c r="D281" s="36">
        <f t="shared" si="15"/>
        <v>0.27136471406214202</v>
      </c>
      <c r="E281" s="36">
        <f>(Table143454[[#This Row],[JPN]]-B269)/B269</f>
        <v>0.18446612037472562</v>
      </c>
      <c r="F281" s="35">
        <f>VLOOKUP(Table143454[[#This Row],[Date]],'Data Core CPI'!$B:$AY,MATCH($B$2,'Data Core CPI'!$C$1:$AY$1,0),FALSE)</f>
        <v>7.9381259999999996</v>
      </c>
      <c r="G281" s="36">
        <f t="shared" si="16"/>
        <v>1.2756342703753587E-2</v>
      </c>
      <c r="H281" s="36">
        <f t="shared" si="17"/>
        <v>0.16428596228300441</v>
      </c>
      <c r="I281" s="36">
        <f>(Table143454[[#This Row],[Core CPI]]-F269)/F269</f>
        <v>0.15297136687974561</v>
      </c>
    </row>
    <row r="282" spans="1:9" x14ac:dyDescent="0.2">
      <c r="A282" s="34">
        <f>IF(Data!B310="",#N/A,Data!B310)</f>
        <v>27242</v>
      </c>
      <c r="B282" s="35">
        <f>VLOOKUP(A282,Data!B:AY,MATCH($B$2,Data!$C$1:$AY$1,0),FALSE)</f>
        <v>8.4969149999999996</v>
      </c>
      <c r="C282" s="36">
        <f t="shared" si="18"/>
        <v>2.1857899839125228E-2</v>
      </c>
      <c r="D282" s="36">
        <f t="shared" si="15"/>
        <v>0.2962419759409527</v>
      </c>
      <c r="E282" s="36">
        <f>(Table143454[[#This Row],[JPN]]-B270)/B270</f>
        <v>0.20257242963670813</v>
      </c>
      <c r="F282" s="35">
        <f>VLOOKUP(Table143454[[#This Row],[Date]],'Data Core CPI'!$B:$AY,MATCH($B$2,'Data Core CPI'!$C$1:$AY$1,0),FALSE)</f>
        <v>8.1071720000000003</v>
      </c>
      <c r="G282" s="36">
        <f t="shared" si="16"/>
        <v>2.1295454367945332E-2</v>
      </c>
      <c r="H282" s="36">
        <f t="shared" si="17"/>
        <v>0.28770620138996095</v>
      </c>
      <c r="I282" s="36">
        <f>(Table143454[[#This Row],[Core CPI]]-F270)/F270</f>
        <v>0.1704094093896113</v>
      </c>
    </row>
    <row r="283" spans="1:9" x14ac:dyDescent="0.2">
      <c r="A283" s="34">
        <f>IF(Data!B311="",#N/A,Data!B311)</f>
        <v>27273</v>
      </c>
      <c r="B283" s="35">
        <f>VLOOKUP(A283,Data!B:AY,MATCH($B$2,Data!$C$1:$AY$1,0),FALSE)</f>
        <v>8.7411440000000002</v>
      </c>
      <c r="C283" s="36">
        <f t="shared" si="18"/>
        <v>2.8743255640429677E-2</v>
      </c>
      <c r="D283" s="36">
        <f t="shared" si="15"/>
        <v>0.40502487227369688</v>
      </c>
      <c r="E283" s="36">
        <f>(Table143454[[#This Row],[JPN]]-B271)/B271</f>
        <v>0.23021589011359569</v>
      </c>
      <c r="F283" s="35">
        <f>VLOOKUP(Table143454[[#This Row],[Date]],'Data Core CPI'!$B:$AY,MATCH($B$2,'Data Core CPI'!$C$1:$AY$1,0),FALSE)</f>
        <v>8.3335150000000002</v>
      </c>
      <c r="G283" s="36">
        <f t="shared" si="16"/>
        <v>2.791885999211563E-2</v>
      </c>
      <c r="H283" s="36">
        <f t="shared" si="17"/>
        <v>0.39157306318936347</v>
      </c>
      <c r="I283" s="36">
        <f>(Table143454[[#This Row],[Core CPI]]-F271)/F271</f>
        <v>0.19612547044383377</v>
      </c>
    </row>
    <row r="284" spans="1:9" x14ac:dyDescent="0.2">
      <c r="A284" s="34">
        <f>IF(Data!B312="",#N/A,Data!B312)</f>
        <v>27303</v>
      </c>
      <c r="B284" s="35">
        <f>VLOOKUP(A284,Data!B:AY,MATCH($B$2,Data!$C$1:$AY$1,0),FALSE)</f>
        <v>8.9058569999999992</v>
      </c>
      <c r="C284" s="36">
        <f t="shared" si="18"/>
        <v>1.8843414546196646E-2</v>
      </c>
      <c r="D284" s="36">
        <f t="shared" si="15"/>
        <v>0.25109218716738857</v>
      </c>
      <c r="E284" s="36">
        <f>(Table143454[[#This Row],[JPN]]-B272)/B272</f>
        <v>0.24345757125073222</v>
      </c>
      <c r="F284" s="35">
        <f>VLOOKUP(Table143454[[#This Row],[Date]],'Data Core CPI'!$B:$AY,MATCH($B$2,'Data Core CPI'!$C$1:$AY$1,0),FALSE)</f>
        <v>8.4873060000000002</v>
      </c>
      <c r="G284" s="36">
        <f t="shared" si="16"/>
        <v>1.8454517691514294E-2</v>
      </c>
      <c r="H284" s="36">
        <f t="shared" si="17"/>
        <v>0.24537363611109053</v>
      </c>
      <c r="I284" s="36">
        <f>(Table143454[[#This Row],[Core CPI]]-F272)/F272</f>
        <v>0.21280199459938906</v>
      </c>
    </row>
    <row r="285" spans="1:9" x14ac:dyDescent="0.2">
      <c r="A285" s="34">
        <f>IF(Data!B313="",#N/A,Data!B313)</f>
        <v>27334</v>
      </c>
      <c r="B285" s="35">
        <f>VLOOKUP(A285,Data!B:AY,MATCH($B$2,Data!$C$1:$AY$1,0),FALSE)</f>
        <v>9.0762499999999999</v>
      </c>
      <c r="C285" s="36">
        <f t="shared" si="18"/>
        <v>1.9132689869150177E-2</v>
      </c>
      <c r="D285" s="36">
        <f t="shared" si="15"/>
        <v>0.2553614491310543</v>
      </c>
      <c r="E285" s="36">
        <f>(Table143454[[#This Row],[JPN]]-B273)/B273</f>
        <v>0.25235119839367892</v>
      </c>
      <c r="F285" s="35">
        <f>VLOOKUP(Table143454[[#This Row],[Date]],'Data Core CPI'!$B:$AY,MATCH($B$2,'Data Core CPI'!$C$1:$AY$1,0),FALSE)</f>
        <v>8.6701630000000005</v>
      </c>
      <c r="G285" s="36">
        <f t="shared" si="16"/>
        <v>2.1544763438480885E-2</v>
      </c>
      <c r="H285" s="36">
        <f t="shared" si="17"/>
        <v>0.29148338315454669</v>
      </c>
      <c r="I285" s="36">
        <f>(Table143454[[#This Row],[Core CPI]]-F273)/F273</f>
        <v>0.22322541123303333</v>
      </c>
    </row>
    <row r="286" spans="1:9" x14ac:dyDescent="0.2">
      <c r="A286" s="34">
        <f>IF(Data!B314="",#N/A,Data!B314)</f>
        <v>27364</v>
      </c>
      <c r="B286" s="35">
        <f>VLOOKUP(A286,Data!B:AY,MATCH($B$2,Data!$C$1:$AY$1,0),FALSE)</f>
        <v>9.1500859999999999</v>
      </c>
      <c r="C286" s="36">
        <f t="shared" si="18"/>
        <v>8.1350778129734014E-3</v>
      </c>
      <c r="D286" s="36">
        <f t="shared" si="15"/>
        <v>0.10210941918328342</v>
      </c>
      <c r="E286" s="36">
        <f>(Table143454[[#This Row],[JPN]]-B274)/B274</f>
        <v>0.24497673616156729</v>
      </c>
      <c r="F286" s="35">
        <f>VLOOKUP(Table143454[[#This Row],[Date]],'Data Core CPI'!$B:$AY,MATCH($B$2,'Data Core CPI'!$C$1:$AY$1,0),FALSE)</f>
        <v>8.7369160000000008</v>
      </c>
      <c r="G286" s="36">
        <f t="shared" si="16"/>
        <v>7.6991632106571117E-3</v>
      </c>
      <c r="H286" s="36">
        <f t="shared" si="17"/>
        <v>9.6404413519298293E-2</v>
      </c>
      <c r="I286" s="36">
        <f>(Table143454[[#This Row],[Core CPI]]-F274)/F274</f>
        <v>0.22104357533717037</v>
      </c>
    </row>
    <row r="287" spans="1:9" x14ac:dyDescent="0.2">
      <c r="A287" s="34">
        <f>IF(Data!B315="",#N/A,Data!B315)</f>
        <v>27395</v>
      </c>
      <c r="B287" s="35">
        <f>VLOOKUP(A287,Data!B:AY,MATCH($B$2,Data!$C$1:$AY$1,0),FALSE)</f>
        <v>9.269361</v>
      </c>
      <c r="C287" s="36">
        <f t="shared" si="18"/>
        <v>1.3035396607201211E-2</v>
      </c>
      <c r="D287" s="36">
        <f t="shared" si="15"/>
        <v>0.16814147643056687</v>
      </c>
      <c r="E287" s="36">
        <f>(Table143454[[#This Row],[JPN]]-B275)/B275</f>
        <v>0.24106455600632967</v>
      </c>
      <c r="F287" s="35">
        <f>VLOOKUP(Table143454[[#This Row],[Date]],'Data Core CPI'!$B:$AY,MATCH($B$2,'Data Core CPI'!$C$1:$AY$1,0),FALSE)</f>
        <v>8.8581719999999997</v>
      </c>
      <c r="G287" s="36">
        <f t="shared" si="16"/>
        <v>1.3878581412479996E-2</v>
      </c>
      <c r="H287" s="36">
        <f t="shared" si="17"/>
        <v>0.17986245677745272</v>
      </c>
      <c r="I287" s="36">
        <f>(Table143454[[#This Row],[Core CPI]]-F275)/F275</f>
        <v>0.22184530922169071</v>
      </c>
    </row>
    <row r="288" spans="1:9" x14ac:dyDescent="0.2">
      <c r="A288" s="34">
        <f>IF(Data!B316="",#N/A,Data!B316)</f>
        <v>27426</v>
      </c>
      <c r="B288" s="35">
        <f>VLOOKUP(A288,Data!B:AY,MATCH($B$2,Data!$C$1:$AY$1,0),FALSE)</f>
        <v>9.4056759999999997</v>
      </c>
      <c r="C288" s="36">
        <f t="shared" si="18"/>
        <v>1.4705975956702977E-2</v>
      </c>
      <c r="D288" s="36">
        <f t="shared" si="15"/>
        <v>0.19146864306769995</v>
      </c>
      <c r="E288" s="36">
        <f>(Table143454[[#This Row],[JPN]]-B276)/B276</f>
        <v>0.23306037091146298</v>
      </c>
      <c r="F288" s="35">
        <f>VLOOKUP(Table143454[[#This Row],[Date]],'Data Core CPI'!$B:$AY,MATCH($B$2,'Data Core CPI'!$C$1:$AY$1,0),FALSE)</f>
        <v>9.0148069999999993</v>
      </c>
      <c r="G288" s="36">
        <f t="shared" si="16"/>
        <v>1.7682542176873373E-2</v>
      </c>
      <c r="H288" s="36">
        <f t="shared" si="17"/>
        <v>0.23409301380389946</v>
      </c>
      <c r="I288" s="36">
        <f>(Table143454[[#This Row],[Core CPI]]-F276)/F276</f>
        <v>0.21844916146871746</v>
      </c>
    </row>
    <row r="289" spans="1:9" x14ac:dyDescent="0.2">
      <c r="A289" s="34">
        <f>IF(Data!B317="",#N/A,Data!B317)</f>
        <v>27454</v>
      </c>
      <c r="B289" s="35">
        <f>VLOOKUP(A289,Data!B:AY,MATCH($B$2,Data!$C$1:$AY$1,0),FALSE)</f>
        <v>9.4170350000000003</v>
      </c>
      <c r="C289" s="36">
        <f t="shared" si="18"/>
        <v>1.207675025165722E-3</v>
      </c>
      <c r="D289" s="36">
        <f t="shared" si="15"/>
        <v>1.4588748469851254E-2</v>
      </c>
      <c r="E289" s="36">
        <f>(Table143454[[#This Row],[JPN]]-B277)/B277</f>
        <v>0.20319294047660419</v>
      </c>
      <c r="F289" s="35">
        <f>VLOOKUP(Table143454[[#This Row],[Date]],'Data Core CPI'!$B:$AY,MATCH($B$2,'Data Core CPI'!$C$1:$AY$1,0),FALSE)</f>
        <v>9.0071019999999997</v>
      </c>
      <c r="G289" s="36">
        <f t="shared" si="16"/>
        <v>-8.5470493156425409E-4</v>
      </c>
      <c r="H289" s="36">
        <f t="shared" si="17"/>
        <v>-1.020838192413509E-2</v>
      </c>
      <c r="I289" s="36">
        <f>(Table143454[[#This Row],[Core CPI]]-F277)/F277</f>
        <v>0.1987527363247644</v>
      </c>
    </row>
    <row r="290" spans="1:9" x14ac:dyDescent="0.2">
      <c r="A290" s="34">
        <f>IF(Data!B318="",#N/A,Data!B318)</f>
        <v>27485</v>
      </c>
      <c r="B290" s="35">
        <f>VLOOKUP(A290,Data!B:AY,MATCH($B$2,Data!$C$1:$AY$1,0),FALSE)</f>
        <v>9.5419889999999992</v>
      </c>
      <c r="C290" s="36">
        <f t="shared" si="18"/>
        <v>1.326893231255899E-2</v>
      </c>
      <c r="D290" s="36">
        <f t="shared" si="15"/>
        <v>0.17137708579425248</v>
      </c>
      <c r="E290" s="36">
        <f>(Table143454[[#This Row],[JPN]]-B278)/B278</f>
        <v>0.2043010331985865</v>
      </c>
      <c r="F290" s="35">
        <f>VLOOKUP(Table143454[[#This Row],[Date]],'Data Core CPI'!$B:$AY,MATCH($B$2,'Data Core CPI'!$C$1:$AY$1,0),FALSE)</f>
        <v>9.1349350000000005</v>
      </c>
      <c r="G290" s="36">
        <f t="shared" si="16"/>
        <v>1.4192467233079098E-2</v>
      </c>
      <c r="H290" s="36">
        <f t="shared" si="17"/>
        <v>0.18425319961264219</v>
      </c>
      <c r="I290" s="36">
        <f>(Table143454[[#This Row],[Core CPI]]-F278)/F278</f>
        <v>0.20292240456616012</v>
      </c>
    </row>
    <row r="291" spans="1:9" x14ac:dyDescent="0.2">
      <c r="A291" s="34">
        <f>IF(Data!B319="",#N/A,Data!B319)</f>
        <v>27515</v>
      </c>
      <c r="B291" s="35">
        <f>VLOOKUP(A291,Data!B:AY,MATCH($B$2,Data!$C$1:$AY$1,0),FALSE)</f>
        <v>9.6215060000000001</v>
      </c>
      <c r="C291" s="36">
        <f t="shared" si="18"/>
        <v>8.3333778733134523E-3</v>
      </c>
      <c r="D291" s="36">
        <f t="shared" si="15"/>
        <v>0.10471365300849134</v>
      </c>
      <c r="E291" s="36">
        <f>(Table143454[[#This Row],[JPN]]-B279)/B279</f>
        <v>0.19717302352723809</v>
      </c>
      <c r="F291" s="35">
        <f>VLOOKUP(Table143454[[#This Row],[Date]],'Data Core CPI'!$B:$AY,MATCH($B$2,'Data Core CPI'!$C$1:$AY$1,0),FALSE)</f>
        <v>9.2211750000000006</v>
      </c>
      <c r="G291" s="36">
        <f t="shared" si="16"/>
        <v>9.4406802018842662E-3</v>
      </c>
      <c r="H291" s="36">
        <f t="shared" si="17"/>
        <v>0.11935961086967528</v>
      </c>
      <c r="I291" s="36">
        <f>(Table143454[[#This Row],[Core CPI]]-F279)/F279</f>
        <v>0.19434040270306194</v>
      </c>
    </row>
    <row r="292" spans="1:9" x14ac:dyDescent="0.2">
      <c r="A292" s="34">
        <f>IF(Data!B320="",#N/A,Data!B320)</f>
        <v>27546</v>
      </c>
      <c r="B292" s="35">
        <f>VLOOKUP(A292,Data!B:AY,MATCH($B$2,Data!$C$1:$AY$1,0),FALSE)</f>
        <v>9.6953429999999994</v>
      </c>
      <c r="C292" s="36">
        <f t="shared" si="18"/>
        <v>7.6741624440082035E-3</v>
      </c>
      <c r="D292" s="36">
        <f t="shared" si="15"/>
        <v>9.6078039793315861E-2</v>
      </c>
      <c r="E292" s="36">
        <f>(Table143454[[#This Row],[JPN]]-B280)/B280</f>
        <v>0.18954695752995235</v>
      </c>
      <c r="F292" s="35">
        <f>VLOOKUP(Table143454[[#This Row],[Date]],'Data Core CPI'!$B:$AY,MATCH($B$2,'Data Core CPI'!$C$1:$AY$1,0),FALSE)</f>
        <v>9.2945489999999999</v>
      </c>
      <c r="G292" s="36">
        <f t="shared" si="16"/>
        <v>7.9571204320489919E-3</v>
      </c>
      <c r="H292" s="36">
        <f t="shared" si="17"/>
        <v>9.9777134068986584E-2</v>
      </c>
      <c r="I292" s="36">
        <f>(Table143454[[#This Row],[Core CPI]]-F280)/F280</f>
        <v>0.18581053668344782</v>
      </c>
    </row>
    <row r="293" spans="1:9" x14ac:dyDescent="0.2">
      <c r="A293" s="34">
        <f>IF(Data!B321="",#N/A,Data!B321)</f>
        <v>27576</v>
      </c>
      <c r="B293" s="35">
        <f>VLOOKUP(A293,Data!B:AY,MATCH($B$2,Data!$C$1:$AY$1,0),FALSE)</f>
        <v>9.7351019999999995</v>
      </c>
      <c r="C293" s="36">
        <f t="shared" si="18"/>
        <v>4.1008348028532815E-3</v>
      </c>
      <c r="D293" s="36">
        <f t="shared" si="15"/>
        <v>5.0335242271279057E-2</v>
      </c>
      <c r="E293" s="36">
        <f>(Table143454[[#This Row],[JPN]]-B281)/B281</f>
        <v>0.17076502288650258</v>
      </c>
      <c r="F293" s="35">
        <f>VLOOKUP(Table143454[[#This Row],[Date]],'Data Core CPI'!$B:$AY,MATCH($B$2,'Data Core CPI'!$C$1:$AY$1,0),FALSE)</f>
        <v>9.3311200000000003</v>
      </c>
      <c r="G293" s="36">
        <f t="shared" si="16"/>
        <v>3.9346718167820871E-3</v>
      </c>
      <c r="H293" s="36">
        <f t="shared" si="17"/>
        <v>4.8251370926098325E-2</v>
      </c>
      <c r="I293" s="36">
        <f>(Table143454[[#This Row],[Core CPI]]-F281)/F281</f>
        <v>0.17548146754032384</v>
      </c>
    </row>
    <row r="294" spans="1:9" x14ac:dyDescent="0.2">
      <c r="A294" s="34">
        <f>IF(Data!B322="",#N/A,Data!B322)</f>
        <v>27607</v>
      </c>
      <c r="B294" s="35">
        <f>VLOOKUP(A294,Data!B:AY,MATCH($B$2,Data!$C$1:$AY$1,0),FALSE)</f>
        <v>9.7975790000000007</v>
      </c>
      <c r="C294" s="36">
        <f t="shared" si="18"/>
        <v>6.4177036871315707E-3</v>
      </c>
      <c r="D294" s="36">
        <f t="shared" si="15"/>
        <v>7.9789780992353343E-2</v>
      </c>
      <c r="E294" s="36">
        <f>(Table143454[[#This Row],[JPN]]-B282)/B282</f>
        <v>0.15307485128426038</v>
      </c>
      <c r="F294" s="35">
        <f>VLOOKUP(Table143454[[#This Row],[Date]],'Data Core CPI'!$B:$AY,MATCH($B$2,'Data Core CPI'!$C$1:$AY$1,0),FALSE)</f>
        <v>9.3936320000000002</v>
      </c>
      <c r="G294" s="36">
        <f t="shared" si="16"/>
        <v>6.6993029775632706E-3</v>
      </c>
      <c r="H294" s="36">
        <f t="shared" si="17"/>
        <v>8.3420914364280563E-2</v>
      </c>
      <c r="I294" s="36">
        <f>(Table143454[[#This Row],[Core CPI]]-F282)/F282</f>
        <v>0.15868172033355157</v>
      </c>
    </row>
    <row r="295" spans="1:9" x14ac:dyDescent="0.2">
      <c r="A295" s="34">
        <f>IF(Data!B323="",#N/A,Data!B323)</f>
        <v>27638</v>
      </c>
      <c r="B295" s="35">
        <f>VLOOKUP(A295,Data!B:AY,MATCH($B$2,Data!$C$1:$AY$1,0),FALSE)</f>
        <v>9.8770950000000006</v>
      </c>
      <c r="C295" s="36">
        <f t="shared" si="18"/>
        <v>8.1158825052596306E-3</v>
      </c>
      <c r="D295" s="36">
        <f t="shared" si="15"/>
        <v>0.10185763013706417</v>
      </c>
      <c r="E295" s="36">
        <f>(Table143454[[#This Row],[JPN]]-B283)/B283</f>
        <v>0.12995450023475191</v>
      </c>
      <c r="F295" s="35">
        <f>VLOOKUP(Table143454[[#This Row],[Date]],'Data Core CPI'!$B:$AY,MATCH($B$2,'Data Core CPI'!$C$1:$AY$1,0),FALSE)</f>
        <v>9.4614860000000007</v>
      </c>
      <c r="G295" s="36">
        <f t="shared" si="16"/>
        <v>7.2234041103591551E-3</v>
      </c>
      <c r="H295" s="36">
        <f t="shared" si="17"/>
        <v>9.0208850009852348E-2</v>
      </c>
      <c r="I295" s="36">
        <f>(Table143454[[#This Row],[Core CPI]]-F283)/F283</f>
        <v>0.13535356929218947</v>
      </c>
    </row>
    <row r="296" spans="1:9" x14ac:dyDescent="0.2">
      <c r="A296" s="34">
        <f>IF(Data!B324="",#N/A,Data!B324)</f>
        <v>27668</v>
      </c>
      <c r="B296" s="35">
        <f>VLOOKUP(A296,Data!B:AY,MATCH($B$2,Data!$C$1:$AY$1,0),FALSE)</f>
        <v>9.9850100000000008</v>
      </c>
      <c r="C296" s="36">
        <f t="shared" si="18"/>
        <v>1.0925783340141937E-2</v>
      </c>
      <c r="D296" s="36">
        <f t="shared" si="15"/>
        <v>0.13928211255367939</v>
      </c>
      <c r="E296" s="36">
        <f>(Table143454[[#This Row],[JPN]]-B284)/B284</f>
        <v>0.12117340307620049</v>
      </c>
      <c r="F296" s="35">
        <f>VLOOKUP(Table143454[[#This Row],[Date]],'Data Core CPI'!$B:$AY,MATCH($B$2,'Data Core CPI'!$C$1:$AY$1,0),FALSE)</f>
        <v>9.5713259999999991</v>
      </c>
      <c r="G296" s="36">
        <f t="shared" si="16"/>
        <v>1.1609170060601359E-2</v>
      </c>
      <c r="H296" s="36">
        <f t="shared" si="17"/>
        <v>0.14855841995674046</v>
      </c>
      <c r="I296" s="36">
        <f>(Table143454[[#This Row],[Core CPI]]-F284)/F284</f>
        <v>0.12772250700045443</v>
      </c>
    </row>
    <row r="297" spans="1:9" x14ac:dyDescent="0.2">
      <c r="A297" s="34">
        <f>IF(Data!B325="",#N/A,Data!B325)</f>
        <v>27699</v>
      </c>
      <c r="B297" s="35">
        <f>VLOOKUP(A297,Data!B:AY,MATCH($B$2,Data!$C$1:$AY$1,0),FALSE)</f>
        <v>10.098610000000001</v>
      </c>
      <c r="C297" s="36">
        <f t="shared" si="18"/>
        <v>1.1377054204252168E-2</v>
      </c>
      <c r="D297" s="36">
        <f t="shared" si="15"/>
        <v>0.14539993809552798</v>
      </c>
      <c r="E297" s="36">
        <f>(Table143454[[#This Row],[JPN]]-B285)/B285</f>
        <v>0.11264123398980866</v>
      </c>
      <c r="F297" s="35">
        <f>VLOOKUP(Table143454[[#This Row],[Date]],'Data Core CPI'!$B:$AY,MATCH($B$2,'Data Core CPI'!$C$1:$AY$1,0),FALSE)</f>
        <v>9.6906289999999995</v>
      </c>
      <c r="G297" s="36">
        <f t="shared" si="16"/>
        <v>1.2464626113456001E-2</v>
      </c>
      <c r="H297" s="36">
        <f t="shared" si="17"/>
        <v>0.16026796946112043</v>
      </c>
      <c r="I297" s="36">
        <f>(Table143454[[#This Row],[Core CPI]]-F285)/F285</f>
        <v>0.11769859459389621</v>
      </c>
    </row>
    <row r="298" spans="1:9" x14ac:dyDescent="0.2">
      <c r="A298" s="34">
        <f>IF(Data!B326="",#N/A,Data!B326)</f>
        <v>27729</v>
      </c>
      <c r="B298" s="35">
        <f>VLOOKUP(A298,Data!B:AY,MATCH($B$2,Data!$C$1:$AY$1,0),FALSE)</f>
        <v>10.17812</v>
      </c>
      <c r="C298" s="36">
        <f t="shared" si="18"/>
        <v>7.8733607892569335E-3</v>
      </c>
      <c r="D298" s="36">
        <f t="shared" si="15"/>
        <v>9.8680958268082319E-2</v>
      </c>
      <c r="E298" s="36">
        <f>(Table143454[[#This Row],[JPN]]-B286)/B286</f>
        <v>0.11235238663330595</v>
      </c>
      <c r="F298" s="35">
        <f>VLOOKUP(Table143454[[#This Row],[Date]],'Data Core CPI'!$B:$AY,MATCH($B$2,'Data Core CPI'!$C$1:$AY$1,0),FALSE)</f>
        <v>9.7414620000000003</v>
      </c>
      <c r="G298" s="36">
        <f t="shared" si="16"/>
        <v>5.245583129846354E-3</v>
      </c>
      <c r="H298" s="36">
        <f t="shared" si="17"/>
        <v>6.4795195309630405E-2</v>
      </c>
      <c r="I298" s="36">
        <f>(Table143454[[#This Row],[Core CPI]]-F286)/F286</f>
        <v>0.11497718416887599</v>
      </c>
    </row>
    <row r="299" spans="1:9" x14ac:dyDescent="0.2">
      <c r="A299" s="34">
        <f>IF(Data!B327="",#N/A,Data!B327)</f>
        <v>27760</v>
      </c>
      <c r="B299" s="35">
        <f>VLOOKUP(A299,Data!B:AY,MATCH($B$2,Data!$C$1:$AY$1,0),FALSE)</f>
        <v>10.28604</v>
      </c>
      <c r="C299" s="36">
        <f t="shared" si="18"/>
        <v>1.0603136925090295E-2</v>
      </c>
      <c r="D299" s="36">
        <f t="shared" si="15"/>
        <v>0.13492641328302435</v>
      </c>
      <c r="E299" s="36">
        <f>(Table143454[[#This Row],[JPN]]-B287)/B287</f>
        <v>0.10968167061354066</v>
      </c>
      <c r="F299" s="35">
        <f>VLOOKUP(Table143454[[#This Row],[Date]],'Data Core CPI'!$B:$AY,MATCH($B$2,'Data Core CPI'!$C$1:$AY$1,0),FALSE)</f>
        <v>9.9443149999999996</v>
      </c>
      <c r="G299" s="36">
        <f t="shared" si="16"/>
        <v>2.0823671025971269E-2</v>
      </c>
      <c r="H299" s="36">
        <f t="shared" si="17"/>
        <v>0.28058610093444392</v>
      </c>
      <c r="I299" s="36">
        <f>(Table143454[[#This Row],[Core CPI]]-F287)/F287</f>
        <v>0.1226148013382445</v>
      </c>
    </row>
    <row r="300" spans="1:9" x14ac:dyDescent="0.2">
      <c r="A300" s="34">
        <f>IF(Data!B328="",#N/A,Data!B328)</f>
        <v>27791</v>
      </c>
      <c r="B300" s="35">
        <f>VLOOKUP(A300,Data!B:AY,MATCH($B$2,Data!$C$1:$AY$1,0),FALSE)</f>
        <v>10.51323</v>
      </c>
      <c r="C300" s="36">
        <f t="shared" si="18"/>
        <v>2.2087217238120793E-2</v>
      </c>
      <c r="D300" s="36">
        <f t="shared" si="15"/>
        <v>0.29973699809600962</v>
      </c>
      <c r="E300" s="36">
        <f>(Table143454[[#This Row],[JPN]]-B288)/B288</f>
        <v>0.11775379037083569</v>
      </c>
      <c r="F300" s="35">
        <f>VLOOKUP(Table143454[[#This Row],[Date]],'Data Core CPI'!$B:$AY,MATCH($B$2,'Data Core CPI'!$C$1:$AY$1,0),FALSE)</f>
        <v>10.16846</v>
      </c>
      <c r="G300" s="36">
        <f t="shared" si="16"/>
        <v>2.2540014068339609E-2</v>
      </c>
      <c r="H300" s="36">
        <f t="shared" si="17"/>
        <v>0.30666344659084221</v>
      </c>
      <c r="I300" s="36">
        <f>(Table143454[[#This Row],[Core CPI]]-F288)/F288</f>
        <v>0.12797312244177833</v>
      </c>
    </row>
    <row r="301" spans="1:9" x14ac:dyDescent="0.2">
      <c r="A301" s="34">
        <f>IF(Data!B329="",#N/A,Data!B329)</f>
        <v>27820</v>
      </c>
      <c r="B301" s="35">
        <f>VLOOKUP(A301,Data!B:AY,MATCH($B$2,Data!$C$1:$AY$1,0),FALSE)</f>
        <v>10.723380000000001</v>
      </c>
      <c r="C301" s="36">
        <f t="shared" si="18"/>
        <v>1.9989099448979974E-2</v>
      </c>
      <c r="D301" s="36">
        <f t="shared" si="15"/>
        <v>0.26807916254083874</v>
      </c>
      <c r="E301" s="36">
        <f>(Table143454[[#This Row],[JPN]]-B289)/B289</f>
        <v>0.1387214765581736</v>
      </c>
      <c r="F301" s="35">
        <f>VLOOKUP(Table143454[[#This Row],[Date]],'Data Core CPI'!$B:$AY,MATCH($B$2,'Data Core CPI'!$C$1:$AY$1,0),FALSE)</f>
        <v>10.32067</v>
      </c>
      <c r="G301" s="36">
        <f t="shared" si="16"/>
        <v>1.4968835005497505E-2</v>
      </c>
      <c r="H301" s="36">
        <f t="shared" si="17"/>
        <v>0.19517771658211802</v>
      </c>
      <c r="I301" s="36">
        <f>(Table143454[[#This Row],[Core CPI]]-F289)/F289</f>
        <v>0.14583691846722732</v>
      </c>
    </row>
    <row r="302" spans="1:9" x14ac:dyDescent="0.2">
      <c r="A302" s="34">
        <f>IF(Data!B330="",#N/A,Data!B330)</f>
        <v>27851</v>
      </c>
      <c r="B302" s="35">
        <f>VLOOKUP(A302,Data!B:AY,MATCH($B$2,Data!$C$1:$AY$1,0),FALSE)</f>
        <v>11.00737</v>
      </c>
      <c r="C302" s="36">
        <f t="shared" si="18"/>
        <v>2.6483254347043461E-2</v>
      </c>
      <c r="D302" s="36">
        <f t="shared" si="15"/>
        <v>0.36842949455652607</v>
      </c>
      <c r="E302" s="36">
        <f>(Table143454[[#This Row],[JPN]]-B290)/B290</f>
        <v>0.15357186012266424</v>
      </c>
      <c r="F302" s="35">
        <f>VLOOKUP(Table143454[[#This Row],[Date]],'Data Core CPI'!$B:$AY,MATCH($B$2,'Data Core CPI'!$C$1:$AY$1,0),FALSE)</f>
        <v>10.522930000000001</v>
      </c>
      <c r="G302" s="36">
        <f t="shared" si="16"/>
        <v>1.9597564886775887E-2</v>
      </c>
      <c r="H302" s="36">
        <f t="shared" si="17"/>
        <v>0.26225027746381868</v>
      </c>
      <c r="I302" s="36">
        <f>(Table143454[[#This Row],[Core CPI]]-F290)/F290</f>
        <v>0.15194360988884978</v>
      </c>
    </row>
    <row r="303" spans="1:9" x14ac:dyDescent="0.2">
      <c r="A303" s="34">
        <f>IF(Data!B331="",#N/A,Data!B331)</f>
        <v>27881</v>
      </c>
      <c r="B303" s="35">
        <f>VLOOKUP(A303,Data!B:AY,MATCH($B$2,Data!$C$1:$AY$1,0),FALSE)</f>
        <v>11.22888</v>
      </c>
      <c r="C303" s="36">
        <f t="shared" si="18"/>
        <v>2.0123789788114799E-2</v>
      </c>
      <c r="D303" s="36">
        <f t="shared" si="15"/>
        <v>0.27009003243197327</v>
      </c>
      <c r="E303" s="36">
        <f>(Table143454[[#This Row],[JPN]]-B291)/B291</f>
        <v>0.16706054124998729</v>
      </c>
      <c r="F303" s="35">
        <f>VLOOKUP(Table143454[[#This Row],[Date]],'Data Core CPI'!$B:$AY,MATCH($B$2,'Data Core CPI'!$C$1:$AY$1,0),FALSE)</f>
        <v>10.751289999999999</v>
      </c>
      <c r="G303" s="36">
        <f t="shared" si="16"/>
        <v>2.1701180184606317E-2</v>
      </c>
      <c r="H303" s="36">
        <f t="shared" si="17"/>
        <v>0.29385837261692482</v>
      </c>
      <c r="I303" s="36">
        <f>(Table143454[[#This Row],[Core CPI]]-F291)/F291</f>
        <v>0.16593492694802978</v>
      </c>
    </row>
    <row r="304" spans="1:9" x14ac:dyDescent="0.2">
      <c r="A304" s="34">
        <f>IF(Data!B332="",#N/A,Data!B332)</f>
        <v>27912</v>
      </c>
      <c r="B304" s="35">
        <f>VLOOKUP(A304,Data!B:AY,MATCH($B$2,Data!$C$1:$AY$1,0),FALSE)</f>
        <v>11.27999</v>
      </c>
      <c r="C304" s="36">
        <f t="shared" si="18"/>
        <v>4.5516560868046341E-3</v>
      </c>
      <c r="D304" s="36">
        <f t="shared" si="15"/>
        <v>5.6008192725702122E-2</v>
      </c>
      <c r="E304" s="36">
        <f>(Table143454[[#This Row],[JPN]]-B292)/B292</f>
        <v>0.1634441401402715</v>
      </c>
      <c r="F304" s="35">
        <f>VLOOKUP(Table143454[[#This Row],[Date]],'Data Core CPI'!$B:$AY,MATCH($B$2,'Data Core CPI'!$C$1:$AY$1,0),FALSE)</f>
        <v>10.810779999999999</v>
      </c>
      <c r="G304" s="36">
        <f t="shared" si="16"/>
        <v>5.5332894936328536E-3</v>
      </c>
      <c r="H304" s="36">
        <f t="shared" si="17"/>
        <v>6.8457954549092204E-2</v>
      </c>
      <c r="I304" s="36">
        <f>(Table143454[[#This Row],[Core CPI]]-F292)/F292</f>
        <v>0.16313120733453548</v>
      </c>
    </row>
    <row r="305" spans="1:9" x14ac:dyDescent="0.2">
      <c r="A305" s="34">
        <f>IF(Data!B333="",#N/A,Data!B333)</f>
        <v>27942</v>
      </c>
      <c r="B305" s="35">
        <f>VLOOKUP(A305,Data!B:AY,MATCH($B$2,Data!$C$1:$AY$1,0),FALSE)</f>
        <v>11.336790000000001</v>
      </c>
      <c r="C305" s="36">
        <f t="shared" si="18"/>
        <v>5.0354654569730872E-3</v>
      </c>
      <c r="D305" s="36">
        <f t="shared" si="15"/>
        <v>6.2127485866272814E-2</v>
      </c>
      <c r="E305" s="36">
        <f>(Table143454[[#This Row],[JPN]]-B293)/B293</f>
        <v>0.16452708970075519</v>
      </c>
      <c r="F305" s="35">
        <f>VLOOKUP(Table143454[[#This Row],[Date]],'Data Core CPI'!$B:$AY,MATCH($B$2,'Data Core CPI'!$C$1:$AY$1,0),FALSE)</f>
        <v>10.875439999999999</v>
      </c>
      <c r="G305" s="36">
        <f t="shared" si="16"/>
        <v>5.9810670460411774E-3</v>
      </c>
      <c r="H305" s="36">
        <f t="shared" si="17"/>
        <v>7.4181544447667669E-2</v>
      </c>
      <c r="I305" s="36">
        <f>(Table143454[[#This Row],[Core CPI]]-F293)/F293</f>
        <v>0.16550210478484886</v>
      </c>
    </row>
    <row r="306" spans="1:9" x14ac:dyDescent="0.2">
      <c r="A306" s="34">
        <f>IF(Data!B334="",#N/A,Data!B334)</f>
        <v>27973</v>
      </c>
      <c r="B306" s="35">
        <f>VLOOKUP(A306,Data!B:AY,MATCH($B$2,Data!$C$1:$AY$1,0),FALSE)</f>
        <v>11.46175</v>
      </c>
      <c r="C306" s="36">
        <f t="shared" si="18"/>
        <v>1.1022520484193388E-2</v>
      </c>
      <c r="D306" s="36">
        <f t="shared" si="15"/>
        <v>0.14059103856107869</v>
      </c>
      <c r="E306" s="36">
        <f>(Table143454[[#This Row],[JPN]]-B294)/B294</f>
        <v>0.16985532854596014</v>
      </c>
      <c r="F306" s="35">
        <f>VLOOKUP(Table143454[[#This Row],[Date]],'Data Core CPI'!$B:$AY,MATCH($B$2,'Data Core CPI'!$C$1:$AY$1,0),FALSE)</f>
        <v>11.000360000000001</v>
      </c>
      <c r="G306" s="36">
        <f t="shared" si="16"/>
        <v>1.1486431813333642E-2</v>
      </c>
      <c r="H306" s="36">
        <f t="shared" si="17"/>
        <v>0.14688728430058151</v>
      </c>
      <c r="I306" s="36">
        <f>(Table143454[[#This Row],[Core CPI]]-F294)/F294</f>
        <v>0.17104438411042719</v>
      </c>
    </row>
    <row r="307" spans="1:9" x14ac:dyDescent="0.2">
      <c r="A307" s="34">
        <f>IF(Data!B335="",#N/A,Data!B335)</f>
        <v>28004</v>
      </c>
      <c r="B307" s="35">
        <f>VLOOKUP(A307,Data!B:AY,MATCH($B$2,Data!$C$1:$AY$1,0),FALSE)</f>
        <v>11.654859999999999</v>
      </c>
      <c r="C307" s="36">
        <f t="shared" si="18"/>
        <v>1.684821253299007E-2</v>
      </c>
      <c r="D307" s="36">
        <f t="shared" si="15"/>
        <v>0.22200660837393826</v>
      </c>
      <c r="E307" s="36">
        <f>(Table143454[[#This Row],[JPN]]-B295)/B295</f>
        <v>0.17998865050908172</v>
      </c>
      <c r="F307" s="35">
        <f>VLOOKUP(Table143454[[#This Row],[Date]],'Data Core CPI'!$B:$AY,MATCH($B$2,'Data Core CPI'!$C$1:$AY$1,0),FALSE)</f>
        <v>11.163399999999999</v>
      </c>
      <c r="G307" s="36">
        <f t="shared" si="16"/>
        <v>1.4821333120006885E-2</v>
      </c>
      <c r="H307" s="36">
        <f t="shared" si="17"/>
        <v>0.19309508956677868</v>
      </c>
      <c r="I307" s="36">
        <f>(Table143454[[#This Row],[Core CPI]]-F295)/F295</f>
        <v>0.17987808680370065</v>
      </c>
    </row>
    <row r="308" spans="1:9" x14ac:dyDescent="0.2">
      <c r="A308" s="34">
        <f>IF(Data!B336="",#N/A,Data!B336)</f>
        <v>28034</v>
      </c>
      <c r="B308" s="35">
        <f>VLOOKUP(A308,Data!B:AY,MATCH($B$2,Data!$C$1:$AY$1,0),FALSE)</f>
        <v>11.98996</v>
      </c>
      <c r="C308" s="36">
        <f t="shared" si="18"/>
        <v>2.8751954120427081E-2</v>
      </c>
      <c r="D308" s="36">
        <f t="shared" si="15"/>
        <v>0.40516744019695894</v>
      </c>
      <c r="E308" s="36">
        <f>(Table143454[[#This Row],[JPN]]-B296)/B296</f>
        <v>0.2007959931937974</v>
      </c>
      <c r="F308" s="35">
        <f>VLOOKUP(Table143454[[#This Row],[Date]],'Data Core CPI'!$B:$AY,MATCH($B$2,'Data Core CPI'!$C$1:$AY$1,0),FALSE)</f>
        <v>11.362539999999999</v>
      </c>
      <c r="G308" s="36">
        <f t="shared" si="16"/>
        <v>1.7838651306949505E-2</v>
      </c>
      <c r="H308" s="36">
        <f t="shared" si="17"/>
        <v>0.23636660070293236</v>
      </c>
      <c r="I308" s="36">
        <f>(Table143454[[#This Row],[Core CPI]]-F296)/F296</f>
        <v>0.18714376670484323</v>
      </c>
    </row>
    <row r="309" spans="1:9" x14ac:dyDescent="0.2">
      <c r="A309" s="34">
        <f>IF(Data!B337="",#N/A,Data!B337)</f>
        <v>28065</v>
      </c>
      <c r="B309" s="35">
        <f>VLOOKUP(A309,Data!B:AY,MATCH($B$2,Data!$C$1:$AY$1,0),FALSE)</f>
        <v>12.25123</v>
      </c>
      <c r="C309" s="36">
        <f t="shared" si="18"/>
        <v>2.1790731578754219E-2</v>
      </c>
      <c r="D309" s="36">
        <f t="shared" si="15"/>
        <v>0.29521989822602435</v>
      </c>
      <c r="E309" s="36">
        <f>(Table143454[[#This Row],[JPN]]-B297)/B297</f>
        <v>0.21316002895447975</v>
      </c>
      <c r="F309" s="35">
        <f>VLOOKUP(Table143454[[#This Row],[Date]],'Data Core CPI'!$B:$AY,MATCH($B$2,'Data Core CPI'!$C$1:$AY$1,0),FALSE)</f>
        <v>11.60087</v>
      </c>
      <c r="G309" s="36">
        <f t="shared" si="16"/>
        <v>2.0975063674143479E-2</v>
      </c>
      <c r="H309" s="36">
        <f t="shared" si="17"/>
        <v>0.2828669595067681</v>
      </c>
      <c r="I309" s="36">
        <f>(Table143454[[#This Row],[Core CPI]]-F297)/F297</f>
        <v>0.19712249844669535</v>
      </c>
    </row>
    <row r="310" spans="1:9" x14ac:dyDescent="0.2">
      <c r="A310" s="34">
        <f>IF(Data!B338="",#N/A,Data!B338)</f>
        <v>28095</v>
      </c>
      <c r="B310" s="35">
        <f>VLOOKUP(A310,Data!B:AY,MATCH($B$2,Data!$C$1:$AY$1,0),FALSE)</f>
        <v>12.26479</v>
      </c>
      <c r="C310" s="36">
        <f t="shared" si="18"/>
        <v>1.1068276409798017E-3</v>
      </c>
      <c r="D310" s="36">
        <f t="shared" si="15"/>
        <v>1.3363085192604984E-2</v>
      </c>
      <c r="E310" s="36">
        <f>(Table143454[[#This Row],[JPN]]-B298)/B298</f>
        <v>0.20501526804557224</v>
      </c>
      <c r="F310" s="35">
        <f>VLOOKUP(Table143454[[#This Row],[Date]],'Data Core CPI'!$B:$AY,MATCH($B$2,'Data Core CPI'!$C$1:$AY$1,0),FALSE)</f>
        <v>11.54449</v>
      </c>
      <c r="G310" s="36">
        <f t="shared" si="16"/>
        <v>-4.8599803290615418E-3</v>
      </c>
      <c r="H310" s="36">
        <f t="shared" si="17"/>
        <v>-5.6785862724031633E-2</v>
      </c>
      <c r="I310" s="36">
        <f>(Table143454[[#This Row],[Core CPI]]-F298)/F298</f>
        <v>0.18508802888108575</v>
      </c>
    </row>
    <row r="311" spans="1:9" x14ac:dyDescent="0.2">
      <c r="A311" s="34">
        <f>IF(Data!B339="",#N/A,Data!B339)</f>
        <v>28126</v>
      </c>
      <c r="B311" s="35">
        <f>VLOOKUP(A311,Data!B:AY,MATCH($B$2,Data!$C$1:$AY$1,0),FALSE)</f>
        <v>12.423629999999999</v>
      </c>
      <c r="C311" s="36">
        <f t="shared" si="18"/>
        <v>1.2950894389549328E-2</v>
      </c>
      <c r="D311" s="36">
        <f t="shared" si="15"/>
        <v>0.16697272827102405</v>
      </c>
      <c r="E311" s="36">
        <f>(Table143454[[#This Row],[JPN]]-B299)/B299</f>
        <v>0.20781466920214189</v>
      </c>
      <c r="F311" s="35">
        <f>VLOOKUP(Table143454[[#This Row],[Date]],'Data Core CPI'!$B:$AY,MATCH($B$2,'Data Core CPI'!$C$1:$AY$1,0),FALSE)</f>
        <v>11.82517</v>
      </c>
      <c r="G311" s="36">
        <f t="shared" si="16"/>
        <v>2.4312897321579374E-2</v>
      </c>
      <c r="H311" s="36">
        <f t="shared" si="17"/>
        <v>0.33411016266704907</v>
      </c>
      <c r="I311" s="36">
        <f>(Table143454[[#This Row],[Core CPI]]-F299)/F299</f>
        <v>0.18913871895650938</v>
      </c>
    </row>
    <row r="312" spans="1:9" x14ac:dyDescent="0.2">
      <c r="A312" s="34">
        <f>IF(Data!B340="",#N/A,Data!B340)</f>
        <v>28157</v>
      </c>
      <c r="B312" s="35">
        <f>VLOOKUP(A312,Data!B:AY,MATCH($B$2,Data!$C$1:$AY$1,0),FALSE)</f>
        <v>12.661899999999999</v>
      </c>
      <c r="C312" s="36">
        <f t="shared" si="18"/>
        <v>1.9178774641549934E-2</v>
      </c>
      <c r="D312" s="36">
        <f t="shared" si="15"/>
        <v>0.25604282188548555</v>
      </c>
      <c r="E312" s="36">
        <f>(Table143454[[#This Row],[JPN]]-B300)/B300</f>
        <v>0.20437772216530972</v>
      </c>
      <c r="F312" s="35">
        <f>VLOOKUP(Table143454[[#This Row],[Date]],'Data Core CPI'!$B:$AY,MATCH($B$2,'Data Core CPI'!$C$1:$AY$1,0),FALSE)</f>
        <v>12.069000000000001</v>
      </c>
      <c r="G312" s="36">
        <f t="shared" si="16"/>
        <v>2.0619576716444765E-2</v>
      </c>
      <c r="H312" s="36">
        <f t="shared" si="17"/>
        <v>0.27751713059943084</v>
      </c>
      <c r="I312" s="36">
        <f>(Table143454[[#This Row],[Core CPI]]-F300)/F300</f>
        <v>0.18690539177023868</v>
      </c>
    </row>
    <row r="313" spans="1:9" x14ac:dyDescent="0.2">
      <c r="A313" s="34">
        <f>IF(Data!B341="",#N/A,Data!B341)</f>
        <v>28185</v>
      </c>
      <c r="B313" s="35">
        <f>VLOOKUP(A313,Data!B:AY,MATCH($B$2,Data!$C$1:$AY$1,0),FALSE)</f>
        <v>12.820740000000001</v>
      </c>
      <c r="C313" s="36">
        <f t="shared" si="18"/>
        <v>1.2544720776502816E-2</v>
      </c>
      <c r="D313" s="36">
        <f t="shared" si="15"/>
        <v>0.16136989497403342</v>
      </c>
      <c r="E313" s="36">
        <f>(Table143454[[#This Row],[JPN]]-B301)/B301</f>
        <v>0.19558758525763331</v>
      </c>
      <c r="F313" s="35">
        <f>VLOOKUP(Table143454[[#This Row],[Date]],'Data Core CPI'!$B:$AY,MATCH($B$2,'Data Core CPI'!$C$1:$AY$1,0),FALSE)</f>
        <v>12.22883</v>
      </c>
      <c r="G313" s="36">
        <f t="shared" si="16"/>
        <v>1.3243019305659187E-2</v>
      </c>
      <c r="H313" s="36">
        <f t="shared" si="17"/>
        <v>0.17101765939754632</v>
      </c>
      <c r="I313" s="36">
        <f>(Table143454[[#This Row],[Core CPI]]-F301)/F301</f>
        <v>0.18488722146914885</v>
      </c>
    </row>
    <row r="314" spans="1:9" x14ac:dyDescent="0.2">
      <c r="A314" s="34">
        <f>IF(Data!B342="",#N/A,Data!B342)</f>
        <v>28216</v>
      </c>
      <c r="B314" s="35">
        <f>VLOOKUP(A314,Data!B:AY,MATCH($B$2,Data!$C$1:$AY$1,0),FALSE)</f>
        <v>12.97958</v>
      </c>
      <c r="C314" s="36">
        <f t="shared" si="18"/>
        <v>1.2389300461595809E-2</v>
      </c>
      <c r="D314" s="36">
        <f t="shared" si="15"/>
        <v>0.15923252958116341</v>
      </c>
      <c r="E314" s="36">
        <f>(Table143454[[#This Row],[JPN]]-B302)/B302</f>
        <v>0.17917177309384535</v>
      </c>
      <c r="F314" s="35">
        <f>VLOOKUP(Table143454[[#This Row],[Date]],'Data Core CPI'!$B:$AY,MATCH($B$2,'Data Core CPI'!$C$1:$AY$1,0),FALSE)</f>
        <v>12.38865</v>
      </c>
      <c r="G314" s="36">
        <f t="shared" si="16"/>
        <v>1.3069116178735074E-2</v>
      </c>
      <c r="H314" s="36">
        <f t="shared" si="17"/>
        <v>0.16860815045254074</v>
      </c>
      <c r="I314" s="36">
        <f>(Table143454[[#This Row],[Core CPI]]-F302)/F302</f>
        <v>0.17730042868288581</v>
      </c>
    </row>
    <row r="315" spans="1:9" x14ac:dyDescent="0.2">
      <c r="A315" s="34">
        <f>IF(Data!B343="",#N/A,Data!B343)</f>
        <v>28246</v>
      </c>
      <c r="B315" s="35">
        <f>VLOOKUP(A315,Data!B:AY,MATCH($B$2,Data!$C$1:$AY$1,0),FALSE)</f>
        <v>13.13842</v>
      </c>
      <c r="C315" s="36">
        <f t="shared" si="18"/>
        <v>1.2237684116126912E-2</v>
      </c>
      <c r="D315" s="36">
        <f t="shared" si="15"/>
        <v>0.15715095204426155</v>
      </c>
      <c r="E315" s="36">
        <f>(Table143454[[#This Row],[JPN]]-B303)/B303</f>
        <v>0.17005614095083391</v>
      </c>
      <c r="F315" s="35">
        <f>VLOOKUP(Table143454[[#This Row],[Date]],'Data Core CPI'!$B:$AY,MATCH($B$2,'Data Core CPI'!$C$1:$AY$1,0),FALSE)</f>
        <v>12.55362</v>
      </c>
      <c r="G315" s="36">
        <f t="shared" si="16"/>
        <v>1.3316220895739361E-2</v>
      </c>
      <c r="H315" s="36">
        <f t="shared" si="17"/>
        <v>0.1720332628247303</v>
      </c>
      <c r="I315" s="36">
        <f>(Table143454[[#This Row],[Core CPI]]-F303)/F303</f>
        <v>0.16763848803259901</v>
      </c>
    </row>
    <row r="316" spans="1:9" x14ac:dyDescent="0.2">
      <c r="A316" s="34">
        <f>IF(Data!B344="",#N/A,Data!B344)</f>
        <v>28277</v>
      </c>
      <c r="B316" s="35">
        <f>VLOOKUP(A316,Data!B:AY,MATCH($B$2,Data!$C$1:$AY$1,0),FALSE)</f>
        <v>13.229189999999999</v>
      </c>
      <c r="C316" s="36">
        <f t="shared" si="18"/>
        <v>6.908745496033708E-3</v>
      </c>
      <c r="D316" s="36">
        <f t="shared" ref="D316:D379" si="19">((1+C316)^12)-1</f>
        <v>8.6128863821499646E-2</v>
      </c>
      <c r="E316" s="36">
        <f>(Table143454[[#This Row],[JPN]]-B304)/B304</f>
        <v>0.1728015716325989</v>
      </c>
      <c r="F316" s="35">
        <f>VLOOKUP(Table143454[[#This Row],[Date]],'Data Core CPI'!$B:$AY,MATCH($B$2,'Data Core CPI'!$C$1:$AY$1,0),FALSE)</f>
        <v>12.619730000000001</v>
      </c>
      <c r="G316" s="36">
        <f t="shared" si="16"/>
        <v>5.2662100653038113E-3</v>
      </c>
      <c r="H316" s="36">
        <f t="shared" si="17"/>
        <v>6.5057411122589004E-2</v>
      </c>
      <c r="I316" s="36">
        <f>(Table143454[[#This Row],[Core CPI]]-F304)/F304</f>
        <v>0.167328351885803</v>
      </c>
    </row>
    <row r="317" spans="1:9" x14ac:dyDescent="0.2">
      <c r="A317" s="34">
        <f>IF(Data!B345="",#N/A,Data!B345)</f>
        <v>28307</v>
      </c>
      <c r="B317" s="35">
        <f>VLOOKUP(A317,Data!B:AY,MATCH($B$2,Data!$C$1:$AY$1,0),FALSE)</f>
        <v>13.30861</v>
      </c>
      <c r="C317" s="36">
        <f t="shared" si="18"/>
        <v>6.0033909861449963E-3</v>
      </c>
      <c r="D317" s="36">
        <f t="shared" si="19"/>
        <v>7.4467628060043589E-2</v>
      </c>
      <c r="E317" s="36">
        <f>(Table143454[[#This Row],[JPN]]-B305)/B305</f>
        <v>0.17393106867111405</v>
      </c>
      <c r="F317" s="35">
        <f>VLOOKUP(Table143454[[#This Row],[Date]],'Data Core CPI'!$B:$AY,MATCH($B$2,'Data Core CPI'!$C$1:$AY$1,0),FALSE)</f>
        <v>12.697839999999999</v>
      </c>
      <c r="G317" s="36">
        <f t="shared" si="16"/>
        <v>6.1895143556953691E-3</v>
      </c>
      <c r="H317" s="36">
        <f t="shared" si="17"/>
        <v>7.6855538398286738E-2</v>
      </c>
      <c r="I317" s="36">
        <f>(Table143454[[#This Row],[Core CPI]]-F305)/F305</f>
        <v>0.16757023164120258</v>
      </c>
    </row>
    <row r="318" spans="1:9" x14ac:dyDescent="0.2">
      <c r="A318" s="34">
        <f>IF(Data!B346="",#N/A,Data!B346)</f>
        <v>28338</v>
      </c>
      <c r="B318" s="35">
        <f>VLOOKUP(A318,Data!B:AY,MATCH($B$2,Data!$C$1:$AY$1,0),FALSE)</f>
        <v>13.43341</v>
      </c>
      <c r="C318" s="36">
        <f t="shared" si="18"/>
        <v>9.3773880217393746E-3</v>
      </c>
      <c r="D318" s="36">
        <f t="shared" si="19"/>
        <v>0.11851769175488247</v>
      </c>
      <c r="E318" s="36">
        <f>(Table143454[[#This Row],[JPN]]-B306)/B306</f>
        <v>0.1720208519641416</v>
      </c>
      <c r="F318" s="35">
        <f>VLOOKUP(Table143454[[#This Row],[Date]],'Data Core CPI'!$B:$AY,MATCH($B$2,'Data Core CPI'!$C$1:$AY$1,0),FALSE)</f>
        <v>12.80444</v>
      </c>
      <c r="G318" s="36">
        <f t="shared" si="16"/>
        <v>8.3951286203007847E-3</v>
      </c>
      <c r="H318" s="36">
        <f t="shared" si="17"/>
        <v>0.10552576388097434</v>
      </c>
      <c r="I318" s="36">
        <f>(Table143454[[#This Row],[Core CPI]]-F306)/F306</f>
        <v>0.16400190539218706</v>
      </c>
    </row>
    <row r="319" spans="1:9" x14ac:dyDescent="0.2">
      <c r="A319" s="34">
        <f>IF(Data!B347="",#N/A,Data!B347)</f>
        <v>28369</v>
      </c>
      <c r="B319" s="35">
        <f>VLOOKUP(A319,Data!B:AY,MATCH($B$2,Data!$C$1:$AY$1,0),FALSE)</f>
        <v>13.6036</v>
      </c>
      <c r="C319" s="36">
        <f t="shared" si="18"/>
        <v>1.2669158463859853E-2</v>
      </c>
      <c r="D319" s="36">
        <f t="shared" si="19"/>
        <v>0.16308378558848657</v>
      </c>
      <c r="E319" s="36">
        <f>(Table143454[[#This Row],[JPN]]-B307)/B307</f>
        <v>0.16720406765932846</v>
      </c>
      <c r="F319" s="35">
        <f>VLOOKUP(Table143454[[#This Row],[Date]],'Data Core CPI'!$B:$AY,MATCH($B$2,'Data Core CPI'!$C$1:$AY$1,0),FALSE)</f>
        <v>12.95778</v>
      </c>
      <c r="G319" s="36">
        <f t="shared" si="16"/>
        <v>1.1975533486821677E-2</v>
      </c>
      <c r="H319" s="36">
        <f t="shared" si="17"/>
        <v>0.15355990452629942</v>
      </c>
      <c r="I319" s="36">
        <f>(Table143454[[#This Row],[Core CPI]]-F307)/F307</f>
        <v>0.16073776806349324</v>
      </c>
    </row>
    <row r="320" spans="1:9" x14ac:dyDescent="0.2">
      <c r="A320" s="34">
        <f>IF(Data!B348="",#N/A,Data!B348)</f>
        <v>28399</v>
      </c>
      <c r="B320" s="35">
        <f>VLOOKUP(A320,Data!B:AY,MATCH($B$2,Data!$C$1:$AY$1,0),FALSE)</f>
        <v>13.785130000000001</v>
      </c>
      <c r="C320" s="36">
        <f t="shared" si="18"/>
        <v>1.3344261813049485E-2</v>
      </c>
      <c r="D320" s="36">
        <f t="shared" si="19"/>
        <v>0.17242251809852482</v>
      </c>
      <c r="E320" s="36">
        <f>(Table143454[[#This Row],[JPN]]-B308)/B308</f>
        <v>0.14972276804926793</v>
      </c>
      <c r="F320" s="35">
        <f>VLOOKUP(Table143454[[#This Row],[Date]],'Data Core CPI'!$B:$AY,MATCH($B$2,'Data Core CPI'!$C$1:$AY$1,0),FALSE)</f>
        <v>13.15316</v>
      </c>
      <c r="G320" s="36">
        <f t="shared" si="16"/>
        <v>1.5078200123786578E-2</v>
      </c>
      <c r="H320" s="36">
        <f t="shared" si="17"/>
        <v>0.19672402901701469</v>
      </c>
      <c r="I320" s="36">
        <f>(Table143454[[#This Row],[Core CPI]]-F308)/F308</f>
        <v>0.1575897642604559</v>
      </c>
    </row>
    <row r="321" spans="1:9" x14ac:dyDescent="0.2">
      <c r="A321" s="34">
        <f>IF(Data!B349="",#N/A,Data!B349)</f>
        <v>28430</v>
      </c>
      <c r="B321" s="35">
        <f>VLOOKUP(A321,Data!B:AY,MATCH($B$2,Data!$C$1:$AY$1,0),FALSE)</f>
        <v>13.921279999999999</v>
      </c>
      <c r="C321" s="36">
        <f t="shared" si="18"/>
        <v>9.8765844065307196E-3</v>
      </c>
      <c r="D321" s="36">
        <f t="shared" si="19"/>
        <v>0.12517384967314227</v>
      </c>
      <c r="E321" s="36">
        <f>(Table143454[[#This Row],[JPN]]-B309)/B309</f>
        <v>0.13631692491284547</v>
      </c>
      <c r="F321" s="35">
        <f>VLOOKUP(Table143454[[#This Row],[Date]],'Data Core CPI'!$B:$AY,MATCH($B$2,'Data Core CPI'!$C$1:$AY$1,0),FALSE)</f>
        <v>13.30198</v>
      </c>
      <c r="G321" s="36">
        <f t="shared" si="16"/>
        <v>1.1314391370590871E-2</v>
      </c>
      <c r="H321" s="36">
        <f t="shared" si="17"/>
        <v>0.14454862885668218</v>
      </c>
      <c r="I321" s="36">
        <f>(Table143454[[#This Row],[Core CPI]]-F309)/F309</f>
        <v>0.14663641606189878</v>
      </c>
    </row>
    <row r="322" spans="1:9" x14ac:dyDescent="0.2">
      <c r="A322" s="34">
        <f>IF(Data!B350="",#N/A,Data!B350)</f>
        <v>28460</v>
      </c>
      <c r="B322" s="35">
        <f>VLOOKUP(A322,Data!B:AY,MATCH($B$2,Data!$C$1:$AY$1,0),FALSE)</f>
        <v>13.98935</v>
      </c>
      <c r="C322" s="36">
        <f t="shared" si="18"/>
        <v>4.8896365851416324E-3</v>
      </c>
      <c r="D322" s="36">
        <f t="shared" si="19"/>
        <v>6.027960713310998E-2</v>
      </c>
      <c r="E322" s="36">
        <f>(Table143454[[#This Row],[JPN]]-B310)/B310</f>
        <v>0.14061064233468329</v>
      </c>
      <c r="F322" s="35">
        <f>VLOOKUP(Table143454[[#This Row],[Date]],'Data Core CPI'!$B:$AY,MATCH($B$2,'Data Core CPI'!$C$1:$AY$1,0),FALSE)</f>
        <v>13.358980000000001</v>
      </c>
      <c r="G322" s="36">
        <f t="shared" si="16"/>
        <v>4.2850763570536632E-3</v>
      </c>
      <c r="H322" s="36">
        <f t="shared" si="17"/>
        <v>5.2650278419753782E-2</v>
      </c>
      <c r="I322" s="36">
        <f>(Table143454[[#This Row],[Core CPI]]-F310)/F310</f>
        <v>0.15717368199028289</v>
      </c>
    </row>
    <row r="323" spans="1:9" x14ac:dyDescent="0.2">
      <c r="A323" s="34">
        <f>IF(Data!B351="",#N/A,Data!B351)</f>
        <v>28491</v>
      </c>
      <c r="B323" s="35">
        <f>VLOOKUP(A323,Data!B:AY,MATCH($B$2,Data!$C$1:$AY$1,0),FALSE)</f>
        <v>14.10281</v>
      </c>
      <c r="C323" s="36">
        <f t="shared" si="18"/>
        <v>8.1104554536128859E-3</v>
      </c>
      <c r="D323" s="36">
        <f t="shared" si="19"/>
        <v>0.10178645187687652</v>
      </c>
      <c r="E323" s="36">
        <f>(Table143454[[#This Row],[JPN]]-B311)/B311</f>
        <v>0.13516017460275304</v>
      </c>
      <c r="F323" s="35">
        <f>VLOOKUP(Table143454[[#This Row],[Date]],'Data Core CPI'!$B:$AY,MATCH($B$2,'Data Core CPI'!$C$1:$AY$1,0),FALSE)</f>
        <v>13.47167</v>
      </c>
      <c r="G323" s="36">
        <f t="shared" ref="G323:G386" si="20">(F323/F322)-1</f>
        <v>8.4355242690683507E-3</v>
      </c>
      <c r="H323" s="36">
        <f t="shared" ref="H323:H386" si="21">((1+G323)^12)-1</f>
        <v>0.10605732064802331</v>
      </c>
      <c r="I323" s="36">
        <f>(Table143454[[#This Row],[Core CPI]]-F311)/F311</f>
        <v>0.13923689891984636</v>
      </c>
    </row>
    <row r="324" spans="1:9" x14ac:dyDescent="0.2">
      <c r="A324" s="34">
        <f>IF(Data!B352="",#N/A,Data!B352)</f>
        <v>28522</v>
      </c>
      <c r="B324" s="35">
        <f>VLOOKUP(A324,Data!B:AY,MATCH($B$2,Data!$C$1:$AY$1,0),FALSE)</f>
        <v>14.250310000000001</v>
      </c>
      <c r="C324" s="36">
        <f t="shared" si="18"/>
        <v>1.0458908543758305E-2</v>
      </c>
      <c r="D324" s="36">
        <f t="shared" si="19"/>
        <v>0.13298428383569649</v>
      </c>
      <c r="E324" s="36">
        <f>(Table143454[[#This Row],[JPN]]-B312)/B312</f>
        <v>0.12544799753591496</v>
      </c>
      <c r="F324" s="35">
        <f>VLOOKUP(Table143454[[#This Row],[Date]],'Data Core CPI'!$B:$AY,MATCH($B$2,'Data Core CPI'!$C$1:$AY$1,0),FALSE)</f>
        <v>13.62276</v>
      </c>
      <c r="G324" s="36">
        <f t="shared" si="20"/>
        <v>1.1215387550318479E-2</v>
      </c>
      <c r="H324" s="36">
        <f t="shared" si="21"/>
        <v>0.14320478924715374</v>
      </c>
      <c r="I324" s="36">
        <f>(Table143454[[#This Row],[Core CPI]]-F312)/F312</f>
        <v>0.12873974645786715</v>
      </c>
    </row>
    <row r="325" spans="1:9" x14ac:dyDescent="0.2">
      <c r="A325" s="34">
        <f>IF(Data!B353="",#N/A,Data!B353)</f>
        <v>28550</v>
      </c>
      <c r="B325" s="35">
        <f>VLOOKUP(A325,Data!B:AY,MATCH($B$2,Data!$C$1:$AY$1,0),FALSE)</f>
        <v>14.431839999999999</v>
      </c>
      <c r="C325" s="36">
        <f t="shared" ref="C325:C388" si="22">(B325/B324)-1</f>
        <v>1.2738670246471795E-2</v>
      </c>
      <c r="D325" s="36">
        <f t="shared" si="19"/>
        <v>0.16404218614337318</v>
      </c>
      <c r="E325" s="36">
        <f>(Table143454[[#This Row],[JPN]]-B313)/B313</f>
        <v>0.12566357324148206</v>
      </c>
      <c r="F325" s="35">
        <f>VLOOKUP(Table143454[[#This Row],[Date]],'Data Core CPI'!$B:$AY,MATCH($B$2,'Data Core CPI'!$C$1:$AY$1,0),FALSE)</f>
        <v>13.81814</v>
      </c>
      <c r="G325" s="36">
        <f t="shared" si="20"/>
        <v>1.4342174419867959E-2</v>
      </c>
      <c r="H325" s="36">
        <f t="shared" si="21"/>
        <v>0.1863526262415931</v>
      </c>
      <c r="I325" s="36">
        <f>(Table143454[[#This Row],[Core CPI]]-F313)/F313</f>
        <v>0.12996419117773322</v>
      </c>
    </row>
    <row r="326" spans="1:9" x14ac:dyDescent="0.2">
      <c r="A326" s="34">
        <f>IF(Data!B354="",#N/A,Data!B354)</f>
        <v>28581</v>
      </c>
      <c r="B326" s="35">
        <f>VLOOKUP(A326,Data!B:AY,MATCH($B$2,Data!$C$1:$AY$1,0),FALSE)</f>
        <v>14.56799</v>
      </c>
      <c r="C326" s="36">
        <f t="shared" si="22"/>
        <v>9.4340014856040266E-3</v>
      </c>
      <c r="D326" s="36">
        <f t="shared" si="19"/>
        <v>0.11927074248900205</v>
      </c>
      <c r="E326" s="36">
        <f>(Table143454[[#This Row],[JPN]]-B314)/B314</f>
        <v>0.12237761160222439</v>
      </c>
      <c r="F326" s="35">
        <f>VLOOKUP(Table143454[[#This Row],[Date]],'Data Core CPI'!$B:$AY,MATCH($B$2,'Data Core CPI'!$C$1:$AY$1,0),FALSE)</f>
        <v>13.95459</v>
      </c>
      <c r="G326" s="36">
        <f t="shared" si="20"/>
        <v>9.8747009365949268E-3</v>
      </c>
      <c r="H326" s="36">
        <f t="shared" si="21"/>
        <v>0.12514866787077916</v>
      </c>
      <c r="I326" s="36">
        <f>(Table143454[[#This Row],[Core CPI]]-F314)/F314</f>
        <v>0.12640118172682249</v>
      </c>
    </row>
    <row r="327" spans="1:9" x14ac:dyDescent="0.2">
      <c r="A327" s="34">
        <f>IF(Data!B355="",#N/A,Data!B355)</f>
        <v>28611</v>
      </c>
      <c r="B327" s="35">
        <f>VLOOKUP(A327,Data!B:AY,MATCH($B$2,Data!$C$1:$AY$1,0),FALSE)</f>
        <v>14.704140000000001</v>
      </c>
      <c r="C327" s="36">
        <f t="shared" si="22"/>
        <v>9.3458328842894733E-3</v>
      </c>
      <c r="D327" s="36">
        <f t="shared" si="19"/>
        <v>0.11809815893906039</v>
      </c>
      <c r="E327" s="36">
        <f>(Table143454[[#This Row],[JPN]]-B315)/B315</f>
        <v>0.11917110276578163</v>
      </c>
      <c r="F327" s="35">
        <f>VLOOKUP(Table143454[[#This Row],[Date]],'Data Core CPI'!$B:$AY,MATCH($B$2,'Data Core CPI'!$C$1:$AY$1,0),FALSE)</f>
        <v>14.078099999999999</v>
      </c>
      <c r="G327" s="36">
        <f t="shared" si="20"/>
        <v>8.8508512252958305E-3</v>
      </c>
      <c r="H327" s="36">
        <f t="shared" si="21"/>
        <v>0.11153611323572776</v>
      </c>
      <c r="I327" s="36">
        <f>(Table143454[[#This Row],[Core CPI]]-F315)/F315</f>
        <v>0.12143748177816428</v>
      </c>
    </row>
    <row r="328" spans="1:9" x14ac:dyDescent="0.2">
      <c r="A328" s="34">
        <f>IF(Data!B356="",#N/A,Data!B356)</f>
        <v>28642</v>
      </c>
      <c r="B328" s="35">
        <f>VLOOKUP(A328,Data!B:AY,MATCH($B$2,Data!$C$1:$AY$1,0),FALSE)</f>
        <v>14.828939999999999</v>
      </c>
      <c r="C328" s="36">
        <f t="shared" si="22"/>
        <v>8.4874055878139121E-3</v>
      </c>
      <c r="D328" s="36">
        <f t="shared" si="19"/>
        <v>0.10674035829738782</v>
      </c>
      <c r="E328" s="36">
        <f>(Table143454[[#This Row],[JPN]]-B316)/B316</f>
        <v>0.12092577096556935</v>
      </c>
      <c r="F328" s="35">
        <f>VLOOKUP(Table143454[[#This Row],[Date]],'Data Core CPI'!$B:$AY,MATCH($B$2,'Data Core CPI'!$C$1:$AY$1,0),FALSE)</f>
        <v>14.19003</v>
      </c>
      <c r="G328" s="36">
        <f t="shared" si="20"/>
        <v>7.9506467492063138E-3</v>
      </c>
      <c r="H328" s="36">
        <f t="shared" si="21"/>
        <v>9.9692376214942424E-2</v>
      </c>
      <c r="I328" s="36">
        <f>(Table143454[[#This Row],[Core CPI]]-F316)/F316</f>
        <v>0.12443213919790673</v>
      </c>
    </row>
    <row r="329" spans="1:9" x14ac:dyDescent="0.2">
      <c r="A329" s="34">
        <f>IF(Data!B357="",#N/A,Data!B357)</f>
        <v>28672</v>
      </c>
      <c r="B329" s="35">
        <f>VLOOKUP(A329,Data!B:AY,MATCH($B$2,Data!$C$1:$AY$1,0),FALSE)</f>
        <v>14.91971</v>
      </c>
      <c r="C329" s="36">
        <f t="shared" si="22"/>
        <v>6.1211388002109235E-3</v>
      </c>
      <c r="D329" s="36">
        <f t="shared" si="19"/>
        <v>7.5977734590564117E-2</v>
      </c>
      <c r="E329" s="36">
        <f>(Table143454[[#This Row],[JPN]]-B317)/B317</f>
        <v>0.12105696988641192</v>
      </c>
      <c r="F329" s="35">
        <f>VLOOKUP(Table143454[[#This Row],[Date]],'Data Core CPI'!$B:$AY,MATCH($B$2,'Data Core CPI'!$C$1:$AY$1,0),FALSE)</f>
        <v>14.254429999999999</v>
      </c>
      <c r="G329" s="36">
        <f t="shared" si="20"/>
        <v>4.5383977341837412E-3</v>
      </c>
      <c r="H329" s="36">
        <f t="shared" si="21"/>
        <v>5.5840954982001145E-2</v>
      </c>
      <c r="I329" s="36">
        <f>(Table143454[[#This Row],[Core CPI]]-F317)/F317</f>
        <v>0.12258699117330192</v>
      </c>
    </row>
    <row r="330" spans="1:9" x14ac:dyDescent="0.2">
      <c r="A330" s="34">
        <f>IF(Data!B358="",#N/A,Data!B358)</f>
        <v>28703</v>
      </c>
      <c r="B330" s="35">
        <f>VLOOKUP(A330,Data!B:AY,MATCH($B$2,Data!$C$1:$AY$1,0),FALSE)</f>
        <v>14.999129999999999</v>
      </c>
      <c r="C330" s="36">
        <f t="shared" si="22"/>
        <v>5.3231597665102104E-3</v>
      </c>
      <c r="D330" s="36">
        <f t="shared" si="19"/>
        <v>6.5781680215526661E-2</v>
      </c>
      <c r="E330" s="36">
        <f>(Table143454[[#This Row],[JPN]]-B318)/B318</f>
        <v>0.11655417351216101</v>
      </c>
      <c r="F330" s="35">
        <f>VLOOKUP(Table143454[[#This Row],[Date]],'Data Core CPI'!$B:$AY,MATCH($B$2,'Data Core CPI'!$C$1:$AY$1,0),FALSE)</f>
        <v>14.34014</v>
      </c>
      <c r="G330" s="36">
        <f t="shared" si="20"/>
        <v>6.0128675787105568E-3</v>
      </c>
      <c r="H330" s="36">
        <f t="shared" si="21"/>
        <v>7.4589092694343995E-2</v>
      </c>
      <c r="I330" s="36">
        <f>(Table143454[[#This Row],[Core CPI]]-F318)/F318</f>
        <v>0.11993496006072896</v>
      </c>
    </row>
    <row r="331" spans="1:9" x14ac:dyDescent="0.2">
      <c r="A331" s="34">
        <f>IF(Data!B359="",#N/A,Data!B359)</f>
        <v>28734</v>
      </c>
      <c r="B331" s="35">
        <f>VLOOKUP(A331,Data!B:AY,MATCH($B$2,Data!$C$1:$AY$1,0),FALSE)</f>
        <v>15.23739</v>
      </c>
      <c r="C331" s="36">
        <f t="shared" si="22"/>
        <v>1.588492132543684E-2</v>
      </c>
      <c r="D331" s="36">
        <f t="shared" si="19"/>
        <v>0.20818703273424566</v>
      </c>
      <c r="E331" s="36">
        <f>(Table143454[[#This Row],[JPN]]-B319)/B319</f>
        <v>0.12009982651651029</v>
      </c>
      <c r="F331" s="35">
        <f>VLOOKUP(Table143454[[#This Row],[Date]],'Data Core CPI'!$B:$AY,MATCH($B$2,'Data Core CPI'!$C$1:$AY$1,0),FALSE)</f>
        <v>14.597479999999999</v>
      </c>
      <c r="G331" s="36">
        <f t="shared" si="20"/>
        <v>1.7945431495089981E-2</v>
      </c>
      <c r="H331" s="36">
        <f t="shared" si="21"/>
        <v>0.23792396730158094</v>
      </c>
      <c r="I331" s="36">
        <f>(Table143454[[#This Row],[Core CPI]]-F319)/F319</f>
        <v>0.12654173785941725</v>
      </c>
    </row>
    <row r="332" spans="1:9" x14ac:dyDescent="0.2">
      <c r="A332" s="34">
        <f>IF(Data!B360="",#N/A,Data!B360)</f>
        <v>28764</v>
      </c>
      <c r="B332" s="35">
        <f>VLOOKUP(A332,Data!B:AY,MATCH($B$2,Data!$C$1:$AY$1,0),FALSE)</f>
        <v>15.37354</v>
      </c>
      <c r="C332" s="36">
        <f t="shared" si="22"/>
        <v>8.935257284876208E-3</v>
      </c>
      <c r="D332" s="36">
        <f t="shared" si="19"/>
        <v>0.11265259424297214</v>
      </c>
      <c r="E332" s="36">
        <f>(Table143454[[#This Row],[JPN]]-B320)/B320</f>
        <v>0.11522633446329483</v>
      </c>
      <c r="F332" s="35">
        <f>VLOOKUP(Table143454[[#This Row],[Date]],'Data Core CPI'!$B:$AY,MATCH($B$2,'Data Core CPI'!$C$1:$AY$1,0),FALSE)</f>
        <v>14.73279</v>
      </c>
      <c r="G332" s="36">
        <f t="shared" si="20"/>
        <v>9.2694081444195664E-3</v>
      </c>
      <c r="H332" s="36">
        <f t="shared" si="21"/>
        <v>0.11708267209383849</v>
      </c>
      <c r="I332" s="36">
        <f>(Table143454[[#This Row],[Core CPI]]-F320)/F320</f>
        <v>0.12009509501899163</v>
      </c>
    </row>
    <row r="333" spans="1:9" x14ac:dyDescent="0.2">
      <c r="A333" s="34">
        <f>IF(Data!B361="",#N/A,Data!B361)</f>
        <v>28795</v>
      </c>
      <c r="B333" s="35">
        <f>VLOOKUP(A333,Data!B:AY,MATCH($B$2,Data!$C$1:$AY$1,0),FALSE)</f>
        <v>15.53238</v>
      </c>
      <c r="C333" s="36">
        <f t="shared" si="22"/>
        <v>1.0332038034180702E-2</v>
      </c>
      <c r="D333" s="36">
        <f t="shared" si="19"/>
        <v>0.13127840857067086</v>
      </c>
      <c r="E333" s="36">
        <f>(Table143454[[#This Row],[JPN]]-B321)/B321</f>
        <v>0.1157293007539537</v>
      </c>
      <c r="F333" s="35">
        <f>VLOOKUP(Table143454[[#This Row],[Date]],'Data Core CPI'!$B:$AY,MATCH($B$2,'Data Core CPI'!$C$1:$AY$1,0),FALSE)</f>
        <v>14.91126</v>
      </c>
      <c r="G333" s="36">
        <f t="shared" si="20"/>
        <v>1.2113795146744044E-2</v>
      </c>
      <c r="H333" s="36">
        <f t="shared" si="21"/>
        <v>0.15545259468815353</v>
      </c>
      <c r="I333" s="36">
        <f>(Table143454[[#This Row],[Core CPI]]-F321)/F321</f>
        <v>0.12098048561191642</v>
      </c>
    </row>
    <row r="334" spans="1:9" x14ac:dyDescent="0.2">
      <c r="A334" s="34">
        <f>IF(Data!B362="",#N/A,Data!B362)</f>
        <v>28825</v>
      </c>
      <c r="B334" s="35">
        <f>VLOOKUP(A334,Data!B:AY,MATCH($B$2,Data!$C$1:$AY$1,0),FALSE)</f>
        <v>15.611800000000001</v>
      </c>
      <c r="C334" s="36">
        <f t="shared" si="22"/>
        <v>5.1131893502476267E-3</v>
      </c>
      <c r="D334" s="36">
        <f t="shared" si="19"/>
        <v>6.311357411698415E-2</v>
      </c>
      <c r="E334" s="36">
        <f>(Table143454[[#This Row],[JPN]]-B322)/B322</f>
        <v>0.11597751146407807</v>
      </c>
      <c r="F334" s="35">
        <f>VLOOKUP(Table143454[[#This Row],[Date]],'Data Core CPI'!$B:$AY,MATCH($B$2,'Data Core CPI'!$C$1:$AY$1,0),FALSE)</f>
        <v>14.97566</v>
      </c>
      <c r="G334" s="36">
        <f t="shared" si="20"/>
        <v>4.3188838501910798E-3</v>
      </c>
      <c r="H334" s="36">
        <f t="shared" si="21"/>
        <v>5.307558463111306E-2</v>
      </c>
      <c r="I334" s="36">
        <f>(Table143454[[#This Row],[Core CPI]]-F322)/F322</f>
        <v>0.12101822145103883</v>
      </c>
    </row>
    <row r="335" spans="1:9" x14ac:dyDescent="0.2">
      <c r="A335" s="34">
        <f>IF(Data!B363="",#N/A,Data!B363)</f>
        <v>28856</v>
      </c>
      <c r="B335" s="35">
        <f>VLOOKUP(A335,Data!B:AY,MATCH($B$2,Data!$C$1:$AY$1,0),FALSE)</f>
        <v>15.87275</v>
      </c>
      <c r="C335" s="36">
        <f t="shared" si="22"/>
        <v>1.6714920765062313E-2</v>
      </c>
      <c r="D335" s="36">
        <f t="shared" si="19"/>
        <v>0.22008577843938459</v>
      </c>
      <c r="E335" s="36">
        <f>(Table143454[[#This Row],[JPN]]-B323)/B323</f>
        <v>0.12550264805382758</v>
      </c>
      <c r="F335" s="35">
        <f>VLOOKUP(Table143454[[#This Row],[Date]],'Data Core CPI'!$B:$AY,MATCH($B$2,'Data Core CPI'!$C$1:$AY$1,0),FALSE)</f>
        <v>15.25104</v>
      </c>
      <c r="G335" s="36">
        <f t="shared" si="20"/>
        <v>1.8388505080911388E-2</v>
      </c>
      <c r="H335" s="36">
        <f t="shared" si="21"/>
        <v>0.24440533291146505</v>
      </c>
      <c r="I335" s="36">
        <f>(Table143454[[#This Row],[Core CPI]]-F323)/F323</f>
        <v>0.13208236246879565</v>
      </c>
    </row>
    <row r="336" spans="1:9" x14ac:dyDescent="0.2">
      <c r="A336" s="34">
        <f>IF(Data!B364="",#N/A,Data!B364)</f>
        <v>28887</v>
      </c>
      <c r="B336" s="35">
        <f>VLOOKUP(A336,Data!B:AY,MATCH($B$2,Data!$C$1:$AY$1,0),FALSE)</f>
        <v>16.11102</v>
      </c>
      <c r="C336" s="36">
        <f t="shared" si="22"/>
        <v>1.5011261438629075E-2</v>
      </c>
      <c r="D336" s="36">
        <f t="shared" si="19"/>
        <v>0.19577736597176076</v>
      </c>
      <c r="E336" s="36">
        <f>(Table143454[[#This Row],[JPN]]-B324)/B324</f>
        <v>0.13057329980891638</v>
      </c>
      <c r="F336" s="35">
        <f>VLOOKUP(Table143454[[#This Row],[Date]],'Data Core CPI'!$B:$AY,MATCH($B$2,'Data Core CPI'!$C$1:$AY$1,0),FALSE)</f>
        <v>15.477370000000001</v>
      </c>
      <c r="G336" s="36">
        <f t="shared" si="20"/>
        <v>1.4840299415646463E-2</v>
      </c>
      <c r="H336" s="36">
        <f t="shared" si="21"/>
        <v>0.19336269435142306</v>
      </c>
      <c r="I336" s="36">
        <f>(Table143454[[#This Row],[Core CPI]]-F324)/F324</f>
        <v>0.13614054714316343</v>
      </c>
    </row>
    <row r="337" spans="1:9" x14ac:dyDescent="0.2">
      <c r="A337" s="34">
        <f>IF(Data!B365="",#N/A,Data!B365)</f>
        <v>28915</v>
      </c>
      <c r="B337" s="35">
        <f>VLOOKUP(A337,Data!B:AY,MATCH($B$2,Data!$C$1:$AY$1,0),FALSE)</f>
        <v>16.326589999999999</v>
      </c>
      <c r="C337" s="36">
        <f t="shared" si="22"/>
        <v>1.3380282564356527E-2</v>
      </c>
      <c r="D337" s="36">
        <f t="shared" si="19"/>
        <v>0.17292272083131088</v>
      </c>
      <c r="E337" s="36">
        <f>(Table143454[[#This Row],[JPN]]-B325)/B325</f>
        <v>0.13128956529451546</v>
      </c>
      <c r="F337" s="35">
        <f>VLOOKUP(Table143454[[#This Row],[Date]],'Data Core CPI'!$B:$AY,MATCH($B$2,'Data Core CPI'!$C$1:$AY$1,0),FALSE)</f>
        <v>15.67765</v>
      </c>
      <c r="G337" s="36">
        <f t="shared" si="20"/>
        <v>1.294018298974553E-2</v>
      </c>
      <c r="H337" s="36">
        <f t="shared" si="21"/>
        <v>0.16682465572899918</v>
      </c>
      <c r="I337" s="36">
        <f>(Table143454[[#This Row],[Core CPI]]-F325)/F325</f>
        <v>0.13457020988352994</v>
      </c>
    </row>
    <row r="338" spans="1:9" x14ac:dyDescent="0.2">
      <c r="A338" s="34">
        <f>IF(Data!B366="",#N/A,Data!B366)</f>
        <v>28946</v>
      </c>
      <c r="B338" s="35">
        <f>VLOOKUP(A338,Data!B:AY,MATCH($B$2,Data!$C$1:$AY$1,0),FALSE)</f>
        <v>16.530809999999999</v>
      </c>
      <c r="C338" s="36">
        <f t="shared" si="22"/>
        <v>1.2508429500587726E-2</v>
      </c>
      <c r="D338" s="36">
        <f t="shared" si="19"/>
        <v>0.16087048843632057</v>
      </c>
      <c r="E338" s="36">
        <f>(Table143454[[#This Row],[JPN]]-B326)/B326</f>
        <v>0.13473512818171887</v>
      </c>
      <c r="F338" s="35">
        <f>VLOOKUP(Table143454[[#This Row],[Date]],'Data Core CPI'!$B:$AY,MATCH($B$2,'Data Core CPI'!$C$1:$AY$1,0),FALSE)</f>
        <v>15.879659999999999</v>
      </c>
      <c r="G338" s="36">
        <f t="shared" si="20"/>
        <v>1.2885221956096649E-2</v>
      </c>
      <c r="H338" s="36">
        <f t="shared" si="21"/>
        <v>0.16606515475387207</v>
      </c>
      <c r="I338" s="36">
        <f>(Table143454[[#This Row],[Core CPI]]-F326)/F326</f>
        <v>0.13795245865338931</v>
      </c>
    </row>
    <row r="339" spans="1:9" x14ac:dyDescent="0.2">
      <c r="A339" s="34">
        <f>IF(Data!B367="",#N/A,Data!B367)</f>
        <v>28976</v>
      </c>
      <c r="B339" s="35">
        <f>VLOOKUP(A339,Data!B:AY,MATCH($B$2,Data!$C$1:$AY$1,0),FALSE)</f>
        <v>16.712340000000001</v>
      </c>
      <c r="C339" s="36">
        <f t="shared" si="22"/>
        <v>1.0981313075403065E-2</v>
      </c>
      <c r="D339" s="36">
        <f t="shared" si="19"/>
        <v>0.14003330301506201</v>
      </c>
      <c r="E339" s="36">
        <f>(Table143454[[#This Row],[JPN]]-B327)/B327</f>
        <v>0.13657378126160391</v>
      </c>
      <c r="F339" s="35">
        <f>VLOOKUP(Table143454[[#This Row],[Date]],'Data Core CPI'!$B:$AY,MATCH($B$2,'Data Core CPI'!$C$1:$AY$1,0),FALSE)</f>
        <v>16.05068</v>
      </c>
      <c r="G339" s="36">
        <f t="shared" si="20"/>
        <v>1.0769751997208976E-2</v>
      </c>
      <c r="H339" s="36">
        <f t="shared" si="21"/>
        <v>0.1371737928883594</v>
      </c>
      <c r="I339" s="36">
        <f>(Table143454[[#This Row],[Core CPI]]-F327)/F327</f>
        <v>0.14011691918653801</v>
      </c>
    </row>
    <row r="340" spans="1:9" x14ac:dyDescent="0.2">
      <c r="A340" s="34">
        <f>IF(Data!B368="",#N/A,Data!B368)</f>
        <v>29007</v>
      </c>
      <c r="B340" s="35">
        <f>VLOOKUP(A340,Data!B:AY,MATCH($B$2,Data!$C$1:$AY$1,0),FALSE)</f>
        <v>16.848490000000002</v>
      </c>
      <c r="C340" s="36">
        <f t="shared" si="22"/>
        <v>8.1466748522349697E-3</v>
      </c>
      <c r="D340" s="36">
        <f t="shared" si="19"/>
        <v>0.10226156563871336</v>
      </c>
      <c r="E340" s="36">
        <f>(Table143454[[#This Row],[JPN]]-B328)/B328</f>
        <v>0.1361897748591607</v>
      </c>
      <c r="F340" s="35">
        <f>VLOOKUP(Table143454[[#This Row],[Date]],'Data Core CPI'!$B:$AY,MATCH($B$2,'Data Core CPI'!$C$1:$AY$1,0),FALSE)</f>
        <v>16.173999999999999</v>
      </c>
      <c r="G340" s="36">
        <f t="shared" si="20"/>
        <v>7.6831635793623843E-3</v>
      </c>
      <c r="H340" s="36">
        <f t="shared" si="21"/>
        <v>9.6195535291959233E-2</v>
      </c>
      <c r="I340" s="36">
        <f>(Table143454[[#This Row],[Core CPI]]-F328)/F328</f>
        <v>0.13981436261938834</v>
      </c>
    </row>
    <row r="341" spans="1:9" x14ac:dyDescent="0.2">
      <c r="A341" s="34">
        <f>IF(Data!B369="",#N/A,Data!B369)</f>
        <v>29037</v>
      </c>
      <c r="B341" s="35">
        <f>VLOOKUP(A341,Data!B:AY,MATCH($B$2,Data!$C$1:$AY$1,0),FALSE)</f>
        <v>16.995989999999999</v>
      </c>
      <c r="C341" s="36">
        <f t="shared" si="22"/>
        <v>8.7544937261438971E-3</v>
      </c>
      <c r="D341" s="36">
        <f t="shared" si="19"/>
        <v>0.11026280001324418</v>
      </c>
      <c r="E341" s="36">
        <f>(Table143454[[#This Row],[JPN]]-B329)/B329</f>
        <v>0.13916356283064474</v>
      </c>
      <c r="F341" s="35">
        <f>VLOOKUP(Table143454[[#This Row],[Date]],'Data Core CPI'!$B:$AY,MATCH($B$2,'Data Core CPI'!$C$1:$AY$1,0),FALSE)</f>
        <v>16.327929999999999</v>
      </c>
      <c r="G341" s="36">
        <f t="shared" si="20"/>
        <v>9.5171262520092892E-3</v>
      </c>
      <c r="H341" s="36">
        <f t="shared" si="21"/>
        <v>0.12037727865614434</v>
      </c>
      <c r="I341" s="36">
        <f>(Table143454[[#This Row],[Core CPI]]-F329)/F329</f>
        <v>0.14546355062952354</v>
      </c>
    </row>
    <row r="342" spans="1:9" x14ac:dyDescent="0.2">
      <c r="A342" s="34">
        <f>IF(Data!B370="",#N/A,Data!B370)</f>
        <v>29068</v>
      </c>
      <c r="B342" s="35">
        <f>VLOOKUP(A342,Data!B:AY,MATCH($B$2,Data!$C$1:$AY$1,0),FALSE)</f>
        <v>17.200209999999998</v>
      </c>
      <c r="C342" s="36">
        <f t="shared" si="22"/>
        <v>1.2015775485864522E-2</v>
      </c>
      <c r="D342" s="36">
        <f t="shared" si="19"/>
        <v>0.15411049148409428</v>
      </c>
      <c r="E342" s="36">
        <f>(Table143454[[#This Row],[JPN]]-B330)/B330</f>
        <v>0.14674717800299081</v>
      </c>
      <c r="F342" s="35">
        <f>VLOOKUP(Table143454[[#This Row],[Date]],'Data Core CPI'!$B:$AY,MATCH($B$2,'Data Core CPI'!$C$1:$AY$1,0),FALSE)</f>
        <v>16.507459999999998</v>
      </c>
      <c r="G342" s="36">
        <f t="shared" si="20"/>
        <v>1.0995270067914342E-2</v>
      </c>
      <c r="H342" s="36">
        <f t="shared" si="21"/>
        <v>0.14022218062463621</v>
      </c>
      <c r="I342" s="36">
        <f>(Table143454[[#This Row],[Core CPI]]-F330)/F330</f>
        <v>0.15113659978214986</v>
      </c>
    </row>
    <row r="343" spans="1:9" x14ac:dyDescent="0.2">
      <c r="A343" s="34">
        <f>IF(Data!B371="",#N/A,Data!B371)</f>
        <v>29099</v>
      </c>
      <c r="B343" s="35">
        <f>VLOOKUP(A343,Data!B:AY,MATCH($B$2,Data!$C$1:$AY$1,0),FALSE)</f>
        <v>17.642700000000001</v>
      </c>
      <c r="C343" s="36">
        <f t="shared" si="22"/>
        <v>2.5725848696033449E-2</v>
      </c>
      <c r="D343" s="36">
        <f t="shared" si="19"/>
        <v>0.35636195792149072</v>
      </c>
      <c r="E343" s="36">
        <f>(Table143454[[#This Row],[JPN]]-B331)/B331</f>
        <v>0.15785577451256427</v>
      </c>
      <c r="F343" s="35">
        <f>VLOOKUP(Table143454[[#This Row],[Date]],'Data Core CPI'!$B:$AY,MATCH($B$2,'Data Core CPI'!$C$1:$AY$1,0),FALSE)</f>
        <v>16.94605</v>
      </c>
      <c r="G343" s="36">
        <f t="shared" si="20"/>
        <v>2.6569199622473727E-2</v>
      </c>
      <c r="H343" s="36">
        <f t="shared" si="21"/>
        <v>0.36980503642840312</v>
      </c>
      <c r="I343" s="36">
        <f>(Table143454[[#This Row],[Core CPI]]-F331)/F331</f>
        <v>0.1608887287394811</v>
      </c>
    </row>
    <row r="344" spans="1:9" x14ac:dyDescent="0.2">
      <c r="A344" s="34">
        <f>IF(Data!B372="",#N/A,Data!B372)</f>
        <v>29129</v>
      </c>
      <c r="B344" s="35">
        <f>VLOOKUP(A344,Data!B:AY,MATCH($B$2,Data!$C$1:$AY$1,0),FALSE)</f>
        <v>17.971720000000001</v>
      </c>
      <c r="C344" s="36">
        <f t="shared" si="22"/>
        <v>1.8649072987694693E-2</v>
      </c>
      <c r="D344" s="36">
        <f t="shared" si="19"/>
        <v>0.24823148118154159</v>
      </c>
      <c r="E344" s="36">
        <f>(Table143454[[#This Row],[JPN]]-B332)/B332</f>
        <v>0.16900336552283995</v>
      </c>
      <c r="F344" s="35">
        <f>VLOOKUP(Table143454[[#This Row],[Date]],'Data Core CPI'!$B:$AY,MATCH($B$2,'Data Core CPI'!$C$1:$AY$1,0),FALSE)</f>
        <v>17.312290000000001</v>
      </c>
      <c r="G344" s="36">
        <f t="shared" si="20"/>
        <v>2.1612116097851741E-2</v>
      </c>
      <c r="H344" s="36">
        <f t="shared" si="21"/>
        <v>0.29250555733797112</v>
      </c>
      <c r="I344" s="36">
        <f>(Table143454[[#This Row],[Core CPI]]-F332)/F332</f>
        <v>0.17508564229857354</v>
      </c>
    </row>
    <row r="345" spans="1:9" x14ac:dyDescent="0.2">
      <c r="A345" s="34">
        <f>IF(Data!B373="",#N/A,Data!B373)</f>
        <v>29160</v>
      </c>
      <c r="B345" s="35">
        <f>VLOOKUP(A345,Data!B:AY,MATCH($B$2,Data!$C$1:$AY$1,0),FALSE)</f>
        <v>18.221329999999998</v>
      </c>
      <c r="C345" s="36">
        <f t="shared" si="22"/>
        <v>1.3889043452713246E-2</v>
      </c>
      <c r="D345" s="36">
        <f t="shared" si="19"/>
        <v>0.18000856266384768</v>
      </c>
      <c r="E345" s="36">
        <f>(Table143454[[#This Row],[JPN]]-B333)/B333</f>
        <v>0.17311899399834399</v>
      </c>
      <c r="F345" s="35">
        <f>VLOOKUP(Table143454[[#This Row],[Date]],'Data Core CPI'!$B:$AY,MATCH($B$2,'Data Core CPI'!$C$1:$AY$1,0),FALSE)</f>
        <v>17.580459999999999</v>
      </c>
      <c r="G345" s="36">
        <f t="shared" si="20"/>
        <v>1.5490151793898788E-2</v>
      </c>
      <c r="H345" s="36">
        <f t="shared" si="21"/>
        <v>0.20256508855505162</v>
      </c>
      <c r="I345" s="36">
        <f>(Table143454[[#This Row],[Core CPI]]-F333)/F333</f>
        <v>0.17900566417593136</v>
      </c>
    </row>
    <row r="346" spans="1:9" x14ac:dyDescent="0.2">
      <c r="A346" s="34">
        <f>IF(Data!B374="",#N/A,Data!B374)</f>
        <v>29190</v>
      </c>
      <c r="B346" s="35">
        <f>VLOOKUP(A346,Data!B:AY,MATCH($B$2,Data!$C$1:$AY$1,0),FALSE)</f>
        <v>18.550360000000001</v>
      </c>
      <c r="C346" s="36">
        <f t="shared" si="22"/>
        <v>1.8057408542625719E-2</v>
      </c>
      <c r="D346" s="36">
        <f t="shared" si="19"/>
        <v>0.2395590604712845</v>
      </c>
      <c r="E346" s="36">
        <f>(Table143454[[#This Row],[JPN]]-B334)/B334</f>
        <v>0.18822685404629835</v>
      </c>
      <c r="F346" s="35">
        <f>VLOOKUP(Table143454[[#This Row],[Date]],'Data Core CPI'!$B:$AY,MATCH($B$2,'Data Core CPI'!$C$1:$AY$1,0),FALSE)</f>
        <v>17.929770000000001</v>
      </c>
      <c r="G346" s="36">
        <f t="shared" si="20"/>
        <v>1.986921843910805E-2</v>
      </c>
      <c r="H346" s="36">
        <f t="shared" si="21"/>
        <v>0.2662918448448679</v>
      </c>
      <c r="I346" s="36">
        <f>(Table143454[[#This Row],[Core CPI]]-F334)/F334</f>
        <v>0.1972607551186393</v>
      </c>
    </row>
    <row r="347" spans="1:9" x14ac:dyDescent="0.2">
      <c r="A347" s="34">
        <f>IF(Data!B375="",#N/A,Data!B375)</f>
        <v>29221</v>
      </c>
      <c r="B347" s="35">
        <f>VLOOKUP(A347,Data!B:AY,MATCH($B$2,Data!$C$1:$AY$1,0),FALSE)</f>
        <v>19.140339999999998</v>
      </c>
      <c r="C347" s="36">
        <f t="shared" si="22"/>
        <v>3.1804234526984665E-2</v>
      </c>
      <c r="D347" s="36">
        <f t="shared" si="19"/>
        <v>0.45602110675922813</v>
      </c>
      <c r="E347" s="36">
        <f>(Table143454[[#This Row],[JPN]]-B335)/B335</f>
        <v>0.20586161818210447</v>
      </c>
      <c r="F347" s="35">
        <f>VLOOKUP(Table143454[[#This Row],[Date]],'Data Core CPI'!$B:$AY,MATCH($B$2,'Data Core CPI'!$C$1:$AY$1,0),FALSE)</f>
        <v>18.502490000000002</v>
      </c>
      <c r="G347" s="36">
        <f t="shared" si="20"/>
        <v>3.1942406400082168E-2</v>
      </c>
      <c r="H347" s="36">
        <f t="shared" si="21"/>
        <v>0.45836259050737183</v>
      </c>
      <c r="I347" s="36">
        <f>(Table143454[[#This Row],[Core CPI]]-F335)/F335</f>
        <v>0.21319529684533003</v>
      </c>
    </row>
    <row r="348" spans="1:9" x14ac:dyDescent="0.2">
      <c r="A348" s="34">
        <f>IF(Data!B376="",#N/A,Data!B376)</f>
        <v>29252</v>
      </c>
      <c r="B348" s="35">
        <f>VLOOKUP(A348,Data!B:AY,MATCH($B$2,Data!$C$1:$AY$1,0),FALSE)</f>
        <v>19.469370000000001</v>
      </c>
      <c r="C348" s="36">
        <f t="shared" si="22"/>
        <v>1.7190394736979808E-2</v>
      </c>
      <c r="D348" s="36">
        <f t="shared" si="19"/>
        <v>0.22695039875866896</v>
      </c>
      <c r="E348" s="36">
        <f>(Table143454[[#This Row],[JPN]]-B336)/B336</f>
        <v>0.20845048916828365</v>
      </c>
      <c r="F348" s="35">
        <f>VLOOKUP(Table143454[[#This Row],[Date]],'Data Core CPI'!$B:$AY,MATCH($B$2,'Data Core CPI'!$C$1:$AY$1,0),FALSE)</f>
        <v>18.827639999999999</v>
      </c>
      <c r="G348" s="36">
        <f t="shared" si="20"/>
        <v>1.7573310403086184E-2</v>
      </c>
      <c r="H348" s="36">
        <f t="shared" si="21"/>
        <v>0.2325044325337009</v>
      </c>
      <c r="I348" s="36">
        <f>(Table143454[[#This Row],[Core CPI]]-F336)/F336</f>
        <v>0.2164624868436949</v>
      </c>
    </row>
    <row r="349" spans="1:9" x14ac:dyDescent="0.2">
      <c r="A349" s="34">
        <f>IF(Data!B377="",#N/A,Data!B377)</f>
        <v>29281</v>
      </c>
      <c r="B349" s="35">
        <f>VLOOKUP(A349,Data!B:AY,MATCH($B$2,Data!$C$1:$AY$1,0),FALSE)</f>
        <v>19.673590000000001</v>
      </c>
      <c r="C349" s="36">
        <f t="shared" si="22"/>
        <v>1.0489296777450807E-2</v>
      </c>
      <c r="D349" s="36">
        <f t="shared" si="19"/>
        <v>0.13339322776727003</v>
      </c>
      <c r="E349" s="36">
        <f>(Table143454[[#This Row],[JPN]]-B337)/B337</f>
        <v>0.20500300430157195</v>
      </c>
      <c r="F349" s="35">
        <f>VLOOKUP(Table143454[[#This Row],[Date]],'Data Core CPI'!$B:$AY,MATCH($B$2,'Data Core CPI'!$C$1:$AY$1,0),FALSE)</f>
        <v>19.045269999999999</v>
      </c>
      <c r="G349" s="36">
        <f t="shared" si="20"/>
        <v>1.1559069538189526E-2</v>
      </c>
      <c r="H349" s="36">
        <f t="shared" si="21"/>
        <v>0.14787600971128811</v>
      </c>
      <c r="I349" s="36">
        <f>(Table143454[[#This Row],[Core CPI]]-F337)/F337</f>
        <v>0.21480387685654412</v>
      </c>
    </row>
    <row r="350" spans="1:9" x14ac:dyDescent="0.2">
      <c r="A350" s="34">
        <f>IF(Data!B378="",#N/A,Data!B378)</f>
        <v>29312</v>
      </c>
      <c r="B350" s="35">
        <f>VLOOKUP(A350,Data!B:AY,MATCH($B$2,Data!$C$1:$AY$1,0),FALSE)</f>
        <v>19.99127</v>
      </c>
      <c r="C350" s="36">
        <f t="shared" si="22"/>
        <v>1.614753585898665E-2</v>
      </c>
      <c r="D350" s="36">
        <f t="shared" si="19"/>
        <v>0.2119402804576751</v>
      </c>
      <c r="E350" s="36">
        <f>(Table143454[[#This Row],[JPN]]-B338)/B338</f>
        <v>0.20933396488133379</v>
      </c>
      <c r="F350" s="35">
        <f>VLOOKUP(Table143454[[#This Row],[Date]],'Data Core CPI'!$B:$AY,MATCH($B$2,'Data Core CPI'!$C$1:$AY$1,0),FALSE)</f>
        <v>19.392119999999998</v>
      </c>
      <c r="G350" s="36">
        <f t="shared" si="20"/>
        <v>1.8211870978988465E-2</v>
      </c>
      <c r="H350" s="36">
        <f t="shared" si="21"/>
        <v>0.24181777591965425</v>
      </c>
      <c r="I350" s="36">
        <f>(Table143454[[#This Row],[Core CPI]]-F338)/F338</f>
        <v>0.22119239328801746</v>
      </c>
    </row>
    <row r="351" spans="1:9" x14ac:dyDescent="0.2">
      <c r="A351" s="34">
        <f>IF(Data!B379="",#N/A,Data!B379)</f>
        <v>29342</v>
      </c>
      <c r="B351" s="35">
        <f>VLOOKUP(A351,Data!B:AY,MATCH($B$2,Data!$C$1:$AY$1,0),FALSE)</f>
        <v>20.195499999999999</v>
      </c>
      <c r="C351" s="36">
        <f t="shared" si="22"/>
        <v>1.0215959266219654E-2</v>
      </c>
      <c r="D351" s="36">
        <f t="shared" si="19"/>
        <v>0.12971969974215303</v>
      </c>
      <c r="E351" s="36">
        <f>(Table143454[[#This Row],[JPN]]-B339)/B339</f>
        <v>0.20841845007940227</v>
      </c>
      <c r="F351" s="35">
        <f>VLOOKUP(Table143454[[#This Row],[Date]],'Data Core CPI'!$B:$AY,MATCH($B$2,'Data Core CPI'!$C$1:$AY$1,0),FALSE)</f>
        <v>19.626090000000001</v>
      </c>
      <c r="G351" s="36">
        <f t="shared" si="20"/>
        <v>1.2065209992512482E-2</v>
      </c>
      <c r="H351" s="36">
        <f t="shared" si="21"/>
        <v>0.15478717911558948</v>
      </c>
      <c r="I351" s="36">
        <f>(Table143454[[#This Row],[Core CPI]]-F339)/F339</f>
        <v>0.22275754049049645</v>
      </c>
    </row>
    <row r="352" spans="1:9" x14ac:dyDescent="0.2">
      <c r="A352" s="34">
        <f>IF(Data!B380="",#N/A,Data!B380)</f>
        <v>29373</v>
      </c>
      <c r="B352" s="35">
        <f>VLOOKUP(A352,Data!B:AY,MATCH($B$2,Data!$C$1:$AY$1,0),FALSE)</f>
        <v>20.377030000000001</v>
      </c>
      <c r="C352" s="36">
        <f t="shared" si="22"/>
        <v>8.9886360822957201E-3</v>
      </c>
      <c r="D352" s="36">
        <f t="shared" si="19"/>
        <v>0.11335919271473927</v>
      </c>
      <c r="E352" s="36">
        <f>(Table143454[[#This Row],[JPN]]-B340)/B340</f>
        <v>0.20942766977930954</v>
      </c>
      <c r="F352" s="35">
        <f>VLOOKUP(Table143454[[#This Row],[Date]],'Data Core CPI'!$B:$AY,MATCH($B$2,'Data Core CPI'!$C$1:$AY$1,0),FALSE)</f>
        <v>19.784549999999999</v>
      </c>
      <c r="G352" s="36">
        <f t="shared" si="20"/>
        <v>8.0739464661578886E-3</v>
      </c>
      <c r="H352" s="36">
        <f t="shared" si="21"/>
        <v>0.10130772937614596</v>
      </c>
      <c r="I352" s="36">
        <f>(Table143454[[#This Row],[Core CPI]]-F340)/F340</f>
        <v>0.22323172993693582</v>
      </c>
    </row>
    <row r="353" spans="1:9" x14ac:dyDescent="0.2">
      <c r="A353" s="34">
        <f>IF(Data!B381="",#N/A,Data!B381)</f>
        <v>29403</v>
      </c>
      <c r="B353" s="35">
        <f>VLOOKUP(A353,Data!B:AY,MATCH($B$2,Data!$C$1:$AY$1,0),FALSE)</f>
        <v>20.740100000000002</v>
      </c>
      <c r="C353" s="36">
        <f t="shared" si="22"/>
        <v>1.7817611300567471E-2</v>
      </c>
      <c r="D353" s="36">
        <f t="shared" si="19"/>
        <v>0.23605994851769663</v>
      </c>
      <c r="E353" s="36">
        <f>(Table143454[[#This Row],[JPN]]-B341)/B341</f>
        <v>0.22029372810880701</v>
      </c>
      <c r="F353" s="35">
        <f>VLOOKUP(Table143454[[#This Row],[Date]],'Data Core CPI'!$B:$AY,MATCH($B$2,'Data Core CPI'!$C$1:$AY$1,0),FALSE)</f>
        <v>20.13589</v>
      </c>
      <c r="G353" s="36">
        <f t="shared" si="20"/>
        <v>1.7758301300762502E-2</v>
      </c>
      <c r="H353" s="36">
        <f t="shared" si="21"/>
        <v>0.23519589715874711</v>
      </c>
      <c r="I353" s="36">
        <f>(Table143454[[#This Row],[Core CPI]]-F341)/F341</f>
        <v>0.23321756033985946</v>
      </c>
    </row>
    <row r="354" spans="1:9" x14ac:dyDescent="0.2">
      <c r="A354" s="34">
        <f>IF(Data!B382="",#N/A,Data!B382)</f>
        <v>29434</v>
      </c>
      <c r="B354" s="35">
        <f>VLOOKUP(A354,Data!B:AY,MATCH($B$2,Data!$C$1:$AY$1,0),FALSE)</f>
        <v>20.989699999999999</v>
      </c>
      <c r="C354" s="36">
        <f t="shared" si="22"/>
        <v>1.2034657499240486E-2</v>
      </c>
      <c r="D354" s="36">
        <f t="shared" si="19"/>
        <v>0.15436891630295158</v>
      </c>
      <c r="E354" s="36">
        <f>(Table143454[[#This Row],[JPN]]-B342)/B342</f>
        <v>0.22031649613580306</v>
      </c>
      <c r="F354" s="35">
        <f>VLOOKUP(Table143454[[#This Row],[Date]],'Data Core CPI'!$B:$AY,MATCH($B$2,'Data Core CPI'!$C$1:$AY$1,0),FALSE)</f>
        <v>20.401199999999999</v>
      </c>
      <c r="G354" s="36">
        <f t="shared" si="20"/>
        <v>1.3175975832208087E-2</v>
      </c>
      <c r="H354" s="36">
        <f t="shared" si="21"/>
        <v>0.17008820190126883</v>
      </c>
      <c r="I354" s="36">
        <f>(Table143454[[#This Row],[Core CPI]]-F342)/F342</f>
        <v>0.2358775971591027</v>
      </c>
    </row>
    <row r="355" spans="1:9" x14ac:dyDescent="0.2">
      <c r="A355" s="34">
        <f>IF(Data!B383="",#N/A,Data!B383)</f>
        <v>29465</v>
      </c>
      <c r="B355" s="35">
        <f>VLOOKUP(A355,Data!B:AY,MATCH($B$2,Data!$C$1:$AY$1,0),FALSE)</f>
        <v>21.409500000000001</v>
      </c>
      <c r="C355" s="36">
        <f t="shared" si="22"/>
        <v>2.000028585449054E-2</v>
      </c>
      <c r="D355" s="36">
        <f t="shared" si="19"/>
        <v>0.2682460596586731</v>
      </c>
      <c r="E355" s="36">
        <f>(Table143454[[#This Row],[JPN]]-B343)/B343</f>
        <v>0.2135047356697104</v>
      </c>
      <c r="F355" s="35">
        <f>VLOOKUP(Table143454[[#This Row],[Date]],'Data Core CPI'!$B:$AY,MATCH($B$2,'Data Core CPI'!$C$1:$AY$1,0),FALSE)</f>
        <v>20.85258</v>
      </c>
      <c r="G355" s="36">
        <f t="shared" si="20"/>
        <v>2.2125169107699572E-2</v>
      </c>
      <c r="H355" s="36">
        <f t="shared" si="21"/>
        <v>0.30031625422987296</v>
      </c>
      <c r="I355" s="36">
        <f>(Table143454[[#This Row],[Core CPI]]-F343)/F343</f>
        <v>0.23052746805302712</v>
      </c>
    </row>
    <row r="356" spans="1:9" x14ac:dyDescent="0.2">
      <c r="A356" s="34">
        <f>IF(Data!B384="",#N/A,Data!B384)</f>
        <v>29495</v>
      </c>
      <c r="B356" s="35">
        <f>VLOOKUP(A356,Data!B:AY,MATCH($B$2,Data!$C$1:$AY$1,0),FALSE)</f>
        <v>21.772559999999999</v>
      </c>
      <c r="C356" s="36">
        <f t="shared" si="22"/>
        <v>1.6957892524346541E-2</v>
      </c>
      <c r="D356" s="36">
        <f t="shared" si="19"/>
        <v>0.2235892542036515</v>
      </c>
      <c r="E356" s="36">
        <f>(Table143454[[#This Row],[JPN]]-B344)/B344</f>
        <v>0.21149005214859776</v>
      </c>
      <c r="F356" s="35">
        <f>VLOOKUP(Table143454[[#This Row],[Date]],'Data Core CPI'!$B:$AY,MATCH($B$2,'Data Core CPI'!$C$1:$AY$1,0),FALSE)</f>
        <v>21.30198</v>
      </c>
      <c r="G356" s="36">
        <f t="shared" si="20"/>
        <v>2.1551290056194494E-2</v>
      </c>
      <c r="H356" s="36">
        <f t="shared" si="21"/>
        <v>0.29158240159982762</v>
      </c>
      <c r="I356" s="36">
        <f>(Table143454[[#This Row],[Core CPI]]-F344)/F344</f>
        <v>0.23045420334340513</v>
      </c>
    </row>
    <row r="357" spans="1:9" x14ac:dyDescent="0.2">
      <c r="A357" s="34">
        <f>IF(Data!B385="",#N/A,Data!B385)</f>
        <v>29526</v>
      </c>
      <c r="B357" s="35">
        <f>VLOOKUP(A357,Data!B:AY,MATCH($B$2,Data!$C$1:$AY$1,0),FALSE)</f>
        <v>22.226389999999999</v>
      </c>
      <c r="C357" s="36">
        <f t="shared" si="22"/>
        <v>2.0844126735670931E-2</v>
      </c>
      <c r="D357" s="36">
        <f t="shared" si="19"/>
        <v>0.28089406618426604</v>
      </c>
      <c r="E357" s="36">
        <f>(Table143454[[#This Row],[JPN]]-B345)/B345</f>
        <v>0.21980064023866538</v>
      </c>
      <c r="F357" s="35">
        <f>VLOOKUP(Table143454[[#This Row],[Date]],'Data Core CPI'!$B:$AY,MATCH($B$2,'Data Core CPI'!$C$1:$AY$1,0),FALSE)</f>
        <v>21.737200000000001</v>
      </c>
      <c r="G357" s="36">
        <f t="shared" si="20"/>
        <v>2.0430964633334492E-2</v>
      </c>
      <c r="H357" s="36">
        <f t="shared" si="21"/>
        <v>0.27468696255702052</v>
      </c>
      <c r="I357" s="36">
        <f>(Table143454[[#This Row],[Core CPI]]-F345)/F345</f>
        <v>0.23644091224006669</v>
      </c>
    </row>
    <row r="358" spans="1:9" x14ac:dyDescent="0.2">
      <c r="A358" s="34">
        <f>IF(Data!B386="",#N/A,Data!B386)</f>
        <v>29556</v>
      </c>
      <c r="B358" s="35">
        <f>VLOOKUP(A358,Data!B:AY,MATCH($B$2,Data!$C$1:$AY$1,0),FALSE)</f>
        <v>22.177199999999999</v>
      </c>
      <c r="C358" s="36">
        <f t="shared" si="22"/>
        <v>-2.2131349265445133E-3</v>
      </c>
      <c r="D358" s="36">
        <f t="shared" si="19"/>
        <v>-2.6236726285201795E-2</v>
      </c>
      <c r="E358" s="36">
        <f>(Table143454[[#This Row],[JPN]]-B346)/B346</f>
        <v>0.19551318680607802</v>
      </c>
      <c r="F358" s="35">
        <f>VLOOKUP(Table143454[[#This Row],[Date]],'Data Core CPI'!$B:$AY,MATCH($B$2,'Data Core CPI'!$C$1:$AY$1,0),FALSE)</f>
        <v>21.503399999999999</v>
      </c>
      <c r="G358" s="36">
        <f t="shared" si="20"/>
        <v>-1.0755755111053977E-2</v>
      </c>
      <c r="H358" s="36">
        <f t="shared" si="21"/>
        <v>-0.12170099999039652</v>
      </c>
      <c r="I358" s="36">
        <f>(Table143454[[#This Row],[Core CPI]]-F346)/F346</f>
        <v>0.19931265152871441</v>
      </c>
    </row>
    <row r="359" spans="1:9" x14ac:dyDescent="0.2">
      <c r="A359" s="34">
        <f>IF(Data!B387="",#N/A,Data!B387)</f>
        <v>29587</v>
      </c>
      <c r="B359" s="35">
        <f>VLOOKUP(A359,Data!B:AY,MATCH($B$2,Data!$C$1:$AY$1,0),FALSE)</f>
        <v>22.591339999999999</v>
      </c>
      <c r="C359" s="36">
        <f t="shared" si="22"/>
        <v>1.8674133795068881E-2</v>
      </c>
      <c r="D359" s="36">
        <f t="shared" si="19"/>
        <v>0.24860003898197247</v>
      </c>
      <c r="E359" s="36">
        <f>(Table143454[[#This Row],[JPN]]-B347)/B347</f>
        <v>0.18029982748477827</v>
      </c>
      <c r="F359" s="35">
        <f>VLOOKUP(Table143454[[#This Row],[Date]],'Data Core CPI'!$B:$AY,MATCH($B$2,'Data Core CPI'!$C$1:$AY$1,0),FALSE)</f>
        <v>22.048590000000001</v>
      </c>
      <c r="G359" s="36">
        <f t="shared" si="20"/>
        <v>2.5353665001813797E-2</v>
      </c>
      <c r="H359" s="36">
        <f t="shared" si="21"/>
        <v>0.35046787333835105</v>
      </c>
      <c r="I359" s="36">
        <f>(Table143454[[#This Row],[Core CPI]]-F347)/F347</f>
        <v>0.19165528531565204</v>
      </c>
    </row>
    <row r="360" spans="1:9" x14ac:dyDescent="0.2">
      <c r="A360" s="34">
        <f>IF(Data!B388="",#N/A,Data!B388)</f>
        <v>29618</v>
      </c>
      <c r="B360" s="35">
        <f>VLOOKUP(A360,Data!B:AY,MATCH($B$2,Data!$C$1:$AY$1,0),FALSE)</f>
        <v>23.02619</v>
      </c>
      <c r="C360" s="36">
        <f t="shared" si="22"/>
        <v>1.9248526205174254E-2</v>
      </c>
      <c r="D360" s="36">
        <f t="shared" si="19"/>
        <v>0.25707475785436951</v>
      </c>
      <c r="E360" s="36">
        <f>(Table143454[[#This Row],[JPN]]-B348)/B348</f>
        <v>0.18268798630875052</v>
      </c>
      <c r="F360" s="35">
        <f>VLOOKUP(Table143454[[#This Row],[Date]],'Data Core CPI'!$B:$AY,MATCH($B$2,'Data Core CPI'!$C$1:$AY$1,0),FALSE)</f>
        <v>22.48714</v>
      </c>
      <c r="G360" s="36">
        <f t="shared" si="20"/>
        <v>1.9890160776720789E-2</v>
      </c>
      <c r="H360" s="36">
        <f t="shared" si="21"/>
        <v>0.26660390964017089</v>
      </c>
      <c r="I360" s="36">
        <f>(Table143454[[#This Row],[Core CPI]]-F348)/F348</f>
        <v>0.19436849228049832</v>
      </c>
    </row>
    <row r="361" spans="1:9" x14ac:dyDescent="0.2">
      <c r="A361" s="34">
        <f>IF(Data!B389="",#N/A,Data!B389)</f>
        <v>29646</v>
      </c>
      <c r="B361" s="35">
        <f>VLOOKUP(A361,Data!B:AY,MATCH($B$2,Data!$C$1:$AY$1,0),FALSE)</f>
        <v>23.357500000000002</v>
      </c>
      <c r="C361" s="36">
        <f t="shared" si="22"/>
        <v>1.4388398601766106E-2</v>
      </c>
      <c r="D361" s="36">
        <f t="shared" si="19"/>
        <v>0.1870015424863507</v>
      </c>
      <c r="E361" s="36">
        <f>(Table143454[[#This Row],[JPN]]-B349)/B349</f>
        <v>0.18725153873797312</v>
      </c>
      <c r="F361" s="35">
        <f>VLOOKUP(Table143454[[#This Row],[Date]],'Data Core CPI'!$B:$AY,MATCH($B$2,'Data Core CPI'!$C$1:$AY$1,0),FALSE)</f>
        <v>22.78031</v>
      </c>
      <c r="G361" s="36">
        <f t="shared" si="20"/>
        <v>1.3037229278600959E-2</v>
      </c>
      <c r="H361" s="36">
        <f t="shared" si="21"/>
        <v>0.16816683594850401</v>
      </c>
      <c r="I361" s="36">
        <f>(Table143454[[#This Row],[Core CPI]]-F349)/F349</f>
        <v>0.19611378573262556</v>
      </c>
    </row>
    <row r="362" spans="1:9" x14ac:dyDescent="0.2">
      <c r="A362" s="34">
        <f>IF(Data!B390="",#N/A,Data!B390)</f>
        <v>29677</v>
      </c>
      <c r="B362" s="35">
        <f>VLOOKUP(A362,Data!B:AY,MATCH($B$2,Data!$C$1:$AY$1,0),FALSE)</f>
        <v>23.668109999999999</v>
      </c>
      <c r="C362" s="36">
        <f t="shared" si="22"/>
        <v>1.3298084127153942E-2</v>
      </c>
      <c r="D362" s="36">
        <f t="shared" si="19"/>
        <v>0.171781556952179</v>
      </c>
      <c r="E362" s="36">
        <f>(Table143454[[#This Row],[JPN]]-B350)/B350</f>
        <v>0.18392228207612615</v>
      </c>
      <c r="F362" s="35">
        <f>VLOOKUP(Table143454[[#This Row],[Date]],'Data Core CPI'!$B:$AY,MATCH($B$2,'Data Core CPI'!$C$1:$AY$1,0),FALSE)</f>
        <v>23.064520000000002</v>
      </c>
      <c r="G362" s="36">
        <f t="shared" si="20"/>
        <v>1.2476125215153067E-2</v>
      </c>
      <c r="H362" s="36">
        <f t="shared" si="21"/>
        <v>0.16042611273835217</v>
      </c>
      <c r="I362" s="36">
        <f>(Table143454[[#This Row],[Core CPI]]-F350)/F350</f>
        <v>0.18937589082575826</v>
      </c>
    </row>
    <row r="363" spans="1:9" x14ac:dyDescent="0.2">
      <c r="A363" s="34">
        <f>IF(Data!B391="",#N/A,Data!B391)</f>
        <v>29707</v>
      </c>
      <c r="B363" s="35">
        <f>VLOOKUP(A363,Data!B:AY,MATCH($B$2,Data!$C$1:$AY$1,0),FALSE)</f>
        <v>24.04083</v>
      </c>
      <c r="C363" s="36">
        <f t="shared" si="22"/>
        <v>1.5747772002073779E-2</v>
      </c>
      <c r="D363" s="36">
        <f t="shared" si="19"/>
        <v>0.20623115311292906</v>
      </c>
      <c r="E363" s="36">
        <f>(Table143454[[#This Row],[JPN]]-B351)/B351</f>
        <v>0.19040528830680106</v>
      </c>
      <c r="F363" s="35">
        <f>VLOOKUP(Table143454[[#This Row],[Date]],'Data Core CPI'!$B:$AY,MATCH($B$2,'Data Core CPI'!$C$1:$AY$1,0),FALSE)</f>
        <v>23.40766</v>
      </c>
      <c r="G363" s="36">
        <f t="shared" si="20"/>
        <v>1.487739610449279E-2</v>
      </c>
      <c r="H363" s="36">
        <f t="shared" si="21"/>
        <v>0.1938862688215337</v>
      </c>
      <c r="I363" s="36">
        <f>(Table143454[[#This Row],[Core CPI]]-F351)/F351</f>
        <v>0.19268076320856564</v>
      </c>
    </row>
    <row r="364" spans="1:9" x14ac:dyDescent="0.2">
      <c r="A364" s="34">
        <f>IF(Data!B392="",#N/A,Data!B392)</f>
        <v>29738</v>
      </c>
      <c r="B364" s="35">
        <f>VLOOKUP(A364,Data!B:AY,MATCH($B$2,Data!$C$1:$AY$1,0),FALSE)</f>
        <v>24.310020000000002</v>
      </c>
      <c r="C364" s="36">
        <f t="shared" si="22"/>
        <v>1.119720076220343E-2</v>
      </c>
      <c r="D364" s="36">
        <f t="shared" si="19"/>
        <v>0.14295808611709471</v>
      </c>
      <c r="E364" s="36">
        <f>(Table143454[[#This Row],[JPN]]-B352)/B352</f>
        <v>0.19301095400065663</v>
      </c>
      <c r="F364" s="35">
        <f>VLOOKUP(Table143454[[#This Row],[Date]],'Data Core CPI'!$B:$AY,MATCH($B$2,'Data Core CPI'!$C$1:$AY$1,0),FALSE)</f>
        <v>23.63139</v>
      </c>
      <c r="G364" s="36">
        <f t="shared" si="20"/>
        <v>9.5579823015201626E-3</v>
      </c>
      <c r="H364" s="36">
        <f t="shared" si="21"/>
        <v>0.1209215116795026</v>
      </c>
      <c r="I364" s="36">
        <f>(Table143454[[#This Row],[Core CPI]]-F352)/F352</f>
        <v>0.19443656792800446</v>
      </c>
    </row>
    <row r="365" spans="1:9" x14ac:dyDescent="0.2">
      <c r="A365" s="34">
        <f>IF(Data!B393="",#N/A,Data!B393)</f>
        <v>29768</v>
      </c>
      <c r="B365" s="35">
        <f>VLOOKUP(A365,Data!B:AY,MATCH($B$2,Data!$C$1:$AY$1,0),FALSE)</f>
        <v>24.454969999999999</v>
      </c>
      <c r="C365" s="36">
        <f t="shared" si="22"/>
        <v>5.9625619394800822E-3</v>
      </c>
      <c r="D365" s="36">
        <f t="shared" si="19"/>
        <v>7.3944452514787207E-2</v>
      </c>
      <c r="E365" s="36">
        <f>(Table143454[[#This Row],[JPN]]-B353)/B353</f>
        <v>0.17911533695594511</v>
      </c>
      <c r="F365" s="35">
        <f>VLOOKUP(Table143454[[#This Row],[Date]],'Data Core CPI'!$B:$AY,MATCH($B$2,'Data Core CPI'!$C$1:$AY$1,0),FALSE)</f>
        <v>23.763719999999999</v>
      </c>
      <c r="G365" s="36">
        <f t="shared" si="20"/>
        <v>5.5997552408046936E-3</v>
      </c>
      <c r="H365" s="36">
        <f t="shared" si="21"/>
        <v>6.9305763533825449E-2</v>
      </c>
      <c r="I365" s="36">
        <f>(Table143454[[#This Row],[Core CPI]]-F353)/F353</f>
        <v>0.18016735292058109</v>
      </c>
    </row>
    <row r="366" spans="1:9" x14ac:dyDescent="0.2">
      <c r="A366" s="34">
        <f>IF(Data!B394="",#N/A,Data!B394)</f>
        <v>29799</v>
      </c>
      <c r="B366" s="35">
        <f>VLOOKUP(A366,Data!B:AY,MATCH($B$2,Data!$C$1:$AY$1,0),FALSE)</f>
        <v>24.682749999999999</v>
      </c>
      <c r="C366" s="36">
        <f t="shared" si="22"/>
        <v>9.3142620906916385E-3</v>
      </c>
      <c r="D366" s="36">
        <f t="shared" si="19"/>
        <v>0.11767856232791862</v>
      </c>
      <c r="E366" s="36">
        <f>(Table143454[[#This Row],[JPN]]-B354)/B354</f>
        <v>0.17594582104556042</v>
      </c>
      <c r="F366" s="35">
        <f>VLOOKUP(Table143454[[#This Row],[Date]],'Data Core CPI'!$B:$AY,MATCH($B$2,'Data Core CPI'!$C$1:$AY$1,0),FALSE)</f>
        <v>23.985389999999999</v>
      </c>
      <c r="G366" s="36">
        <f t="shared" si="20"/>
        <v>9.3280849967933843E-3</v>
      </c>
      <c r="H366" s="36">
        <f t="shared" si="21"/>
        <v>0.11786226007417988</v>
      </c>
      <c r="I366" s="36">
        <f>(Table143454[[#This Row],[Core CPI]]-F354)/F354</f>
        <v>0.17568525380859948</v>
      </c>
    </row>
    <row r="367" spans="1:9" x14ac:dyDescent="0.2">
      <c r="A367" s="34">
        <f>IF(Data!B395="",#N/A,Data!B395)</f>
        <v>29830</v>
      </c>
      <c r="B367" s="35">
        <f>VLOOKUP(A367,Data!B:AY,MATCH($B$2,Data!$C$1:$AY$1,0),FALSE)</f>
        <v>25.034770000000002</v>
      </c>
      <c r="C367" s="36">
        <f t="shared" si="22"/>
        <v>1.426178201375472E-2</v>
      </c>
      <c r="D367" s="36">
        <f t="shared" si="19"/>
        <v>0.18522481535310575</v>
      </c>
      <c r="E367" s="36">
        <f>(Table143454[[#This Row],[JPN]]-B355)/B355</f>
        <v>0.1693299703402695</v>
      </c>
      <c r="F367" s="35">
        <f>VLOOKUP(Table143454[[#This Row],[Date]],'Data Core CPI'!$B:$AY,MATCH($B$2,'Data Core CPI'!$C$1:$AY$1,0),FALSE)</f>
        <v>24.312919999999998</v>
      </c>
      <c r="G367" s="36">
        <f t="shared" si="20"/>
        <v>1.3655396055682223E-2</v>
      </c>
      <c r="H367" s="36">
        <f t="shared" si="21"/>
        <v>0.17674954625978656</v>
      </c>
      <c r="I367" s="36">
        <f>(Table143454[[#This Row],[Core CPI]]-F355)/F355</f>
        <v>0.16594301520483309</v>
      </c>
    </row>
    <row r="368" spans="1:9" x14ac:dyDescent="0.2">
      <c r="A368" s="34">
        <f>IF(Data!B396="",#N/A,Data!B396)</f>
        <v>29860</v>
      </c>
      <c r="B368" s="35">
        <f>VLOOKUP(A368,Data!B:AY,MATCH($B$2,Data!$C$1:$AY$1,0),FALSE)</f>
        <v>25.469609999999999</v>
      </c>
      <c r="C368" s="36">
        <f t="shared" si="22"/>
        <v>1.7369442579260763E-2</v>
      </c>
      <c r="D368" s="36">
        <f t="shared" si="19"/>
        <v>0.22954455175449606</v>
      </c>
      <c r="E368" s="36">
        <f>(Table143454[[#This Row],[JPN]]-B356)/B356</f>
        <v>0.1698031834566078</v>
      </c>
      <c r="F368" s="35">
        <f>VLOOKUP(Table143454[[#This Row],[Date]],'Data Core CPI'!$B:$AY,MATCH($B$2,'Data Core CPI'!$C$1:$AY$1,0),FALSE)</f>
        <v>24.7973</v>
      </c>
      <c r="G368" s="36">
        <f t="shared" si="20"/>
        <v>1.9922740666279637E-2</v>
      </c>
      <c r="H368" s="36">
        <f t="shared" si="21"/>
        <v>0.26708952742183967</v>
      </c>
      <c r="I368" s="36">
        <f>(Table143454[[#This Row],[Core CPI]]-F356)/F356</f>
        <v>0.16408427761175251</v>
      </c>
    </row>
    <row r="369" spans="1:9" x14ac:dyDescent="0.2">
      <c r="A369" s="34">
        <f>IF(Data!B397="",#N/A,Data!B397)</f>
        <v>29891</v>
      </c>
      <c r="B369" s="35">
        <f>VLOOKUP(A369,Data!B:AY,MATCH($B$2,Data!$C$1:$AY$1,0),FALSE)</f>
        <v>25.925170000000001</v>
      </c>
      <c r="C369" s="36">
        <f t="shared" si="22"/>
        <v>1.7886414436656173E-2</v>
      </c>
      <c r="D369" s="36">
        <f t="shared" si="19"/>
        <v>0.23706299377150009</v>
      </c>
      <c r="E369" s="36">
        <f>(Table143454[[#This Row],[JPN]]-B357)/B357</f>
        <v>0.1664138890751041</v>
      </c>
      <c r="F369" s="35">
        <f>VLOOKUP(Table143454[[#This Row],[Date]],'Data Core CPI'!$B:$AY,MATCH($B$2,'Data Core CPI'!$C$1:$AY$1,0),FALSE)</f>
        <v>25.24043</v>
      </c>
      <c r="G369" s="36">
        <f t="shared" si="20"/>
        <v>1.7870090695357943E-2</v>
      </c>
      <c r="H369" s="36">
        <f t="shared" si="21"/>
        <v>0.23682495092157563</v>
      </c>
      <c r="I369" s="36">
        <f>(Table143454[[#This Row],[Core CPI]]-F357)/F357</f>
        <v>0.16116289126474423</v>
      </c>
    </row>
    <row r="370" spans="1:9" x14ac:dyDescent="0.2">
      <c r="A370" s="34">
        <f>IF(Data!B398="",#N/A,Data!B398)</f>
        <v>29921</v>
      </c>
      <c r="B370" s="35">
        <f>VLOOKUP(A370,Data!B:AY,MATCH($B$2,Data!$C$1:$AY$1,0),FALSE)</f>
        <v>26.19436</v>
      </c>
      <c r="C370" s="36">
        <f t="shared" si="22"/>
        <v>1.0383345605833982E-2</v>
      </c>
      <c r="D370" s="36">
        <f t="shared" si="19"/>
        <v>0.1319679960768414</v>
      </c>
      <c r="E370" s="36">
        <f>(Table143454[[#This Row],[JPN]]-B358)/B358</f>
        <v>0.18113918799487766</v>
      </c>
      <c r="F370" s="35">
        <f>VLOOKUP(Table143454[[#This Row],[Date]],'Data Core CPI'!$B:$AY,MATCH($B$2,'Data Core CPI'!$C$1:$AY$1,0),FALSE)</f>
        <v>25.495909999999999</v>
      </c>
      <c r="G370" s="36">
        <f t="shared" si="20"/>
        <v>1.012185608565308E-2</v>
      </c>
      <c r="H370" s="36">
        <f t="shared" si="21"/>
        <v>0.12845752485915574</v>
      </c>
      <c r="I370" s="36">
        <f>(Table143454[[#This Row],[Core CPI]]-F358)/F358</f>
        <v>0.18566877796069456</v>
      </c>
    </row>
    <row r="371" spans="1:9" x14ac:dyDescent="0.2">
      <c r="A371" s="34">
        <f>IF(Data!B399="",#N/A,Data!B399)</f>
        <v>29952</v>
      </c>
      <c r="B371" s="35">
        <f>VLOOKUP(A371,Data!B:AY,MATCH($B$2,Data!$C$1:$AY$1,0),FALSE)</f>
        <v>26.56709</v>
      </c>
      <c r="C371" s="36">
        <f t="shared" si="22"/>
        <v>1.4229399000395437E-2</v>
      </c>
      <c r="D371" s="36">
        <f t="shared" si="19"/>
        <v>0.184770797513371</v>
      </c>
      <c r="E371" s="36">
        <f>(Table143454[[#This Row],[JPN]]-B359)/B359</f>
        <v>0.17598557677410909</v>
      </c>
      <c r="F371" s="35">
        <f>VLOOKUP(Table143454[[#This Row],[Date]],'Data Core CPI'!$B:$AY,MATCH($B$2,'Data Core CPI'!$C$1:$AY$1,0),FALSE)</f>
        <v>25.88486</v>
      </c>
      <c r="G371" s="36">
        <f t="shared" si="20"/>
        <v>1.525538802105908E-2</v>
      </c>
      <c r="H371" s="36">
        <f t="shared" si="21"/>
        <v>0.19923318003447132</v>
      </c>
      <c r="I371" s="36">
        <f>(Table143454[[#This Row],[Core CPI]]-F359)/F359</f>
        <v>0.17399162486127226</v>
      </c>
    </row>
    <row r="372" spans="1:9" x14ac:dyDescent="0.2">
      <c r="A372" s="34">
        <f>IF(Data!B400="",#N/A,Data!B400)</f>
        <v>29983</v>
      </c>
      <c r="B372" s="35">
        <f>VLOOKUP(A372,Data!B:AY,MATCH($B$2,Data!$C$1:$AY$1,0),FALSE)</f>
        <v>26.960519999999999</v>
      </c>
      <c r="C372" s="36">
        <f t="shared" si="22"/>
        <v>1.4808923370982718E-2</v>
      </c>
      <c r="D372" s="36">
        <f t="shared" si="19"/>
        <v>0.1929200240921829</v>
      </c>
      <c r="E372" s="36">
        <f>(Table143454[[#This Row],[JPN]]-B360)/B360</f>
        <v>0.17086326483017814</v>
      </c>
      <c r="F372" s="35">
        <f>VLOOKUP(Table143454[[#This Row],[Date]],'Data Core CPI'!$B:$AY,MATCH($B$2,'Data Core CPI'!$C$1:$AY$1,0),FALSE)</f>
        <v>26.352440000000001</v>
      </c>
      <c r="G372" s="36">
        <f t="shared" si="20"/>
        <v>1.8063841179747575E-2</v>
      </c>
      <c r="H372" s="36">
        <f t="shared" si="21"/>
        <v>0.23965305018933747</v>
      </c>
      <c r="I372" s="36">
        <f>(Table143454[[#This Row],[Core CPI]]-F360)/F360</f>
        <v>0.17188935542714642</v>
      </c>
    </row>
    <row r="373" spans="1:9" x14ac:dyDescent="0.2">
      <c r="A373" s="34">
        <f>IF(Data!B401="",#N/A,Data!B401)</f>
        <v>30011</v>
      </c>
      <c r="B373" s="35">
        <f>VLOOKUP(A373,Data!B:AY,MATCH($B$2,Data!$C$1:$AY$1,0),FALSE)</f>
        <v>27.188300000000002</v>
      </c>
      <c r="C373" s="36">
        <f t="shared" si="22"/>
        <v>8.4486501002207781E-3</v>
      </c>
      <c r="D373" s="36">
        <f t="shared" si="19"/>
        <v>0.10623009077334866</v>
      </c>
      <c r="E373" s="36">
        <f>(Table143454[[#This Row],[JPN]]-B361)/B361</f>
        <v>0.16400727817617466</v>
      </c>
      <c r="F373" s="35">
        <f>VLOOKUP(Table143454[[#This Row],[Date]],'Data Core CPI'!$B:$AY,MATCH($B$2,'Data Core CPI'!$C$1:$AY$1,0),FALSE)</f>
        <v>26.60623</v>
      </c>
      <c r="G373" s="36">
        <f t="shared" si="20"/>
        <v>9.630607260655788E-3</v>
      </c>
      <c r="H373" s="36">
        <f t="shared" si="21"/>
        <v>0.12188952854098534</v>
      </c>
      <c r="I373" s="36">
        <f>(Table143454[[#This Row],[Core CPI]]-F361)/F361</f>
        <v>0.16794854854916372</v>
      </c>
    </row>
    <row r="374" spans="1:9" x14ac:dyDescent="0.2">
      <c r="A374" s="34">
        <f>IF(Data!B402="",#N/A,Data!B402)</f>
        <v>30042</v>
      </c>
      <c r="B374" s="35">
        <f>VLOOKUP(A374,Data!B:AY,MATCH($B$2,Data!$C$1:$AY$1,0),FALSE)</f>
        <v>27.416070000000001</v>
      </c>
      <c r="C374" s="36">
        <f t="shared" si="22"/>
        <v>8.3775006160737853E-3</v>
      </c>
      <c r="D374" s="36">
        <f t="shared" si="19"/>
        <v>0.10529387455111516</v>
      </c>
      <c r="E374" s="36">
        <f>(Table143454[[#This Row],[JPN]]-B362)/B362</f>
        <v>0.1583548496267764</v>
      </c>
      <c r="F374" s="35">
        <f>VLOOKUP(Table143454[[#This Row],[Date]],'Data Core CPI'!$B:$AY,MATCH($B$2,'Data Core CPI'!$C$1:$AY$1,0),FALSE)</f>
        <v>26.845189999999999</v>
      </c>
      <c r="G374" s="36">
        <f t="shared" si="20"/>
        <v>8.9813551187070129E-3</v>
      </c>
      <c r="H374" s="36">
        <f t="shared" si="21"/>
        <v>0.11326278719658744</v>
      </c>
      <c r="I374" s="36">
        <f>(Table143454[[#This Row],[Core CPI]]-F362)/F362</f>
        <v>0.16391713332859287</v>
      </c>
    </row>
    <row r="375" spans="1:9" x14ac:dyDescent="0.2">
      <c r="A375" s="34">
        <f>IF(Data!B403="",#N/A,Data!B403)</f>
        <v>30072</v>
      </c>
      <c r="B375" s="35">
        <f>VLOOKUP(A375,Data!B:AY,MATCH($B$2,Data!$C$1:$AY$1,0),FALSE)</f>
        <v>27.726680000000002</v>
      </c>
      <c r="C375" s="36">
        <f t="shared" si="22"/>
        <v>1.1329486684269474E-2</v>
      </c>
      <c r="D375" s="36">
        <f t="shared" si="19"/>
        <v>0.14475365399045703</v>
      </c>
      <c r="E375" s="36">
        <f>(Table143454[[#This Row],[JPN]]-B363)/B363</f>
        <v>0.15331625405612045</v>
      </c>
      <c r="F375" s="35">
        <f>VLOOKUP(Table143454[[#This Row],[Date]],'Data Core CPI'!$B:$AY,MATCH($B$2,'Data Core CPI'!$C$1:$AY$1,0),FALSE)</f>
        <v>27.185649999999999</v>
      </c>
      <c r="G375" s="36">
        <f t="shared" si="20"/>
        <v>1.2682346446421189E-2</v>
      </c>
      <c r="H375" s="36">
        <f t="shared" si="21"/>
        <v>0.16326556058096076</v>
      </c>
      <c r="I375" s="36">
        <f>(Table143454[[#This Row],[Core CPI]]-F363)/F363</f>
        <v>0.1613997298320293</v>
      </c>
    </row>
    <row r="376" spans="1:9" x14ac:dyDescent="0.2">
      <c r="A376" s="34">
        <f>IF(Data!B404="",#N/A,Data!B404)</f>
        <v>30103</v>
      </c>
      <c r="B376" s="35">
        <f>VLOOKUP(A376,Data!B:AY,MATCH($B$2,Data!$C$1:$AY$1,0),FALSE)</f>
        <v>28.016580000000001</v>
      </c>
      <c r="C376" s="36">
        <f t="shared" si="22"/>
        <v>1.0455633346653892E-2</v>
      </c>
      <c r="D376" s="36">
        <f t="shared" si="19"/>
        <v>0.13294021656293875</v>
      </c>
      <c r="E376" s="36">
        <f>(Table143454[[#This Row],[JPN]]-B364)/B364</f>
        <v>0.15247046279682203</v>
      </c>
      <c r="F376" s="35">
        <f>VLOOKUP(Table143454[[#This Row],[Date]],'Data Core CPI'!$B:$AY,MATCH($B$2,'Data Core CPI'!$C$1:$AY$1,0),FALSE)</f>
        <v>27.4194</v>
      </c>
      <c r="G376" s="36">
        <f t="shared" si="20"/>
        <v>8.5982862282123484E-3</v>
      </c>
      <c r="H376" s="36">
        <f t="shared" si="21"/>
        <v>0.10820144126953646</v>
      </c>
      <c r="I376" s="36">
        <f>(Table143454[[#This Row],[Core CPI]]-F364)/F364</f>
        <v>0.1602956914510742</v>
      </c>
    </row>
    <row r="377" spans="1:9" x14ac:dyDescent="0.2">
      <c r="A377" s="34">
        <f>IF(Data!B405="",#N/A,Data!B405)</f>
        <v>30133</v>
      </c>
      <c r="B377" s="35">
        <f>VLOOKUP(A377,Data!B:AY,MATCH($B$2,Data!$C$1:$AY$1,0),FALSE)</f>
        <v>28.368600000000001</v>
      </c>
      <c r="C377" s="36">
        <f t="shared" si="22"/>
        <v>1.2564702758152579E-2</v>
      </c>
      <c r="D377" s="36">
        <f t="shared" si="19"/>
        <v>0.16164495234701182</v>
      </c>
      <c r="E377" s="36">
        <f>(Table143454[[#This Row],[JPN]]-B365)/B365</f>
        <v>0.16003413621034912</v>
      </c>
      <c r="F377" s="35">
        <f>VLOOKUP(Table143454[[#This Row],[Date]],'Data Core CPI'!$B:$AY,MATCH($B$2,'Data Core CPI'!$C$1:$AY$1,0),FALSE)</f>
        <v>27.748470000000001</v>
      </c>
      <c r="G377" s="36">
        <f t="shared" si="20"/>
        <v>1.2001356703647881E-2</v>
      </c>
      <c r="H377" s="36">
        <f t="shared" si="21"/>
        <v>0.15391318747810723</v>
      </c>
      <c r="I377" s="36">
        <f>(Table143454[[#This Row],[Core CPI]]-F365)/F365</f>
        <v>0.16768208007837165</v>
      </c>
    </row>
    <row r="378" spans="1:9" x14ac:dyDescent="0.2">
      <c r="A378" s="34">
        <f>IF(Data!B406="",#N/A,Data!B406)</f>
        <v>30164</v>
      </c>
      <c r="B378" s="35">
        <f>VLOOKUP(A378,Data!B:AY,MATCH($B$2,Data!$C$1:$AY$1,0),FALSE)</f>
        <v>28.88627</v>
      </c>
      <c r="C378" s="36">
        <f t="shared" si="22"/>
        <v>1.8247992498748644E-2</v>
      </c>
      <c r="D378" s="36">
        <f t="shared" si="19"/>
        <v>0.24234652754538799</v>
      </c>
      <c r="E378" s="36">
        <f>(Table143454[[#This Row],[JPN]]-B366)/B366</f>
        <v>0.17030193151087303</v>
      </c>
      <c r="F378" s="35">
        <f>VLOOKUP(Table143454[[#This Row],[Date]],'Data Core CPI'!$B:$AY,MATCH($B$2,'Data Core CPI'!$C$1:$AY$1,0),FALSE)</f>
        <v>28.204270000000001</v>
      </c>
      <c r="G378" s="36">
        <f t="shared" si="20"/>
        <v>1.6426130882171153E-2</v>
      </c>
      <c r="H378" s="36">
        <f t="shared" si="21"/>
        <v>0.2159335997767613</v>
      </c>
      <c r="I378" s="36">
        <f>(Table143454[[#This Row],[Core CPI]]-F366)/F366</f>
        <v>0.17589374198209837</v>
      </c>
    </row>
    <row r="379" spans="1:9" x14ac:dyDescent="0.2">
      <c r="A379" s="34">
        <f>IF(Data!B407="",#N/A,Data!B407)</f>
        <v>30195</v>
      </c>
      <c r="B379" s="35">
        <f>VLOOKUP(A379,Data!B:AY,MATCH($B$2,Data!$C$1:$AY$1,0),FALSE)</f>
        <v>29.321120000000001</v>
      </c>
      <c r="C379" s="36">
        <f t="shared" si="22"/>
        <v>1.5053864690733665E-2</v>
      </c>
      <c r="D379" s="36">
        <f t="shared" si="19"/>
        <v>0.1963797919985335</v>
      </c>
      <c r="E379" s="36">
        <f>(Table143454[[#This Row],[JPN]]-B367)/B367</f>
        <v>0.17121587296388177</v>
      </c>
      <c r="F379" s="35">
        <f>VLOOKUP(Table143454[[#This Row],[Date]],'Data Core CPI'!$B:$AY,MATCH($B$2,'Data Core CPI'!$C$1:$AY$1,0),FALSE)</f>
        <v>28.63045</v>
      </c>
      <c r="G379" s="36">
        <f t="shared" si="20"/>
        <v>1.5110477952451795E-2</v>
      </c>
      <c r="H379" s="36">
        <f t="shared" si="21"/>
        <v>0.19718075532057266</v>
      </c>
      <c r="I379" s="36">
        <f>(Table143454[[#This Row],[Core CPI]]-F367)/F367</f>
        <v>0.17758171375548482</v>
      </c>
    </row>
    <row r="380" spans="1:9" x14ac:dyDescent="0.2">
      <c r="A380" s="34">
        <f>IF(Data!B408="",#N/A,Data!B408)</f>
        <v>30225</v>
      </c>
      <c r="B380" s="35">
        <f>VLOOKUP(A380,Data!B:AY,MATCH($B$2,Data!$C$1:$AY$1,0),FALSE)</f>
        <v>29.818079999999998</v>
      </c>
      <c r="C380" s="36">
        <f t="shared" si="22"/>
        <v>1.694887507707743E-2</v>
      </c>
      <c r="D380" s="36">
        <f t="shared" ref="D380:D443" si="23">((1+C380)^12)-1</f>
        <v>0.22345906458329723</v>
      </c>
      <c r="E380" s="36">
        <f>(Table143454[[#This Row],[JPN]]-B368)/B368</f>
        <v>0.17073170731707313</v>
      </c>
      <c r="F380" s="35">
        <f>VLOOKUP(Table143454[[#This Row],[Date]],'Data Core CPI'!$B:$AY,MATCH($B$2,'Data Core CPI'!$C$1:$AY$1,0),FALSE)</f>
        <v>29.147870000000001</v>
      </c>
      <c r="G380" s="36">
        <f t="shared" si="20"/>
        <v>1.8072367007853529E-2</v>
      </c>
      <c r="H380" s="36">
        <f t="shared" si="21"/>
        <v>0.23977763438786681</v>
      </c>
      <c r="I380" s="36">
        <f>(Table143454[[#This Row],[Core CPI]]-F368)/F368</f>
        <v>0.17544531057816784</v>
      </c>
    </row>
    <row r="381" spans="1:9" x14ac:dyDescent="0.2">
      <c r="A381" s="34">
        <f>IF(Data!B409="",#N/A,Data!B409)</f>
        <v>30256</v>
      </c>
      <c r="B381" s="35">
        <f>VLOOKUP(A381,Data!B:AY,MATCH($B$2,Data!$C$1:$AY$1,0),FALSE)</f>
        <v>30.232230000000001</v>
      </c>
      <c r="C381" s="36">
        <f t="shared" si="22"/>
        <v>1.38892242558879E-2</v>
      </c>
      <c r="D381" s="36">
        <f t="shared" si="23"/>
        <v>0.180011087786353</v>
      </c>
      <c r="E381" s="36">
        <f>(Table143454[[#This Row],[JPN]]-B369)/B369</f>
        <v>0.16613430114440908</v>
      </c>
      <c r="F381" s="35">
        <f>VLOOKUP(Table143454[[#This Row],[Date]],'Data Core CPI'!$B:$AY,MATCH($B$2,'Data Core CPI'!$C$1:$AY$1,0),FALSE)</f>
        <v>29.59638</v>
      </c>
      <c r="G381" s="36">
        <f t="shared" si="20"/>
        <v>1.538740223556645E-2</v>
      </c>
      <c r="H381" s="36">
        <f t="shared" si="21"/>
        <v>0.20110576223965992</v>
      </c>
      <c r="I381" s="36">
        <f>(Table143454[[#This Row],[Core CPI]]-F369)/F369</f>
        <v>0.17257828016400673</v>
      </c>
    </row>
    <row r="382" spans="1:9" x14ac:dyDescent="0.2">
      <c r="A382" s="34">
        <f>IF(Data!B410="",#N/A,Data!B410)</f>
        <v>30286</v>
      </c>
      <c r="B382" s="35">
        <f>VLOOKUP(A382,Data!B:AY,MATCH($B$2,Data!$C$1:$AY$1,0),FALSE)</f>
        <v>30.50142</v>
      </c>
      <c r="C382" s="36">
        <f t="shared" si="22"/>
        <v>8.9040735665215642E-3</v>
      </c>
      <c r="D382" s="36">
        <f t="shared" si="23"/>
        <v>0.11223999197918944</v>
      </c>
      <c r="E382" s="36">
        <f>(Table143454[[#This Row],[JPN]]-B370)/B370</f>
        <v>0.16442699878905229</v>
      </c>
      <c r="F382" s="35">
        <f>VLOOKUP(Table143454[[#This Row],[Date]],'Data Core CPI'!$B:$AY,MATCH($B$2,'Data Core CPI'!$C$1:$AY$1,0),FALSE)</f>
        <v>29.883600000000001</v>
      </c>
      <c r="G382" s="36">
        <f t="shared" si="20"/>
        <v>9.7045652204763577E-3</v>
      </c>
      <c r="H382" s="36">
        <f t="shared" si="21"/>
        <v>0.1228761004256782</v>
      </c>
      <c r="I382" s="36">
        <f>(Table143454[[#This Row],[Core CPI]]-F370)/F370</f>
        <v>0.17209387701792181</v>
      </c>
    </row>
    <row r="383" spans="1:9" x14ac:dyDescent="0.2">
      <c r="A383" s="34">
        <f>IF(Data!B411="",#N/A,Data!B411)</f>
        <v>30317</v>
      </c>
      <c r="B383" s="35">
        <f>VLOOKUP(A383,Data!B:AY,MATCH($B$2,Data!$C$1:$AY$1,0),FALSE)</f>
        <v>30.874140000000001</v>
      </c>
      <c r="C383" s="36">
        <f t="shared" si="22"/>
        <v>1.2219758948927684E-2</v>
      </c>
      <c r="D383" s="36">
        <f t="shared" si="23"/>
        <v>0.15690507970193379</v>
      </c>
      <c r="E383" s="36">
        <f>(Table143454[[#This Row],[JPN]]-B371)/B371</f>
        <v>0.16211975041301099</v>
      </c>
      <c r="F383" s="35">
        <f>VLOOKUP(Table143454[[#This Row],[Date]],'Data Core CPI'!$B:$AY,MATCH($B$2,'Data Core CPI'!$C$1:$AY$1,0),FALSE)</f>
        <v>29.97485</v>
      </c>
      <c r="G383" s="36">
        <f t="shared" si="20"/>
        <v>3.0535143021590549E-3</v>
      </c>
      <c r="H383" s="36">
        <f t="shared" si="21"/>
        <v>3.7263859122368848E-2</v>
      </c>
      <c r="I383" s="36">
        <f>(Table143454[[#This Row],[Core CPI]]-F371)/F371</f>
        <v>0.1580070357730349</v>
      </c>
    </row>
    <row r="384" spans="1:9" x14ac:dyDescent="0.2">
      <c r="A384" s="34">
        <f>IF(Data!B412="",#N/A,Data!B412)</f>
        <v>30348</v>
      </c>
      <c r="B384" s="35">
        <f>VLOOKUP(A384,Data!B:AY,MATCH($B$2,Data!$C$1:$AY$1,0),FALSE)</f>
        <v>31.28828</v>
      </c>
      <c r="C384" s="36">
        <f t="shared" si="22"/>
        <v>1.3413814927314638E-2</v>
      </c>
      <c r="D384" s="36">
        <f t="shared" si="23"/>
        <v>0.17338854433075901</v>
      </c>
      <c r="E384" s="36">
        <f>(Table143454[[#This Row],[JPN]]-B372)/B372</f>
        <v>0.16052212642782859</v>
      </c>
      <c r="F384" s="35">
        <f>VLOOKUP(Table143454[[#This Row],[Date]],'Data Core CPI'!$B:$AY,MATCH($B$2,'Data Core CPI'!$C$1:$AY$1,0),FALSE)</f>
        <v>30.462430000000001</v>
      </c>
      <c r="G384" s="36">
        <f t="shared" si="20"/>
        <v>1.6266303250892067E-2</v>
      </c>
      <c r="H384" s="36">
        <f t="shared" si="21"/>
        <v>0.21364119352813704</v>
      </c>
      <c r="I384" s="36">
        <f>(Table143454[[#This Row],[Core CPI]]-F372)/F372</f>
        <v>0.15596240803508138</v>
      </c>
    </row>
    <row r="385" spans="1:9" x14ac:dyDescent="0.2">
      <c r="A385" s="34">
        <f>IF(Data!B413="",#N/A,Data!B413)</f>
        <v>30376</v>
      </c>
      <c r="B385" s="35">
        <f>VLOOKUP(A385,Data!B:AY,MATCH($B$2,Data!$C$1:$AY$1,0),FALSE)</f>
        <v>31.57818</v>
      </c>
      <c r="C385" s="36">
        <f t="shared" si="22"/>
        <v>9.2654501941302758E-3</v>
      </c>
      <c r="D385" s="36">
        <f t="shared" si="23"/>
        <v>0.11703010421904736</v>
      </c>
      <c r="E385" s="36">
        <f>(Table143454[[#This Row],[JPN]]-B373)/B373</f>
        <v>0.16146209950603743</v>
      </c>
      <c r="F385" s="35">
        <f>VLOOKUP(Table143454[[#This Row],[Date]],'Data Core CPI'!$B:$AY,MATCH($B$2,'Data Core CPI'!$C$1:$AY$1,0),FALSE)</f>
        <v>30.79196</v>
      </c>
      <c r="G385" s="36">
        <f t="shared" si="20"/>
        <v>1.0817587434751585E-2</v>
      </c>
      <c r="H385" s="36">
        <f t="shared" si="21"/>
        <v>0.13781977225854147</v>
      </c>
      <c r="I385" s="36">
        <f>(Table143454[[#This Row],[Core CPI]]-F373)/F373</f>
        <v>0.15732142434309557</v>
      </c>
    </row>
    <row r="386" spans="1:9" x14ac:dyDescent="0.2">
      <c r="A386" s="34">
        <f>IF(Data!B414="",#N/A,Data!B414)</f>
        <v>30407</v>
      </c>
      <c r="B386" s="35">
        <f>VLOOKUP(A386,Data!B:AY,MATCH($B$2,Data!$C$1:$AY$1,0),FALSE)</f>
        <v>31.909490000000002</v>
      </c>
      <c r="C386" s="36">
        <f t="shared" si="22"/>
        <v>1.049173828257377E-2</v>
      </c>
      <c r="D386" s="36">
        <f t="shared" si="23"/>
        <v>0.13342608973408709</v>
      </c>
      <c r="E386" s="36">
        <f>(Table143454[[#This Row],[JPN]]-B374)/B374</f>
        <v>0.16389730548543247</v>
      </c>
      <c r="F386" s="35">
        <f>VLOOKUP(Table143454[[#This Row],[Date]],'Data Core CPI'!$B:$AY,MATCH($B$2,'Data Core CPI'!$C$1:$AY$1,0),FALSE)</f>
        <v>31.14819</v>
      </c>
      <c r="G386" s="36">
        <f t="shared" si="20"/>
        <v>1.156892903212392E-2</v>
      </c>
      <c r="H386" s="36">
        <f t="shared" si="21"/>
        <v>0.14801027473190631</v>
      </c>
      <c r="I386" s="36">
        <f>(Table143454[[#This Row],[Core CPI]]-F374)/F374</f>
        <v>0.16028942242539543</v>
      </c>
    </row>
    <row r="387" spans="1:9" x14ac:dyDescent="0.2">
      <c r="A387" s="34">
        <f>IF(Data!B415="",#N/A,Data!B415)</f>
        <v>30437</v>
      </c>
      <c r="B387" s="35">
        <f>VLOOKUP(A387,Data!B:AY,MATCH($B$2,Data!$C$1:$AY$1,0),FALSE)</f>
        <v>32.17868</v>
      </c>
      <c r="C387" s="36">
        <f t="shared" si="22"/>
        <v>8.4360483354637417E-3</v>
      </c>
      <c r="D387" s="36">
        <f t="shared" si="23"/>
        <v>0.10606421825267187</v>
      </c>
      <c r="E387" s="36">
        <f>(Table143454[[#This Row],[JPN]]-B375)/B375</f>
        <v>0.16056736688272805</v>
      </c>
      <c r="F387" s="35">
        <f>VLOOKUP(Table143454[[#This Row],[Date]],'Data Core CPI'!$B:$AY,MATCH($B$2,'Data Core CPI'!$C$1:$AY$1,0),FALSE)</f>
        <v>31.440840000000001</v>
      </c>
      <c r="G387" s="36">
        <f t="shared" ref="G387:G450" si="24">(F387/F386)-1</f>
        <v>9.3954094924939557E-3</v>
      </c>
      <c r="H387" s="36">
        <f t="shared" ref="H387:H450" si="25">((1+G387)^12)-1</f>
        <v>0.11875735609001303</v>
      </c>
      <c r="I387" s="36">
        <f>(Table143454[[#This Row],[Core CPI]]-F375)/F375</f>
        <v>0.15652338641893804</v>
      </c>
    </row>
    <row r="388" spans="1:9" x14ac:dyDescent="0.2">
      <c r="A388" s="34">
        <f>IF(Data!B416="",#N/A,Data!B416)</f>
        <v>30468</v>
      </c>
      <c r="B388" s="35">
        <f>VLOOKUP(A388,Data!B:AY,MATCH($B$2,Data!$C$1:$AY$1,0),FALSE)</f>
        <v>32.365049999999997</v>
      </c>
      <c r="C388" s="36">
        <f t="shared" si="22"/>
        <v>5.7917229668835724E-3</v>
      </c>
      <c r="D388" s="36">
        <f t="shared" si="23"/>
        <v>7.1757886531990112E-2</v>
      </c>
      <c r="E388" s="36">
        <f>(Table143454[[#This Row],[JPN]]-B376)/B376</f>
        <v>0.15521059315590965</v>
      </c>
      <c r="F388" s="35">
        <f>VLOOKUP(Table143454[[#This Row],[Date]],'Data Core CPI'!$B:$AY,MATCH($B$2,'Data Core CPI'!$C$1:$AY$1,0),FALSE)</f>
        <v>31.60867</v>
      </c>
      <c r="G388" s="36">
        <f t="shared" si="24"/>
        <v>5.3379617084021724E-3</v>
      </c>
      <c r="H388" s="36">
        <f t="shared" si="25"/>
        <v>6.5970000748059032E-2</v>
      </c>
      <c r="I388" s="36">
        <f>(Table143454[[#This Row],[Core CPI]]-F376)/F376</f>
        <v>0.15278488953077021</v>
      </c>
    </row>
    <row r="389" spans="1:9" x14ac:dyDescent="0.2">
      <c r="A389" s="34">
        <f>IF(Data!B417="",#N/A,Data!B417)</f>
        <v>30498</v>
      </c>
      <c r="B389" s="35">
        <f>VLOOKUP(A389,Data!B:AY,MATCH($B$2,Data!$C$1:$AY$1,0),FALSE)</f>
        <v>32.634239999999998</v>
      </c>
      <c r="C389" s="36">
        <f t="shared" ref="C389:C452" si="26">(B389/B388)-1</f>
        <v>8.3173052413019199E-3</v>
      </c>
      <c r="D389" s="36">
        <f t="shared" si="23"/>
        <v>0.10450236456112116</v>
      </c>
      <c r="E389" s="36">
        <f>(Table143454[[#This Row],[JPN]]-B377)/B377</f>
        <v>0.1503648399991539</v>
      </c>
      <c r="F389" s="35">
        <f>VLOOKUP(Table143454[[#This Row],[Date]],'Data Core CPI'!$B:$AY,MATCH($B$2,'Data Core CPI'!$C$1:$AY$1,0),FALSE)</f>
        <v>31.919750000000001</v>
      </c>
      <c r="G389" s="36">
        <f t="shared" si="24"/>
        <v>9.8416035853454709E-3</v>
      </c>
      <c r="H389" s="36">
        <f t="shared" si="25"/>
        <v>0.12470624392941954</v>
      </c>
      <c r="I389" s="36">
        <f>(Table143454[[#This Row],[Core CPI]]-F377)/F377</f>
        <v>0.15032468456819417</v>
      </c>
    </row>
    <row r="390" spans="1:9" x14ac:dyDescent="0.2">
      <c r="A390" s="34">
        <f>IF(Data!B418="",#N/A,Data!B418)</f>
        <v>30529</v>
      </c>
      <c r="B390" s="35">
        <f>VLOOKUP(A390,Data!B:AY,MATCH($B$2,Data!$C$1:$AY$1,0),FALSE)</f>
        <v>32.799889999999998</v>
      </c>
      <c r="C390" s="36">
        <f t="shared" si="26"/>
        <v>5.0759570316329938E-3</v>
      </c>
      <c r="D390" s="36">
        <f t="shared" si="23"/>
        <v>6.2641100523993076E-2</v>
      </c>
      <c r="E390" s="36">
        <f>(Table143454[[#This Row],[JPN]]-B378)/B378</f>
        <v>0.13548374366091565</v>
      </c>
      <c r="F390" s="35">
        <f>VLOOKUP(Table143454[[#This Row],[Date]],'Data Core CPI'!$B:$AY,MATCH($B$2,'Data Core CPI'!$C$1:$AY$1,0),FALSE)</f>
        <v>32.142940000000003</v>
      </c>
      <c r="G390" s="36">
        <f t="shared" si="24"/>
        <v>6.9922226834484569E-3</v>
      </c>
      <c r="H390" s="36">
        <f t="shared" si="25"/>
        <v>8.7209895281840533E-2</v>
      </c>
      <c r="I390" s="36">
        <f>(Table143454[[#This Row],[Core CPI]]-F378)/F378</f>
        <v>0.13964800365334759</v>
      </c>
    </row>
    <row r="391" spans="1:9" x14ac:dyDescent="0.2">
      <c r="A391" s="34">
        <f>IF(Data!B419="",#N/A,Data!B419)</f>
        <v>30560</v>
      </c>
      <c r="B391" s="35">
        <f>VLOOKUP(A391,Data!B:AY,MATCH($B$2,Data!$C$1:$AY$1,0),FALSE)</f>
        <v>33.234740000000002</v>
      </c>
      <c r="C391" s="36">
        <f t="shared" si="26"/>
        <v>1.3257666412905822E-2</v>
      </c>
      <c r="D391" s="36">
        <f t="shared" si="23"/>
        <v>0.17122080969427245</v>
      </c>
      <c r="E391" s="36">
        <f>(Table143454[[#This Row],[JPN]]-B379)/B379</f>
        <v>0.13347443753853883</v>
      </c>
      <c r="F391" s="35">
        <f>VLOOKUP(Table143454[[#This Row],[Date]],'Data Core CPI'!$B:$AY,MATCH($B$2,'Data Core CPI'!$C$1:$AY$1,0),FALSE)</f>
        <v>32.550260000000002</v>
      </c>
      <c r="G391" s="36">
        <f t="shared" si="24"/>
        <v>1.2672145111803701E-2</v>
      </c>
      <c r="H391" s="36">
        <f t="shared" si="25"/>
        <v>0.16312494941518052</v>
      </c>
      <c r="I391" s="36">
        <f>(Table143454[[#This Row],[Core CPI]]-F379)/F379</f>
        <v>0.13691052707868726</v>
      </c>
    </row>
    <row r="392" spans="1:9" x14ac:dyDescent="0.2">
      <c r="A392" s="34">
        <f>IF(Data!B420="",#N/A,Data!B420)</f>
        <v>30590</v>
      </c>
      <c r="B392" s="35">
        <f>VLOOKUP(A392,Data!B:AY,MATCH($B$2,Data!$C$1:$AY$1,0),FALSE)</f>
        <v>33.73171</v>
      </c>
      <c r="C392" s="36">
        <f t="shared" si="26"/>
        <v>1.4953328956387235E-2</v>
      </c>
      <c r="D392" s="36">
        <f t="shared" si="23"/>
        <v>0.19495862500088768</v>
      </c>
      <c r="E392" s="36">
        <f>(Table143454[[#This Row],[JPN]]-B380)/B380</f>
        <v>0.13125023475689923</v>
      </c>
      <c r="F392" s="35">
        <f>VLOOKUP(Table143454[[#This Row],[Date]],'Data Core CPI'!$B:$AY,MATCH($B$2,'Data Core CPI'!$C$1:$AY$1,0),FALSE)</f>
        <v>33.095480000000002</v>
      </c>
      <c r="G392" s="36">
        <f t="shared" si="24"/>
        <v>1.6750096619811972E-2</v>
      </c>
      <c r="H392" s="36">
        <f t="shared" si="25"/>
        <v>0.22059241871966706</v>
      </c>
      <c r="I392" s="36">
        <f>(Table143454[[#This Row],[Core CPI]]-F380)/F380</f>
        <v>0.13543390992206294</v>
      </c>
    </row>
    <row r="393" spans="1:9" x14ac:dyDescent="0.2">
      <c r="A393" s="34">
        <f>IF(Data!B421="",#N/A,Data!B421)</f>
        <v>30621</v>
      </c>
      <c r="B393" s="35">
        <f>VLOOKUP(A393,Data!B:AY,MATCH($B$2,Data!$C$1:$AY$1,0),FALSE)</f>
        <v>34.104430000000001</v>
      </c>
      <c r="C393" s="36">
        <f t="shared" si="26"/>
        <v>1.1049543589696453E-2</v>
      </c>
      <c r="D393" s="36">
        <f t="shared" si="23"/>
        <v>0.14095692766249379</v>
      </c>
      <c r="E393" s="36">
        <f>(Table143454[[#This Row],[JPN]]-B381)/B381</f>
        <v>0.12808185171917516</v>
      </c>
      <c r="F393" s="35">
        <f>VLOOKUP(Table143454[[#This Row],[Date]],'Data Core CPI'!$B:$AY,MATCH($B$2,'Data Core CPI'!$C$1:$AY$1,0),FALSE)</f>
        <v>33.468910000000001</v>
      </c>
      <c r="G393" s="36">
        <f t="shared" si="24"/>
        <v>1.1283413928427688E-2</v>
      </c>
      <c r="H393" s="36">
        <f t="shared" si="25"/>
        <v>0.1441279974478491</v>
      </c>
      <c r="I393" s="36">
        <f>(Table143454[[#This Row],[Core CPI]]-F381)/F381</f>
        <v>0.13084471817161428</v>
      </c>
    </row>
    <row r="394" spans="1:9" x14ac:dyDescent="0.2">
      <c r="A394" s="34">
        <f>IF(Data!B422="",#N/A,Data!B422)</f>
        <v>30651</v>
      </c>
      <c r="B394" s="35">
        <f>VLOOKUP(A394,Data!B:AY,MATCH($B$2,Data!$C$1:$AY$1,0),FALSE)</f>
        <v>34.249389999999998</v>
      </c>
      <c r="C394" s="36">
        <f t="shared" si="26"/>
        <v>4.2504742052571487E-3</v>
      </c>
      <c r="D394" s="36">
        <f t="shared" si="23"/>
        <v>5.2215138270351513E-2</v>
      </c>
      <c r="E394" s="36">
        <f>(Table143454[[#This Row],[JPN]]-B382)/B382</f>
        <v>0.12287854139249907</v>
      </c>
      <c r="F394" s="35">
        <f>VLOOKUP(Table143454[[#This Row],[Date]],'Data Core CPI'!$B:$AY,MATCH($B$2,'Data Core CPI'!$C$1:$AY$1,0),FALSE)</f>
        <v>33.596440000000001</v>
      </c>
      <c r="G394" s="36">
        <f t="shared" si="24"/>
        <v>3.8104019521401078E-3</v>
      </c>
      <c r="H394" s="36">
        <f t="shared" si="25"/>
        <v>4.6695364420528129E-2</v>
      </c>
      <c r="I394" s="36">
        <f>(Table143454[[#This Row],[Core CPI]]-F382)/F382</f>
        <v>0.12424339771647325</v>
      </c>
    </row>
    <row r="395" spans="1:9" x14ac:dyDescent="0.2">
      <c r="A395" s="34">
        <f>IF(Data!B423="",#N/A,Data!B423)</f>
        <v>30682</v>
      </c>
      <c r="B395" s="35">
        <f>VLOOKUP(A395,Data!B:AY,MATCH($B$2,Data!$C$1:$AY$1,0),FALSE)</f>
        <v>34.663519999999998</v>
      </c>
      <c r="C395" s="36">
        <f t="shared" si="26"/>
        <v>1.2091602215397179E-2</v>
      </c>
      <c r="D395" s="36">
        <f t="shared" si="23"/>
        <v>0.15514859976677875</v>
      </c>
      <c r="E395" s="36">
        <f>(Table143454[[#This Row],[JPN]]-B383)/B383</f>
        <v>0.12273637419536212</v>
      </c>
      <c r="F395" s="35">
        <f>VLOOKUP(Table143454[[#This Row],[Date]],'Data Core CPI'!$B:$AY,MATCH($B$2,'Data Core CPI'!$C$1:$AY$1,0),FALSE)</f>
        <v>33.919820000000001</v>
      </c>
      <c r="G395" s="36">
        <f t="shared" si="24"/>
        <v>9.6254245985587517E-3</v>
      </c>
      <c r="H395" s="36">
        <f t="shared" si="25"/>
        <v>0.12182042354188627</v>
      </c>
      <c r="I395" s="36">
        <f>(Table143454[[#This Row],[Core CPI]]-F383)/F383</f>
        <v>0.13160933249040449</v>
      </c>
    </row>
    <row r="396" spans="1:9" x14ac:dyDescent="0.2">
      <c r="A396" s="34">
        <f>IF(Data!B424="",#N/A,Data!B424)</f>
        <v>30713</v>
      </c>
      <c r="B396" s="35">
        <f>VLOOKUP(A396,Data!B:AY,MATCH($B$2,Data!$C$1:$AY$1,0),FALSE)</f>
        <v>35.077660000000002</v>
      </c>
      <c r="C396" s="36">
        <f t="shared" si="26"/>
        <v>1.1947430612932575E-2</v>
      </c>
      <c r="D396" s="36">
        <f t="shared" si="23"/>
        <v>0.15317554664687072</v>
      </c>
      <c r="E396" s="36">
        <f>(Table143454[[#This Row],[JPN]]-B384)/B384</f>
        <v>0.12111180288593688</v>
      </c>
      <c r="F396" s="35">
        <f>VLOOKUP(Table143454[[#This Row],[Date]],'Data Core CPI'!$B:$AY,MATCH($B$2,'Data Core CPI'!$C$1:$AY$1,0),FALSE)</f>
        <v>34.351599999999998</v>
      </c>
      <c r="G396" s="36">
        <f t="shared" si="24"/>
        <v>1.2729430757592253E-2</v>
      </c>
      <c r="H396" s="36">
        <f t="shared" si="25"/>
        <v>0.16391475407631217</v>
      </c>
      <c r="I396" s="36">
        <f>(Table143454[[#This Row],[Core CPI]]-F384)/F384</f>
        <v>0.12767103609265565</v>
      </c>
    </row>
    <row r="397" spans="1:9" x14ac:dyDescent="0.2">
      <c r="A397" s="34">
        <f>IF(Data!B425="",#N/A,Data!B425)</f>
        <v>30742</v>
      </c>
      <c r="B397" s="35">
        <f>VLOOKUP(A397,Data!B:AY,MATCH($B$2,Data!$C$1:$AY$1,0),FALSE)</f>
        <v>35.326149999999998</v>
      </c>
      <c r="C397" s="36">
        <f t="shared" si="26"/>
        <v>7.0839959107875661E-3</v>
      </c>
      <c r="D397" s="36">
        <f t="shared" si="23"/>
        <v>8.8399498776992713E-2</v>
      </c>
      <c r="E397" s="36">
        <f>(Table143454[[#This Row],[JPN]]-B385)/B385</f>
        <v>0.11868860079966606</v>
      </c>
      <c r="F397" s="35">
        <f>VLOOKUP(Table143454[[#This Row],[Date]],'Data Core CPI'!$B:$AY,MATCH($B$2,'Data Core CPI'!$C$1:$AY$1,0),FALSE)</f>
        <v>34.580719999999999</v>
      </c>
      <c r="G397" s="36">
        <f t="shared" si="24"/>
        <v>6.6698494393275798E-3</v>
      </c>
      <c r="H397" s="36">
        <f t="shared" si="25"/>
        <v>8.3040596887594686E-2</v>
      </c>
      <c r="I397" s="36">
        <f>(Table143454[[#This Row],[Core CPI]]-F385)/F385</f>
        <v>0.12304380753937066</v>
      </c>
    </row>
    <row r="398" spans="1:9" x14ac:dyDescent="0.2">
      <c r="A398" s="34">
        <f>IF(Data!B426="",#N/A,Data!B426)</f>
        <v>30773</v>
      </c>
      <c r="B398" s="35">
        <f>VLOOKUP(A398,Data!B:AY,MATCH($B$2,Data!$C$1:$AY$1,0),FALSE)</f>
        <v>35.59534</v>
      </c>
      <c r="C398" s="36">
        <f t="shared" si="26"/>
        <v>7.6201340932993133E-3</v>
      </c>
      <c r="D398" s="36">
        <f t="shared" si="23"/>
        <v>9.5373028224466028E-2</v>
      </c>
      <c r="E398" s="36">
        <f>(Table143454[[#This Row],[JPN]]-B386)/B386</f>
        <v>0.11550952396920158</v>
      </c>
      <c r="F398" s="35">
        <f>VLOOKUP(Table143454[[#This Row],[Date]],'Data Core CPI'!$B:$AY,MATCH($B$2,'Data Core CPI'!$C$1:$AY$1,0),FALSE)</f>
        <v>34.880499999999998</v>
      </c>
      <c r="G398" s="36">
        <f t="shared" si="24"/>
        <v>8.6689924327776335E-3</v>
      </c>
      <c r="H398" s="36">
        <f t="shared" si="25"/>
        <v>0.10913406554047111</v>
      </c>
      <c r="I398" s="36">
        <f>(Table143454[[#This Row],[Core CPI]]-F386)/F386</f>
        <v>0.11982429797686474</v>
      </c>
    </row>
    <row r="399" spans="1:9" x14ac:dyDescent="0.2">
      <c r="A399" s="34">
        <f>IF(Data!B427="",#N/A,Data!B427)</f>
        <v>30803</v>
      </c>
      <c r="B399" s="35">
        <f>VLOOKUP(A399,Data!B:AY,MATCH($B$2,Data!$C$1:$AY$1,0),FALSE)</f>
        <v>35.823120000000003</v>
      </c>
      <c r="C399" s="36">
        <f t="shared" si="26"/>
        <v>6.3991522485808972E-3</v>
      </c>
      <c r="D399" s="36">
        <f t="shared" si="23"/>
        <v>7.9550958209726241E-2</v>
      </c>
      <c r="E399" s="36">
        <f>(Table143454[[#This Row],[JPN]]-B387)/B387</f>
        <v>0.1132563548287252</v>
      </c>
      <c r="F399" s="35">
        <f>VLOOKUP(Table143454[[#This Row],[Date]],'Data Core CPI'!$B:$AY,MATCH($B$2,'Data Core CPI'!$C$1:$AY$1,0),FALSE)</f>
        <v>35.129040000000003</v>
      </c>
      <c r="G399" s="36">
        <f t="shared" si="24"/>
        <v>7.1254712518458163E-3</v>
      </c>
      <c r="H399" s="36">
        <f t="shared" si="25"/>
        <v>8.8937511102308076E-2</v>
      </c>
      <c r="I399" s="36">
        <f>(Table143454[[#This Row],[Core CPI]]-F387)/F387</f>
        <v>0.11730602617487325</v>
      </c>
    </row>
    <row r="400" spans="1:9" x14ac:dyDescent="0.2">
      <c r="A400" s="34">
        <f>IF(Data!B428="",#N/A,Data!B428)</f>
        <v>30834</v>
      </c>
      <c r="B400" s="35">
        <f>VLOOKUP(A400,Data!B:AY,MATCH($B$2,Data!$C$1:$AY$1,0),FALSE)</f>
        <v>36.030189999999997</v>
      </c>
      <c r="C400" s="36">
        <f t="shared" si="26"/>
        <v>5.7803452072291428E-3</v>
      </c>
      <c r="D400" s="36">
        <f t="shared" si="23"/>
        <v>7.161240776496447E-2</v>
      </c>
      <c r="E400" s="36">
        <f>(Table143454[[#This Row],[JPN]]-B388)/B388</f>
        <v>0.11324376140311852</v>
      </c>
      <c r="F400" s="35">
        <f>VLOOKUP(Table143454[[#This Row],[Date]],'Data Core CPI'!$B:$AY,MATCH($B$2,'Data Core CPI'!$C$1:$AY$1,0),FALSE)</f>
        <v>35.342089999999999</v>
      </c>
      <c r="G400" s="36">
        <f t="shared" si="24"/>
        <v>6.0647828691018368E-3</v>
      </c>
      <c r="H400" s="36">
        <f t="shared" si="25"/>
        <v>7.5254731594716517E-2</v>
      </c>
      <c r="I400" s="36">
        <f>(Table143454[[#This Row],[Core CPI]]-F388)/F388</f>
        <v>0.11811379599331445</v>
      </c>
    </row>
    <row r="401" spans="1:9" x14ac:dyDescent="0.2">
      <c r="A401" s="34">
        <f>IF(Data!B429="",#N/A,Data!B429)</f>
        <v>30864</v>
      </c>
      <c r="B401" s="35">
        <f>VLOOKUP(A401,Data!B:AY,MATCH($B$2,Data!$C$1:$AY$1,0),FALSE)</f>
        <v>36.113010000000003</v>
      </c>
      <c r="C401" s="36">
        <f t="shared" si="26"/>
        <v>2.2986279006578236E-3</v>
      </c>
      <c r="D401" s="36">
        <f t="shared" si="23"/>
        <v>2.7934944185163957E-2</v>
      </c>
      <c r="E401" s="36">
        <f>(Table143454[[#This Row],[JPN]]-B389)/B389</f>
        <v>0.10659877478378552</v>
      </c>
      <c r="F401" s="35">
        <f>VLOOKUP(Table143454[[#This Row],[Date]],'Data Core CPI'!$B:$AY,MATCH($B$2,'Data Core CPI'!$C$1:$AY$1,0),FALSE)</f>
        <v>35.443399999999997</v>
      </c>
      <c r="G401" s="36">
        <f t="shared" si="24"/>
        <v>2.8665537323910861E-3</v>
      </c>
      <c r="H401" s="36">
        <f t="shared" si="25"/>
        <v>3.494619103137242E-2</v>
      </c>
      <c r="I401" s="36">
        <f>(Table143454[[#This Row],[Core CPI]]-F389)/F389</f>
        <v>0.11039090218438416</v>
      </c>
    </row>
    <row r="402" spans="1:9" x14ac:dyDescent="0.2">
      <c r="A402" s="34">
        <f>IF(Data!B430="",#N/A,Data!B430)</f>
        <v>30895</v>
      </c>
      <c r="B402" s="35">
        <f>VLOOKUP(A402,Data!B:AY,MATCH($B$2,Data!$C$1:$AY$1,0),FALSE)</f>
        <v>36.299379999999999</v>
      </c>
      <c r="C402" s="36">
        <f t="shared" si="26"/>
        <v>5.160744008876561E-3</v>
      </c>
      <c r="D402" s="36">
        <f t="shared" si="23"/>
        <v>6.371731699567551E-2</v>
      </c>
      <c r="E402" s="36">
        <f>(Table143454[[#This Row],[JPN]]-B390)/B390</f>
        <v>0.10669212610164247</v>
      </c>
      <c r="F402" s="35">
        <f>VLOOKUP(Table143454[[#This Row],[Date]],'Data Core CPI'!$B:$AY,MATCH($B$2,'Data Core CPI'!$C$1:$AY$1,0),FALSE)</f>
        <v>35.678400000000003</v>
      </c>
      <c r="G402" s="36">
        <f t="shared" si="24"/>
        <v>6.6302894191867523E-3</v>
      </c>
      <c r="H402" s="36">
        <f t="shared" si="25"/>
        <v>8.2529972492687342E-2</v>
      </c>
      <c r="I402" s="36">
        <f>(Table143454[[#This Row],[Core CPI]]-F390)/F390</f>
        <v>0.10999180535445731</v>
      </c>
    </row>
    <row r="403" spans="1:9" x14ac:dyDescent="0.2">
      <c r="A403" s="34">
        <f>IF(Data!B431="",#N/A,Data!B431)</f>
        <v>30926</v>
      </c>
      <c r="B403" s="35">
        <f>VLOOKUP(A403,Data!B:AY,MATCH($B$2,Data!$C$1:$AY$1,0),FALSE)</f>
        <v>36.589280000000002</v>
      </c>
      <c r="C403" s="36">
        <f t="shared" si="26"/>
        <v>7.9863623015048457E-3</v>
      </c>
      <c r="D403" s="36">
        <f t="shared" si="23"/>
        <v>0.10016006311181069</v>
      </c>
      <c r="E403" s="36">
        <f>(Table143454[[#This Row],[JPN]]-B391)/B391</f>
        <v>0.10093474478813434</v>
      </c>
      <c r="F403" s="35">
        <f>VLOOKUP(Table143454[[#This Row],[Date]],'Data Core CPI'!$B:$AY,MATCH($B$2,'Data Core CPI'!$C$1:$AY$1,0),FALSE)</f>
        <v>35.994509999999998</v>
      </c>
      <c r="G403" s="36">
        <f t="shared" si="24"/>
        <v>8.8599825104263008E-3</v>
      </c>
      <c r="H403" s="36">
        <f t="shared" si="25"/>
        <v>0.11165684773425455</v>
      </c>
      <c r="I403" s="36">
        <f>(Table143454[[#This Row],[Core CPI]]-F391)/F391</f>
        <v>0.10581328689847629</v>
      </c>
    </row>
    <row r="404" spans="1:9" x14ac:dyDescent="0.2">
      <c r="A404" s="34">
        <f>IF(Data!B432="",#N/A,Data!B432)</f>
        <v>30956</v>
      </c>
      <c r="B404" s="35">
        <f>VLOOKUP(A404,Data!B:AY,MATCH($B$2,Data!$C$1:$AY$1,0),FALSE)</f>
        <v>36.941299999999998</v>
      </c>
      <c r="C404" s="36">
        <f t="shared" si="26"/>
        <v>9.6208506972532692E-3</v>
      </c>
      <c r="D404" s="36">
        <f t="shared" si="23"/>
        <v>0.12175943892806318</v>
      </c>
      <c r="E404" s="36">
        <f>(Table143454[[#This Row],[JPN]]-B392)/B392</f>
        <v>9.5150527500681065E-2</v>
      </c>
      <c r="F404" s="35">
        <f>VLOOKUP(Table143454[[#This Row],[Date]],'Data Core CPI'!$B:$AY,MATCH($B$2,'Data Core CPI'!$C$1:$AY$1,0),FALSE)</f>
        <v>36.330170000000003</v>
      </c>
      <c r="G404" s="36">
        <f t="shared" si="24"/>
        <v>9.325310998816283E-3</v>
      </c>
      <c r="H404" s="36">
        <f t="shared" si="25"/>
        <v>0.11782539316256724</v>
      </c>
      <c r="I404" s="36">
        <f>(Table143454[[#This Row],[Core CPI]]-F392)/F392</f>
        <v>9.7738120129999634E-2</v>
      </c>
    </row>
    <row r="405" spans="1:9" x14ac:dyDescent="0.2">
      <c r="A405" s="34">
        <f>IF(Data!B433="",#N/A,Data!B433)</f>
        <v>30987</v>
      </c>
      <c r="B405" s="35">
        <f>VLOOKUP(A405,Data!B:AY,MATCH($B$2,Data!$C$1:$AY$1,0),FALSE)</f>
        <v>37.231189999999998</v>
      </c>
      <c r="C405" s="36">
        <f t="shared" si="26"/>
        <v>7.8473145233113328E-3</v>
      </c>
      <c r="D405" s="36">
        <f t="shared" si="23"/>
        <v>9.8340290833426547E-2</v>
      </c>
      <c r="E405" s="36">
        <f>(Table143454[[#This Row],[JPN]]-B393)/B393</f>
        <v>9.1681931057050275E-2</v>
      </c>
      <c r="F405" s="35">
        <f>VLOOKUP(Table143454[[#This Row],[Date]],'Data Core CPI'!$B:$AY,MATCH($B$2,'Data Core CPI'!$C$1:$AY$1,0),FALSE)</f>
        <v>36.667760000000001</v>
      </c>
      <c r="G405" s="36">
        <f t="shared" si="24"/>
        <v>9.2922769147514295E-3</v>
      </c>
      <c r="H405" s="36">
        <f t="shared" si="25"/>
        <v>0.11738645014274773</v>
      </c>
      <c r="I405" s="36">
        <f>(Table143454[[#This Row],[Core CPI]]-F393)/F393</f>
        <v>9.5576760641443062E-2</v>
      </c>
    </row>
    <row r="406" spans="1:9" x14ac:dyDescent="0.2">
      <c r="A406" s="34">
        <f>IF(Data!B434="",#N/A,Data!B434)</f>
        <v>31017</v>
      </c>
      <c r="B406" s="35">
        <f>VLOOKUP(A406,Data!B:AY,MATCH($B$2,Data!$C$1:$AY$1,0),FALSE)</f>
        <v>37.458970000000001</v>
      </c>
      <c r="C406" s="36">
        <f t="shared" si="26"/>
        <v>6.117988707855071E-3</v>
      </c>
      <c r="D406" s="36">
        <f t="shared" si="23"/>
        <v>7.5937309587168711E-2</v>
      </c>
      <c r="E406" s="36">
        <f>(Table143454[[#This Row],[JPN]]-B394)/B394</f>
        <v>9.3712033995350066E-2</v>
      </c>
      <c r="F406" s="35">
        <f>VLOOKUP(Table143454[[#This Row],[Date]],'Data Core CPI'!$B:$AY,MATCH($B$2,'Data Core CPI'!$C$1:$AY$1,0),FALSE)</f>
        <v>36.927370000000003</v>
      </c>
      <c r="G406" s="36">
        <f t="shared" si="24"/>
        <v>7.0800616127082439E-3</v>
      </c>
      <c r="H406" s="36">
        <f t="shared" si="25"/>
        <v>8.8348476267616993E-2</v>
      </c>
      <c r="I406" s="36">
        <f>(Table143454[[#This Row],[Core CPI]]-F394)/F394</f>
        <v>9.9145326111933343E-2</v>
      </c>
    </row>
    <row r="407" spans="1:9" x14ac:dyDescent="0.2">
      <c r="A407" s="34">
        <f>IF(Data!B435="",#N/A,Data!B435)</f>
        <v>31048</v>
      </c>
      <c r="B407" s="35">
        <f>VLOOKUP(A407,Data!B:AY,MATCH($B$2,Data!$C$1:$AY$1,0),FALSE)</f>
        <v>37.871929999999999</v>
      </c>
      <c r="C407" s="36">
        <f t="shared" si="26"/>
        <v>1.1024328752232027E-2</v>
      </c>
      <c r="D407" s="36">
        <f t="shared" si="23"/>
        <v>0.14061551890133717</v>
      </c>
      <c r="E407" s="36">
        <f>(Table143454[[#This Row],[JPN]]-B395)/B395</f>
        <v>9.2558689942625588E-2</v>
      </c>
      <c r="F407" s="35">
        <f>VLOOKUP(Table143454[[#This Row],[Date]],'Data Core CPI'!$B:$AY,MATCH($B$2,'Data Core CPI'!$C$1:$AY$1,0),FALSE)</f>
        <v>37.3155</v>
      </c>
      <c r="G407" s="36">
        <f t="shared" si="24"/>
        <v>1.0510632086714988E-2</v>
      </c>
      <c r="H407" s="36">
        <f t="shared" si="25"/>
        <v>0.1336804245150669</v>
      </c>
      <c r="I407" s="36">
        <f>(Table143454[[#This Row],[Core CPI]]-F395)/F395</f>
        <v>0.10010902180495057</v>
      </c>
    </row>
    <row r="408" spans="1:9" x14ac:dyDescent="0.2">
      <c r="A408" s="34">
        <f>IF(Data!B436="",#N/A,Data!B436)</f>
        <v>31079</v>
      </c>
      <c r="B408" s="35">
        <f>VLOOKUP(A408,Data!B:AY,MATCH($B$2,Data!$C$1:$AY$1,0),FALSE)</f>
        <v>38.344839999999998</v>
      </c>
      <c r="C408" s="36">
        <f t="shared" si="26"/>
        <v>1.2487084761722E-2</v>
      </c>
      <c r="D408" s="36">
        <f t="shared" si="23"/>
        <v>0.16057685408480649</v>
      </c>
      <c r="E408" s="36">
        <f>(Table143454[[#This Row],[JPN]]-B396)/B396</f>
        <v>9.3141332688668407E-2</v>
      </c>
      <c r="F408" s="35">
        <f>VLOOKUP(Table143454[[#This Row],[Date]],'Data Core CPI'!$B:$AY,MATCH($B$2,'Data Core CPI'!$C$1:$AY$1,0),FALSE)</f>
        <v>37.783320000000003</v>
      </c>
      <c r="G408" s="36">
        <f t="shared" si="24"/>
        <v>1.2536881456767457E-2</v>
      </c>
      <c r="H408" s="36">
        <f t="shared" si="25"/>
        <v>0.16126200092753318</v>
      </c>
      <c r="I408" s="36">
        <f>(Table143454[[#This Row],[Core CPI]]-F396)/F396</f>
        <v>9.9899859104088481E-2</v>
      </c>
    </row>
    <row r="409" spans="1:9" x14ac:dyDescent="0.2">
      <c r="A409" s="34">
        <f>IF(Data!B437="",#N/A,Data!B437)</f>
        <v>31107</v>
      </c>
      <c r="B409" s="35">
        <f>VLOOKUP(A409,Data!B:AY,MATCH($B$2,Data!$C$1:$AY$1,0),FALSE)</f>
        <v>38.660110000000003</v>
      </c>
      <c r="C409" s="36">
        <f t="shared" si="26"/>
        <v>8.2219667626728388E-3</v>
      </c>
      <c r="D409" s="36">
        <f t="shared" si="23"/>
        <v>0.10324982037317887</v>
      </c>
      <c r="E409" s="36">
        <f>(Table143454[[#This Row],[JPN]]-B397)/B397</f>
        <v>9.4376545420319077E-2</v>
      </c>
      <c r="F409" s="35">
        <f>VLOOKUP(Table143454[[#This Row],[Date]],'Data Core CPI'!$B:$AY,MATCH($B$2,'Data Core CPI'!$C$1:$AY$1,0),FALSE)</f>
        <v>38.04074</v>
      </c>
      <c r="G409" s="36">
        <f t="shared" si="24"/>
        <v>6.8130593076520807E-3</v>
      </c>
      <c r="H409" s="36">
        <f t="shared" si="25"/>
        <v>8.489093758852273E-2</v>
      </c>
      <c r="I409" s="36">
        <f>(Table143454[[#This Row],[Core CPI]]-F397)/F397</f>
        <v>0.10005633196763977</v>
      </c>
    </row>
    <row r="410" spans="1:9" x14ac:dyDescent="0.2">
      <c r="A410" s="34">
        <f>IF(Data!B438="",#N/A,Data!B438)</f>
        <v>31138</v>
      </c>
      <c r="B410" s="35">
        <f>VLOOKUP(A410,Data!B:AY,MATCH($B$2,Data!$C$1:$AY$1,0),FALSE)</f>
        <v>38.935969999999998</v>
      </c>
      <c r="C410" s="36">
        <f t="shared" si="26"/>
        <v>7.1355203076244322E-3</v>
      </c>
      <c r="D410" s="36">
        <f t="shared" si="23"/>
        <v>8.9067902732521853E-2</v>
      </c>
      <c r="E410" s="36">
        <f>(Table143454[[#This Row],[JPN]]-B398)/B398</f>
        <v>9.3850206234861011E-2</v>
      </c>
      <c r="F410" s="35">
        <f>VLOOKUP(Table143454[[#This Row],[Date]],'Data Core CPI'!$B:$AY,MATCH($B$2,'Data Core CPI'!$C$1:$AY$1,0),FALSE)</f>
        <v>38.276449999999997</v>
      </c>
      <c r="G410" s="36">
        <f t="shared" si="24"/>
        <v>6.1962517027795982E-3</v>
      </c>
      <c r="H410" s="36">
        <f t="shared" si="25"/>
        <v>7.6942067823763782E-2</v>
      </c>
      <c r="I410" s="36">
        <f>(Table143454[[#This Row],[Core CPI]]-F398)/F398</f>
        <v>9.7359556199022354E-2</v>
      </c>
    </row>
    <row r="411" spans="1:9" x14ac:dyDescent="0.2">
      <c r="A411" s="34">
        <f>IF(Data!B439="",#N/A,Data!B439)</f>
        <v>31168</v>
      </c>
      <c r="B411" s="35">
        <f>VLOOKUP(A411,Data!B:AY,MATCH($B$2,Data!$C$1:$AY$1,0),FALSE)</f>
        <v>39.211829999999999</v>
      </c>
      <c r="C411" s="36">
        <f t="shared" si="26"/>
        <v>7.0849653931828183E-3</v>
      </c>
      <c r="D411" s="36">
        <f t="shared" si="23"/>
        <v>8.8412071985315643E-2</v>
      </c>
      <c r="E411" s="36">
        <f>(Table143454[[#This Row],[JPN]]-B399)/B399</f>
        <v>9.4595613112425606E-2</v>
      </c>
      <c r="F411" s="35">
        <f>VLOOKUP(Table143454[[#This Row],[Date]],'Data Core CPI'!$B:$AY,MATCH($B$2,'Data Core CPI'!$C$1:$AY$1,0),FALSE)</f>
        <v>38.561279999999996</v>
      </c>
      <c r="G411" s="36">
        <f t="shared" si="24"/>
        <v>7.4413902020693534E-3</v>
      </c>
      <c r="H411" s="36">
        <f t="shared" si="25"/>
        <v>9.304357506656924E-2</v>
      </c>
      <c r="I411" s="36">
        <f>(Table143454[[#This Row],[Core CPI]]-F399)/F399</f>
        <v>9.7703780120378836E-2</v>
      </c>
    </row>
    <row r="412" spans="1:9" x14ac:dyDescent="0.2">
      <c r="A412" s="34">
        <f>IF(Data!B440="",#N/A,Data!B440)</f>
        <v>31199</v>
      </c>
      <c r="B412" s="35">
        <f>VLOOKUP(A412,Data!B:AY,MATCH($B$2,Data!$C$1:$AY$1,0),FALSE)</f>
        <v>39.44829</v>
      </c>
      <c r="C412" s="36">
        <f t="shared" si="26"/>
        <v>6.0303229918114987E-3</v>
      </c>
      <c r="D412" s="36">
        <f t="shared" si="23"/>
        <v>7.4812857466401095E-2</v>
      </c>
      <c r="E412" s="36">
        <f>(Table143454[[#This Row],[JPN]]-B400)/B400</f>
        <v>9.4867665144147253E-2</v>
      </c>
      <c r="F412" s="35">
        <f>VLOOKUP(Table143454[[#This Row],[Date]],'Data Core CPI'!$B:$AY,MATCH($B$2,'Data Core CPI'!$C$1:$AY$1,0),FALSE)</f>
        <v>38.768509999999999</v>
      </c>
      <c r="G412" s="36">
        <f t="shared" si="24"/>
        <v>5.3740436002125413E-3</v>
      </c>
      <c r="H412" s="36">
        <f t="shared" si="25"/>
        <v>6.6429187317290639E-2</v>
      </c>
      <c r="I412" s="36">
        <f>(Table143454[[#This Row],[Core CPI]]-F400)/F400</f>
        <v>9.6950123775928376E-2</v>
      </c>
    </row>
    <row r="413" spans="1:9" x14ac:dyDescent="0.2">
      <c r="A413" s="34">
        <f>IF(Data!B441="",#N/A,Data!B441)</f>
        <v>31229</v>
      </c>
      <c r="B413" s="35">
        <f>VLOOKUP(A413,Data!B:AY,MATCH($B$2,Data!$C$1:$AY$1,0),FALSE)</f>
        <v>39.52711</v>
      </c>
      <c r="C413" s="36">
        <f t="shared" si="26"/>
        <v>1.9980587244718961E-3</v>
      </c>
      <c r="D413" s="36">
        <f t="shared" si="23"/>
        <v>2.4241955240228874E-2</v>
      </c>
      <c r="E413" s="36">
        <f>(Table143454[[#This Row],[JPN]]-B401)/B401</f>
        <v>9.4539336377665484E-2</v>
      </c>
      <c r="F413" s="35">
        <f>VLOOKUP(Table143454[[#This Row],[Date]],'Data Core CPI'!$B:$AY,MATCH($B$2,'Data Core CPI'!$C$1:$AY$1,0),FALSE)</f>
        <v>38.890039999999999</v>
      </c>
      <c r="G413" s="36">
        <f t="shared" si="24"/>
        <v>3.1347606601337397E-3</v>
      </c>
      <c r="H413" s="36">
        <f t="shared" si="25"/>
        <v>3.827251674621146E-2</v>
      </c>
      <c r="I413" s="36">
        <f>(Table143454[[#This Row],[Core CPI]]-F401)/F401</f>
        <v>9.7243492441470125E-2</v>
      </c>
    </row>
    <row r="414" spans="1:9" x14ac:dyDescent="0.2">
      <c r="A414" s="34">
        <f>IF(Data!B442="",#N/A,Data!B442)</f>
        <v>31260</v>
      </c>
      <c r="B414" s="35">
        <f>VLOOKUP(A414,Data!B:AY,MATCH($B$2,Data!$C$1:$AY$1,0),FALSE)</f>
        <v>39.605919999999998</v>
      </c>
      <c r="C414" s="36">
        <f t="shared" si="26"/>
        <v>1.9938214557047029E-3</v>
      </c>
      <c r="D414" s="36">
        <f t="shared" si="23"/>
        <v>2.4189980438853231E-2</v>
      </c>
      <c r="E414" s="36">
        <f>(Table143454[[#This Row],[JPN]]-B402)/B402</f>
        <v>9.1090812019378797E-2</v>
      </c>
      <c r="F414" s="35">
        <f>VLOOKUP(Table143454[[#This Row],[Date]],'Data Core CPI'!$B:$AY,MATCH($B$2,'Data Core CPI'!$C$1:$AY$1,0),FALSE)</f>
        <v>39.013260000000002</v>
      </c>
      <c r="G414" s="36">
        <f t="shared" si="24"/>
        <v>3.1684205004676169E-3</v>
      </c>
      <c r="H414" s="36">
        <f t="shared" si="25"/>
        <v>3.8690660416466738E-2</v>
      </c>
      <c r="I414" s="36">
        <f>(Table143454[[#This Row],[Core CPI]]-F402)/F402</f>
        <v>9.3469998654648154E-2</v>
      </c>
    </row>
    <row r="415" spans="1:9" x14ac:dyDescent="0.2">
      <c r="A415" s="34">
        <f>IF(Data!B443="",#N/A,Data!B443)</f>
        <v>31291</v>
      </c>
      <c r="B415" s="35">
        <f>VLOOKUP(A415,Data!B:AY,MATCH($B$2,Data!$C$1:$AY$1,0),FALSE)</f>
        <v>39.842379999999999</v>
      </c>
      <c r="C415" s="36">
        <f t="shared" si="26"/>
        <v>5.9703195885867366E-3</v>
      </c>
      <c r="D415" s="36">
        <f t="shared" si="23"/>
        <v>7.4043839564503555E-2</v>
      </c>
      <c r="E415" s="36">
        <f>(Table143454[[#This Row],[JPN]]-B403)/B403</f>
        <v>8.890855463676782E-2</v>
      </c>
      <c r="F415" s="35">
        <f>VLOOKUP(Table143454[[#This Row],[Date]],'Data Core CPI'!$B:$AY,MATCH($B$2,'Data Core CPI'!$C$1:$AY$1,0),FALSE)</f>
        <v>39.2866</v>
      </c>
      <c r="G415" s="36">
        <f t="shared" si="24"/>
        <v>7.0063357945477911E-3</v>
      </c>
      <c r="H415" s="36">
        <f t="shared" si="25"/>
        <v>8.7392757828424372E-2</v>
      </c>
      <c r="I415" s="36">
        <f>(Table143454[[#This Row],[Core CPI]]-F403)/F403</f>
        <v>9.1460892230509655E-2</v>
      </c>
    </row>
    <row r="416" spans="1:9" x14ac:dyDescent="0.2">
      <c r="A416" s="34">
        <f>IF(Data!B444="",#N/A,Data!B444)</f>
        <v>31321</v>
      </c>
      <c r="B416" s="35">
        <f>VLOOKUP(A416,Data!B:AY,MATCH($B$2,Data!$C$1:$AY$1,0),FALSE)</f>
        <v>40.236469999999997</v>
      </c>
      <c r="C416" s="36">
        <f t="shared" si="26"/>
        <v>9.8912263775405851E-3</v>
      </c>
      <c r="D416" s="36">
        <f t="shared" si="23"/>
        <v>0.12536962896289316</v>
      </c>
      <c r="E416" s="36">
        <f>(Table143454[[#This Row],[JPN]]-B404)/B404</f>
        <v>8.9200163502637944E-2</v>
      </c>
      <c r="F416" s="35">
        <f>VLOOKUP(Table143454[[#This Row],[Date]],'Data Core CPI'!$B:$AY,MATCH($B$2,'Data Core CPI'!$C$1:$AY$1,0),FALSE)</f>
        <v>39.7209</v>
      </c>
      <c r="G416" s="36">
        <f t="shared" si="24"/>
        <v>1.1054659858577676E-2</v>
      </c>
      <c r="H416" s="36">
        <f t="shared" si="25"/>
        <v>0.14102621334604071</v>
      </c>
      <c r="I416" s="36">
        <f>(Table143454[[#This Row],[Core CPI]]-F404)/F404</f>
        <v>9.3330969824803947E-2</v>
      </c>
    </row>
    <row r="417" spans="1:9" x14ac:dyDescent="0.2">
      <c r="A417" s="34">
        <f>IF(Data!B445="",#N/A,Data!B445)</f>
        <v>31352</v>
      </c>
      <c r="B417" s="35">
        <f>VLOOKUP(A417,Data!B:AY,MATCH($B$2,Data!$C$1:$AY$1,0),FALSE)</f>
        <v>40.551740000000002</v>
      </c>
      <c r="C417" s="36">
        <f t="shared" si="26"/>
        <v>7.8354289031816737E-3</v>
      </c>
      <c r="D417" s="36">
        <f t="shared" si="23"/>
        <v>9.818486718647379E-2</v>
      </c>
      <c r="E417" s="36">
        <f>(Table143454[[#This Row],[JPN]]-B405)/B405</f>
        <v>8.9187318482165212E-2</v>
      </c>
      <c r="F417" s="35">
        <f>VLOOKUP(Table143454[[#This Row],[Date]],'Data Core CPI'!$B:$AY,MATCH($B$2,'Data Core CPI'!$C$1:$AY$1,0),FALSE)</f>
        <v>40.090850000000003</v>
      </c>
      <c r="G417" s="36">
        <f t="shared" si="24"/>
        <v>9.3137365971063257E-3</v>
      </c>
      <c r="H417" s="36">
        <f t="shared" si="25"/>
        <v>0.11767157939399708</v>
      </c>
      <c r="I417" s="36">
        <f>(Table143454[[#This Row],[Core CPI]]-F405)/F405</f>
        <v>9.3354216347003527E-2</v>
      </c>
    </row>
    <row r="418" spans="1:9" x14ac:dyDescent="0.2">
      <c r="A418" s="34">
        <f>IF(Data!B446="",#N/A,Data!B446)</f>
        <v>31382</v>
      </c>
      <c r="B418" s="35">
        <f>VLOOKUP(A418,Data!B:AY,MATCH($B$2,Data!$C$1:$AY$1,0),FALSE)</f>
        <v>40.78819</v>
      </c>
      <c r="C418" s="36">
        <f t="shared" si="26"/>
        <v>5.8308225491678911E-3</v>
      </c>
      <c r="D418" s="36">
        <f t="shared" si="23"/>
        <v>7.2257961196997789E-2</v>
      </c>
      <c r="E418" s="36">
        <f>(Table143454[[#This Row],[JPN]]-B406)/B406</f>
        <v>8.8876442678482603E-2</v>
      </c>
      <c r="F418" s="35">
        <f>VLOOKUP(Table143454[[#This Row],[Date]],'Data Core CPI'!$B:$AY,MATCH($B$2,'Data Core CPI'!$C$1:$AY$1,0),FALSE)</f>
        <v>40.240430000000003</v>
      </c>
      <c r="G418" s="36">
        <f t="shared" si="24"/>
        <v>3.7310259074077035E-3</v>
      </c>
      <c r="H418" s="36">
        <f t="shared" si="25"/>
        <v>4.570259031999524E-2</v>
      </c>
      <c r="I418" s="36">
        <f>(Table143454[[#This Row],[Core CPI]]-F406)/F406</f>
        <v>8.9718276714534501E-2</v>
      </c>
    </row>
    <row r="419" spans="1:9" x14ac:dyDescent="0.2">
      <c r="A419" s="34">
        <f>IF(Data!B447="",#N/A,Data!B447)</f>
        <v>31413</v>
      </c>
      <c r="B419" s="35">
        <f>VLOOKUP(A419,Data!B:AY,MATCH($B$2,Data!$C$1:$AY$1,0),FALSE)</f>
        <v>40.985230000000001</v>
      </c>
      <c r="C419" s="36">
        <f t="shared" si="26"/>
        <v>4.8308100947849208E-3</v>
      </c>
      <c r="D419" s="36">
        <f t="shared" si="23"/>
        <v>5.9535018502908654E-2</v>
      </c>
      <c r="E419" s="36">
        <f>(Table143454[[#This Row],[JPN]]-B407)/B407</f>
        <v>8.2206003232473304E-2</v>
      </c>
      <c r="F419" s="35">
        <f>VLOOKUP(Table143454[[#This Row],[Date]],'Data Core CPI'!$B:$AY,MATCH($B$2,'Data Core CPI'!$C$1:$AY$1,0),FALSE)</f>
        <v>40.489730000000002</v>
      </c>
      <c r="G419" s="36">
        <f t="shared" si="24"/>
        <v>6.1952618299554452E-3</v>
      </c>
      <c r="H419" s="36">
        <f t="shared" si="25"/>
        <v>7.6929354241304315E-2</v>
      </c>
      <c r="I419" s="36">
        <f>(Table143454[[#This Row],[Core CPI]]-F407)/F407</f>
        <v>8.506465141831146E-2</v>
      </c>
    </row>
    <row r="420" spans="1:9" x14ac:dyDescent="0.2">
      <c r="A420" s="34">
        <f>IF(Data!B448="",#N/A,Data!B448)</f>
        <v>31444</v>
      </c>
      <c r="B420" s="35">
        <f>VLOOKUP(A420,Data!B:AY,MATCH($B$2,Data!$C$1:$AY$1,0),FALSE)</f>
        <v>41.142870000000002</v>
      </c>
      <c r="C420" s="36">
        <f t="shared" si="26"/>
        <v>3.8462636418046259E-3</v>
      </c>
      <c r="D420" s="36">
        <f t="shared" si="23"/>
        <v>4.714417794937753E-2</v>
      </c>
      <c r="E420" s="36">
        <f>(Table143454[[#This Row],[JPN]]-B408)/B408</f>
        <v>7.2970183211091874E-2</v>
      </c>
      <c r="F420" s="35">
        <f>VLOOKUP(Table143454[[#This Row],[Date]],'Data Core CPI'!$B:$AY,MATCH($B$2,'Data Core CPI'!$C$1:$AY$1,0),FALSE)</f>
        <v>40.813009999999998</v>
      </c>
      <c r="G420" s="36">
        <f t="shared" si="24"/>
        <v>7.9842468695148217E-3</v>
      </c>
      <c r="H420" s="36">
        <f t="shared" si="25"/>
        <v>0.10013235694019573</v>
      </c>
      <c r="I420" s="36">
        <f>(Table143454[[#This Row],[Core CPI]]-F408)/F408</f>
        <v>8.0185912725509428E-2</v>
      </c>
    </row>
    <row r="421" spans="1:9" x14ac:dyDescent="0.2">
      <c r="A421" s="34">
        <f>IF(Data!B449="",#N/A,Data!B449)</f>
        <v>31472</v>
      </c>
      <c r="B421" s="35">
        <f>VLOOKUP(A421,Data!B:AY,MATCH($B$2,Data!$C$1:$AY$1,0),FALSE)</f>
        <v>41.339919999999999</v>
      </c>
      <c r="C421" s="36">
        <f t="shared" si="26"/>
        <v>4.789408225531977E-3</v>
      </c>
      <c r="D421" s="36">
        <f t="shared" si="23"/>
        <v>5.9011267156751313E-2</v>
      </c>
      <c r="E421" s="36">
        <f>(Table143454[[#This Row],[JPN]]-B409)/B409</f>
        <v>6.931718507784887E-2</v>
      </c>
      <c r="F421" s="35">
        <f>VLOOKUP(Table143454[[#This Row],[Date]],'Data Core CPI'!$B:$AY,MATCH($B$2,'Data Core CPI'!$C$1:$AY$1,0),FALSE)</f>
        <v>41.063720000000004</v>
      </c>
      <c r="G421" s="36">
        <f t="shared" si="24"/>
        <v>6.1428941408634419E-3</v>
      </c>
      <c r="H421" s="36">
        <f t="shared" si="25"/>
        <v>7.6256957979982332E-2</v>
      </c>
      <c r="I421" s="36">
        <f>(Table143454[[#This Row],[Core CPI]]-F409)/F409</f>
        <v>7.9466908372445022E-2</v>
      </c>
    </row>
    <row r="422" spans="1:9" x14ac:dyDescent="0.2">
      <c r="A422" s="34">
        <f>IF(Data!B450="",#N/A,Data!B450)</f>
        <v>31503</v>
      </c>
      <c r="B422" s="35">
        <f>VLOOKUP(A422,Data!B:AY,MATCH($B$2,Data!$C$1:$AY$1,0),FALSE)</f>
        <v>41.418729999999996</v>
      </c>
      <c r="C422" s="36">
        <f t="shared" si="26"/>
        <v>1.9063897559550291E-3</v>
      </c>
      <c r="D422" s="36">
        <f t="shared" si="23"/>
        <v>2.3118073130549588E-2</v>
      </c>
      <c r="E422" s="36">
        <f>(Table143454[[#This Row],[JPN]]-B410)/B410</f>
        <v>6.3765202202487811E-2</v>
      </c>
      <c r="F422" s="35">
        <f>VLOOKUP(Table143454[[#This Row],[Date]],'Data Core CPI'!$B:$AY,MATCH($B$2,'Data Core CPI'!$C$1:$AY$1,0),FALSE)</f>
        <v>41.196080000000002</v>
      </c>
      <c r="G422" s="36">
        <f t="shared" si="24"/>
        <v>3.2232832290888247E-3</v>
      </c>
      <c r="H422" s="36">
        <f t="shared" si="25"/>
        <v>3.937253053760692E-2</v>
      </c>
      <c r="I422" s="36">
        <f>(Table143454[[#This Row],[Core CPI]]-F410)/F410</f>
        <v>7.6277449972502812E-2</v>
      </c>
    </row>
    <row r="423" spans="1:9" x14ac:dyDescent="0.2">
      <c r="A423" s="34">
        <f>IF(Data!B451="",#N/A,Data!B451)</f>
        <v>31533</v>
      </c>
      <c r="B423" s="35">
        <f>VLOOKUP(A423,Data!B:AY,MATCH($B$2,Data!$C$1:$AY$1,0),FALSE)</f>
        <v>41.615780000000001</v>
      </c>
      <c r="C423" s="36">
        <f t="shared" si="26"/>
        <v>4.7575094649210392E-3</v>
      </c>
      <c r="D423" s="36">
        <f t="shared" si="23"/>
        <v>5.8607896076352084E-2</v>
      </c>
      <c r="E423" s="36">
        <f>(Table143454[[#This Row],[JPN]]-B411)/B411</f>
        <v>6.1306753599615266E-2</v>
      </c>
      <c r="F423" s="35">
        <f>VLOOKUP(Table143454[[#This Row],[Date]],'Data Core CPI'!$B:$AY,MATCH($B$2,'Data Core CPI'!$C$1:$AY$1,0),FALSE)</f>
        <v>41.410139999999998</v>
      </c>
      <c r="G423" s="36">
        <f t="shared" si="24"/>
        <v>5.1961254565966453E-3</v>
      </c>
      <c r="H423" s="36">
        <f t="shared" si="25"/>
        <v>6.4166715514013539E-2</v>
      </c>
      <c r="I423" s="36">
        <f>(Table143454[[#This Row],[Core CPI]]-F411)/F411</f>
        <v>7.3878771659032116E-2</v>
      </c>
    </row>
    <row r="424" spans="1:9" x14ac:dyDescent="0.2">
      <c r="A424" s="34">
        <f>IF(Data!B452="",#N/A,Data!B452)</f>
        <v>31564</v>
      </c>
      <c r="B424" s="35">
        <f>VLOOKUP(A424,Data!B:AY,MATCH($B$2,Data!$C$1:$AY$1,0),FALSE)</f>
        <v>41.694600000000001</v>
      </c>
      <c r="C424" s="36">
        <f t="shared" si="26"/>
        <v>1.8939930958881135E-3</v>
      </c>
      <c r="D424" s="36">
        <f t="shared" si="23"/>
        <v>2.2966174102769799E-2</v>
      </c>
      <c r="E424" s="36">
        <f>(Table143454[[#This Row],[JPN]]-B412)/B412</f>
        <v>5.6943152668975032E-2</v>
      </c>
      <c r="F424" s="35">
        <f>VLOOKUP(Table143454[[#This Row],[Date]],'Data Core CPI'!$B:$AY,MATCH($B$2,'Data Core CPI'!$C$1:$AY$1,0),FALSE)</f>
        <v>41.488460000000003</v>
      </c>
      <c r="G424" s="36">
        <f t="shared" si="24"/>
        <v>1.8913242022364773E-3</v>
      </c>
      <c r="H424" s="36">
        <f t="shared" si="25"/>
        <v>2.2933474260910858E-2</v>
      </c>
      <c r="I424" s="36">
        <f>(Table143454[[#This Row],[Core CPI]]-F412)/F412</f>
        <v>7.0158744816347193E-2</v>
      </c>
    </row>
    <row r="425" spans="1:9" x14ac:dyDescent="0.2">
      <c r="A425" s="34">
        <f>IF(Data!B453="",#N/A,Data!B453)</f>
        <v>31594</v>
      </c>
      <c r="B425" s="35">
        <f>VLOOKUP(A425,Data!B:AY,MATCH($B$2,Data!$C$1:$AY$1,0),FALSE)</f>
        <v>41.694600000000001</v>
      </c>
      <c r="C425" s="36">
        <f t="shared" si="26"/>
        <v>0</v>
      </c>
      <c r="D425" s="36">
        <f t="shared" si="23"/>
        <v>0</v>
      </c>
      <c r="E425" s="36">
        <f>(Table143454[[#This Row],[JPN]]-B413)/B413</f>
        <v>5.4835529336700828E-2</v>
      </c>
      <c r="F425" s="35">
        <f>VLOOKUP(Table143454[[#This Row],[Date]],'Data Core CPI'!$B:$AY,MATCH($B$2,'Data Core CPI'!$C$1:$AY$1,0),FALSE)</f>
        <v>41.571249999999999</v>
      </c>
      <c r="G425" s="36">
        <f t="shared" si="24"/>
        <v>1.9954946508016214E-3</v>
      </c>
      <c r="H425" s="36">
        <f t="shared" si="25"/>
        <v>2.4210503743755885E-2</v>
      </c>
      <c r="I425" s="36">
        <f>(Table143454[[#This Row],[Core CPI]]-F413)/F413</f>
        <v>6.8943359276565419E-2</v>
      </c>
    </row>
    <row r="426" spans="1:9" x14ac:dyDescent="0.2">
      <c r="A426" s="34">
        <f>IF(Data!B454="",#N/A,Data!B454)</f>
        <v>31625</v>
      </c>
      <c r="B426" s="35">
        <f>VLOOKUP(A426,Data!B:AY,MATCH($B$2,Data!$C$1:$AY$1,0),FALSE)</f>
        <v>41.812820000000002</v>
      </c>
      <c r="C426" s="36">
        <f t="shared" si="26"/>
        <v>2.83537916180987E-3</v>
      </c>
      <c r="D426" s="36">
        <f t="shared" si="23"/>
        <v>3.4560195658167592E-2</v>
      </c>
      <c r="E426" s="36">
        <f>(Table143454[[#This Row],[JPN]]-B414)/B414</f>
        <v>5.5721467901768337E-2</v>
      </c>
      <c r="F426" s="35">
        <f>VLOOKUP(Table143454[[#This Row],[Date]],'Data Core CPI'!$B:$AY,MATCH($B$2,'Data Core CPI'!$C$1:$AY$1,0),FALSE)</f>
        <v>41.733330000000002</v>
      </c>
      <c r="G426" s="36">
        <f t="shared" si="24"/>
        <v>3.8988483627506731E-3</v>
      </c>
      <c r="H426" s="36">
        <f t="shared" si="25"/>
        <v>4.7802601297178393E-2</v>
      </c>
      <c r="I426" s="36">
        <f>(Table143454[[#This Row],[Core CPI]]-F414)/F414</f>
        <v>6.972167924444149E-2</v>
      </c>
    </row>
    <row r="427" spans="1:9" x14ac:dyDescent="0.2">
      <c r="A427" s="34">
        <f>IF(Data!B455="",#N/A,Data!B455)</f>
        <v>31656</v>
      </c>
      <c r="B427" s="35">
        <f>VLOOKUP(A427,Data!B:AY,MATCH($B$2,Data!$C$1:$AY$1,0),FALSE)</f>
        <v>41.931049999999999</v>
      </c>
      <c r="C427" s="36">
        <f t="shared" si="26"/>
        <v>2.8276016781454416E-3</v>
      </c>
      <c r="D427" s="36">
        <f t="shared" si="23"/>
        <v>3.4463917461580396E-2</v>
      </c>
      <c r="E427" s="36">
        <f>(Table143454[[#This Row],[JPN]]-B415)/B415</f>
        <v>5.2423324108650152E-2</v>
      </c>
      <c r="F427" s="35">
        <f>VLOOKUP(Table143454[[#This Row],[Date]],'Data Core CPI'!$B:$AY,MATCH($B$2,'Data Core CPI'!$C$1:$AY$1,0),FALSE)</f>
        <v>41.832259999999998</v>
      </c>
      <c r="G427" s="36">
        <f t="shared" si="24"/>
        <v>2.3705273458887177E-3</v>
      </c>
      <c r="H427" s="36">
        <f t="shared" si="25"/>
        <v>2.8820154841343815E-2</v>
      </c>
      <c r="I427" s="36">
        <f>(Table143454[[#This Row],[Core CPI]]-F415)/F415</f>
        <v>6.4797157300453545E-2</v>
      </c>
    </row>
    <row r="428" spans="1:9" x14ac:dyDescent="0.2">
      <c r="A428" s="34">
        <f>IF(Data!B456="",#N/A,Data!B456)</f>
        <v>31686</v>
      </c>
      <c r="B428" s="35">
        <f>VLOOKUP(A428,Data!B:AY,MATCH($B$2,Data!$C$1:$AY$1,0),FALSE)</f>
        <v>42.12809</v>
      </c>
      <c r="C428" s="36">
        <f t="shared" si="26"/>
        <v>4.6991429978500143E-3</v>
      </c>
      <c r="D428" s="36">
        <f t="shared" si="23"/>
        <v>5.7870196099071292E-2</v>
      </c>
      <c r="E428" s="36">
        <f>(Table143454[[#This Row],[JPN]]-B416)/B416</f>
        <v>4.7012573419089779E-2</v>
      </c>
      <c r="F428" s="35">
        <f>VLOOKUP(Table143454[[#This Row],[Date]],'Data Core CPI'!$B:$AY,MATCH($B$2,'Data Core CPI'!$C$1:$AY$1,0),FALSE)</f>
        <v>42.084859999999999</v>
      </c>
      <c r="G428" s="36">
        <f t="shared" si="24"/>
        <v>6.0384019414680967E-3</v>
      </c>
      <c r="H428" s="36">
        <f t="shared" si="25"/>
        <v>7.4916437753830722E-2</v>
      </c>
      <c r="I428" s="36">
        <f>(Table143454[[#This Row],[Core CPI]]-F416)/F416</f>
        <v>5.9514260754413892E-2</v>
      </c>
    </row>
    <row r="429" spans="1:9" x14ac:dyDescent="0.2">
      <c r="A429" s="34">
        <f>IF(Data!B457="",#N/A,Data!B457)</f>
        <v>31717</v>
      </c>
      <c r="B429" s="35">
        <f>VLOOKUP(A429,Data!B:AY,MATCH($B$2,Data!$C$1:$AY$1,0),FALSE)</f>
        <v>42.325139999999998</v>
      </c>
      <c r="C429" s="36">
        <f t="shared" si="26"/>
        <v>4.6774017051329775E-3</v>
      </c>
      <c r="D429" s="36">
        <f t="shared" si="23"/>
        <v>5.7595526071516412E-2</v>
      </c>
      <c r="E429" s="36">
        <f>(Table143454[[#This Row],[JPN]]-B417)/B417</f>
        <v>4.3731785615117751E-2</v>
      </c>
      <c r="F429" s="35">
        <f>VLOOKUP(Table143454[[#This Row],[Date]],'Data Core CPI'!$B:$AY,MATCH($B$2,'Data Core CPI'!$C$1:$AY$1,0),FALSE)</f>
        <v>42.330959999999997</v>
      </c>
      <c r="G429" s="36">
        <f t="shared" si="24"/>
        <v>5.847708653420769E-3</v>
      </c>
      <c r="H429" s="36">
        <f t="shared" si="25"/>
        <v>7.2473996712130617E-2</v>
      </c>
      <c r="I429" s="36">
        <f>(Table143454[[#This Row],[Core CPI]]-F417)/F417</f>
        <v>5.5875841993871272E-2</v>
      </c>
    </row>
    <row r="430" spans="1:9" x14ac:dyDescent="0.2">
      <c r="A430" s="34">
        <f>IF(Data!B458="",#N/A,Data!B458)</f>
        <v>31747</v>
      </c>
      <c r="B430" s="35">
        <f>VLOOKUP(A430,Data!B:AY,MATCH($B$2,Data!$C$1:$AY$1,0),FALSE)</f>
        <v>42.482770000000002</v>
      </c>
      <c r="C430" s="36">
        <f t="shared" si="26"/>
        <v>3.7242641134798138E-3</v>
      </c>
      <c r="D430" s="36">
        <f t="shared" si="23"/>
        <v>4.5618058947385798E-2</v>
      </c>
      <c r="E430" s="36">
        <f>(Table143454[[#This Row],[JPN]]-B418)/B418</f>
        <v>4.1545849423570938E-2</v>
      </c>
      <c r="F430" s="35">
        <f>VLOOKUP(Table143454[[#This Row],[Date]],'Data Core CPI'!$B:$AY,MATCH($B$2,'Data Core CPI'!$C$1:$AY$1,0),FALSE)</f>
        <v>42.505749999999999</v>
      </c>
      <c r="G430" s="36">
        <f t="shared" si="24"/>
        <v>4.1291291291292165E-3</v>
      </c>
      <c r="H430" s="36">
        <f t="shared" si="25"/>
        <v>5.0690463181210621E-2</v>
      </c>
      <c r="I430" s="36">
        <f>(Table143454[[#This Row],[Core CPI]]-F418)/F418</f>
        <v>5.6294627070336854E-2</v>
      </c>
    </row>
    <row r="431" spans="1:9" x14ac:dyDescent="0.2">
      <c r="A431" s="34">
        <f>IF(Data!B459="",#N/A,Data!B459)</f>
        <v>31778</v>
      </c>
      <c r="B431" s="35">
        <f>VLOOKUP(A431,Data!B:AY,MATCH($B$2,Data!$C$1:$AY$1,0),FALSE)</f>
        <v>42.719230000000003</v>
      </c>
      <c r="C431" s="36">
        <f t="shared" si="26"/>
        <v>5.5660212363741746E-3</v>
      </c>
      <c r="D431" s="36">
        <f t="shared" si="23"/>
        <v>6.8875389793127129E-2</v>
      </c>
      <c r="E431" s="36">
        <f>(Table143454[[#This Row],[JPN]]-B419)/B419</f>
        <v>4.2307924098510655E-2</v>
      </c>
      <c r="F431" s="35">
        <f>VLOOKUP(Table143454[[#This Row],[Date]],'Data Core CPI'!$B:$AY,MATCH($B$2,'Data Core CPI'!$C$1:$AY$1,0),FALSE)</f>
        <v>42.72242</v>
      </c>
      <c r="G431" s="36">
        <f t="shared" si="24"/>
        <v>5.0974279950359858E-3</v>
      </c>
      <c r="H431" s="36">
        <f t="shared" si="25"/>
        <v>6.2913540937399981E-2</v>
      </c>
      <c r="I431" s="36">
        <f>(Table143454[[#This Row],[Core CPI]]-F419)/F419</f>
        <v>5.514213110336863E-2</v>
      </c>
    </row>
    <row r="432" spans="1:9" x14ac:dyDescent="0.2">
      <c r="A432" s="34">
        <f>IF(Data!B460="",#N/A,Data!B460)</f>
        <v>31809</v>
      </c>
      <c r="B432" s="35">
        <f>VLOOKUP(A432,Data!B:AY,MATCH($B$2,Data!$C$1:$AY$1,0),FALSE)</f>
        <v>42.955680000000001</v>
      </c>
      <c r="C432" s="36">
        <f t="shared" si="26"/>
        <v>5.5349780415048233E-3</v>
      </c>
      <c r="D432" s="36">
        <f t="shared" si="23"/>
        <v>6.8479485321914391E-2</v>
      </c>
      <c r="E432" s="36">
        <f>(Table143454[[#This Row],[JPN]]-B420)/B420</f>
        <v>4.4061340397497761E-2</v>
      </c>
      <c r="F432" s="35">
        <f>VLOOKUP(Table143454[[#This Row],[Date]],'Data Core CPI'!$B:$AY,MATCH($B$2,'Data Core CPI'!$C$1:$AY$1,0),FALSE)</f>
        <v>42.98695</v>
      </c>
      <c r="G432" s="36">
        <f t="shared" si="24"/>
        <v>6.1918308934747479E-3</v>
      </c>
      <c r="H432" s="36">
        <f t="shared" si="25"/>
        <v>7.6885289550609803E-2</v>
      </c>
      <c r="I432" s="36">
        <f>(Table143454[[#This Row],[Core CPI]]-F420)/F420</f>
        <v>5.3265858117301369E-2</v>
      </c>
    </row>
    <row r="433" spans="1:9" x14ac:dyDescent="0.2">
      <c r="A433" s="34">
        <f>IF(Data!B461="",#N/A,Data!B461)</f>
        <v>31837</v>
      </c>
      <c r="B433" s="35">
        <f>VLOOKUP(A433,Data!B:AY,MATCH($B$2,Data!$C$1:$AY$1,0),FALSE)</f>
        <v>43.073909999999998</v>
      </c>
      <c r="C433" s="36">
        <f t="shared" si="26"/>
        <v>2.7523717468795894E-3</v>
      </c>
      <c r="D433" s="36">
        <f t="shared" si="23"/>
        <v>3.3533062971668581E-2</v>
      </c>
      <c r="E433" s="36">
        <f>(Table143454[[#This Row],[JPN]]-B421)/B421</f>
        <v>4.1944686878929584E-2</v>
      </c>
      <c r="F433" s="35">
        <f>VLOOKUP(Table143454[[#This Row],[Date]],'Data Core CPI'!$B:$AY,MATCH($B$2,'Data Core CPI'!$C$1:$AY$1,0),FALSE)</f>
        <v>43.123489999999997</v>
      </c>
      <c r="G433" s="36">
        <f t="shared" si="24"/>
        <v>3.1763128112136663E-3</v>
      </c>
      <c r="H433" s="36">
        <f t="shared" si="25"/>
        <v>3.8788725993743389E-2</v>
      </c>
      <c r="I433" s="36">
        <f>(Table143454[[#This Row],[Core CPI]]-F421)/F421</f>
        <v>5.0160336179965993E-2</v>
      </c>
    </row>
    <row r="434" spans="1:9" x14ac:dyDescent="0.2">
      <c r="A434" s="34">
        <f>IF(Data!B462="",#N/A,Data!B462)</f>
        <v>31868</v>
      </c>
      <c r="B434" s="35">
        <f>VLOOKUP(A434,Data!B:AY,MATCH($B$2,Data!$C$1:$AY$1,0),FALSE)</f>
        <v>43.231540000000003</v>
      </c>
      <c r="C434" s="36">
        <f t="shared" si="26"/>
        <v>3.6595238277650211E-3</v>
      </c>
      <c r="D434" s="36">
        <f t="shared" si="23"/>
        <v>4.4809036727261553E-2</v>
      </c>
      <c r="E434" s="36">
        <f>(Table143454[[#This Row],[JPN]]-B422)/B422</f>
        <v>4.3767879893951506E-2</v>
      </c>
      <c r="F434" s="35">
        <f>VLOOKUP(Table143454[[#This Row],[Date]],'Data Core CPI'!$B:$AY,MATCH($B$2,'Data Core CPI'!$C$1:$AY$1,0),FALSE)</f>
        <v>43.29663</v>
      </c>
      <c r="G434" s="36">
        <f t="shared" si="24"/>
        <v>4.0149811622389731E-3</v>
      </c>
      <c r="H434" s="36">
        <f t="shared" si="25"/>
        <v>4.9258067066874966E-2</v>
      </c>
      <c r="I434" s="36">
        <f>(Table143454[[#This Row],[Core CPI]]-F422)/F422</f>
        <v>5.0989074688659652E-2</v>
      </c>
    </row>
    <row r="435" spans="1:9" x14ac:dyDescent="0.2">
      <c r="A435" s="34">
        <f>IF(Data!B463="",#N/A,Data!B463)</f>
        <v>31898</v>
      </c>
      <c r="B435" s="35">
        <f>VLOOKUP(A435,Data!B:AY,MATCH($B$2,Data!$C$1:$AY$1,0),FALSE)</f>
        <v>43.42859</v>
      </c>
      <c r="C435" s="36">
        <f t="shared" si="26"/>
        <v>4.5580148197357229E-3</v>
      </c>
      <c r="D435" s="36">
        <f t="shared" si="23"/>
        <v>5.608840890345812E-2</v>
      </c>
      <c r="E435" s="36">
        <f>(Table143454[[#This Row],[JPN]]-B423)/B423</f>
        <v>4.3560639738099316E-2</v>
      </c>
      <c r="F435" s="35">
        <f>VLOOKUP(Table143454[[#This Row],[Date]],'Data Core CPI'!$B:$AY,MATCH($B$2,'Data Core CPI'!$C$1:$AY$1,0),FALSE)</f>
        <v>43.508029999999998</v>
      </c>
      <c r="G435" s="36">
        <f t="shared" si="24"/>
        <v>4.8825970982036004E-3</v>
      </c>
      <c r="H435" s="36">
        <f t="shared" si="25"/>
        <v>6.019048048746134E-2</v>
      </c>
      <c r="I435" s="36">
        <f>(Table143454[[#This Row],[Core CPI]]-F423)/F423</f>
        <v>5.0661263159216548E-2</v>
      </c>
    </row>
    <row r="436" spans="1:9" x14ac:dyDescent="0.2">
      <c r="A436" s="34">
        <f>IF(Data!B464="",#N/A,Data!B464)</f>
        <v>31929</v>
      </c>
      <c r="B436" s="35">
        <f>VLOOKUP(A436,Data!B:AY,MATCH($B$2,Data!$C$1:$AY$1,0),FALSE)</f>
        <v>43.586219999999997</v>
      </c>
      <c r="C436" s="36">
        <f t="shared" si="26"/>
        <v>3.6296366057475549E-3</v>
      </c>
      <c r="D436" s="36">
        <f t="shared" si="23"/>
        <v>4.4435746879835536E-2</v>
      </c>
      <c r="E436" s="36">
        <f>(Table143454[[#This Row],[JPN]]-B424)/B424</f>
        <v>4.5368464981076592E-2</v>
      </c>
      <c r="F436" s="35">
        <f>VLOOKUP(Table143454[[#This Row],[Date]],'Data Core CPI'!$B:$AY,MATCH($B$2,'Data Core CPI'!$C$1:$AY$1,0),FALSE)</f>
        <v>43.664960000000001</v>
      </c>
      <c r="G436" s="36">
        <f t="shared" si="24"/>
        <v>3.6069203776867287E-3</v>
      </c>
      <c r="H436" s="36">
        <f t="shared" si="25"/>
        <v>4.4152104152259009E-2</v>
      </c>
      <c r="I436" s="36">
        <f>(Table143454[[#This Row],[Core CPI]]-F424)/F424</f>
        <v>5.246037090795843E-2</v>
      </c>
    </row>
    <row r="437" spans="1:9" x14ac:dyDescent="0.2">
      <c r="A437" s="34">
        <f>IF(Data!B465="",#N/A,Data!B465)</f>
        <v>31959</v>
      </c>
      <c r="B437" s="35">
        <f>VLOOKUP(A437,Data!B:AY,MATCH($B$2,Data!$C$1:$AY$1,0),FALSE)</f>
        <v>43.665039999999998</v>
      </c>
      <c r="C437" s="36">
        <f t="shared" si="26"/>
        <v>1.808369709509039E-3</v>
      </c>
      <c r="D437" s="36">
        <f t="shared" si="23"/>
        <v>2.1917576110644266E-2</v>
      </c>
      <c r="E437" s="36">
        <f>(Table143454[[#This Row],[JPN]]-B425)/B425</f>
        <v>4.7258877648424409E-2</v>
      </c>
      <c r="F437" s="35">
        <f>VLOOKUP(Table143454[[#This Row],[Date]],'Data Core CPI'!$B:$AY,MATCH($B$2,'Data Core CPI'!$C$1:$AY$1,0),FALSE)</f>
        <v>43.775460000000002</v>
      </c>
      <c r="G437" s="36">
        <f t="shared" si="24"/>
        <v>2.530633258338133E-3</v>
      </c>
      <c r="H437" s="36">
        <f t="shared" si="25"/>
        <v>3.0793855810006265E-2</v>
      </c>
      <c r="I437" s="36">
        <f>(Table143454[[#This Row],[Core CPI]]-F425)/F425</f>
        <v>5.3022461436690101E-2</v>
      </c>
    </row>
    <row r="438" spans="1:9" x14ac:dyDescent="0.2">
      <c r="A438" s="34">
        <f>IF(Data!B466="",#N/A,Data!B466)</f>
        <v>31990</v>
      </c>
      <c r="B438" s="35">
        <f>VLOOKUP(A438,Data!B:AY,MATCH($B$2,Data!$C$1:$AY$1,0),FALSE)</f>
        <v>43.822670000000002</v>
      </c>
      <c r="C438" s="36">
        <f t="shared" si="26"/>
        <v>3.6099818069559308E-3</v>
      </c>
      <c r="D438" s="36">
        <f t="shared" si="23"/>
        <v>4.4190326106045452E-2</v>
      </c>
      <c r="E438" s="36">
        <f>(Table143454[[#This Row],[JPN]]-B426)/B426</f>
        <v>4.8067793561878867E-2</v>
      </c>
      <c r="F438" s="35">
        <f>VLOOKUP(Table143454[[#This Row],[Date]],'Data Core CPI'!$B:$AY,MATCH($B$2,'Data Core CPI'!$C$1:$AY$1,0),FALSE)</f>
        <v>43.952950000000001</v>
      </c>
      <c r="G438" s="36">
        <f t="shared" si="24"/>
        <v>4.0545547665289394E-3</v>
      </c>
      <c r="H438" s="36">
        <f t="shared" si="25"/>
        <v>4.9754457184907563E-2</v>
      </c>
      <c r="I438" s="36">
        <f>(Table143454[[#This Row],[Core CPI]]-F426)/F426</f>
        <v>5.3185786995669865E-2</v>
      </c>
    </row>
    <row r="439" spans="1:9" x14ac:dyDescent="0.2">
      <c r="A439" s="34">
        <f>IF(Data!B467="",#N/A,Data!B467)</f>
        <v>32021</v>
      </c>
      <c r="B439" s="35">
        <f>VLOOKUP(A439,Data!B:AY,MATCH($B$2,Data!$C$1:$AY$1,0),FALSE)</f>
        <v>44.09854</v>
      </c>
      <c r="C439" s="36">
        <f t="shared" si="26"/>
        <v>6.2951435866411831E-3</v>
      </c>
      <c r="D439" s="36">
        <f t="shared" si="23"/>
        <v>7.8212894482925011E-2</v>
      </c>
      <c r="E439" s="36">
        <f>(Table143454[[#This Row],[JPN]]-B427)/B427</f>
        <v>5.169176541011973E-2</v>
      </c>
      <c r="F439" s="35">
        <f>VLOOKUP(Table143454[[#This Row],[Date]],'Data Core CPI'!$B:$AY,MATCH($B$2,'Data Core CPI'!$C$1:$AY$1,0),FALSE)</f>
        <v>44.172609999999999</v>
      </c>
      <c r="G439" s="36">
        <f t="shared" si="24"/>
        <v>4.9976167697503016E-3</v>
      </c>
      <c r="H439" s="36">
        <f t="shared" si="25"/>
        <v>6.1647600644483047E-2</v>
      </c>
      <c r="I439" s="36">
        <f>(Table143454[[#This Row],[Core CPI]]-F427)/F427</f>
        <v>5.5946056942656239E-2</v>
      </c>
    </row>
    <row r="440" spans="1:9" x14ac:dyDescent="0.2">
      <c r="A440" s="34">
        <f>IF(Data!B468="",#N/A,Data!B468)</f>
        <v>32051</v>
      </c>
      <c r="B440" s="35">
        <f>VLOOKUP(A440,Data!B:AY,MATCH($B$2,Data!$C$1:$AY$1,0),FALSE)</f>
        <v>44.453220000000002</v>
      </c>
      <c r="C440" s="36">
        <f t="shared" si="26"/>
        <v>8.0428966582568595E-3</v>
      </c>
      <c r="D440" s="36">
        <f t="shared" si="23"/>
        <v>0.10090074017174033</v>
      </c>
      <c r="E440" s="36">
        <f>(Table143454[[#This Row],[JPN]]-B428)/B428</f>
        <v>5.5191915892697757E-2</v>
      </c>
      <c r="F440" s="35">
        <f>VLOOKUP(Table143454[[#This Row],[Date]],'Data Core CPI'!$B:$AY,MATCH($B$2,'Data Core CPI'!$C$1:$AY$1,0),FALSE)</f>
        <v>44.564749999999997</v>
      </c>
      <c r="G440" s="36">
        <f t="shared" si="24"/>
        <v>8.8774469065784345E-3</v>
      </c>
      <c r="H440" s="36">
        <f t="shared" si="25"/>
        <v>0.11188779670012527</v>
      </c>
      <c r="I440" s="36">
        <f>(Table143454[[#This Row],[Core CPI]]-F428)/F428</f>
        <v>5.892594153812078E-2</v>
      </c>
    </row>
    <row r="441" spans="1:9" x14ac:dyDescent="0.2">
      <c r="A441" s="34">
        <f>IF(Data!B469="",#N/A,Data!B469)</f>
        <v>32082</v>
      </c>
      <c r="B441" s="35">
        <f>VLOOKUP(A441,Data!B:AY,MATCH($B$2,Data!$C$1:$AY$1,0),FALSE)</f>
        <v>44.610849999999999</v>
      </c>
      <c r="C441" s="36">
        <f t="shared" si="26"/>
        <v>3.5459748472663755E-3</v>
      </c>
      <c r="D441" s="36">
        <f t="shared" si="23"/>
        <v>4.339146586788134E-2</v>
      </c>
      <c r="E441" s="36">
        <f>(Table143454[[#This Row],[JPN]]-B429)/B429</f>
        <v>5.4003601641955626E-2</v>
      </c>
      <c r="F441" s="35">
        <f>VLOOKUP(Table143454[[#This Row],[Date]],'Data Core CPI'!$B:$AY,MATCH($B$2,'Data Core CPI'!$C$1:$AY$1,0),FALSE)</f>
        <v>44.754019999999997</v>
      </c>
      <c r="G441" s="36">
        <f t="shared" si="24"/>
        <v>4.2470786888739731E-3</v>
      </c>
      <c r="H441" s="36">
        <f t="shared" si="25"/>
        <v>5.2172446761904023E-2</v>
      </c>
      <c r="I441" s="36">
        <f>(Table143454[[#This Row],[Core CPI]]-F429)/F429</f>
        <v>5.7240846888423971E-2</v>
      </c>
    </row>
    <row r="442" spans="1:9" x14ac:dyDescent="0.2">
      <c r="A442" s="34">
        <f>IF(Data!B470="",#N/A,Data!B470)</f>
        <v>32112</v>
      </c>
      <c r="B442" s="35">
        <f>VLOOKUP(A442,Data!B:AY,MATCH($B$2,Data!$C$1:$AY$1,0),FALSE)</f>
        <v>44.68967</v>
      </c>
      <c r="C442" s="36">
        <f t="shared" si="26"/>
        <v>1.7668347498422943E-3</v>
      </c>
      <c r="D442" s="36">
        <f t="shared" si="23"/>
        <v>2.1409267785888364E-2</v>
      </c>
      <c r="E442" s="36">
        <f>(Table143454[[#This Row],[JPN]]-B430)/B430</f>
        <v>5.1948119202208265E-2</v>
      </c>
      <c r="F442" s="35">
        <f>VLOOKUP(Table143454[[#This Row],[Date]],'Data Core CPI'!$B:$AY,MATCH($B$2,'Data Core CPI'!$C$1:$AY$1,0),FALSE)</f>
        <v>44.852620000000002</v>
      </c>
      <c r="G442" s="36">
        <f t="shared" si="24"/>
        <v>2.2031540406874939E-3</v>
      </c>
      <c r="H442" s="36">
        <f t="shared" si="25"/>
        <v>2.6760569431478975E-2</v>
      </c>
      <c r="I442" s="36">
        <f>(Table143454[[#This Row],[Core CPI]]-F430)/F430</f>
        <v>5.5213000594037338E-2</v>
      </c>
    </row>
    <row r="443" spans="1:9" x14ac:dyDescent="0.2">
      <c r="A443" s="34">
        <f>IF(Data!B471="",#N/A,Data!B471)</f>
        <v>32143</v>
      </c>
      <c r="B443" s="35">
        <f>VLOOKUP(A443,Data!B:AY,MATCH($B$2,Data!$C$1:$AY$1,0),FALSE)</f>
        <v>44.926119999999997</v>
      </c>
      <c r="C443" s="36">
        <f t="shared" si="26"/>
        <v>5.2909318864962085E-3</v>
      </c>
      <c r="D443" s="36">
        <f t="shared" si="23"/>
        <v>6.5371760339896223E-2</v>
      </c>
      <c r="E443" s="36">
        <f>(Table143454[[#This Row],[JPN]]-B431)/B431</f>
        <v>5.166034125615078E-2</v>
      </c>
      <c r="F443" s="35">
        <f>VLOOKUP(Table143454[[#This Row],[Date]],'Data Core CPI'!$B:$AY,MATCH($B$2,'Data Core CPI'!$C$1:$AY$1,0),FALSE)</f>
        <v>45.151539999999997</v>
      </c>
      <c r="G443" s="36">
        <f t="shared" si="24"/>
        <v>6.6644936237838515E-3</v>
      </c>
      <c r="H443" s="36">
        <f t="shared" si="25"/>
        <v>8.2971453313648746E-2</v>
      </c>
      <c r="I443" s="36">
        <f>(Table143454[[#This Row],[Core CPI]]-F431)/F431</f>
        <v>5.6858202320935879E-2</v>
      </c>
    </row>
    <row r="444" spans="1:9" x14ac:dyDescent="0.2">
      <c r="A444" s="34">
        <f>IF(Data!B472="",#N/A,Data!B472)</f>
        <v>32174</v>
      </c>
      <c r="B444" s="35">
        <f>VLOOKUP(A444,Data!B:AY,MATCH($B$2,Data!$C$1:$AY$1,0),FALSE)</f>
        <v>45.123170000000002</v>
      </c>
      <c r="C444" s="36">
        <f t="shared" si="26"/>
        <v>4.3860898737750897E-3</v>
      </c>
      <c r="D444" s="36">
        <f t="shared" ref="D444:D507" si="27">((1+C444)^12)-1</f>
        <v>5.392152004565065E-2</v>
      </c>
      <c r="E444" s="36">
        <f>(Table143454[[#This Row],[JPN]]-B432)/B432</f>
        <v>5.0458751904288342E-2</v>
      </c>
      <c r="F444" s="35">
        <f>VLOOKUP(Table143454[[#This Row],[Date]],'Data Core CPI'!$B:$AY,MATCH($B$2,'Data Core CPI'!$C$1:$AY$1,0),FALSE)</f>
        <v>45.36748</v>
      </c>
      <c r="G444" s="36">
        <f t="shared" si="24"/>
        <v>4.7825611263758727E-3</v>
      </c>
      <c r="H444" s="36">
        <f t="shared" si="25"/>
        <v>5.8924671298986819E-2</v>
      </c>
      <c r="I444" s="36">
        <f>(Table143454[[#This Row],[Core CPI]]-F432)/F432</f>
        <v>5.537796936046871E-2</v>
      </c>
    </row>
    <row r="445" spans="1:9" x14ac:dyDescent="0.2">
      <c r="A445" s="34">
        <f>IF(Data!B473="",#N/A,Data!B473)</f>
        <v>32203</v>
      </c>
      <c r="B445" s="35">
        <f>VLOOKUP(A445,Data!B:AY,MATCH($B$2,Data!$C$1:$AY$1,0),FALSE)</f>
        <v>45.320210000000003</v>
      </c>
      <c r="C445" s="36">
        <f t="shared" si="26"/>
        <v>4.3667144839336647E-3</v>
      </c>
      <c r="D445" s="36">
        <f t="shared" si="27"/>
        <v>5.3677574326815414E-2</v>
      </c>
      <c r="E445" s="36">
        <f>(Table143454[[#This Row],[JPN]]-B433)/B433</f>
        <v>5.214989769909454E-2</v>
      </c>
      <c r="F445" s="35">
        <f>VLOOKUP(Table143454[[#This Row],[Date]],'Data Core CPI'!$B:$AY,MATCH($B$2,'Data Core CPI'!$C$1:$AY$1,0),FALSE)</f>
        <v>45.619759999999999</v>
      </c>
      <c r="G445" s="36">
        <f t="shared" si="24"/>
        <v>5.5608114005891718E-3</v>
      </c>
      <c r="H445" s="36">
        <f t="shared" si="25"/>
        <v>6.8808937588593411E-2</v>
      </c>
      <c r="I445" s="36">
        <f>(Table143454[[#This Row],[Core CPI]]-F433)/F433</f>
        <v>5.7886548607267239E-2</v>
      </c>
    </row>
    <row r="446" spans="1:9" x14ac:dyDescent="0.2">
      <c r="A446" s="34">
        <f>IF(Data!B474="",#N/A,Data!B474)</f>
        <v>32234</v>
      </c>
      <c r="B446" s="35">
        <f>VLOOKUP(A446,Data!B:AY,MATCH($B$2,Data!$C$1:$AY$1,0),FALSE)</f>
        <v>45.43844</v>
      </c>
      <c r="C446" s="36">
        <f t="shared" si="26"/>
        <v>2.6087699064059056E-3</v>
      </c>
      <c r="D446" s="36">
        <f t="shared" si="27"/>
        <v>3.175834278788181E-2</v>
      </c>
      <c r="E446" s="36">
        <f>(Table143454[[#This Row],[JPN]]-B434)/B434</f>
        <v>5.1048378105429448E-2</v>
      </c>
      <c r="F446" s="35">
        <f>VLOOKUP(Table143454[[#This Row],[Date]],'Data Core CPI'!$B:$AY,MATCH($B$2,'Data Core CPI'!$C$1:$AY$1,0),FALSE)</f>
        <v>45.733580000000003</v>
      </c>
      <c r="G446" s="36">
        <f t="shared" si="24"/>
        <v>2.4949714772721787E-3</v>
      </c>
      <c r="H446" s="36">
        <f t="shared" si="25"/>
        <v>3.0353936040311336E-2</v>
      </c>
      <c r="I446" s="36">
        <f>(Table143454[[#This Row],[Core CPI]]-F434)/F434</f>
        <v>5.6284981071275129E-2</v>
      </c>
    </row>
    <row r="447" spans="1:9" x14ac:dyDescent="0.2">
      <c r="A447" s="34">
        <f>IF(Data!B475="",#N/A,Data!B475)</f>
        <v>32264</v>
      </c>
      <c r="B447" s="35">
        <f>VLOOKUP(A447,Data!B:AY,MATCH($B$2,Data!$C$1:$AY$1,0),FALSE)</f>
        <v>45.596069999999997</v>
      </c>
      <c r="C447" s="36">
        <f t="shared" si="26"/>
        <v>3.4690891676738556E-3</v>
      </c>
      <c r="D447" s="36">
        <f t="shared" si="27"/>
        <v>4.2432609146722644E-2</v>
      </c>
      <c r="E447" s="36">
        <f>(Table143454[[#This Row],[JPN]]-B435)/B435</f>
        <v>4.9909057604679258E-2</v>
      </c>
      <c r="F447" s="35">
        <f>VLOOKUP(Table143454[[#This Row],[Date]],'Data Core CPI'!$B:$AY,MATCH($B$2,'Data Core CPI'!$C$1:$AY$1,0),FALSE)</f>
        <v>45.920349999999999</v>
      </c>
      <c r="G447" s="36">
        <f t="shared" si="24"/>
        <v>4.0838701015750711E-3</v>
      </c>
      <c r="H447" s="36">
        <f t="shared" si="25"/>
        <v>5.0122311848624035E-2</v>
      </c>
      <c r="I447" s="36">
        <f>(Table143454[[#This Row],[Core CPI]]-F435)/F435</f>
        <v>5.5445397091065746E-2</v>
      </c>
    </row>
    <row r="448" spans="1:9" x14ac:dyDescent="0.2">
      <c r="A448" s="34">
        <f>IF(Data!B476="",#N/A,Data!B476)</f>
        <v>32295</v>
      </c>
      <c r="B448" s="35">
        <f>VLOOKUP(A448,Data!B:AY,MATCH($B$2,Data!$C$1:$AY$1,0),FALSE)</f>
        <v>45.753709999999998</v>
      </c>
      <c r="C448" s="36">
        <f t="shared" si="26"/>
        <v>3.4573155098673869E-3</v>
      </c>
      <c r="D448" s="36">
        <f t="shared" si="27"/>
        <v>4.228584883712827E-2</v>
      </c>
      <c r="E448" s="36">
        <f>(Table143454[[#This Row],[JPN]]-B436)/B436</f>
        <v>4.9728790429635808E-2</v>
      </c>
      <c r="F448" s="35">
        <f>VLOOKUP(Table143454[[#This Row],[Date]],'Data Core CPI'!$B:$AY,MATCH($B$2,'Data Core CPI'!$C$1:$AY$1,0),FALSE)</f>
        <v>46.058169999999997</v>
      </c>
      <c r="G448" s="36">
        <f t="shared" si="24"/>
        <v>3.0012837445707596E-3</v>
      </c>
      <c r="H448" s="36">
        <f t="shared" si="25"/>
        <v>3.6615901392392125E-2</v>
      </c>
      <c r="I448" s="36">
        <f>(Table143454[[#This Row],[Core CPI]]-F436)/F436</f>
        <v>5.4808478010743539E-2</v>
      </c>
    </row>
    <row r="449" spans="1:9" x14ac:dyDescent="0.2">
      <c r="A449" s="34">
        <f>IF(Data!B477="",#N/A,Data!B477)</f>
        <v>32325</v>
      </c>
      <c r="B449" s="35">
        <f>VLOOKUP(A449,Data!B:AY,MATCH($B$2,Data!$C$1:$AY$1,0),FALSE)</f>
        <v>45.832529999999998</v>
      </c>
      <c r="C449" s="36">
        <f t="shared" si="26"/>
        <v>1.7227018311738451E-3</v>
      </c>
      <c r="D449" s="36">
        <f t="shared" si="27"/>
        <v>2.0869419393555022E-2</v>
      </c>
      <c r="E449" s="36">
        <f>(Table143454[[#This Row],[JPN]]-B437)/B437</f>
        <v>4.9639024720920924E-2</v>
      </c>
      <c r="F449" s="35">
        <f>VLOOKUP(Table143454[[#This Row],[Date]],'Data Core CPI'!$B:$AY,MATCH($B$2,'Data Core CPI'!$C$1:$AY$1,0),FALSE)</f>
        <v>46.15316</v>
      </c>
      <c r="G449" s="36">
        <f t="shared" si="24"/>
        <v>2.0623919708491201E-3</v>
      </c>
      <c r="H449" s="36">
        <f t="shared" si="25"/>
        <v>2.5031370944327058E-2</v>
      </c>
      <c r="I449" s="36">
        <f>(Table143454[[#This Row],[Core CPI]]-F437)/F437</f>
        <v>5.4315819868026451E-2</v>
      </c>
    </row>
    <row r="450" spans="1:9" x14ac:dyDescent="0.2">
      <c r="A450" s="34">
        <f>IF(Data!B478="",#N/A,Data!B478)</f>
        <v>32356</v>
      </c>
      <c r="B450" s="35">
        <f>VLOOKUP(A450,Data!B:AY,MATCH($B$2,Data!$C$1:$AY$1,0),FALSE)</f>
        <v>46.02957</v>
      </c>
      <c r="C450" s="36">
        <f t="shared" si="26"/>
        <v>4.2991298974768277E-3</v>
      </c>
      <c r="D450" s="36">
        <f t="shared" si="27"/>
        <v>5.2827056136136807E-2</v>
      </c>
      <c r="E450" s="36">
        <f>(Table143454[[#This Row],[JPN]]-B438)/B438</f>
        <v>5.0359779538763777E-2</v>
      </c>
      <c r="F450" s="35">
        <f>VLOOKUP(Table143454[[#This Row],[Date]],'Data Core CPI'!$B:$AY,MATCH($B$2,'Data Core CPI'!$C$1:$AY$1,0),FALSE)</f>
        <v>46.323279999999997</v>
      </c>
      <c r="G450" s="36">
        <f t="shared" si="24"/>
        <v>3.6859881316901877E-3</v>
      </c>
      <c r="H450" s="36">
        <f t="shared" si="25"/>
        <v>4.5139676592593769E-2</v>
      </c>
      <c r="I450" s="36">
        <f>(Table143454[[#This Row],[Core CPI]]-F438)/F438</f>
        <v>5.3928803413650174E-2</v>
      </c>
    </row>
    <row r="451" spans="1:9" x14ac:dyDescent="0.2">
      <c r="A451" s="34">
        <f>IF(Data!B479="",#N/A,Data!B479)</f>
        <v>32387</v>
      </c>
      <c r="B451" s="35">
        <f>VLOOKUP(A451,Data!B:AY,MATCH($B$2,Data!$C$1:$AY$1,0),FALSE)</f>
        <v>46.266030000000001</v>
      </c>
      <c r="C451" s="36">
        <f t="shared" si="26"/>
        <v>5.1371324998257251E-3</v>
      </c>
      <c r="D451" s="36">
        <f t="shared" si="27"/>
        <v>6.3417511498120582E-2</v>
      </c>
      <c r="E451" s="36">
        <f>(Table143454[[#This Row],[JPN]]-B439)/B439</f>
        <v>4.9151060329888488E-2</v>
      </c>
      <c r="F451" s="35">
        <f>VLOOKUP(Table143454[[#This Row],[Date]],'Data Core CPI'!$B:$AY,MATCH($B$2,'Data Core CPI'!$C$1:$AY$1,0),FALSE)</f>
        <v>46.512619999999998</v>
      </c>
      <c r="G451" s="36">
        <f t="shared" ref="G451:G514" si="28">(F451/F450)-1</f>
        <v>4.0873616894141485E-3</v>
      </c>
      <c r="H451" s="36">
        <f t="shared" ref="H451:H514" si="29">((1+G451)^12)-1</f>
        <v>5.0166132862339285E-2</v>
      </c>
      <c r="I451" s="36">
        <f>(Table143454[[#This Row],[Core CPI]]-F439)/F439</f>
        <v>5.2974229958338427E-2</v>
      </c>
    </row>
    <row r="452" spans="1:9" x14ac:dyDescent="0.2">
      <c r="A452" s="34">
        <f>IF(Data!B480="",#N/A,Data!B480)</f>
        <v>32417</v>
      </c>
      <c r="B452" s="35">
        <f>VLOOKUP(A452,Data!B:AY,MATCH($B$2,Data!$C$1:$AY$1,0),FALSE)</f>
        <v>46.581299999999999</v>
      </c>
      <c r="C452" s="36">
        <f t="shared" si="26"/>
        <v>6.8142868536591461E-3</v>
      </c>
      <c r="D452" s="36">
        <f t="shared" si="27"/>
        <v>8.4906810594421289E-2</v>
      </c>
      <c r="E452" s="36">
        <f>(Table143454[[#This Row],[JPN]]-B440)/B440</f>
        <v>4.787234760496533E-2</v>
      </c>
      <c r="F452" s="35">
        <f>VLOOKUP(Table143454[[#This Row],[Date]],'Data Core CPI'!$B:$AY,MATCH($B$2,'Data Core CPI'!$C$1:$AY$1,0),FALSE)</f>
        <v>46.881540000000001</v>
      </c>
      <c r="G452" s="36">
        <f t="shared" si="28"/>
        <v>7.9316108187412748E-3</v>
      </c>
      <c r="H452" s="36">
        <f t="shared" si="29"/>
        <v>9.9443179569525864E-2</v>
      </c>
      <c r="I452" s="36">
        <f>(Table143454[[#This Row],[Core CPI]]-F440)/F440</f>
        <v>5.1987052547136578E-2</v>
      </c>
    </row>
    <row r="453" spans="1:9" x14ac:dyDescent="0.2">
      <c r="A453" s="34">
        <f>IF(Data!B481="",#N/A,Data!B481)</f>
        <v>32448</v>
      </c>
      <c r="B453" s="35">
        <f>VLOOKUP(A453,Data!B:AY,MATCH($B$2,Data!$C$1:$AY$1,0),FALSE)</f>
        <v>46.896569999999997</v>
      </c>
      <c r="C453" s="36">
        <f t="shared" ref="C453:C516" si="30">(B453/B452)-1</f>
        <v>6.7681666248042838E-3</v>
      </c>
      <c r="D453" s="36">
        <f t="shared" si="27"/>
        <v>8.4310590854925316E-2</v>
      </c>
      <c r="E453" s="36">
        <f>(Table143454[[#This Row],[JPN]]-B441)/B441</f>
        <v>5.1236862781139515E-2</v>
      </c>
      <c r="F453" s="35">
        <f>VLOOKUP(Table143454[[#This Row],[Date]],'Data Core CPI'!$B:$AY,MATCH($B$2,'Data Core CPI'!$C$1:$AY$1,0),FALSE)</f>
        <v>47.284379999999999</v>
      </c>
      <c r="G453" s="36">
        <f t="shared" si="28"/>
        <v>8.5927211435459228E-3</v>
      </c>
      <c r="H453" s="36">
        <f t="shared" si="29"/>
        <v>0.10812806758514526</v>
      </c>
      <c r="I453" s="36">
        <f>(Table143454[[#This Row],[Core CPI]]-F441)/F441</f>
        <v>5.6539278482692773E-2</v>
      </c>
    </row>
    <row r="454" spans="1:9" x14ac:dyDescent="0.2">
      <c r="A454" s="34">
        <f>IF(Data!B482="",#N/A,Data!B482)</f>
        <v>32478</v>
      </c>
      <c r="B454" s="35">
        <f>VLOOKUP(A454,Data!B:AY,MATCH($B$2,Data!$C$1:$AY$1,0),FALSE)</f>
        <v>47.093609999999998</v>
      </c>
      <c r="C454" s="36">
        <f t="shared" si="30"/>
        <v>4.2015865979110334E-3</v>
      </c>
      <c r="D454" s="36">
        <f t="shared" si="27"/>
        <v>5.1600632093702803E-2</v>
      </c>
      <c r="E454" s="36">
        <f>(Table143454[[#This Row],[JPN]]-B442)/B442</f>
        <v>5.3791849436346219E-2</v>
      </c>
      <c r="F454" s="35">
        <f>VLOOKUP(Table143454[[#This Row],[Date]],'Data Core CPI'!$B:$AY,MATCH($B$2,'Data Core CPI'!$C$1:$AY$1,0),FALSE)</f>
        <v>47.455199999999998</v>
      </c>
      <c r="G454" s="36">
        <f t="shared" si="28"/>
        <v>3.6126094917603435E-3</v>
      </c>
      <c r="H454" s="36">
        <f t="shared" si="29"/>
        <v>4.4223133781708945E-2</v>
      </c>
      <c r="I454" s="36">
        <f>(Table143454[[#This Row],[Core CPI]]-F442)/F442</f>
        <v>5.8025149924352155E-2</v>
      </c>
    </row>
    <row r="455" spans="1:9" x14ac:dyDescent="0.2">
      <c r="A455" s="34">
        <f>IF(Data!B483="",#N/A,Data!B483)</f>
        <v>32509</v>
      </c>
      <c r="B455" s="35">
        <f>VLOOKUP(A455,Data!B:AY,MATCH($B$2,Data!$C$1:$AY$1,0),FALSE)</f>
        <v>47.408880000000003</v>
      </c>
      <c r="C455" s="36">
        <f t="shared" si="30"/>
        <v>6.6945388132275685E-3</v>
      </c>
      <c r="D455" s="36">
        <f t="shared" si="27"/>
        <v>8.3359389010059903E-2</v>
      </c>
      <c r="E455" s="36">
        <f>(Table143454[[#This Row],[JPN]]-B443)/B443</f>
        <v>5.5263174295933103E-2</v>
      </c>
      <c r="F455" s="35">
        <f>VLOOKUP(Table143454[[#This Row],[Date]],'Data Core CPI'!$B:$AY,MATCH($B$2,'Data Core CPI'!$C$1:$AY$1,0),FALSE)</f>
        <v>47.766710000000003</v>
      </c>
      <c r="G455" s="36">
        <f t="shared" si="28"/>
        <v>6.5642964311605212E-3</v>
      </c>
      <c r="H455" s="36">
        <f t="shared" si="29"/>
        <v>8.1678653374575916E-2</v>
      </c>
      <c r="I455" s="36">
        <f>(Table143454[[#This Row],[Core CPI]]-F443)/F443</f>
        <v>5.7919840607873092E-2</v>
      </c>
    </row>
    <row r="456" spans="1:9" x14ac:dyDescent="0.2">
      <c r="A456" s="34">
        <f>IF(Data!B484="",#N/A,Data!B484)</f>
        <v>32540</v>
      </c>
      <c r="B456" s="35">
        <f>VLOOKUP(A456,Data!B:AY,MATCH($B$2,Data!$C$1:$AY$1,0),FALSE)</f>
        <v>47.802970000000002</v>
      </c>
      <c r="C456" s="36">
        <f t="shared" si="30"/>
        <v>8.3125777280543822E-3</v>
      </c>
      <c r="D456" s="36">
        <f t="shared" si="27"/>
        <v>0.1044402244206537</v>
      </c>
      <c r="E456" s="36">
        <f>(Table143454[[#This Row],[JPN]]-B444)/B444</f>
        <v>5.9388558029056911E-2</v>
      </c>
      <c r="F456" s="35">
        <f>VLOOKUP(Table143454[[#This Row],[Date]],'Data Core CPI'!$B:$AY,MATCH($B$2,'Data Core CPI'!$C$1:$AY$1,0),FALSE)</f>
        <v>48.201180000000001</v>
      </c>
      <c r="G456" s="36">
        <f t="shared" si="28"/>
        <v>9.0956651609457317E-3</v>
      </c>
      <c r="H456" s="36">
        <f t="shared" si="29"/>
        <v>0.11477722280717839</v>
      </c>
      <c r="I456" s="36">
        <f>(Table143454[[#This Row],[Core CPI]]-F444)/F444</f>
        <v>6.2461040375176233E-2</v>
      </c>
    </row>
    <row r="457" spans="1:9" x14ac:dyDescent="0.2">
      <c r="A457" s="34">
        <f>IF(Data!B485="",#N/A,Data!B485)</f>
        <v>32568</v>
      </c>
      <c r="B457" s="35">
        <f>VLOOKUP(A457,Data!B:AY,MATCH($B$2,Data!$C$1:$AY$1,0),FALSE)</f>
        <v>48.078830000000004</v>
      </c>
      <c r="C457" s="36">
        <f t="shared" si="30"/>
        <v>5.7707711466463696E-3</v>
      </c>
      <c r="D457" s="36">
        <f t="shared" si="27"/>
        <v>7.1490005552157898E-2</v>
      </c>
      <c r="E457" s="36">
        <f>(Table143454[[#This Row],[JPN]]-B445)/B445</f>
        <v>6.0869532599253186E-2</v>
      </c>
      <c r="F457" s="35">
        <f>VLOOKUP(Table143454[[#This Row],[Date]],'Data Core CPI'!$B:$AY,MATCH($B$2,'Data Core CPI'!$C$1:$AY$1,0),FALSE)</f>
        <v>48.48039</v>
      </c>
      <c r="G457" s="36">
        <f t="shared" si="28"/>
        <v>5.7925967787511023E-3</v>
      </c>
      <c r="H457" s="36">
        <f t="shared" si="29"/>
        <v>7.1769060048900046E-2</v>
      </c>
      <c r="I457" s="36">
        <f>(Table143454[[#This Row],[Core CPI]]-F445)/F445</f>
        <v>6.270594146045487E-2</v>
      </c>
    </row>
    <row r="458" spans="1:9" x14ac:dyDescent="0.2">
      <c r="A458" s="34">
        <f>IF(Data!B486="",#N/A,Data!B486)</f>
        <v>32599</v>
      </c>
      <c r="B458" s="35">
        <f>VLOOKUP(A458,Data!B:AY,MATCH($B$2,Data!$C$1:$AY$1,0),FALSE)</f>
        <v>48.315280000000001</v>
      </c>
      <c r="C458" s="36">
        <f t="shared" si="30"/>
        <v>4.917964933838892E-3</v>
      </c>
      <c r="D458" s="36">
        <f t="shared" si="27"/>
        <v>6.0638340591378848E-2</v>
      </c>
      <c r="E458" s="36">
        <f>(Table143454[[#This Row],[JPN]]-B446)/B446</f>
        <v>6.33129130313453E-2</v>
      </c>
      <c r="F458" s="35">
        <f>VLOOKUP(Table143454[[#This Row],[Date]],'Data Core CPI'!$B:$AY,MATCH($B$2,'Data Core CPI'!$C$1:$AY$1,0),FALSE)</f>
        <v>48.726199999999999</v>
      </c>
      <c r="G458" s="36">
        <f t="shared" si="28"/>
        <v>5.0702974955441071E-3</v>
      </c>
      <c r="H458" s="36">
        <f t="shared" si="29"/>
        <v>6.2569298554847608E-2</v>
      </c>
      <c r="I458" s="36">
        <f>(Table143454[[#This Row],[Core CPI]]-F446)/F446</f>
        <v>6.5435944441698965E-2</v>
      </c>
    </row>
    <row r="459" spans="1:9" x14ac:dyDescent="0.2">
      <c r="A459" s="34">
        <f>IF(Data!B487="",#N/A,Data!B487)</f>
        <v>32629</v>
      </c>
      <c r="B459" s="35">
        <f>VLOOKUP(A459,Data!B:AY,MATCH($B$2,Data!$C$1:$AY$1,0),FALSE)</f>
        <v>48.551740000000002</v>
      </c>
      <c r="C459" s="36">
        <f t="shared" si="30"/>
        <v>4.8941038942544868E-3</v>
      </c>
      <c r="D459" s="36">
        <f t="shared" si="27"/>
        <v>6.033617110662326E-2</v>
      </c>
      <c r="E459" s="36">
        <f>(Table143454[[#This Row],[JPN]]-B447)/B447</f>
        <v>6.4822911272835682E-2</v>
      </c>
      <c r="F459" s="35">
        <f>VLOOKUP(Table143454[[#This Row],[Date]],'Data Core CPI'!$B:$AY,MATCH($B$2,'Data Core CPI'!$C$1:$AY$1,0),FALSE)</f>
        <v>48.984940000000002</v>
      </c>
      <c r="G459" s="36">
        <f t="shared" si="28"/>
        <v>5.3100795875731244E-3</v>
      </c>
      <c r="H459" s="36">
        <f t="shared" si="29"/>
        <v>6.5615290523992176E-2</v>
      </c>
      <c r="I459" s="36">
        <f>(Table143454[[#This Row],[Core CPI]]-F447)/F447</f>
        <v>6.6737078441257577E-2</v>
      </c>
    </row>
    <row r="460" spans="1:9" x14ac:dyDescent="0.2">
      <c r="A460" s="34">
        <f>IF(Data!B488="",#N/A,Data!B488)</f>
        <v>32660</v>
      </c>
      <c r="B460" s="35">
        <f>VLOOKUP(A460,Data!B:AY,MATCH($B$2,Data!$C$1:$AY$1,0),FALSE)</f>
        <v>48.748779999999996</v>
      </c>
      <c r="C460" s="36">
        <f t="shared" si="30"/>
        <v>4.0583509468454793E-3</v>
      </c>
      <c r="D460" s="36">
        <f t="shared" si="27"/>
        <v>4.9802085753188452E-2</v>
      </c>
      <c r="E460" s="36">
        <f>(Table143454[[#This Row],[JPN]]-B448)/B448</f>
        <v>6.5460702531007831E-2</v>
      </c>
      <c r="F460" s="35">
        <f>VLOOKUP(Table143454[[#This Row],[Date]],'Data Core CPI'!$B:$AY,MATCH($B$2,'Data Core CPI'!$C$1:$AY$1,0),FALSE)</f>
        <v>49.143149999999999</v>
      </c>
      <c r="G460" s="36">
        <f t="shared" si="28"/>
        <v>3.2297681695638847E-3</v>
      </c>
      <c r="H460" s="36">
        <f t="shared" si="29"/>
        <v>3.9453156760028918E-2</v>
      </c>
      <c r="I460" s="36">
        <f>(Table143454[[#This Row],[Core CPI]]-F448)/F448</f>
        <v>6.6980081926832996E-2</v>
      </c>
    </row>
    <row r="461" spans="1:9" x14ac:dyDescent="0.2">
      <c r="A461" s="34">
        <f>IF(Data!B489="",#N/A,Data!B489)</f>
        <v>32690</v>
      </c>
      <c r="B461" s="35">
        <f>VLOOKUP(A461,Data!B:AY,MATCH($B$2,Data!$C$1:$AY$1,0),FALSE)</f>
        <v>48.827599999999997</v>
      </c>
      <c r="C461" s="36">
        <f t="shared" si="30"/>
        <v>1.6168609758029362E-3</v>
      </c>
      <c r="D461" s="36">
        <f t="shared" si="27"/>
        <v>1.9575804812323794E-2</v>
      </c>
      <c r="E461" s="36">
        <f>(Table143454[[#This Row],[JPN]]-B449)/B449</f>
        <v>6.5348127192629307E-2</v>
      </c>
      <c r="F461" s="35">
        <f>VLOOKUP(Table143454[[#This Row],[Date]],'Data Core CPI'!$B:$AY,MATCH($B$2,'Data Core CPI'!$C$1:$AY$1,0),FALSE)</f>
        <v>49.236890000000002</v>
      </c>
      <c r="G461" s="36">
        <f t="shared" si="28"/>
        <v>1.9074886326986285E-3</v>
      </c>
      <c r="H461" s="36">
        <f t="shared" si="29"/>
        <v>2.3131538908790494E-2</v>
      </c>
      <c r="I461" s="36">
        <f>(Table143454[[#This Row],[Core CPI]]-F449)/F449</f>
        <v>6.6815143318464054E-2</v>
      </c>
    </row>
    <row r="462" spans="1:9" x14ac:dyDescent="0.2">
      <c r="A462" s="34">
        <f>IF(Data!B490="",#N/A,Data!B490)</f>
        <v>32721</v>
      </c>
      <c r="B462" s="35">
        <f>VLOOKUP(A462,Data!B:AY,MATCH($B$2,Data!$C$1:$AY$1,0),FALSE)</f>
        <v>48.945830000000001</v>
      </c>
      <c r="C462" s="36">
        <f t="shared" si="30"/>
        <v>2.4213764346394662E-3</v>
      </c>
      <c r="D462" s="36">
        <f t="shared" si="27"/>
        <v>2.9446619781601902E-2</v>
      </c>
      <c r="E462" s="36">
        <f>(Table143454[[#This Row],[JPN]]-B450)/B450</f>
        <v>6.3356229484655219E-2</v>
      </c>
      <c r="F462" s="35">
        <f>VLOOKUP(Table143454[[#This Row],[Date]],'Data Core CPI'!$B:$AY,MATCH($B$2,'Data Core CPI'!$C$1:$AY$1,0),FALSE)</f>
        <v>49.383769999999998</v>
      </c>
      <c r="G462" s="36">
        <f t="shared" si="28"/>
        <v>2.9831291131505733E-3</v>
      </c>
      <c r="H462" s="36">
        <f t="shared" si="29"/>
        <v>3.6390767009841563E-2</v>
      </c>
      <c r="I462" s="36">
        <f>(Table143454[[#This Row],[Core CPI]]-F450)/F450</f>
        <v>6.6068076353833355E-2</v>
      </c>
    </row>
    <row r="463" spans="1:9" x14ac:dyDescent="0.2">
      <c r="A463" s="34">
        <f>IF(Data!B491="",#N/A,Data!B491)</f>
        <v>32752</v>
      </c>
      <c r="B463" s="35">
        <f>VLOOKUP(A463,Data!B:AY,MATCH($B$2,Data!$C$1:$AY$1,0),FALSE)</f>
        <v>49.182279999999999</v>
      </c>
      <c r="C463" s="36">
        <f t="shared" si="30"/>
        <v>4.830850758889893E-3</v>
      </c>
      <c r="D463" s="36">
        <f t="shared" si="27"/>
        <v>5.9535533037919919E-2</v>
      </c>
      <c r="E463" s="36">
        <f>(Table143454[[#This Row],[JPN]]-B451)/B451</f>
        <v>6.3032207431672829E-2</v>
      </c>
      <c r="F463" s="35">
        <f>VLOOKUP(Table143454[[#This Row],[Date]],'Data Core CPI'!$B:$AY,MATCH($B$2,'Data Core CPI'!$C$1:$AY$1,0),FALSE)</f>
        <v>49.578270000000003</v>
      </c>
      <c r="G463" s="36">
        <f t="shared" si="28"/>
        <v>3.9385409416901052E-3</v>
      </c>
      <c r="H463" s="36">
        <f t="shared" si="29"/>
        <v>4.8299850990481286E-2</v>
      </c>
      <c r="I463" s="36">
        <f>(Table143454[[#This Row],[Core CPI]]-F451)/F451</f>
        <v>6.5910069138225391E-2</v>
      </c>
    </row>
    <row r="464" spans="1:9" x14ac:dyDescent="0.2">
      <c r="A464" s="34">
        <f>IF(Data!B492="",#N/A,Data!B492)</f>
        <v>32782</v>
      </c>
      <c r="B464" s="35">
        <f>VLOOKUP(A464,Data!B:AY,MATCH($B$2,Data!$C$1:$AY$1,0),FALSE)</f>
        <v>49.576369999999997</v>
      </c>
      <c r="C464" s="36">
        <f t="shared" si="30"/>
        <v>8.0128452767946889E-3</v>
      </c>
      <c r="D464" s="36">
        <f t="shared" si="27"/>
        <v>0.10050696926102565</v>
      </c>
      <c r="E464" s="36">
        <f>(Table143454[[#This Row],[JPN]]-B452)/B452</f>
        <v>6.4297690274852756E-2</v>
      </c>
      <c r="F464" s="35">
        <f>VLOOKUP(Table143454[[#This Row],[Date]],'Data Core CPI'!$B:$AY,MATCH($B$2,'Data Core CPI'!$C$1:$AY$1,0),FALSE)</f>
        <v>49.898589999999999</v>
      </c>
      <c r="G464" s="36">
        <f t="shared" si="28"/>
        <v>6.4608950655196118E-3</v>
      </c>
      <c r="H464" s="36">
        <f t="shared" si="29"/>
        <v>8.034599480279625E-2</v>
      </c>
      <c r="I464" s="36">
        <f>(Table143454[[#This Row],[Core CPI]]-F452)/F452</f>
        <v>6.4354754557977345E-2</v>
      </c>
    </row>
    <row r="465" spans="1:9" x14ac:dyDescent="0.2">
      <c r="A465" s="34">
        <f>IF(Data!B493="",#N/A,Data!B493)</f>
        <v>32813</v>
      </c>
      <c r="B465" s="35">
        <f>VLOOKUP(A465,Data!B:AY,MATCH($B$2,Data!$C$1:$AY$1,0),FALSE)</f>
        <v>49.852229999999999</v>
      </c>
      <c r="C465" s="36">
        <f t="shared" si="30"/>
        <v>5.5643444649133844E-3</v>
      </c>
      <c r="D465" s="36">
        <f t="shared" si="27"/>
        <v>6.8854001918749574E-2</v>
      </c>
      <c r="E465" s="36">
        <f>(Table143454[[#This Row],[JPN]]-B453)/B453</f>
        <v>6.3025078379932736E-2</v>
      </c>
      <c r="F465" s="35">
        <f>VLOOKUP(Table143454[[#This Row],[Date]],'Data Core CPI'!$B:$AY,MATCH($B$2,'Data Core CPI'!$C$1:$AY$1,0),FALSE)</f>
        <v>50.171840000000003</v>
      </c>
      <c r="G465" s="36">
        <f t="shared" si="28"/>
        <v>5.4761066394863889E-3</v>
      </c>
      <c r="H465" s="36">
        <f t="shared" si="29"/>
        <v>6.7729047372700357E-2</v>
      </c>
      <c r="I465" s="36">
        <f>(Table143454[[#This Row],[Core CPI]]-F453)/F453</f>
        <v>6.1065831887824364E-2</v>
      </c>
    </row>
    <row r="466" spans="1:9" x14ac:dyDescent="0.2">
      <c r="A466" s="34">
        <f>IF(Data!B494="",#N/A,Data!B494)</f>
        <v>32843</v>
      </c>
      <c r="B466" s="35">
        <f>VLOOKUP(A466,Data!B:AY,MATCH($B$2,Data!$C$1:$AY$1,0),FALSE)</f>
        <v>50.049280000000003</v>
      </c>
      <c r="C466" s="36">
        <f t="shared" si="30"/>
        <v>3.9526817556607696E-3</v>
      </c>
      <c r="D466" s="36">
        <f t="shared" si="27"/>
        <v>4.847705261411428E-2</v>
      </c>
      <c r="E466" s="36">
        <f>(Table143454[[#This Row],[JPN]]-B454)/B454</f>
        <v>6.2761593345679059E-2</v>
      </c>
      <c r="F466" s="35">
        <f>VLOOKUP(Table143454[[#This Row],[Date]],'Data Core CPI'!$B:$AY,MATCH($B$2,'Data Core CPI'!$C$1:$AY$1,0),FALSE)</f>
        <v>50.288930000000001</v>
      </c>
      <c r="G466" s="36">
        <f t="shared" si="28"/>
        <v>2.3337792674136271E-3</v>
      </c>
      <c r="H466" s="36">
        <f t="shared" si="29"/>
        <v>2.8367633059606545E-2</v>
      </c>
      <c r="I466" s="36">
        <f>(Table143454[[#This Row],[Core CPI]]-F454)/F454</f>
        <v>5.9713793219710438E-2</v>
      </c>
    </row>
    <row r="467" spans="1:9" x14ac:dyDescent="0.2">
      <c r="A467" s="34">
        <f>IF(Data!B495="",#N/A,Data!B495)</f>
        <v>32874</v>
      </c>
      <c r="B467" s="35">
        <f>VLOOKUP(A467,Data!B:AY,MATCH($B$2,Data!$C$1:$AY$1,0),FALSE)</f>
        <v>50.522179999999999</v>
      </c>
      <c r="C467" s="36">
        <f t="shared" si="30"/>
        <v>9.4486873737242849E-3</v>
      </c>
      <c r="D467" s="36">
        <f t="shared" si="27"/>
        <v>0.11946616448065006</v>
      </c>
      <c r="E467" s="36">
        <f>(Table143454[[#This Row],[JPN]]-B455)/B455</f>
        <v>6.5669132027586286E-2</v>
      </c>
      <c r="F467" s="35">
        <f>VLOOKUP(Table143454[[#This Row],[Date]],'Data Core CPI'!$B:$AY,MATCH($B$2,'Data Core CPI'!$C$1:$AY$1,0),FALSE)</f>
        <v>50.794260000000001</v>
      </c>
      <c r="G467" s="36">
        <f t="shared" si="28"/>
        <v>1.0048533544062321E-2</v>
      </c>
      <c r="H467" s="36">
        <f t="shared" si="29"/>
        <v>0.12747496995404761</v>
      </c>
      <c r="I467" s="36">
        <f>(Table143454[[#This Row],[Core CPI]]-F455)/F455</f>
        <v>6.3382008097271042E-2</v>
      </c>
    </row>
    <row r="468" spans="1:9" x14ac:dyDescent="0.2">
      <c r="A468" s="34">
        <f>IF(Data!B496="",#N/A,Data!B496)</f>
        <v>32905</v>
      </c>
      <c r="B468" s="35">
        <f>VLOOKUP(A468,Data!B:AY,MATCH($B$2,Data!$C$1:$AY$1,0),FALSE)</f>
        <v>50.916269999999997</v>
      </c>
      <c r="C468" s="36">
        <f t="shared" si="30"/>
        <v>7.8003364067029679E-3</v>
      </c>
      <c r="D468" s="36">
        <f t="shared" si="27"/>
        <v>9.7726093843311768E-2</v>
      </c>
      <c r="E468" s="36">
        <f>(Table143454[[#This Row],[JPN]]-B456)/B456</f>
        <v>6.5127752522489604E-2</v>
      </c>
      <c r="F468" s="35">
        <f>VLOOKUP(Table143454[[#This Row],[Date]],'Data Core CPI'!$B:$AY,MATCH($B$2,'Data Core CPI'!$C$1:$AY$1,0),FALSE)</f>
        <v>51.177970000000002</v>
      </c>
      <c r="G468" s="36">
        <f t="shared" si="28"/>
        <v>7.5542000218133953E-3</v>
      </c>
      <c r="H468" s="36">
        <f t="shared" si="29"/>
        <v>9.4513223054308426E-2</v>
      </c>
      <c r="I468" s="36">
        <f>(Table143454[[#This Row],[Core CPI]]-F456)/F456</f>
        <v>6.1757616722246243E-2</v>
      </c>
    </row>
    <row r="469" spans="1:9" x14ac:dyDescent="0.2">
      <c r="A469" s="34">
        <f>IF(Data!B497="",#N/A,Data!B497)</f>
        <v>32933</v>
      </c>
      <c r="B469" s="35">
        <f>VLOOKUP(A469,Data!B:AY,MATCH($B$2,Data!$C$1:$AY$1,0),FALSE)</f>
        <v>51.113320000000002</v>
      </c>
      <c r="C469" s="36">
        <f t="shared" si="30"/>
        <v>3.8700792497172731E-3</v>
      </c>
      <c r="D469" s="36">
        <f t="shared" si="27"/>
        <v>4.7442330729008386E-2</v>
      </c>
      <c r="E469" s="36">
        <f>(Table143454[[#This Row],[JPN]]-B457)/B457</f>
        <v>6.3114888611058087E-2</v>
      </c>
      <c r="F469" s="35">
        <f>VLOOKUP(Table143454[[#This Row],[Date]],'Data Core CPI'!$B:$AY,MATCH($B$2,'Data Core CPI'!$C$1:$AY$1,0),FALSE)</f>
        <v>51.489310000000003</v>
      </c>
      <c r="G469" s="36">
        <f t="shared" si="28"/>
        <v>6.0834769335320615E-3</v>
      </c>
      <c r="H469" s="36">
        <f t="shared" si="29"/>
        <v>7.5494512602400254E-2</v>
      </c>
      <c r="I469" s="36">
        <f>(Table143454[[#This Row],[Core CPI]]-F457)/F457</f>
        <v>6.2064682235435882E-2</v>
      </c>
    </row>
    <row r="470" spans="1:9" x14ac:dyDescent="0.2">
      <c r="A470" s="34">
        <f>IF(Data!B498="",#N/A,Data!B498)</f>
        <v>32964</v>
      </c>
      <c r="B470" s="35">
        <f>VLOOKUP(A470,Data!B:AY,MATCH($B$2,Data!$C$1:$AY$1,0),FALSE)</f>
        <v>51.310360000000003</v>
      </c>
      <c r="C470" s="36">
        <f t="shared" si="30"/>
        <v>3.854963833302083E-3</v>
      </c>
      <c r="D470" s="36">
        <f t="shared" si="27"/>
        <v>4.725308852047938E-2</v>
      </c>
      <c r="E470" s="36">
        <f>(Table143454[[#This Row],[JPN]]-B458)/B458</f>
        <v>6.1990326869677696E-2</v>
      </c>
      <c r="F470" s="35">
        <f>VLOOKUP(Table143454[[#This Row],[Date]],'Data Core CPI'!$B:$AY,MATCH($B$2,'Data Core CPI'!$C$1:$AY$1,0),FALSE)</f>
        <v>51.669060000000002</v>
      </c>
      <c r="G470" s="36">
        <f t="shared" si="28"/>
        <v>3.4910159021357412E-3</v>
      </c>
      <c r="H470" s="36">
        <f t="shared" si="29"/>
        <v>4.2705979482924761E-2</v>
      </c>
      <c r="I470" s="36">
        <f>(Table143454[[#This Row],[Core CPI]]-F458)/F458</f>
        <v>6.0395844535383492E-2</v>
      </c>
    </row>
    <row r="471" spans="1:9" x14ac:dyDescent="0.2">
      <c r="A471" s="34">
        <f>IF(Data!B499="",#N/A,Data!B499)</f>
        <v>32994</v>
      </c>
      <c r="B471" s="35">
        <f>VLOOKUP(A471,Data!B:AY,MATCH($B$2,Data!$C$1:$AY$1,0),FALSE)</f>
        <v>51.46799</v>
      </c>
      <c r="C471" s="36">
        <f t="shared" si="30"/>
        <v>3.0720891453499544E-3</v>
      </c>
      <c r="D471" s="36">
        <f t="shared" si="27"/>
        <v>3.7494382926748893E-2</v>
      </c>
      <c r="E471" s="36">
        <f>(Table143454[[#This Row],[JPN]]-B459)/B459</f>
        <v>6.006478861519686E-2</v>
      </c>
      <c r="F471" s="35">
        <f>VLOOKUP(Table143454[[#This Row],[Date]],'Data Core CPI'!$B:$AY,MATCH($B$2,'Data Core CPI'!$C$1:$AY$1,0),FALSE)</f>
        <v>51.821530000000003</v>
      </c>
      <c r="G471" s="36">
        <f t="shared" si="28"/>
        <v>2.95089556496686E-3</v>
      </c>
      <c r="H471" s="36">
        <f t="shared" si="29"/>
        <v>3.5991151344861416E-2</v>
      </c>
      <c r="I471" s="36">
        <f>(Table143454[[#This Row],[Core CPI]]-F459)/F459</f>
        <v>5.7907389495628674E-2</v>
      </c>
    </row>
    <row r="472" spans="1:9" x14ac:dyDescent="0.2">
      <c r="A472" s="34">
        <f>IF(Data!B500="",#N/A,Data!B500)</f>
        <v>33025</v>
      </c>
      <c r="B472" s="35">
        <f>VLOOKUP(A472,Data!B:AY,MATCH($B$2,Data!$C$1:$AY$1,0),FALSE)</f>
        <v>51.704450000000001</v>
      </c>
      <c r="C472" s="36">
        <f t="shared" si="30"/>
        <v>4.5943119208657901E-3</v>
      </c>
      <c r="D472" s="36">
        <f t="shared" si="27"/>
        <v>5.6546408134625858E-2</v>
      </c>
      <c r="E472" s="36">
        <f>(Table143454[[#This Row],[JPN]]-B460)/B460</f>
        <v>6.0630645525898391E-2</v>
      </c>
      <c r="F472" s="35">
        <f>VLOOKUP(Table143454[[#This Row],[Date]],'Data Core CPI'!$B:$AY,MATCH($B$2,'Data Core CPI'!$C$1:$AY$1,0),FALSE)</f>
        <v>52.035150000000002</v>
      </c>
      <c r="G472" s="36">
        <f t="shared" si="28"/>
        <v>4.1222248744874346E-3</v>
      </c>
      <c r="H472" s="36">
        <f t="shared" si="29"/>
        <v>5.0603773611494596E-2</v>
      </c>
      <c r="I472" s="36">
        <f>(Table143454[[#This Row],[Core CPI]]-F460)/F460</f>
        <v>5.8848486513379851E-2</v>
      </c>
    </row>
    <row r="473" spans="1:9" x14ac:dyDescent="0.2">
      <c r="A473" s="34">
        <f>IF(Data!B501="",#N/A,Data!B501)</f>
        <v>33055</v>
      </c>
      <c r="B473" s="35">
        <f>VLOOKUP(A473,Data!B:AY,MATCH($B$2,Data!$C$1:$AY$1,0),FALSE)</f>
        <v>51.862079999999999</v>
      </c>
      <c r="C473" s="36">
        <f t="shared" si="30"/>
        <v>3.0486737601889136E-3</v>
      </c>
      <c r="D473" s="36">
        <f t="shared" si="27"/>
        <v>3.7203793103040228E-2</v>
      </c>
      <c r="E473" s="36">
        <f>(Table143454[[#This Row],[JPN]]-B461)/B461</f>
        <v>6.2146818602593662E-2</v>
      </c>
      <c r="F473" s="35">
        <f>VLOOKUP(Table143454[[#This Row],[Date]],'Data Core CPI'!$B:$AY,MATCH($B$2,'Data Core CPI'!$C$1:$AY$1,0),FALSE)</f>
        <v>52.216209999999997</v>
      </c>
      <c r="G473" s="36">
        <f t="shared" si="28"/>
        <v>3.4795710207427E-3</v>
      </c>
      <c r="H473" s="36">
        <f t="shared" si="29"/>
        <v>4.2563282866450391E-2</v>
      </c>
      <c r="I473" s="36">
        <f>(Table143454[[#This Row],[Core CPI]]-F461)/F461</f>
        <v>6.0509914415796652E-2</v>
      </c>
    </row>
    <row r="474" spans="1:9" x14ac:dyDescent="0.2">
      <c r="A474" s="34">
        <f>IF(Data!B502="",#N/A,Data!B502)</f>
        <v>33086</v>
      </c>
      <c r="B474" s="35">
        <f>VLOOKUP(A474,Data!B:AY,MATCH($B$2,Data!$C$1:$AY$1,0),FALSE)</f>
        <v>52.216769999999997</v>
      </c>
      <c r="C474" s="36">
        <f t="shared" si="30"/>
        <v>6.8391009384891621E-3</v>
      </c>
      <c r="D474" s="36">
        <f t="shared" si="27"/>
        <v>8.5227719260748236E-2</v>
      </c>
      <c r="E474" s="36">
        <f>(Table143454[[#This Row],[JPN]]-B462)/B462</f>
        <v>6.6827756317545256E-2</v>
      </c>
      <c r="F474" s="35">
        <f>VLOOKUP(Table143454[[#This Row],[Date]],'Data Core CPI'!$B:$AY,MATCH($B$2,'Data Core CPI'!$C$1:$AY$1,0),FALSE)</f>
        <v>52.464449999999999</v>
      </c>
      <c r="G474" s="36">
        <f t="shared" si="28"/>
        <v>4.7540792409102028E-3</v>
      </c>
      <c r="H474" s="36">
        <f t="shared" si="29"/>
        <v>5.8564528071564537E-2</v>
      </c>
      <c r="I474" s="36">
        <f>(Table143454[[#This Row],[Core CPI]]-F462)/F462</f>
        <v>6.2382438602804138E-2</v>
      </c>
    </row>
    <row r="475" spans="1:9" x14ac:dyDescent="0.2">
      <c r="A475" s="34">
        <f>IF(Data!B503="",#N/A,Data!B503)</f>
        <v>33117</v>
      </c>
      <c r="B475" s="35">
        <f>VLOOKUP(A475,Data!B:AY,MATCH($B$2,Data!$C$1:$AY$1,0),FALSE)</f>
        <v>52.492629999999998</v>
      </c>
      <c r="C475" s="36">
        <f t="shared" si="30"/>
        <v>5.2829770972047108E-3</v>
      </c>
      <c r="D475" s="36">
        <f t="shared" si="27"/>
        <v>6.527060229166759E-2</v>
      </c>
      <c r="E475" s="36">
        <f>(Table143454[[#This Row],[JPN]]-B463)/B463</f>
        <v>6.7307778329918813E-2</v>
      </c>
      <c r="F475" s="35">
        <f>VLOOKUP(Table143454[[#This Row],[Date]],'Data Core CPI'!$B:$AY,MATCH($B$2,'Data Core CPI'!$C$1:$AY$1,0),FALSE)</f>
        <v>52.675690000000003</v>
      </c>
      <c r="G475" s="36">
        <f t="shared" si="28"/>
        <v>4.026345458686853E-3</v>
      </c>
      <c r="H475" s="36">
        <f t="shared" si="29"/>
        <v>4.9400592694010648E-2</v>
      </c>
      <c r="I475" s="36">
        <f>(Table143454[[#This Row],[Core CPI]]-F463)/F463</f>
        <v>6.2475354626129541E-2</v>
      </c>
    </row>
    <row r="476" spans="1:9" x14ac:dyDescent="0.2">
      <c r="A476" s="34">
        <f>IF(Data!B504="",#N/A,Data!B504)</f>
        <v>33147</v>
      </c>
      <c r="B476" s="35">
        <f>VLOOKUP(A476,Data!B:AY,MATCH($B$2,Data!$C$1:$AY$1,0),FALSE)</f>
        <v>52.926119999999997</v>
      </c>
      <c r="C476" s="36">
        <f t="shared" si="30"/>
        <v>8.2581116625324302E-3</v>
      </c>
      <c r="D476" s="36">
        <f t="shared" si="27"/>
        <v>0.10372453390986069</v>
      </c>
      <c r="E476" s="36">
        <f>(Table143454[[#This Row],[JPN]]-B464)/B464</f>
        <v>6.7567472164662329E-2</v>
      </c>
      <c r="F476" s="35">
        <f>VLOOKUP(Table143454[[#This Row],[Date]],'Data Core CPI'!$B:$AY,MATCH($B$2,'Data Core CPI'!$C$1:$AY$1,0),FALSE)</f>
        <v>53.024000000000001</v>
      </c>
      <c r="G476" s="36">
        <f t="shared" si="28"/>
        <v>6.612348124912959E-3</v>
      </c>
      <c r="H476" s="36">
        <f t="shared" si="29"/>
        <v>8.2298466424594485E-2</v>
      </c>
      <c r="I476" s="36">
        <f>(Table143454[[#This Row],[Core CPI]]-F464)/F464</f>
        <v>6.2635236787251955E-2</v>
      </c>
    </row>
    <row r="477" spans="1:9" x14ac:dyDescent="0.2">
      <c r="A477" s="34">
        <f>IF(Data!B505="",#N/A,Data!B505)</f>
        <v>33178</v>
      </c>
      <c r="B477" s="35">
        <f>VLOOKUP(A477,Data!B:AY,MATCH($B$2,Data!$C$1:$AY$1,0),FALSE)</f>
        <v>53.241399999999999</v>
      </c>
      <c r="C477" s="36">
        <f t="shared" si="30"/>
        <v>5.9569830548698022E-3</v>
      </c>
      <c r="D477" s="36">
        <f t="shared" si="27"/>
        <v>7.387298389766328E-2</v>
      </c>
      <c r="E477" s="36">
        <f>(Table143454[[#This Row],[JPN]]-B465)/B465</f>
        <v>6.7984320861875183E-2</v>
      </c>
      <c r="F477" s="35">
        <f>VLOOKUP(Table143454[[#This Row],[Date]],'Data Core CPI'!$B:$AY,MATCH($B$2,'Data Core CPI'!$C$1:$AY$1,0),FALSE)</f>
        <v>53.405329999999999</v>
      </c>
      <c r="G477" s="36">
        <f t="shared" si="28"/>
        <v>7.1916490645744791E-3</v>
      </c>
      <c r="H477" s="36">
        <f t="shared" si="29"/>
        <v>8.979646527711127E-2</v>
      </c>
      <c r="I477" s="36">
        <f>(Table143454[[#This Row],[Core CPI]]-F465)/F465</f>
        <v>6.4448304068577031E-2</v>
      </c>
    </row>
    <row r="478" spans="1:9" x14ac:dyDescent="0.2">
      <c r="A478" s="34">
        <f>IF(Data!B506="",#N/A,Data!B506)</f>
        <v>33208</v>
      </c>
      <c r="B478" s="35">
        <f>VLOOKUP(A478,Data!B:AY,MATCH($B$2,Data!$C$1:$AY$1,0),FALSE)</f>
        <v>53.35962</v>
      </c>
      <c r="C478" s="36">
        <f t="shared" si="30"/>
        <v>2.2204525050055768E-3</v>
      </c>
      <c r="D478" s="36">
        <f t="shared" si="27"/>
        <v>2.697325765417502E-2</v>
      </c>
      <c r="E478" s="36">
        <f>(Table143454[[#This Row],[JPN]]-B466)/B466</f>
        <v>6.6141610828367489E-2</v>
      </c>
      <c r="F478" s="35">
        <f>VLOOKUP(Table143454[[#This Row],[Date]],'Data Core CPI'!$B:$AY,MATCH($B$2,'Data Core CPI'!$C$1:$AY$1,0),FALSE)</f>
        <v>53.53078</v>
      </c>
      <c r="G478" s="36">
        <f t="shared" si="28"/>
        <v>2.3490164745729736E-3</v>
      </c>
      <c r="H478" s="36">
        <f t="shared" si="29"/>
        <v>2.8555244346384123E-2</v>
      </c>
      <c r="I478" s="36">
        <f>(Table143454[[#This Row],[Core CPI]]-F466)/F466</f>
        <v>6.4464485523951287E-2</v>
      </c>
    </row>
    <row r="479" spans="1:9" x14ac:dyDescent="0.2">
      <c r="A479" s="34">
        <f>IF(Data!B507="",#N/A,Data!B507)</f>
        <v>33239</v>
      </c>
      <c r="B479" s="35">
        <f>VLOOKUP(A479,Data!B:AY,MATCH($B$2,Data!$C$1:$AY$1,0),FALSE)</f>
        <v>53.693309999999997</v>
      </c>
      <c r="C479" s="36">
        <f t="shared" si="30"/>
        <v>6.2536052543102905E-3</v>
      </c>
      <c r="D479" s="36">
        <f t="shared" si="27"/>
        <v>7.7678931868292445E-2</v>
      </c>
      <c r="E479" s="36">
        <f>(Table143454[[#This Row],[JPN]]-B467)/B467</f>
        <v>6.2767085664157757E-2</v>
      </c>
      <c r="F479" s="35">
        <f>VLOOKUP(Table143454[[#This Row],[Date]],'Data Core CPI'!$B:$AY,MATCH($B$2,'Data Core CPI'!$C$1:$AY$1,0),FALSE)</f>
        <v>53.604259999999996</v>
      </c>
      <c r="G479" s="36">
        <f t="shared" si="28"/>
        <v>1.3726682107004784E-3</v>
      </c>
      <c r="H479" s="36">
        <f t="shared" si="29"/>
        <v>1.6596947688117814E-2</v>
      </c>
      <c r="I479" s="36">
        <f>(Table143454[[#This Row],[Core CPI]]-F467)/F467</f>
        <v>5.5321211491219581E-2</v>
      </c>
    </row>
    <row r="480" spans="1:9" x14ac:dyDescent="0.2">
      <c r="A480" s="34">
        <f>IF(Data!B508="",#N/A,Data!B508)</f>
        <v>33270</v>
      </c>
      <c r="B480" s="35">
        <f>VLOOKUP(A480,Data!B:AY,MATCH($B$2,Data!$C$1:$AY$1,0),FALSE)</f>
        <v>54.108730000000001</v>
      </c>
      <c r="C480" s="36">
        <f t="shared" si="30"/>
        <v>7.7369042809989352E-3</v>
      </c>
      <c r="D480" s="36">
        <f t="shared" si="27"/>
        <v>9.6897274909974573E-2</v>
      </c>
      <c r="E480" s="36">
        <f>(Table143454[[#This Row],[JPN]]-B468)/B468</f>
        <v>6.2700193867304188E-2</v>
      </c>
      <c r="F480" s="35">
        <f>VLOOKUP(Table143454[[#This Row],[Date]],'Data Core CPI'!$B:$AY,MATCH($B$2,'Data Core CPI'!$C$1:$AY$1,0),FALSE)</f>
        <v>54.032049999999998</v>
      </c>
      <c r="G480" s="36">
        <f t="shared" si="28"/>
        <v>7.9805224435520739E-3</v>
      </c>
      <c r="H480" s="36">
        <f t="shared" si="29"/>
        <v>0.10008357905590382</v>
      </c>
      <c r="I480" s="36">
        <f>(Table143454[[#This Row],[Core CPI]]-F468)/F468</f>
        <v>5.576774537950599E-2</v>
      </c>
    </row>
    <row r="481" spans="1:9" x14ac:dyDescent="0.2">
      <c r="A481" s="34">
        <f>IF(Data!B509="",#N/A,Data!B509)</f>
        <v>33298</v>
      </c>
      <c r="B481" s="35">
        <f>VLOOKUP(A481,Data!B:AY,MATCH($B$2,Data!$C$1:$AY$1,0),FALSE)</f>
        <v>54.420299999999997</v>
      </c>
      <c r="C481" s="36">
        <f t="shared" si="30"/>
        <v>5.7582205311415002E-3</v>
      </c>
      <c r="D481" s="36">
        <f t="shared" si="27"/>
        <v>7.1329568165708013E-2</v>
      </c>
      <c r="E481" s="36">
        <f>(Table143454[[#This Row],[JPN]]-B469)/B469</f>
        <v>6.469898648727955E-2</v>
      </c>
      <c r="F481" s="35">
        <f>VLOOKUP(Table143454[[#This Row],[Date]],'Data Core CPI'!$B:$AY,MATCH($B$2,'Data Core CPI'!$C$1:$AY$1,0),FALSE)</f>
        <v>54.361579999999996</v>
      </c>
      <c r="G481" s="36">
        <f t="shared" si="28"/>
        <v>6.0987876639881922E-3</v>
      </c>
      <c r="H481" s="36">
        <f t="shared" si="29"/>
        <v>7.569093349934386E-2</v>
      </c>
      <c r="I481" s="36">
        <f>(Table143454[[#This Row],[Core CPI]]-F469)/F469</f>
        <v>5.5783812212670807E-2</v>
      </c>
    </row>
    <row r="482" spans="1:9" x14ac:dyDescent="0.2">
      <c r="A482" s="34">
        <f>IF(Data!B510="",#N/A,Data!B510)</f>
        <v>33329</v>
      </c>
      <c r="B482" s="35">
        <f>VLOOKUP(A482,Data!B:AY,MATCH($B$2,Data!$C$1:$AY$1,0),FALSE)</f>
        <v>54.628010000000003</v>
      </c>
      <c r="C482" s="36">
        <f t="shared" si="30"/>
        <v>3.8167742551953321E-3</v>
      </c>
      <c r="D482" s="36">
        <f t="shared" si="27"/>
        <v>4.6775101704814137E-2</v>
      </c>
      <c r="E482" s="36">
        <f>(Table143454[[#This Row],[JPN]]-B470)/B470</f>
        <v>6.4658482224642364E-2</v>
      </c>
      <c r="F482" s="35">
        <f>VLOOKUP(Table143454[[#This Row],[Date]],'Data Core CPI'!$B:$AY,MATCH($B$2,'Data Core CPI'!$C$1:$AY$1,0),FALSE)</f>
        <v>54.572380000000003</v>
      </c>
      <c r="G482" s="36">
        <f t="shared" si="28"/>
        <v>3.8777386529238456E-3</v>
      </c>
      <c r="H482" s="36">
        <f t="shared" si="29"/>
        <v>4.7538237002040962E-2</v>
      </c>
      <c r="I482" s="36">
        <f>(Table143454[[#This Row],[Core CPI]]-F470)/F470</f>
        <v>5.6190687424930913E-2</v>
      </c>
    </row>
    <row r="483" spans="1:9" x14ac:dyDescent="0.2">
      <c r="A483" s="34">
        <f>IF(Data!B511="",#N/A,Data!B511)</f>
        <v>33359</v>
      </c>
      <c r="B483" s="35">
        <f>VLOOKUP(A483,Data!B:AY,MATCH($B$2,Data!$C$1:$AY$1,0),FALSE)</f>
        <v>54.835720000000002</v>
      </c>
      <c r="C483" s="36">
        <f t="shared" si="30"/>
        <v>3.8022618799402608E-3</v>
      </c>
      <c r="D483" s="36">
        <f t="shared" si="27"/>
        <v>4.6593514957789406E-2</v>
      </c>
      <c r="E483" s="36">
        <f>(Table143454[[#This Row],[JPN]]-B471)/B471</f>
        <v>6.543348593951312E-2</v>
      </c>
      <c r="F483" s="35">
        <f>VLOOKUP(Table143454[[#This Row],[Date]],'Data Core CPI'!$B:$AY,MATCH($B$2,'Data Core CPI'!$C$1:$AY$1,0),FALSE)</f>
        <v>55.015540000000001</v>
      </c>
      <c r="G483" s="36">
        <f t="shared" si="28"/>
        <v>8.1205914053958939E-3</v>
      </c>
      <c r="H483" s="36">
        <f t="shared" si="29"/>
        <v>0.10191939292762453</v>
      </c>
      <c r="I483" s="36">
        <f>(Table143454[[#This Row],[Core CPI]]-F471)/F471</f>
        <v>6.163480700010205E-2</v>
      </c>
    </row>
    <row r="484" spans="1:9" x14ac:dyDescent="0.2">
      <c r="A484" s="34">
        <f>IF(Data!B512="",#N/A,Data!B512)</f>
        <v>33390</v>
      </c>
      <c r="B484" s="35">
        <f>VLOOKUP(A484,Data!B:AY,MATCH($B$2,Data!$C$1:$AY$1,0),FALSE)</f>
        <v>55.095359999999999</v>
      </c>
      <c r="C484" s="36">
        <f t="shared" si="30"/>
        <v>4.7348698986717785E-3</v>
      </c>
      <c r="D484" s="36">
        <f t="shared" si="27"/>
        <v>5.8321696230348774E-2</v>
      </c>
      <c r="E484" s="36">
        <f>(Table143454[[#This Row],[JPN]]-B472)/B472</f>
        <v>6.5582556240323567E-2</v>
      </c>
      <c r="F484" s="35">
        <f>VLOOKUP(Table143454[[#This Row],[Date]],'Data Core CPI'!$B:$AY,MATCH($B$2,'Data Core CPI'!$C$1:$AY$1,0),FALSE)</f>
        <v>55.265219999999999</v>
      </c>
      <c r="G484" s="36">
        <f t="shared" si="28"/>
        <v>4.5383540723220595E-3</v>
      </c>
      <c r="H484" s="36">
        <f t="shared" si="29"/>
        <v>5.5840404281650047E-2</v>
      </c>
      <c r="I484" s="36">
        <f>(Table143454[[#This Row],[Core CPI]]-F472)/F472</f>
        <v>6.207477061178833E-2</v>
      </c>
    </row>
    <row r="485" spans="1:9" x14ac:dyDescent="0.2">
      <c r="A485" s="34">
        <f>IF(Data!B513="",#N/A,Data!B513)</f>
        <v>33420</v>
      </c>
      <c r="B485" s="35">
        <f>VLOOKUP(A485,Data!B:AY,MATCH($B$2,Data!$C$1:$AY$1,0),FALSE)</f>
        <v>55.303069999999998</v>
      </c>
      <c r="C485" s="36">
        <f t="shared" si="30"/>
        <v>3.770008944491865E-3</v>
      </c>
      <c r="D485" s="36">
        <f t="shared" si="27"/>
        <v>4.6190052048216579E-2</v>
      </c>
      <c r="E485" s="36">
        <f>(Table143454[[#This Row],[JPN]]-B473)/B473</f>
        <v>6.6348862213008022E-2</v>
      </c>
      <c r="F485" s="35">
        <f>VLOOKUP(Table143454[[#This Row],[Date]],'Data Core CPI'!$B:$AY,MATCH($B$2,'Data Core CPI'!$C$1:$AY$1,0),FALSE)</f>
        <v>55.462739999999997</v>
      </c>
      <c r="G485" s="36">
        <f t="shared" si="28"/>
        <v>3.5740380658937365E-3</v>
      </c>
      <c r="H485" s="36">
        <f t="shared" si="29"/>
        <v>4.3741649246997749E-2</v>
      </c>
      <c r="I485" s="36">
        <f>(Table143454[[#This Row],[Core CPI]]-F473)/F473</f>
        <v>6.2174753778568001E-2</v>
      </c>
    </row>
    <row r="486" spans="1:9" x14ac:dyDescent="0.2">
      <c r="A486" s="34">
        <f>IF(Data!B514="",#N/A,Data!B514)</f>
        <v>33451</v>
      </c>
      <c r="B486" s="35">
        <f>VLOOKUP(A486,Data!B:AY,MATCH($B$2,Data!$C$1:$AY$1,0),FALSE)</f>
        <v>55.458849999999998</v>
      </c>
      <c r="C486" s="36">
        <f t="shared" si="30"/>
        <v>2.8168418136642615E-3</v>
      </c>
      <c r="D486" s="36">
        <f t="shared" si="27"/>
        <v>3.4330733635543398E-2</v>
      </c>
      <c r="E486" s="36">
        <f>(Table143454[[#This Row],[JPN]]-B474)/B474</f>
        <v>6.208886532047083E-2</v>
      </c>
      <c r="F486" s="35">
        <f>VLOOKUP(Table143454[[#This Row],[Date]],'Data Core CPI'!$B:$AY,MATCH($B$2,'Data Core CPI'!$C$1:$AY$1,0),FALSE)</f>
        <v>55.606000000000002</v>
      </c>
      <c r="G486" s="36">
        <f t="shared" si="28"/>
        <v>2.5829953586860022E-3</v>
      </c>
      <c r="H486" s="36">
        <f t="shared" si="29"/>
        <v>3.1440100868615151E-2</v>
      </c>
      <c r="I486" s="36">
        <f>(Table143454[[#This Row],[Core CPI]]-F474)/F474</f>
        <v>5.9879594658859517E-2</v>
      </c>
    </row>
    <row r="487" spans="1:9" x14ac:dyDescent="0.2">
      <c r="A487" s="34">
        <f>IF(Data!B515="",#N/A,Data!B515)</f>
        <v>33482</v>
      </c>
      <c r="B487" s="35">
        <f>VLOOKUP(A487,Data!B:AY,MATCH($B$2,Data!$C$1:$AY$1,0),FALSE)</f>
        <v>55.718490000000003</v>
      </c>
      <c r="C487" s="36">
        <f t="shared" si="30"/>
        <v>4.6816693818931832E-3</v>
      </c>
      <c r="D487" s="36">
        <f t="shared" si="27"/>
        <v>5.76494368845617E-2</v>
      </c>
      <c r="E487" s="36">
        <f>(Table143454[[#This Row],[JPN]]-B475)/B475</f>
        <v>6.1453579292940826E-2</v>
      </c>
      <c r="F487" s="35">
        <f>VLOOKUP(Table143454[[#This Row],[Date]],'Data Core CPI'!$B:$AY,MATCH($B$2,'Data Core CPI'!$C$1:$AY$1,0),FALSE)</f>
        <v>55.838299999999997</v>
      </c>
      <c r="G487" s="36">
        <f t="shared" si="28"/>
        <v>4.1776067330863143E-3</v>
      </c>
      <c r="H487" s="36">
        <f t="shared" si="29"/>
        <v>5.1299330885184791E-2</v>
      </c>
      <c r="I487" s="36">
        <f>(Table143454[[#This Row],[Core CPI]]-F475)/F475</f>
        <v>6.0039270487012006E-2</v>
      </c>
    </row>
    <row r="488" spans="1:9" x14ac:dyDescent="0.2">
      <c r="A488" s="34">
        <f>IF(Data!B516="",#N/A,Data!B516)</f>
        <v>33512</v>
      </c>
      <c r="B488" s="35">
        <f>VLOOKUP(A488,Data!B:AY,MATCH($B$2,Data!$C$1:$AY$1,0),FALSE)</f>
        <v>55.97813</v>
      </c>
      <c r="C488" s="36">
        <f t="shared" si="30"/>
        <v>4.6598534884918497E-3</v>
      </c>
      <c r="D488" s="36">
        <f t="shared" si="27"/>
        <v>5.7373877220598057E-2</v>
      </c>
      <c r="E488" s="36">
        <f>(Table143454[[#This Row],[JPN]]-B476)/B476</f>
        <v>5.766547783967544E-2</v>
      </c>
      <c r="F488" s="35">
        <f>VLOOKUP(Table143454[[#This Row],[Date]],'Data Core CPI'!$B:$AY,MATCH($B$2,'Data Core CPI'!$C$1:$AY$1,0),FALSE)</f>
        <v>56.082880000000003</v>
      </c>
      <c r="G488" s="36">
        <f t="shared" si="28"/>
        <v>4.3801476764158132E-3</v>
      </c>
      <c r="H488" s="36">
        <f t="shared" si="29"/>
        <v>5.384669934521491E-2</v>
      </c>
      <c r="I488" s="36">
        <f>(Table143454[[#This Row],[Core CPI]]-F476)/F476</f>
        <v>5.7688593844296962E-2</v>
      </c>
    </row>
    <row r="489" spans="1:9" x14ac:dyDescent="0.2">
      <c r="A489" s="34">
        <f>IF(Data!B517="",#N/A,Data!B517)</f>
        <v>33543</v>
      </c>
      <c r="B489" s="35">
        <f>VLOOKUP(A489,Data!B:AY,MATCH($B$2,Data!$C$1:$AY$1,0),FALSE)</f>
        <v>56.341630000000002</v>
      </c>
      <c r="C489" s="36">
        <f t="shared" si="30"/>
        <v>6.4936074141812572E-3</v>
      </c>
      <c r="D489" s="36">
        <f t="shared" si="27"/>
        <v>8.0767435595752834E-2</v>
      </c>
      <c r="E489" s="36">
        <f>(Table143454[[#This Row],[JPN]]-B477)/B477</f>
        <v>5.8229685921106569E-2</v>
      </c>
      <c r="F489" s="35">
        <f>VLOOKUP(Table143454[[#This Row],[Date]],'Data Core CPI'!$B:$AY,MATCH($B$2,'Data Core CPI'!$C$1:$AY$1,0),FALSE)</f>
        <v>56.428780000000003</v>
      </c>
      <c r="G489" s="36">
        <f t="shared" si="28"/>
        <v>6.1676575810656331E-3</v>
      </c>
      <c r="H489" s="36">
        <f t="shared" si="29"/>
        <v>7.6574870273274698E-2</v>
      </c>
      <c r="I489" s="36">
        <f>(Table143454[[#This Row],[Core CPI]]-F477)/F477</f>
        <v>5.6613263133099334E-2</v>
      </c>
    </row>
    <row r="490" spans="1:9" x14ac:dyDescent="0.2">
      <c r="A490" s="34">
        <f>IF(Data!B518="",#N/A,Data!B518)</f>
        <v>33573</v>
      </c>
      <c r="B490" s="35">
        <f>VLOOKUP(A490,Data!B:AY,MATCH($B$2,Data!$C$1:$AY$1,0),FALSE)</f>
        <v>56.497410000000002</v>
      </c>
      <c r="C490" s="36">
        <f t="shared" si="30"/>
        <v>2.7649182318651988E-3</v>
      </c>
      <c r="D490" s="36">
        <f t="shared" si="27"/>
        <v>3.3688253024335868E-2</v>
      </c>
      <c r="E490" s="36">
        <f>(Table143454[[#This Row],[JPN]]-B478)/B478</f>
        <v>5.8804579193030282E-2</v>
      </c>
      <c r="F490" s="35">
        <f>VLOOKUP(Table143454[[#This Row],[Date]],'Data Core CPI'!$B:$AY,MATCH($B$2,'Data Core CPI'!$C$1:$AY$1,0),FALSE)</f>
        <v>56.565890000000003</v>
      </c>
      <c r="G490" s="36">
        <f t="shared" si="28"/>
        <v>2.4297884873640818E-3</v>
      </c>
      <c r="H490" s="36">
        <f t="shared" si="29"/>
        <v>2.9550290662667456E-2</v>
      </c>
      <c r="I490" s="36">
        <f>(Table143454[[#This Row],[Core CPI]]-F478)/F478</f>
        <v>5.669840790662873E-2</v>
      </c>
    </row>
    <row r="491" spans="1:9" x14ac:dyDescent="0.2">
      <c r="A491" s="34">
        <f>IF(Data!B519="",#N/A,Data!B519)</f>
        <v>33604</v>
      </c>
      <c r="B491" s="35">
        <f>VLOOKUP(A491,Data!B:AY,MATCH($B$2,Data!$C$1:$AY$1,0),FALSE)</f>
        <v>56.860900000000001</v>
      </c>
      <c r="C491" s="36">
        <f t="shared" si="30"/>
        <v>6.4337462549168833E-3</v>
      </c>
      <c r="D491" s="36">
        <f t="shared" si="27"/>
        <v>7.9996344761698479E-2</v>
      </c>
      <c r="E491" s="36">
        <f>(Table143454[[#This Row],[JPN]]-B479)/B479</f>
        <v>5.8994127946293579E-2</v>
      </c>
      <c r="F491" s="35">
        <f>VLOOKUP(Table143454[[#This Row],[Date]],'Data Core CPI'!$B:$AY,MATCH($B$2,'Data Core CPI'!$C$1:$AY$1,0),FALSE)</f>
        <v>56.913820000000001</v>
      </c>
      <c r="G491" s="36">
        <f t="shared" si="28"/>
        <v>6.1508799737792774E-3</v>
      </c>
      <c r="H491" s="36">
        <f t="shared" si="29"/>
        <v>7.6359470458056355E-2</v>
      </c>
      <c r="I491" s="36">
        <f>(Table143454[[#This Row],[Core CPI]]-F479)/F479</f>
        <v>6.174061539138876E-2</v>
      </c>
    </row>
    <row r="492" spans="1:9" x14ac:dyDescent="0.2">
      <c r="A492" s="34">
        <f>IF(Data!B520="",#N/A,Data!B520)</f>
        <v>33635</v>
      </c>
      <c r="B492" s="35">
        <f>VLOOKUP(A492,Data!B:AY,MATCH($B$2,Data!$C$1:$AY$1,0),FALSE)</f>
        <v>57.172469999999997</v>
      </c>
      <c r="C492" s="36">
        <f t="shared" si="30"/>
        <v>5.4795122834847554E-3</v>
      </c>
      <c r="D492" s="36">
        <f t="shared" si="27"/>
        <v>6.7772446189316771E-2</v>
      </c>
      <c r="E492" s="36">
        <f>(Table143454[[#This Row],[JPN]]-B480)/B480</f>
        <v>5.6621916648200682E-2</v>
      </c>
      <c r="F492" s="35">
        <f>VLOOKUP(Table143454[[#This Row],[Date]],'Data Core CPI'!$B:$AY,MATCH($B$2,'Data Core CPI'!$C$1:$AY$1,0),FALSE)</f>
        <v>57.25873</v>
      </c>
      <c r="G492" s="36">
        <f t="shared" si="28"/>
        <v>6.0602152517612584E-3</v>
      </c>
      <c r="H492" s="36">
        <f t="shared" si="29"/>
        <v>7.5196152112308123E-2</v>
      </c>
      <c r="I492" s="36">
        <f>(Table143454[[#This Row],[Core CPI]]-F480)/F480</f>
        <v>5.9717889659933354E-2</v>
      </c>
    </row>
    <row r="493" spans="1:9" x14ac:dyDescent="0.2">
      <c r="A493" s="34">
        <f>IF(Data!B521="",#N/A,Data!B521)</f>
        <v>33664</v>
      </c>
      <c r="B493" s="35">
        <f>VLOOKUP(A493,Data!B:AY,MATCH($B$2,Data!$C$1:$AY$1,0),FALSE)</f>
        <v>57.432110000000002</v>
      </c>
      <c r="C493" s="36">
        <f t="shared" si="30"/>
        <v>4.5413465606787273E-3</v>
      </c>
      <c r="D493" s="36">
        <f t="shared" si="27"/>
        <v>5.5878148686790086E-2</v>
      </c>
      <c r="E493" s="36">
        <f>(Table143454[[#This Row],[JPN]]-B481)/B481</f>
        <v>5.534350233276928E-2</v>
      </c>
      <c r="F493" s="35">
        <f>VLOOKUP(Table143454[[#This Row],[Date]],'Data Core CPI'!$B:$AY,MATCH($B$2,'Data Core CPI'!$C$1:$AY$1,0),FALSE)</f>
        <v>57.586239999999997</v>
      </c>
      <c r="G493" s="36">
        <f t="shared" si="28"/>
        <v>5.7198264788618225E-3</v>
      </c>
      <c r="H493" s="36">
        <f t="shared" si="29"/>
        <v>7.0838904932020608E-2</v>
      </c>
      <c r="I493" s="36">
        <f>(Table143454[[#This Row],[Core CPI]]-F481)/F481</f>
        <v>5.9318732089832564E-2</v>
      </c>
    </row>
    <row r="494" spans="1:9" x14ac:dyDescent="0.2">
      <c r="A494" s="34">
        <f>IF(Data!B522="",#N/A,Data!B522)</f>
        <v>33695</v>
      </c>
      <c r="B494" s="35">
        <f>VLOOKUP(A494,Data!B:AY,MATCH($B$2,Data!$C$1:$AY$1,0),FALSE)</f>
        <v>57.63982</v>
      </c>
      <c r="C494" s="36">
        <f t="shared" si="30"/>
        <v>3.6166179511774033E-3</v>
      </c>
      <c r="D494" s="36">
        <f t="shared" si="27"/>
        <v>4.4273182790232291E-2</v>
      </c>
      <c r="E494" s="36">
        <f>(Table143454[[#This Row],[JPN]]-B482)/B482</f>
        <v>5.513307184354687E-2</v>
      </c>
      <c r="F494" s="35">
        <f>VLOOKUP(Table143454[[#This Row],[Date]],'Data Core CPI'!$B:$AY,MATCH($B$2,'Data Core CPI'!$C$1:$AY$1,0),FALSE)</f>
        <v>57.802160000000001</v>
      </c>
      <c r="G494" s="36">
        <f t="shared" si="28"/>
        <v>3.7495068266308884E-3</v>
      </c>
      <c r="H494" s="36">
        <f t="shared" si="29"/>
        <v>4.5933658226861018E-2</v>
      </c>
      <c r="I494" s="36">
        <f>(Table143454[[#This Row],[Core CPI]]-F482)/F482</f>
        <v>5.9183418425217994E-2</v>
      </c>
    </row>
    <row r="495" spans="1:9" x14ac:dyDescent="0.2">
      <c r="A495" s="34">
        <f>IF(Data!B523="",#N/A,Data!B523)</f>
        <v>33725</v>
      </c>
      <c r="B495" s="35">
        <f>VLOOKUP(A495,Data!B:AY,MATCH($B$2,Data!$C$1:$AY$1,0),FALSE)</f>
        <v>57.899459999999998</v>
      </c>
      <c r="C495" s="36">
        <f t="shared" si="30"/>
        <v>4.5045248232904456E-3</v>
      </c>
      <c r="D495" s="36">
        <f t="shared" si="27"/>
        <v>5.5413800286042703E-2</v>
      </c>
      <c r="E495" s="36">
        <f>(Table143454[[#This Row],[JPN]]-B483)/B483</f>
        <v>5.5871245968868388E-2</v>
      </c>
      <c r="F495" s="35">
        <f>VLOOKUP(Table143454[[#This Row],[Date]],'Data Core CPI'!$B:$AY,MATCH($B$2,'Data Core CPI'!$C$1:$AY$1,0),FALSE)</f>
        <v>58.11842</v>
      </c>
      <c r="G495" s="36">
        <f t="shared" si="28"/>
        <v>5.4714218292188921E-3</v>
      </c>
      <c r="H495" s="36">
        <f t="shared" si="29"/>
        <v>6.7669350521169847E-2</v>
      </c>
      <c r="I495" s="36">
        <f>(Table143454[[#This Row],[Core CPI]]-F483)/F483</f>
        <v>5.640006441816256E-2</v>
      </c>
    </row>
    <row r="496" spans="1:9" x14ac:dyDescent="0.2">
      <c r="A496" s="34">
        <f>IF(Data!B524="",#N/A,Data!B524)</f>
        <v>33756</v>
      </c>
      <c r="B496" s="35">
        <f>VLOOKUP(A496,Data!B:AY,MATCH($B$2,Data!$C$1:$AY$1,0),FALSE)</f>
        <v>58.055239999999998</v>
      </c>
      <c r="C496" s="36">
        <f t="shared" si="30"/>
        <v>2.6905259565459527E-3</v>
      </c>
      <c r="D496" s="36">
        <f t="shared" si="27"/>
        <v>3.2768391740864988E-2</v>
      </c>
      <c r="E496" s="36">
        <f>(Table143454[[#This Row],[JPN]]-B484)/B484</f>
        <v>5.3722854338368937E-2</v>
      </c>
      <c r="F496" s="35">
        <f>VLOOKUP(Table143454[[#This Row],[Date]],'Data Core CPI'!$B:$AY,MATCH($B$2,'Data Core CPI'!$C$1:$AY$1,0),FALSE)</f>
        <v>58.268830000000001</v>
      </c>
      <c r="G496" s="36">
        <f t="shared" si="28"/>
        <v>2.5879918965450166E-3</v>
      </c>
      <c r="H496" s="36">
        <f t="shared" si="29"/>
        <v>3.150178678351323E-2</v>
      </c>
      <c r="I496" s="36">
        <f>(Table143454[[#This Row],[Core CPI]]-F484)/F484</f>
        <v>5.4349010100746942E-2</v>
      </c>
    </row>
    <row r="497" spans="1:9" x14ac:dyDescent="0.2">
      <c r="A497" s="34">
        <f>IF(Data!B525="",#N/A,Data!B525)</f>
        <v>33786</v>
      </c>
      <c r="B497" s="35">
        <f>VLOOKUP(A497,Data!B:AY,MATCH($B$2,Data!$C$1:$AY$1,0),FALSE)</f>
        <v>58.159100000000002</v>
      </c>
      <c r="C497" s="36">
        <f t="shared" si="30"/>
        <v>1.7889858004205283E-3</v>
      </c>
      <c r="D497" s="36">
        <f t="shared" si="27"/>
        <v>2.1680325353752083E-2</v>
      </c>
      <c r="E497" s="36">
        <f>(Table143454[[#This Row],[JPN]]-B485)/B485</f>
        <v>5.1643245121835081E-2</v>
      </c>
      <c r="F497" s="35">
        <f>VLOOKUP(Table143454[[#This Row],[Date]],'Data Core CPI'!$B:$AY,MATCH($B$2,'Data Core CPI'!$C$1:$AY$1,0),FALSE)</f>
        <v>58.447980000000001</v>
      </c>
      <c r="G497" s="36">
        <f t="shared" si="28"/>
        <v>3.0745425985041486E-3</v>
      </c>
      <c r="H497" s="36">
        <f t="shared" si="29"/>
        <v>3.7524835112235255E-2</v>
      </c>
      <c r="I497" s="36">
        <f>(Table143454[[#This Row],[Core CPI]]-F485)/F485</f>
        <v>5.3824243086439738E-2</v>
      </c>
    </row>
    <row r="498" spans="1:9" x14ac:dyDescent="0.2">
      <c r="A498" s="34">
        <f>IF(Data!B526="",#N/A,Data!B526)</f>
        <v>33817</v>
      </c>
      <c r="B498" s="35">
        <f>VLOOKUP(A498,Data!B:AY,MATCH($B$2,Data!$C$1:$AY$1,0),FALSE)</f>
        <v>58.314880000000002</v>
      </c>
      <c r="C498" s="36">
        <f t="shared" si="30"/>
        <v>2.6785146262580106E-3</v>
      </c>
      <c r="D498" s="36">
        <f t="shared" si="27"/>
        <v>3.2619941889070914E-2</v>
      </c>
      <c r="E498" s="36">
        <f>(Table143454[[#This Row],[JPN]]-B486)/B486</f>
        <v>5.1498182886951391E-2</v>
      </c>
      <c r="F498" s="35">
        <f>VLOOKUP(Table143454[[#This Row],[Date]],'Data Core CPI'!$B:$AY,MATCH($B$2,'Data Core CPI'!$C$1:$AY$1,0),FALSE)</f>
        <v>58.687510000000003</v>
      </c>
      <c r="G498" s="36">
        <f t="shared" si="28"/>
        <v>4.098174137070254E-3</v>
      </c>
      <c r="H498" s="36">
        <f t="shared" si="29"/>
        <v>5.030184462576015E-2</v>
      </c>
      <c r="I498" s="36">
        <f>(Table143454[[#This Row],[Core CPI]]-F486)/F486</f>
        <v>5.5416861489767315E-2</v>
      </c>
    </row>
    <row r="499" spans="1:9" x14ac:dyDescent="0.2">
      <c r="A499" s="34">
        <f>IF(Data!B527="",#N/A,Data!B527)</f>
        <v>33848</v>
      </c>
      <c r="B499" s="35">
        <f>VLOOKUP(A499,Data!B:AY,MATCH($B$2,Data!$C$1:$AY$1,0),FALSE)</f>
        <v>58.41874</v>
      </c>
      <c r="C499" s="36">
        <f t="shared" si="30"/>
        <v>1.7810205559884995E-3</v>
      </c>
      <c r="D499" s="36">
        <f t="shared" si="27"/>
        <v>2.158284880604544E-2</v>
      </c>
      <c r="E499" s="36">
        <f>(Table143454[[#This Row],[JPN]]-B487)/B487</f>
        <v>4.8462368596133829E-2</v>
      </c>
      <c r="F499" s="35">
        <f>VLOOKUP(Table143454[[#This Row],[Date]],'Data Core CPI'!$B:$AY,MATCH($B$2,'Data Core CPI'!$C$1:$AY$1,0),FALSE)</f>
        <v>58.790869999999998</v>
      </c>
      <c r="G499" s="36">
        <f t="shared" si="28"/>
        <v>1.7611924581566463E-3</v>
      </c>
      <c r="H499" s="36">
        <f t="shared" si="29"/>
        <v>2.1340234829780647E-2</v>
      </c>
      <c r="I499" s="36">
        <f>(Table143454[[#This Row],[Core CPI]]-F487)/F487</f>
        <v>5.2877147047814883E-2</v>
      </c>
    </row>
    <row r="500" spans="1:9" x14ac:dyDescent="0.2">
      <c r="A500" s="34">
        <f>IF(Data!B528="",#N/A,Data!B528)</f>
        <v>33878</v>
      </c>
      <c r="B500" s="35">
        <f>VLOOKUP(A500,Data!B:AY,MATCH($B$2,Data!$C$1:$AY$1,0),FALSE)</f>
        <v>58.678379999999997</v>
      </c>
      <c r="C500" s="36">
        <f t="shared" si="30"/>
        <v>4.4444642250072164E-3</v>
      </c>
      <c r="D500" s="36">
        <f t="shared" si="27"/>
        <v>5.4656794920595164E-2</v>
      </c>
      <c r="E500" s="36">
        <f>(Table143454[[#This Row],[JPN]]-B488)/B488</f>
        <v>4.8237588501080633E-2</v>
      </c>
      <c r="F500" s="35">
        <f>VLOOKUP(Table143454[[#This Row],[Date]],'Data Core CPI'!$B:$AY,MATCH($B$2,'Data Core CPI'!$C$1:$AY$1,0),FALSE)</f>
        <v>59.051830000000002</v>
      </c>
      <c r="G500" s="36">
        <f t="shared" si="28"/>
        <v>4.438784457518663E-3</v>
      </c>
      <c r="H500" s="36">
        <f t="shared" si="29"/>
        <v>5.4585232747147439E-2</v>
      </c>
      <c r="I500" s="36">
        <f>(Table143454[[#This Row],[Core CPI]]-F488)/F488</f>
        <v>5.2938615135314011E-2</v>
      </c>
    </row>
    <row r="501" spans="1:9" x14ac:dyDescent="0.2">
      <c r="A501" s="34">
        <f>IF(Data!B529="",#N/A,Data!B529)</f>
        <v>33909</v>
      </c>
      <c r="B501" s="35">
        <f>VLOOKUP(A501,Data!B:AY,MATCH($B$2,Data!$C$1:$AY$1,0),FALSE)</f>
        <v>59.093800000000002</v>
      </c>
      <c r="C501" s="36">
        <f t="shared" si="30"/>
        <v>7.0796092189322479E-3</v>
      </c>
      <c r="D501" s="36">
        <f t="shared" si="27"/>
        <v>8.8342609474548972E-2</v>
      </c>
      <c r="E501" s="36">
        <f>(Table143454[[#This Row],[JPN]]-B489)/B489</f>
        <v>4.8847894531982822E-2</v>
      </c>
      <c r="F501" s="35">
        <f>VLOOKUP(Table143454[[#This Row],[Date]],'Data Core CPI'!$B:$AY,MATCH($B$2,'Data Core CPI'!$C$1:$AY$1,0),FALSE)</f>
        <v>59.584069999999997</v>
      </c>
      <c r="G501" s="36">
        <f t="shared" si="28"/>
        <v>9.0130991706776076E-3</v>
      </c>
      <c r="H501" s="36">
        <f t="shared" si="29"/>
        <v>0.11368315874038037</v>
      </c>
      <c r="I501" s="36">
        <f>(Table143454[[#This Row],[Core CPI]]-F489)/F489</f>
        <v>5.5916324967507598E-2</v>
      </c>
    </row>
    <row r="502" spans="1:9" x14ac:dyDescent="0.2">
      <c r="A502" s="34">
        <f>IF(Data!B530="",#N/A,Data!B530)</f>
        <v>33939</v>
      </c>
      <c r="B502" s="35">
        <f>VLOOKUP(A502,Data!B:AY,MATCH($B$2,Data!$C$1:$AY$1,0),FALSE)</f>
        <v>59.249580000000002</v>
      </c>
      <c r="C502" s="36">
        <f t="shared" si="30"/>
        <v>2.6361479546077593E-3</v>
      </c>
      <c r="D502" s="36">
        <f t="shared" si="27"/>
        <v>3.2096481930092846E-2</v>
      </c>
      <c r="E502" s="36">
        <f>(Table143454[[#This Row],[JPN]]-B490)/B490</f>
        <v>4.8713206499200572E-2</v>
      </c>
      <c r="F502" s="35">
        <f>VLOOKUP(Table143454[[#This Row],[Date]],'Data Core CPI'!$B:$AY,MATCH($B$2,'Data Core CPI'!$C$1:$AY$1,0),FALSE)</f>
        <v>59.788780000000003</v>
      </c>
      <c r="G502" s="36">
        <f t="shared" si="28"/>
        <v>3.4356498305672112E-3</v>
      </c>
      <c r="H502" s="36">
        <f t="shared" si="29"/>
        <v>4.2015832574239242E-2</v>
      </c>
      <c r="I502" s="36">
        <f>(Table143454[[#This Row],[Core CPI]]-F490)/F490</f>
        <v>5.6975855944280188E-2</v>
      </c>
    </row>
    <row r="503" spans="1:9" x14ac:dyDescent="0.2">
      <c r="A503" s="34">
        <f>IF(Data!B531="",#N/A,Data!B531)</f>
        <v>33970</v>
      </c>
      <c r="B503" s="35">
        <f>VLOOKUP(A503,Data!B:AY,MATCH($B$2,Data!$C$1:$AY$1,0),FALSE)</f>
        <v>59.561149999999998</v>
      </c>
      <c r="C503" s="36">
        <f t="shared" si="30"/>
        <v>5.2586026770147232E-3</v>
      </c>
      <c r="D503" s="36">
        <f t="shared" si="27"/>
        <v>6.4960696823738839E-2</v>
      </c>
      <c r="E503" s="36">
        <f>(Table143454[[#This Row],[JPN]]-B491)/B491</f>
        <v>4.7488696098725081E-2</v>
      </c>
      <c r="F503" s="35">
        <f>VLOOKUP(Table143454[[#This Row],[Date]],'Data Core CPI'!$B:$AY,MATCH($B$2,'Data Core CPI'!$C$1:$AY$1,0),FALSE)</f>
        <v>60.143940000000001</v>
      </c>
      <c r="G503" s="36">
        <f t="shared" si="28"/>
        <v>5.9402449757295361E-3</v>
      </c>
      <c r="H503" s="36">
        <f t="shared" si="29"/>
        <v>7.3658585948784161E-2</v>
      </c>
      <c r="I503" s="36">
        <f>(Table143454[[#This Row],[Core CPI]]-F491)/F491</f>
        <v>5.6754580873327416E-2</v>
      </c>
    </row>
    <row r="504" spans="1:9" x14ac:dyDescent="0.2">
      <c r="A504" s="34">
        <f>IF(Data!B532="",#N/A,Data!B532)</f>
        <v>34001</v>
      </c>
      <c r="B504" s="35">
        <f>VLOOKUP(A504,Data!B:AY,MATCH($B$2,Data!$C$1:$AY$1,0),FALSE)</f>
        <v>59.768859999999997</v>
      </c>
      <c r="C504" s="36">
        <f t="shared" si="30"/>
        <v>3.4873403216693077E-3</v>
      </c>
      <c r="D504" s="36">
        <f t="shared" si="27"/>
        <v>4.2660149804780945E-2</v>
      </c>
      <c r="E504" s="36">
        <f>(Table143454[[#This Row],[JPN]]-B492)/B492</f>
        <v>4.5413290697428318E-2</v>
      </c>
      <c r="F504" s="35">
        <f>VLOOKUP(Table143454[[#This Row],[Date]],'Data Core CPI'!$B:$AY,MATCH($B$2,'Data Core CPI'!$C$1:$AY$1,0),FALSE)</f>
        <v>60.410060000000001</v>
      </c>
      <c r="G504" s="36">
        <f t="shared" si="28"/>
        <v>4.4247184338106482E-3</v>
      </c>
      <c r="H504" s="36">
        <f t="shared" si="29"/>
        <v>5.440802718341109E-2</v>
      </c>
      <c r="I504" s="36">
        <f>(Table143454[[#This Row],[Core CPI]]-F492)/F492</f>
        <v>5.5036673010386387E-2</v>
      </c>
    </row>
    <row r="505" spans="1:9" x14ac:dyDescent="0.2">
      <c r="A505" s="34">
        <f>IF(Data!B533="",#N/A,Data!B533)</f>
        <v>34029</v>
      </c>
      <c r="B505" s="35">
        <f>VLOOKUP(A505,Data!B:AY,MATCH($B$2,Data!$C$1:$AY$1,0),FALSE)</f>
        <v>59.976570000000002</v>
      </c>
      <c r="C505" s="36">
        <f t="shared" si="30"/>
        <v>3.4752210431987507E-3</v>
      </c>
      <c r="D505" s="36">
        <f t="shared" si="27"/>
        <v>4.250905134395544E-2</v>
      </c>
      <c r="E505" s="36">
        <f>(Table143454[[#This Row],[JPN]]-B493)/B493</f>
        <v>4.4303787550204941E-2</v>
      </c>
      <c r="F505" s="35">
        <f>VLOOKUP(Table143454[[#This Row],[Date]],'Data Core CPI'!$B:$AY,MATCH($B$2,'Data Core CPI'!$C$1:$AY$1,0),FALSE)</f>
        <v>60.646500000000003</v>
      </c>
      <c r="G505" s="36">
        <f t="shared" si="28"/>
        <v>3.9139176488154348E-3</v>
      </c>
      <c r="H505" s="36">
        <f t="shared" si="29"/>
        <v>4.7991356658046991E-2</v>
      </c>
      <c r="I505" s="36">
        <f>(Table143454[[#This Row],[Core CPI]]-F493)/F493</f>
        <v>5.3142208972143466E-2</v>
      </c>
    </row>
    <row r="506" spans="1:9" x14ac:dyDescent="0.2">
      <c r="A506" s="34">
        <f>IF(Data!B534="",#N/A,Data!B534)</f>
        <v>34060</v>
      </c>
      <c r="B506" s="35">
        <f>VLOOKUP(A506,Data!B:AY,MATCH($B$2,Data!$C$1:$AY$1,0),FALSE)</f>
        <v>60.23621</v>
      </c>
      <c r="C506" s="36">
        <f t="shared" si="30"/>
        <v>4.329023817133848E-3</v>
      </c>
      <c r="D506" s="36">
        <f t="shared" si="27"/>
        <v>5.3203178503127946E-2</v>
      </c>
      <c r="E506" s="36">
        <f>(Table143454[[#This Row],[JPN]]-B494)/B494</f>
        <v>4.5045074741732354E-2</v>
      </c>
      <c r="F506" s="35">
        <f>VLOOKUP(Table143454[[#This Row],[Date]],'Data Core CPI'!$B:$AY,MATCH($B$2,'Data Core CPI'!$C$1:$AY$1,0),FALSE)</f>
        <v>60.866509999999998</v>
      </c>
      <c r="G506" s="36">
        <f t="shared" si="28"/>
        <v>3.6277443875574189E-3</v>
      </c>
      <c r="H506" s="36">
        <f t="shared" si="29"/>
        <v>4.4412117288758823E-2</v>
      </c>
      <c r="I506" s="36">
        <f>(Table143454[[#This Row],[Core CPI]]-F494)/F494</f>
        <v>5.3014454823141516E-2</v>
      </c>
    </row>
    <row r="507" spans="1:9" x14ac:dyDescent="0.2">
      <c r="A507" s="34">
        <f>IF(Data!B535="",#N/A,Data!B535)</f>
        <v>34090</v>
      </c>
      <c r="B507" s="35">
        <f>VLOOKUP(A507,Data!B:AY,MATCH($B$2,Data!$C$1:$AY$1,0),FALSE)</f>
        <v>60.443919999999999</v>
      </c>
      <c r="C507" s="36">
        <f t="shared" si="30"/>
        <v>3.4482581158410408E-3</v>
      </c>
      <c r="D507" s="36">
        <f t="shared" si="27"/>
        <v>4.217296002964277E-2</v>
      </c>
      <c r="E507" s="36">
        <f>(Table143454[[#This Row],[JPN]]-B495)/B495</f>
        <v>4.3946178427225417E-2</v>
      </c>
      <c r="F507" s="35">
        <f>VLOOKUP(Table143454[[#This Row],[Date]],'Data Core CPI'!$B:$AY,MATCH($B$2,'Data Core CPI'!$C$1:$AY$1,0),FALSE)</f>
        <v>61.100879999999997</v>
      </c>
      <c r="G507" s="36">
        <f t="shared" si="28"/>
        <v>3.8505575561995631E-3</v>
      </c>
      <c r="H507" s="36">
        <f t="shared" si="29"/>
        <v>4.7197928648920806E-2</v>
      </c>
      <c r="I507" s="36">
        <f>(Table143454[[#This Row],[Core CPI]]-F495)/F495</f>
        <v>5.1316949084300574E-2</v>
      </c>
    </row>
    <row r="508" spans="1:9" x14ac:dyDescent="0.2">
      <c r="A508" s="34">
        <f>IF(Data!B536="",#N/A,Data!B536)</f>
        <v>34121</v>
      </c>
      <c r="B508" s="35">
        <f>VLOOKUP(A508,Data!B:AY,MATCH($B$2,Data!$C$1:$AY$1,0),FALSE)</f>
        <v>60.80742</v>
      </c>
      <c r="C508" s="36">
        <f t="shared" si="30"/>
        <v>6.013838943602634E-3</v>
      </c>
      <c r="D508" s="36">
        <f t="shared" ref="D508:D571" si="31">((1+C508)^12)-1</f>
        <v>7.4601543711960039E-2</v>
      </c>
      <c r="E508" s="36">
        <f>(Table143454[[#This Row],[JPN]]-B496)/B496</f>
        <v>4.7406228964000541E-2</v>
      </c>
      <c r="F508" s="35">
        <f>VLOOKUP(Table143454[[#This Row],[Date]],'Data Core CPI'!$B:$AY,MATCH($B$2,'Data Core CPI'!$C$1:$AY$1,0),FALSE)</f>
        <v>61.415050000000001</v>
      </c>
      <c r="G508" s="36">
        <f t="shared" si="28"/>
        <v>5.1418244712679861E-3</v>
      </c>
      <c r="H508" s="36">
        <f t="shared" si="29"/>
        <v>6.3477081312466543E-2</v>
      </c>
      <c r="I508" s="36">
        <f>(Table143454[[#This Row],[Core CPI]]-F496)/F496</f>
        <v>5.399490602437014E-2</v>
      </c>
    </row>
    <row r="509" spans="1:9" x14ac:dyDescent="0.2">
      <c r="A509" s="34">
        <f>IF(Data!B537="",#N/A,Data!B537)</f>
        <v>34151</v>
      </c>
      <c r="B509" s="35">
        <f>VLOOKUP(A509,Data!B:AY,MATCH($B$2,Data!$C$1:$AY$1,0),FALSE)</f>
        <v>61.015129999999999</v>
      </c>
      <c r="C509" s="36">
        <f t="shared" si="30"/>
        <v>3.4158660242451511E-3</v>
      </c>
      <c r="D509" s="36">
        <f t="shared" si="31"/>
        <v>4.1769325835853577E-2</v>
      </c>
      <c r="E509" s="36">
        <f>(Table143454[[#This Row],[JPN]]-B497)/B497</f>
        <v>4.9107190448270291E-2</v>
      </c>
      <c r="F509" s="35">
        <f>VLOOKUP(Table143454[[#This Row],[Date]],'Data Core CPI'!$B:$AY,MATCH($B$2,'Data Core CPI'!$C$1:$AY$1,0),FALSE)</f>
        <v>61.680149999999998</v>
      </c>
      <c r="G509" s="36">
        <f t="shared" si="28"/>
        <v>4.3165315342086341E-3</v>
      </c>
      <c r="H509" s="36">
        <f t="shared" si="29"/>
        <v>5.3045986845100979E-2</v>
      </c>
      <c r="I509" s="36">
        <f>(Table143454[[#This Row],[Core CPI]]-F497)/F497</f>
        <v>5.5299943642192533E-2</v>
      </c>
    </row>
    <row r="510" spans="1:9" x14ac:dyDescent="0.2">
      <c r="A510" s="34">
        <f>IF(Data!B538="",#N/A,Data!B538)</f>
        <v>34182</v>
      </c>
      <c r="B510" s="35">
        <f>VLOOKUP(A510,Data!B:AY,MATCH($B$2,Data!$C$1:$AY$1,0),FALSE)</f>
        <v>61.067050000000002</v>
      </c>
      <c r="C510" s="36">
        <f t="shared" si="30"/>
        <v>8.5093648083689466E-4</v>
      </c>
      <c r="D510" s="36">
        <f t="shared" si="31"/>
        <v>1.0259163715514052E-2</v>
      </c>
      <c r="E510" s="36">
        <f>(Table143454[[#This Row],[JPN]]-B498)/B498</f>
        <v>4.7194986939868511E-2</v>
      </c>
      <c r="F510" s="35">
        <f>VLOOKUP(Table143454[[#This Row],[Date]],'Data Core CPI'!$B:$AY,MATCH($B$2,'Data Core CPI'!$C$1:$AY$1,0),FALSE)</f>
        <v>61.819360000000003</v>
      </c>
      <c r="G510" s="36">
        <f t="shared" si="28"/>
        <v>2.2569659768987282E-3</v>
      </c>
      <c r="H510" s="36">
        <f t="shared" si="29"/>
        <v>2.7422330995917621E-2</v>
      </c>
      <c r="I510" s="36">
        <f>(Table143454[[#This Row],[Core CPI]]-F498)/F498</f>
        <v>5.3364847136980254E-2</v>
      </c>
    </row>
    <row r="511" spans="1:9" x14ac:dyDescent="0.2">
      <c r="A511" s="34">
        <f>IF(Data!B539="",#N/A,Data!B539)</f>
        <v>34213</v>
      </c>
      <c r="B511" s="35">
        <f>VLOOKUP(A511,Data!B:AY,MATCH($B$2,Data!$C$1:$AY$1,0),FALSE)</f>
        <v>61.222839999999998</v>
      </c>
      <c r="C511" s="36">
        <f t="shared" si="30"/>
        <v>2.5511302740184316E-3</v>
      </c>
      <c r="D511" s="36">
        <f t="shared" si="31"/>
        <v>3.1046782630975045E-2</v>
      </c>
      <c r="E511" s="36">
        <f>(Table143454[[#This Row],[JPN]]-B499)/B499</f>
        <v>4.8000008216541441E-2</v>
      </c>
      <c r="F511" s="35">
        <f>VLOOKUP(Table143454[[#This Row],[Date]],'Data Core CPI'!$B:$AY,MATCH($B$2,'Data Core CPI'!$C$1:$AY$1,0),FALSE)</f>
        <v>61.965679999999999</v>
      </c>
      <c r="G511" s="36">
        <f t="shared" si="28"/>
        <v>2.3668960662159844E-3</v>
      </c>
      <c r="H511" s="36">
        <f t="shared" si="29"/>
        <v>2.8775430550159076E-2</v>
      </c>
      <c r="I511" s="36">
        <f>(Table143454[[#This Row],[Core CPI]]-F499)/F499</f>
        <v>5.4001752312901663E-2</v>
      </c>
    </row>
    <row r="512" spans="1:9" x14ac:dyDescent="0.2">
      <c r="A512" s="34">
        <f>IF(Data!B540="",#N/A,Data!B540)</f>
        <v>34243</v>
      </c>
      <c r="B512" s="35">
        <f>VLOOKUP(A512,Data!B:AY,MATCH($B$2,Data!$C$1:$AY$1,0),FALSE)</f>
        <v>61.534399999999998</v>
      </c>
      <c r="C512" s="36">
        <f t="shared" si="30"/>
        <v>5.0889504635851512E-3</v>
      </c>
      <c r="D512" s="36">
        <f t="shared" si="31"/>
        <v>6.2805963724853031E-2</v>
      </c>
      <c r="E512" s="36">
        <f>(Table143454[[#This Row],[JPN]]-B500)/B500</f>
        <v>4.8672441195547679E-2</v>
      </c>
      <c r="F512" s="35">
        <f>VLOOKUP(Table143454[[#This Row],[Date]],'Data Core CPI'!$B:$AY,MATCH($B$2,'Data Core CPI'!$C$1:$AY$1,0),FALSE)</f>
        <v>62.309559999999998</v>
      </c>
      <c r="G512" s="36">
        <f t="shared" si="28"/>
        <v>5.5495235427094336E-3</v>
      </c>
      <c r="H512" s="36">
        <f t="shared" si="29"/>
        <v>6.8664972329633311E-2</v>
      </c>
      <c r="I512" s="36">
        <f>(Table143454[[#This Row],[Core CPI]]-F500)/F500</f>
        <v>5.5167299641687567E-2</v>
      </c>
    </row>
    <row r="513" spans="1:9" x14ac:dyDescent="0.2">
      <c r="A513" s="34">
        <f>IF(Data!B541="",#N/A,Data!B541)</f>
        <v>34274</v>
      </c>
      <c r="B513" s="35">
        <f>VLOOKUP(A513,Data!B:AY,MATCH($B$2,Data!$C$1:$AY$1,0),FALSE)</f>
        <v>61.74212</v>
      </c>
      <c r="C513" s="36">
        <f t="shared" si="30"/>
        <v>3.3756727944045384E-3</v>
      </c>
      <c r="D513" s="36">
        <f t="shared" si="31"/>
        <v>4.1268681764842441E-2</v>
      </c>
      <c r="E513" s="36">
        <f>(Table143454[[#This Row],[JPN]]-B501)/B501</f>
        <v>4.4815530563273948E-2</v>
      </c>
      <c r="F513" s="35">
        <f>VLOOKUP(Table143454[[#This Row],[Date]],'Data Core CPI'!$B:$AY,MATCH($B$2,'Data Core CPI'!$C$1:$AY$1,0),FALSE)</f>
        <v>62.540860000000002</v>
      </c>
      <c r="G513" s="36">
        <f t="shared" si="28"/>
        <v>3.7121109505509065E-3</v>
      </c>
      <c r="H513" s="36">
        <f t="shared" si="29"/>
        <v>4.5466144073537551E-2</v>
      </c>
      <c r="I513" s="36">
        <f>(Table143454[[#This Row],[Core CPI]]-F501)/F501</f>
        <v>4.9623834021408832E-2</v>
      </c>
    </row>
    <row r="514" spans="1:9" x14ac:dyDescent="0.2">
      <c r="A514" s="34">
        <f>IF(Data!B542="",#N/A,Data!B542)</f>
        <v>34304</v>
      </c>
      <c r="B514" s="35">
        <f>VLOOKUP(A514,Data!B:AY,MATCH($B$2,Data!$C$1:$AY$1,0),FALSE)</f>
        <v>61.845970000000001</v>
      </c>
      <c r="C514" s="36">
        <f t="shared" si="30"/>
        <v>1.681996018277232E-3</v>
      </c>
      <c r="D514" s="36">
        <f t="shared" si="31"/>
        <v>2.0371724373497546E-2</v>
      </c>
      <c r="E514" s="36">
        <f>(Table143454[[#This Row],[JPN]]-B502)/B502</f>
        <v>4.3821238901609084E-2</v>
      </c>
      <c r="F514" s="35">
        <f>VLOOKUP(Table143454[[#This Row],[Date]],'Data Core CPI'!$B:$AY,MATCH($B$2,'Data Core CPI'!$C$1:$AY$1,0),FALSE)</f>
        <v>62.636020000000002</v>
      </c>
      <c r="G514" s="36">
        <f t="shared" si="28"/>
        <v>1.5215652614946062E-3</v>
      </c>
      <c r="H514" s="36">
        <f t="shared" si="29"/>
        <v>1.8412361400389932E-2</v>
      </c>
      <c r="I514" s="36">
        <f>(Table143454[[#This Row],[Core CPI]]-F502)/F502</f>
        <v>4.7621644060975979E-2</v>
      </c>
    </row>
    <row r="515" spans="1:9" x14ac:dyDescent="0.2">
      <c r="A515" s="34">
        <f>IF(Data!B543="",#N/A,Data!B543)</f>
        <v>34335</v>
      </c>
      <c r="B515" s="35">
        <f>VLOOKUP(A515,Data!B:AY,MATCH($B$2,Data!$C$1:$AY$1,0),FALSE)</f>
        <v>62.157539999999997</v>
      </c>
      <c r="C515" s="36">
        <f t="shared" si="30"/>
        <v>5.037838358748381E-3</v>
      </c>
      <c r="D515" s="36">
        <f t="shared" si="31"/>
        <v>6.2157578618357912E-2</v>
      </c>
      <c r="E515" s="36">
        <f>(Table143454[[#This Row],[JPN]]-B503)/B503</f>
        <v>4.3592005862882088E-2</v>
      </c>
      <c r="F515" s="35">
        <f>VLOOKUP(Table143454[[#This Row],[Date]],'Data Core CPI'!$B:$AY,MATCH($B$2,'Data Core CPI'!$C$1:$AY$1,0),FALSE)</f>
        <v>62.860129999999998</v>
      </c>
      <c r="G515" s="36">
        <f t="shared" ref="G515:G578" si="32">(F515/F514)-1</f>
        <v>3.5779731853970986E-3</v>
      </c>
      <c r="H515" s="36">
        <f t="shared" ref="H515:H578" si="33">((1+G515)^12)-1</f>
        <v>4.3790761757403152E-2</v>
      </c>
      <c r="I515" s="36">
        <f>(Table143454[[#This Row],[Core CPI]]-F503)/F503</f>
        <v>4.516149091662431E-2</v>
      </c>
    </row>
    <row r="516" spans="1:9" x14ac:dyDescent="0.2">
      <c r="A516" s="34">
        <f>IF(Data!B544="",#N/A,Data!B544)</f>
        <v>34366</v>
      </c>
      <c r="B516" s="35">
        <f>VLOOKUP(A516,Data!B:AY,MATCH($B$2,Data!$C$1:$AY$1,0),FALSE)</f>
        <v>62.417180000000002</v>
      </c>
      <c r="C516" s="36">
        <f t="shared" si="30"/>
        <v>4.1771279880125078E-3</v>
      </c>
      <c r="D516" s="36">
        <f t="shared" si="31"/>
        <v>5.1293316374771969E-2</v>
      </c>
      <c r="E516" s="36">
        <f>(Table143454[[#This Row],[JPN]]-B504)/B504</f>
        <v>4.4309361095393247E-2</v>
      </c>
      <c r="F516" s="35">
        <f>VLOOKUP(Table143454[[#This Row],[Date]],'Data Core CPI'!$B:$AY,MATCH($B$2,'Data Core CPI'!$C$1:$AY$1,0),FALSE)</f>
        <v>63.164099999999998</v>
      </c>
      <c r="G516" s="36">
        <f t="shared" si="32"/>
        <v>4.8356565600484736E-3</v>
      </c>
      <c r="H516" s="36">
        <f t="shared" si="33"/>
        <v>5.9596343882243996E-2</v>
      </c>
      <c r="I516" s="36">
        <f>(Table143454[[#This Row],[Core CPI]]-F504)/F504</f>
        <v>4.5589095591032289E-2</v>
      </c>
    </row>
    <row r="517" spans="1:9" x14ac:dyDescent="0.2">
      <c r="A517" s="34">
        <f>IF(Data!B545="",#N/A,Data!B545)</f>
        <v>34394</v>
      </c>
      <c r="B517" s="35">
        <f>VLOOKUP(A517,Data!B:AY,MATCH($B$2,Data!$C$1:$AY$1,0),FALSE)</f>
        <v>62.572960000000002</v>
      </c>
      <c r="C517" s="36">
        <f t="shared" ref="C517:C580" si="34">(B517/B516)-1</f>
        <v>2.4957872175577211E-3</v>
      </c>
      <c r="D517" s="36">
        <f t="shared" si="31"/>
        <v>3.0363996998215903E-2</v>
      </c>
      <c r="E517" s="36">
        <f>(Table143454[[#This Row],[JPN]]-B505)/B505</f>
        <v>4.3290071439563808E-2</v>
      </c>
      <c r="F517" s="35">
        <f>VLOOKUP(Table143454[[#This Row],[Date]],'Data Core CPI'!$B:$AY,MATCH($B$2,'Data Core CPI'!$C$1:$AY$1,0),FALSE)</f>
        <v>63.346269999999997</v>
      </c>
      <c r="G517" s="36">
        <f t="shared" si="32"/>
        <v>2.8840749729672766E-3</v>
      </c>
      <c r="H517" s="36">
        <f t="shared" si="33"/>
        <v>3.5163192390614606E-2</v>
      </c>
      <c r="I517" s="36">
        <f>(Table143454[[#This Row],[Core CPI]]-F505)/F505</f>
        <v>4.4516501364464459E-2</v>
      </c>
    </row>
    <row r="518" spans="1:9" x14ac:dyDescent="0.2">
      <c r="A518" s="34">
        <f>IF(Data!B546="",#N/A,Data!B546)</f>
        <v>34425</v>
      </c>
      <c r="B518" s="35">
        <f>VLOOKUP(A518,Data!B:AY,MATCH($B$2,Data!$C$1:$AY$1,0),FALSE)</f>
        <v>62.676819999999999</v>
      </c>
      <c r="C518" s="36">
        <f t="shared" si="34"/>
        <v>1.659822389735055E-3</v>
      </c>
      <c r="D518" s="36">
        <f t="shared" si="31"/>
        <v>2.0100709150164375E-2</v>
      </c>
      <c r="E518" s="36">
        <f>(Table143454[[#This Row],[JPN]]-B506)/B506</f>
        <v>4.0517323384057523E-2</v>
      </c>
      <c r="F518" s="35">
        <f>VLOOKUP(Table143454[[#This Row],[Date]],'Data Core CPI'!$B:$AY,MATCH($B$2,'Data Core CPI'!$C$1:$AY$1,0),FALSE)</f>
        <v>63.449620000000003</v>
      </c>
      <c r="G518" s="36">
        <f t="shared" si="32"/>
        <v>1.6315088481138051E-3</v>
      </c>
      <c r="H518" s="36">
        <f t="shared" si="33"/>
        <v>1.975474530041188E-2</v>
      </c>
      <c r="I518" s="36">
        <f>(Table143454[[#This Row],[Core CPI]]-F506)/F506</f>
        <v>4.2438937274373131E-2</v>
      </c>
    </row>
    <row r="519" spans="1:9" x14ac:dyDescent="0.2">
      <c r="A519" s="34">
        <f>IF(Data!B547="",#N/A,Data!B547)</f>
        <v>34455</v>
      </c>
      <c r="B519" s="35">
        <f>VLOOKUP(A519,Data!B:AY,MATCH($B$2,Data!$C$1:$AY$1,0),FALSE)</f>
        <v>63.040309999999998</v>
      </c>
      <c r="C519" s="36">
        <f t="shared" si="34"/>
        <v>5.799432708934571E-3</v>
      </c>
      <c r="D519" s="36">
        <f t="shared" si="31"/>
        <v>7.1856475434985745E-2</v>
      </c>
      <c r="E519" s="36">
        <f>(Table143454[[#This Row],[JPN]]-B507)/B507</f>
        <v>4.2955354318515403E-2</v>
      </c>
      <c r="F519" s="35">
        <f>VLOOKUP(Table143454[[#This Row],[Date]],'Data Core CPI'!$B:$AY,MATCH($B$2,'Data Core CPI'!$C$1:$AY$1,0),FALSE)</f>
        <v>63.914299999999997</v>
      </c>
      <c r="G519" s="36">
        <f t="shared" si="32"/>
        <v>7.3236057205701144E-3</v>
      </c>
      <c r="H519" s="36">
        <f t="shared" si="33"/>
        <v>9.151104938331911E-2</v>
      </c>
      <c r="I519" s="36">
        <f>(Table143454[[#This Row],[Core CPI]]-F507)/F507</f>
        <v>4.6045490670510815E-2</v>
      </c>
    </row>
    <row r="520" spans="1:9" x14ac:dyDescent="0.2">
      <c r="A520" s="34">
        <f>IF(Data!B548="",#N/A,Data!B548)</f>
        <v>34486</v>
      </c>
      <c r="B520" s="35">
        <f>VLOOKUP(A520,Data!B:AY,MATCH($B$2,Data!$C$1:$AY$1,0),FALSE)</f>
        <v>63.144170000000003</v>
      </c>
      <c r="C520" s="36">
        <f t="shared" si="34"/>
        <v>1.6475172790235693E-3</v>
      </c>
      <c r="D520" s="36">
        <f t="shared" si="31"/>
        <v>1.9950339488146174E-2</v>
      </c>
      <c r="E520" s="36">
        <f>(Table143454[[#This Row],[JPN]]-B508)/B508</f>
        <v>3.8428698339775018E-2</v>
      </c>
      <c r="F520" s="35">
        <f>VLOOKUP(Table143454[[#This Row],[Date]],'Data Core CPI'!$B:$AY,MATCH($B$2,'Data Core CPI'!$C$1:$AY$1,0),FALSE)</f>
        <v>63.956200000000003</v>
      </c>
      <c r="G520" s="36">
        <f t="shared" si="32"/>
        <v>6.5556534296717928E-4</v>
      </c>
      <c r="H520" s="36">
        <f t="shared" si="33"/>
        <v>7.8952107404963723E-3</v>
      </c>
      <c r="I520" s="36">
        <f>(Table143454[[#This Row],[Core CPI]]-F508)/F508</f>
        <v>4.1376665817254916E-2</v>
      </c>
    </row>
    <row r="521" spans="1:9" x14ac:dyDescent="0.2">
      <c r="A521" s="34">
        <f>IF(Data!B549="",#N/A,Data!B549)</f>
        <v>34516</v>
      </c>
      <c r="B521" s="35">
        <f>VLOOKUP(A521,Data!B:AY,MATCH($B$2,Data!$C$1:$AY$1,0),FALSE)</f>
        <v>63.299950000000003</v>
      </c>
      <c r="C521" s="36">
        <f t="shared" si="34"/>
        <v>2.467052777794132E-3</v>
      </c>
      <c r="D521" s="36">
        <f t="shared" si="31"/>
        <v>3.000965417962731E-2</v>
      </c>
      <c r="E521" s="36">
        <f>(Table143454[[#This Row],[JPN]]-B509)/B509</f>
        <v>3.7446777545176148E-2</v>
      </c>
      <c r="F521" s="35">
        <f>VLOOKUP(Table143454[[#This Row],[Date]],'Data Core CPI'!$B:$AY,MATCH($B$2,'Data Core CPI'!$C$1:$AY$1,0),FALSE)</f>
        <v>64.125069999999994</v>
      </c>
      <c r="G521" s="36">
        <f t="shared" si="32"/>
        <v>2.6404007742797386E-3</v>
      </c>
      <c r="H521" s="36">
        <f t="shared" si="33"/>
        <v>3.2149016512619699E-2</v>
      </c>
      <c r="I521" s="36">
        <f>(Table143454[[#This Row],[Core CPI]]-F509)/F509</f>
        <v>3.9638684406571582E-2</v>
      </c>
    </row>
    <row r="522" spans="1:9" x14ac:dyDescent="0.2">
      <c r="A522" s="34">
        <f>IF(Data!B550="",#N/A,Data!B550)</f>
        <v>34547</v>
      </c>
      <c r="B522" s="35">
        <f>VLOOKUP(A522,Data!B:AY,MATCH($B$2,Data!$C$1:$AY$1,0),FALSE)</f>
        <v>63.403799999999997</v>
      </c>
      <c r="C522" s="36">
        <f t="shared" si="34"/>
        <v>1.6406016118495348E-3</v>
      </c>
      <c r="D522" s="36">
        <f t="shared" si="31"/>
        <v>1.9865838274523373E-2</v>
      </c>
      <c r="E522" s="36">
        <f>(Table143454[[#This Row],[JPN]]-B510)/B510</f>
        <v>3.8265316565971257E-2</v>
      </c>
      <c r="F522" s="35">
        <f>VLOOKUP(Table143454[[#This Row],[Date]],'Data Core CPI'!$B:$AY,MATCH($B$2,'Data Core CPI'!$C$1:$AY$1,0),FALSE)</f>
        <v>64.246859999999998</v>
      </c>
      <c r="G522" s="36">
        <f t="shared" si="32"/>
        <v>1.8992571859961505E-3</v>
      </c>
      <c r="H522" s="36">
        <f t="shared" si="33"/>
        <v>2.3030673641905253E-2</v>
      </c>
      <c r="I522" s="36">
        <f>(Table143454[[#This Row],[Core CPI]]-F510)/F510</f>
        <v>3.9267633958035071E-2</v>
      </c>
    </row>
    <row r="523" spans="1:9" x14ac:dyDescent="0.2">
      <c r="A523" s="34">
        <f>IF(Data!B551="",#N/A,Data!B551)</f>
        <v>34578</v>
      </c>
      <c r="B523" s="35">
        <f>VLOOKUP(A523,Data!B:AY,MATCH($B$2,Data!$C$1:$AY$1,0),FALSE)</f>
        <v>63.611519999999999</v>
      </c>
      <c r="C523" s="36">
        <f t="shared" si="34"/>
        <v>3.2761443320432626E-3</v>
      </c>
      <c r="D523" s="36">
        <f t="shared" si="31"/>
        <v>4.0029911255964334E-2</v>
      </c>
      <c r="E523" s="36">
        <f>(Table143454[[#This Row],[JPN]]-B511)/B511</f>
        <v>3.9016158022071513E-2</v>
      </c>
      <c r="F523" s="35">
        <f>VLOOKUP(Table143454[[#This Row],[Date]],'Data Core CPI'!$B:$AY,MATCH($B$2,'Data Core CPI'!$C$1:$AY$1,0),FALSE)</f>
        <v>64.414649999999995</v>
      </c>
      <c r="G523" s="36">
        <f t="shared" si="32"/>
        <v>2.6116451449922362E-3</v>
      </c>
      <c r="H523" s="36">
        <f t="shared" si="33"/>
        <v>3.1793849337741431E-2</v>
      </c>
      <c r="I523" s="36">
        <f>(Table143454[[#This Row],[Core CPI]]-F511)/F511</f>
        <v>3.9521393132456478E-2</v>
      </c>
    </row>
    <row r="524" spans="1:9" x14ac:dyDescent="0.2">
      <c r="A524" s="34">
        <f>IF(Data!B552="",#N/A,Data!B552)</f>
        <v>34608</v>
      </c>
      <c r="B524" s="35">
        <f>VLOOKUP(A524,Data!B:AY,MATCH($B$2,Data!$C$1:$AY$1,0),FALSE)</f>
        <v>63.923079999999999</v>
      </c>
      <c r="C524" s="36">
        <f t="shared" si="34"/>
        <v>4.8978549797269455E-3</v>
      </c>
      <c r="D524" s="36">
        <f t="shared" si="31"/>
        <v>6.0383668568310567E-2</v>
      </c>
      <c r="E524" s="36">
        <f>(Table143454[[#This Row],[JPN]]-B512)/B512</f>
        <v>3.8818612028393887E-2</v>
      </c>
      <c r="F524" s="35">
        <f>VLOOKUP(Table143454[[#This Row],[Date]],'Data Core CPI'!$B:$AY,MATCH($B$2,'Data Core CPI'!$C$1:$AY$1,0),FALSE)</f>
        <v>64.725740000000002</v>
      </c>
      <c r="G524" s="36">
        <f t="shared" si="32"/>
        <v>4.8294914278042E-3</v>
      </c>
      <c r="H524" s="36">
        <f t="shared" si="33"/>
        <v>5.9518333141607149E-2</v>
      </c>
      <c r="I524" s="36">
        <f>(Table143454[[#This Row],[Core CPI]]-F512)/F512</f>
        <v>3.8777035177266606E-2</v>
      </c>
    </row>
    <row r="525" spans="1:9" x14ac:dyDescent="0.2">
      <c r="A525" s="34">
        <f>IF(Data!B553="",#N/A,Data!B553)</f>
        <v>34639</v>
      </c>
      <c r="B525" s="35">
        <f>VLOOKUP(A525,Data!B:AY,MATCH($B$2,Data!$C$1:$AY$1,0),FALSE)</f>
        <v>64.182720000000003</v>
      </c>
      <c r="C525" s="36">
        <f t="shared" si="34"/>
        <v>4.0617567238625529E-3</v>
      </c>
      <c r="D525" s="36">
        <f t="shared" si="31"/>
        <v>4.9844817833644584E-2</v>
      </c>
      <c r="E525" s="36">
        <f>(Table143454[[#This Row],[JPN]]-B513)/B513</f>
        <v>3.952893097937038E-2</v>
      </c>
      <c r="F525" s="35">
        <f>VLOOKUP(Table143454[[#This Row],[Date]],'Data Core CPI'!$B:$AY,MATCH($B$2,'Data Core CPI'!$C$1:$AY$1,0),FALSE)</f>
        <v>64.990799999999993</v>
      </c>
      <c r="G525" s="36">
        <f t="shared" si="32"/>
        <v>4.0951250615286483E-3</v>
      </c>
      <c r="H525" s="36">
        <f t="shared" si="33"/>
        <v>5.0263572716539917E-2</v>
      </c>
      <c r="I525" s="36">
        <f>(Table143454[[#This Row],[Core CPI]]-F513)/F513</f>
        <v>3.9173429978417162E-2</v>
      </c>
    </row>
    <row r="526" spans="1:9" x14ac:dyDescent="0.2">
      <c r="A526" s="34">
        <f>IF(Data!B554="",#N/A,Data!B554)</f>
        <v>34669</v>
      </c>
      <c r="B526" s="35">
        <f>VLOOKUP(A526,Data!B:AY,MATCH($B$2,Data!$C$1:$AY$1,0),FALSE)</f>
        <v>64.338499999999996</v>
      </c>
      <c r="C526" s="36">
        <f t="shared" si="34"/>
        <v>2.4271330351843812E-3</v>
      </c>
      <c r="D526" s="36">
        <f t="shared" si="31"/>
        <v>2.9517563601722197E-2</v>
      </c>
      <c r="E526" s="36">
        <f>(Table143454[[#This Row],[JPN]]-B514)/B514</f>
        <v>4.0302221793917938E-2</v>
      </c>
      <c r="F526" s="35">
        <f>VLOOKUP(Table143454[[#This Row],[Date]],'Data Core CPI'!$B:$AY,MATCH($B$2,'Data Core CPI'!$C$1:$AY$1,0),FALSE)</f>
        <v>65.1023</v>
      </c>
      <c r="G526" s="36">
        <f t="shared" si="32"/>
        <v>1.7156274426535223E-3</v>
      </c>
      <c r="H526" s="36">
        <f t="shared" si="33"/>
        <v>2.0782907471141865E-2</v>
      </c>
      <c r="I526" s="36">
        <f>(Table143454[[#This Row],[Core CPI]]-F514)/F514</f>
        <v>3.9374787861680825E-2</v>
      </c>
    </row>
    <row r="527" spans="1:9" x14ac:dyDescent="0.2">
      <c r="A527" s="34">
        <f>IF(Data!B555="",#N/A,Data!B555)</f>
        <v>34700</v>
      </c>
      <c r="B527" s="35">
        <f>VLOOKUP(A527,Data!B:AY,MATCH($B$2,Data!$C$1:$AY$1,0),FALSE)</f>
        <v>64.598140000000001</v>
      </c>
      <c r="C527" s="36">
        <f t="shared" si="34"/>
        <v>4.0355308252446598E-3</v>
      </c>
      <c r="D527" s="36">
        <f t="shared" si="31"/>
        <v>4.9515804182389767E-2</v>
      </c>
      <c r="E527" s="36">
        <f>(Table143454[[#This Row],[JPN]]-B515)/B515</f>
        <v>3.9264745676872083E-2</v>
      </c>
      <c r="F527" s="35">
        <f>VLOOKUP(Table143454[[#This Row],[Date]],'Data Core CPI'!$B:$AY,MATCH($B$2,'Data Core CPI'!$C$1:$AY$1,0),FALSE)</f>
        <v>65.327420000000004</v>
      </c>
      <c r="G527" s="36">
        <f t="shared" si="32"/>
        <v>3.4579423461229553E-3</v>
      </c>
      <c r="H527" s="36">
        <f t="shared" si="33"/>
        <v>4.229366196233042E-2</v>
      </c>
      <c r="I527" s="36">
        <f>(Table143454[[#This Row],[Core CPI]]-F515)/F515</f>
        <v>3.9250475619442809E-2</v>
      </c>
    </row>
    <row r="528" spans="1:9" x14ac:dyDescent="0.2">
      <c r="A528" s="34">
        <f>IF(Data!B556="",#N/A,Data!B556)</f>
        <v>34731</v>
      </c>
      <c r="B528" s="35">
        <f>VLOOKUP(A528,Data!B:AY,MATCH($B$2,Data!$C$1:$AY$1,0),FALSE)</f>
        <v>65.065489999999997</v>
      </c>
      <c r="C528" s="36">
        <f t="shared" si="34"/>
        <v>7.2347284302611836E-3</v>
      </c>
      <c r="D528" s="36">
        <f t="shared" si="31"/>
        <v>9.0355947114887369E-2</v>
      </c>
      <c r="E528" s="36">
        <f>(Table143454[[#This Row],[JPN]]-B516)/B516</f>
        <v>4.2429183759983953E-2</v>
      </c>
      <c r="F528" s="35">
        <f>VLOOKUP(Table143454[[#This Row],[Date]],'Data Core CPI'!$B:$AY,MATCH($B$2,'Data Core CPI'!$C$1:$AY$1,0),FALSE)</f>
        <v>65.817610000000002</v>
      </c>
      <c r="G528" s="36">
        <f t="shared" si="32"/>
        <v>7.5035873144844167E-3</v>
      </c>
      <c r="H528" s="36">
        <f t="shared" si="33"/>
        <v>9.3853634022385002E-2</v>
      </c>
      <c r="I528" s="36">
        <f>(Table143454[[#This Row],[Core CPI]]-F516)/F516</f>
        <v>4.2009780872362693E-2</v>
      </c>
    </row>
    <row r="529" spans="1:9" x14ac:dyDescent="0.2">
      <c r="A529" s="34">
        <f>IF(Data!B557="",#N/A,Data!B557)</f>
        <v>34759</v>
      </c>
      <c r="B529" s="35">
        <f>VLOOKUP(A529,Data!B:AY,MATCH($B$2,Data!$C$1:$AY$1,0),FALSE)</f>
        <v>65.636700000000005</v>
      </c>
      <c r="C529" s="36">
        <f t="shared" si="34"/>
        <v>8.7790009727124474E-3</v>
      </c>
      <c r="D529" s="36">
        <f t="shared" si="31"/>
        <v>0.11058652342138275</v>
      </c>
      <c r="E529" s="36">
        <f>(Table143454[[#This Row],[JPN]]-B517)/B517</f>
        <v>4.8962682922463675E-2</v>
      </c>
      <c r="F529" s="35">
        <f>VLOOKUP(Table143454[[#This Row],[Date]],'Data Core CPI'!$B:$AY,MATCH($B$2,'Data Core CPI'!$C$1:$AY$1,0),FALSE)</f>
        <v>66.305769999999995</v>
      </c>
      <c r="G529" s="36">
        <f t="shared" si="32"/>
        <v>7.4168600166428789E-3</v>
      </c>
      <c r="H529" s="36">
        <f t="shared" si="33"/>
        <v>9.2724243682288598E-2</v>
      </c>
      <c r="I529" s="36">
        <f>(Table143454[[#This Row],[Core CPI]]-F517)/F517</f>
        <v>4.6719404315360612E-2</v>
      </c>
    </row>
    <row r="530" spans="1:9" x14ac:dyDescent="0.2">
      <c r="A530" s="34">
        <f>IF(Data!B558="",#N/A,Data!B558)</f>
        <v>34790</v>
      </c>
      <c r="B530" s="35">
        <f>VLOOKUP(A530,Data!B:AY,MATCH($B$2,Data!$C$1:$AY$1,0),FALSE)</f>
        <v>65.896339999999995</v>
      </c>
      <c r="C530" s="36">
        <f t="shared" si="34"/>
        <v>3.955713800358529E-3</v>
      </c>
      <c r="D530" s="36">
        <f t="shared" si="31"/>
        <v>4.8515051402128417E-2</v>
      </c>
      <c r="E530" s="36">
        <f>(Table143454[[#This Row],[JPN]]-B518)/B518</f>
        <v>5.1366996602571664E-2</v>
      </c>
      <c r="F530" s="35">
        <f>VLOOKUP(Table143454[[#This Row],[Date]],'Data Core CPI'!$B:$AY,MATCH($B$2,'Data Core CPI'!$C$1:$AY$1,0),FALSE)</f>
        <v>66.539069999999995</v>
      </c>
      <c r="G530" s="36">
        <f t="shared" si="32"/>
        <v>3.5185474808603345E-3</v>
      </c>
      <c r="H530" s="36">
        <f t="shared" si="33"/>
        <v>4.3049320960437232E-2</v>
      </c>
      <c r="I530" s="36">
        <f>(Table143454[[#This Row],[Core CPI]]-F518)/F518</f>
        <v>4.8691386961813042E-2</v>
      </c>
    </row>
    <row r="531" spans="1:9" x14ac:dyDescent="0.2">
      <c r="A531" s="34">
        <f>IF(Data!B559="",#N/A,Data!B559)</f>
        <v>34820</v>
      </c>
      <c r="B531" s="35">
        <f>VLOOKUP(A531,Data!B:AY,MATCH($B$2,Data!$C$1:$AY$1,0),FALSE)</f>
        <v>66.311760000000007</v>
      </c>
      <c r="C531" s="36">
        <f t="shared" si="34"/>
        <v>6.3041437506241582E-3</v>
      </c>
      <c r="D531" s="36">
        <f t="shared" si="31"/>
        <v>7.8328620811822569E-2</v>
      </c>
      <c r="E531" s="36">
        <f>(Table143454[[#This Row],[JPN]]-B519)/B519</f>
        <v>5.1894573487979496E-2</v>
      </c>
      <c r="F531" s="35">
        <f>VLOOKUP(Table143454[[#This Row],[Date]],'Data Core CPI'!$B:$AY,MATCH($B$2,'Data Core CPI'!$C$1:$AY$1,0),FALSE)</f>
        <v>66.917689999999993</v>
      </c>
      <c r="G531" s="36">
        <f t="shared" si="32"/>
        <v>5.6901907405679797E-3</v>
      </c>
      <c r="H531" s="36">
        <f t="shared" si="33"/>
        <v>7.0460310919045366E-2</v>
      </c>
      <c r="I531" s="36">
        <f>(Table143454[[#This Row],[Core CPI]]-F519)/F519</f>
        <v>4.6990892491977479E-2</v>
      </c>
    </row>
    <row r="532" spans="1:9" x14ac:dyDescent="0.2">
      <c r="A532" s="34">
        <f>IF(Data!B560="",#N/A,Data!B560)</f>
        <v>34851</v>
      </c>
      <c r="B532" s="35">
        <f>VLOOKUP(A532,Data!B:AY,MATCH($B$2,Data!$C$1:$AY$1,0),FALSE)</f>
        <v>66.727180000000004</v>
      </c>
      <c r="C532" s="36">
        <f t="shared" si="34"/>
        <v>6.2646504933665526E-3</v>
      </c>
      <c r="D532" s="36">
        <f t="shared" si="31"/>
        <v>7.7820891390287805E-2</v>
      </c>
      <c r="E532" s="36">
        <f>(Table143454[[#This Row],[JPN]]-B520)/B520</f>
        <v>5.674332246349903E-2</v>
      </c>
      <c r="F532" s="35">
        <f>VLOOKUP(Table143454[[#This Row],[Date]],'Data Core CPI'!$B:$AY,MATCH($B$2,'Data Core CPI'!$C$1:$AY$1,0),FALSE)</f>
        <v>67.363889999999998</v>
      </c>
      <c r="G532" s="36">
        <f t="shared" si="32"/>
        <v>6.6678930489083577E-3</v>
      </c>
      <c r="H532" s="36">
        <f t="shared" si="33"/>
        <v>8.3015339419908907E-2</v>
      </c>
      <c r="I532" s="36">
        <f>(Table143454[[#This Row],[Core CPI]]-F520)/F520</f>
        <v>5.3281620859275493E-2</v>
      </c>
    </row>
    <row r="533" spans="1:9" x14ac:dyDescent="0.2">
      <c r="A533" s="34">
        <f>IF(Data!B561="",#N/A,Data!B561)</f>
        <v>34881</v>
      </c>
      <c r="B533" s="35">
        <f>VLOOKUP(A533,Data!B:AY,MATCH($B$2,Data!$C$1:$AY$1,0),FALSE)</f>
        <v>66.831040000000002</v>
      </c>
      <c r="C533" s="36">
        <f t="shared" si="34"/>
        <v>1.5564871765898491E-3</v>
      </c>
      <c r="D533" s="36">
        <f t="shared" si="31"/>
        <v>1.8838573667444791E-2</v>
      </c>
      <c r="E533" s="36">
        <f>(Table143454[[#This Row],[JPN]]-B521)/B521</f>
        <v>5.5783456385036623E-2</v>
      </c>
      <c r="F533" s="35">
        <f>VLOOKUP(Table143454[[#This Row],[Date]],'Data Core CPI'!$B:$AY,MATCH($B$2,'Data Core CPI'!$C$1:$AY$1,0),FALSE)</f>
        <v>67.507189999999994</v>
      </c>
      <c r="G533" s="36">
        <f t="shared" si="32"/>
        <v>2.1272524493463063E-3</v>
      </c>
      <c r="H533" s="36">
        <f t="shared" si="33"/>
        <v>2.5827820734788176E-2</v>
      </c>
      <c r="I533" s="36">
        <f>(Table143454[[#This Row],[Core CPI]]-F521)/F521</f>
        <v>5.2742554511051615E-2</v>
      </c>
    </row>
    <row r="534" spans="1:9" x14ac:dyDescent="0.2">
      <c r="A534" s="34">
        <f>IF(Data!B562="",#N/A,Data!B562)</f>
        <v>34912</v>
      </c>
      <c r="B534" s="35">
        <f>VLOOKUP(A534,Data!B:AY,MATCH($B$2,Data!$C$1:$AY$1,0),FALSE)</f>
        <v>67.038749999999993</v>
      </c>
      <c r="C534" s="36">
        <f t="shared" si="34"/>
        <v>3.1079869473824573E-3</v>
      </c>
      <c r="D534" s="36">
        <f t="shared" si="31"/>
        <v>3.7940027064074622E-2</v>
      </c>
      <c r="E534" s="36">
        <f>(Table143454[[#This Row],[JPN]]-B522)/B522</f>
        <v>5.7330160021954464E-2</v>
      </c>
      <c r="F534" s="35">
        <f>VLOOKUP(Table143454[[#This Row],[Date]],'Data Core CPI'!$B:$AY,MATCH($B$2,'Data Core CPI'!$C$1:$AY$1,0),FALSE)</f>
        <v>67.772279999999995</v>
      </c>
      <c r="G534" s="36">
        <f t="shared" si="32"/>
        <v>3.9268409779757985E-3</v>
      </c>
      <c r="H534" s="36">
        <f t="shared" si="33"/>
        <v>4.8153256948035628E-2</v>
      </c>
      <c r="I534" s="36">
        <f>(Table143454[[#This Row],[Core CPI]]-F522)/F522</f>
        <v>5.4873031927163397E-2</v>
      </c>
    </row>
    <row r="535" spans="1:9" x14ac:dyDescent="0.2">
      <c r="A535" s="34">
        <f>IF(Data!B563="",#N/A,Data!B563)</f>
        <v>34943</v>
      </c>
      <c r="B535" s="35">
        <f>VLOOKUP(A535,Data!B:AY,MATCH($B$2,Data!$C$1:$AY$1,0),FALSE)</f>
        <v>67.19453</v>
      </c>
      <c r="C535" s="36">
        <f t="shared" si="34"/>
        <v>2.3237306781527245E-3</v>
      </c>
      <c r="D535" s="36">
        <f t="shared" si="31"/>
        <v>2.8243924876911519E-2</v>
      </c>
      <c r="E535" s="36">
        <f>(Table143454[[#This Row],[JPN]]-B523)/B523</f>
        <v>5.6326432696467581E-2</v>
      </c>
      <c r="F535" s="35">
        <f>VLOOKUP(Table143454[[#This Row],[Date]],'Data Core CPI'!$B:$AY,MATCH($B$2,'Data Core CPI'!$C$1:$AY$1,0),FALSE)</f>
        <v>67.92577</v>
      </c>
      <c r="G535" s="36">
        <f t="shared" si="32"/>
        <v>2.2647902652825902E-3</v>
      </c>
      <c r="H535" s="36">
        <f t="shared" si="33"/>
        <v>2.7518584081340336E-2</v>
      </c>
      <c r="I535" s="36">
        <f>(Table143454[[#This Row],[Core CPI]]-F523)/F523</f>
        <v>5.4508097148707718E-2</v>
      </c>
    </row>
    <row r="536" spans="1:9" x14ac:dyDescent="0.2">
      <c r="A536" s="34">
        <f>IF(Data!B564="",#N/A,Data!B564)</f>
        <v>34973</v>
      </c>
      <c r="B536" s="35">
        <f>VLOOKUP(A536,Data!B:AY,MATCH($B$2,Data!$C$1:$AY$1,0),FALSE)</f>
        <v>67.454170000000005</v>
      </c>
      <c r="C536" s="36">
        <f t="shared" si="34"/>
        <v>3.8640050015976701E-3</v>
      </c>
      <c r="D536" s="36">
        <f t="shared" si="31"/>
        <v>4.736627850267161E-2</v>
      </c>
      <c r="E536" s="36">
        <f>(Table143454[[#This Row],[JPN]]-B524)/B524</f>
        <v>5.5239672431303469E-2</v>
      </c>
      <c r="F536" s="35">
        <f>VLOOKUP(Table143454[[#This Row],[Date]],'Data Core CPI'!$B:$AY,MATCH($B$2,'Data Core CPI'!$C$1:$AY$1,0),FALSE)</f>
        <v>68.2072</v>
      </c>
      <c r="G536" s="36">
        <f t="shared" si="32"/>
        <v>4.1431992600158285E-3</v>
      </c>
      <c r="H536" s="36">
        <f t="shared" si="33"/>
        <v>5.086714752921262E-2</v>
      </c>
      <c r="I536" s="36">
        <f>(Table143454[[#This Row],[Core CPI]]-F524)/F524</f>
        <v>5.3787874808383783E-2</v>
      </c>
    </row>
    <row r="537" spans="1:9" x14ac:dyDescent="0.2">
      <c r="A537" s="34">
        <f>IF(Data!B565="",#N/A,Data!B565)</f>
        <v>35004</v>
      </c>
      <c r="B537" s="35">
        <f>VLOOKUP(A537,Data!B:AY,MATCH($B$2,Data!$C$1:$AY$1,0),FALSE)</f>
        <v>67.817670000000007</v>
      </c>
      <c r="C537" s="36">
        <f t="shared" si="34"/>
        <v>5.388844010681737E-3</v>
      </c>
      <c r="D537" s="36">
        <f t="shared" si="31"/>
        <v>6.6617593228391447E-2</v>
      </c>
      <c r="E537" s="36">
        <f>(Table143454[[#This Row],[JPN]]-B525)/B525</f>
        <v>5.6634402530774688E-2</v>
      </c>
      <c r="F537" s="35">
        <f>VLOOKUP(Table143454[[#This Row],[Date]],'Data Core CPI'!$B:$AY,MATCH($B$2,'Data Core CPI'!$C$1:$AY$1,0),FALSE)</f>
        <v>68.663679999999999</v>
      </c>
      <c r="G537" s="36">
        <f t="shared" si="32"/>
        <v>6.6925485872459944E-3</v>
      </c>
      <c r="H537" s="36">
        <f t="shared" si="33"/>
        <v>8.333368778917194E-2</v>
      </c>
      <c r="I537" s="36">
        <f>(Table143454[[#This Row],[Core CPI]]-F525)/F525</f>
        <v>5.651384503652835E-2</v>
      </c>
    </row>
    <row r="538" spans="1:9" x14ac:dyDescent="0.2">
      <c r="A538" s="34">
        <f>IF(Data!B566="",#N/A,Data!B566)</f>
        <v>35034</v>
      </c>
      <c r="B538" s="35">
        <f>VLOOKUP(A538,Data!B:AY,MATCH($B$2,Data!$C$1:$AY$1,0),FALSE)</f>
        <v>67.921520000000001</v>
      </c>
      <c r="C538" s="36">
        <f t="shared" si="34"/>
        <v>1.5313118247795021E-3</v>
      </c>
      <c r="D538" s="36">
        <f t="shared" si="31"/>
        <v>1.8531299051008032E-2</v>
      </c>
      <c r="E538" s="36">
        <f>(Table143454[[#This Row],[JPN]]-B526)/B526</f>
        <v>5.5690138874857277E-2</v>
      </c>
      <c r="F538" s="35">
        <f>VLOOKUP(Table143454[[#This Row],[Date]],'Data Core CPI'!$B:$AY,MATCH($B$2,'Data Core CPI'!$C$1:$AY$1,0),FALSE)</f>
        <v>68.742469999999997</v>
      </c>
      <c r="G538" s="36">
        <f t="shared" si="32"/>
        <v>1.1474770941493073E-3</v>
      </c>
      <c r="H538" s="36">
        <f t="shared" si="33"/>
        <v>1.3856960827749676E-2</v>
      </c>
      <c r="I538" s="36">
        <f>(Table143454[[#This Row],[Core CPI]]-F526)/F526</f>
        <v>5.5914614383823578E-2</v>
      </c>
    </row>
    <row r="539" spans="1:9" x14ac:dyDescent="0.2">
      <c r="A539" s="34">
        <f>IF(Data!B567="",#N/A,Data!B567)</f>
        <v>35065</v>
      </c>
      <c r="B539" s="35">
        <f>VLOOKUP(A539,Data!B:AY,MATCH($B$2,Data!$C$1:$AY$1,0),FALSE)</f>
        <v>68.203739999999996</v>
      </c>
      <c r="C539" s="36">
        <f t="shared" si="34"/>
        <v>4.1550895798561083E-3</v>
      </c>
      <c r="D539" s="36">
        <f t="shared" si="31"/>
        <v>5.1016480337188419E-2</v>
      </c>
      <c r="E539" s="36">
        <f>(Table143454[[#This Row],[JPN]]-B527)/B527</f>
        <v>5.5815848567776029E-2</v>
      </c>
      <c r="F539" s="35">
        <f>VLOOKUP(Table143454[[#This Row],[Date]],'Data Core CPI'!$B:$AY,MATCH($B$2,'Data Core CPI'!$C$1:$AY$1,0),FALSE)</f>
        <v>68.9482</v>
      </c>
      <c r="G539" s="36">
        <f t="shared" si="32"/>
        <v>2.992764152931926E-3</v>
      </c>
      <c r="H539" s="36">
        <f t="shared" si="33"/>
        <v>3.6510244918372292E-2</v>
      </c>
      <c r="I539" s="36">
        <f>(Table143454[[#This Row],[Core CPI]]-F527)/F527</f>
        <v>5.5425118579610154E-2</v>
      </c>
    </row>
    <row r="540" spans="1:9" x14ac:dyDescent="0.2">
      <c r="A540" s="34">
        <f>IF(Data!B568="",#N/A,Data!B568)</f>
        <v>35096</v>
      </c>
      <c r="B540" s="35">
        <f>VLOOKUP(A540,Data!B:AY,MATCH($B$2,Data!$C$1:$AY$1,0),FALSE)</f>
        <v>68.469909999999999</v>
      </c>
      <c r="C540" s="36">
        <f t="shared" si="34"/>
        <v>3.9025719117455893E-3</v>
      </c>
      <c r="D540" s="36">
        <f t="shared" si="31"/>
        <v>4.7849238951022555E-2</v>
      </c>
      <c r="E540" s="36">
        <f>(Table143454[[#This Row],[JPN]]-B528)/B528</f>
        <v>5.2322974898060433E-2</v>
      </c>
      <c r="F540" s="35">
        <f>VLOOKUP(Table143454[[#This Row],[Date]],'Data Core CPI'!$B:$AY,MATCH($B$2,'Data Core CPI'!$C$1:$AY$1,0),FALSE)</f>
        <v>69.238479999999996</v>
      </c>
      <c r="G540" s="36">
        <f t="shared" si="32"/>
        <v>4.2101171604189691E-3</v>
      </c>
      <c r="H540" s="36">
        <f t="shared" si="33"/>
        <v>5.1707835637529787E-2</v>
      </c>
      <c r="I540" s="36">
        <f>(Table143454[[#This Row],[Core CPI]]-F528)/F528</f>
        <v>5.197499574961767E-2</v>
      </c>
    </row>
    <row r="541" spans="1:9" x14ac:dyDescent="0.2">
      <c r="A541" s="34">
        <f>IF(Data!B569="",#N/A,Data!B569)</f>
        <v>35125</v>
      </c>
      <c r="B541" s="35">
        <f>VLOOKUP(A541,Data!B:AY,MATCH($B$2,Data!$C$1:$AY$1,0),FALSE)</f>
        <v>68.736069999999998</v>
      </c>
      <c r="C541" s="36">
        <f t="shared" si="34"/>
        <v>3.887255000043055E-3</v>
      </c>
      <c r="D541" s="36">
        <f t="shared" si="31"/>
        <v>4.7657405982851397E-2</v>
      </c>
      <c r="E541" s="36">
        <f>(Table143454[[#This Row],[JPN]]-B529)/B529</f>
        <v>4.7220076573014684E-2</v>
      </c>
      <c r="F541" s="35">
        <f>VLOOKUP(Table143454[[#This Row],[Date]],'Data Core CPI'!$B:$AY,MATCH($B$2,'Data Core CPI'!$C$1:$AY$1,0),FALSE)</f>
        <v>69.510260000000002</v>
      </c>
      <c r="G541" s="36">
        <f t="shared" si="32"/>
        <v>3.9252739228246014E-3</v>
      </c>
      <c r="H541" s="36">
        <f t="shared" si="33"/>
        <v>4.8133624045009205E-2</v>
      </c>
      <c r="I541" s="36">
        <f>(Table143454[[#This Row],[Core CPI]]-F529)/F529</f>
        <v>4.8328976497822244E-2</v>
      </c>
    </row>
    <row r="542" spans="1:9" x14ac:dyDescent="0.2">
      <c r="A542" s="34">
        <f>IF(Data!B570="",#N/A,Data!B570)</f>
        <v>35156</v>
      </c>
      <c r="B542" s="35">
        <f>VLOOKUP(A542,Data!B:AY,MATCH($B$2,Data!$C$1:$AY$1,0),FALSE)</f>
        <v>69.002229999999997</v>
      </c>
      <c r="C542" s="36">
        <f t="shared" si="34"/>
        <v>3.8722027605011533E-3</v>
      </c>
      <c r="D542" s="36">
        <f t="shared" si="31"/>
        <v>4.7468919201065773E-2</v>
      </c>
      <c r="E542" s="36">
        <f>(Table143454[[#This Row],[JPN]]-B530)/B530</f>
        <v>4.7132966717119681E-2</v>
      </c>
      <c r="F542" s="35">
        <f>VLOOKUP(Table143454[[#This Row],[Date]],'Data Core CPI'!$B:$AY,MATCH($B$2,'Data Core CPI'!$C$1:$AY$1,0),FALSE)</f>
        <v>69.671390000000002</v>
      </c>
      <c r="G542" s="36">
        <f t="shared" si="32"/>
        <v>2.3180750582718623E-3</v>
      </c>
      <c r="H542" s="36">
        <f t="shared" si="33"/>
        <v>2.8174304540047768E-2</v>
      </c>
      <c r="I542" s="36">
        <f>(Table143454[[#This Row],[Core CPI]]-F530)/F530</f>
        <v>4.7074899002946799E-2</v>
      </c>
    </row>
    <row r="543" spans="1:9" x14ac:dyDescent="0.2">
      <c r="A543" s="34">
        <f>IF(Data!B571="",#N/A,Data!B571)</f>
        <v>35186</v>
      </c>
      <c r="B543" s="35">
        <f>VLOOKUP(A543,Data!B:AY,MATCH($B$2,Data!$C$1:$AY$1,0),FALSE)</f>
        <v>69.268389999999997</v>
      </c>
      <c r="C543" s="36">
        <f t="shared" si="34"/>
        <v>3.8572666419620649E-3</v>
      </c>
      <c r="D543" s="36">
        <f t="shared" si="31"/>
        <v>4.7281917233736648E-2</v>
      </c>
      <c r="E543" s="36">
        <f>(Table143454[[#This Row],[JPN]]-B531)/B531</f>
        <v>4.4586812354248925E-2</v>
      </c>
      <c r="F543" s="35">
        <f>VLOOKUP(Table143454[[#This Row],[Date]],'Data Core CPI'!$B:$AY,MATCH($B$2,'Data Core CPI'!$C$1:$AY$1,0),FALSE)</f>
        <v>69.910870000000003</v>
      </c>
      <c r="G543" s="36">
        <f t="shared" si="32"/>
        <v>3.4372789175012297E-3</v>
      </c>
      <c r="H543" s="36">
        <f t="shared" si="33"/>
        <v>4.203613342206336E-2</v>
      </c>
      <c r="I543" s="36">
        <f>(Table143454[[#This Row],[Core CPI]]-F531)/F531</f>
        <v>4.4729278610783033E-2</v>
      </c>
    </row>
    <row r="544" spans="1:9" x14ac:dyDescent="0.2">
      <c r="A544" s="34">
        <f>IF(Data!B572="",#N/A,Data!B572)</f>
        <v>35217</v>
      </c>
      <c r="B544" s="35">
        <f>VLOOKUP(A544,Data!B:AY,MATCH($B$2,Data!$C$1:$AY$1,0),FALSE)</f>
        <v>69.401470000000003</v>
      </c>
      <c r="C544" s="36">
        <f t="shared" si="34"/>
        <v>1.9212226529301546E-3</v>
      </c>
      <c r="D544" s="36">
        <f t="shared" si="31"/>
        <v>2.3299851079734646E-2</v>
      </c>
      <c r="E544" s="36">
        <f>(Table143454[[#This Row],[JPN]]-B532)/B532</f>
        <v>4.007797122551858E-2</v>
      </c>
      <c r="F544" s="35">
        <f>VLOOKUP(Table143454[[#This Row],[Date]],'Data Core CPI'!$B:$AY,MATCH($B$2,'Data Core CPI'!$C$1:$AY$1,0),FALSE)</f>
        <v>70.053759999999997</v>
      </c>
      <c r="G544" s="36">
        <f t="shared" si="32"/>
        <v>2.0438881678914722E-3</v>
      </c>
      <c r="H544" s="36">
        <f t="shared" si="33"/>
        <v>2.4804258710958038E-2</v>
      </c>
      <c r="I544" s="36">
        <f>(Table143454[[#This Row],[Core CPI]]-F532)/F532</f>
        <v>3.9930443446778374E-2</v>
      </c>
    </row>
    <row r="545" spans="1:9" x14ac:dyDescent="0.2">
      <c r="A545" s="34">
        <f>IF(Data!B573="",#N/A,Data!B573)</f>
        <v>35247</v>
      </c>
      <c r="B545" s="35">
        <f>VLOOKUP(A545,Data!B:AY,MATCH($B$2,Data!$C$1:$AY$1,0),FALSE)</f>
        <v>69.33493</v>
      </c>
      <c r="C545" s="36">
        <f t="shared" si="34"/>
        <v>-9.5876931713412272E-4</v>
      </c>
      <c r="D545" s="36">
        <f t="shared" si="31"/>
        <v>-1.1444755534455231E-2</v>
      </c>
      <c r="E545" s="36">
        <f>(Table143454[[#This Row],[JPN]]-B533)/B533</f>
        <v>3.7465973894765039E-2</v>
      </c>
      <c r="F545" s="35">
        <f>VLOOKUP(Table143454[[#This Row],[Date]],'Data Core CPI'!$B:$AY,MATCH($B$2,'Data Core CPI'!$C$1:$AY$1,0),FALSE)</f>
        <v>70.15701</v>
      </c>
      <c r="G545" s="36">
        <f t="shared" si="32"/>
        <v>1.4738680693227035E-3</v>
      </c>
      <c r="H545" s="36">
        <f t="shared" si="33"/>
        <v>1.7830494487078186E-2</v>
      </c>
      <c r="I545" s="36">
        <f>(Table143454[[#This Row],[Core CPI]]-F533)/F533</f>
        <v>3.9252411483873137E-2</v>
      </c>
    </row>
    <row r="546" spans="1:9" x14ac:dyDescent="0.2">
      <c r="A546" s="34">
        <f>IF(Data!B574="",#N/A,Data!B574)</f>
        <v>35278</v>
      </c>
      <c r="B546" s="35">
        <f>VLOOKUP(A546,Data!B:AY,MATCH($B$2,Data!$C$1:$AY$1,0),FALSE)</f>
        <v>69.401470000000003</v>
      </c>
      <c r="C546" s="36">
        <f t="shared" si="34"/>
        <v>9.596894379211296E-4</v>
      </c>
      <c r="D546" s="36">
        <f t="shared" si="31"/>
        <v>1.157725438060031E-2</v>
      </c>
      <c r="E546" s="36">
        <f>(Table143454[[#This Row],[JPN]]-B534)/B534</f>
        <v>3.5244093900915673E-2</v>
      </c>
      <c r="F546" s="35">
        <f>VLOOKUP(Table143454[[#This Row],[Date]],'Data Core CPI'!$B:$AY,MATCH($B$2,'Data Core CPI'!$C$1:$AY$1,0),FALSE)</f>
        <v>70.285849999999996</v>
      </c>
      <c r="G546" s="36">
        <f t="shared" si="32"/>
        <v>1.8364522661384886E-3</v>
      </c>
      <c r="H546" s="36">
        <f t="shared" si="33"/>
        <v>2.2261384176300636E-2</v>
      </c>
      <c r="I546" s="36">
        <f>(Table143454[[#This Row],[Core CPI]]-F534)/F534</f>
        <v>3.7088467438309611E-2</v>
      </c>
    </row>
    <row r="547" spans="1:9" x14ac:dyDescent="0.2">
      <c r="A547" s="34">
        <f>IF(Data!B575="",#N/A,Data!B575)</f>
        <v>35309</v>
      </c>
      <c r="B547" s="35">
        <f>VLOOKUP(A547,Data!B:AY,MATCH($B$2,Data!$C$1:$AY$1,0),FALSE)</f>
        <v>69.468010000000007</v>
      </c>
      <c r="C547" s="36">
        <f t="shared" si="34"/>
        <v>9.587693171340117E-4</v>
      </c>
      <c r="D547" s="36">
        <f t="shared" si="31"/>
        <v>1.1566095866663906E-2</v>
      </c>
      <c r="E547" s="36">
        <f>(Table143454[[#This Row],[JPN]]-B535)/B535</f>
        <v>3.3834301690926424E-2</v>
      </c>
      <c r="F547" s="35">
        <f>VLOOKUP(Table143454[[#This Row],[Date]],'Data Core CPI'!$B:$AY,MATCH($B$2,'Data Core CPI'!$C$1:$AY$1,0),FALSE)</f>
        <v>70.37012</v>
      </c>
      <c r="G547" s="36">
        <f t="shared" si="32"/>
        <v>1.1989610995670752E-3</v>
      </c>
      <c r="H547" s="36">
        <f t="shared" si="33"/>
        <v>1.4482788902541399E-2</v>
      </c>
      <c r="I547" s="36">
        <f>(Table143454[[#This Row],[Core CPI]]-F535)/F535</f>
        <v>3.5985606052018254E-2</v>
      </c>
    </row>
    <row r="548" spans="1:9" x14ac:dyDescent="0.2">
      <c r="A548" s="34">
        <f>IF(Data!B576="",#N/A,Data!B576)</f>
        <v>35339</v>
      </c>
      <c r="B548" s="35">
        <f>VLOOKUP(A548,Data!B:AY,MATCH($B$2,Data!$C$1:$AY$1,0),FALSE)</f>
        <v>69.534549999999996</v>
      </c>
      <c r="C548" s="36">
        <f t="shared" si="34"/>
        <v>9.5785095902400919E-4</v>
      </c>
      <c r="D548" s="36">
        <f t="shared" si="31"/>
        <v>1.1554958841619278E-2</v>
      </c>
      <c r="E548" s="36">
        <f>(Table143454[[#This Row],[JPN]]-B536)/B536</f>
        <v>3.0841384602315777E-2</v>
      </c>
      <c r="F548" s="35">
        <f>VLOOKUP(Table143454[[#This Row],[Date]],'Data Core CPI'!$B:$AY,MATCH($B$2,'Data Core CPI'!$C$1:$AY$1,0),FALSE)</f>
        <v>70.44068</v>
      </c>
      <c r="G548" s="36">
        <f t="shared" si="32"/>
        <v>1.0026983043371906E-3</v>
      </c>
      <c r="H548" s="36">
        <f t="shared" si="33"/>
        <v>1.2098958595613274E-2</v>
      </c>
      <c r="I548" s="36">
        <f>(Table143454[[#This Row],[Core CPI]]-F536)/F536</f>
        <v>3.274551660235283E-2</v>
      </c>
    </row>
    <row r="549" spans="1:9" x14ac:dyDescent="0.2">
      <c r="A549" s="34">
        <f>IF(Data!B577="",#N/A,Data!B577)</f>
        <v>35370</v>
      </c>
      <c r="B549" s="35">
        <f>VLOOKUP(A549,Data!B:AY,MATCH($B$2,Data!$C$1:$AY$1,0),FALSE)</f>
        <v>69.800709999999995</v>
      </c>
      <c r="C549" s="36">
        <f t="shared" si="34"/>
        <v>3.8277374341244563E-3</v>
      </c>
      <c r="D549" s="36">
        <f t="shared" si="31"/>
        <v>4.691229812232578E-2</v>
      </c>
      <c r="E549" s="36">
        <f>(Table143454[[#This Row],[JPN]]-B537)/B537</f>
        <v>2.924075687059122E-2</v>
      </c>
      <c r="F549" s="35">
        <f>VLOOKUP(Table143454[[#This Row],[Date]],'Data Core CPI'!$B:$AY,MATCH($B$2,'Data Core CPI'!$C$1:$AY$1,0),FALSE)</f>
        <v>70.735219999999998</v>
      </c>
      <c r="G549" s="36">
        <f t="shared" si="32"/>
        <v>4.1813906396133138E-3</v>
      </c>
      <c r="H549" s="36">
        <f t="shared" si="33"/>
        <v>5.1346869497697734E-2</v>
      </c>
      <c r="I549" s="36">
        <f>(Table143454[[#This Row],[Core CPI]]-F537)/F537</f>
        <v>3.0169370473589516E-2</v>
      </c>
    </row>
    <row r="550" spans="1:9" x14ac:dyDescent="0.2">
      <c r="A550" s="34">
        <f>IF(Data!B578="",#N/A,Data!B578)</f>
        <v>35400</v>
      </c>
      <c r="B550" s="35">
        <f>VLOOKUP(A550,Data!B:AY,MATCH($B$2,Data!$C$1:$AY$1,0),FALSE)</f>
        <v>69.867249999999999</v>
      </c>
      <c r="C550" s="36">
        <f t="shared" si="34"/>
        <v>9.5328543219697082E-4</v>
      </c>
      <c r="D550" s="36">
        <f t="shared" si="31"/>
        <v>1.1499593887623449E-2</v>
      </c>
      <c r="E550" s="36">
        <f>(Table143454[[#This Row],[JPN]]-B538)/B538</f>
        <v>2.8646738176648541E-2</v>
      </c>
      <c r="F550" s="35">
        <f>VLOOKUP(Table143454[[#This Row],[Date]],'Data Core CPI'!$B:$AY,MATCH($B$2,'Data Core CPI'!$C$1:$AY$1,0),FALSE)</f>
        <v>70.817499999999995</v>
      </c>
      <c r="G550" s="36">
        <f t="shared" si="32"/>
        <v>1.1632111980424131E-3</v>
      </c>
      <c r="H550" s="36">
        <f t="shared" si="33"/>
        <v>1.4048183520526392E-2</v>
      </c>
      <c r="I550" s="36">
        <f>(Table143454[[#This Row],[Core CPI]]-F538)/F538</f>
        <v>3.0185560687592376E-2</v>
      </c>
    </row>
    <row r="551" spans="1:9" x14ac:dyDescent="0.2">
      <c r="A551" s="34">
        <f>IF(Data!B579="",#N/A,Data!B579)</f>
        <v>35431</v>
      </c>
      <c r="B551" s="35">
        <f>VLOOKUP(A551,Data!B:AY,MATCH($B$2,Data!$C$1:$AY$1,0),FALSE)</f>
        <v>70.066869999999994</v>
      </c>
      <c r="C551" s="36">
        <f t="shared" si="34"/>
        <v>2.8571326336730429E-3</v>
      </c>
      <c r="D551" s="36">
        <f t="shared" si="31"/>
        <v>3.4829527535912508E-2</v>
      </c>
      <c r="E551" s="36">
        <f>(Table143454[[#This Row],[JPN]]-B539)/B539</f>
        <v>2.7317123665065848E-2</v>
      </c>
      <c r="F551" s="35">
        <f>VLOOKUP(Table143454[[#This Row],[Date]],'Data Core CPI'!$B:$AY,MATCH($B$2,'Data Core CPI'!$C$1:$AY$1,0),FALSE)</f>
        <v>71.041470000000004</v>
      </c>
      <c r="G551" s="36">
        <f t="shared" si="32"/>
        <v>3.1626363540087077E-3</v>
      </c>
      <c r="H551" s="36">
        <f t="shared" si="33"/>
        <v>3.8618795135297201E-2</v>
      </c>
      <c r="I551" s="36">
        <f>(Table143454[[#This Row],[Core CPI]]-F539)/F539</f>
        <v>3.0360038405643715E-2</v>
      </c>
    </row>
    <row r="552" spans="1:9" x14ac:dyDescent="0.2">
      <c r="A552" s="34">
        <f>IF(Data!B580="",#N/A,Data!B580)</f>
        <v>35462</v>
      </c>
      <c r="B552" s="35">
        <f>VLOOKUP(A552,Data!B:AY,MATCH($B$2,Data!$C$1:$AY$1,0),FALSE)</f>
        <v>70.133420000000001</v>
      </c>
      <c r="C552" s="36">
        <f t="shared" si="34"/>
        <v>9.4980694870505644E-4</v>
      </c>
      <c r="D552" s="36">
        <f t="shared" si="31"/>
        <v>1.1457413089286828E-2</v>
      </c>
      <c r="E552" s="36">
        <f>(Table143454[[#This Row],[JPN]]-B540)/B540</f>
        <v>2.4295489799825973E-2</v>
      </c>
      <c r="F552" s="35">
        <f>VLOOKUP(Table143454[[#This Row],[Date]],'Data Core CPI'!$B:$AY,MATCH($B$2,'Data Core CPI'!$C$1:$AY$1,0),FALSE)</f>
        <v>71.149940000000001</v>
      </c>
      <c r="G552" s="36">
        <f t="shared" si="32"/>
        <v>1.5268546667177585E-3</v>
      </c>
      <c r="H552" s="36">
        <f t="shared" si="33"/>
        <v>1.8476906616306854E-2</v>
      </c>
      <c r="I552" s="36">
        <f>(Table143454[[#This Row],[Core CPI]]-F540)/F540</f>
        <v>2.7606902982272363E-2</v>
      </c>
    </row>
    <row r="553" spans="1:9" x14ac:dyDescent="0.2">
      <c r="A553" s="34">
        <f>IF(Data!B581="",#N/A,Data!B581)</f>
        <v>35490</v>
      </c>
      <c r="B553" s="35">
        <f>VLOOKUP(A553,Data!B:AY,MATCH($B$2,Data!$C$1:$AY$1,0),FALSE)</f>
        <v>70.333029999999994</v>
      </c>
      <c r="C553" s="36">
        <f t="shared" si="34"/>
        <v>2.8461466730125284E-3</v>
      </c>
      <c r="D553" s="36">
        <f t="shared" si="31"/>
        <v>3.4693501242597513E-2</v>
      </c>
      <c r="E553" s="36">
        <f>(Table143454[[#This Row],[JPN]]-B541)/B541</f>
        <v>2.3233216563006812E-2</v>
      </c>
      <c r="F553" s="35">
        <f>VLOOKUP(Table143454[[#This Row],[Date]],'Data Core CPI'!$B:$AY,MATCH($B$2,'Data Core CPI'!$C$1:$AY$1,0),FALSE)</f>
        <v>71.400220000000004</v>
      </c>
      <c r="G553" s="36">
        <f t="shared" si="32"/>
        <v>3.5176417576741059E-3</v>
      </c>
      <c r="H553" s="36">
        <f t="shared" si="33"/>
        <v>4.3038024197455949E-2</v>
      </c>
      <c r="I553" s="36">
        <f>(Table143454[[#This Row],[Core CPI]]-F541)/F541</f>
        <v>2.7189655167453006E-2</v>
      </c>
    </row>
    <row r="554" spans="1:9" x14ac:dyDescent="0.2">
      <c r="A554" s="34">
        <f>IF(Data!B582="",#N/A,Data!B582)</f>
        <v>35521</v>
      </c>
      <c r="B554" s="35">
        <f>VLOOKUP(A554,Data!B:AY,MATCH($B$2,Data!$C$1:$AY$1,0),FALSE)</f>
        <v>70.399569999999997</v>
      </c>
      <c r="C554" s="36">
        <f t="shared" si="34"/>
        <v>9.4607043091987642E-4</v>
      </c>
      <c r="D554" s="36">
        <f t="shared" si="31"/>
        <v>1.1412105110888415E-2</v>
      </c>
      <c r="E554" s="36">
        <f>(Table143454[[#This Row],[JPN]]-B542)/B542</f>
        <v>2.0250649870301292E-2</v>
      </c>
      <c r="F554" s="35">
        <f>VLOOKUP(Table143454[[#This Row],[Date]],'Data Core CPI'!$B:$AY,MATCH($B$2,'Data Core CPI'!$C$1:$AY$1,0),FALSE)</f>
        <v>71.496530000000007</v>
      </c>
      <c r="G554" s="36">
        <f t="shared" si="32"/>
        <v>1.3488753956221178E-3</v>
      </c>
      <c r="H554" s="36">
        <f t="shared" si="33"/>
        <v>1.6307130999550834E-2</v>
      </c>
      <c r="I554" s="36">
        <f>(Table143454[[#This Row],[Core CPI]]-F542)/F542</f>
        <v>2.6196405726941929E-2</v>
      </c>
    </row>
    <row r="555" spans="1:9" x14ac:dyDescent="0.2">
      <c r="A555" s="34">
        <f>IF(Data!B583="",#N/A,Data!B583)</f>
        <v>35551</v>
      </c>
      <c r="B555" s="35">
        <f>VLOOKUP(A555,Data!B:AY,MATCH($B$2,Data!$C$1:$AY$1,0),FALSE)</f>
        <v>70.599199999999996</v>
      </c>
      <c r="C555" s="36">
        <f t="shared" si="34"/>
        <v>2.8356707292387373E-3</v>
      </c>
      <c r="D555" s="36">
        <f t="shared" si="31"/>
        <v>3.456380515832902E-2</v>
      </c>
      <c r="E555" s="36">
        <f>(Table143454[[#This Row],[JPN]]-B543)/B543</f>
        <v>1.9212370895295816E-2</v>
      </c>
      <c r="F555" s="35">
        <f>VLOOKUP(Table143454[[#This Row],[Date]],'Data Core CPI'!$B:$AY,MATCH($B$2,'Data Core CPI'!$C$1:$AY$1,0),FALSE)</f>
        <v>71.765940000000001</v>
      </c>
      <c r="G555" s="36">
        <f t="shared" si="32"/>
        <v>3.7681549020629479E-3</v>
      </c>
      <c r="H555" s="36">
        <f t="shared" si="33"/>
        <v>4.616686353662991E-2</v>
      </c>
      <c r="I555" s="36">
        <f>(Table143454[[#This Row],[Core CPI]]-F543)/F543</f>
        <v>2.6534786364409393E-2</v>
      </c>
    </row>
    <row r="556" spans="1:9" x14ac:dyDescent="0.2">
      <c r="A556" s="34">
        <f>IF(Data!B584="",#N/A,Data!B584)</f>
        <v>35582</v>
      </c>
      <c r="B556" s="35">
        <f>VLOOKUP(A556,Data!B:AY,MATCH($B$2,Data!$C$1:$AY$1,0),FALSE)</f>
        <v>70.599199999999996</v>
      </c>
      <c r="C556" s="36">
        <f t="shared" si="34"/>
        <v>0</v>
      </c>
      <c r="D556" s="36">
        <f t="shared" si="31"/>
        <v>0</v>
      </c>
      <c r="E556" s="36">
        <f>(Table143454[[#This Row],[JPN]]-B544)/B544</f>
        <v>1.7257991797579975E-2</v>
      </c>
      <c r="F556" s="35">
        <f>VLOOKUP(Table143454[[#This Row],[Date]],'Data Core CPI'!$B:$AY,MATCH($B$2,'Data Core CPI'!$C$1:$AY$1,0),FALSE)</f>
        <v>71.787679999999995</v>
      </c>
      <c r="G556" s="36">
        <f t="shared" si="32"/>
        <v>3.0292921684016427E-4</v>
      </c>
      <c r="H556" s="36">
        <f t="shared" si="33"/>
        <v>3.6412132852399193E-3</v>
      </c>
      <c r="I556" s="36">
        <f>(Table143454[[#This Row],[Core CPI]]-F544)/F544</f>
        <v>2.4751276733754161E-2</v>
      </c>
    </row>
    <row r="557" spans="1:9" x14ac:dyDescent="0.2">
      <c r="A557" s="34">
        <f>IF(Data!B585="",#N/A,Data!B585)</f>
        <v>35612</v>
      </c>
      <c r="B557" s="35">
        <f>VLOOKUP(A557,Data!B:AY,MATCH($B$2,Data!$C$1:$AY$1,0),FALSE)</f>
        <v>70.599199999999996</v>
      </c>
      <c r="C557" s="36">
        <f t="shared" si="34"/>
        <v>0</v>
      </c>
      <c r="D557" s="36">
        <f t="shared" si="31"/>
        <v>0</v>
      </c>
      <c r="E557" s="36">
        <f>(Table143454[[#This Row],[JPN]]-B545)/B545</f>
        <v>1.823424354794901E-2</v>
      </c>
      <c r="F557" s="35">
        <f>VLOOKUP(Table143454[[#This Row],[Date]],'Data Core CPI'!$B:$AY,MATCH($B$2,'Data Core CPI'!$C$1:$AY$1,0),FALSE)</f>
        <v>71.855260000000001</v>
      </c>
      <c r="G557" s="36">
        <f t="shared" si="32"/>
        <v>9.4138715723923738E-4</v>
      </c>
      <c r="H557" s="36">
        <f t="shared" si="33"/>
        <v>1.135531966031289E-2</v>
      </c>
      <c r="I557" s="36">
        <f>(Table143454[[#This Row],[Core CPI]]-F545)/F545</f>
        <v>2.4206419287252999E-2</v>
      </c>
    </row>
    <row r="558" spans="1:9" x14ac:dyDescent="0.2">
      <c r="A558" s="34">
        <f>IF(Data!B586="",#N/A,Data!B586)</f>
        <v>35643</v>
      </c>
      <c r="B558" s="35">
        <f>VLOOKUP(A558,Data!B:AY,MATCH($B$2,Data!$C$1:$AY$1,0),FALSE)</f>
        <v>70.665729999999996</v>
      </c>
      <c r="C558" s="36">
        <f t="shared" si="34"/>
        <v>9.4236195310992699E-4</v>
      </c>
      <c r="D558" s="36">
        <f t="shared" si="31"/>
        <v>1.1367138977000701E-2</v>
      </c>
      <c r="E558" s="36">
        <f>(Table143454[[#This Row],[JPN]]-B546)/B546</f>
        <v>1.8216617025547052E-2</v>
      </c>
      <c r="F558" s="35">
        <f>VLOOKUP(Table143454[[#This Row],[Date]],'Data Core CPI'!$B:$AY,MATCH($B$2,'Data Core CPI'!$C$1:$AY$1,0),FALSE)</f>
        <v>71.978070000000002</v>
      </c>
      <c r="G558" s="36">
        <f t="shared" si="32"/>
        <v>1.7091302710476874E-3</v>
      </c>
      <c r="H558" s="36">
        <f t="shared" si="33"/>
        <v>2.0703460191453082E-2</v>
      </c>
      <c r="I558" s="36">
        <f>(Table143454[[#This Row],[Core CPI]]-F546)/F546</f>
        <v>2.4076254324305761E-2</v>
      </c>
    </row>
    <row r="559" spans="1:9" x14ac:dyDescent="0.2">
      <c r="A559" s="34">
        <f>IF(Data!B587="",#N/A,Data!B587)</f>
        <v>35674</v>
      </c>
      <c r="B559" s="35">
        <f>VLOOKUP(A559,Data!B:AY,MATCH($B$2,Data!$C$1:$AY$1,0),FALSE)</f>
        <v>70.732280000000003</v>
      </c>
      <c r="C559" s="36">
        <f t="shared" si="34"/>
        <v>9.4175776575156078E-4</v>
      </c>
      <c r="D559" s="36">
        <f t="shared" si="31"/>
        <v>1.1359813241957673E-2</v>
      </c>
      <c r="E559" s="36">
        <f>(Table143454[[#This Row],[JPN]]-B547)/B547</f>
        <v>1.8199312172610043E-2</v>
      </c>
      <c r="F559" s="35">
        <f>VLOOKUP(Table143454[[#This Row],[Date]],'Data Core CPI'!$B:$AY,MATCH($B$2,'Data Core CPI'!$C$1:$AY$1,0),FALSE)</f>
        <v>72.069730000000007</v>
      </c>
      <c r="G559" s="36">
        <f t="shared" si="32"/>
        <v>1.2734434251988613E-3</v>
      </c>
      <c r="H559" s="36">
        <f t="shared" si="33"/>
        <v>1.5388806164936764E-2</v>
      </c>
      <c r="I559" s="36">
        <f>(Table143454[[#This Row],[Core CPI]]-F547)/F547</f>
        <v>2.4152438563413092E-2</v>
      </c>
    </row>
    <row r="560" spans="1:9" x14ac:dyDescent="0.2">
      <c r="A560" s="34">
        <f>IF(Data!B588="",#N/A,Data!B588)</f>
        <v>35704</v>
      </c>
      <c r="B560" s="35">
        <f>VLOOKUP(A560,Data!B:AY,MATCH($B$2,Data!$C$1:$AY$1,0),FALSE)</f>
        <v>70.931889999999996</v>
      </c>
      <c r="C560" s="36">
        <f t="shared" si="34"/>
        <v>2.8220495649227129E-3</v>
      </c>
      <c r="D560" s="36">
        <f t="shared" si="31"/>
        <v>3.4395192357922655E-2</v>
      </c>
      <c r="E560" s="36">
        <f>(Table143454[[#This Row],[JPN]]-B548)/B548</f>
        <v>2.0095621529153493E-2</v>
      </c>
      <c r="F560" s="35">
        <f>VLOOKUP(Table143454[[#This Row],[Date]],'Data Core CPI'!$B:$AY,MATCH($B$2,'Data Core CPI'!$C$1:$AY$1,0),FALSE)</f>
        <v>72.275779999999997</v>
      </c>
      <c r="G560" s="36">
        <f t="shared" si="32"/>
        <v>2.8590366579699378E-3</v>
      </c>
      <c r="H560" s="36">
        <f t="shared" si="33"/>
        <v>3.4853104507042154E-2</v>
      </c>
      <c r="I560" s="36">
        <f>(Table143454[[#This Row],[Core CPI]]-F548)/F548</f>
        <v>2.6051707621221106E-2</v>
      </c>
    </row>
    <row r="561" spans="1:9" x14ac:dyDescent="0.2">
      <c r="A561" s="34">
        <f>IF(Data!B589="",#N/A,Data!B589)</f>
        <v>35735</v>
      </c>
      <c r="B561" s="35">
        <f>VLOOKUP(A561,Data!B:AY,MATCH($B$2,Data!$C$1:$AY$1,0),FALSE)</f>
        <v>71.198059999999998</v>
      </c>
      <c r="C561" s="36">
        <f t="shared" si="34"/>
        <v>3.7524729709021987E-3</v>
      </c>
      <c r="D561" s="36">
        <f t="shared" si="31"/>
        <v>4.5970748443460385E-2</v>
      </c>
      <c r="E561" s="36">
        <f>(Table143454[[#This Row],[JPN]]-B549)/B549</f>
        <v>2.0019137341153164E-2</v>
      </c>
      <c r="F561" s="35">
        <f>VLOOKUP(Table143454[[#This Row],[Date]],'Data Core CPI'!$B:$AY,MATCH($B$2,'Data Core CPI'!$C$1:$AY$1,0),FALSE)</f>
        <v>72.576580000000007</v>
      </c>
      <c r="G561" s="36">
        <f t="shared" si="32"/>
        <v>4.1618367868185846E-3</v>
      </c>
      <c r="H561" s="36">
        <f t="shared" si="33"/>
        <v>5.1101228454661252E-2</v>
      </c>
      <c r="I561" s="36">
        <f>(Table143454[[#This Row],[Core CPI]]-F549)/F549</f>
        <v>2.6031727900189025E-2</v>
      </c>
    </row>
    <row r="562" spans="1:9" x14ac:dyDescent="0.2">
      <c r="A562" s="34">
        <f>IF(Data!B590="",#N/A,Data!B590)</f>
        <v>35765</v>
      </c>
      <c r="B562" s="35">
        <f>VLOOKUP(A562,Data!B:AY,MATCH($B$2,Data!$C$1:$AY$1,0),FALSE)</f>
        <v>71.198059999999998</v>
      </c>
      <c r="C562" s="36">
        <f t="shared" si="34"/>
        <v>0</v>
      </c>
      <c r="D562" s="36">
        <f t="shared" si="31"/>
        <v>0</v>
      </c>
      <c r="E562" s="36">
        <f>(Table143454[[#This Row],[JPN]]-B550)/B550</f>
        <v>1.904769401973027E-2</v>
      </c>
      <c r="F562" s="35">
        <f>VLOOKUP(Table143454[[#This Row],[Date]],'Data Core CPI'!$B:$AY,MATCH($B$2,'Data Core CPI'!$C$1:$AY$1,0),FALSE)</f>
        <v>72.541330000000002</v>
      </c>
      <c r="G562" s="36">
        <f t="shared" si="32"/>
        <v>-4.8569386984076424E-4</v>
      </c>
      <c r="H562" s="36">
        <f t="shared" si="33"/>
        <v>-5.8127823136255863E-3</v>
      </c>
      <c r="I562" s="36">
        <f>(Table143454[[#This Row],[Core CPI]]-F550)/F550</f>
        <v>2.43418646520988E-2</v>
      </c>
    </row>
    <row r="563" spans="1:9" x14ac:dyDescent="0.2">
      <c r="A563" s="34">
        <f>IF(Data!B591="",#N/A,Data!B591)</f>
        <v>35796</v>
      </c>
      <c r="B563" s="35">
        <f>VLOOKUP(A563,Data!B:AY,MATCH($B$2,Data!$C$1:$AY$1,0),FALSE)</f>
        <v>71.397670000000005</v>
      </c>
      <c r="C563" s="36">
        <f t="shared" si="34"/>
        <v>2.8035876258427628E-3</v>
      </c>
      <c r="D563" s="36">
        <f t="shared" si="31"/>
        <v>3.4166697093061194E-2</v>
      </c>
      <c r="E563" s="36">
        <f>(Table143454[[#This Row],[JPN]]-B551)/B551</f>
        <v>1.8993284558023082E-2</v>
      </c>
      <c r="F563" s="35">
        <f>VLOOKUP(Table143454[[#This Row],[Date]],'Data Core CPI'!$B:$AY,MATCH($B$2,'Data Core CPI'!$C$1:$AY$1,0),FALSE)</f>
        <v>72.737589999999997</v>
      </c>
      <c r="G563" s="36">
        <f t="shared" si="32"/>
        <v>2.7054921656384234E-3</v>
      </c>
      <c r="H563" s="36">
        <f t="shared" si="33"/>
        <v>3.2953388761298053E-2</v>
      </c>
      <c r="I563" s="36">
        <f>(Table143454[[#This Row],[Core CPI]]-F551)/F551</f>
        <v>2.3875069026583956E-2</v>
      </c>
    </row>
    <row r="564" spans="1:9" x14ac:dyDescent="0.2">
      <c r="A564" s="34">
        <f>IF(Data!B592="",#N/A,Data!B592)</f>
        <v>35827</v>
      </c>
      <c r="B564" s="35">
        <f>VLOOKUP(A564,Data!B:AY,MATCH($B$2,Data!$C$1:$AY$1,0),FALSE)</f>
        <v>71.597300000000004</v>
      </c>
      <c r="C564" s="36">
        <f t="shared" si="34"/>
        <v>2.7960296183333622E-3</v>
      </c>
      <c r="D564" s="36">
        <f t="shared" si="31"/>
        <v>3.4073168321181235E-2</v>
      </c>
      <c r="E564" s="36">
        <f>(Table143454[[#This Row],[JPN]]-B552)/B552</f>
        <v>2.0872787894843901E-2</v>
      </c>
      <c r="F564" s="35">
        <f>VLOOKUP(Table143454[[#This Row],[Date]],'Data Core CPI'!$B:$AY,MATCH($B$2,'Data Core CPI'!$C$1:$AY$1,0),FALSE)</f>
        <v>72.999570000000006</v>
      </c>
      <c r="G564" s="36">
        <f t="shared" si="32"/>
        <v>3.60171405184051E-3</v>
      </c>
      <c r="H564" s="36">
        <f t="shared" si="33"/>
        <v>4.4087106103225526E-2</v>
      </c>
      <c r="I564" s="36">
        <f>(Table143454[[#This Row],[Core CPI]]-F552)/F552</f>
        <v>2.5996227122609024E-2</v>
      </c>
    </row>
    <row r="565" spans="1:9" x14ac:dyDescent="0.2">
      <c r="A565" s="34">
        <f>IF(Data!B593="",#N/A,Data!B593)</f>
        <v>35855</v>
      </c>
      <c r="B565" s="35">
        <f>VLOOKUP(A565,Data!B:AY,MATCH($B$2,Data!$C$1:$AY$1,0),FALSE)</f>
        <v>71.79692</v>
      </c>
      <c r="C565" s="36">
        <f t="shared" si="34"/>
        <v>2.7880939644371328E-3</v>
      </c>
      <c r="D565" s="36">
        <f t="shared" si="31"/>
        <v>3.3974974598378394E-2</v>
      </c>
      <c r="E565" s="36">
        <f>(Table143454[[#This Row],[JPN]]-B553)/B553</f>
        <v>2.0813691660945169E-2</v>
      </c>
      <c r="F565" s="35">
        <f>VLOOKUP(Table143454[[#This Row],[Date]],'Data Core CPI'!$B:$AY,MATCH($B$2,'Data Core CPI'!$C$1:$AY$1,0),FALSE)</f>
        <v>73.296239999999997</v>
      </c>
      <c r="G565" s="36">
        <f t="shared" si="32"/>
        <v>4.0639965413493684E-3</v>
      </c>
      <c r="H565" s="36">
        <f t="shared" si="33"/>
        <v>4.9872921558735461E-2</v>
      </c>
      <c r="I565" s="36">
        <f>(Table143454[[#This Row],[Core CPI]]-F553)/F553</f>
        <v>2.6554820139209553E-2</v>
      </c>
    </row>
    <row r="566" spans="1:9" x14ac:dyDescent="0.2">
      <c r="A566" s="34">
        <f>IF(Data!B594="",#N/A,Data!B594)</f>
        <v>35886</v>
      </c>
      <c r="B566" s="35">
        <f>VLOOKUP(A566,Data!B:AY,MATCH($B$2,Data!$C$1:$AY$1,0),FALSE)</f>
        <v>71.863460000000003</v>
      </c>
      <c r="C566" s="36">
        <f t="shared" si="34"/>
        <v>9.2678070312768313E-4</v>
      </c>
      <c r="D566" s="36">
        <f t="shared" si="31"/>
        <v>1.1178232813600308E-2</v>
      </c>
      <c r="E566" s="36">
        <f>(Table143454[[#This Row],[JPN]]-B554)/B554</f>
        <v>2.0794019054377839E-2</v>
      </c>
      <c r="F566" s="35">
        <f>VLOOKUP(Table143454[[#This Row],[Date]],'Data Core CPI'!$B:$AY,MATCH($B$2,'Data Core CPI'!$C$1:$AY$1,0),FALSE)</f>
        <v>73.344639999999998</v>
      </c>
      <c r="G566" s="36">
        <f t="shared" si="32"/>
        <v>6.603340089477161E-4</v>
      </c>
      <c r="H566" s="36">
        <f t="shared" si="33"/>
        <v>7.9528502530044065E-3</v>
      </c>
      <c r="I566" s="36">
        <f>(Table143454[[#This Row],[Core CPI]]-F554)/F554</f>
        <v>2.5848946795040139E-2</v>
      </c>
    </row>
    <row r="567" spans="1:9" x14ac:dyDescent="0.2">
      <c r="A567" s="34">
        <f>IF(Data!B595="",#N/A,Data!B595)</f>
        <v>35916</v>
      </c>
      <c r="B567" s="35">
        <f>VLOOKUP(A567,Data!B:AY,MATCH($B$2,Data!$C$1:$AY$1,0),FALSE)</f>
        <v>71.996539999999996</v>
      </c>
      <c r="C567" s="36">
        <f t="shared" si="34"/>
        <v>1.8518451519031753E-3</v>
      </c>
      <c r="D567" s="36">
        <f t="shared" si="31"/>
        <v>2.2449880601853378E-2</v>
      </c>
      <c r="E567" s="36">
        <f>(Table143454[[#This Row],[JPN]]-B555)/B555</f>
        <v>1.9792575553264059E-2</v>
      </c>
      <c r="F567" s="35">
        <f>VLOOKUP(Table143454[[#This Row],[Date]],'Data Core CPI'!$B:$AY,MATCH($B$2,'Data Core CPI'!$C$1:$AY$1,0),FALSE)</f>
        <v>73.523380000000003</v>
      </c>
      <c r="G567" s="36">
        <f t="shared" si="32"/>
        <v>2.4369878971388648E-3</v>
      </c>
      <c r="H567" s="36">
        <f t="shared" si="33"/>
        <v>2.9639024425022642E-2</v>
      </c>
      <c r="I567" s="36">
        <f>(Table143454[[#This Row],[Core CPI]]-F555)/F555</f>
        <v>2.4488496910930208E-2</v>
      </c>
    </row>
    <row r="568" spans="1:9" x14ac:dyDescent="0.2">
      <c r="A568" s="34">
        <f>IF(Data!B596="",#N/A,Data!B596)</f>
        <v>35947</v>
      </c>
      <c r="B568" s="35">
        <f>VLOOKUP(A568,Data!B:AY,MATCH($B$2,Data!$C$1:$AY$1,0),FALSE)</f>
        <v>72.063079999999999</v>
      </c>
      <c r="C568" s="36">
        <f t="shared" si="34"/>
        <v>9.2421108014351105E-4</v>
      </c>
      <c r="D568" s="36">
        <f t="shared" si="31"/>
        <v>1.1147081961927263E-2</v>
      </c>
      <c r="E568" s="36">
        <f>(Table143454[[#This Row],[JPN]]-B556)/B556</f>
        <v>2.0735079151038584E-2</v>
      </c>
      <c r="F568" s="35">
        <f>VLOOKUP(Table143454[[#This Row],[Date]],'Data Core CPI'!$B:$AY,MATCH($B$2,'Data Core CPI'!$C$1:$AY$1,0),FALSE)</f>
        <v>73.601200000000006</v>
      </c>
      <c r="G568" s="36">
        <f t="shared" si="32"/>
        <v>1.0584388258538802E-3</v>
      </c>
      <c r="H568" s="36">
        <f t="shared" si="33"/>
        <v>1.2775466721421047E-2</v>
      </c>
      <c r="I568" s="36">
        <f>(Table143454[[#This Row],[Core CPI]]-F556)/F556</f>
        <v>2.5262273415159974E-2</v>
      </c>
    </row>
    <row r="569" spans="1:9" x14ac:dyDescent="0.2">
      <c r="A569" s="34">
        <f>IF(Data!B597="",#N/A,Data!B597)</f>
        <v>35977</v>
      </c>
      <c r="B569" s="35">
        <f>VLOOKUP(A569,Data!B:AY,MATCH($B$2,Data!$C$1:$AY$1,0),FALSE)</f>
        <v>72.063079999999999</v>
      </c>
      <c r="C569" s="36">
        <f t="shared" si="34"/>
        <v>0</v>
      </c>
      <c r="D569" s="36">
        <f t="shared" si="31"/>
        <v>0</v>
      </c>
      <c r="E569" s="36">
        <f>(Table143454[[#This Row],[JPN]]-B557)/B557</f>
        <v>2.0735079151038584E-2</v>
      </c>
      <c r="F569" s="35">
        <f>VLOOKUP(Table143454[[#This Row],[Date]],'Data Core CPI'!$B:$AY,MATCH($B$2,'Data Core CPI'!$C$1:$AY$1,0),FALSE)</f>
        <v>73.674959999999999</v>
      </c>
      <c r="G569" s="36">
        <f t="shared" si="32"/>
        <v>1.0021575735177368E-3</v>
      </c>
      <c r="H569" s="36">
        <f t="shared" si="33"/>
        <v>1.2092397916316111E-2</v>
      </c>
      <c r="I569" s="36">
        <f>(Table143454[[#This Row],[Core CPI]]-F557)/F557</f>
        <v>2.5324520431767937E-2</v>
      </c>
    </row>
    <row r="570" spans="1:9" x14ac:dyDescent="0.2">
      <c r="A570" s="34">
        <f>IF(Data!B598="",#N/A,Data!B598)</f>
        <v>36008</v>
      </c>
      <c r="B570" s="35">
        <f>VLOOKUP(A570,Data!B:AY,MATCH($B$2,Data!$C$1:$AY$1,0),FALSE)</f>
        <v>72.129620000000003</v>
      </c>
      <c r="C570" s="36">
        <f t="shared" si="34"/>
        <v>9.2335770272389261E-4</v>
      </c>
      <c r="D570" s="36">
        <f t="shared" si="31"/>
        <v>1.1136736890460464E-2</v>
      </c>
      <c r="E570" s="36">
        <f>(Table143454[[#This Row],[JPN]]-B558)/B558</f>
        <v>2.0715699109030733E-2</v>
      </c>
      <c r="F570" s="35">
        <f>VLOOKUP(Table143454[[#This Row],[Date]],'Data Core CPI'!$B:$AY,MATCH($B$2,'Data Core CPI'!$C$1:$AY$1,0),FALSE)</f>
        <v>73.787989999999994</v>
      </c>
      <c r="G570" s="36">
        <f t="shared" si="32"/>
        <v>1.5341711756613474E-3</v>
      </c>
      <c r="H570" s="36">
        <f t="shared" si="33"/>
        <v>1.8566194224805432E-2</v>
      </c>
      <c r="I570" s="36">
        <f>(Table143454[[#This Row],[Core CPI]]-F558)/F558</f>
        <v>2.5145436658693281E-2</v>
      </c>
    </row>
    <row r="571" spans="1:9" x14ac:dyDescent="0.2">
      <c r="A571" s="34">
        <f>IF(Data!B599="",#N/A,Data!B599)</f>
        <v>36039</v>
      </c>
      <c r="B571" s="35">
        <f>VLOOKUP(A571,Data!B:AY,MATCH($B$2,Data!$C$1:$AY$1,0),FALSE)</f>
        <v>72.129620000000003</v>
      </c>
      <c r="C571" s="36">
        <f t="shared" si="34"/>
        <v>0</v>
      </c>
      <c r="D571" s="36">
        <f t="shared" si="31"/>
        <v>0</v>
      </c>
      <c r="E571" s="36">
        <f>(Table143454[[#This Row],[JPN]]-B559)/B559</f>
        <v>1.9755336601619513E-2</v>
      </c>
      <c r="F571" s="35">
        <f>VLOOKUP(Table143454[[#This Row],[Date]],'Data Core CPI'!$B:$AY,MATCH($B$2,'Data Core CPI'!$C$1:$AY$1,0),FALSE)</f>
        <v>73.80453</v>
      </c>
      <c r="G571" s="36">
        <f t="shared" si="32"/>
        <v>2.2415571965028747E-4</v>
      </c>
      <c r="H571" s="36">
        <f t="shared" si="33"/>
        <v>2.6931873368065684E-3</v>
      </c>
      <c r="I571" s="36">
        <f>(Table143454[[#This Row],[Core CPI]]-F559)/F559</f>
        <v>2.4071132221530352E-2</v>
      </c>
    </row>
    <row r="572" spans="1:9" x14ac:dyDescent="0.2">
      <c r="A572" s="34">
        <f>IF(Data!B600="",#N/A,Data!B600)</f>
        <v>36069</v>
      </c>
      <c r="B572" s="35">
        <f>VLOOKUP(A572,Data!B:AY,MATCH($B$2,Data!$C$1:$AY$1,0),FALSE)</f>
        <v>72.262699999999995</v>
      </c>
      <c r="C572" s="36">
        <f t="shared" si="34"/>
        <v>1.8450117995907345E-3</v>
      </c>
      <c r="D572" s="36">
        <f t="shared" ref="D572:D635" si="35">((1+C572)^12)-1</f>
        <v>2.2366197591899617E-2</v>
      </c>
      <c r="E572" s="36">
        <f>(Table143454[[#This Row],[JPN]]-B560)/B560</f>
        <v>1.8761800933261467E-2</v>
      </c>
      <c r="F572" s="35">
        <f>VLOOKUP(Table143454[[#This Row],[Date]],'Data Core CPI'!$B:$AY,MATCH($B$2,'Data Core CPI'!$C$1:$AY$1,0),FALSE)</f>
        <v>73.951390000000004</v>
      </c>
      <c r="G572" s="36">
        <f t="shared" si="32"/>
        <v>1.9898507584832359E-3</v>
      </c>
      <c r="H572" s="36">
        <f t="shared" si="33"/>
        <v>2.4141277627469426E-2</v>
      </c>
      <c r="I572" s="36">
        <f>(Table143454[[#This Row],[Core CPI]]-F560)/F560</f>
        <v>2.318356163018934E-2</v>
      </c>
    </row>
    <row r="573" spans="1:9" x14ac:dyDescent="0.2">
      <c r="A573" s="34">
        <f>IF(Data!B601="",#N/A,Data!B601)</f>
        <v>36100</v>
      </c>
      <c r="B573" s="35">
        <f>VLOOKUP(A573,Data!B:AY,MATCH($B$2,Data!$C$1:$AY$1,0),FALSE)</f>
        <v>72.329239999999999</v>
      </c>
      <c r="C573" s="36">
        <f t="shared" si="34"/>
        <v>9.2080700001528903E-4</v>
      </c>
      <c r="D573" s="36">
        <f t="shared" si="35"/>
        <v>1.1105816564198623E-2</v>
      </c>
      <c r="E573" s="36">
        <f>(Table143454[[#This Row],[JPN]]-B561)/B561</f>
        <v>1.5887792448277392E-2</v>
      </c>
      <c r="F573" s="35">
        <f>VLOOKUP(Table143454[[#This Row],[Date]],'Data Core CPI'!$B:$AY,MATCH($B$2,'Data Core CPI'!$C$1:$AY$1,0),FALSE)</f>
        <v>74.043520000000001</v>
      </c>
      <c r="G573" s="36">
        <f t="shared" si="32"/>
        <v>1.2458183679846524E-3</v>
      </c>
      <c r="H573" s="36">
        <f t="shared" si="33"/>
        <v>1.5052683185000415E-2</v>
      </c>
      <c r="I573" s="36">
        <f>(Table143454[[#This Row],[Core CPI]]-F561)/F561</f>
        <v>2.0212305402100703E-2</v>
      </c>
    </row>
    <row r="574" spans="1:9" x14ac:dyDescent="0.2">
      <c r="A574" s="34">
        <f>IF(Data!B602="",#N/A,Data!B602)</f>
        <v>36130</v>
      </c>
      <c r="B574" s="35">
        <f>VLOOKUP(A574,Data!B:AY,MATCH($B$2,Data!$C$1:$AY$1,0),FALSE)</f>
        <v>72.395780000000002</v>
      </c>
      <c r="C574" s="36">
        <f t="shared" si="34"/>
        <v>9.1995989450466276E-4</v>
      </c>
      <c r="D574" s="36">
        <f t="shared" si="35"/>
        <v>1.1095547907783221E-2</v>
      </c>
      <c r="E574" s="36">
        <f>(Table143454[[#This Row],[JPN]]-B562)/B562</f>
        <v>1.6822368474646694E-2</v>
      </c>
      <c r="F574" s="35">
        <f>VLOOKUP(Table143454[[#This Row],[Date]],'Data Core CPI'!$B:$AY,MATCH($B$2,'Data Core CPI'!$C$1:$AY$1,0),FALSE)</f>
        <v>74.102779999999996</v>
      </c>
      <c r="G574" s="36">
        <f t="shared" si="32"/>
        <v>8.0034012429441859E-4</v>
      </c>
      <c r="H574" s="36">
        <f t="shared" si="33"/>
        <v>9.6464704033798476E-3</v>
      </c>
      <c r="I574" s="36">
        <f>(Table143454[[#This Row],[Core CPI]]-F562)/F562</f>
        <v>2.1524970661552435E-2</v>
      </c>
    </row>
    <row r="575" spans="1:9" x14ac:dyDescent="0.2">
      <c r="A575" s="34">
        <f>IF(Data!B603="",#N/A,Data!B603)</f>
        <v>36161</v>
      </c>
      <c r="B575" s="35">
        <f>VLOOKUP(A575,Data!B:AY,MATCH($B$2,Data!$C$1:$AY$1,0),FALSE)</f>
        <v>72.462320000000005</v>
      </c>
      <c r="C575" s="36">
        <f t="shared" si="34"/>
        <v>9.1911434616775978E-4</v>
      </c>
      <c r="D575" s="36">
        <f t="shared" si="35"/>
        <v>1.108529822283999E-2</v>
      </c>
      <c r="E575" s="36">
        <f>(Table143454[[#This Row],[JPN]]-B563)/B563</f>
        <v>1.4911551035208855E-2</v>
      </c>
      <c r="F575" s="35">
        <f>VLOOKUP(Table143454[[#This Row],[Date]],'Data Core CPI'!$B:$AY,MATCH($B$2,'Data Core CPI'!$C$1:$AY$1,0),FALSE)</f>
        <v>74.077150000000003</v>
      </c>
      <c r="G575" s="36">
        <f t="shared" si="32"/>
        <v>-3.4587096462501687E-4</v>
      </c>
      <c r="H575" s="36">
        <f t="shared" si="33"/>
        <v>-4.1425653072152402E-3</v>
      </c>
      <c r="I575" s="36">
        <f>(Table143454[[#This Row],[Core CPI]]-F563)/F563</f>
        <v>1.8416337412333925E-2</v>
      </c>
    </row>
    <row r="576" spans="1:9" x14ac:dyDescent="0.2">
      <c r="A576" s="34">
        <f>IF(Data!B604="",#N/A,Data!B604)</f>
        <v>36192</v>
      </c>
      <c r="B576" s="35">
        <f>VLOOKUP(A576,Data!B:AY,MATCH($B$2,Data!$C$1:$AY$1,0),FALSE)</f>
        <v>72.595410000000001</v>
      </c>
      <c r="C576" s="36">
        <f t="shared" si="34"/>
        <v>1.8366787041872445E-3</v>
      </c>
      <c r="D576" s="36">
        <f t="shared" si="35"/>
        <v>2.2264156834377991E-2</v>
      </c>
      <c r="E576" s="36">
        <f>(Table143454[[#This Row],[JPN]]-B564)/B564</f>
        <v>1.3940609492257346E-2</v>
      </c>
      <c r="F576" s="35">
        <f>VLOOKUP(Table143454[[#This Row],[Date]],'Data Core CPI'!$B:$AY,MATCH($B$2,'Data Core CPI'!$C$1:$AY$1,0),FALSE)</f>
        <v>74.217169999999996</v>
      </c>
      <c r="G576" s="36">
        <f t="shared" si="32"/>
        <v>1.890191509797523E-3</v>
      </c>
      <c r="H576" s="36">
        <f t="shared" si="33"/>
        <v>2.2919596566444156E-2</v>
      </c>
      <c r="I576" s="36">
        <f>(Table143454[[#This Row],[Core CPI]]-F564)/F564</f>
        <v>1.6679550304200288E-2</v>
      </c>
    </row>
    <row r="577" spans="1:9" x14ac:dyDescent="0.2">
      <c r="A577" s="34">
        <f>IF(Data!B605="",#N/A,Data!B605)</f>
        <v>36220</v>
      </c>
      <c r="B577" s="35">
        <f>VLOOKUP(A577,Data!B:AY,MATCH($B$2,Data!$C$1:$AY$1,0),FALSE)</f>
        <v>72.728489999999994</v>
      </c>
      <c r="C577" s="36">
        <f t="shared" si="34"/>
        <v>1.8331737502410572E-3</v>
      </c>
      <c r="D577" s="36">
        <f t="shared" si="35"/>
        <v>2.2221240619501925E-2</v>
      </c>
      <c r="E577" s="36">
        <f>(Table143454[[#This Row],[JPN]]-B565)/B565</f>
        <v>1.2975069125527858E-2</v>
      </c>
      <c r="F577" s="35">
        <f>VLOOKUP(Table143454[[#This Row],[Date]],'Data Core CPI'!$B:$AY,MATCH($B$2,'Data Core CPI'!$C$1:$AY$1,0),FALSE)</f>
        <v>74.347669999999994</v>
      </c>
      <c r="G577" s="36">
        <f t="shared" si="32"/>
        <v>1.7583532220373232E-3</v>
      </c>
      <c r="H577" s="36">
        <f t="shared" si="33"/>
        <v>2.130549863632103E-2</v>
      </c>
      <c r="I577" s="36">
        <f>(Table143454[[#This Row],[Core CPI]]-F565)/F565</f>
        <v>1.4344937748512017E-2</v>
      </c>
    </row>
    <row r="578" spans="1:9" x14ac:dyDescent="0.2">
      <c r="A578" s="34">
        <f>IF(Data!B606="",#N/A,Data!B606)</f>
        <v>36251</v>
      </c>
      <c r="B578" s="35">
        <f>VLOOKUP(A578,Data!B:AY,MATCH($B$2,Data!$C$1:$AY$1,0),FALSE)</f>
        <v>72.928100000000001</v>
      </c>
      <c r="C578" s="36">
        <f t="shared" si="34"/>
        <v>2.7445915623989237E-3</v>
      </c>
      <c r="D578" s="36">
        <f t="shared" si="35"/>
        <v>3.3436838998641916E-2</v>
      </c>
      <c r="E578" s="36">
        <f>(Table143454[[#This Row],[JPN]]-B566)/B566</f>
        <v>1.4814761215226725E-2</v>
      </c>
      <c r="F578" s="35">
        <f>VLOOKUP(Table143454[[#This Row],[Date]],'Data Core CPI'!$B:$AY,MATCH($B$2,'Data Core CPI'!$C$1:$AY$1,0),FALSE)</f>
        <v>74.503680000000003</v>
      </c>
      <c r="G578" s="36">
        <f t="shared" si="32"/>
        <v>2.0983845223394582E-3</v>
      </c>
      <c r="H578" s="36">
        <f t="shared" si="33"/>
        <v>2.5473268981039521E-2</v>
      </c>
      <c r="I578" s="36">
        <f>(Table143454[[#This Row],[Core CPI]]-F566)/F566</f>
        <v>1.5802654427099303E-2</v>
      </c>
    </row>
    <row r="579" spans="1:9" x14ac:dyDescent="0.2">
      <c r="A579" s="34">
        <f>IF(Data!B607="",#N/A,Data!B607)</f>
        <v>36281</v>
      </c>
      <c r="B579" s="35">
        <f>VLOOKUP(A579,Data!B:AY,MATCH($B$2,Data!$C$1:$AY$1,0),FALSE)</f>
        <v>73.061179999999993</v>
      </c>
      <c r="C579" s="36">
        <f t="shared" si="34"/>
        <v>1.8248110124903238E-3</v>
      </c>
      <c r="D579" s="36">
        <f t="shared" si="35"/>
        <v>2.2118850210547825E-2</v>
      </c>
      <c r="E579" s="36">
        <f>(Table143454[[#This Row],[JPN]]-B567)/B567</f>
        <v>1.4787377282297138E-2</v>
      </c>
      <c r="F579" s="35">
        <f>VLOOKUP(Table143454[[#This Row],[Date]],'Data Core CPI'!$B:$AY,MATCH($B$2,'Data Core CPI'!$C$1:$AY$1,0),FALSE)</f>
        <v>74.644739999999999</v>
      </c>
      <c r="G579" s="36">
        <f t="shared" ref="G579:G642" si="36">(F579/F578)-1</f>
        <v>1.8933292959488757E-3</v>
      </c>
      <c r="H579" s="36">
        <f t="shared" ref="H579:H642" si="37">((1+G579)^12)-1</f>
        <v>2.2958040997896667E-2</v>
      </c>
      <c r="I579" s="36">
        <f>(Table143454[[#This Row],[Core CPI]]-F567)/F567</f>
        <v>1.5251747131320617E-2</v>
      </c>
    </row>
    <row r="580" spans="1:9" x14ac:dyDescent="0.2">
      <c r="A580" s="34">
        <f>IF(Data!B608="",#N/A,Data!B608)</f>
        <v>36312</v>
      </c>
      <c r="B580" s="35">
        <f>VLOOKUP(A580,Data!B:AY,MATCH($B$2,Data!$C$1:$AY$1,0),FALSE)</f>
        <v>73.061179999999993</v>
      </c>
      <c r="C580" s="36">
        <f t="shared" si="34"/>
        <v>0</v>
      </c>
      <c r="D580" s="36">
        <f t="shared" si="35"/>
        <v>0</v>
      </c>
      <c r="E580" s="36">
        <f>(Table143454[[#This Row],[JPN]]-B568)/B568</f>
        <v>1.3850365540856618E-2</v>
      </c>
      <c r="F580" s="35">
        <f>VLOOKUP(Table143454[[#This Row],[Date]],'Data Core CPI'!$B:$AY,MATCH($B$2,'Data Core CPI'!$C$1:$AY$1,0),FALSE)</f>
        <v>74.679280000000006</v>
      </c>
      <c r="G580" s="36">
        <f t="shared" si="36"/>
        <v>4.6272516991829882E-4</v>
      </c>
      <c r="H580" s="36">
        <f t="shared" si="37"/>
        <v>5.5668554209651333E-3</v>
      </c>
      <c r="I580" s="36">
        <f>(Table143454[[#This Row],[Core CPI]]-F568)/F568</f>
        <v>1.4647587267598896E-2</v>
      </c>
    </row>
    <row r="581" spans="1:9" x14ac:dyDescent="0.2">
      <c r="A581" s="34">
        <f>IF(Data!B609="",#N/A,Data!B609)</f>
        <v>36342</v>
      </c>
      <c r="B581" s="35">
        <f>VLOOKUP(A581,Data!B:AY,MATCH($B$2,Data!$C$1:$AY$1,0),FALSE)</f>
        <v>73.260800000000003</v>
      </c>
      <c r="C581" s="36">
        <f t="shared" ref="C581:C644" si="38">(B581/B580)-1</f>
        <v>2.7322307140400515E-3</v>
      </c>
      <c r="D581" s="36">
        <f t="shared" si="35"/>
        <v>3.3283979056494495E-2</v>
      </c>
      <c r="E581" s="36">
        <f>(Table143454[[#This Row],[JPN]]-B569)/B569</f>
        <v>1.66204386490281E-2</v>
      </c>
      <c r="F581" s="35">
        <f>VLOOKUP(Table143454[[#This Row],[Date]],'Data Core CPI'!$B:$AY,MATCH($B$2,'Data Core CPI'!$C$1:$AY$1,0),FALSE)</f>
        <v>74.941550000000007</v>
      </c>
      <c r="G581" s="36">
        <f t="shared" si="36"/>
        <v>3.5119513739285679E-3</v>
      </c>
      <c r="H581" s="36">
        <f t="shared" si="37"/>
        <v>4.2967052631805336E-2</v>
      </c>
      <c r="I581" s="36">
        <f>(Table143454[[#This Row],[Core CPI]]-F569)/F569</f>
        <v>1.7191593996114935E-2</v>
      </c>
    </row>
    <row r="582" spans="1:9" x14ac:dyDescent="0.2">
      <c r="A582" s="34">
        <f>IF(Data!B610="",#N/A,Data!B610)</f>
        <v>36373</v>
      </c>
      <c r="B582" s="35">
        <f>VLOOKUP(A582,Data!B:AY,MATCH($B$2,Data!$C$1:$AY$1,0),FALSE)</f>
        <v>73.327349999999996</v>
      </c>
      <c r="C582" s="36">
        <f t="shared" si="38"/>
        <v>9.083984886868457E-4</v>
      </c>
      <c r="D582" s="36">
        <f t="shared" si="35"/>
        <v>1.0955409509395775E-2</v>
      </c>
      <c r="E582" s="36">
        <f>(Table143454[[#This Row],[JPN]]-B570)/B570</f>
        <v>1.6605244835616668E-2</v>
      </c>
      <c r="F582" s="35">
        <f>VLOOKUP(Table143454[[#This Row],[Date]],'Data Core CPI'!$B:$AY,MATCH($B$2,'Data Core CPI'!$C$1:$AY$1,0),FALSE)</f>
        <v>75.033580000000001</v>
      </c>
      <c r="G582" s="36">
        <f t="shared" si="36"/>
        <v>1.2280237064752342E-3</v>
      </c>
      <c r="H582" s="36">
        <f t="shared" si="37"/>
        <v>1.483622381295735E-2</v>
      </c>
      <c r="I582" s="36">
        <f>(Table143454[[#This Row],[Core CPI]]-F570)/F570</f>
        <v>1.6880660389312775E-2</v>
      </c>
    </row>
    <row r="583" spans="1:9" x14ac:dyDescent="0.2">
      <c r="A583" s="34">
        <f>IF(Data!B611="",#N/A,Data!B611)</f>
        <v>36404</v>
      </c>
      <c r="B583" s="35">
        <f>VLOOKUP(A583,Data!B:AY,MATCH($B$2,Data!$C$1:$AY$1,0),FALSE)</f>
        <v>73.460430000000002</v>
      </c>
      <c r="C583" s="36">
        <f t="shared" si="38"/>
        <v>1.814875350057088E-3</v>
      </c>
      <c r="D583" s="36">
        <f t="shared" si="35"/>
        <v>2.1997213686977712E-2</v>
      </c>
      <c r="E583" s="36">
        <f>(Table143454[[#This Row],[JPN]]-B571)/B571</f>
        <v>1.8450256635207555E-2</v>
      </c>
      <c r="F583" s="35">
        <f>VLOOKUP(Table143454[[#This Row],[Date]],'Data Core CPI'!$B:$AY,MATCH($B$2,'Data Core CPI'!$C$1:$AY$1,0),FALSE)</f>
        <v>75.107060000000004</v>
      </c>
      <c r="G583" s="36">
        <f t="shared" si="36"/>
        <v>9.7929487037684559E-4</v>
      </c>
      <c r="H583" s="36">
        <f t="shared" si="37"/>
        <v>1.1815040733348825E-2</v>
      </c>
      <c r="I583" s="36">
        <f>(Table143454[[#This Row],[Core CPI]]-F571)/F571</f>
        <v>1.764837470003541E-2</v>
      </c>
    </row>
    <row r="584" spans="1:9" x14ac:dyDescent="0.2">
      <c r="A584" s="34">
        <f>IF(Data!B612="",#N/A,Data!B612)</f>
        <v>36434</v>
      </c>
      <c r="B584" s="35">
        <f>VLOOKUP(A584,Data!B:AY,MATCH($B$2,Data!$C$1:$AY$1,0),FALSE)</f>
        <v>73.726590000000002</v>
      </c>
      <c r="C584" s="36">
        <f t="shared" si="38"/>
        <v>3.6231750889561543E-3</v>
      </c>
      <c r="D584" s="36">
        <f t="shared" si="35"/>
        <v>4.4355058945878101E-2</v>
      </c>
      <c r="E584" s="36">
        <f>(Table143454[[#This Row],[JPN]]-B572)/B572</f>
        <v>2.0257892384314542E-2</v>
      </c>
      <c r="F584" s="35">
        <f>VLOOKUP(Table143454[[#This Row],[Date]],'Data Core CPI'!$B:$AY,MATCH($B$2,'Data Core CPI'!$C$1:$AY$1,0),FALSE)</f>
        <v>75.405330000000006</v>
      </c>
      <c r="G584" s="36">
        <f t="shared" si="36"/>
        <v>3.9712644856555457E-3</v>
      </c>
      <c r="H584" s="36">
        <f t="shared" si="37"/>
        <v>4.8709958605750003E-2</v>
      </c>
      <c r="I584" s="36">
        <f>(Table143454[[#This Row],[Core CPI]]-F572)/F572</f>
        <v>1.9660752826958394E-2</v>
      </c>
    </row>
    <row r="585" spans="1:9" x14ac:dyDescent="0.2">
      <c r="A585" s="34">
        <f>IF(Data!B613="",#N/A,Data!B613)</f>
        <v>36465</v>
      </c>
      <c r="B585" s="35">
        <f>VLOOKUP(A585,Data!B:AY,MATCH($B$2,Data!$C$1:$AY$1,0),FALSE)</f>
        <v>73.859660000000005</v>
      </c>
      <c r="C585" s="36">
        <f t="shared" si="38"/>
        <v>1.8049119049179385E-3</v>
      </c>
      <c r="D585" s="36">
        <f t="shared" si="35"/>
        <v>2.1875250360766874E-2</v>
      </c>
      <c r="E585" s="36">
        <f>(Table143454[[#This Row],[JPN]]-B573)/B573</f>
        <v>2.115907757360656E-2</v>
      </c>
      <c r="F585" s="35">
        <f>VLOOKUP(Table143454[[#This Row],[Date]],'Data Core CPI'!$B:$AY,MATCH($B$2,'Data Core CPI'!$C$1:$AY$1,0),FALSE)</f>
        <v>75.528469999999999</v>
      </c>
      <c r="G585" s="36">
        <f t="shared" si="36"/>
        <v>1.6330410595641887E-3</v>
      </c>
      <c r="H585" s="36">
        <f t="shared" si="37"/>
        <v>1.9773464676102526E-2</v>
      </c>
      <c r="I585" s="36">
        <f>(Table143454[[#This Row],[Core CPI]]-F573)/F573</f>
        <v>2.0055097326545222E-2</v>
      </c>
    </row>
    <row r="586" spans="1:9" x14ac:dyDescent="0.2">
      <c r="A586" s="34">
        <f>IF(Data!B614="",#N/A,Data!B614)</f>
        <v>36495</v>
      </c>
      <c r="B586" s="35">
        <f>VLOOKUP(A586,Data!B:AY,MATCH($B$2,Data!$C$1:$AY$1,0),FALSE)</f>
        <v>73.926209999999998</v>
      </c>
      <c r="C586" s="36">
        <f t="shared" si="38"/>
        <v>9.0103312146294634E-4</v>
      </c>
      <c r="D586" s="36">
        <f t="shared" si="35"/>
        <v>1.0866141522504869E-2</v>
      </c>
      <c r="E586" s="36">
        <f>(Table143454[[#This Row],[JPN]]-B574)/B574</f>
        <v>2.1139768091454993E-2</v>
      </c>
      <c r="F586" s="35">
        <f>VLOOKUP(Table143454[[#This Row],[Date]],'Data Core CPI'!$B:$AY,MATCH($B$2,'Data Core CPI'!$C$1:$AY$1,0),FALSE)</f>
        <v>75.506630000000001</v>
      </c>
      <c r="G586" s="36">
        <f t="shared" si="36"/>
        <v>-2.8916248402754974E-4</v>
      </c>
      <c r="H586" s="36">
        <f t="shared" si="37"/>
        <v>-3.464436537915061E-3</v>
      </c>
      <c r="I586" s="36">
        <f>(Table143454[[#This Row],[Core CPI]]-F574)/F574</f>
        <v>1.8944633386223913E-2</v>
      </c>
    </row>
    <row r="587" spans="1:9" x14ac:dyDescent="0.2">
      <c r="A587" s="34">
        <f>IF(Data!B615="",#N/A,Data!B615)</f>
        <v>36526</v>
      </c>
      <c r="B587" s="35">
        <f>VLOOKUP(A587,Data!B:AY,MATCH($B$2,Data!$C$1:$AY$1,0),FALSE)</f>
        <v>74.059290000000004</v>
      </c>
      <c r="C587" s="36">
        <f t="shared" si="38"/>
        <v>1.8001734432213645E-3</v>
      </c>
      <c r="D587" s="36">
        <f t="shared" si="35"/>
        <v>2.1817251154997441E-2</v>
      </c>
      <c r="E587" s="36">
        <f>(Table143454[[#This Row],[JPN]]-B575)/B575</f>
        <v>2.2038626419910359E-2</v>
      </c>
      <c r="F587" s="35">
        <f>VLOOKUP(Table143454[[#This Row],[Date]],'Data Core CPI'!$B:$AY,MATCH($B$2,'Data Core CPI'!$C$1:$AY$1,0),FALSE)</f>
        <v>75.633790000000005</v>
      </c>
      <c r="G587" s="36">
        <f t="shared" si="36"/>
        <v>1.6840905229118519E-3</v>
      </c>
      <c r="H587" s="36">
        <f t="shared" si="37"/>
        <v>2.0397327683443489E-2</v>
      </c>
      <c r="I587" s="36">
        <f>(Table143454[[#This Row],[Core CPI]]-F575)/F575</f>
        <v>2.1013767403308597E-2</v>
      </c>
    </row>
    <row r="588" spans="1:9" x14ac:dyDescent="0.2">
      <c r="A588" s="34">
        <f>IF(Data!B616="",#N/A,Data!B616)</f>
        <v>36557</v>
      </c>
      <c r="B588" s="35">
        <f>VLOOKUP(A588,Data!B:AY,MATCH($B$2,Data!$C$1:$AY$1,0),FALSE)</f>
        <v>74.325450000000004</v>
      </c>
      <c r="C588" s="36">
        <f t="shared" si="38"/>
        <v>3.5938772839976263E-3</v>
      </c>
      <c r="D588" s="36">
        <f t="shared" si="35"/>
        <v>4.3989275458922839E-2</v>
      </c>
      <c r="E588" s="36">
        <f>(Table143454[[#This Row],[JPN]]-B576)/B576</f>
        <v>2.3831258753136079E-2</v>
      </c>
      <c r="F588" s="35">
        <f>VLOOKUP(Table143454[[#This Row],[Date]],'Data Core CPI'!$B:$AY,MATCH($B$2,'Data Core CPI'!$C$1:$AY$1,0),FALSE)</f>
        <v>75.892610000000005</v>
      </c>
      <c r="G588" s="36">
        <f t="shared" si="36"/>
        <v>3.4220154774737832E-3</v>
      </c>
      <c r="H588" s="36">
        <f t="shared" si="37"/>
        <v>4.1845942455966734E-2</v>
      </c>
      <c r="I588" s="36">
        <f>(Table143454[[#This Row],[Core CPI]]-F576)/F576</f>
        <v>2.2574830056171759E-2</v>
      </c>
    </row>
    <row r="589" spans="1:9" x14ac:dyDescent="0.2">
      <c r="A589" s="34">
        <f>IF(Data!B617="",#N/A,Data!B617)</f>
        <v>36586</v>
      </c>
      <c r="B589" s="35">
        <f>VLOOKUP(A589,Data!B:AY,MATCH($B$2,Data!$C$1:$AY$1,0),FALSE)</f>
        <v>74.525069999999999</v>
      </c>
      <c r="C589" s="36">
        <f t="shared" si="38"/>
        <v>2.6857556866455301E-3</v>
      </c>
      <c r="D589" s="36">
        <f t="shared" si="35"/>
        <v>3.2709432910339009E-2</v>
      </c>
      <c r="E589" s="36">
        <f>(Table143454[[#This Row],[JPN]]-B577)/B577</f>
        <v>2.4702561540876293E-2</v>
      </c>
      <c r="F589" s="35">
        <f>VLOOKUP(Table143454[[#This Row],[Date]],'Data Core CPI'!$B:$AY,MATCH($B$2,'Data Core CPI'!$C$1:$AY$1,0),FALSE)</f>
        <v>75.940539999999999</v>
      </c>
      <c r="G589" s="36">
        <f t="shared" si="36"/>
        <v>6.3155029191896972E-4</v>
      </c>
      <c r="H589" s="36">
        <f t="shared" si="37"/>
        <v>7.6049834802016658E-3</v>
      </c>
      <c r="I589" s="36">
        <f>(Table143454[[#This Row],[Core CPI]]-F577)/F577</f>
        <v>2.1424612230618728E-2</v>
      </c>
    </row>
    <row r="590" spans="1:9" x14ac:dyDescent="0.2">
      <c r="A590" s="34">
        <f>IF(Data!B618="",#N/A,Data!B618)</f>
        <v>36617</v>
      </c>
      <c r="B590" s="35">
        <f>VLOOKUP(A590,Data!B:AY,MATCH($B$2,Data!$C$1:$AY$1,0),FALSE)</f>
        <v>74.591610000000003</v>
      </c>
      <c r="C590" s="36">
        <f t="shared" si="38"/>
        <v>8.9285390808768739E-4</v>
      </c>
      <c r="D590" s="36">
        <f t="shared" si="35"/>
        <v>1.0767018216709667E-2</v>
      </c>
      <c r="E590" s="36">
        <f>(Table143454[[#This Row],[JPN]]-B578)/B578</f>
        <v>2.2810274777486348E-2</v>
      </c>
      <c r="F590" s="35">
        <f>VLOOKUP(Table143454[[#This Row],[Date]],'Data Core CPI'!$B:$AY,MATCH($B$2,'Data Core CPI'!$C$1:$AY$1,0),FALSE)</f>
        <v>76.021100000000004</v>
      </c>
      <c r="G590" s="36">
        <f t="shared" si="36"/>
        <v>1.0608299598606763E-3</v>
      </c>
      <c r="H590" s="36">
        <f t="shared" si="37"/>
        <v>1.2804496559205791E-2</v>
      </c>
      <c r="I590" s="36">
        <f>(Table143454[[#This Row],[Core CPI]]-F578)/F578</f>
        <v>2.0367047641136671E-2</v>
      </c>
    </row>
    <row r="591" spans="1:9" x14ac:dyDescent="0.2">
      <c r="A591" s="34">
        <f>IF(Data!B619="",#N/A,Data!B619)</f>
        <v>36647</v>
      </c>
      <c r="B591" s="35">
        <f>VLOOKUP(A591,Data!B:AY,MATCH($B$2,Data!$C$1:$AY$1,0),FALSE)</f>
        <v>74.857770000000002</v>
      </c>
      <c r="C591" s="36">
        <f t="shared" si="38"/>
        <v>3.568229724495886E-3</v>
      </c>
      <c r="D591" s="36">
        <f t="shared" si="35"/>
        <v>4.3669161741847207E-2</v>
      </c>
      <c r="E591" s="36">
        <f>(Table143454[[#This Row],[JPN]]-B579)/B579</f>
        <v>2.459021329795124E-2</v>
      </c>
      <c r="F591" s="35">
        <f>VLOOKUP(Table143454[[#This Row],[Date]],'Data Core CPI'!$B:$AY,MATCH($B$2,'Data Core CPI'!$C$1:$AY$1,0),FALSE)</f>
        <v>76.228160000000003</v>
      </c>
      <c r="G591" s="36">
        <f t="shared" si="36"/>
        <v>2.7237174942220665E-3</v>
      </c>
      <c r="H591" s="36">
        <f t="shared" si="37"/>
        <v>3.3178712713598735E-2</v>
      </c>
      <c r="I591" s="36">
        <f>(Table143454[[#This Row],[Core CPI]]-F579)/F579</f>
        <v>2.1212747207639868E-2</v>
      </c>
    </row>
    <row r="592" spans="1:9" x14ac:dyDescent="0.2">
      <c r="A592" s="34">
        <f>IF(Data!B620="",#N/A,Data!B620)</f>
        <v>36678</v>
      </c>
      <c r="B592" s="35">
        <f>VLOOKUP(A592,Data!B:AY,MATCH($B$2,Data!$C$1:$AY$1,0),FALSE)</f>
        <v>75.057389999999998</v>
      </c>
      <c r="C592" s="36">
        <f t="shared" si="38"/>
        <v>2.6666570484266128E-3</v>
      </c>
      <c r="D592" s="36">
        <f t="shared" si="35"/>
        <v>3.2473411473428415E-2</v>
      </c>
      <c r="E592" s="36">
        <f>(Table143454[[#This Row],[JPN]]-B580)/B580</f>
        <v>2.7322444011991118E-2</v>
      </c>
      <c r="F592" s="35">
        <f>VLOOKUP(Table143454[[#This Row],[Date]],'Data Core CPI'!$B:$AY,MATCH($B$2,'Data Core CPI'!$C$1:$AY$1,0),FALSE)</f>
        <v>76.380870000000002</v>
      </c>
      <c r="G592" s="36">
        <f t="shared" si="36"/>
        <v>2.0033279040185814E-3</v>
      </c>
      <c r="H592" s="36">
        <f t="shared" si="37"/>
        <v>2.4306590944585427E-2</v>
      </c>
      <c r="I592" s="36">
        <f>(Table143454[[#This Row],[Core CPI]]-F580)/F580</f>
        <v>2.2785302697080043E-2</v>
      </c>
    </row>
    <row r="593" spans="1:9" x14ac:dyDescent="0.2">
      <c r="A593" s="34">
        <f>IF(Data!B621="",#N/A,Data!B621)</f>
        <v>36708</v>
      </c>
      <c r="B593" s="35">
        <f>VLOOKUP(A593,Data!B:AY,MATCH($B$2,Data!$C$1:$AY$1,0),FALSE)</f>
        <v>75.190470000000005</v>
      </c>
      <c r="C593" s="36">
        <f t="shared" si="38"/>
        <v>1.773043267291996E-3</v>
      </c>
      <c r="D593" s="36">
        <f t="shared" si="35"/>
        <v>2.1485233408286231E-2</v>
      </c>
      <c r="E593" s="36">
        <f>(Table143454[[#This Row],[JPN]]-B581)/B581</f>
        <v>2.6339734209836659E-2</v>
      </c>
      <c r="F593" s="35">
        <f>VLOOKUP(Table143454[[#This Row],[Date]],'Data Core CPI'!$B:$AY,MATCH($B$2,'Data Core CPI'!$C$1:$AY$1,0),FALSE)</f>
        <v>76.500500000000002</v>
      </c>
      <c r="G593" s="36">
        <f t="shared" si="36"/>
        <v>1.5662298688139398E-3</v>
      </c>
      <c r="H593" s="36">
        <f t="shared" si="37"/>
        <v>1.895750968587695E-2</v>
      </c>
      <c r="I593" s="36">
        <f>(Table143454[[#This Row],[Core CPI]]-F581)/F581</f>
        <v>2.0802211857107247E-2</v>
      </c>
    </row>
    <row r="594" spans="1:9" x14ac:dyDescent="0.2">
      <c r="A594" s="34">
        <f>IF(Data!B622="",#N/A,Data!B622)</f>
        <v>36739</v>
      </c>
      <c r="B594" s="35">
        <f>VLOOKUP(A594,Data!B:AY,MATCH($B$2,Data!$C$1:$AY$1,0),FALSE)</f>
        <v>75.257009999999994</v>
      </c>
      <c r="C594" s="36">
        <f t="shared" si="38"/>
        <v>8.8495257444187736E-4</v>
      </c>
      <c r="D594" s="36">
        <f t="shared" si="35"/>
        <v>1.0671270976609915E-2</v>
      </c>
      <c r="E594" s="36">
        <f>(Table143454[[#This Row],[JPN]]-B582)/B582</f>
        <v>2.6315692575826052E-2</v>
      </c>
      <c r="F594" s="35">
        <f>VLOOKUP(Table143454[[#This Row],[Date]],'Data Core CPI'!$B:$AY,MATCH($B$2,'Data Core CPI'!$C$1:$AY$1,0),FALSE)</f>
        <v>76.624229999999997</v>
      </c>
      <c r="G594" s="36">
        <f t="shared" si="36"/>
        <v>1.6173750498362782E-3</v>
      </c>
      <c r="H594" s="36">
        <f t="shared" si="37"/>
        <v>1.958208432633235E-2</v>
      </c>
      <c r="I594" s="36">
        <f>(Table143454[[#This Row],[Core CPI]]-F582)/F582</f>
        <v>2.1199175089339953E-2</v>
      </c>
    </row>
    <row r="595" spans="1:9" x14ac:dyDescent="0.2">
      <c r="A595" s="34">
        <f>IF(Data!B623="",#N/A,Data!B623)</f>
        <v>36770</v>
      </c>
      <c r="B595" s="35">
        <f>VLOOKUP(A595,Data!B:AY,MATCH($B$2,Data!$C$1:$AY$1,0),FALSE)</f>
        <v>75.390090000000001</v>
      </c>
      <c r="C595" s="36">
        <f t="shared" si="38"/>
        <v>1.7683402516257551E-3</v>
      </c>
      <c r="D595" s="36">
        <f t="shared" si="35"/>
        <v>2.142768819428742E-2</v>
      </c>
      <c r="E595" s="36">
        <f>(Table143454[[#This Row],[JPN]]-B583)/B583</f>
        <v>2.6268019394931372E-2</v>
      </c>
      <c r="F595" s="35">
        <f>VLOOKUP(Table143454[[#This Row],[Date]],'Data Core CPI'!$B:$AY,MATCH($B$2,'Data Core CPI'!$C$1:$AY$1,0),FALSE)</f>
        <v>76.612459999999999</v>
      </c>
      <c r="G595" s="36">
        <f t="shared" si="36"/>
        <v>-1.5360676381348526E-4</v>
      </c>
      <c r="H595" s="36">
        <f t="shared" si="37"/>
        <v>-1.8417246903439377E-3</v>
      </c>
      <c r="I595" s="36">
        <f>(Table143454[[#This Row],[Core CPI]]-F583)/F583</f>
        <v>2.0043388730699808E-2</v>
      </c>
    </row>
    <row r="596" spans="1:9" x14ac:dyDescent="0.2">
      <c r="A596" s="34">
        <f>IF(Data!B624="",#N/A,Data!B624)</f>
        <v>36800</v>
      </c>
      <c r="B596" s="35">
        <f>VLOOKUP(A596,Data!B:AY,MATCH($B$2,Data!$C$1:$AY$1,0),FALSE)</f>
        <v>75.65625</v>
      </c>
      <c r="C596" s="36">
        <f t="shared" si="38"/>
        <v>3.5304374885345435E-3</v>
      </c>
      <c r="D596" s="36">
        <f t="shared" si="35"/>
        <v>4.3197631195507125E-2</v>
      </c>
      <c r="E596" s="36">
        <f>(Table143454[[#This Row],[JPN]]-B584)/B584</f>
        <v>2.6173189347289742E-2</v>
      </c>
      <c r="F596" s="35">
        <f>VLOOKUP(Table143454[[#This Row],[Date]],'Data Core CPI'!$B:$AY,MATCH($B$2,'Data Core CPI'!$C$1:$AY$1,0),FALSE)</f>
        <v>76.930980000000005</v>
      </c>
      <c r="G596" s="36">
        <f t="shared" si="36"/>
        <v>4.1575482630371585E-3</v>
      </c>
      <c r="H596" s="36">
        <f t="shared" si="37"/>
        <v>5.1047361837906813E-2</v>
      </c>
      <c r="I596" s="36">
        <f>(Table143454[[#This Row],[Core CPI]]-F584)/F584</f>
        <v>2.0232654641256776E-2</v>
      </c>
    </row>
    <row r="597" spans="1:9" x14ac:dyDescent="0.2">
      <c r="A597" s="34">
        <f>IF(Data!B625="",#N/A,Data!B625)</f>
        <v>36831</v>
      </c>
      <c r="B597" s="35">
        <f>VLOOKUP(A597,Data!B:AY,MATCH($B$2,Data!$C$1:$AY$1,0),FALSE)</f>
        <v>75.855869999999996</v>
      </c>
      <c r="C597" s="36">
        <f t="shared" si="38"/>
        <v>2.6385130111523658E-3</v>
      </c>
      <c r="D597" s="36">
        <f t="shared" si="35"/>
        <v>3.2125696893617883E-2</v>
      </c>
      <c r="E597" s="36">
        <f>(Table143454[[#This Row],[JPN]]-B585)/B585</f>
        <v>2.7027067278674051E-2</v>
      </c>
      <c r="F597" s="35">
        <f>VLOOKUP(Table143454[[#This Row],[Date]],'Data Core CPI'!$B:$AY,MATCH($B$2,'Data Core CPI'!$C$1:$AY$1,0),FALSE)</f>
        <v>77.083740000000006</v>
      </c>
      <c r="G597" s="36">
        <f t="shared" si="36"/>
        <v>1.9856759916485611E-3</v>
      </c>
      <c r="H597" s="36">
        <f t="shared" si="37"/>
        <v>2.4090074078119583E-2</v>
      </c>
      <c r="I597" s="36">
        <f>(Table143454[[#This Row],[Core CPI]]-F585)/F585</f>
        <v>2.0591837753366475E-2</v>
      </c>
    </row>
    <row r="598" spans="1:9" x14ac:dyDescent="0.2">
      <c r="A598" s="34">
        <f>IF(Data!B626="",#N/A,Data!B626)</f>
        <v>36861</v>
      </c>
      <c r="B598" s="35">
        <f>VLOOKUP(A598,Data!B:AY,MATCH($B$2,Data!$C$1:$AY$1,0),FALSE)</f>
        <v>75.922420000000002</v>
      </c>
      <c r="C598" s="36">
        <f t="shared" si="38"/>
        <v>8.7732168914556041E-4</v>
      </c>
      <c r="D598" s="36">
        <f t="shared" si="35"/>
        <v>1.0578808883368707E-2</v>
      </c>
      <c r="E598" s="36">
        <f>(Table143454[[#This Row],[JPN]]-B586)/B586</f>
        <v>2.7002736918340667E-2</v>
      </c>
      <c r="F598" s="35">
        <f>VLOOKUP(Table143454[[#This Row],[Date]],'Data Core CPI'!$B:$AY,MATCH($B$2,'Data Core CPI'!$C$1:$AY$1,0),FALSE)</f>
        <v>77.10378</v>
      </c>
      <c r="G598" s="36">
        <f t="shared" si="36"/>
        <v>2.5997700682389713E-4</v>
      </c>
      <c r="H598" s="36">
        <f t="shared" si="37"/>
        <v>3.1241887607520447E-3</v>
      </c>
      <c r="I598" s="36">
        <f>(Table143454[[#This Row],[Core CPI]]-F586)/F586</f>
        <v>2.1152447142721097E-2</v>
      </c>
    </row>
    <row r="599" spans="1:9" x14ac:dyDescent="0.2">
      <c r="A599" s="34">
        <f>IF(Data!B627="",#N/A,Data!B627)</f>
        <v>36892</v>
      </c>
      <c r="B599" s="35">
        <f>VLOOKUP(A599,Data!B:AY,MATCH($B$2,Data!$C$1:$AY$1,0),FALSE)</f>
        <v>76.255110000000002</v>
      </c>
      <c r="C599" s="36">
        <f t="shared" si="38"/>
        <v>4.3819730719858452E-3</v>
      </c>
      <c r="D599" s="36">
        <f t="shared" si="35"/>
        <v>5.3869683148669578E-2</v>
      </c>
      <c r="E599" s="36">
        <f>(Table143454[[#This Row],[JPN]]-B587)/B587</f>
        <v>2.9649487592981211E-2</v>
      </c>
      <c r="F599" s="35">
        <f>VLOOKUP(Table143454[[#This Row],[Date]],'Data Core CPI'!$B:$AY,MATCH($B$2,'Data Core CPI'!$C$1:$AY$1,0),FALSE)</f>
        <v>77.585179999999994</v>
      </c>
      <c r="G599" s="36">
        <f t="shared" si="36"/>
        <v>6.2435330667316435E-3</v>
      </c>
      <c r="H599" s="36">
        <f t="shared" si="37"/>
        <v>7.7549493483298537E-2</v>
      </c>
      <c r="I599" s="36">
        <f>(Table143454[[#This Row],[Core CPI]]-F587)/F587</f>
        <v>2.5800505303251221E-2</v>
      </c>
    </row>
    <row r="600" spans="1:9" x14ac:dyDescent="0.2">
      <c r="A600" s="34">
        <f>IF(Data!B628="",#N/A,Data!B628)</f>
        <v>36923</v>
      </c>
      <c r="B600" s="35">
        <f>VLOOKUP(A600,Data!B:AY,MATCH($B$2,Data!$C$1:$AY$1,0),FALSE)</f>
        <v>76.521280000000004</v>
      </c>
      <c r="C600" s="36">
        <f t="shared" si="38"/>
        <v>3.4905201762871485E-3</v>
      </c>
      <c r="D600" s="36">
        <f t="shared" si="35"/>
        <v>4.2699798322629379E-2</v>
      </c>
      <c r="E600" s="36">
        <f>(Table143454[[#This Row],[JPN]]-B588)/B588</f>
        <v>2.9543447096519439E-2</v>
      </c>
      <c r="F600" s="35">
        <f>VLOOKUP(Table143454[[#This Row],[Date]],'Data Core CPI'!$B:$AY,MATCH($B$2,'Data Core CPI'!$C$1:$AY$1,0),FALSE)</f>
        <v>77.815150000000003</v>
      </c>
      <c r="G600" s="36">
        <f t="shared" si="36"/>
        <v>2.9640970092486008E-3</v>
      </c>
      <c r="H600" s="36">
        <f t="shared" si="37"/>
        <v>3.6154799272249072E-2</v>
      </c>
      <c r="I600" s="36">
        <f>(Table143454[[#This Row],[Core CPI]]-F588)/F588</f>
        <v>2.5332374258837557E-2</v>
      </c>
    </row>
    <row r="601" spans="1:9" x14ac:dyDescent="0.2">
      <c r="A601" s="34">
        <f>IF(Data!B629="",#N/A,Data!B629)</f>
        <v>36951</v>
      </c>
      <c r="B601" s="35">
        <f>VLOOKUP(A601,Data!B:AY,MATCH($B$2,Data!$C$1:$AY$1,0),FALSE)</f>
        <v>76.587810000000005</v>
      </c>
      <c r="C601" s="36">
        <f t="shared" si="38"/>
        <v>8.6943135295181051E-4</v>
      </c>
      <c r="D601" s="36">
        <f t="shared" si="35"/>
        <v>1.0483211223349054E-2</v>
      </c>
      <c r="E601" s="36">
        <f>(Table143454[[#This Row],[JPN]]-B589)/B589</f>
        <v>2.7678471150714857E-2</v>
      </c>
      <c r="F601" s="35">
        <f>VLOOKUP(Table143454[[#This Row],[Date]],'Data Core CPI'!$B:$AY,MATCH($B$2,'Data Core CPI'!$C$1:$AY$1,0),FALSE)</f>
        <v>77.853160000000003</v>
      </c>
      <c r="G601" s="36">
        <f t="shared" si="36"/>
        <v>4.8846529242707604E-4</v>
      </c>
      <c r="H601" s="36">
        <f t="shared" si="37"/>
        <v>5.8773566682348566E-3</v>
      </c>
      <c r="I601" s="36">
        <f>(Table143454[[#This Row],[Core CPI]]-F589)/F589</f>
        <v>2.5185757172651181E-2</v>
      </c>
    </row>
    <row r="602" spans="1:9" x14ac:dyDescent="0.2">
      <c r="A602" s="34">
        <f>IF(Data!B630="",#N/A,Data!B630)</f>
        <v>36982</v>
      </c>
      <c r="B602" s="35">
        <f>VLOOKUP(A602,Data!B:AY,MATCH($B$2,Data!$C$1:$AY$1,0),FALSE)</f>
        <v>76.920519999999996</v>
      </c>
      <c r="C602" s="36">
        <f t="shared" si="38"/>
        <v>4.3441639080683547E-3</v>
      </c>
      <c r="D602" s="36">
        <f t="shared" si="35"/>
        <v>5.3393716627476717E-2</v>
      </c>
      <c r="E602" s="36">
        <f>(Table143454[[#This Row],[JPN]]-B590)/B590</f>
        <v>3.1222144152673381E-2</v>
      </c>
      <c r="F602" s="35">
        <f>VLOOKUP(Table143454[[#This Row],[Date]],'Data Core CPI'!$B:$AY,MATCH($B$2,'Data Core CPI'!$C$1:$AY$1,0),FALSE)</f>
        <v>78.178060000000002</v>
      </c>
      <c r="G602" s="36">
        <f t="shared" si="36"/>
        <v>4.1732410090997707E-3</v>
      </c>
      <c r="H602" s="36">
        <f t="shared" si="37"/>
        <v>5.1244485133635331E-2</v>
      </c>
      <c r="I602" s="36">
        <f>(Table143454[[#This Row],[Core CPI]]-F590)/F590</f>
        <v>2.8373175342108939E-2</v>
      </c>
    </row>
    <row r="603" spans="1:9" x14ac:dyDescent="0.2">
      <c r="A603" s="34">
        <f>IF(Data!B631="",#N/A,Data!B631)</f>
        <v>37012</v>
      </c>
      <c r="B603" s="35">
        <f>VLOOKUP(A603,Data!B:AY,MATCH($B$2,Data!$C$1:$AY$1,0),FALSE)</f>
        <v>77.120140000000006</v>
      </c>
      <c r="C603" s="36">
        <f t="shared" si="38"/>
        <v>2.5951462626618849E-3</v>
      </c>
      <c r="D603" s="36">
        <f t="shared" si="35"/>
        <v>3.1590118554514213E-2</v>
      </c>
      <c r="E603" s="36">
        <f>(Table143454[[#This Row],[JPN]]-B591)/B591</f>
        <v>3.0222246802169023E-2</v>
      </c>
      <c r="F603" s="35">
        <f>VLOOKUP(Table143454[[#This Row],[Date]],'Data Core CPI'!$B:$AY,MATCH($B$2,'Data Core CPI'!$C$1:$AY$1,0),FALSE)</f>
        <v>78.341899999999995</v>
      </c>
      <c r="G603" s="36">
        <f t="shared" si="36"/>
        <v>2.0957286481653181E-3</v>
      </c>
      <c r="H603" s="36">
        <f t="shared" si="37"/>
        <v>2.5440655557284808E-2</v>
      </c>
      <c r="I603" s="36">
        <f>(Table143454[[#This Row],[Core CPI]]-F591)/F591</f>
        <v>2.7729122675924391E-2</v>
      </c>
    </row>
    <row r="604" spans="1:9" x14ac:dyDescent="0.2">
      <c r="A604" s="34">
        <f>IF(Data!B632="",#N/A,Data!B632)</f>
        <v>37043</v>
      </c>
      <c r="B604" s="35">
        <f>VLOOKUP(A604,Data!B:AY,MATCH($B$2,Data!$C$1:$AY$1,0),FALSE)</f>
        <v>77.319760000000002</v>
      </c>
      <c r="C604" s="36">
        <f t="shared" si="38"/>
        <v>2.5884289110471581E-3</v>
      </c>
      <c r="D604" s="36">
        <f t="shared" si="35"/>
        <v>3.1507182208044826E-2</v>
      </c>
      <c r="E604" s="36">
        <f>(Table143454[[#This Row],[JPN]]-B592)/B592</f>
        <v>3.0141868775346494E-2</v>
      </c>
      <c r="F604" s="35">
        <f>VLOOKUP(Table143454[[#This Row],[Date]],'Data Core CPI'!$B:$AY,MATCH($B$2,'Data Core CPI'!$C$1:$AY$1,0),FALSE)</f>
        <v>78.494600000000005</v>
      </c>
      <c r="G604" s="36">
        <f t="shared" si="36"/>
        <v>1.9491485399256714E-3</v>
      </c>
      <c r="H604" s="36">
        <f t="shared" si="37"/>
        <v>2.3642164664748666E-2</v>
      </c>
      <c r="I604" s="36">
        <f>(Table143454[[#This Row],[Core CPI]]-F592)/F592</f>
        <v>2.7673552291300214E-2</v>
      </c>
    </row>
    <row r="605" spans="1:9" x14ac:dyDescent="0.2">
      <c r="A605" s="34">
        <f>IF(Data!B633="",#N/A,Data!B633)</f>
        <v>37073</v>
      </c>
      <c r="B605" s="35">
        <f>VLOOKUP(A605,Data!B:AY,MATCH($B$2,Data!$C$1:$AY$1,0),FALSE)</f>
        <v>77.386300000000006</v>
      </c>
      <c r="C605" s="36">
        <f t="shared" si="38"/>
        <v>8.605820814757692E-4</v>
      </c>
      <c r="D605" s="36">
        <f t="shared" si="35"/>
        <v>1.0376005166484736E-2</v>
      </c>
      <c r="E605" s="36">
        <f>(Table143454[[#This Row],[JPN]]-B593)/B593</f>
        <v>2.9203567952162033E-2</v>
      </c>
      <c r="F605" s="35">
        <f>VLOOKUP(Table143454[[#This Row],[Date]],'Data Core CPI'!$B:$AY,MATCH($B$2,'Data Core CPI'!$C$1:$AY$1,0),FALSE)</f>
        <v>78.685149999999993</v>
      </c>
      <c r="G605" s="36">
        <f t="shared" si="36"/>
        <v>2.4275555261124016E-3</v>
      </c>
      <c r="H605" s="36">
        <f t="shared" si="37"/>
        <v>2.9522770517913965E-2</v>
      </c>
      <c r="I605" s="36">
        <f>(Table143454[[#This Row],[Core CPI]]-F593)/F593</f>
        <v>2.8557329690655494E-2</v>
      </c>
    </row>
    <row r="606" spans="1:9" x14ac:dyDescent="0.2">
      <c r="A606" s="34">
        <f>IF(Data!B634="",#N/A,Data!B634)</f>
        <v>37104</v>
      </c>
      <c r="B606" s="35">
        <f>VLOOKUP(A606,Data!B:AY,MATCH($B$2,Data!$C$1:$AY$1,0),FALSE)</f>
        <v>77.386300000000006</v>
      </c>
      <c r="C606" s="36">
        <f t="shared" si="38"/>
        <v>0</v>
      </c>
      <c r="D606" s="36">
        <f t="shared" si="35"/>
        <v>0</v>
      </c>
      <c r="E606" s="36">
        <f>(Table143454[[#This Row],[JPN]]-B594)/B594</f>
        <v>2.829357690399887E-2</v>
      </c>
      <c r="F606" s="35">
        <f>VLOOKUP(Table143454[[#This Row],[Date]],'Data Core CPI'!$B:$AY,MATCH($B$2,'Data Core CPI'!$C$1:$AY$1,0),FALSE)</f>
        <v>78.779219999999995</v>
      </c>
      <c r="G606" s="36">
        <f t="shared" si="36"/>
        <v>1.1955241872196876E-3</v>
      </c>
      <c r="H606" s="36">
        <f t="shared" si="37"/>
        <v>1.4440999535238586E-2</v>
      </c>
      <c r="I606" s="36">
        <f>(Table143454[[#This Row],[Core CPI]]-F594)/F594</f>
        <v>2.8124132536144219E-2</v>
      </c>
    </row>
    <row r="607" spans="1:9" x14ac:dyDescent="0.2">
      <c r="A607" s="34">
        <f>IF(Data!B635="",#N/A,Data!B635)</f>
        <v>37135</v>
      </c>
      <c r="B607" s="35">
        <f>VLOOKUP(A607,Data!B:AY,MATCH($B$2,Data!$C$1:$AY$1,0),FALSE)</f>
        <v>77.386300000000006</v>
      </c>
      <c r="C607" s="36">
        <f t="shared" si="38"/>
        <v>0</v>
      </c>
      <c r="D607" s="36">
        <f t="shared" si="35"/>
        <v>0</v>
      </c>
      <c r="E607" s="36">
        <f>(Table143454[[#This Row],[JPN]]-B595)/B595</f>
        <v>2.647841380743815E-2</v>
      </c>
      <c r="F607" s="35">
        <f>VLOOKUP(Table143454[[#This Row],[Date]],'Data Core CPI'!$B:$AY,MATCH($B$2,'Data Core CPI'!$C$1:$AY$1,0),FALSE)</f>
        <v>78.764979999999994</v>
      </c>
      <c r="G607" s="36">
        <f t="shared" si="36"/>
        <v>-1.8075832687858284E-4</v>
      </c>
      <c r="H607" s="36">
        <f t="shared" si="37"/>
        <v>-2.166944765538581E-3</v>
      </c>
      <c r="I607" s="36">
        <f>(Table143454[[#This Row],[Core CPI]]-F595)/F595</f>
        <v>2.8096213070302085E-2</v>
      </c>
    </row>
    <row r="608" spans="1:9" x14ac:dyDescent="0.2">
      <c r="A608" s="34">
        <f>IF(Data!B636="",#N/A,Data!B636)</f>
        <v>37165</v>
      </c>
      <c r="B608" s="35">
        <f>VLOOKUP(A608,Data!B:AY,MATCH($B$2,Data!$C$1:$AY$1,0),FALSE)</f>
        <v>77.519379999999998</v>
      </c>
      <c r="C608" s="36">
        <f t="shared" si="38"/>
        <v>1.7196842335140961E-3</v>
      </c>
      <c r="D608" s="36">
        <f t="shared" si="35"/>
        <v>2.0832516700311166E-2</v>
      </c>
      <c r="E608" s="36">
        <f>(Table143454[[#This Row],[JPN]]-B596)/B596</f>
        <v>2.462625361420898E-2</v>
      </c>
      <c r="F608" s="35">
        <f>VLOOKUP(Table143454[[#This Row],[Date]],'Data Core CPI'!$B:$AY,MATCH($B$2,'Data Core CPI'!$C$1:$AY$1,0),FALSE)</f>
        <v>78.956599999999995</v>
      </c>
      <c r="G608" s="36">
        <f t="shared" si="36"/>
        <v>2.4328070673031998E-3</v>
      </c>
      <c r="H608" s="36">
        <f t="shared" si="37"/>
        <v>2.9587494241741119E-2</v>
      </c>
      <c r="I608" s="36">
        <f>(Table143454[[#This Row],[Core CPI]]-F596)/F596</f>
        <v>2.633035481934572E-2</v>
      </c>
    </row>
    <row r="609" spans="1:9" x14ac:dyDescent="0.2">
      <c r="A609" s="34">
        <f>IF(Data!B637="",#N/A,Data!B637)</f>
        <v>37196</v>
      </c>
      <c r="B609" s="35">
        <f>VLOOKUP(A609,Data!B:AY,MATCH($B$2,Data!$C$1:$AY$1,0),FALSE)</f>
        <v>77.652460000000005</v>
      </c>
      <c r="C609" s="36">
        <f t="shared" si="38"/>
        <v>1.7167319965665229E-3</v>
      </c>
      <c r="D609" s="36">
        <f t="shared" si="35"/>
        <v>2.0796414497229465E-2</v>
      </c>
      <c r="E609" s="36">
        <f>(Table143454[[#This Row],[JPN]]-B597)/B597</f>
        <v>2.3684258054123025E-2</v>
      </c>
      <c r="F609" s="35">
        <f>VLOOKUP(Table143454[[#This Row],[Date]],'Data Core CPI'!$B:$AY,MATCH($B$2,'Data Core CPI'!$C$1:$AY$1,0),FALSE)</f>
        <v>79.116709999999998</v>
      </c>
      <c r="G609" s="36">
        <f t="shared" si="36"/>
        <v>2.0278228799113229E-3</v>
      </c>
      <c r="H609" s="36">
        <f t="shared" si="37"/>
        <v>2.4607113766853983E-2</v>
      </c>
      <c r="I609" s="36">
        <f>(Table143454[[#This Row],[Core CPI]]-F597)/F597</f>
        <v>2.6373525726696597E-2</v>
      </c>
    </row>
    <row r="610" spans="1:9" x14ac:dyDescent="0.2">
      <c r="A610" s="34">
        <f>IF(Data!B638="",#N/A,Data!B638)</f>
        <v>37226</v>
      </c>
      <c r="B610" s="35">
        <f>VLOOKUP(A610,Data!B:AY,MATCH($B$2,Data!$C$1:$AY$1,0),FALSE)</f>
        <v>77.718999999999994</v>
      </c>
      <c r="C610" s="36">
        <f t="shared" si="38"/>
        <v>8.5689493932306071E-4</v>
      </c>
      <c r="D610" s="36">
        <f t="shared" si="35"/>
        <v>1.0331339711061149E-2</v>
      </c>
      <c r="E610" s="36">
        <f>(Table143454[[#This Row],[JPN]]-B598)/B598</f>
        <v>2.3663365841078188E-2</v>
      </c>
      <c r="F610" s="35">
        <f>VLOOKUP(Table143454[[#This Row],[Date]],'Data Core CPI'!$B:$AY,MATCH($B$2,'Data Core CPI'!$C$1:$AY$1,0),FALSE)</f>
        <v>79.159949999999995</v>
      </c>
      <c r="G610" s="36">
        <f t="shared" si="36"/>
        <v>5.4653435412066464E-4</v>
      </c>
      <c r="H610" s="36">
        <f t="shared" si="37"/>
        <v>6.5781623954010993E-3</v>
      </c>
      <c r="I610" s="36">
        <f>(Table143454[[#This Row],[Core CPI]]-F598)/F598</f>
        <v>2.6667564158333022E-2</v>
      </c>
    </row>
    <row r="611" spans="1:9" x14ac:dyDescent="0.2">
      <c r="A611" s="34">
        <f>IF(Data!B639="",#N/A,Data!B639)</f>
        <v>37257</v>
      </c>
      <c r="B611" s="35">
        <f>VLOOKUP(A611,Data!B:AY,MATCH($B$2,Data!$C$1:$AY$1,0),FALSE)</f>
        <v>78.051699999999997</v>
      </c>
      <c r="C611" s="36">
        <f t="shared" si="38"/>
        <v>4.2808064951942448E-3</v>
      </c>
      <c r="D611" s="36">
        <f t="shared" si="35"/>
        <v>5.2596573754269738E-2</v>
      </c>
      <c r="E611" s="36">
        <f>(Table143454[[#This Row],[JPN]]-B599)/B599</f>
        <v>2.3560257142111456E-2</v>
      </c>
      <c r="F611" s="35">
        <f>VLOOKUP(Table143454[[#This Row],[Date]],'Data Core CPI'!$B:$AY,MATCH($B$2,'Data Core CPI'!$C$1:$AY$1,0),FALSE)</f>
        <v>79.312359999999998</v>
      </c>
      <c r="G611" s="36">
        <f t="shared" si="36"/>
        <v>1.9253422974623291E-3</v>
      </c>
      <c r="H611" s="36">
        <f t="shared" si="37"/>
        <v>2.3350342797570534E-2</v>
      </c>
      <c r="I611" s="36">
        <f>(Table143454[[#This Row],[Core CPI]]-F599)/F599</f>
        <v>2.2261725757419193E-2</v>
      </c>
    </row>
    <row r="612" spans="1:9" x14ac:dyDescent="0.2">
      <c r="A612" s="34">
        <f>IF(Data!B640="",#N/A,Data!B640)</f>
        <v>37288</v>
      </c>
      <c r="B612" s="35">
        <f>VLOOKUP(A612,Data!B:AY,MATCH($B$2,Data!$C$1:$AY$1,0),FALSE)</f>
        <v>78.317859999999996</v>
      </c>
      <c r="C612" s="36">
        <f t="shared" si="38"/>
        <v>3.4100474429128447E-3</v>
      </c>
      <c r="D612" s="36">
        <f t="shared" si="35"/>
        <v>4.169683633550525E-2</v>
      </c>
      <c r="E612" s="36">
        <f>(Table143454[[#This Row],[JPN]]-B600)/B600</f>
        <v>2.3478174959958738E-2</v>
      </c>
      <c r="F612" s="35">
        <f>VLOOKUP(Table143454[[#This Row],[Date]],'Data Core CPI'!$B:$AY,MATCH($B$2,'Data Core CPI'!$C$1:$AY$1,0),FALSE)</f>
        <v>79.597539999999995</v>
      </c>
      <c r="G612" s="36">
        <f t="shared" si="36"/>
        <v>3.5956564651460354E-3</v>
      </c>
      <c r="H612" s="36">
        <f t="shared" si="37"/>
        <v>4.4011485209593415E-2</v>
      </c>
      <c r="I612" s="36">
        <f>(Table143454[[#This Row],[Core CPI]]-F600)/F600</f>
        <v>2.2905436794762875E-2</v>
      </c>
    </row>
    <row r="613" spans="1:9" x14ac:dyDescent="0.2">
      <c r="A613" s="34">
        <f>IF(Data!B641="",#N/A,Data!B641)</f>
        <v>37316</v>
      </c>
      <c r="B613" s="35">
        <f>VLOOKUP(A613,Data!B:AY,MATCH($B$2,Data!$C$1:$AY$1,0),FALSE)</f>
        <v>78.517489999999995</v>
      </c>
      <c r="C613" s="36">
        <f t="shared" si="38"/>
        <v>2.5489715883453279E-3</v>
      </c>
      <c r="D613" s="36">
        <f t="shared" si="35"/>
        <v>3.1020142438854315E-2</v>
      </c>
      <c r="E613" s="36">
        <f>(Table143454[[#This Row],[JPN]]-B601)/B601</f>
        <v>2.5195654504287176E-2</v>
      </c>
      <c r="F613" s="35">
        <f>VLOOKUP(Table143454[[#This Row],[Date]],'Data Core CPI'!$B:$AY,MATCH($B$2,'Data Core CPI'!$C$1:$AY$1,0),FALSE)</f>
        <v>79.827330000000003</v>
      </c>
      <c r="G613" s="36">
        <f t="shared" si="36"/>
        <v>2.8868982634389084E-3</v>
      </c>
      <c r="H613" s="36">
        <f t="shared" si="37"/>
        <v>3.5198162872676519E-2</v>
      </c>
      <c r="I613" s="36">
        <f>(Table143454[[#This Row],[Core CPI]]-F601)/F601</f>
        <v>2.5357609119527079E-2</v>
      </c>
    </row>
    <row r="614" spans="1:9" x14ac:dyDescent="0.2">
      <c r="A614" s="34">
        <f>IF(Data!B642="",#N/A,Data!B642)</f>
        <v>37347</v>
      </c>
      <c r="B614" s="35">
        <f>VLOOKUP(A614,Data!B:AY,MATCH($B$2,Data!$C$1:$AY$1,0),FALSE)</f>
        <v>78.717100000000002</v>
      </c>
      <c r="C614" s="36">
        <f t="shared" si="38"/>
        <v>2.5422361310838415E-3</v>
      </c>
      <c r="D614" s="36">
        <f t="shared" si="35"/>
        <v>3.0937024677547997E-2</v>
      </c>
      <c r="E614" s="36">
        <f>(Table143454[[#This Row],[JPN]]-B602)/B602</f>
        <v>2.3356316363956017E-2</v>
      </c>
      <c r="F614" s="35">
        <f>VLOOKUP(Table143454[[#This Row],[Date]],'Data Core CPI'!$B:$AY,MATCH($B$2,'Data Core CPI'!$C$1:$AY$1,0),FALSE)</f>
        <v>79.926760000000002</v>
      </c>
      <c r="G614" s="36">
        <f t="shared" si="36"/>
        <v>1.2455633928880605E-3</v>
      </c>
      <c r="H614" s="36">
        <f t="shared" si="37"/>
        <v>1.5049581295869974E-2</v>
      </c>
      <c r="I614" s="36">
        <f>(Table143454[[#This Row],[Core CPI]]-F602)/F602</f>
        <v>2.2368168255901967E-2</v>
      </c>
    </row>
    <row r="615" spans="1:9" x14ac:dyDescent="0.2">
      <c r="A615" s="34">
        <f>IF(Data!B643="",#N/A,Data!B643)</f>
        <v>37377</v>
      </c>
      <c r="B615" s="35">
        <f>VLOOKUP(A615,Data!B:AY,MATCH($B$2,Data!$C$1:$AY$1,0),FALSE)</f>
        <v>78.916730000000001</v>
      </c>
      <c r="C615" s="36">
        <f t="shared" si="38"/>
        <v>2.5360436296559818E-3</v>
      </c>
      <c r="D615" s="36">
        <f t="shared" si="35"/>
        <v>3.0860612589686642E-2</v>
      </c>
      <c r="E615" s="36">
        <f>(Table143454[[#This Row],[JPN]]-B603)/B603</f>
        <v>2.3295989867238243E-2</v>
      </c>
      <c r="F615" s="35">
        <f>VLOOKUP(Table143454[[#This Row],[Date]],'Data Core CPI'!$B:$AY,MATCH($B$2,'Data Core CPI'!$C$1:$AY$1,0),FALSE)</f>
        <v>80.120739999999998</v>
      </c>
      <c r="G615" s="36">
        <f t="shared" si="36"/>
        <v>2.4269718927678596E-3</v>
      </c>
      <c r="H615" s="36">
        <f t="shared" si="37"/>
        <v>2.9515577636308521E-2</v>
      </c>
      <c r="I615" s="36">
        <f>(Table143454[[#This Row],[Core CPI]]-F603)/F603</f>
        <v>2.2706112565562011E-2</v>
      </c>
    </row>
    <row r="616" spans="1:9" x14ac:dyDescent="0.2">
      <c r="A616" s="34">
        <f>IF(Data!B644="",#N/A,Data!B644)</f>
        <v>37408</v>
      </c>
      <c r="B616" s="35">
        <f>VLOOKUP(A616,Data!B:AY,MATCH($B$2,Data!$C$1:$AY$1,0),FALSE)</f>
        <v>78.983270000000005</v>
      </c>
      <c r="C616" s="36">
        <f t="shared" si="38"/>
        <v>8.4316722195665328E-4</v>
      </c>
      <c r="D616" s="36">
        <f t="shared" si="35"/>
        <v>1.0165060233048306E-2</v>
      </c>
      <c r="E616" s="36">
        <f>(Table143454[[#This Row],[JPN]]-B604)/B604</f>
        <v>2.1514681369937026E-2</v>
      </c>
      <c r="F616" s="35">
        <f>VLOOKUP(Table143454[[#This Row],[Date]],'Data Core CPI'!$B:$AY,MATCH($B$2,'Data Core CPI'!$C$1:$AY$1,0),FALSE)</f>
        <v>80.264949999999999</v>
      </c>
      <c r="G616" s="36">
        <f t="shared" si="36"/>
        <v>1.799908488114399E-3</v>
      </c>
      <c r="H616" s="36">
        <f t="shared" si="37"/>
        <v>2.1814008169270593E-2</v>
      </c>
      <c r="I616" s="36">
        <f>(Table143454[[#This Row],[Core CPI]]-F604)/F604</f>
        <v>2.2553780769632475E-2</v>
      </c>
    </row>
    <row r="617" spans="1:9" x14ac:dyDescent="0.2">
      <c r="A617" s="34">
        <f>IF(Data!B645="",#N/A,Data!B645)</f>
        <v>37438</v>
      </c>
      <c r="B617" s="35">
        <f>VLOOKUP(A617,Data!B:AY,MATCH($B$2,Data!$C$1:$AY$1,0),FALSE)</f>
        <v>79.116349999999997</v>
      </c>
      <c r="C617" s="36">
        <f t="shared" si="38"/>
        <v>1.6849137798420344E-3</v>
      </c>
      <c r="D617" s="36">
        <f t="shared" si="35"/>
        <v>2.0407391370909522E-2</v>
      </c>
      <c r="E617" s="36">
        <f>(Table143454[[#This Row],[JPN]]-B605)/B605</f>
        <v>2.2356024257523505E-2</v>
      </c>
      <c r="F617" s="35">
        <f>VLOOKUP(Table143454[[#This Row],[Date]],'Data Core CPI'!$B:$AY,MATCH($B$2,'Data Core CPI'!$C$1:$AY$1,0),FALSE)</f>
        <v>80.458960000000005</v>
      </c>
      <c r="G617" s="36">
        <f t="shared" si="36"/>
        <v>2.4171198013580586E-3</v>
      </c>
      <c r="H617" s="36">
        <f t="shared" si="37"/>
        <v>2.9394164303215176E-2</v>
      </c>
      <c r="I617" s="36">
        <f>(Table143454[[#This Row],[Core CPI]]-F605)/F605</f>
        <v>2.2543135521759974E-2</v>
      </c>
    </row>
    <row r="618" spans="1:9" x14ac:dyDescent="0.2">
      <c r="A618" s="34">
        <f>IF(Data!B646="",#N/A,Data!B646)</f>
        <v>37469</v>
      </c>
      <c r="B618" s="35">
        <f>VLOOKUP(A618,Data!B:AY,MATCH($B$2,Data!$C$1:$AY$1,0),FALSE)</f>
        <v>79.249430000000004</v>
      </c>
      <c r="C618" s="36">
        <f t="shared" si="38"/>
        <v>1.6820796207106525E-3</v>
      </c>
      <c r="D618" s="36">
        <f t="shared" si="35"/>
        <v>2.0372746321763779E-2</v>
      </c>
      <c r="E618" s="36">
        <f>(Table143454[[#This Row],[JPN]]-B606)/B606</f>
        <v>2.4075708491037795E-2</v>
      </c>
      <c r="F618" s="35">
        <f>VLOOKUP(Table143454[[#This Row],[Date]],'Data Core CPI'!$B:$AY,MATCH($B$2,'Data Core CPI'!$C$1:$AY$1,0),FALSE)</f>
        <v>80.663899999999998</v>
      </c>
      <c r="G618" s="36">
        <f t="shared" si="36"/>
        <v>2.5471370746028565E-3</v>
      </c>
      <c r="H618" s="36">
        <f t="shared" si="37"/>
        <v>3.0997503326293474E-2</v>
      </c>
      <c r="I618" s="36">
        <f>(Table143454[[#This Row],[Core CPI]]-F606)/F606</f>
        <v>2.3923567661624515E-2</v>
      </c>
    </row>
    <row r="619" spans="1:9" x14ac:dyDescent="0.2">
      <c r="A619" s="34">
        <f>IF(Data!B647="",#N/A,Data!B647)</f>
        <v>37500</v>
      </c>
      <c r="B619" s="35">
        <f>VLOOKUP(A619,Data!B:AY,MATCH($B$2,Data!$C$1:$AY$1,0),FALSE)</f>
        <v>79.382509999999996</v>
      </c>
      <c r="C619" s="36">
        <f t="shared" si="38"/>
        <v>1.6792549801303291E-3</v>
      </c>
      <c r="D619" s="36">
        <f t="shared" si="35"/>
        <v>2.0338218701183575E-2</v>
      </c>
      <c r="E619" s="36">
        <f>(Table143454[[#This Row],[JPN]]-B607)/B607</f>
        <v>2.5795392724551898E-2</v>
      </c>
      <c r="F619" s="35">
        <f>VLOOKUP(Table143454[[#This Row],[Date]],'Data Core CPI'!$B:$AY,MATCH($B$2,'Data Core CPI'!$C$1:$AY$1,0),FALSE)</f>
        <v>80.744500000000002</v>
      </c>
      <c r="G619" s="36">
        <f t="shared" si="36"/>
        <v>9.9920782407014741E-4</v>
      </c>
      <c r="H619" s="36">
        <f t="shared" si="37"/>
        <v>1.2056609334837987E-2</v>
      </c>
      <c r="I619" s="36">
        <f>(Table143454[[#This Row],[Core CPI]]-F607)/F607</f>
        <v>2.5131981243441032E-2</v>
      </c>
    </row>
    <row r="620" spans="1:9" x14ac:dyDescent="0.2">
      <c r="A620" s="34">
        <f>IF(Data!B648="",#N/A,Data!B648)</f>
        <v>37530</v>
      </c>
      <c r="B620" s="35">
        <f>VLOOKUP(A620,Data!B:AY,MATCH($B$2,Data!$C$1:$AY$1,0),FALSE)</f>
        <v>79.582130000000006</v>
      </c>
      <c r="C620" s="36">
        <f t="shared" si="38"/>
        <v>2.5146597153455907E-3</v>
      </c>
      <c r="D620" s="36">
        <f t="shared" si="35"/>
        <v>3.0596786674055299E-2</v>
      </c>
      <c r="E620" s="36">
        <f>(Table143454[[#This Row],[JPN]]-B608)/B608</f>
        <v>2.6609474946781158E-2</v>
      </c>
      <c r="F620" s="35">
        <f>VLOOKUP(Table143454[[#This Row],[Date]],'Data Core CPI'!$B:$AY,MATCH($B$2,'Data Core CPI'!$C$1:$AY$1,0),FALSE)</f>
        <v>80.915970000000002</v>
      </c>
      <c r="G620" s="36">
        <f t="shared" si="36"/>
        <v>2.1236121345726833E-3</v>
      </c>
      <c r="H620" s="36">
        <f t="shared" si="37"/>
        <v>2.5783104718291261E-2</v>
      </c>
      <c r="I620" s="36">
        <f>(Table143454[[#This Row],[Core CPI]]-F608)/F608</f>
        <v>2.4815784874222129E-2</v>
      </c>
    </row>
    <row r="621" spans="1:9" x14ac:dyDescent="0.2">
      <c r="A621" s="34">
        <f>IF(Data!B649="",#N/A,Data!B649)</f>
        <v>37561</v>
      </c>
      <c r="B621" s="35">
        <f>VLOOKUP(A621,Data!B:AY,MATCH($B$2,Data!$C$1:$AY$1,0),FALSE)</f>
        <v>79.848290000000006</v>
      </c>
      <c r="C621" s="36">
        <f t="shared" si="38"/>
        <v>3.3444694179458612E-3</v>
      </c>
      <c r="D621" s="36">
        <f t="shared" si="35"/>
        <v>4.0880166761193326E-2</v>
      </c>
      <c r="E621" s="36">
        <f>(Table143454[[#This Row],[JPN]]-B609)/B609</f>
        <v>2.827766177658764E-2</v>
      </c>
      <c r="F621" s="35">
        <f>VLOOKUP(Table143454[[#This Row],[Date]],'Data Core CPI'!$B:$AY,MATCH($B$2,'Data Core CPI'!$C$1:$AY$1,0),FALSE)</f>
        <v>81.221729999999994</v>
      </c>
      <c r="G621" s="36">
        <f t="shared" si="36"/>
        <v>3.7787349023929995E-3</v>
      </c>
      <c r="H621" s="36">
        <f t="shared" si="37"/>
        <v>4.6299193944423944E-2</v>
      </c>
      <c r="I621" s="36">
        <f>(Table143454[[#This Row],[Core CPI]]-F609)/F609</f>
        <v>2.6606515867507587E-2</v>
      </c>
    </row>
    <row r="622" spans="1:9" x14ac:dyDescent="0.2">
      <c r="A622" s="34">
        <f>IF(Data!B650="",#N/A,Data!B650)</f>
        <v>37591</v>
      </c>
      <c r="B622" s="35">
        <f>VLOOKUP(A622,Data!B:AY,MATCH($B$2,Data!$C$1:$AY$1,0),FALSE)</f>
        <v>79.914829999999995</v>
      </c>
      <c r="C622" s="36">
        <f t="shared" si="38"/>
        <v>8.3333030676024933E-4</v>
      </c>
      <c r="D622" s="36">
        <f t="shared" si="35"/>
        <v>1.0045924233992309E-2</v>
      </c>
      <c r="E622" s="36">
        <f>(Table143454[[#This Row],[JPN]]-B610)/B610</f>
        <v>2.8253451536947222E-2</v>
      </c>
      <c r="F622" s="35">
        <f>VLOOKUP(Table143454[[#This Row],[Date]],'Data Core CPI'!$B:$AY,MATCH($B$2,'Data Core CPI'!$C$1:$AY$1,0),FALSE)</f>
        <v>81.25564</v>
      </c>
      <c r="G622" s="36">
        <f t="shared" si="36"/>
        <v>4.1749911015198649E-4</v>
      </c>
      <c r="H622" s="36">
        <f t="shared" si="37"/>
        <v>5.021509510260147E-3</v>
      </c>
      <c r="I622" s="36">
        <f>(Table143454[[#This Row],[Core CPI]]-F610)/F610</f>
        <v>2.647411980426977E-2</v>
      </c>
    </row>
    <row r="623" spans="1:9" x14ac:dyDescent="0.2">
      <c r="A623" s="34">
        <f>IF(Data!B651="",#N/A,Data!B651)</f>
        <v>37622</v>
      </c>
      <c r="B623" s="35">
        <f>VLOOKUP(A623,Data!B:AY,MATCH($B$2,Data!$C$1:$AY$1,0),FALSE)</f>
        <v>80.247529999999998</v>
      </c>
      <c r="C623" s="36">
        <f t="shared" si="38"/>
        <v>4.1631822278793695E-3</v>
      </c>
      <c r="D623" s="36">
        <f t="shared" si="35"/>
        <v>5.1118128581173261E-2</v>
      </c>
      <c r="E623" s="36">
        <f>(Table143454[[#This Row],[JPN]]-B611)/B611</f>
        <v>2.8133019524238433E-2</v>
      </c>
      <c r="F623" s="35">
        <f>VLOOKUP(Table143454[[#This Row],[Date]],'Data Core CPI'!$B:$AY,MATCH($B$2,'Data Core CPI'!$C$1:$AY$1,0),FALSE)</f>
        <v>81.466440000000006</v>
      </c>
      <c r="G623" s="36">
        <f t="shared" si="36"/>
        <v>2.5942814554165139E-3</v>
      </c>
      <c r="H623" s="36">
        <f t="shared" si="37"/>
        <v>3.1579440796341007E-2</v>
      </c>
      <c r="I623" s="36">
        <f>(Table143454[[#This Row],[Core CPI]]-F611)/F611</f>
        <v>2.7159449044260032E-2</v>
      </c>
    </row>
    <row r="624" spans="1:9" x14ac:dyDescent="0.2">
      <c r="A624" s="34">
        <f>IF(Data!B652="",#N/A,Data!B652)</f>
        <v>37653</v>
      </c>
      <c r="B624" s="35">
        <f>VLOOKUP(A624,Data!B:AY,MATCH($B$2,Data!$C$1:$AY$1,0),FALSE)</f>
        <v>80.380610000000004</v>
      </c>
      <c r="C624" s="36">
        <f t="shared" si="38"/>
        <v>1.6583687996378771E-3</v>
      </c>
      <c r="D624" s="36">
        <f t="shared" si="35"/>
        <v>2.0082945077922076E-2</v>
      </c>
      <c r="E624" s="36">
        <f>(Table143454[[#This Row],[JPN]]-B612)/B612</f>
        <v>2.6338181354802193E-2</v>
      </c>
      <c r="F624" s="35">
        <f>VLOOKUP(Table143454[[#This Row],[Date]],'Data Core CPI'!$B:$AY,MATCH($B$2,'Data Core CPI'!$C$1:$AY$1,0),FALSE)</f>
        <v>81.563929999999999</v>
      </c>
      <c r="G624" s="36">
        <f t="shared" si="36"/>
        <v>1.1966890906243144E-3</v>
      </c>
      <c r="H624" s="36">
        <f t="shared" si="37"/>
        <v>1.4455163402029569E-2</v>
      </c>
      <c r="I624" s="36">
        <f>(Table143454[[#This Row],[Core CPI]]-F612)/F612</f>
        <v>2.4704155429929167E-2</v>
      </c>
    </row>
    <row r="625" spans="1:9" x14ac:dyDescent="0.2">
      <c r="A625" s="34">
        <f>IF(Data!B653="",#N/A,Data!B653)</f>
        <v>37681</v>
      </c>
      <c r="B625" s="35">
        <f>VLOOKUP(A625,Data!B:AY,MATCH($B$2,Data!$C$1:$AY$1,0),FALSE)</f>
        <v>80.646770000000004</v>
      </c>
      <c r="C625" s="36">
        <f t="shared" si="38"/>
        <v>3.311246331671347E-3</v>
      </c>
      <c r="D625" s="36">
        <f t="shared" si="35"/>
        <v>4.0466650301397511E-2</v>
      </c>
      <c r="E625" s="36">
        <f>(Table143454[[#This Row],[JPN]]-B613)/B613</f>
        <v>2.7118543906587037E-2</v>
      </c>
      <c r="F625" s="35">
        <f>VLOOKUP(Table143454[[#This Row],[Date]],'Data Core CPI'!$B:$AY,MATCH($B$2,'Data Core CPI'!$C$1:$AY$1,0),FALSE)</f>
        <v>81.801220000000001</v>
      </c>
      <c r="G625" s="36">
        <f t="shared" si="36"/>
        <v>2.9092516753423947E-3</v>
      </c>
      <c r="H625" s="36">
        <f t="shared" si="37"/>
        <v>3.5475080015884508E-2</v>
      </c>
      <c r="I625" s="36">
        <f>(Table143454[[#This Row],[Core CPI]]-F613)/F613</f>
        <v>2.4726995128109597E-2</v>
      </c>
    </row>
    <row r="626" spans="1:9" x14ac:dyDescent="0.2">
      <c r="A626" s="34">
        <f>IF(Data!B654="",#N/A,Data!B654)</f>
        <v>37712</v>
      </c>
      <c r="B626" s="35">
        <f>VLOOKUP(A626,Data!B:AY,MATCH($B$2,Data!$C$1:$AY$1,0),FALSE)</f>
        <v>80.84639</v>
      </c>
      <c r="C626" s="36">
        <f t="shared" si="38"/>
        <v>2.475238623939946E-3</v>
      </c>
      <c r="D626" s="36">
        <f t="shared" si="35"/>
        <v>3.0110587722110171E-2</v>
      </c>
      <c r="E626" s="36">
        <f>(Table143454[[#This Row],[JPN]]-B614)/B614</f>
        <v>2.7049904023395136E-2</v>
      </c>
      <c r="F626" s="35">
        <f>VLOOKUP(Table143454[[#This Row],[Date]],'Data Core CPI'!$B:$AY,MATCH($B$2,'Data Core CPI'!$C$1:$AY$1,0),FALSE)</f>
        <v>82.020970000000005</v>
      </c>
      <c r="G626" s="36">
        <f t="shared" si="36"/>
        <v>2.6863902518814431E-3</v>
      </c>
      <c r="H626" s="36">
        <f t="shared" si="37"/>
        <v>3.2717275731866557E-2</v>
      </c>
      <c r="I626" s="36">
        <f>(Table143454[[#This Row],[Core CPI]]-F614)/F614</f>
        <v>2.6201612576313663E-2</v>
      </c>
    </row>
    <row r="627" spans="1:9" x14ac:dyDescent="0.2">
      <c r="A627" s="34">
        <f>IF(Data!B655="",#N/A,Data!B655)</f>
        <v>37742</v>
      </c>
      <c r="B627" s="35">
        <f>VLOOKUP(A627,Data!B:AY,MATCH($B$2,Data!$C$1:$AY$1,0),FALSE)</f>
        <v>81.046009999999995</v>
      </c>
      <c r="C627" s="36">
        <f t="shared" si="38"/>
        <v>2.4691269455567877E-3</v>
      </c>
      <c r="D627" s="36">
        <f t="shared" si="35"/>
        <v>3.003522833242811E-2</v>
      </c>
      <c r="E627" s="36">
        <f>(Table143454[[#This Row],[JPN]]-B615)/B615</f>
        <v>2.6981351102611503E-2</v>
      </c>
      <c r="F627" s="35">
        <f>VLOOKUP(Table143454[[#This Row],[Date]],'Data Core CPI'!$B:$AY,MATCH($B$2,'Data Core CPI'!$C$1:$AY$1,0),FALSE)</f>
        <v>82.287379999999999</v>
      </c>
      <c r="G627" s="36">
        <f t="shared" si="36"/>
        <v>3.2480718040763801E-3</v>
      </c>
      <c r="H627" s="36">
        <f t="shared" si="37"/>
        <v>3.9680753833624571E-2</v>
      </c>
      <c r="I627" s="36">
        <f>(Table143454[[#This Row],[Core CPI]]-F615)/F615</f>
        <v>2.7042186579904294E-2</v>
      </c>
    </row>
    <row r="628" spans="1:9" x14ac:dyDescent="0.2">
      <c r="A628" s="34">
        <f>IF(Data!B656="",#N/A,Data!B656)</f>
        <v>37773</v>
      </c>
      <c r="B628" s="35">
        <f>VLOOKUP(A628,Data!B:AY,MATCH($B$2,Data!$C$1:$AY$1,0),FALSE)</f>
        <v>81.112560000000002</v>
      </c>
      <c r="C628" s="36">
        <f t="shared" si="38"/>
        <v>8.2113851132215032E-4</v>
      </c>
      <c r="D628" s="36">
        <f t="shared" si="35"/>
        <v>9.8982858861385026E-3</v>
      </c>
      <c r="E628" s="36">
        <f>(Table143454[[#This Row],[JPN]]-B616)/B616</f>
        <v>2.6958747086566526E-2</v>
      </c>
      <c r="F628" s="35">
        <f>VLOOKUP(Table143454[[#This Row],[Date]],'Data Core CPI'!$B:$AY,MATCH($B$2,'Data Core CPI'!$C$1:$AY$1,0),FALSE)</f>
        <v>82.356579999999994</v>
      </c>
      <c r="G628" s="36">
        <f t="shared" si="36"/>
        <v>8.4095519871940638E-4</v>
      </c>
      <c r="H628" s="36">
        <f t="shared" si="37"/>
        <v>1.0138269045406378E-2</v>
      </c>
      <c r="I628" s="36">
        <f>(Table143454[[#This Row],[Core CPI]]-F616)/F616</f>
        <v>2.6059070615505213E-2</v>
      </c>
    </row>
    <row r="629" spans="1:9" x14ac:dyDescent="0.2">
      <c r="A629" s="34">
        <f>IF(Data!B657="",#N/A,Data!B657)</f>
        <v>37803</v>
      </c>
      <c r="B629" s="35">
        <f>VLOOKUP(A629,Data!B:AY,MATCH($B$2,Data!$C$1:$AY$1,0),FALSE)</f>
        <v>81.245639999999995</v>
      </c>
      <c r="C629" s="36">
        <f t="shared" si="38"/>
        <v>1.6406830212236656E-3</v>
      </c>
      <c r="D629" s="36">
        <f t="shared" si="35"/>
        <v>1.986683296275582E-2</v>
      </c>
      <c r="E629" s="36">
        <f>(Table143454[[#This Row],[JPN]]-B617)/B617</f>
        <v>2.6913400327492325E-2</v>
      </c>
      <c r="F629" s="35">
        <f>VLOOKUP(Table143454[[#This Row],[Date]],'Data Core CPI'!$B:$AY,MATCH($B$2,'Data Core CPI'!$C$1:$AY$1,0),FALSE)</f>
        <v>82.508269999999996</v>
      </c>
      <c r="G629" s="36">
        <f t="shared" si="36"/>
        <v>1.8418686157195552E-3</v>
      </c>
      <c r="H629" s="36">
        <f t="shared" si="37"/>
        <v>2.2327707452751255E-2</v>
      </c>
      <c r="I629" s="36">
        <f>(Table143454[[#This Row],[Core CPI]]-F617)/F617</f>
        <v>2.5470252163338813E-2</v>
      </c>
    </row>
    <row r="630" spans="1:9" x14ac:dyDescent="0.2">
      <c r="A630" s="34">
        <f>IF(Data!B658="",#N/A,Data!B658)</f>
        <v>37834</v>
      </c>
      <c r="B630" s="35">
        <f>VLOOKUP(A630,Data!B:AY,MATCH($B$2,Data!$C$1:$AY$1,0),FALSE)</f>
        <v>81.445250000000001</v>
      </c>
      <c r="C630" s="36">
        <f t="shared" si="38"/>
        <v>2.4568703009786308E-3</v>
      </c>
      <c r="D630" s="36">
        <f t="shared" si="35"/>
        <v>2.9884114330820388E-2</v>
      </c>
      <c r="E630" s="36">
        <f>(Table143454[[#This Row],[JPN]]-B618)/B618</f>
        <v>2.7707707172152502E-2</v>
      </c>
      <c r="F630" s="35">
        <f>VLOOKUP(Table143454[[#This Row],[Date]],'Data Core CPI'!$B:$AY,MATCH($B$2,'Data Core CPI'!$C$1:$AY$1,0),FALSE)</f>
        <v>82.705259999999996</v>
      </c>
      <c r="G630" s="36">
        <f t="shared" si="36"/>
        <v>2.3875182451407184E-3</v>
      </c>
      <c r="H630" s="36">
        <f t="shared" si="37"/>
        <v>2.9029445225413619E-2</v>
      </c>
      <c r="I630" s="36">
        <f>(Table143454[[#This Row],[Core CPI]]-F618)/F618</f>
        <v>2.5306983669274575E-2</v>
      </c>
    </row>
    <row r="631" spans="1:9" x14ac:dyDescent="0.2">
      <c r="A631" s="34">
        <f>IF(Data!B659="",#N/A,Data!B659)</f>
        <v>37865</v>
      </c>
      <c r="B631" s="35">
        <f>VLOOKUP(A631,Data!B:AY,MATCH($B$2,Data!$C$1:$AY$1,0),FALSE)</f>
        <v>81.578329999999994</v>
      </c>
      <c r="C631" s="36">
        <f t="shared" si="38"/>
        <v>1.6339811100094526E-3</v>
      </c>
      <c r="D631" s="36">
        <f t="shared" si="35"/>
        <v>1.9784949642057015E-2</v>
      </c>
      <c r="E631" s="36">
        <f>(Table143454[[#This Row],[JPN]]-B619)/B619</f>
        <v>2.7661256868798906E-2</v>
      </c>
      <c r="F631" s="35">
        <f>VLOOKUP(Table143454[[#This Row],[Date]],'Data Core CPI'!$B:$AY,MATCH($B$2,'Data Core CPI'!$C$1:$AY$1,0),FALSE)</f>
        <v>82.724670000000003</v>
      </c>
      <c r="G631" s="36">
        <f t="shared" si="36"/>
        <v>2.3468882148502956E-4</v>
      </c>
      <c r="H631" s="36">
        <f t="shared" si="37"/>
        <v>2.8199039067611231E-3</v>
      </c>
      <c r="I631" s="36">
        <f>(Table143454[[#This Row],[Core CPI]]-F619)/F619</f>
        <v>2.4523899460644392E-2</v>
      </c>
    </row>
    <row r="632" spans="1:9" x14ac:dyDescent="0.2">
      <c r="A632" s="34">
        <f>IF(Data!B660="",#N/A,Data!B660)</f>
        <v>37895</v>
      </c>
      <c r="B632" s="35">
        <f>VLOOKUP(A632,Data!B:AY,MATCH($B$2,Data!$C$1:$AY$1,0),FALSE)</f>
        <v>81.644869999999997</v>
      </c>
      <c r="C632" s="36">
        <f t="shared" si="38"/>
        <v>8.156577855908953E-4</v>
      </c>
      <c r="D632" s="36">
        <f t="shared" si="35"/>
        <v>9.8319226737462184E-3</v>
      </c>
      <c r="E632" s="36">
        <f>(Table143454[[#This Row],[JPN]]-B620)/B620</f>
        <v>2.5919637989081101E-2</v>
      </c>
      <c r="F632" s="35">
        <f>VLOOKUP(Table143454[[#This Row],[Date]],'Data Core CPI'!$B:$AY,MATCH($B$2,'Data Core CPI'!$C$1:$AY$1,0),FALSE)</f>
        <v>82.776309999999995</v>
      </c>
      <c r="G632" s="36">
        <f t="shared" si="36"/>
        <v>6.2423941975220387E-4</v>
      </c>
      <c r="H632" s="36">
        <f t="shared" si="37"/>
        <v>7.5166451676644819E-3</v>
      </c>
      <c r="I632" s="36">
        <f>(Table143454[[#This Row],[Core CPI]]-F620)/F620</f>
        <v>2.2991011539501949E-2</v>
      </c>
    </row>
    <row r="633" spans="1:9" x14ac:dyDescent="0.2">
      <c r="A633" s="34">
        <f>IF(Data!B661="",#N/A,Data!B661)</f>
        <v>37926</v>
      </c>
      <c r="B633" s="35">
        <f>VLOOKUP(A633,Data!B:AY,MATCH($B$2,Data!$C$1:$AY$1,0),FALSE)</f>
        <v>81.844499999999996</v>
      </c>
      <c r="C633" s="36">
        <f t="shared" si="38"/>
        <v>2.4451015722113389E-3</v>
      </c>
      <c r="D633" s="36">
        <f t="shared" si="35"/>
        <v>2.9739035041110418E-2</v>
      </c>
      <c r="E633" s="36">
        <f>(Table143454[[#This Row],[JPN]]-B621)/B621</f>
        <v>2.5000034440311628E-2</v>
      </c>
      <c r="F633" s="35">
        <f>VLOOKUP(Table143454[[#This Row],[Date]],'Data Core CPI'!$B:$AY,MATCH($B$2,'Data Core CPI'!$C$1:$AY$1,0),FALSE)</f>
        <v>82.987250000000003</v>
      </c>
      <c r="G633" s="36">
        <f t="shared" si="36"/>
        <v>2.548313641910438E-3</v>
      </c>
      <c r="H633" s="36">
        <f t="shared" si="37"/>
        <v>3.101202289240601E-2</v>
      </c>
      <c r="I633" s="36">
        <f>(Table143454[[#This Row],[Core CPI]]-F621)/F621</f>
        <v>2.173704007535926E-2</v>
      </c>
    </row>
    <row r="634" spans="1:9" x14ac:dyDescent="0.2">
      <c r="A634" s="34">
        <f>IF(Data!B662="",#N/A,Data!B662)</f>
        <v>37956</v>
      </c>
      <c r="B634" s="35">
        <f>VLOOKUP(A634,Data!B:AY,MATCH($B$2,Data!$C$1:$AY$1,0),FALSE)</f>
        <v>81.911029999999997</v>
      </c>
      <c r="C634" s="36">
        <f t="shared" si="38"/>
        <v>8.1288296708992291E-4</v>
      </c>
      <c r="D634" s="36">
        <f t="shared" si="35"/>
        <v>9.798325386759954E-3</v>
      </c>
      <c r="E634" s="36">
        <f>(Table143454[[#This Row],[JPN]]-B622)/B622</f>
        <v>2.4979093367276158E-2</v>
      </c>
      <c r="F634" s="35">
        <f>VLOOKUP(Table143454[[#This Row],[Date]],'Data Core CPI'!$B:$AY,MATCH($B$2,'Data Core CPI'!$C$1:$AY$1,0),FALSE)</f>
        <v>83.036730000000006</v>
      </c>
      <c r="G634" s="36">
        <f t="shared" si="36"/>
        <v>5.9623616880899455E-4</v>
      </c>
      <c r="H634" s="36">
        <f t="shared" si="37"/>
        <v>7.1783435591901146E-3</v>
      </c>
      <c r="I634" s="36">
        <f>(Table143454[[#This Row],[Core CPI]]-F622)/F622</f>
        <v>2.1919586135805538E-2</v>
      </c>
    </row>
    <row r="635" spans="1:9" x14ac:dyDescent="0.2">
      <c r="A635" s="34">
        <f>IF(Data!B663="",#N/A,Data!B663)</f>
        <v>37987</v>
      </c>
      <c r="B635" s="35">
        <f>VLOOKUP(A635,Data!B:AY,MATCH($B$2,Data!$C$1:$AY$1,0),FALSE)</f>
        <v>82.044110000000003</v>
      </c>
      <c r="C635" s="36">
        <f t="shared" si="38"/>
        <v>1.6246896175033942E-3</v>
      </c>
      <c r="D635" s="36">
        <f t="shared" si="35"/>
        <v>1.9671437029887828E-2</v>
      </c>
      <c r="E635" s="36">
        <f>(Table143454[[#This Row],[JPN]]-B623)/B623</f>
        <v>2.238797879511065E-2</v>
      </c>
      <c r="F635" s="35">
        <f>VLOOKUP(Table143454[[#This Row],[Date]],'Data Core CPI'!$B:$AY,MATCH($B$2,'Data Core CPI'!$C$1:$AY$1,0),FALSE)</f>
        <v>83.063320000000004</v>
      </c>
      <c r="G635" s="36">
        <f t="shared" si="36"/>
        <v>3.2021973890339339E-4</v>
      </c>
      <c r="H635" s="36">
        <f t="shared" si="37"/>
        <v>3.8494117808276496E-3</v>
      </c>
      <c r="I635" s="36">
        <f>(Table143454[[#This Row],[Core CPI]]-F623)/F623</f>
        <v>1.9601691199468134E-2</v>
      </c>
    </row>
    <row r="636" spans="1:9" x14ac:dyDescent="0.2">
      <c r="A636" s="34">
        <f>IF(Data!B664="",#N/A,Data!B664)</f>
        <v>38018</v>
      </c>
      <c r="B636" s="35">
        <f>VLOOKUP(A636,Data!B:AY,MATCH($B$2,Data!$C$1:$AY$1,0),FALSE)</f>
        <v>82.243740000000003</v>
      </c>
      <c r="C636" s="36">
        <f t="shared" si="38"/>
        <v>2.4332033097804739E-3</v>
      </c>
      <c r="D636" s="36">
        <f t="shared" ref="D636:D699" si="39">((1+C636)^12)-1</f>
        <v>2.9592377966813466E-2</v>
      </c>
      <c r="E636" s="36">
        <f>(Table143454[[#This Row],[JPN]]-B624)/B624</f>
        <v>2.3178848729811807E-2</v>
      </c>
      <c r="F636" s="35">
        <f>VLOOKUP(Table143454[[#This Row],[Date]],'Data Core CPI'!$B:$AY,MATCH($B$2,'Data Core CPI'!$C$1:$AY$1,0),FALSE)</f>
        <v>83.294939999999997</v>
      </c>
      <c r="G636" s="36">
        <f t="shared" si="36"/>
        <v>2.7884751054978452E-3</v>
      </c>
      <c r="H636" s="36">
        <f t="shared" si="37"/>
        <v>3.3979690543589847E-2</v>
      </c>
      <c r="I636" s="36">
        <f>(Table143454[[#This Row],[Core CPI]]-F624)/F624</f>
        <v>2.1222739022016199E-2</v>
      </c>
    </row>
    <row r="637" spans="1:9" x14ac:dyDescent="0.2">
      <c r="A637" s="34">
        <f>IF(Data!B665="",#N/A,Data!B665)</f>
        <v>38047</v>
      </c>
      <c r="B637" s="35">
        <f>VLOOKUP(A637,Data!B:AY,MATCH($B$2,Data!$C$1:$AY$1,0),FALSE)</f>
        <v>82.509900000000002</v>
      </c>
      <c r="C637" s="36">
        <f t="shared" si="38"/>
        <v>3.2362341498575198E-3</v>
      </c>
      <c r="D637" s="36">
        <f t="shared" si="39"/>
        <v>3.9533552961551255E-2</v>
      </c>
      <c r="E637" s="36">
        <f>(Table143454[[#This Row],[JPN]]-B625)/B625</f>
        <v>2.310235115429915E-2</v>
      </c>
      <c r="F637" s="35">
        <f>VLOOKUP(Table143454[[#This Row],[Date]],'Data Core CPI'!$B:$AY,MATCH($B$2,'Data Core CPI'!$C$1:$AY$1,0),FALSE)</f>
        <v>83.605999999999995</v>
      </c>
      <c r="G637" s="36">
        <f t="shared" si="36"/>
        <v>3.734440531441674E-3</v>
      </c>
      <c r="H637" s="36">
        <f t="shared" si="37"/>
        <v>4.5745280019712675E-2</v>
      </c>
      <c r="I637" s="36">
        <f>(Table143454[[#This Row],[Core CPI]]-F625)/F625</f>
        <v>2.2062996126463563E-2</v>
      </c>
    </row>
    <row r="638" spans="1:9" x14ac:dyDescent="0.2">
      <c r="A638" s="34">
        <f>IF(Data!B666="",#N/A,Data!B666)</f>
        <v>38078</v>
      </c>
      <c r="B638" s="35">
        <f>VLOOKUP(A638,Data!B:AY,MATCH($B$2,Data!$C$1:$AY$1,0),FALSE)</f>
        <v>82.709519999999998</v>
      </c>
      <c r="C638" s="36">
        <f t="shared" si="38"/>
        <v>2.4193460421113588E-3</v>
      </c>
      <c r="D638" s="36">
        <f t="shared" si="39"/>
        <v>2.9421598478316158E-2</v>
      </c>
      <c r="E638" s="36">
        <f>(Table143454[[#This Row],[JPN]]-B626)/B626</f>
        <v>2.3045308516558356E-2</v>
      </c>
      <c r="F638" s="35">
        <f>VLOOKUP(Table143454[[#This Row],[Date]],'Data Core CPI'!$B:$AY,MATCH($B$2,'Data Core CPI'!$C$1:$AY$1,0),FALSE)</f>
        <v>83.842640000000003</v>
      </c>
      <c r="G638" s="36">
        <f t="shared" si="36"/>
        <v>2.830418869459228E-3</v>
      </c>
      <c r="H638" s="36">
        <f t="shared" si="37"/>
        <v>3.4498790787202527E-2</v>
      </c>
      <c r="I638" s="36">
        <f>(Table143454[[#This Row],[Core CPI]]-F626)/F626</f>
        <v>2.2209808052745503E-2</v>
      </c>
    </row>
    <row r="639" spans="1:9" x14ac:dyDescent="0.2">
      <c r="A639" s="34">
        <f>IF(Data!B667="",#N/A,Data!B667)</f>
        <v>38108</v>
      </c>
      <c r="B639" s="35">
        <f>VLOOKUP(A639,Data!B:AY,MATCH($B$2,Data!$C$1:$AY$1,0),FALSE)</f>
        <v>82.909139999999994</v>
      </c>
      <c r="C639" s="36">
        <f t="shared" si="38"/>
        <v>2.4135069336637116E-3</v>
      </c>
      <c r="D639" s="36">
        <f t="shared" si="39"/>
        <v>2.9349644019681653E-2</v>
      </c>
      <c r="E639" s="36">
        <f>(Table143454[[#This Row],[JPN]]-B627)/B627</f>
        <v>2.2988546876027558E-2</v>
      </c>
      <c r="F639" s="35">
        <f>VLOOKUP(Table143454[[#This Row],[Date]],'Data Core CPI'!$B:$AY,MATCH($B$2,'Data Core CPI'!$C$1:$AY$1,0),FALSE)</f>
        <v>84.015929999999997</v>
      </c>
      <c r="G639" s="36">
        <f t="shared" si="36"/>
        <v>2.0668480858903049E-3</v>
      </c>
      <c r="H639" s="36">
        <f t="shared" si="37"/>
        <v>2.5086071363756623E-2</v>
      </c>
      <c r="I639" s="36">
        <f>(Table143454[[#This Row],[Core CPI]]-F627)/F627</f>
        <v>2.100625879691392E-2</v>
      </c>
    </row>
    <row r="640" spans="1:9" x14ac:dyDescent="0.2">
      <c r="A640" s="34">
        <f>IF(Data!B668="",#N/A,Data!B668)</f>
        <v>38139</v>
      </c>
      <c r="B640" s="35">
        <f>VLOOKUP(A640,Data!B:AY,MATCH($B$2,Data!$C$1:$AY$1,0),FALSE)</f>
        <v>83.04222</v>
      </c>
      <c r="C640" s="36">
        <f t="shared" si="38"/>
        <v>1.6051306285411737E-3</v>
      </c>
      <c r="D640" s="36">
        <f t="shared" si="39"/>
        <v>1.9432525979417692E-2</v>
      </c>
      <c r="E640" s="36">
        <f>(Table143454[[#This Row],[JPN]]-B628)/B628</f>
        <v>2.378990380774566E-2</v>
      </c>
      <c r="F640" s="35">
        <f>VLOOKUP(Table143454[[#This Row],[Date]],'Data Core CPI'!$B:$AY,MATCH($B$2,'Data Core CPI'!$C$1:$AY$1,0),FALSE)</f>
        <v>84.129570000000001</v>
      </c>
      <c r="G640" s="36">
        <f t="shared" si="36"/>
        <v>1.3526006318087536E-3</v>
      </c>
      <c r="H640" s="36">
        <f t="shared" si="37"/>
        <v>1.6352502537812841E-2</v>
      </c>
      <c r="I640" s="36">
        <f>(Table143454[[#This Row],[Core CPI]]-F628)/F628</f>
        <v>2.1528213046243631E-2</v>
      </c>
    </row>
    <row r="641" spans="1:9" x14ac:dyDescent="0.2">
      <c r="A641" s="34">
        <f>IF(Data!B669="",#N/A,Data!B669)</f>
        <v>38169</v>
      </c>
      <c r="B641" s="35">
        <f>VLOOKUP(A641,Data!B:AY,MATCH($B$2,Data!$C$1:$AY$1,0),FALSE)</f>
        <v>83.108760000000004</v>
      </c>
      <c r="C641" s="36">
        <f t="shared" si="38"/>
        <v>8.0127915655436865E-4</v>
      </c>
      <c r="D641" s="36">
        <f t="shared" si="39"/>
        <v>9.6578384510705995E-3</v>
      </c>
      <c r="E641" s="36">
        <f>(Table143454[[#This Row],[JPN]]-B629)/B629</f>
        <v>2.2931938255394496E-2</v>
      </c>
      <c r="F641" s="35">
        <f>VLOOKUP(Table143454[[#This Row],[Date]],'Data Core CPI'!$B:$AY,MATCH($B$2,'Data Core CPI'!$C$1:$AY$1,0),FALSE)</f>
        <v>84.279619999999994</v>
      </c>
      <c r="G641" s="36">
        <f t="shared" si="36"/>
        <v>1.7835583850005499E-3</v>
      </c>
      <c r="H641" s="36">
        <f t="shared" si="37"/>
        <v>2.161390515863082E-2</v>
      </c>
      <c r="I641" s="36">
        <f>(Table143454[[#This Row],[Core CPI]]-F629)/F629</f>
        <v>2.1468757010660849E-2</v>
      </c>
    </row>
    <row r="642" spans="1:9" x14ac:dyDescent="0.2">
      <c r="A642" s="34">
        <f>IF(Data!B670="",#N/A,Data!B670)</f>
        <v>38200</v>
      </c>
      <c r="B642" s="35">
        <f>VLOOKUP(A642,Data!B:AY,MATCH($B$2,Data!$C$1:$AY$1,0),FALSE)</f>
        <v>83.30838</v>
      </c>
      <c r="C642" s="36">
        <f t="shared" si="38"/>
        <v>2.4019128669467982E-3</v>
      </c>
      <c r="D642" s="36">
        <f t="shared" si="39"/>
        <v>2.9206785737687868E-2</v>
      </c>
      <c r="E642" s="36">
        <f>(Table143454[[#This Row],[JPN]]-B630)/B630</f>
        <v>2.2875858322001567E-2</v>
      </c>
      <c r="F642" s="35">
        <f>VLOOKUP(Table143454[[#This Row],[Date]],'Data Core CPI'!$B:$AY,MATCH($B$2,'Data Core CPI'!$C$1:$AY$1,0),FALSE)</f>
        <v>84.539259999999999</v>
      </c>
      <c r="G642" s="36">
        <f t="shared" si="36"/>
        <v>3.0806973263524107E-3</v>
      </c>
      <c r="H642" s="36">
        <f t="shared" si="37"/>
        <v>3.7601231011782144E-2</v>
      </c>
      <c r="I642" s="36">
        <f>(Table143454[[#This Row],[Core CPI]]-F630)/F630</f>
        <v>2.2175131303619665E-2</v>
      </c>
    </row>
    <row r="643" spans="1:9" x14ac:dyDescent="0.2">
      <c r="A643" s="34">
        <f>IF(Data!B671="",#N/A,Data!B671)</f>
        <v>38231</v>
      </c>
      <c r="B643" s="35">
        <f>VLOOKUP(A643,Data!B:AY,MATCH($B$2,Data!$C$1:$AY$1,0),FALSE)</f>
        <v>83.30838</v>
      </c>
      <c r="C643" s="36">
        <f t="shared" si="38"/>
        <v>0</v>
      </c>
      <c r="D643" s="36">
        <f t="shared" si="39"/>
        <v>0</v>
      </c>
      <c r="E643" s="36">
        <f>(Table143454[[#This Row],[JPN]]-B631)/B631</f>
        <v>2.1207225006935122E-2</v>
      </c>
      <c r="F643" s="35">
        <f>VLOOKUP(Table143454[[#This Row],[Date]],'Data Core CPI'!$B:$AY,MATCH($B$2,'Data Core CPI'!$C$1:$AY$1,0),FALSE)</f>
        <v>84.550889999999995</v>
      </c>
      <c r="G643" s="36">
        <f t="shared" ref="G643:G706" si="40">(F643/F642)-1</f>
        <v>1.3756921931884492E-4</v>
      </c>
      <c r="H643" s="36">
        <f t="shared" ref="H643:H706" si="41">((1+G643)^12)-1</f>
        <v>1.6520802739281581E-3</v>
      </c>
      <c r="I643" s="36">
        <f>(Table143454[[#This Row],[Core CPI]]-F631)/F631</f>
        <v>2.2075881354377019E-2</v>
      </c>
    </row>
    <row r="644" spans="1:9" x14ac:dyDescent="0.2">
      <c r="A644" s="34">
        <f>IF(Data!B672="",#N/A,Data!B672)</f>
        <v>38261</v>
      </c>
      <c r="B644" s="35">
        <f>VLOOKUP(A644,Data!B:AY,MATCH($B$2,Data!$C$1:$AY$1,0),FALSE)</f>
        <v>83.30838</v>
      </c>
      <c r="C644" s="36">
        <f t="shared" si="38"/>
        <v>0</v>
      </c>
      <c r="D644" s="36">
        <f t="shared" si="39"/>
        <v>0</v>
      </c>
      <c r="E644" s="36">
        <f>(Table143454[[#This Row],[JPN]]-B632)/B632</f>
        <v>2.0374948236184371E-2</v>
      </c>
      <c r="F644" s="35">
        <f>VLOOKUP(Table143454[[#This Row],[Date]],'Data Core CPI'!$B:$AY,MATCH($B$2,'Data Core CPI'!$C$1:$AY$1,0),FALSE)</f>
        <v>84.504329999999996</v>
      </c>
      <c r="G644" s="36">
        <f t="shared" si="40"/>
        <v>-5.5067427439259298E-4</v>
      </c>
      <c r="H644" s="36">
        <f t="shared" si="41"/>
        <v>-6.5881140021895046E-3</v>
      </c>
      <c r="I644" s="36">
        <f>(Table143454[[#This Row],[Core CPI]]-F632)/F632</f>
        <v>2.0875779555769046E-2</v>
      </c>
    </row>
    <row r="645" spans="1:9" x14ac:dyDescent="0.2">
      <c r="A645" s="34">
        <f>IF(Data!B673="",#N/A,Data!B673)</f>
        <v>38292</v>
      </c>
      <c r="B645" s="35">
        <f>VLOOKUP(A645,Data!B:AY,MATCH($B$2,Data!$C$1:$AY$1,0),FALSE)</f>
        <v>83.374920000000003</v>
      </c>
      <c r="C645" s="36">
        <f t="shared" ref="C645:C708" si="42">(B645/B644)-1</f>
        <v>7.9871916846774305E-4</v>
      </c>
      <c r="D645" s="36">
        <f t="shared" si="39"/>
        <v>9.6268471756351115E-3</v>
      </c>
      <c r="E645" s="36">
        <f>(Table143454[[#This Row],[JPN]]-B633)/B633</f>
        <v>1.8699118450231922E-2</v>
      </c>
      <c r="F645" s="35">
        <f>VLOOKUP(Table143454[[#This Row],[Date]],'Data Core CPI'!$B:$AY,MATCH($B$2,'Data Core CPI'!$C$1:$AY$1,0),FALSE)</f>
        <v>84.615489999999994</v>
      </c>
      <c r="G645" s="36">
        <f t="shared" si="40"/>
        <v>1.3154355522373429E-3</v>
      </c>
      <c r="H645" s="36">
        <f t="shared" si="41"/>
        <v>1.5899933339818428E-2</v>
      </c>
      <c r="I645" s="36">
        <f>(Table143454[[#This Row],[Core CPI]]-F633)/F633</f>
        <v>1.9620363369071647E-2</v>
      </c>
    </row>
    <row r="646" spans="1:9" x14ac:dyDescent="0.2">
      <c r="A646" s="34">
        <f>IF(Data!B674="",#N/A,Data!B674)</f>
        <v>38322</v>
      </c>
      <c r="B646" s="35">
        <f>VLOOKUP(A646,Data!B:AY,MATCH($B$2,Data!$C$1:$AY$1,0),FALSE)</f>
        <v>83.574539999999999</v>
      </c>
      <c r="C646" s="36">
        <f t="shared" si="42"/>
        <v>2.3942451758873773E-3</v>
      </c>
      <c r="D646" s="36">
        <f t="shared" si="39"/>
        <v>2.9112316951480421E-2</v>
      </c>
      <c r="E646" s="36">
        <f>(Table143454[[#This Row],[JPN]]-B634)/B634</f>
        <v>2.0308742302471379E-2</v>
      </c>
      <c r="F646" s="35">
        <f>VLOOKUP(Table143454[[#This Row],[Date]],'Data Core CPI'!$B:$AY,MATCH($B$2,'Data Core CPI'!$C$1:$AY$1,0),FALSE)</f>
        <v>84.885980000000004</v>
      </c>
      <c r="G646" s="36">
        <f t="shared" si="40"/>
        <v>3.1966960186604609E-3</v>
      </c>
      <c r="H646" s="36">
        <f t="shared" si="41"/>
        <v>3.9042035951952325E-2</v>
      </c>
      <c r="I646" s="36">
        <f>(Table143454[[#This Row],[Core CPI]]-F634)/F634</f>
        <v>2.2270265218777254E-2</v>
      </c>
    </row>
    <row r="647" spans="1:9" x14ac:dyDescent="0.2">
      <c r="A647" s="34">
        <f>IF(Data!B675="",#N/A,Data!B675)</f>
        <v>38353</v>
      </c>
      <c r="B647" s="35">
        <f>VLOOKUP(A647,Data!B:AY,MATCH($B$2,Data!$C$1:$AY$1,0),FALSE)</f>
        <v>83.574539999999999</v>
      </c>
      <c r="C647" s="36">
        <f t="shared" si="42"/>
        <v>0</v>
      </c>
      <c r="D647" s="36">
        <f t="shared" si="39"/>
        <v>0</v>
      </c>
      <c r="E647" s="36">
        <f>(Table143454[[#This Row],[JPN]]-B635)/B635</f>
        <v>1.8653746137291215E-2</v>
      </c>
      <c r="F647" s="35">
        <f>VLOOKUP(Table143454[[#This Row],[Date]],'Data Core CPI'!$B:$AY,MATCH($B$2,'Data Core CPI'!$C$1:$AY$1,0),FALSE)</f>
        <v>84.964780000000005</v>
      </c>
      <c r="G647" s="36">
        <f t="shared" si="40"/>
        <v>9.2830406151866995E-4</v>
      </c>
      <c r="H647" s="36">
        <f t="shared" si="41"/>
        <v>1.1196700494989109E-2</v>
      </c>
      <c r="I647" s="36">
        <f>(Table143454[[#This Row],[Core CPI]]-F635)/F635</f>
        <v>2.2891692747171677E-2</v>
      </c>
    </row>
    <row r="648" spans="1:9" x14ac:dyDescent="0.2">
      <c r="A648" s="34">
        <f>IF(Data!B676="",#N/A,Data!B676)</f>
        <v>38384</v>
      </c>
      <c r="B648" s="35">
        <f>VLOOKUP(A648,Data!B:AY,MATCH($B$2,Data!$C$1:$AY$1,0),FALSE)</f>
        <v>83.840710000000001</v>
      </c>
      <c r="C648" s="36">
        <f t="shared" si="42"/>
        <v>3.1848215975822658E-3</v>
      </c>
      <c r="D648" s="36">
        <f t="shared" si="39"/>
        <v>3.8894461070416275E-2</v>
      </c>
      <c r="E648" s="36">
        <f>(Table143454[[#This Row],[JPN]]-B636)/B636</f>
        <v>1.9417526488946135E-2</v>
      </c>
      <c r="F648" s="35">
        <f>VLOOKUP(Table143454[[#This Row],[Date]],'Data Core CPI'!$B:$AY,MATCH($B$2,'Data Core CPI'!$C$1:$AY$1,0),FALSE)</f>
        <v>85.196650000000005</v>
      </c>
      <c r="G648" s="36">
        <f t="shared" si="40"/>
        <v>2.7290131275570229E-3</v>
      </c>
      <c r="H648" s="36">
        <f t="shared" si="41"/>
        <v>3.3244192300422304E-2</v>
      </c>
      <c r="I648" s="36">
        <f>(Table143454[[#This Row],[Core CPI]]-F636)/F636</f>
        <v>2.2831038716157409E-2</v>
      </c>
    </row>
    <row r="649" spans="1:9" x14ac:dyDescent="0.2">
      <c r="A649" s="34">
        <f>IF(Data!B677="",#N/A,Data!B677)</f>
        <v>38412</v>
      </c>
      <c r="B649" s="35">
        <f>VLOOKUP(A649,Data!B:AY,MATCH($B$2,Data!$C$1:$AY$1,0),FALSE)</f>
        <v>84.106859999999998</v>
      </c>
      <c r="C649" s="36">
        <f t="shared" si="42"/>
        <v>3.1744721627475769E-3</v>
      </c>
      <c r="D649" s="36">
        <f t="shared" si="39"/>
        <v>3.8765854334330108E-2</v>
      </c>
      <c r="E649" s="36">
        <f>(Table143454[[#This Row],[JPN]]-B637)/B637</f>
        <v>1.935476833689043E-2</v>
      </c>
      <c r="F649" s="35">
        <f>VLOOKUP(Table143454[[#This Row],[Date]],'Data Core CPI'!$B:$AY,MATCH($B$2,'Data Core CPI'!$C$1:$AY$1,0),FALSE)</f>
        <v>85.421869999999998</v>
      </c>
      <c r="G649" s="36">
        <f t="shared" si="40"/>
        <v>2.6435311717067922E-3</v>
      </c>
      <c r="H649" s="36">
        <f t="shared" si="41"/>
        <v>3.2187687510994545E-2</v>
      </c>
      <c r="I649" s="36">
        <f>(Table143454[[#This Row],[Core CPI]]-F637)/F637</f>
        <v>2.1719374207592804E-2</v>
      </c>
    </row>
    <row r="650" spans="1:9" x14ac:dyDescent="0.2">
      <c r="A650" s="34">
        <f>IF(Data!B678="",#N/A,Data!B678)</f>
        <v>38443</v>
      </c>
      <c r="B650" s="35">
        <f>VLOOKUP(A650,Data!B:AY,MATCH($B$2,Data!$C$1:$AY$1,0),FALSE)</f>
        <v>84.239940000000004</v>
      </c>
      <c r="C650" s="36">
        <f t="shared" si="42"/>
        <v>1.5822728371979178E-3</v>
      </c>
      <c r="D650" s="36">
        <f t="shared" si="39"/>
        <v>1.9153385419557134E-2</v>
      </c>
      <c r="E650" s="36">
        <f>(Table143454[[#This Row],[JPN]]-B638)/B638</f>
        <v>1.8503553158088774E-2</v>
      </c>
      <c r="F650" s="35">
        <f>VLOOKUP(Table143454[[#This Row],[Date]],'Data Core CPI'!$B:$AY,MATCH($B$2,'Data Core CPI'!$C$1:$AY$1,0),FALSE)</f>
        <v>85.413499999999999</v>
      </c>
      <c r="G650" s="36">
        <f t="shared" si="40"/>
        <v>-9.7984274987195086E-5</v>
      </c>
      <c r="H650" s="36">
        <f t="shared" si="41"/>
        <v>-1.1751778461657203E-3</v>
      </c>
      <c r="I650" s="36">
        <f>(Table143454[[#This Row],[Core CPI]]-F638)/F638</f>
        <v>1.8735812708187576E-2</v>
      </c>
    </row>
    <row r="651" spans="1:9" x14ac:dyDescent="0.2">
      <c r="A651" s="34">
        <f>IF(Data!B679="",#N/A,Data!B679)</f>
        <v>38473</v>
      </c>
      <c r="B651" s="35">
        <f>VLOOKUP(A651,Data!B:AY,MATCH($B$2,Data!$C$1:$AY$1,0),FALSE)</f>
        <v>84.506100000000004</v>
      </c>
      <c r="C651" s="36">
        <f t="shared" si="42"/>
        <v>3.1595464099334336E-3</v>
      </c>
      <c r="D651" s="36">
        <f t="shared" si="39"/>
        <v>3.8580405910960902E-2</v>
      </c>
      <c r="E651" s="36">
        <f>(Table143454[[#This Row],[JPN]]-B639)/B639</f>
        <v>1.9261567542493023E-2</v>
      </c>
      <c r="F651" s="35">
        <f>VLOOKUP(Table143454[[#This Row],[Date]],'Data Core CPI'!$B:$AY,MATCH($B$2,'Data Core CPI'!$C$1:$AY$1,0),FALSE)</f>
        <v>85.738309999999998</v>
      </c>
      <c r="G651" s="36">
        <f t="shared" si="40"/>
        <v>3.8027946401915091E-3</v>
      </c>
      <c r="H651" s="36">
        <f t="shared" si="41"/>
        <v>4.6600180633761923E-2</v>
      </c>
      <c r="I651" s="36">
        <f>(Table143454[[#This Row],[Core CPI]]-F639)/F639</f>
        <v>2.0500636010337577E-2</v>
      </c>
    </row>
    <row r="652" spans="1:9" x14ac:dyDescent="0.2">
      <c r="A652" s="34">
        <f>IF(Data!B680="",#N/A,Data!B680)</f>
        <v>38504</v>
      </c>
      <c r="B652" s="35">
        <f>VLOOKUP(A652,Data!B:AY,MATCH($B$2,Data!$C$1:$AY$1,0),FALSE)</f>
        <v>84.506100000000004</v>
      </c>
      <c r="C652" s="36">
        <f t="shared" si="42"/>
        <v>0</v>
      </c>
      <c r="D652" s="36">
        <f t="shared" si="39"/>
        <v>0</v>
      </c>
      <c r="E652" s="36">
        <f>(Table143454[[#This Row],[JPN]]-B640)/B640</f>
        <v>1.7628141444195534E-2</v>
      </c>
      <c r="F652" s="35">
        <f>VLOOKUP(Table143454[[#This Row],[Date]],'Data Core CPI'!$B:$AY,MATCH($B$2,'Data Core CPI'!$C$1:$AY$1,0),FALSE)</f>
        <v>85.749340000000004</v>
      </c>
      <c r="G652" s="36">
        <f t="shared" si="40"/>
        <v>1.2864727564609879E-4</v>
      </c>
      <c r="H652" s="36">
        <f t="shared" si="41"/>
        <v>1.5448600843179783E-3</v>
      </c>
      <c r="I652" s="36">
        <f>(Table143454[[#This Row],[Core CPI]]-F640)/F640</f>
        <v>1.9253278009147112E-2</v>
      </c>
    </row>
    <row r="653" spans="1:9" x14ac:dyDescent="0.2">
      <c r="A653" s="34">
        <f>IF(Data!B681="",#N/A,Data!B681)</f>
        <v>38534</v>
      </c>
      <c r="B653" s="35">
        <f>VLOOKUP(A653,Data!B:AY,MATCH($B$2,Data!$C$1:$AY$1,0),FALSE)</f>
        <v>84.838809999999995</v>
      </c>
      <c r="C653" s="36">
        <f t="shared" si="42"/>
        <v>3.9371122321345542E-3</v>
      </c>
      <c r="D653" s="36">
        <f t="shared" si="39"/>
        <v>4.8281949046522499E-2</v>
      </c>
      <c r="E653" s="36">
        <f>(Table143454[[#This Row],[JPN]]-B641)/B641</f>
        <v>2.081669850446561E-2</v>
      </c>
      <c r="F653" s="35">
        <f>VLOOKUP(Table143454[[#This Row],[Date]],'Data Core CPI'!$B:$AY,MATCH($B$2,'Data Core CPI'!$C$1:$AY$1,0),FALSE)</f>
        <v>86.081699999999998</v>
      </c>
      <c r="G653" s="36">
        <f t="shared" si="40"/>
        <v>3.8759481997179268E-3</v>
      </c>
      <c r="H653" s="36">
        <f t="shared" si="41"/>
        <v>4.751581734206467E-2</v>
      </c>
      <c r="I653" s="36">
        <f>(Table143454[[#This Row],[Core CPI]]-F641)/F641</f>
        <v>2.1382156208108245E-2</v>
      </c>
    </row>
    <row r="654" spans="1:9" x14ac:dyDescent="0.2">
      <c r="A654" s="34">
        <f>IF(Data!B682="",#N/A,Data!B682)</f>
        <v>38565</v>
      </c>
      <c r="B654" s="35">
        <f>VLOOKUP(A654,Data!B:AY,MATCH($B$2,Data!$C$1:$AY$1,0),FALSE)</f>
        <v>84.971890000000002</v>
      </c>
      <c r="C654" s="36">
        <f t="shared" si="42"/>
        <v>1.5686217192345531E-3</v>
      </c>
      <c r="D654" s="36">
        <f t="shared" si="39"/>
        <v>1.8986710661955897E-2</v>
      </c>
      <c r="E654" s="36">
        <f>(Table143454[[#This Row],[JPN]]-B642)/B642</f>
        <v>1.9968099247638739E-2</v>
      </c>
      <c r="F654" s="35">
        <f>VLOOKUP(Table143454[[#This Row],[Date]],'Data Core CPI'!$B:$AY,MATCH($B$2,'Data Core CPI'!$C$1:$AY$1,0),FALSE)</f>
        <v>86.240949999999998</v>
      </c>
      <c r="G654" s="36">
        <f t="shared" si="40"/>
        <v>1.8499866986827485E-3</v>
      </c>
      <c r="H654" s="36">
        <f t="shared" si="41"/>
        <v>2.242712087869525E-2</v>
      </c>
      <c r="I654" s="36">
        <f>(Table143454[[#This Row],[Core CPI]]-F642)/F642</f>
        <v>2.0128990956391139E-2</v>
      </c>
    </row>
    <row r="655" spans="1:9" x14ac:dyDescent="0.2">
      <c r="A655" s="34">
        <f>IF(Data!B683="",#N/A,Data!B683)</f>
        <v>38596</v>
      </c>
      <c r="B655" s="35">
        <f>VLOOKUP(A655,Data!B:AY,MATCH($B$2,Data!$C$1:$AY$1,0),FALSE)</f>
        <v>84.971890000000002</v>
      </c>
      <c r="C655" s="36">
        <f t="shared" si="42"/>
        <v>0</v>
      </c>
      <c r="D655" s="36">
        <f t="shared" si="39"/>
        <v>0</v>
      </c>
      <c r="E655" s="36">
        <f>(Table143454[[#This Row],[JPN]]-B643)/B643</f>
        <v>1.9968099247638739E-2</v>
      </c>
      <c r="F655" s="35">
        <f>VLOOKUP(Table143454[[#This Row],[Date]],'Data Core CPI'!$B:$AY,MATCH($B$2,'Data Core CPI'!$C$1:$AY$1,0),FALSE)</f>
        <v>86.123149999999995</v>
      </c>
      <c r="G655" s="36">
        <f t="shared" si="40"/>
        <v>-1.3659404262128527E-3</v>
      </c>
      <c r="H655" s="36">
        <f t="shared" si="41"/>
        <v>-1.6268701724495349E-2</v>
      </c>
      <c r="I655" s="36">
        <f>(Table143454[[#This Row],[Core CPI]]-F643)/F643</f>
        <v>1.85954281498397E-2</v>
      </c>
    </row>
    <row r="656" spans="1:9" x14ac:dyDescent="0.2">
      <c r="A656" s="34">
        <f>IF(Data!B684="",#N/A,Data!B684)</f>
        <v>38626</v>
      </c>
      <c r="B656" s="35">
        <f>VLOOKUP(A656,Data!B:AY,MATCH($B$2,Data!$C$1:$AY$1,0),FALSE)</f>
        <v>85.171509999999998</v>
      </c>
      <c r="C656" s="36">
        <f t="shared" si="42"/>
        <v>2.3492474982020894E-3</v>
      </c>
      <c r="D656" s="36">
        <f t="shared" si="39"/>
        <v>2.8558089114375296E-2</v>
      </c>
      <c r="E656" s="36">
        <f>(Table143454[[#This Row],[JPN]]-B644)/B644</f>
        <v>2.236425675304211E-2</v>
      </c>
      <c r="F656" s="35">
        <f>VLOOKUP(Table143454[[#This Row],[Date]],'Data Core CPI'!$B:$AY,MATCH($B$2,'Data Core CPI'!$C$1:$AY$1,0),FALSE)</f>
        <v>86.229069999999993</v>
      </c>
      <c r="G656" s="36">
        <f t="shared" si="40"/>
        <v>1.2298667663688256E-3</v>
      </c>
      <c r="H656" s="36">
        <f t="shared" si="41"/>
        <v>1.4858641358233893E-2</v>
      </c>
      <c r="I656" s="36">
        <f>(Table143454[[#This Row],[Core CPI]]-F644)/F644</f>
        <v>2.0410078394799379E-2</v>
      </c>
    </row>
    <row r="657" spans="1:9" x14ac:dyDescent="0.2">
      <c r="A657" s="34">
        <f>IF(Data!B685="",#N/A,Data!B685)</f>
        <v>38657</v>
      </c>
      <c r="B657" s="35">
        <f>VLOOKUP(A657,Data!B:AY,MATCH($B$2,Data!$C$1:$AY$1,0),FALSE)</f>
        <v>85.238039999999998</v>
      </c>
      <c r="C657" s="36">
        <f t="shared" si="42"/>
        <v>7.8112974632005283E-4</v>
      </c>
      <c r="D657" s="36">
        <f t="shared" si="39"/>
        <v>9.4139327990188093E-3</v>
      </c>
      <c r="E657" s="36">
        <f>(Table143454[[#This Row],[JPN]]-B645)/B645</f>
        <v>2.2346288308282575E-2</v>
      </c>
      <c r="F657" s="35">
        <f>VLOOKUP(Table143454[[#This Row],[Date]],'Data Core CPI'!$B:$AY,MATCH($B$2,'Data Core CPI'!$C$1:$AY$1,0),FALSE)</f>
        <v>86.439800000000005</v>
      </c>
      <c r="G657" s="36">
        <f t="shared" si="40"/>
        <v>2.443839415176452E-3</v>
      </c>
      <c r="H657" s="36">
        <f t="shared" si="41"/>
        <v>2.9723476881987176E-2</v>
      </c>
      <c r="I657" s="36">
        <f>(Table143454[[#This Row],[Core CPI]]-F645)/F645</f>
        <v>2.1560000420726883E-2</v>
      </c>
    </row>
    <row r="658" spans="1:9" x14ac:dyDescent="0.2">
      <c r="A658" s="34">
        <f>IF(Data!B686="",#N/A,Data!B686)</f>
        <v>38687</v>
      </c>
      <c r="B658" s="35">
        <f>VLOOKUP(A658,Data!B:AY,MATCH($B$2,Data!$C$1:$AY$1,0),FALSE)</f>
        <v>85.238039999999998</v>
      </c>
      <c r="C658" s="36">
        <f t="shared" si="42"/>
        <v>0</v>
      </c>
      <c r="D658" s="36">
        <f t="shared" si="39"/>
        <v>0</v>
      </c>
      <c r="E658" s="36">
        <f>(Table143454[[#This Row],[JPN]]-B646)/B646</f>
        <v>1.9904387149483553E-2</v>
      </c>
      <c r="F658" s="35">
        <f>VLOOKUP(Table143454[[#This Row],[Date]],'Data Core CPI'!$B:$AY,MATCH($B$2,'Data Core CPI'!$C$1:$AY$1,0),FALSE)</f>
        <v>86.444069999999996</v>
      </c>
      <c r="G658" s="36">
        <f t="shared" si="40"/>
        <v>4.9398540949763259E-5</v>
      </c>
      <c r="H658" s="36">
        <f t="shared" si="41"/>
        <v>5.9294357216521654E-4</v>
      </c>
      <c r="I658" s="36">
        <f>(Table143454[[#This Row],[Core CPI]]-F646)/F646</f>
        <v>1.8355092325022256E-2</v>
      </c>
    </row>
    <row r="659" spans="1:9" x14ac:dyDescent="0.2">
      <c r="A659" s="34">
        <f>IF(Data!B687="",#N/A,Data!B687)</f>
        <v>38718</v>
      </c>
      <c r="B659" s="35">
        <f>VLOOKUP(A659,Data!B:AY,MATCH($B$2,Data!$C$1:$AY$1,0),FALSE)</f>
        <v>85.437669999999997</v>
      </c>
      <c r="C659" s="36">
        <f t="shared" si="42"/>
        <v>2.3420294507006112E-3</v>
      </c>
      <c r="D659" s="36">
        <f t="shared" si="39"/>
        <v>2.8469211265138128E-2</v>
      </c>
      <c r="E659" s="36">
        <f>(Table143454[[#This Row],[JPN]]-B647)/B647</f>
        <v>2.2293033261086431E-2</v>
      </c>
      <c r="F659" s="35">
        <f>VLOOKUP(Table143454[[#This Row],[Date]],'Data Core CPI'!$B:$AY,MATCH($B$2,'Data Core CPI'!$C$1:$AY$1,0),FALSE)</f>
        <v>86.558160000000001</v>
      </c>
      <c r="G659" s="36">
        <f t="shared" si="40"/>
        <v>1.3198129148708215E-3</v>
      </c>
      <c r="H659" s="36">
        <f t="shared" si="41"/>
        <v>1.5953228066015956E-2</v>
      </c>
      <c r="I659" s="36">
        <f>(Table143454[[#This Row],[Core CPI]]-F647)/F647</f>
        <v>1.8753417592560072E-2</v>
      </c>
    </row>
    <row r="660" spans="1:9" x14ac:dyDescent="0.2">
      <c r="A660" s="34">
        <f>IF(Data!B688="",#N/A,Data!B688)</f>
        <v>38749</v>
      </c>
      <c r="B660" s="35">
        <f>VLOOKUP(A660,Data!B:AY,MATCH($B$2,Data!$C$1:$AY$1,0),FALSE)</f>
        <v>85.637289999999993</v>
      </c>
      <c r="C660" s="36">
        <f t="shared" si="42"/>
        <v>2.336440120616512E-3</v>
      </c>
      <c r="D660" s="36">
        <f t="shared" si="39"/>
        <v>2.8400393108037214E-2</v>
      </c>
      <c r="E660" s="36">
        <f>(Table143454[[#This Row],[JPN]]-B648)/B648</f>
        <v>2.1428492196690505E-2</v>
      </c>
      <c r="F660" s="35">
        <f>VLOOKUP(Table143454[[#This Row],[Date]],'Data Core CPI'!$B:$AY,MATCH($B$2,'Data Core CPI'!$C$1:$AY$1,0),FALSE)</f>
        <v>86.721789999999999</v>
      </c>
      <c r="G660" s="36">
        <f t="shared" si="40"/>
        <v>1.8904052489101542E-3</v>
      </c>
      <c r="H660" s="36">
        <f t="shared" si="41"/>
        <v>2.2922215274784552E-2</v>
      </c>
      <c r="I660" s="36">
        <f>(Table143454[[#This Row],[Core CPI]]-F648)/F648</f>
        <v>1.7901408095271271E-2</v>
      </c>
    </row>
    <row r="661" spans="1:9" x14ac:dyDescent="0.2">
      <c r="A661" s="34">
        <f>IF(Data!B689="",#N/A,Data!B689)</f>
        <v>38777</v>
      </c>
      <c r="B661" s="35">
        <f>VLOOKUP(A661,Data!B:AY,MATCH($B$2,Data!$C$1:$AY$1,0),FALSE)</f>
        <v>85.836910000000003</v>
      </c>
      <c r="C661" s="36">
        <f t="shared" si="42"/>
        <v>2.330993892964317E-3</v>
      </c>
      <c r="D661" s="36">
        <f t="shared" si="39"/>
        <v>2.8333340948014207E-2</v>
      </c>
      <c r="E661" s="36">
        <f>(Table143454[[#This Row],[JPN]]-B649)/B649</f>
        <v>2.0569665779937636E-2</v>
      </c>
      <c r="F661" s="35">
        <f>VLOOKUP(Table143454[[#This Row],[Date]],'Data Core CPI'!$B:$AY,MATCH($B$2,'Data Core CPI'!$C$1:$AY$1,0),FALSE)</f>
        <v>86.907939999999996</v>
      </c>
      <c r="G661" s="36">
        <f t="shared" si="40"/>
        <v>2.1465193465217691E-3</v>
      </c>
      <c r="H661" s="36">
        <f t="shared" si="41"/>
        <v>2.6064516533892412E-2</v>
      </c>
      <c r="I661" s="36">
        <f>(Table143454[[#This Row],[Core CPI]]-F649)/F649</f>
        <v>1.7396832918782953E-2</v>
      </c>
    </row>
    <row r="662" spans="1:9" x14ac:dyDescent="0.2">
      <c r="A662" s="34">
        <f>IF(Data!B690="",#N/A,Data!B690)</f>
        <v>38808</v>
      </c>
      <c r="B662" s="35">
        <f>VLOOKUP(A662,Data!B:AY,MATCH($B$2,Data!$C$1:$AY$1,0),FALSE)</f>
        <v>86.103070000000002</v>
      </c>
      <c r="C662" s="36">
        <f t="shared" si="42"/>
        <v>3.1007639953488653E-3</v>
      </c>
      <c r="D662" s="36">
        <f t="shared" si="39"/>
        <v>3.7850345463735557E-2</v>
      </c>
      <c r="E662" s="36">
        <f>(Table143454[[#This Row],[JPN]]-B650)/B650</f>
        <v>2.2116943578069953E-2</v>
      </c>
      <c r="F662" s="35">
        <f>VLOOKUP(Table143454[[#This Row],[Date]],'Data Core CPI'!$B:$AY,MATCH($B$2,'Data Core CPI'!$C$1:$AY$1,0),FALSE)</f>
        <v>87.082790000000003</v>
      </c>
      <c r="G662" s="36">
        <f t="shared" si="40"/>
        <v>2.0118990278679139E-3</v>
      </c>
      <c r="H662" s="36">
        <f t="shared" si="41"/>
        <v>2.4411738759541501E-2</v>
      </c>
      <c r="I662" s="36">
        <f>(Table143454[[#This Row],[Core CPI]]-F650)/F650</f>
        <v>1.9543631861473933E-2</v>
      </c>
    </row>
    <row r="663" spans="1:9" x14ac:dyDescent="0.2">
      <c r="A663" s="34">
        <f>IF(Data!B691="",#N/A,Data!B691)</f>
        <v>38838</v>
      </c>
      <c r="B663" s="35">
        <f>VLOOKUP(A663,Data!B:AY,MATCH($B$2,Data!$C$1:$AY$1,0),FALSE)</f>
        <v>86.369230000000002</v>
      </c>
      <c r="C663" s="36">
        <f t="shared" si="42"/>
        <v>3.0911789788679034E-3</v>
      </c>
      <c r="D663" s="36">
        <f t="shared" si="39"/>
        <v>3.7731346971427326E-2</v>
      </c>
      <c r="E663" s="36">
        <f>(Table143454[[#This Row],[JPN]]-B651)/B651</f>
        <v>2.2047284160551701E-2</v>
      </c>
      <c r="F663" s="35">
        <f>VLOOKUP(Table143454[[#This Row],[Date]],'Data Core CPI'!$B:$AY,MATCH($B$2,'Data Core CPI'!$C$1:$AY$1,0),FALSE)</f>
        <v>87.318730000000002</v>
      </c>
      <c r="G663" s="36">
        <f t="shared" si="40"/>
        <v>2.7093757561051923E-3</v>
      </c>
      <c r="H663" s="36">
        <f t="shared" si="41"/>
        <v>3.3001398711425489E-2</v>
      </c>
      <c r="I663" s="36">
        <f>(Table143454[[#This Row],[Core CPI]]-F651)/F651</f>
        <v>1.8433066851912566E-2</v>
      </c>
    </row>
    <row r="664" spans="1:9" x14ac:dyDescent="0.2">
      <c r="A664" s="34">
        <f>IF(Data!B692="",#N/A,Data!B692)</f>
        <v>38869</v>
      </c>
      <c r="B664" s="35">
        <f>VLOOKUP(A664,Data!B:AY,MATCH($B$2,Data!$C$1:$AY$1,0),FALSE)</f>
        <v>86.435779999999994</v>
      </c>
      <c r="C664" s="36">
        <f t="shared" si="42"/>
        <v>7.7052904141905465E-4</v>
      </c>
      <c r="D664" s="36">
        <f t="shared" si="39"/>
        <v>9.2856345063954127E-3</v>
      </c>
      <c r="E664" s="36">
        <f>(Table143454[[#This Row],[JPN]]-B652)/B652</f>
        <v>2.2834801274700767E-2</v>
      </c>
      <c r="F664" s="35">
        <f>VLOOKUP(Table143454[[#This Row],[Date]],'Data Core CPI'!$B:$AY,MATCH($B$2,'Data Core CPI'!$C$1:$AY$1,0),FALSE)</f>
        <v>87.365809999999996</v>
      </c>
      <c r="G664" s="36">
        <f t="shared" si="40"/>
        <v>5.3917412678816667E-4</v>
      </c>
      <c r="H664" s="36">
        <f t="shared" si="41"/>
        <v>6.4893108234802543E-3</v>
      </c>
      <c r="I664" s="36">
        <f>(Table143454[[#This Row],[Core CPI]]-F652)/F652</f>
        <v>1.885110719219521E-2</v>
      </c>
    </row>
    <row r="665" spans="1:9" x14ac:dyDescent="0.2">
      <c r="A665" s="34">
        <f>IF(Data!B693="",#N/A,Data!B693)</f>
        <v>38899</v>
      </c>
      <c r="B665" s="35">
        <f>VLOOKUP(A665,Data!B:AY,MATCH($B$2,Data!$C$1:$AY$1,0),FALSE)</f>
        <v>86.701930000000004</v>
      </c>
      <c r="C665" s="36">
        <f t="shared" si="42"/>
        <v>3.0791646700014663E-3</v>
      </c>
      <c r="D665" s="36">
        <f t="shared" si="39"/>
        <v>3.7582206347986036E-2</v>
      </c>
      <c r="E665" s="36">
        <f>(Table143454[[#This Row],[JPN]]-B653)/B653</f>
        <v>2.1960704069281609E-2</v>
      </c>
      <c r="F665" s="35">
        <f>VLOOKUP(Table143454[[#This Row],[Date]],'Data Core CPI'!$B:$AY,MATCH($B$2,'Data Core CPI'!$C$1:$AY$1,0),FALSE)</f>
        <v>87.523740000000004</v>
      </c>
      <c r="G665" s="36">
        <f t="shared" si="40"/>
        <v>1.8076865538132481E-3</v>
      </c>
      <c r="H665" s="36">
        <f t="shared" si="41"/>
        <v>2.1909213718609655E-2</v>
      </c>
      <c r="I665" s="36">
        <f>(Table143454[[#This Row],[Core CPI]]-F653)/F653</f>
        <v>1.6751992583789652E-2</v>
      </c>
    </row>
    <row r="666" spans="1:9" x14ac:dyDescent="0.2">
      <c r="A666" s="34">
        <f>IF(Data!B694="",#N/A,Data!B694)</f>
        <v>38930</v>
      </c>
      <c r="B666" s="35">
        <f>VLOOKUP(A666,Data!B:AY,MATCH($B$2,Data!$C$1:$AY$1,0),FALSE)</f>
        <v>86.835009999999997</v>
      </c>
      <c r="C666" s="36">
        <f t="shared" si="42"/>
        <v>1.5349139286748859E-3</v>
      </c>
      <c r="D666" s="36">
        <f t="shared" si="39"/>
        <v>1.8575258872438383E-2</v>
      </c>
      <c r="E666" s="36">
        <f>(Table143454[[#This Row],[JPN]]-B654)/B654</f>
        <v>2.1926309983219098E-2</v>
      </c>
      <c r="F666" s="35">
        <f>VLOOKUP(Table143454[[#This Row],[Date]],'Data Core CPI'!$B:$AY,MATCH($B$2,'Data Core CPI'!$C$1:$AY$1,0),FALSE)</f>
        <v>87.609920000000002</v>
      </c>
      <c r="G666" s="36">
        <f t="shared" si="40"/>
        <v>9.8464713687973493E-4</v>
      </c>
      <c r="H666" s="36">
        <f t="shared" si="41"/>
        <v>1.1879965109422352E-2</v>
      </c>
      <c r="I666" s="36">
        <f>(Table143454[[#This Row],[Core CPI]]-F654)/F654</f>
        <v>1.5873781538816589E-2</v>
      </c>
    </row>
    <row r="667" spans="1:9" x14ac:dyDescent="0.2">
      <c r="A667" s="34">
        <f>IF(Data!B695="",#N/A,Data!B695)</f>
        <v>38961</v>
      </c>
      <c r="B667" s="35">
        <f>VLOOKUP(A667,Data!B:AY,MATCH($B$2,Data!$C$1:$AY$1,0),FALSE)</f>
        <v>86.768469999999994</v>
      </c>
      <c r="C667" s="36">
        <f t="shared" si="42"/>
        <v>-7.6628078928075993E-4</v>
      </c>
      <c r="D667" s="36">
        <f t="shared" si="39"/>
        <v>-9.156713997437893E-3</v>
      </c>
      <c r="E667" s="36">
        <f>(Table143454[[#This Row],[JPN]]-B655)/B655</f>
        <v>2.1143227483818375E-2</v>
      </c>
      <c r="F667" s="35">
        <f>VLOOKUP(Table143454[[#This Row],[Date]],'Data Core CPI'!$B:$AY,MATCH($B$2,'Data Core CPI'!$C$1:$AY$1,0),FALSE)</f>
        <v>87.634280000000004</v>
      </c>
      <c r="G667" s="36">
        <f t="shared" si="40"/>
        <v>2.7805070476039084E-4</v>
      </c>
      <c r="H667" s="36">
        <f t="shared" si="41"/>
        <v>3.3417157941924014E-3</v>
      </c>
      <c r="I667" s="36">
        <f>(Table143454[[#This Row],[Core CPI]]-F655)/F655</f>
        <v>1.7546153386168627E-2</v>
      </c>
    </row>
    <row r="668" spans="1:9" x14ac:dyDescent="0.2">
      <c r="A668" s="34">
        <f>IF(Data!B696="",#N/A,Data!B696)</f>
        <v>38991</v>
      </c>
      <c r="B668" s="35">
        <f>VLOOKUP(A668,Data!B:AY,MATCH($B$2,Data!$C$1:$AY$1,0),FALSE)</f>
        <v>86.701930000000004</v>
      </c>
      <c r="C668" s="36">
        <f t="shared" si="42"/>
        <v>-7.6686842582318615E-4</v>
      </c>
      <c r="D668" s="36">
        <f t="shared" si="39"/>
        <v>-9.1637064016557579E-3</v>
      </c>
      <c r="E668" s="36">
        <f>(Table143454[[#This Row],[JPN]]-B656)/B656</f>
        <v>1.7968684598875923E-2</v>
      </c>
      <c r="F668" s="35">
        <f>VLOOKUP(Table143454[[#This Row],[Date]],'Data Core CPI'!$B:$AY,MATCH($B$2,'Data Core CPI'!$C$1:$AY$1,0),FALSE)</f>
        <v>87.63306</v>
      </c>
      <c r="G668" s="36">
        <f t="shared" si="40"/>
        <v>-1.392149282231081E-5</v>
      </c>
      <c r="H668" s="36">
        <f t="shared" si="41"/>
        <v>-1.6704512313558961E-4</v>
      </c>
      <c r="I668" s="36">
        <f>(Table143454[[#This Row],[Core CPI]]-F656)/F656</f>
        <v>1.6282096049510999E-2</v>
      </c>
    </row>
    <row r="669" spans="1:9" x14ac:dyDescent="0.2">
      <c r="A669" s="34">
        <f>IF(Data!B697="",#N/A,Data!B697)</f>
        <v>39022</v>
      </c>
      <c r="B669" s="35">
        <f>VLOOKUP(A669,Data!B:AY,MATCH($B$2,Data!$C$1:$AY$1,0),FALSE)</f>
        <v>86.768469999999994</v>
      </c>
      <c r="C669" s="36">
        <f t="shared" si="42"/>
        <v>7.6745696433744293E-4</v>
      </c>
      <c r="D669" s="36">
        <f t="shared" si="39"/>
        <v>9.2484565420778431E-3</v>
      </c>
      <c r="E669" s="36">
        <f>(Table143454[[#This Row],[JPN]]-B657)/B657</f>
        <v>1.7954776998626382E-2</v>
      </c>
      <c r="F669" s="35">
        <f>VLOOKUP(Table143454[[#This Row],[Date]],'Data Core CPI'!$B:$AY,MATCH($B$2,'Data Core CPI'!$C$1:$AY$1,0),FALSE)</f>
        <v>87.705290000000005</v>
      </c>
      <c r="G669" s="36">
        <f t="shared" si="40"/>
        <v>8.2423231597750224E-4</v>
      </c>
      <c r="H669" s="36">
        <f t="shared" si="41"/>
        <v>9.9357488974998187E-3</v>
      </c>
      <c r="I669" s="36">
        <f>(Table143454[[#This Row],[Core CPI]]-F657)/F657</f>
        <v>1.4640131050742826E-2</v>
      </c>
    </row>
    <row r="670" spans="1:9" x14ac:dyDescent="0.2">
      <c r="A670" s="34">
        <f>IF(Data!B698="",#N/A,Data!B698)</f>
        <v>39052</v>
      </c>
      <c r="B670" s="35">
        <f>VLOOKUP(A670,Data!B:AY,MATCH($B$2,Data!$C$1:$AY$1,0),FALSE)</f>
        <v>86.835009999999997</v>
      </c>
      <c r="C670" s="36">
        <f t="shared" si="42"/>
        <v>7.6686842582329717E-4</v>
      </c>
      <c r="D670" s="36">
        <f t="shared" si="39"/>
        <v>9.2413342521382447E-3</v>
      </c>
      <c r="E670" s="36">
        <f>(Table143454[[#This Row],[JPN]]-B658)/B658</f>
        <v>1.8735414376022712E-2</v>
      </c>
      <c r="F670" s="35">
        <f>VLOOKUP(Table143454[[#This Row],[Date]],'Data Core CPI'!$B:$AY,MATCH($B$2,'Data Core CPI'!$C$1:$AY$1,0),FALSE)</f>
        <v>87.765739999999994</v>
      </c>
      <c r="G670" s="36">
        <f t="shared" si="40"/>
        <v>6.8924006750314959E-4</v>
      </c>
      <c r="H670" s="36">
        <f t="shared" si="41"/>
        <v>8.3023063787854845E-3</v>
      </c>
      <c r="I670" s="36">
        <f>(Table143454[[#This Row],[Core CPI]]-F658)/F658</f>
        <v>1.5289307872708879E-2</v>
      </c>
    </row>
    <row r="671" spans="1:9" x14ac:dyDescent="0.2">
      <c r="A671" s="34">
        <f>IF(Data!B699="",#N/A,Data!B699)</f>
        <v>39083</v>
      </c>
      <c r="B671" s="35">
        <f>VLOOKUP(A671,Data!B:AY,MATCH($B$2,Data!$C$1:$AY$1,0),FALSE)</f>
        <v>86.90155</v>
      </c>
      <c r="C671" s="36">
        <f t="shared" si="42"/>
        <v>7.6628078928075993E-4</v>
      </c>
      <c r="D671" s="36">
        <f t="shared" si="39"/>
        <v>9.2342229235171658E-3</v>
      </c>
      <c r="E671" s="36">
        <f>(Table143454[[#This Row],[JPN]]-B659)/B659</f>
        <v>1.7133894217854995E-2</v>
      </c>
      <c r="F671" s="35">
        <f>VLOOKUP(Table143454[[#This Row],[Date]],'Data Core CPI'!$B:$AY,MATCH($B$2,'Data Core CPI'!$C$1:$AY$1,0),FALSE)</f>
        <v>88.045339999999996</v>
      </c>
      <c r="G671" s="36">
        <f t="shared" si="40"/>
        <v>3.1857533474908273E-3</v>
      </c>
      <c r="H671" s="36">
        <f t="shared" si="41"/>
        <v>3.8906040130344488E-2</v>
      </c>
      <c r="I671" s="36">
        <f>(Table143454[[#This Row],[Core CPI]]-F659)/F659</f>
        <v>1.7181280193571524E-2</v>
      </c>
    </row>
    <row r="672" spans="1:9" x14ac:dyDescent="0.2">
      <c r="A672" s="34">
        <f>IF(Data!B700="",#N/A,Data!B700)</f>
        <v>39114</v>
      </c>
      <c r="B672" s="35">
        <f>VLOOKUP(A672,Data!B:AY,MATCH($B$2,Data!$C$1:$AY$1,0),FALSE)</f>
        <v>87.167720000000003</v>
      </c>
      <c r="C672" s="36">
        <f t="shared" si="42"/>
        <v>3.0628912832970645E-3</v>
      </c>
      <c r="D672" s="36">
        <f t="shared" si="39"/>
        <v>3.7380226637548697E-2</v>
      </c>
      <c r="E672" s="36">
        <f>(Table143454[[#This Row],[JPN]]-B660)/B660</f>
        <v>1.7871069950952556E-2</v>
      </c>
      <c r="F672" s="35">
        <f>VLOOKUP(Table143454[[#This Row],[Date]],'Data Core CPI'!$B:$AY,MATCH($B$2,'Data Core CPI'!$C$1:$AY$1,0),FALSE)</f>
        <v>88.439610000000002</v>
      </c>
      <c r="G672" s="36">
        <f t="shared" si="40"/>
        <v>4.478033703998463E-3</v>
      </c>
      <c r="H672" s="36">
        <f t="shared" si="41"/>
        <v>5.5079844145713208E-2</v>
      </c>
      <c r="I672" s="36">
        <f>(Table143454[[#This Row],[Core CPI]]-F660)/F660</f>
        <v>1.9808401095042009E-2</v>
      </c>
    </row>
    <row r="673" spans="1:9" x14ac:dyDescent="0.2">
      <c r="A673" s="34">
        <f>IF(Data!B701="",#N/A,Data!B701)</f>
        <v>39142</v>
      </c>
      <c r="B673" s="35">
        <f>VLOOKUP(A673,Data!B:AY,MATCH($B$2,Data!$C$1:$AY$1,0),FALSE)</f>
        <v>87.300799999999995</v>
      </c>
      <c r="C673" s="36">
        <f t="shared" si="42"/>
        <v>1.5267119525437245E-3</v>
      </c>
      <c r="D673" s="36">
        <f t="shared" si="39"/>
        <v>1.847516506368474E-2</v>
      </c>
      <c r="E673" s="36">
        <f>(Table143454[[#This Row],[JPN]]-B661)/B661</f>
        <v>1.705431847441843E-2</v>
      </c>
      <c r="F673" s="35">
        <f>VLOOKUP(Table143454[[#This Row],[Date]],'Data Core CPI'!$B:$AY,MATCH($B$2,'Data Core CPI'!$C$1:$AY$1,0),FALSE)</f>
        <v>88.530869999999993</v>
      </c>
      <c r="G673" s="36">
        <f t="shared" si="40"/>
        <v>1.0318905748225582E-3</v>
      </c>
      <c r="H673" s="36">
        <f t="shared" si="41"/>
        <v>1.2453205864622063E-2</v>
      </c>
      <c r="I673" s="36">
        <f>(Table143454[[#This Row],[Core CPI]]-F661)/F661</f>
        <v>1.8674128048599435E-2</v>
      </c>
    </row>
    <row r="674" spans="1:9" x14ac:dyDescent="0.2">
      <c r="A674" s="34">
        <f>IF(Data!B702="",#N/A,Data!B702)</f>
        <v>39173</v>
      </c>
      <c r="B674" s="35">
        <f>VLOOKUP(A674,Data!B:AY,MATCH($B$2,Data!$C$1:$AY$1,0),FALSE)</f>
        <v>87.433880000000002</v>
      </c>
      <c r="C674" s="36">
        <f t="shared" si="42"/>
        <v>1.5243846562689178E-3</v>
      </c>
      <c r="D674" s="36">
        <f t="shared" si="39"/>
        <v>1.8446765264029441E-2</v>
      </c>
      <c r="E674" s="36">
        <f>(Table143454[[#This Row],[JPN]]-B662)/B662</f>
        <v>1.5456011034217475E-2</v>
      </c>
      <c r="F674" s="35">
        <f>VLOOKUP(Table143454[[#This Row],[Date]],'Data Core CPI'!$B:$AY,MATCH($B$2,'Data Core CPI'!$C$1:$AY$1,0),FALSE)</f>
        <v>88.601140000000001</v>
      </c>
      <c r="G674" s="36">
        <f t="shared" si="40"/>
        <v>7.9373443410202249E-4</v>
      </c>
      <c r="H674" s="36">
        <f t="shared" si="41"/>
        <v>9.5665043672710226E-3</v>
      </c>
      <c r="I674" s="36">
        <f>(Table143454[[#This Row],[Core CPI]]-F662)/F662</f>
        <v>1.743570687158735E-2</v>
      </c>
    </row>
    <row r="675" spans="1:9" x14ac:dyDescent="0.2">
      <c r="A675" s="34">
        <f>IF(Data!B703="",#N/A,Data!B703)</f>
        <v>39203</v>
      </c>
      <c r="B675" s="35">
        <f>VLOOKUP(A675,Data!B:AY,MATCH($B$2,Data!$C$1:$AY$1,0),FALSE)</f>
        <v>87.700040000000001</v>
      </c>
      <c r="C675" s="36">
        <f t="shared" si="42"/>
        <v>3.0441288891673857E-3</v>
      </c>
      <c r="D675" s="36">
        <f t="shared" si="39"/>
        <v>3.7147398950547972E-2</v>
      </c>
      <c r="E675" s="36">
        <f>(Table143454[[#This Row],[JPN]]-B663)/B663</f>
        <v>1.5408380970861956E-2</v>
      </c>
      <c r="F675" s="35">
        <f>VLOOKUP(Table143454[[#This Row],[Date]],'Data Core CPI'!$B:$AY,MATCH($B$2,'Data Core CPI'!$C$1:$AY$1,0),FALSE)</f>
        <v>88.828180000000003</v>
      </c>
      <c r="G675" s="36">
        <f t="shared" si="40"/>
        <v>2.5624952455465255E-3</v>
      </c>
      <c r="H675" s="36">
        <f t="shared" si="41"/>
        <v>3.1187047372651433E-2</v>
      </c>
      <c r="I675" s="36">
        <f>(Table143454[[#This Row],[Core CPI]]-F663)/F663</f>
        <v>1.7286669194570295E-2</v>
      </c>
    </row>
    <row r="676" spans="1:9" x14ac:dyDescent="0.2">
      <c r="A676" s="34">
        <f>IF(Data!B704="",#N/A,Data!B704)</f>
        <v>39234</v>
      </c>
      <c r="B676" s="35">
        <f>VLOOKUP(A676,Data!B:AY,MATCH($B$2,Data!$C$1:$AY$1,0),FALSE)</f>
        <v>87.899659999999997</v>
      </c>
      <c r="C676" s="36">
        <f t="shared" si="42"/>
        <v>2.2761677189655494E-3</v>
      </c>
      <c r="D676" s="36">
        <f t="shared" si="39"/>
        <v>2.7658562360146854E-2</v>
      </c>
      <c r="E676" s="36">
        <f>(Table143454[[#This Row],[JPN]]-B664)/B664</f>
        <v>1.693604199557178E-2</v>
      </c>
      <c r="F676" s="35">
        <f>VLOOKUP(Table143454[[#This Row],[Date]],'Data Core CPI'!$B:$AY,MATCH($B$2,'Data Core CPI'!$C$1:$AY$1,0),FALSE)</f>
        <v>88.948809999999995</v>
      </c>
      <c r="G676" s="36">
        <f t="shared" si="40"/>
        <v>1.3580149902878702E-3</v>
      </c>
      <c r="H676" s="36">
        <f t="shared" si="41"/>
        <v>1.6418450062454681E-2</v>
      </c>
      <c r="I676" s="36">
        <f>(Table143454[[#This Row],[Core CPI]]-F664)/F664</f>
        <v>1.8119216201395012E-2</v>
      </c>
    </row>
    <row r="677" spans="1:9" x14ac:dyDescent="0.2">
      <c r="A677" s="34">
        <f>IF(Data!B705="",#N/A,Data!B705)</f>
        <v>39264</v>
      </c>
      <c r="B677" s="35">
        <f>VLOOKUP(A677,Data!B:AY,MATCH($B$2,Data!$C$1:$AY$1,0),FALSE)</f>
        <v>88.099279999999993</v>
      </c>
      <c r="C677" s="36">
        <f t="shared" si="42"/>
        <v>2.2709985453868153E-3</v>
      </c>
      <c r="D677" s="36">
        <f t="shared" si="39"/>
        <v>2.7594963184848886E-2</v>
      </c>
      <c r="E677" s="36">
        <f>(Table143454[[#This Row],[JPN]]-B665)/B665</f>
        <v>1.6116711588773036E-2</v>
      </c>
      <c r="F677" s="35">
        <f>VLOOKUP(Table143454[[#This Row],[Date]],'Data Core CPI'!$B:$AY,MATCH($B$2,'Data Core CPI'!$C$1:$AY$1,0),FALSE)</f>
        <v>89.188389999999998</v>
      </c>
      <c r="G677" s="36">
        <f t="shared" si="40"/>
        <v>2.693459305413981E-3</v>
      </c>
      <c r="H677" s="36">
        <f t="shared" si="41"/>
        <v>3.280464841619346E-2</v>
      </c>
      <c r="I677" s="36">
        <f>(Table143454[[#This Row],[Core CPI]]-F665)/F665</f>
        <v>1.901941119060948E-2</v>
      </c>
    </row>
    <row r="678" spans="1:9" x14ac:dyDescent="0.2">
      <c r="A678" s="34">
        <f>IF(Data!B706="",#N/A,Data!B706)</f>
        <v>39295</v>
      </c>
      <c r="B678" s="35">
        <f>VLOOKUP(A678,Data!B:AY,MATCH($B$2,Data!$C$1:$AY$1,0),FALSE)</f>
        <v>88.23236</v>
      </c>
      <c r="C678" s="36">
        <f t="shared" si="42"/>
        <v>1.5105685313205885E-3</v>
      </c>
      <c r="D678" s="36">
        <f t="shared" si="39"/>
        <v>1.8278183205500342E-2</v>
      </c>
      <c r="E678" s="36">
        <f>(Table143454[[#This Row],[JPN]]-B666)/B666</f>
        <v>1.6092011735819492E-2</v>
      </c>
      <c r="F678" s="35">
        <f>VLOOKUP(Table143454[[#This Row],[Date]],'Data Core CPI'!$B:$AY,MATCH($B$2,'Data Core CPI'!$C$1:$AY$1,0),FALSE)</f>
        <v>89.374690000000001</v>
      </c>
      <c r="G678" s="36">
        <f t="shared" si="40"/>
        <v>2.088836899062807E-3</v>
      </c>
      <c r="H678" s="36">
        <f t="shared" si="41"/>
        <v>2.5356031158153991E-2</v>
      </c>
      <c r="I678" s="36">
        <f>(Table143454[[#This Row],[Core CPI]]-F666)/F666</f>
        <v>2.0143495165844218E-2</v>
      </c>
    </row>
    <row r="679" spans="1:9" x14ac:dyDescent="0.2">
      <c r="A679" s="34">
        <f>IF(Data!B707="",#N/A,Data!B707)</f>
        <v>39326</v>
      </c>
      <c r="B679" s="35">
        <f>VLOOKUP(A679,Data!B:AY,MATCH($B$2,Data!$C$1:$AY$1,0),FALSE)</f>
        <v>88.23236</v>
      </c>
      <c r="C679" s="36">
        <f t="shared" si="42"/>
        <v>0</v>
      </c>
      <c r="D679" s="36">
        <f t="shared" si="39"/>
        <v>0</v>
      </c>
      <c r="E679" s="36">
        <f>(Table143454[[#This Row],[JPN]]-B667)/B667</f>
        <v>1.6871220617351055E-2</v>
      </c>
      <c r="F679" s="35">
        <f>VLOOKUP(Table143454[[#This Row],[Date]],'Data Core CPI'!$B:$AY,MATCH($B$2,'Data Core CPI'!$C$1:$AY$1,0),FALSE)</f>
        <v>89.259249999999994</v>
      </c>
      <c r="G679" s="36">
        <f t="shared" si="40"/>
        <v>-1.2916408437333438E-3</v>
      </c>
      <c r="H679" s="36">
        <f t="shared" si="41"/>
        <v>-1.5390052645341989E-2</v>
      </c>
      <c r="I679" s="36">
        <f>(Table143454[[#This Row],[Core CPI]]-F667)/F667</f>
        <v>1.8542629665012259E-2</v>
      </c>
    </row>
    <row r="680" spans="1:9" x14ac:dyDescent="0.2">
      <c r="A680" s="34">
        <f>IF(Data!B708="",#N/A,Data!B708)</f>
        <v>39356</v>
      </c>
      <c r="B680" s="35">
        <f>VLOOKUP(A680,Data!B:AY,MATCH($B$2,Data!$C$1:$AY$1,0),FALSE)</f>
        <v>88.498519999999999</v>
      </c>
      <c r="C680" s="36">
        <f t="shared" si="42"/>
        <v>3.0165803113506584E-3</v>
      </c>
      <c r="D680" s="36">
        <f t="shared" si="39"/>
        <v>3.6805627903004234E-2</v>
      </c>
      <c r="E680" s="36">
        <f>(Table143454[[#This Row],[JPN]]-B668)/B668</f>
        <v>2.072145337479794E-2</v>
      </c>
      <c r="F680" s="35">
        <f>VLOOKUP(Table143454[[#This Row],[Date]],'Data Core CPI'!$B:$AY,MATCH($B$2,'Data Core CPI'!$C$1:$AY$1,0),FALSE)</f>
        <v>89.357609999999994</v>
      </c>
      <c r="G680" s="36">
        <f t="shared" si="40"/>
        <v>1.1019586205351928E-3</v>
      </c>
      <c r="H680" s="36">
        <f t="shared" si="41"/>
        <v>1.3303943209447722E-2</v>
      </c>
      <c r="I680" s="36">
        <f>(Table143454[[#This Row],[Core CPI]]-F668)/F668</f>
        <v>1.9679216953053944E-2</v>
      </c>
    </row>
    <row r="681" spans="1:9" x14ac:dyDescent="0.2">
      <c r="A681" s="34">
        <f>IF(Data!B709="",#N/A,Data!B709)</f>
        <v>39387</v>
      </c>
      <c r="B681" s="35">
        <f>VLOOKUP(A681,Data!B:AY,MATCH($B$2,Data!$C$1:$AY$1,0),FALSE)</f>
        <v>88.831220000000002</v>
      </c>
      <c r="C681" s="36">
        <f t="shared" si="42"/>
        <v>3.7593849027079962E-3</v>
      </c>
      <c r="D681" s="36">
        <f t="shared" si="39"/>
        <v>4.6057183525794132E-2</v>
      </c>
      <c r="E681" s="36">
        <f>(Table143454[[#This Row],[JPN]]-B669)/B669</f>
        <v>2.377303644976117E-2</v>
      </c>
      <c r="F681" s="35">
        <f>VLOOKUP(Table143454[[#This Row],[Date]],'Data Core CPI'!$B:$AY,MATCH($B$2,'Data Core CPI'!$C$1:$AY$1,0),FALSE)</f>
        <v>89.537000000000006</v>
      </c>
      <c r="G681" s="36">
        <f t="shared" si="40"/>
        <v>2.0075514553266061E-3</v>
      </c>
      <c r="H681" s="36">
        <f t="shared" si="41"/>
        <v>2.435840288913016E-2</v>
      </c>
      <c r="I681" s="36">
        <f>(Table143454[[#This Row],[Core CPI]]-F669)/F669</f>
        <v>2.0884829181911386E-2</v>
      </c>
    </row>
    <row r="682" spans="1:9" x14ac:dyDescent="0.2">
      <c r="A682" s="34">
        <f>IF(Data!B710="",#N/A,Data!B710)</f>
        <v>39417</v>
      </c>
      <c r="B682" s="35">
        <f>VLOOKUP(A682,Data!B:AY,MATCH($B$2,Data!$C$1:$AY$1,0),FALSE)</f>
        <v>89.097380000000001</v>
      </c>
      <c r="C682" s="36">
        <f t="shared" si="42"/>
        <v>2.9962438881285802E-3</v>
      </c>
      <c r="D682" s="36">
        <f t="shared" si="39"/>
        <v>3.6553397971512913E-2</v>
      </c>
      <c r="E682" s="36">
        <f>(Table143454[[#This Row],[JPN]]-B670)/B670</f>
        <v>2.6053661996468986E-2</v>
      </c>
      <c r="F682" s="35">
        <f>VLOOKUP(Table143454[[#This Row],[Date]],'Data Core CPI'!$B:$AY,MATCH($B$2,'Data Core CPI'!$C$1:$AY$1,0),FALSE)</f>
        <v>89.684299999999993</v>
      </c>
      <c r="G682" s="36">
        <f t="shared" si="40"/>
        <v>1.645129946278967E-3</v>
      </c>
      <c r="H682" s="36">
        <f t="shared" si="41"/>
        <v>1.9921168400924394E-2</v>
      </c>
      <c r="I682" s="36">
        <f>(Table143454[[#This Row],[Core CPI]]-F670)/F670</f>
        <v>2.186001052346849E-2</v>
      </c>
    </row>
    <row r="683" spans="1:9" x14ac:dyDescent="0.2">
      <c r="A683" s="34">
        <f>IF(Data!B711="",#N/A,Data!B711)</f>
        <v>39448</v>
      </c>
      <c r="B683" s="35">
        <f>VLOOKUP(A683,Data!B:AY,MATCH($B$2,Data!$C$1:$AY$1,0),FALSE)</f>
        <v>89.496619999999993</v>
      </c>
      <c r="C683" s="36">
        <f t="shared" si="42"/>
        <v>4.4809398435732284E-3</v>
      </c>
      <c r="D683" s="36">
        <f t="shared" si="39"/>
        <v>5.511647520755969E-2</v>
      </c>
      <c r="E683" s="36">
        <f>(Table143454[[#This Row],[JPN]]-B671)/B671</f>
        <v>2.9862183125617354E-2</v>
      </c>
      <c r="F683" s="35">
        <f>VLOOKUP(Table143454[[#This Row],[Date]],'Data Core CPI'!$B:$AY,MATCH($B$2,'Data Core CPI'!$C$1:$AY$1,0),FALSE)</f>
        <v>89.933310000000006</v>
      </c>
      <c r="G683" s="36">
        <f t="shared" si="40"/>
        <v>2.7765171830522739E-3</v>
      </c>
      <c r="H683" s="36">
        <f t="shared" si="41"/>
        <v>3.3831741838100893E-2</v>
      </c>
      <c r="I683" s="36">
        <f>(Table143454[[#This Row],[Core CPI]]-F671)/F671</f>
        <v>2.1443156446440095E-2</v>
      </c>
    </row>
    <row r="684" spans="1:9" x14ac:dyDescent="0.2">
      <c r="A684" s="34">
        <f>IF(Data!B712="",#N/A,Data!B712)</f>
        <v>39479</v>
      </c>
      <c r="B684" s="35">
        <f>VLOOKUP(A684,Data!B:AY,MATCH($B$2,Data!$C$1:$AY$1,0),FALSE)</f>
        <v>89.696240000000003</v>
      </c>
      <c r="C684" s="36">
        <f t="shared" si="42"/>
        <v>2.2304752961621599E-3</v>
      </c>
      <c r="D684" s="36">
        <f t="shared" si="39"/>
        <v>2.7096508437578049E-2</v>
      </c>
      <c r="E684" s="36">
        <f>(Table143454[[#This Row],[JPN]]-B672)/B672</f>
        <v>2.900752709833411E-2</v>
      </c>
      <c r="F684" s="35">
        <f>VLOOKUP(Table143454[[#This Row],[Date]],'Data Core CPI'!$B:$AY,MATCH($B$2,'Data Core CPI'!$C$1:$AY$1,0),FALSE)</f>
        <v>90.116770000000002</v>
      </c>
      <c r="G684" s="36">
        <f t="shared" si="40"/>
        <v>2.0399560518788995E-3</v>
      </c>
      <c r="H684" s="36">
        <f t="shared" si="41"/>
        <v>2.4756002593865789E-2</v>
      </c>
      <c r="I684" s="36">
        <f>(Table143454[[#This Row],[Core CPI]]-F672)/F672</f>
        <v>1.8963900903678801E-2</v>
      </c>
    </row>
    <row r="685" spans="1:9" x14ac:dyDescent="0.2">
      <c r="A685" s="34">
        <f>IF(Data!B713="",#N/A,Data!B713)</f>
        <v>39508</v>
      </c>
      <c r="B685" s="35">
        <f>VLOOKUP(A685,Data!B:AY,MATCH($B$2,Data!$C$1:$AY$1,0),FALSE)</f>
        <v>90.162030000000001</v>
      </c>
      <c r="C685" s="36">
        <f t="shared" si="42"/>
        <v>5.1929712995772981E-3</v>
      </c>
      <c r="D685" s="36">
        <f t="shared" si="39"/>
        <v>6.4126645829265527E-2</v>
      </c>
      <c r="E685" s="36">
        <f>(Table143454[[#This Row],[JPN]]-B673)/B673</f>
        <v>3.2774384656268973E-2</v>
      </c>
      <c r="F685" s="35">
        <f>VLOOKUP(Table143454[[#This Row],[Date]],'Data Core CPI'!$B:$AY,MATCH($B$2,'Data Core CPI'!$C$1:$AY$1,0),FALSE)</f>
        <v>90.466130000000007</v>
      </c>
      <c r="G685" s="36">
        <f t="shared" si="40"/>
        <v>3.8767479127359561E-3</v>
      </c>
      <c r="H685" s="36">
        <f t="shared" si="41"/>
        <v>4.7525831117662731E-2</v>
      </c>
      <c r="I685" s="36">
        <f>(Table143454[[#This Row],[Core CPI]]-F673)/F673</f>
        <v>2.1859719666145989E-2</v>
      </c>
    </row>
    <row r="686" spans="1:9" x14ac:dyDescent="0.2">
      <c r="A686" s="34">
        <f>IF(Data!B714="",#N/A,Data!B714)</f>
        <v>39539</v>
      </c>
      <c r="B686" s="35">
        <f>VLOOKUP(A686,Data!B:AY,MATCH($B$2,Data!$C$1:$AY$1,0),FALSE)</f>
        <v>90.361649999999997</v>
      </c>
      <c r="C686" s="36">
        <f t="shared" si="42"/>
        <v>2.2140140367292727E-3</v>
      </c>
      <c r="D686" s="36">
        <f t="shared" si="39"/>
        <v>2.6894090627386236E-2</v>
      </c>
      <c r="E686" s="36">
        <f>(Table143454[[#This Row],[JPN]]-B674)/B674</f>
        <v>3.3485532152982292E-2</v>
      </c>
      <c r="F686" s="35">
        <f>VLOOKUP(Table143454[[#This Row],[Date]],'Data Core CPI'!$B:$AY,MATCH($B$2,'Data Core CPI'!$C$1:$AY$1,0),FALSE)</f>
        <v>90.524439999999998</v>
      </c>
      <c r="G686" s="36">
        <f t="shared" si="40"/>
        <v>6.4455061800461344E-4</v>
      </c>
      <c r="H686" s="36">
        <f t="shared" si="41"/>
        <v>7.7620858151667971E-3</v>
      </c>
      <c r="I686" s="36">
        <f>(Table143454[[#This Row],[Core CPI]]-F674)/F674</f>
        <v>2.1707395638475957E-2</v>
      </c>
    </row>
    <row r="687" spans="1:9" x14ac:dyDescent="0.2">
      <c r="A687" s="34">
        <f>IF(Data!B715="",#N/A,Data!B715)</f>
        <v>39569</v>
      </c>
      <c r="B687" s="35">
        <f>VLOOKUP(A687,Data!B:AY,MATCH($B$2,Data!$C$1:$AY$1,0),FALSE)</f>
        <v>90.827430000000007</v>
      </c>
      <c r="C687" s="36">
        <f t="shared" si="42"/>
        <v>5.1546203505581367E-3</v>
      </c>
      <c r="D687" s="36">
        <f t="shared" si="39"/>
        <v>6.3639554828626377E-2</v>
      </c>
      <c r="E687" s="36">
        <f>(Table143454[[#This Row],[JPN]]-B675)/B675</f>
        <v>3.5660074955496092E-2</v>
      </c>
      <c r="F687" s="35">
        <f>VLOOKUP(Table143454[[#This Row],[Date]],'Data Core CPI'!$B:$AY,MATCH($B$2,'Data Core CPI'!$C$1:$AY$1,0),FALSE)</f>
        <v>90.74239</v>
      </c>
      <c r="G687" s="36">
        <f t="shared" si="40"/>
        <v>2.4076370977825778E-3</v>
      </c>
      <c r="H687" s="36">
        <f t="shared" si="41"/>
        <v>2.9277315558317474E-2</v>
      </c>
      <c r="I687" s="36">
        <f>(Table143454[[#This Row],[Core CPI]]-F675)/F675</f>
        <v>2.1549580324622175E-2</v>
      </c>
    </row>
    <row r="688" spans="1:9" x14ac:dyDescent="0.2">
      <c r="A688" s="34">
        <f>IF(Data!B716="",#N/A,Data!B716)</f>
        <v>39600</v>
      </c>
      <c r="B688" s="35">
        <f>VLOOKUP(A688,Data!B:AY,MATCH($B$2,Data!$C$1:$AY$1,0),FALSE)</f>
        <v>91.226669999999999</v>
      </c>
      <c r="C688" s="36">
        <f t="shared" si="42"/>
        <v>4.3955884252147026E-3</v>
      </c>
      <c r="D688" s="36">
        <f t="shared" si="39"/>
        <v>5.4041130405679816E-2</v>
      </c>
      <c r="E688" s="36">
        <f>(Table143454[[#This Row],[JPN]]-B676)/B676</f>
        <v>3.7850089522530592E-2</v>
      </c>
      <c r="F688" s="35">
        <f>VLOOKUP(Table143454[[#This Row],[Date]],'Data Core CPI'!$B:$AY,MATCH($B$2,'Data Core CPI'!$C$1:$AY$1,0),FALSE)</f>
        <v>90.910749999999993</v>
      </c>
      <c r="G688" s="36">
        <f t="shared" si="40"/>
        <v>1.8553621962127398E-3</v>
      </c>
      <c r="H688" s="36">
        <f t="shared" si="41"/>
        <v>2.2492953688766582E-2</v>
      </c>
      <c r="I688" s="36">
        <f>(Table143454[[#This Row],[Core CPI]]-F676)/F676</f>
        <v>2.205695613016069E-2</v>
      </c>
    </row>
    <row r="689" spans="1:9" x14ac:dyDescent="0.2">
      <c r="A689" s="34">
        <f>IF(Data!B717="",#N/A,Data!B717)</f>
        <v>39630</v>
      </c>
      <c r="B689" s="35">
        <f>VLOOKUP(A689,Data!B:AY,MATCH($B$2,Data!$C$1:$AY$1,0),FALSE)</f>
        <v>91.692449999999994</v>
      </c>
      <c r="C689" s="36">
        <f t="shared" si="42"/>
        <v>5.1057437479631318E-3</v>
      </c>
      <c r="D689" s="36">
        <f t="shared" si="39"/>
        <v>6.3019074928833962E-2</v>
      </c>
      <c r="E689" s="36">
        <f>(Table143454[[#This Row],[JPN]]-B677)/B677</f>
        <v>4.0785463853961132E-2</v>
      </c>
      <c r="F689" s="35">
        <f>VLOOKUP(Table143454[[#This Row],[Date]],'Data Core CPI'!$B:$AY,MATCH($B$2,'Data Core CPI'!$C$1:$AY$1,0),FALSE)</f>
        <v>91.305049999999994</v>
      </c>
      <c r="G689" s="36">
        <f t="shared" si="40"/>
        <v>4.3372208457195249E-3</v>
      </c>
      <c r="H689" s="36">
        <f t="shared" si="41"/>
        <v>5.3306334228818253E-2</v>
      </c>
      <c r="I689" s="36">
        <f>(Table143454[[#This Row],[Core CPI]]-F677)/F677</f>
        <v>2.3732461142083584E-2</v>
      </c>
    </row>
    <row r="690" spans="1:9" x14ac:dyDescent="0.2">
      <c r="A690" s="34">
        <f>IF(Data!B718="",#N/A,Data!B718)</f>
        <v>39661</v>
      </c>
      <c r="B690" s="35">
        <f>VLOOKUP(A690,Data!B:AY,MATCH($B$2,Data!$C$1:$AY$1,0),FALSE)</f>
        <v>91.825530000000001</v>
      </c>
      <c r="C690" s="36">
        <f t="shared" si="42"/>
        <v>1.4513735863750377E-3</v>
      </c>
      <c r="D690" s="36">
        <f t="shared" si="39"/>
        <v>1.75561858723845E-2</v>
      </c>
      <c r="E690" s="36">
        <f>(Table143454[[#This Row],[JPN]]-B678)/B678</f>
        <v>4.0723947540335551E-2</v>
      </c>
      <c r="F690" s="35">
        <f>VLOOKUP(Table143454[[#This Row],[Date]],'Data Core CPI'!$B:$AY,MATCH($B$2,'Data Core CPI'!$C$1:$AY$1,0),FALSE)</f>
        <v>91.678380000000004</v>
      </c>
      <c r="G690" s="36">
        <f t="shared" si="40"/>
        <v>4.0888209359724037E-3</v>
      </c>
      <c r="H690" s="36">
        <f t="shared" si="41"/>
        <v>5.0184447566291146E-2</v>
      </c>
      <c r="I690" s="36">
        <f>(Table143454[[#This Row],[Core CPI]]-F678)/F678</f>
        <v>2.5775641851177363E-2</v>
      </c>
    </row>
    <row r="691" spans="1:9" x14ac:dyDescent="0.2">
      <c r="A691" s="34">
        <f>IF(Data!B719="",#N/A,Data!B719)</f>
        <v>39692</v>
      </c>
      <c r="B691" s="35">
        <f>VLOOKUP(A691,Data!B:AY,MATCH($B$2,Data!$C$1:$AY$1,0),FALSE)</f>
        <v>91.559370000000001</v>
      </c>
      <c r="C691" s="36">
        <f t="shared" si="42"/>
        <v>-2.8985403079078154E-3</v>
      </c>
      <c r="D691" s="36">
        <f t="shared" si="39"/>
        <v>-3.4233305027830729E-2</v>
      </c>
      <c r="E691" s="36">
        <f>(Table143454[[#This Row],[JPN]]-B679)/B679</f>
        <v>3.7707367228984934E-2</v>
      </c>
      <c r="F691" s="35">
        <f>VLOOKUP(Table143454[[#This Row],[Date]],'Data Core CPI'!$B:$AY,MATCH($B$2,'Data Core CPI'!$C$1:$AY$1,0),FALSE)</f>
        <v>91.384870000000006</v>
      </c>
      <c r="G691" s="36">
        <f t="shared" si="40"/>
        <v>-3.2015181769136092E-3</v>
      </c>
      <c r="H691" s="36">
        <f t="shared" si="41"/>
        <v>-3.7748904180537557E-2</v>
      </c>
      <c r="I691" s="36">
        <f>(Table143454[[#This Row],[Core CPI]]-F679)/F679</f>
        <v>2.3814002470332343E-2</v>
      </c>
    </row>
    <row r="692" spans="1:9" x14ac:dyDescent="0.2">
      <c r="A692" s="34">
        <f>IF(Data!B720="",#N/A,Data!B720)</f>
        <v>39722</v>
      </c>
      <c r="B692" s="35">
        <f>VLOOKUP(A692,Data!B:AY,MATCH($B$2,Data!$C$1:$AY$1,0),FALSE)</f>
        <v>91.559370000000001</v>
      </c>
      <c r="C692" s="36">
        <f t="shared" si="42"/>
        <v>0</v>
      </c>
      <c r="D692" s="36">
        <f t="shared" si="39"/>
        <v>0</v>
      </c>
      <c r="E692" s="36">
        <f>(Table143454[[#This Row],[JPN]]-B680)/B680</f>
        <v>3.4586454101153352E-2</v>
      </c>
      <c r="F692" s="35">
        <f>VLOOKUP(Table143454[[#This Row],[Date]],'Data Core CPI'!$B:$AY,MATCH($B$2,'Data Core CPI'!$C$1:$AY$1,0),FALSE)</f>
        <v>91.501599999999996</v>
      </c>
      <c r="G692" s="36">
        <f t="shared" si="40"/>
        <v>1.2773449259160241E-3</v>
      </c>
      <c r="H692" s="36">
        <f t="shared" si="41"/>
        <v>1.5436285203741074E-2</v>
      </c>
      <c r="I692" s="36">
        <f>(Table143454[[#This Row],[Core CPI]]-F680)/F680</f>
        <v>2.3993367772481854E-2</v>
      </c>
    </row>
    <row r="693" spans="1:9" x14ac:dyDescent="0.2">
      <c r="A693" s="34">
        <f>IF(Data!B721="",#N/A,Data!B721)</f>
        <v>39753</v>
      </c>
      <c r="B693" s="35">
        <f>VLOOKUP(A693,Data!B:AY,MATCH($B$2,Data!$C$1:$AY$1,0),FALSE)</f>
        <v>91.226669999999999</v>
      </c>
      <c r="C693" s="36">
        <f t="shared" si="42"/>
        <v>-3.6337078335073603E-3</v>
      </c>
      <c r="D693" s="36">
        <f t="shared" si="39"/>
        <v>-4.2743510601343182E-2</v>
      </c>
      <c r="E693" s="36">
        <f>(Table143454[[#This Row],[JPN]]-B681)/B681</f>
        <v>2.6966307566191217E-2</v>
      </c>
      <c r="F693" s="35">
        <f>VLOOKUP(Table143454[[#This Row],[Date]],'Data Core CPI'!$B:$AY,MATCH($B$2,'Data Core CPI'!$C$1:$AY$1,0),FALSE)</f>
        <v>91.512699999999995</v>
      </c>
      <c r="G693" s="36">
        <f t="shared" si="40"/>
        <v>1.2130935415344268E-4</v>
      </c>
      <c r="H693" s="36">
        <f t="shared" si="41"/>
        <v>1.4566838960090589E-3</v>
      </c>
      <c r="I693" s="36">
        <f>(Table143454[[#This Row],[Core CPI]]-F681)/F681</f>
        <v>2.2065738186447938E-2</v>
      </c>
    </row>
    <row r="694" spans="1:9" x14ac:dyDescent="0.2">
      <c r="A694" s="34">
        <f>IF(Data!B722="",#N/A,Data!B722)</f>
        <v>39783</v>
      </c>
      <c r="B694" s="35">
        <f>VLOOKUP(A694,Data!B:AY,MATCH($B$2,Data!$C$1:$AY$1,0),FALSE)</f>
        <v>91.093590000000006</v>
      </c>
      <c r="C694" s="36">
        <f t="shared" si="42"/>
        <v>-1.4587839279893711E-3</v>
      </c>
      <c r="D694" s="36">
        <f t="shared" si="39"/>
        <v>-1.7365636523740569E-2</v>
      </c>
      <c r="E694" s="36">
        <f>(Table143454[[#This Row],[JPN]]-B682)/B682</f>
        <v>2.2404811454612972E-2</v>
      </c>
      <c r="F694" s="35">
        <f>VLOOKUP(Table143454[[#This Row],[Date]],'Data Core CPI'!$B:$AY,MATCH($B$2,'Data Core CPI'!$C$1:$AY$1,0),FALSE)</f>
        <v>91.623750000000001</v>
      </c>
      <c r="G694" s="36">
        <f t="shared" si="40"/>
        <v>1.2134927720415245E-3</v>
      </c>
      <c r="H694" s="36">
        <f t="shared" si="41"/>
        <v>1.4659496738939293E-2</v>
      </c>
      <c r="I694" s="36">
        <f>(Table143454[[#This Row],[Core CPI]]-F682)/F682</f>
        <v>2.1625301195415565E-2</v>
      </c>
    </row>
    <row r="695" spans="1:9" x14ac:dyDescent="0.2">
      <c r="A695" s="34">
        <f>IF(Data!B723="",#N/A,Data!B723)</f>
        <v>39814</v>
      </c>
      <c r="B695" s="35">
        <f>VLOOKUP(A695,Data!B:AY,MATCH($B$2,Data!$C$1:$AY$1,0),FALSE)</f>
        <v>90.960509999999999</v>
      </c>
      <c r="C695" s="36">
        <f t="shared" si="42"/>
        <v>-1.4609150874392851E-3</v>
      </c>
      <c r="D695" s="36">
        <f t="shared" si="39"/>
        <v>-1.7390802746952372E-2</v>
      </c>
      <c r="E695" s="36">
        <f>(Table143454[[#This Row],[JPN]]-B683)/B683</f>
        <v>1.6356930574584899E-2</v>
      </c>
      <c r="F695" s="35">
        <f>VLOOKUP(Table143454[[#This Row],[Date]],'Data Core CPI'!$B:$AY,MATCH($B$2,'Data Core CPI'!$C$1:$AY$1,0),FALSE)</f>
        <v>91.473690000000005</v>
      </c>
      <c r="G695" s="36">
        <f t="shared" si="40"/>
        <v>-1.637784962959854E-3</v>
      </c>
      <c r="H695" s="36">
        <f t="shared" si="41"/>
        <v>-1.9477348071728073E-2</v>
      </c>
      <c r="I695" s="36">
        <f>(Table143454[[#This Row],[Core CPI]]-F683)/F683</f>
        <v>1.7128025200006527E-2</v>
      </c>
    </row>
    <row r="696" spans="1:9" x14ac:dyDescent="0.2">
      <c r="A696" s="34">
        <f>IF(Data!B724="",#N/A,Data!B724)</f>
        <v>39845</v>
      </c>
      <c r="B696" s="35">
        <f>VLOOKUP(A696,Data!B:AY,MATCH($B$2,Data!$C$1:$AY$1,0),FALSE)</f>
        <v>91.160129999999995</v>
      </c>
      <c r="C696" s="36">
        <f t="shared" si="42"/>
        <v>2.1945787243276005E-3</v>
      </c>
      <c r="D696" s="36">
        <f t="shared" si="39"/>
        <v>2.6655149100364373E-2</v>
      </c>
      <c r="E696" s="36">
        <f>(Table143454[[#This Row],[JPN]]-B684)/B684</f>
        <v>1.6320528039971263E-2</v>
      </c>
      <c r="F696" s="35">
        <f>VLOOKUP(Table143454[[#This Row],[Date]],'Data Core CPI'!$B:$AY,MATCH($B$2,'Data Core CPI'!$C$1:$AY$1,0),FALSE)</f>
        <v>91.659459999999996</v>
      </c>
      <c r="G696" s="36">
        <f t="shared" si="40"/>
        <v>2.0308571787144292E-3</v>
      </c>
      <c r="H696" s="36">
        <f t="shared" si="41"/>
        <v>2.4644346456580868E-2</v>
      </c>
      <c r="I696" s="36">
        <f>(Table143454[[#This Row],[Core CPI]]-F684)/F684</f>
        <v>1.7118789321898611E-2</v>
      </c>
    </row>
    <row r="697" spans="1:9" x14ac:dyDescent="0.2">
      <c r="A697" s="34">
        <f>IF(Data!B725="",#N/A,Data!B725)</f>
        <v>39873</v>
      </c>
      <c r="B697" s="35">
        <f>VLOOKUP(A697,Data!B:AY,MATCH($B$2,Data!$C$1:$AY$1,0),FALSE)</f>
        <v>91.226669999999999</v>
      </c>
      <c r="C697" s="36">
        <f t="shared" si="42"/>
        <v>7.2992436496099877E-4</v>
      </c>
      <c r="D697" s="36">
        <f t="shared" si="39"/>
        <v>8.7943421895348983E-3</v>
      </c>
      <c r="E697" s="36">
        <f>(Table143454[[#This Row],[JPN]]-B685)/B685</f>
        <v>1.1808074862555747E-2</v>
      </c>
      <c r="F697" s="35">
        <f>VLOOKUP(Table143454[[#This Row],[Date]],'Data Core CPI'!$B:$AY,MATCH($B$2,'Data Core CPI'!$C$1:$AY$1,0),FALSE)</f>
        <v>91.745339999999999</v>
      </c>
      <c r="G697" s="36">
        <f t="shared" si="40"/>
        <v>9.3694638829422416E-4</v>
      </c>
      <c r="H697" s="36">
        <f t="shared" si="41"/>
        <v>1.1301477318321318E-2</v>
      </c>
      <c r="I697" s="36">
        <f>(Table143454[[#This Row],[Core CPI]]-F685)/F685</f>
        <v>1.4140209158941494E-2</v>
      </c>
    </row>
    <row r="698" spans="1:9" x14ac:dyDescent="0.2">
      <c r="A698" s="34">
        <f>IF(Data!B726="",#N/A,Data!B726)</f>
        <v>39904</v>
      </c>
      <c r="B698" s="35">
        <f>VLOOKUP(A698,Data!B:AY,MATCH($B$2,Data!$C$1:$AY$1,0),FALSE)</f>
        <v>91.426289999999995</v>
      </c>
      <c r="C698" s="36">
        <f t="shared" si="42"/>
        <v>2.1881758919841676E-3</v>
      </c>
      <c r="D698" s="36">
        <f t="shared" si="39"/>
        <v>2.6576442590199534E-2</v>
      </c>
      <c r="E698" s="36">
        <f>(Table143454[[#This Row],[JPN]]-B686)/B686</f>
        <v>1.1781989372703987E-2</v>
      </c>
      <c r="F698" s="35">
        <f>VLOOKUP(Table143454[[#This Row],[Date]],'Data Core CPI'!$B:$AY,MATCH($B$2,'Data Core CPI'!$C$1:$AY$1,0),FALSE)</f>
        <v>92.049509999999998</v>
      </c>
      <c r="G698" s="36">
        <f t="shared" si="40"/>
        <v>3.3153727480872419E-3</v>
      </c>
      <c r="H698" s="36">
        <f t="shared" si="41"/>
        <v>4.0518002212000415E-2</v>
      </c>
      <c r="I698" s="36">
        <f>(Table143454[[#This Row],[Core CPI]]-F686)/F686</f>
        <v>1.6847052574973119E-2</v>
      </c>
    </row>
    <row r="699" spans="1:9" x14ac:dyDescent="0.2">
      <c r="A699" s="34">
        <f>IF(Data!B727="",#N/A,Data!B727)</f>
        <v>39934</v>
      </c>
      <c r="B699" s="35">
        <f>VLOOKUP(A699,Data!B:AY,MATCH($B$2,Data!$C$1:$AY$1,0),FALSE)</f>
        <v>91.625910000000005</v>
      </c>
      <c r="C699" s="36">
        <f t="shared" si="42"/>
        <v>2.1833982326091572E-3</v>
      </c>
      <c r="D699" s="36">
        <f t="shared" si="39"/>
        <v>2.6517717044397315E-2</v>
      </c>
      <c r="E699" s="36">
        <f>(Table143454[[#This Row],[JPN]]-B687)/B687</f>
        <v>8.7911768504294104E-3</v>
      </c>
      <c r="F699" s="35">
        <f>VLOOKUP(Table143454[[#This Row],[Date]],'Data Core CPI'!$B:$AY,MATCH($B$2,'Data Core CPI'!$C$1:$AY$1,0),FALSE)</f>
        <v>92.264610000000005</v>
      </c>
      <c r="G699" s="36">
        <f t="shared" si="40"/>
        <v>2.3367859318317308E-3</v>
      </c>
      <c r="H699" s="36">
        <f t="shared" si="41"/>
        <v>2.8404650757069216E-2</v>
      </c>
      <c r="I699" s="36">
        <f>(Table143454[[#This Row],[Core CPI]]-F687)/F687</f>
        <v>1.677518081681565E-2</v>
      </c>
    </row>
    <row r="700" spans="1:9" x14ac:dyDescent="0.2">
      <c r="A700" s="34">
        <f>IF(Data!B728="",#N/A,Data!B728)</f>
        <v>39965</v>
      </c>
      <c r="B700" s="35">
        <f>VLOOKUP(A700,Data!B:AY,MATCH($B$2,Data!$C$1:$AY$1,0),FALSE)</f>
        <v>91.692449999999994</v>
      </c>
      <c r="C700" s="36">
        <f t="shared" si="42"/>
        <v>7.2621379694881583E-4</v>
      </c>
      <c r="D700" s="36">
        <f t="shared" ref="D700:D763" si="43">((1+C700)^12)-1</f>
        <v>8.7494574678039783E-3</v>
      </c>
      <c r="E700" s="36">
        <f>(Table143454[[#This Row],[JPN]]-B688)/B688</f>
        <v>5.1057437479631257E-3</v>
      </c>
      <c r="F700" s="35">
        <f>VLOOKUP(Table143454[[#This Row],[Date]],'Data Core CPI'!$B:$AY,MATCH($B$2,'Data Core CPI'!$C$1:$AY$1,0),FALSE)</f>
        <v>92.207170000000005</v>
      </c>
      <c r="G700" s="36">
        <f t="shared" si="40"/>
        <v>-6.2255722968973526E-4</v>
      </c>
      <c r="H700" s="36">
        <f t="shared" si="41"/>
        <v>-7.4451596503329887E-3</v>
      </c>
      <c r="I700" s="36">
        <f>(Table143454[[#This Row],[Core CPI]]-F688)/F688</f>
        <v>1.4260359748434722E-2</v>
      </c>
    </row>
    <row r="701" spans="1:9" x14ac:dyDescent="0.2">
      <c r="A701" s="34">
        <f>IF(Data!B729="",#N/A,Data!B729)</f>
        <v>39995</v>
      </c>
      <c r="B701" s="35">
        <f>VLOOKUP(A701,Data!B:AY,MATCH($B$2,Data!$C$1:$AY$1,0),FALSE)</f>
        <v>91.692449999999994</v>
      </c>
      <c r="C701" s="36">
        <f t="shared" si="42"/>
        <v>0</v>
      </c>
      <c r="D701" s="36">
        <f t="shared" si="43"/>
        <v>0</v>
      </c>
      <c r="E701" s="36">
        <f>(Table143454[[#This Row],[JPN]]-B689)/B689</f>
        <v>0</v>
      </c>
      <c r="F701" s="35">
        <f>VLOOKUP(Table143454[[#This Row],[Date]],'Data Core CPI'!$B:$AY,MATCH($B$2,'Data Core CPI'!$C$1:$AY$1,0),FALSE)</f>
        <v>92.396190000000004</v>
      </c>
      <c r="G701" s="36">
        <f t="shared" si="40"/>
        <v>2.0499490440928358E-3</v>
      </c>
      <c r="H701" s="36">
        <f t="shared" si="41"/>
        <v>2.4878643696854441E-2</v>
      </c>
      <c r="I701" s="36">
        <f>(Table143454[[#This Row],[Core CPI]]-F689)/F689</f>
        <v>1.1950489047429579E-2</v>
      </c>
    </row>
    <row r="702" spans="1:9" x14ac:dyDescent="0.2">
      <c r="A702" s="34">
        <f>IF(Data!B730="",#N/A,Data!B730)</f>
        <v>40026</v>
      </c>
      <c r="B702" s="35">
        <f>VLOOKUP(A702,Data!B:AY,MATCH($B$2,Data!$C$1:$AY$1,0),FALSE)</f>
        <v>91.958609999999993</v>
      </c>
      <c r="C702" s="36">
        <f t="shared" si="42"/>
        <v>2.9027471727498533E-3</v>
      </c>
      <c r="D702" s="36">
        <f t="shared" si="43"/>
        <v>3.5394494338764959E-2</v>
      </c>
      <c r="E702" s="36">
        <f>(Table143454[[#This Row],[JPN]]-B690)/B690</f>
        <v>1.4492701539538355E-3</v>
      </c>
      <c r="F702" s="35">
        <f>VLOOKUP(Table143454[[#This Row],[Date]],'Data Core CPI'!$B:$AY,MATCH($B$2,'Data Core CPI'!$C$1:$AY$1,0),FALSE)</f>
        <v>92.749110000000002</v>
      </c>
      <c r="G702" s="36">
        <f t="shared" si="40"/>
        <v>3.8196380175417044E-3</v>
      </c>
      <c r="H702" s="36">
        <f t="shared" si="41"/>
        <v>4.6810938071394137E-2</v>
      </c>
      <c r="I702" s="36">
        <f>(Table143454[[#This Row],[Core CPI]]-F690)/F690</f>
        <v>1.1679198519869106E-2</v>
      </c>
    </row>
    <row r="703" spans="1:9" x14ac:dyDescent="0.2">
      <c r="A703" s="34">
        <f>IF(Data!B731="",#N/A,Data!B731)</f>
        <v>40057</v>
      </c>
      <c r="B703" s="35">
        <f>VLOOKUP(A703,Data!B:AY,MATCH($B$2,Data!$C$1:$AY$1,0),FALSE)</f>
        <v>91.759</v>
      </c>
      <c r="C703" s="36">
        <f t="shared" si="42"/>
        <v>-2.1706504698145723E-3</v>
      </c>
      <c r="D703" s="36">
        <f t="shared" si="43"/>
        <v>-2.5739070989222457E-2</v>
      </c>
      <c r="E703" s="36">
        <f>(Table143454[[#This Row],[JPN]]-B691)/B691</f>
        <v>2.1803339188550454E-3</v>
      </c>
      <c r="F703" s="35">
        <f>VLOOKUP(Table143454[[#This Row],[Date]],'Data Core CPI'!$B:$AY,MATCH($B$2,'Data Core CPI'!$C$1:$AY$1,0),FALSE)</f>
        <v>92.530940000000001</v>
      </c>
      <c r="G703" s="36">
        <f t="shared" si="40"/>
        <v>-2.3522597683147684E-3</v>
      </c>
      <c r="H703" s="36">
        <f t="shared" si="41"/>
        <v>-2.7864779181768884E-2</v>
      </c>
      <c r="I703" s="36">
        <f>(Table143454[[#This Row],[Core CPI]]-F691)/F691</f>
        <v>1.2541135091618498E-2</v>
      </c>
    </row>
    <row r="704" spans="1:9" x14ac:dyDescent="0.2">
      <c r="A704" s="34">
        <f>IF(Data!B732="",#N/A,Data!B732)</f>
        <v>40087</v>
      </c>
      <c r="B704" s="35">
        <f>VLOOKUP(A704,Data!B:AY,MATCH($B$2,Data!$C$1:$AY$1,0),FALSE)</f>
        <v>91.825530000000001</v>
      </c>
      <c r="C704" s="36">
        <f t="shared" si="42"/>
        <v>7.2505149358637055E-4</v>
      </c>
      <c r="D704" s="36">
        <f t="shared" si="43"/>
        <v>8.7353980931568209E-3</v>
      </c>
      <c r="E704" s="36">
        <f>(Table143454[[#This Row],[JPN]]-B692)/B692</f>
        <v>2.9069662668058907E-3</v>
      </c>
      <c r="F704" s="35">
        <f>VLOOKUP(Table143454[[#This Row],[Date]],'Data Core CPI'!$B:$AY,MATCH($B$2,'Data Core CPI'!$C$1:$AY$1,0),FALSE)</f>
        <v>92.708500000000001</v>
      </c>
      <c r="G704" s="36">
        <f t="shared" si="40"/>
        <v>1.9189257128480186E-3</v>
      </c>
      <c r="H704" s="36">
        <f t="shared" si="41"/>
        <v>2.3271700018502095E-2</v>
      </c>
      <c r="I704" s="36">
        <f>(Table143454[[#This Row],[Core CPI]]-F692)/F692</f>
        <v>1.3189933290784037E-2</v>
      </c>
    </row>
    <row r="705" spans="1:9" x14ac:dyDescent="0.2">
      <c r="A705" s="34">
        <f>IF(Data!B733="",#N/A,Data!B733)</f>
        <v>40118</v>
      </c>
      <c r="B705" s="35">
        <f>VLOOKUP(A705,Data!B:AY,MATCH($B$2,Data!$C$1:$AY$1,0),FALSE)</f>
        <v>91.825530000000001</v>
      </c>
      <c r="C705" s="36">
        <f t="shared" si="42"/>
        <v>0</v>
      </c>
      <c r="D705" s="36">
        <f t="shared" si="43"/>
        <v>0</v>
      </c>
      <c r="E705" s="36">
        <f>(Table143454[[#This Row],[JPN]]-B693)/B693</f>
        <v>6.5645276759526789E-3</v>
      </c>
      <c r="F705" s="35">
        <f>VLOOKUP(Table143454[[#This Row],[Date]],'Data Core CPI'!$B:$AY,MATCH($B$2,'Data Core CPI'!$C$1:$AY$1,0),FALSE)</f>
        <v>92.61</v>
      </c>
      <c r="G705" s="36">
        <f t="shared" si="40"/>
        <v>-1.0624700000539944E-3</v>
      </c>
      <c r="H705" s="36">
        <f t="shared" si="41"/>
        <v>-1.2675399625364681E-2</v>
      </c>
      <c r="I705" s="36">
        <f>(Table143454[[#This Row],[Core CPI]]-F693)/F693</f>
        <v>1.1990685445845268E-2</v>
      </c>
    </row>
    <row r="706" spans="1:9" x14ac:dyDescent="0.2">
      <c r="A706" s="34">
        <f>IF(Data!B734="",#N/A,Data!B734)</f>
        <v>40148</v>
      </c>
      <c r="B706" s="35">
        <f>VLOOKUP(A706,Data!B:AY,MATCH($B$2,Data!$C$1:$AY$1,0),FALSE)</f>
        <v>92.025149999999996</v>
      </c>
      <c r="C706" s="36">
        <f t="shared" si="42"/>
        <v>2.1739052309308615E-3</v>
      </c>
      <c r="D706" s="36">
        <f t="shared" si="43"/>
        <v>2.6401041073530251E-2</v>
      </c>
      <c r="E706" s="36">
        <f>(Table143454[[#This Row],[JPN]]-B694)/B694</f>
        <v>1.0226405612074245E-2</v>
      </c>
      <c r="F706" s="35">
        <f>VLOOKUP(Table143454[[#This Row],[Date]],'Data Core CPI'!$B:$AY,MATCH($B$2,'Data Core CPI'!$C$1:$AY$1,0),FALSE)</f>
        <v>92.897289999999998</v>
      </c>
      <c r="G706" s="36">
        <f t="shared" si="40"/>
        <v>3.1021487960263272E-3</v>
      </c>
      <c r="H706" s="36">
        <f t="shared" si="41"/>
        <v>3.7867538872322415E-2</v>
      </c>
      <c r="I706" s="36">
        <f>(Table143454[[#This Row],[Core CPI]]-F694)/F694</f>
        <v>1.3899671209702692E-2</v>
      </c>
    </row>
    <row r="707" spans="1:9" x14ac:dyDescent="0.2">
      <c r="A707" s="34">
        <f>IF(Data!B735="",#N/A,Data!B735)</f>
        <v>40179</v>
      </c>
      <c r="B707" s="35">
        <f>VLOOKUP(A707,Data!B:AY,MATCH($B$2,Data!$C$1:$AY$1,0),FALSE)</f>
        <v>92.158230000000003</v>
      </c>
      <c r="C707" s="36">
        <f t="shared" si="42"/>
        <v>1.4461264121818918E-3</v>
      </c>
      <c r="D707" s="36">
        <f t="shared" si="43"/>
        <v>1.7492209038326045E-2</v>
      </c>
      <c r="E707" s="36">
        <f>(Table143454[[#This Row],[JPN]]-B695)/B695</f>
        <v>1.3167472345966441E-2</v>
      </c>
      <c r="F707" s="35">
        <f>VLOOKUP(Table143454[[#This Row],[Date]],'Data Core CPI'!$B:$AY,MATCH($B$2,'Data Core CPI'!$C$1:$AY$1,0),FALSE)</f>
        <v>92.974400000000003</v>
      </c>
      <c r="G707" s="36">
        <f t="shared" ref="G707:G770" si="44">(F707/F706)-1</f>
        <v>8.3005650649226048E-4</v>
      </c>
      <c r="H707" s="36">
        <f t="shared" ref="H707:H770" si="45">((1+G707)^12)-1</f>
        <v>1.0006277723098256E-2</v>
      </c>
      <c r="I707" s="36">
        <f>(Table143454[[#This Row],[Core CPI]]-F695)/F695</f>
        <v>1.6405919560039589E-2</v>
      </c>
    </row>
    <row r="708" spans="1:9" x14ac:dyDescent="0.2">
      <c r="A708" s="34">
        <f>IF(Data!B736="",#N/A,Data!B736)</f>
        <v>40210</v>
      </c>
      <c r="B708" s="35">
        <f>VLOOKUP(A708,Data!B:AY,MATCH($B$2,Data!$C$1:$AY$1,0),FALSE)</f>
        <v>92.224770000000007</v>
      </c>
      <c r="C708" s="36">
        <f t="shared" si="42"/>
        <v>7.2201907523616882E-4</v>
      </c>
      <c r="D708" s="36">
        <f t="shared" si="43"/>
        <v>8.6987184067979229E-3</v>
      </c>
      <c r="E708" s="36">
        <f>(Table143454[[#This Row],[JPN]]-B696)/B696</f>
        <v>1.1678789839373984E-2</v>
      </c>
      <c r="F708" s="35">
        <f>VLOOKUP(Table143454[[#This Row],[Date]],'Data Core CPI'!$B:$AY,MATCH($B$2,'Data Core CPI'!$C$1:$AY$1,0),FALSE)</f>
        <v>93.042829999999995</v>
      </c>
      <c r="G708" s="36">
        <f t="shared" si="44"/>
        <v>7.3600905195392308E-4</v>
      </c>
      <c r="H708" s="36">
        <f t="shared" si="45"/>
        <v>8.8679492989489628E-3</v>
      </c>
      <c r="I708" s="36">
        <f>(Table143454[[#This Row],[Core CPI]]-F696)/F696</f>
        <v>1.5092495635475043E-2</v>
      </c>
    </row>
    <row r="709" spans="1:9" x14ac:dyDescent="0.2">
      <c r="A709" s="34">
        <f>IF(Data!B737="",#N/A,Data!B737)</f>
        <v>40238</v>
      </c>
      <c r="B709" s="35">
        <f>VLOOKUP(A709,Data!B:AY,MATCH($B$2,Data!$C$1:$AY$1,0),FALSE)</f>
        <v>92.490939999999995</v>
      </c>
      <c r="C709" s="36">
        <f t="shared" ref="C709:C772" si="46">(B709/B708)-1</f>
        <v>2.8861009900049694E-3</v>
      </c>
      <c r="D709" s="36">
        <f t="shared" si="43"/>
        <v>3.5188287393554063E-2</v>
      </c>
      <c r="E709" s="36">
        <f>(Table143454[[#This Row],[JPN]]-B697)/B697</f>
        <v>1.385855693296704E-2</v>
      </c>
      <c r="F709" s="35">
        <f>VLOOKUP(Table143454[[#This Row],[Date]],'Data Core CPI'!$B:$AY,MATCH($B$2,'Data Core CPI'!$C$1:$AY$1,0),FALSE)</f>
        <v>93.261039999999994</v>
      </c>
      <c r="G709" s="36">
        <f t="shared" si="44"/>
        <v>2.3452640036851768E-3</v>
      </c>
      <c r="H709" s="36">
        <f t="shared" si="45"/>
        <v>2.8509038355323035E-2</v>
      </c>
      <c r="I709" s="36">
        <f>(Table143454[[#This Row],[Core CPI]]-F697)/F697</f>
        <v>1.6520730099207168E-2</v>
      </c>
    </row>
    <row r="710" spans="1:9" x14ac:dyDescent="0.2">
      <c r="A710" s="34">
        <f>IF(Data!B738="",#N/A,Data!B738)</f>
        <v>40269</v>
      </c>
      <c r="B710" s="35">
        <f>VLOOKUP(A710,Data!B:AY,MATCH($B$2,Data!$C$1:$AY$1,0),FALSE)</f>
        <v>92.823629999999994</v>
      </c>
      <c r="C710" s="36">
        <f t="shared" si="46"/>
        <v>3.5970009603103481E-3</v>
      </c>
      <c r="D710" s="36">
        <f t="shared" si="43"/>
        <v>4.4028269005659704E-2</v>
      </c>
      <c r="E710" s="36">
        <f>(Table143454[[#This Row],[JPN]]-B698)/B698</f>
        <v>1.528378762826316E-2</v>
      </c>
      <c r="F710" s="35">
        <f>VLOOKUP(Table143454[[#This Row],[Date]],'Data Core CPI'!$B:$AY,MATCH($B$2,'Data Core CPI'!$C$1:$AY$1,0),FALSE)</f>
        <v>93.574380000000005</v>
      </c>
      <c r="G710" s="36">
        <f t="shared" si="44"/>
        <v>3.3598167037383053E-3</v>
      </c>
      <c r="H710" s="36">
        <f t="shared" si="45"/>
        <v>4.1071240075055471E-2</v>
      </c>
      <c r="I710" s="36">
        <f>(Table143454[[#This Row],[Core CPI]]-F698)/F698</f>
        <v>1.6565759013817748E-2</v>
      </c>
    </row>
    <row r="711" spans="1:9" x14ac:dyDescent="0.2">
      <c r="A711" s="34">
        <f>IF(Data!B739="",#N/A,Data!B739)</f>
        <v>40299</v>
      </c>
      <c r="B711" s="35">
        <f>VLOOKUP(A711,Data!B:AY,MATCH($B$2,Data!$C$1:$AY$1,0),FALSE)</f>
        <v>92.890169999999998</v>
      </c>
      <c r="C711" s="36">
        <f t="shared" si="46"/>
        <v>7.1684332965649133E-4</v>
      </c>
      <c r="D711" s="36">
        <f t="shared" si="43"/>
        <v>8.6361161737003034E-3</v>
      </c>
      <c r="E711" s="36">
        <f>(Table143454[[#This Row],[JPN]]-B699)/B699</f>
        <v>1.37980621420294E-2</v>
      </c>
      <c r="F711" s="35">
        <f>VLOOKUP(Table143454[[#This Row],[Date]],'Data Core CPI'!$B:$AY,MATCH($B$2,'Data Core CPI'!$C$1:$AY$1,0),FALSE)</f>
        <v>93.581469999999996</v>
      </c>
      <c r="G711" s="36">
        <f t="shared" si="44"/>
        <v>7.5768602474157731E-5</v>
      </c>
      <c r="H711" s="36">
        <f t="shared" si="45"/>
        <v>9.096022235550727E-4</v>
      </c>
      <c r="I711" s="36">
        <f>(Table143454[[#This Row],[Core CPI]]-F699)/F699</f>
        <v>1.4272644733446456E-2</v>
      </c>
    </row>
    <row r="712" spans="1:9" x14ac:dyDescent="0.2">
      <c r="A712" s="34">
        <f>IF(Data!B740="",#N/A,Data!B740)</f>
        <v>40330</v>
      </c>
      <c r="B712" s="35">
        <f>VLOOKUP(A712,Data!B:AY,MATCH($B$2,Data!$C$1:$AY$1,0),FALSE)</f>
        <v>92.890169999999998</v>
      </c>
      <c r="C712" s="36">
        <f t="shared" si="46"/>
        <v>0</v>
      </c>
      <c r="D712" s="36">
        <f t="shared" si="43"/>
        <v>0</v>
      </c>
      <c r="E712" s="36">
        <f>(Table143454[[#This Row],[JPN]]-B700)/B700</f>
        <v>1.3062362277374026E-2</v>
      </c>
      <c r="F712" s="35">
        <f>VLOOKUP(Table143454[[#This Row],[Date]],'Data Core CPI'!$B:$AY,MATCH($B$2,'Data Core CPI'!$C$1:$AY$1,0),FALSE)</f>
        <v>93.612939999999995</v>
      </c>
      <c r="G712" s="36">
        <f t="shared" si="44"/>
        <v>3.3628452299372391E-4</v>
      </c>
      <c r="H712" s="36">
        <f t="shared" si="45"/>
        <v>4.0428864092560968E-3</v>
      </c>
      <c r="I712" s="36">
        <f>(Table143454[[#This Row],[Core CPI]]-F700)/F700</f>
        <v>1.5245777524676114E-2</v>
      </c>
    </row>
    <row r="713" spans="1:9" x14ac:dyDescent="0.2">
      <c r="A713" s="34">
        <f>IF(Data!B741="",#N/A,Data!B741)</f>
        <v>40360</v>
      </c>
      <c r="B713" s="35">
        <f>VLOOKUP(A713,Data!B:AY,MATCH($B$2,Data!$C$1:$AY$1,0),FALSE)</f>
        <v>93.222880000000004</v>
      </c>
      <c r="C713" s="36">
        <f t="shared" si="46"/>
        <v>3.5817568209854933E-3</v>
      </c>
      <c r="D713" s="36">
        <f t="shared" si="43"/>
        <v>4.3837985660740708E-2</v>
      </c>
      <c r="E713" s="36">
        <f>(Table143454[[#This Row],[JPN]]-B701)/B701</f>
        <v>1.669090530354473E-2</v>
      </c>
      <c r="F713" s="35">
        <f>VLOOKUP(Table143454[[#This Row],[Date]],'Data Core CPI'!$B:$AY,MATCH($B$2,'Data Core CPI'!$C$1:$AY$1,0),FALSE)</f>
        <v>93.996799999999993</v>
      </c>
      <c r="G713" s="36">
        <f t="shared" si="44"/>
        <v>4.1005014904991199E-3</v>
      </c>
      <c r="H713" s="36">
        <f t="shared" si="45"/>
        <v>5.0331058359930791E-2</v>
      </c>
      <c r="I713" s="36">
        <f>(Table143454[[#This Row],[Core CPI]]-F701)/F701</f>
        <v>1.7323333353896832E-2</v>
      </c>
    </row>
    <row r="714" spans="1:9" x14ac:dyDescent="0.2">
      <c r="A714" s="34">
        <f>IF(Data!B742="",#N/A,Data!B742)</f>
        <v>40391</v>
      </c>
      <c r="B714" s="35">
        <f>VLOOKUP(A714,Data!B:AY,MATCH($B$2,Data!$C$1:$AY$1,0),FALSE)</f>
        <v>93.422499999999999</v>
      </c>
      <c r="C714" s="36">
        <f t="shared" si="46"/>
        <v>2.14131981333332E-3</v>
      </c>
      <c r="D714" s="36">
        <f t="shared" si="43"/>
        <v>2.6000634806044642E-2</v>
      </c>
      <c r="E714" s="36">
        <f>(Table143454[[#This Row],[JPN]]-B702)/B702</f>
        <v>1.5919009650102438E-2</v>
      </c>
      <c r="F714" s="35">
        <f>VLOOKUP(Table143454[[#This Row],[Date]],'Data Core CPI'!$B:$AY,MATCH($B$2,'Data Core CPI'!$C$1:$AY$1,0),FALSE)</f>
        <v>94.295400000000001</v>
      </c>
      <c r="G714" s="36">
        <f t="shared" si="44"/>
        <v>3.1767038877918985E-3</v>
      </c>
      <c r="H714" s="36">
        <f t="shared" si="45"/>
        <v>3.8793585520104701E-2</v>
      </c>
      <c r="I714" s="36">
        <f>(Table143454[[#This Row],[Core CPI]]-F702)/F702</f>
        <v>1.6671750273398841E-2</v>
      </c>
    </row>
    <row r="715" spans="1:9" x14ac:dyDescent="0.2">
      <c r="A715" s="34">
        <f>IF(Data!B743="",#N/A,Data!B743)</f>
        <v>40422</v>
      </c>
      <c r="B715" s="35">
        <f>VLOOKUP(A715,Data!B:AY,MATCH($B$2,Data!$C$1:$AY$1,0),FALSE)</f>
        <v>93.222880000000004</v>
      </c>
      <c r="C715" s="36">
        <f t="shared" si="46"/>
        <v>-2.136744360298648E-3</v>
      </c>
      <c r="D715" s="36">
        <f t="shared" si="43"/>
        <v>-2.5341733644209996E-2</v>
      </c>
      <c r="E715" s="36">
        <f>(Table143454[[#This Row],[JPN]]-B703)/B703</f>
        <v>1.59535304438802E-2</v>
      </c>
      <c r="F715" s="35">
        <f>VLOOKUP(Table143454[[#This Row],[Date]],'Data Core CPI'!$B:$AY,MATCH($B$2,'Data Core CPI'!$C$1:$AY$1,0),FALSE)</f>
        <v>93.995480000000001</v>
      </c>
      <c r="G715" s="36">
        <f t="shared" si="44"/>
        <v>-3.1806429581930917E-3</v>
      </c>
      <c r="H715" s="36">
        <f t="shared" si="45"/>
        <v>-3.7507055706922698E-2</v>
      </c>
      <c r="I715" s="36">
        <f>(Table143454[[#This Row],[Core CPI]]-F703)/F703</f>
        <v>1.5827570756332957E-2</v>
      </c>
    </row>
    <row r="716" spans="1:9" x14ac:dyDescent="0.2">
      <c r="A716" s="34">
        <f>IF(Data!B744="",#N/A,Data!B744)</f>
        <v>40452</v>
      </c>
      <c r="B716" s="35">
        <f>VLOOKUP(A716,Data!B:AY,MATCH($B$2,Data!$C$1:$AY$1,0),FALSE)</f>
        <v>93.422499999999999</v>
      </c>
      <c r="C716" s="36">
        <f t="shared" si="46"/>
        <v>2.14131981333332E-3</v>
      </c>
      <c r="D716" s="36">
        <f t="shared" si="43"/>
        <v>2.6000634806044642E-2</v>
      </c>
      <c r="E716" s="36">
        <f>(Table143454[[#This Row],[JPN]]-B704)/B704</f>
        <v>1.7391350749622669E-2</v>
      </c>
      <c r="F716" s="35">
        <f>VLOOKUP(Table143454[[#This Row],[Date]],'Data Core CPI'!$B:$AY,MATCH($B$2,'Data Core CPI'!$C$1:$AY$1,0),FALSE)</f>
        <v>94.203890000000001</v>
      </c>
      <c r="G716" s="36">
        <f t="shared" si="44"/>
        <v>2.2172342755204522E-3</v>
      </c>
      <c r="H716" s="36">
        <f t="shared" si="45"/>
        <v>2.6933685794628959E-2</v>
      </c>
      <c r="I716" s="36">
        <f>(Table143454[[#This Row],[Core CPI]]-F704)/F704</f>
        <v>1.6130020440412694E-2</v>
      </c>
    </row>
    <row r="717" spans="1:9" x14ac:dyDescent="0.2">
      <c r="A717" s="34">
        <f>IF(Data!B745="",#N/A,Data!B745)</f>
        <v>40483</v>
      </c>
      <c r="B717" s="35">
        <f>VLOOKUP(A717,Data!B:AY,MATCH($B$2,Data!$C$1:$AY$1,0),FALSE)</f>
        <v>93.422499999999999</v>
      </c>
      <c r="C717" s="36">
        <f t="shared" si="46"/>
        <v>0</v>
      </c>
      <c r="D717" s="36">
        <f t="shared" si="43"/>
        <v>0</v>
      </c>
      <c r="E717" s="36">
        <f>(Table143454[[#This Row],[JPN]]-B705)/B705</f>
        <v>1.7391350749622669E-2</v>
      </c>
      <c r="F717" s="35">
        <f>VLOOKUP(Table143454[[#This Row],[Date]],'Data Core CPI'!$B:$AY,MATCH($B$2,'Data Core CPI'!$C$1:$AY$1,0),FALSE)</f>
        <v>94.129140000000007</v>
      </c>
      <c r="G717" s="36">
        <f t="shared" si="44"/>
        <v>-7.9349164880548884E-4</v>
      </c>
      <c r="H717" s="36">
        <f t="shared" si="45"/>
        <v>-9.4804539890740447E-3</v>
      </c>
      <c r="I717" s="36">
        <f>(Table143454[[#This Row],[Core CPI]]-F705)/F705</f>
        <v>1.6403628117913911E-2</v>
      </c>
    </row>
    <row r="718" spans="1:9" x14ac:dyDescent="0.2">
      <c r="A718" s="34">
        <f>IF(Data!B746="",#N/A,Data!B746)</f>
        <v>40513</v>
      </c>
      <c r="B718" s="35">
        <f>VLOOKUP(A718,Data!B:AY,MATCH($B$2,Data!$C$1:$AY$1,0),FALSE)</f>
        <v>93.755200000000002</v>
      </c>
      <c r="C718" s="36">
        <f t="shared" si="46"/>
        <v>3.5612406004976727E-3</v>
      </c>
      <c r="D718" s="36">
        <f t="shared" si="43"/>
        <v>4.3581944308177523E-2</v>
      </c>
      <c r="E718" s="36">
        <f>(Table143454[[#This Row],[JPN]]-B706)/B706</f>
        <v>1.8799752024310806E-2</v>
      </c>
      <c r="F718" s="35">
        <f>VLOOKUP(Table143454[[#This Row],[Date]],'Data Core CPI'!$B:$AY,MATCH($B$2,'Data Core CPI'!$C$1:$AY$1,0),FALSE)</f>
        <v>94.3797</v>
      </c>
      <c r="G718" s="36">
        <f t="shared" si="44"/>
        <v>2.6618749517948181E-3</v>
      </c>
      <c r="H718" s="36">
        <f t="shared" si="45"/>
        <v>3.2414321947609848E-2</v>
      </c>
      <c r="I718" s="36">
        <f>(Table143454[[#This Row],[Core CPI]]-F706)/F706</f>
        <v>1.5957516091158329E-2</v>
      </c>
    </row>
    <row r="719" spans="1:9" x14ac:dyDescent="0.2">
      <c r="A719" s="34">
        <f>IF(Data!B747="",#N/A,Data!B747)</f>
        <v>40544</v>
      </c>
      <c r="B719" s="35">
        <f>VLOOKUP(A719,Data!B:AY,MATCH($B$2,Data!$C$1:$AY$1,0),FALSE)</f>
        <v>94.139529999999993</v>
      </c>
      <c r="C719" s="36">
        <f t="shared" si="46"/>
        <v>4.0992926259022511E-3</v>
      </c>
      <c r="D719" s="36">
        <f t="shared" si="43"/>
        <v>5.0315884186165061E-2</v>
      </c>
      <c r="E719" s="36">
        <f>(Table143454[[#This Row],[JPN]]-B707)/B707</f>
        <v>2.1498893804709467E-2</v>
      </c>
      <c r="F719" s="35">
        <f>VLOOKUP(Table143454[[#This Row],[Date]],'Data Core CPI'!$B:$AY,MATCH($B$2,'Data Core CPI'!$C$1:$AY$1,0),FALSE)</f>
        <v>94.538020000000003</v>
      </c>
      <c r="G719" s="36">
        <f t="shared" si="44"/>
        <v>1.6774793732126092E-3</v>
      </c>
      <c r="H719" s="36">
        <f t="shared" si="45"/>
        <v>2.0316514724458612E-2</v>
      </c>
      <c r="I719" s="36">
        <f>(Table143454[[#This Row],[Core CPI]]-F707)/F707</f>
        <v>1.6817747681082105E-2</v>
      </c>
    </row>
    <row r="720" spans="1:9" x14ac:dyDescent="0.2">
      <c r="A720" s="34">
        <f>IF(Data!B748="",#N/A,Data!B748)</f>
        <v>40575</v>
      </c>
      <c r="B720" s="35">
        <f>VLOOKUP(A720,Data!B:AY,MATCH($B$2,Data!$C$1:$AY$1,0),FALSE)</f>
        <v>94.418599999999998</v>
      </c>
      <c r="C720" s="36">
        <f t="shared" si="46"/>
        <v>2.9644295016131306E-3</v>
      </c>
      <c r="D720" s="36">
        <f t="shared" si="43"/>
        <v>3.615892122463138E-2</v>
      </c>
      <c r="E720" s="36">
        <f>(Table143454[[#This Row],[JPN]]-B708)/B708</f>
        <v>2.3787860896806696E-2</v>
      </c>
      <c r="F720" s="35">
        <f>VLOOKUP(Table143454[[#This Row],[Date]],'Data Core CPI'!$B:$AY,MATCH($B$2,'Data Core CPI'!$C$1:$AY$1,0),FALSE)</f>
        <v>94.742260000000002</v>
      </c>
      <c r="G720" s="36">
        <f t="shared" si="44"/>
        <v>2.1604006515050234E-3</v>
      </c>
      <c r="H720" s="36">
        <f t="shared" si="45"/>
        <v>2.6235080809921651E-2</v>
      </c>
      <c r="I720" s="36">
        <f>(Table143454[[#This Row],[Core CPI]]-F708)/F708</f>
        <v>1.8265029126908614E-2</v>
      </c>
    </row>
    <row r="721" spans="1:9" x14ac:dyDescent="0.2">
      <c r="A721" s="34">
        <f>IF(Data!B749="",#N/A,Data!B749)</f>
        <v>40603</v>
      </c>
      <c r="B721" s="35">
        <f>VLOOKUP(A721,Data!B:AY,MATCH($B$2,Data!$C$1:$AY$1,0),FALSE)</f>
        <v>94.790700000000001</v>
      </c>
      <c r="C721" s="36">
        <f t="shared" si="46"/>
        <v>3.9409607852689543E-3</v>
      </c>
      <c r="D721" s="36">
        <f t="shared" si="43"/>
        <v>4.8330172630968837E-2</v>
      </c>
      <c r="E721" s="36">
        <f>(Table143454[[#This Row],[JPN]]-B709)/B709</f>
        <v>2.4864705667387597E-2</v>
      </c>
      <c r="F721" s="35">
        <f>VLOOKUP(Table143454[[#This Row],[Date]],'Data Core CPI'!$B:$AY,MATCH($B$2,'Data Core CPI'!$C$1:$AY$1,0),FALSE)</f>
        <v>94.974459999999993</v>
      </c>
      <c r="G721" s="36">
        <f t="shared" si="44"/>
        <v>2.4508598380490465E-3</v>
      </c>
      <c r="H721" s="36">
        <f t="shared" si="45"/>
        <v>2.9810017862221594E-2</v>
      </c>
      <c r="I721" s="36">
        <f>(Table143454[[#This Row],[Core CPI]]-F709)/F709</f>
        <v>1.8372302088846524E-2</v>
      </c>
    </row>
    <row r="722" spans="1:9" x14ac:dyDescent="0.2">
      <c r="A722" s="34">
        <f>IF(Data!B750="",#N/A,Data!B750)</f>
        <v>40634</v>
      </c>
      <c r="B722" s="35">
        <f>VLOOKUP(A722,Data!B:AY,MATCH($B$2,Data!$C$1:$AY$1,0),FALSE)</f>
        <v>95.255809999999997</v>
      </c>
      <c r="C722" s="36">
        <f t="shared" si="46"/>
        <v>4.9067049826616582E-3</v>
      </c>
      <c r="D722" s="36">
        <f t="shared" si="43"/>
        <v>6.0495737906760327E-2</v>
      </c>
      <c r="E722" s="36">
        <f>(Table143454[[#This Row],[JPN]]-B710)/B710</f>
        <v>2.6202164254942439E-2</v>
      </c>
      <c r="F722" s="35">
        <f>VLOOKUP(Table143454[[#This Row],[Date]],'Data Core CPI'!$B:$AY,MATCH($B$2,'Data Core CPI'!$C$1:$AY$1,0),FALSE)</f>
        <v>95.398859999999999</v>
      </c>
      <c r="G722" s="36">
        <f t="shared" si="44"/>
        <v>4.4685697607547148E-3</v>
      </c>
      <c r="H722" s="36">
        <f t="shared" si="45"/>
        <v>5.4960561915378348E-2</v>
      </c>
      <c r="I722" s="36">
        <f>(Table143454[[#This Row],[Core CPI]]-F710)/F710</f>
        <v>1.9497644547578023E-2</v>
      </c>
    </row>
    <row r="723" spans="1:9" x14ac:dyDescent="0.2">
      <c r="A723" s="34">
        <f>IF(Data!B751="",#N/A,Data!B751)</f>
        <v>40664</v>
      </c>
      <c r="B723" s="35">
        <f>VLOOKUP(A723,Data!B:AY,MATCH($B$2,Data!$C$1:$AY$1,0),FALSE)</f>
        <v>95.348839999999996</v>
      </c>
      <c r="C723" s="36">
        <f t="shared" si="46"/>
        <v>9.7663334131525836E-4</v>
      </c>
      <c r="D723" s="36">
        <f t="shared" si="43"/>
        <v>1.1782757119478626E-2</v>
      </c>
      <c r="E723" s="36">
        <f>(Table143454[[#This Row],[JPN]]-B711)/B711</f>
        <v>2.6468570355722226E-2</v>
      </c>
      <c r="F723" s="35">
        <f>VLOOKUP(Table143454[[#This Row],[Date]],'Data Core CPI'!$B:$AY,MATCH($B$2,'Data Core CPI'!$C$1:$AY$1,0),FALSE)</f>
        <v>95.375730000000004</v>
      </c>
      <c r="G723" s="36">
        <f t="shared" si="44"/>
        <v>-2.4245572745829058E-4</v>
      </c>
      <c r="H723" s="36">
        <f t="shared" si="45"/>
        <v>-2.9055920679194047E-3</v>
      </c>
      <c r="I723" s="36">
        <f>(Table143454[[#This Row],[Core CPI]]-F711)/F711</f>
        <v>1.9173240172440213E-2</v>
      </c>
    </row>
    <row r="724" spans="1:9" x14ac:dyDescent="0.2">
      <c r="A724" s="34">
        <f>IF(Data!B752="",#N/A,Data!B752)</f>
        <v>40695</v>
      </c>
      <c r="B724" s="35">
        <f>VLOOKUP(A724,Data!B:AY,MATCH($B$2,Data!$C$1:$AY$1,0),FALSE)</f>
        <v>95.441860000000005</v>
      </c>
      <c r="C724" s="36">
        <f t="shared" si="46"/>
        <v>9.7557558120286991E-4</v>
      </c>
      <c r="D724" s="36">
        <f t="shared" si="43"/>
        <v>1.1769927043086437E-2</v>
      </c>
      <c r="E724" s="36">
        <f>(Table143454[[#This Row],[JPN]]-B712)/B712</f>
        <v>2.7469968027833386E-2</v>
      </c>
      <c r="F724" s="35">
        <f>VLOOKUP(Table143454[[#This Row],[Date]],'Data Core CPI'!$B:$AY,MATCH($B$2,'Data Core CPI'!$C$1:$AY$1,0),FALSE)</f>
        <v>95.570899999999995</v>
      </c>
      <c r="G724" s="36">
        <f t="shared" si="44"/>
        <v>2.0463277188020879E-3</v>
      </c>
      <c r="H724" s="36">
        <f t="shared" si="45"/>
        <v>2.4834198664710039E-2</v>
      </c>
      <c r="I724" s="36">
        <f>(Table143454[[#This Row],[Core CPI]]-F712)/F712</f>
        <v>2.0915484547328608E-2</v>
      </c>
    </row>
    <row r="725" spans="1:9" x14ac:dyDescent="0.2">
      <c r="A725" s="34">
        <f>IF(Data!B753="",#N/A,Data!B753)</f>
        <v>40725</v>
      </c>
      <c r="B725" s="35">
        <f>VLOOKUP(A725,Data!B:AY,MATCH($B$2,Data!$C$1:$AY$1,0),FALSE)</f>
        <v>95.720929999999996</v>
      </c>
      <c r="C725" s="36">
        <f t="shared" si="46"/>
        <v>2.9239790590835923E-3</v>
      </c>
      <c r="D725" s="36">
        <f t="shared" si="43"/>
        <v>3.5657561976908614E-2</v>
      </c>
      <c r="E725" s="36">
        <f>(Table143454[[#This Row],[JPN]]-B713)/B713</f>
        <v>2.6796533211589171E-2</v>
      </c>
      <c r="F725" s="35">
        <f>VLOOKUP(Table143454[[#This Row],[Date]],'Data Core CPI'!$B:$AY,MATCH($B$2,'Data Core CPI'!$C$1:$AY$1,0),FALSE)</f>
        <v>95.893860000000004</v>
      </c>
      <c r="G725" s="36">
        <f t="shared" si="44"/>
        <v>3.379271305387066E-3</v>
      </c>
      <c r="H725" s="36">
        <f t="shared" si="45"/>
        <v>4.1313495576463577E-2</v>
      </c>
      <c r="I725" s="36">
        <f>(Table143454[[#This Row],[Core CPI]]-F713)/F713</f>
        <v>2.0182176414516351E-2</v>
      </c>
    </row>
    <row r="726" spans="1:9" x14ac:dyDescent="0.2">
      <c r="A726" s="34">
        <f>IF(Data!B754="",#N/A,Data!B754)</f>
        <v>40756</v>
      </c>
      <c r="B726" s="35">
        <f>VLOOKUP(A726,Data!B:AY,MATCH($B$2,Data!$C$1:$AY$1,0),FALSE)</f>
        <v>96</v>
      </c>
      <c r="C726" s="36">
        <f t="shared" si="46"/>
        <v>2.9154543316702863E-3</v>
      </c>
      <c r="D726" s="36">
        <f t="shared" si="43"/>
        <v>3.5551931410246373E-2</v>
      </c>
      <c r="E726" s="36">
        <f>(Table143454[[#This Row],[JPN]]-B714)/B714</f>
        <v>2.7589713398806504E-2</v>
      </c>
      <c r="F726" s="35">
        <f>VLOOKUP(Table143454[[#This Row],[Date]],'Data Core CPI'!$B:$AY,MATCH($B$2,'Data Core CPI'!$C$1:$AY$1,0),FALSE)</f>
        <v>96.224209999999999</v>
      </c>
      <c r="G726" s="36">
        <f t="shared" si="44"/>
        <v>3.444954661330657E-3</v>
      </c>
      <c r="H726" s="36">
        <f t="shared" si="45"/>
        <v>4.2131789492729332E-2</v>
      </c>
      <c r="I726" s="36">
        <f>(Table143454[[#This Row],[Core CPI]]-F714)/F714</f>
        <v>2.0454974473834341E-2</v>
      </c>
    </row>
    <row r="727" spans="1:9" x14ac:dyDescent="0.2">
      <c r="A727" s="34">
        <f>IF(Data!B755="",#N/A,Data!B755)</f>
        <v>40787</v>
      </c>
      <c r="B727" s="35">
        <f>VLOOKUP(A727,Data!B:AY,MATCH($B$2,Data!$C$1:$AY$1,0),FALSE)</f>
        <v>96</v>
      </c>
      <c r="C727" s="36">
        <f t="shared" si="46"/>
        <v>0</v>
      </c>
      <c r="D727" s="36">
        <f t="shared" si="43"/>
        <v>0</v>
      </c>
      <c r="E727" s="36">
        <f>(Table143454[[#This Row],[JPN]]-B715)/B715</f>
        <v>2.9790111612084891E-2</v>
      </c>
      <c r="F727" s="35">
        <f>VLOOKUP(Table143454[[#This Row],[Date]],'Data Core CPI'!$B:$AY,MATCH($B$2,'Data Core CPI'!$C$1:$AY$1,0),FALSE)</f>
        <v>96.172939999999997</v>
      </c>
      <c r="G727" s="36">
        <f t="shared" si="44"/>
        <v>-5.3281809224525745E-4</v>
      </c>
      <c r="H727" s="36">
        <f t="shared" si="45"/>
        <v>-6.3751132673801614E-3</v>
      </c>
      <c r="I727" s="36">
        <f>(Table143454[[#This Row],[Core CPI]]-F715)/F715</f>
        <v>2.3165582004581457E-2</v>
      </c>
    </row>
    <row r="728" spans="1:9" x14ac:dyDescent="0.2">
      <c r="A728" s="34">
        <f>IF(Data!B756="",#N/A,Data!B756)</f>
        <v>40817</v>
      </c>
      <c r="B728" s="35">
        <f>VLOOKUP(A728,Data!B:AY,MATCH($B$2,Data!$C$1:$AY$1,0),FALSE)</f>
        <v>96.558139999999995</v>
      </c>
      <c r="C728" s="36">
        <f t="shared" si="46"/>
        <v>5.8139583333332023E-3</v>
      </c>
      <c r="D728" s="36">
        <f t="shared" si="43"/>
        <v>7.2042245529561733E-2</v>
      </c>
      <c r="E728" s="36">
        <f>(Table143454[[#This Row],[JPN]]-B716)/B716</f>
        <v>3.3564077176269046E-2</v>
      </c>
      <c r="F728" s="35">
        <f>VLOOKUP(Table143454[[#This Row],[Date]],'Data Core CPI'!$B:$AY,MATCH($B$2,'Data Core CPI'!$C$1:$AY$1,0),FALSE)</f>
        <v>96.633700000000005</v>
      </c>
      <c r="G728" s="36">
        <f t="shared" si="44"/>
        <v>4.7909526317901907E-3</v>
      </c>
      <c r="H728" s="36">
        <f t="shared" si="45"/>
        <v>5.9030800294044061E-2</v>
      </c>
      <c r="I728" s="36">
        <f>(Table143454[[#This Row],[Core CPI]]-F716)/F716</f>
        <v>2.579309622989033E-2</v>
      </c>
    </row>
    <row r="729" spans="1:9" x14ac:dyDescent="0.2">
      <c r="A729" s="34">
        <f>IF(Data!B757="",#N/A,Data!B757)</f>
        <v>40848</v>
      </c>
      <c r="B729" s="35">
        <f>VLOOKUP(A729,Data!B:AY,MATCH($B$2,Data!$C$1:$AY$1,0),FALSE)</f>
        <v>96.465119999999999</v>
      </c>
      <c r="C729" s="36">
        <f t="shared" si="46"/>
        <v>-9.6335741347131076E-4</v>
      </c>
      <c r="D729" s="36">
        <f t="shared" si="43"/>
        <v>-1.1499233431808586E-2</v>
      </c>
      <c r="E729" s="36">
        <f>(Table143454[[#This Row],[JPN]]-B717)/B717</f>
        <v>3.2568385560223706E-2</v>
      </c>
      <c r="F729" s="35">
        <f>VLOOKUP(Table143454[[#This Row],[Date]],'Data Core CPI'!$B:$AY,MATCH($B$2,'Data Core CPI'!$C$1:$AY$1,0),FALSE)</f>
        <v>96.305329999999998</v>
      </c>
      <c r="G729" s="36">
        <f t="shared" si="44"/>
        <v>-3.3980899003143161E-3</v>
      </c>
      <c r="H729" s="36">
        <f t="shared" si="45"/>
        <v>-4.0023542487910957E-2</v>
      </c>
      <c r="I729" s="36">
        <f>(Table143454[[#This Row],[Core CPI]]-F717)/F717</f>
        <v>2.3119195607226316E-2</v>
      </c>
    </row>
    <row r="730" spans="1:9" x14ac:dyDescent="0.2">
      <c r="A730" s="34">
        <f>IF(Data!B758="",#N/A,Data!B758)</f>
        <v>40878</v>
      </c>
      <c r="B730" s="35">
        <f>VLOOKUP(A730,Data!B:AY,MATCH($B$2,Data!$C$1:$AY$1,0),FALSE)</f>
        <v>96.837209999999999</v>
      </c>
      <c r="C730" s="36">
        <f t="shared" si="46"/>
        <v>3.8572491279749155E-3</v>
      </c>
      <c r="D730" s="36">
        <f t="shared" si="43"/>
        <v>4.7281697974514536E-2</v>
      </c>
      <c r="E730" s="36">
        <f>(Table143454[[#This Row],[JPN]]-B718)/B718</f>
        <v>3.2872949980374384E-2</v>
      </c>
      <c r="F730" s="35">
        <f>VLOOKUP(Table143454[[#This Row],[Date]],'Data Core CPI'!$B:$AY,MATCH($B$2,'Data Core CPI'!$C$1:$AY$1,0),FALSE)</f>
        <v>96.607519999999994</v>
      </c>
      <c r="G730" s="36">
        <f t="shared" si="44"/>
        <v>3.1378325581772337E-3</v>
      </c>
      <c r="H730" s="36">
        <f t="shared" si="45"/>
        <v>3.8310671392914442E-2</v>
      </c>
      <c r="I730" s="36">
        <f>(Table143454[[#This Row],[Core CPI]]-F718)/F718</f>
        <v>2.3604864181598312E-2</v>
      </c>
    </row>
    <row r="731" spans="1:9" x14ac:dyDescent="0.2">
      <c r="A731" s="34">
        <f>IF(Data!B759="",#N/A,Data!B759)</f>
        <v>40909</v>
      </c>
      <c r="B731" s="35">
        <f>VLOOKUP(A731,Data!B:AY,MATCH($B$2,Data!$C$1:$AY$1,0),FALSE)</f>
        <v>97.116280000000003</v>
      </c>
      <c r="C731" s="36">
        <f t="shared" si="46"/>
        <v>2.8818467611779752E-3</v>
      </c>
      <c r="D731" s="36">
        <f t="shared" si="43"/>
        <v>3.5135593571956392E-2</v>
      </c>
      <c r="E731" s="36">
        <f>(Table143454[[#This Row],[JPN]]-B719)/B719</f>
        <v>3.162061675897479E-2</v>
      </c>
      <c r="F731" s="35">
        <f>VLOOKUP(Table143454[[#This Row],[Date]],'Data Core CPI'!$B:$AY,MATCH($B$2,'Data Core CPI'!$C$1:$AY$1,0),FALSE)</f>
        <v>96.316659999999999</v>
      </c>
      <c r="G731" s="36">
        <f t="shared" si="44"/>
        <v>-3.0107387085394066E-3</v>
      </c>
      <c r="H731" s="36">
        <f t="shared" si="45"/>
        <v>-3.5536567902372473E-2</v>
      </c>
      <c r="I731" s="36">
        <f>(Table143454[[#This Row],[Core CPI]]-F719)/F719</f>
        <v>1.8814017894599397E-2</v>
      </c>
    </row>
    <row r="732" spans="1:9" x14ac:dyDescent="0.2">
      <c r="A732" s="34">
        <f>IF(Data!B760="",#N/A,Data!B760)</f>
        <v>40940</v>
      </c>
      <c r="B732" s="35">
        <f>VLOOKUP(A732,Data!B:AY,MATCH($B$2,Data!$C$1:$AY$1,0),FALSE)</f>
        <v>97.488370000000003</v>
      </c>
      <c r="C732" s="36">
        <f t="shared" si="46"/>
        <v>3.8313864575538759E-3</v>
      </c>
      <c r="D732" s="36">
        <f t="shared" si="43"/>
        <v>4.6957966721516087E-2</v>
      </c>
      <c r="E732" s="36">
        <f>(Table143454[[#This Row],[JPN]]-B720)/B720</f>
        <v>3.251234396612538E-2</v>
      </c>
      <c r="F732" s="35">
        <f>VLOOKUP(Table143454[[#This Row],[Date]],'Data Core CPI'!$B:$AY,MATCH($B$2,'Data Core CPI'!$C$1:$AY$1,0),FALSE)</f>
        <v>96.514759999999995</v>
      </c>
      <c r="G732" s="36">
        <f t="shared" si="44"/>
        <v>2.0567573667940042E-3</v>
      </c>
      <c r="H732" s="36">
        <f t="shared" si="45"/>
        <v>2.4962207977849982E-2</v>
      </c>
      <c r="I732" s="36">
        <f>(Table143454[[#This Row],[Core CPI]]-F720)/F720</f>
        <v>1.8708652295184786E-2</v>
      </c>
    </row>
    <row r="733" spans="1:9" x14ac:dyDescent="0.2">
      <c r="A733" s="34">
        <f>IF(Data!B761="",#N/A,Data!B761)</f>
        <v>40969</v>
      </c>
      <c r="B733" s="35">
        <f>VLOOKUP(A733,Data!B:AY,MATCH($B$2,Data!$C$1:$AY$1,0),FALSE)</f>
        <v>97.953490000000002</v>
      </c>
      <c r="C733" s="36">
        <f t="shared" si="46"/>
        <v>4.771030636782525E-3</v>
      </c>
      <c r="D733" s="36">
        <f t="shared" si="43"/>
        <v>5.8778858864355854E-2</v>
      </c>
      <c r="E733" s="36">
        <f>(Table143454[[#This Row],[JPN]]-B721)/B721</f>
        <v>3.3366036963541797E-2</v>
      </c>
      <c r="F733" s="35">
        <f>VLOOKUP(Table143454[[#This Row],[Date]],'Data Core CPI'!$B:$AY,MATCH($B$2,'Data Core CPI'!$C$1:$AY$1,0),FALSE)</f>
        <v>96.879810000000006</v>
      </c>
      <c r="G733" s="36">
        <f t="shared" si="44"/>
        <v>3.7823230353575266E-3</v>
      </c>
      <c r="H733" s="36">
        <f t="shared" si="45"/>
        <v>4.6344076358954434E-2</v>
      </c>
      <c r="I733" s="36">
        <f>(Table143454[[#This Row],[Core CPI]]-F721)/F721</f>
        <v>2.0061709221616136E-2</v>
      </c>
    </row>
    <row r="734" spans="1:9" x14ac:dyDescent="0.2">
      <c r="A734" s="34">
        <f>IF(Data!B762="",#N/A,Data!B762)</f>
        <v>41000</v>
      </c>
      <c r="B734" s="35">
        <f>VLOOKUP(A734,Data!B:AY,MATCH($B$2,Data!$C$1:$AY$1,0),FALSE)</f>
        <v>98.418599999999998</v>
      </c>
      <c r="C734" s="36">
        <f t="shared" si="46"/>
        <v>4.7482739001949437E-3</v>
      </c>
      <c r="D734" s="36">
        <f t="shared" si="43"/>
        <v>5.8491135396513405E-2</v>
      </c>
      <c r="E734" s="36">
        <f>(Table143454[[#This Row],[JPN]]-B722)/B722</f>
        <v>3.3203119053840401E-2</v>
      </c>
      <c r="F734" s="35">
        <f>VLOOKUP(Table143454[[#This Row],[Date]],'Data Core CPI'!$B:$AY,MATCH($B$2,'Data Core CPI'!$C$1:$AY$1,0),FALSE)</f>
        <v>97.229990000000001</v>
      </c>
      <c r="G734" s="36">
        <f t="shared" si="44"/>
        <v>3.6145818205051139E-3</v>
      </c>
      <c r="H734" s="36">
        <f t="shared" si="45"/>
        <v>4.4247759700649203E-2</v>
      </c>
      <c r="I734" s="36">
        <f>(Table143454[[#This Row],[Core CPI]]-F722)/F722</f>
        <v>1.9194464168649412E-2</v>
      </c>
    </row>
    <row r="735" spans="1:9" x14ac:dyDescent="0.2">
      <c r="A735" s="34">
        <f>IF(Data!B763="",#N/A,Data!B763)</f>
        <v>41030</v>
      </c>
      <c r="B735" s="35">
        <f>VLOOKUP(A735,Data!B:AY,MATCH($B$2,Data!$C$1:$AY$1,0),FALSE)</f>
        <v>98.418599999999998</v>
      </c>
      <c r="C735" s="36">
        <f t="shared" si="46"/>
        <v>0</v>
      </c>
      <c r="D735" s="36">
        <f t="shared" si="43"/>
        <v>0</v>
      </c>
      <c r="E735" s="36">
        <f>(Table143454[[#This Row],[JPN]]-B723)/B723</f>
        <v>3.2195042960145109E-2</v>
      </c>
      <c r="F735" s="35">
        <f>VLOOKUP(Table143454[[#This Row],[Date]],'Data Core CPI'!$B:$AY,MATCH($B$2,'Data Core CPI'!$C$1:$AY$1,0),FALSE)</f>
        <v>97.21696</v>
      </c>
      <c r="G735" s="36">
        <f t="shared" si="44"/>
        <v>-1.3401214995500954E-4</v>
      </c>
      <c r="H735" s="36">
        <f t="shared" si="45"/>
        <v>-1.6069610178695015E-3</v>
      </c>
      <c r="I735" s="36">
        <f>(Table143454[[#This Row],[Core CPI]]-F723)/F723</f>
        <v>1.9305016066456276E-2</v>
      </c>
    </row>
    <row r="736" spans="1:9" x14ac:dyDescent="0.2">
      <c r="A736" s="34">
        <f>IF(Data!B764="",#N/A,Data!B764)</f>
        <v>41061</v>
      </c>
      <c r="B736" s="35">
        <f>VLOOKUP(A736,Data!B:AY,MATCH($B$2,Data!$C$1:$AY$1,0),FALSE)</f>
        <v>98.604650000000007</v>
      </c>
      <c r="C736" s="36">
        <f t="shared" si="46"/>
        <v>1.8903947018145129E-3</v>
      </c>
      <c r="D736" s="36">
        <f t="shared" si="43"/>
        <v>2.2922086052772794E-2</v>
      </c>
      <c r="E736" s="36">
        <f>(Table143454[[#This Row],[JPN]]-B724)/B724</f>
        <v>3.3138394411005828E-2</v>
      </c>
      <c r="F736" s="35">
        <f>VLOOKUP(Table143454[[#This Row],[Date]],'Data Core CPI'!$B:$AY,MATCH($B$2,'Data Core CPI'!$C$1:$AY$1,0),FALSE)</f>
        <v>97.523099999999999</v>
      </c>
      <c r="G736" s="36">
        <f t="shared" si="44"/>
        <v>3.1490390154145231E-3</v>
      </c>
      <c r="H736" s="36">
        <f t="shared" si="45"/>
        <v>3.8449872592045464E-2</v>
      </c>
      <c r="I736" s="36">
        <f>(Table143454[[#This Row],[Core CPI]]-F724)/F724</f>
        <v>2.0426719848824326E-2</v>
      </c>
    </row>
    <row r="737" spans="1:9" x14ac:dyDescent="0.2">
      <c r="A737" s="34">
        <f>IF(Data!B765="",#N/A,Data!B765)</f>
        <v>41091</v>
      </c>
      <c r="B737" s="35">
        <f>VLOOKUP(A737,Data!B:AY,MATCH($B$2,Data!$C$1:$AY$1,0),FALSE)</f>
        <v>98.697680000000005</v>
      </c>
      <c r="C737" s="36">
        <f t="shared" si="46"/>
        <v>9.4346463376715484E-4</v>
      </c>
      <c r="D737" s="36">
        <f t="shared" si="43"/>
        <v>1.1380509038426911E-2</v>
      </c>
      <c r="E737" s="36">
        <f>(Table143454[[#This Row],[JPN]]-B725)/B725</f>
        <v>3.1098214361268847E-2</v>
      </c>
      <c r="F737" s="35">
        <f>VLOOKUP(Table143454[[#This Row],[Date]],'Data Core CPI'!$B:$AY,MATCH($B$2,'Data Core CPI'!$C$1:$AY$1,0),FALSE)</f>
        <v>97.878450000000001</v>
      </c>
      <c r="G737" s="36">
        <f t="shared" si="44"/>
        <v>3.643752095657371E-3</v>
      </c>
      <c r="H737" s="36">
        <f t="shared" si="45"/>
        <v>4.4612033376492111E-2</v>
      </c>
      <c r="I737" s="36">
        <f>(Table143454[[#This Row],[Core CPI]]-F725)/F725</f>
        <v>2.0695694176874276E-2</v>
      </c>
    </row>
    <row r="738" spans="1:9" x14ac:dyDescent="0.2">
      <c r="A738" s="34">
        <f>IF(Data!B766="",#N/A,Data!B766)</f>
        <v>41122</v>
      </c>
      <c r="B738" s="35">
        <f>VLOOKUP(A738,Data!B:AY,MATCH($B$2,Data!$C$1:$AY$1,0),FALSE)</f>
        <v>99.069770000000005</v>
      </c>
      <c r="C738" s="36">
        <f t="shared" si="46"/>
        <v>3.7699974305374084E-3</v>
      </c>
      <c r="D738" s="36">
        <f t="shared" si="43"/>
        <v>4.6189908041715633E-2</v>
      </c>
      <c r="E738" s="36">
        <f>(Table143454[[#This Row],[JPN]]-B726)/B726</f>
        <v>3.197677083333339E-2</v>
      </c>
      <c r="F738" s="35">
        <f>VLOOKUP(Table143454[[#This Row],[Date]],'Data Core CPI'!$B:$AY,MATCH($B$2,'Data Core CPI'!$C$1:$AY$1,0),FALSE)</f>
        <v>98.137709999999998</v>
      </c>
      <c r="G738" s="36">
        <f t="shared" si="44"/>
        <v>2.6487955213838621E-3</v>
      </c>
      <c r="H738" s="36">
        <f t="shared" si="45"/>
        <v>3.2252723033609376E-2</v>
      </c>
      <c r="I738" s="36">
        <f>(Table143454[[#This Row],[Core CPI]]-F726)/F726</f>
        <v>1.9885847854713479E-2</v>
      </c>
    </row>
    <row r="739" spans="1:9" x14ac:dyDescent="0.2">
      <c r="A739" s="34">
        <f>IF(Data!B767="",#N/A,Data!B767)</f>
        <v>41153</v>
      </c>
      <c r="B739" s="35">
        <f>VLOOKUP(A739,Data!B:AY,MATCH($B$2,Data!$C$1:$AY$1,0),FALSE)</f>
        <v>99.069770000000005</v>
      </c>
      <c r="C739" s="36">
        <f t="shared" si="46"/>
        <v>0</v>
      </c>
      <c r="D739" s="36">
        <f t="shared" si="43"/>
        <v>0</v>
      </c>
      <c r="E739" s="36">
        <f>(Table143454[[#This Row],[JPN]]-B727)/B727</f>
        <v>3.197677083333339E-2</v>
      </c>
      <c r="F739" s="35">
        <f>VLOOKUP(Table143454[[#This Row],[Date]],'Data Core CPI'!$B:$AY,MATCH($B$2,'Data Core CPI'!$C$1:$AY$1,0),FALSE)</f>
        <v>97.737430000000003</v>
      </c>
      <c r="G739" s="36">
        <f t="shared" si="44"/>
        <v>-4.0787583080957868E-3</v>
      </c>
      <c r="H739" s="36">
        <f t="shared" si="45"/>
        <v>-4.7861897982687474E-2</v>
      </c>
      <c r="I739" s="36">
        <f>(Table143454[[#This Row],[Core CPI]]-F727)/F727</f>
        <v>1.6267465671736835E-2</v>
      </c>
    </row>
    <row r="740" spans="1:9" x14ac:dyDescent="0.2">
      <c r="A740" s="34">
        <f>IF(Data!B768="",#N/A,Data!B768)</f>
        <v>41183</v>
      </c>
      <c r="B740" s="35">
        <f>VLOOKUP(A740,Data!B:AY,MATCH($B$2,Data!$C$1:$AY$1,0),FALSE)</f>
        <v>99.069770000000005</v>
      </c>
      <c r="C740" s="36">
        <f t="shared" si="46"/>
        <v>0</v>
      </c>
      <c r="D740" s="36">
        <f t="shared" si="43"/>
        <v>0</v>
      </c>
      <c r="E740" s="36">
        <f>(Table143454[[#This Row],[JPN]]-B728)/B728</f>
        <v>2.6011582244645674E-2</v>
      </c>
      <c r="F740" s="35">
        <f>VLOOKUP(Table143454[[#This Row],[Date]],'Data Core CPI'!$B:$AY,MATCH($B$2,'Data Core CPI'!$C$1:$AY$1,0),FALSE)</f>
        <v>97.703659999999999</v>
      </c>
      <c r="G740" s="36">
        <f t="shared" si="44"/>
        <v>-3.4551757704293085E-4</v>
      </c>
      <c r="H740" s="36">
        <f t="shared" si="45"/>
        <v>-4.1383407540425132E-3</v>
      </c>
      <c r="I740" s="36">
        <f>(Table143454[[#This Row],[Core CPI]]-F728)/F728</f>
        <v>1.1072327769711753E-2</v>
      </c>
    </row>
    <row r="741" spans="1:9" x14ac:dyDescent="0.2">
      <c r="A741" s="34">
        <f>IF(Data!B769="",#N/A,Data!B769)</f>
        <v>41214</v>
      </c>
      <c r="B741" s="35">
        <f>VLOOKUP(A741,Data!B:AY,MATCH($B$2,Data!$C$1:$AY$1,0),FALSE)</f>
        <v>98.883719999999997</v>
      </c>
      <c r="C741" s="36">
        <f t="shared" si="46"/>
        <v>-1.8779694350760101E-3</v>
      </c>
      <c r="D741" s="36">
        <f t="shared" si="43"/>
        <v>-2.2304317411619312E-2</v>
      </c>
      <c r="E741" s="36">
        <f>(Table143454[[#This Row],[JPN]]-B729)/B729</f>
        <v>2.5072274828456108E-2</v>
      </c>
      <c r="F741" s="35">
        <f>VLOOKUP(Table143454[[#This Row],[Date]],'Data Core CPI'!$B:$AY,MATCH($B$2,'Data Core CPI'!$C$1:$AY$1,0),FALSE)</f>
        <v>97.549840000000003</v>
      </c>
      <c r="G741" s="36">
        <f t="shared" si="44"/>
        <v>-1.5743524858741198E-3</v>
      </c>
      <c r="H741" s="36">
        <f t="shared" si="45"/>
        <v>-1.872949861455353E-2</v>
      </c>
      <c r="I741" s="36">
        <f>(Table143454[[#This Row],[Core CPI]]-F729)/F729</f>
        <v>1.2922545408442144E-2</v>
      </c>
    </row>
    <row r="742" spans="1:9" x14ac:dyDescent="0.2">
      <c r="A742" s="34">
        <f>IF(Data!B770="",#N/A,Data!B770)</f>
        <v>41244</v>
      </c>
      <c r="B742" s="35">
        <f>VLOOKUP(A742,Data!B:AY,MATCH($B$2,Data!$C$1:$AY$1,0),FALSE)</f>
        <v>99.069770000000005</v>
      </c>
      <c r="C742" s="36">
        <f t="shared" si="46"/>
        <v>1.8815028399012945E-3</v>
      </c>
      <c r="D742" s="36">
        <f t="shared" si="43"/>
        <v>2.2813149130995525E-2</v>
      </c>
      <c r="E742" s="36">
        <f>(Table143454[[#This Row],[JPN]]-B730)/B730</f>
        <v>2.3054774089422924E-2</v>
      </c>
      <c r="F742" s="35">
        <f>VLOOKUP(Table143454[[#This Row],[Date]],'Data Core CPI'!$B:$AY,MATCH($B$2,'Data Core CPI'!$C$1:$AY$1,0),FALSE)</f>
        <v>97.791560000000004</v>
      </c>
      <c r="G742" s="36">
        <f t="shared" si="44"/>
        <v>2.4779128289702523E-3</v>
      </c>
      <c r="H742" s="36">
        <f t="shared" si="45"/>
        <v>3.0143563307658772E-2</v>
      </c>
      <c r="I742" s="36">
        <f>(Table143454[[#This Row],[Core CPI]]-F730)/F730</f>
        <v>1.2256188752180061E-2</v>
      </c>
    </row>
    <row r="743" spans="1:9" x14ac:dyDescent="0.2">
      <c r="A743" s="34">
        <f>IF(Data!B771="",#N/A,Data!B771)</f>
        <v>41275</v>
      </c>
      <c r="B743" s="35">
        <f>VLOOKUP(A743,Data!B:AY,MATCH($B$2,Data!$C$1:$AY$1,0),FALSE)</f>
        <v>99.255809999999997</v>
      </c>
      <c r="C743" s="36">
        <f t="shared" si="46"/>
        <v>1.877868496111379E-3</v>
      </c>
      <c r="D743" s="36">
        <f t="shared" si="43"/>
        <v>2.2768626734568587E-2</v>
      </c>
      <c r="E743" s="36">
        <f>(Table143454[[#This Row],[JPN]]-B731)/B731</f>
        <v>2.2030600842618698E-2</v>
      </c>
      <c r="F743" s="35">
        <f>VLOOKUP(Table143454[[#This Row],[Date]],'Data Core CPI'!$B:$AY,MATCH($B$2,'Data Core CPI'!$C$1:$AY$1,0),FALSE)</f>
        <v>97.767679999999999</v>
      </c>
      <c r="G743" s="36">
        <f t="shared" si="44"/>
        <v>-2.4419285263477253E-4</v>
      </c>
      <c r="H743" s="36">
        <f t="shared" si="45"/>
        <v>-2.9263818434820399E-3</v>
      </c>
      <c r="I743" s="36">
        <f>(Table143454[[#This Row],[Core CPI]]-F731)/F731</f>
        <v>1.5065098810527689E-2</v>
      </c>
    </row>
    <row r="744" spans="1:9" x14ac:dyDescent="0.2">
      <c r="A744" s="34">
        <f>IF(Data!B772="",#N/A,Data!B772)</f>
        <v>41306</v>
      </c>
      <c r="B744" s="35">
        <f>VLOOKUP(A744,Data!B:AY,MATCH($B$2,Data!$C$1:$AY$1,0),FALSE)</f>
        <v>99.348839999999996</v>
      </c>
      <c r="C744" s="36">
        <f t="shared" si="46"/>
        <v>9.3727510762331434E-4</v>
      </c>
      <c r="D744" s="36">
        <f t="shared" si="43"/>
        <v>1.1305462803458344E-2</v>
      </c>
      <c r="E744" s="36">
        <f>(Table143454[[#This Row],[JPN]]-B732)/B732</f>
        <v>1.9084019970792333E-2</v>
      </c>
      <c r="F744" s="35">
        <f>VLOOKUP(Table143454[[#This Row],[Date]],'Data Core CPI'!$B:$AY,MATCH($B$2,'Data Core CPI'!$C$1:$AY$1,0),FALSE)</f>
        <v>97.785809999999998</v>
      </c>
      <c r="G744" s="36">
        <f t="shared" si="44"/>
        <v>1.8543960539929571E-4</v>
      </c>
      <c r="H744" s="36">
        <f t="shared" si="45"/>
        <v>2.2275462662066925E-3</v>
      </c>
      <c r="I744" s="36">
        <f>(Table143454[[#This Row],[Core CPI]]-F732)/F732</f>
        <v>1.3169488273089034E-2</v>
      </c>
    </row>
    <row r="745" spans="1:9" x14ac:dyDescent="0.2">
      <c r="A745" s="34">
        <f>IF(Data!B773="",#N/A,Data!B773)</f>
        <v>41334</v>
      </c>
      <c r="B745" s="35">
        <f>VLOOKUP(A745,Data!B:AY,MATCH($B$2,Data!$C$1:$AY$1,0),FALSE)</f>
        <v>99.534880000000001</v>
      </c>
      <c r="C745" s="36">
        <f t="shared" si="46"/>
        <v>1.8725935803578508E-3</v>
      </c>
      <c r="D745" s="36">
        <f t="shared" si="43"/>
        <v>2.2704009731399521E-2</v>
      </c>
      <c r="E745" s="36">
        <f>(Table143454[[#This Row],[JPN]]-B733)/B733</f>
        <v>1.6144294603489869E-2</v>
      </c>
      <c r="F745" s="35">
        <f>VLOOKUP(Table143454[[#This Row],[Date]],'Data Core CPI'!$B:$AY,MATCH($B$2,'Data Core CPI'!$C$1:$AY$1,0),FALSE)</f>
        <v>97.988789999999995</v>
      </c>
      <c r="G745" s="36">
        <f t="shared" si="44"/>
        <v>2.0757612991086916E-3</v>
      </c>
      <c r="H745" s="36">
        <f t="shared" si="45"/>
        <v>2.5195492299963096E-2</v>
      </c>
      <c r="I745" s="36">
        <f>(Table143454[[#This Row],[Core CPI]]-F733)/F733</f>
        <v>1.1446967123490314E-2</v>
      </c>
    </row>
    <row r="746" spans="1:9" x14ac:dyDescent="0.2">
      <c r="A746" s="34">
        <f>IF(Data!B774="",#N/A,Data!B774)</f>
        <v>41365</v>
      </c>
      <c r="B746" s="35">
        <f>VLOOKUP(A746,Data!B:AY,MATCH($B$2,Data!$C$1:$AY$1,0),FALSE)</f>
        <v>99.534880000000001</v>
      </c>
      <c r="C746" s="36">
        <f t="shared" si="46"/>
        <v>0</v>
      </c>
      <c r="D746" s="36">
        <f t="shared" si="43"/>
        <v>0</v>
      </c>
      <c r="E746" s="36">
        <f>(Table143454[[#This Row],[JPN]]-B734)/B734</f>
        <v>1.1342164997266811E-2</v>
      </c>
      <c r="F746" s="35">
        <f>VLOOKUP(Table143454[[#This Row],[Date]],'Data Core CPI'!$B:$AY,MATCH($B$2,'Data Core CPI'!$C$1:$AY$1,0),FALSE)</f>
        <v>98.249099999999999</v>
      </c>
      <c r="G746" s="36">
        <f t="shared" si="44"/>
        <v>2.6565283641117876E-3</v>
      </c>
      <c r="H746" s="36">
        <f t="shared" si="45"/>
        <v>3.2348261011815538E-2</v>
      </c>
      <c r="I746" s="36">
        <f>(Table143454[[#This Row],[Core CPI]]-F734)/F734</f>
        <v>1.0481436848857001E-2</v>
      </c>
    </row>
    <row r="747" spans="1:9" x14ac:dyDescent="0.2">
      <c r="A747" s="34">
        <f>IF(Data!B775="",#N/A,Data!B775)</f>
        <v>41395</v>
      </c>
      <c r="B747" s="35">
        <f>VLOOKUP(A747,Data!B:AY,MATCH($B$2,Data!$C$1:$AY$1,0),FALSE)</f>
        <v>99.534880000000001</v>
      </c>
      <c r="C747" s="36">
        <f t="shared" si="46"/>
        <v>0</v>
      </c>
      <c r="D747" s="36">
        <f t="shared" si="43"/>
        <v>0</v>
      </c>
      <c r="E747" s="36">
        <f>(Table143454[[#This Row],[JPN]]-B735)/B735</f>
        <v>1.1342164997266811E-2</v>
      </c>
      <c r="F747" s="35">
        <f>VLOOKUP(Table143454[[#This Row],[Date]],'Data Core CPI'!$B:$AY,MATCH($B$2,'Data Core CPI'!$C$1:$AY$1,0),FALSE)</f>
        <v>98.351470000000006</v>
      </c>
      <c r="G747" s="36">
        <f t="shared" si="44"/>
        <v>1.0419433867587813E-3</v>
      </c>
      <c r="H747" s="36">
        <f t="shared" si="45"/>
        <v>1.257522272287237E-2</v>
      </c>
      <c r="I747" s="36">
        <f>(Table143454[[#This Row],[Core CPI]]-F735)/F735</f>
        <v>1.1669877354733226E-2</v>
      </c>
    </row>
    <row r="748" spans="1:9" x14ac:dyDescent="0.2">
      <c r="A748" s="34">
        <f>IF(Data!B776="",#N/A,Data!B776)</f>
        <v>41426</v>
      </c>
      <c r="B748" s="35">
        <f>VLOOKUP(A748,Data!B:AY,MATCH($B$2,Data!$C$1:$AY$1,0),FALSE)</f>
        <v>99.813959999999994</v>
      </c>
      <c r="C748" s="36">
        <f t="shared" si="46"/>
        <v>2.8038412263118317E-3</v>
      </c>
      <c r="D748" s="36">
        <f t="shared" si="43"/>
        <v>3.4169835480607258E-2</v>
      </c>
      <c r="E748" s="36">
        <f>(Table143454[[#This Row],[JPN]]-B736)/B736</f>
        <v>1.2264228918210123E-2</v>
      </c>
      <c r="F748" s="35">
        <f>VLOOKUP(Table143454[[#This Row],[Date]],'Data Core CPI'!$B:$AY,MATCH($B$2,'Data Core CPI'!$C$1:$AY$1,0),FALSE)</f>
        <v>98.570179999999993</v>
      </c>
      <c r="G748" s="36">
        <f t="shared" si="44"/>
        <v>2.2237593398450883E-3</v>
      </c>
      <c r="H748" s="36">
        <f t="shared" si="45"/>
        <v>2.7013920475236652E-2</v>
      </c>
      <c r="I748" s="36">
        <f>(Table143454[[#This Row],[Core CPI]]-F736)/F736</f>
        <v>1.0736738270214893E-2</v>
      </c>
    </row>
    <row r="749" spans="1:9" x14ac:dyDescent="0.2">
      <c r="A749" s="34">
        <f>IF(Data!B777="",#N/A,Data!B777)</f>
        <v>41456</v>
      </c>
      <c r="B749" s="35">
        <f>VLOOKUP(A749,Data!B:AY,MATCH($B$2,Data!$C$1:$AY$1,0),FALSE)</f>
        <v>99.906970000000001</v>
      </c>
      <c r="C749" s="36">
        <f t="shared" si="46"/>
        <v>9.3183358319826048E-4</v>
      </c>
      <c r="D749" s="36">
        <f t="shared" si="43"/>
        <v>1.1239490091994764E-2</v>
      </c>
      <c r="E749" s="36">
        <f>(Table143454[[#This Row],[JPN]]-B737)/B737</f>
        <v>1.2252466319370381E-2</v>
      </c>
      <c r="F749" s="35">
        <f>VLOOKUP(Table143454[[#This Row],[Date]],'Data Core CPI'!$B:$AY,MATCH($B$2,'Data Core CPI'!$C$1:$AY$1,0),FALSE)</f>
        <v>98.794560000000004</v>
      </c>
      <c r="G749" s="36">
        <f t="shared" si="44"/>
        <v>2.2763476743170585E-3</v>
      </c>
      <c r="H749" s="36">
        <f t="shared" si="45"/>
        <v>2.7660776514446095E-2</v>
      </c>
      <c r="I749" s="36">
        <f>(Table143454[[#This Row],[Core CPI]]-F737)/F737</f>
        <v>9.3596700805948941E-3</v>
      </c>
    </row>
    <row r="750" spans="1:9" x14ac:dyDescent="0.2">
      <c r="A750" s="34">
        <f>IF(Data!B778="",#N/A,Data!B778)</f>
        <v>41487</v>
      </c>
      <c r="B750" s="35">
        <f>VLOOKUP(A750,Data!B:AY,MATCH($B$2,Data!$C$1:$AY$1,0),FALSE)</f>
        <v>100.2791</v>
      </c>
      <c r="C750" s="36">
        <f t="shared" si="46"/>
        <v>3.7247651490182054E-3</v>
      </c>
      <c r="D750" s="36">
        <f t="shared" si="43"/>
        <v>4.5624322339804513E-2</v>
      </c>
      <c r="E750" s="36">
        <f>(Table143454[[#This Row],[JPN]]-B738)/B738</f>
        <v>1.2206851797475599E-2</v>
      </c>
      <c r="F750" s="35">
        <f>VLOOKUP(Table143454[[#This Row],[Date]],'Data Core CPI'!$B:$AY,MATCH($B$2,'Data Core CPI'!$C$1:$AY$1,0),FALSE)</f>
        <v>99.28492</v>
      </c>
      <c r="G750" s="36">
        <f t="shared" si="44"/>
        <v>4.9634311848749668E-3</v>
      </c>
      <c r="H750" s="36">
        <f t="shared" si="45"/>
        <v>6.1214330900398739E-2</v>
      </c>
      <c r="I750" s="36">
        <f>(Table143454[[#This Row],[Core CPI]]-F738)/F738</f>
        <v>1.1689797938019964E-2</v>
      </c>
    </row>
    <row r="751" spans="1:9" x14ac:dyDescent="0.2">
      <c r="A751" s="34">
        <f>IF(Data!B779="",#N/A,Data!B779)</f>
        <v>41518</v>
      </c>
      <c r="B751" s="35">
        <f>VLOOKUP(A751,Data!B:AY,MATCH($B$2,Data!$C$1:$AY$1,0),FALSE)</f>
        <v>100</v>
      </c>
      <c r="C751" s="36">
        <f t="shared" si="46"/>
        <v>-2.7832319994893773E-3</v>
      </c>
      <c r="D751" s="36">
        <f t="shared" si="43"/>
        <v>-3.289223651280393E-2</v>
      </c>
      <c r="E751" s="36">
        <f>(Table143454[[#This Row],[JPN]]-B739)/B739</f>
        <v>9.3896452974504187E-3</v>
      </c>
      <c r="F751" s="35">
        <f>VLOOKUP(Table143454[[#This Row],[Date]],'Data Core CPI'!$B:$AY,MATCH($B$2,'Data Core CPI'!$C$1:$AY$1,0),FALSE)</f>
        <v>98.879930000000002</v>
      </c>
      <c r="G751" s="36">
        <f t="shared" si="44"/>
        <v>-4.0790686037718293E-3</v>
      </c>
      <c r="H751" s="36">
        <f t="shared" si="45"/>
        <v>-4.7865457828395241E-2</v>
      </c>
      <c r="I751" s="36">
        <f>(Table143454[[#This Row],[Core CPI]]-F739)/F739</f>
        <v>1.168948272939035E-2</v>
      </c>
    </row>
    <row r="752" spans="1:9" x14ac:dyDescent="0.2">
      <c r="A752" s="34">
        <f>IF(Data!B780="",#N/A,Data!B780)</f>
        <v>41548</v>
      </c>
      <c r="B752" s="35">
        <f>VLOOKUP(A752,Data!B:AY,MATCH($B$2,Data!$C$1:$AY$1,0),FALSE)</f>
        <v>99.813959999999994</v>
      </c>
      <c r="C752" s="36">
        <f t="shared" si="46"/>
        <v>-1.8604000000000953E-3</v>
      </c>
      <c r="D752" s="36">
        <f t="shared" si="43"/>
        <v>-2.2097778851234429E-2</v>
      </c>
      <c r="E752" s="36">
        <f>(Table143454[[#This Row],[JPN]]-B740)/B740</f>
        <v>7.5117768013389851E-3</v>
      </c>
      <c r="F752" s="35">
        <f>VLOOKUP(Table143454[[#This Row],[Date]],'Data Core CPI'!$B:$AY,MATCH($B$2,'Data Core CPI'!$C$1:$AY$1,0),FALSE)</f>
        <v>98.840230000000005</v>
      </c>
      <c r="G752" s="36">
        <f t="shared" si="44"/>
        <v>-4.0149704798531083E-4</v>
      </c>
      <c r="H752" s="36">
        <f t="shared" si="45"/>
        <v>-4.8073396096000032E-3</v>
      </c>
      <c r="I752" s="36">
        <f>(Table143454[[#This Row],[Core CPI]]-F740)/F740</f>
        <v>1.163282931263789E-2</v>
      </c>
    </row>
    <row r="753" spans="1:9" x14ac:dyDescent="0.2">
      <c r="A753" s="34">
        <f>IF(Data!B781="",#N/A,Data!B781)</f>
        <v>41579</v>
      </c>
      <c r="B753" s="35">
        <f>VLOOKUP(A753,Data!B:AY,MATCH($B$2,Data!$C$1:$AY$1,0),FALSE)</f>
        <v>99.534880000000001</v>
      </c>
      <c r="C753" s="36">
        <f t="shared" si="46"/>
        <v>-2.7960016815282707E-3</v>
      </c>
      <c r="D753" s="36">
        <f t="shared" si="43"/>
        <v>-3.3040835565201765E-2</v>
      </c>
      <c r="E753" s="36">
        <f>(Table143454[[#This Row],[JPN]]-B741)/B741</f>
        <v>6.5851082463322013E-3</v>
      </c>
      <c r="F753" s="35">
        <f>VLOOKUP(Table143454[[#This Row],[Date]],'Data Core CPI'!$B:$AY,MATCH($B$2,'Data Core CPI'!$C$1:$AY$1,0),FALSE)</f>
        <v>98.532390000000007</v>
      </c>
      <c r="G753" s="36">
        <f t="shared" si="44"/>
        <v>-3.1145212834895464E-3</v>
      </c>
      <c r="H753" s="36">
        <f t="shared" si="45"/>
        <v>-3.6740639584586066E-2</v>
      </c>
      <c r="I753" s="36">
        <f>(Table143454[[#This Row],[Core CPI]]-F741)/F741</f>
        <v>1.0072287150855433E-2</v>
      </c>
    </row>
    <row r="754" spans="1:9" x14ac:dyDescent="0.2">
      <c r="A754" s="34">
        <f>IF(Data!B782="",#N/A,Data!B782)</f>
        <v>41609</v>
      </c>
      <c r="B754" s="35">
        <f>VLOOKUP(A754,Data!B:AY,MATCH($B$2,Data!$C$1:$AY$1,0),FALSE)</f>
        <v>99.720929999999996</v>
      </c>
      <c r="C754" s="36">
        <f t="shared" si="46"/>
        <v>1.8691939951100967E-3</v>
      </c>
      <c r="D754" s="36">
        <f t="shared" si="43"/>
        <v>2.2662367255884552E-2</v>
      </c>
      <c r="E754" s="36">
        <f>(Table143454[[#This Row],[JPN]]-B742)/B742</f>
        <v>6.572741614318779E-3</v>
      </c>
      <c r="F754" s="35">
        <f>VLOOKUP(Table143454[[#This Row],[Date]],'Data Core CPI'!$B:$AY,MATCH($B$2,'Data Core CPI'!$C$1:$AY$1,0),FALSE)</f>
        <v>98.553470000000004</v>
      </c>
      <c r="G754" s="36">
        <f t="shared" si="44"/>
        <v>2.139398019269656E-4</v>
      </c>
      <c r="H754" s="36">
        <f t="shared" si="45"/>
        <v>2.5703006141819529E-3</v>
      </c>
      <c r="I754" s="36">
        <f>(Table143454[[#This Row],[Core CPI]]-F742)/F742</f>
        <v>7.7911631637740545E-3</v>
      </c>
    </row>
    <row r="755" spans="1:9" x14ac:dyDescent="0.2">
      <c r="A755" s="34">
        <f>IF(Data!B783="",#N/A,Data!B783)</f>
        <v>41640</v>
      </c>
      <c r="B755" s="35">
        <f>VLOOKUP(A755,Data!B:AY,MATCH($B$2,Data!$C$1:$AY$1,0),FALSE)</f>
        <v>99.906970000000001</v>
      </c>
      <c r="C755" s="36">
        <f t="shared" si="46"/>
        <v>1.8656063476343299E-3</v>
      </c>
      <c r="D755" s="36">
        <f t="shared" si="43"/>
        <v>2.2618422838921015E-2</v>
      </c>
      <c r="E755" s="36">
        <f>(Table143454[[#This Row],[JPN]]-B743)/B743</f>
        <v>6.5604220045154477E-3</v>
      </c>
      <c r="F755" s="35">
        <f>VLOOKUP(Table143454[[#This Row],[Date]],'Data Core CPI'!$B:$AY,MATCH($B$2,'Data Core CPI'!$C$1:$AY$1,0),FALSE)</f>
        <v>98.803979999999996</v>
      </c>
      <c r="G755" s="36">
        <f t="shared" si="44"/>
        <v>2.5418688961433844E-3</v>
      </c>
      <c r="H755" s="36">
        <f t="shared" si="45"/>
        <v>3.0932493053996701E-2</v>
      </c>
      <c r="I755" s="36">
        <f>(Table143454[[#This Row],[Core CPI]]-F743)/F743</f>
        <v>1.059961737866744E-2</v>
      </c>
    </row>
    <row r="756" spans="1:9" x14ac:dyDescent="0.2">
      <c r="A756" s="34">
        <f>IF(Data!B784="",#N/A,Data!B784)</f>
        <v>41671</v>
      </c>
      <c r="B756" s="35">
        <f>VLOOKUP(A756,Data!B:AY,MATCH($B$2,Data!$C$1:$AY$1,0),FALSE)</f>
        <v>99.813959999999994</v>
      </c>
      <c r="C756" s="36">
        <f t="shared" si="46"/>
        <v>-9.3096607774223461E-4</v>
      </c>
      <c r="D756" s="36">
        <f t="shared" si="43"/>
        <v>-1.1114568014914394E-2</v>
      </c>
      <c r="E756" s="36">
        <f>(Table143454[[#This Row],[JPN]]-B744)/B744</f>
        <v>4.6816852617504031E-3</v>
      </c>
      <c r="F756" s="35">
        <f>VLOOKUP(Table143454[[#This Row],[Date]],'Data Core CPI'!$B:$AY,MATCH($B$2,'Data Core CPI'!$C$1:$AY$1,0),FALSE)</f>
        <v>98.803880000000007</v>
      </c>
      <c r="G756" s="36">
        <f t="shared" si="44"/>
        <v>-1.0121049778266666E-6</v>
      </c>
      <c r="H756" s="36">
        <f t="shared" si="45"/>
        <v>-1.2145192126444826E-5</v>
      </c>
      <c r="I756" s="36">
        <f>(Table143454[[#This Row],[Core CPI]]-F744)/F744</f>
        <v>1.0411224287041327E-2</v>
      </c>
    </row>
    <row r="757" spans="1:9" x14ac:dyDescent="0.2">
      <c r="A757" s="34">
        <f>IF(Data!B785="",#N/A,Data!B785)</f>
        <v>41699</v>
      </c>
      <c r="B757" s="35">
        <f>VLOOKUP(A757,Data!B:AY,MATCH($B$2,Data!$C$1:$AY$1,0),FALSE)</f>
        <v>99.906970000000001</v>
      </c>
      <c r="C757" s="36">
        <f t="shared" si="46"/>
        <v>9.3183358319826048E-4</v>
      </c>
      <c r="D757" s="36">
        <f t="shared" si="43"/>
        <v>1.1239490091994764E-2</v>
      </c>
      <c r="E757" s="36">
        <f>(Table143454[[#This Row],[JPN]]-B745)/B745</f>
        <v>3.7382875229266367E-3</v>
      </c>
      <c r="F757" s="35">
        <f>VLOOKUP(Table143454[[#This Row],[Date]],'Data Core CPI'!$B:$AY,MATCH($B$2,'Data Core CPI'!$C$1:$AY$1,0),FALSE)</f>
        <v>99.022400000000005</v>
      </c>
      <c r="G757" s="36">
        <f t="shared" si="44"/>
        <v>2.211654036258448E-3</v>
      </c>
      <c r="H757" s="36">
        <f t="shared" si="45"/>
        <v>2.6865073601682887E-2</v>
      </c>
      <c r="I757" s="36">
        <f>(Table143454[[#This Row],[Core CPI]]-F745)/F745</f>
        <v>1.0548247406667745E-2</v>
      </c>
    </row>
    <row r="758" spans="1:9" x14ac:dyDescent="0.2">
      <c r="A758" s="34">
        <f>IF(Data!B786="",#N/A,Data!B786)</f>
        <v>41730</v>
      </c>
      <c r="B758" s="35">
        <f>VLOOKUP(A758,Data!B:AY,MATCH($B$2,Data!$C$1:$AY$1,0),FALSE)</f>
        <v>100.093</v>
      </c>
      <c r="C758" s="36">
        <f t="shared" si="46"/>
        <v>1.8620322486009311E-3</v>
      </c>
      <c r="D758" s="36">
        <f t="shared" si="43"/>
        <v>2.2574646095443018E-2</v>
      </c>
      <c r="E758" s="36">
        <f>(Table143454[[#This Row],[JPN]]-B746)/B746</f>
        <v>5.6072805834497651E-3</v>
      </c>
      <c r="F758" s="35">
        <f>VLOOKUP(Table143454[[#This Row],[Date]],'Data Core CPI'!$B:$AY,MATCH($B$2,'Data Core CPI'!$C$1:$AY$1,0),FALSE)</f>
        <v>99.412769999999995</v>
      </c>
      <c r="G758" s="36">
        <f t="shared" si="44"/>
        <v>3.9422393317065652E-3</v>
      </c>
      <c r="H758" s="36">
        <f t="shared" si="45"/>
        <v>4.8346193671029658E-2</v>
      </c>
      <c r="I758" s="36">
        <f>(Table143454[[#This Row],[Core CPI]]-F746)/F746</f>
        <v>1.1844077961019451E-2</v>
      </c>
    </row>
    <row r="759" spans="1:9" x14ac:dyDescent="0.2">
      <c r="A759" s="34">
        <f>IF(Data!B787="",#N/A,Data!B787)</f>
        <v>41760</v>
      </c>
      <c r="B759" s="35">
        <f>VLOOKUP(A759,Data!B:AY,MATCH($B$2,Data!$C$1:$AY$1,0),FALSE)</f>
        <v>100</v>
      </c>
      <c r="C759" s="36">
        <f t="shared" si="46"/>
        <v>-9.2913590360965692E-4</v>
      </c>
      <c r="D759" s="36">
        <f t="shared" si="43"/>
        <v>-1.1092829567888374E-2</v>
      </c>
      <c r="E759" s="36">
        <f>(Table143454[[#This Row],[JPN]]-B747)/B747</f>
        <v>4.6729347541283909E-3</v>
      </c>
      <c r="F759" s="35">
        <f>VLOOKUP(Table143454[[#This Row],[Date]],'Data Core CPI'!$B:$AY,MATCH($B$2,'Data Core CPI'!$C$1:$AY$1,0),FALSE)</f>
        <v>99.259249999999994</v>
      </c>
      <c r="G759" s="36">
        <f t="shared" si="44"/>
        <v>-1.5442684073685431E-3</v>
      </c>
      <c r="H759" s="36">
        <f t="shared" si="45"/>
        <v>-1.8374633793690975E-2</v>
      </c>
      <c r="I759" s="36">
        <f>(Table143454[[#This Row],[Core CPI]]-F747)/F747</f>
        <v>9.2299586371204032E-3</v>
      </c>
    </row>
    <row r="760" spans="1:9" x14ac:dyDescent="0.2">
      <c r="A760" s="34">
        <f>IF(Data!B788="",#N/A,Data!B788)</f>
        <v>41791</v>
      </c>
      <c r="B760" s="35">
        <f>VLOOKUP(A760,Data!B:AY,MATCH($B$2,Data!$C$1:$AY$1,0),FALSE)</f>
        <v>100.093</v>
      </c>
      <c r="C760" s="36">
        <f t="shared" si="46"/>
        <v>9.3000000000009742E-4</v>
      </c>
      <c r="D760" s="36">
        <f t="shared" si="43"/>
        <v>1.1217260729378564E-2</v>
      </c>
      <c r="E760" s="36">
        <f>(Table143454[[#This Row],[JPN]]-B748)/B748</f>
        <v>2.7956009359813906E-3</v>
      </c>
      <c r="F760" s="35">
        <f>VLOOKUP(Table143454[[#This Row],[Date]],'Data Core CPI'!$B:$AY,MATCH($B$2,'Data Core CPI'!$C$1:$AY$1,0),FALSE)</f>
        <v>99.358509999999995</v>
      </c>
      <c r="G760" s="36">
        <f t="shared" si="44"/>
        <v>1.0000075559708499E-3</v>
      </c>
      <c r="H760" s="36">
        <f t="shared" si="45"/>
        <v>1.2066312169837667E-2</v>
      </c>
      <c r="I760" s="36">
        <f>(Table143454[[#This Row],[Core CPI]]-F748)/F748</f>
        <v>7.9976520282300598E-3</v>
      </c>
    </row>
    <row r="761" spans="1:9" x14ac:dyDescent="0.2">
      <c r="A761" s="34">
        <f>IF(Data!B789="",#N/A,Data!B789)</f>
        <v>41821</v>
      </c>
      <c r="B761" s="35">
        <f>VLOOKUP(A761,Data!B:AY,MATCH($B$2,Data!$C$1:$AY$1,0),FALSE)</f>
        <v>100</v>
      </c>
      <c r="C761" s="36">
        <f t="shared" si="46"/>
        <v>-9.2913590360965692E-4</v>
      </c>
      <c r="D761" s="36">
        <f t="shared" si="43"/>
        <v>-1.1092829567888374E-2</v>
      </c>
      <c r="E761" s="36">
        <f>(Table143454[[#This Row],[JPN]]-B749)/B749</f>
        <v>9.3116626397536466E-4</v>
      </c>
      <c r="F761" s="35">
        <f>VLOOKUP(Table143454[[#This Row],[Date]],'Data Core CPI'!$B:$AY,MATCH($B$2,'Data Core CPI'!$C$1:$AY$1,0),FALSE)</f>
        <v>99.540440000000004</v>
      </c>
      <c r="G761" s="36">
        <f t="shared" si="44"/>
        <v>1.8310459768369203E-3</v>
      </c>
      <c r="H761" s="36">
        <f t="shared" si="45"/>
        <v>2.2195188021302714E-2</v>
      </c>
      <c r="I761" s="36">
        <f>(Table143454[[#This Row],[Core CPI]]-F749)/F749</f>
        <v>7.5498084105035702E-3</v>
      </c>
    </row>
    <row r="762" spans="1:9" x14ac:dyDescent="0.2">
      <c r="A762" s="34">
        <f>IF(Data!B790="",#N/A,Data!B790)</f>
        <v>41852</v>
      </c>
      <c r="B762" s="35">
        <f>VLOOKUP(A762,Data!B:AY,MATCH($B$2,Data!$C$1:$AY$1,0),FALSE)</f>
        <v>100.18600000000001</v>
      </c>
      <c r="C762" s="36">
        <f t="shared" si="46"/>
        <v>1.8599999999999728E-3</v>
      </c>
      <c r="D762" s="36">
        <f t="shared" si="43"/>
        <v>2.2549755210562017E-2</v>
      </c>
      <c r="E762" s="36">
        <f>(Table143454[[#This Row],[JPN]]-B750)/B750</f>
        <v>-9.2840881100840185E-4</v>
      </c>
      <c r="F762" s="35">
        <f>VLOOKUP(Table143454[[#This Row],[Date]],'Data Core CPI'!$B:$AY,MATCH($B$2,'Data Core CPI'!$C$1:$AY$1,0),FALSE)</f>
        <v>99.852559999999997</v>
      </c>
      <c r="G762" s="36">
        <f t="shared" si="44"/>
        <v>3.1356100093589134E-3</v>
      </c>
      <c r="H762" s="36">
        <f t="shared" si="45"/>
        <v>3.8283065997603671E-2</v>
      </c>
      <c r="I762" s="36">
        <f>(Table143454[[#This Row],[Core CPI]]-F750)/F750</f>
        <v>5.7172831483371014E-3</v>
      </c>
    </row>
    <row r="763" spans="1:9" x14ac:dyDescent="0.2">
      <c r="A763" s="34">
        <f>IF(Data!B791="",#N/A,Data!B791)</f>
        <v>41883</v>
      </c>
      <c r="B763" s="35">
        <f>VLOOKUP(A763,Data!B:AY,MATCH($B$2,Data!$C$1:$AY$1,0),FALSE)</f>
        <v>99.813959999999994</v>
      </c>
      <c r="C763" s="36">
        <f t="shared" si="46"/>
        <v>-3.7134929032002217E-3</v>
      </c>
      <c r="D763" s="36">
        <f t="shared" si="43"/>
        <v>-4.3662945332770486E-2</v>
      </c>
      <c r="E763" s="36">
        <f>(Table143454[[#This Row],[JPN]]-B751)/B751</f>
        <v>-1.8604000000000554E-3</v>
      </c>
      <c r="F763" s="35">
        <f>VLOOKUP(Table143454[[#This Row],[Date]],'Data Core CPI'!$B:$AY,MATCH($B$2,'Data Core CPI'!$C$1:$AY$1,0),FALSE)</f>
        <v>99.365700000000004</v>
      </c>
      <c r="G763" s="36">
        <f t="shared" si="44"/>
        <v>-4.8757888630996948E-3</v>
      </c>
      <c r="H763" s="36">
        <f t="shared" si="45"/>
        <v>-5.6965650851764082E-2</v>
      </c>
      <c r="I763" s="36">
        <f>(Table143454[[#This Row],[Core CPI]]-F751)/F751</f>
        <v>4.9127259697696211E-3</v>
      </c>
    </row>
    <row r="764" spans="1:9" x14ac:dyDescent="0.2">
      <c r="A764" s="34">
        <f>IF(Data!B792="",#N/A,Data!B792)</f>
        <v>41913</v>
      </c>
      <c r="B764" s="35">
        <f>VLOOKUP(A764,Data!B:AY,MATCH($B$2,Data!$C$1:$AY$1,0),FALSE)</f>
        <v>99.906970000000001</v>
      </c>
      <c r="C764" s="36">
        <f t="shared" si="46"/>
        <v>9.3183358319826048E-4</v>
      </c>
      <c r="D764" s="36">
        <f t="shared" ref="D764:D813" si="47">((1+C764)^12)-1</f>
        <v>1.1239490091994764E-2</v>
      </c>
      <c r="E764" s="36">
        <f>(Table143454[[#This Row],[JPN]]-B752)/B752</f>
        <v>9.318335831982491E-4</v>
      </c>
      <c r="F764" s="35">
        <f>VLOOKUP(Table143454[[#This Row],[Date]],'Data Core CPI'!$B:$AY,MATCH($B$2,'Data Core CPI'!$C$1:$AY$1,0),FALSE)</f>
        <v>99.384060000000005</v>
      </c>
      <c r="G764" s="36">
        <f t="shared" si="44"/>
        <v>1.8477200885214096E-4</v>
      </c>
      <c r="H764" s="36">
        <f t="shared" si="45"/>
        <v>2.2195187805029715E-3</v>
      </c>
      <c r="I764" s="36">
        <f>(Table143454[[#This Row],[Core CPI]]-F752)/F752</f>
        <v>5.5021118425159447E-3</v>
      </c>
    </row>
    <row r="765" spans="1:9" x14ac:dyDescent="0.2">
      <c r="A765" s="34">
        <f>IF(Data!B793="",#N/A,Data!B793)</f>
        <v>41944</v>
      </c>
      <c r="B765" s="35">
        <f>VLOOKUP(A765,Data!B:AY,MATCH($B$2,Data!$C$1:$AY$1,0),FALSE)</f>
        <v>99.720929999999996</v>
      </c>
      <c r="C765" s="36">
        <f t="shared" si="46"/>
        <v>-1.862132341717504E-3</v>
      </c>
      <c r="D765" s="36">
        <f t="shared" si="47"/>
        <v>-2.2118145276641243E-2</v>
      </c>
      <c r="E765" s="36">
        <f>(Table143454[[#This Row],[JPN]]-B753)/B753</f>
        <v>1.8691939951100006E-3</v>
      </c>
      <c r="F765" s="35">
        <f>VLOOKUP(Table143454[[#This Row],[Date]],'Data Core CPI'!$B:$AY,MATCH($B$2,'Data Core CPI'!$C$1:$AY$1,0),FALSE)</f>
        <v>99.16686</v>
      </c>
      <c r="G765" s="36">
        <f t="shared" si="44"/>
        <v>-2.1854611292797532E-3</v>
      </c>
      <c r="H765" s="36">
        <f t="shared" si="45"/>
        <v>-2.5912586858904962E-2</v>
      </c>
      <c r="I765" s="36">
        <f>(Table143454[[#This Row],[Core CPI]]-F753)/F753</f>
        <v>6.439202378019991E-3</v>
      </c>
    </row>
    <row r="766" spans="1:9" x14ac:dyDescent="0.2">
      <c r="A766" s="34">
        <f>IF(Data!B794="",#N/A,Data!B794)</f>
        <v>41974</v>
      </c>
      <c r="B766" s="35">
        <f>VLOOKUP(A766,Data!B:AY,MATCH($B$2,Data!$C$1:$AY$1,0),FALSE)</f>
        <v>99.720929999999996</v>
      </c>
      <c r="C766" s="36">
        <f t="shared" si="46"/>
        <v>0</v>
      </c>
      <c r="D766" s="36">
        <f t="shared" si="47"/>
        <v>0</v>
      </c>
      <c r="E766" s="36">
        <f>(Table143454[[#This Row],[JPN]]-B754)/B754</f>
        <v>0</v>
      </c>
      <c r="F766" s="35">
        <f>VLOOKUP(Table143454[[#This Row],[Date]],'Data Core CPI'!$B:$AY,MATCH($B$2,'Data Core CPI'!$C$1:$AY$1,0),FALSE)</f>
        <v>99.401399999999995</v>
      </c>
      <c r="G766" s="36">
        <f t="shared" si="44"/>
        <v>2.3651046327370917E-3</v>
      </c>
      <c r="H766" s="36">
        <f t="shared" si="45"/>
        <v>2.8753367196229895E-2</v>
      </c>
      <c r="I766" s="36">
        <f>(Table143454[[#This Row],[Core CPI]]-F754)/F754</f>
        <v>8.6037559103701866E-3</v>
      </c>
    </row>
    <row r="767" spans="1:9" x14ac:dyDescent="0.2">
      <c r="A767" s="34">
        <f>IF(Data!B795="",#N/A,Data!B795)</f>
        <v>42005</v>
      </c>
      <c r="B767" s="35">
        <f>VLOOKUP(A767,Data!B:AY,MATCH($B$2,Data!$C$1:$AY$1,0),FALSE)</f>
        <v>99.348839999999996</v>
      </c>
      <c r="C767" s="36">
        <f t="shared" si="46"/>
        <v>-3.7313129751196383E-3</v>
      </c>
      <c r="D767" s="36">
        <f t="shared" si="47"/>
        <v>-4.3868191336447371E-2</v>
      </c>
      <c r="E767" s="36">
        <f>(Table143454[[#This Row],[JPN]]-B755)/B755</f>
        <v>-5.5864971182691811E-3</v>
      </c>
      <c r="F767" s="35">
        <f>VLOOKUP(Table143454[[#This Row],[Date]],'Data Core CPI'!$B:$AY,MATCH($B$2,'Data Core CPI'!$C$1:$AY$1,0),FALSE)</f>
        <v>99.206909999999993</v>
      </c>
      <c r="G767" s="36">
        <f t="shared" si="44"/>
        <v>-1.9566122811147668E-3</v>
      </c>
      <c r="H767" s="36">
        <f t="shared" si="45"/>
        <v>-2.3228318177773599E-2</v>
      </c>
      <c r="I767" s="36">
        <f>(Table143454[[#This Row],[Core CPI]]-F755)/F755</f>
        <v>4.0780745876835911E-3</v>
      </c>
    </row>
    <row r="768" spans="1:9" x14ac:dyDescent="0.2">
      <c r="A768" s="34">
        <f>IF(Data!B796="",#N/A,Data!B796)</f>
        <v>42036</v>
      </c>
      <c r="B768" s="35">
        <f>VLOOKUP(A768,Data!B:AY,MATCH($B$2,Data!$C$1:$AY$1,0),FALSE)</f>
        <v>99.720929999999996</v>
      </c>
      <c r="C768" s="36">
        <f t="shared" si="46"/>
        <v>3.7452878161436942E-3</v>
      </c>
      <c r="D768" s="36">
        <f t="shared" si="47"/>
        <v>4.5880903594000211E-2</v>
      </c>
      <c r="E768" s="36">
        <f>(Table143454[[#This Row],[JPN]]-B756)/B756</f>
        <v>-9.3203395597167809E-4</v>
      </c>
      <c r="F768" s="35">
        <f>VLOOKUP(Table143454[[#This Row],[Date]],'Data Core CPI'!$B:$AY,MATCH($B$2,'Data Core CPI'!$C$1:$AY$1,0),FALSE)</f>
        <v>99.541089999999997</v>
      </c>
      <c r="G768" s="36">
        <f t="shared" si="44"/>
        <v>3.3685153584563921E-3</v>
      </c>
      <c r="H768" s="36">
        <f t="shared" si="45"/>
        <v>4.1179552378465711E-2</v>
      </c>
      <c r="I768" s="36">
        <f>(Table143454[[#This Row],[Core CPI]]-F756)/F756</f>
        <v>7.4613466596654939E-3</v>
      </c>
    </row>
    <row r="769" spans="1:9" x14ac:dyDescent="0.2">
      <c r="A769" s="34">
        <f>IF(Data!B797="",#N/A,Data!B797)</f>
        <v>42064</v>
      </c>
      <c r="B769" s="35">
        <f>VLOOKUP(A769,Data!B:AY,MATCH($B$2,Data!$C$1:$AY$1,0),FALSE)</f>
        <v>99.813959999999994</v>
      </c>
      <c r="C769" s="36">
        <f t="shared" si="46"/>
        <v>9.3290345366803251E-4</v>
      </c>
      <c r="D769" s="36">
        <f t="shared" si="47"/>
        <v>1.1252460824973332E-2</v>
      </c>
      <c r="E769" s="36">
        <f>(Table143454[[#This Row],[JPN]]-B757)/B757</f>
        <v>-9.3096607774219048E-4</v>
      </c>
      <c r="F769" s="35">
        <f>VLOOKUP(Table143454[[#This Row],[Date]],'Data Core CPI'!$B:$AY,MATCH($B$2,'Data Core CPI'!$C$1:$AY$1,0),FALSE)</f>
        <v>99.459010000000006</v>
      </c>
      <c r="G769" s="36">
        <f t="shared" si="44"/>
        <v>-8.2458409888808148E-4</v>
      </c>
      <c r="H769" s="36">
        <f t="shared" si="45"/>
        <v>-9.8502563350301164E-3</v>
      </c>
      <c r="I769" s="36">
        <f>(Table143454[[#This Row],[Core CPI]]-F757)/F757</f>
        <v>4.4092043820388284E-3</v>
      </c>
    </row>
    <row r="770" spans="1:9" x14ac:dyDescent="0.2">
      <c r="A770" s="34">
        <f>IF(Data!B798="",#N/A,Data!B798)</f>
        <v>42095</v>
      </c>
      <c r="B770" s="35">
        <f>VLOOKUP(A770,Data!B:AY,MATCH($B$2,Data!$C$1:$AY$1,0),FALSE)</f>
        <v>100</v>
      </c>
      <c r="C770" s="36">
        <f t="shared" si="46"/>
        <v>1.8638675391700055E-3</v>
      </c>
      <c r="D770" s="36">
        <f t="shared" si="47"/>
        <v>2.2597125124918405E-2</v>
      </c>
      <c r="E770" s="36">
        <f>(Table143454[[#This Row],[JPN]]-B758)/B758</f>
        <v>-9.2913590360967817E-4</v>
      </c>
      <c r="F770" s="35">
        <f>VLOOKUP(Table143454[[#This Row],[Date]],'Data Core CPI'!$B:$AY,MATCH($B$2,'Data Core CPI'!$C$1:$AY$1,0),FALSE)</f>
        <v>99.880740000000003</v>
      </c>
      <c r="G770" s="36">
        <f t="shared" si="44"/>
        <v>4.240239270429047E-3</v>
      </c>
      <c r="H770" s="36">
        <f t="shared" si="45"/>
        <v>5.2086460216439479E-2</v>
      </c>
      <c r="I770" s="36">
        <f>(Table143454[[#This Row],[Core CPI]]-F758)/F758</f>
        <v>4.707342929887259E-3</v>
      </c>
    </row>
    <row r="771" spans="1:9" x14ac:dyDescent="0.2">
      <c r="A771" s="34">
        <f>IF(Data!B799="",#N/A,Data!B799)</f>
        <v>42125</v>
      </c>
      <c r="B771" s="35">
        <f>VLOOKUP(A771,Data!B:AY,MATCH($B$2,Data!$C$1:$AY$1,0),FALSE)</f>
        <v>100.093</v>
      </c>
      <c r="C771" s="36">
        <f t="shared" si="46"/>
        <v>9.3000000000009742E-4</v>
      </c>
      <c r="D771" s="36">
        <f t="shared" si="47"/>
        <v>1.1217260729378564E-2</v>
      </c>
      <c r="E771" s="36">
        <f>(Table143454[[#This Row],[JPN]]-B759)/B759</f>
        <v>9.3000000000003529E-4</v>
      </c>
      <c r="F771" s="35">
        <f>VLOOKUP(Table143454[[#This Row],[Date]],'Data Core CPI'!$B:$AY,MATCH($B$2,'Data Core CPI'!$C$1:$AY$1,0),FALSE)</f>
        <v>99.880520000000004</v>
      </c>
      <c r="G771" s="36">
        <f t="shared" ref="G771:G813" si="48">(F771/F770)-1</f>
        <v>-2.2026268527985948E-6</v>
      </c>
      <c r="H771" s="36">
        <f t="shared" ref="H771:H813" si="49">((1+G771)^12)-1</f>
        <v>-2.6431202032495271E-5</v>
      </c>
      <c r="I771" s="36">
        <f>(Table143454[[#This Row],[Core CPI]]-F759)/F759</f>
        <v>6.2590640167038318E-3</v>
      </c>
    </row>
    <row r="772" spans="1:9" x14ac:dyDescent="0.2">
      <c r="A772" s="34">
        <f>IF(Data!B800="",#N/A,Data!B800)</f>
        <v>42156</v>
      </c>
      <c r="B772" s="35">
        <f>VLOOKUP(A772,Data!B:AY,MATCH($B$2,Data!$C$1:$AY$1,0),FALSE)</f>
        <v>100.2791</v>
      </c>
      <c r="C772" s="36">
        <f t="shared" si="46"/>
        <v>1.8592708780833522E-3</v>
      </c>
      <c r="D772" s="36">
        <f t="shared" si="47"/>
        <v>2.2540825095139327E-2</v>
      </c>
      <c r="E772" s="36">
        <f>(Table143454[[#This Row],[JPN]]-B760)/B760</f>
        <v>1.859270878083344E-3</v>
      </c>
      <c r="F772" s="35">
        <f>VLOOKUP(Table143454[[#This Row],[Date]],'Data Core CPI'!$B:$AY,MATCH($B$2,'Data Core CPI'!$C$1:$AY$1,0),FALSE)</f>
        <v>100.111</v>
      </c>
      <c r="G772" s="36">
        <f t="shared" si="48"/>
        <v>2.3075570691861724E-3</v>
      </c>
      <c r="H772" s="36">
        <f t="shared" si="49"/>
        <v>2.804484022423237E-2</v>
      </c>
      <c r="I772" s="36">
        <f>(Table143454[[#This Row],[Core CPI]]-F760)/F760</f>
        <v>7.5734831369754715E-3</v>
      </c>
    </row>
    <row r="773" spans="1:9" x14ac:dyDescent="0.2">
      <c r="A773" s="34">
        <f>IF(Data!B801="",#N/A,Data!B801)</f>
        <v>42186</v>
      </c>
      <c r="B773" s="35">
        <f>VLOOKUP(A773,Data!B:AY,MATCH($B$2,Data!$C$1:$AY$1,0),FALSE)</f>
        <v>100.18600000000001</v>
      </c>
      <c r="C773" s="36">
        <f t="shared" ref="C773:C790" si="50">(B773/B772)-1</f>
        <v>-9.2840881100841877E-4</v>
      </c>
      <c r="D773" s="36">
        <f t="shared" si="47"/>
        <v>-1.1084193183933277E-2</v>
      </c>
      <c r="E773" s="36">
        <f>(Table143454[[#This Row],[JPN]]-B761)/B761</f>
        <v>1.8600000000000706E-3</v>
      </c>
      <c r="F773" s="35">
        <f>VLOOKUP(Table143454[[#This Row],[Date]],'Data Core CPI'!$B:$AY,MATCH($B$2,'Data Core CPI'!$C$1:$AY$1,0),FALSE)</f>
        <v>100.3017</v>
      </c>
      <c r="G773" s="36">
        <f t="shared" si="48"/>
        <v>1.9048855770094075E-3</v>
      </c>
      <c r="H773" s="36">
        <f t="shared" si="49"/>
        <v>2.3099640989908909E-2</v>
      </c>
      <c r="I773" s="36">
        <f>(Table143454[[#This Row],[Core CPI]]-F761)/F761</f>
        <v>7.6477459814321986E-3</v>
      </c>
    </row>
    <row r="774" spans="1:9" x14ac:dyDescent="0.2">
      <c r="A774" s="34">
        <f>IF(Data!B802="",#N/A,Data!B802)</f>
        <v>42217</v>
      </c>
      <c r="B774" s="35">
        <f>VLOOKUP(A774,Data!B:AY,MATCH($B$2,Data!$C$1:$AY$1,0),FALSE)</f>
        <v>100.3721</v>
      </c>
      <c r="C774" s="36">
        <f t="shared" si="50"/>
        <v>1.8575449663624788E-3</v>
      </c>
      <c r="D774" s="36">
        <f t="shared" si="47"/>
        <v>2.2519686815241746E-2</v>
      </c>
      <c r="E774" s="36">
        <f>(Table143454[[#This Row],[JPN]]-B762)/B762</f>
        <v>1.8575449663625271E-3</v>
      </c>
      <c r="F774" s="35">
        <f>VLOOKUP(Table143454[[#This Row],[Date]],'Data Core CPI'!$B:$AY,MATCH($B$2,'Data Core CPI'!$C$1:$AY$1,0),FALSE)</f>
        <v>100.7204</v>
      </c>
      <c r="G774" s="36">
        <f t="shared" si="48"/>
        <v>4.1744058176482746E-3</v>
      </c>
      <c r="H774" s="36">
        <f t="shared" si="49"/>
        <v>5.1259118143060611E-2</v>
      </c>
      <c r="I774" s="36">
        <f>(Table143454[[#This Row],[Core CPI]]-F762)/F762</f>
        <v>8.6912143264028588E-3</v>
      </c>
    </row>
    <row r="775" spans="1:9" x14ac:dyDescent="0.2">
      <c r="A775" s="34">
        <f>IF(Data!B803="",#N/A,Data!B803)</f>
        <v>42248</v>
      </c>
      <c r="B775" s="35">
        <f>VLOOKUP(A775,Data!B:AY,MATCH($B$2,Data!$C$1:$AY$1,0),FALSE)</f>
        <v>100</v>
      </c>
      <c r="C775" s="36">
        <f t="shared" si="50"/>
        <v>-3.7072054883777739E-3</v>
      </c>
      <c r="D775" s="36">
        <f t="shared" si="47"/>
        <v>-4.3590519221128998E-2</v>
      </c>
      <c r="E775" s="36">
        <f>(Table143454[[#This Row],[JPN]]-B763)/B763</f>
        <v>1.8638675391699272E-3</v>
      </c>
      <c r="F775" s="35">
        <f>VLOOKUP(Table143454[[#This Row],[Date]],'Data Core CPI'!$B:$AY,MATCH($B$2,'Data Core CPI'!$C$1:$AY$1,0),FALSE)</f>
        <v>100.2796</v>
      </c>
      <c r="G775" s="36">
        <f t="shared" si="48"/>
        <v>-4.3764718964578453E-3</v>
      </c>
      <c r="H775" s="36">
        <f t="shared" si="49"/>
        <v>-5.127179246731417E-2</v>
      </c>
      <c r="I775" s="36">
        <f>(Table143454[[#This Row],[Core CPI]]-F763)/F763</f>
        <v>9.1973387194977559E-3</v>
      </c>
    </row>
    <row r="776" spans="1:9" x14ac:dyDescent="0.2">
      <c r="A776" s="34">
        <f>IF(Data!B804="",#N/A,Data!B804)</f>
        <v>42278</v>
      </c>
      <c r="B776" s="35">
        <f>VLOOKUP(A776,Data!B:AY,MATCH($B$2,Data!$C$1:$AY$1,0),FALSE)</f>
        <v>100.18600000000001</v>
      </c>
      <c r="C776" s="36">
        <f t="shared" si="50"/>
        <v>1.8599999999999728E-3</v>
      </c>
      <c r="D776" s="36">
        <f t="shared" si="47"/>
        <v>2.2549755210562017E-2</v>
      </c>
      <c r="E776" s="36">
        <f>(Table143454[[#This Row],[JPN]]-B764)/B764</f>
        <v>2.7928982332264293E-3</v>
      </c>
      <c r="F776" s="35">
        <f>VLOOKUP(Table143454[[#This Row],[Date]],'Data Core CPI'!$B:$AY,MATCH($B$2,'Data Core CPI'!$C$1:$AY$1,0),FALSE)</f>
        <v>100.34569999999999</v>
      </c>
      <c r="G776" s="36">
        <f t="shared" si="48"/>
        <v>6.5915699703622543E-4</v>
      </c>
      <c r="H776" s="36">
        <f t="shared" si="49"/>
        <v>7.9386232695337622E-3</v>
      </c>
      <c r="I776" s="36">
        <f>(Table143454[[#This Row],[Core CPI]]-F764)/F764</f>
        <v>9.6759983442011571E-3</v>
      </c>
    </row>
    <row r="777" spans="1:9" x14ac:dyDescent="0.2">
      <c r="A777" s="34">
        <f>IF(Data!B805="",#N/A,Data!B805)</f>
        <v>42309</v>
      </c>
      <c r="B777" s="35">
        <f>VLOOKUP(A777,Data!B:AY,MATCH($B$2,Data!$C$1:$AY$1,0),FALSE)</f>
        <v>99.813959999999994</v>
      </c>
      <c r="C777" s="36">
        <f t="shared" si="50"/>
        <v>-3.7134929032002217E-3</v>
      </c>
      <c r="D777" s="36">
        <f t="shared" si="47"/>
        <v>-4.3662945332770486E-2</v>
      </c>
      <c r="E777" s="36">
        <f>(Table143454[[#This Row],[JPN]]-B765)/B765</f>
        <v>9.3290345366814006E-4</v>
      </c>
      <c r="F777" s="35">
        <f>VLOOKUP(Table143454[[#This Row],[Date]],'Data Core CPI'!$B:$AY,MATCH($B$2,'Data Core CPI'!$C$1:$AY$1,0),FALSE)</f>
        <v>99.816730000000007</v>
      </c>
      <c r="G777" s="36">
        <f t="shared" si="48"/>
        <v>-5.2714765057195745E-3</v>
      </c>
      <c r="H777" s="36">
        <f t="shared" si="49"/>
        <v>-6.1455527346485184E-2</v>
      </c>
      <c r="I777" s="36">
        <f>(Table143454[[#This Row],[Core CPI]]-F765)/F765</f>
        <v>6.553298148191917E-3</v>
      </c>
    </row>
    <row r="778" spans="1:9" x14ac:dyDescent="0.2">
      <c r="A778" s="34">
        <f>IF(Data!B806="",#N/A,Data!B806)</f>
        <v>42339</v>
      </c>
      <c r="B778" s="35">
        <f>VLOOKUP(A778,Data!B:AY,MATCH($B$2,Data!$C$1:$AY$1,0),FALSE)</f>
        <v>99.813959999999994</v>
      </c>
      <c r="C778" s="36">
        <f t="shared" si="50"/>
        <v>0</v>
      </c>
      <c r="D778" s="36">
        <f t="shared" si="47"/>
        <v>0</v>
      </c>
      <c r="E778" s="36">
        <f>(Table143454[[#This Row],[JPN]]-B766)/B766</f>
        <v>9.3290345366814006E-4</v>
      </c>
      <c r="F778" s="35">
        <f>VLOOKUP(Table143454[[#This Row],[Date]],'Data Core CPI'!$B:$AY,MATCH($B$2,'Data Core CPI'!$C$1:$AY$1,0),FALSE)</f>
        <v>99.933800000000005</v>
      </c>
      <c r="G778" s="36">
        <f t="shared" si="48"/>
        <v>1.172849481244187E-3</v>
      </c>
      <c r="H778" s="36">
        <f t="shared" si="49"/>
        <v>1.4165337658674115E-2</v>
      </c>
      <c r="I778" s="36">
        <f>(Table143454[[#This Row],[Core CPI]]-F766)/F766</f>
        <v>5.3560613834413781E-3</v>
      </c>
    </row>
    <row r="779" spans="1:9" x14ac:dyDescent="0.2">
      <c r="A779" s="34">
        <f>IF(Data!B807="",#N/A,Data!B807)</f>
        <v>42370</v>
      </c>
      <c r="B779" s="35">
        <f>VLOOKUP(A779,Data!B:AY,MATCH($B$2,Data!$C$1:$AY$1,0),FALSE)</f>
        <v>99.6</v>
      </c>
      <c r="C779" s="36">
        <f t="shared" si="50"/>
        <v>-2.14358793098679E-3</v>
      </c>
      <c r="D779" s="36">
        <f t="shared" si="47"/>
        <v>-2.5421943726438134E-2</v>
      </c>
      <c r="E779" s="36">
        <f>(Table143454[[#This Row],[JPN]]-B767)/B767</f>
        <v>2.5280617267398262E-3</v>
      </c>
      <c r="F779" s="35">
        <f>VLOOKUP(Table143454[[#This Row],[Date]],'Data Core CPI'!$B:$AY,MATCH($B$2,'Data Core CPI'!$C$1:$AY$1,0),FALSE)</f>
        <v>99.936890000000005</v>
      </c>
      <c r="G779" s="36">
        <f t="shared" si="48"/>
        <v>3.0920469350714797E-5</v>
      </c>
      <c r="H779" s="36">
        <f t="shared" si="49"/>
        <v>3.7110873969070646E-4</v>
      </c>
      <c r="I779" s="36">
        <f>(Table143454[[#This Row],[Core CPI]]-F767)/F767</f>
        <v>7.3581568058113276E-3</v>
      </c>
    </row>
    <row r="780" spans="1:9" x14ac:dyDescent="0.2">
      <c r="A780" s="34">
        <f>IF(Data!B808="",#N/A,Data!B808)</f>
        <v>42401</v>
      </c>
      <c r="B780" s="35">
        <f>VLOOKUP(A780,Data!B:AY,MATCH($B$2,Data!$C$1:$AY$1,0),FALSE)</f>
        <v>99.4</v>
      </c>
      <c r="C780" s="36">
        <f t="shared" si="50"/>
        <v>-2.0080321285139702E-3</v>
      </c>
      <c r="D780" s="36">
        <f t="shared" si="47"/>
        <v>-2.3832034070136565E-2</v>
      </c>
      <c r="E780" s="36">
        <f>(Table143454[[#This Row],[JPN]]-B768)/B768</f>
        <v>-3.2182812575052193E-3</v>
      </c>
      <c r="F780" s="35">
        <f>VLOOKUP(Table143454[[#This Row],[Date]],'Data Core CPI'!$B:$AY,MATCH($B$2,'Data Core CPI'!$C$1:$AY$1,0),FALSE)</f>
        <v>99.81438</v>
      </c>
      <c r="G780" s="36">
        <f t="shared" si="48"/>
        <v>-1.2258736488598432E-3</v>
      </c>
      <c r="H780" s="36">
        <f t="shared" si="49"/>
        <v>-1.4611705385577878E-2</v>
      </c>
      <c r="I780" s="36">
        <f>(Table143454[[#This Row],[Core CPI]]-F768)/F768</f>
        <v>2.7454993711642393E-3</v>
      </c>
    </row>
    <row r="781" spans="1:9" x14ac:dyDescent="0.2">
      <c r="A781" s="34">
        <f>IF(Data!B809="",#N/A,Data!B809)</f>
        <v>42430</v>
      </c>
      <c r="B781" s="35">
        <f>VLOOKUP(A781,Data!B:AY,MATCH($B$2,Data!$C$1:$AY$1,0),FALSE)</f>
        <v>99.6</v>
      </c>
      <c r="C781" s="36">
        <f t="shared" si="50"/>
        <v>2.012072434607548E-3</v>
      </c>
      <c r="D781" s="36">
        <f t="shared" si="47"/>
        <v>2.4413866160251541E-2</v>
      </c>
      <c r="E781" s="36">
        <f>(Table143454[[#This Row],[JPN]]-B769)/B769</f>
        <v>-2.1435879309868095E-3</v>
      </c>
      <c r="F781" s="35">
        <f>VLOOKUP(Table143454[[#This Row],[Date]],'Data Core CPI'!$B:$AY,MATCH($B$2,'Data Core CPI'!$C$1:$AY$1,0),FALSE)</f>
        <v>100.0938</v>
      </c>
      <c r="G781" s="36">
        <f t="shared" si="48"/>
        <v>2.7993962392993677E-3</v>
      </c>
      <c r="H781" s="36">
        <f t="shared" si="49"/>
        <v>3.4114828598113656E-2</v>
      </c>
      <c r="I781" s="36">
        <f>(Table143454[[#This Row],[Core CPI]]-F769)/F769</f>
        <v>6.3824282988539224E-3</v>
      </c>
    </row>
    <row r="782" spans="1:9" x14ac:dyDescent="0.2">
      <c r="A782" s="34">
        <f>IF(Data!B810="",#N/A,Data!B810)</f>
        <v>42461</v>
      </c>
      <c r="B782" s="35">
        <f>VLOOKUP(A782,Data!B:AY,MATCH($B$2,Data!$C$1:$AY$1,0),FALSE)</f>
        <v>99.5</v>
      </c>
      <c r="C782" s="36">
        <f t="shared" si="50"/>
        <v>-1.0040160642569296E-3</v>
      </c>
      <c r="D782" s="36">
        <f t="shared" si="47"/>
        <v>-1.1981883745171062E-2</v>
      </c>
      <c r="E782" s="36">
        <f>(Table143454[[#This Row],[JPN]]-B770)/B770</f>
        <v>-5.0000000000000001E-3</v>
      </c>
      <c r="F782" s="35">
        <f>VLOOKUP(Table143454[[#This Row],[Date]],'Data Core CPI'!$B:$AY,MATCH($B$2,'Data Core CPI'!$C$1:$AY$1,0),FALSE)</f>
        <v>100.2141</v>
      </c>
      <c r="G782" s="36">
        <f t="shared" si="48"/>
        <v>1.2018726434603888E-3</v>
      </c>
      <c r="H782" s="36">
        <f t="shared" si="49"/>
        <v>1.4518191557079341E-2</v>
      </c>
      <c r="I782" s="36">
        <f>(Table143454[[#This Row],[Core CPI]]-F770)/F770</f>
        <v>3.3375803983831014E-3</v>
      </c>
    </row>
    <row r="783" spans="1:9" x14ac:dyDescent="0.2">
      <c r="A783" s="34">
        <f>IF(Data!B811="",#N/A,Data!B811)</f>
        <v>42491</v>
      </c>
      <c r="B783" s="35">
        <f>VLOOKUP(A783,Data!B:AY,MATCH($B$2,Data!$C$1:$AY$1,0),FALSE)</f>
        <v>99.8</v>
      </c>
      <c r="C783" s="36">
        <f t="shared" si="50"/>
        <v>3.0150753768845018E-3</v>
      </c>
      <c r="D783" s="36">
        <f t="shared" si="47"/>
        <v>3.67869604750235E-2</v>
      </c>
      <c r="E783" s="36">
        <f>(Table143454[[#This Row],[JPN]]-B771)/B771</f>
        <v>-2.9272776318024873E-3</v>
      </c>
      <c r="F783" s="35">
        <f>VLOOKUP(Table143454[[#This Row],[Date]],'Data Core CPI'!$B:$AY,MATCH($B$2,'Data Core CPI'!$C$1:$AY$1,0),FALSE)</f>
        <v>100.46429999999999</v>
      </c>
      <c r="G783" s="36">
        <f t="shared" si="48"/>
        <v>2.4966546623677033E-3</v>
      </c>
      <c r="H783" s="36">
        <f t="shared" si="49"/>
        <v>3.037469575425944E-2</v>
      </c>
      <c r="I783" s="36">
        <f>(Table143454[[#This Row],[Core CPI]]-F771)/F771</f>
        <v>5.8447833471430679E-3</v>
      </c>
    </row>
    <row r="784" spans="1:9" x14ac:dyDescent="0.2">
      <c r="A784" s="34">
        <f>IF(Data!B812="",#N/A,Data!B812)</f>
        <v>42522</v>
      </c>
      <c r="B784" s="35">
        <f>VLOOKUP(A784,Data!B:AY,MATCH($B$2,Data!$C$1:$AY$1,0),FALSE)</f>
        <v>99.9</v>
      </c>
      <c r="C784" s="36">
        <f t="shared" si="50"/>
        <v>1.0020040080160886E-3</v>
      </c>
      <c r="D784" s="36">
        <f t="shared" si="47"/>
        <v>1.2090534715389678E-2</v>
      </c>
      <c r="E784" s="36">
        <f>(Table143454[[#This Row],[JPN]]-B772)/B772</f>
        <v>-3.7804487674898755E-3</v>
      </c>
      <c r="F784" s="35">
        <f>VLOOKUP(Table143454[[#This Row],[Date]],'Data Core CPI'!$B:$AY,MATCH($B$2,'Data Core CPI'!$C$1:$AY$1,0),FALSE)</f>
        <v>100.46639999999999</v>
      </c>
      <c r="G784" s="36">
        <f t="shared" si="48"/>
        <v>2.090294761414313E-5</v>
      </c>
      <c r="H784" s="36">
        <f t="shared" si="49"/>
        <v>2.5086421097153533E-4</v>
      </c>
      <c r="I784" s="36">
        <f>(Table143454[[#This Row],[Core CPI]]-F772)/F772</f>
        <v>3.5500594340281172E-3</v>
      </c>
    </row>
    <row r="785" spans="1:9" x14ac:dyDescent="0.2">
      <c r="A785" s="34">
        <f>IF(Data!B813="",#N/A,Data!B813)</f>
        <v>42552</v>
      </c>
      <c r="B785" s="35">
        <f>VLOOKUP(A785,Data!B:AY,MATCH($B$2,Data!$C$1:$AY$1,0),FALSE)</f>
        <v>100.1</v>
      </c>
      <c r="C785" s="36">
        <f t="shared" si="50"/>
        <v>2.0020020020019569E-3</v>
      </c>
      <c r="D785" s="36">
        <f t="shared" si="47"/>
        <v>2.4290326084948966E-2</v>
      </c>
      <c r="E785" s="36">
        <f>(Table143454[[#This Row],[JPN]]-B773)/B773</f>
        <v>-8.58403369732425E-4</v>
      </c>
      <c r="F785" s="35">
        <f>VLOOKUP(Table143454[[#This Row],[Date]],'Data Core CPI'!$B:$AY,MATCH($B$2,'Data Core CPI'!$C$1:$AY$1,0),FALSE)</f>
        <v>100.8985</v>
      </c>
      <c r="G785" s="36">
        <f t="shared" si="48"/>
        <v>4.3009404139096041E-3</v>
      </c>
      <c r="H785" s="36">
        <f t="shared" si="49"/>
        <v>5.2849832373168315E-2</v>
      </c>
      <c r="I785" s="36">
        <f>(Table143454[[#This Row],[Core CPI]]-F773)/F773</f>
        <v>5.9500487030628773E-3</v>
      </c>
    </row>
    <row r="786" spans="1:9" x14ac:dyDescent="0.2">
      <c r="A786" s="34">
        <f>IF(Data!B814="",#N/A,Data!B814)</f>
        <v>42583</v>
      </c>
      <c r="B786" s="35">
        <f>VLOOKUP(A786,Data!B:AY,MATCH($B$2,Data!$C$1:$AY$1,0),FALSE)</f>
        <v>100.3</v>
      </c>
      <c r="C786" s="36">
        <f t="shared" si="50"/>
        <v>1.9980019980019303E-3</v>
      </c>
      <c r="D786" s="36">
        <f t="shared" si="47"/>
        <v>2.4241259411187155E-2</v>
      </c>
      <c r="E786" s="36">
        <f>(Table143454[[#This Row],[JPN]]-B774)/B774</f>
        <v>-7.1832710484293983E-4</v>
      </c>
      <c r="F786" s="35">
        <f>VLOOKUP(Table143454[[#This Row],[Date]],'Data Core CPI'!$B:$AY,MATCH($B$2,'Data Core CPI'!$C$1:$AY$1,0),FALSE)</f>
        <v>101.1765</v>
      </c>
      <c r="G786" s="36">
        <f t="shared" si="48"/>
        <v>2.7552441314786513E-3</v>
      </c>
      <c r="H786" s="36">
        <f t="shared" si="49"/>
        <v>3.3568590202214921E-2</v>
      </c>
      <c r="I786" s="36">
        <f>(Table143454[[#This Row],[Core CPI]]-F774)/F774</f>
        <v>4.5283775680001904E-3</v>
      </c>
    </row>
    <row r="787" spans="1:9" x14ac:dyDescent="0.2">
      <c r="A787" s="34">
        <f>IF(Data!B815="",#N/A,Data!B815)</f>
        <v>42614</v>
      </c>
      <c r="B787" s="35">
        <f>VLOOKUP(A787,Data!B:AY,MATCH($B$2,Data!$C$1:$AY$1,0),FALSE)</f>
        <v>100.1</v>
      </c>
      <c r="C787" s="36">
        <f t="shared" si="50"/>
        <v>-1.9940179461614971E-3</v>
      </c>
      <c r="D787" s="36">
        <f t="shared" si="47"/>
        <v>-2.3667528708151031E-2</v>
      </c>
      <c r="E787" s="36">
        <f>(Table143454[[#This Row],[JPN]]-B775)/B775</f>
        <v>9.9999999999994321E-4</v>
      </c>
      <c r="F787" s="35">
        <f>VLOOKUP(Table143454[[#This Row],[Date]],'Data Core CPI'!$B:$AY,MATCH($B$2,'Data Core CPI'!$C$1:$AY$1,0),FALSE)</f>
        <v>100.7529</v>
      </c>
      <c r="G787" s="36">
        <f t="shared" si="48"/>
        <v>-4.1867429689701474E-3</v>
      </c>
      <c r="H787" s="36">
        <f t="shared" si="49"/>
        <v>-4.910000814969695E-2</v>
      </c>
      <c r="I787" s="36">
        <f>(Table143454[[#This Row],[Core CPI]]-F775)/F775</f>
        <v>4.7198034296107557E-3</v>
      </c>
    </row>
    <row r="788" spans="1:9" x14ac:dyDescent="0.2">
      <c r="A788" s="34">
        <f>IF(Data!B816="",#N/A,Data!B816)</f>
        <v>42644</v>
      </c>
      <c r="B788" s="35">
        <f>VLOOKUP(A788,Data!B:AY,MATCH($B$2,Data!$C$1:$AY$1,0),FALSE)</f>
        <v>100</v>
      </c>
      <c r="C788" s="36">
        <f t="shared" si="50"/>
        <v>-9.9900099900096517E-4</v>
      </c>
      <c r="D788" s="36">
        <f t="shared" si="47"/>
        <v>-1.19223626393552E-2</v>
      </c>
      <c r="E788" s="36">
        <f>(Table143454[[#This Row],[JPN]]-B776)/B776</f>
        <v>-1.8565468229094588E-3</v>
      </c>
      <c r="F788" s="35">
        <f>VLOOKUP(Table143454[[#This Row],[Date]],'Data Core CPI'!$B:$AY,MATCH($B$2,'Data Core CPI'!$C$1:$AY$1,0),FALSE)</f>
        <v>100.5386</v>
      </c>
      <c r="G788" s="36">
        <f t="shared" si="48"/>
        <v>-2.1269859229857691E-3</v>
      </c>
      <c r="H788" s="36">
        <f t="shared" si="49"/>
        <v>-2.5227349396155341E-2</v>
      </c>
      <c r="I788" s="36">
        <f>(Table143454[[#This Row],[Core CPI]]-F776)/F776</f>
        <v>1.9223544207674942E-3</v>
      </c>
    </row>
    <row r="789" spans="1:9" x14ac:dyDescent="0.2">
      <c r="A789" s="34">
        <f>IF(Data!B817="",#N/A,Data!B817)</f>
        <v>42675</v>
      </c>
      <c r="B789" s="35">
        <f>VLOOKUP(A789,Data!B:AY,MATCH($B$2,Data!$C$1:$AY$1,0),FALSE)</f>
        <v>99.9</v>
      </c>
      <c r="C789" s="36">
        <f t="shared" si="50"/>
        <v>-9.9999999999988987E-4</v>
      </c>
      <c r="D789" s="36">
        <f t="shared" si="47"/>
        <v>-1.1934219505789656E-2</v>
      </c>
      <c r="E789" s="36">
        <f>(Table143454[[#This Row],[JPN]]-B777)/B777</f>
        <v>8.6200367163081419E-4</v>
      </c>
      <c r="F789" s="35">
        <f>VLOOKUP(Table143454[[#This Row],[Date]],'Data Core CPI'!$B:$AY,MATCH($B$2,'Data Core CPI'!$C$1:$AY$1,0),FALSE)</f>
        <v>100.2557</v>
      </c>
      <c r="G789" s="36">
        <f t="shared" si="48"/>
        <v>-2.8138446328076494E-3</v>
      </c>
      <c r="H789" s="36">
        <f t="shared" si="49"/>
        <v>-3.3248436506942203E-2</v>
      </c>
      <c r="I789" s="36">
        <f>(Table143454[[#This Row],[Core CPI]]-F777)/F777</f>
        <v>4.3977597743384061E-3</v>
      </c>
    </row>
    <row r="790" spans="1:9" x14ac:dyDescent="0.2">
      <c r="A790" s="34">
        <f>IF(Data!B818="",#N/A,Data!B818)</f>
        <v>42705</v>
      </c>
      <c r="B790" s="35">
        <f>VLOOKUP(A790,Data!B:AY,MATCH($B$2,Data!$C$1:$AY$1,0),FALSE)</f>
        <v>100.3</v>
      </c>
      <c r="C790" s="36">
        <f t="shared" si="50"/>
        <v>4.0040040040039138E-3</v>
      </c>
      <c r="D790" s="36">
        <f t="shared" si="47"/>
        <v>4.912041359194208E-2</v>
      </c>
      <c r="E790" s="36">
        <f>(Table143454[[#This Row],[JPN]]-B778)/B778</f>
        <v>4.8694591417874087E-3</v>
      </c>
      <c r="F790" s="35">
        <f>VLOOKUP(Table143454[[#This Row],[Date]],'Data Core CPI'!$B:$AY,MATCH($B$2,'Data Core CPI'!$C$1:$AY$1,0),FALSE)</f>
        <v>100.61360000000001</v>
      </c>
      <c r="G790" s="36">
        <f t="shared" si="48"/>
        <v>3.5698718377110694E-3</v>
      </c>
      <c r="H790" s="36">
        <f t="shared" si="49"/>
        <v>4.3689654678499057E-2</v>
      </c>
      <c r="I790" s="36">
        <f>(Table143454[[#This Row],[Core CPI]]-F778)/F778</f>
        <v>6.8025032571562387E-3</v>
      </c>
    </row>
    <row r="791" spans="1:9" x14ac:dyDescent="0.2">
      <c r="A791" s="34">
        <f>IF(Data!B819="",#N/A,Data!B819)</f>
        <v>42736</v>
      </c>
      <c r="B791" s="35">
        <f>VLOOKUP(A791,Data!B:AY,MATCH($B$2,Data!$C$1:$AY$1,0),FALSE)</f>
        <v>100.6</v>
      </c>
      <c r="C791" s="36">
        <f>(B791/B790)-1</f>
        <v>2.9910269192421346E-3</v>
      </c>
      <c r="D791" s="36">
        <f t="shared" si="47"/>
        <v>3.6488701671862023E-2</v>
      </c>
      <c r="E791" s="36">
        <f>(Table143454[[#This Row],[JPN]]-B779)/B779</f>
        <v>1.0040160642570281E-2</v>
      </c>
      <c r="F791" s="35">
        <f>VLOOKUP(Table143454[[#This Row],[Date]],'Data Core CPI'!$B:$AY,MATCH($B$2,'Data Core CPI'!$C$1:$AY$1,0),FALSE)</f>
        <v>100.4507</v>
      </c>
      <c r="G791" s="36">
        <f t="shared" si="48"/>
        <v>-1.6190654146159833E-3</v>
      </c>
      <c r="H791" s="36">
        <f t="shared" si="49"/>
        <v>-1.9256704695132076E-2</v>
      </c>
      <c r="I791" s="36">
        <f>(Table143454[[#This Row],[Core CPI]]-F779)/F779</f>
        <v>5.1413447026417598E-3</v>
      </c>
    </row>
    <row r="792" spans="1:9" x14ac:dyDescent="0.2">
      <c r="A792" s="34">
        <f>IF(Data!B820="",#N/A,Data!B820)</f>
        <v>42767</v>
      </c>
      <c r="B792" s="35">
        <f>VLOOKUP(A792,Data!B:AY,MATCH($B$2,Data!$C$1:$AY$1,0),FALSE)</f>
        <v>101</v>
      </c>
      <c r="C792" s="36">
        <f t="shared" ref="C792:C803" si="51">(B792/B791)-1</f>
        <v>3.9761431411531323E-3</v>
      </c>
      <c r="D792" s="36">
        <f t="shared" si="47"/>
        <v>4.8771112921956572E-2</v>
      </c>
      <c r="E792" s="36">
        <f>(Table143454[[#This Row],[JPN]]-B780)/B780</f>
        <v>1.6096579476861109E-2</v>
      </c>
      <c r="F792" s="35">
        <f>VLOOKUP(Table143454[[#This Row],[Date]],'Data Core CPI'!$B:$AY,MATCH($B$2,'Data Core CPI'!$C$1:$AY$1,0),FALSE)</f>
        <v>100.57769999999999</v>
      </c>
      <c r="G792" s="36">
        <f t="shared" si="48"/>
        <v>1.2643017918241295E-3</v>
      </c>
      <c r="H792" s="36">
        <f t="shared" si="49"/>
        <v>1.5277565670197557E-2</v>
      </c>
      <c r="I792" s="36">
        <f>(Table143454[[#This Row],[Core CPI]]-F780)/F780</f>
        <v>7.6473950947748524E-3</v>
      </c>
    </row>
    <row r="793" spans="1:9" x14ac:dyDescent="0.2">
      <c r="A793" s="34">
        <f>IF(Data!B821="",#N/A,Data!B821)</f>
        <v>42795</v>
      </c>
      <c r="B793" s="35">
        <f>VLOOKUP(A793,Data!B:AY,MATCH($B$2,Data!$C$1:$AY$1,0),FALSE)</f>
        <v>101</v>
      </c>
      <c r="C793" s="36">
        <f t="shared" si="51"/>
        <v>0</v>
      </c>
      <c r="D793" s="36">
        <f t="shared" si="47"/>
        <v>0</v>
      </c>
      <c r="E793" s="36">
        <f>(Table143454[[#This Row],[JPN]]-B781)/B781</f>
        <v>1.4056224899598452E-2</v>
      </c>
      <c r="F793" s="35">
        <f>VLOOKUP(Table143454[[#This Row],[Date]],'Data Core CPI'!$B:$AY,MATCH($B$2,'Data Core CPI'!$C$1:$AY$1,0),FALSE)</f>
        <v>100.8241</v>
      </c>
      <c r="G793" s="36">
        <f t="shared" si="48"/>
        <v>2.4498472325376053E-3</v>
      </c>
      <c r="H793" s="36">
        <f t="shared" si="49"/>
        <v>2.9797535029816524E-2</v>
      </c>
      <c r="I793" s="36">
        <f>(Table143454[[#This Row],[Core CPI]]-F781)/F781</f>
        <v>7.2961562054792576E-3</v>
      </c>
    </row>
    <row r="794" spans="1:9" x14ac:dyDescent="0.2">
      <c r="A794" s="34">
        <f>IF(Data!B822="",#N/A,Data!B822)</f>
        <v>42826</v>
      </c>
      <c r="B794" s="35">
        <f>VLOOKUP(A794,Data!B:AY,MATCH($B$2,Data!$C$1:$AY$1,0),FALSE)</f>
        <v>101.4</v>
      </c>
      <c r="C794" s="36">
        <f t="shared" si="51"/>
        <v>3.9603960396039639E-3</v>
      </c>
      <c r="D794" s="36">
        <f t="shared" si="47"/>
        <v>4.8573733563356924E-2</v>
      </c>
      <c r="E794" s="36">
        <f>(Table143454[[#This Row],[JPN]]-B782)/B782</f>
        <v>1.909547738693473E-2</v>
      </c>
      <c r="F794" s="35">
        <f>VLOOKUP(Table143454[[#This Row],[Date]],'Data Core CPI'!$B:$AY,MATCH($B$2,'Data Core CPI'!$C$1:$AY$1,0),FALSE)</f>
        <v>101.43989999999999</v>
      </c>
      <c r="G794" s="36">
        <f t="shared" si="48"/>
        <v>6.1076667185722133E-3</v>
      </c>
      <c r="H794" s="36">
        <f t="shared" si="49"/>
        <v>7.5804857685450866E-2</v>
      </c>
      <c r="I794" s="36">
        <f>(Table143454[[#This Row],[Core CPI]]-F782)/F782</f>
        <v>1.2231811691169131E-2</v>
      </c>
    </row>
    <row r="795" spans="1:9" x14ac:dyDescent="0.2">
      <c r="A795" s="34">
        <f>IF(Data!B823="",#N/A,Data!B823)</f>
        <v>42856</v>
      </c>
      <c r="B795" s="35">
        <f>VLOOKUP(A795,Data!B:AY,MATCH($B$2,Data!$C$1:$AY$1,0),FALSE)</f>
        <v>101.2</v>
      </c>
      <c r="C795" s="36">
        <f t="shared" si="51"/>
        <v>-1.9723865877712132E-3</v>
      </c>
      <c r="D795" s="36">
        <f t="shared" si="47"/>
        <v>-2.3413559303516851E-2</v>
      </c>
      <c r="E795" s="36">
        <f>(Table143454[[#This Row],[JPN]]-B783)/B783</f>
        <v>1.4028056112224506E-2</v>
      </c>
      <c r="F795" s="35">
        <f>VLOOKUP(Table143454[[#This Row],[Date]],'Data Core CPI'!$B:$AY,MATCH($B$2,'Data Core CPI'!$C$1:$AY$1,0),FALSE)</f>
        <v>101.1893</v>
      </c>
      <c r="G795" s="36">
        <f t="shared" si="48"/>
        <v>-2.4704283028669227E-3</v>
      </c>
      <c r="H795" s="36">
        <f t="shared" si="49"/>
        <v>-2.9245639167888582E-2</v>
      </c>
      <c r="I795" s="36">
        <f>(Table143454[[#This Row],[Core CPI]]-F783)/F783</f>
        <v>7.2164938191975518E-3</v>
      </c>
    </row>
    <row r="796" spans="1:9" x14ac:dyDescent="0.2">
      <c r="A796" s="34">
        <f>IF(Data!B824="",#N/A,Data!B824)</f>
        <v>42887</v>
      </c>
      <c r="B796" s="35">
        <f>VLOOKUP(A796,Data!B:AY,MATCH($B$2,Data!$C$1:$AY$1,0),FALSE)</f>
        <v>101.1</v>
      </c>
      <c r="C796" s="36">
        <f t="shared" si="51"/>
        <v>-9.8814229249022389E-4</v>
      </c>
      <c r="D796" s="36">
        <f t="shared" si="47"/>
        <v>-1.1793475242483642E-2</v>
      </c>
      <c r="E796" s="36">
        <f>(Table143454[[#This Row],[JPN]]-B784)/B784</f>
        <v>1.2012012012011897E-2</v>
      </c>
      <c r="F796" s="35">
        <f>VLOOKUP(Table143454[[#This Row],[Date]],'Data Core CPI'!$B:$AY,MATCH($B$2,'Data Core CPI'!$C$1:$AY$1,0),FALSE)</f>
        <v>101.3138</v>
      </c>
      <c r="G796" s="36">
        <f t="shared" si="48"/>
        <v>1.2303672423863432E-3</v>
      </c>
      <c r="H796" s="36">
        <f t="shared" si="49"/>
        <v>1.4864728837136632E-2</v>
      </c>
      <c r="I796" s="36">
        <f>(Table143454[[#This Row],[Core CPI]]-F784)/F784</f>
        <v>8.4346607422979974E-3</v>
      </c>
    </row>
    <row r="797" spans="1:9" x14ac:dyDescent="0.2">
      <c r="A797" s="34">
        <f>IF(Data!B825="",#N/A,Data!B825)</f>
        <v>42917</v>
      </c>
      <c r="B797" s="35">
        <f>VLOOKUP(A797,Data!B:AY,MATCH($B$2,Data!$C$1:$AY$1,0),FALSE)</f>
        <v>101.2</v>
      </c>
      <c r="C797" s="36">
        <f t="shared" si="51"/>
        <v>9.8911968348169843E-4</v>
      </c>
      <c r="D797" s="36">
        <f t="shared" si="47"/>
        <v>1.1934221184560778E-2</v>
      </c>
      <c r="E797" s="36">
        <f>(Table143454[[#This Row],[JPN]]-B785)/B785</f>
        <v>1.0989010989011075E-2</v>
      </c>
      <c r="F797" s="35">
        <f>VLOOKUP(Table143454[[#This Row],[Date]],'Data Core CPI'!$B:$AY,MATCH($B$2,'Data Core CPI'!$C$1:$AY$1,0),FALSE)</f>
        <v>101.74160000000001</v>
      </c>
      <c r="G797" s="36">
        <f t="shared" si="48"/>
        <v>4.2225244734677148E-3</v>
      </c>
      <c r="H797" s="36">
        <f t="shared" si="49"/>
        <v>5.1863776170975484E-2</v>
      </c>
      <c r="I797" s="36">
        <f>(Table143454[[#This Row],[Core CPI]]-F785)/F785</f>
        <v>8.3559220404664774E-3</v>
      </c>
    </row>
    <row r="798" spans="1:9" x14ac:dyDescent="0.2">
      <c r="A798" s="34">
        <f>IF(Data!B826="",#N/A,Data!B826)</f>
        <v>42948</v>
      </c>
      <c r="B798" s="35">
        <f>VLOOKUP(A798,Data!B:AY,MATCH($B$2,Data!$C$1:$AY$1,0),FALSE)</f>
        <v>101.5</v>
      </c>
      <c r="C798" s="36">
        <f t="shared" si="51"/>
        <v>2.9644268774702276E-3</v>
      </c>
      <c r="D798" s="36">
        <f t="shared" si="47"/>
        <v>3.6158888692721547E-2</v>
      </c>
      <c r="E798" s="36">
        <f>(Table143454[[#This Row],[JPN]]-B786)/B786</f>
        <v>1.1964107676969121E-2</v>
      </c>
      <c r="F798" s="35">
        <f>VLOOKUP(Table143454[[#This Row],[Date]],'Data Core CPI'!$B:$AY,MATCH($B$2,'Data Core CPI'!$C$1:$AY$1,0),FALSE)</f>
        <v>102.0676</v>
      </c>
      <c r="G798" s="36">
        <f t="shared" si="48"/>
        <v>3.2041957272148647E-3</v>
      </c>
      <c r="H798" s="36">
        <f t="shared" si="49"/>
        <v>3.9135251962996165E-2</v>
      </c>
      <c r="I798" s="36">
        <f>(Table143454[[#This Row],[Core CPI]]-F786)/F786</f>
        <v>8.8073811606449569E-3</v>
      </c>
    </row>
    <row r="799" spans="1:9" x14ac:dyDescent="0.2">
      <c r="A799" s="34">
        <f>IF(Data!B827="",#N/A,Data!B827)</f>
        <v>42979</v>
      </c>
      <c r="B799" s="35">
        <f>VLOOKUP(A799,Data!B:AY,MATCH($B$2,Data!$C$1:$AY$1,0),FALSE)</f>
        <v>101.2</v>
      </c>
      <c r="C799" s="36">
        <f t="shared" si="51"/>
        <v>-2.9556650246305161E-3</v>
      </c>
      <c r="D799" s="36">
        <f t="shared" si="47"/>
        <v>-3.4897050140970998E-2</v>
      </c>
      <c r="E799" s="36">
        <f>(Table143454[[#This Row],[JPN]]-B787)/B787</f>
        <v>1.0989010989011075E-2</v>
      </c>
      <c r="F799" s="35">
        <f>VLOOKUP(Table143454[[#This Row],[Date]],'Data Core CPI'!$B:$AY,MATCH($B$2,'Data Core CPI'!$C$1:$AY$1,0),FALSE)</f>
        <v>101.50069999999999</v>
      </c>
      <c r="G799" s="36">
        <f t="shared" si="48"/>
        <v>-5.5541621435205579E-3</v>
      </c>
      <c r="H799" s="36">
        <f t="shared" si="49"/>
        <v>-6.4651158019175314E-2</v>
      </c>
      <c r="I799" s="36">
        <f>(Table143454[[#This Row],[Core CPI]]-F787)/F787</f>
        <v>7.4221188670499615E-3</v>
      </c>
    </row>
    <row r="800" spans="1:9" x14ac:dyDescent="0.2">
      <c r="A800" s="34">
        <f>IF(Data!B828="",#N/A,Data!B828)</f>
        <v>43009</v>
      </c>
      <c r="B800" s="35">
        <f>VLOOKUP(A800,Data!B:AY,MATCH($B$2,Data!$C$1:$AY$1,0),FALSE)</f>
        <v>101</v>
      </c>
      <c r="C800" s="36">
        <f t="shared" si="51"/>
        <v>-1.9762845849802257E-3</v>
      </c>
      <c r="D800" s="36">
        <f t="shared" si="47"/>
        <v>-2.3459329373158533E-2</v>
      </c>
      <c r="E800" s="36">
        <f>(Table143454[[#This Row],[JPN]]-B788)/B788</f>
        <v>0.01</v>
      </c>
      <c r="F800" s="35">
        <f>VLOOKUP(Table143454[[#This Row],[Date]],'Data Core CPI'!$B:$AY,MATCH($B$2,'Data Core CPI'!$C$1:$AY$1,0),FALSE)</f>
        <v>100.9315</v>
      </c>
      <c r="G800" s="36">
        <f t="shared" si="48"/>
        <v>-5.6078430986189476E-3</v>
      </c>
      <c r="H800" s="36">
        <f t="shared" si="49"/>
        <v>-6.5256868409111601E-2</v>
      </c>
      <c r="I800" s="36">
        <f>(Table143454[[#This Row],[Core CPI]]-F788)/F788</f>
        <v>3.9079517717572889E-3</v>
      </c>
    </row>
    <row r="801" spans="1:9" x14ac:dyDescent="0.2">
      <c r="A801" s="34">
        <f>IF(Data!B829="",#N/A,Data!B829)</f>
        <v>43040</v>
      </c>
      <c r="B801" s="35">
        <f>VLOOKUP(A801,Data!B:AY,MATCH($B$2,Data!$C$1:$AY$1,0),FALSE)</f>
        <v>100.8</v>
      </c>
      <c r="C801" s="36">
        <f t="shared" si="51"/>
        <v>-1.980198019801982E-3</v>
      </c>
      <c r="D801" s="36">
        <f t="shared" si="47"/>
        <v>-2.3505278732334434E-2</v>
      </c>
      <c r="E801" s="36">
        <f>(Table143454[[#This Row],[JPN]]-B789)/B789</f>
        <v>9.0090090090089239E-3</v>
      </c>
      <c r="F801" s="35">
        <f>VLOOKUP(Table143454[[#This Row],[Date]],'Data Core CPI'!$B:$AY,MATCH($B$2,'Data Core CPI'!$C$1:$AY$1,0),FALSE)</f>
        <v>100.5213</v>
      </c>
      <c r="G801" s="36">
        <f t="shared" si="48"/>
        <v>-4.0641425124960939E-3</v>
      </c>
      <c r="H801" s="36">
        <f t="shared" si="49"/>
        <v>-4.7694205454965721E-2</v>
      </c>
      <c r="I801" s="36">
        <f>(Table143454[[#This Row],[Core CPI]]-F789)/F789</f>
        <v>2.6492259292987038E-3</v>
      </c>
    </row>
    <row r="802" spans="1:9" x14ac:dyDescent="0.2">
      <c r="A802" s="34">
        <f>IF(Data!B830="",#N/A,Data!B830)</f>
        <v>43070</v>
      </c>
      <c r="B802" s="35">
        <f>VLOOKUP(A802,Data!B:AY,MATCH($B$2,Data!$C$1:$AY$1,0),FALSE)</f>
        <v>101.2</v>
      </c>
      <c r="C802" s="36">
        <f t="shared" si="51"/>
        <v>3.9682539682539542E-3</v>
      </c>
      <c r="D802" s="36">
        <f t="shared" si="47"/>
        <v>4.8672223172999463E-2</v>
      </c>
      <c r="E802" s="36">
        <f>(Table143454[[#This Row],[JPN]]-B790)/B790</f>
        <v>8.9730807577268756E-3</v>
      </c>
      <c r="F802" s="35">
        <f>VLOOKUP(Table143454[[#This Row],[Date]],'Data Core CPI'!$B:$AY,MATCH($B$2,'Data Core CPI'!$C$1:$AY$1,0),FALSE)</f>
        <v>101.00149999999999</v>
      </c>
      <c r="G802" s="36">
        <f t="shared" si="48"/>
        <v>4.7770969933735863E-3</v>
      </c>
      <c r="H802" s="36">
        <f t="shared" si="49"/>
        <v>5.8855570591114681E-2</v>
      </c>
      <c r="I802" s="36">
        <f>(Table143454[[#This Row],[Core CPI]]-F790)/F790</f>
        <v>3.8553436115991045E-3</v>
      </c>
    </row>
    <row r="803" spans="1:9" x14ac:dyDescent="0.2">
      <c r="A803" s="34">
        <f>IF(Data!B831="",#N/A,Data!B831)</f>
        <v>43101</v>
      </c>
      <c r="B803" s="35">
        <f>VLOOKUP(A803,Data!B:AY,MATCH($B$2,Data!$C$1:$AY$1,0),FALSE)</f>
        <v>101.5</v>
      </c>
      <c r="C803" s="36">
        <f t="shared" si="51"/>
        <v>2.9644268774702276E-3</v>
      </c>
      <c r="D803" s="36">
        <f t="shared" si="47"/>
        <v>3.6158888692721547E-2</v>
      </c>
      <c r="E803" s="36">
        <f>(Table143454[[#This Row],[JPN]]-B791)/B791</f>
        <v>8.9463220675944904E-3</v>
      </c>
      <c r="F803" s="35">
        <f>VLOOKUP(Table143454[[#This Row],[Date]],'Data Core CPI'!$B:$AY,MATCH($B$2,'Data Core CPI'!$C$1:$AY$1,0),FALSE)</f>
        <v>100.8579</v>
      </c>
      <c r="G803" s="36">
        <f t="shared" si="48"/>
        <v>-1.4217610629544408E-3</v>
      </c>
      <c r="H803" s="36">
        <f t="shared" si="49"/>
        <v>-1.692835030904305E-2</v>
      </c>
      <c r="I803" s="36">
        <f>(Table143454[[#This Row],[Core CPI]]-F791)/F791</f>
        <v>4.0537298396128955E-3</v>
      </c>
    </row>
    <row r="804" spans="1:9" x14ac:dyDescent="0.2">
      <c r="A804" s="34">
        <f>IF(Data!B832="",#N/A,Data!B832)</f>
        <v>43132</v>
      </c>
      <c r="B804" s="35">
        <f>VLOOKUP(A804,Data!B:AY,MATCH($B$2,Data!$C$1:$AY$1,0),FALSE)</f>
        <v>101.5</v>
      </c>
      <c r="C804" s="36">
        <f>(B804/B803)-1</f>
        <v>0</v>
      </c>
      <c r="D804" s="36">
        <f t="shared" si="47"/>
        <v>0</v>
      </c>
      <c r="E804" s="36">
        <f>(Table143454[[#This Row],[JPN]]-B792)/B792</f>
        <v>4.9504950495049506E-3</v>
      </c>
      <c r="F804" s="35">
        <f>VLOOKUP(Table143454[[#This Row],[Date]],'Data Core CPI'!$B:$AY,MATCH($B$2,'Data Core CPI'!$C$1:$AY$1,0),FALSE)</f>
        <v>101.00190000000001</v>
      </c>
      <c r="G804" s="36">
        <f t="shared" si="48"/>
        <v>1.4277513214135951E-3</v>
      </c>
      <c r="H804" s="36">
        <f t="shared" si="49"/>
        <v>1.7268197487159576E-2</v>
      </c>
      <c r="I804" s="36">
        <f>(Table143454[[#This Row],[Core CPI]]-F792)/F792</f>
        <v>4.2176347241984378E-3</v>
      </c>
    </row>
    <row r="805" spans="1:9" x14ac:dyDescent="0.2">
      <c r="A805" s="34">
        <f>IF(Data!B833="",#N/A,Data!B833)</f>
        <v>43160</v>
      </c>
      <c r="B805" s="35">
        <f>VLOOKUP(A805,Data!B:AY,MATCH($B$2,Data!$C$1:$AY$1,0),FALSE)</f>
        <v>101.8</v>
      </c>
      <c r="C805" s="36">
        <f t="shared" ref="C805:C809" si="52">(B805/B804)-1</f>
        <v>2.9556650246305161E-3</v>
      </c>
      <c r="D805" s="36">
        <f t="shared" si="47"/>
        <v>3.6050271853349747E-2</v>
      </c>
      <c r="E805" s="36">
        <f>(Table143454[[#This Row],[JPN]]-B793)/B793</f>
        <v>7.9207920792078931E-3</v>
      </c>
      <c r="F805" s="35">
        <f>VLOOKUP(Table143454[[#This Row],[Date]],'Data Core CPI'!$B:$AY,MATCH($B$2,'Data Core CPI'!$C$1:$AY$1,0),FALSE)</f>
        <v>101.4301</v>
      </c>
      <c r="G805" s="36">
        <f t="shared" si="48"/>
        <v>4.2395242069701577E-3</v>
      </c>
      <c r="H805" s="36">
        <f t="shared" si="49"/>
        <v>5.2077470666636483E-2</v>
      </c>
      <c r="I805" s="36">
        <f>(Table143454[[#This Row],[Core CPI]]-F793)/F793</f>
        <v>6.0104677353925752E-3</v>
      </c>
    </row>
    <row r="806" spans="1:9" x14ac:dyDescent="0.2">
      <c r="A806" s="34">
        <f>IF(Data!B834="",#N/A,Data!B834)</f>
        <v>43191</v>
      </c>
      <c r="B806" s="35">
        <f>VLOOKUP(A806,Data!B:AY,MATCH($B$2,Data!$C$1:$AY$1,0),FALSE)</f>
        <v>101.9</v>
      </c>
      <c r="C806" s="36">
        <f t="shared" si="52"/>
        <v>9.8231827111994185E-4</v>
      </c>
      <c r="D806" s="36">
        <f t="shared" si="47"/>
        <v>1.1851714896520038E-2</v>
      </c>
      <c r="E806" s="36">
        <f>(Table143454[[#This Row],[JPN]]-B794)/B794</f>
        <v>4.9309664694280079E-3</v>
      </c>
      <c r="F806" s="35">
        <f>VLOOKUP(Table143454[[#This Row],[Date]],'Data Core CPI'!$B:$AY,MATCH($B$2,'Data Core CPI'!$C$1:$AY$1,0),FALSE)</f>
        <v>101.76</v>
      </c>
      <c r="G806" s="36">
        <f t="shared" si="48"/>
        <v>3.2524861949263517E-3</v>
      </c>
      <c r="H806" s="36">
        <f t="shared" si="49"/>
        <v>3.9735651541264794E-2</v>
      </c>
      <c r="I806" s="36">
        <f>(Table143454[[#This Row],[Core CPI]]-F794)/F794</f>
        <v>3.1555630476766119E-3</v>
      </c>
    </row>
    <row r="807" spans="1:9" x14ac:dyDescent="0.2">
      <c r="A807" s="34">
        <f>IF(Data!B835="",#N/A,Data!B835)</f>
        <v>43221</v>
      </c>
      <c r="B807" s="35">
        <f>VLOOKUP(A807,Data!B:AY,MATCH($B$2,Data!$C$1:$AY$1,0),FALSE)</f>
        <v>102.2</v>
      </c>
      <c r="C807" s="36">
        <f t="shared" si="52"/>
        <v>2.9440628066732533E-3</v>
      </c>
      <c r="D807" s="36">
        <f t="shared" si="47"/>
        <v>3.5906460316415201E-2</v>
      </c>
      <c r="E807" s="36">
        <f>(Table143454[[#This Row],[JPN]]-B795)/B795</f>
        <v>9.881422924901186E-3</v>
      </c>
      <c r="F807" s="35">
        <f>VLOOKUP(Table143454[[#This Row],[Date]],'Data Core CPI'!$B:$AY,MATCH($B$2,'Data Core CPI'!$C$1:$AY$1,0),FALSE)</f>
        <v>101.8604</v>
      </c>
      <c r="G807" s="36">
        <f t="shared" si="48"/>
        <v>9.8663522012576443E-4</v>
      </c>
      <c r="H807" s="36">
        <f t="shared" si="49"/>
        <v>1.1904082045722797E-2</v>
      </c>
      <c r="I807" s="36">
        <f>(Table143454[[#This Row],[Core CPI]]-F795)/F795</f>
        <v>6.6321241475135765E-3</v>
      </c>
    </row>
    <row r="808" spans="1:9" x14ac:dyDescent="0.2">
      <c r="A808" s="34">
        <f>IF(Data!B836="",#N/A,Data!B836)</f>
        <v>43252</v>
      </c>
      <c r="B808" s="35">
        <f>VLOOKUP(A808,Data!B:AY,MATCH($B$2,Data!$C$1:$AY$1,0),FALSE)</f>
        <v>102.4</v>
      </c>
      <c r="C808" s="36">
        <f t="shared" si="52"/>
        <v>1.9569471624265589E-3</v>
      </c>
      <c r="D808" s="36">
        <f t="shared" si="47"/>
        <v>2.3737778386256236E-2</v>
      </c>
      <c r="E808" s="36">
        <f>(Table143454[[#This Row],[JPN]]-B796)/B796</f>
        <v>1.2858555885262231E-2</v>
      </c>
      <c r="F808" s="35">
        <f>VLOOKUP(Table143454[[#This Row],[Date]],'Data Core CPI'!$B:$AY,MATCH($B$2,'Data Core CPI'!$C$1:$AY$1,0),FALSE)</f>
        <v>102.0408</v>
      </c>
      <c r="G808" s="36">
        <f t="shared" si="48"/>
        <v>1.7710513604896061E-3</v>
      </c>
      <c r="H808" s="36">
        <f t="shared" si="49"/>
        <v>2.1460860448995867E-2</v>
      </c>
      <c r="I808" s="36">
        <f>(Table143454[[#This Row],[Core CPI]]-F796)/F796</f>
        <v>7.1757253207362067E-3</v>
      </c>
    </row>
    <row r="809" spans="1:9" x14ac:dyDescent="0.2">
      <c r="A809" s="34">
        <f>IF(Data!B837="",#N/A,Data!B837)</f>
        <v>43282</v>
      </c>
      <c r="B809" s="35">
        <f>VLOOKUP(A809,Data!B:AY,MATCH($B$2,Data!$C$1:$AY$1,0),FALSE)</f>
        <v>102.7</v>
      </c>
      <c r="C809" s="36">
        <f t="shared" si="52"/>
        <v>2.9296875E-3</v>
      </c>
      <c r="D809" s="36">
        <f t="shared" si="47"/>
        <v>3.5728301237749616E-2</v>
      </c>
      <c r="E809" s="36">
        <f>(Table143454[[#This Row],[JPN]]-B797)/B797</f>
        <v>1.4822134387351778E-2</v>
      </c>
      <c r="F809" s="35">
        <f>VLOOKUP(Table143454[[#This Row],[Date]],'Data Core CPI'!$B:$AY,MATCH($B$2,'Data Core CPI'!$C$1:$AY$1,0),FALSE)</f>
        <v>102.31740000000001</v>
      </c>
      <c r="G809" s="36">
        <f t="shared" si="48"/>
        <v>2.710680433708923E-3</v>
      </c>
      <c r="H809" s="36">
        <f t="shared" si="49"/>
        <v>3.3017527932516666E-2</v>
      </c>
      <c r="I809" s="36">
        <f>(Table143454[[#This Row],[Core CPI]]-F797)/F797</f>
        <v>5.6594352752463196E-3</v>
      </c>
    </row>
    <row r="810" spans="1:9" x14ac:dyDescent="0.2">
      <c r="A810" s="34">
        <f>IF(Data!B838="",#N/A,Data!B838)</f>
        <v>43313</v>
      </c>
      <c r="B810" s="35">
        <f>VLOOKUP(A810,Data!B:AY,MATCH($B$2,Data!$C$1:$AY$1,0),FALSE)</f>
        <v>103.1</v>
      </c>
      <c r="C810" s="36">
        <f>(B810/B809)-1</f>
        <v>3.894839337877265E-3</v>
      </c>
      <c r="D810" s="36">
        <f t="shared" si="47"/>
        <v>4.7752390169605974E-2</v>
      </c>
      <c r="E810" s="36">
        <f>(Table143454[[#This Row],[JPN]]-B798)/B798</f>
        <v>1.57635467980295E-2</v>
      </c>
      <c r="F810" s="35">
        <f>VLOOKUP(Table143454[[#This Row],[Date]],'Data Core CPI'!$B:$AY,MATCH($B$2,'Data Core CPI'!$C$1:$AY$1,0),FALSE)</f>
        <v>102.858</v>
      </c>
      <c r="G810" s="36">
        <f t="shared" si="48"/>
        <v>5.2835588081792118E-3</v>
      </c>
      <c r="H810" s="36">
        <f t="shared" si="49"/>
        <v>6.5277999391826658E-2</v>
      </c>
      <c r="I810" s="36">
        <f>(Table143454[[#This Row],[Core CPI]]-F798)/F798</f>
        <v>7.7438873844393845E-3</v>
      </c>
    </row>
    <row r="811" spans="1:9" x14ac:dyDescent="0.2">
      <c r="A811" s="34">
        <f>IF(Data!B839="",#N/A,Data!B839)</f>
        <v>43344</v>
      </c>
      <c r="B811" s="35">
        <f>VLOOKUP(A811,Data!B:AY,MATCH($B$2,Data!$C$1:$AY$1,0),FALSE)</f>
        <v>102.6</v>
      </c>
      <c r="C811" s="36">
        <f t="shared" ref="C811:C813" si="53">(B811/B810)-1</f>
        <v>-4.8496605237633439E-3</v>
      </c>
      <c r="D811" s="36">
        <f t="shared" si="47"/>
        <v>-5.6668480149655642E-2</v>
      </c>
      <c r="E811" s="36">
        <f>(Table143454[[#This Row],[JPN]]-B799)/B799</f>
        <v>1.3833992094861575E-2</v>
      </c>
      <c r="F811" s="35">
        <f>VLOOKUP(Table143454[[#This Row],[Date]],'Data Core CPI'!$B:$AY,MATCH($B$2,'Data Core CPI'!$C$1:$AY$1,0),FALSE)</f>
        <v>102.17749999999999</v>
      </c>
      <c r="G811" s="36">
        <f t="shared" si="48"/>
        <v>-6.6159170895798702E-3</v>
      </c>
      <c r="H811" s="36">
        <f t="shared" si="49"/>
        <v>-7.6564930838291856E-2</v>
      </c>
      <c r="I811" s="36">
        <f>(Table143454[[#This Row],[Core CPI]]-F799)/F799</f>
        <v>6.6679343098126429E-3</v>
      </c>
    </row>
    <row r="812" spans="1:9" x14ac:dyDescent="0.2">
      <c r="A812" s="34">
        <f>IF(Data!B840="",#N/A,Data!B840)</f>
        <v>43374</v>
      </c>
      <c r="B812" s="35">
        <f>VLOOKUP(A812,Data!B:AY,MATCH($B$2,Data!$C$1:$AY$1,0),FALSE)</f>
        <v>102.6</v>
      </c>
      <c r="C812" s="36">
        <f t="shared" si="53"/>
        <v>0</v>
      </c>
      <c r="D812" s="36">
        <f t="shared" si="47"/>
        <v>0</v>
      </c>
      <c r="E812" s="36">
        <f>(Table143454[[#This Row],[JPN]]-B800)/B800</f>
        <v>1.5841584158415786E-2</v>
      </c>
      <c r="F812" s="35">
        <f>VLOOKUP(Table143454[[#This Row],[Date]],'Data Core CPI'!$B:$AY,MATCH($B$2,'Data Core CPI'!$C$1:$AY$1,0),FALSE)</f>
        <v>101.7364</v>
      </c>
      <c r="G812" s="36">
        <f t="shared" si="48"/>
        <v>-4.3169973820067487E-3</v>
      </c>
      <c r="H812" s="36">
        <f t="shared" si="49"/>
        <v>-5.0591490847981979E-2</v>
      </c>
      <c r="I812" s="36">
        <f>(Table143454[[#This Row],[Core CPI]]-F800)/F800</f>
        <v>7.9747155248857237E-3</v>
      </c>
    </row>
    <row r="813" spans="1:9" x14ac:dyDescent="0.2">
      <c r="A813" s="34">
        <f>IF(Data!B841="",#N/A,Data!B841)</f>
        <v>43405</v>
      </c>
      <c r="B813" s="35">
        <f>VLOOKUP(A813,Data!B:AY,MATCH($B$2,Data!$C$1:$AY$1,0),FALSE)</f>
        <v>102.4</v>
      </c>
      <c r="C813" s="36">
        <f t="shared" si="53"/>
        <v>-1.9493177387913674E-3</v>
      </c>
      <c r="D813" s="36">
        <f t="shared" si="47"/>
        <v>-2.3142645884716373E-2</v>
      </c>
      <c r="E813" s="36">
        <f>(Table143454[[#This Row],[JPN]]-B801)/B801</f>
        <v>1.5873015873015959E-2</v>
      </c>
      <c r="F813" s="35">
        <f>VLOOKUP(Table143454[[#This Row],[Date]],'Data Core CPI'!$B:$AY,MATCH($B$2,'Data Core CPI'!$C$1:$AY$1,0),FALSE)</f>
        <v>101.3732</v>
      </c>
      <c r="G813" s="36">
        <f t="shared" si="48"/>
        <v>-3.5700103404484596E-3</v>
      </c>
      <c r="H813" s="36">
        <f t="shared" si="49"/>
        <v>-4.2008885796342543E-2</v>
      </c>
      <c r="I813" s="36">
        <f>(Table143454[[#This Row],[Core CPI]]-F801)/F801</f>
        <v>8.4748207593813504E-3</v>
      </c>
    </row>
    <row r="814" spans="1:9" x14ac:dyDescent="0.2">
      <c r="A814" s="34">
        <f>IF(Data!B842="",#N/A,Data!B842)</f>
        <v>43435</v>
      </c>
      <c r="B814" s="35">
        <f>VLOOKUP(A814,Data!B:AY,MATCH($B$2,Data!$C$1:$AY$1,0),FALSE)</f>
        <v>102.3</v>
      </c>
      <c r="C814" s="36">
        <f t="shared" ref="C814:C819" si="54">(B814/B813)-1</f>
        <v>-9.7656250000011102E-4</v>
      </c>
      <c r="D814" s="36">
        <f t="shared" ref="D814:D819" si="55">((1+C814)^12)-1</f>
        <v>-1.1656011936587718E-2</v>
      </c>
      <c r="E814" s="36">
        <f>(Table143454[[#This Row],[JPN]]-B802)/B802</f>
        <v>1.0869565217391249E-2</v>
      </c>
      <c r="F814" s="35">
        <f>VLOOKUP(Table143454[[#This Row],[Date]],'Data Core CPI'!$B:$AY,MATCH($B$2,'Data Core CPI'!$C$1:$AY$1,0),FALSE)</f>
        <v>101.52970000000001</v>
      </c>
      <c r="G814" s="36">
        <f t="shared" ref="G814:G819" si="56">(F814/F813)-1</f>
        <v>1.5438005311070313E-3</v>
      </c>
      <c r="H814" s="36">
        <f t="shared" ref="H814:H819" si="57">((1+G814)^12)-1</f>
        <v>1.8683717778795739E-2</v>
      </c>
      <c r="I814" s="36">
        <f>(Table143454[[#This Row],[Core CPI]]-F802)/F802</f>
        <v>5.2296253025946393E-3</v>
      </c>
    </row>
    <row r="815" spans="1:9" x14ac:dyDescent="0.2">
      <c r="A815" s="34">
        <f>IF(Data!B843="",#N/A,Data!B843)</f>
        <v>43466</v>
      </c>
      <c r="B815" s="35">
        <f>VLOOKUP(A815,Data!B:AY,MATCH($B$2,Data!$C$1:$AY$1,0),FALSE)</f>
        <v>102.4</v>
      </c>
      <c r="C815" s="36">
        <f t="shared" si="54"/>
        <v>9.7751710654936375E-4</v>
      </c>
      <c r="D815" s="36">
        <f t="shared" si="55"/>
        <v>1.1793476843447115E-2</v>
      </c>
      <c r="E815" s="36">
        <f>(Table143454[[#This Row],[JPN]]-B803)/B803</f>
        <v>8.8669950738916817E-3</v>
      </c>
      <c r="F815" s="35">
        <f>VLOOKUP(Table143454[[#This Row],[Date]],'Data Core CPI'!$B:$AY,MATCH($B$2,'Data Core CPI'!$C$1:$AY$1,0),FALSE)</f>
        <v>101.44580000000001</v>
      </c>
      <c r="G815" s="36">
        <f t="shared" si="56"/>
        <v>-8.2635918356899207E-4</v>
      </c>
      <c r="H815" s="36">
        <f t="shared" si="57"/>
        <v>-9.8713647302974827E-3</v>
      </c>
      <c r="I815" s="36">
        <f>(Table143454[[#This Row],[Core CPI]]-F803)/F803</f>
        <v>5.8289930684656804E-3</v>
      </c>
    </row>
    <row r="816" spans="1:9" x14ac:dyDescent="0.2">
      <c r="A816" s="34">
        <f>IF(Data!B844="",#N/A,Data!B844)</f>
        <v>43497</v>
      </c>
      <c r="B816" s="35">
        <f>VLOOKUP(A816,Data!B:AY,MATCH($B$2,Data!$C$1:$AY$1,0),FALSE)</f>
        <v>102.5</v>
      </c>
      <c r="C816" s="36">
        <f t="shared" si="54"/>
        <v>9.765625E-4</v>
      </c>
      <c r="D816" s="36">
        <f t="shared" si="55"/>
        <v>1.1781897846753431E-2</v>
      </c>
      <c r="E816" s="36">
        <f>(Table143454[[#This Row],[JPN]]-B804)/B804</f>
        <v>9.852216748768473E-3</v>
      </c>
      <c r="F816" s="35">
        <f>VLOOKUP(Table143454[[#This Row],[Date]],'Data Core CPI'!$B:$AY,MATCH($B$2,'Data Core CPI'!$C$1:$AY$1,0),FALSE)</f>
        <v>101.4468</v>
      </c>
      <c r="G816" s="36">
        <f t="shared" si="56"/>
        <v>9.8574805462714465E-6</v>
      </c>
      <c r="H816" s="36">
        <f t="shared" si="57"/>
        <v>1.1829617998038167E-4</v>
      </c>
      <c r="I816" s="36">
        <f>(Table143454[[#This Row],[Core CPI]]-F804)/F804</f>
        <v>4.4048676312028771E-3</v>
      </c>
    </row>
    <row r="817" spans="1:9" x14ac:dyDescent="0.2">
      <c r="A817" s="34">
        <f>IF(Data!B845="",#N/A,Data!B845)</f>
        <v>43525</v>
      </c>
      <c r="B817" s="35">
        <f>VLOOKUP(A817,Data!B:AY,MATCH($B$2,Data!$C$1:$AY$1,0),FALSE)</f>
        <v>102.8</v>
      </c>
      <c r="C817" s="36">
        <f t="shared" si="54"/>
        <v>2.9268292682926855E-3</v>
      </c>
      <c r="D817" s="36">
        <f t="shared" si="55"/>
        <v>3.5692881346127914E-2</v>
      </c>
      <c r="E817" s="36">
        <f>(Table143454[[#This Row],[JPN]]-B805)/B805</f>
        <v>9.823182711198428E-3</v>
      </c>
      <c r="F817" s="35">
        <f>VLOOKUP(Table143454[[#This Row],[Date]],'Data Core CPI'!$B:$AY,MATCH($B$2,'Data Core CPI'!$C$1:$AY$1,0),FALSE)</f>
        <v>101.866</v>
      </c>
      <c r="G817" s="36">
        <f t="shared" si="56"/>
        <v>4.1322151117630934E-3</v>
      </c>
      <c r="H817" s="36">
        <f t="shared" si="57"/>
        <v>5.0729212787048672E-2</v>
      </c>
      <c r="I817" s="36">
        <f>(Table143454[[#This Row],[Core CPI]]-F805)/F805</f>
        <v>4.2975408680461097E-3</v>
      </c>
    </row>
    <row r="818" spans="1:9" x14ac:dyDescent="0.2">
      <c r="A818" s="34">
        <f>IF(Data!B846="",#N/A,Data!B846)</f>
        <v>43556</v>
      </c>
      <c r="B818" s="35">
        <f>VLOOKUP(A818,Data!B:AY,MATCH($B$2,Data!$C$1:$AY$1,0),FALSE)</f>
        <v>103</v>
      </c>
      <c r="C818" s="36">
        <f t="shared" si="54"/>
        <v>1.9455252918287869E-3</v>
      </c>
      <c r="D818" s="36">
        <f t="shared" si="55"/>
        <v>2.3597745215743871E-2</v>
      </c>
      <c r="E818" s="36">
        <f>(Table143454[[#This Row],[JPN]]-B806)/B806</f>
        <v>1.0794896957801709E-2</v>
      </c>
      <c r="F818" s="35">
        <f>VLOOKUP(Table143454[[#This Row],[Date]],'Data Core CPI'!$B:$AY,MATCH($B$2,'Data Core CPI'!$C$1:$AY$1,0),FALSE)</f>
        <v>102.56399999999999</v>
      </c>
      <c r="G818" s="36">
        <f t="shared" si="56"/>
        <v>6.8521390846798536E-3</v>
      </c>
      <c r="H818" s="36">
        <f t="shared" si="57"/>
        <v>8.5396370225214069E-2</v>
      </c>
      <c r="I818" s="36">
        <f>(Table143454[[#This Row],[Core CPI]]-F806)/F806</f>
        <v>7.9009433962262954E-3</v>
      </c>
    </row>
    <row r="819" spans="1:9" x14ac:dyDescent="0.2">
      <c r="A819" s="34">
        <f>IF(Data!B847="",#N/A,Data!B847)</f>
        <v>43586</v>
      </c>
      <c r="B819" s="35">
        <f>VLOOKUP(A819,Data!B:AY,MATCH($B$2,Data!$C$1:$AY$1,0),FALSE)</f>
        <v>103</v>
      </c>
      <c r="C819" s="36">
        <f t="shared" si="54"/>
        <v>0</v>
      </c>
      <c r="D819" s="36">
        <f t="shared" si="55"/>
        <v>0</v>
      </c>
      <c r="E819" s="36">
        <f>(Table143454[[#This Row],[JPN]]-B807)/B807</f>
        <v>7.8277886497064297E-3</v>
      </c>
      <c r="F819" s="35">
        <f>VLOOKUP(Table143454[[#This Row],[Date]],'Data Core CPI'!$B:$AY,MATCH($B$2,'Data Core CPI'!$C$1:$AY$1,0),FALSE)</f>
        <v>102.3246</v>
      </c>
      <c r="G819" s="36">
        <f t="shared" si="56"/>
        <v>-2.3341523341522397E-3</v>
      </c>
      <c r="H819" s="36">
        <f t="shared" si="57"/>
        <v>-2.7653025500098183E-2</v>
      </c>
      <c r="I819" s="36">
        <f>(Table143454[[#This Row],[Core CPI]]-F807)/F807</f>
        <v>4.5572175251619397E-3</v>
      </c>
    </row>
    <row r="820" spans="1:9" x14ac:dyDescent="0.2">
      <c r="A820" s="34">
        <f>IF(Data!B848="",#N/A,Data!B848)</f>
        <v>43617</v>
      </c>
      <c r="B820" s="35">
        <f>VLOOKUP(A820,Data!B:AY,MATCH($B$2,Data!$C$1:$AY$1,0),FALSE)</f>
        <v>103.1</v>
      </c>
      <c r="C820" s="36">
        <f t="shared" ref="C820:C821" si="58">(B820/B819)-1</f>
        <v>9.7087378640781097E-4</v>
      </c>
      <c r="D820" s="36">
        <f t="shared" ref="D820:D821" si="59">((1+C820)^12)-1</f>
        <v>1.1712898538546179E-2</v>
      </c>
      <c r="E820" s="36">
        <f>(Table143454[[#This Row],[JPN]]-B808)/B808</f>
        <v>6.835937499999889E-3</v>
      </c>
      <c r="F820" s="35">
        <f>VLOOKUP(Table143454[[#This Row],[Date]],'Data Core CPI'!$B:$AY,MATCH($B$2,'Data Core CPI'!$C$1:$AY$1,0),FALSE)</f>
        <v>102.6095</v>
      </c>
      <c r="G820" s="36">
        <f t="shared" ref="G820:G821" si="60">(F820/F819)-1</f>
        <v>2.7842767037447036E-3</v>
      </c>
      <c r="H820" s="36">
        <f t="shared" ref="H820:H821" si="61">((1+G820)^12)-1</f>
        <v>3.392774384942987E-2</v>
      </c>
      <c r="I820" s="36">
        <f>(Table143454[[#This Row],[Core CPI]]-F808)/F808</f>
        <v>5.5732608917216705E-3</v>
      </c>
    </row>
    <row r="821" spans="1:9" s="27" customFormat="1" x14ac:dyDescent="0.2">
      <c r="A821" s="34">
        <f>IF(Data!B849="",#N/A,Data!B849)</f>
        <v>43647</v>
      </c>
      <c r="B821" s="35">
        <f>VLOOKUP(A821,Data!B:AY,MATCH($B$2,Data!$C$1:$AY$1,0),FALSE)</f>
        <v>103.1</v>
      </c>
      <c r="C821" s="36">
        <f t="shared" si="58"/>
        <v>0</v>
      </c>
      <c r="D821" s="36">
        <f t="shared" si="59"/>
        <v>0</v>
      </c>
      <c r="E821" s="36">
        <f>(Table143454[[#This Row],[JPN]]-B809)/B809</f>
        <v>3.8948393378772294E-3</v>
      </c>
      <c r="F821" s="35">
        <f>VLOOKUP(Table143454[[#This Row],[Date]],'Data Core CPI'!$B:$AY,MATCH($B$2,'Data Core CPI'!$C$1:$AY$1,0),FALSE)</f>
        <v>102.9122</v>
      </c>
      <c r="G821" s="36">
        <f t="shared" si="60"/>
        <v>2.9500192477305287E-3</v>
      </c>
      <c r="H821" s="36">
        <f t="shared" si="61"/>
        <v>3.5980289167534041E-2</v>
      </c>
      <c r="I821" s="36">
        <f>(Table143454[[#This Row],[Core CPI]]-F809)/F809</f>
        <v>5.8132829802163876E-3</v>
      </c>
    </row>
    <row r="822" spans="1:9" s="27" customFormat="1" x14ac:dyDescent="0.2">
      <c r="A822" s="34">
        <f>IF(Data!B850="",#N/A,Data!B850)</f>
        <v>43678</v>
      </c>
      <c r="B822" s="35">
        <f>VLOOKUP(A822,Data!B:AY,MATCH($B$2,Data!$C$1:$AY$1,0),FALSE)</f>
        <v>103.5</v>
      </c>
      <c r="C822" s="36">
        <f t="shared" ref="C822:C830" si="62">(B822/B821)-1</f>
        <v>3.8797284190106307E-3</v>
      </c>
      <c r="D822" s="36">
        <f t="shared" ref="D822:D830" si="63">((1+C822)^12)-1</f>
        <v>4.7563152929958941E-2</v>
      </c>
      <c r="E822" s="36">
        <f>(Table143454[[#This Row],[JPN]]-B810)/B810</f>
        <v>3.8797284190107248E-3</v>
      </c>
      <c r="F822" s="35">
        <f>VLOOKUP(Table143454[[#This Row],[Date]],'Data Core CPI'!$B:$AY,MATCH($B$2,'Data Core CPI'!$C$1:$AY$1,0),FALSE)</f>
        <v>103.4482</v>
      </c>
      <c r="G822" s="36">
        <f t="shared" ref="G822:G830" si="64">(F822/F821)-1</f>
        <v>5.2083232114366051E-3</v>
      </c>
      <c r="H822" s="36">
        <f t="shared" ref="H822:H830" si="65">((1+G822)^12)-1</f>
        <v>6.432168600071253E-2</v>
      </c>
      <c r="I822" s="36">
        <f>(Table143454[[#This Row],[Core CPI]]-F810)/F810</f>
        <v>5.7380077388243583E-3</v>
      </c>
    </row>
    <row r="823" spans="1:9" s="27" customFormat="1" x14ac:dyDescent="0.2">
      <c r="A823" s="34">
        <f>IF(Data!B851="",#N/A,Data!B851)</f>
        <v>43709</v>
      </c>
      <c r="B823" s="35">
        <f>VLOOKUP(A823,Data!B:AY,MATCH($B$2,Data!$C$1:$AY$1,0),FALSE)</f>
        <v>102.9</v>
      </c>
      <c r="C823" s="36">
        <f t="shared" si="62"/>
        <v>-5.7971014492752548E-3</v>
      </c>
      <c r="D823" s="36">
        <f t="shared" si="63"/>
        <v>-6.7389502387460665E-2</v>
      </c>
      <c r="E823" s="36">
        <f>(Table143454[[#This Row],[JPN]]-B811)/B811</f>
        <v>2.9239766081872454E-3</v>
      </c>
      <c r="F823" s="35">
        <f>VLOOKUP(Table143454[[#This Row],[Date]],'Data Core CPI'!$B:$AY,MATCH($B$2,'Data Core CPI'!$C$1:$AY$1,0),FALSE)</f>
        <v>102.7868</v>
      </c>
      <c r="G823" s="36">
        <f t="shared" si="64"/>
        <v>-6.3935380219278803E-3</v>
      </c>
      <c r="H823" s="36">
        <f t="shared" si="65"/>
        <v>-7.4081231027240735E-2</v>
      </c>
      <c r="I823" s="36">
        <f>(Table143454[[#This Row],[Core CPI]]-F811)/F811</f>
        <v>5.9631523574172852E-3</v>
      </c>
    </row>
    <row r="824" spans="1:9" s="27" customFormat="1" x14ac:dyDescent="0.2">
      <c r="A824" s="34">
        <f>IF(Data!B852="",#N/A,Data!B852)</f>
        <v>43739</v>
      </c>
      <c r="B824" s="35">
        <f>VLOOKUP(A824,Data!B:AY,MATCH($B$2,Data!$C$1:$AY$1,0),FALSE)</f>
        <v>102.8</v>
      </c>
      <c r="C824" s="36">
        <f t="shared" si="62"/>
        <v>-9.7181729834794339E-4</v>
      </c>
      <c r="D824" s="36">
        <f t="shared" si="63"/>
        <v>-1.1599676753204724E-2</v>
      </c>
      <c r="E824" s="36">
        <f>(Table143454[[#This Row],[JPN]]-B812)/B812</f>
        <v>1.9493177387914509E-3</v>
      </c>
      <c r="F824" s="35">
        <f>VLOOKUP(Table143454[[#This Row],[Date]],'Data Core CPI'!$B:$AY,MATCH($B$2,'Data Core CPI'!$C$1:$AY$1,0),FALSE)</f>
        <v>102.4408</v>
      </c>
      <c r="G824" s="36">
        <f t="shared" si="64"/>
        <v>-3.366190989504525E-3</v>
      </c>
      <c r="H824" s="36">
        <f t="shared" si="65"/>
        <v>-3.9654758188426564E-2</v>
      </c>
      <c r="I824" s="36">
        <f>(Table143454[[#This Row],[Core CPI]]-F812)/F812</f>
        <v>6.9237755611560124E-3</v>
      </c>
    </row>
    <row r="825" spans="1:9" s="27" customFormat="1" x14ac:dyDescent="0.2">
      <c r="A825" s="34">
        <f>IF(Data!B853="",#N/A,Data!B853)</f>
        <v>43770</v>
      </c>
      <c r="B825" s="35">
        <f>VLOOKUP(A825,Data!B:AY,MATCH($B$2,Data!$C$1:$AY$1,0),FALSE)</f>
        <v>102.6</v>
      </c>
      <c r="C825" s="36">
        <f t="shared" si="62"/>
        <v>-1.9455252918287869E-3</v>
      </c>
      <c r="D825" s="36">
        <f t="shared" si="63"/>
        <v>-2.3098101968895057E-2</v>
      </c>
      <c r="E825" s="36">
        <f>(Table143454[[#This Row],[JPN]]-B813)/B813</f>
        <v>1.953124999999889E-3</v>
      </c>
      <c r="F825" s="35">
        <f>VLOOKUP(Table143454[[#This Row],[Date]],'Data Core CPI'!$B:$AY,MATCH($B$2,'Data Core CPI'!$C$1:$AY$1,0),FALSE)</f>
        <v>102.07170000000001</v>
      </c>
      <c r="G825" s="36">
        <f t="shared" si="64"/>
        <v>-3.6030565946379989E-3</v>
      </c>
      <c r="H825" s="36">
        <f t="shared" si="65"/>
        <v>-4.2390073567550091E-2</v>
      </c>
      <c r="I825" s="36">
        <f>(Table143454[[#This Row],[Core CPI]]-F813)/F813</f>
        <v>6.8903812842053911E-3</v>
      </c>
    </row>
    <row r="826" spans="1:9" s="27" customFormat="1" x14ac:dyDescent="0.2">
      <c r="A826" s="34">
        <f>IF(Data!B854="",#N/A,Data!B854)</f>
        <v>43800</v>
      </c>
      <c r="B826" s="35">
        <f>VLOOKUP(A826,Data!B:AY,MATCH($B$2,Data!$C$1:$AY$1,0),FALSE)</f>
        <v>102.8</v>
      </c>
      <c r="C826" s="36">
        <f t="shared" si="62"/>
        <v>1.9493177387914784E-3</v>
      </c>
      <c r="D826" s="36">
        <f t="shared" si="63"/>
        <v>2.36442390125855E-2</v>
      </c>
      <c r="E826" s="36">
        <f>(Table143454[[#This Row],[JPN]]-B814)/B814</f>
        <v>4.8875855327468231E-3</v>
      </c>
      <c r="F826" s="35">
        <f>VLOOKUP(Table143454[[#This Row],[Date]],'Data Core CPI'!$B:$AY,MATCH($B$2,'Data Core CPI'!$C$1:$AY$1,0),FALSE)</f>
        <v>102.30500000000001</v>
      </c>
      <c r="G826" s="36">
        <f t="shared" si="64"/>
        <v>2.2856482257080923E-3</v>
      </c>
      <c r="H826" s="36">
        <f t="shared" si="65"/>
        <v>2.7775215607446002E-2</v>
      </c>
      <c r="I826" s="36">
        <f>(Table143454[[#This Row],[Core CPI]]-F814)/F814</f>
        <v>7.6361892135995814E-3</v>
      </c>
    </row>
    <row r="827" spans="1:9" s="27" customFormat="1" x14ac:dyDescent="0.2">
      <c r="A827" s="34">
        <f>IF(Data!B855="",#N/A,Data!B855)</f>
        <v>43831</v>
      </c>
      <c r="B827" s="35">
        <f>VLOOKUP(A827,Data!B:AY,MATCH($B$2,Data!$C$1:$AY$1,0),FALSE)</f>
        <v>102.9</v>
      </c>
      <c r="C827" s="36">
        <f t="shared" si="62"/>
        <v>9.7276264591439343E-4</v>
      </c>
      <c r="D827" s="36">
        <f t="shared" si="63"/>
        <v>1.1735808336343467E-2</v>
      </c>
      <c r="E827" s="36">
        <f>(Table143454[[#This Row],[JPN]]-B815)/B815</f>
        <v>4.8828125E-3</v>
      </c>
      <c r="F827" s="35">
        <f>VLOOKUP(Table143454[[#This Row],[Date]],'Data Core CPI'!$B:$AY,MATCH($B$2,'Data Core CPI'!$C$1:$AY$1,0),FALSE)</f>
        <v>102.2407</v>
      </c>
      <c r="G827" s="36">
        <f t="shared" si="64"/>
        <v>-6.2851278041153869E-4</v>
      </c>
      <c r="H827" s="36">
        <f t="shared" si="65"/>
        <v>-7.5161360406491573E-3</v>
      </c>
      <c r="I827" s="36">
        <f>(Table143454[[#This Row],[Core CPI]]-F815)/F815</f>
        <v>7.8357112862237604E-3</v>
      </c>
    </row>
    <row r="828" spans="1:9" s="27" customFormat="1" x14ac:dyDescent="0.2">
      <c r="A828" s="34">
        <f>IF(Data!B856="",#N/A,Data!B856)</f>
        <v>43862</v>
      </c>
      <c r="B828" s="35">
        <f>VLOOKUP(A828,Data!B:AY,MATCH($B$2,Data!$C$1:$AY$1,0),FALSE)</f>
        <v>102.8</v>
      </c>
      <c r="C828" s="36">
        <f t="shared" si="62"/>
        <v>-9.7181729834794339E-4</v>
      </c>
      <c r="D828" s="36">
        <f t="shared" si="63"/>
        <v>-1.1599676753204724E-2</v>
      </c>
      <c r="E828" s="36">
        <f>(Table143454[[#This Row],[JPN]]-B816)/B816</f>
        <v>2.9268292682926552E-3</v>
      </c>
      <c r="F828" s="35">
        <f>VLOOKUP(Table143454[[#This Row],[Date]],'Data Core CPI'!$B:$AY,MATCH($B$2,'Data Core CPI'!$C$1:$AY$1,0),FALSE)</f>
        <v>102.1939</v>
      </c>
      <c r="G828" s="36">
        <f t="shared" si="64"/>
        <v>-4.5774334487147517E-4</v>
      </c>
      <c r="H828" s="36">
        <f t="shared" si="65"/>
        <v>-5.479112305045386E-3</v>
      </c>
      <c r="I828" s="36">
        <f>(Table143454[[#This Row],[Core CPI]]-F816)/F816</f>
        <v>7.3644511211788171E-3</v>
      </c>
    </row>
    <row r="829" spans="1:9" s="27" customFormat="1" x14ac:dyDescent="0.2">
      <c r="A829" s="34">
        <f>IF(Data!B857="",#N/A,Data!B857)</f>
        <v>43891</v>
      </c>
      <c r="B829" s="35">
        <f>VLOOKUP(A829,Data!B:AY,MATCH($B$2,Data!$C$1:$AY$1,0),FALSE)</f>
        <v>102.9</v>
      </c>
      <c r="C829" s="36">
        <f t="shared" si="62"/>
        <v>9.7276264591439343E-4</v>
      </c>
      <c r="D829" s="36">
        <f t="shared" si="63"/>
        <v>1.1735808336343467E-2</v>
      </c>
      <c r="E829" s="36">
        <f>(Table143454[[#This Row],[JPN]]-B817)/B817</f>
        <v>9.7276264591447984E-4</v>
      </c>
      <c r="F829" s="35">
        <f>VLOOKUP(Table143454[[#This Row],[Date]],'Data Core CPI'!$B:$AY,MATCH($B$2,'Data Core CPI'!$C$1:$AY$1,0),FALSE)</f>
        <v>102.4641</v>
      </c>
      <c r="G829" s="36">
        <f t="shared" si="64"/>
        <v>2.6439934281792254E-3</v>
      </c>
      <c r="H829" s="36">
        <f t="shared" si="65"/>
        <v>3.2193398054785272E-2</v>
      </c>
      <c r="I829" s="36">
        <f>(Table143454[[#This Row],[Core CPI]]-F817)/F817</f>
        <v>5.8714389492078058E-3</v>
      </c>
    </row>
    <row r="830" spans="1:9" s="27" customFormat="1" x14ac:dyDescent="0.2">
      <c r="A830" s="34">
        <f>IF(Data!B858="",#N/A,Data!B858)</f>
        <v>43922</v>
      </c>
      <c r="B830" s="35">
        <f>VLOOKUP(A830,Data!B:AY,MATCH($B$2,Data!$C$1:$AY$1,0),FALSE)</f>
        <v>103</v>
      </c>
      <c r="C830" s="36">
        <f t="shared" si="62"/>
        <v>9.7181729834794339E-4</v>
      </c>
      <c r="D830" s="36">
        <f t="shared" si="63"/>
        <v>1.1724342245932773E-2</v>
      </c>
      <c r="E830" s="36">
        <f>(Table143454[[#This Row],[JPN]]-B818)/B818</f>
        <v>0</v>
      </c>
      <c r="F830" s="35">
        <f>VLOOKUP(Table143454[[#This Row],[Date]],'Data Core CPI'!$B:$AY,MATCH($B$2,'Data Core CPI'!$C$1:$AY$1,0),FALSE)</f>
        <v>103.11</v>
      </c>
      <c r="G830" s="36">
        <f t="shared" si="64"/>
        <v>6.303671237047892E-3</v>
      </c>
      <c r="H830" s="36">
        <f t="shared" si="65"/>
        <v>7.8322544832502672E-2</v>
      </c>
      <c r="I830" s="36">
        <f>(Table143454[[#This Row],[Core CPI]]-F818)/F818</f>
        <v>5.3235053235053875E-3</v>
      </c>
    </row>
    <row r="831" spans="1:9" s="27" customFormat="1" x14ac:dyDescent="0.2">
      <c r="A831" s="32"/>
      <c r="B831" s="30"/>
      <c r="C831" s="31"/>
      <c r="D831" s="31"/>
      <c r="E831" s="31"/>
      <c r="F831" s="32"/>
      <c r="G831" s="32"/>
      <c r="H831" s="32"/>
      <c r="I831" s="32"/>
    </row>
    <row r="832" spans="1:9" s="27" customFormat="1" x14ac:dyDescent="0.2">
      <c r="A832" s="32"/>
      <c r="B832" s="30"/>
      <c r="C832" s="31"/>
      <c r="D832" s="31"/>
      <c r="E832" s="31"/>
      <c r="F832" s="32"/>
      <c r="G832" s="32"/>
      <c r="H832" s="32"/>
      <c r="I832" s="32"/>
    </row>
    <row r="833" spans="1:9" s="27" customFormat="1" x14ac:dyDescent="0.2">
      <c r="A833" s="32"/>
      <c r="B833" s="30"/>
      <c r="C833" s="31"/>
      <c r="D833" s="31"/>
      <c r="E833" s="31"/>
      <c r="F833" s="32"/>
      <c r="G833" s="32"/>
      <c r="H833" s="32"/>
      <c r="I833" s="32"/>
    </row>
    <row r="834" spans="1:9" s="27" customFormat="1" x14ac:dyDescent="0.2">
      <c r="A834" s="32"/>
      <c r="B834" s="30"/>
      <c r="C834" s="31"/>
      <c r="D834" s="31"/>
      <c r="E834" s="31"/>
      <c r="F834" s="32"/>
      <c r="G834" s="32"/>
      <c r="H834" s="32"/>
      <c r="I834" s="32"/>
    </row>
    <row r="835" spans="1:9" s="27" customFormat="1" x14ac:dyDescent="0.2">
      <c r="A835" s="32"/>
      <c r="B835" s="30"/>
      <c r="C835" s="31"/>
      <c r="D835" s="31"/>
      <c r="E835" s="31"/>
      <c r="F835" s="32"/>
      <c r="G835" s="32"/>
      <c r="H835" s="32"/>
      <c r="I835" s="32"/>
    </row>
    <row r="836" spans="1:9" s="27" customFormat="1" x14ac:dyDescent="0.2">
      <c r="A836" s="32"/>
      <c r="B836" s="30"/>
      <c r="C836" s="31"/>
      <c r="D836" s="31"/>
      <c r="E836" s="31"/>
      <c r="F836" s="32"/>
      <c r="G836" s="32"/>
      <c r="H836" s="32"/>
      <c r="I836" s="32"/>
    </row>
    <row r="837" spans="1:9" s="27" customFormat="1" x14ac:dyDescent="0.2">
      <c r="A837" s="32"/>
      <c r="B837" s="30"/>
      <c r="C837" s="31"/>
      <c r="D837" s="31"/>
      <c r="E837" s="31"/>
      <c r="F837" s="32"/>
      <c r="G837" s="32"/>
      <c r="H837" s="32"/>
      <c r="I837" s="32"/>
    </row>
    <row r="838" spans="1:9" s="27" customFormat="1" x14ac:dyDescent="0.2">
      <c r="A838" s="32"/>
      <c r="B838" s="30"/>
      <c r="C838" s="31"/>
      <c r="D838" s="31"/>
      <c r="E838" s="31"/>
      <c r="F838" s="32"/>
      <c r="G838" s="32"/>
      <c r="H838" s="32"/>
      <c r="I838" s="32"/>
    </row>
    <row r="839" spans="1:9" s="27" customFormat="1" x14ac:dyDescent="0.2">
      <c r="A839" s="32"/>
      <c r="B839" s="30"/>
      <c r="C839" s="31"/>
      <c r="D839" s="31"/>
      <c r="E839" s="31"/>
      <c r="F839" s="32"/>
      <c r="G839" s="32"/>
      <c r="H839" s="32"/>
      <c r="I839" s="32"/>
    </row>
    <row r="840" spans="1:9" s="27" customFormat="1" x14ac:dyDescent="0.2">
      <c r="A840" s="32"/>
      <c r="B840" s="30"/>
      <c r="C840" s="31"/>
      <c r="D840" s="31"/>
      <c r="E840" s="31"/>
      <c r="F840" s="32"/>
      <c r="G840" s="32"/>
      <c r="H840" s="32"/>
      <c r="I840" s="32"/>
    </row>
    <row r="841" spans="1:9" s="27" customFormat="1" x14ac:dyDescent="0.2">
      <c r="A841" s="32"/>
      <c r="B841" s="30"/>
      <c r="C841" s="31"/>
      <c r="D841" s="31"/>
      <c r="E841" s="31"/>
      <c r="F841" s="32"/>
      <c r="G841" s="32"/>
      <c r="H841" s="32"/>
      <c r="I841" s="32"/>
    </row>
    <row r="842" spans="1:9" s="27" customFormat="1" x14ac:dyDescent="0.2">
      <c r="A842" s="32"/>
      <c r="B842" s="30"/>
      <c r="C842" s="31"/>
      <c r="D842" s="31"/>
      <c r="E842" s="31"/>
      <c r="F842" s="32"/>
      <c r="G842" s="32"/>
      <c r="H842" s="32"/>
      <c r="I842" s="32"/>
    </row>
    <row r="843" spans="1:9" s="27" customFormat="1" x14ac:dyDescent="0.2">
      <c r="A843" s="32"/>
      <c r="B843" s="30"/>
      <c r="C843" s="31"/>
      <c r="D843" s="31"/>
      <c r="E843" s="31"/>
      <c r="F843" s="32"/>
      <c r="G843" s="32"/>
      <c r="H843" s="32"/>
      <c r="I843" s="32"/>
    </row>
    <row r="844" spans="1:9" s="27" customFormat="1" x14ac:dyDescent="0.2">
      <c r="A844" s="32"/>
      <c r="B844" s="30"/>
      <c r="C844" s="31"/>
      <c r="D844" s="31"/>
      <c r="E844" s="31"/>
      <c r="F844" s="32"/>
      <c r="G844" s="32"/>
      <c r="H844" s="32"/>
      <c r="I844" s="32"/>
    </row>
    <row r="845" spans="1:9" s="27" customFormat="1" x14ac:dyDescent="0.2">
      <c r="A845" s="32"/>
      <c r="B845" s="30"/>
      <c r="C845" s="31"/>
      <c r="D845" s="31"/>
      <c r="E845" s="31"/>
      <c r="F845" s="32"/>
      <c r="G845" s="32"/>
      <c r="H845" s="32"/>
      <c r="I845" s="32"/>
    </row>
    <row r="846" spans="1:9" s="27" customFormat="1" x14ac:dyDescent="0.2">
      <c r="A846" s="32"/>
      <c r="B846" s="30"/>
      <c r="C846" s="31"/>
      <c r="D846" s="31"/>
      <c r="E846" s="31"/>
      <c r="F846" s="32"/>
      <c r="G846" s="32"/>
      <c r="H846" s="32"/>
      <c r="I846" s="32"/>
    </row>
    <row r="847" spans="1:9" s="27" customFormat="1" x14ac:dyDescent="0.2">
      <c r="A847" s="32"/>
      <c r="B847" s="30"/>
      <c r="C847" s="31"/>
      <c r="D847" s="31"/>
      <c r="E847" s="31"/>
      <c r="F847" s="32"/>
      <c r="G847" s="32"/>
      <c r="H847" s="32"/>
      <c r="I847" s="32"/>
    </row>
    <row r="848" spans="1:9" s="27" customFormat="1" x14ac:dyDescent="0.2">
      <c r="A848" s="32"/>
      <c r="B848" s="30"/>
      <c r="C848" s="31"/>
      <c r="D848" s="31"/>
      <c r="E848" s="31"/>
      <c r="F848" s="32"/>
      <c r="G848" s="32"/>
      <c r="H848" s="32"/>
      <c r="I848" s="32"/>
    </row>
    <row r="849" spans="1:9" s="27" customFormat="1" x14ac:dyDescent="0.2">
      <c r="A849" s="32"/>
      <c r="B849" s="30"/>
      <c r="C849" s="31"/>
      <c r="D849" s="31"/>
      <c r="E849" s="31"/>
      <c r="F849" s="32"/>
      <c r="G849" s="32"/>
      <c r="H849" s="32"/>
      <c r="I849" s="32"/>
    </row>
    <row r="850" spans="1:9" s="27" customFormat="1" x14ac:dyDescent="0.2">
      <c r="A850" s="32"/>
      <c r="B850" s="30"/>
      <c r="C850" s="31"/>
      <c r="D850" s="31"/>
      <c r="E850" s="31"/>
      <c r="F850" s="32"/>
      <c r="G850" s="32"/>
      <c r="H850" s="32"/>
      <c r="I850" s="32"/>
    </row>
    <row r="851" spans="1:9" s="27" customFormat="1" x14ac:dyDescent="0.2">
      <c r="A851" s="32"/>
      <c r="B851" s="30"/>
      <c r="C851" s="31"/>
      <c r="D851" s="31"/>
      <c r="E851" s="31"/>
      <c r="F851" s="32"/>
      <c r="G851" s="32"/>
      <c r="H851" s="32"/>
      <c r="I851" s="32"/>
    </row>
    <row r="852" spans="1:9" s="27" customFormat="1" x14ac:dyDescent="0.2">
      <c r="A852" s="32"/>
      <c r="B852" s="30"/>
      <c r="C852" s="31"/>
      <c r="D852" s="31"/>
      <c r="E852" s="31"/>
      <c r="F852" s="32"/>
      <c r="G852" s="32"/>
      <c r="H852" s="32"/>
      <c r="I852" s="32"/>
    </row>
    <row r="853" spans="1:9" s="27" customFormat="1" x14ac:dyDescent="0.2">
      <c r="A853" s="32"/>
      <c r="B853" s="30"/>
      <c r="C853" s="31"/>
      <c r="D853" s="31"/>
      <c r="E853" s="31"/>
      <c r="F853" s="32"/>
      <c r="G853" s="32"/>
      <c r="H853" s="32"/>
      <c r="I853" s="32"/>
    </row>
    <row r="854" spans="1:9" s="27" customFormat="1" x14ac:dyDescent="0.2">
      <c r="A854" s="32"/>
      <c r="B854" s="30"/>
      <c r="C854" s="31"/>
      <c r="D854" s="31"/>
      <c r="E854" s="31"/>
      <c r="F854" s="32"/>
      <c r="G854" s="32"/>
      <c r="H854" s="32"/>
      <c r="I854" s="32"/>
    </row>
    <row r="855" spans="1:9" s="27" customFormat="1" x14ac:dyDescent="0.2">
      <c r="A855" s="32"/>
      <c r="B855" s="30"/>
      <c r="C855" s="31"/>
      <c r="D855" s="31"/>
      <c r="E855" s="31"/>
      <c r="F855" s="32"/>
      <c r="G855" s="32"/>
      <c r="H855" s="32"/>
      <c r="I855" s="32"/>
    </row>
    <row r="856" spans="1:9" s="27" customFormat="1" x14ac:dyDescent="0.2">
      <c r="A856" s="32"/>
      <c r="B856" s="30"/>
      <c r="C856" s="31"/>
      <c r="D856" s="31"/>
      <c r="E856" s="31"/>
      <c r="F856" s="32"/>
      <c r="G856" s="32"/>
      <c r="H856" s="32"/>
      <c r="I856" s="32"/>
    </row>
    <row r="857" spans="1:9" s="27" customFormat="1" x14ac:dyDescent="0.2">
      <c r="A857" s="32"/>
      <c r="B857" s="30"/>
      <c r="C857" s="31"/>
      <c r="D857" s="31"/>
      <c r="E857" s="31"/>
      <c r="F857" s="32"/>
      <c r="G857" s="32"/>
      <c r="H857" s="32"/>
      <c r="I857" s="32"/>
    </row>
    <row r="858" spans="1:9" s="27" customFormat="1" x14ac:dyDescent="0.2">
      <c r="A858" s="32"/>
      <c r="B858" s="30"/>
      <c r="C858" s="31"/>
      <c r="D858" s="31"/>
      <c r="E858" s="31"/>
      <c r="F858" s="32"/>
      <c r="G858" s="32"/>
      <c r="H858" s="32"/>
      <c r="I858" s="32"/>
    </row>
    <row r="859" spans="1:9" s="27" customFormat="1" x14ac:dyDescent="0.2">
      <c r="A859" s="32"/>
      <c r="B859" s="30"/>
      <c r="C859" s="31"/>
      <c r="D859" s="31"/>
      <c r="E859" s="31"/>
      <c r="F859" s="32"/>
      <c r="G859" s="32"/>
      <c r="H859" s="32"/>
      <c r="I859" s="32"/>
    </row>
    <row r="860" spans="1:9" s="27" customFormat="1" x14ac:dyDescent="0.2">
      <c r="A860" s="32"/>
      <c r="B860" s="30"/>
      <c r="C860" s="31"/>
      <c r="D860" s="31"/>
      <c r="E860" s="31"/>
      <c r="F860" s="32"/>
      <c r="G860" s="32"/>
      <c r="H860" s="32"/>
      <c r="I860" s="32"/>
    </row>
    <row r="861" spans="1:9" s="27" customFormat="1" x14ac:dyDescent="0.2">
      <c r="A861" s="32"/>
      <c r="B861" s="30"/>
      <c r="C861" s="31"/>
      <c r="D861" s="31"/>
      <c r="E861" s="31"/>
      <c r="F861" s="32"/>
      <c r="G861" s="32"/>
      <c r="H861" s="32"/>
      <c r="I861" s="32"/>
    </row>
    <row r="862" spans="1:9" s="27" customFormat="1" x14ac:dyDescent="0.2">
      <c r="A862" s="32"/>
      <c r="B862" s="30"/>
      <c r="C862" s="31"/>
      <c r="D862" s="31"/>
      <c r="E862" s="31"/>
      <c r="F862" s="32"/>
      <c r="G862" s="32"/>
      <c r="H862" s="32"/>
      <c r="I862" s="32"/>
    </row>
    <row r="863" spans="1:9" s="27" customFormat="1" x14ac:dyDescent="0.2">
      <c r="A863" s="32"/>
      <c r="B863" s="30"/>
      <c r="C863" s="31"/>
      <c r="D863" s="31"/>
      <c r="E863" s="31"/>
      <c r="F863" s="32"/>
      <c r="G863" s="32"/>
      <c r="H863" s="32"/>
      <c r="I863" s="32"/>
    </row>
    <row r="864" spans="1:9" s="27" customFormat="1" x14ac:dyDescent="0.2">
      <c r="A864" s="32"/>
      <c r="B864" s="30"/>
      <c r="C864" s="31"/>
      <c r="D864" s="31"/>
      <c r="E864" s="31"/>
      <c r="F864" s="32"/>
      <c r="G864" s="32"/>
      <c r="H864" s="32"/>
      <c r="I864" s="32"/>
    </row>
    <row r="865" spans="1:9" s="27" customFormat="1" x14ac:dyDescent="0.2">
      <c r="A865" s="32"/>
      <c r="B865" s="30"/>
      <c r="C865" s="31"/>
      <c r="D865" s="31"/>
      <c r="E865" s="31"/>
      <c r="F865" s="32"/>
      <c r="G865" s="32"/>
      <c r="H865" s="32"/>
      <c r="I865" s="32"/>
    </row>
    <row r="866" spans="1:9" s="27" customFormat="1" x14ac:dyDescent="0.2">
      <c r="A866" s="32"/>
      <c r="B866" s="30"/>
      <c r="C866" s="31"/>
      <c r="D866" s="31"/>
      <c r="E866" s="31"/>
      <c r="F866" s="32"/>
      <c r="G866" s="32"/>
      <c r="H866" s="32"/>
      <c r="I866" s="32"/>
    </row>
    <row r="867" spans="1:9" s="27" customFormat="1" x14ac:dyDescent="0.2">
      <c r="A867" s="32"/>
      <c r="B867" s="30"/>
      <c r="C867" s="31"/>
      <c r="D867" s="31"/>
      <c r="E867" s="31"/>
      <c r="F867" s="32"/>
      <c r="G867" s="32"/>
      <c r="H867" s="32"/>
      <c r="I867" s="32"/>
    </row>
    <row r="868" spans="1:9" s="27" customFormat="1" x14ac:dyDescent="0.2">
      <c r="A868" s="32"/>
      <c r="B868" s="30"/>
      <c r="C868" s="31"/>
      <c r="D868" s="31"/>
      <c r="E868" s="31"/>
      <c r="F868" s="32"/>
      <c r="G868" s="32"/>
      <c r="H868" s="32"/>
      <c r="I868" s="32"/>
    </row>
    <row r="869" spans="1:9" s="27" customFormat="1" x14ac:dyDescent="0.2">
      <c r="A869" s="32"/>
      <c r="B869" s="30"/>
      <c r="C869" s="31"/>
      <c r="D869" s="31"/>
      <c r="E869" s="31"/>
      <c r="F869" s="32"/>
      <c r="G869" s="32"/>
      <c r="H869" s="32"/>
      <c r="I869" s="32"/>
    </row>
    <row r="870" spans="1:9" s="27" customFormat="1" x14ac:dyDescent="0.2">
      <c r="A870" s="32"/>
      <c r="B870" s="30"/>
      <c r="C870" s="31"/>
      <c r="D870" s="31"/>
      <c r="E870" s="31"/>
      <c r="F870" s="32"/>
      <c r="G870" s="32"/>
      <c r="H870" s="32"/>
      <c r="I870" s="32"/>
    </row>
    <row r="871" spans="1:9" s="27" customFormat="1" x14ac:dyDescent="0.2">
      <c r="A871" s="32"/>
      <c r="B871" s="30"/>
      <c r="C871" s="31"/>
      <c r="D871" s="31"/>
      <c r="E871" s="31"/>
      <c r="F871" s="32"/>
      <c r="G871" s="32"/>
      <c r="H871" s="32"/>
      <c r="I871" s="32"/>
    </row>
    <row r="872" spans="1:9" s="27" customFormat="1" x14ac:dyDescent="0.2">
      <c r="A872" s="32"/>
      <c r="B872" s="30"/>
      <c r="C872" s="31"/>
      <c r="D872" s="31"/>
      <c r="E872" s="31"/>
      <c r="F872" s="32"/>
      <c r="G872" s="32"/>
      <c r="H872" s="32"/>
      <c r="I872" s="32"/>
    </row>
    <row r="873" spans="1:9" s="27" customFormat="1" x14ac:dyDescent="0.2">
      <c r="A873" s="32"/>
      <c r="B873" s="30"/>
      <c r="C873" s="31"/>
      <c r="D873" s="31"/>
      <c r="E873" s="31"/>
      <c r="F873" s="32"/>
      <c r="G873" s="32"/>
      <c r="H873" s="32"/>
      <c r="I873" s="32"/>
    </row>
    <row r="874" spans="1:9" s="27" customFormat="1" x14ac:dyDescent="0.2">
      <c r="A874" s="32"/>
      <c r="B874" s="30"/>
      <c r="C874" s="31"/>
      <c r="D874" s="31"/>
      <c r="E874" s="31"/>
      <c r="F874" s="32"/>
      <c r="G874" s="32"/>
      <c r="H874" s="32"/>
      <c r="I874" s="32"/>
    </row>
    <row r="875" spans="1:9" s="27" customFormat="1" x14ac:dyDescent="0.2">
      <c r="A875" s="32"/>
      <c r="B875" s="30"/>
      <c r="C875" s="31"/>
      <c r="D875" s="31"/>
      <c r="E875" s="31"/>
      <c r="F875" s="32"/>
      <c r="G875" s="32"/>
      <c r="H875" s="32"/>
      <c r="I875" s="32"/>
    </row>
    <row r="876" spans="1:9" s="27" customFormat="1" x14ac:dyDescent="0.2">
      <c r="A876" s="32"/>
      <c r="B876" s="30"/>
      <c r="C876" s="31"/>
      <c r="D876" s="31"/>
      <c r="E876" s="31"/>
      <c r="F876" s="32"/>
      <c r="G876" s="32"/>
      <c r="H876" s="32"/>
      <c r="I876" s="32"/>
    </row>
    <row r="877" spans="1:9" s="27" customFormat="1" x14ac:dyDescent="0.2">
      <c r="A877" s="32"/>
      <c r="B877" s="30"/>
      <c r="C877" s="31"/>
      <c r="D877" s="31"/>
      <c r="E877" s="31"/>
      <c r="F877" s="32"/>
      <c r="G877" s="32"/>
      <c r="H877" s="32"/>
      <c r="I877" s="32"/>
    </row>
    <row r="878" spans="1:9" s="27" customFormat="1" x14ac:dyDescent="0.2">
      <c r="A878" s="32"/>
      <c r="B878" s="30"/>
      <c r="C878" s="31"/>
      <c r="D878" s="31"/>
      <c r="E878" s="31"/>
      <c r="F878" s="32"/>
      <c r="G878" s="32"/>
      <c r="H878" s="32"/>
      <c r="I878" s="32"/>
    </row>
    <row r="879" spans="1:9" s="27" customFormat="1" x14ac:dyDescent="0.2">
      <c r="A879" s="32"/>
      <c r="B879" s="30"/>
      <c r="C879" s="31"/>
      <c r="D879" s="31"/>
      <c r="E879" s="31"/>
      <c r="F879" s="32"/>
      <c r="G879" s="32"/>
      <c r="H879" s="32"/>
      <c r="I879" s="32"/>
    </row>
    <row r="880" spans="1:9" s="27" customFormat="1" x14ac:dyDescent="0.2">
      <c r="A880" s="32"/>
      <c r="B880" s="30"/>
      <c r="C880" s="31"/>
      <c r="D880" s="31"/>
      <c r="E880" s="31"/>
      <c r="F880" s="32"/>
      <c r="G880" s="32"/>
      <c r="H880" s="32"/>
      <c r="I880" s="32"/>
    </row>
    <row r="881" spans="1:9" s="27" customFormat="1" x14ac:dyDescent="0.2">
      <c r="A881" s="32"/>
      <c r="B881" s="30"/>
      <c r="C881" s="31"/>
      <c r="D881" s="31"/>
      <c r="E881" s="31"/>
      <c r="F881" s="32"/>
      <c r="G881" s="32"/>
      <c r="H881" s="32"/>
      <c r="I881" s="32"/>
    </row>
    <row r="882" spans="1:9" s="27" customFormat="1" x14ac:dyDescent="0.2">
      <c r="A882" s="32"/>
      <c r="B882" s="30"/>
      <c r="C882" s="31"/>
      <c r="D882" s="31"/>
      <c r="E882" s="31"/>
      <c r="F882" s="32"/>
      <c r="G882" s="32"/>
      <c r="H882" s="32"/>
      <c r="I882" s="32"/>
    </row>
    <row r="883" spans="1:9" s="27" customFormat="1" x14ac:dyDescent="0.2">
      <c r="A883" s="32"/>
      <c r="B883" s="30"/>
      <c r="C883" s="31"/>
      <c r="D883" s="31"/>
      <c r="E883" s="31"/>
      <c r="F883" s="32"/>
      <c r="G883" s="32"/>
      <c r="H883" s="32"/>
      <c r="I883" s="32"/>
    </row>
    <row r="884" spans="1:9" s="27" customFormat="1" x14ac:dyDescent="0.2">
      <c r="A884" s="32"/>
      <c r="B884" s="30"/>
      <c r="C884" s="31"/>
      <c r="D884" s="31"/>
      <c r="E884" s="31"/>
      <c r="F884" s="32"/>
      <c r="G884" s="32"/>
      <c r="H884" s="32"/>
      <c r="I884" s="32"/>
    </row>
    <row r="885" spans="1:9" s="27" customFormat="1" x14ac:dyDescent="0.2">
      <c r="A885" s="32"/>
      <c r="B885" s="30"/>
      <c r="C885" s="31"/>
      <c r="D885" s="31"/>
      <c r="E885" s="31"/>
      <c r="F885" s="32"/>
      <c r="G885" s="32"/>
      <c r="H885" s="32"/>
      <c r="I885" s="32"/>
    </row>
    <row r="886" spans="1:9" s="27" customFormat="1" x14ac:dyDescent="0.2">
      <c r="A886" s="32"/>
      <c r="B886" s="30"/>
      <c r="C886" s="31"/>
      <c r="D886" s="31"/>
      <c r="E886" s="31"/>
      <c r="F886" s="32"/>
      <c r="G886" s="32"/>
      <c r="H886" s="32"/>
      <c r="I886" s="32"/>
    </row>
    <row r="887" spans="1:9" s="27" customFormat="1" x14ac:dyDescent="0.2">
      <c r="A887" s="32"/>
      <c r="B887" s="30"/>
      <c r="C887" s="31"/>
      <c r="D887" s="31"/>
      <c r="E887" s="31"/>
      <c r="F887" s="32"/>
      <c r="G887" s="32"/>
      <c r="H887" s="32"/>
      <c r="I887" s="32"/>
    </row>
    <row r="888" spans="1:9" s="27" customFormat="1" x14ac:dyDescent="0.2">
      <c r="A888" s="32"/>
      <c r="B888" s="30"/>
      <c r="C888" s="31"/>
      <c r="D888" s="31"/>
      <c r="E888" s="31"/>
      <c r="F888" s="32"/>
      <c r="G888" s="32"/>
      <c r="H888" s="32"/>
      <c r="I888" s="32"/>
    </row>
    <row r="889" spans="1:9" s="27" customFormat="1" x14ac:dyDescent="0.2">
      <c r="A889" s="32"/>
      <c r="B889" s="30"/>
      <c r="C889" s="31"/>
      <c r="D889" s="31"/>
      <c r="E889" s="31"/>
      <c r="F889" s="32"/>
      <c r="G889" s="32"/>
      <c r="H889" s="32"/>
      <c r="I889" s="32"/>
    </row>
    <row r="890" spans="1:9" s="27" customFormat="1" x14ac:dyDescent="0.2">
      <c r="A890" s="32"/>
      <c r="B890" s="30"/>
      <c r="C890" s="31"/>
      <c r="D890" s="31"/>
      <c r="E890" s="31"/>
      <c r="F890" s="32"/>
      <c r="G890" s="32"/>
      <c r="H890" s="32"/>
      <c r="I890" s="32"/>
    </row>
    <row r="891" spans="1:9" s="27" customFormat="1" x14ac:dyDescent="0.2">
      <c r="A891" s="32"/>
      <c r="B891" s="30"/>
      <c r="C891" s="31"/>
      <c r="D891" s="31"/>
      <c r="E891" s="31"/>
      <c r="F891" s="32"/>
      <c r="G891" s="32"/>
      <c r="H891" s="32"/>
      <c r="I891" s="32"/>
    </row>
    <row r="892" spans="1:9" s="27" customFormat="1" x14ac:dyDescent="0.2">
      <c r="A892" s="32"/>
      <c r="B892" s="30"/>
      <c r="C892" s="31"/>
      <c r="D892" s="31"/>
      <c r="E892" s="31"/>
      <c r="F892" s="32"/>
      <c r="G892" s="32"/>
      <c r="H892" s="32"/>
      <c r="I892" s="32"/>
    </row>
    <row r="893" spans="1:9" s="27" customFormat="1" x14ac:dyDescent="0.2">
      <c r="A893" s="32"/>
      <c r="B893" s="30"/>
      <c r="C893" s="31"/>
      <c r="D893" s="31"/>
      <c r="E893" s="31"/>
      <c r="F893" s="32"/>
      <c r="G893" s="32"/>
      <c r="H893" s="32"/>
      <c r="I893" s="32"/>
    </row>
    <row r="894" spans="1:9" s="27" customFormat="1" x14ac:dyDescent="0.2">
      <c r="A894" s="32"/>
      <c r="B894" s="30"/>
      <c r="C894" s="31"/>
      <c r="D894" s="31"/>
      <c r="E894" s="31"/>
      <c r="F894" s="32"/>
      <c r="G894" s="32"/>
      <c r="H894" s="32"/>
      <c r="I894" s="32"/>
    </row>
    <row r="895" spans="1:9" s="27" customFormat="1" x14ac:dyDescent="0.2">
      <c r="A895" s="32"/>
      <c r="B895" s="30"/>
      <c r="C895" s="31"/>
      <c r="D895" s="31"/>
      <c r="E895" s="31"/>
      <c r="F895" s="32"/>
      <c r="G895" s="32"/>
      <c r="H895" s="32"/>
      <c r="I895" s="32"/>
    </row>
    <row r="896" spans="1:9" s="27" customFormat="1" x14ac:dyDescent="0.2">
      <c r="A896" s="32"/>
      <c r="B896" s="30"/>
      <c r="C896" s="31"/>
      <c r="D896" s="31"/>
      <c r="E896" s="31"/>
      <c r="F896" s="32"/>
      <c r="G896" s="32"/>
      <c r="H896" s="32"/>
      <c r="I896" s="32"/>
    </row>
    <row r="897" spans="1:9" s="27" customFormat="1" x14ac:dyDescent="0.2">
      <c r="A897" s="32"/>
      <c r="B897" s="30"/>
      <c r="C897" s="31"/>
      <c r="D897" s="31"/>
      <c r="E897" s="31"/>
      <c r="F897" s="32"/>
      <c r="G897" s="32"/>
      <c r="H897" s="32"/>
      <c r="I897" s="32"/>
    </row>
    <row r="898" spans="1:9" s="27" customFormat="1" x14ac:dyDescent="0.2">
      <c r="A898" s="32"/>
      <c r="B898" s="30"/>
      <c r="C898" s="31"/>
      <c r="D898" s="31"/>
      <c r="E898" s="31"/>
      <c r="F898" s="32"/>
      <c r="G898" s="32"/>
      <c r="H898" s="32"/>
      <c r="I898" s="32"/>
    </row>
    <row r="899" spans="1:9" s="27" customFormat="1" x14ac:dyDescent="0.2">
      <c r="A899" s="32"/>
      <c r="B899" s="30"/>
      <c r="C899" s="31"/>
      <c r="D899" s="31"/>
      <c r="E899" s="31"/>
      <c r="F899" s="32"/>
      <c r="G899" s="32"/>
      <c r="H899" s="32"/>
      <c r="I899" s="32"/>
    </row>
    <row r="900" spans="1:9" s="27" customFormat="1" x14ac:dyDescent="0.2">
      <c r="A900" s="32"/>
      <c r="B900" s="30"/>
      <c r="C900" s="31"/>
      <c r="D900" s="31"/>
      <c r="E900" s="31"/>
      <c r="F900" s="32"/>
      <c r="G900" s="32"/>
      <c r="H900" s="32"/>
      <c r="I900" s="32"/>
    </row>
    <row r="901" spans="1:9" s="27" customFormat="1" x14ac:dyDescent="0.2">
      <c r="A901" s="32"/>
      <c r="B901" s="30"/>
      <c r="C901" s="31"/>
      <c r="D901" s="31"/>
      <c r="E901" s="31"/>
      <c r="F901" s="32"/>
      <c r="G901" s="32"/>
      <c r="H901" s="32"/>
      <c r="I901" s="32"/>
    </row>
    <row r="902" spans="1:9" s="27" customFormat="1" x14ac:dyDescent="0.2">
      <c r="A902" s="32"/>
      <c r="B902" s="30"/>
      <c r="C902" s="31"/>
      <c r="D902" s="31"/>
      <c r="E902" s="31"/>
      <c r="F902" s="32"/>
      <c r="G902" s="32"/>
      <c r="H902" s="32"/>
      <c r="I902" s="32"/>
    </row>
    <row r="903" spans="1:9" s="27" customFormat="1" x14ac:dyDescent="0.2">
      <c r="A903" s="32"/>
      <c r="B903" s="30"/>
      <c r="C903" s="31"/>
      <c r="D903" s="31"/>
      <c r="E903" s="31"/>
      <c r="F903" s="32"/>
      <c r="G903" s="32"/>
      <c r="H903" s="32"/>
      <c r="I903" s="32"/>
    </row>
    <row r="904" spans="1:9" s="27" customFormat="1" x14ac:dyDescent="0.2">
      <c r="A904" s="32"/>
      <c r="B904" s="30"/>
      <c r="C904" s="31"/>
      <c r="D904" s="31"/>
      <c r="E904" s="31"/>
      <c r="F904" s="32"/>
      <c r="G904" s="32"/>
      <c r="H904" s="32"/>
      <c r="I904" s="32"/>
    </row>
    <row r="905" spans="1:9" s="27" customFormat="1" x14ac:dyDescent="0.2">
      <c r="A905" s="32"/>
      <c r="B905" s="30"/>
      <c r="C905" s="31"/>
      <c r="D905" s="31"/>
      <c r="E905" s="31"/>
      <c r="F905" s="32"/>
      <c r="G905" s="32"/>
      <c r="H905" s="32"/>
      <c r="I905" s="32"/>
    </row>
    <row r="906" spans="1:9" s="27" customFormat="1" x14ac:dyDescent="0.2">
      <c r="A906" s="32"/>
      <c r="B906" s="30"/>
      <c r="C906" s="31"/>
      <c r="D906" s="31"/>
      <c r="E906" s="31"/>
      <c r="F906" s="32"/>
      <c r="G906" s="32"/>
      <c r="H906" s="32"/>
      <c r="I906" s="32"/>
    </row>
    <row r="907" spans="1:9" s="27" customFormat="1" x14ac:dyDescent="0.2">
      <c r="A907" s="32"/>
      <c r="B907" s="30"/>
      <c r="C907" s="31"/>
      <c r="D907" s="31"/>
      <c r="E907" s="31"/>
      <c r="F907" s="32"/>
      <c r="G907" s="32"/>
      <c r="H907" s="32"/>
      <c r="I907" s="32"/>
    </row>
    <row r="908" spans="1:9" s="27" customFormat="1" x14ac:dyDescent="0.2">
      <c r="A908" s="32"/>
      <c r="B908" s="30"/>
      <c r="C908" s="31"/>
      <c r="D908" s="31"/>
      <c r="E908" s="31"/>
      <c r="F908" s="32"/>
      <c r="G908" s="32"/>
      <c r="H908" s="32"/>
      <c r="I908" s="32"/>
    </row>
    <row r="909" spans="1:9" s="27" customFormat="1" x14ac:dyDescent="0.2">
      <c r="A909" s="32"/>
      <c r="B909" s="30"/>
      <c r="C909" s="31"/>
      <c r="D909" s="31"/>
      <c r="E909" s="31"/>
      <c r="F909" s="32"/>
      <c r="G909" s="32"/>
      <c r="H909" s="32"/>
      <c r="I909" s="32"/>
    </row>
    <row r="910" spans="1:9" s="27" customFormat="1" x14ac:dyDescent="0.2">
      <c r="A910" s="32"/>
      <c r="B910" s="30"/>
      <c r="C910" s="31"/>
      <c r="D910" s="31"/>
      <c r="E910" s="31"/>
      <c r="F910" s="32"/>
      <c r="G910" s="32"/>
      <c r="H910" s="32"/>
      <c r="I910" s="32"/>
    </row>
    <row r="911" spans="1:9" s="27" customFormat="1" x14ac:dyDescent="0.2">
      <c r="A911" s="32"/>
      <c r="B911" s="30"/>
      <c r="C911" s="31"/>
      <c r="D911" s="31"/>
      <c r="E911" s="31"/>
      <c r="F911" s="32"/>
      <c r="G911" s="32"/>
      <c r="H911" s="32"/>
      <c r="I911" s="32"/>
    </row>
    <row r="912" spans="1:9" s="27" customFormat="1" x14ac:dyDescent="0.2">
      <c r="A912" s="32"/>
      <c r="B912" s="30"/>
      <c r="C912" s="31"/>
      <c r="D912" s="31"/>
      <c r="E912" s="31"/>
      <c r="F912" s="32"/>
      <c r="G912" s="32"/>
      <c r="H912" s="32"/>
      <c r="I912" s="32"/>
    </row>
    <row r="913" spans="1:9" s="27" customFormat="1" x14ac:dyDescent="0.2">
      <c r="A913" s="32"/>
      <c r="B913" s="30"/>
      <c r="C913" s="31"/>
      <c r="D913" s="31"/>
      <c r="E913" s="31"/>
      <c r="F913" s="32"/>
      <c r="G913" s="32"/>
      <c r="H913" s="32"/>
      <c r="I913" s="32"/>
    </row>
    <row r="914" spans="1:9" s="27" customFormat="1" x14ac:dyDescent="0.2">
      <c r="A914" s="32"/>
      <c r="B914" s="30"/>
      <c r="C914" s="31"/>
      <c r="D914" s="31"/>
      <c r="E914" s="31"/>
      <c r="F914" s="32"/>
      <c r="G914" s="32"/>
      <c r="H914" s="32"/>
      <c r="I914" s="32"/>
    </row>
    <row r="915" spans="1:9" s="27" customFormat="1" x14ac:dyDescent="0.2">
      <c r="A915" s="32"/>
      <c r="B915" s="30"/>
      <c r="C915" s="31"/>
      <c r="D915" s="31"/>
      <c r="E915" s="31"/>
      <c r="F915" s="32"/>
      <c r="G915" s="32"/>
      <c r="H915" s="32"/>
      <c r="I915" s="32"/>
    </row>
    <row r="916" spans="1:9" s="27" customFormat="1" x14ac:dyDescent="0.2">
      <c r="A916" s="32"/>
      <c r="B916" s="30"/>
      <c r="C916" s="31"/>
      <c r="D916" s="31"/>
      <c r="E916" s="31"/>
      <c r="F916" s="32"/>
      <c r="G916" s="32"/>
      <c r="H916" s="32"/>
      <c r="I916" s="32"/>
    </row>
    <row r="917" spans="1:9" s="27" customFormat="1" x14ac:dyDescent="0.2">
      <c r="A917" s="32"/>
      <c r="B917" s="30"/>
      <c r="C917" s="31"/>
      <c r="D917" s="31"/>
      <c r="E917" s="31"/>
      <c r="F917" s="32"/>
      <c r="G917" s="32"/>
      <c r="H917" s="32"/>
      <c r="I917" s="32"/>
    </row>
    <row r="918" spans="1:9" s="27" customFormat="1" x14ac:dyDescent="0.2">
      <c r="A918" s="32"/>
      <c r="B918" s="30"/>
      <c r="C918" s="31"/>
      <c r="D918" s="31"/>
      <c r="E918" s="31"/>
      <c r="F918" s="32"/>
      <c r="G918" s="32"/>
      <c r="H918" s="32"/>
      <c r="I918" s="32"/>
    </row>
    <row r="919" spans="1:9" s="27" customFormat="1" x14ac:dyDescent="0.2">
      <c r="A919" s="32"/>
      <c r="B919" s="30"/>
      <c r="C919" s="31"/>
      <c r="D919" s="31"/>
      <c r="E919" s="31"/>
      <c r="F919" s="32"/>
      <c r="G919" s="32"/>
      <c r="H919" s="32"/>
      <c r="I919" s="32"/>
    </row>
    <row r="920" spans="1:9" s="27" customFormat="1" x14ac:dyDescent="0.2">
      <c r="A920" s="32"/>
      <c r="B920" s="30"/>
      <c r="C920" s="31"/>
      <c r="D920" s="31"/>
      <c r="E920" s="31"/>
      <c r="F920" s="32"/>
      <c r="G920" s="32"/>
      <c r="H920" s="32"/>
      <c r="I920" s="32"/>
    </row>
    <row r="921" spans="1:9" s="27" customFormat="1" x14ac:dyDescent="0.2">
      <c r="A921" s="32"/>
      <c r="B921" s="30"/>
      <c r="C921" s="31"/>
      <c r="D921" s="31"/>
      <c r="E921" s="31"/>
      <c r="F921" s="32"/>
      <c r="G921" s="32"/>
      <c r="H921" s="32"/>
      <c r="I921" s="32"/>
    </row>
    <row r="922" spans="1:9" s="27" customFormat="1" x14ac:dyDescent="0.2">
      <c r="A922" s="32"/>
      <c r="B922" s="30"/>
      <c r="C922" s="31"/>
      <c r="D922" s="31"/>
      <c r="E922" s="31"/>
      <c r="F922" s="32"/>
      <c r="G922" s="32"/>
      <c r="H922" s="32"/>
      <c r="I922" s="32"/>
    </row>
    <row r="923" spans="1:9" s="27" customFormat="1" x14ac:dyDescent="0.2">
      <c r="A923" s="32"/>
      <c r="B923" s="30"/>
      <c r="C923" s="31"/>
      <c r="D923" s="31"/>
      <c r="E923" s="31"/>
      <c r="F923" s="32"/>
      <c r="G923" s="32"/>
      <c r="H923" s="32"/>
      <c r="I923" s="32"/>
    </row>
    <row r="924" spans="1:9" s="27" customFormat="1" x14ac:dyDescent="0.2">
      <c r="A924" s="32"/>
      <c r="B924" s="30"/>
      <c r="C924" s="31"/>
      <c r="D924" s="31"/>
      <c r="E924" s="31"/>
      <c r="F924" s="32"/>
      <c r="G924" s="32"/>
      <c r="H924" s="32"/>
      <c r="I924" s="32"/>
    </row>
    <row r="925" spans="1:9" s="27" customFormat="1" x14ac:dyDescent="0.2">
      <c r="A925" s="32"/>
      <c r="B925" s="30"/>
      <c r="C925" s="31"/>
      <c r="D925" s="31"/>
      <c r="E925" s="31"/>
      <c r="F925" s="32"/>
      <c r="G925" s="32"/>
      <c r="H925" s="32"/>
      <c r="I925" s="32"/>
    </row>
    <row r="926" spans="1:9" s="27" customFormat="1" x14ac:dyDescent="0.2">
      <c r="A926" s="32"/>
      <c r="B926" s="30"/>
      <c r="C926" s="31"/>
      <c r="D926" s="31"/>
      <c r="E926" s="31"/>
      <c r="F926" s="32"/>
      <c r="G926" s="32"/>
      <c r="H926" s="32"/>
      <c r="I926" s="32"/>
    </row>
    <row r="927" spans="1:9" s="27" customFormat="1" x14ac:dyDescent="0.2">
      <c r="A927" s="32"/>
      <c r="B927" s="30"/>
      <c r="C927" s="31"/>
      <c r="D927" s="31"/>
      <c r="E927" s="31"/>
      <c r="F927" s="32"/>
      <c r="G927" s="32"/>
      <c r="H927" s="32"/>
      <c r="I927" s="32"/>
    </row>
    <row r="928" spans="1:9" s="27" customFormat="1" x14ac:dyDescent="0.2">
      <c r="A928" s="32"/>
      <c r="B928" s="30"/>
      <c r="C928" s="31"/>
      <c r="D928" s="31"/>
      <c r="E928" s="31"/>
      <c r="F928" s="32"/>
      <c r="G928" s="32"/>
      <c r="H928" s="32"/>
      <c r="I928" s="32"/>
    </row>
    <row r="929" spans="1:9" s="27" customFormat="1" x14ac:dyDescent="0.2">
      <c r="A929" s="32"/>
      <c r="B929" s="30"/>
      <c r="C929" s="31"/>
      <c r="D929" s="31"/>
      <c r="E929" s="31"/>
      <c r="F929" s="32"/>
      <c r="G929" s="32"/>
      <c r="H929" s="32"/>
      <c r="I929" s="32"/>
    </row>
    <row r="930" spans="1:9" s="27" customFormat="1" x14ac:dyDescent="0.2">
      <c r="A930" s="32"/>
      <c r="B930" s="30"/>
      <c r="C930" s="31"/>
      <c r="D930" s="31"/>
      <c r="E930" s="31"/>
      <c r="F930" s="32"/>
      <c r="G930" s="32"/>
      <c r="H930" s="32"/>
      <c r="I930" s="32"/>
    </row>
    <row r="931" spans="1:9" s="27" customFormat="1" x14ac:dyDescent="0.2">
      <c r="A931" s="32"/>
      <c r="B931" s="30"/>
      <c r="C931" s="31"/>
      <c r="D931" s="31"/>
      <c r="E931" s="31"/>
      <c r="F931" s="32"/>
      <c r="G931" s="32"/>
      <c r="H931" s="32"/>
      <c r="I931" s="32"/>
    </row>
    <row r="932" spans="1:9" s="27" customFormat="1" x14ac:dyDescent="0.2">
      <c r="A932" s="32"/>
      <c r="B932" s="30"/>
      <c r="C932" s="31"/>
      <c r="D932" s="31"/>
      <c r="E932" s="31"/>
      <c r="F932" s="32"/>
      <c r="G932" s="32"/>
      <c r="H932" s="32"/>
      <c r="I932" s="32"/>
    </row>
    <row r="933" spans="1:9" s="27" customFormat="1" x14ac:dyDescent="0.2">
      <c r="A933" s="32"/>
      <c r="B933" s="30"/>
      <c r="C933" s="31"/>
      <c r="D933" s="31"/>
      <c r="E933" s="31"/>
      <c r="F933" s="32"/>
      <c r="G933" s="32"/>
      <c r="H933" s="32"/>
      <c r="I933" s="32"/>
    </row>
    <row r="934" spans="1:9" s="27" customFormat="1" x14ac:dyDescent="0.2">
      <c r="A934" s="32"/>
      <c r="B934" s="30"/>
      <c r="C934" s="31"/>
      <c r="D934" s="31"/>
      <c r="E934" s="31"/>
      <c r="F934" s="32"/>
      <c r="G934" s="32"/>
      <c r="H934" s="32"/>
      <c r="I934" s="32"/>
    </row>
    <row r="935" spans="1:9" s="27" customFormat="1" x14ac:dyDescent="0.2">
      <c r="A935" s="32"/>
      <c r="B935" s="30"/>
      <c r="C935" s="31"/>
      <c r="D935" s="31"/>
      <c r="E935" s="31"/>
      <c r="F935" s="32"/>
      <c r="G935" s="32"/>
      <c r="H935" s="32"/>
      <c r="I935" s="32"/>
    </row>
    <row r="936" spans="1:9" s="27" customFormat="1" x14ac:dyDescent="0.2">
      <c r="A936" s="32"/>
      <c r="B936" s="30"/>
      <c r="C936" s="31"/>
      <c r="D936" s="31"/>
      <c r="E936" s="31"/>
      <c r="F936" s="32"/>
      <c r="G936" s="32"/>
      <c r="H936" s="32"/>
      <c r="I936" s="32"/>
    </row>
    <row r="937" spans="1:9" s="27" customFormat="1" x14ac:dyDescent="0.2">
      <c r="A937" s="32"/>
      <c r="B937" s="30"/>
      <c r="C937" s="31"/>
      <c r="D937" s="31"/>
      <c r="E937" s="31"/>
      <c r="F937" s="32"/>
      <c r="G937" s="32"/>
      <c r="H937" s="32"/>
      <c r="I937" s="32"/>
    </row>
    <row r="938" spans="1:9" s="27" customFormat="1" x14ac:dyDescent="0.2">
      <c r="A938" s="32"/>
      <c r="B938" s="30"/>
      <c r="C938" s="31"/>
      <c r="D938" s="31"/>
      <c r="E938" s="31"/>
      <c r="F938" s="32"/>
      <c r="G938" s="32"/>
      <c r="H938" s="32"/>
      <c r="I938" s="32"/>
    </row>
    <row r="939" spans="1:9" s="27" customFormat="1" x14ac:dyDescent="0.2">
      <c r="A939" s="32"/>
      <c r="B939" s="30"/>
      <c r="C939" s="31"/>
      <c r="D939" s="31"/>
      <c r="E939" s="31"/>
      <c r="F939" s="32"/>
      <c r="G939" s="32"/>
      <c r="H939" s="32"/>
      <c r="I939" s="32"/>
    </row>
    <row r="940" spans="1:9" s="27" customFormat="1" x14ac:dyDescent="0.2">
      <c r="A940" s="32"/>
      <c r="B940" s="30"/>
      <c r="C940" s="31"/>
      <c r="D940" s="31"/>
      <c r="E940" s="31"/>
      <c r="F940" s="32"/>
      <c r="G940" s="32"/>
      <c r="H940" s="32"/>
      <c r="I940" s="32"/>
    </row>
    <row r="941" spans="1:9" s="27" customFormat="1" x14ac:dyDescent="0.2">
      <c r="A941" s="32"/>
      <c r="B941" s="30"/>
      <c r="C941" s="31"/>
      <c r="D941" s="31"/>
      <c r="E941" s="31"/>
      <c r="F941" s="32"/>
      <c r="G941" s="32"/>
      <c r="H941" s="32"/>
      <c r="I941" s="32"/>
    </row>
    <row r="942" spans="1:9" s="27" customFormat="1" x14ac:dyDescent="0.2">
      <c r="A942" s="32"/>
      <c r="B942" s="30"/>
      <c r="C942" s="31"/>
      <c r="D942" s="31"/>
      <c r="E942" s="31"/>
      <c r="F942" s="32"/>
      <c r="G942" s="32"/>
      <c r="H942" s="32"/>
      <c r="I942" s="32"/>
    </row>
    <row r="943" spans="1:9" s="27" customFormat="1" x14ac:dyDescent="0.2">
      <c r="A943" s="32"/>
      <c r="B943" s="30"/>
      <c r="C943" s="31"/>
      <c r="D943" s="31"/>
      <c r="E943" s="31"/>
      <c r="F943" s="32"/>
      <c r="G943" s="32"/>
      <c r="H943" s="32"/>
      <c r="I943" s="32"/>
    </row>
    <row r="944" spans="1:9" s="27" customFormat="1" x14ac:dyDescent="0.2">
      <c r="A944" s="32"/>
      <c r="B944" s="30"/>
      <c r="C944" s="31"/>
      <c r="D944" s="31"/>
      <c r="E944" s="31"/>
      <c r="F944" s="32"/>
      <c r="G944" s="32"/>
      <c r="H944" s="32"/>
      <c r="I944" s="32"/>
    </row>
    <row r="945" spans="1:9" s="27" customFormat="1" x14ac:dyDescent="0.2">
      <c r="A945" s="32"/>
      <c r="B945" s="30"/>
      <c r="C945" s="31"/>
      <c r="D945" s="31"/>
      <c r="E945" s="31"/>
      <c r="F945" s="32"/>
      <c r="G945" s="32"/>
      <c r="H945" s="32"/>
      <c r="I945" s="32"/>
    </row>
    <row r="946" spans="1:9" s="27" customFormat="1" x14ac:dyDescent="0.2">
      <c r="A946" s="32"/>
      <c r="B946" s="30"/>
      <c r="C946" s="31"/>
      <c r="D946" s="31"/>
      <c r="E946" s="31"/>
      <c r="F946" s="32"/>
      <c r="G946" s="32"/>
      <c r="H946" s="32"/>
      <c r="I946" s="32"/>
    </row>
    <row r="947" spans="1:9" s="27" customFormat="1" x14ac:dyDescent="0.2">
      <c r="A947" s="32"/>
      <c r="B947" s="30"/>
      <c r="C947" s="31"/>
      <c r="D947" s="31"/>
      <c r="E947" s="31"/>
      <c r="F947" s="32"/>
      <c r="G947" s="32"/>
      <c r="H947" s="32"/>
      <c r="I947" s="32"/>
    </row>
    <row r="948" spans="1:9" s="27" customFormat="1" x14ac:dyDescent="0.2">
      <c r="A948" s="32"/>
      <c r="B948" s="30"/>
      <c r="C948" s="31"/>
      <c r="D948" s="31"/>
      <c r="E948" s="31"/>
      <c r="F948" s="32"/>
      <c r="G948" s="32"/>
      <c r="H948" s="32"/>
      <c r="I948" s="32"/>
    </row>
    <row r="949" spans="1:9" s="27" customFormat="1" x14ac:dyDescent="0.2">
      <c r="A949" s="32"/>
      <c r="B949" s="30"/>
      <c r="C949" s="31"/>
      <c r="D949" s="31"/>
      <c r="E949" s="31"/>
      <c r="F949" s="32"/>
      <c r="G949" s="32"/>
      <c r="H949" s="32"/>
      <c r="I949" s="32"/>
    </row>
    <row r="950" spans="1:9" s="27" customFormat="1" x14ac:dyDescent="0.2">
      <c r="A950" s="32"/>
      <c r="B950" s="30"/>
      <c r="C950" s="31"/>
      <c r="D950" s="31"/>
      <c r="E950" s="31"/>
      <c r="F950" s="32"/>
      <c r="G950" s="32"/>
      <c r="H950" s="32"/>
      <c r="I950" s="32"/>
    </row>
    <row r="951" spans="1:9" s="27" customFormat="1" x14ac:dyDescent="0.2">
      <c r="A951" s="32"/>
      <c r="B951" s="30"/>
      <c r="C951" s="31"/>
      <c r="D951" s="31"/>
      <c r="E951" s="31"/>
      <c r="F951" s="32"/>
      <c r="G951" s="32"/>
      <c r="H951" s="32"/>
      <c r="I951" s="32"/>
    </row>
    <row r="952" spans="1:9" s="27" customFormat="1" x14ac:dyDescent="0.2">
      <c r="A952" s="32"/>
      <c r="B952" s="30"/>
      <c r="C952" s="31"/>
      <c r="D952" s="31"/>
      <c r="E952" s="31"/>
      <c r="F952" s="32"/>
      <c r="G952" s="32"/>
      <c r="H952" s="32"/>
      <c r="I952" s="32"/>
    </row>
    <row r="953" spans="1:9" s="27" customFormat="1" x14ac:dyDescent="0.2">
      <c r="A953" s="32"/>
      <c r="B953" s="30"/>
      <c r="C953" s="31"/>
      <c r="D953" s="31"/>
      <c r="E953" s="31"/>
      <c r="F953" s="32"/>
      <c r="G953" s="32"/>
      <c r="H953" s="32"/>
      <c r="I953" s="32"/>
    </row>
    <row r="954" spans="1:9" s="27" customFormat="1" x14ac:dyDescent="0.2">
      <c r="A954" s="32"/>
      <c r="B954" s="30"/>
      <c r="C954" s="31"/>
      <c r="D954" s="31"/>
      <c r="E954" s="31"/>
      <c r="F954" s="32"/>
      <c r="G954" s="32"/>
      <c r="H954" s="32"/>
      <c r="I954" s="32"/>
    </row>
    <row r="955" spans="1:9" s="27" customFormat="1" x14ac:dyDescent="0.2">
      <c r="A955" s="32"/>
      <c r="B955" s="30"/>
      <c r="C955" s="31"/>
      <c r="D955" s="31"/>
      <c r="E955" s="31"/>
      <c r="F955" s="32"/>
      <c r="G955" s="32"/>
      <c r="H955" s="32"/>
      <c r="I955" s="32"/>
    </row>
    <row r="956" spans="1:9" s="27" customFormat="1" x14ac:dyDescent="0.2">
      <c r="A956" s="32"/>
      <c r="B956" s="30"/>
      <c r="C956" s="31"/>
      <c r="D956" s="31"/>
      <c r="E956" s="31"/>
      <c r="F956" s="32"/>
      <c r="G956" s="32"/>
      <c r="H956" s="32"/>
      <c r="I956" s="32"/>
    </row>
    <row r="957" spans="1:9" s="27" customFormat="1" x14ac:dyDescent="0.2">
      <c r="A957" s="32"/>
      <c r="B957" s="30"/>
      <c r="C957" s="31"/>
      <c r="D957" s="31"/>
      <c r="E957" s="31"/>
      <c r="F957" s="32"/>
      <c r="G957" s="32"/>
      <c r="H957" s="32"/>
      <c r="I957" s="32"/>
    </row>
    <row r="958" spans="1:9" s="27" customFormat="1" x14ac:dyDescent="0.2">
      <c r="A958" s="32"/>
      <c r="B958" s="30"/>
      <c r="C958" s="31"/>
      <c r="D958" s="31"/>
      <c r="E958" s="31"/>
      <c r="F958" s="32"/>
      <c r="G958" s="32"/>
      <c r="H958" s="32"/>
      <c r="I958" s="32"/>
    </row>
    <row r="959" spans="1:9" s="27" customFormat="1" x14ac:dyDescent="0.2">
      <c r="A959" s="32"/>
      <c r="B959" s="30"/>
      <c r="C959" s="31"/>
      <c r="D959" s="31"/>
      <c r="E959" s="31"/>
      <c r="F959" s="32"/>
      <c r="G959" s="32"/>
      <c r="H959" s="32"/>
      <c r="I959" s="32"/>
    </row>
    <row r="960" spans="1:9" s="27" customFormat="1" x14ac:dyDescent="0.2">
      <c r="A960" s="32"/>
      <c r="B960" s="30"/>
      <c r="C960" s="31"/>
      <c r="D960" s="31"/>
      <c r="E960" s="31"/>
      <c r="F960" s="32"/>
      <c r="G960" s="32"/>
      <c r="H960" s="32"/>
      <c r="I960" s="32"/>
    </row>
    <row r="961" spans="1:9" s="27" customFormat="1" x14ac:dyDescent="0.2">
      <c r="A961" s="32"/>
      <c r="B961" s="30"/>
      <c r="C961" s="31"/>
      <c r="D961" s="31"/>
      <c r="E961" s="31"/>
      <c r="F961" s="32"/>
      <c r="G961" s="32"/>
      <c r="H961" s="32"/>
      <c r="I961" s="32"/>
    </row>
    <row r="962" spans="1:9" s="27" customFormat="1" x14ac:dyDescent="0.2">
      <c r="A962" s="32"/>
      <c r="B962" s="30"/>
      <c r="C962" s="31"/>
      <c r="D962" s="31"/>
      <c r="E962" s="31"/>
      <c r="F962" s="32"/>
      <c r="G962" s="32"/>
      <c r="H962" s="32"/>
      <c r="I962" s="32"/>
    </row>
    <row r="963" spans="1:9" s="27" customFormat="1" x14ac:dyDescent="0.2">
      <c r="A963" s="32"/>
      <c r="B963" s="30"/>
      <c r="C963" s="31"/>
      <c r="D963" s="31"/>
      <c r="E963" s="31"/>
      <c r="F963" s="32"/>
      <c r="G963" s="32"/>
      <c r="H963" s="32"/>
      <c r="I963" s="32"/>
    </row>
    <row r="964" spans="1:9" s="27" customFormat="1" x14ac:dyDescent="0.2">
      <c r="A964" s="32"/>
      <c r="B964" s="30"/>
      <c r="C964" s="31"/>
      <c r="D964" s="31"/>
      <c r="E964" s="31"/>
      <c r="F964" s="32"/>
      <c r="G964" s="32"/>
      <c r="H964" s="32"/>
      <c r="I964" s="32"/>
    </row>
    <row r="965" spans="1:9" s="27" customFormat="1" x14ac:dyDescent="0.2">
      <c r="A965" s="32"/>
      <c r="B965" s="30"/>
      <c r="C965" s="31"/>
      <c r="D965" s="31"/>
      <c r="E965" s="31"/>
      <c r="F965" s="32"/>
      <c r="G965" s="32"/>
      <c r="H965" s="32"/>
      <c r="I965" s="32"/>
    </row>
    <row r="966" spans="1:9" s="27" customFormat="1" x14ac:dyDescent="0.2">
      <c r="A966" s="32"/>
      <c r="B966" s="30"/>
      <c r="C966" s="31"/>
      <c r="D966" s="31"/>
      <c r="E966" s="31"/>
      <c r="F966" s="32"/>
      <c r="G966" s="32"/>
      <c r="H966" s="32"/>
      <c r="I966" s="32"/>
    </row>
    <row r="967" spans="1:9" s="27" customFormat="1" x14ac:dyDescent="0.2">
      <c r="A967" s="32"/>
      <c r="B967" s="30"/>
      <c r="C967" s="31"/>
      <c r="D967" s="31"/>
      <c r="E967" s="31"/>
      <c r="F967" s="32"/>
      <c r="G967" s="32"/>
      <c r="H967" s="32"/>
      <c r="I967" s="32"/>
    </row>
    <row r="968" spans="1:9" s="27" customFormat="1" x14ac:dyDescent="0.2">
      <c r="A968" s="32"/>
      <c r="B968" s="30"/>
      <c r="C968" s="31"/>
      <c r="D968" s="31"/>
      <c r="E968" s="31"/>
      <c r="F968" s="32"/>
      <c r="G968" s="32"/>
      <c r="H968" s="32"/>
      <c r="I968" s="32"/>
    </row>
    <row r="969" spans="1:9" s="27" customFormat="1" x14ac:dyDescent="0.2">
      <c r="A969" s="32"/>
      <c r="B969" s="30"/>
      <c r="C969" s="31"/>
      <c r="D969" s="31"/>
      <c r="E969" s="31"/>
      <c r="F969" s="32"/>
      <c r="G969" s="32"/>
      <c r="H969" s="32"/>
      <c r="I969" s="32"/>
    </row>
    <row r="970" spans="1:9" s="27" customFormat="1" x14ac:dyDescent="0.2">
      <c r="A970" s="32"/>
      <c r="B970" s="30"/>
      <c r="C970" s="31"/>
      <c r="D970" s="31"/>
      <c r="E970" s="31"/>
      <c r="F970" s="32"/>
      <c r="G970" s="32"/>
      <c r="H970" s="32"/>
      <c r="I970" s="32"/>
    </row>
    <row r="971" spans="1:9" s="27" customFormat="1" x14ac:dyDescent="0.2">
      <c r="A971" s="32"/>
      <c r="B971" s="30"/>
      <c r="C971" s="31"/>
      <c r="D971" s="31"/>
      <c r="E971" s="31"/>
      <c r="F971" s="32"/>
      <c r="G971" s="32"/>
      <c r="H971" s="32"/>
      <c r="I971" s="32"/>
    </row>
    <row r="972" spans="1:9" s="27" customFormat="1" x14ac:dyDescent="0.2">
      <c r="A972" s="32"/>
      <c r="B972" s="30"/>
      <c r="C972" s="31"/>
      <c r="D972" s="31"/>
      <c r="E972" s="31"/>
      <c r="F972" s="32"/>
      <c r="G972" s="32"/>
      <c r="H972" s="32"/>
      <c r="I972" s="32"/>
    </row>
    <row r="973" spans="1:9" s="27" customFormat="1" x14ac:dyDescent="0.2">
      <c r="A973" s="32"/>
      <c r="B973" s="30"/>
      <c r="C973" s="31"/>
      <c r="D973" s="31"/>
      <c r="E973" s="31"/>
      <c r="F973" s="32"/>
      <c r="G973" s="32"/>
      <c r="H973" s="32"/>
      <c r="I973" s="32"/>
    </row>
    <row r="974" spans="1:9" s="27" customFormat="1" x14ac:dyDescent="0.2">
      <c r="A974" s="32"/>
      <c r="B974" s="30"/>
      <c r="C974" s="31"/>
      <c r="D974" s="31"/>
      <c r="E974" s="31"/>
      <c r="F974" s="32"/>
      <c r="G974" s="32"/>
      <c r="H974" s="32"/>
      <c r="I974" s="32"/>
    </row>
    <row r="975" spans="1:9" s="27" customFormat="1" x14ac:dyDescent="0.2">
      <c r="A975" s="32"/>
      <c r="B975" s="30"/>
      <c r="C975" s="31"/>
      <c r="D975" s="31"/>
      <c r="E975" s="31"/>
      <c r="F975" s="32"/>
      <c r="G975" s="32"/>
      <c r="H975" s="32"/>
      <c r="I975" s="32"/>
    </row>
    <row r="976" spans="1:9" s="27" customFormat="1" x14ac:dyDescent="0.2">
      <c r="A976" s="32"/>
      <c r="B976" s="30"/>
      <c r="C976" s="31"/>
      <c r="D976" s="31"/>
      <c r="E976" s="31"/>
      <c r="F976" s="32"/>
      <c r="G976" s="32"/>
      <c r="H976" s="32"/>
      <c r="I976" s="32"/>
    </row>
    <row r="977" spans="1:9" s="27" customFormat="1" x14ac:dyDescent="0.2">
      <c r="A977" s="32"/>
      <c r="B977" s="30"/>
      <c r="C977" s="31"/>
      <c r="D977" s="31"/>
      <c r="E977" s="31"/>
      <c r="F977" s="32"/>
      <c r="G977" s="32"/>
      <c r="H977" s="32"/>
      <c r="I977" s="32"/>
    </row>
    <row r="978" spans="1:9" s="27" customFormat="1" x14ac:dyDescent="0.2">
      <c r="A978" s="32"/>
      <c r="B978" s="30"/>
      <c r="C978" s="31"/>
      <c r="D978" s="31"/>
      <c r="E978" s="31"/>
      <c r="F978" s="32"/>
      <c r="G978" s="32"/>
      <c r="H978" s="32"/>
      <c r="I978" s="32"/>
    </row>
    <row r="979" spans="1:9" s="27" customFormat="1" x14ac:dyDescent="0.2">
      <c r="A979" s="32"/>
      <c r="B979" s="30"/>
      <c r="C979" s="31"/>
      <c r="D979" s="31"/>
      <c r="E979" s="31"/>
      <c r="F979" s="32"/>
      <c r="G979" s="32"/>
      <c r="H979" s="32"/>
      <c r="I979" s="32"/>
    </row>
    <row r="980" spans="1:9" s="27" customFormat="1" x14ac:dyDescent="0.2">
      <c r="A980" s="32"/>
      <c r="B980" s="30"/>
      <c r="C980" s="31"/>
      <c r="D980" s="31"/>
      <c r="E980" s="31"/>
      <c r="F980" s="32"/>
      <c r="G980" s="32"/>
      <c r="H980" s="32"/>
      <c r="I980" s="32"/>
    </row>
    <row r="981" spans="1:9" s="27" customFormat="1" x14ac:dyDescent="0.2">
      <c r="A981" s="32"/>
      <c r="B981" s="30"/>
      <c r="C981" s="31"/>
      <c r="D981" s="31"/>
      <c r="E981" s="31"/>
      <c r="F981" s="32"/>
      <c r="G981" s="32"/>
      <c r="H981" s="32"/>
      <c r="I981" s="32"/>
    </row>
    <row r="982" spans="1:9" s="27" customFormat="1" x14ac:dyDescent="0.2">
      <c r="A982" s="32"/>
      <c r="B982" s="30"/>
      <c r="C982" s="31"/>
      <c r="D982" s="31"/>
      <c r="E982" s="31"/>
      <c r="F982" s="32"/>
      <c r="G982" s="32"/>
      <c r="H982" s="32"/>
      <c r="I982" s="32"/>
    </row>
    <row r="983" spans="1:9" s="27" customFormat="1" x14ac:dyDescent="0.2">
      <c r="A983" s="32"/>
      <c r="B983" s="30"/>
      <c r="C983" s="31"/>
      <c r="D983" s="31"/>
      <c r="E983" s="31"/>
      <c r="F983" s="32"/>
      <c r="G983" s="32"/>
      <c r="H983" s="32"/>
      <c r="I983" s="32"/>
    </row>
    <row r="984" spans="1:9" s="27" customFormat="1" x14ac:dyDescent="0.2">
      <c r="A984" s="32"/>
      <c r="B984" s="30"/>
      <c r="C984" s="31"/>
      <c r="D984" s="31"/>
      <c r="E984" s="31"/>
      <c r="F984" s="32"/>
      <c r="G984" s="32"/>
      <c r="H984" s="32"/>
      <c r="I984" s="32"/>
    </row>
    <row r="985" spans="1:9" s="27" customFormat="1" x14ac:dyDescent="0.2">
      <c r="A985" s="32"/>
      <c r="B985" s="30"/>
      <c r="C985" s="31"/>
      <c r="D985" s="31"/>
      <c r="E985" s="31"/>
      <c r="F985" s="32"/>
      <c r="G985" s="32"/>
      <c r="H985" s="32"/>
      <c r="I985" s="32"/>
    </row>
    <row r="986" spans="1:9" s="27" customFormat="1" x14ac:dyDescent="0.2">
      <c r="A986" s="32"/>
      <c r="B986" s="30"/>
      <c r="C986" s="31"/>
      <c r="D986" s="31"/>
      <c r="E986" s="31"/>
      <c r="F986" s="32"/>
      <c r="G986" s="32"/>
      <c r="H986" s="32"/>
      <c r="I986" s="32"/>
    </row>
    <row r="987" spans="1:9" s="27" customFormat="1" x14ac:dyDescent="0.2">
      <c r="A987" s="32"/>
      <c r="B987" s="30"/>
      <c r="C987" s="31"/>
      <c r="D987" s="31"/>
      <c r="E987" s="31"/>
      <c r="F987" s="32"/>
      <c r="G987" s="32"/>
      <c r="H987" s="32"/>
      <c r="I987" s="32"/>
    </row>
    <row r="988" spans="1:9" s="27" customFormat="1" x14ac:dyDescent="0.2">
      <c r="A988" s="32"/>
      <c r="B988" s="30"/>
      <c r="C988" s="31"/>
      <c r="D988" s="31"/>
      <c r="E988" s="31"/>
      <c r="F988" s="32"/>
      <c r="G988" s="32"/>
      <c r="H988" s="32"/>
      <c r="I988" s="32"/>
    </row>
    <row r="989" spans="1:9" s="27" customFormat="1" x14ac:dyDescent="0.2">
      <c r="A989" s="32"/>
      <c r="B989" s="30"/>
      <c r="C989" s="31"/>
      <c r="D989" s="31"/>
      <c r="E989" s="31"/>
      <c r="F989" s="32"/>
      <c r="G989" s="32"/>
      <c r="H989" s="32"/>
      <c r="I989" s="32"/>
    </row>
    <row r="990" spans="1:9" s="27" customFormat="1" x14ac:dyDescent="0.2">
      <c r="A990" s="32"/>
      <c r="B990" s="30"/>
      <c r="C990" s="31"/>
      <c r="D990" s="31"/>
      <c r="E990" s="31"/>
      <c r="F990" s="32"/>
      <c r="G990" s="32"/>
      <c r="H990" s="32"/>
      <c r="I990" s="32"/>
    </row>
    <row r="991" spans="1:9" s="27" customFormat="1" x14ac:dyDescent="0.2">
      <c r="A991" s="32"/>
      <c r="B991" s="30"/>
      <c r="C991" s="31"/>
      <c r="D991" s="31"/>
      <c r="E991" s="31"/>
      <c r="F991" s="32"/>
      <c r="G991" s="32"/>
      <c r="H991" s="32"/>
      <c r="I991" s="32"/>
    </row>
    <row r="992" spans="1:9" s="27" customFormat="1" x14ac:dyDescent="0.2">
      <c r="A992" s="32"/>
      <c r="B992" s="30"/>
      <c r="C992" s="31"/>
      <c r="D992" s="31"/>
      <c r="E992" s="31"/>
      <c r="F992" s="32"/>
      <c r="G992" s="32"/>
      <c r="H992" s="32"/>
      <c r="I992" s="32"/>
    </row>
    <row r="993" spans="1:9" s="27" customFormat="1" x14ac:dyDescent="0.2">
      <c r="A993" s="32"/>
      <c r="B993" s="30"/>
      <c r="C993" s="31"/>
      <c r="D993" s="31"/>
      <c r="E993" s="31"/>
      <c r="F993" s="32"/>
      <c r="G993" s="32"/>
      <c r="H993" s="32"/>
      <c r="I993" s="32"/>
    </row>
    <row r="994" spans="1:9" s="27" customFormat="1" x14ac:dyDescent="0.2">
      <c r="A994" s="32"/>
      <c r="B994" s="30"/>
      <c r="C994" s="31"/>
      <c r="D994" s="31"/>
      <c r="E994" s="31"/>
      <c r="F994" s="32"/>
      <c r="G994" s="32"/>
      <c r="H994" s="32"/>
      <c r="I994" s="32"/>
    </row>
    <row r="995" spans="1:9" s="27" customFormat="1" x14ac:dyDescent="0.2">
      <c r="A995" s="32"/>
      <c r="B995" s="30"/>
      <c r="C995" s="31"/>
      <c r="D995" s="31"/>
      <c r="E995" s="31"/>
      <c r="F995" s="32"/>
      <c r="G995" s="32"/>
      <c r="H995" s="32"/>
      <c r="I995" s="32"/>
    </row>
    <row r="996" spans="1:9" s="27" customFormat="1" x14ac:dyDescent="0.2">
      <c r="A996" s="32"/>
      <c r="B996" s="30"/>
      <c r="C996" s="31"/>
      <c r="D996" s="31"/>
      <c r="E996" s="31"/>
      <c r="F996" s="32"/>
      <c r="G996" s="32"/>
      <c r="H996" s="32"/>
      <c r="I996" s="32"/>
    </row>
    <row r="997" spans="1:9" s="27" customFormat="1" x14ac:dyDescent="0.2">
      <c r="A997" s="32"/>
      <c r="B997" s="30"/>
      <c r="C997" s="31"/>
      <c r="D997" s="31"/>
      <c r="E997" s="31"/>
      <c r="F997" s="32"/>
      <c r="G997" s="32"/>
      <c r="H997" s="32"/>
      <c r="I997" s="32"/>
    </row>
    <row r="998" spans="1:9" s="27" customFormat="1" x14ac:dyDescent="0.2">
      <c r="A998" s="32"/>
      <c r="B998" s="30"/>
      <c r="C998" s="31"/>
      <c r="D998" s="31"/>
      <c r="E998" s="31"/>
      <c r="F998" s="32"/>
      <c r="G998" s="32"/>
      <c r="H998" s="32"/>
      <c r="I998" s="32"/>
    </row>
    <row r="999" spans="1:9" s="27" customFormat="1" x14ac:dyDescent="0.2">
      <c r="A999" s="32"/>
      <c r="B999" s="30"/>
      <c r="C999" s="31"/>
      <c r="D999" s="31"/>
      <c r="E999" s="31"/>
      <c r="F999" s="32"/>
      <c r="G999" s="32"/>
      <c r="H999" s="32"/>
      <c r="I999" s="32"/>
    </row>
    <row r="1000" spans="1:9" s="27" customFormat="1" x14ac:dyDescent="0.2">
      <c r="A1000" s="32"/>
      <c r="B1000" s="30"/>
      <c r="C1000" s="31"/>
      <c r="D1000" s="31"/>
      <c r="E1000" s="31"/>
      <c r="F1000" s="32"/>
      <c r="G1000" s="32"/>
      <c r="H1000" s="32"/>
      <c r="I1000" s="32"/>
    </row>
    <row r="1001" spans="1:9" s="27" customFormat="1" x14ac:dyDescent="0.2">
      <c r="A1001" s="32"/>
      <c r="B1001" s="30"/>
      <c r="C1001" s="31"/>
      <c r="D1001" s="31"/>
      <c r="E1001" s="31"/>
      <c r="F1001" s="32"/>
      <c r="G1001" s="32"/>
      <c r="H1001" s="32"/>
      <c r="I1001" s="32"/>
    </row>
    <row r="1002" spans="1:9" s="27" customFormat="1" x14ac:dyDescent="0.2">
      <c r="A1002" s="32"/>
      <c r="B1002" s="30"/>
      <c r="C1002" s="31"/>
      <c r="D1002" s="31"/>
      <c r="E1002" s="31"/>
      <c r="F1002" s="32"/>
      <c r="G1002" s="32"/>
      <c r="H1002" s="32"/>
      <c r="I1002" s="32"/>
    </row>
    <row r="1003" spans="1:9" s="27" customFormat="1" x14ac:dyDescent="0.2">
      <c r="A1003" s="32"/>
      <c r="B1003" s="30"/>
      <c r="C1003" s="31"/>
      <c r="D1003" s="31"/>
      <c r="E1003" s="31"/>
      <c r="F1003" s="32"/>
      <c r="G1003" s="32"/>
      <c r="H1003" s="32"/>
      <c r="I1003" s="32"/>
    </row>
    <row r="1004" spans="1:9" s="27" customFormat="1" x14ac:dyDescent="0.2">
      <c r="A1004" s="32"/>
      <c r="B1004" s="30"/>
      <c r="C1004" s="31"/>
      <c r="D1004" s="31"/>
      <c r="E1004" s="31"/>
      <c r="F1004" s="32"/>
      <c r="G1004" s="32"/>
      <c r="H1004" s="32"/>
      <c r="I1004" s="32"/>
    </row>
    <row r="1005" spans="1:9" s="27" customFormat="1" x14ac:dyDescent="0.2">
      <c r="A1005" s="32"/>
      <c r="B1005" s="30"/>
      <c r="C1005" s="31"/>
      <c r="D1005" s="31"/>
      <c r="E1005" s="31"/>
      <c r="F1005" s="32"/>
      <c r="G1005" s="32"/>
      <c r="H1005" s="32"/>
      <c r="I1005" s="32"/>
    </row>
    <row r="1006" spans="1:9" s="27" customFormat="1" x14ac:dyDescent="0.2">
      <c r="A1006" s="32"/>
      <c r="B1006" s="30"/>
      <c r="C1006" s="31"/>
      <c r="D1006" s="31"/>
      <c r="E1006" s="31"/>
      <c r="F1006" s="32"/>
      <c r="G1006" s="32"/>
      <c r="H1006" s="32"/>
      <c r="I1006" s="32"/>
    </row>
    <row r="1007" spans="1:9" s="27" customFormat="1" x14ac:dyDescent="0.2">
      <c r="A1007" s="32"/>
      <c r="B1007" s="30"/>
      <c r="C1007" s="31"/>
      <c r="D1007" s="31"/>
      <c r="E1007" s="31"/>
      <c r="F1007" s="32"/>
      <c r="G1007" s="32"/>
      <c r="H1007" s="32"/>
      <c r="I1007" s="32"/>
    </row>
    <row r="1008" spans="1:9" s="27" customFormat="1" x14ac:dyDescent="0.2">
      <c r="A1008" s="32"/>
      <c r="B1008" s="30"/>
      <c r="C1008" s="31"/>
      <c r="D1008" s="31"/>
      <c r="E1008" s="31"/>
      <c r="F1008" s="32"/>
      <c r="G1008" s="32"/>
      <c r="H1008" s="32"/>
      <c r="I1008" s="32"/>
    </row>
    <row r="1009" spans="1:9" s="27" customFormat="1" x14ac:dyDescent="0.2">
      <c r="A1009" s="32"/>
      <c r="B1009" s="30"/>
      <c r="C1009" s="31"/>
      <c r="D1009" s="31"/>
      <c r="E1009" s="31"/>
      <c r="F1009" s="32"/>
      <c r="G1009" s="32"/>
      <c r="H1009" s="32"/>
      <c r="I1009" s="32"/>
    </row>
    <row r="1010" spans="1:9" s="27" customFormat="1" x14ac:dyDescent="0.2">
      <c r="A1010" s="32"/>
      <c r="B1010" s="30"/>
      <c r="C1010" s="31"/>
      <c r="D1010" s="31"/>
      <c r="E1010" s="31"/>
      <c r="F1010" s="32"/>
      <c r="G1010" s="32"/>
      <c r="H1010" s="32"/>
      <c r="I1010" s="32"/>
    </row>
    <row r="1011" spans="1:9" s="27" customFormat="1" x14ac:dyDescent="0.2">
      <c r="A1011" s="32"/>
      <c r="B1011" s="30"/>
      <c r="C1011" s="31"/>
      <c r="D1011" s="31"/>
      <c r="E1011" s="31"/>
      <c r="F1011" s="32"/>
      <c r="G1011" s="32"/>
      <c r="H1011" s="32"/>
      <c r="I1011" s="32"/>
    </row>
    <row r="1012" spans="1:9" s="27" customFormat="1" x14ac:dyDescent="0.2">
      <c r="A1012" s="32"/>
      <c r="B1012" s="30"/>
      <c r="C1012" s="31"/>
      <c r="D1012" s="31"/>
      <c r="E1012" s="31"/>
      <c r="F1012" s="32"/>
      <c r="G1012" s="32"/>
      <c r="H1012" s="32"/>
      <c r="I1012" s="32"/>
    </row>
    <row r="1013" spans="1:9" s="27" customFormat="1" x14ac:dyDescent="0.2">
      <c r="A1013" s="32"/>
      <c r="B1013" s="30"/>
      <c r="C1013" s="31"/>
      <c r="D1013" s="31"/>
      <c r="E1013" s="31"/>
      <c r="F1013" s="32"/>
      <c r="G1013" s="32"/>
      <c r="H1013" s="32"/>
      <c r="I1013" s="32"/>
    </row>
    <row r="1014" spans="1:9" s="27" customFormat="1" x14ac:dyDescent="0.2">
      <c r="A1014" s="32"/>
      <c r="B1014" s="30"/>
      <c r="C1014" s="31"/>
      <c r="D1014" s="31"/>
      <c r="E1014" s="31"/>
      <c r="F1014" s="32"/>
      <c r="G1014" s="32"/>
      <c r="H1014" s="32"/>
      <c r="I1014" s="32"/>
    </row>
    <row r="1015" spans="1:9" s="27" customFormat="1" x14ac:dyDescent="0.2">
      <c r="A1015" s="32"/>
      <c r="B1015" s="30"/>
      <c r="C1015" s="31"/>
      <c r="D1015" s="31"/>
      <c r="E1015" s="31"/>
      <c r="F1015" s="32"/>
      <c r="G1015" s="32"/>
      <c r="H1015" s="32"/>
      <c r="I1015" s="32"/>
    </row>
    <row r="1016" spans="1:9" s="27" customFormat="1" x14ac:dyDescent="0.2">
      <c r="A1016" s="32"/>
      <c r="B1016" s="30"/>
      <c r="C1016" s="31"/>
      <c r="D1016" s="31"/>
      <c r="E1016" s="31"/>
      <c r="F1016" s="32"/>
      <c r="G1016" s="32"/>
      <c r="H1016" s="32"/>
      <c r="I1016" s="32"/>
    </row>
    <row r="1017" spans="1:9" s="27" customFormat="1" x14ac:dyDescent="0.2">
      <c r="A1017" s="32"/>
      <c r="B1017" s="30"/>
      <c r="C1017" s="31"/>
      <c r="D1017" s="31"/>
      <c r="E1017" s="31"/>
      <c r="F1017" s="32"/>
      <c r="G1017" s="32"/>
      <c r="H1017" s="32"/>
      <c r="I1017" s="32"/>
    </row>
    <row r="1018" spans="1:9" s="27" customFormat="1" x14ac:dyDescent="0.2">
      <c r="A1018" s="32"/>
      <c r="B1018" s="30"/>
      <c r="C1018" s="31"/>
      <c r="D1018" s="31"/>
      <c r="E1018" s="31"/>
      <c r="F1018" s="32"/>
      <c r="G1018" s="32"/>
      <c r="H1018" s="32"/>
      <c r="I1018" s="32"/>
    </row>
    <row r="1019" spans="1:9" s="27" customFormat="1" x14ac:dyDescent="0.2">
      <c r="A1019" s="32"/>
      <c r="B1019" s="30"/>
      <c r="C1019" s="31"/>
      <c r="D1019" s="31"/>
      <c r="E1019" s="31"/>
      <c r="F1019" s="32"/>
      <c r="G1019" s="32"/>
      <c r="H1019" s="32"/>
      <c r="I1019" s="32"/>
    </row>
    <row r="1020" spans="1:9" s="27" customFormat="1" x14ac:dyDescent="0.2">
      <c r="A1020" s="32"/>
      <c r="B1020" s="30"/>
      <c r="C1020" s="31"/>
      <c r="D1020" s="31"/>
      <c r="E1020" s="31"/>
      <c r="F1020" s="32"/>
      <c r="G1020" s="32"/>
      <c r="H1020" s="32"/>
      <c r="I1020" s="32"/>
    </row>
    <row r="1021" spans="1:9" s="27" customFormat="1" x14ac:dyDescent="0.2">
      <c r="A1021" s="32"/>
      <c r="B1021" s="30"/>
      <c r="C1021" s="31"/>
      <c r="D1021" s="31"/>
      <c r="E1021" s="31"/>
      <c r="F1021" s="32"/>
      <c r="G1021" s="32"/>
      <c r="H1021" s="32"/>
      <c r="I1021" s="32"/>
    </row>
    <row r="1022" spans="1:9" s="27" customFormat="1" x14ac:dyDescent="0.2">
      <c r="A1022" s="32"/>
      <c r="B1022" s="30"/>
      <c r="C1022" s="31"/>
      <c r="D1022" s="31"/>
      <c r="E1022" s="31"/>
      <c r="F1022" s="32"/>
      <c r="G1022" s="32"/>
      <c r="H1022" s="32"/>
      <c r="I1022" s="32"/>
    </row>
    <row r="1023" spans="1:9" s="27" customFormat="1" x14ac:dyDescent="0.2">
      <c r="A1023" s="32"/>
      <c r="B1023" s="30"/>
      <c r="C1023" s="31"/>
      <c r="D1023" s="31"/>
      <c r="E1023" s="31"/>
      <c r="F1023" s="32"/>
      <c r="G1023" s="32"/>
      <c r="H1023" s="32"/>
      <c r="I1023" s="32"/>
    </row>
    <row r="1024" spans="1:9" s="27" customFormat="1" x14ac:dyDescent="0.2">
      <c r="A1024" s="32"/>
      <c r="B1024" s="30"/>
      <c r="C1024" s="31"/>
      <c r="D1024" s="31"/>
      <c r="E1024" s="31"/>
      <c r="F1024" s="32"/>
      <c r="G1024" s="32"/>
      <c r="H1024" s="32"/>
      <c r="I1024" s="32"/>
    </row>
    <row r="1025" spans="1:9" s="27" customFormat="1" x14ac:dyDescent="0.2">
      <c r="A1025" s="32"/>
      <c r="B1025" s="30"/>
      <c r="C1025" s="31"/>
      <c r="D1025" s="31"/>
      <c r="E1025" s="31"/>
      <c r="F1025" s="32"/>
      <c r="G1025" s="32"/>
      <c r="H1025" s="32"/>
      <c r="I1025" s="32"/>
    </row>
    <row r="1026" spans="1:9" s="27" customFormat="1" x14ac:dyDescent="0.2">
      <c r="A1026" s="32"/>
      <c r="B1026" s="30"/>
      <c r="C1026" s="31"/>
      <c r="D1026" s="31"/>
      <c r="E1026" s="31"/>
      <c r="F1026" s="32"/>
      <c r="G1026" s="32"/>
      <c r="H1026" s="32"/>
      <c r="I1026" s="32"/>
    </row>
    <row r="1027" spans="1:9" s="27" customFormat="1" x14ac:dyDescent="0.2">
      <c r="A1027" s="32"/>
      <c r="B1027" s="30"/>
      <c r="C1027" s="31"/>
      <c r="D1027" s="31"/>
      <c r="E1027" s="31"/>
      <c r="F1027" s="32"/>
      <c r="G1027" s="32"/>
      <c r="H1027" s="32"/>
      <c r="I1027" s="32"/>
    </row>
    <row r="1028" spans="1:9" s="27" customFormat="1" x14ac:dyDescent="0.2">
      <c r="A1028" s="32"/>
      <c r="B1028" s="30"/>
      <c r="C1028" s="31"/>
      <c r="D1028" s="31"/>
      <c r="E1028" s="31"/>
      <c r="F1028" s="32"/>
      <c r="G1028" s="32"/>
      <c r="H1028" s="32"/>
      <c r="I1028" s="32"/>
    </row>
    <row r="1029" spans="1:9" s="27" customFormat="1" x14ac:dyDescent="0.2">
      <c r="A1029" s="32"/>
      <c r="B1029" s="30"/>
      <c r="C1029" s="31"/>
      <c r="D1029" s="31"/>
      <c r="E1029" s="31"/>
      <c r="F1029" s="32"/>
      <c r="G1029" s="32"/>
      <c r="H1029" s="32"/>
      <c r="I1029" s="32"/>
    </row>
    <row r="1030" spans="1:9" s="27" customFormat="1" x14ac:dyDescent="0.2">
      <c r="A1030" s="32"/>
      <c r="B1030" s="30"/>
      <c r="C1030" s="31"/>
      <c r="D1030" s="31"/>
      <c r="E1030" s="31"/>
      <c r="F1030" s="32"/>
      <c r="G1030" s="32"/>
      <c r="H1030" s="32"/>
      <c r="I1030" s="32"/>
    </row>
    <row r="1031" spans="1:9" s="27" customFormat="1" x14ac:dyDescent="0.2">
      <c r="A1031" s="32"/>
      <c r="B1031" s="30"/>
      <c r="C1031" s="31"/>
      <c r="D1031" s="31"/>
      <c r="E1031" s="31"/>
      <c r="F1031" s="32"/>
      <c r="G1031" s="32"/>
      <c r="H1031" s="32"/>
      <c r="I1031" s="32"/>
    </row>
    <row r="1032" spans="1:9" s="27" customFormat="1" x14ac:dyDescent="0.2">
      <c r="A1032" s="32"/>
      <c r="B1032" s="30"/>
      <c r="C1032" s="31"/>
      <c r="D1032" s="31"/>
      <c r="E1032" s="31"/>
      <c r="F1032" s="32"/>
      <c r="G1032" s="32"/>
      <c r="H1032" s="32"/>
      <c r="I1032" s="32"/>
    </row>
    <row r="1033" spans="1:9" s="27" customFormat="1" x14ac:dyDescent="0.2">
      <c r="A1033" s="32"/>
      <c r="B1033" s="30"/>
      <c r="C1033" s="31"/>
      <c r="D1033" s="31"/>
      <c r="E1033" s="31"/>
      <c r="F1033" s="32"/>
      <c r="G1033" s="32"/>
      <c r="H1033" s="32"/>
      <c r="I1033" s="32"/>
    </row>
    <row r="1034" spans="1:9" s="27" customFormat="1" x14ac:dyDescent="0.2">
      <c r="A1034" s="32"/>
      <c r="B1034" s="30"/>
      <c r="C1034" s="31"/>
      <c r="D1034" s="31"/>
      <c r="E1034" s="31"/>
      <c r="F1034" s="32"/>
      <c r="G1034" s="32"/>
      <c r="H1034" s="32"/>
      <c r="I1034" s="32"/>
    </row>
    <row r="1035" spans="1:9" s="27" customFormat="1" x14ac:dyDescent="0.2">
      <c r="A1035" s="32"/>
      <c r="B1035" s="30"/>
      <c r="C1035" s="31"/>
      <c r="D1035" s="31"/>
      <c r="E1035" s="31"/>
      <c r="F1035" s="32"/>
      <c r="G1035" s="32"/>
      <c r="H1035" s="32"/>
      <c r="I1035" s="32"/>
    </row>
    <row r="1036" spans="1:9" s="27" customFormat="1" x14ac:dyDescent="0.2">
      <c r="A1036" s="32"/>
      <c r="B1036" s="30"/>
      <c r="C1036" s="31"/>
      <c r="D1036" s="31"/>
      <c r="E1036" s="31"/>
      <c r="F1036" s="32"/>
      <c r="G1036" s="32"/>
      <c r="H1036" s="32"/>
      <c r="I1036" s="32"/>
    </row>
    <row r="1037" spans="1:9" s="27" customFormat="1" x14ac:dyDescent="0.2">
      <c r="A1037" s="32"/>
      <c r="B1037" s="30"/>
      <c r="C1037" s="31"/>
      <c r="D1037" s="31"/>
      <c r="E1037" s="31"/>
      <c r="F1037" s="32"/>
      <c r="G1037" s="32"/>
      <c r="H1037" s="32"/>
      <c r="I1037" s="32"/>
    </row>
    <row r="1038" spans="1:9" s="27" customFormat="1" x14ac:dyDescent="0.2">
      <c r="A1038" s="32"/>
      <c r="B1038" s="30"/>
      <c r="C1038" s="31"/>
      <c r="D1038" s="31"/>
      <c r="E1038" s="31"/>
      <c r="F1038" s="32"/>
      <c r="G1038" s="32"/>
      <c r="H1038" s="32"/>
      <c r="I1038" s="32"/>
    </row>
    <row r="1039" spans="1:9" s="27" customFormat="1" x14ac:dyDescent="0.2">
      <c r="A1039" s="32"/>
      <c r="B1039" s="30"/>
      <c r="C1039" s="31"/>
      <c r="D1039" s="31"/>
      <c r="E1039" s="31"/>
      <c r="F1039" s="32"/>
      <c r="G1039" s="32"/>
      <c r="H1039" s="32"/>
      <c r="I1039" s="32"/>
    </row>
    <row r="1040" spans="1:9" s="27" customFormat="1" x14ac:dyDescent="0.2">
      <c r="A1040" s="32"/>
      <c r="B1040" s="30"/>
      <c r="C1040" s="31"/>
      <c r="D1040" s="31"/>
      <c r="E1040" s="31"/>
      <c r="F1040" s="32"/>
      <c r="G1040" s="32"/>
      <c r="H1040" s="32"/>
      <c r="I1040" s="32"/>
    </row>
    <row r="1041" spans="1:9" s="27" customFormat="1" x14ac:dyDescent="0.2">
      <c r="A1041" s="32"/>
      <c r="B1041" s="30"/>
      <c r="C1041" s="31"/>
      <c r="D1041" s="31"/>
      <c r="E1041" s="31"/>
      <c r="F1041" s="32"/>
      <c r="G1041" s="32"/>
      <c r="H1041" s="32"/>
      <c r="I1041" s="32"/>
    </row>
    <row r="1042" spans="1:9" s="27" customFormat="1" x14ac:dyDescent="0.2">
      <c r="A1042" s="32"/>
      <c r="B1042" s="30"/>
      <c r="C1042" s="31"/>
      <c r="D1042" s="31"/>
      <c r="E1042" s="31"/>
      <c r="F1042" s="32"/>
      <c r="G1042" s="32"/>
      <c r="H1042" s="32"/>
      <c r="I1042" s="32"/>
    </row>
    <row r="1043" spans="1:9" s="27" customFormat="1" x14ac:dyDescent="0.2">
      <c r="A1043" s="32"/>
      <c r="B1043" s="30"/>
      <c r="C1043" s="31"/>
      <c r="D1043" s="31"/>
      <c r="E1043" s="31"/>
      <c r="F1043" s="32"/>
      <c r="G1043" s="32"/>
      <c r="H1043" s="32"/>
      <c r="I1043" s="32"/>
    </row>
    <row r="1044" spans="1:9" s="27" customFormat="1" x14ac:dyDescent="0.2">
      <c r="A1044" s="32"/>
      <c r="B1044" s="30"/>
      <c r="C1044" s="31"/>
      <c r="D1044" s="31"/>
      <c r="E1044" s="31"/>
      <c r="F1044" s="32"/>
      <c r="G1044" s="32"/>
      <c r="H1044" s="32"/>
      <c r="I1044" s="32"/>
    </row>
    <row r="1045" spans="1:9" s="27" customFormat="1" x14ac:dyDescent="0.2">
      <c r="A1045" s="32"/>
      <c r="B1045" s="30"/>
      <c r="C1045" s="31"/>
      <c r="D1045" s="31"/>
      <c r="E1045" s="31"/>
      <c r="F1045" s="32"/>
      <c r="G1045" s="32"/>
      <c r="H1045" s="32"/>
      <c r="I1045" s="32"/>
    </row>
    <row r="1046" spans="1:9" s="27" customFormat="1" x14ac:dyDescent="0.2">
      <c r="A1046" s="32"/>
      <c r="B1046" s="30"/>
      <c r="C1046" s="31"/>
      <c r="D1046" s="31"/>
      <c r="E1046" s="31"/>
      <c r="F1046" s="32"/>
      <c r="G1046" s="32"/>
      <c r="H1046" s="32"/>
      <c r="I1046" s="32"/>
    </row>
    <row r="1047" spans="1:9" s="27" customFormat="1" x14ac:dyDescent="0.2">
      <c r="A1047" s="32"/>
      <c r="B1047" s="30"/>
      <c r="C1047" s="31"/>
      <c r="D1047" s="31"/>
      <c r="E1047" s="31"/>
      <c r="F1047" s="32"/>
      <c r="G1047" s="32"/>
      <c r="H1047" s="32"/>
      <c r="I1047" s="32"/>
    </row>
    <row r="1048" spans="1:9" s="27" customFormat="1" x14ac:dyDescent="0.2">
      <c r="A1048" s="32"/>
      <c r="B1048" s="30"/>
      <c r="C1048" s="31"/>
      <c r="D1048" s="31"/>
      <c r="E1048" s="31"/>
      <c r="F1048" s="32"/>
      <c r="G1048" s="32"/>
      <c r="H1048" s="32"/>
      <c r="I1048" s="32"/>
    </row>
    <row r="1049" spans="1:9" s="27" customFormat="1" x14ac:dyDescent="0.2">
      <c r="A1049" s="32"/>
      <c r="B1049" s="30"/>
      <c r="C1049" s="31"/>
      <c r="D1049" s="31"/>
      <c r="E1049" s="31"/>
      <c r="F1049" s="32"/>
      <c r="G1049" s="32"/>
      <c r="H1049" s="32"/>
      <c r="I1049" s="32"/>
    </row>
    <row r="1050" spans="1:9" s="27" customFormat="1" x14ac:dyDescent="0.2">
      <c r="A1050" s="32"/>
      <c r="B1050" s="30"/>
      <c r="C1050" s="31"/>
      <c r="D1050" s="31"/>
      <c r="E1050" s="31"/>
      <c r="F1050" s="32"/>
      <c r="G1050" s="32"/>
      <c r="H1050" s="32"/>
      <c r="I1050" s="32"/>
    </row>
    <row r="1051" spans="1:9" s="27" customFormat="1" x14ac:dyDescent="0.2">
      <c r="A1051" s="32"/>
      <c r="B1051" s="30"/>
      <c r="C1051" s="31"/>
      <c r="D1051" s="31"/>
      <c r="E1051" s="31"/>
      <c r="F1051" s="32"/>
      <c r="G1051" s="32"/>
      <c r="H1051" s="32"/>
      <c r="I1051" s="32"/>
    </row>
    <row r="1052" spans="1:9" s="27" customFormat="1" x14ac:dyDescent="0.2">
      <c r="A1052" s="32"/>
      <c r="B1052" s="30"/>
      <c r="C1052" s="31"/>
      <c r="D1052" s="31"/>
      <c r="E1052" s="31"/>
      <c r="F1052" s="32"/>
      <c r="G1052" s="32"/>
      <c r="H1052" s="32"/>
      <c r="I1052" s="32"/>
    </row>
    <row r="1053" spans="1:9" s="27" customFormat="1" x14ac:dyDescent="0.2">
      <c r="A1053" s="32"/>
      <c r="B1053" s="30"/>
      <c r="C1053" s="31"/>
      <c r="D1053" s="31"/>
      <c r="E1053" s="31"/>
      <c r="F1053" s="32"/>
      <c r="G1053" s="32"/>
      <c r="H1053" s="32"/>
      <c r="I1053" s="32"/>
    </row>
    <row r="1054" spans="1:9" s="27" customFormat="1" x14ac:dyDescent="0.2">
      <c r="A1054" s="32"/>
      <c r="B1054" s="30"/>
      <c r="C1054" s="31"/>
      <c r="D1054" s="31"/>
      <c r="E1054" s="31"/>
      <c r="F1054" s="32"/>
      <c r="G1054" s="32"/>
      <c r="H1054" s="32"/>
      <c r="I1054" s="32"/>
    </row>
    <row r="1055" spans="1:9" s="27" customFormat="1" x14ac:dyDescent="0.2">
      <c r="A1055" s="32"/>
      <c r="B1055" s="30"/>
      <c r="C1055" s="31"/>
      <c r="D1055" s="31"/>
      <c r="E1055" s="31"/>
      <c r="F1055" s="32"/>
      <c r="G1055" s="32"/>
      <c r="H1055" s="32"/>
      <c r="I1055" s="32"/>
    </row>
    <row r="1056" spans="1:9" s="27" customFormat="1" x14ac:dyDescent="0.2">
      <c r="A1056" s="32"/>
      <c r="B1056" s="30"/>
      <c r="C1056" s="31"/>
      <c r="D1056" s="31"/>
      <c r="E1056" s="31"/>
      <c r="F1056" s="32"/>
      <c r="G1056" s="32"/>
      <c r="H1056" s="32"/>
      <c r="I1056" s="32"/>
    </row>
    <row r="1057" spans="1:9" s="27" customFormat="1" x14ac:dyDescent="0.2">
      <c r="A1057" s="32"/>
      <c r="B1057" s="30"/>
      <c r="C1057" s="31"/>
      <c r="D1057" s="31"/>
      <c r="E1057" s="31"/>
      <c r="F1057" s="32"/>
      <c r="G1057" s="32"/>
      <c r="H1057" s="32"/>
      <c r="I1057" s="32"/>
    </row>
    <row r="1058" spans="1:9" s="27" customFormat="1" x14ac:dyDescent="0.2">
      <c r="A1058" s="32"/>
      <c r="B1058" s="30"/>
      <c r="C1058" s="31"/>
      <c r="D1058" s="31"/>
      <c r="E1058" s="31"/>
      <c r="F1058" s="32"/>
      <c r="G1058" s="32"/>
      <c r="H1058" s="32"/>
      <c r="I1058" s="32"/>
    </row>
    <row r="1059" spans="1:9" s="27" customFormat="1" x14ac:dyDescent="0.2">
      <c r="A1059" s="32"/>
      <c r="B1059" s="30"/>
      <c r="C1059" s="31"/>
      <c r="D1059" s="31"/>
      <c r="E1059" s="31"/>
      <c r="F1059" s="32"/>
      <c r="G1059" s="32"/>
      <c r="H1059" s="32"/>
      <c r="I1059" s="32"/>
    </row>
    <row r="1060" spans="1:9" s="27" customFormat="1" x14ac:dyDescent="0.2">
      <c r="A1060" s="32"/>
      <c r="B1060" s="30"/>
      <c r="C1060" s="31"/>
      <c r="D1060" s="31"/>
      <c r="E1060" s="31"/>
      <c r="F1060" s="32"/>
      <c r="G1060" s="32"/>
      <c r="H1060" s="32"/>
      <c r="I1060" s="32"/>
    </row>
    <row r="1061" spans="1:9" s="27" customFormat="1" x14ac:dyDescent="0.2">
      <c r="A1061" s="32"/>
      <c r="B1061" s="30"/>
      <c r="C1061" s="31"/>
      <c r="D1061" s="31"/>
      <c r="E1061" s="31"/>
      <c r="F1061" s="32"/>
      <c r="G1061" s="32"/>
      <c r="H1061" s="32"/>
      <c r="I1061" s="32"/>
    </row>
    <row r="1062" spans="1:9" s="27" customFormat="1" x14ac:dyDescent="0.2">
      <c r="A1062" s="32"/>
      <c r="B1062" s="30"/>
      <c r="C1062" s="31"/>
      <c r="D1062" s="31"/>
      <c r="E1062" s="31"/>
      <c r="F1062" s="32"/>
      <c r="G1062" s="32"/>
      <c r="H1062" s="32"/>
      <c r="I1062" s="32"/>
    </row>
    <row r="1063" spans="1:9" s="27" customFormat="1" x14ac:dyDescent="0.2">
      <c r="A1063" s="32"/>
      <c r="B1063" s="30"/>
      <c r="C1063" s="31"/>
      <c r="D1063" s="31"/>
      <c r="E1063" s="31"/>
      <c r="F1063" s="32"/>
      <c r="G1063" s="32"/>
      <c r="H1063" s="32"/>
      <c r="I1063" s="32"/>
    </row>
    <row r="1064" spans="1:9" s="27" customFormat="1" x14ac:dyDescent="0.2">
      <c r="A1064" s="32"/>
      <c r="B1064" s="30"/>
      <c r="C1064" s="31"/>
      <c r="D1064" s="31"/>
      <c r="E1064" s="31"/>
      <c r="F1064" s="32"/>
      <c r="G1064" s="32"/>
      <c r="H1064" s="32"/>
      <c r="I1064" s="32"/>
    </row>
    <row r="1065" spans="1:9" s="27" customFormat="1" x14ac:dyDescent="0.2">
      <c r="A1065" s="32"/>
      <c r="B1065" s="30"/>
      <c r="C1065" s="31"/>
      <c r="D1065" s="31"/>
      <c r="E1065" s="31"/>
      <c r="F1065" s="32"/>
      <c r="G1065" s="32"/>
      <c r="H1065" s="32"/>
      <c r="I1065" s="32"/>
    </row>
    <row r="1066" spans="1:9" s="27" customFormat="1" x14ac:dyDescent="0.2">
      <c r="A1066" s="32"/>
      <c r="B1066" s="30"/>
      <c r="C1066" s="31"/>
      <c r="D1066" s="31"/>
      <c r="E1066" s="31"/>
      <c r="F1066" s="32"/>
      <c r="G1066" s="32"/>
      <c r="H1066" s="32"/>
      <c r="I1066" s="32"/>
    </row>
    <row r="1067" spans="1:9" s="27" customFormat="1" x14ac:dyDescent="0.2">
      <c r="A1067" s="32"/>
      <c r="B1067" s="30"/>
      <c r="C1067" s="31"/>
      <c r="D1067" s="31"/>
      <c r="E1067" s="31"/>
      <c r="F1067" s="32"/>
      <c r="G1067" s="32"/>
      <c r="H1067" s="32"/>
      <c r="I1067" s="32"/>
    </row>
    <row r="1068" spans="1:9" s="27" customFormat="1" x14ac:dyDescent="0.2">
      <c r="A1068" s="32"/>
      <c r="B1068" s="30"/>
      <c r="C1068" s="31"/>
      <c r="D1068" s="31"/>
      <c r="E1068" s="31"/>
      <c r="F1068" s="32"/>
      <c r="G1068" s="32"/>
      <c r="H1068" s="32"/>
      <c r="I1068" s="32"/>
    </row>
    <row r="1069" spans="1:9" s="27" customFormat="1" x14ac:dyDescent="0.2">
      <c r="A1069" s="32"/>
      <c r="B1069" s="30"/>
      <c r="C1069" s="31"/>
      <c r="D1069" s="31"/>
      <c r="E1069" s="31"/>
      <c r="F1069" s="32"/>
      <c r="G1069" s="32"/>
      <c r="H1069" s="32"/>
      <c r="I1069" s="32"/>
    </row>
    <row r="1070" spans="1:9" s="27" customFormat="1" x14ac:dyDescent="0.2">
      <c r="A1070" s="32"/>
      <c r="B1070" s="30"/>
      <c r="C1070" s="31"/>
      <c r="D1070" s="31"/>
      <c r="E1070" s="31"/>
      <c r="F1070" s="32"/>
      <c r="G1070" s="32"/>
      <c r="H1070" s="32"/>
      <c r="I1070" s="32"/>
    </row>
    <row r="1071" spans="1:9" s="27" customFormat="1" x14ac:dyDescent="0.2">
      <c r="A1071" s="32"/>
      <c r="B1071" s="30"/>
      <c r="C1071" s="31"/>
      <c r="D1071" s="31"/>
      <c r="E1071" s="31"/>
      <c r="F1071" s="32"/>
      <c r="G1071" s="32"/>
      <c r="H1071" s="32"/>
      <c r="I1071" s="32"/>
    </row>
    <row r="1072" spans="1:9" s="27" customFormat="1" x14ac:dyDescent="0.2">
      <c r="A1072" s="32"/>
      <c r="B1072" s="30"/>
      <c r="C1072" s="31"/>
      <c r="D1072" s="31"/>
      <c r="E1072" s="31"/>
      <c r="F1072" s="32"/>
      <c r="G1072" s="32"/>
      <c r="H1072" s="32"/>
      <c r="I1072" s="32"/>
    </row>
    <row r="1073" spans="1:9" s="27" customFormat="1" x14ac:dyDescent="0.2">
      <c r="A1073" s="32"/>
      <c r="B1073" s="30"/>
      <c r="C1073" s="31"/>
      <c r="D1073" s="31"/>
      <c r="E1073" s="31"/>
      <c r="F1073" s="32"/>
      <c r="G1073" s="32"/>
      <c r="H1073" s="32"/>
      <c r="I1073" s="32"/>
    </row>
    <row r="1074" spans="1:9" s="27" customFormat="1" x14ac:dyDescent="0.2">
      <c r="A1074" s="32"/>
      <c r="B1074" s="30"/>
      <c r="C1074" s="31"/>
      <c r="D1074" s="31"/>
      <c r="E1074" s="31"/>
      <c r="F1074" s="32"/>
      <c r="G1074" s="32"/>
      <c r="H1074" s="32"/>
      <c r="I1074" s="32"/>
    </row>
    <row r="1075" spans="1:9" s="27" customFormat="1" x14ac:dyDescent="0.2">
      <c r="A1075" s="32"/>
      <c r="B1075" s="30"/>
      <c r="C1075" s="31"/>
      <c r="D1075" s="31"/>
      <c r="E1075" s="31"/>
      <c r="F1075" s="32"/>
      <c r="G1075" s="32"/>
      <c r="H1075" s="32"/>
      <c r="I1075" s="32"/>
    </row>
    <row r="1076" spans="1:9" s="27" customFormat="1" x14ac:dyDescent="0.2">
      <c r="A1076" s="32"/>
      <c r="B1076" s="30"/>
      <c r="C1076" s="31"/>
      <c r="D1076" s="31"/>
      <c r="E1076" s="31"/>
      <c r="F1076" s="32"/>
      <c r="G1076" s="32"/>
      <c r="H1076" s="32"/>
      <c r="I1076" s="32"/>
    </row>
    <row r="1077" spans="1:9" s="27" customFormat="1" x14ac:dyDescent="0.2">
      <c r="A1077" s="32"/>
      <c r="B1077" s="30"/>
      <c r="C1077" s="31"/>
      <c r="D1077" s="31"/>
      <c r="E1077" s="31"/>
      <c r="F1077" s="32"/>
      <c r="G1077" s="32"/>
      <c r="H1077" s="32"/>
      <c r="I1077" s="32"/>
    </row>
    <row r="1078" spans="1:9" s="27" customFormat="1" x14ac:dyDescent="0.2">
      <c r="A1078" s="32"/>
      <c r="B1078" s="30"/>
      <c r="C1078" s="31"/>
      <c r="D1078" s="31"/>
      <c r="E1078" s="31"/>
      <c r="F1078" s="32"/>
      <c r="G1078" s="32"/>
      <c r="H1078" s="32"/>
      <c r="I1078" s="32"/>
    </row>
    <row r="1079" spans="1:9" s="27" customFormat="1" x14ac:dyDescent="0.2">
      <c r="A1079" s="32"/>
      <c r="B1079" s="30"/>
      <c r="C1079" s="31"/>
      <c r="D1079" s="31"/>
      <c r="E1079" s="31"/>
      <c r="F1079" s="32"/>
      <c r="G1079" s="32"/>
      <c r="H1079" s="32"/>
      <c r="I1079" s="32"/>
    </row>
    <row r="1080" spans="1:9" s="27" customFormat="1" x14ac:dyDescent="0.2">
      <c r="A1080" s="32"/>
      <c r="B1080" s="30"/>
      <c r="C1080" s="31"/>
      <c r="D1080" s="31"/>
      <c r="E1080" s="31"/>
      <c r="F1080" s="32"/>
      <c r="G1080" s="32"/>
      <c r="H1080" s="32"/>
      <c r="I1080" s="32"/>
    </row>
    <row r="1081" spans="1:9" s="27" customFormat="1" x14ac:dyDescent="0.2">
      <c r="A1081" s="32"/>
      <c r="B1081" s="30"/>
      <c r="C1081" s="31"/>
      <c r="D1081" s="31"/>
      <c r="E1081" s="31"/>
      <c r="F1081" s="32"/>
      <c r="G1081" s="32"/>
      <c r="H1081" s="32"/>
      <c r="I1081" s="32"/>
    </row>
    <row r="1082" spans="1:9" s="27" customFormat="1" x14ac:dyDescent="0.2">
      <c r="A1082" s="32"/>
      <c r="B1082" s="30"/>
      <c r="C1082" s="31"/>
      <c r="D1082" s="31"/>
      <c r="E1082" s="31"/>
      <c r="F1082" s="32"/>
      <c r="G1082" s="32"/>
      <c r="H1082" s="32"/>
      <c r="I1082" s="32"/>
    </row>
    <row r="1083" spans="1:9" s="27" customFormat="1" x14ac:dyDescent="0.2">
      <c r="A1083" s="32"/>
      <c r="B1083" s="30"/>
      <c r="C1083" s="31"/>
      <c r="D1083" s="31"/>
      <c r="E1083" s="31"/>
      <c r="F1083" s="32"/>
      <c r="G1083" s="32"/>
      <c r="H1083" s="32"/>
      <c r="I1083" s="32"/>
    </row>
    <row r="1084" spans="1:9" s="27" customFormat="1" x14ac:dyDescent="0.2">
      <c r="A1084" s="32"/>
      <c r="B1084" s="30"/>
      <c r="C1084" s="31"/>
      <c r="D1084" s="31"/>
      <c r="E1084" s="31"/>
      <c r="F1084" s="32"/>
      <c r="G1084" s="32"/>
      <c r="H1084" s="32"/>
      <c r="I1084" s="32"/>
    </row>
    <row r="1085" spans="1:9" s="27" customFormat="1" x14ac:dyDescent="0.2">
      <c r="A1085" s="32"/>
      <c r="B1085" s="30"/>
      <c r="C1085" s="31"/>
      <c r="D1085" s="31"/>
      <c r="E1085" s="31"/>
      <c r="F1085" s="32"/>
      <c r="G1085" s="32"/>
      <c r="H1085" s="32"/>
      <c r="I1085" s="32"/>
    </row>
    <row r="1086" spans="1:9" s="27" customFormat="1" x14ac:dyDescent="0.2">
      <c r="A1086" s="32"/>
      <c r="B1086" s="30"/>
      <c r="C1086" s="31"/>
      <c r="D1086" s="31"/>
      <c r="E1086" s="31"/>
      <c r="F1086" s="32"/>
      <c r="G1086" s="32"/>
      <c r="H1086" s="32"/>
      <c r="I1086" s="32"/>
    </row>
    <row r="1087" spans="1:9" s="27" customFormat="1" x14ac:dyDescent="0.2">
      <c r="A1087" s="32"/>
      <c r="B1087" s="30"/>
      <c r="C1087" s="31"/>
      <c r="D1087" s="31"/>
      <c r="E1087" s="31"/>
      <c r="F1087" s="32"/>
      <c r="G1087" s="32"/>
      <c r="H1087" s="32"/>
      <c r="I1087" s="32"/>
    </row>
    <row r="1088" spans="1:9" s="27" customFormat="1" x14ac:dyDescent="0.2">
      <c r="A1088" s="32"/>
      <c r="B1088" s="30"/>
      <c r="C1088" s="31"/>
      <c r="D1088" s="31"/>
      <c r="E1088" s="31"/>
      <c r="F1088" s="32"/>
      <c r="G1088" s="32"/>
      <c r="H1088" s="32"/>
      <c r="I1088" s="32"/>
    </row>
    <row r="1089" spans="1:9" s="27" customFormat="1" x14ac:dyDescent="0.2">
      <c r="A1089" s="32"/>
      <c r="B1089" s="30"/>
      <c r="C1089" s="31"/>
      <c r="D1089" s="31"/>
      <c r="E1089" s="31"/>
      <c r="F1089" s="32"/>
      <c r="G1089" s="32"/>
      <c r="H1089" s="32"/>
      <c r="I1089" s="32"/>
    </row>
    <row r="1090" spans="1:9" s="27" customFormat="1" x14ac:dyDescent="0.2">
      <c r="A1090" s="32"/>
      <c r="B1090" s="30"/>
      <c r="C1090" s="31"/>
      <c r="D1090" s="31"/>
      <c r="E1090" s="31"/>
      <c r="F1090" s="32"/>
      <c r="G1090" s="32"/>
      <c r="H1090" s="32"/>
      <c r="I1090" s="32"/>
    </row>
    <row r="1091" spans="1:9" s="27" customFormat="1" x14ac:dyDescent="0.2">
      <c r="A1091" s="32"/>
      <c r="B1091" s="30"/>
      <c r="C1091" s="31"/>
      <c r="D1091" s="31"/>
      <c r="E1091" s="31"/>
      <c r="F1091" s="32"/>
      <c r="G1091" s="32"/>
      <c r="H1091" s="32"/>
      <c r="I1091" s="32"/>
    </row>
    <row r="1092" spans="1:9" s="27" customFormat="1" x14ac:dyDescent="0.2">
      <c r="A1092" s="32"/>
      <c r="B1092" s="30"/>
      <c r="C1092" s="31"/>
      <c r="D1092" s="31"/>
      <c r="E1092" s="31"/>
      <c r="F1092" s="32"/>
      <c r="G1092" s="32"/>
      <c r="H1092" s="32"/>
      <c r="I1092" s="32"/>
    </row>
    <row r="1093" spans="1:9" s="27" customFormat="1" x14ac:dyDescent="0.2">
      <c r="A1093" s="32"/>
      <c r="B1093" s="30"/>
      <c r="C1093" s="31"/>
      <c r="D1093" s="31"/>
      <c r="E1093" s="31"/>
      <c r="F1093" s="32"/>
      <c r="G1093" s="32"/>
      <c r="H1093" s="32"/>
      <c r="I1093" s="32"/>
    </row>
    <row r="1094" spans="1:9" s="27" customFormat="1" x14ac:dyDescent="0.2">
      <c r="A1094" s="32"/>
      <c r="B1094" s="30"/>
      <c r="C1094" s="31"/>
      <c r="D1094" s="31"/>
      <c r="E1094" s="31"/>
      <c r="F1094" s="32"/>
      <c r="G1094" s="32"/>
      <c r="H1094" s="32"/>
      <c r="I1094" s="32"/>
    </row>
    <row r="1095" spans="1:9" s="27" customFormat="1" x14ac:dyDescent="0.2">
      <c r="A1095" s="32"/>
      <c r="B1095" s="30"/>
      <c r="C1095" s="31"/>
      <c r="D1095" s="31"/>
      <c r="E1095" s="31"/>
      <c r="F1095" s="32"/>
      <c r="G1095" s="32"/>
      <c r="H1095" s="32"/>
      <c r="I1095" s="32"/>
    </row>
    <row r="1096" spans="1:9" s="27" customFormat="1" x14ac:dyDescent="0.2">
      <c r="A1096" s="32"/>
      <c r="B1096" s="30"/>
      <c r="C1096" s="31"/>
      <c r="D1096" s="31"/>
      <c r="E1096" s="31"/>
      <c r="F1096" s="32"/>
      <c r="G1096" s="32"/>
      <c r="H1096" s="32"/>
      <c r="I1096" s="32"/>
    </row>
    <row r="1097" spans="1:9" s="27" customFormat="1" x14ac:dyDescent="0.2">
      <c r="A1097" s="32"/>
      <c r="B1097" s="30"/>
      <c r="C1097" s="31"/>
      <c r="D1097" s="31"/>
      <c r="E1097" s="31"/>
      <c r="F1097" s="32"/>
      <c r="G1097" s="32"/>
      <c r="H1097" s="32"/>
      <c r="I1097" s="32"/>
    </row>
    <row r="1098" spans="1:9" s="27" customFormat="1" x14ac:dyDescent="0.2">
      <c r="A1098" s="32"/>
      <c r="B1098" s="30"/>
      <c r="C1098" s="31"/>
      <c r="D1098" s="31"/>
      <c r="E1098" s="31"/>
      <c r="F1098" s="32"/>
      <c r="G1098" s="32"/>
      <c r="H1098" s="32"/>
      <c r="I1098" s="32"/>
    </row>
    <row r="1099" spans="1:9" s="27" customFormat="1" x14ac:dyDescent="0.2">
      <c r="A1099" s="32"/>
      <c r="B1099" s="30"/>
      <c r="C1099" s="31"/>
      <c r="D1099" s="31"/>
      <c r="E1099" s="31"/>
      <c r="F1099" s="32"/>
      <c r="G1099" s="32"/>
      <c r="H1099" s="32"/>
      <c r="I1099" s="32"/>
    </row>
    <row r="1100" spans="1:9" s="27" customFormat="1" x14ac:dyDescent="0.2">
      <c r="A1100" s="32"/>
      <c r="B1100" s="30"/>
      <c r="C1100" s="31"/>
      <c r="D1100" s="31"/>
      <c r="E1100" s="31"/>
      <c r="F1100" s="32"/>
      <c r="G1100" s="32"/>
      <c r="H1100" s="32"/>
      <c r="I1100" s="32"/>
    </row>
    <row r="1101" spans="1:9" s="27" customFormat="1" x14ac:dyDescent="0.2">
      <c r="A1101" s="32"/>
      <c r="B1101" s="30"/>
      <c r="C1101" s="31"/>
      <c r="D1101" s="31"/>
      <c r="E1101" s="31"/>
      <c r="F1101" s="32"/>
      <c r="G1101" s="32"/>
      <c r="H1101" s="32"/>
      <c r="I1101" s="32"/>
    </row>
    <row r="1102" spans="1:9" s="27" customFormat="1" x14ac:dyDescent="0.2">
      <c r="A1102" s="32"/>
      <c r="B1102" s="30"/>
      <c r="C1102" s="31"/>
      <c r="D1102" s="31"/>
      <c r="E1102" s="31"/>
      <c r="F1102" s="32"/>
      <c r="G1102" s="32"/>
      <c r="H1102" s="32"/>
      <c r="I1102" s="32"/>
    </row>
    <row r="1103" spans="1:9" s="27" customFormat="1" x14ac:dyDescent="0.2">
      <c r="A1103" s="32"/>
      <c r="B1103" s="30"/>
      <c r="C1103" s="31"/>
      <c r="D1103" s="31"/>
      <c r="E1103" s="31"/>
      <c r="F1103" s="32"/>
      <c r="G1103" s="32"/>
      <c r="H1103" s="32"/>
      <c r="I1103" s="32"/>
    </row>
    <row r="1104" spans="1:9" s="27" customFormat="1" x14ac:dyDescent="0.2">
      <c r="A1104" s="32"/>
      <c r="B1104" s="30"/>
      <c r="C1104" s="31"/>
      <c r="D1104" s="31"/>
      <c r="E1104" s="31"/>
      <c r="F1104" s="32"/>
      <c r="G1104" s="32"/>
      <c r="H1104" s="32"/>
      <c r="I1104" s="32"/>
    </row>
    <row r="1105" spans="1:9" s="27" customFormat="1" x14ac:dyDescent="0.2">
      <c r="A1105" s="32"/>
      <c r="B1105" s="30"/>
      <c r="C1105" s="31"/>
      <c r="D1105" s="31"/>
      <c r="E1105" s="31"/>
      <c r="F1105" s="32"/>
      <c r="G1105" s="32"/>
      <c r="H1105" s="32"/>
      <c r="I1105" s="32"/>
    </row>
    <row r="1106" spans="1:9" s="27" customFormat="1" x14ac:dyDescent="0.2">
      <c r="A1106" s="32"/>
      <c r="B1106" s="30"/>
      <c r="C1106" s="31"/>
      <c r="D1106" s="31"/>
      <c r="E1106" s="31"/>
      <c r="F1106" s="32"/>
      <c r="G1106" s="32"/>
      <c r="H1106" s="32"/>
      <c r="I1106" s="32"/>
    </row>
    <row r="1107" spans="1:9" s="27" customFormat="1" x14ac:dyDescent="0.2">
      <c r="A1107" s="32"/>
      <c r="B1107" s="30"/>
      <c r="C1107" s="31"/>
      <c r="D1107" s="31"/>
      <c r="E1107" s="31"/>
      <c r="F1107" s="32"/>
      <c r="G1107" s="32"/>
      <c r="H1107" s="32"/>
      <c r="I1107" s="32"/>
    </row>
    <row r="1108" spans="1:9" s="27" customFormat="1" x14ac:dyDescent="0.2">
      <c r="A1108" s="32"/>
      <c r="B1108" s="30"/>
      <c r="C1108" s="31"/>
      <c r="D1108" s="31"/>
      <c r="E1108" s="31"/>
      <c r="F1108" s="32"/>
      <c r="G1108" s="32"/>
      <c r="H1108" s="32"/>
      <c r="I1108" s="32"/>
    </row>
    <row r="1109" spans="1:9" s="27" customFormat="1" x14ac:dyDescent="0.2">
      <c r="A1109" s="32"/>
      <c r="B1109" s="30"/>
      <c r="C1109" s="31"/>
      <c r="D1109" s="31"/>
      <c r="E1109" s="31"/>
      <c r="F1109" s="32"/>
      <c r="G1109" s="32"/>
      <c r="H1109" s="32"/>
      <c r="I1109" s="32"/>
    </row>
    <row r="1110" spans="1:9" s="27" customFormat="1" x14ac:dyDescent="0.2">
      <c r="A1110" s="32"/>
      <c r="B1110" s="30"/>
      <c r="C1110" s="31"/>
      <c r="D1110" s="31"/>
      <c r="E1110" s="31"/>
      <c r="F1110" s="32"/>
      <c r="G1110" s="32"/>
      <c r="H1110" s="32"/>
      <c r="I1110" s="32"/>
    </row>
    <row r="1111" spans="1:9" s="27" customFormat="1" x14ac:dyDescent="0.2">
      <c r="A1111" s="32"/>
      <c r="B1111" s="30"/>
      <c r="C1111" s="31"/>
      <c r="D1111" s="31"/>
      <c r="E1111" s="31"/>
      <c r="F1111" s="32"/>
      <c r="G1111" s="32"/>
      <c r="H1111" s="32"/>
      <c r="I1111" s="32"/>
    </row>
    <row r="1112" spans="1:9" s="27" customFormat="1" x14ac:dyDescent="0.2">
      <c r="A1112" s="32"/>
      <c r="B1112" s="30"/>
      <c r="C1112" s="31"/>
      <c r="D1112" s="31"/>
      <c r="E1112" s="31"/>
      <c r="F1112" s="32"/>
      <c r="G1112" s="32"/>
      <c r="H1112" s="32"/>
      <c r="I1112" s="32"/>
    </row>
    <row r="1113" spans="1:9" s="27" customFormat="1" x14ac:dyDescent="0.2">
      <c r="A1113" s="32"/>
      <c r="B1113" s="30"/>
      <c r="C1113" s="31"/>
      <c r="D1113" s="31"/>
      <c r="E1113" s="31"/>
      <c r="F1113" s="32"/>
      <c r="G1113" s="32"/>
      <c r="H1113" s="32"/>
      <c r="I1113" s="32"/>
    </row>
    <row r="1114" spans="1:9" s="27" customFormat="1" x14ac:dyDescent="0.2">
      <c r="A1114" s="32"/>
      <c r="B1114" s="30"/>
      <c r="C1114" s="31"/>
      <c r="D1114" s="31"/>
      <c r="E1114" s="31"/>
      <c r="F1114" s="32"/>
      <c r="G1114" s="32"/>
      <c r="H1114" s="32"/>
      <c r="I1114" s="32"/>
    </row>
    <row r="1115" spans="1:9" s="27" customFormat="1" x14ac:dyDescent="0.2">
      <c r="A1115" s="32"/>
      <c r="B1115" s="30"/>
      <c r="C1115" s="31"/>
      <c r="D1115" s="31"/>
      <c r="E1115" s="31"/>
      <c r="F1115" s="32"/>
      <c r="G1115" s="32"/>
      <c r="H1115" s="32"/>
      <c r="I1115" s="32"/>
    </row>
    <row r="1116" spans="1:9" s="27" customFormat="1" x14ac:dyDescent="0.2">
      <c r="A1116" s="32"/>
      <c r="B1116" s="30"/>
      <c r="C1116" s="31"/>
      <c r="D1116" s="31"/>
      <c r="E1116" s="31"/>
      <c r="F1116" s="32"/>
      <c r="G1116" s="32"/>
      <c r="H1116" s="32"/>
      <c r="I1116" s="32"/>
    </row>
    <row r="1117" spans="1:9" s="27" customFormat="1" x14ac:dyDescent="0.2">
      <c r="A1117" s="32"/>
      <c r="B1117" s="30"/>
      <c r="C1117" s="31"/>
      <c r="D1117" s="31"/>
      <c r="E1117" s="31"/>
      <c r="F1117" s="32"/>
      <c r="G1117" s="32"/>
      <c r="H1117" s="32"/>
      <c r="I1117" s="32"/>
    </row>
    <row r="1118" spans="1:9" s="27" customFormat="1" x14ac:dyDescent="0.2">
      <c r="A1118" s="32"/>
      <c r="B1118" s="30"/>
      <c r="C1118" s="31"/>
      <c r="D1118" s="31"/>
      <c r="E1118" s="31"/>
      <c r="F1118" s="32"/>
      <c r="G1118" s="32"/>
      <c r="H1118" s="32"/>
      <c r="I1118" s="32"/>
    </row>
    <row r="1119" spans="1:9" s="27" customFormat="1" x14ac:dyDescent="0.2">
      <c r="A1119" s="32"/>
      <c r="B1119" s="30"/>
      <c r="C1119" s="31"/>
      <c r="D1119" s="31"/>
      <c r="E1119" s="31"/>
      <c r="F1119" s="32"/>
      <c r="G1119" s="32"/>
      <c r="H1119" s="32"/>
      <c r="I1119" s="32"/>
    </row>
    <row r="1120" spans="1:9" s="27" customFormat="1" x14ac:dyDescent="0.2">
      <c r="A1120" s="32"/>
      <c r="B1120" s="30"/>
      <c r="C1120" s="31"/>
      <c r="D1120" s="31"/>
      <c r="E1120" s="31"/>
      <c r="F1120" s="32"/>
      <c r="G1120" s="32"/>
      <c r="H1120" s="32"/>
      <c r="I1120" s="32"/>
    </row>
    <row r="1121" spans="1:9" s="27" customFormat="1" x14ac:dyDescent="0.2">
      <c r="A1121" s="32"/>
      <c r="B1121" s="30"/>
      <c r="C1121" s="31"/>
      <c r="D1121" s="31"/>
      <c r="E1121" s="31"/>
      <c r="F1121" s="32"/>
      <c r="G1121" s="32"/>
      <c r="H1121" s="32"/>
      <c r="I1121" s="32"/>
    </row>
    <row r="1122" spans="1:9" s="27" customFormat="1" x14ac:dyDescent="0.2">
      <c r="A1122" s="32"/>
      <c r="B1122" s="30"/>
      <c r="C1122" s="31"/>
      <c r="D1122" s="31"/>
      <c r="E1122" s="31"/>
      <c r="F1122" s="32"/>
      <c r="G1122" s="32"/>
      <c r="H1122" s="32"/>
      <c r="I1122" s="32"/>
    </row>
    <row r="1123" spans="1:9" s="27" customFormat="1" x14ac:dyDescent="0.2">
      <c r="A1123" s="32"/>
      <c r="B1123" s="30"/>
      <c r="C1123" s="31"/>
      <c r="D1123" s="31"/>
      <c r="E1123" s="31"/>
      <c r="F1123" s="32"/>
      <c r="G1123" s="32"/>
      <c r="H1123" s="32"/>
      <c r="I1123" s="32"/>
    </row>
    <row r="1124" spans="1:9" s="27" customFormat="1" x14ac:dyDescent="0.2">
      <c r="A1124" s="32"/>
      <c r="B1124" s="30"/>
      <c r="C1124" s="31"/>
      <c r="D1124" s="31"/>
      <c r="E1124" s="31"/>
      <c r="F1124" s="32"/>
      <c r="G1124" s="32"/>
      <c r="H1124" s="32"/>
      <c r="I1124" s="32"/>
    </row>
    <row r="1125" spans="1:9" s="27" customFormat="1" x14ac:dyDescent="0.2">
      <c r="A1125" s="32"/>
      <c r="B1125" s="30"/>
      <c r="C1125" s="31"/>
      <c r="D1125" s="31"/>
      <c r="E1125" s="31"/>
      <c r="F1125" s="32"/>
      <c r="G1125" s="32"/>
      <c r="H1125" s="32"/>
      <c r="I1125" s="32"/>
    </row>
    <row r="1126" spans="1:9" s="27" customFormat="1" x14ac:dyDescent="0.2">
      <c r="A1126" s="32"/>
      <c r="B1126" s="30"/>
      <c r="C1126" s="31"/>
      <c r="D1126" s="31"/>
      <c r="E1126" s="31"/>
      <c r="F1126" s="32"/>
      <c r="G1126" s="32"/>
      <c r="H1126" s="32"/>
      <c r="I1126" s="32"/>
    </row>
    <row r="1127" spans="1:9" s="27" customFormat="1" x14ac:dyDescent="0.2">
      <c r="A1127" s="32"/>
      <c r="B1127" s="30"/>
      <c r="C1127" s="31"/>
      <c r="D1127" s="31"/>
      <c r="E1127" s="31"/>
      <c r="F1127" s="32"/>
      <c r="G1127" s="32"/>
      <c r="H1127" s="32"/>
      <c r="I1127" s="32"/>
    </row>
    <row r="1128" spans="1:9" s="27" customFormat="1" x14ac:dyDescent="0.2">
      <c r="A1128" s="32"/>
      <c r="B1128" s="30"/>
      <c r="C1128" s="31"/>
      <c r="D1128" s="31"/>
      <c r="E1128" s="31"/>
      <c r="F1128" s="32"/>
      <c r="G1128" s="32"/>
      <c r="H1128" s="32"/>
      <c r="I1128" s="32"/>
    </row>
    <row r="1129" spans="1:9" s="27" customFormat="1" x14ac:dyDescent="0.2">
      <c r="A1129" s="32"/>
      <c r="B1129" s="30"/>
      <c r="C1129" s="31"/>
      <c r="D1129" s="31"/>
      <c r="E1129" s="31"/>
      <c r="F1129" s="32"/>
      <c r="G1129" s="32"/>
      <c r="H1129" s="32"/>
      <c r="I1129" s="32"/>
    </row>
    <row r="1130" spans="1:9" s="27" customFormat="1" x14ac:dyDescent="0.2">
      <c r="A1130" s="32"/>
      <c r="B1130" s="30"/>
      <c r="C1130" s="31"/>
      <c r="D1130" s="31"/>
      <c r="E1130" s="31"/>
      <c r="F1130" s="32"/>
      <c r="G1130" s="32"/>
      <c r="H1130" s="32"/>
      <c r="I1130" s="32"/>
    </row>
    <row r="1131" spans="1:9" s="27" customFormat="1" x14ac:dyDescent="0.2">
      <c r="A1131" s="32"/>
      <c r="B1131" s="30"/>
      <c r="C1131" s="31"/>
      <c r="D1131" s="31"/>
      <c r="E1131" s="31"/>
      <c r="F1131" s="32"/>
      <c r="G1131" s="32"/>
      <c r="H1131" s="32"/>
      <c r="I1131" s="32"/>
    </row>
    <row r="1132" spans="1:9" s="27" customFormat="1" x14ac:dyDescent="0.2">
      <c r="A1132" s="32"/>
      <c r="B1132" s="30"/>
      <c r="C1132" s="31"/>
      <c r="D1132" s="31"/>
      <c r="E1132" s="31"/>
      <c r="F1132" s="32"/>
      <c r="G1132" s="32"/>
      <c r="H1132" s="32"/>
      <c r="I1132" s="32"/>
    </row>
    <row r="1133" spans="1:9" s="27" customFormat="1" x14ac:dyDescent="0.2">
      <c r="A1133" s="32"/>
      <c r="B1133" s="30"/>
      <c r="C1133" s="31"/>
      <c r="D1133" s="31"/>
      <c r="E1133" s="31"/>
      <c r="F1133" s="32"/>
      <c r="G1133" s="32"/>
      <c r="H1133" s="32"/>
      <c r="I1133" s="32"/>
    </row>
    <row r="1134" spans="1:9" s="27" customFormat="1" x14ac:dyDescent="0.2">
      <c r="A1134" s="32"/>
      <c r="B1134" s="30"/>
      <c r="C1134" s="31"/>
      <c r="D1134" s="31"/>
      <c r="E1134" s="31"/>
      <c r="F1134" s="32"/>
      <c r="G1134" s="32"/>
      <c r="H1134" s="32"/>
      <c r="I1134" s="32"/>
    </row>
    <row r="1135" spans="1:9" s="27" customFormat="1" x14ac:dyDescent="0.2">
      <c r="A1135" s="32"/>
      <c r="B1135" s="30"/>
      <c r="C1135" s="31"/>
      <c r="D1135" s="31"/>
      <c r="E1135" s="31"/>
      <c r="F1135" s="32"/>
      <c r="G1135" s="32"/>
      <c r="H1135" s="32"/>
      <c r="I1135" s="32"/>
    </row>
    <row r="1136" spans="1:9" s="27" customFormat="1" x14ac:dyDescent="0.2">
      <c r="A1136" s="32"/>
      <c r="B1136" s="30"/>
      <c r="C1136" s="31"/>
      <c r="D1136" s="31"/>
      <c r="E1136" s="31"/>
      <c r="F1136" s="32"/>
      <c r="G1136" s="32"/>
      <c r="H1136" s="32"/>
      <c r="I1136" s="32"/>
    </row>
    <row r="1137" spans="1:9" s="27" customFormat="1" x14ac:dyDescent="0.2">
      <c r="A1137" s="32"/>
      <c r="B1137" s="30"/>
      <c r="C1137" s="31"/>
      <c r="D1137" s="31"/>
      <c r="E1137" s="31"/>
      <c r="F1137" s="32"/>
      <c r="G1137" s="32"/>
      <c r="H1137" s="32"/>
      <c r="I1137" s="32"/>
    </row>
    <row r="1138" spans="1:9" s="27" customFormat="1" x14ac:dyDescent="0.2">
      <c r="A1138" s="32"/>
      <c r="B1138" s="30"/>
      <c r="C1138" s="31"/>
      <c r="D1138" s="31"/>
      <c r="E1138" s="31"/>
      <c r="F1138" s="32"/>
      <c r="G1138" s="32"/>
      <c r="H1138" s="32"/>
      <c r="I1138" s="32"/>
    </row>
    <row r="1139" spans="1:9" s="27" customFormat="1" x14ac:dyDescent="0.2">
      <c r="A1139" s="32"/>
      <c r="B1139" s="30"/>
      <c r="C1139" s="31"/>
      <c r="D1139" s="31"/>
      <c r="E1139" s="31"/>
      <c r="F1139" s="32"/>
      <c r="G1139" s="32"/>
      <c r="H1139" s="32"/>
      <c r="I1139" s="32"/>
    </row>
    <row r="1140" spans="1:9" s="27" customFormat="1" x14ac:dyDescent="0.2">
      <c r="A1140" s="32"/>
      <c r="B1140" s="30"/>
      <c r="C1140" s="31"/>
      <c r="D1140" s="31"/>
      <c r="E1140" s="31"/>
      <c r="F1140" s="32"/>
      <c r="G1140" s="32"/>
      <c r="H1140" s="32"/>
      <c r="I1140" s="32"/>
    </row>
    <row r="1141" spans="1:9" s="27" customFormat="1" x14ac:dyDescent="0.2">
      <c r="A1141" s="32"/>
      <c r="B1141" s="30"/>
      <c r="C1141" s="31"/>
      <c r="D1141" s="31"/>
      <c r="E1141" s="31"/>
      <c r="F1141" s="32"/>
      <c r="G1141" s="32"/>
      <c r="H1141" s="32"/>
      <c r="I1141" s="32"/>
    </row>
    <row r="1142" spans="1:9" s="27" customFormat="1" x14ac:dyDescent="0.2">
      <c r="A1142" s="32"/>
      <c r="B1142" s="30"/>
      <c r="C1142" s="31"/>
      <c r="D1142" s="31"/>
      <c r="E1142" s="31"/>
      <c r="F1142" s="32"/>
      <c r="G1142" s="32"/>
      <c r="H1142" s="32"/>
      <c r="I1142" s="32"/>
    </row>
    <row r="1143" spans="1:9" s="27" customFormat="1" x14ac:dyDescent="0.2">
      <c r="A1143" s="32"/>
      <c r="B1143" s="30"/>
      <c r="C1143" s="31"/>
      <c r="D1143" s="31"/>
      <c r="E1143" s="31"/>
      <c r="F1143" s="32"/>
      <c r="G1143" s="32"/>
      <c r="H1143" s="32"/>
      <c r="I1143" s="32"/>
    </row>
    <row r="1144" spans="1:9" s="27" customFormat="1" x14ac:dyDescent="0.2">
      <c r="A1144" s="32"/>
      <c r="B1144" s="30"/>
      <c r="C1144" s="31"/>
      <c r="D1144" s="31"/>
      <c r="E1144" s="31"/>
      <c r="F1144" s="32"/>
      <c r="G1144" s="32"/>
      <c r="H1144" s="32"/>
      <c r="I1144" s="32"/>
    </row>
    <row r="1145" spans="1:9" s="27" customFormat="1" x14ac:dyDescent="0.2">
      <c r="A1145" s="32"/>
      <c r="B1145" s="30"/>
      <c r="C1145" s="31"/>
      <c r="D1145" s="31"/>
      <c r="E1145" s="31"/>
      <c r="F1145" s="32"/>
      <c r="G1145" s="32"/>
      <c r="H1145" s="32"/>
      <c r="I1145" s="32"/>
    </row>
    <row r="1146" spans="1:9" s="27" customFormat="1" x14ac:dyDescent="0.2">
      <c r="A1146" s="32"/>
      <c r="B1146" s="30"/>
      <c r="C1146" s="31"/>
      <c r="D1146" s="31"/>
      <c r="E1146" s="31"/>
      <c r="F1146" s="32"/>
      <c r="G1146" s="32"/>
      <c r="H1146" s="32"/>
      <c r="I1146" s="32"/>
    </row>
    <row r="1147" spans="1:9" s="27" customFormat="1" x14ac:dyDescent="0.2">
      <c r="A1147" s="32"/>
      <c r="B1147" s="30"/>
      <c r="C1147" s="31"/>
      <c r="D1147" s="31"/>
      <c r="E1147" s="31"/>
      <c r="F1147" s="32"/>
      <c r="G1147" s="32"/>
      <c r="H1147" s="32"/>
      <c r="I1147" s="32"/>
    </row>
    <row r="1148" spans="1:9" s="27" customFormat="1" x14ac:dyDescent="0.2">
      <c r="A1148" s="32"/>
      <c r="B1148" s="30"/>
      <c r="C1148" s="31"/>
      <c r="D1148" s="31"/>
      <c r="E1148" s="31"/>
      <c r="F1148" s="32"/>
      <c r="G1148" s="32"/>
      <c r="H1148" s="32"/>
      <c r="I1148" s="32"/>
    </row>
    <row r="1149" spans="1:9" s="27" customFormat="1" x14ac:dyDescent="0.2">
      <c r="A1149" s="32"/>
      <c r="B1149" s="30"/>
      <c r="C1149" s="31"/>
      <c r="D1149" s="31"/>
      <c r="E1149" s="31"/>
      <c r="F1149" s="32"/>
      <c r="G1149" s="32"/>
      <c r="H1149" s="32"/>
      <c r="I1149" s="32"/>
    </row>
    <row r="1150" spans="1:9" s="27" customFormat="1" x14ac:dyDescent="0.2">
      <c r="A1150" s="32"/>
      <c r="B1150" s="30"/>
      <c r="C1150" s="31"/>
      <c r="D1150" s="31"/>
      <c r="E1150" s="31"/>
      <c r="F1150" s="32"/>
      <c r="G1150" s="32"/>
      <c r="H1150" s="32"/>
      <c r="I1150" s="32"/>
    </row>
    <row r="1151" spans="1:9" s="27" customFormat="1" x14ac:dyDescent="0.2">
      <c r="A1151" s="32"/>
      <c r="B1151" s="30"/>
      <c r="C1151" s="31"/>
      <c r="D1151" s="31"/>
      <c r="E1151" s="31"/>
      <c r="F1151" s="32"/>
      <c r="G1151" s="32"/>
      <c r="H1151" s="32"/>
      <c r="I1151" s="32"/>
    </row>
    <row r="1152" spans="1:9" s="27" customFormat="1" x14ac:dyDescent="0.2">
      <c r="A1152" s="32"/>
      <c r="B1152" s="30"/>
      <c r="C1152" s="31"/>
      <c r="D1152" s="31"/>
      <c r="E1152" s="31"/>
      <c r="F1152" s="32"/>
      <c r="G1152" s="32"/>
      <c r="H1152" s="32"/>
      <c r="I1152" s="32"/>
    </row>
    <row r="1153" spans="1:9" s="27" customFormat="1" x14ac:dyDescent="0.2">
      <c r="A1153" s="32"/>
      <c r="B1153" s="30"/>
      <c r="C1153" s="31"/>
      <c r="D1153" s="31"/>
      <c r="E1153" s="31"/>
      <c r="F1153" s="32"/>
      <c r="G1153" s="32"/>
      <c r="H1153" s="32"/>
      <c r="I1153" s="32"/>
    </row>
    <row r="1154" spans="1:9" s="27" customFormat="1" x14ac:dyDescent="0.2">
      <c r="A1154" s="32"/>
      <c r="B1154" s="30"/>
      <c r="C1154" s="31"/>
      <c r="D1154" s="31"/>
      <c r="E1154" s="31"/>
      <c r="F1154" s="32"/>
      <c r="G1154" s="32"/>
      <c r="H1154" s="32"/>
      <c r="I1154" s="32"/>
    </row>
    <row r="1155" spans="1:9" s="27" customFormat="1" x14ac:dyDescent="0.2">
      <c r="A1155" s="32"/>
      <c r="B1155" s="30"/>
      <c r="C1155" s="31"/>
      <c r="D1155" s="31"/>
      <c r="E1155" s="31"/>
      <c r="F1155" s="32"/>
      <c r="G1155" s="32"/>
      <c r="H1155" s="32"/>
      <c r="I1155" s="32"/>
    </row>
    <row r="1156" spans="1:9" s="27" customFormat="1" x14ac:dyDescent="0.2">
      <c r="A1156" s="32"/>
      <c r="B1156" s="30"/>
      <c r="C1156" s="31"/>
      <c r="D1156" s="31"/>
      <c r="E1156" s="31"/>
      <c r="F1156" s="32"/>
      <c r="G1156" s="32"/>
      <c r="H1156" s="32"/>
      <c r="I1156" s="32"/>
    </row>
    <row r="1157" spans="1:9" s="27" customFormat="1" x14ac:dyDescent="0.2">
      <c r="A1157" s="32"/>
      <c r="B1157" s="30"/>
      <c r="C1157" s="31"/>
      <c r="D1157" s="31"/>
      <c r="E1157" s="31"/>
      <c r="F1157" s="32"/>
      <c r="G1157" s="32"/>
      <c r="H1157" s="32"/>
      <c r="I1157" s="32"/>
    </row>
    <row r="1158" spans="1:9" s="27" customFormat="1" x14ac:dyDescent="0.2">
      <c r="A1158" s="32"/>
      <c r="B1158" s="30"/>
      <c r="C1158" s="31"/>
      <c r="D1158" s="31"/>
      <c r="E1158" s="31"/>
      <c r="F1158" s="32"/>
      <c r="G1158" s="32"/>
      <c r="H1158" s="32"/>
      <c r="I1158" s="32"/>
    </row>
    <row r="1159" spans="1:9" s="27" customFormat="1" x14ac:dyDescent="0.2">
      <c r="A1159" s="32"/>
      <c r="B1159" s="30"/>
      <c r="C1159" s="31"/>
      <c r="D1159" s="31"/>
      <c r="E1159" s="31"/>
      <c r="F1159" s="32"/>
      <c r="G1159" s="32"/>
      <c r="H1159" s="32"/>
      <c r="I1159" s="32"/>
    </row>
    <row r="1160" spans="1:9" s="27" customFormat="1" x14ac:dyDescent="0.2">
      <c r="A1160" s="32"/>
      <c r="B1160" s="30"/>
      <c r="C1160" s="31"/>
      <c r="D1160" s="31"/>
      <c r="E1160" s="31"/>
      <c r="F1160" s="32"/>
      <c r="G1160" s="32"/>
      <c r="H1160" s="32"/>
      <c r="I1160" s="32"/>
    </row>
    <row r="1161" spans="1:9" s="27" customFormat="1" x14ac:dyDescent="0.2">
      <c r="A1161" s="32"/>
      <c r="B1161" s="30"/>
      <c r="C1161" s="31"/>
      <c r="D1161" s="31"/>
      <c r="E1161" s="31"/>
      <c r="F1161" s="32"/>
      <c r="G1161" s="32"/>
      <c r="H1161" s="32"/>
      <c r="I1161" s="32"/>
    </row>
    <row r="1162" spans="1:9" s="27" customFormat="1" x14ac:dyDescent="0.2">
      <c r="A1162" s="32"/>
      <c r="B1162" s="30"/>
      <c r="C1162" s="31"/>
      <c r="D1162" s="31"/>
      <c r="E1162" s="31"/>
      <c r="F1162" s="32"/>
      <c r="G1162" s="32"/>
      <c r="H1162" s="32"/>
      <c r="I1162" s="32"/>
    </row>
    <row r="1163" spans="1:9" s="27" customFormat="1" x14ac:dyDescent="0.2">
      <c r="A1163" s="32"/>
      <c r="B1163" s="30"/>
      <c r="C1163" s="31"/>
      <c r="D1163" s="31"/>
      <c r="E1163" s="31"/>
      <c r="F1163" s="32"/>
      <c r="G1163" s="32"/>
      <c r="H1163" s="32"/>
      <c r="I1163" s="32"/>
    </row>
    <row r="1164" spans="1:9" s="27" customFormat="1" x14ac:dyDescent="0.2">
      <c r="A1164" s="32"/>
      <c r="B1164" s="30"/>
      <c r="C1164" s="31"/>
      <c r="D1164" s="31"/>
      <c r="E1164" s="31"/>
      <c r="F1164" s="32"/>
      <c r="G1164" s="32"/>
      <c r="H1164" s="32"/>
      <c r="I1164" s="32"/>
    </row>
    <row r="1165" spans="1:9" s="27" customFormat="1" x14ac:dyDescent="0.2">
      <c r="A1165" s="32"/>
      <c r="B1165" s="30"/>
      <c r="C1165" s="31"/>
      <c r="D1165" s="31"/>
      <c r="E1165" s="31"/>
      <c r="F1165" s="32"/>
      <c r="G1165" s="32"/>
      <c r="H1165" s="32"/>
      <c r="I1165" s="32"/>
    </row>
    <row r="1166" spans="1:9" s="27" customFormat="1" x14ac:dyDescent="0.2">
      <c r="A1166" s="32"/>
      <c r="B1166" s="30"/>
      <c r="C1166" s="31"/>
      <c r="D1166" s="31"/>
      <c r="E1166" s="31"/>
      <c r="F1166" s="32"/>
      <c r="G1166" s="32"/>
      <c r="H1166" s="32"/>
      <c r="I1166" s="32"/>
    </row>
    <row r="1167" spans="1:9" s="27" customFormat="1" x14ac:dyDescent="0.2">
      <c r="A1167" s="32"/>
      <c r="B1167" s="30"/>
      <c r="C1167" s="31"/>
      <c r="D1167" s="31"/>
      <c r="E1167" s="31"/>
      <c r="F1167" s="32"/>
      <c r="G1167" s="32"/>
      <c r="H1167" s="32"/>
      <c r="I1167" s="32"/>
    </row>
    <row r="1168" spans="1:9" s="27" customFormat="1" x14ac:dyDescent="0.2">
      <c r="A1168" s="32"/>
      <c r="B1168" s="30"/>
      <c r="C1168" s="31"/>
      <c r="D1168" s="31"/>
      <c r="E1168" s="31"/>
      <c r="F1168" s="32"/>
      <c r="G1168" s="32"/>
      <c r="H1168" s="32"/>
      <c r="I1168" s="32"/>
    </row>
    <row r="1169" spans="1:9" s="27" customFormat="1" x14ac:dyDescent="0.2">
      <c r="A1169" s="32"/>
      <c r="B1169" s="30"/>
      <c r="C1169" s="31"/>
      <c r="D1169" s="31"/>
      <c r="E1169" s="31"/>
      <c r="F1169" s="32"/>
      <c r="G1169" s="32"/>
      <c r="H1169" s="32"/>
      <c r="I1169" s="32"/>
    </row>
    <row r="1170" spans="1:9" s="27" customFormat="1" x14ac:dyDescent="0.2">
      <c r="A1170" s="32"/>
      <c r="B1170" s="30"/>
      <c r="C1170" s="31"/>
      <c r="D1170" s="31"/>
      <c r="E1170" s="31"/>
      <c r="F1170" s="32"/>
      <c r="G1170" s="32"/>
      <c r="H1170" s="32"/>
      <c r="I1170" s="32"/>
    </row>
    <row r="1171" spans="1:9" s="27" customFormat="1" x14ac:dyDescent="0.2">
      <c r="A1171" s="32"/>
      <c r="B1171" s="30"/>
      <c r="C1171" s="31"/>
      <c r="D1171" s="31"/>
      <c r="E1171" s="31"/>
      <c r="F1171" s="32"/>
      <c r="G1171" s="32"/>
      <c r="H1171" s="32"/>
      <c r="I1171" s="32"/>
    </row>
    <row r="1172" spans="1:9" s="27" customFormat="1" x14ac:dyDescent="0.2">
      <c r="A1172" s="32"/>
      <c r="B1172" s="30"/>
      <c r="C1172" s="31"/>
      <c r="D1172" s="31"/>
      <c r="E1172" s="31"/>
      <c r="F1172" s="32"/>
      <c r="G1172" s="32"/>
      <c r="H1172" s="32"/>
      <c r="I1172" s="32"/>
    </row>
    <row r="1173" spans="1:9" s="27" customFormat="1" x14ac:dyDescent="0.2">
      <c r="A1173" s="32"/>
      <c r="B1173" s="30"/>
      <c r="C1173" s="31"/>
      <c r="D1173" s="31"/>
      <c r="E1173" s="31"/>
      <c r="F1173" s="32"/>
      <c r="G1173" s="32"/>
      <c r="H1173" s="32"/>
      <c r="I1173" s="32"/>
    </row>
    <row r="1174" spans="1:9" s="27" customFormat="1" x14ac:dyDescent="0.2">
      <c r="A1174" s="32"/>
      <c r="B1174" s="30"/>
      <c r="C1174" s="31"/>
      <c r="D1174" s="31"/>
      <c r="E1174" s="31"/>
      <c r="F1174" s="32"/>
      <c r="G1174" s="32"/>
      <c r="H1174" s="32"/>
      <c r="I1174" s="32"/>
    </row>
    <row r="1175" spans="1:9" s="27" customFormat="1" x14ac:dyDescent="0.2">
      <c r="A1175" s="32"/>
      <c r="B1175" s="30"/>
      <c r="C1175" s="31"/>
      <c r="D1175" s="31"/>
      <c r="E1175" s="31"/>
      <c r="F1175" s="32"/>
      <c r="G1175" s="32"/>
      <c r="H1175" s="32"/>
      <c r="I1175" s="32"/>
    </row>
    <row r="1176" spans="1:9" s="27" customFormat="1" x14ac:dyDescent="0.2">
      <c r="A1176" s="32"/>
      <c r="B1176" s="30"/>
      <c r="C1176" s="31"/>
      <c r="D1176" s="31"/>
      <c r="E1176" s="31"/>
      <c r="F1176" s="32"/>
      <c r="G1176" s="32"/>
      <c r="H1176" s="32"/>
      <c r="I1176" s="32"/>
    </row>
    <row r="1177" spans="1:9" s="27" customFormat="1" x14ac:dyDescent="0.2">
      <c r="A1177" s="32"/>
      <c r="B1177" s="30"/>
      <c r="C1177" s="31"/>
      <c r="D1177" s="31"/>
      <c r="E1177" s="31"/>
      <c r="F1177" s="32"/>
      <c r="G1177" s="32"/>
      <c r="H1177" s="32"/>
      <c r="I1177" s="32"/>
    </row>
    <row r="1178" spans="1:9" s="27" customFormat="1" x14ac:dyDescent="0.2">
      <c r="A1178" s="32"/>
      <c r="B1178" s="30"/>
      <c r="C1178" s="31"/>
      <c r="D1178" s="31"/>
      <c r="E1178" s="31"/>
      <c r="F1178" s="32"/>
      <c r="G1178" s="32"/>
      <c r="H1178" s="32"/>
      <c r="I1178" s="32"/>
    </row>
    <row r="1179" spans="1:9" s="27" customFormat="1" x14ac:dyDescent="0.2">
      <c r="A1179" s="32"/>
      <c r="B1179" s="30"/>
      <c r="C1179" s="31"/>
      <c r="D1179" s="31"/>
      <c r="E1179" s="31"/>
      <c r="F1179" s="32"/>
      <c r="G1179" s="32"/>
      <c r="H1179" s="32"/>
      <c r="I1179" s="32"/>
    </row>
    <row r="1180" spans="1:9" s="27" customFormat="1" x14ac:dyDescent="0.2">
      <c r="A1180" s="32"/>
      <c r="B1180" s="30"/>
      <c r="C1180" s="31"/>
      <c r="D1180" s="31"/>
      <c r="E1180" s="31"/>
      <c r="F1180" s="32"/>
      <c r="G1180" s="32"/>
      <c r="H1180" s="32"/>
      <c r="I1180" s="32"/>
    </row>
    <row r="1181" spans="1:9" s="27" customFormat="1" x14ac:dyDescent="0.2">
      <c r="A1181" s="32"/>
      <c r="B1181" s="30"/>
      <c r="C1181" s="31"/>
      <c r="D1181" s="31"/>
      <c r="E1181" s="31"/>
      <c r="F1181" s="32"/>
      <c r="G1181" s="32"/>
      <c r="H1181" s="32"/>
      <c r="I1181" s="32"/>
    </row>
    <row r="1182" spans="1:9" s="27" customFormat="1" x14ac:dyDescent="0.2">
      <c r="A1182" s="32"/>
      <c r="B1182" s="30"/>
      <c r="C1182" s="31"/>
      <c r="D1182" s="31"/>
      <c r="E1182" s="31"/>
      <c r="F1182" s="32"/>
      <c r="G1182" s="32"/>
      <c r="H1182" s="32"/>
      <c r="I1182" s="32"/>
    </row>
    <row r="1183" spans="1:9" s="27" customFormat="1" x14ac:dyDescent="0.2">
      <c r="A1183" s="32"/>
      <c r="B1183" s="30"/>
      <c r="C1183" s="31"/>
      <c r="D1183" s="31"/>
      <c r="E1183" s="31"/>
      <c r="F1183" s="32"/>
      <c r="G1183" s="32"/>
      <c r="H1183" s="32"/>
      <c r="I1183" s="32"/>
    </row>
    <row r="1184" spans="1:9" s="27" customFormat="1" x14ac:dyDescent="0.2">
      <c r="A1184" s="32"/>
      <c r="B1184" s="30"/>
      <c r="C1184" s="31"/>
      <c r="D1184" s="31"/>
      <c r="E1184" s="31"/>
      <c r="F1184" s="32"/>
      <c r="G1184" s="32"/>
      <c r="H1184" s="32"/>
      <c r="I1184" s="32"/>
    </row>
    <row r="1185" spans="1:9" s="27" customFormat="1" x14ac:dyDescent="0.2">
      <c r="A1185" s="32"/>
      <c r="B1185" s="30"/>
      <c r="C1185" s="31"/>
      <c r="D1185" s="31"/>
      <c r="E1185" s="31"/>
      <c r="F1185" s="32"/>
      <c r="G1185" s="32"/>
      <c r="H1185" s="32"/>
      <c r="I1185" s="32"/>
    </row>
    <row r="1186" spans="1:9" s="27" customFormat="1" x14ac:dyDescent="0.2">
      <c r="A1186" s="32"/>
      <c r="B1186" s="30"/>
      <c r="C1186" s="31"/>
      <c r="D1186" s="31"/>
      <c r="E1186" s="31"/>
      <c r="F1186" s="32"/>
      <c r="G1186" s="32"/>
      <c r="H1186" s="32"/>
      <c r="I1186" s="32"/>
    </row>
    <row r="1187" spans="1:9" s="27" customFormat="1" x14ac:dyDescent="0.2">
      <c r="A1187" s="32"/>
      <c r="B1187" s="30"/>
      <c r="C1187" s="31"/>
      <c r="D1187" s="31"/>
      <c r="E1187" s="31"/>
      <c r="F1187" s="32"/>
      <c r="G1187" s="32"/>
      <c r="H1187" s="32"/>
      <c r="I1187" s="32"/>
    </row>
    <row r="1188" spans="1:9" s="27" customFormat="1" x14ac:dyDescent="0.2">
      <c r="A1188" s="32"/>
      <c r="B1188" s="30"/>
      <c r="C1188" s="31"/>
      <c r="D1188" s="31"/>
      <c r="E1188" s="31"/>
      <c r="F1188" s="32"/>
      <c r="G1188" s="32"/>
      <c r="H1188" s="32"/>
      <c r="I1188" s="32"/>
    </row>
    <row r="1189" spans="1:9" s="27" customFormat="1" x14ac:dyDescent="0.2">
      <c r="A1189" s="32"/>
      <c r="B1189" s="30"/>
      <c r="C1189" s="31"/>
      <c r="D1189" s="31"/>
      <c r="E1189" s="31"/>
      <c r="F1189" s="32"/>
      <c r="G1189" s="32"/>
      <c r="H1189" s="32"/>
      <c r="I1189" s="32"/>
    </row>
    <row r="1190" spans="1:9" s="27" customFormat="1" x14ac:dyDescent="0.2">
      <c r="A1190" s="32"/>
      <c r="B1190" s="30"/>
      <c r="C1190" s="31"/>
      <c r="D1190" s="31"/>
      <c r="E1190" s="31"/>
      <c r="F1190" s="32"/>
      <c r="G1190" s="32"/>
      <c r="H1190" s="32"/>
      <c r="I1190" s="32"/>
    </row>
    <row r="1191" spans="1:9" s="27" customFormat="1" x14ac:dyDescent="0.2">
      <c r="A1191" s="32"/>
      <c r="B1191" s="30"/>
      <c r="C1191" s="31"/>
      <c r="D1191" s="31"/>
      <c r="E1191" s="31"/>
      <c r="F1191" s="32"/>
      <c r="G1191" s="32"/>
      <c r="H1191" s="32"/>
      <c r="I1191" s="32"/>
    </row>
    <row r="1192" spans="1:9" s="27" customFormat="1" x14ac:dyDescent="0.2">
      <c r="A1192" s="32"/>
      <c r="B1192" s="30"/>
      <c r="C1192" s="31"/>
      <c r="D1192" s="31"/>
      <c r="E1192" s="31"/>
      <c r="F1192" s="32"/>
      <c r="G1192" s="32"/>
      <c r="H1192" s="32"/>
      <c r="I1192" s="32"/>
    </row>
    <row r="1193" spans="1:9" s="27" customFormat="1" x14ac:dyDescent="0.2">
      <c r="A1193" s="32"/>
      <c r="B1193" s="30"/>
      <c r="C1193" s="31"/>
      <c r="D1193" s="31"/>
      <c r="E1193" s="31"/>
      <c r="F1193" s="32"/>
      <c r="G1193" s="32"/>
      <c r="H1193" s="32"/>
      <c r="I1193" s="32"/>
    </row>
    <row r="1194" spans="1:9" s="27" customFormat="1" x14ac:dyDescent="0.2">
      <c r="A1194" s="32"/>
      <c r="B1194" s="30"/>
      <c r="C1194" s="31"/>
      <c r="D1194" s="31"/>
      <c r="E1194" s="31"/>
      <c r="F1194" s="32"/>
      <c r="G1194" s="32"/>
      <c r="H1194" s="32"/>
      <c r="I1194" s="32"/>
    </row>
    <row r="1195" spans="1:9" s="27" customFormat="1" x14ac:dyDescent="0.2">
      <c r="A1195" s="32"/>
      <c r="B1195" s="30"/>
      <c r="C1195" s="31"/>
      <c r="D1195" s="31"/>
      <c r="E1195" s="31"/>
      <c r="F1195" s="32"/>
      <c r="G1195" s="32"/>
      <c r="H1195" s="32"/>
      <c r="I1195" s="32"/>
    </row>
    <row r="1196" spans="1:9" s="27" customFormat="1" x14ac:dyDescent="0.2">
      <c r="A1196" s="32"/>
      <c r="B1196" s="30"/>
      <c r="C1196" s="31"/>
      <c r="D1196" s="31"/>
      <c r="E1196" s="31"/>
      <c r="F1196" s="32"/>
      <c r="G1196" s="32"/>
      <c r="H1196" s="32"/>
      <c r="I1196" s="32"/>
    </row>
    <row r="1197" spans="1:9" s="27" customFormat="1" x14ac:dyDescent="0.2">
      <c r="A1197" s="32"/>
      <c r="B1197" s="30"/>
      <c r="C1197" s="31"/>
      <c r="D1197" s="31"/>
      <c r="E1197" s="31"/>
      <c r="F1197" s="32"/>
      <c r="G1197" s="32"/>
      <c r="H1197" s="32"/>
      <c r="I1197" s="32"/>
    </row>
    <row r="1198" spans="1:9" s="27" customFormat="1" x14ac:dyDescent="0.2">
      <c r="A1198" s="32"/>
      <c r="B1198" s="30"/>
      <c r="C1198" s="31"/>
      <c r="D1198" s="31"/>
      <c r="E1198" s="31"/>
      <c r="F1198" s="32"/>
      <c r="G1198" s="32"/>
      <c r="H1198" s="32"/>
      <c r="I1198" s="32"/>
    </row>
    <row r="1199" spans="1:9" s="27" customFormat="1" x14ac:dyDescent="0.2">
      <c r="A1199" s="32"/>
      <c r="B1199" s="30"/>
      <c r="C1199" s="31"/>
      <c r="D1199" s="31"/>
      <c r="E1199" s="31"/>
      <c r="F1199" s="32"/>
      <c r="G1199" s="32"/>
      <c r="H1199" s="32"/>
      <c r="I1199" s="32"/>
    </row>
    <row r="1200" spans="1:9" s="27" customFormat="1" x14ac:dyDescent="0.2">
      <c r="A1200" s="32"/>
      <c r="B1200" s="30"/>
      <c r="C1200" s="31"/>
      <c r="D1200" s="31"/>
      <c r="E1200" s="31"/>
      <c r="F1200" s="32"/>
      <c r="G1200" s="32"/>
      <c r="H1200" s="32"/>
      <c r="I1200" s="32"/>
    </row>
    <row r="1201" spans="1:9" s="27" customFormat="1" x14ac:dyDescent="0.2">
      <c r="A1201" s="32"/>
      <c r="B1201" s="30"/>
      <c r="C1201" s="31"/>
      <c r="D1201" s="31"/>
      <c r="E1201" s="31"/>
      <c r="F1201" s="32"/>
      <c r="G1201" s="32"/>
      <c r="H1201" s="32"/>
      <c r="I1201" s="32"/>
    </row>
    <row r="1202" spans="1:9" s="27" customFormat="1" x14ac:dyDescent="0.2">
      <c r="A1202" s="32"/>
      <c r="B1202" s="30"/>
      <c r="C1202" s="31"/>
      <c r="D1202" s="31"/>
      <c r="E1202" s="31"/>
      <c r="F1202" s="32"/>
      <c r="G1202" s="32"/>
      <c r="H1202" s="32"/>
      <c r="I1202" s="32"/>
    </row>
    <row r="1203" spans="1:9" s="27" customFormat="1" x14ac:dyDescent="0.2">
      <c r="A1203" s="32"/>
      <c r="B1203" s="30"/>
      <c r="C1203" s="31"/>
      <c r="D1203" s="31"/>
      <c r="E1203" s="31"/>
      <c r="F1203" s="32"/>
      <c r="G1203" s="32"/>
      <c r="H1203" s="32"/>
      <c r="I1203" s="32"/>
    </row>
    <row r="1204" spans="1:9" s="27" customFormat="1" x14ac:dyDescent="0.2">
      <c r="A1204" s="32"/>
      <c r="B1204" s="30"/>
      <c r="C1204" s="31"/>
      <c r="D1204" s="31"/>
      <c r="E1204" s="31"/>
      <c r="F1204" s="32"/>
      <c r="G1204" s="32"/>
      <c r="H1204" s="32"/>
      <c r="I1204" s="32"/>
    </row>
    <row r="1205" spans="1:9" s="27" customFormat="1" x14ac:dyDescent="0.2">
      <c r="A1205" s="32"/>
      <c r="B1205" s="30"/>
      <c r="C1205" s="31"/>
      <c r="D1205" s="31"/>
      <c r="E1205" s="31"/>
      <c r="F1205" s="32"/>
      <c r="G1205" s="32"/>
      <c r="H1205" s="32"/>
      <c r="I1205" s="32"/>
    </row>
    <row r="1206" spans="1:9" s="27" customFormat="1" x14ac:dyDescent="0.2">
      <c r="A1206" s="32"/>
      <c r="B1206" s="30"/>
      <c r="C1206" s="31"/>
      <c r="D1206" s="31"/>
      <c r="E1206" s="31"/>
      <c r="F1206" s="32"/>
      <c r="G1206" s="32"/>
      <c r="H1206" s="32"/>
      <c r="I1206" s="32"/>
    </row>
    <row r="1207" spans="1:9" s="27" customFormat="1" x14ac:dyDescent="0.2">
      <c r="A1207" s="32"/>
      <c r="B1207" s="30"/>
      <c r="C1207" s="31"/>
      <c r="D1207" s="31"/>
      <c r="E1207" s="31"/>
      <c r="F1207" s="32"/>
      <c r="G1207" s="32"/>
      <c r="H1207" s="32"/>
      <c r="I1207" s="32"/>
    </row>
    <row r="1208" spans="1:9" s="27" customFormat="1" x14ac:dyDescent="0.2">
      <c r="A1208" s="32"/>
      <c r="B1208" s="30"/>
      <c r="C1208" s="31"/>
      <c r="D1208" s="31"/>
      <c r="E1208" s="31"/>
      <c r="F1208" s="32"/>
      <c r="G1208" s="32"/>
      <c r="H1208" s="32"/>
      <c r="I1208" s="32"/>
    </row>
    <row r="1209" spans="1:9" s="27" customFormat="1" x14ac:dyDescent="0.2">
      <c r="A1209" s="32"/>
      <c r="B1209" s="30"/>
      <c r="C1209" s="31"/>
      <c r="D1209" s="31"/>
      <c r="E1209" s="31"/>
      <c r="F1209" s="32"/>
      <c r="G1209" s="32"/>
      <c r="H1209" s="32"/>
      <c r="I1209" s="32"/>
    </row>
    <row r="1210" spans="1:9" s="27" customFormat="1" x14ac:dyDescent="0.2">
      <c r="A1210" s="32"/>
      <c r="B1210" s="30"/>
      <c r="C1210" s="31"/>
      <c r="D1210" s="31"/>
      <c r="E1210" s="31"/>
      <c r="F1210" s="32"/>
      <c r="G1210" s="32"/>
      <c r="H1210" s="32"/>
      <c r="I1210" s="32"/>
    </row>
    <row r="1211" spans="1:9" s="27" customFormat="1" x14ac:dyDescent="0.2">
      <c r="A1211" s="32"/>
      <c r="B1211" s="30"/>
      <c r="C1211" s="31"/>
      <c r="D1211" s="31"/>
      <c r="E1211" s="31"/>
      <c r="F1211" s="32"/>
      <c r="G1211" s="32"/>
      <c r="H1211" s="32"/>
      <c r="I1211" s="32"/>
    </row>
    <row r="1212" spans="1:9" s="27" customFormat="1" x14ac:dyDescent="0.2">
      <c r="A1212" s="32"/>
      <c r="B1212" s="30"/>
      <c r="C1212" s="31"/>
      <c r="D1212" s="31"/>
      <c r="E1212" s="31"/>
      <c r="F1212" s="32"/>
      <c r="G1212" s="32"/>
      <c r="H1212" s="32"/>
      <c r="I1212" s="32"/>
    </row>
    <row r="1213" spans="1:9" s="27" customFormat="1" x14ac:dyDescent="0.2">
      <c r="A1213" s="32"/>
      <c r="B1213" s="30"/>
      <c r="C1213" s="31"/>
      <c r="D1213" s="31"/>
      <c r="E1213" s="31"/>
      <c r="F1213" s="32"/>
      <c r="G1213" s="32"/>
      <c r="H1213" s="32"/>
      <c r="I1213" s="32"/>
    </row>
    <row r="1214" spans="1:9" s="27" customFormat="1" x14ac:dyDescent="0.2">
      <c r="A1214" s="32"/>
      <c r="B1214" s="30"/>
      <c r="C1214" s="31"/>
      <c r="D1214" s="31"/>
      <c r="E1214" s="31"/>
      <c r="F1214" s="32"/>
      <c r="G1214" s="32"/>
      <c r="H1214" s="32"/>
      <c r="I1214" s="32"/>
    </row>
    <row r="1215" spans="1:9" s="27" customFormat="1" x14ac:dyDescent="0.2">
      <c r="A1215" s="32"/>
      <c r="B1215" s="30"/>
      <c r="C1215" s="31"/>
      <c r="D1215" s="31"/>
      <c r="E1215" s="31"/>
      <c r="F1215" s="32"/>
      <c r="G1215" s="32"/>
      <c r="H1215" s="32"/>
      <c r="I1215" s="32"/>
    </row>
    <row r="1216" spans="1:9" s="27" customFormat="1" x14ac:dyDescent="0.2">
      <c r="A1216" s="32"/>
      <c r="B1216" s="30"/>
      <c r="C1216" s="31"/>
      <c r="D1216" s="31"/>
      <c r="E1216" s="31"/>
      <c r="F1216" s="32"/>
      <c r="G1216" s="32"/>
      <c r="H1216" s="32"/>
      <c r="I1216" s="32"/>
    </row>
    <row r="1217" spans="1:9" s="27" customFormat="1" x14ac:dyDescent="0.2">
      <c r="A1217" s="32"/>
      <c r="B1217" s="30"/>
      <c r="C1217" s="31"/>
      <c r="D1217" s="31"/>
      <c r="E1217" s="31"/>
      <c r="F1217" s="32"/>
      <c r="G1217" s="32"/>
      <c r="H1217" s="32"/>
      <c r="I1217" s="32"/>
    </row>
    <row r="1218" spans="1:9" s="27" customFormat="1" x14ac:dyDescent="0.2">
      <c r="A1218" s="32"/>
      <c r="B1218" s="30"/>
      <c r="C1218" s="31"/>
      <c r="D1218" s="31"/>
      <c r="E1218" s="31"/>
      <c r="F1218" s="32"/>
      <c r="G1218" s="32"/>
      <c r="H1218" s="32"/>
      <c r="I1218" s="32"/>
    </row>
    <row r="1219" spans="1:9" s="27" customFormat="1" x14ac:dyDescent="0.2">
      <c r="A1219" s="32"/>
      <c r="B1219" s="30"/>
      <c r="C1219" s="31"/>
      <c r="D1219" s="31"/>
      <c r="E1219" s="31"/>
      <c r="F1219" s="32"/>
      <c r="G1219" s="32"/>
      <c r="H1219" s="32"/>
      <c r="I1219" s="32"/>
    </row>
    <row r="1220" spans="1:9" s="27" customFormat="1" x14ac:dyDescent="0.2">
      <c r="A1220" s="32"/>
      <c r="B1220" s="30"/>
      <c r="C1220" s="31"/>
      <c r="D1220" s="31"/>
      <c r="E1220" s="31"/>
      <c r="F1220" s="32"/>
      <c r="G1220" s="32"/>
      <c r="H1220" s="32"/>
      <c r="I1220" s="32"/>
    </row>
    <row r="1221" spans="1:9" s="27" customFormat="1" x14ac:dyDescent="0.2">
      <c r="A1221" s="32"/>
      <c r="B1221" s="30"/>
      <c r="C1221" s="31"/>
      <c r="D1221" s="31"/>
      <c r="E1221" s="31"/>
      <c r="F1221" s="32"/>
      <c r="G1221" s="32"/>
      <c r="H1221" s="32"/>
      <c r="I1221" s="32"/>
    </row>
    <row r="1222" spans="1:9" s="27" customFormat="1" x14ac:dyDescent="0.2">
      <c r="A1222" s="32"/>
      <c r="B1222" s="30"/>
      <c r="C1222" s="31"/>
      <c r="D1222" s="31"/>
      <c r="E1222" s="31"/>
      <c r="F1222" s="32"/>
      <c r="G1222" s="32"/>
      <c r="H1222" s="32"/>
      <c r="I1222" s="32"/>
    </row>
    <row r="1223" spans="1:9" s="27" customFormat="1" x14ac:dyDescent="0.2">
      <c r="A1223" s="32"/>
      <c r="B1223" s="30"/>
      <c r="C1223" s="31"/>
      <c r="D1223" s="31"/>
      <c r="E1223" s="31"/>
      <c r="F1223" s="32"/>
      <c r="G1223" s="32"/>
      <c r="H1223" s="32"/>
      <c r="I1223" s="32"/>
    </row>
    <row r="1224" spans="1:9" s="27" customFormat="1" x14ac:dyDescent="0.2">
      <c r="A1224" s="32"/>
      <c r="B1224" s="30"/>
      <c r="C1224" s="31"/>
      <c r="D1224" s="31"/>
      <c r="E1224" s="31"/>
      <c r="F1224" s="32"/>
      <c r="G1224" s="32"/>
      <c r="H1224" s="32"/>
      <c r="I1224" s="32"/>
    </row>
    <row r="1225" spans="1:9" s="27" customFormat="1" x14ac:dyDescent="0.2">
      <c r="A1225" s="32"/>
      <c r="B1225" s="30"/>
      <c r="C1225" s="31"/>
      <c r="D1225" s="31"/>
      <c r="E1225" s="31"/>
      <c r="F1225" s="32"/>
      <c r="G1225" s="32"/>
      <c r="H1225" s="32"/>
      <c r="I1225" s="32"/>
    </row>
    <row r="1226" spans="1:9" s="27" customFormat="1" x14ac:dyDescent="0.2">
      <c r="A1226" s="32"/>
      <c r="B1226" s="30"/>
      <c r="C1226" s="31"/>
      <c r="D1226" s="31"/>
      <c r="E1226" s="31"/>
      <c r="F1226" s="32"/>
      <c r="G1226" s="32"/>
      <c r="H1226" s="32"/>
      <c r="I1226" s="32"/>
    </row>
    <row r="1227" spans="1:9" s="27" customFormat="1" x14ac:dyDescent="0.2">
      <c r="A1227" s="32"/>
      <c r="B1227" s="30"/>
      <c r="C1227" s="31"/>
      <c r="D1227" s="31"/>
      <c r="E1227" s="31"/>
      <c r="F1227" s="32"/>
      <c r="G1227" s="32"/>
      <c r="H1227" s="32"/>
      <c r="I1227" s="32"/>
    </row>
    <row r="1228" spans="1:9" s="27" customFormat="1" x14ac:dyDescent="0.2">
      <c r="A1228" s="32"/>
      <c r="B1228" s="30"/>
      <c r="C1228" s="31"/>
      <c r="D1228" s="31"/>
      <c r="E1228" s="31"/>
      <c r="F1228" s="32"/>
      <c r="G1228" s="32"/>
      <c r="H1228" s="32"/>
      <c r="I1228" s="32"/>
    </row>
    <row r="1229" spans="1:9" s="27" customFormat="1" x14ac:dyDescent="0.2">
      <c r="A1229" s="32"/>
      <c r="B1229" s="30"/>
      <c r="C1229" s="31"/>
      <c r="D1229" s="31"/>
      <c r="E1229" s="31"/>
      <c r="F1229" s="32"/>
      <c r="G1229" s="32"/>
      <c r="H1229" s="32"/>
      <c r="I1229" s="32"/>
    </row>
    <row r="1230" spans="1:9" s="27" customFormat="1" x14ac:dyDescent="0.2">
      <c r="A1230" s="32"/>
      <c r="B1230" s="30"/>
      <c r="C1230" s="31"/>
      <c r="D1230" s="31"/>
      <c r="E1230" s="31"/>
      <c r="F1230" s="32"/>
      <c r="G1230" s="32"/>
      <c r="H1230" s="32"/>
      <c r="I1230" s="32"/>
    </row>
    <row r="1231" spans="1:9" s="27" customFormat="1" x14ac:dyDescent="0.2">
      <c r="A1231" s="32"/>
      <c r="B1231" s="30"/>
      <c r="C1231" s="31"/>
      <c r="D1231" s="31"/>
      <c r="E1231" s="31"/>
      <c r="F1231" s="32"/>
      <c r="G1231" s="32"/>
      <c r="H1231" s="32"/>
      <c r="I1231" s="32"/>
    </row>
    <row r="1232" spans="1:9" s="27" customFormat="1" x14ac:dyDescent="0.2">
      <c r="A1232" s="32"/>
      <c r="B1232" s="30"/>
      <c r="C1232" s="31"/>
      <c r="D1232" s="31"/>
      <c r="E1232" s="31"/>
      <c r="F1232" s="32"/>
      <c r="G1232" s="32"/>
      <c r="H1232" s="32"/>
      <c r="I1232" s="32"/>
    </row>
    <row r="1233" spans="1:9" s="27" customFormat="1" x14ac:dyDescent="0.2">
      <c r="A1233" s="32"/>
      <c r="B1233" s="30"/>
      <c r="C1233" s="31"/>
      <c r="D1233" s="31"/>
      <c r="E1233" s="31"/>
      <c r="F1233" s="32"/>
      <c r="G1233" s="32"/>
      <c r="H1233" s="32"/>
      <c r="I1233" s="32"/>
    </row>
    <row r="1234" spans="1:9" s="27" customFormat="1" x14ac:dyDescent="0.2">
      <c r="A1234" s="32"/>
      <c r="B1234" s="30"/>
      <c r="C1234" s="31"/>
      <c r="D1234" s="31"/>
      <c r="E1234" s="31"/>
      <c r="F1234" s="32"/>
      <c r="G1234" s="32"/>
      <c r="H1234" s="32"/>
      <c r="I1234" s="32"/>
    </row>
    <row r="1235" spans="1:9" s="27" customFormat="1" x14ac:dyDescent="0.2">
      <c r="A1235" s="32"/>
      <c r="B1235" s="30"/>
      <c r="C1235" s="31"/>
      <c r="D1235" s="31"/>
      <c r="E1235" s="31"/>
      <c r="F1235" s="32"/>
      <c r="G1235" s="32"/>
      <c r="H1235" s="32"/>
      <c r="I1235" s="32"/>
    </row>
    <row r="1236" spans="1:9" s="27" customFormat="1" x14ac:dyDescent="0.2">
      <c r="A1236" s="32"/>
      <c r="B1236" s="30"/>
      <c r="C1236" s="31"/>
      <c r="D1236" s="31"/>
      <c r="E1236" s="31"/>
      <c r="F1236" s="32"/>
      <c r="G1236" s="32"/>
      <c r="H1236" s="32"/>
      <c r="I1236" s="32"/>
    </row>
    <row r="1237" spans="1:9" s="27" customFormat="1" x14ac:dyDescent="0.2">
      <c r="A1237" s="32"/>
      <c r="B1237" s="30"/>
      <c r="C1237" s="31"/>
      <c r="D1237" s="31"/>
      <c r="E1237" s="31"/>
      <c r="F1237" s="32"/>
      <c r="G1237" s="32"/>
      <c r="H1237" s="32"/>
      <c r="I1237" s="32"/>
    </row>
    <row r="1238" spans="1:9" s="27" customFormat="1" x14ac:dyDescent="0.2">
      <c r="A1238" s="32"/>
      <c r="B1238" s="30"/>
      <c r="C1238" s="31"/>
      <c r="D1238" s="31"/>
      <c r="E1238" s="31"/>
      <c r="F1238" s="32"/>
      <c r="G1238" s="32"/>
      <c r="H1238" s="32"/>
      <c r="I1238" s="32"/>
    </row>
    <row r="1239" spans="1:9" s="27" customFormat="1" x14ac:dyDescent="0.2">
      <c r="A1239" s="32"/>
      <c r="B1239" s="30"/>
      <c r="C1239" s="31"/>
      <c r="D1239" s="31"/>
      <c r="E1239" s="31"/>
      <c r="F1239" s="32"/>
      <c r="G1239" s="32"/>
      <c r="H1239" s="32"/>
      <c r="I1239" s="32"/>
    </row>
    <row r="1240" spans="1:9" s="27" customFormat="1" x14ac:dyDescent="0.2">
      <c r="A1240" s="32"/>
      <c r="B1240" s="30"/>
      <c r="C1240" s="31"/>
      <c r="D1240" s="31"/>
      <c r="E1240" s="31"/>
      <c r="F1240" s="32"/>
      <c r="G1240" s="32"/>
      <c r="H1240" s="32"/>
      <c r="I1240" s="32"/>
    </row>
    <row r="1241" spans="1:9" s="27" customFormat="1" x14ac:dyDescent="0.2">
      <c r="A1241" s="32"/>
      <c r="B1241" s="30"/>
      <c r="C1241" s="31"/>
      <c r="D1241" s="31"/>
      <c r="E1241" s="31"/>
      <c r="F1241" s="32"/>
      <c r="G1241" s="32"/>
      <c r="H1241" s="32"/>
      <c r="I1241" s="32"/>
    </row>
    <row r="1242" spans="1:9" s="27" customFormat="1" x14ac:dyDescent="0.2">
      <c r="A1242" s="32"/>
      <c r="B1242" s="30"/>
      <c r="C1242" s="31"/>
      <c r="D1242" s="31"/>
      <c r="E1242" s="31"/>
      <c r="F1242" s="32"/>
      <c r="G1242" s="32"/>
      <c r="H1242" s="32"/>
      <c r="I1242" s="32"/>
    </row>
    <row r="1243" spans="1:9" s="27" customFormat="1" x14ac:dyDescent="0.2">
      <c r="A1243" s="32"/>
      <c r="B1243" s="30"/>
      <c r="C1243" s="31"/>
      <c r="D1243" s="31"/>
      <c r="E1243" s="31"/>
      <c r="F1243" s="32"/>
      <c r="G1243" s="32"/>
      <c r="H1243" s="32"/>
      <c r="I1243" s="32"/>
    </row>
    <row r="1244" spans="1:9" s="27" customFormat="1" x14ac:dyDescent="0.2">
      <c r="A1244" s="32"/>
      <c r="B1244" s="30"/>
      <c r="C1244" s="31"/>
      <c r="D1244" s="31"/>
      <c r="E1244" s="31"/>
      <c r="F1244" s="32"/>
      <c r="G1244" s="32"/>
      <c r="H1244" s="32"/>
      <c r="I1244" s="32"/>
    </row>
    <row r="1245" spans="1:9" s="27" customFormat="1" x14ac:dyDescent="0.2">
      <c r="A1245" s="32"/>
      <c r="B1245" s="30"/>
      <c r="C1245" s="31"/>
      <c r="D1245" s="31"/>
      <c r="E1245" s="31"/>
      <c r="F1245" s="32"/>
      <c r="G1245" s="32"/>
      <c r="H1245" s="32"/>
      <c r="I1245" s="32"/>
    </row>
    <row r="1246" spans="1:9" s="27" customFormat="1" x14ac:dyDescent="0.2">
      <c r="A1246" s="32"/>
      <c r="B1246" s="30"/>
      <c r="C1246" s="31"/>
      <c r="D1246" s="31"/>
      <c r="E1246" s="31"/>
      <c r="F1246" s="32"/>
      <c r="G1246" s="32"/>
      <c r="H1246" s="32"/>
      <c r="I1246" s="32"/>
    </row>
    <row r="1247" spans="1:9" s="27" customFormat="1" x14ac:dyDescent="0.2">
      <c r="A1247" s="32"/>
      <c r="B1247" s="30"/>
      <c r="C1247" s="31"/>
      <c r="D1247" s="31"/>
      <c r="E1247" s="31"/>
      <c r="F1247" s="32"/>
      <c r="G1247" s="32"/>
      <c r="H1247" s="32"/>
      <c r="I1247" s="32"/>
    </row>
    <row r="1248" spans="1:9" s="27" customFormat="1" x14ac:dyDescent="0.2">
      <c r="A1248" s="32"/>
      <c r="B1248" s="30"/>
      <c r="C1248" s="31"/>
      <c r="D1248" s="31"/>
      <c r="E1248" s="31"/>
      <c r="F1248" s="32"/>
      <c r="G1248" s="32"/>
      <c r="H1248" s="32"/>
      <c r="I1248" s="32"/>
    </row>
    <row r="1249" spans="1:9" s="27" customFormat="1" x14ac:dyDescent="0.2">
      <c r="A1249" s="32"/>
      <c r="B1249" s="30"/>
      <c r="C1249" s="31"/>
      <c r="D1249" s="31"/>
      <c r="E1249" s="31"/>
      <c r="F1249" s="32"/>
      <c r="G1249" s="32"/>
      <c r="H1249" s="32"/>
      <c r="I1249" s="32"/>
    </row>
    <row r="1250" spans="1:9" s="27" customFormat="1" x14ac:dyDescent="0.2">
      <c r="A1250" s="32"/>
      <c r="B1250" s="30"/>
      <c r="C1250" s="31"/>
      <c r="D1250" s="31"/>
      <c r="E1250" s="31"/>
      <c r="F1250" s="32"/>
      <c r="G1250" s="32"/>
      <c r="H1250" s="32"/>
      <c r="I1250" s="32"/>
    </row>
    <row r="1251" spans="1:9" s="27" customFormat="1" x14ac:dyDescent="0.2">
      <c r="A1251" s="32"/>
      <c r="B1251" s="30"/>
      <c r="C1251" s="31"/>
      <c r="D1251" s="31"/>
      <c r="E1251" s="31"/>
      <c r="F1251" s="32"/>
      <c r="G1251" s="32"/>
      <c r="H1251" s="32"/>
      <c r="I1251" s="32"/>
    </row>
    <row r="1252" spans="1:9" s="27" customFormat="1" x14ac:dyDescent="0.2">
      <c r="A1252" s="32"/>
      <c r="B1252" s="30"/>
      <c r="C1252" s="31"/>
      <c r="D1252" s="31"/>
      <c r="E1252" s="31"/>
      <c r="F1252" s="32"/>
      <c r="G1252" s="32"/>
      <c r="H1252" s="32"/>
      <c r="I1252" s="32"/>
    </row>
    <row r="1253" spans="1:9" s="27" customFormat="1" x14ac:dyDescent="0.2">
      <c r="A1253" s="32"/>
      <c r="B1253" s="30"/>
      <c r="C1253" s="31"/>
      <c r="D1253" s="31"/>
      <c r="E1253" s="31"/>
      <c r="F1253" s="32"/>
      <c r="G1253" s="32"/>
      <c r="H1253" s="32"/>
      <c r="I1253" s="32"/>
    </row>
    <row r="1254" spans="1:9" s="27" customFormat="1" x14ac:dyDescent="0.2">
      <c r="A1254" s="32"/>
      <c r="B1254" s="30"/>
      <c r="C1254" s="31"/>
      <c r="D1254" s="31"/>
      <c r="E1254" s="31"/>
      <c r="F1254" s="32"/>
      <c r="G1254" s="32"/>
      <c r="H1254" s="32"/>
      <c r="I1254" s="32"/>
    </row>
    <row r="1255" spans="1:9" s="27" customFormat="1" x14ac:dyDescent="0.2">
      <c r="A1255" s="32"/>
      <c r="B1255" s="30"/>
      <c r="C1255" s="31"/>
      <c r="D1255" s="31"/>
      <c r="E1255" s="31"/>
      <c r="F1255" s="32"/>
      <c r="G1255" s="32"/>
      <c r="H1255" s="32"/>
      <c r="I1255" s="32"/>
    </row>
    <row r="1256" spans="1:9" s="27" customFormat="1" x14ac:dyDescent="0.2">
      <c r="A1256" s="32"/>
      <c r="B1256" s="30"/>
      <c r="C1256" s="31"/>
      <c r="D1256" s="31"/>
      <c r="E1256" s="31"/>
      <c r="F1256" s="32"/>
      <c r="G1256" s="32"/>
      <c r="H1256" s="32"/>
      <c r="I1256" s="32"/>
    </row>
    <row r="1257" spans="1:9" s="27" customFormat="1" x14ac:dyDescent="0.2">
      <c r="A1257" s="32"/>
      <c r="B1257" s="30"/>
      <c r="C1257" s="31"/>
      <c r="D1257" s="31"/>
      <c r="E1257" s="31"/>
      <c r="F1257" s="32"/>
      <c r="G1257" s="32"/>
      <c r="H1257" s="32"/>
      <c r="I1257" s="32"/>
    </row>
    <row r="1258" spans="1:9" s="27" customFormat="1" x14ac:dyDescent="0.2">
      <c r="A1258" s="32"/>
      <c r="B1258" s="30"/>
      <c r="C1258" s="31"/>
      <c r="D1258" s="31"/>
      <c r="E1258" s="31"/>
      <c r="F1258" s="32"/>
      <c r="G1258" s="32"/>
      <c r="H1258" s="32"/>
      <c r="I1258" s="32"/>
    </row>
    <row r="1259" spans="1:9" s="27" customFormat="1" x14ac:dyDescent="0.2">
      <c r="A1259" s="32"/>
      <c r="B1259" s="30"/>
      <c r="C1259" s="31"/>
      <c r="D1259" s="31"/>
      <c r="E1259" s="31"/>
      <c r="F1259" s="32"/>
      <c r="G1259" s="32"/>
      <c r="H1259" s="32"/>
      <c r="I1259" s="32"/>
    </row>
    <row r="1260" spans="1:9" s="27" customFormat="1" x14ac:dyDescent="0.2">
      <c r="A1260" s="32"/>
      <c r="B1260" s="30"/>
      <c r="C1260" s="31"/>
      <c r="D1260" s="31"/>
      <c r="E1260" s="31"/>
      <c r="F1260" s="32"/>
      <c r="G1260" s="32"/>
      <c r="H1260" s="32"/>
      <c r="I1260" s="32"/>
    </row>
    <row r="1261" spans="1:9" s="27" customFormat="1" x14ac:dyDescent="0.2">
      <c r="A1261" s="32"/>
      <c r="B1261" s="30"/>
      <c r="C1261" s="31"/>
      <c r="D1261" s="31"/>
      <c r="E1261" s="31"/>
      <c r="F1261" s="32"/>
      <c r="G1261" s="32"/>
      <c r="H1261" s="32"/>
      <c r="I1261" s="32"/>
    </row>
    <row r="1262" spans="1:9" s="27" customFormat="1" x14ac:dyDescent="0.2">
      <c r="A1262" s="32"/>
      <c r="B1262" s="30"/>
      <c r="C1262" s="31"/>
      <c r="D1262" s="31"/>
      <c r="E1262" s="31"/>
      <c r="F1262" s="32"/>
      <c r="G1262" s="32"/>
      <c r="H1262" s="32"/>
      <c r="I1262" s="32"/>
    </row>
    <row r="1263" spans="1:9" s="27" customFormat="1" x14ac:dyDescent="0.2">
      <c r="A1263" s="32"/>
      <c r="B1263" s="30"/>
      <c r="C1263" s="31"/>
      <c r="D1263" s="31"/>
      <c r="E1263" s="31"/>
      <c r="F1263" s="32"/>
      <c r="G1263" s="32"/>
      <c r="H1263" s="32"/>
      <c r="I1263" s="32"/>
    </row>
    <row r="1264" spans="1:9" s="27" customFormat="1" x14ac:dyDescent="0.2">
      <c r="A1264" s="32"/>
      <c r="B1264" s="30"/>
      <c r="C1264" s="31"/>
      <c r="D1264" s="31"/>
      <c r="E1264" s="31"/>
      <c r="F1264" s="32"/>
      <c r="G1264" s="32"/>
      <c r="H1264" s="32"/>
      <c r="I1264" s="32"/>
    </row>
    <row r="1265" spans="1:9" s="27" customFormat="1" x14ac:dyDescent="0.2">
      <c r="A1265" s="32"/>
      <c r="B1265" s="30"/>
      <c r="C1265" s="31"/>
      <c r="D1265" s="31"/>
      <c r="E1265" s="31"/>
      <c r="F1265" s="32"/>
      <c r="G1265" s="32"/>
      <c r="H1265" s="32"/>
      <c r="I1265" s="32"/>
    </row>
    <row r="1266" spans="1:9" s="27" customFormat="1" x14ac:dyDescent="0.2">
      <c r="A1266" s="32"/>
      <c r="B1266" s="30"/>
      <c r="C1266" s="31"/>
      <c r="D1266" s="31"/>
      <c r="E1266" s="31"/>
      <c r="F1266" s="32"/>
      <c r="G1266" s="32"/>
      <c r="H1266" s="32"/>
      <c r="I1266" s="32"/>
    </row>
    <row r="1267" spans="1:9" s="27" customFormat="1" x14ac:dyDescent="0.2">
      <c r="A1267" s="32"/>
      <c r="B1267" s="30"/>
      <c r="C1267" s="31"/>
      <c r="D1267" s="31"/>
      <c r="E1267" s="31"/>
      <c r="F1267" s="32"/>
      <c r="G1267" s="32"/>
      <c r="H1267" s="32"/>
      <c r="I1267" s="32"/>
    </row>
    <row r="1268" spans="1:9" s="27" customFormat="1" x14ac:dyDescent="0.2">
      <c r="A1268" s="32"/>
      <c r="B1268" s="30"/>
      <c r="C1268" s="31"/>
      <c r="D1268" s="31"/>
      <c r="E1268" s="31"/>
      <c r="F1268" s="32"/>
      <c r="G1268" s="32"/>
      <c r="H1268" s="32"/>
      <c r="I1268" s="32"/>
    </row>
    <row r="1269" spans="1:9" s="27" customFormat="1" x14ac:dyDescent="0.2">
      <c r="A1269" s="32"/>
      <c r="B1269" s="30"/>
      <c r="C1269" s="31"/>
      <c r="D1269" s="31"/>
      <c r="E1269" s="31"/>
      <c r="F1269" s="32"/>
      <c r="G1269" s="32"/>
      <c r="H1269" s="32"/>
      <c r="I1269" s="32"/>
    </row>
    <row r="1270" spans="1:9" s="27" customFormat="1" x14ac:dyDescent="0.2">
      <c r="A1270" s="32"/>
      <c r="B1270" s="30"/>
      <c r="C1270" s="31"/>
      <c r="D1270" s="31"/>
      <c r="E1270" s="31"/>
      <c r="F1270" s="32"/>
      <c r="G1270" s="32"/>
      <c r="H1270" s="32"/>
      <c r="I1270" s="32"/>
    </row>
    <row r="1271" spans="1:9" s="27" customFormat="1" x14ac:dyDescent="0.2">
      <c r="A1271" s="32"/>
      <c r="B1271" s="30"/>
      <c r="C1271" s="31"/>
      <c r="D1271" s="31"/>
      <c r="E1271" s="31"/>
      <c r="F1271" s="32"/>
      <c r="G1271" s="32"/>
      <c r="H1271" s="32"/>
      <c r="I1271" s="32"/>
    </row>
    <row r="1272" spans="1:9" s="27" customFormat="1" x14ac:dyDescent="0.2">
      <c r="A1272" s="32"/>
      <c r="B1272" s="30"/>
      <c r="C1272" s="31"/>
      <c r="D1272" s="31"/>
      <c r="E1272" s="31"/>
      <c r="F1272" s="32"/>
      <c r="G1272" s="32"/>
      <c r="H1272" s="32"/>
      <c r="I1272" s="32"/>
    </row>
    <row r="1273" spans="1:9" s="27" customFormat="1" x14ac:dyDescent="0.2">
      <c r="A1273" s="32"/>
      <c r="B1273" s="30"/>
      <c r="C1273" s="31"/>
      <c r="D1273" s="31"/>
      <c r="E1273" s="31"/>
      <c r="F1273" s="32"/>
      <c r="G1273" s="32"/>
      <c r="H1273" s="32"/>
      <c r="I1273" s="32"/>
    </row>
    <row r="1274" spans="1:9" s="27" customFormat="1" x14ac:dyDescent="0.2">
      <c r="A1274" s="32"/>
      <c r="B1274" s="30"/>
      <c r="C1274" s="31"/>
      <c r="D1274" s="31"/>
      <c r="E1274" s="31"/>
      <c r="F1274" s="32"/>
      <c r="G1274" s="32"/>
      <c r="H1274" s="32"/>
      <c r="I1274" s="32"/>
    </row>
    <row r="1275" spans="1:9" s="27" customFormat="1" x14ac:dyDescent="0.2">
      <c r="A1275" s="32"/>
      <c r="B1275" s="30"/>
      <c r="C1275" s="31"/>
      <c r="D1275" s="31"/>
      <c r="E1275" s="31"/>
      <c r="F1275" s="32"/>
      <c r="G1275" s="32"/>
      <c r="H1275" s="32"/>
      <c r="I1275" s="32"/>
    </row>
    <row r="1276" spans="1:9" s="27" customFormat="1" x14ac:dyDescent="0.2">
      <c r="A1276" s="32"/>
      <c r="B1276" s="30"/>
      <c r="C1276" s="31"/>
      <c r="D1276" s="31"/>
      <c r="E1276" s="31"/>
      <c r="F1276" s="32"/>
      <c r="G1276" s="32"/>
      <c r="H1276" s="32"/>
      <c r="I1276" s="32"/>
    </row>
    <row r="1277" spans="1:9" s="27" customFormat="1" x14ac:dyDescent="0.2">
      <c r="A1277" s="32"/>
      <c r="B1277" s="30"/>
      <c r="C1277" s="31"/>
      <c r="D1277" s="31"/>
      <c r="E1277" s="31"/>
      <c r="F1277" s="32"/>
      <c r="G1277" s="32"/>
      <c r="H1277" s="32"/>
      <c r="I1277" s="32"/>
    </row>
    <row r="1278" spans="1:9" s="27" customFormat="1" x14ac:dyDescent="0.2">
      <c r="A1278" s="32"/>
      <c r="B1278" s="30"/>
      <c r="C1278" s="31"/>
      <c r="D1278" s="31"/>
      <c r="E1278" s="31"/>
      <c r="F1278" s="32"/>
      <c r="G1278" s="32"/>
      <c r="H1278" s="32"/>
      <c r="I1278" s="32"/>
    </row>
    <row r="1279" spans="1:9" s="27" customFormat="1" x14ac:dyDescent="0.2">
      <c r="A1279" s="32"/>
      <c r="B1279" s="30"/>
      <c r="C1279" s="31"/>
      <c r="D1279" s="31"/>
      <c r="E1279" s="31"/>
      <c r="F1279" s="32"/>
      <c r="G1279" s="32"/>
      <c r="H1279" s="32"/>
      <c r="I1279" s="32"/>
    </row>
    <row r="1280" spans="1:9" s="27" customFormat="1" x14ac:dyDescent="0.2">
      <c r="A1280" s="32"/>
      <c r="B1280" s="30"/>
      <c r="C1280" s="31"/>
      <c r="D1280" s="31"/>
      <c r="E1280" s="31"/>
      <c r="F1280" s="32"/>
      <c r="G1280" s="32"/>
      <c r="H1280" s="32"/>
      <c r="I1280" s="32"/>
    </row>
    <row r="1281" spans="1:9" s="27" customFormat="1" x14ac:dyDescent="0.2">
      <c r="A1281" s="32"/>
      <c r="B1281" s="30"/>
      <c r="C1281" s="31"/>
      <c r="D1281" s="31"/>
      <c r="E1281" s="31"/>
      <c r="F1281" s="32"/>
      <c r="G1281" s="32"/>
      <c r="H1281" s="32"/>
      <c r="I1281" s="32"/>
    </row>
    <row r="1282" spans="1:9" s="27" customFormat="1" x14ac:dyDescent="0.2">
      <c r="A1282" s="32"/>
      <c r="B1282" s="30"/>
      <c r="C1282" s="31"/>
      <c r="D1282" s="31"/>
      <c r="E1282" s="31"/>
      <c r="F1282" s="32"/>
      <c r="G1282" s="32"/>
      <c r="H1282" s="32"/>
      <c r="I1282" s="32"/>
    </row>
    <row r="1283" spans="1:9" s="27" customFormat="1" x14ac:dyDescent="0.2">
      <c r="A1283" s="32"/>
      <c r="B1283" s="30"/>
      <c r="C1283" s="31"/>
      <c r="D1283" s="31"/>
      <c r="E1283" s="31"/>
      <c r="F1283" s="32"/>
      <c r="G1283" s="32"/>
      <c r="H1283" s="32"/>
      <c r="I1283" s="32"/>
    </row>
    <row r="1284" spans="1:9" s="27" customFormat="1" x14ac:dyDescent="0.2">
      <c r="A1284" s="32"/>
      <c r="B1284" s="30"/>
      <c r="C1284" s="31"/>
      <c r="D1284" s="31"/>
      <c r="E1284" s="31"/>
      <c r="F1284" s="32"/>
      <c r="G1284" s="32"/>
      <c r="H1284" s="32"/>
      <c r="I1284" s="32"/>
    </row>
    <row r="1285" spans="1:9" s="27" customFormat="1" x14ac:dyDescent="0.2">
      <c r="A1285" s="32"/>
      <c r="B1285" s="30"/>
      <c r="C1285" s="31"/>
      <c r="D1285" s="31"/>
      <c r="E1285" s="31"/>
      <c r="F1285" s="32"/>
      <c r="G1285" s="32"/>
      <c r="H1285" s="32"/>
      <c r="I1285" s="32"/>
    </row>
    <row r="1286" spans="1:9" s="27" customFormat="1" x14ac:dyDescent="0.2">
      <c r="A1286" s="32"/>
      <c r="B1286" s="30"/>
      <c r="C1286" s="31"/>
      <c r="D1286" s="31"/>
      <c r="E1286" s="31"/>
      <c r="F1286" s="32"/>
      <c r="G1286" s="32"/>
      <c r="H1286" s="32"/>
      <c r="I1286" s="32"/>
    </row>
    <row r="1287" spans="1:9" s="27" customFormat="1" x14ac:dyDescent="0.2">
      <c r="A1287" s="32"/>
      <c r="B1287" s="30"/>
      <c r="C1287" s="31"/>
      <c r="D1287" s="31"/>
      <c r="E1287" s="31"/>
      <c r="F1287" s="32"/>
      <c r="G1287" s="32"/>
      <c r="H1287" s="32"/>
      <c r="I1287" s="32"/>
    </row>
    <row r="1288" spans="1:9" s="27" customFormat="1" x14ac:dyDescent="0.2">
      <c r="A1288" s="32"/>
      <c r="B1288" s="30"/>
      <c r="C1288" s="31"/>
      <c r="D1288" s="31"/>
      <c r="E1288" s="31"/>
      <c r="F1288" s="32"/>
      <c r="G1288" s="32"/>
      <c r="H1288" s="32"/>
      <c r="I1288" s="32"/>
    </row>
    <row r="1289" spans="1:9" s="27" customFormat="1" x14ac:dyDescent="0.2">
      <c r="A1289" s="32"/>
      <c r="B1289" s="30"/>
      <c r="C1289" s="31"/>
      <c r="D1289" s="31"/>
      <c r="E1289" s="31"/>
      <c r="F1289" s="32"/>
      <c r="G1289" s="32"/>
      <c r="H1289" s="32"/>
      <c r="I1289" s="32"/>
    </row>
    <row r="1290" spans="1:9" s="27" customFormat="1" x14ac:dyDescent="0.2">
      <c r="A1290" s="32"/>
      <c r="B1290" s="30"/>
      <c r="C1290" s="31"/>
      <c r="D1290" s="31"/>
      <c r="E1290" s="31"/>
      <c r="F1290" s="32"/>
      <c r="G1290" s="32"/>
      <c r="H1290" s="32"/>
      <c r="I1290" s="32"/>
    </row>
    <row r="1291" spans="1:9" s="27" customFormat="1" x14ac:dyDescent="0.2">
      <c r="A1291" s="32"/>
      <c r="B1291" s="30"/>
      <c r="C1291" s="31"/>
      <c r="D1291" s="31"/>
      <c r="E1291" s="31"/>
      <c r="F1291" s="32"/>
      <c r="G1291" s="32"/>
      <c r="H1291" s="32"/>
      <c r="I1291" s="32"/>
    </row>
    <row r="1292" spans="1:9" s="27" customFormat="1" x14ac:dyDescent="0.2">
      <c r="A1292" s="32"/>
      <c r="B1292" s="30"/>
      <c r="C1292" s="31"/>
      <c r="D1292" s="31"/>
      <c r="E1292" s="31"/>
      <c r="F1292" s="32"/>
      <c r="G1292" s="32"/>
      <c r="H1292" s="32"/>
      <c r="I1292" s="32"/>
    </row>
    <row r="1293" spans="1:9" s="27" customFormat="1" x14ac:dyDescent="0.2">
      <c r="A1293" s="32"/>
      <c r="B1293" s="30"/>
      <c r="C1293" s="31"/>
      <c r="D1293" s="31"/>
      <c r="E1293" s="31"/>
      <c r="F1293" s="32"/>
      <c r="G1293" s="32"/>
      <c r="H1293" s="32"/>
      <c r="I1293" s="32"/>
    </row>
    <row r="1294" spans="1:9" s="27" customFormat="1" x14ac:dyDescent="0.2">
      <c r="A1294" s="32"/>
      <c r="B1294" s="30"/>
      <c r="C1294" s="31"/>
      <c r="D1294" s="31"/>
      <c r="E1294" s="31"/>
      <c r="F1294" s="32"/>
      <c r="G1294" s="32"/>
      <c r="H1294" s="32"/>
      <c r="I1294" s="32"/>
    </row>
    <row r="1295" spans="1:9" s="27" customFormat="1" x14ac:dyDescent="0.2">
      <c r="A1295" s="32"/>
      <c r="B1295" s="30"/>
      <c r="C1295" s="31"/>
      <c r="D1295" s="31"/>
      <c r="E1295" s="31"/>
      <c r="F1295" s="32"/>
      <c r="G1295" s="32"/>
      <c r="H1295" s="32"/>
      <c r="I1295" s="32"/>
    </row>
    <row r="1296" spans="1:9" s="27" customFormat="1" x14ac:dyDescent="0.2">
      <c r="A1296" s="32"/>
      <c r="B1296" s="30"/>
      <c r="C1296" s="31"/>
      <c r="D1296" s="31"/>
      <c r="E1296" s="31"/>
      <c r="F1296" s="32"/>
      <c r="G1296" s="32"/>
      <c r="H1296" s="32"/>
      <c r="I1296" s="32"/>
    </row>
    <row r="1297" spans="1:9" s="27" customFormat="1" x14ac:dyDescent="0.2">
      <c r="A1297" s="32"/>
      <c r="B1297" s="30"/>
      <c r="C1297" s="31"/>
      <c r="D1297" s="31"/>
      <c r="E1297" s="31"/>
      <c r="F1297" s="32"/>
      <c r="G1297" s="32"/>
      <c r="H1297" s="32"/>
      <c r="I1297" s="32"/>
    </row>
    <row r="1298" spans="1:9" s="27" customFormat="1" x14ac:dyDescent="0.2">
      <c r="A1298" s="32"/>
      <c r="B1298" s="30"/>
      <c r="C1298" s="31"/>
      <c r="D1298" s="31"/>
      <c r="E1298" s="31"/>
      <c r="F1298" s="32"/>
      <c r="G1298" s="32"/>
      <c r="H1298" s="32"/>
      <c r="I1298" s="32"/>
    </row>
    <row r="1299" spans="1:9" s="27" customFormat="1" x14ac:dyDescent="0.2">
      <c r="A1299" s="32"/>
      <c r="B1299" s="30"/>
      <c r="C1299" s="31"/>
      <c r="D1299" s="31"/>
      <c r="E1299" s="31"/>
      <c r="F1299" s="32"/>
      <c r="G1299" s="32"/>
      <c r="H1299" s="32"/>
      <c r="I1299" s="32"/>
    </row>
    <row r="1300" spans="1:9" s="27" customFormat="1" x14ac:dyDescent="0.2">
      <c r="A1300" s="32"/>
      <c r="B1300" s="30"/>
      <c r="C1300" s="31"/>
      <c r="D1300" s="31"/>
      <c r="E1300" s="31"/>
      <c r="F1300" s="32"/>
      <c r="G1300" s="32"/>
      <c r="H1300" s="32"/>
      <c r="I1300" s="32"/>
    </row>
    <row r="1301" spans="1:9" s="27" customFormat="1" x14ac:dyDescent="0.2">
      <c r="A1301" s="32"/>
      <c r="B1301" s="30"/>
      <c r="C1301" s="31"/>
      <c r="D1301" s="31"/>
      <c r="E1301" s="31"/>
      <c r="F1301" s="32"/>
      <c r="G1301" s="32"/>
      <c r="H1301" s="32"/>
      <c r="I1301" s="32"/>
    </row>
    <row r="1302" spans="1:9" s="27" customFormat="1" x14ac:dyDescent="0.2">
      <c r="A1302" s="32"/>
      <c r="B1302" s="30"/>
      <c r="C1302" s="31"/>
      <c r="D1302" s="31"/>
      <c r="E1302" s="31"/>
      <c r="F1302" s="32"/>
      <c r="G1302" s="32"/>
      <c r="H1302" s="32"/>
      <c r="I1302" s="32"/>
    </row>
    <row r="1303" spans="1:9" s="27" customFormat="1" x14ac:dyDescent="0.2">
      <c r="A1303" s="32"/>
      <c r="B1303" s="30"/>
      <c r="C1303" s="31"/>
      <c r="D1303" s="31"/>
      <c r="E1303" s="31"/>
      <c r="F1303" s="32"/>
      <c r="G1303" s="32"/>
      <c r="H1303" s="32"/>
      <c r="I1303" s="32"/>
    </row>
    <row r="1304" spans="1:9" s="27" customFormat="1" x14ac:dyDescent="0.2">
      <c r="A1304" s="32"/>
      <c r="B1304" s="30"/>
      <c r="C1304" s="31"/>
      <c r="D1304" s="31"/>
      <c r="E1304" s="31"/>
      <c r="F1304" s="32"/>
      <c r="G1304" s="32"/>
      <c r="H1304" s="32"/>
      <c r="I1304" s="32"/>
    </row>
    <row r="1305" spans="1:9" s="27" customFormat="1" x14ac:dyDescent="0.2">
      <c r="A1305" s="32"/>
      <c r="B1305" s="30"/>
      <c r="C1305" s="31"/>
      <c r="D1305" s="31"/>
      <c r="E1305" s="31"/>
      <c r="F1305" s="32"/>
      <c r="G1305" s="32"/>
      <c r="H1305" s="32"/>
      <c r="I1305" s="32"/>
    </row>
    <row r="1306" spans="1:9" s="27" customFormat="1" x14ac:dyDescent="0.2">
      <c r="A1306" s="32"/>
      <c r="B1306" s="30"/>
      <c r="C1306" s="31"/>
      <c r="D1306" s="31"/>
      <c r="E1306" s="31"/>
      <c r="F1306" s="32"/>
      <c r="G1306" s="32"/>
      <c r="H1306" s="32"/>
      <c r="I1306" s="32"/>
    </row>
    <row r="1307" spans="1:9" s="27" customFormat="1" x14ac:dyDescent="0.2">
      <c r="A1307" s="32"/>
      <c r="B1307" s="30"/>
      <c r="C1307" s="31"/>
      <c r="D1307" s="31"/>
      <c r="E1307" s="31"/>
      <c r="F1307" s="32"/>
      <c r="G1307" s="32"/>
      <c r="H1307" s="32"/>
      <c r="I1307" s="32"/>
    </row>
    <row r="1308" spans="1:9" s="27" customFormat="1" x14ac:dyDescent="0.2">
      <c r="A1308" s="32"/>
      <c r="B1308" s="30"/>
      <c r="C1308" s="31"/>
      <c r="D1308" s="31"/>
      <c r="E1308" s="31"/>
      <c r="F1308" s="32"/>
      <c r="G1308" s="32"/>
      <c r="H1308" s="32"/>
      <c r="I1308" s="32"/>
    </row>
    <row r="1309" spans="1:9" s="27" customFormat="1" x14ac:dyDescent="0.2">
      <c r="A1309" s="32"/>
      <c r="B1309" s="30"/>
      <c r="C1309" s="31"/>
      <c r="D1309" s="31"/>
      <c r="E1309" s="31"/>
      <c r="F1309" s="32"/>
      <c r="G1309" s="32"/>
      <c r="H1309" s="32"/>
      <c r="I1309" s="32"/>
    </row>
    <row r="1310" spans="1:9" s="27" customFormat="1" x14ac:dyDescent="0.2">
      <c r="A1310" s="32"/>
      <c r="B1310" s="30"/>
      <c r="C1310" s="31"/>
      <c r="D1310" s="31"/>
      <c r="E1310" s="31"/>
      <c r="F1310" s="32"/>
      <c r="G1310" s="32"/>
      <c r="H1310" s="32"/>
      <c r="I1310" s="32"/>
    </row>
    <row r="1311" spans="1:9" s="27" customFormat="1" x14ac:dyDescent="0.2">
      <c r="A1311" s="32"/>
      <c r="B1311" s="30"/>
      <c r="C1311" s="31"/>
      <c r="D1311" s="31"/>
      <c r="E1311" s="31"/>
      <c r="F1311" s="32"/>
      <c r="G1311" s="32"/>
      <c r="H1311" s="32"/>
      <c r="I1311" s="32"/>
    </row>
    <row r="1312" spans="1:9" s="27" customFormat="1" x14ac:dyDescent="0.2">
      <c r="A1312" s="32"/>
      <c r="B1312" s="30"/>
      <c r="C1312" s="31"/>
      <c r="D1312" s="31"/>
      <c r="E1312" s="31"/>
      <c r="F1312" s="32"/>
      <c r="G1312" s="32"/>
      <c r="H1312" s="32"/>
      <c r="I1312" s="32"/>
    </row>
    <row r="1313" spans="1:9" s="27" customFormat="1" x14ac:dyDescent="0.2">
      <c r="A1313" s="32"/>
      <c r="B1313" s="30"/>
      <c r="C1313" s="31"/>
      <c r="D1313" s="31"/>
      <c r="E1313" s="31"/>
      <c r="F1313" s="32"/>
      <c r="G1313" s="32"/>
      <c r="H1313" s="32"/>
      <c r="I1313" s="32"/>
    </row>
    <row r="1314" spans="1:9" s="27" customFormat="1" x14ac:dyDescent="0.2">
      <c r="A1314" s="32"/>
      <c r="B1314" s="30"/>
      <c r="C1314" s="31"/>
      <c r="D1314" s="31"/>
      <c r="E1314" s="31"/>
      <c r="F1314" s="32"/>
      <c r="G1314" s="32"/>
      <c r="H1314" s="32"/>
      <c r="I1314" s="32"/>
    </row>
    <row r="1315" spans="1:9" s="27" customFormat="1" x14ac:dyDescent="0.2">
      <c r="A1315" s="32"/>
      <c r="B1315" s="30"/>
      <c r="C1315" s="31"/>
      <c r="D1315" s="31"/>
      <c r="E1315" s="31"/>
      <c r="F1315" s="32"/>
      <c r="G1315" s="32"/>
      <c r="H1315" s="32"/>
      <c r="I1315" s="32"/>
    </row>
    <row r="1316" spans="1:9" s="27" customFormat="1" x14ac:dyDescent="0.2">
      <c r="A1316" s="32"/>
      <c r="B1316" s="30"/>
      <c r="C1316" s="31"/>
      <c r="D1316" s="31"/>
      <c r="E1316" s="31"/>
      <c r="F1316" s="32"/>
      <c r="G1316" s="32"/>
      <c r="H1316" s="32"/>
      <c r="I1316" s="32"/>
    </row>
    <row r="1317" spans="1:9" s="27" customFormat="1" x14ac:dyDescent="0.2">
      <c r="A1317" s="32"/>
      <c r="B1317" s="30"/>
      <c r="C1317" s="31"/>
      <c r="D1317" s="31"/>
      <c r="E1317" s="31"/>
      <c r="F1317" s="32"/>
      <c r="G1317" s="32"/>
      <c r="H1317" s="32"/>
      <c r="I1317" s="32"/>
    </row>
    <row r="1318" spans="1:9" s="27" customFormat="1" x14ac:dyDescent="0.2">
      <c r="A1318" s="32"/>
      <c r="B1318" s="30"/>
      <c r="C1318" s="31"/>
      <c r="D1318" s="31"/>
      <c r="E1318" s="31"/>
      <c r="F1318" s="32"/>
      <c r="G1318" s="32"/>
      <c r="H1318" s="32"/>
      <c r="I1318" s="32"/>
    </row>
    <row r="1319" spans="1:9" s="27" customFormat="1" x14ac:dyDescent="0.2">
      <c r="A1319" s="32"/>
      <c r="B1319" s="30"/>
      <c r="C1319" s="31"/>
      <c r="D1319" s="31"/>
      <c r="E1319" s="31"/>
      <c r="F1319" s="32"/>
      <c r="G1319" s="32"/>
      <c r="H1319" s="32"/>
      <c r="I1319" s="32"/>
    </row>
    <row r="1320" spans="1:9" s="27" customFormat="1" x14ac:dyDescent="0.2">
      <c r="A1320" s="32"/>
      <c r="B1320" s="30"/>
      <c r="C1320" s="31"/>
      <c r="D1320" s="31"/>
      <c r="E1320" s="31"/>
      <c r="F1320" s="32"/>
      <c r="G1320" s="32"/>
      <c r="H1320" s="32"/>
      <c r="I1320" s="32"/>
    </row>
    <row r="1321" spans="1:9" s="27" customFormat="1" x14ac:dyDescent="0.2">
      <c r="A1321" s="32"/>
      <c r="B1321" s="30"/>
      <c r="C1321" s="31"/>
      <c r="D1321" s="31"/>
      <c r="E1321" s="31"/>
      <c r="F1321" s="32"/>
      <c r="G1321" s="32"/>
      <c r="H1321" s="32"/>
      <c r="I1321" s="32"/>
    </row>
    <row r="1322" spans="1:9" s="27" customFormat="1" x14ac:dyDescent="0.2">
      <c r="A1322" s="32"/>
      <c r="B1322" s="30"/>
      <c r="C1322" s="31"/>
      <c r="D1322" s="31"/>
      <c r="E1322" s="31"/>
      <c r="F1322" s="32"/>
      <c r="G1322" s="32"/>
      <c r="H1322" s="32"/>
      <c r="I1322" s="32"/>
    </row>
    <row r="1323" spans="1:9" s="27" customFormat="1" x14ac:dyDescent="0.2">
      <c r="A1323" s="32"/>
      <c r="B1323" s="30"/>
      <c r="C1323" s="31"/>
      <c r="D1323" s="31"/>
      <c r="E1323" s="31"/>
      <c r="F1323" s="32"/>
      <c r="G1323" s="32"/>
      <c r="H1323" s="32"/>
      <c r="I1323" s="32"/>
    </row>
    <row r="1324" spans="1:9" s="27" customFormat="1" x14ac:dyDescent="0.2">
      <c r="A1324" s="32"/>
      <c r="B1324" s="30"/>
      <c r="C1324" s="31"/>
      <c r="D1324" s="31"/>
      <c r="E1324" s="31"/>
      <c r="F1324" s="32"/>
      <c r="G1324" s="32"/>
      <c r="H1324" s="32"/>
      <c r="I1324" s="32"/>
    </row>
    <row r="1325" spans="1:9" s="27" customFormat="1" x14ac:dyDescent="0.2">
      <c r="A1325" s="32"/>
      <c r="B1325" s="30"/>
      <c r="C1325" s="31"/>
      <c r="D1325" s="31"/>
      <c r="E1325" s="31"/>
      <c r="F1325" s="32"/>
      <c r="G1325" s="32"/>
      <c r="H1325" s="32"/>
      <c r="I1325" s="32"/>
    </row>
    <row r="1326" spans="1:9" s="27" customFormat="1" x14ac:dyDescent="0.2">
      <c r="A1326" s="32"/>
      <c r="B1326" s="30"/>
      <c r="C1326" s="31"/>
      <c r="D1326" s="31"/>
      <c r="E1326" s="31"/>
      <c r="F1326" s="32"/>
      <c r="G1326" s="32"/>
      <c r="H1326" s="32"/>
      <c r="I1326" s="32"/>
    </row>
    <row r="1327" spans="1:9" s="27" customFormat="1" x14ac:dyDescent="0.2">
      <c r="A1327" s="32"/>
      <c r="B1327" s="30"/>
      <c r="C1327" s="31"/>
      <c r="D1327" s="31"/>
      <c r="E1327" s="31"/>
      <c r="F1327" s="32"/>
      <c r="G1327" s="32"/>
      <c r="H1327" s="32"/>
      <c r="I1327" s="32"/>
    </row>
    <row r="1328" spans="1:9" s="27" customFormat="1" x14ac:dyDescent="0.2">
      <c r="A1328" s="32"/>
      <c r="B1328" s="30"/>
      <c r="C1328" s="31"/>
      <c r="D1328" s="31"/>
      <c r="E1328" s="31"/>
      <c r="F1328" s="32"/>
      <c r="G1328" s="32"/>
      <c r="H1328" s="32"/>
      <c r="I1328" s="32"/>
    </row>
    <row r="1329" spans="1:9" s="27" customFormat="1" x14ac:dyDescent="0.2">
      <c r="A1329" s="32"/>
      <c r="B1329" s="30"/>
      <c r="C1329" s="31"/>
      <c r="D1329" s="31"/>
      <c r="E1329" s="31"/>
      <c r="F1329" s="32"/>
      <c r="G1329" s="32"/>
      <c r="H1329" s="32"/>
      <c r="I1329" s="32"/>
    </row>
    <row r="1330" spans="1:9" s="27" customFormat="1" x14ac:dyDescent="0.2">
      <c r="A1330" s="32"/>
      <c r="B1330" s="30"/>
      <c r="C1330" s="31"/>
      <c r="D1330" s="31"/>
      <c r="E1330" s="31"/>
      <c r="F1330" s="32"/>
      <c r="G1330" s="32"/>
      <c r="H1330" s="32"/>
      <c r="I1330" s="32"/>
    </row>
    <row r="1331" spans="1:9" s="27" customFormat="1" x14ac:dyDescent="0.2">
      <c r="A1331" s="32"/>
      <c r="B1331" s="30"/>
      <c r="C1331" s="31"/>
      <c r="D1331" s="31"/>
      <c r="E1331" s="31"/>
      <c r="F1331" s="32"/>
      <c r="G1331" s="32"/>
      <c r="H1331" s="32"/>
      <c r="I1331" s="32"/>
    </row>
    <row r="1332" spans="1:9" s="27" customFormat="1" x14ac:dyDescent="0.2">
      <c r="A1332" s="32"/>
      <c r="B1332" s="30"/>
      <c r="C1332" s="31"/>
      <c r="D1332" s="31"/>
      <c r="E1332" s="31"/>
      <c r="F1332" s="32"/>
      <c r="G1332" s="32"/>
      <c r="H1332" s="32"/>
      <c r="I1332" s="32"/>
    </row>
    <row r="1333" spans="1:9" s="27" customFormat="1" x14ac:dyDescent="0.2">
      <c r="A1333" s="32"/>
      <c r="B1333" s="30"/>
      <c r="C1333" s="31"/>
      <c r="D1333" s="31"/>
      <c r="E1333" s="31"/>
      <c r="F1333" s="32"/>
      <c r="G1333" s="32"/>
      <c r="H1333" s="32"/>
      <c r="I1333" s="32"/>
    </row>
    <row r="1334" spans="1:9" s="27" customFormat="1" x14ac:dyDescent="0.2">
      <c r="A1334" s="32"/>
      <c r="B1334" s="30"/>
      <c r="C1334" s="31"/>
      <c r="D1334" s="31"/>
      <c r="E1334" s="31"/>
      <c r="F1334" s="32"/>
      <c r="G1334" s="32"/>
      <c r="H1334" s="32"/>
      <c r="I1334" s="32"/>
    </row>
    <row r="1335" spans="1:9" s="27" customFormat="1" x14ac:dyDescent="0.2">
      <c r="A1335" s="32"/>
      <c r="B1335" s="30"/>
      <c r="C1335" s="31"/>
      <c r="D1335" s="31"/>
      <c r="E1335" s="31"/>
      <c r="F1335" s="32"/>
      <c r="G1335" s="32"/>
      <c r="H1335" s="32"/>
      <c r="I1335" s="32"/>
    </row>
    <row r="1336" spans="1:9" s="27" customFormat="1" x14ac:dyDescent="0.2">
      <c r="A1336" s="32"/>
      <c r="B1336" s="30"/>
      <c r="C1336" s="31"/>
      <c r="D1336" s="31"/>
      <c r="E1336" s="31"/>
      <c r="F1336" s="32"/>
      <c r="G1336" s="32"/>
      <c r="H1336" s="32"/>
      <c r="I1336" s="32"/>
    </row>
    <row r="1337" spans="1:9" s="27" customFormat="1" x14ac:dyDescent="0.2">
      <c r="A1337" s="32"/>
      <c r="B1337" s="30"/>
      <c r="C1337" s="31"/>
      <c r="D1337" s="31"/>
      <c r="E1337" s="31"/>
      <c r="F1337" s="32"/>
      <c r="G1337" s="32"/>
      <c r="H1337" s="32"/>
      <c r="I1337" s="32"/>
    </row>
    <row r="1338" spans="1:9" s="27" customFormat="1" x14ac:dyDescent="0.2">
      <c r="A1338" s="32"/>
      <c r="B1338" s="30"/>
      <c r="C1338" s="31"/>
      <c r="D1338" s="31"/>
      <c r="E1338" s="31"/>
      <c r="F1338" s="32"/>
      <c r="G1338" s="32"/>
      <c r="H1338" s="32"/>
      <c r="I1338" s="32"/>
    </row>
    <row r="1339" spans="1:9" s="27" customFormat="1" x14ac:dyDescent="0.2">
      <c r="A1339" s="32"/>
      <c r="B1339" s="30"/>
      <c r="C1339" s="31"/>
      <c r="D1339" s="31"/>
      <c r="E1339" s="31"/>
      <c r="F1339" s="32"/>
      <c r="G1339" s="32"/>
      <c r="H1339" s="32"/>
      <c r="I1339" s="32"/>
    </row>
    <row r="1340" spans="1:9" s="27" customFormat="1" x14ac:dyDescent="0.2">
      <c r="A1340" s="32"/>
      <c r="B1340" s="30"/>
      <c r="C1340" s="31"/>
      <c r="D1340" s="31"/>
      <c r="E1340" s="31"/>
      <c r="F1340" s="32"/>
      <c r="G1340" s="32"/>
      <c r="H1340" s="32"/>
      <c r="I1340" s="32"/>
    </row>
    <row r="1341" spans="1:9" s="27" customFormat="1" x14ac:dyDescent="0.2">
      <c r="A1341" s="32"/>
      <c r="B1341" s="30"/>
      <c r="C1341" s="31"/>
      <c r="D1341" s="31"/>
      <c r="E1341" s="31"/>
      <c r="F1341" s="32"/>
      <c r="G1341" s="32"/>
      <c r="H1341" s="32"/>
      <c r="I1341" s="32"/>
    </row>
    <row r="1342" spans="1:9" s="27" customFormat="1" x14ac:dyDescent="0.2">
      <c r="A1342" s="32"/>
      <c r="B1342" s="30"/>
      <c r="C1342" s="31"/>
      <c r="D1342" s="31"/>
      <c r="E1342" s="31"/>
      <c r="F1342" s="32"/>
      <c r="G1342" s="32"/>
      <c r="H1342" s="32"/>
      <c r="I1342" s="32"/>
    </row>
    <row r="1343" spans="1:9" s="27" customFormat="1" x14ac:dyDescent="0.2">
      <c r="A1343" s="32"/>
      <c r="B1343" s="30"/>
      <c r="C1343" s="31"/>
      <c r="D1343" s="31"/>
      <c r="E1343" s="31"/>
      <c r="F1343" s="32"/>
      <c r="G1343" s="32"/>
      <c r="H1343" s="32"/>
      <c r="I1343" s="32"/>
    </row>
    <row r="1344" spans="1:9" s="27" customFormat="1" x14ac:dyDescent="0.2">
      <c r="A1344" s="32"/>
      <c r="B1344" s="30"/>
      <c r="C1344" s="31"/>
      <c r="D1344" s="31"/>
      <c r="E1344" s="31"/>
      <c r="F1344" s="32"/>
      <c r="G1344" s="32"/>
      <c r="H1344" s="32"/>
      <c r="I1344" s="32"/>
    </row>
    <row r="1345" spans="1:9" s="27" customFormat="1" x14ac:dyDescent="0.2">
      <c r="A1345" s="32"/>
      <c r="B1345" s="30"/>
      <c r="C1345" s="31"/>
      <c r="D1345" s="31"/>
      <c r="E1345" s="31"/>
      <c r="F1345" s="32"/>
      <c r="G1345" s="32"/>
      <c r="H1345" s="32"/>
      <c r="I1345" s="32"/>
    </row>
    <row r="1346" spans="1:9" s="27" customFormat="1" x14ac:dyDescent="0.2">
      <c r="A1346" s="32"/>
      <c r="B1346" s="30"/>
      <c r="C1346" s="31"/>
      <c r="D1346" s="31"/>
      <c r="E1346" s="31"/>
      <c r="F1346" s="32"/>
      <c r="G1346" s="32"/>
      <c r="H1346" s="32"/>
      <c r="I1346" s="32"/>
    </row>
    <row r="1347" spans="1:9" s="27" customFormat="1" x14ac:dyDescent="0.2">
      <c r="A1347" s="32"/>
      <c r="B1347" s="30"/>
      <c r="C1347" s="31"/>
      <c r="D1347" s="31"/>
      <c r="E1347" s="31"/>
      <c r="F1347" s="32"/>
      <c r="G1347" s="32"/>
      <c r="H1347" s="32"/>
      <c r="I1347" s="32"/>
    </row>
    <row r="1348" spans="1:9" s="27" customFormat="1" x14ac:dyDescent="0.2">
      <c r="A1348" s="32"/>
      <c r="B1348" s="30"/>
      <c r="C1348" s="31"/>
      <c r="D1348" s="31"/>
      <c r="E1348" s="31"/>
      <c r="F1348" s="32"/>
      <c r="G1348" s="32"/>
      <c r="H1348" s="32"/>
      <c r="I1348" s="32"/>
    </row>
    <row r="1349" spans="1:9" s="27" customFormat="1" x14ac:dyDescent="0.2">
      <c r="A1349" s="32"/>
      <c r="B1349" s="30"/>
      <c r="C1349" s="31"/>
      <c r="D1349" s="31"/>
      <c r="E1349" s="31"/>
      <c r="F1349" s="32"/>
      <c r="G1349" s="32"/>
      <c r="H1349" s="32"/>
      <c r="I1349" s="32"/>
    </row>
    <row r="1350" spans="1:9" s="27" customFormat="1" x14ac:dyDescent="0.2">
      <c r="A1350" s="32"/>
      <c r="B1350" s="30"/>
      <c r="C1350" s="31"/>
      <c r="D1350" s="31"/>
      <c r="E1350" s="31"/>
      <c r="F1350" s="32"/>
      <c r="G1350" s="32"/>
      <c r="H1350" s="32"/>
      <c r="I1350" s="32"/>
    </row>
    <row r="1351" spans="1:9" s="27" customFormat="1" x14ac:dyDescent="0.2">
      <c r="A1351" s="32"/>
      <c r="B1351" s="30"/>
      <c r="C1351" s="31"/>
      <c r="D1351" s="31"/>
      <c r="E1351" s="31"/>
      <c r="F1351" s="32"/>
      <c r="G1351" s="32"/>
      <c r="H1351" s="32"/>
      <c r="I1351" s="32"/>
    </row>
    <row r="1352" spans="1:9" s="27" customFormat="1" x14ac:dyDescent="0.2">
      <c r="A1352" s="32"/>
      <c r="B1352" s="30"/>
      <c r="C1352" s="31"/>
      <c r="D1352" s="31"/>
      <c r="E1352" s="31"/>
      <c r="F1352" s="32"/>
      <c r="G1352" s="32"/>
      <c r="H1352" s="32"/>
      <c r="I1352" s="32"/>
    </row>
    <row r="1353" spans="1:9" s="27" customFormat="1" x14ac:dyDescent="0.2">
      <c r="A1353" s="32"/>
      <c r="B1353" s="30"/>
      <c r="C1353" s="31"/>
      <c r="D1353" s="31"/>
      <c r="E1353" s="31"/>
      <c r="F1353" s="32"/>
      <c r="G1353" s="32"/>
      <c r="H1353" s="32"/>
      <c r="I1353" s="32"/>
    </row>
    <row r="1354" spans="1:9" s="27" customFormat="1" x14ac:dyDescent="0.2">
      <c r="A1354" s="32"/>
      <c r="B1354" s="30"/>
      <c r="C1354" s="31"/>
      <c r="D1354" s="31"/>
      <c r="E1354" s="31"/>
      <c r="F1354" s="32"/>
      <c r="G1354" s="32"/>
      <c r="H1354" s="32"/>
      <c r="I1354" s="32"/>
    </row>
    <row r="1355" spans="1:9" s="27" customFormat="1" x14ac:dyDescent="0.2">
      <c r="A1355" s="32"/>
      <c r="B1355" s="30"/>
      <c r="C1355" s="31"/>
      <c r="D1355" s="31"/>
      <c r="E1355" s="31"/>
      <c r="F1355" s="32"/>
      <c r="G1355" s="32"/>
      <c r="H1355" s="32"/>
      <c r="I1355" s="32"/>
    </row>
    <row r="1356" spans="1:9" s="27" customFormat="1" x14ac:dyDescent="0.2">
      <c r="A1356" s="32"/>
      <c r="B1356" s="30"/>
      <c r="C1356" s="31"/>
      <c r="D1356" s="31"/>
      <c r="E1356" s="31"/>
      <c r="F1356" s="32"/>
      <c r="G1356" s="32"/>
      <c r="H1356" s="32"/>
      <c r="I1356" s="32"/>
    </row>
    <row r="1357" spans="1:9" s="27" customFormat="1" x14ac:dyDescent="0.2">
      <c r="A1357" s="32"/>
      <c r="B1357" s="30"/>
      <c r="C1357" s="31"/>
      <c r="D1357" s="31"/>
      <c r="E1357" s="31"/>
      <c r="F1357" s="32"/>
      <c r="G1357" s="32"/>
      <c r="H1357" s="32"/>
      <c r="I1357" s="32"/>
    </row>
    <row r="1358" spans="1:9" s="27" customFormat="1" x14ac:dyDescent="0.2">
      <c r="A1358" s="32"/>
      <c r="B1358" s="30"/>
      <c r="C1358" s="31"/>
      <c r="D1358" s="31"/>
      <c r="E1358" s="31"/>
      <c r="F1358" s="32"/>
      <c r="G1358" s="32"/>
      <c r="H1358" s="32"/>
      <c r="I1358" s="32"/>
    </row>
    <row r="1359" spans="1:9" s="27" customFormat="1" x14ac:dyDescent="0.2">
      <c r="A1359" s="32"/>
      <c r="B1359" s="30"/>
      <c r="C1359" s="31"/>
      <c r="D1359" s="31"/>
      <c r="E1359" s="31"/>
      <c r="F1359" s="32"/>
      <c r="G1359" s="32"/>
      <c r="H1359" s="32"/>
      <c r="I1359" s="32"/>
    </row>
    <row r="1360" spans="1:9" s="27" customFormat="1" x14ac:dyDescent="0.2">
      <c r="A1360" s="32"/>
      <c r="B1360" s="30"/>
      <c r="C1360" s="31"/>
      <c r="D1360" s="31"/>
      <c r="E1360" s="31"/>
      <c r="F1360" s="32"/>
      <c r="G1360" s="32"/>
      <c r="H1360" s="32"/>
      <c r="I1360" s="32"/>
    </row>
    <row r="1361" spans="1:9" s="27" customFormat="1" x14ac:dyDescent="0.2">
      <c r="A1361" s="32"/>
      <c r="B1361" s="30"/>
      <c r="C1361" s="31"/>
      <c r="D1361" s="31"/>
      <c r="E1361" s="31"/>
      <c r="F1361" s="32"/>
      <c r="G1361" s="32"/>
      <c r="H1361" s="32"/>
      <c r="I1361" s="32"/>
    </row>
    <row r="1362" spans="1:9" s="27" customFormat="1" x14ac:dyDescent="0.2">
      <c r="A1362" s="32"/>
      <c r="B1362" s="30"/>
      <c r="C1362" s="31"/>
      <c r="D1362" s="31"/>
      <c r="E1362" s="31"/>
      <c r="F1362" s="32"/>
      <c r="G1362" s="32"/>
      <c r="H1362" s="32"/>
      <c r="I1362" s="32"/>
    </row>
    <row r="1363" spans="1:9" s="27" customFormat="1" x14ac:dyDescent="0.2">
      <c r="A1363" s="32"/>
      <c r="B1363" s="30"/>
      <c r="C1363" s="31"/>
      <c r="D1363" s="31"/>
      <c r="E1363" s="31"/>
      <c r="F1363" s="32"/>
      <c r="G1363" s="32"/>
      <c r="H1363" s="32"/>
      <c r="I1363" s="32"/>
    </row>
    <row r="1364" spans="1:9" s="27" customFormat="1" x14ac:dyDescent="0.2">
      <c r="A1364" s="32"/>
      <c r="B1364" s="30"/>
      <c r="C1364" s="31"/>
      <c r="D1364" s="31"/>
      <c r="E1364" s="31"/>
      <c r="F1364" s="32"/>
      <c r="G1364" s="32"/>
      <c r="H1364" s="32"/>
      <c r="I1364" s="32"/>
    </row>
    <row r="1365" spans="1:9" s="27" customFormat="1" x14ac:dyDescent="0.2">
      <c r="A1365" s="32"/>
      <c r="B1365" s="30"/>
      <c r="C1365" s="31"/>
      <c r="D1365" s="31"/>
      <c r="E1365" s="31"/>
      <c r="F1365" s="32"/>
      <c r="G1365" s="32"/>
      <c r="H1365" s="32"/>
      <c r="I1365" s="32"/>
    </row>
    <row r="1366" spans="1:9" s="27" customFormat="1" x14ac:dyDescent="0.2">
      <c r="A1366" s="32"/>
      <c r="B1366" s="30"/>
      <c r="C1366" s="31"/>
      <c r="D1366" s="31"/>
      <c r="E1366" s="31"/>
      <c r="F1366" s="32"/>
      <c r="G1366" s="32"/>
      <c r="H1366" s="32"/>
      <c r="I1366" s="32"/>
    </row>
    <row r="1367" spans="1:9" s="27" customFormat="1" x14ac:dyDescent="0.2">
      <c r="A1367" s="32"/>
      <c r="B1367" s="30"/>
      <c r="C1367" s="31"/>
      <c r="D1367" s="31"/>
      <c r="E1367" s="31"/>
      <c r="F1367" s="32"/>
      <c r="G1367" s="32"/>
      <c r="H1367" s="32"/>
      <c r="I1367" s="32"/>
    </row>
    <row r="1368" spans="1:9" s="27" customFormat="1" x14ac:dyDescent="0.2">
      <c r="A1368" s="32"/>
      <c r="B1368" s="30"/>
      <c r="C1368" s="31"/>
      <c r="D1368" s="31"/>
      <c r="E1368" s="31"/>
      <c r="F1368" s="32"/>
      <c r="G1368" s="32"/>
      <c r="H1368" s="32"/>
      <c r="I1368" s="32"/>
    </row>
    <row r="1369" spans="1:9" s="27" customFormat="1" x14ac:dyDescent="0.2">
      <c r="A1369" s="32"/>
      <c r="B1369" s="30"/>
      <c r="C1369" s="31"/>
      <c r="D1369" s="31"/>
      <c r="E1369" s="31"/>
      <c r="F1369" s="32"/>
      <c r="G1369" s="32"/>
      <c r="H1369" s="32"/>
      <c r="I1369" s="32"/>
    </row>
    <row r="1370" spans="1:9" s="27" customFormat="1" x14ac:dyDescent="0.2">
      <c r="A1370" s="32"/>
      <c r="B1370" s="30"/>
      <c r="C1370" s="31"/>
      <c r="D1370" s="31"/>
      <c r="E1370" s="31"/>
      <c r="F1370" s="32"/>
      <c r="G1370" s="32"/>
      <c r="H1370" s="32"/>
      <c r="I1370" s="32"/>
    </row>
    <row r="1371" spans="1:9" s="27" customFormat="1" x14ac:dyDescent="0.2">
      <c r="A1371" s="32"/>
      <c r="B1371" s="30"/>
      <c r="C1371" s="31"/>
      <c r="D1371" s="31"/>
      <c r="E1371" s="31"/>
      <c r="F1371" s="32"/>
      <c r="G1371" s="32"/>
      <c r="H1371" s="32"/>
      <c r="I1371" s="32"/>
    </row>
    <row r="1372" spans="1:9" s="27" customFormat="1" x14ac:dyDescent="0.2">
      <c r="A1372" s="32"/>
      <c r="B1372" s="30"/>
      <c r="C1372" s="31"/>
      <c r="D1372" s="31"/>
      <c r="E1372" s="31"/>
      <c r="F1372" s="32"/>
      <c r="G1372" s="32"/>
      <c r="H1372" s="32"/>
      <c r="I1372" s="32"/>
    </row>
    <row r="1373" spans="1:9" s="27" customFormat="1" x14ac:dyDescent="0.2">
      <c r="A1373" s="32"/>
      <c r="B1373" s="30"/>
      <c r="C1373" s="31"/>
      <c r="D1373" s="31"/>
      <c r="E1373" s="31"/>
      <c r="F1373" s="32"/>
      <c r="G1373" s="32"/>
      <c r="H1373" s="32"/>
      <c r="I1373" s="32"/>
    </row>
    <row r="1374" spans="1:9" s="27" customFormat="1" x14ac:dyDescent="0.2">
      <c r="A1374" s="32"/>
      <c r="B1374" s="30"/>
      <c r="C1374" s="31"/>
      <c r="D1374" s="31"/>
      <c r="E1374" s="31"/>
      <c r="F1374" s="32"/>
      <c r="G1374" s="32"/>
      <c r="H1374" s="32"/>
      <c r="I1374" s="32"/>
    </row>
    <row r="1375" spans="1:9" s="27" customFormat="1" x14ac:dyDescent="0.2">
      <c r="A1375" s="32"/>
      <c r="B1375" s="30"/>
      <c r="C1375" s="31"/>
      <c r="D1375" s="31"/>
      <c r="E1375" s="31"/>
      <c r="F1375" s="32"/>
      <c r="G1375" s="32"/>
      <c r="H1375" s="32"/>
      <c r="I1375" s="32"/>
    </row>
    <row r="1376" spans="1:9" s="27" customFormat="1" x14ac:dyDescent="0.2">
      <c r="A1376" s="32"/>
      <c r="B1376" s="30"/>
      <c r="C1376" s="31"/>
      <c r="D1376" s="31"/>
      <c r="E1376" s="31"/>
      <c r="F1376" s="32"/>
      <c r="G1376" s="32"/>
      <c r="H1376" s="32"/>
      <c r="I1376" s="32"/>
    </row>
    <row r="1377" spans="1:9" s="27" customFormat="1" x14ac:dyDescent="0.2">
      <c r="A1377" s="32"/>
      <c r="B1377" s="30"/>
      <c r="C1377" s="31"/>
      <c r="D1377" s="31"/>
      <c r="E1377" s="31"/>
      <c r="F1377" s="32"/>
      <c r="G1377" s="32"/>
      <c r="H1377" s="32"/>
      <c r="I1377" s="32"/>
    </row>
    <row r="1378" spans="1:9" s="27" customFormat="1" x14ac:dyDescent="0.2">
      <c r="A1378" s="32"/>
      <c r="B1378" s="30"/>
      <c r="C1378" s="31"/>
      <c r="D1378" s="31"/>
      <c r="E1378" s="31"/>
      <c r="F1378" s="32"/>
      <c r="G1378" s="32"/>
      <c r="H1378" s="32"/>
      <c r="I1378" s="32"/>
    </row>
    <row r="1379" spans="1:9" s="27" customFormat="1" x14ac:dyDescent="0.2">
      <c r="A1379" s="32"/>
      <c r="B1379" s="30"/>
      <c r="C1379" s="31"/>
      <c r="D1379" s="31"/>
      <c r="E1379" s="31"/>
      <c r="F1379" s="32"/>
      <c r="G1379" s="32"/>
      <c r="H1379" s="32"/>
      <c r="I1379" s="32"/>
    </row>
    <row r="1380" spans="1:9" s="27" customFormat="1" x14ac:dyDescent="0.2">
      <c r="A1380" s="32"/>
      <c r="B1380" s="30"/>
      <c r="C1380" s="31"/>
      <c r="D1380" s="31"/>
      <c r="E1380" s="31"/>
      <c r="F1380" s="32"/>
      <c r="G1380" s="32"/>
      <c r="H1380" s="32"/>
      <c r="I1380" s="32"/>
    </row>
    <row r="1381" spans="1:9" s="27" customFormat="1" x14ac:dyDescent="0.2">
      <c r="A1381" s="32"/>
      <c r="B1381" s="30"/>
      <c r="C1381" s="31"/>
      <c r="D1381" s="31"/>
      <c r="E1381" s="31"/>
      <c r="F1381" s="32"/>
      <c r="G1381" s="32"/>
      <c r="H1381" s="32"/>
      <c r="I1381" s="32"/>
    </row>
    <row r="1382" spans="1:9" s="27" customFormat="1" x14ac:dyDescent="0.2">
      <c r="A1382" s="32"/>
      <c r="B1382" s="30"/>
      <c r="C1382" s="31"/>
      <c r="D1382" s="31"/>
      <c r="E1382" s="31"/>
      <c r="F1382" s="32"/>
      <c r="G1382" s="32"/>
      <c r="H1382" s="32"/>
      <c r="I1382" s="32"/>
    </row>
    <row r="1383" spans="1:9" s="27" customFormat="1" x14ac:dyDescent="0.2">
      <c r="A1383" s="32"/>
      <c r="B1383" s="30"/>
      <c r="C1383" s="31"/>
      <c r="D1383" s="31"/>
      <c r="E1383" s="31"/>
      <c r="F1383" s="32"/>
      <c r="G1383" s="32"/>
      <c r="H1383" s="32"/>
      <c r="I1383" s="32"/>
    </row>
    <row r="1384" spans="1:9" s="27" customFormat="1" x14ac:dyDescent="0.2">
      <c r="A1384" s="32"/>
      <c r="B1384" s="30"/>
      <c r="C1384" s="31"/>
      <c r="D1384" s="31"/>
      <c r="E1384" s="31"/>
      <c r="F1384" s="32"/>
      <c r="G1384" s="32"/>
      <c r="H1384" s="32"/>
      <c r="I1384" s="32"/>
    </row>
    <row r="1385" spans="1:9" s="27" customFormat="1" x14ac:dyDescent="0.2">
      <c r="A1385" s="32"/>
      <c r="B1385" s="30"/>
      <c r="C1385" s="31"/>
      <c r="D1385" s="31"/>
      <c r="E1385" s="31"/>
      <c r="F1385" s="32"/>
      <c r="G1385" s="32"/>
      <c r="H1385" s="32"/>
      <c r="I1385" s="32"/>
    </row>
    <row r="1386" spans="1:9" s="27" customFormat="1" x14ac:dyDescent="0.2">
      <c r="A1386" s="32"/>
      <c r="B1386" s="30"/>
      <c r="C1386" s="31"/>
      <c r="D1386" s="31"/>
      <c r="E1386" s="31"/>
      <c r="F1386" s="32"/>
      <c r="G1386" s="32"/>
      <c r="H1386" s="32"/>
      <c r="I1386" s="32"/>
    </row>
    <row r="1387" spans="1:9" s="27" customFormat="1" x14ac:dyDescent="0.2">
      <c r="A1387" s="32"/>
      <c r="B1387" s="30"/>
      <c r="C1387" s="31"/>
      <c r="D1387" s="31"/>
      <c r="E1387" s="31"/>
      <c r="F1387" s="32"/>
      <c r="G1387" s="32"/>
      <c r="H1387" s="32"/>
      <c r="I1387" s="32"/>
    </row>
    <row r="1388" spans="1:9" s="27" customFormat="1" x14ac:dyDescent="0.2">
      <c r="A1388" s="32"/>
      <c r="B1388" s="30"/>
      <c r="C1388" s="31"/>
      <c r="D1388" s="31"/>
      <c r="E1388" s="31"/>
      <c r="F1388" s="32"/>
      <c r="G1388" s="32"/>
      <c r="H1388" s="32"/>
      <c r="I1388" s="32"/>
    </row>
    <row r="1389" spans="1:9" s="27" customFormat="1" x14ac:dyDescent="0.2">
      <c r="A1389" s="32"/>
      <c r="B1389" s="30"/>
      <c r="C1389" s="31"/>
      <c r="D1389" s="31"/>
      <c r="E1389" s="31"/>
      <c r="F1389" s="32"/>
      <c r="G1389" s="32"/>
      <c r="H1389" s="32"/>
      <c r="I1389" s="32"/>
    </row>
    <row r="1390" spans="1:9" s="27" customFormat="1" x14ac:dyDescent="0.2">
      <c r="A1390" s="32"/>
      <c r="B1390" s="30"/>
      <c r="C1390" s="31"/>
      <c r="D1390" s="31"/>
      <c r="E1390" s="31"/>
      <c r="F1390" s="32"/>
      <c r="G1390" s="32"/>
      <c r="H1390" s="32"/>
      <c r="I1390" s="32"/>
    </row>
    <row r="1391" spans="1:9" s="27" customFormat="1" x14ac:dyDescent="0.2">
      <c r="A1391" s="32"/>
      <c r="B1391" s="30"/>
      <c r="C1391" s="31"/>
      <c r="D1391" s="31"/>
      <c r="E1391" s="31"/>
      <c r="F1391" s="32"/>
      <c r="G1391" s="32"/>
      <c r="H1391" s="32"/>
      <c r="I1391" s="32"/>
    </row>
    <row r="1392" spans="1:9" s="27" customFormat="1" x14ac:dyDescent="0.2">
      <c r="A1392" s="32"/>
      <c r="B1392" s="30"/>
      <c r="C1392" s="31"/>
      <c r="D1392" s="31"/>
      <c r="E1392" s="31"/>
      <c r="F1392" s="32"/>
      <c r="G1392" s="32"/>
      <c r="H1392" s="32"/>
      <c r="I1392" s="32"/>
    </row>
    <row r="1393" spans="1:9" s="27" customFormat="1" x14ac:dyDescent="0.2">
      <c r="A1393" s="32"/>
      <c r="B1393" s="30"/>
      <c r="C1393" s="31"/>
      <c r="D1393" s="31"/>
      <c r="E1393" s="31"/>
      <c r="F1393" s="32"/>
      <c r="G1393" s="32"/>
      <c r="H1393" s="32"/>
      <c r="I1393" s="32"/>
    </row>
    <row r="1394" spans="1:9" s="27" customFormat="1" x14ac:dyDescent="0.2">
      <c r="A1394" s="32"/>
      <c r="B1394" s="30"/>
      <c r="C1394" s="31"/>
      <c r="D1394" s="31"/>
      <c r="E1394" s="31"/>
      <c r="F1394" s="32"/>
      <c r="G1394" s="32"/>
      <c r="H1394" s="32"/>
      <c r="I1394" s="32"/>
    </row>
    <row r="1395" spans="1:9" s="27" customFormat="1" x14ac:dyDescent="0.2">
      <c r="A1395" s="32"/>
      <c r="B1395" s="30"/>
      <c r="C1395" s="31"/>
      <c r="D1395" s="31"/>
      <c r="E1395" s="31"/>
      <c r="F1395" s="32"/>
      <c r="G1395" s="32"/>
      <c r="H1395" s="32"/>
      <c r="I1395" s="32"/>
    </row>
    <row r="1396" spans="1:9" s="27" customFormat="1" x14ac:dyDescent="0.2">
      <c r="A1396" s="32"/>
      <c r="B1396" s="30"/>
      <c r="C1396" s="31"/>
      <c r="D1396" s="31"/>
      <c r="E1396" s="31"/>
      <c r="F1396" s="32"/>
      <c r="G1396" s="32"/>
      <c r="H1396" s="32"/>
      <c r="I1396" s="32"/>
    </row>
    <row r="1397" spans="1:9" s="27" customFormat="1" x14ac:dyDescent="0.2">
      <c r="A1397" s="32"/>
      <c r="B1397" s="30"/>
      <c r="C1397" s="31"/>
      <c r="D1397" s="31"/>
      <c r="E1397" s="31"/>
      <c r="F1397" s="32"/>
      <c r="G1397" s="32"/>
      <c r="H1397" s="32"/>
      <c r="I1397" s="32"/>
    </row>
    <row r="1398" spans="1:9" s="27" customFormat="1" x14ac:dyDescent="0.2">
      <c r="A1398" s="32"/>
      <c r="B1398" s="30"/>
      <c r="C1398" s="31"/>
      <c r="D1398" s="31"/>
      <c r="E1398" s="31"/>
      <c r="F1398" s="32"/>
      <c r="G1398" s="32"/>
      <c r="H1398" s="32"/>
      <c r="I1398" s="32"/>
    </row>
    <row r="1399" spans="1:9" s="27" customFormat="1" x14ac:dyDescent="0.2">
      <c r="A1399" s="32"/>
      <c r="B1399" s="30"/>
      <c r="C1399" s="31"/>
      <c r="D1399" s="31"/>
      <c r="E1399" s="31"/>
      <c r="F1399" s="32"/>
      <c r="G1399" s="32"/>
      <c r="H1399" s="32"/>
      <c r="I1399" s="32"/>
    </row>
    <row r="1400" spans="1:9" s="27" customFormat="1" x14ac:dyDescent="0.2">
      <c r="A1400" s="32"/>
      <c r="B1400" s="30"/>
      <c r="C1400" s="31"/>
      <c r="D1400" s="31"/>
      <c r="E1400" s="31"/>
      <c r="F1400" s="32"/>
      <c r="G1400" s="32"/>
      <c r="H1400" s="32"/>
      <c r="I1400" s="32"/>
    </row>
    <row r="1401" spans="1:9" s="27" customFormat="1" x14ac:dyDescent="0.2">
      <c r="A1401" s="32"/>
      <c r="B1401" s="30"/>
      <c r="C1401" s="31"/>
      <c r="D1401" s="31"/>
      <c r="E1401" s="31"/>
      <c r="F1401" s="32"/>
      <c r="G1401" s="32"/>
      <c r="H1401" s="32"/>
      <c r="I1401" s="32"/>
    </row>
    <row r="1402" spans="1:9" s="27" customFormat="1" x14ac:dyDescent="0.2">
      <c r="A1402" s="32"/>
      <c r="B1402" s="30"/>
      <c r="C1402" s="31"/>
      <c r="D1402" s="31"/>
      <c r="E1402" s="31"/>
      <c r="F1402" s="32"/>
      <c r="G1402" s="32"/>
      <c r="H1402" s="32"/>
      <c r="I1402" s="32"/>
    </row>
    <row r="1403" spans="1:9" s="27" customFormat="1" x14ac:dyDescent="0.2">
      <c r="A1403" s="32"/>
      <c r="B1403" s="30"/>
      <c r="C1403" s="31"/>
      <c r="D1403" s="31"/>
      <c r="E1403" s="31"/>
      <c r="F1403" s="32"/>
      <c r="G1403" s="32"/>
      <c r="H1403" s="32"/>
      <c r="I1403" s="32"/>
    </row>
    <row r="1404" spans="1:9" s="27" customFormat="1" x14ac:dyDescent="0.2">
      <c r="A1404" s="32"/>
      <c r="B1404" s="30"/>
      <c r="C1404" s="31"/>
      <c r="D1404" s="31"/>
      <c r="E1404" s="31"/>
      <c r="F1404" s="32"/>
      <c r="G1404" s="32"/>
      <c r="H1404" s="32"/>
      <c r="I1404" s="32"/>
    </row>
    <row r="1405" spans="1:9" s="27" customFormat="1" x14ac:dyDescent="0.2">
      <c r="A1405" s="32"/>
      <c r="B1405" s="30"/>
      <c r="C1405" s="31"/>
      <c r="D1405" s="31"/>
      <c r="E1405" s="31"/>
      <c r="F1405" s="32"/>
      <c r="G1405" s="32"/>
      <c r="H1405" s="32"/>
      <c r="I1405" s="32"/>
    </row>
    <row r="1406" spans="1:9" s="27" customFormat="1" x14ac:dyDescent="0.2">
      <c r="A1406" s="32"/>
      <c r="B1406" s="30"/>
      <c r="C1406" s="31"/>
      <c r="D1406" s="31"/>
      <c r="E1406" s="31"/>
      <c r="F1406" s="32"/>
      <c r="G1406" s="32"/>
      <c r="H1406" s="32"/>
      <c r="I1406" s="32"/>
    </row>
    <row r="1407" spans="1:9" s="27" customFormat="1" x14ac:dyDescent="0.2">
      <c r="A1407" s="32"/>
      <c r="B1407" s="30"/>
      <c r="C1407" s="31"/>
      <c r="D1407" s="31"/>
      <c r="E1407" s="31"/>
      <c r="F1407" s="32"/>
      <c r="G1407" s="32"/>
      <c r="H1407" s="32"/>
      <c r="I1407" s="32"/>
    </row>
    <row r="1408" spans="1:9" s="27" customFormat="1" x14ac:dyDescent="0.2">
      <c r="A1408" s="32"/>
      <c r="B1408" s="30"/>
      <c r="C1408" s="31"/>
      <c r="D1408" s="31"/>
      <c r="E1408" s="31"/>
      <c r="F1408" s="32"/>
      <c r="G1408" s="32"/>
      <c r="H1408" s="32"/>
      <c r="I1408" s="32"/>
    </row>
    <row r="1409" spans="1:9" s="27" customFormat="1" x14ac:dyDescent="0.2">
      <c r="A1409" s="32"/>
      <c r="B1409" s="30"/>
      <c r="C1409" s="31"/>
      <c r="D1409" s="31"/>
      <c r="E1409" s="31"/>
      <c r="F1409" s="32"/>
      <c r="G1409" s="32"/>
      <c r="H1409" s="32"/>
      <c r="I1409" s="32"/>
    </row>
    <row r="1410" spans="1:9" s="27" customFormat="1" x14ac:dyDescent="0.2">
      <c r="A1410" s="32"/>
      <c r="B1410" s="30"/>
      <c r="C1410" s="31"/>
      <c r="D1410" s="31"/>
      <c r="E1410" s="31"/>
      <c r="F1410" s="32"/>
      <c r="G1410" s="32"/>
      <c r="H1410" s="32"/>
      <c r="I1410" s="32"/>
    </row>
    <row r="1411" spans="1:9" s="27" customFormat="1" x14ac:dyDescent="0.2">
      <c r="A1411" s="32"/>
      <c r="B1411" s="30"/>
      <c r="C1411" s="31"/>
      <c r="D1411" s="31"/>
      <c r="E1411" s="31"/>
      <c r="F1411" s="32"/>
      <c r="G1411" s="32"/>
      <c r="H1411" s="32"/>
      <c r="I1411" s="32"/>
    </row>
    <row r="1412" spans="1:9" s="27" customFormat="1" x14ac:dyDescent="0.2">
      <c r="A1412" s="32"/>
      <c r="B1412" s="30"/>
      <c r="C1412" s="31"/>
      <c r="D1412" s="31"/>
      <c r="E1412" s="31"/>
      <c r="F1412" s="32"/>
      <c r="G1412" s="32"/>
      <c r="H1412" s="32"/>
      <c r="I1412" s="32"/>
    </row>
    <row r="1413" spans="1:9" s="27" customFormat="1" x14ac:dyDescent="0.2">
      <c r="A1413" s="32"/>
      <c r="B1413" s="30"/>
      <c r="C1413" s="31"/>
      <c r="D1413" s="31"/>
      <c r="E1413" s="31"/>
      <c r="F1413" s="32"/>
      <c r="G1413" s="32"/>
      <c r="H1413" s="32"/>
      <c r="I1413" s="32"/>
    </row>
    <row r="1414" spans="1:9" s="27" customFormat="1" x14ac:dyDescent="0.2">
      <c r="A1414" s="32"/>
      <c r="B1414" s="30"/>
      <c r="C1414" s="31"/>
      <c r="D1414" s="31"/>
      <c r="E1414" s="31"/>
      <c r="F1414" s="32"/>
      <c r="G1414" s="32"/>
      <c r="H1414" s="32"/>
      <c r="I1414" s="32"/>
    </row>
    <row r="1415" spans="1:9" s="27" customFormat="1" x14ac:dyDescent="0.2">
      <c r="A1415" s="32"/>
      <c r="B1415" s="30"/>
      <c r="C1415" s="31"/>
      <c r="D1415" s="31"/>
      <c r="E1415" s="31"/>
      <c r="F1415" s="32"/>
      <c r="G1415" s="32"/>
      <c r="H1415" s="32"/>
      <c r="I1415" s="32"/>
    </row>
    <row r="1416" spans="1:9" s="27" customFormat="1" x14ac:dyDescent="0.2">
      <c r="A1416" s="32"/>
      <c r="B1416" s="30"/>
      <c r="C1416" s="31"/>
      <c r="D1416" s="31"/>
      <c r="E1416" s="31"/>
      <c r="F1416" s="32"/>
      <c r="G1416" s="32"/>
      <c r="H1416" s="32"/>
      <c r="I1416" s="32"/>
    </row>
    <row r="1417" spans="1:9" s="27" customFormat="1" x14ac:dyDescent="0.2">
      <c r="A1417" s="32"/>
      <c r="B1417" s="30"/>
      <c r="C1417" s="31"/>
      <c r="D1417" s="31"/>
      <c r="E1417" s="31"/>
      <c r="F1417" s="32"/>
      <c r="G1417" s="32"/>
      <c r="H1417" s="32"/>
      <c r="I1417" s="32"/>
    </row>
    <row r="1418" spans="1:9" s="27" customFormat="1" x14ac:dyDescent="0.2">
      <c r="A1418" s="32"/>
      <c r="B1418" s="30"/>
      <c r="C1418" s="31"/>
      <c r="D1418" s="31"/>
      <c r="E1418" s="31"/>
      <c r="F1418" s="32"/>
      <c r="G1418" s="32"/>
      <c r="H1418" s="32"/>
      <c r="I1418" s="32"/>
    </row>
    <row r="1419" spans="1:9" s="27" customFormat="1" x14ac:dyDescent="0.2">
      <c r="A1419" s="32"/>
      <c r="B1419" s="30"/>
      <c r="C1419" s="31"/>
      <c r="D1419" s="31"/>
      <c r="E1419" s="31"/>
      <c r="F1419" s="32"/>
      <c r="G1419" s="32"/>
      <c r="H1419" s="32"/>
      <c r="I1419" s="32"/>
    </row>
    <row r="1420" spans="1:9" s="27" customFormat="1" x14ac:dyDescent="0.2">
      <c r="A1420" s="32"/>
      <c r="B1420" s="30"/>
      <c r="C1420" s="31"/>
      <c r="D1420" s="31"/>
      <c r="E1420" s="31"/>
      <c r="F1420" s="32"/>
      <c r="G1420" s="32"/>
      <c r="H1420" s="32"/>
      <c r="I1420" s="32"/>
    </row>
    <row r="1421" spans="1:9" s="27" customFormat="1" x14ac:dyDescent="0.2">
      <c r="A1421" s="32"/>
      <c r="B1421" s="30"/>
      <c r="C1421" s="31"/>
      <c r="D1421" s="31"/>
      <c r="E1421" s="31"/>
      <c r="F1421" s="32"/>
      <c r="G1421" s="32"/>
      <c r="H1421" s="32"/>
      <c r="I1421" s="32"/>
    </row>
    <row r="1422" spans="1:9" s="27" customFormat="1" x14ac:dyDescent="0.2">
      <c r="A1422" s="32"/>
      <c r="B1422" s="30"/>
      <c r="C1422" s="31"/>
      <c r="D1422" s="31"/>
      <c r="E1422" s="31"/>
      <c r="F1422" s="32"/>
      <c r="G1422" s="32"/>
      <c r="H1422" s="32"/>
      <c r="I1422" s="32"/>
    </row>
    <row r="1423" spans="1:9" s="27" customFormat="1" x14ac:dyDescent="0.2">
      <c r="A1423" s="32"/>
      <c r="B1423" s="30"/>
      <c r="C1423" s="31"/>
      <c r="D1423" s="31"/>
      <c r="E1423" s="31"/>
      <c r="F1423" s="32"/>
      <c r="G1423" s="32"/>
      <c r="H1423" s="32"/>
      <c r="I1423" s="32"/>
    </row>
    <row r="1424" spans="1:9" s="27" customFormat="1" x14ac:dyDescent="0.2">
      <c r="A1424" s="32"/>
      <c r="B1424" s="30"/>
      <c r="C1424" s="31"/>
      <c r="D1424" s="31"/>
      <c r="E1424" s="31"/>
      <c r="F1424" s="32"/>
      <c r="G1424" s="32"/>
      <c r="H1424" s="32"/>
      <c r="I1424" s="32"/>
    </row>
    <row r="1425" spans="1:9" s="27" customFormat="1" x14ac:dyDescent="0.2">
      <c r="A1425" s="32"/>
      <c r="B1425" s="30"/>
      <c r="C1425" s="31"/>
      <c r="D1425" s="31"/>
      <c r="E1425" s="31"/>
      <c r="F1425" s="32"/>
      <c r="G1425" s="32"/>
      <c r="H1425" s="32"/>
      <c r="I1425" s="32"/>
    </row>
    <row r="1426" spans="1:9" s="27" customFormat="1" x14ac:dyDescent="0.2">
      <c r="A1426" s="32"/>
      <c r="B1426" s="30"/>
      <c r="C1426" s="31"/>
      <c r="D1426" s="31"/>
      <c r="E1426" s="31"/>
      <c r="F1426" s="32"/>
      <c r="G1426" s="32"/>
      <c r="H1426" s="32"/>
      <c r="I1426" s="32"/>
    </row>
    <row r="1427" spans="1:9" s="27" customFormat="1" x14ac:dyDescent="0.2">
      <c r="A1427" s="32"/>
      <c r="B1427" s="30"/>
      <c r="C1427" s="31"/>
      <c r="D1427" s="31"/>
      <c r="E1427" s="31"/>
      <c r="F1427" s="32"/>
      <c r="G1427" s="32"/>
      <c r="H1427" s="32"/>
      <c r="I1427" s="32"/>
    </row>
    <row r="1428" spans="1:9" s="27" customFormat="1" x14ac:dyDescent="0.2">
      <c r="A1428" s="32"/>
      <c r="B1428" s="30"/>
      <c r="C1428" s="31"/>
      <c r="D1428" s="31"/>
      <c r="E1428" s="31"/>
      <c r="F1428" s="32"/>
      <c r="G1428" s="32"/>
      <c r="H1428" s="32"/>
      <c r="I1428" s="32"/>
    </row>
    <row r="1429" spans="1:9" s="27" customFormat="1" x14ac:dyDescent="0.2">
      <c r="A1429" s="32"/>
      <c r="B1429" s="30"/>
      <c r="C1429" s="31"/>
      <c r="D1429" s="31"/>
      <c r="E1429" s="31"/>
      <c r="F1429" s="32"/>
      <c r="G1429" s="32"/>
      <c r="H1429" s="32"/>
      <c r="I1429" s="32"/>
    </row>
    <row r="1430" spans="1:9" s="27" customFormat="1" x14ac:dyDescent="0.2">
      <c r="A1430" s="32"/>
      <c r="B1430" s="30"/>
      <c r="C1430" s="31"/>
      <c r="D1430" s="31"/>
      <c r="E1430" s="31"/>
      <c r="F1430" s="32"/>
      <c r="G1430" s="32"/>
      <c r="H1430" s="32"/>
      <c r="I1430" s="32"/>
    </row>
    <row r="1431" spans="1:9" s="27" customFormat="1" x14ac:dyDescent="0.2">
      <c r="A1431" s="32"/>
      <c r="B1431" s="30"/>
      <c r="C1431" s="31"/>
      <c r="D1431" s="31"/>
      <c r="E1431" s="31"/>
      <c r="F1431" s="32"/>
      <c r="G1431" s="32"/>
      <c r="H1431" s="32"/>
      <c r="I1431" s="32"/>
    </row>
    <row r="1432" spans="1:9" s="27" customFormat="1" x14ac:dyDescent="0.2">
      <c r="A1432" s="32"/>
      <c r="B1432" s="30"/>
      <c r="C1432" s="31"/>
      <c r="D1432" s="31"/>
      <c r="E1432" s="31"/>
      <c r="F1432" s="32"/>
      <c r="G1432" s="32"/>
      <c r="H1432" s="32"/>
      <c r="I1432" s="32"/>
    </row>
    <row r="1433" spans="1:9" s="27" customFormat="1" x14ac:dyDescent="0.2">
      <c r="A1433" s="32"/>
      <c r="B1433" s="30"/>
      <c r="C1433" s="31"/>
      <c r="D1433" s="31"/>
      <c r="E1433" s="31"/>
      <c r="F1433" s="32"/>
      <c r="G1433" s="32"/>
      <c r="H1433" s="32"/>
      <c r="I1433" s="32"/>
    </row>
    <row r="1434" spans="1:9" s="27" customFormat="1" x14ac:dyDescent="0.2">
      <c r="A1434" s="32"/>
      <c r="B1434" s="30"/>
      <c r="C1434" s="31"/>
      <c r="D1434" s="31"/>
      <c r="E1434" s="31"/>
      <c r="F1434" s="32"/>
      <c r="G1434" s="32"/>
      <c r="H1434" s="32"/>
      <c r="I1434" s="32"/>
    </row>
    <row r="1435" spans="1:9" s="27" customFormat="1" x14ac:dyDescent="0.2">
      <c r="A1435" s="32"/>
      <c r="B1435" s="30"/>
      <c r="C1435" s="31"/>
      <c r="D1435" s="31"/>
      <c r="E1435" s="31"/>
      <c r="F1435" s="32"/>
      <c r="G1435" s="32"/>
      <c r="H1435" s="32"/>
      <c r="I1435" s="32"/>
    </row>
    <row r="1436" spans="1:9" s="27" customFormat="1" x14ac:dyDescent="0.2">
      <c r="A1436" s="32"/>
      <c r="B1436" s="30"/>
      <c r="C1436" s="31"/>
      <c r="D1436" s="31"/>
      <c r="E1436" s="31"/>
      <c r="F1436" s="32"/>
      <c r="G1436" s="32"/>
      <c r="H1436" s="32"/>
      <c r="I1436" s="32"/>
    </row>
    <row r="1437" spans="1:9" s="27" customFormat="1" x14ac:dyDescent="0.2">
      <c r="A1437" s="32"/>
      <c r="B1437" s="30"/>
      <c r="C1437" s="31"/>
      <c r="D1437" s="31"/>
      <c r="E1437" s="31"/>
      <c r="F1437" s="32"/>
      <c r="G1437" s="32"/>
      <c r="H1437" s="32"/>
      <c r="I1437" s="32"/>
    </row>
    <row r="1438" spans="1:9" s="27" customFormat="1" x14ac:dyDescent="0.2">
      <c r="A1438" s="32"/>
      <c r="B1438" s="30"/>
      <c r="C1438" s="31"/>
      <c r="D1438" s="31"/>
      <c r="E1438" s="31"/>
      <c r="F1438" s="32"/>
      <c r="G1438" s="32"/>
      <c r="H1438" s="32"/>
      <c r="I1438" s="32"/>
    </row>
    <row r="1439" spans="1:9" s="27" customFormat="1" x14ac:dyDescent="0.2">
      <c r="A1439" s="32"/>
      <c r="B1439" s="30"/>
      <c r="C1439" s="31"/>
      <c r="D1439" s="31"/>
      <c r="E1439" s="31"/>
      <c r="F1439" s="32"/>
      <c r="G1439" s="32"/>
      <c r="H1439" s="32"/>
      <c r="I1439" s="32"/>
    </row>
    <row r="1440" spans="1:9" s="27" customFormat="1" x14ac:dyDescent="0.2">
      <c r="A1440" s="32"/>
      <c r="B1440" s="30"/>
      <c r="C1440" s="31"/>
      <c r="D1440" s="31"/>
      <c r="E1440" s="31"/>
      <c r="F1440" s="32"/>
      <c r="G1440" s="32"/>
      <c r="H1440" s="32"/>
      <c r="I1440" s="32"/>
    </row>
    <row r="1441" spans="1:9" s="27" customFormat="1" x14ac:dyDescent="0.2">
      <c r="A1441" s="32"/>
      <c r="B1441" s="30"/>
      <c r="C1441" s="31"/>
      <c r="D1441" s="31"/>
      <c r="E1441" s="31"/>
      <c r="F1441" s="32"/>
      <c r="G1441" s="32"/>
      <c r="H1441" s="32"/>
      <c r="I1441" s="32"/>
    </row>
    <row r="1442" spans="1:9" s="27" customFormat="1" x14ac:dyDescent="0.2">
      <c r="A1442" s="32"/>
      <c r="B1442" s="30"/>
      <c r="C1442" s="31"/>
      <c r="D1442" s="31"/>
      <c r="E1442" s="31"/>
      <c r="F1442" s="32"/>
      <c r="G1442" s="32"/>
      <c r="H1442" s="32"/>
      <c r="I1442" s="32"/>
    </row>
    <row r="1443" spans="1:9" s="27" customFormat="1" x14ac:dyDescent="0.2">
      <c r="A1443" s="32"/>
      <c r="B1443" s="30"/>
      <c r="C1443" s="31"/>
      <c r="D1443" s="31"/>
      <c r="E1443" s="31"/>
      <c r="F1443" s="32"/>
      <c r="G1443" s="32"/>
      <c r="H1443" s="32"/>
      <c r="I1443" s="32"/>
    </row>
    <row r="1444" spans="1:9" s="27" customFormat="1" x14ac:dyDescent="0.2">
      <c r="A1444" s="32"/>
      <c r="B1444" s="30"/>
      <c r="C1444" s="31"/>
      <c r="D1444" s="31"/>
      <c r="E1444" s="31"/>
      <c r="F1444" s="32"/>
      <c r="G1444" s="32"/>
      <c r="H1444" s="32"/>
      <c r="I1444" s="32"/>
    </row>
    <row r="1445" spans="1:9" s="27" customFormat="1" x14ac:dyDescent="0.2">
      <c r="A1445" s="32"/>
      <c r="B1445" s="30"/>
      <c r="C1445" s="31"/>
      <c r="D1445" s="31"/>
      <c r="E1445" s="31"/>
      <c r="F1445" s="32"/>
      <c r="G1445" s="32"/>
      <c r="H1445" s="32"/>
      <c r="I1445" s="32"/>
    </row>
    <row r="1446" spans="1:9" s="27" customFormat="1" x14ac:dyDescent="0.2">
      <c r="A1446" s="32"/>
      <c r="B1446" s="30"/>
      <c r="C1446" s="31"/>
      <c r="D1446" s="31"/>
      <c r="E1446" s="31"/>
      <c r="F1446" s="32"/>
      <c r="G1446" s="32"/>
      <c r="H1446" s="32"/>
      <c r="I1446" s="32"/>
    </row>
    <row r="1447" spans="1:9" s="27" customFormat="1" x14ac:dyDescent="0.2">
      <c r="A1447" s="32"/>
      <c r="B1447" s="30"/>
      <c r="C1447" s="31"/>
      <c r="D1447" s="31"/>
      <c r="E1447" s="31"/>
      <c r="F1447" s="32"/>
      <c r="G1447" s="32"/>
      <c r="H1447" s="32"/>
      <c r="I1447" s="32"/>
    </row>
    <row r="1448" spans="1:9" s="27" customFormat="1" x14ac:dyDescent="0.2">
      <c r="A1448" s="32"/>
      <c r="B1448" s="30"/>
      <c r="C1448" s="31"/>
      <c r="D1448" s="31"/>
      <c r="E1448" s="31"/>
      <c r="F1448" s="32"/>
      <c r="G1448" s="32"/>
      <c r="H1448" s="32"/>
      <c r="I1448" s="32"/>
    </row>
    <row r="1449" spans="1:9" s="27" customFormat="1" x14ac:dyDescent="0.2">
      <c r="A1449" s="32"/>
      <c r="B1449" s="30"/>
      <c r="C1449" s="31"/>
      <c r="D1449" s="31"/>
      <c r="E1449" s="31"/>
      <c r="F1449" s="32"/>
      <c r="G1449" s="32"/>
      <c r="H1449" s="32"/>
      <c r="I1449" s="32"/>
    </row>
    <row r="1450" spans="1:9" s="27" customFormat="1" x14ac:dyDescent="0.2">
      <c r="A1450" s="32"/>
      <c r="B1450" s="30"/>
      <c r="C1450" s="31"/>
      <c r="D1450" s="31"/>
      <c r="E1450" s="31"/>
      <c r="F1450" s="32"/>
      <c r="G1450" s="32"/>
      <c r="H1450" s="32"/>
      <c r="I1450" s="32"/>
    </row>
    <row r="1451" spans="1:9" s="27" customFormat="1" x14ac:dyDescent="0.2">
      <c r="A1451" s="32"/>
      <c r="B1451" s="30"/>
      <c r="C1451" s="31"/>
      <c r="D1451" s="31"/>
      <c r="E1451" s="31"/>
      <c r="F1451" s="32"/>
      <c r="G1451" s="32"/>
      <c r="H1451" s="32"/>
      <c r="I1451" s="32"/>
    </row>
    <row r="1452" spans="1:9" s="27" customFormat="1" x14ac:dyDescent="0.2">
      <c r="A1452" s="32"/>
      <c r="B1452" s="30"/>
      <c r="C1452" s="31"/>
      <c r="D1452" s="31"/>
      <c r="E1452" s="31"/>
      <c r="F1452" s="32"/>
      <c r="G1452" s="32"/>
      <c r="H1452" s="32"/>
      <c r="I1452" s="32"/>
    </row>
    <row r="1453" spans="1:9" s="27" customFormat="1" x14ac:dyDescent="0.2">
      <c r="A1453" s="32"/>
      <c r="B1453" s="30"/>
      <c r="C1453" s="31"/>
      <c r="D1453" s="31"/>
      <c r="E1453" s="31"/>
      <c r="F1453" s="32"/>
      <c r="G1453" s="32"/>
      <c r="H1453" s="32"/>
      <c r="I1453" s="32"/>
    </row>
    <row r="1454" spans="1:9" s="27" customFormat="1" x14ac:dyDescent="0.2">
      <c r="A1454" s="32"/>
      <c r="B1454" s="30"/>
      <c r="C1454" s="31"/>
      <c r="D1454" s="31"/>
      <c r="E1454" s="31"/>
      <c r="F1454" s="32"/>
      <c r="G1454" s="32"/>
      <c r="H1454" s="32"/>
      <c r="I1454" s="32"/>
    </row>
    <row r="1455" spans="1:9" s="27" customFormat="1" x14ac:dyDescent="0.2">
      <c r="A1455" s="32"/>
      <c r="B1455" s="30"/>
      <c r="C1455" s="31"/>
      <c r="D1455" s="31"/>
      <c r="E1455" s="31"/>
      <c r="F1455" s="32"/>
      <c r="G1455" s="32"/>
      <c r="H1455" s="32"/>
      <c r="I1455" s="32"/>
    </row>
    <row r="1456" spans="1:9" s="27" customFormat="1" x14ac:dyDescent="0.2">
      <c r="A1456" s="32"/>
      <c r="B1456" s="30"/>
      <c r="C1456" s="31"/>
      <c r="D1456" s="31"/>
      <c r="E1456" s="31"/>
      <c r="F1456" s="32"/>
      <c r="G1456" s="32"/>
      <c r="H1456" s="32"/>
      <c r="I1456" s="32"/>
    </row>
    <row r="1457" spans="1:9" s="27" customFormat="1" x14ac:dyDescent="0.2">
      <c r="A1457" s="32"/>
      <c r="B1457" s="30"/>
      <c r="C1457" s="31"/>
      <c r="D1457" s="31"/>
      <c r="E1457" s="31"/>
      <c r="F1457" s="32"/>
      <c r="G1457" s="32"/>
      <c r="H1457" s="32"/>
      <c r="I1457" s="32"/>
    </row>
    <row r="1458" spans="1:9" s="27" customFormat="1" x14ac:dyDescent="0.2">
      <c r="A1458" s="32"/>
      <c r="B1458" s="30"/>
      <c r="C1458" s="31"/>
      <c r="D1458" s="31"/>
      <c r="E1458" s="31"/>
      <c r="F1458" s="32"/>
      <c r="G1458" s="32"/>
      <c r="H1458" s="32"/>
      <c r="I1458" s="32"/>
    </row>
  </sheetData>
  <conditionalFormatting sqref="E707:E830">
    <cfRule type="colorScale" priority="2">
      <colorScale>
        <cfvo type="min"/>
        <cfvo type="percentile" val="50"/>
        <cfvo type="max"/>
        <color rgb="FFF8696B"/>
        <color rgb="FFFFEB84"/>
        <color rgb="FF63BE7B"/>
      </colorScale>
    </cfRule>
  </conditionalFormatting>
  <conditionalFormatting sqref="I707:I830">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Notes</vt:lpstr>
      <vt:lpstr>Data</vt:lpstr>
      <vt:lpstr>Data Core CPI</vt:lpstr>
      <vt:lpstr>Recap CPI yoy</vt:lpstr>
      <vt:lpstr>Recap Core CPI yoy</vt:lpstr>
      <vt:lpstr>Country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2018-04-17T08:31:36Z</dcterms:created>
  <dcterms:modified xsi:type="dcterms:W3CDTF">2021-11-29T14:39:56Z</dcterms:modified>
</cp:coreProperties>
</file>