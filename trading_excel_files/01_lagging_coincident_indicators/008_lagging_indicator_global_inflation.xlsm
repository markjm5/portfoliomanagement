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5C3C241F-8EBB-6C4A-83EA-D53F79E0439F}" xr6:coauthVersionLast="47" xr6:coauthVersionMax="47" xr10:uidLastSave="{00000000-0000-0000-0000-000000000000}"/>
  <bookViews>
    <workbookView xWindow="-35380" yWindow="500" windowWidth="33620" windowHeight="21100" activeTab="3"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2" i="4" l="1"/>
  <c r="D152" i="4"/>
  <c r="E152" i="4"/>
  <c r="F152" i="4"/>
  <c r="G152" i="4"/>
  <c r="H152" i="4"/>
  <c r="I152" i="4"/>
  <c r="J152" i="4"/>
  <c r="K152" i="4"/>
  <c r="L152" i="4"/>
  <c r="M152" i="4"/>
  <c r="N152" i="4"/>
  <c r="O152" i="4"/>
  <c r="P152" i="4"/>
  <c r="Q152" i="4"/>
  <c r="R152" i="4"/>
  <c r="S152" i="4"/>
  <c r="T152" i="4"/>
  <c r="U152" i="4"/>
  <c r="V152" i="4"/>
  <c r="W152" i="4"/>
  <c r="X152" i="4"/>
  <c r="Y152" i="4"/>
  <c r="F858" i="6"/>
  <c r="A858" i="6"/>
  <c r="B858" i="6" s="1"/>
  <c r="C858" i="6" s="1"/>
  <c r="D858" i="6" s="1"/>
  <c r="F857" i="6"/>
  <c r="G857" i="6" s="1"/>
  <c r="H857" i="6" s="1"/>
  <c r="B857" i="6"/>
  <c r="A857" i="6"/>
  <c r="F856" i="6"/>
  <c r="G856" i="6" s="1"/>
  <c r="H856" i="6" s="1"/>
  <c r="A856" i="6"/>
  <c r="B856" i="6" s="1"/>
  <c r="F855" i="6"/>
  <c r="A855" i="6"/>
  <c r="B855" i="6" s="1"/>
  <c r="A854" i="6"/>
  <c r="A853" i="6"/>
  <c r="B853" i="6" s="1"/>
  <c r="A852" i="6"/>
  <c r="B851" i="6"/>
  <c r="C851" i="6" s="1"/>
  <c r="D851" i="6" s="1"/>
  <c r="A851" i="6"/>
  <c r="F851" i="6" s="1"/>
  <c r="F850" i="6"/>
  <c r="G850" i="6" s="1"/>
  <c r="H850" i="6" s="1"/>
  <c r="A850" i="6"/>
  <c r="B850" i="6" s="1"/>
  <c r="C850" i="6" s="1"/>
  <c r="D850" i="6" s="1"/>
  <c r="F849" i="6"/>
  <c r="D849" i="6"/>
  <c r="B849" i="6"/>
  <c r="C849" i="6" s="1"/>
  <c r="A849" i="6"/>
  <c r="F848" i="6"/>
  <c r="B848" i="6"/>
  <c r="A848" i="6"/>
  <c r="A847" i="6"/>
  <c r="B847" i="6" s="1"/>
  <c r="B846" i="6"/>
  <c r="A846" i="6"/>
  <c r="F846" i="6" s="1"/>
  <c r="A845" i="6"/>
  <c r="F845" i="6" s="1"/>
  <c r="A844" i="6"/>
  <c r="F844" i="6" s="1"/>
  <c r="I856" i="6" s="1"/>
  <c r="B843" i="6"/>
  <c r="A843" i="6"/>
  <c r="F843" i="6" s="1"/>
  <c r="G843" i="6" s="1"/>
  <c r="H843" i="6" s="1"/>
  <c r="I842" i="6"/>
  <c r="F842" i="6"/>
  <c r="A842" i="6"/>
  <c r="B842" i="6" s="1"/>
  <c r="F841" i="6"/>
  <c r="B841" i="6"/>
  <c r="A841" i="6"/>
  <c r="F840" i="6"/>
  <c r="B840" i="6"/>
  <c r="A840" i="6"/>
  <c r="A839" i="6"/>
  <c r="B838" i="6"/>
  <c r="A838" i="6"/>
  <c r="F838" i="6" s="1"/>
  <c r="A837" i="6"/>
  <c r="F837" i="6" s="1"/>
  <c r="G838" i="6" s="1"/>
  <c r="H838" i="6" s="1"/>
  <c r="I836" i="6"/>
  <c r="A836" i="6"/>
  <c r="F836" i="6" s="1"/>
  <c r="G836" i="6" s="1"/>
  <c r="H836" i="6" s="1"/>
  <c r="B835" i="6"/>
  <c r="A835" i="6"/>
  <c r="F835" i="6" s="1"/>
  <c r="A834" i="6"/>
  <c r="F833" i="6"/>
  <c r="I845" i="6" s="1"/>
  <c r="B833" i="6"/>
  <c r="C833" i="6" s="1"/>
  <c r="D833" i="6" s="1"/>
  <c r="A833" i="6"/>
  <c r="G832" i="6"/>
  <c r="H832" i="6" s="1"/>
  <c r="F832" i="6"/>
  <c r="I844" i="6" s="1"/>
  <c r="B832" i="6"/>
  <c r="A832" i="6"/>
  <c r="F831" i="6"/>
  <c r="I843" i="6" s="1"/>
  <c r="A831" i="6"/>
  <c r="B831" i="6" s="1"/>
  <c r="E843" i="6" s="1"/>
  <c r="E830" i="6"/>
  <c r="B830" i="6"/>
  <c r="E842" i="6" s="1"/>
  <c r="A830" i="6"/>
  <c r="F830" i="6" s="1"/>
  <c r="A829" i="6"/>
  <c r="F829" i="6" s="1"/>
  <c r="A828" i="6"/>
  <c r="B828" i="6" s="1"/>
  <c r="B827" i="6"/>
  <c r="A827" i="6"/>
  <c r="F827" i="6" s="1"/>
  <c r="F826" i="6"/>
  <c r="A826" i="6"/>
  <c r="B826" i="6" s="1"/>
  <c r="E838" i="6" s="1"/>
  <c r="F825" i="6"/>
  <c r="G825" i="6" s="1"/>
  <c r="H825" i="6" s="1"/>
  <c r="B825" i="6"/>
  <c r="A825" i="6"/>
  <c r="F824" i="6"/>
  <c r="B824" i="6"/>
  <c r="A824" i="6"/>
  <c r="A823" i="6"/>
  <c r="B823" i="6" s="1"/>
  <c r="C823" i="6" s="1"/>
  <c r="D823" i="6" s="1"/>
  <c r="B822" i="6"/>
  <c r="A822" i="6"/>
  <c r="F822" i="6" s="1"/>
  <c r="A821" i="6"/>
  <c r="B820" i="6"/>
  <c r="A820" i="6"/>
  <c r="F820" i="6" s="1"/>
  <c r="B819" i="6"/>
  <c r="A819" i="6"/>
  <c r="F819" i="6" s="1"/>
  <c r="F818" i="6"/>
  <c r="A818" i="6"/>
  <c r="B818" i="6" s="1"/>
  <c r="F817" i="6"/>
  <c r="B817" i="6"/>
  <c r="A817" i="6"/>
  <c r="F816" i="6"/>
  <c r="B816" i="6"/>
  <c r="A816" i="6"/>
  <c r="A815" i="6"/>
  <c r="A814" i="6"/>
  <c r="I813" i="6"/>
  <c r="A813" i="6"/>
  <c r="F813" i="6" s="1"/>
  <c r="I825" i="6" s="1"/>
  <c r="F812" i="6"/>
  <c r="I824" i="6" s="1"/>
  <c r="A812" i="6"/>
  <c r="B812" i="6" s="1"/>
  <c r="B811" i="6"/>
  <c r="A811" i="6"/>
  <c r="F811" i="6" s="1"/>
  <c r="A810" i="6"/>
  <c r="F809" i="6"/>
  <c r="B809" i="6"/>
  <c r="C809" i="6" s="1"/>
  <c r="D809" i="6" s="1"/>
  <c r="A809" i="6"/>
  <c r="F808" i="6"/>
  <c r="C808" i="6"/>
  <c r="D808" i="6" s="1"/>
  <c r="B808" i="6"/>
  <c r="A808" i="6"/>
  <c r="F807" i="6"/>
  <c r="I819" i="6" s="1"/>
  <c r="A807" i="6"/>
  <c r="B807" i="6" s="1"/>
  <c r="E819" i="6" s="1"/>
  <c r="A806" i="6"/>
  <c r="A805" i="6"/>
  <c r="F804" i="6"/>
  <c r="A804" i="6"/>
  <c r="B804" i="6" s="1"/>
  <c r="B803" i="6"/>
  <c r="A803" i="6"/>
  <c r="F803" i="6" s="1"/>
  <c r="A802" i="6"/>
  <c r="F801" i="6"/>
  <c r="B801" i="6"/>
  <c r="C801" i="6" s="1"/>
  <c r="D801" i="6" s="1"/>
  <c r="A801" i="6"/>
  <c r="F800" i="6"/>
  <c r="B800" i="6"/>
  <c r="A800" i="6"/>
  <c r="F799" i="6"/>
  <c r="A799" i="6"/>
  <c r="B799" i="6" s="1"/>
  <c r="C800" i="6" s="1"/>
  <c r="D800" i="6" s="1"/>
  <c r="G798" i="6"/>
  <c r="H798" i="6" s="1"/>
  <c r="A798" i="6"/>
  <c r="F798" i="6" s="1"/>
  <c r="A797" i="6"/>
  <c r="F797" i="6" s="1"/>
  <c r="A796" i="6"/>
  <c r="A795" i="6"/>
  <c r="F794" i="6"/>
  <c r="B794" i="6"/>
  <c r="A794" i="6"/>
  <c r="F793" i="6"/>
  <c r="B793" i="6"/>
  <c r="A793" i="6"/>
  <c r="F792" i="6"/>
  <c r="E792" i="6"/>
  <c r="B792" i="6"/>
  <c r="A792" i="6"/>
  <c r="A791" i="6"/>
  <c r="B790" i="6"/>
  <c r="A790" i="6"/>
  <c r="F790" i="6" s="1"/>
  <c r="A789" i="6"/>
  <c r="F788" i="6"/>
  <c r="B788" i="6"/>
  <c r="A788" i="6"/>
  <c r="A787" i="6"/>
  <c r="F786" i="6"/>
  <c r="B786" i="6"/>
  <c r="A786" i="6"/>
  <c r="F785" i="6"/>
  <c r="B785" i="6"/>
  <c r="A785" i="6"/>
  <c r="F784" i="6"/>
  <c r="B784" i="6"/>
  <c r="A784" i="6"/>
  <c r="A783" i="6"/>
  <c r="F782" i="6"/>
  <c r="B782" i="6"/>
  <c r="A782" i="6"/>
  <c r="A781" i="6"/>
  <c r="I780" i="6"/>
  <c r="F780" i="6"/>
  <c r="I792" i="6" s="1"/>
  <c r="B780" i="6"/>
  <c r="A780" i="6"/>
  <c r="A779" i="6"/>
  <c r="F778" i="6"/>
  <c r="B778" i="6"/>
  <c r="A778" i="6"/>
  <c r="A777" i="6"/>
  <c r="F776" i="6"/>
  <c r="B776" i="6"/>
  <c r="A776" i="6"/>
  <c r="F775" i="6"/>
  <c r="G776" i="6" s="1"/>
  <c r="H776" i="6" s="1"/>
  <c r="A775" i="6"/>
  <c r="B775" i="6" s="1"/>
  <c r="A774" i="6"/>
  <c r="A773" i="6"/>
  <c r="F773" i="6" s="1"/>
  <c r="G773" i="6" s="1"/>
  <c r="H773" i="6" s="1"/>
  <c r="B772" i="6"/>
  <c r="A772" i="6"/>
  <c r="F772" i="6" s="1"/>
  <c r="A771" i="6"/>
  <c r="F770" i="6"/>
  <c r="B770" i="6"/>
  <c r="A770" i="6"/>
  <c r="A769" i="6"/>
  <c r="F768" i="6"/>
  <c r="B768" i="6"/>
  <c r="A768" i="6"/>
  <c r="A767" i="6"/>
  <c r="A766" i="6"/>
  <c r="G765" i="6"/>
  <c r="H765" i="6" s="1"/>
  <c r="B765" i="6"/>
  <c r="A765" i="6"/>
  <c r="F765" i="6" s="1"/>
  <c r="B764" i="6"/>
  <c r="A764" i="6"/>
  <c r="F764" i="6" s="1"/>
  <c r="A763" i="6"/>
  <c r="F762" i="6"/>
  <c r="B762" i="6"/>
  <c r="A762" i="6"/>
  <c r="A761" i="6"/>
  <c r="F760" i="6"/>
  <c r="I772" i="6" s="1"/>
  <c r="B760" i="6"/>
  <c r="A760" i="6"/>
  <c r="A759" i="6"/>
  <c r="B758" i="6"/>
  <c r="A758" i="6"/>
  <c r="F758" i="6" s="1"/>
  <c r="A757" i="6"/>
  <c r="A756" i="6"/>
  <c r="F756" i="6" s="1"/>
  <c r="A755" i="6"/>
  <c r="F754" i="6"/>
  <c r="B754" i="6"/>
  <c r="A754" i="6"/>
  <c r="F753" i="6"/>
  <c r="A753" i="6"/>
  <c r="B753" i="6" s="1"/>
  <c r="F752" i="6"/>
  <c r="I764" i="6" s="1"/>
  <c r="B752" i="6"/>
  <c r="A752" i="6"/>
  <c r="A751" i="6"/>
  <c r="A750" i="6"/>
  <c r="B749" i="6"/>
  <c r="A749" i="6"/>
  <c r="F749" i="6" s="1"/>
  <c r="A748" i="6"/>
  <c r="A747" i="6"/>
  <c r="F746" i="6"/>
  <c r="B746" i="6"/>
  <c r="A746" i="6"/>
  <c r="F745" i="6"/>
  <c r="A745" i="6"/>
  <c r="B745" i="6" s="1"/>
  <c r="F744" i="6"/>
  <c r="B744" i="6"/>
  <c r="A744" i="6"/>
  <c r="A743" i="6"/>
  <c r="A742" i="6"/>
  <c r="F742" i="6" s="1"/>
  <c r="G742" i="6" s="1"/>
  <c r="H742" i="6" s="1"/>
  <c r="B741" i="6"/>
  <c r="E753" i="6" s="1"/>
  <c r="A741" i="6"/>
  <c r="F741" i="6" s="1"/>
  <c r="F740" i="6"/>
  <c r="B740" i="6"/>
  <c r="A740" i="6"/>
  <c r="B739" i="6"/>
  <c r="A739" i="6"/>
  <c r="F739" i="6" s="1"/>
  <c r="B738" i="6"/>
  <c r="A738" i="6"/>
  <c r="F738" i="6" s="1"/>
  <c r="G737" i="6"/>
  <c r="H737" i="6" s="1"/>
  <c r="E737" i="6"/>
  <c r="B737" i="6"/>
  <c r="E749" i="6" s="1"/>
  <c r="A737" i="6"/>
  <c r="F737" i="6" s="1"/>
  <c r="I749" i="6" s="1"/>
  <c r="F736" i="6"/>
  <c r="B736" i="6"/>
  <c r="A736" i="6"/>
  <c r="A735" i="6"/>
  <c r="A734" i="6"/>
  <c r="A733" i="6"/>
  <c r="B733" i="6" s="1"/>
  <c r="E745" i="6" s="1"/>
  <c r="B732" i="6"/>
  <c r="A732" i="6"/>
  <c r="F732" i="6" s="1"/>
  <c r="A731" i="6"/>
  <c r="A730" i="6"/>
  <c r="A729" i="6"/>
  <c r="F728" i="6"/>
  <c r="B728" i="6"/>
  <c r="A728" i="6"/>
  <c r="A727" i="6"/>
  <c r="A726" i="6"/>
  <c r="F725" i="6"/>
  <c r="B725" i="6"/>
  <c r="A725" i="6"/>
  <c r="F724" i="6"/>
  <c r="B724" i="6"/>
  <c r="A724" i="6"/>
  <c r="A723" i="6"/>
  <c r="A722" i="6"/>
  <c r="F722" i="6" s="1"/>
  <c r="G721" i="6"/>
  <c r="H721" i="6" s="1"/>
  <c r="B721" i="6"/>
  <c r="A721" i="6"/>
  <c r="F721" i="6" s="1"/>
  <c r="F720" i="6"/>
  <c r="B720" i="6"/>
  <c r="A720" i="6"/>
  <c r="F719" i="6"/>
  <c r="A719" i="6"/>
  <c r="B719" i="6" s="1"/>
  <c r="C720" i="6" s="1"/>
  <c r="D720" i="6" s="1"/>
  <c r="A718" i="6"/>
  <c r="A717" i="6"/>
  <c r="A716" i="6"/>
  <c r="A715" i="6"/>
  <c r="F715" i="6" s="1"/>
  <c r="A714" i="6"/>
  <c r="F714" i="6" s="1"/>
  <c r="A713" i="6"/>
  <c r="F712" i="6"/>
  <c r="E712" i="6"/>
  <c r="B712" i="6"/>
  <c r="A712" i="6"/>
  <c r="F711" i="6"/>
  <c r="A711" i="6"/>
  <c r="B711" i="6" s="1"/>
  <c r="A710" i="6"/>
  <c r="B709" i="6"/>
  <c r="A709" i="6"/>
  <c r="F709" i="6" s="1"/>
  <c r="F708" i="6"/>
  <c r="B708" i="6"/>
  <c r="A708" i="6"/>
  <c r="E707" i="6"/>
  <c r="B707" i="6"/>
  <c r="A707" i="6"/>
  <c r="F707" i="6" s="1"/>
  <c r="B706" i="6"/>
  <c r="A706" i="6"/>
  <c r="F706" i="6" s="1"/>
  <c r="A705" i="6"/>
  <c r="F704" i="6"/>
  <c r="G704" i="6" s="1"/>
  <c r="H704" i="6" s="1"/>
  <c r="C704" i="6"/>
  <c r="D704" i="6" s="1"/>
  <c r="B704" i="6"/>
  <c r="A704" i="6"/>
  <c r="F703" i="6"/>
  <c r="C703" i="6"/>
  <c r="D703" i="6" s="1"/>
  <c r="A703" i="6"/>
  <c r="B703" i="6" s="1"/>
  <c r="F702" i="6"/>
  <c r="A702" i="6"/>
  <c r="B702" i="6" s="1"/>
  <c r="F701" i="6"/>
  <c r="B701" i="6"/>
  <c r="A701" i="6"/>
  <c r="F700" i="6"/>
  <c r="B700" i="6"/>
  <c r="A700" i="6"/>
  <c r="A699" i="6"/>
  <c r="F699" i="6" s="1"/>
  <c r="A698" i="6"/>
  <c r="I697" i="6"/>
  <c r="G697" i="6"/>
  <c r="H697" i="6" s="1"/>
  <c r="B697" i="6"/>
  <c r="E697" i="6" s="1"/>
  <c r="A697" i="6"/>
  <c r="F697" i="6" s="1"/>
  <c r="F696" i="6"/>
  <c r="I708" i="6" s="1"/>
  <c r="C696" i="6"/>
  <c r="D696" i="6" s="1"/>
  <c r="B696" i="6"/>
  <c r="A696" i="6"/>
  <c r="I695" i="6"/>
  <c r="F695" i="6"/>
  <c r="A695" i="6"/>
  <c r="B695" i="6" s="1"/>
  <c r="A694" i="6"/>
  <c r="F693" i="6"/>
  <c r="B693" i="6"/>
  <c r="A693" i="6"/>
  <c r="F692" i="6"/>
  <c r="B692" i="6"/>
  <c r="E704" i="6" s="1"/>
  <c r="A692" i="6"/>
  <c r="A691" i="6"/>
  <c r="F690" i="6"/>
  <c r="B690" i="6"/>
  <c r="A690" i="6"/>
  <c r="B689" i="6"/>
  <c r="A689" i="6"/>
  <c r="F689" i="6" s="1"/>
  <c r="F688" i="6"/>
  <c r="C688" i="6"/>
  <c r="D688" i="6" s="1"/>
  <c r="B688" i="6"/>
  <c r="A688" i="6"/>
  <c r="F687" i="6"/>
  <c r="G687" i="6" s="1"/>
  <c r="H687" i="6" s="1"/>
  <c r="A687" i="6"/>
  <c r="B687" i="6" s="1"/>
  <c r="G686" i="6"/>
  <c r="H686" i="6" s="1"/>
  <c r="F686" i="6"/>
  <c r="A686" i="6"/>
  <c r="B686" i="6" s="1"/>
  <c r="F685" i="6"/>
  <c r="B685" i="6"/>
  <c r="A685" i="6"/>
  <c r="G684" i="6"/>
  <c r="H684" i="6" s="1"/>
  <c r="F684" i="6"/>
  <c r="I696" i="6" s="1"/>
  <c r="B684" i="6"/>
  <c r="A684" i="6"/>
  <c r="B683" i="6"/>
  <c r="A683" i="6"/>
  <c r="F683" i="6" s="1"/>
  <c r="F682" i="6"/>
  <c r="B682" i="6"/>
  <c r="A682" i="6"/>
  <c r="A681" i="6"/>
  <c r="G680" i="6"/>
  <c r="H680" i="6" s="1"/>
  <c r="F680" i="6"/>
  <c r="C680" i="6"/>
  <c r="D680" i="6" s="1"/>
  <c r="B680" i="6"/>
  <c r="A680" i="6"/>
  <c r="F679" i="6"/>
  <c r="C679" i="6"/>
  <c r="D679" i="6" s="1"/>
  <c r="A679" i="6"/>
  <c r="B679" i="6" s="1"/>
  <c r="F678" i="6"/>
  <c r="A678" i="6"/>
  <c r="B678" i="6" s="1"/>
  <c r="F677" i="6"/>
  <c r="B677" i="6"/>
  <c r="A677" i="6"/>
  <c r="I676" i="6"/>
  <c r="F676" i="6"/>
  <c r="I688" i="6" s="1"/>
  <c r="B676" i="6"/>
  <c r="A676" i="6"/>
  <c r="A675" i="6"/>
  <c r="I674" i="6"/>
  <c r="F674" i="6"/>
  <c r="A674" i="6"/>
  <c r="B674" i="6" s="1"/>
  <c r="A673" i="6"/>
  <c r="H672" i="6"/>
  <c r="F672" i="6"/>
  <c r="G672" i="6" s="1"/>
  <c r="C672" i="6"/>
  <c r="D672" i="6" s="1"/>
  <c r="B672" i="6"/>
  <c r="A672" i="6"/>
  <c r="I671" i="6"/>
  <c r="G671" i="6"/>
  <c r="H671" i="6" s="1"/>
  <c r="F671" i="6"/>
  <c r="C671" i="6"/>
  <c r="D671" i="6" s="1"/>
  <c r="A671" i="6"/>
  <c r="B671" i="6" s="1"/>
  <c r="F670" i="6"/>
  <c r="B670" i="6"/>
  <c r="A670" i="6"/>
  <c r="G669" i="6"/>
  <c r="H669" i="6" s="1"/>
  <c r="E669" i="6"/>
  <c r="B669" i="6"/>
  <c r="A669" i="6"/>
  <c r="F669" i="6" s="1"/>
  <c r="I668" i="6"/>
  <c r="F668" i="6"/>
  <c r="E668" i="6"/>
  <c r="B668" i="6"/>
  <c r="A668" i="6"/>
  <c r="F667" i="6"/>
  <c r="B667" i="6"/>
  <c r="A667" i="6"/>
  <c r="F666" i="6"/>
  <c r="E666" i="6"/>
  <c r="B666" i="6"/>
  <c r="A666" i="6"/>
  <c r="F665" i="6"/>
  <c r="A665" i="6"/>
  <c r="B665" i="6" s="1"/>
  <c r="F664" i="6"/>
  <c r="B664" i="6"/>
  <c r="A664" i="6"/>
  <c r="F663" i="6"/>
  <c r="G664" i="6" s="1"/>
  <c r="H664" i="6" s="1"/>
  <c r="B663" i="6"/>
  <c r="A663" i="6"/>
  <c r="H662" i="6"/>
  <c r="G662" i="6"/>
  <c r="F662" i="6"/>
  <c r="B662" i="6"/>
  <c r="A662" i="6"/>
  <c r="G661" i="6"/>
  <c r="H661" i="6" s="1"/>
  <c r="E661" i="6"/>
  <c r="B661" i="6"/>
  <c r="C661" i="6" s="1"/>
  <c r="D661" i="6" s="1"/>
  <c r="A661" i="6"/>
  <c r="F661" i="6" s="1"/>
  <c r="I660" i="6"/>
  <c r="F660" i="6"/>
  <c r="B660" i="6"/>
  <c r="A660" i="6"/>
  <c r="G659" i="6"/>
  <c r="H659" i="6" s="1"/>
  <c r="F659" i="6"/>
  <c r="B659" i="6"/>
  <c r="A659" i="6"/>
  <c r="F658" i="6"/>
  <c r="G658" i="6" s="1"/>
  <c r="H658" i="6" s="1"/>
  <c r="E658" i="6"/>
  <c r="B658" i="6"/>
  <c r="A658" i="6"/>
  <c r="I657" i="6"/>
  <c r="H657" i="6"/>
  <c r="F657" i="6"/>
  <c r="G657" i="6" s="1"/>
  <c r="C657" i="6"/>
  <c r="D657" i="6" s="1"/>
  <c r="A657" i="6"/>
  <c r="B657" i="6" s="1"/>
  <c r="F656" i="6"/>
  <c r="B656" i="6"/>
  <c r="A656" i="6"/>
  <c r="F655" i="6"/>
  <c r="B655" i="6"/>
  <c r="A655" i="6"/>
  <c r="F654" i="6"/>
  <c r="I666" i="6" s="1"/>
  <c r="B654" i="6"/>
  <c r="A654" i="6"/>
  <c r="B653" i="6"/>
  <c r="A653" i="6"/>
  <c r="F653" i="6" s="1"/>
  <c r="F652" i="6"/>
  <c r="G653" i="6" s="1"/>
  <c r="H653" i="6" s="1"/>
  <c r="B652" i="6"/>
  <c r="C652" i="6" s="1"/>
  <c r="D652" i="6" s="1"/>
  <c r="A652" i="6"/>
  <c r="G651" i="6"/>
  <c r="H651" i="6" s="1"/>
  <c r="F651" i="6"/>
  <c r="I663" i="6" s="1"/>
  <c r="B651" i="6"/>
  <c r="A651" i="6"/>
  <c r="F650" i="6"/>
  <c r="G650" i="6" s="1"/>
  <c r="H650" i="6" s="1"/>
  <c r="B650" i="6"/>
  <c r="A650" i="6"/>
  <c r="I649" i="6"/>
  <c r="H649" i="6"/>
  <c r="F649" i="6"/>
  <c r="G649" i="6" s="1"/>
  <c r="E649" i="6"/>
  <c r="C649" i="6"/>
  <c r="D649" i="6" s="1"/>
  <c r="A649" i="6"/>
  <c r="B649" i="6" s="1"/>
  <c r="F648" i="6"/>
  <c r="B648" i="6"/>
  <c r="A648" i="6"/>
  <c r="F647" i="6"/>
  <c r="G647" i="6" s="1"/>
  <c r="H647" i="6" s="1"/>
  <c r="B647" i="6"/>
  <c r="C647" i="6" s="1"/>
  <c r="D647" i="6" s="1"/>
  <c r="A647" i="6"/>
  <c r="G646" i="6"/>
  <c r="H646" i="6" s="1"/>
  <c r="F646" i="6"/>
  <c r="B646" i="6"/>
  <c r="A646" i="6"/>
  <c r="E645" i="6"/>
  <c r="B645" i="6"/>
  <c r="A645" i="6"/>
  <c r="F645" i="6" s="1"/>
  <c r="A644" i="6"/>
  <c r="F643" i="6"/>
  <c r="I655" i="6" s="1"/>
  <c r="E643" i="6"/>
  <c r="B643" i="6"/>
  <c r="A643" i="6"/>
  <c r="F642" i="6"/>
  <c r="E642" i="6"/>
  <c r="B642" i="6"/>
  <c r="A642" i="6"/>
  <c r="A641" i="6"/>
  <c r="A640" i="6"/>
  <c r="F639" i="6"/>
  <c r="I651" i="6" s="1"/>
  <c r="B639" i="6"/>
  <c r="A639" i="6"/>
  <c r="A638" i="6"/>
  <c r="B637" i="6"/>
  <c r="A637" i="6"/>
  <c r="F637" i="6" s="1"/>
  <c r="F636" i="6"/>
  <c r="B636" i="6"/>
  <c r="A636" i="6"/>
  <c r="A635" i="6"/>
  <c r="F634" i="6"/>
  <c r="B634" i="6"/>
  <c r="A634" i="6"/>
  <c r="F633" i="6"/>
  <c r="E633" i="6"/>
  <c r="A633" i="6"/>
  <c r="B633" i="6" s="1"/>
  <c r="B632" i="6"/>
  <c r="C633" i="6" s="1"/>
  <c r="D633" i="6" s="1"/>
  <c r="A632" i="6"/>
  <c r="F632" i="6" s="1"/>
  <c r="G632" i="6" s="1"/>
  <c r="H632" i="6" s="1"/>
  <c r="F631" i="6"/>
  <c r="A631" i="6"/>
  <c r="B631" i="6" s="1"/>
  <c r="H630" i="6"/>
  <c r="G630" i="6"/>
  <c r="F630" i="6"/>
  <c r="A630" i="6"/>
  <c r="B630" i="6" s="1"/>
  <c r="B629" i="6"/>
  <c r="A629" i="6"/>
  <c r="F629" i="6" s="1"/>
  <c r="A628" i="6"/>
  <c r="G627" i="6"/>
  <c r="H627" i="6" s="1"/>
  <c r="F627" i="6"/>
  <c r="B627" i="6"/>
  <c r="A627" i="6"/>
  <c r="F626" i="6"/>
  <c r="B626" i="6"/>
  <c r="A626" i="6"/>
  <c r="A625" i="6"/>
  <c r="G624" i="6"/>
  <c r="H624" i="6" s="1"/>
  <c r="B624" i="6"/>
  <c r="A624" i="6"/>
  <c r="F624" i="6" s="1"/>
  <c r="I636" i="6" s="1"/>
  <c r="F623" i="6"/>
  <c r="B623" i="6"/>
  <c r="A623" i="6"/>
  <c r="A622" i="6"/>
  <c r="G621" i="6"/>
  <c r="H621" i="6" s="1"/>
  <c r="B621" i="6"/>
  <c r="A621" i="6"/>
  <c r="F621" i="6" s="1"/>
  <c r="I620" i="6"/>
  <c r="F620" i="6"/>
  <c r="E620" i="6"/>
  <c r="B620" i="6"/>
  <c r="E632" i="6" s="1"/>
  <c r="A620" i="6"/>
  <c r="E619" i="6"/>
  <c r="B619" i="6"/>
  <c r="A619" i="6"/>
  <c r="F619" i="6" s="1"/>
  <c r="G619" i="6" s="1"/>
  <c r="H619" i="6" s="1"/>
  <c r="F618" i="6"/>
  <c r="B618" i="6"/>
  <c r="A618" i="6"/>
  <c r="I617" i="6"/>
  <c r="F617" i="6"/>
  <c r="I629" i="6" s="1"/>
  <c r="A617" i="6"/>
  <c r="B617" i="6" s="1"/>
  <c r="E629" i="6" s="1"/>
  <c r="F616" i="6"/>
  <c r="G617" i="6" s="1"/>
  <c r="H617" i="6" s="1"/>
  <c r="A616" i="6"/>
  <c r="B616" i="6" s="1"/>
  <c r="F615" i="6"/>
  <c r="E615" i="6"/>
  <c r="B615" i="6"/>
  <c r="A615" i="6"/>
  <c r="B614" i="6"/>
  <c r="A614" i="6"/>
  <c r="F614" i="6" s="1"/>
  <c r="A613" i="6"/>
  <c r="F612" i="6"/>
  <c r="B612" i="6"/>
  <c r="E624" i="6" s="1"/>
  <c r="A612" i="6"/>
  <c r="G611" i="6"/>
  <c r="H611" i="6" s="1"/>
  <c r="E611" i="6"/>
  <c r="B611" i="6"/>
  <c r="A611" i="6"/>
  <c r="F611" i="6" s="1"/>
  <c r="I623" i="6" s="1"/>
  <c r="F610" i="6"/>
  <c r="B610" i="6"/>
  <c r="A610" i="6"/>
  <c r="A609" i="6"/>
  <c r="F608" i="6"/>
  <c r="A608" i="6"/>
  <c r="B608" i="6" s="1"/>
  <c r="F607" i="6"/>
  <c r="I619" i="6" s="1"/>
  <c r="B607" i="6"/>
  <c r="A607" i="6"/>
  <c r="G606" i="6"/>
  <c r="H606" i="6" s="1"/>
  <c r="F606" i="6"/>
  <c r="I618" i="6" s="1"/>
  <c r="B606" i="6"/>
  <c r="A606" i="6"/>
  <c r="B605" i="6"/>
  <c r="A605" i="6"/>
  <c r="F605" i="6" s="1"/>
  <c r="A604" i="6"/>
  <c r="I603" i="6"/>
  <c r="G603" i="6"/>
  <c r="H603" i="6" s="1"/>
  <c r="B603" i="6"/>
  <c r="A603" i="6"/>
  <c r="F603" i="6" s="1"/>
  <c r="I615" i="6" s="1"/>
  <c r="F602" i="6"/>
  <c r="B602" i="6"/>
  <c r="A602" i="6"/>
  <c r="F601" i="6"/>
  <c r="A601" i="6"/>
  <c r="B601" i="6" s="1"/>
  <c r="A600" i="6"/>
  <c r="I599" i="6"/>
  <c r="F599" i="6"/>
  <c r="I611" i="6" s="1"/>
  <c r="B599" i="6"/>
  <c r="A599" i="6"/>
  <c r="H598" i="6"/>
  <c r="G598" i="6"/>
  <c r="F598" i="6"/>
  <c r="G599" i="6" s="1"/>
  <c r="H599" i="6" s="1"/>
  <c r="B598" i="6"/>
  <c r="A598" i="6"/>
  <c r="B597" i="6"/>
  <c r="A597" i="6"/>
  <c r="F597" i="6" s="1"/>
  <c r="B596" i="6"/>
  <c r="A596" i="6"/>
  <c r="F596" i="6" s="1"/>
  <c r="A595" i="6"/>
  <c r="G594" i="6"/>
  <c r="H594" i="6" s="1"/>
  <c r="F594" i="6"/>
  <c r="B594" i="6"/>
  <c r="A594" i="6"/>
  <c r="F593" i="6"/>
  <c r="I605" i="6" s="1"/>
  <c r="A593" i="6"/>
  <c r="B593" i="6" s="1"/>
  <c r="E605" i="6" s="1"/>
  <c r="A592" i="6"/>
  <c r="B592" i="6" s="1"/>
  <c r="I591" i="6"/>
  <c r="F591" i="6"/>
  <c r="B591" i="6"/>
  <c r="E603" i="6" s="1"/>
  <c r="A591" i="6"/>
  <c r="A590" i="6"/>
  <c r="B589" i="6"/>
  <c r="A589" i="6"/>
  <c r="F589" i="6" s="1"/>
  <c r="F588" i="6"/>
  <c r="E588" i="6"/>
  <c r="B588" i="6"/>
  <c r="A588" i="6"/>
  <c r="B587" i="6"/>
  <c r="A587" i="6"/>
  <c r="F587" i="6" s="1"/>
  <c r="G587" i="6" s="1"/>
  <c r="H587" i="6" s="1"/>
  <c r="F586" i="6"/>
  <c r="B586" i="6"/>
  <c r="A586" i="6"/>
  <c r="I585" i="6"/>
  <c r="F585" i="6"/>
  <c r="I597" i="6" s="1"/>
  <c r="A585" i="6"/>
  <c r="B585" i="6" s="1"/>
  <c r="F584" i="6"/>
  <c r="A584" i="6"/>
  <c r="B584" i="6" s="1"/>
  <c r="F583" i="6"/>
  <c r="G583" i="6" s="1"/>
  <c r="H583" i="6" s="1"/>
  <c r="B583" i="6"/>
  <c r="A583" i="6"/>
  <c r="B582" i="6"/>
  <c r="A582" i="6"/>
  <c r="F582" i="6" s="1"/>
  <c r="A581" i="6"/>
  <c r="F580" i="6"/>
  <c r="E580" i="6"/>
  <c r="B580" i="6"/>
  <c r="A580" i="6"/>
  <c r="G579" i="6"/>
  <c r="H579" i="6" s="1"/>
  <c r="B579" i="6"/>
  <c r="A579" i="6"/>
  <c r="F579" i="6" s="1"/>
  <c r="F578" i="6"/>
  <c r="B578" i="6"/>
  <c r="A578" i="6"/>
  <c r="A577" i="6"/>
  <c r="H576" i="6"/>
  <c r="G576" i="6"/>
  <c r="F576" i="6"/>
  <c r="A576" i="6"/>
  <c r="B576" i="6" s="1"/>
  <c r="F575" i="6"/>
  <c r="I587" i="6" s="1"/>
  <c r="B575" i="6"/>
  <c r="A575" i="6"/>
  <c r="F574" i="6"/>
  <c r="I586" i="6" s="1"/>
  <c r="D574" i="6"/>
  <c r="C574" i="6"/>
  <c r="B574" i="6"/>
  <c r="E586" i="6" s="1"/>
  <c r="A574" i="6"/>
  <c r="G573" i="6"/>
  <c r="H573" i="6" s="1"/>
  <c r="E573" i="6"/>
  <c r="B573" i="6"/>
  <c r="E585" i="6" s="1"/>
  <c r="A573" i="6"/>
  <c r="F573" i="6" s="1"/>
  <c r="F572" i="6"/>
  <c r="D572" i="6"/>
  <c r="C572" i="6"/>
  <c r="B572" i="6"/>
  <c r="E584" i="6" s="1"/>
  <c r="A572" i="6"/>
  <c r="F571" i="6"/>
  <c r="B571" i="6"/>
  <c r="A571" i="6"/>
  <c r="F570" i="6"/>
  <c r="E570" i="6"/>
  <c r="B570" i="6"/>
  <c r="A570" i="6"/>
  <c r="F569" i="6"/>
  <c r="E569" i="6"/>
  <c r="A569" i="6"/>
  <c r="B569" i="6" s="1"/>
  <c r="G568" i="6"/>
  <c r="H568" i="6" s="1"/>
  <c r="F568" i="6"/>
  <c r="B568" i="6"/>
  <c r="A568" i="6"/>
  <c r="F567" i="6"/>
  <c r="I579" i="6" s="1"/>
  <c r="B567" i="6"/>
  <c r="A567" i="6"/>
  <c r="G566" i="6"/>
  <c r="H566" i="6" s="1"/>
  <c r="F566" i="6"/>
  <c r="B566" i="6"/>
  <c r="A566" i="6"/>
  <c r="G565" i="6"/>
  <c r="H565" i="6" s="1"/>
  <c r="E565" i="6"/>
  <c r="B565" i="6"/>
  <c r="A565" i="6"/>
  <c r="F565" i="6" s="1"/>
  <c r="F564" i="6"/>
  <c r="G564" i="6" s="1"/>
  <c r="H564" i="6" s="1"/>
  <c r="B564" i="6"/>
  <c r="A564" i="6"/>
  <c r="F563" i="6"/>
  <c r="B563" i="6"/>
  <c r="A563" i="6"/>
  <c r="F562" i="6"/>
  <c r="E562" i="6"/>
  <c r="B562" i="6"/>
  <c r="E574" i="6" s="1"/>
  <c r="A562" i="6"/>
  <c r="G561" i="6"/>
  <c r="H561" i="6" s="1"/>
  <c r="F561" i="6"/>
  <c r="E561" i="6"/>
  <c r="A561" i="6"/>
  <c r="B561" i="6" s="1"/>
  <c r="G560" i="6"/>
  <c r="H560" i="6" s="1"/>
  <c r="F560" i="6"/>
  <c r="B560" i="6"/>
  <c r="A560" i="6"/>
  <c r="F559" i="6"/>
  <c r="B559" i="6"/>
  <c r="A559" i="6"/>
  <c r="F558" i="6"/>
  <c r="B558" i="6"/>
  <c r="C558" i="6" s="1"/>
  <c r="D558" i="6" s="1"/>
  <c r="A558" i="6"/>
  <c r="G557" i="6"/>
  <c r="H557" i="6" s="1"/>
  <c r="E557" i="6"/>
  <c r="B557" i="6"/>
  <c r="A557" i="6"/>
  <c r="F557" i="6" s="1"/>
  <c r="F556" i="6"/>
  <c r="D556" i="6"/>
  <c r="C556" i="6"/>
  <c r="B556" i="6"/>
  <c r="C557" i="6" s="1"/>
  <c r="D557" i="6" s="1"/>
  <c r="A556" i="6"/>
  <c r="F555" i="6"/>
  <c r="B555" i="6"/>
  <c r="A555" i="6"/>
  <c r="F554" i="6"/>
  <c r="E554" i="6"/>
  <c r="B554" i="6"/>
  <c r="E566" i="6" s="1"/>
  <c r="A554" i="6"/>
  <c r="F553" i="6"/>
  <c r="E553" i="6"/>
  <c r="A553" i="6"/>
  <c r="B553" i="6" s="1"/>
  <c r="G552" i="6"/>
  <c r="H552" i="6" s="1"/>
  <c r="F552" i="6"/>
  <c r="B552" i="6"/>
  <c r="A552" i="6"/>
  <c r="F551" i="6"/>
  <c r="B551" i="6"/>
  <c r="A551" i="6"/>
  <c r="G550" i="6"/>
  <c r="H550" i="6" s="1"/>
  <c r="F550" i="6"/>
  <c r="B550" i="6"/>
  <c r="C550" i="6" s="1"/>
  <c r="D550" i="6" s="1"/>
  <c r="A550" i="6"/>
  <c r="G549" i="6"/>
  <c r="H549" i="6" s="1"/>
  <c r="E549" i="6"/>
  <c r="D549" i="6"/>
  <c r="C549" i="6"/>
  <c r="B549" i="6"/>
  <c r="A549" i="6"/>
  <c r="F549" i="6" s="1"/>
  <c r="F548" i="6"/>
  <c r="B548" i="6"/>
  <c r="C548" i="6" s="1"/>
  <c r="D548" i="6" s="1"/>
  <c r="A548" i="6"/>
  <c r="F547" i="6"/>
  <c r="B547" i="6"/>
  <c r="A547" i="6"/>
  <c r="F546" i="6"/>
  <c r="E546" i="6"/>
  <c r="B546" i="6"/>
  <c r="E558" i="6" s="1"/>
  <c r="A546" i="6"/>
  <c r="F545" i="6"/>
  <c r="E545" i="6"/>
  <c r="A545" i="6"/>
  <c r="B545" i="6" s="1"/>
  <c r="G544" i="6"/>
  <c r="H544" i="6" s="1"/>
  <c r="F544" i="6"/>
  <c r="B544" i="6"/>
  <c r="E544" i="6" s="1"/>
  <c r="A544" i="6"/>
  <c r="F543" i="6"/>
  <c r="B543" i="6"/>
  <c r="A543" i="6"/>
  <c r="F542" i="6"/>
  <c r="B542" i="6"/>
  <c r="C542" i="6" s="1"/>
  <c r="D542" i="6" s="1"/>
  <c r="A542" i="6"/>
  <c r="G541" i="6"/>
  <c r="H541" i="6" s="1"/>
  <c r="E541" i="6"/>
  <c r="C541" i="6"/>
  <c r="D541" i="6" s="1"/>
  <c r="B541" i="6"/>
  <c r="A541" i="6"/>
  <c r="F541" i="6" s="1"/>
  <c r="F540" i="6"/>
  <c r="D540" i="6"/>
  <c r="C540" i="6"/>
  <c r="B540" i="6"/>
  <c r="E552" i="6" s="1"/>
  <c r="A540" i="6"/>
  <c r="F539" i="6"/>
  <c r="B539" i="6"/>
  <c r="A539" i="6"/>
  <c r="F538" i="6"/>
  <c r="E538" i="6"/>
  <c r="B538" i="6"/>
  <c r="E550" i="6" s="1"/>
  <c r="A538" i="6"/>
  <c r="F537" i="6"/>
  <c r="E537" i="6"/>
  <c r="A537" i="6"/>
  <c r="B537" i="6" s="1"/>
  <c r="G536" i="6"/>
  <c r="H536" i="6" s="1"/>
  <c r="F536" i="6"/>
  <c r="B536" i="6"/>
  <c r="A536" i="6"/>
  <c r="F535" i="6"/>
  <c r="B535" i="6"/>
  <c r="A535" i="6"/>
  <c r="G534" i="6"/>
  <c r="H534" i="6" s="1"/>
  <c r="F534" i="6"/>
  <c r="B534" i="6"/>
  <c r="C534" i="6" s="1"/>
  <c r="D534" i="6" s="1"/>
  <c r="A534" i="6"/>
  <c r="G533" i="6"/>
  <c r="H533" i="6" s="1"/>
  <c r="E533" i="6"/>
  <c r="D533" i="6"/>
  <c r="C533" i="6"/>
  <c r="B533" i="6"/>
  <c r="A533" i="6"/>
  <c r="F533" i="6" s="1"/>
  <c r="F532" i="6"/>
  <c r="B532" i="6"/>
  <c r="C532" i="6" s="1"/>
  <c r="D532" i="6" s="1"/>
  <c r="A532" i="6"/>
  <c r="F531" i="6"/>
  <c r="B531" i="6"/>
  <c r="A531" i="6"/>
  <c r="F530" i="6"/>
  <c r="E530" i="6"/>
  <c r="B530" i="6"/>
  <c r="E542" i="6" s="1"/>
  <c r="A530" i="6"/>
  <c r="F529" i="6"/>
  <c r="I541" i="6" s="1"/>
  <c r="E529" i="6"/>
  <c r="A529" i="6"/>
  <c r="B529" i="6" s="1"/>
  <c r="G528" i="6"/>
  <c r="H528" i="6" s="1"/>
  <c r="F528" i="6"/>
  <c r="B528" i="6"/>
  <c r="A528" i="6"/>
  <c r="F527" i="6"/>
  <c r="B527" i="6"/>
  <c r="A527" i="6"/>
  <c r="F526" i="6"/>
  <c r="B526" i="6"/>
  <c r="C526" i="6" s="1"/>
  <c r="D526" i="6" s="1"/>
  <c r="A526" i="6"/>
  <c r="G525" i="6"/>
  <c r="H525" i="6" s="1"/>
  <c r="E525" i="6"/>
  <c r="C525" i="6"/>
  <c r="D525" i="6" s="1"/>
  <c r="B525" i="6"/>
  <c r="A525" i="6"/>
  <c r="F525" i="6" s="1"/>
  <c r="F524" i="6"/>
  <c r="D524" i="6"/>
  <c r="C524" i="6"/>
  <c r="B524" i="6"/>
  <c r="E536" i="6" s="1"/>
  <c r="A524" i="6"/>
  <c r="F523" i="6"/>
  <c r="B523" i="6"/>
  <c r="A523" i="6"/>
  <c r="F522" i="6"/>
  <c r="E522" i="6"/>
  <c r="B522" i="6"/>
  <c r="E534" i="6" s="1"/>
  <c r="A522" i="6"/>
  <c r="F521" i="6"/>
  <c r="I533" i="6" s="1"/>
  <c r="E521" i="6"/>
  <c r="A521" i="6"/>
  <c r="B521" i="6" s="1"/>
  <c r="G520" i="6"/>
  <c r="H520" i="6" s="1"/>
  <c r="F520" i="6"/>
  <c r="B520" i="6"/>
  <c r="A520" i="6"/>
  <c r="F519" i="6"/>
  <c r="B519" i="6"/>
  <c r="A519" i="6"/>
  <c r="G518" i="6"/>
  <c r="H518" i="6" s="1"/>
  <c r="F518" i="6"/>
  <c r="B518" i="6"/>
  <c r="C518" i="6" s="1"/>
  <c r="D518" i="6" s="1"/>
  <c r="A518" i="6"/>
  <c r="G517" i="6"/>
  <c r="H517" i="6" s="1"/>
  <c r="E517" i="6"/>
  <c r="D517" i="6"/>
  <c r="C517" i="6"/>
  <c r="B517" i="6"/>
  <c r="A517" i="6"/>
  <c r="F517" i="6" s="1"/>
  <c r="F516" i="6"/>
  <c r="B516" i="6"/>
  <c r="E528" i="6" s="1"/>
  <c r="A516" i="6"/>
  <c r="F515" i="6"/>
  <c r="B515" i="6"/>
  <c r="A515" i="6"/>
  <c r="F514" i="6"/>
  <c r="E514" i="6"/>
  <c r="B514" i="6"/>
  <c r="E526" i="6" s="1"/>
  <c r="A514" i="6"/>
  <c r="F513" i="6"/>
  <c r="I525" i="6" s="1"/>
  <c r="E513" i="6"/>
  <c r="A513" i="6"/>
  <c r="B513" i="6" s="1"/>
  <c r="G512" i="6"/>
  <c r="H512" i="6" s="1"/>
  <c r="F512" i="6"/>
  <c r="B512" i="6"/>
  <c r="A512" i="6"/>
  <c r="F511" i="6"/>
  <c r="B511" i="6"/>
  <c r="A511" i="6"/>
  <c r="F510" i="6"/>
  <c r="B510" i="6"/>
  <c r="C510" i="6" s="1"/>
  <c r="D510" i="6" s="1"/>
  <c r="A510" i="6"/>
  <c r="G509" i="6"/>
  <c r="H509" i="6" s="1"/>
  <c r="E509" i="6"/>
  <c r="C509" i="6"/>
  <c r="D509" i="6" s="1"/>
  <c r="B509" i="6"/>
  <c r="A509" i="6"/>
  <c r="F509" i="6" s="1"/>
  <c r="F508" i="6"/>
  <c r="D508" i="6"/>
  <c r="C508" i="6"/>
  <c r="B508" i="6"/>
  <c r="E520" i="6" s="1"/>
  <c r="A508" i="6"/>
  <c r="F507" i="6"/>
  <c r="B507" i="6"/>
  <c r="A507" i="6"/>
  <c r="F506" i="6"/>
  <c r="B506" i="6"/>
  <c r="E518" i="6" s="1"/>
  <c r="A506" i="6"/>
  <c r="F505" i="6"/>
  <c r="I517" i="6" s="1"/>
  <c r="E505" i="6"/>
  <c r="A505" i="6"/>
  <c r="B505" i="6" s="1"/>
  <c r="G504" i="6"/>
  <c r="H504" i="6" s="1"/>
  <c r="F504" i="6"/>
  <c r="B504" i="6"/>
  <c r="A504" i="6"/>
  <c r="F503" i="6"/>
  <c r="B503" i="6"/>
  <c r="A503" i="6"/>
  <c r="G502" i="6"/>
  <c r="H502" i="6" s="1"/>
  <c r="F502" i="6"/>
  <c r="B502" i="6"/>
  <c r="C502" i="6" s="1"/>
  <c r="D502" i="6" s="1"/>
  <c r="A502" i="6"/>
  <c r="E501" i="6"/>
  <c r="B501" i="6"/>
  <c r="A501" i="6"/>
  <c r="F501" i="6" s="1"/>
  <c r="B500" i="6"/>
  <c r="C500" i="6" s="1"/>
  <c r="D500" i="6" s="1"/>
  <c r="A500" i="6"/>
  <c r="F500" i="6" s="1"/>
  <c r="B499" i="6"/>
  <c r="A499" i="6"/>
  <c r="F499" i="6" s="1"/>
  <c r="F498" i="6"/>
  <c r="B498" i="6"/>
  <c r="A498" i="6"/>
  <c r="G497" i="6"/>
  <c r="H497" i="6" s="1"/>
  <c r="F497" i="6"/>
  <c r="I509" i="6" s="1"/>
  <c r="E497" i="6"/>
  <c r="A497" i="6"/>
  <c r="B497" i="6" s="1"/>
  <c r="B496" i="6"/>
  <c r="A496" i="6"/>
  <c r="F496" i="6" s="1"/>
  <c r="E495" i="6"/>
  <c r="B495" i="6"/>
  <c r="A495" i="6"/>
  <c r="F495" i="6" s="1"/>
  <c r="G494" i="6"/>
  <c r="H494" i="6" s="1"/>
  <c r="F494" i="6"/>
  <c r="B494" i="6"/>
  <c r="C494" i="6" s="1"/>
  <c r="D494" i="6" s="1"/>
  <c r="A494" i="6"/>
  <c r="G493" i="6"/>
  <c r="H493" i="6" s="1"/>
  <c r="E493" i="6"/>
  <c r="B493" i="6"/>
  <c r="A493" i="6"/>
  <c r="F493" i="6" s="1"/>
  <c r="F492" i="6"/>
  <c r="B492" i="6"/>
  <c r="A492" i="6"/>
  <c r="B491" i="6"/>
  <c r="A491" i="6"/>
  <c r="F491" i="6" s="1"/>
  <c r="F490" i="6"/>
  <c r="B490" i="6"/>
  <c r="A490" i="6"/>
  <c r="G489" i="6"/>
  <c r="H489" i="6" s="1"/>
  <c r="F489" i="6"/>
  <c r="I501" i="6" s="1"/>
  <c r="E489" i="6"/>
  <c r="A489" i="6"/>
  <c r="B489" i="6" s="1"/>
  <c r="B488" i="6"/>
  <c r="A488" i="6"/>
  <c r="F488" i="6" s="1"/>
  <c r="A487" i="6"/>
  <c r="F486" i="6"/>
  <c r="I498" i="6" s="1"/>
  <c r="B486" i="6"/>
  <c r="A486" i="6"/>
  <c r="E485" i="6"/>
  <c r="C485" i="6"/>
  <c r="D485" i="6" s="1"/>
  <c r="B485" i="6"/>
  <c r="A485" i="6"/>
  <c r="F485" i="6" s="1"/>
  <c r="F484" i="6"/>
  <c r="B484" i="6"/>
  <c r="C484" i="6" s="1"/>
  <c r="D484" i="6" s="1"/>
  <c r="A484" i="6"/>
  <c r="B483" i="6"/>
  <c r="C483" i="6" s="1"/>
  <c r="D483" i="6" s="1"/>
  <c r="A483" i="6"/>
  <c r="F483" i="6" s="1"/>
  <c r="F482" i="6"/>
  <c r="B482" i="6"/>
  <c r="A482" i="6"/>
  <c r="F481" i="6"/>
  <c r="E481" i="6"/>
  <c r="A481" i="6"/>
  <c r="B481" i="6" s="1"/>
  <c r="A480" i="6"/>
  <c r="A479" i="6"/>
  <c r="F479" i="6" s="1"/>
  <c r="G478" i="6"/>
  <c r="H478" i="6" s="1"/>
  <c r="F478" i="6"/>
  <c r="B478" i="6"/>
  <c r="C478" i="6" s="1"/>
  <c r="D478" i="6" s="1"/>
  <c r="A478" i="6"/>
  <c r="E477" i="6"/>
  <c r="B477" i="6"/>
  <c r="A477" i="6"/>
  <c r="F477" i="6" s="1"/>
  <c r="A476" i="6"/>
  <c r="F476" i="6" s="1"/>
  <c r="B475" i="6"/>
  <c r="A475" i="6"/>
  <c r="F475" i="6" s="1"/>
  <c r="F474" i="6"/>
  <c r="B474" i="6"/>
  <c r="A474" i="6"/>
  <c r="F473" i="6"/>
  <c r="I485" i="6" s="1"/>
  <c r="E473" i="6"/>
  <c r="A473" i="6"/>
  <c r="B473" i="6" s="1"/>
  <c r="B472" i="6"/>
  <c r="A472" i="6"/>
  <c r="F472" i="6" s="1"/>
  <c r="A471" i="6"/>
  <c r="F471" i="6" s="1"/>
  <c r="F470" i="6"/>
  <c r="B470" i="6"/>
  <c r="A470" i="6"/>
  <c r="G469" i="6"/>
  <c r="H469" i="6" s="1"/>
  <c r="E469" i="6"/>
  <c r="C469" i="6"/>
  <c r="D469" i="6" s="1"/>
  <c r="B469" i="6"/>
  <c r="A469" i="6"/>
  <c r="F469" i="6" s="1"/>
  <c r="F468" i="6"/>
  <c r="B468" i="6"/>
  <c r="A468" i="6"/>
  <c r="A467" i="6"/>
  <c r="F466" i="6"/>
  <c r="B466" i="6"/>
  <c r="A466" i="6"/>
  <c r="F465" i="6"/>
  <c r="I477" i="6" s="1"/>
  <c r="E465" i="6"/>
  <c r="A465" i="6"/>
  <c r="B465" i="6" s="1"/>
  <c r="A464" i="6"/>
  <c r="F464" i="6" s="1"/>
  <c r="B463" i="6"/>
  <c r="A463" i="6"/>
  <c r="F463" i="6" s="1"/>
  <c r="F462" i="6"/>
  <c r="I474" i="6" s="1"/>
  <c r="B462" i="6"/>
  <c r="C462" i="6" s="1"/>
  <c r="D462" i="6" s="1"/>
  <c r="A462" i="6"/>
  <c r="E461" i="6"/>
  <c r="B461" i="6"/>
  <c r="A461" i="6"/>
  <c r="F461" i="6" s="1"/>
  <c r="A460" i="6"/>
  <c r="A459" i="6"/>
  <c r="F459" i="6" s="1"/>
  <c r="F458" i="6"/>
  <c r="B458" i="6"/>
  <c r="A458" i="6"/>
  <c r="F457" i="6"/>
  <c r="I469" i="6" s="1"/>
  <c r="E457" i="6"/>
  <c r="A457" i="6"/>
  <c r="B457" i="6" s="1"/>
  <c r="A456" i="6"/>
  <c r="F456" i="6" s="1"/>
  <c r="B455" i="6"/>
  <c r="A455" i="6"/>
  <c r="F455" i="6" s="1"/>
  <c r="F454" i="6"/>
  <c r="B454" i="6"/>
  <c r="C454" i="6" s="1"/>
  <c r="D454" i="6" s="1"/>
  <c r="A454" i="6"/>
  <c r="E453" i="6"/>
  <c r="B453" i="6"/>
  <c r="A453" i="6"/>
  <c r="F453" i="6" s="1"/>
  <c r="A452" i="6"/>
  <c r="F452" i="6" s="1"/>
  <c r="A451" i="6"/>
  <c r="F451" i="6" s="1"/>
  <c r="F450" i="6"/>
  <c r="B450" i="6"/>
  <c r="A450" i="6"/>
  <c r="G449" i="6"/>
  <c r="H449" i="6" s="1"/>
  <c r="F449" i="6"/>
  <c r="I461" i="6" s="1"/>
  <c r="A449" i="6"/>
  <c r="B449" i="6" s="1"/>
  <c r="G448" i="6"/>
  <c r="H448" i="6" s="1"/>
  <c r="B448" i="6"/>
  <c r="A448" i="6"/>
  <c r="F448" i="6" s="1"/>
  <c r="G447" i="6"/>
  <c r="H447" i="6" s="1"/>
  <c r="F447" i="6"/>
  <c r="B447" i="6"/>
  <c r="A447" i="6"/>
  <c r="F446" i="6"/>
  <c r="B446" i="6"/>
  <c r="A446" i="6"/>
  <c r="F445" i="6"/>
  <c r="A445" i="6"/>
  <c r="B445" i="6" s="1"/>
  <c r="A444" i="6"/>
  <c r="I443" i="6"/>
  <c r="F443" i="6"/>
  <c r="B443" i="6"/>
  <c r="A443" i="6"/>
  <c r="A442" i="6"/>
  <c r="B441" i="6"/>
  <c r="A441" i="6"/>
  <c r="F441" i="6" s="1"/>
  <c r="I440" i="6"/>
  <c r="B440" i="6"/>
  <c r="C441" i="6" s="1"/>
  <c r="D441" i="6" s="1"/>
  <c r="A440" i="6"/>
  <c r="F440" i="6" s="1"/>
  <c r="F439" i="6"/>
  <c r="B439" i="6"/>
  <c r="A439" i="6"/>
  <c r="F438" i="6"/>
  <c r="B438" i="6"/>
  <c r="A438" i="6"/>
  <c r="A437" i="6"/>
  <c r="B436" i="6"/>
  <c r="E448" i="6" s="1"/>
  <c r="A436" i="6"/>
  <c r="F436" i="6" s="1"/>
  <c r="A435" i="6"/>
  <c r="G434" i="6"/>
  <c r="H434" i="6" s="1"/>
  <c r="B434" i="6"/>
  <c r="E446" i="6" s="1"/>
  <c r="A434" i="6"/>
  <c r="F434" i="6" s="1"/>
  <c r="I446" i="6" s="1"/>
  <c r="C433" i="6"/>
  <c r="D433" i="6" s="1"/>
  <c r="B433" i="6"/>
  <c r="E445" i="6" s="1"/>
  <c r="A433" i="6"/>
  <c r="F433" i="6" s="1"/>
  <c r="F432" i="6"/>
  <c r="B432" i="6"/>
  <c r="A432" i="6"/>
  <c r="F431" i="6"/>
  <c r="G431" i="6" s="1"/>
  <c r="H431" i="6" s="1"/>
  <c r="C431" i="6"/>
  <c r="D431" i="6" s="1"/>
  <c r="B431" i="6"/>
  <c r="E443" i="6" s="1"/>
  <c r="A431" i="6"/>
  <c r="F430" i="6"/>
  <c r="B430" i="6"/>
  <c r="A430" i="6"/>
  <c r="A429" i="6"/>
  <c r="B428" i="6"/>
  <c r="A428" i="6"/>
  <c r="F428" i="6" s="1"/>
  <c r="A427" i="6"/>
  <c r="G426" i="6"/>
  <c r="H426" i="6" s="1"/>
  <c r="C426" i="6"/>
  <c r="D426" i="6" s="1"/>
  <c r="B426" i="6"/>
  <c r="A426" i="6"/>
  <c r="F426" i="6" s="1"/>
  <c r="I438" i="6" s="1"/>
  <c r="C425" i="6"/>
  <c r="D425" i="6" s="1"/>
  <c r="B425" i="6"/>
  <c r="A425" i="6"/>
  <c r="F425" i="6" s="1"/>
  <c r="F424" i="6"/>
  <c r="B424" i="6"/>
  <c r="C424" i="6" s="1"/>
  <c r="D424" i="6" s="1"/>
  <c r="A424" i="6"/>
  <c r="F423" i="6"/>
  <c r="C423" i="6"/>
  <c r="D423" i="6" s="1"/>
  <c r="B423" i="6"/>
  <c r="A423" i="6"/>
  <c r="F422" i="6"/>
  <c r="B422" i="6"/>
  <c r="A422" i="6"/>
  <c r="A421" i="6"/>
  <c r="A420" i="6"/>
  <c r="F420" i="6" s="1"/>
  <c r="A419" i="6"/>
  <c r="I418" i="6"/>
  <c r="G418" i="6"/>
  <c r="H418" i="6" s="1"/>
  <c r="A418" i="6"/>
  <c r="F418" i="6" s="1"/>
  <c r="I430" i="6" s="1"/>
  <c r="B417" i="6"/>
  <c r="A417" i="6"/>
  <c r="F417" i="6" s="1"/>
  <c r="B416" i="6"/>
  <c r="E428" i="6" s="1"/>
  <c r="A416" i="6"/>
  <c r="F416" i="6" s="1"/>
  <c r="A415" i="6"/>
  <c r="F414" i="6"/>
  <c r="B414" i="6"/>
  <c r="A414" i="6"/>
  <c r="A413" i="6"/>
  <c r="A412" i="6"/>
  <c r="F412" i="6" s="1"/>
  <c r="A411" i="6"/>
  <c r="G410" i="6"/>
  <c r="H410" i="6" s="1"/>
  <c r="A410" i="6"/>
  <c r="F410" i="6" s="1"/>
  <c r="I422" i="6" s="1"/>
  <c r="B409" i="6"/>
  <c r="A409" i="6"/>
  <c r="F409" i="6" s="1"/>
  <c r="B408" i="6"/>
  <c r="A408" i="6"/>
  <c r="F408" i="6" s="1"/>
  <c r="G409" i="6" s="1"/>
  <c r="H409" i="6" s="1"/>
  <c r="A407" i="6"/>
  <c r="F406" i="6"/>
  <c r="B406" i="6"/>
  <c r="A406" i="6"/>
  <c r="A405" i="6"/>
  <c r="A404" i="6"/>
  <c r="F404" i="6" s="1"/>
  <c r="A403" i="6"/>
  <c r="I402" i="6"/>
  <c r="G402" i="6"/>
  <c r="H402" i="6" s="1"/>
  <c r="A402" i="6"/>
  <c r="F402" i="6" s="1"/>
  <c r="G401" i="6"/>
  <c r="H401" i="6" s="1"/>
  <c r="B401" i="6"/>
  <c r="A401" i="6"/>
  <c r="F401" i="6" s="1"/>
  <c r="A400" i="6"/>
  <c r="F400" i="6" s="1"/>
  <c r="A399" i="6"/>
  <c r="F398" i="6"/>
  <c r="B398" i="6"/>
  <c r="A398" i="6"/>
  <c r="A397" i="6"/>
  <c r="B396" i="6"/>
  <c r="A396" i="6"/>
  <c r="F396" i="6" s="1"/>
  <c r="A395" i="6"/>
  <c r="I394" i="6"/>
  <c r="G394" i="6"/>
  <c r="H394" i="6" s="1"/>
  <c r="A394" i="6"/>
  <c r="F394" i="6" s="1"/>
  <c r="B393" i="6"/>
  <c r="A393" i="6"/>
  <c r="F393" i="6" s="1"/>
  <c r="A392" i="6"/>
  <c r="F392" i="6" s="1"/>
  <c r="G393" i="6" s="1"/>
  <c r="H393" i="6" s="1"/>
  <c r="A391" i="6"/>
  <c r="F390" i="6"/>
  <c r="B390" i="6"/>
  <c r="A390" i="6"/>
  <c r="A389" i="6"/>
  <c r="B388" i="6"/>
  <c r="A388" i="6"/>
  <c r="F388" i="6" s="1"/>
  <c r="A387" i="6"/>
  <c r="G386" i="6"/>
  <c r="H386" i="6" s="1"/>
  <c r="A386" i="6"/>
  <c r="F386" i="6" s="1"/>
  <c r="B385" i="6"/>
  <c r="A385" i="6"/>
  <c r="F385" i="6" s="1"/>
  <c r="A384" i="6"/>
  <c r="F384" i="6" s="1"/>
  <c r="G385" i="6" s="1"/>
  <c r="H385" i="6" s="1"/>
  <c r="A383" i="6"/>
  <c r="F382" i="6"/>
  <c r="B382" i="6"/>
  <c r="A382" i="6"/>
  <c r="A381" i="6"/>
  <c r="A380" i="6"/>
  <c r="F380" i="6" s="1"/>
  <c r="A379" i="6"/>
  <c r="G378" i="6"/>
  <c r="H378" i="6" s="1"/>
  <c r="A378" i="6"/>
  <c r="F378" i="6" s="1"/>
  <c r="G377" i="6"/>
  <c r="H377" i="6" s="1"/>
  <c r="C377" i="6"/>
  <c r="D377" i="6" s="1"/>
  <c r="B377" i="6"/>
  <c r="A377" i="6"/>
  <c r="F377" i="6" s="1"/>
  <c r="B376" i="6"/>
  <c r="A376" i="6"/>
  <c r="F376" i="6" s="1"/>
  <c r="A375" i="6"/>
  <c r="F374" i="6"/>
  <c r="B374" i="6"/>
  <c r="A374" i="6"/>
  <c r="A373" i="6"/>
  <c r="B372" i="6"/>
  <c r="A372" i="6"/>
  <c r="F372" i="6" s="1"/>
  <c r="A371" i="6"/>
  <c r="F371" i="6" s="1"/>
  <c r="G371" i="6" s="1"/>
  <c r="H371" i="6" s="1"/>
  <c r="B370" i="6"/>
  <c r="E382" i="6" s="1"/>
  <c r="A370" i="6"/>
  <c r="F370" i="6" s="1"/>
  <c r="A369" i="6"/>
  <c r="F369" i="6" s="1"/>
  <c r="A368" i="6"/>
  <c r="I367" i="6"/>
  <c r="F367" i="6"/>
  <c r="G367" i="6" s="1"/>
  <c r="H367" i="6" s="1"/>
  <c r="B367" i="6"/>
  <c r="A367" i="6"/>
  <c r="F366" i="6"/>
  <c r="I378" i="6" s="1"/>
  <c r="B366" i="6"/>
  <c r="A366" i="6"/>
  <c r="A365" i="6"/>
  <c r="B364" i="6"/>
  <c r="A364" i="6"/>
  <c r="F364" i="6" s="1"/>
  <c r="I376" i="6" s="1"/>
  <c r="B363" i="6"/>
  <c r="A363" i="6"/>
  <c r="F363" i="6" s="1"/>
  <c r="A362" i="6"/>
  <c r="F362" i="6" s="1"/>
  <c r="A361" i="6"/>
  <c r="F361" i="6" s="1"/>
  <c r="A360" i="6"/>
  <c r="F359" i="6"/>
  <c r="I371" i="6" s="1"/>
  <c r="B359" i="6"/>
  <c r="C359" i="6" s="1"/>
  <c r="D359" i="6" s="1"/>
  <c r="A359" i="6"/>
  <c r="F358" i="6"/>
  <c r="I370" i="6" s="1"/>
  <c r="B358" i="6"/>
  <c r="A358" i="6"/>
  <c r="A357" i="6"/>
  <c r="B356" i="6"/>
  <c r="A356" i="6"/>
  <c r="F356" i="6" s="1"/>
  <c r="A355" i="6"/>
  <c r="F355" i="6" s="1"/>
  <c r="B354" i="6"/>
  <c r="E366" i="6" s="1"/>
  <c r="A354" i="6"/>
  <c r="F354" i="6" s="1"/>
  <c r="B353" i="6"/>
  <c r="A353" i="6"/>
  <c r="F353" i="6" s="1"/>
  <c r="A352" i="6"/>
  <c r="I351" i="6"/>
  <c r="G351" i="6"/>
  <c r="H351" i="6" s="1"/>
  <c r="F351" i="6"/>
  <c r="I363" i="6" s="1"/>
  <c r="B351" i="6"/>
  <c r="C351" i="6" s="1"/>
  <c r="D351" i="6" s="1"/>
  <c r="A351" i="6"/>
  <c r="F350" i="6"/>
  <c r="I362" i="6" s="1"/>
  <c r="B350" i="6"/>
  <c r="A350" i="6"/>
  <c r="A349" i="6"/>
  <c r="B348" i="6"/>
  <c r="A348" i="6"/>
  <c r="F348" i="6" s="1"/>
  <c r="A347" i="6"/>
  <c r="F347" i="6" s="1"/>
  <c r="A346" i="6"/>
  <c r="F346" i="6" s="1"/>
  <c r="A345" i="6"/>
  <c r="F345" i="6" s="1"/>
  <c r="A344" i="6"/>
  <c r="I343" i="6"/>
  <c r="G343" i="6"/>
  <c r="H343" i="6" s="1"/>
  <c r="F343" i="6"/>
  <c r="I355" i="6" s="1"/>
  <c r="B343" i="6"/>
  <c r="C343" i="6" s="1"/>
  <c r="D343" i="6" s="1"/>
  <c r="A343" i="6"/>
  <c r="F342" i="6"/>
  <c r="I354" i="6" s="1"/>
  <c r="B342" i="6"/>
  <c r="A342" i="6"/>
  <c r="A341" i="6"/>
  <c r="B340" i="6"/>
  <c r="A340" i="6"/>
  <c r="F340" i="6" s="1"/>
  <c r="C339" i="6"/>
  <c r="D339" i="6" s="1"/>
  <c r="B339" i="6"/>
  <c r="E351" i="6" s="1"/>
  <c r="A339" i="6"/>
  <c r="F339" i="6" s="1"/>
  <c r="G339" i="6" s="1"/>
  <c r="H339" i="6" s="1"/>
  <c r="B338" i="6"/>
  <c r="E350" i="6" s="1"/>
  <c r="A338" i="6"/>
  <c r="F338" i="6" s="1"/>
  <c r="A337" i="6"/>
  <c r="F337" i="6" s="1"/>
  <c r="A336" i="6"/>
  <c r="I335" i="6"/>
  <c r="F335" i="6"/>
  <c r="B335" i="6"/>
  <c r="C335" i="6" s="1"/>
  <c r="D335" i="6" s="1"/>
  <c r="A335" i="6"/>
  <c r="F334" i="6"/>
  <c r="I346" i="6" s="1"/>
  <c r="B334" i="6"/>
  <c r="A334" i="6"/>
  <c r="A333" i="6"/>
  <c r="B332" i="6"/>
  <c r="A332" i="6"/>
  <c r="F332" i="6" s="1"/>
  <c r="B331" i="6"/>
  <c r="A331" i="6"/>
  <c r="F331" i="6" s="1"/>
  <c r="A330" i="6"/>
  <c r="F330" i="6" s="1"/>
  <c r="B329" i="6"/>
  <c r="A329" i="6"/>
  <c r="F329" i="6" s="1"/>
  <c r="A328" i="6"/>
  <c r="F327" i="6"/>
  <c r="I339" i="6" s="1"/>
  <c r="B327" i="6"/>
  <c r="C327" i="6" s="1"/>
  <c r="D327" i="6" s="1"/>
  <c r="A327" i="6"/>
  <c r="F326" i="6"/>
  <c r="I338" i="6" s="1"/>
  <c r="B326" i="6"/>
  <c r="A326" i="6"/>
  <c r="A325" i="6"/>
  <c r="B324" i="6"/>
  <c r="A324" i="6"/>
  <c r="F324" i="6" s="1"/>
  <c r="A323" i="6"/>
  <c r="F323" i="6" s="1"/>
  <c r="A322" i="6"/>
  <c r="F322" i="6" s="1"/>
  <c r="B321" i="6"/>
  <c r="A321" i="6"/>
  <c r="F321" i="6" s="1"/>
  <c r="A320" i="6"/>
  <c r="G319" i="6"/>
  <c r="H319" i="6" s="1"/>
  <c r="F319" i="6"/>
  <c r="I331" i="6" s="1"/>
  <c r="B319" i="6"/>
  <c r="C319" i="6" s="1"/>
  <c r="D319" i="6" s="1"/>
  <c r="A319" i="6"/>
  <c r="F318" i="6"/>
  <c r="I330" i="6" s="1"/>
  <c r="B318" i="6"/>
  <c r="A318" i="6"/>
  <c r="A317" i="6"/>
  <c r="E316" i="6"/>
  <c r="B316" i="6"/>
  <c r="A316" i="6"/>
  <c r="F316" i="6" s="1"/>
  <c r="A315" i="6"/>
  <c r="A314" i="6"/>
  <c r="A313" i="6"/>
  <c r="F313" i="6" s="1"/>
  <c r="A312" i="6"/>
  <c r="I311" i="6"/>
  <c r="F311" i="6"/>
  <c r="I323" i="6" s="1"/>
  <c r="B311" i="6"/>
  <c r="C311" i="6" s="1"/>
  <c r="D311" i="6" s="1"/>
  <c r="A311" i="6"/>
  <c r="F310" i="6"/>
  <c r="I322" i="6" s="1"/>
  <c r="B310" i="6"/>
  <c r="A310" i="6"/>
  <c r="A309" i="6"/>
  <c r="E308" i="6"/>
  <c r="D308" i="6"/>
  <c r="C308" i="6"/>
  <c r="B308" i="6"/>
  <c r="A308" i="6"/>
  <c r="F308" i="6" s="1"/>
  <c r="F307" i="6"/>
  <c r="E307" i="6"/>
  <c r="C307" i="6"/>
  <c r="D307" i="6" s="1"/>
  <c r="B307" i="6"/>
  <c r="E319" i="6" s="1"/>
  <c r="A307" i="6"/>
  <c r="F306" i="6"/>
  <c r="E306" i="6"/>
  <c r="D306" i="6"/>
  <c r="C306" i="6"/>
  <c r="B306" i="6"/>
  <c r="E318" i="6" s="1"/>
  <c r="A306" i="6"/>
  <c r="F305" i="6"/>
  <c r="E305" i="6"/>
  <c r="C305" i="6"/>
  <c r="D305" i="6" s="1"/>
  <c r="B305" i="6"/>
  <c r="A305" i="6"/>
  <c r="F304" i="6"/>
  <c r="E304" i="6"/>
  <c r="A304" i="6"/>
  <c r="B304" i="6" s="1"/>
  <c r="F303" i="6"/>
  <c r="E303" i="6"/>
  <c r="B303" i="6"/>
  <c r="A303" i="6"/>
  <c r="F302" i="6"/>
  <c r="E302" i="6"/>
  <c r="C302" i="6"/>
  <c r="D302" i="6" s="1"/>
  <c r="B302" i="6"/>
  <c r="A302" i="6"/>
  <c r="G301" i="6"/>
  <c r="H301" i="6" s="1"/>
  <c r="F301" i="6"/>
  <c r="I313" i="6" s="1"/>
  <c r="C301" i="6"/>
  <c r="D301" i="6" s="1"/>
  <c r="B301" i="6"/>
  <c r="A301" i="6"/>
  <c r="G300" i="6"/>
  <c r="H300" i="6" s="1"/>
  <c r="E300" i="6"/>
  <c r="D300" i="6"/>
  <c r="C300" i="6"/>
  <c r="B300" i="6"/>
  <c r="A300" i="6"/>
  <c r="F300" i="6" s="1"/>
  <c r="F299" i="6"/>
  <c r="G299" i="6" s="1"/>
  <c r="H299" i="6" s="1"/>
  <c r="E299" i="6"/>
  <c r="D299" i="6"/>
  <c r="C299" i="6"/>
  <c r="B299" i="6"/>
  <c r="E311" i="6" s="1"/>
  <c r="A299" i="6"/>
  <c r="F298" i="6"/>
  <c r="E298" i="6"/>
  <c r="C298" i="6"/>
  <c r="D298" i="6" s="1"/>
  <c r="B298" i="6"/>
  <c r="E310" i="6" s="1"/>
  <c r="A298" i="6"/>
  <c r="F297" i="6"/>
  <c r="E297" i="6"/>
  <c r="C297" i="6"/>
  <c r="D297" i="6" s="1"/>
  <c r="B297" i="6"/>
  <c r="A297" i="6"/>
  <c r="G296" i="6"/>
  <c r="H296" i="6" s="1"/>
  <c r="F296" i="6"/>
  <c r="I308" i="6" s="1"/>
  <c r="A296" i="6"/>
  <c r="B296" i="6" s="1"/>
  <c r="F295" i="6"/>
  <c r="B295" i="6"/>
  <c r="A295" i="6"/>
  <c r="F294" i="6"/>
  <c r="C294" i="6"/>
  <c r="D294" i="6" s="1"/>
  <c r="B294" i="6"/>
  <c r="A294" i="6"/>
  <c r="F293" i="6"/>
  <c r="D293" i="6"/>
  <c r="C293" i="6"/>
  <c r="B293" i="6"/>
  <c r="A293" i="6"/>
  <c r="G292" i="6"/>
  <c r="H292" i="6" s="1"/>
  <c r="E292" i="6"/>
  <c r="C292" i="6"/>
  <c r="D292" i="6" s="1"/>
  <c r="B292" i="6"/>
  <c r="A292" i="6"/>
  <c r="F292" i="6" s="1"/>
  <c r="F291" i="6"/>
  <c r="D291" i="6"/>
  <c r="C291" i="6"/>
  <c r="B291" i="6"/>
  <c r="A291" i="6"/>
  <c r="F290" i="6"/>
  <c r="C290" i="6"/>
  <c r="D290" i="6" s="1"/>
  <c r="B290" i="6"/>
  <c r="A290" i="6"/>
  <c r="F289" i="6"/>
  <c r="E289" i="6"/>
  <c r="D289" i="6"/>
  <c r="C289" i="6"/>
  <c r="B289" i="6"/>
  <c r="E301" i="6" s="1"/>
  <c r="A289" i="6"/>
  <c r="F288" i="6"/>
  <c r="I300" i="6" s="1"/>
  <c r="A288" i="6"/>
  <c r="B288" i="6" s="1"/>
  <c r="F287" i="6"/>
  <c r="B287" i="6"/>
  <c r="A287" i="6"/>
  <c r="G286" i="6"/>
  <c r="H286" i="6" s="1"/>
  <c r="F286" i="6"/>
  <c r="I298" i="6" s="1"/>
  <c r="C286" i="6"/>
  <c r="D286" i="6" s="1"/>
  <c r="B286" i="6"/>
  <c r="A286" i="6"/>
  <c r="G285" i="6"/>
  <c r="H285" i="6" s="1"/>
  <c r="F285" i="6"/>
  <c r="B285" i="6"/>
  <c r="A285" i="6"/>
  <c r="G284" i="6"/>
  <c r="H284" i="6" s="1"/>
  <c r="E284" i="6"/>
  <c r="B284" i="6"/>
  <c r="A284" i="6"/>
  <c r="F284" i="6" s="1"/>
  <c r="F283" i="6"/>
  <c r="B283" i="6"/>
  <c r="E295" i="6" s="1"/>
  <c r="A283" i="6"/>
  <c r="F282" i="6"/>
  <c r="B282" i="6"/>
  <c r="E294" i="6" s="1"/>
  <c r="A282" i="6"/>
  <c r="F281" i="6"/>
  <c r="E281" i="6"/>
  <c r="D281" i="6"/>
  <c r="C281" i="6"/>
  <c r="B281" i="6"/>
  <c r="E293" i="6" s="1"/>
  <c r="A281" i="6"/>
  <c r="F280" i="6"/>
  <c r="A280" i="6"/>
  <c r="B280" i="6" s="1"/>
  <c r="F279" i="6"/>
  <c r="I291" i="6" s="1"/>
  <c r="B279" i="6"/>
  <c r="A279" i="6"/>
  <c r="G278" i="6"/>
  <c r="H278" i="6" s="1"/>
  <c r="F278" i="6"/>
  <c r="I290" i="6" s="1"/>
  <c r="B278" i="6"/>
  <c r="E290" i="6" s="1"/>
  <c r="A278" i="6"/>
  <c r="G277" i="6"/>
  <c r="H277" i="6" s="1"/>
  <c r="F277" i="6"/>
  <c r="I289" i="6" s="1"/>
  <c r="B277" i="6"/>
  <c r="A277" i="6"/>
  <c r="G276" i="6"/>
  <c r="H276" i="6" s="1"/>
  <c r="B276" i="6"/>
  <c r="A276" i="6"/>
  <c r="F276" i="6" s="1"/>
  <c r="F275" i="6"/>
  <c r="C275" i="6"/>
  <c r="D275" i="6" s="1"/>
  <c r="B275" i="6"/>
  <c r="E287" i="6" s="1"/>
  <c r="A275" i="6"/>
  <c r="F274" i="6"/>
  <c r="B274" i="6"/>
  <c r="E286" i="6" s="1"/>
  <c r="A274" i="6"/>
  <c r="F273" i="6"/>
  <c r="E273" i="6"/>
  <c r="D273" i="6"/>
  <c r="C273" i="6"/>
  <c r="B273" i="6"/>
  <c r="E285" i="6" s="1"/>
  <c r="A273" i="6"/>
  <c r="F272" i="6"/>
  <c r="E272" i="6"/>
  <c r="C272" i="6"/>
  <c r="D272" i="6" s="1"/>
  <c r="A272" i="6"/>
  <c r="B272" i="6" s="1"/>
  <c r="F271" i="6"/>
  <c r="I283" i="6" s="1"/>
  <c r="B271" i="6"/>
  <c r="A271" i="6"/>
  <c r="G270" i="6"/>
  <c r="H270" i="6" s="1"/>
  <c r="F270" i="6"/>
  <c r="B270" i="6"/>
  <c r="C270" i="6" s="1"/>
  <c r="D270" i="6" s="1"/>
  <c r="A270" i="6"/>
  <c r="G269" i="6"/>
  <c r="H269" i="6" s="1"/>
  <c r="F269" i="6"/>
  <c r="B269" i="6"/>
  <c r="A269" i="6"/>
  <c r="G268" i="6"/>
  <c r="H268" i="6" s="1"/>
  <c r="E268" i="6"/>
  <c r="B268" i="6"/>
  <c r="A268" i="6"/>
  <c r="F268" i="6" s="1"/>
  <c r="F267" i="6"/>
  <c r="B267" i="6"/>
  <c r="E279" i="6" s="1"/>
  <c r="A267" i="6"/>
  <c r="F266" i="6"/>
  <c r="B266" i="6"/>
  <c r="E278" i="6" s="1"/>
  <c r="A266" i="6"/>
  <c r="F265" i="6"/>
  <c r="E265" i="6"/>
  <c r="D265" i="6"/>
  <c r="C265" i="6"/>
  <c r="B265" i="6"/>
  <c r="E277" i="6" s="1"/>
  <c r="A265" i="6"/>
  <c r="F264" i="6"/>
  <c r="A264" i="6"/>
  <c r="B264" i="6" s="1"/>
  <c r="F263" i="6"/>
  <c r="I275" i="6" s="1"/>
  <c r="B263" i="6"/>
  <c r="A263" i="6"/>
  <c r="G262" i="6"/>
  <c r="H262" i="6" s="1"/>
  <c r="F262" i="6"/>
  <c r="B262" i="6"/>
  <c r="C262" i="6" s="1"/>
  <c r="D262" i="6" s="1"/>
  <c r="A262" i="6"/>
  <c r="G261" i="6"/>
  <c r="H261" i="6" s="1"/>
  <c r="F261" i="6"/>
  <c r="B261" i="6"/>
  <c r="A261" i="6"/>
  <c r="G260" i="6"/>
  <c r="H260" i="6" s="1"/>
  <c r="B260" i="6"/>
  <c r="A260" i="6"/>
  <c r="F260" i="6" s="1"/>
  <c r="F259" i="6"/>
  <c r="B259" i="6"/>
  <c r="E271" i="6" s="1"/>
  <c r="A259" i="6"/>
  <c r="F258" i="6"/>
  <c r="B258" i="6"/>
  <c r="E270" i="6" s="1"/>
  <c r="A258" i="6"/>
  <c r="F257" i="6"/>
  <c r="E257" i="6"/>
  <c r="D257" i="6"/>
  <c r="C257" i="6"/>
  <c r="B257" i="6"/>
  <c r="E269" i="6" s="1"/>
  <c r="A257" i="6"/>
  <c r="F256" i="6"/>
  <c r="E256" i="6"/>
  <c r="C256" i="6"/>
  <c r="D256" i="6" s="1"/>
  <c r="A256" i="6"/>
  <c r="B256" i="6" s="1"/>
  <c r="F255" i="6"/>
  <c r="I267" i="6" s="1"/>
  <c r="B255" i="6"/>
  <c r="A255" i="6"/>
  <c r="G254" i="6"/>
  <c r="H254" i="6" s="1"/>
  <c r="F254" i="6"/>
  <c r="B254" i="6"/>
  <c r="C254" i="6" s="1"/>
  <c r="D254" i="6" s="1"/>
  <c r="A254" i="6"/>
  <c r="G253" i="6"/>
  <c r="H253" i="6" s="1"/>
  <c r="F253" i="6"/>
  <c r="B253" i="6"/>
  <c r="A253" i="6"/>
  <c r="G252" i="6"/>
  <c r="H252" i="6" s="1"/>
  <c r="B252" i="6"/>
  <c r="E264" i="6" s="1"/>
  <c r="A252" i="6"/>
  <c r="F252" i="6" s="1"/>
  <c r="F251" i="6"/>
  <c r="B251" i="6"/>
  <c r="A251" i="6"/>
  <c r="F250" i="6"/>
  <c r="B250" i="6"/>
  <c r="E262" i="6" s="1"/>
  <c r="A250" i="6"/>
  <c r="F249" i="6"/>
  <c r="E249" i="6"/>
  <c r="D249" i="6"/>
  <c r="C249" i="6"/>
  <c r="B249" i="6"/>
  <c r="E261" i="6" s="1"/>
  <c r="A249" i="6"/>
  <c r="F248" i="6"/>
  <c r="C248" i="6"/>
  <c r="D248" i="6" s="1"/>
  <c r="A248" i="6"/>
  <c r="B248" i="6" s="1"/>
  <c r="F247" i="6"/>
  <c r="I259" i="6" s="1"/>
  <c r="B247" i="6"/>
  <c r="A247" i="6"/>
  <c r="G246" i="6"/>
  <c r="H246" i="6" s="1"/>
  <c r="F246" i="6"/>
  <c r="B246" i="6"/>
  <c r="C246" i="6" s="1"/>
  <c r="D246" i="6" s="1"/>
  <c r="A246" i="6"/>
  <c r="G245" i="6"/>
  <c r="H245" i="6" s="1"/>
  <c r="F245" i="6"/>
  <c r="B245" i="6"/>
  <c r="A245" i="6"/>
  <c r="G244" i="6"/>
  <c r="H244" i="6" s="1"/>
  <c r="E244" i="6"/>
  <c r="B244" i="6"/>
  <c r="A244" i="6"/>
  <c r="F244" i="6" s="1"/>
  <c r="F243" i="6"/>
  <c r="C243" i="6"/>
  <c r="D243" i="6" s="1"/>
  <c r="B243" i="6"/>
  <c r="E255" i="6" s="1"/>
  <c r="A243" i="6"/>
  <c r="F242" i="6"/>
  <c r="B242" i="6"/>
  <c r="E254" i="6" s="1"/>
  <c r="A242" i="6"/>
  <c r="F241" i="6"/>
  <c r="E241" i="6"/>
  <c r="D241" i="6"/>
  <c r="C241" i="6"/>
  <c r="B241" i="6"/>
  <c r="E253" i="6" s="1"/>
  <c r="A241" i="6"/>
  <c r="F240" i="6"/>
  <c r="A240" i="6"/>
  <c r="B240" i="6" s="1"/>
  <c r="F239" i="6"/>
  <c r="I251" i="6" s="1"/>
  <c r="B239" i="6"/>
  <c r="A239" i="6"/>
  <c r="G238" i="6"/>
  <c r="H238" i="6" s="1"/>
  <c r="F238" i="6"/>
  <c r="B238" i="6"/>
  <c r="C238" i="6" s="1"/>
  <c r="D238" i="6" s="1"/>
  <c r="A238" i="6"/>
  <c r="G237" i="6"/>
  <c r="H237" i="6" s="1"/>
  <c r="F237" i="6"/>
  <c r="B237" i="6"/>
  <c r="A237" i="6"/>
  <c r="G236" i="6"/>
  <c r="H236" i="6" s="1"/>
  <c r="B236" i="6"/>
  <c r="E248" i="6" s="1"/>
  <c r="A236" i="6"/>
  <c r="F236" i="6" s="1"/>
  <c r="F235" i="6"/>
  <c r="C235" i="6"/>
  <c r="D235" i="6" s="1"/>
  <c r="B235" i="6"/>
  <c r="E247" i="6" s="1"/>
  <c r="A235" i="6"/>
  <c r="F234" i="6"/>
  <c r="B234" i="6"/>
  <c r="E246" i="6" s="1"/>
  <c r="A234" i="6"/>
  <c r="F233" i="6"/>
  <c r="E233" i="6"/>
  <c r="D233" i="6"/>
  <c r="C233" i="6"/>
  <c r="B233" i="6"/>
  <c r="E245" i="6" s="1"/>
  <c r="A233" i="6"/>
  <c r="F232" i="6"/>
  <c r="E232" i="6"/>
  <c r="C232" i="6"/>
  <c r="D232" i="6" s="1"/>
  <c r="A232" i="6"/>
  <c r="B232" i="6" s="1"/>
  <c r="F231" i="6"/>
  <c r="B231" i="6"/>
  <c r="A231" i="6"/>
  <c r="G230" i="6"/>
  <c r="H230" i="6" s="1"/>
  <c r="F230" i="6"/>
  <c r="B230" i="6"/>
  <c r="C230" i="6" s="1"/>
  <c r="D230" i="6" s="1"/>
  <c r="A230" i="6"/>
  <c r="G229" i="6"/>
  <c r="H229" i="6" s="1"/>
  <c r="F229" i="6"/>
  <c r="B229" i="6"/>
  <c r="A229" i="6"/>
  <c r="B228" i="6"/>
  <c r="A228" i="6"/>
  <c r="F228" i="6" s="1"/>
  <c r="B227" i="6"/>
  <c r="A227" i="6"/>
  <c r="F227" i="6" s="1"/>
  <c r="A226" i="6"/>
  <c r="B226" i="6" s="1"/>
  <c r="C227" i="6" s="1"/>
  <c r="D227" i="6" s="1"/>
  <c r="F225" i="6"/>
  <c r="E225" i="6"/>
  <c r="D225" i="6"/>
  <c r="B225" i="6"/>
  <c r="E237" i="6" s="1"/>
  <c r="A225" i="6"/>
  <c r="F224" i="6"/>
  <c r="A224" i="6"/>
  <c r="B224" i="6" s="1"/>
  <c r="C225" i="6" s="1"/>
  <c r="B223" i="6"/>
  <c r="A223" i="6"/>
  <c r="F223" i="6" s="1"/>
  <c r="A222" i="6"/>
  <c r="G221" i="6"/>
  <c r="H221" i="6" s="1"/>
  <c r="F221" i="6"/>
  <c r="B221" i="6"/>
  <c r="A221" i="6"/>
  <c r="B220" i="6"/>
  <c r="E220" i="6" s="1"/>
  <c r="A220" i="6"/>
  <c r="F220" i="6" s="1"/>
  <c r="B219" i="6"/>
  <c r="E231" i="6" s="1"/>
  <c r="A219" i="6"/>
  <c r="F219" i="6" s="1"/>
  <c r="F218" i="6"/>
  <c r="A218" i="6"/>
  <c r="B218" i="6" s="1"/>
  <c r="F217" i="6"/>
  <c r="E217" i="6"/>
  <c r="D217" i="6"/>
  <c r="B217" i="6"/>
  <c r="E229" i="6" s="1"/>
  <c r="A217" i="6"/>
  <c r="F216" i="6"/>
  <c r="E216" i="6"/>
  <c r="A216" i="6"/>
  <c r="B216" i="6" s="1"/>
  <c r="C217" i="6" s="1"/>
  <c r="A215" i="6"/>
  <c r="F215" i="6" s="1"/>
  <c r="A214" i="6"/>
  <c r="G213" i="6"/>
  <c r="H213" i="6" s="1"/>
  <c r="F213" i="6"/>
  <c r="B213" i="6"/>
  <c r="A213" i="6"/>
  <c r="B212" i="6"/>
  <c r="C213" i="6" s="1"/>
  <c r="D213" i="6" s="1"/>
  <c r="A212" i="6"/>
  <c r="F212" i="6" s="1"/>
  <c r="B211" i="6"/>
  <c r="A211" i="6"/>
  <c r="F211" i="6" s="1"/>
  <c r="F210" i="6"/>
  <c r="A210" i="6"/>
  <c r="B210" i="6" s="1"/>
  <c r="F209" i="6"/>
  <c r="E209" i="6"/>
  <c r="B209" i="6"/>
  <c r="E221" i="6" s="1"/>
  <c r="A209" i="6"/>
  <c r="F208" i="6"/>
  <c r="E208" i="6"/>
  <c r="A208" i="6"/>
  <c r="B208" i="6" s="1"/>
  <c r="C209" i="6" s="1"/>
  <c r="D209" i="6" s="1"/>
  <c r="A207" i="6"/>
  <c r="F207" i="6" s="1"/>
  <c r="A206" i="6"/>
  <c r="F205" i="6"/>
  <c r="I217" i="6" s="1"/>
  <c r="D205" i="6"/>
  <c r="B205" i="6"/>
  <c r="A205" i="6"/>
  <c r="B204" i="6"/>
  <c r="C205" i="6" s="1"/>
  <c r="A204" i="6"/>
  <c r="F204" i="6" s="1"/>
  <c r="C203" i="6"/>
  <c r="D203" i="6" s="1"/>
  <c r="B203" i="6"/>
  <c r="A203" i="6"/>
  <c r="F203" i="6" s="1"/>
  <c r="F202" i="6"/>
  <c r="A202" i="6"/>
  <c r="B202" i="6" s="1"/>
  <c r="F201" i="6"/>
  <c r="E201" i="6"/>
  <c r="D201" i="6"/>
  <c r="B201" i="6"/>
  <c r="E213" i="6" s="1"/>
  <c r="A201" i="6"/>
  <c r="F200" i="6"/>
  <c r="E200" i="6"/>
  <c r="A200" i="6"/>
  <c r="B200" i="6" s="1"/>
  <c r="C201" i="6" s="1"/>
  <c r="B199" i="6"/>
  <c r="A199" i="6"/>
  <c r="F199" i="6" s="1"/>
  <c r="A198" i="6"/>
  <c r="F197" i="6"/>
  <c r="I209" i="6" s="1"/>
  <c r="D197" i="6"/>
  <c r="B197" i="6"/>
  <c r="A197" i="6"/>
  <c r="E196" i="6"/>
  <c r="B196" i="6"/>
  <c r="C197" i="6" s="1"/>
  <c r="A196" i="6"/>
  <c r="F196" i="6" s="1"/>
  <c r="A195" i="6"/>
  <c r="F195" i="6" s="1"/>
  <c r="F194" i="6"/>
  <c r="A194" i="6"/>
  <c r="B194" i="6" s="1"/>
  <c r="F193" i="6"/>
  <c r="E193" i="6"/>
  <c r="D193" i="6"/>
  <c r="B193" i="6"/>
  <c r="E205" i="6" s="1"/>
  <c r="A193" i="6"/>
  <c r="F192" i="6"/>
  <c r="A192" i="6"/>
  <c r="B192" i="6" s="1"/>
  <c r="C193" i="6" s="1"/>
  <c r="A191" i="6"/>
  <c r="F191" i="6" s="1"/>
  <c r="A190" i="6"/>
  <c r="F189" i="6"/>
  <c r="D189" i="6"/>
  <c r="B189" i="6"/>
  <c r="A189" i="6"/>
  <c r="E188" i="6"/>
  <c r="B188" i="6"/>
  <c r="C189" i="6" s="1"/>
  <c r="A188" i="6"/>
  <c r="F188" i="6" s="1"/>
  <c r="B187" i="6"/>
  <c r="C188" i="6" s="1"/>
  <c r="D188" i="6" s="1"/>
  <c r="A187" i="6"/>
  <c r="F187" i="6" s="1"/>
  <c r="A186" i="6"/>
  <c r="B186" i="6" s="1"/>
  <c r="F185" i="6"/>
  <c r="E185" i="6"/>
  <c r="D185" i="6"/>
  <c r="B185" i="6"/>
  <c r="E197" i="6" s="1"/>
  <c r="A185" i="6"/>
  <c r="F184" i="6"/>
  <c r="A184" i="6"/>
  <c r="B184" i="6" s="1"/>
  <c r="C185" i="6" s="1"/>
  <c r="A183" i="6"/>
  <c r="F183" i="6" s="1"/>
  <c r="A182" i="6"/>
  <c r="G181" i="6"/>
  <c r="H181" i="6" s="1"/>
  <c r="F181" i="6"/>
  <c r="I193" i="6" s="1"/>
  <c r="B181" i="6"/>
  <c r="A181" i="6"/>
  <c r="B180" i="6"/>
  <c r="C181" i="6" s="1"/>
  <c r="D181" i="6" s="1"/>
  <c r="A180" i="6"/>
  <c r="F180" i="6" s="1"/>
  <c r="B179" i="6"/>
  <c r="A179" i="6"/>
  <c r="F179" i="6" s="1"/>
  <c r="F178" i="6"/>
  <c r="A178" i="6"/>
  <c r="B178" i="6" s="1"/>
  <c r="F177" i="6"/>
  <c r="E177" i="6"/>
  <c r="B177" i="6"/>
  <c r="E189" i="6" s="1"/>
  <c r="A177" i="6"/>
  <c r="F176" i="6"/>
  <c r="E176" i="6"/>
  <c r="A176" i="6"/>
  <c r="B176" i="6" s="1"/>
  <c r="C177" i="6" s="1"/>
  <c r="D177" i="6" s="1"/>
  <c r="A175" i="6"/>
  <c r="F175" i="6" s="1"/>
  <c r="A174" i="6"/>
  <c r="F173" i="6"/>
  <c r="I185" i="6" s="1"/>
  <c r="D173" i="6"/>
  <c r="B173" i="6"/>
  <c r="A173" i="6"/>
  <c r="C172" i="6"/>
  <c r="D172" i="6" s="1"/>
  <c r="B172" i="6"/>
  <c r="C173" i="6" s="1"/>
  <c r="A172" i="6"/>
  <c r="F172" i="6" s="1"/>
  <c r="C171" i="6"/>
  <c r="D171" i="6" s="1"/>
  <c r="B171" i="6"/>
  <c r="A171" i="6"/>
  <c r="F171" i="6" s="1"/>
  <c r="F170" i="6"/>
  <c r="A170" i="6"/>
  <c r="B170" i="6" s="1"/>
  <c r="F169" i="6"/>
  <c r="E169" i="6"/>
  <c r="D169" i="6"/>
  <c r="B169" i="6"/>
  <c r="E181" i="6" s="1"/>
  <c r="A169" i="6"/>
  <c r="F168" i="6"/>
  <c r="E168" i="6"/>
  <c r="A168" i="6"/>
  <c r="B168" i="6" s="1"/>
  <c r="C169" i="6" s="1"/>
  <c r="B167" i="6"/>
  <c r="A167" i="6"/>
  <c r="F167" i="6" s="1"/>
  <c r="A166" i="6"/>
  <c r="F165" i="6"/>
  <c r="I177" i="6" s="1"/>
  <c r="D165" i="6"/>
  <c r="B165" i="6"/>
  <c r="A165" i="6"/>
  <c r="E164" i="6"/>
  <c r="B164" i="6"/>
  <c r="C165" i="6" s="1"/>
  <c r="A164" i="6"/>
  <c r="F164" i="6" s="1"/>
  <c r="A163" i="6"/>
  <c r="F163" i="6" s="1"/>
  <c r="F162" i="6"/>
  <c r="A162" i="6"/>
  <c r="B162" i="6" s="1"/>
  <c r="F161" i="6"/>
  <c r="E161" i="6"/>
  <c r="D161" i="6"/>
  <c r="B161" i="6"/>
  <c r="E173" i="6" s="1"/>
  <c r="A161" i="6"/>
  <c r="F160" i="6"/>
  <c r="A160" i="6"/>
  <c r="B160" i="6" s="1"/>
  <c r="C161" i="6" s="1"/>
  <c r="A159" i="6"/>
  <c r="F159" i="6" s="1"/>
  <c r="A158" i="6"/>
  <c r="F157" i="6"/>
  <c r="D157" i="6"/>
  <c r="B157" i="6"/>
  <c r="A157" i="6"/>
  <c r="E156" i="6"/>
  <c r="B156" i="6"/>
  <c r="C157" i="6" s="1"/>
  <c r="A156" i="6"/>
  <c r="F156" i="6" s="1"/>
  <c r="B155" i="6"/>
  <c r="C156" i="6" s="1"/>
  <c r="D156" i="6" s="1"/>
  <c r="A155" i="6"/>
  <c r="F155" i="6" s="1"/>
  <c r="A154" i="6"/>
  <c r="B154" i="6" s="1"/>
  <c r="F153" i="6"/>
  <c r="E153" i="6"/>
  <c r="D153" i="6"/>
  <c r="B153" i="6"/>
  <c r="E165" i="6" s="1"/>
  <c r="A153" i="6"/>
  <c r="F152" i="6"/>
  <c r="A152" i="6"/>
  <c r="B152" i="6" s="1"/>
  <c r="C153" i="6" s="1"/>
  <c r="A151" i="6"/>
  <c r="F151" i="6" s="1"/>
  <c r="A150" i="6"/>
  <c r="G149" i="6"/>
  <c r="H149" i="6" s="1"/>
  <c r="F149" i="6"/>
  <c r="I161" i="6" s="1"/>
  <c r="B149" i="6"/>
  <c r="A149" i="6"/>
  <c r="B148" i="6"/>
  <c r="C149" i="6" s="1"/>
  <c r="D149" i="6" s="1"/>
  <c r="A148" i="6"/>
  <c r="F148" i="6" s="1"/>
  <c r="B147" i="6"/>
  <c r="A147" i="6"/>
  <c r="F147" i="6" s="1"/>
  <c r="F146" i="6"/>
  <c r="A146" i="6"/>
  <c r="B146" i="6" s="1"/>
  <c r="F145" i="6"/>
  <c r="E145" i="6"/>
  <c r="B145" i="6"/>
  <c r="E157" i="6" s="1"/>
  <c r="A145" i="6"/>
  <c r="F144" i="6"/>
  <c r="E144" i="6"/>
  <c r="A144" i="6"/>
  <c r="B144" i="6" s="1"/>
  <c r="C145" i="6" s="1"/>
  <c r="D145" i="6" s="1"/>
  <c r="A143" i="6"/>
  <c r="F143" i="6" s="1"/>
  <c r="A142" i="6"/>
  <c r="F141" i="6"/>
  <c r="I153" i="6" s="1"/>
  <c r="D141" i="6"/>
  <c r="B141" i="6"/>
  <c r="A141" i="6"/>
  <c r="C140" i="6"/>
  <c r="D140" i="6" s="1"/>
  <c r="B140" i="6"/>
  <c r="C141" i="6" s="1"/>
  <c r="A140" i="6"/>
  <c r="F140" i="6" s="1"/>
  <c r="C139" i="6"/>
  <c r="D139" i="6" s="1"/>
  <c r="B139" i="6"/>
  <c r="A139" i="6"/>
  <c r="F139" i="6" s="1"/>
  <c r="F138" i="6"/>
  <c r="A138" i="6"/>
  <c r="B138" i="6" s="1"/>
  <c r="F137" i="6"/>
  <c r="E137" i="6"/>
  <c r="B137" i="6"/>
  <c r="E149" i="6" s="1"/>
  <c r="A137" i="6"/>
  <c r="F136" i="6"/>
  <c r="E136" i="6"/>
  <c r="A136" i="6"/>
  <c r="B136" i="6" s="1"/>
  <c r="C137" i="6" s="1"/>
  <c r="D137" i="6" s="1"/>
  <c r="B135" i="6"/>
  <c r="A135" i="6"/>
  <c r="F135" i="6" s="1"/>
  <c r="A134" i="6"/>
  <c r="F133" i="6"/>
  <c r="I145" i="6" s="1"/>
  <c r="D133" i="6"/>
  <c r="B133" i="6"/>
  <c r="A133" i="6"/>
  <c r="C132" i="6"/>
  <c r="D132" i="6" s="1"/>
  <c r="B132" i="6"/>
  <c r="C133" i="6" s="1"/>
  <c r="A132" i="6"/>
  <c r="F132" i="6" s="1"/>
  <c r="G131" i="6"/>
  <c r="H131" i="6" s="1"/>
  <c r="F131" i="6"/>
  <c r="D131" i="6"/>
  <c r="C131" i="6"/>
  <c r="B131" i="6"/>
  <c r="A131" i="6"/>
  <c r="F130" i="6"/>
  <c r="B130" i="6"/>
  <c r="A130" i="6"/>
  <c r="A129" i="6"/>
  <c r="B128" i="6"/>
  <c r="A128" i="6"/>
  <c r="F128" i="6" s="1"/>
  <c r="A127" i="6"/>
  <c r="H126" i="6"/>
  <c r="G126" i="6"/>
  <c r="A126" i="6"/>
  <c r="F126" i="6" s="1"/>
  <c r="I125" i="6"/>
  <c r="E125" i="6"/>
  <c r="B125" i="6"/>
  <c r="A125" i="6"/>
  <c r="F125" i="6" s="1"/>
  <c r="F124" i="6"/>
  <c r="B124" i="6"/>
  <c r="C125" i="6" s="1"/>
  <c r="D125" i="6" s="1"/>
  <c r="A124" i="6"/>
  <c r="F123" i="6"/>
  <c r="C123" i="6"/>
  <c r="D123" i="6" s="1"/>
  <c r="B123" i="6"/>
  <c r="C124" i="6" s="1"/>
  <c r="D124" i="6" s="1"/>
  <c r="A123" i="6"/>
  <c r="F122" i="6"/>
  <c r="B122" i="6"/>
  <c r="A122" i="6"/>
  <c r="F121" i="6"/>
  <c r="A121" i="6"/>
  <c r="B121" i="6" s="1"/>
  <c r="B120" i="6"/>
  <c r="E132" i="6" s="1"/>
  <c r="A120" i="6"/>
  <c r="F120" i="6" s="1"/>
  <c r="B119" i="6"/>
  <c r="A119" i="6"/>
  <c r="F119" i="6" s="1"/>
  <c r="A118" i="6"/>
  <c r="A117" i="6"/>
  <c r="F117" i="6" s="1"/>
  <c r="F116" i="6"/>
  <c r="G116" i="6" s="1"/>
  <c r="H116" i="6" s="1"/>
  <c r="B116" i="6"/>
  <c r="A116" i="6"/>
  <c r="F115" i="6"/>
  <c r="G115" i="6" s="1"/>
  <c r="H115" i="6" s="1"/>
  <c r="E115" i="6"/>
  <c r="C115" i="6"/>
  <c r="D115" i="6" s="1"/>
  <c r="B115" i="6"/>
  <c r="A115" i="6"/>
  <c r="F114" i="6"/>
  <c r="G114" i="6" s="1"/>
  <c r="H114" i="6" s="1"/>
  <c r="D114" i="6"/>
  <c r="C114" i="6"/>
  <c r="B114" i="6"/>
  <c r="A114" i="6"/>
  <c r="F113" i="6"/>
  <c r="A113" i="6"/>
  <c r="B113" i="6" s="1"/>
  <c r="F112" i="6"/>
  <c r="G113" i="6" s="1"/>
  <c r="H113" i="6" s="1"/>
  <c r="B112" i="6"/>
  <c r="C112" i="6" s="1"/>
  <c r="D112" i="6" s="1"/>
  <c r="A112" i="6"/>
  <c r="B111" i="6"/>
  <c r="C111" i="6" s="1"/>
  <c r="D111" i="6" s="1"/>
  <c r="A111" i="6"/>
  <c r="F111" i="6" s="1"/>
  <c r="B110" i="6"/>
  <c r="E122" i="6" s="1"/>
  <c r="A110" i="6"/>
  <c r="F110" i="6" s="1"/>
  <c r="A109" i="6"/>
  <c r="I108" i="6"/>
  <c r="F108" i="6"/>
  <c r="A108" i="6"/>
  <c r="B108" i="6" s="1"/>
  <c r="C108" i="6" s="1"/>
  <c r="D108" i="6" s="1"/>
  <c r="F107" i="6"/>
  <c r="I119" i="6" s="1"/>
  <c r="D107" i="6"/>
  <c r="C107" i="6"/>
  <c r="B107" i="6"/>
  <c r="A107" i="6"/>
  <c r="G106" i="6"/>
  <c r="H106" i="6" s="1"/>
  <c r="F106" i="6"/>
  <c r="E106" i="6"/>
  <c r="D106" i="6"/>
  <c r="C106" i="6"/>
  <c r="B106" i="6"/>
  <c r="A106" i="6"/>
  <c r="G105" i="6"/>
  <c r="H105" i="6" s="1"/>
  <c r="F105" i="6"/>
  <c r="I117" i="6" s="1"/>
  <c r="A105" i="6"/>
  <c r="B105" i="6" s="1"/>
  <c r="F104" i="6"/>
  <c r="G104" i="6" s="1"/>
  <c r="H104" i="6" s="1"/>
  <c r="B104" i="6"/>
  <c r="C104" i="6" s="1"/>
  <c r="D104" i="6" s="1"/>
  <c r="A104" i="6"/>
  <c r="F103" i="6"/>
  <c r="B103" i="6"/>
  <c r="A103" i="6"/>
  <c r="A102" i="6"/>
  <c r="F102" i="6" s="1"/>
  <c r="A101" i="6"/>
  <c r="F101" i="6" s="1"/>
  <c r="A100" i="6"/>
  <c r="B100" i="6" s="1"/>
  <c r="F99" i="6"/>
  <c r="I111" i="6" s="1"/>
  <c r="E99" i="6"/>
  <c r="D99" i="6"/>
  <c r="C99" i="6"/>
  <c r="B99" i="6"/>
  <c r="A99" i="6"/>
  <c r="F98" i="6"/>
  <c r="G98" i="6" s="1"/>
  <c r="H98" i="6" s="1"/>
  <c r="E98" i="6"/>
  <c r="D98" i="6"/>
  <c r="C98" i="6"/>
  <c r="B98" i="6"/>
  <c r="A98" i="6"/>
  <c r="G97" i="6"/>
  <c r="H97" i="6" s="1"/>
  <c r="F97" i="6"/>
  <c r="A97" i="6"/>
  <c r="B97" i="6" s="1"/>
  <c r="F96" i="6"/>
  <c r="B96" i="6"/>
  <c r="A96" i="6"/>
  <c r="F95" i="6"/>
  <c r="G96" i="6" s="1"/>
  <c r="H96" i="6" s="1"/>
  <c r="C95" i="6"/>
  <c r="D95" i="6" s="1"/>
  <c r="B95" i="6"/>
  <c r="E107" i="6" s="1"/>
  <c r="A95" i="6"/>
  <c r="B94" i="6"/>
  <c r="C94" i="6" s="1"/>
  <c r="D94" i="6" s="1"/>
  <c r="A94" i="6"/>
  <c r="F94" i="6" s="1"/>
  <c r="B93" i="6"/>
  <c r="C93" i="6" s="1"/>
  <c r="D93" i="6" s="1"/>
  <c r="A93" i="6"/>
  <c r="F93" i="6" s="1"/>
  <c r="B92" i="6"/>
  <c r="C92" i="6" s="1"/>
  <c r="D92" i="6" s="1"/>
  <c r="A92" i="6"/>
  <c r="F92" i="6" s="1"/>
  <c r="F91" i="6"/>
  <c r="I103" i="6" s="1"/>
  <c r="E91" i="6"/>
  <c r="B91" i="6"/>
  <c r="A91" i="6"/>
  <c r="G90" i="6"/>
  <c r="H90" i="6" s="1"/>
  <c r="F90" i="6"/>
  <c r="B90" i="6"/>
  <c r="A90" i="6"/>
  <c r="I89" i="6"/>
  <c r="F89" i="6"/>
  <c r="A89" i="6"/>
  <c r="B89" i="6" s="1"/>
  <c r="G88" i="6"/>
  <c r="H88" i="6" s="1"/>
  <c r="F88" i="6"/>
  <c r="B88" i="6"/>
  <c r="A88" i="6"/>
  <c r="G87" i="6"/>
  <c r="H87" i="6" s="1"/>
  <c r="F87" i="6"/>
  <c r="C87" i="6"/>
  <c r="D87" i="6" s="1"/>
  <c r="B87" i="6"/>
  <c r="A87" i="6"/>
  <c r="B86" i="6"/>
  <c r="A86" i="6"/>
  <c r="F86" i="6" s="1"/>
  <c r="A85" i="6"/>
  <c r="F85" i="6" s="1"/>
  <c r="G85" i="6" s="1"/>
  <c r="H85" i="6" s="1"/>
  <c r="A84" i="6"/>
  <c r="F84" i="6" s="1"/>
  <c r="G83" i="6"/>
  <c r="H83" i="6" s="1"/>
  <c r="F83" i="6"/>
  <c r="I95" i="6" s="1"/>
  <c r="B83" i="6"/>
  <c r="A83" i="6"/>
  <c r="F82" i="6"/>
  <c r="B82" i="6"/>
  <c r="A82" i="6"/>
  <c r="A81" i="6"/>
  <c r="I80" i="6"/>
  <c r="F80" i="6"/>
  <c r="A80" i="6"/>
  <c r="B80" i="6" s="1"/>
  <c r="F79" i="6"/>
  <c r="I91" i="6" s="1"/>
  <c r="B79" i="6"/>
  <c r="A79" i="6"/>
  <c r="H78" i="6"/>
  <c r="G78" i="6"/>
  <c r="C78" i="6"/>
  <c r="D78" i="6" s="1"/>
  <c r="B78" i="6"/>
  <c r="E90" i="6" s="1"/>
  <c r="A78" i="6"/>
  <c r="F78" i="6" s="1"/>
  <c r="B77" i="6"/>
  <c r="E89" i="6" s="1"/>
  <c r="A77" i="6"/>
  <c r="F77" i="6" s="1"/>
  <c r="B76" i="6"/>
  <c r="E88" i="6" s="1"/>
  <c r="A76" i="6"/>
  <c r="F76" i="6" s="1"/>
  <c r="G76" i="6" s="1"/>
  <c r="H76" i="6" s="1"/>
  <c r="G75" i="6"/>
  <c r="H75" i="6" s="1"/>
  <c r="F75" i="6"/>
  <c r="I87" i="6" s="1"/>
  <c r="B75" i="6"/>
  <c r="E87" i="6" s="1"/>
  <c r="A75" i="6"/>
  <c r="F74" i="6"/>
  <c r="I86" i="6" s="1"/>
  <c r="B74" i="6"/>
  <c r="A74" i="6"/>
  <c r="A73" i="6"/>
  <c r="A72" i="6"/>
  <c r="H71" i="6"/>
  <c r="G71" i="6"/>
  <c r="F71" i="6"/>
  <c r="I83" i="6" s="1"/>
  <c r="A71" i="6"/>
  <c r="B71" i="6" s="1"/>
  <c r="H70" i="6"/>
  <c r="G70" i="6"/>
  <c r="D70" i="6"/>
  <c r="C70" i="6"/>
  <c r="B70" i="6"/>
  <c r="E82" i="6" s="1"/>
  <c r="A70" i="6"/>
  <c r="F70" i="6" s="1"/>
  <c r="E69" i="6"/>
  <c r="D69" i="6"/>
  <c r="C69" i="6"/>
  <c r="B69" i="6"/>
  <c r="A69" i="6"/>
  <c r="F69" i="6" s="1"/>
  <c r="F68" i="6"/>
  <c r="G68" i="6" s="1"/>
  <c r="H68" i="6" s="1"/>
  <c r="E68" i="6"/>
  <c r="D68" i="6"/>
  <c r="C68" i="6"/>
  <c r="B68" i="6"/>
  <c r="A68" i="6"/>
  <c r="F67" i="6"/>
  <c r="G67" i="6" s="1"/>
  <c r="H67" i="6" s="1"/>
  <c r="E67" i="6"/>
  <c r="D67" i="6"/>
  <c r="C67" i="6"/>
  <c r="B67" i="6"/>
  <c r="E79" i="6" s="1"/>
  <c r="A67" i="6"/>
  <c r="G66" i="6"/>
  <c r="H66" i="6" s="1"/>
  <c r="F66" i="6"/>
  <c r="I78" i="6" s="1"/>
  <c r="E66" i="6"/>
  <c r="D66" i="6"/>
  <c r="C66" i="6"/>
  <c r="B66" i="6"/>
  <c r="E78" i="6" s="1"/>
  <c r="A66" i="6"/>
  <c r="G65" i="6"/>
  <c r="H65" i="6" s="1"/>
  <c r="F65" i="6"/>
  <c r="E65" i="6"/>
  <c r="A65" i="6"/>
  <c r="B65" i="6" s="1"/>
  <c r="G64" i="6"/>
  <c r="H64" i="6" s="1"/>
  <c r="F64" i="6"/>
  <c r="I76" i="6" s="1"/>
  <c r="E64" i="6"/>
  <c r="B64" i="6"/>
  <c r="A64" i="6"/>
  <c r="F63" i="6"/>
  <c r="I75" i="6" s="1"/>
  <c r="E63" i="6"/>
  <c r="C63" i="6"/>
  <c r="D63" i="6" s="1"/>
  <c r="B63" i="6"/>
  <c r="A63" i="6"/>
  <c r="F62" i="6"/>
  <c r="I74" i="6" s="1"/>
  <c r="B62" i="6"/>
  <c r="E74" i="6" s="1"/>
  <c r="A62" i="6"/>
  <c r="G61" i="6"/>
  <c r="H61" i="6" s="1"/>
  <c r="E61" i="6"/>
  <c r="B61" i="6"/>
  <c r="A61" i="6"/>
  <c r="F61" i="6" s="1"/>
  <c r="F60" i="6"/>
  <c r="E60" i="6"/>
  <c r="B60" i="6"/>
  <c r="A60" i="6"/>
  <c r="G59" i="6"/>
  <c r="H59" i="6" s="1"/>
  <c r="F59" i="6"/>
  <c r="I71" i="6" s="1"/>
  <c r="E59" i="6"/>
  <c r="D59" i="6"/>
  <c r="B59" i="6"/>
  <c r="C59" i="6" s="1"/>
  <c r="A59" i="6"/>
  <c r="F58" i="6"/>
  <c r="G58" i="6" s="1"/>
  <c r="H58" i="6" s="1"/>
  <c r="E58" i="6"/>
  <c r="D58" i="6"/>
  <c r="B58" i="6"/>
  <c r="E70" i="6" s="1"/>
  <c r="A58" i="6"/>
  <c r="F57" i="6"/>
  <c r="E57" i="6"/>
  <c r="A57" i="6"/>
  <c r="B57" i="6" s="1"/>
  <c r="G56" i="6"/>
  <c r="H56" i="6" s="1"/>
  <c r="F56" i="6"/>
  <c r="E56" i="6"/>
  <c r="B56" i="6"/>
  <c r="A56" i="6"/>
  <c r="G55" i="6"/>
  <c r="H55" i="6" s="1"/>
  <c r="F55" i="6"/>
  <c r="I67" i="6" s="1"/>
  <c r="E55" i="6"/>
  <c r="B55" i="6"/>
  <c r="C55" i="6" s="1"/>
  <c r="A55" i="6"/>
  <c r="F54" i="6"/>
  <c r="I66" i="6" s="1"/>
  <c r="D54" i="6"/>
  <c r="B54" i="6"/>
  <c r="C54" i="6" s="1"/>
  <c r="A54" i="6"/>
  <c r="E53" i="6"/>
  <c r="D53" i="6"/>
  <c r="B53" i="6"/>
  <c r="C53" i="6" s="1"/>
  <c r="A53" i="6"/>
  <c r="F53" i="6" s="1"/>
  <c r="F52" i="6"/>
  <c r="E52" i="6"/>
  <c r="D52" i="6"/>
  <c r="B52" i="6"/>
  <c r="C52" i="6" s="1"/>
  <c r="A52" i="6"/>
  <c r="F51" i="6"/>
  <c r="I63" i="6" s="1"/>
  <c r="E51" i="6"/>
  <c r="D51" i="6"/>
  <c r="B51" i="6"/>
  <c r="C51" i="6" s="1"/>
  <c r="A51" i="6"/>
  <c r="F50" i="6"/>
  <c r="E50" i="6"/>
  <c r="D50" i="6"/>
  <c r="B50" i="6"/>
  <c r="E62" i="6" s="1"/>
  <c r="A50" i="6"/>
  <c r="F49" i="6"/>
  <c r="E49" i="6"/>
  <c r="A49" i="6"/>
  <c r="B49" i="6" s="1"/>
  <c r="F48" i="6"/>
  <c r="I60" i="6" s="1"/>
  <c r="E48" i="6"/>
  <c r="B48" i="6"/>
  <c r="A48" i="6"/>
  <c r="F47" i="6"/>
  <c r="I59" i="6" s="1"/>
  <c r="E47" i="6"/>
  <c r="B47" i="6"/>
  <c r="C47" i="6" s="1"/>
  <c r="A47" i="6"/>
  <c r="F46" i="6"/>
  <c r="D46" i="6"/>
  <c r="B46" i="6"/>
  <c r="C46" i="6" s="1"/>
  <c r="A46" i="6"/>
  <c r="E45" i="6"/>
  <c r="D45" i="6"/>
  <c r="B45" i="6"/>
  <c r="D57" i="6" s="1"/>
  <c r="A45" i="6"/>
  <c r="F45" i="6" s="1"/>
  <c r="F44" i="6"/>
  <c r="G45" i="6" s="1"/>
  <c r="H45" i="6" s="1"/>
  <c r="E44" i="6"/>
  <c r="D44" i="6"/>
  <c r="B44" i="6"/>
  <c r="D56" i="6" s="1"/>
  <c r="A44" i="6"/>
  <c r="F43" i="6"/>
  <c r="I55" i="6" s="1"/>
  <c r="E43" i="6"/>
  <c r="D43" i="6"/>
  <c r="B43" i="6"/>
  <c r="D55" i="6" s="1"/>
  <c r="A43" i="6"/>
  <c r="F42" i="6"/>
  <c r="E42" i="6"/>
  <c r="D42" i="6"/>
  <c r="B42" i="6"/>
  <c r="E54" i="6" s="1"/>
  <c r="A42" i="6"/>
  <c r="F41" i="6"/>
  <c r="I53" i="6" s="1"/>
  <c r="E41" i="6"/>
  <c r="A41" i="6"/>
  <c r="B41" i="6" s="1"/>
  <c r="G40" i="6"/>
  <c r="H40" i="6" s="1"/>
  <c r="F40" i="6"/>
  <c r="G41" i="6" s="1"/>
  <c r="H41" i="6" s="1"/>
  <c r="E40" i="6"/>
  <c r="B40" i="6"/>
  <c r="A40" i="6"/>
  <c r="F39" i="6"/>
  <c r="I51" i="6" s="1"/>
  <c r="E39" i="6"/>
  <c r="B39" i="6"/>
  <c r="C39" i="6" s="1"/>
  <c r="A39" i="6"/>
  <c r="F38" i="6"/>
  <c r="I50" i="6" s="1"/>
  <c r="D38" i="6"/>
  <c r="B38" i="6"/>
  <c r="C38" i="6" s="1"/>
  <c r="A38" i="6"/>
  <c r="G37" i="6"/>
  <c r="H37" i="6" s="1"/>
  <c r="E37" i="6"/>
  <c r="D37" i="6"/>
  <c r="B37" i="6"/>
  <c r="D49" i="6" s="1"/>
  <c r="A37" i="6"/>
  <c r="F37" i="6" s="1"/>
  <c r="F36" i="6"/>
  <c r="E36" i="6"/>
  <c r="D36" i="6"/>
  <c r="B36" i="6"/>
  <c r="D48" i="6" s="1"/>
  <c r="A36" i="6"/>
  <c r="G35" i="6"/>
  <c r="H35" i="6" s="1"/>
  <c r="F35" i="6"/>
  <c r="E35" i="6"/>
  <c r="D35" i="6"/>
  <c r="B35" i="6"/>
  <c r="D47" i="6" s="1"/>
  <c r="A35" i="6"/>
  <c r="F34" i="6"/>
  <c r="E34" i="6"/>
  <c r="D34" i="6"/>
  <c r="B34" i="6"/>
  <c r="E46" i="6" s="1"/>
  <c r="A34" i="6"/>
  <c r="G33" i="6"/>
  <c r="H33" i="6" s="1"/>
  <c r="F33" i="6"/>
  <c r="I45" i="6" s="1"/>
  <c r="E33" i="6"/>
  <c r="A33" i="6"/>
  <c r="B33" i="6" s="1"/>
  <c r="F32" i="6"/>
  <c r="I44" i="6" s="1"/>
  <c r="E32" i="6"/>
  <c r="B32" i="6"/>
  <c r="A32" i="6"/>
  <c r="F31" i="6"/>
  <c r="E31" i="6"/>
  <c r="B31" i="6"/>
  <c r="C31" i="6" s="1"/>
  <c r="A31" i="6"/>
  <c r="H30" i="6"/>
  <c r="G30" i="6"/>
  <c r="F30" i="6"/>
  <c r="D30" i="6"/>
  <c r="B30" i="6"/>
  <c r="C30" i="6" s="1"/>
  <c r="A30" i="6"/>
  <c r="E29" i="6"/>
  <c r="D29" i="6"/>
  <c r="B29" i="6"/>
  <c r="D41" i="6" s="1"/>
  <c r="A29" i="6"/>
  <c r="F29" i="6" s="1"/>
  <c r="I41" i="6" s="1"/>
  <c r="F28" i="6"/>
  <c r="G29" i="6" s="1"/>
  <c r="H29" i="6" s="1"/>
  <c r="E28" i="6"/>
  <c r="D28" i="6"/>
  <c r="B28" i="6"/>
  <c r="D40" i="6" s="1"/>
  <c r="A28" i="6"/>
  <c r="F27" i="6"/>
  <c r="E27" i="6"/>
  <c r="D27" i="6"/>
  <c r="B27" i="6"/>
  <c r="D39" i="6" s="1"/>
  <c r="A27" i="6"/>
  <c r="F26" i="6"/>
  <c r="E26" i="6"/>
  <c r="D26" i="6"/>
  <c r="B26" i="6"/>
  <c r="E38" i="6" s="1"/>
  <c r="A26" i="6"/>
  <c r="F25" i="6"/>
  <c r="I37" i="6" s="1"/>
  <c r="E25" i="6"/>
  <c r="A25" i="6"/>
  <c r="B25" i="6" s="1"/>
  <c r="F24" i="6"/>
  <c r="I36" i="6" s="1"/>
  <c r="E24" i="6"/>
  <c r="B24" i="6"/>
  <c r="A24" i="6"/>
  <c r="F23" i="6"/>
  <c r="I35" i="6" s="1"/>
  <c r="E23" i="6"/>
  <c r="B23" i="6"/>
  <c r="C23" i="6" s="1"/>
  <c r="A23" i="6"/>
  <c r="G22" i="6"/>
  <c r="H22" i="6" s="1"/>
  <c r="F22" i="6"/>
  <c r="I34" i="6" s="1"/>
  <c r="D22" i="6"/>
  <c r="B22" i="6"/>
  <c r="C22" i="6" s="1"/>
  <c r="A22" i="6"/>
  <c r="G21" i="6"/>
  <c r="H21" i="6" s="1"/>
  <c r="E21" i="6"/>
  <c r="D21" i="6"/>
  <c r="B21" i="6"/>
  <c r="D33" i="6" s="1"/>
  <c r="A21" i="6"/>
  <c r="F21" i="6" s="1"/>
  <c r="F20" i="6"/>
  <c r="E20" i="6"/>
  <c r="D20" i="6"/>
  <c r="B20" i="6"/>
  <c r="D32" i="6" s="1"/>
  <c r="A20" i="6"/>
  <c r="F19" i="6"/>
  <c r="E19" i="6"/>
  <c r="D19" i="6"/>
  <c r="B19" i="6"/>
  <c r="D31" i="6" s="1"/>
  <c r="A19" i="6"/>
  <c r="F18" i="6"/>
  <c r="I30" i="6" s="1"/>
  <c r="E18" i="6"/>
  <c r="D18" i="6"/>
  <c r="B18" i="6"/>
  <c r="E30" i="6" s="1"/>
  <c r="A18" i="6"/>
  <c r="G17" i="6"/>
  <c r="H17" i="6" s="1"/>
  <c r="F17" i="6"/>
  <c r="I29" i="6" s="1"/>
  <c r="E17" i="6"/>
  <c r="A17" i="6"/>
  <c r="B17" i="6" s="1"/>
  <c r="F16" i="6"/>
  <c r="E16" i="6"/>
  <c r="B16" i="6"/>
  <c r="A16" i="6"/>
  <c r="F15" i="6"/>
  <c r="B15" i="6"/>
  <c r="C15" i="6" s="1"/>
  <c r="A15" i="6"/>
  <c r="F14" i="6"/>
  <c r="G15" i="6" s="1"/>
  <c r="H15" i="6" s="1"/>
  <c r="D14" i="6"/>
  <c r="B14" i="6"/>
  <c r="E14" i="6" s="1"/>
  <c r="A14" i="6"/>
  <c r="G13" i="6"/>
  <c r="H13" i="6" s="1"/>
  <c r="E13" i="6"/>
  <c r="D13" i="6"/>
  <c r="B13" i="6"/>
  <c r="D25" i="6" s="1"/>
  <c r="A13" i="6"/>
  <c r="F13" i="6" s="1"/>
  <c r="F12" i="6"/>
  <c r="E12" i="6"/>
  <c r="D12" i="6"/>
  <c r="B12" i="6"/>
  <c r="D24" i="6" s="1"/>
  <c r="A12" i="6"/>
  <c r="G11" i="6"/>
  <c r="H11" i="6" s="1"/>
  <c r="F11" i="6"/>
  <c r="E11" i="6"/>
  <c r="D11" i="6"/>
  <c r="B11" i="6"/>
  <c r="D23" i="6" s="1"/>
  <c r="A11" i="6"/>
  <c r="F10" i="6"/>
  <c r="E10" i="6"/>
  <c r="D10" i="6"/>
  <c r="B10" i="6"/>
  <c r="E22" i="6" s="1"/>
  <c r="A10" i="6"/>
  <c r="F9" i="6"/>
  <c r="E9" i="6"/>
  <c r="D9" i="6"/>
  <c r="A9" i="6"/>
  <c r="B9" i="6" s="1"/>
  <c r="F8" i="6"/>
  <c r="E8" i="6"/>
  <c r="B8" i="6"/>
  <c r="D8" i="6" s="1"/>
  <c r="A8" i="6"/>
  <c r="F7" i="6"/>
  <c r="E7" i="6"/>
  <c r="B7" i="6"/>
  <c r="D7" i="6" s="1"/>
  <c r="A7" i="6"/>
  <c r="F6" i="6"/>
  <c r="G7" i="6" s="1"/>
  <c r="H7" i="6" s="1"/>
  <c r="D6" i="6"/>
  <c r="B6" i="6"/>
  <c r="E6" i="6" s="1"/>
  <c r="A6" i="6"/>
  <c r="G5" i="6"/>
  <c r="H5" i="6" s="1"/>
  <c r="E5" i="6"/>
  <c r="D5" i="6"/>
  <c r="B5" i="6"/>
  <c r="D17" i="6" s="1"/>
  <c r="A5" i="6"/>
  <c r="F5" i="6" s="1"/>
  <c r="F4" i="6"/>
  <c r="E4" i="6"/>
  <c r="D4" i="6"/>
  <c r="B4" i="6"/>
  <c r="D16" i="6" s="1"/>
  <c r="A4" i="6"/>
  <c r="G3" i="6"/>
  <c r="H3" i="6" s="1"/>
  <c r="F3" i="6"/>
  <c r="B3" i="6"/>
  <c r="D15" i="6" s="1"/>
  <c r="A3" i="6"/>
  <c r="N2" i="6"/>
  <c r="M2" i="6"/>
  <c r="K2" i="6"/>
  <c r="L2" i="6" s="1"/>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Z4"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V4" i="5" s="1"/>
  <c r="U66" i="5"/>
  <c r="T66" i="5"/>
  <c r="S66" i="5"/>
  <c r="R66" i="5"/>
  <c r="Q66" i="5"/>
  <c r="P66" i="5"/>
  <c r="O66" i="5"/>
  <c r="N66" i="5"/>
  <c r="N4" i="5" s="1"/>
  <c r="M66" i="5"/>
  <c r="L66" i="5"/>
  <c r="K66" i="5"/>
  <c r="J66" i="5"/>
  <c r="I66" i="5"/>
  <c r="H66" i="5"/>
  <c r="G66" i="5"/>
  <c r="F66" i="5"/>
  <c r="F4" i="5" s="1"/>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Y4" i="5" s="1"/>
  <c r="X63" i="5"/>
  <c r="W63" i="5"/>
  <c r="V63" i="5"/>
  <c r="U63" i="5"/>
  <c r="T63" i="5"/>
  <c r="S63" i="5"/>
  <c r="R63" i="5"/>
  <c r="Q63" i="5"/>
  <c r="Q4" i="5" s="1"/>
  <c r="P63" i="5"/>
  <c r="O63" i="5"/>
  <c r="N63" i="5"/>
  <c r="M63" i="5"/>
  <c r="L63" i="5"/>
  <c r="K63" i="5"/>
  <c r="J63" i="5"/>
  <c r="I63" i="5"/>
  <c r="I4" i="5" s="1"/>
  <c r="H63" i="5"/>
  <c r="G63" i="5"/>
  <c r="F63" i="5"/>
  <c r="E63" i="5"/>
  <c r="D63" i="5"/>
  <c r="C63" i="5"/>
  <c r="AA62" i="5"/>
  <c r="Z62" i="5"/>
  <c r="Y62" i="5"/>
  <c r="X62" i="5"/>
  <c r="W62" i="5"/>
  <c r="V62" i="5"/>
  <c r="U62" i="5"/>
  <c r="T62" i="5"/>
  <c r="S62" i="5"/>
  <c r="R62" i="5"/>
  <c r="R6" i="5" s="1"/>
  <c r="R7" i="5" s="1"/>
  <c r="Q62" i="5"/>
  <c r="P62" i="5"/>
  <c r="O62" i="5"/>
  <c r="N62" i="5"/>
  <c r="M62" i="5"/>
  <c r="L62" i="5"/>
  <c r="K62" i="5"/>
  <c r="J62" i="5"/>
  <c r="J6" i="5" s="1"/>
  <c r="J7" i="5" s="1"/>
  <c r="I62" i="5"/>
  <c r="H62" i="5"/>
  <c r="G62" i="5"/>
  <c r="F62" i="5"/>
  <c r="E62" i="5"/>
  <c r="D62" i="5"/>
  <c r="C62" i="5"/>
  <c r="AA61" i="5"/>
  <c r="Z61" i="5"/>
  <c r="Y61" i="5"/>
  <c r="X61" i="5"/>
  <c r="W61" i="5"/>
  <c r="V61" i="5"/>
  <c r="U61" i="5"/>
  <c r="T61" i="5"/>
  <c r="S61" i="5"/>
  <c r="S6" i="5" s="1"/>
  <c r="S7" i="5" s="1"/>
  <c r="R61" i="5"/>
  <c r="Q61" i="5"/>
  <c r="P61" i="5"/>
  <c r="O61" i="5"/>
  <c r="N61" i="5"/>
  <c r="M61" i="5"/>
  <c r="L61" i="5"/>
  <c r="K61" i="5"/>
  <c r="K6" i="5" s="1"/>
  <c r="K7" i="5" s="1"/>
  <c r="J61" i="5"/>
  <c r="I61" i="5"/>
  <c r="H61" i="5"/>
  <c r="G61" i="5"/>
  <c r="F61" i="5"/>
  <c r="E61" i="5"/>
  <c r="D61" i="5"/>
  <c r="C61" i="5"/>
  <c r="C6" i="5" s="1"/>
  <c r="C7" i="5" s="1"/>
  <c r="AA60" i="5"/>
  <c r="Z60" i="5"/>
  <c r="Y60" i="5"/>
  <c r="X60" i="5"/>
  <c r="W60" i="5"/>
  <c r="V60" i="5"/>
  <c r="U60" i="5"/>
  <c r="T60" i="5"/>
  <c r="T6" i="5" s="1"/>
  <c r="T7" i="5" s="1"/>
  <c r="S60" i="5"/>
  <c r="R60" i="5"/>
  <c r="Q60" i="5"/>
  <c r="P60" i="5"/>
  <c r="O60" i="5"/>
  <c r="N60" i="5"/>
  <c r="M60" i="5"/>
  <c r="L60" i="5"/>
  <c r="L6" i="5" s="1"/>
  <c r="L7" i="5" s="1"/>
  <c r="K60" i="5"/>
  <c r="J60" i="5"/>
  <c r="I60" i="5"/>
  <c r="H60" i="5"/>
  <c r="G60" i="5"/>
  <c r="F60" i="5"/>
  <c r="E60" i="5"/>
  <c r="D60" i="5"/>
  <c r="D6" i="5" s="1"/>
  <c r="D7" i="5" s="1"/>
  <c r="C60" i="5"/>
  <c r="AA59" i="5"/>
  <c r="Z59" i="5"/>
  <c r="Y59" i="5"/>
  <c r="X59" i="5"/>
  <c r="X5" i="5" s="1"/>
  <c r="W59" i="5"/>
  <c r="W6" i="5" s="1"/>
  <c r="W7" i="5" s="1"/>
  <c r="V59" i="5"/>
  <c r="V6" i="5" s="1"/>
  <c r="V7" i="5" s="1"/>
  <c r="U59" i="5"/>
  <c r="U6" i="5" s="1"/>
  <c r="U7" i="5" s="1"/>
  <c r="T59" i="5"/>
  <c r="S59" i="5"/>
  <c r="R59" i="5"/>
  <c r="Q59" i="5"/>
  <c r="P59" i="5"/>
  <c r="P5" i="5" s="1"/>
  <c r="O59" i="5"/>
  <c r="O6" i="5" s="1"/>
  <c r="O7" i="5" s="1"/>
  <c r="N59" i="5"/>
  <c r="N6" i="5" s="1"/>
  <c r="N7" i="5" s="1"/>
  <c r="M59" i="5"/>
  <c r="M6" i="5" s="1"/>
  <c r="M7" i="5" s="1"/>
  <c r="L59" i="5"/>
  <c r="K59" i="5"/>
  <c r="J59" i="5"/>
  <c r="I59" i="5"/>
  <c r="H59" i="5"/>
  <c r="H5" i="5" s="1"/>
  <c r="G59" i="5"/>
  <c r="G6" i="5" s="1"/>
  <c r="G7" i="5" s="1"/>
  <c r="F59" i="5"/>
  <c r="F6" i="5" s="1"/>
  <c r="F7" i="5" s="1"/>
  <c r="E59" i="5"/>
  <c r="E6" i="5" s="1"/>
  <c r="E7" i="5" s="1"/>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AA7" i="5"/>
  <c r="Z7" i="5"/>
  <c r="AA6" i="5"/>
  <c r="Z6" i="5"/>
  <c r="Y6" i="5"/>
  <c r="Y7" i="5" s="1"/>
  <c r="Q6" i="5"/>
  <c r="Q7" i="5" s="1"/>
  <c r="I6" i="5"/>
  <c r="I7" i="5" s="1"/>
  <c r="AA5" i="5"/>
  <c r="Z5" i="5"/>
  <c r="R5" i="5"/>
  <c r="J5" i="5"/>
  <c r="AA4" i="5"/>
  <c r="S4" i="5"/>
  <c r="K4" i="5"/>
  <c r="C4" i="5"/>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T8" i="4" s="1"/>
  <c r="S150" i="4"/>
  <c r="S9" i="4" s="1"/>
  <c r="R150" i="4"/>
  <c r="Q150" i="4"/>
  <c r="P150" i="4"/>
  <c r="O150" i="4"/>
  <c r="N150" i="4"/>
  <c r="M150" i="4"/>
  <c r="L150" i="4"/>
  <c r="L8" i="4" s="1"/>
  <c r="K150" i="4"/>
  <c r="K9" i="4" s="1"/>
  <c r="J150" i="4"/>
  <c r="I150" i="4"/>
  <c r="H150" i="4"/>
  <c r="G150" i="4"/>
  <c r="F150" i="4"/>
  <c r="E150" i="4"/>
  <c r="D150" i="4"/>
  <c r="D8" i="4" s="1"/>
  <c r="C150" i="4"/>
  <c r="C9" i="4" s="1"/>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AA4" i="4" s="1"/>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R6" i="4" s="1"/>
  <c r="R7" i="4" s="1"/>
  <c r="Q63" i="4"/>
  <c r="P63" i="4"/>
  <c r="O63" i="4"/>
  <c r="N63" i="4"/>
  <c r="M63" i="4"/>
  <c r="L63" i="4"/>
  <c r="K63" i="4"/>
  <c r="J63" i="4"/>
  <c r="I63" i="4"/>
  <c r="H63" i="4"/>
  <c r="G63" i="4"/>
  <c r="F63" i="4"/>
  <c r="E63" i="4"/>
  <c r="D63" i="4"/>
  <c r="C63" i="4"/>
  <c r="AA62" i="4"/>
  <c r="Z62" i="4"/>
  <c r="Y62" i="4"/>
  <c r="X62" i="4"/>
  <c r="W62" i="4"/>
  <c r="V62" i="4"/>
  <c r="U62" i="4"/>
  <c r="T62" i="4"/>
  <c r="S62" i="4"/>
  <c r="S4" i="4" s="1"/>
  <c r="R62" i="4"/>
  <c r="Q62" i="4"/>
  <c r="P62" i="4"/>
  <c r="O62" i="4"/>
  <c r="N62" i="4"/>
  <c r="M62" i="4"/>
  <c r="L62" i="4"/>
  <c r="K62" i="4"/>
  <c r="K4" i="4" s="1"/>
  <c r="J62" i="4"/>
  <c r="I62" i="4"/>
  <c r="H62" i="4"/>
  <c r="G62" i="4"/>
  <c r="F62" i="4"/>
  <c r="E62" i="4"/>
  <c r="D62" i="4"/>
  <c r="C62" i="4"/>
  <c r="C4" i="4" s="1"/>
  <c r="AA61" i="4"/>
  <c r="Z61" i="4"/>
  <c r="Y61" i="4"/>
  <c r="X61" i="4"/>
  <c r="W61" i="4"/>
  <c r="V61" i="4"/>
  <c r="U61" i="4"/>
  <c r="T61" i="4"/>
  <c r="T5" i="4" s="1"/>
  <c r="S61" i="4"/>
  <c r="R61" i="4"/>
  <c r="Q61" i="4"/>
  <c r="P61" i="4"/>
  <c r="O61" i="4"/>
  <c r="N61" i="4"/>
  <c r="M61" i="4"/>
  <c r="L61" i="4"/>
  <c r="L4" i="4" s="1"/>
  <c r="K61" i="4"/>
  <c r="J61" i="4"/>
  <c r="I61" i="4"/>
  <c r="H61" i="4"/>
  <c r="G61" i="4"/>
  <c r="F61" i="4"/>
  <c r="E61" i="4"/>
  <c r="D61" i="4"/>
  <c r="D5" i="4" s="1"/>
  <c r="C61" i="4"/>
  <c r="AA60" i="4"/>
  <c r="Z60" i="4"/>
  <c r="Y60" i="4"/>
  <c r="X60" i="4"/>
  <c r="W60" i="4"/>
  <c r="V60" i="4"/>
  <c r="U60" i="4"/>
  <c r="U6" i="4" s="1"/>
  <c r="U7" i="4" s="1"/>
  <c r="T60" i="4"/>
  <c r="S60" i="4"/>
  <c r="R60" i="4"/>
  <c r="Q60" i="4"/>
  <c r="P60" i="4"/>
  <c r="O60" i="4"/>
  <c r="N60" i="4"/>
  <c r="M60" i="4"/>
  <c r="M6" i="4" s="1"/>
  <c r="M7" i="4" s="1"/>
  <c r="L60" i="4"/>
  <c r="K60" i="4"/>
  <c r="J60" i="4"/>
  <c r="I60" i="4"/>
  <c r="H60" i="4"/>
  <c r="G60" i="4"/>
  <c r="F60" i="4"/>
  <c r="E60" i="4"/>
  <c r="E6" i="4" s="1"/>
  <c r="E7" i="4" s="1"/>
  <c r="D60" i="4"/>
  <c r="C60" i="4"/>
  <c r="AA59" i="4"/>
  <c r="Z59" i="4"/>
  <c r="Y59" i="4"/>
  <c r="X59" i="4"/>
  <c r="W59" i="4"/>
  <c r="V59" i="4"/>
  <c r="U59" i="4"/>
  <c r="T59" i="4"/>
  <c r="S59" i="4"/>
  <c r="R59" i="4"/>
  <c r="Q59" i="4"/>
  <c r="P59" i="4"/>
  <c r="O59" i="4"/>
  <c r="N59" i="4"/>
  <c r="M59" i="4"/>
  <c r="L59" i="4"/>
  <c r="K59" i="4"/>
  <c r="J59" i="4"/>
  <c r="I59" i="4"/>
  <c r="H59" i="4"/>
  <c r="G59" i="4"/>
  <c r="F59" i="4"/>
  <c r="F4" i="4" s="1"/>
  <c r="E59" i="4"/>
  <c r="D59" i="4"/>
  <c r="C59" i="4"/>
  <c r="AA9" i="4"/>
  <c r="Z9" i="4"/>
  <c r="Y9" i="4"/>
  <c r="X9" i="4"/>
  <c r="W9" i="4"/>
  <c r="V9" i="4"/>
  <c r="U9" i="4"/>
  <c r="T9" i="4"/>
  <c r="R9" i="4"/>
  <c r="Q9" i="4"/>
  <c r="P9" i="4"/>
  <c r="O9" i="4"/>
  <c r="N9" i="4"/>
  <c r="M9" i="4"/>
  <c r="L9" i="4"/>
  <c r="J9" i="4"/>
  <c r="I9" i="4"/>
  <c r="H9" i="4"/>
  <c r="G9" i="4"/>
  <c r="F9" i="4"/>
  <c r="E9" i="4"/>
  <c r="D9" i="4"/>
  <c r="AA8" i="4"/>
  <c r="Z8" i="4"/>
  <c r="Y8" i="4"/>
  <c r="X8" i="4"/>
  <c r="W8" i="4"/>
  <c r="V8" i="4"/>
  <c r="U8" i="4"/>
  <c r="S8" i="4"/>
  <c r="R8" i="4"/>
  <c r="Q8" i="4"/>
  <c r="P8" i="4"/>
  <c r="O8" i="4"/>
  <c r="N8" i="4"/>
  <c r="M8" i="4"/>
  <c r="K8" i="4"/>
  <c r="J8" i="4"/>
  <c r="I8" i="4"/>
  <c r="H8" i="4"/>
  <c r="G8" i="4"/>
  <c r="F8" i="4"/>
  <c r="E8" i="4"/>
  <c r="C8" i="4"/>
  <c r="Z7" i="4"/>
  <c r="Z6" i="4"/>
  <c r="T6" i="4"/>
  <c r="T7" i="4" s="1"/>
  <c r="AA5" i="4"/>
  <c r="Z5" i="4"/>
  <c r="E5" i="4"/>
  <c r="Z4" i="4"/>
  <c r="M4" i="4"/>
  <c r="K5" i="4" l="1"/>
  <c r="C6" i="4"/>
  <c r="C7" i="4" s="1"/>
  <c r="W6" i="4"/>
  <c r="W7" i="4" s="1"/>
  <c r="W5" i="4"/>
  <c r="W4" i="4"/>
  <c r="T4" i="4"/>
  <c r="L5" i="4"/>
  <c r="D6" i="4"/>
  <c r="D7" i="4" s="1"/>
  <c r="AA6" i="4"/>
  <c r="AA7" i="4" s="1"/>
  <c r="H6" i="4"/>
  <c r="H7" i="4" s="1"/>
  <c r="P6" i="4"/>
  <c r="P7" i="4" s="1"/>
  <c r="X6" i="4"/>
  <c r="X7" i="4" s="1"/>
  <c r="V6" i="4"/>
  <c r="V7" i="4" s="1"/>
  <c r="V5" i="4"/>
  <c r="J4" i="4"/>
  <c r="J5" i="4"/>
  <c r="O6" i="4"/>
  <c r="O7" i="4" s="1"/>
  <c r="O5" i="4"/>
  <c r="O4" i="4"/>
  <c r="U4" i="4"/>
  <c r="M5" i="4"/>
  <c r="J6" i="4"/>
  <c r="J7" i="4" s="1"/>
  <c r="I5" i="4"/>
  <c r="Q5" i="4"/>
  <c r="Y5" i="4"/>
  <c r="D4" i="4"/>
  <c r="V4" i="4"/>
  <c r="S5" i="4"/>
  <c r="K6" i="4"/>
  <c r="K7" i="4" s="1"/>
  <c r="N6" i="4"/>
  <c r="N7" i="4" s="1"/>
  <c r="N5" i="4"/>
  <c r="N4" i="4"/>
  <c r="G6" i="4"/>
  <c r="G7" i="4" s="1"/>
  <c r="G5" i="4"/>
  <c r="G4" i="4"/>
  <c r="I100" i="6"/>
  <c r="E4" i="4"/>
  <c r="L6" i="4"/>
  <c r="L7" i="4" s="1"/>
  <c r="C5" i="4"/>
  <c r="U5" i="4"/>
  <c r="S6" i="4"/>
  <c r="S7" i="4" s="1"/>
  <c r="F6" i="4"/>
  <c r="F7" i="4" s="1"/>
  <c r="F5" i="4"/>
  <c r="R4" i="4"/>
  <c r="R5" i="4"/>
  <c r="I6" i="4"/>
  <c r="I7" i="4" s="1"/>
  <c r="Q6" i="4"/>
  <c r="Q7" i="4" s="1"/>
  <c r="Y6" i="4"/>
  <c r="Y7" i="4" s="1"/>
  <c r="J4" i="5"/>
  <c r="R4" i="5"/>
  <c r="I5" i="5"/>
  <c r="Q5" i="5"/>
  <c r="Y5" i="5"/>
  <c r="H6" i="5"/>
  <c r="H7" i="5" s="1"/>
  <c r="P6" i="5"/>
  <c r="P7" i="5" s="1"/>
  <c r="X6" i="5"/>
  <c r="X7" i="5" s="1"/>
  <c r="I15" i="6"/>
  <c r="I3" i="6"/>
  <c r="I17" i="6"/>
  <c r="I23" i="6"/>
  <c r="I11" i="6"/>
  <c r="I25" i="6"/>
  <c r="G19" i="6"/>
  <c r="H19" i="6" s="1"/>
  <c r="I38" i="6"/>
  <c r="G34" i="6"/>
  <c r="H34" i="6" s="1"/>
  <c r="I68" i="6"/>
  <c r="G60" i="6"/>
  <c r="H60" i="6" s="1"/>
  <c r="F72" i="6"/>
  <c r="B72" i="6"/>
  <c r="E77" i="6"/>
  <c r="G89" i="6"/>
  <c r="H89" i="6" s="1"/>
  <c r="G93" i="6"/>
  <c r="H93" i="6" s="1"/>
  <c r="I105" i="6"/>
  <c r="E116" i="6"/>
  <c r="E133" i="6"/>
  <c r="C121" i="6"/>
  <c r="D121" i="6" s="1"/>
  <c r="F127" i="6"/>
  <c r="B127" i="6"/>
  <c r="I147" i="6"/>
  <c r="I165" i="6"/>
  <c r="G153" i="6"/>
  <c r="H153" i="6" s="1"/>
  <c r="B158" i="6"/>
  <c r="E158" i="6" s="1"/>
  <c r="F158" i="6"/>
  <c r="E160" i="6"/>
  <c r="G162" i="6"/>
  <c r="H162" i="6" s="1"/>
  <c r="I179" i="6"/>
  <c r="I197" i="6"/>
  <c r="G185" i="6"/>
  <c r="H185" i="6" s="1"/>
  <c r="B190" i="6"/>
  <c r="F190" i="6"/>
  <c r="E192" i="6"/>
  <c r="G194" i="6"/>
  <c r="H194" i="6" s="1"/>
  <c r="I211" i="6"/>
  <c r="G199" i="6"/>
  <c r="H199" i="6" s="1"/>
  <c r="I225" i="6"/>
  <c r="E230" i="6"/>
  <c r="C218" i="6"/>
  <c r="D218" i="6" s="1"/>
  <c r="I235" i="6"/>
  <c r="I252" i="6"/>
  <c r="G240" i="6"/>
  <c r="H240" i="6" s="1"/>
  <c r="C255" i="6"/>
  <c r="D255" i="6" s="1"/>
  <c r="E267" i="6"/>
  <c r="C268" i="6"/>
  <c r="D268" i="6" s="1"/>
  <c r="C269" i="6"/>
  <c r="D269" i="6" s="1"/>
  <c r="I294" i="6"/>
  <c r="G282" i="6"/>
  <c r="H282" i="6" s="1"/>
  <c r="I316" i="6"/>
  <c r="G304" i="6"/>
  <c r="H304" i="6" s="1"/>
  <c r="G307" i="6"/>
  <c r="H307" i="6" s="1"/>
  <c r="G308" i="6"/>
  <c r="H308" i="6" s="1"/>
  <c r="E343" i="6"/>
  <c r="E331" i="6"/>
  <c r="I18" i="6"/>
  <c r="I6" i="6"/>
  <c r="I26" i="6"/>
  <c r="I14" i="6"/>
  <c r="G26" i="6"/>
  <c r="H26" i="6" s="1"/>
  <c r="G52" i="6"/>
  <c r="H52" i="6" s="1"/>
  <c r="I64" i="6"/>
  <c r="G86" i="6"/>
  <c r="H86" i="6" s="1"/>
  <c r="I113" i="6"/>
  <c r="E105" i="6"/>
  <c r="E147" i="6"/>
  <c r="E166" i="6"/>
  <c r="C154" i="6"/>
  <c r="D154" i="6" s="1"/>
  <c r="I172" i="6"/>
  <c r="G160" i="6"/>
  <c r="H160" i="6" s="1"/>
  <c r="G163" i="6"/>
  <c r="H163" i="6" s="1"/>
  <c r="I175" i="6"/>
  <c r="E179" i="6"/>
  <c r="E198" i="6"/>
  <c r="C186" i="6"/>
  <c r="D186" i="6" s="1"/>
  <c r="I204" i="6"/>
  <c r="G192" i="6"/>
  <c r="H192" i="6" s="1"/>
  <c r="G195" i="6"/>
  <c r="H195" i="6" s="1"/>
  <c r="I207" i="6"/>
  <c r="E211" i="6"/>
  <c r="I230" i="6"/>
  <c r="G218" i="6"/>
  <c r="H218" i="6" s="1"/>
  <c r="E235" i="6"/>
  <c r="I254" i="6"/>
  <c r="G242" i="6"/>
  <c r="H242" i="6" s="1"/>
  <c r="I261" i="6"/>
  <c r="G249" i="6"/>
  <c r="H249" i="6" s="1"/>
  <c r="I276" i="6"/>
  <c r="G264" i="6"/>
  <c r="H264" i="6" s="1"/>
  <c r="C279" i="6"/>
  <c r="D279" i="6" s="1"/>
  <c r="E291" i="6"/>
  <c r="B312" i="6"/>
  <c r="F312" i="6"/>
  <c r="I334" i="6"/>
  <c r="G322" i="6"/>
  <c r="H322" i="6" s="1"/>
  <c r="E389" i="6"/>
  <c r="D4" i="5"/>
  <c r="L4" i="5"/>
  <c r="T4" i="5"/>
  <c r="C5" i="5"/>
  <c r="K5" i="5"/>
  <c r="S5" i="5"/>
  <c r="G6" i="6"/>
  <c r="H6" i="6" s="1"/>
  <c r="I10" i="6"/>
  <c r="I22" i="6"/>
  <c r="G14" i="6"/>
  <c r="H14" i="6" s="1"/>
  <c r="G18" i="6"/>
  <c r="H18" i="6" s="1"/>
  <c r="G25" i="6"/>
  <c r="H25" i="6" s="1"/>
  <c r="I52" i="6"/>
  <c r="G44" i="6"/>
  <c r="H44" i="6" s="1"/>
  <c r="I56" i="6"/>
  <c r="G48" i="6"/>
  <c r="H48" i="6" s="1"/>
  <c r="G69" i="6"/>
  <c r="H69" i="6" s="1"/>
  <c r="I70" i="6"/>
  <c r="C76" i="6"/>
  <c r="D76" i="6" s="1"/>
  <c r="G79" i="6"/>
  <c r="H79" i="6" s="1"/>
  <c r="B81" i="6"/>
  <c r="F81" i="6"/>
  <c r="B85" i="6"/>
  <c r="C86" i="6" s="1"/>
  <c r="D86" i="6" s="1"/>
  <c r="I107" i="6"/>
  <c r="B101" i="6"/>
  <c r="I115" i="6"/>
  <c r="G103" i="6"/>
  <c r="H103" i="6" s="1"/>
  <c r="G107" i="6"/>
  <c r="H107" i="6" s="1"/>
  <c r="I122" i="6"/>
  <c r="E112" i="6"/>
  <c r="I116" i="6"/>
  <c r="I131" i="6"/>
  <c r="G119" i="6"/>
  <c r="H119" i="6" s="1"/>
  <c r="I127" i="6"/>
  <c r="I157" i="6"/>
  <c r="G145" i="6"/>
  <c r="H145" i="6" s="1"/>
  <c r="C148" i="6"/>
  <c r="D148" i="6" s="1"/>
  <c r="B150" i="6"/>
  <c r="F150" i="6"/>
  <c r="I150" i="6" s="1"/>
  <c r="E152" i="6"/>
  <c r="F154" i="6"/>
  <c r="I171" i="6"/>
  <c r="B163" i="6"/>
  <c r="I189" i="6"/>
  <c r="G177" i="6"/>
  <c r="H177" i="6" s="1"/>
  <c r="C180" i="6"/>
  <c r="D180" i="6" s="1"/>
  <c r="B182" i="6"/>
  <c r="F182" i="6"/>
  <c r="E184" i="6"/>
  <c r="F186" i="6"/>
  <c r="I203" i="6"/>
  <c r="G191" i="6"/>
  <c r="H191" i="6" s="1"/>
  <c r="B195" i="6"/>
  <c r="I221" i="6"/>
  <c r="G209" i="6"/>
  <c r="H209" i="6" s="1"/>
  <c r="C212" i="6"/>
  <c r="D212" i="6" s="1"/>
  <c r="B214" i="6"/>
  <c r="F214" i="6"/>
  <c r="I228" i="6"/>
  <c r="G216" i="6"/>
  <c r="H216" i="6" s="1"/>
  <c r="G219" i="6"/>
  <c r="H219" i="6" s="1"/>
  <c r="I231" i="6"/>
  <c r="G220" i="6"/>
  <c r="H220" i="6" s="1"/>
  <c r="C228" i="6"/>
  <c r="D228" i="6" s="1"/>
  <c r="C229" i="6"/>
  <c r="D229" i="6" s="1"/>
  <c r="C239" i="6"/>
  <c r="D239" i="6" s="1"/>
  <c r="E251" i="6"/>
  <c r="C252" i="6"/>
  <c r="D252" i="6" s="1"/>
  <c r="C253" i="6"/>
  <c r="D253" i="6" s="1"/>
  <c r="C259" i="6"/>
  <c r="D259" i="6" s="1"/>
  <c r="I278" i="6"/>
  <c r="G266" i="6"/>
  <c r="H266" i="6" s="1"/>
  <c r="I285" i="6"/>
  <c r="G273" i="6"/>
  <c r="H273" i="6" s="1"/>
  <c r="B322" i="6"/>
  <c r="E4" i="5"/>
  <c r="M4" i="5"/>
  <c r="U4" i="5"/>
  <c r="D5" i="5"/>
  <c r="L5" i="5"/>
  <c r="T5" i="5"/>
  <c r="I21" i="6"/>
  <c r="I9" i="6"/>
  <c r="G10" i="6"/>
  <c r="H10" i="6" s="1"/>
  <c r="G36" i="6"/>
  <c r="H36" i="6" s="1"/>
  <c r="I48" i="6"/>
  <c r="E73" i="6"/>
  <c r="G63" i="6"/>
  <c r="H63" i="6" s="1"/>
  <c r="E83" i="6"/>
  <c r="C71" i="6"/>
  <c r="D71" i="6" s="1"/>
  <c r="B73" i="6"/>
  <c r="F73" i="6"/>
  <c r="E95" i="6"/>
  <c r="C83" i="6"/>
  <c r="D83" i="6" s="1"/>
  <c r="I106" i="6"/>
  <c r="G94" i="6"/>
  <c r="H94" i="6" s="1"/>
  <c r="G95" i="6"/>
  <c r="H95" i="6" s="1"/>
  <c r="I101" i="6"/>
  <c r="I124" i="6"/>
  <c r="G112" i="6"/>
  <c r="H112" i="6" s="1"/>
  <c r="E131" i="6"/>
  <c r="C119" i="6"/>
  <c r="D119" i="6" s="1"/>
  <c r="I133" i="6"/>
  <c r="G121" i="6"/>
  <c r="H121" i="6" s="1"/>
  <c r="E135" i="6"/>
  <c r="I140" i="6"/>
  <c r="G128" i="6"/>
  <c r="H128" i="6" s="1"/>
  <c r="G141" i="6"/>
  <c r="H141" i="6" s="1"/>
  <c r="C146" i="6"/>
  <c r="D146" i="6" s="1"/>
  <c r="I164" i="6"/>
  <c r="G152" i="6"/>
  <c r="H152" i="6" s="1"/>
  <c r="I167" i="6"/>
  <c r="B159" i="6"/>
  <c r="G173" i="6"/>
  <c r="H173" i="6" s="1"/>
  <c r="E190" i="6"/>
  <c r="C178" i="6"/>
  <c r="D178" i="6" s="1"/>
  <c r="I196" i="6"/>
  <c r="G184" i="6"/>
  <c r="H184" i="6" s="1"/>
  <c r="G187" i="6"/>
  <c r="H187" i="6" s="1"/>
  <c r="I199" i="6"/>
  <c r="B191" i="6"/>
  <c r="E191" i="6" s="1"/>
  <c r="G205" i="6"/>
  <c r="H205" i="6" s="1"/>
  <c r="C210" i="6"/>
  <c r="D210" i="6" s="1"/>
  <c r="I237" i="6"/>
  <c r="G225" i="6"/>
  <c r="H225" i="6" s="1"/>
  <c r="I245" i="6"/>
  <c r="G233" i="6"/>
  <c r="H233" i="6" s="1"/>
  <c r="I260" i="6"/>
  <c r="G248" i="6"/>
  <c r="H248" i="6" s="1"/>
  <c r="C263" i="6"/>
  <c r="D263" i="6" s="1"/>
  <c r="E275" i="6"/>
  <c r="E288" i="6"/>
  <c r="C276" i="6"/>
  <c r="D276" i="6" s="1"/>
  <c r="C277" i="6"/>
  <c r="D277" i="6" s="1"/>
  <c r="C283" i="6"/>
  <c r="D283" i="6" s="1"/>
  <c r="G288" i="6"/>
  <c r="H288" i="6" s="1"/>
  <c r="G310" i="6"/>
  <c r="H310" i="6" s="1"/>
  <c r="E5" i="5"/>
  <c r="M5" i="5"/>
  <c r="U5" i="5"/>
  <c r="G9" i="6"/>
  <c r="H9" i="6" s="1"/>
  <c r="G28" i="6"/>
  <c r="H28" i="6" s="1"/>
  <c r="I40" i="6"/>
  <c r="G32" i="6"/>
  <c r="H32" i="6" s="1"/>
  <c r="G47" i="6"/>
  <c r="H47" i="6" s="1"/>
  <c r="G51" i="6"/>
  <c r="H51" i="6" s="1"/>
  <c r="G62" i="6"/>
  <c r="H62" i="6" s="1"/>
  <c r="I79" i="6"/>
  <c r="G91" i="6"/>
  <c r="H91" i="6" s="1"/>
  <c r="I114" i="6"/>
  <c r="G102" i="6"/>
  <c r="H102" i="6" s="1"/>
  <c r="E108" i="6"/>
  <c r="I110" i="6"/>
  <c r="E124" i="6"/>
  <c r="C128" i="6"/>
  <c r="D128" i="6" s="1"/>
  <c r="C136" i="6"/>
  <c r="D136" i="6" s="1"/>
  <c r="I149" i="6"/>
  <c r="G137" i="6"/>
  <c r="H137" i="6" s="1"/>
  <c r="B142" i="6"/>
  <c r="F142" i="6"/>
  <c r="G143" i="6" s="1"/>
  <c r="H143" i="6" s="1"/>
  <c r="I158" i="6"/>
  <c r="G146" i="6"/>
  <c r="H146" i="6" s="1"/>
  <c r="E148" i="6"/>
  <c r="I163" i="6"/>
  <c r="E167" i="6"/>
  <c r="C168" i="6"/>
  <c r="D168" i="6" s="1"/>
  <c r="I181" i="6"/>
  <c r="G169" i="6"/>
  <c r="H169" i="6" s="1"/>
  <c r="B174" i="6"/>
  <c r="F174" i="6"/>
  <c r="I174" i="6" s="1"/>
  <c r="I190" i="6"/>
  <c r="G178" i="6"/>
  <c r="H178" i="6" s="1"/>
  <c r="E180" i="6"/>
  <c r="I195" i="6"/>
  <c r="G183" i="6"/>
  <c r="H183" i="6" s="1"/>
  <c r="E199" i="6"/>
  <c r="C200" i="6"/>
  <c r="D200" i="6" s="1"/>
  <c r="I213" i="6"/>
  <c r="G201" i="6"/>
  <c r="H201" i="6" s="1"/>
  <c r="C204" i="6"/>
  <c r="D204" i="6" s="1"/>
  <c r="B206" i="6"/>
  <c r="F206" i="6"/>
  <c r="I222" i="6"/>
  <c r="G210" i="6"/>
  <c r="H210" i="6" s="1"/>
  <c r="E212" i="6"/>
  <c r="I227" i="6"/>
  <c r="G215" i="6"/>
  <c r="H215" i="6" s="1"/>
  <c r="C219" i="6"/>
  <c r="D219" i="6" s="1"/>
  <c r="C224" i="6"/>
  <c r="D224" i="6" s="1"/>
  <c r="E238" i="6"/>
  <c r="C226" i="6"/>
  <c r="D226" i="6" s="1"/>
  <c r="E228" i="6"/>
  <c r="C236" i="6"/>
  <c r="D236" i="6" s="1"/>
  <c r="C237" i="6"/>
  <c r="D237" i="6" s="1"/>
  <c r="I262" i="6"/>
  <c r="G250" i="6"/>
  <c r="H250" i="6" s="1"/>
  <c r="E252" i="6"/>
  <c r="I269" i="6"/>
  <c r="G257" i="6"/>
  <c r="H257" i="6" s="1"/>
  <c r="I284" i="6"/>
  <c r="G272" i="6"/>
  <c r="H272" i="6" s="1"/>
  <c r="I305" i="6"/>
  <c r="G293" i="6"/>
  <c r="H293" i="6" s="1"/>
  <c r="G294" i="6"/>
  <c r="H294" i="6" s="1"/>
  <c r="F314" i="6"/>
  <c r="B314" i="6"/>
  <c r="C393" i="6"/>
  <c r="D393" i="6" s="1"/>
  <c r="H4" i="4"/>
  <c r="P4" i="4"/>
  <c r="X4" i="4"/>
  <c r="G4" i="5"/>
  <c r="O4" i="5"/>
  <c r="W4" i="5"/>
  <c r="F5" i="5"/>
  <c r="N5" i="5"/>
  <c r="V5" i="5"/>
  <c r="I20" i="6"/>
  <c r="I8" i="6"/>
  <c r="I28" i="6"/>
  <c r="G20" i="6"/>
  <c r="H20" i="6" s="1"/>
  <c r="I32" i="6"/>
  <c r="G24" i="6"/>
  <c r="H24" i="6" s="1"/>
  <c r="I43" i="6"/>
  <c r="I47" i="6"/>
  <c r="G39" i="6"/>
  <c r="H39" i="6" s="1"/>
  <c r="G43" i="6"/>
  <c r="H43" i="6" s="1"/>
  <c r="I58" i="6"/>
  <c r="I62" i="6"/>
  <c r="G54" i="6"/>
  <c r="H54" i="6" s="1"/>
  <c r="I69" i="6"/>
  <c r="I57" i="6"/>
  <c r="E72" i="6"/>
  <c r="I77" i="6"/>
  <c r="I65" i="6"/>
  <c r="C75" i="6"/>
  <c r="D75" i="6" s="1"/>
  <c r="C80" i="6"/>
  <c r="D80" i="6" s="1"/>
  <c r="E92" i="6"/>
  <c r="I99" i="6"/>
  <c r="I88" i="6"/>
  <c r="I102" i="6"/>
  <c r="G92" i="6"/>
  <c r="H92" i="6" s="1"/>
  <c r="I104" i="6"/>
  <c r="G99" i="6"/>
  <c r="H99" i="6" s="1"/>
  <c r="B102" i="6"/>
  <c r="E104" i="6"/>
  <c r="G108" i="6"/>
  <c r="H108" i="6" s="1"/>
  <c r="I120" i="6"/>
  <c r="I123" i="6"/>
  <c r="G111" i="6"/>
  <c r="H111" i="6" s="1"/>
  <c r="I132" i="6"/>
  <c r="G120" i="6"/>
  <c r="H120" i="6" s="1"/>
  <c r="I136" i="6"/>
  <c r="G124" i="6"/>
  <c r="H124" i="6" s="1"/>
  <c r="I128" i="6"/>
  <c r="G133" i="6"/>
  <c r="H133" i="6" s="1"/>
  <c r="E150" i="6"/>
  <c r="C138" i="6"/>
  <c r="D138" i="6" s="1"/>
  <c r="I156" i="6"/>
  <c r="G144" i="6"/>
  <c r="H144" i="6" s="1"/>
  <c r="G147" i="6"/>
  <c r="H147" i="6" s="1"/>
  <c r="I159" i="6"/>
  <c r="B151" i="6"/>
  <c r="C155" i="6"/>
  <c r="D155" i="6" s="1"/>
  <c r="G165" i="6"/>
  <c r="H165" i="6" s="1"/>
  <c r="E182" i="6"/>
  <c r="C170" i="6"/>
  <c r="D170" i="6" s="1"/>
  <c r="I188" i="6"/>
  <c r="G176" i="6"/>
  <c r="H176" i="6" s="1"/>
  <c r="G179" i="6"/>
  <c r="H179" i="6" s="1"/>
  <c r="I191" i="6"/>
  <c r="B183" i="6"/>
  <c r="C187" i="6"/>
  <c r="D187" i="6" s="1"/>
  <c r="G197" i="6"/>
  <c r="H197" i="6" s="1"/>
  <c r="E214" i="6"/>
  <c r="C202" i="6"/>
  <c r="D202" i="6" s="1"/>
  <c r="I220" i="6"/>
  <c r="G208" i="6"/>
  <c r="H208" i="6" s="1"/>
  <c r="G211" i="6"/>
  <c r="H211" i="6" s="1"/>
  <c r="I223" i="6"/>
  <c r="B215" i="6"/>
  <c r="E215" i="6" s="1"/>
  <c r="E224" i="6"/>
  <c r="F226" i="6"/>
  <c r="I244" i="6"/>
  <c r="G232" i="6"/>
  <c r="H232" i="6" s="1"/>
  <c r="C247" i="6"/>
  <c r="D247" i="6" s="1"/>
  <c r="E259" i="6"/>
  <c r="C260" i="6"/>
  <c r="D260" i="6" s="1"/>
  <c r="C261" i="6"/>
  <c r="D261" i="6" s="1"/>
  <c r="C267" i="6"/>
  <c r="D267" i="6" s="1"/>
  <c r="I286" i="6"/>
  <c r="G274" i="6"/>
  <c r="H274" i="6" s="1"/>
  <c r="E276" i="6"/>
  <c r="C280" i="6"/>
  <c r="D280" i="6" s="1"/>
  <c r="I293" i="6"/>
  <c r="G281" i="6"/>
  <c r="H281" i="6" s="1"/>
  <c r="I315" i="6"/>
  <c r="G303" i="6"/>
  <c r="H303" i="6" s="1"/>
  <c r="I319" i="6"/>
  <c r="C329" i="6"/>
  <c r="D329" i="6" s="1"/>
  <c r="I4" i="4"/>
  <c r="Q4" i="4"/>
  <c r="Y4" i="4"/>
  <c r="H5" i="4"/>
  <c r="P5" i="4"/>
  <c r="X5" i="4"/>
  <c r="H4" i="5"/>
  <c r="P4" i="5"/>
  <c r="X4" i="5"/>
  <c r="G5" i="5"/>
  <c r="O5" i="5"/>
  <c r="W5" i="5"/>
  <c r="G4" i="6"/>
  <c r="H4" i="6" s="1"/>
  <c r="I16" i="6"/>
  <c r="I4" i="6"/>
  <c r="G8" i="6"/>
  <c r="H8" i="6" s="1"/>
  <c r="G12" i="6"/>
  <c r="H12" i="6" s="1"/>
  <c r="I24" i="6"/>
  <c r="I12" i="6"/>
  <c r="E15" i="6"/>
  <c r="G16" i="6"/>
  <c r="H16" i="6" s="1"/>
  <c r="I39" i="6"/>
  <c r="G31" i="6"/>
  <c r="H31" i="6" s="1"/>
  <c r="I54" i="6"/>
  <c r="G46" i="6"/>
  <c r="H46" i="6" s="1"/>
  <c r="I61" i="6"/>
  <c r="I49" i="6"/>
  <c r="G50" i="6"/>
  <c r="H50" i="6" s="1"/>
  <c r="G57" i="6"/>
  <c r="H57" i="6" s="1"/>
  <c r="E76" i="6"/>
  <c r="E81" i="6"/>
  <c r="C77" i="6"/>
  <c r="D77" i="6" s="1"/>
  <c r="E94" i="6"/>
  <c r="G84" i="6"/>
  <c r="H84" i="6" s="1"/>
  <c r="I96" i="6"/>
  <c r="I97" i="6"/>
  <c r="C100" i="6"/>
  <c r="D100" i="6" s="1"/>
  <c r="E100" i="6"/>
  <c r="E128" i="6"/>
  <c r="C120" i="6"/>
  <c r="D120" i="6" s="1"/>
  <c r="C122" i="6"/>
  <c r="D122" i="6" s="1"/>
  <c r="E123" i="6"/>
  <c r="B129" i="6"/>
  <c r="F129" i="6"/>
  <c r="B134" i="6"/>
  <c r="C135" i="6" s="1"/>
  <c r="D135" i="6" s="1"/>
  <c r="F134" i="6"/>
  <c r="G138" i="6"/>
  <c r="H138" i="6" s="1"/>
  <c r="E140" i="6"/>
  <c r="I155" i="6"/>
  <c r="E159" i="6"/>
  <c r="I169" i="6"/>
  <c r="I173" i="6"/>
  <c r="G161" i="6"/>
  <c r="H161" i="6" s="1"/>
  <c r="B166" i="6"/>
  <c r="F166" i="6"/>
  <c r="G167" i="6" s="1"/>
  <c r="H167" i="6" s="1"/>
  <c r="G170" i="6"/>
  <c r="H170" i="6" s="1"/>
  <c r="E172" i="6"/>
  <c r="I187" i="6"/>
  <c r="G175" i="6"/>
  <c r="H175" i="6" s="1"/>
  <c r="I201" i="6"/>
  <c r="I205" i="6"/>
  <c r="G193" i="6"/>
  <c r="H193" i="6" s="1"/>
  <c r="B198" i="6"/>
  <c r="F198" i="6"/>
  <c r="I214" i="6"/>
  <c r="G202" i="6"/>
  <c r="H202" i="6" s="1"/>
  <c r="E204" i="6"/>
  <c r="I219" i="6"/>
  <c r="E223" i="6"/>
  <c r="C220" i="6"/>
  <c r="D220" i="6" s="1"/>
  <c r="C221" i="6"/>
  <c r="D221" i="6" s="1"/>
  <c r="B222" i="6"/>
  <c r="E222" i="6" s="1"/>
  <c r="F222" i="6"/>
  <c r="I236" i="6"/>
  <c r="G224" i="6"/>
  <c r="H224" i="6" s="1"/>
  <c r="I239" i="6"/>
  <c r="G228" i="6"/>
  <c r="H228" i="6" s="1"/>
  <c r="I246" i="6"/>
  <c r="G234" i="6"/>
  <c r="H234" i="6" s="1"/>
  <c r="E236" i="6"/>
  <c r="C240" i="6"/>
  <c r="D240" i="6" s="1"/>
  <c r="I253" i="6"/>
  <c r="G241" i="6"/>
  <c r="H241" i="6" s="1"/>
  <c r="E263" i="6"/>
  <c r="I268" i="6"/>
  <c r="G256" i="6"/>
  <c r="H256" i="6" s="1"/>
  <c r="C271" i="6"/>
  <c r="D271" i="6" s="1"/>
  <c r="E283" i="6"/>
  <c r="E280" i="6"/>
  <c r="C284" i="6"/>
  <c r="D284" i="6" s="1"/>
  <c r="C285" i="6"/>
  <c r="D285" i="6" s="1"/>
  <c r="G297" i="6"/>
  <c r="H297" i="6" s="1"/>
  <c r="F315" i="6"/>
  <c r="B315" i="6"/>
  <c r="C316" i="6" s="1"/>
  <c r="D316" i="6" s="1"/>
  <c r="E429" i="6"/>
  <c r="E3" i="6"/>
  <c r="I19" i="6"/>
  <c r="I7" i="6"/>
  <c r="I27" i="6"/>
  <c r="I31" i="6"/>
  <c r="I33" i="6"/>
  <c r="G23" i="6"/>
  <c r="H23" i="6" s="1"/>
  <c r="G27" i="6"/>
  <c r="H27" i="6" s="1"/>
  <c r="I42" i="6"/>
  <c r="I46" i="6"/>
  <c r="G38" i="6"/>
  <c r="H38" i="6" s="1"/>
  <c r="G42" i="6"/>
  <c r="H42" i="6" s="1"/>
  <c r="G49" i="6"/>
  <c r="H49" i="6" s="1"/>
  <c r="G53" i="6"/>
  <c r="H53" i="6" s="1"/>
  <c r="E75" i="6"/>
  <c r="E80" i="6"/>
  <c r="E86" i="6"/>
  <c r="G80" i="6"/>
  <c r="H80" i="6" s="1"/>
  <c r="I94" i="6"/>
  <c r="B84" i="6"/>
  <c r="I92" i="6"/>
  <c r="F100" i="6"/>
  <c r="G101" i="6" s="1"/>
  <c r="H101" i="6" s="1"/>
  <c r="F109" i="6"/>
  <c r="B109" i="6"/>
  <c r="F118" i="6"/>
  <c r="B118" i="6"/>
  <c r="E120" i="6"/>
  <c r="I126" i="6"/>
  <c r="E143" i="6"/>
  <c r="I148" i="6"/>
  <c r="G136" i="6"/>
  <c r="H136" i="6" s="1"/>
  <c r="G139" i="6"/>
  <c r="H139" i="6" s="1"/>
  <c r="I151" i="6"/>
  <c r="B143" i="6"/>
  <c r="C147" i="6"/>
  <c r="D147" i="6" s="1"/>
  <c r="G157" i="6"/>
  <c r="H157" i="6" s="1"/>
  <c r="E174" i="6"/>
  <c r="C162" i="6"/>
  <c r="D162" i="6" s="1"/>
  <c r="I180" i="6"/>
  <c r="G168" i="6"/>
  <c r="H168" i="6" s="1"/>
  <c r="G171" i="6"/>
  <c r="H171" i="6" s="1"/>
  <c r="I183" i="6"/>
  <c r="B175" i="6"/>
  <c r="C179" i="6"/>
  <c r="D179" i="6" s="1"/>
  <c r="G189" i="6"/>
  <c r="H189" i="6" s="1"/>
  <c r="E206" i="6"/>
  <c r="C194" i="6"/>
  <c r="D194" i="6" s="1"/>
  <c r="I212" i="6"/>
  <c r="G200" i="6"/>
  <c r="H200" i="6" s="1"/>
  <c r="G203" i="6"/>
  <c r="H203" i="6" s="1"/>
  <c r="I215" i="6"/>
  <c r="B207" i="6"/>
  <c r="C211" i="6"/>
  <c r="D211" i="6" s="1"/>
  <c r="I229" i="6"/>
  <c r="G217" i="6"/>
  <c r="H217" i="6" s="1"/>
  <c r="E239" i="6"/>
  <c r="C231" i="6"/>
  <c r="D231" i="6" s="1"/>
  <c r="E243" i="6"/>
  <c r="E240" i="6"/>
  <c r="C244" i="6"/>
  <c r="D244" i="6" s="1"/>
  <c r="C245" i="6"/>
  <c r="D245" i="6" s="1"/>
  <c r="C251" i="6"/>
  <c r="D251" i="6" s="1"/>
  <c r="I270" i="6"/>
  <c r="G258" i="6"/>
  <c r="H258" i="6" s="1"/>
  <c r="E260" i="6"/>
  <c r="C264" i="6"/>
  <c r="D264" i="6" s="1"/>
  <c r="I277" i="6"/>
  <c r="G265" i="6"/>
  <c r="H265" i="6" s="1"/>
  <c r="I292" i="6"/>
  <c r="G280" i="6"/>
  <c r="H280" i="6" s="1"/>
  <c r="E296" i="6"/>
  <c r="G311" i="6"/>
  <c r="H311" i="6" s="1"/>
  <c r="C4" i="6"/>
  <c r="C5" i="6"/>
  <c r="C6" i="6"/>
  <c r="C7" i="6"/>
  <c r="C10" i="6"/>
  <c r="C11" i="6"/>
  <c r="C12" i="6"/>
  <c r="C13" i="6"/>
  <c r="C14" i="6"/>
  <c r="C18" i="6"/>
  <c r="C19" i="6"/>
  <c r="C20" i="6"/>
  <c r="C21" i="6"/>
  <c r="C26" i="6"/>
  <c r="C27" i="6"/>
  <c r="C28" i="6"/>
  <c r="C29" i="6"/>
  <c r="C34" i="6"/>
  <c r="C35" i="6"/>
  <c r="C36" i="6"/>
  <c r="C37" i="6"/>
  <c r="C42" i="6"/>
  <c r="C43" i="6"/>
  <c r="C44" i="6"/>
  <c r="C45" i="6"/>
  <c r="C50" i="6"/>
  <c r="C58" i="6"/>
  <c r="C60" i="6"/>
  <c r="D60" i="6" s="1"/>
  <c r="C61" i="6"/>
  <c r="D61" i="6" s="1"/>
  <c r="C62" i="6"/>
  <c r="D62" i="6" s="1"/>
  <c r="G77" i="6"/>
  <c r="H77" i="6" s="1"/>
  <c r="C79" i="6"/>
  <c r="D79" i="6" s="1"/>
  <c r="I98" i="6"/>
  <c r="C96" i="6"/>
  <c r="D96" i="6" s="1"/>
  <c r="C113" i="6"/>
  <c r="D113" i="6" s="1"/>
  <c r="E126" i="6"/>
  <c r="E127" i="6"/>
  <c r="C116" i="6"/>
  <c r="D116" i="6" s="1"/>
  <c r="I144" i="6"/>
  <c r="I152" i="6"/>
  <c r="I160" i="6"/>
  <c r="I168" i="6"/>
  <c r="I176" i="6"/>
  <c r="I184" i="6"/>
  <c r="I192" i="6"/>
  <c r="I200" i="6"/>
  <c r="I208" i="6"/>
  <c r="I216" i="6"/>
  <c r="I224" i="6"/>
  <c r="I232" i="6"/>
  <c r="I240" i="6"/>
  <c r="I242" i="6"/>
  <c r="I248" i="6"/>
  <c r="I250" i="6"/>
  <c r="E242" i="6"/>
  <c r="I256" i="6"/>
  <c r="I258" i="6"/>
  <c r="E250" i="6"/>
  <c r="I264" i="6"/>
  <c r="I266" i="6"/>
  <c r="E258" i="6"/>
  <c r="I272" i="6"/>
  <c r="I274" i="6"/>
  <c r="E266" i="6"/>
  <c r="I280" i="6"/>
  <c r="I282" i="6"/>
  <c r="E274" i="6"/>
  <c r="I288" i="6"/>
  <c r="E282" i="6"/>
  <c r="I296" i="6"/>
  <c r="I302" i="6"/>
  <c r="G290" i="6"/>
  <c r="H290" i="6" s="1"/>
  <c r="G305" i="6"/>
  <c r="H305" i="6" s="1"/>
  <c r="G331" i="6"/>
  <c r="H331" i="6" s="1"/>
  <c r="G332" i="6"/>
  <c r="H332" i="6" s="1"/>
  <c r="G363" i="6"/>
  <c r="H363" i="6" s="1"/>
  <c r="G364" i="6"/>
  <c r="H364" i="6" s="1"/>
  <c r="E388" i="6"/>
  <c r="G382" i="6"/>
  <c r="H382" i="6" s="1"/>
  <c r="F387" i="6"/>
  <c r="B387" i="6"/>
  <c r="E408" i="6"/>
  <c r="C409" i="6"/>
  <c r="D409" i="6" s="1"/>
  <c r="I428" i="6"/>
  <c r="E435" i="6"/>
  <c r="C432" i="6"/>
  <c r="D432" i="6" s="1"/>
  <c r="F442" i="6"/>
  <c r="B442" i="6"/>
  <c r="E442" i="6" s="1"/>
  <c r="F467" i="6"/>
  <c r="I467" i="6" s="1"/>
  <c r="B467" i="6"/>
  <c r="E484" i="6"/>
  <c r="C473" i="6"/>
  <c r="D473" i="6" s="1"/>
  <c r="E486" i="6"/>
  <c r="C474" i="6"/>
  <c r="D474" i="6" s="1"/>
  <c r="C486" i="6"/>
  <c r="D486" i="6" s="1"/>
  <c r="E498" i="6"/>
  <c r="I502" i="6"/>
  <c r="G490" i="6"/>
  <c r="H490" i="6" s="1"/>
  <c r="G500" i="6"/>
  <c r="H500" i="6" s="1"/>
  <c r="I512" i="6"/>
  <c r="G501" i="6"/>
  <c r="H501" i="6" s="1"/>
  <c r="E506" i="6"/>
  <c r="E512" i="6"/>
  <c r="I570" i="6"/>
  <c r="G559" i="6"/>
  <c r="H559" i="6" s="1"/>
  <c r="G558" i="6"/>
  <c r="H558" i="6" s="1"/>
  <c r="B336" i="6"/>
  <c r="F336" i="6"/>
  <c r="I358" i="6"/>
  <c r="G346" i="6"/>
  <c r="H346" i="6" s="1"/>
  <c r="E360" i="6"/>
  <c r="B368" i="6"/>
  <c r="F368" i="6"/>
  <c r="I404" i="6"/>
  <c r="I413" i="6"/>
  <c r="B407" i="6"/>
  <c r="F407" i="6"/>
  <c r="I424" i="6"/>
  <c r="G412" i="6"/>
  <c r="H412" i="6" s="1"/>
  <c r="G432" i="6"/>
  <c r="H432" i="6" s="1"/>
  <c r="I444" i="6"/>
  <c r="I451" i="6"/>
  <c r="G439" i="6"/>
  <c r="H439" i="6" s="1"/>
  <c r="C448" i="6"/>
  <c r="D448" i="6" s="1"/>
  <c r="C449" i="6"/>
  <c r="D449" i="6" s="1"/>
  <c r="E462" i="6"/>
  <c r="C450" i="6"/>
  <c r="D450" i="6" s="1"/>
  <c r="B460" i="6"/>
  <c r="E460" i="6" s="1"/>
  <c r="F460" i="6"/>
  <c r="I460" i="6" s="1"/>
  <c r="I493" i="6"/>
  <c r="I518" i="6"/>
  <c r="G506" i="6"/>
  <c r="H506" i="6" s="1"/>
  <c r="I522" i="6"/>
  <c r="G511" i="6"/>
  <c r="H511" i="6" s="1"/>
  <c r="G510" i="6"/>
  <c r="H510" i="6" s="1"/>
  <c r="I534" i="6"/>
  <c r="G522" i="6"/>
  <c r="H522" i="6" s="1"/>
  <c r="I538" i="6"/>
  <c r="G527" i="6"/>
  <c r="H527" i="6" s="1"/>
  <c r="G526" i="6"/>
  <c r="H526" i="6" s="1"/>
  <c r="I550" i="6"/>
  <c r="G538" i="6"/>
  <c r="H538" i="6" s="1"/>
  <c r="I554" i="6"/>
  <c r="G543" i="6"/>
  <c r="H543" i="6" s="1"/>
  <c r="G542" i="6"/>
  <c r="H542" i="6" s="1"/>
  <c r="I566" i="6"/>
  <c r="G554" i="6"/>
  <c r="H554" i="6" s="1"/>
  <c r="I233" i="6"/>
  <c r="I241" i="6"/>
  <c r="I249" i="6"/>
  <c r="I257" i="6"/>
  <c r="I265" i="6"/>
  <c r="I273" i="6"/>
  <c r="I281" i="6"/>
  <c r="I297" i="6"/>
  <c r="I301" i="6"/>
  <c r="G289" i="6"/>
  <c r="H289" i="6" s="1"/>
  <c r="G329" i="6"/>
  <c r="H329" i="6" s="1"/>
  <c r="I341" i="6"/>
  <c r="G340" i="6"/>
  <c r="H340" i="6" s="1"/>
  <c r="B346" i="6"/>
  <c r="G366" i="6"/>
  <c r="H366" i="6" s="1"/>
  <c r="G372" i="6"/>
  <c r="H372" i="6" s="1"/>
  <c r="I389" i="6"/>
  <c r="B383" i="6"/>
  <c r="F383" i="6"/>
  <c r="I400" i="6"/>
  <c r="B392" i="6"/>
  <c r="F403" i="6"/>
  <c r="G404" i="6" s="1"/>
  <c r="H404" i="6" s="1"/>
  <c r="B403" i="6"/>
  <c r="B412" i="6"/>
  <c r="G433" i="6"/>
  <c r="H433" i="6" s="1"/>
  <c r="F435" i="6"/>
  <c r="B435" i="6"/>
  <c r="F444" i="6"/>
  <c r="B444" i="6"/>
  <c r="E444" i="6" s="1"/>
  <c r="E450" i="6"/>
  <c r="E467" i="6"/>
  <c r="C455" i="6"/>
  <c r="D455" i="6" s="1"/>
  <c r="G457" i="6"/>
  <c r="H457" i="6" s="1"/>
  <c r="G462" i="6"/>
  <c r="H462" i="6" s="1"/>
  <c r="I491" i="6"/>
  <c r="G479" i="6"/>
  <c r="H479" i="6" s="1"/>
  <c r="G484" i="6"/>
  <c r="H484" i="6" s="1"/>
  <c r="I496" i="6"/>
  <c r="G485" i="6"/>
  <c r="H485" i="6" s="1"/>
  <c r="G486" i="6"/>
  <c r="H486" i="6" s="1"/>
  <c r="E579" i="6"/>
  <c r="C567" i="6"/>
  <c r="D567" i="6" s="1"/>
  <c r="B344" i="6"/>
  <c r="F344" i="6"/>
  <c r="G345" i="6" s="1"/>
  <c r="H345" i="6" s="1"/>
  <c r="I366" i="6"/>
  <c r="G354" i="6"/>
  <c r="H354" i="6" s="1"/>
  <c r="C356" i="6"/>
  <c r="D356" i="6" s="1"/>
  <c r="E368" i="6"/>
  <c r="B361" i="6"/>
  <c r="E363" i="6"/>
  <c r="B371" i="6"/>
  <c r="C372" i="6" s="1"/>
  <c r="D372" i="6" s="1"/>
  <c r="F379" i="6"/>
  <c r="B379" i="6"/>
  <c r="I383" i="6"/>
  <c r="G408" i="6"/>
  <c r="H408" i="6" s="1"/>
  <c r="I420" i="6"/>
  <c r="G423" i="6"/>
  <c r="H423" i="6" s="1"/>
  <c r="I435" i="6"/>
  <c r="I448" i="6"/>
  <c r="G436" i="6"/>
  <c r="H436" i="6" s="1"/>
  <c r="E455" i="6"/>
  <c r="I475" i="6"/>
  <c r="G463" i="6"/>
  <c r="H463" i="6" s="1"/>
  <c r="B479" i="6"/>
  <c r="F487" i="6"/>
  <c r="B487" i="6"/>
  <c r="I508" i="6"/>
  <c r="G496" i="6"/>
  <c r="H496" i="6" s="1"/>
  <c r="G337" i="6"/>
  <c r="H337" i="6" s="1"/>
  <c r="G347" i="6"/>
  <c r="H347" i="6" s="1"/>
  <c r="G348" i="6"/>
  <c r="H348" i="6" s="1"/>
  <c r="G369" i="6"/>
  <c r="H369" i="6" s="1"/>
  <c r="I381" i="6"/>
  <c r="G384" i="6"/>
  <c r="H384" i="6" s="1"/>
  <c r="I396" i="6"/>
  <c r="B399" i="6"/>
  <c r="F399" i="6"/>
  <c r="G400" i="6" s="1"/>
  <c r="H400" i="6" s="1"/>
  <c r="I416" i="6"/>
  <c r="G414" i="6"/>
  <c r="H414" i="6" s="1"/>
  <c r="I426" i="6"/>
  <c r="F419" i="6"/>
  <c r="B419" i="6"/>
  <c r="C436" i="6"/>
  <c r="D436" i="6" s="1"/>
  <c r="E440" i="6"/>
  <c r="E459" i="6"/>
  <c r="I468" i="6"/>
  <c r="G456" i="6"/>
  <c r="H456" i="6" s="1"/>
  <c r="E475" i="6"/>
  <c r="C463" i="6"/>
  <c r="D463" i="6" s="1"/>
  <c r="C470" i="6"/>
  <c r="D470" i="6" s="1"/>
  <c r="E482" i="6"/>
  <c r="I494" i="6"/>
  <c r="G482" i="6"/>
  <c r="H482" i="6" s="1"/>
  <c r="C493" i="6"/>
  <c r="D493" i="6" s="1"/>
  <c r="E504" i="6"/>
  <c r="C496" i="6"/>
  <c r="D496" i="6" s="1"/>
  <c r="E508" i="6"/>
  <c r="C497" i="6"/>
  <c r="D497" i="6" s="1"/>
  <c r="C501" i="6"/>
  <c r="D501" i="6" s="1"/>
  <c r="E515" i="6"/>
  <c r="C503" i="6"/>
  <c r="D503" i="6" s="1"/>
  <c r="E527" i="6"/>
  <c r="C515" i="6"/>
  <c r="D515" i="6" s="1"/>
  <c r="E531" i="6"/>
  <c r="C519" i="6"/>
  <c r="D519" i="6" s="1"/>
  <c r="E547" i="6"/>
  <c r="C535" i="6"/>
  <c r="D535" i="6" s="1"/>
  <c r="E563" i="6"/>
  <c r="C551" i="6"/>
  <c r="D551" i="6" s="1"/>
  <c r="I5" i="6"/>
  <c r="I13" i="6"/>
  <c r="C89" i="6"/>
  <c r="D89" i="6" s="1"/>
  <c r="E102" i="6"/>
  <c r="E103" i="6"/>
  <c r="G117" i="6"/>
  <c r="H117" i="6" s="1"/>
  <c r="I134" i="6"/>
  <c r="I135" i="6"/>
  <c r="I138" i="6"/>
  <c r="G132" i="6"/>
  <c r="H132" i="6" s="1"/>
  <c r="G140" i="6"/>
  <c r="H140" i="6" s="1"/>
  <c r="G148" i="6"/>
  <c r="H148" i="6" s="1"/>
  <c r="G156" i="6"/>
  <c r="H156" i="6" s="1"/>
  <c r="G164" i="6"/>
  <c r="H164" i="6" s="1"/>
  <c r="G172" i="6"/>
  <c r="H172" i="6" s="1"/>
  <c r="G180" i="6"/>
  <c r="H180" i="6" s="1"/>
  <c r="G188" i="6"/>
  <c r="H188" i="6" s="1"/>
  <c r="G196" i="6"/>
  <c r="H196" i="6" s="1"/>
  <c r="G204" i="6"/>
  <c r="H204" i="6" s="1"/>
  <c r="G212" i="6"/>
  <c r="H212" i="6" s="1"/>
  <c r="I307" i="6"/>
  <c r="B320" i="6"/>
  <c r="F320" i="6"/>
  <c r="G327" i="6"/>
  <c r="H327" i="6" s="1"/>
  <c r="I342" i="6"/>
  <c r="G330" i="6"/>
  <c r="H330" i="6" s="1"/>
  <c r="C332" i="6"/>
  <c r="D332" i="6" s="1"/>
  <c r="B337" i="6"/>
  <c r="E339" i="6"/>
  <c r="E341" i="6"/>
  <c r="B347" i="6"/>
  <c r="B352" i="6"/>
  <c r="F352" i="6"/>
  <c r="G353" i="6" s="1"/>
  <c r="H353" i="6" s="1"/>
  <c r="C354" i="6"/>
  <c r="D354" i="6" s="1"/>
  <c r="G359" i="6"/>
  <c r="H359" i="6" s="1"/>
  <c r="I374" i="6"/>
  <c r="G362" i="6"/>
  <c r="H362" i="6" s="1"/>
  <c r="C364" i="6"/>
  <c r="D364" i="6" s="1"/>
  <c r="E376" i="6"/>
  <c r="E379" i="6"/>
  <c r="B369" i="6"/>
  <c r="B375" i="6"/>
  <c r="F375" i="6"/>
  <c r="I392" i="6"/>
  <c r="B384" i="6"/>
  <c r="E384" i="6" s="1"/>
  <c r="G390" i="6"/>
  <c r="H390" i="6" s="1"/>
  <c r="F395" i="6"/>
  <c r="B395" i="6"/>
  <c r="C396" i="6" s="1"/>
  <c r="D396" i="6" s="1"/>
  <c r="B404" i="6"/>
  <c r="C417" i="6"/>
  <c r="D417" i="6" s="1"/>
  <c r="I432" i="6"/>
  <c r="G420" i="6"/>
  <c r="H420" i="6" s="1"/>
  <c r="E434" i="6"/>
  <c r="C422" i="6"/>
  <c r="D422" i="6" s="1"/>
  <c r="I457" i="6"/>
  <c r="G445" i="6"/>
  <c r="H445" i="6" s="1"/>
  <c r="G446" i="6"/>
  <c r="H446" i="6" s="1"/>
  <c r="C447" i="6"/>
  <c r="D447" i="6" s="1"/>
  <c r="G452" i="6"/>
  <c r="H452" i="6" s="1"/>
  <c r="I464" i="6"/>
  <c r="G453" i="6"/>
  <c r="H453" i="6" s="1"/>
  <c r="B456" i="6"/>
  <c r="E478" i="6"/>
  <c r="C466" i="6"/>
  <c r="D466" i="6" s="1"/>
  <c r="I482" i="6"/>
  <c r="G470" i="6"/>
  <c r="H470" i="6" s="1"/>
  <c r="G476" i="6"/>
  <c r="H476" i="6" s="1"/>
  <c r="I488" i="6"/>
  <c r="G477" i="6"/>
  <c r="H477" i="6" s="1"/>
  <c r="F480" i="6"/>
  <c r="B480" i="6"/>
  <c r="I495" i="6"/>
  <c r="G483" i="6"/>
  <c r="H483" i="6" s="1"/>
  <c r="C492" i="6"/>
  <c r="D492" i="6" s="1"/>
  <c r="I557" i="6"/>
  <c r="I545" i="6"/>
  <c r="C560" i="6"/>
  <c r="D560" i="6" s="1"/>
  <c r="E572" i="6"/>
  <c r="C561" i="6"/>
  <c r="D561" i="6" s="1"/>
  <c r="I82" i="6"/>
  <c r="C90" i="6"/>
  <c r="D90" i="6" s="1"/>
  <c r="C91" i="6"/>
  <c r="D91" i="6" s="1"/>
  <c r="C97" i="6"/>
  <c r="D97" i="6" s="1"/>
  <c r="E110" i="6"/>
  <c r="E111" i="6"/>
  <c r="B117" i="6"/>
  <c r="G122" i="6"/>
  <c r="H122" i="6" s="1"/>
  <c r="G123" i="6"/>
  <c r="H123" i="6" s="1"/>
  <c r="I137" i="6"/>
  <c r="G125" i="6"/>
  <c r="H125" i="6" s="1"/>
  <c r="B126" i="6"/>
  <c r="I142" i="6"/>
  <c r="I143" i="6"/>
  <c r="I243" i="6"/>
  <c r="C234" i="6"/>
  <c r="D234" i="6" s="1"/>
  <c r="C242" i="6"/>
  <c r="D242" i="6" s="1"/>
  <c r="C250" i="6"/>
  <c r="D250" i="6" s="1"/>
  <c r="C258" i="6"/>
  <c r="D258" i="6" s="1"/>
  <c r="C266" i="6"/>
  <c r="D266" i="6" s="1"/>
  <c r="C274" i="6"/>
  <c r="D274" i="6" s="1"/>
  <c r="C278" i="6"/>
  <c r="D278" i="6" s="1"/>
  <c r="C282" i="6"/>
  <c r="D282" i="6" s="1"/>
  <c r="I299" i="6"/>
  <c r="G291" i="6"/>
  <c r="H291" i="6" s="1"/>
  <c r="I303" i="6"/>
  <c r="G295" i="6"/>
  <c r="H295" i="6" s="1"/>
  <c r="I314" i="6"/>
  <c r="I318" i="6"/>
  <c r="G306" i="6"/>
  <c r="H306" i="6" s="1"/>
  <c r="G313" i="6"/>
  <c r="H313" i="6" s="1"/>
  <c r="I325" i="6"/>
  <c r="G323" i="6"/>
  <c r="H323" i="6" s="1"/>
  <c r="G324" i="6"/>
  <c r="H324" i="6" s="1"/>
  <c r="B330" i="6"/>
  <c r="C331" i="6" s="1"/>
  <c r="D331" i="6" s="1"/>
  <c r="I347" i="6"/>
  <c r="G355" i="6"/>
  <c r="H355" i="6" s="1"/>
  <c r="G356" i="6"/>
  <c r="H356" i="6" s="1"/>
  <c r="I359" i="6"/>
  <c r="B362" i="6"/>
  <c r="I384" i="6"/>
  <c r="I375" i="6"/>
  <c r="B380" i="6"/>
  <c r="I412" i="6"/>
  <c r="I410" i="6"/>
  <c r="B415" i="6"/>
  <c r="C416" i="6" s="1"/>
  <c r="D416" i="6" s="1"/>
  <c r="F415" i="6"/>
  <c r="G416" i="6" s="1"/>
  <c r="H416" i="6" s="1"/>
  <c r="B420" i="6"/>
  <c r="G424" i="6"/>
  <c r="H424" i="6" s="1"/>
  <c r="I436" i="6"/>
  <c r="E436" i="6"/>
  <c r="I445" i="6"/>
  <c r="B452" i="6"/>
  <c r="I471" i="6"/>
  <c r="G459" i="6"/>
  <c r="H459" i="6" s="1"/>
  <c r="E466" i="6"/>
  <c r="G473" i="6"/>
  <c r="H473" i="6" s="1"/>
  <c r="B476" i="6"/>
  <c r="E502" i="6"/>
  <c r="C490" i="6"/>
  <c r="D490" i="6" s="1"/>
  <c r="E511" i="6"/>
  <c r="C499" i="6"/>
  <c r="D499" i="6" s="1"/>
  <c r="C512" i="6"/>
  <c r="D512" i="6" s="1"/>
  <c r="E524" i="6"/>
  <c r="C513" i="6"/>
  <c r="D513" i="6" s="1"/>
  <c r="G513" i="6"/>
  <c r="H513" i="6" s="1"/>
  <c r="C528" i="6"/>
  <c r="D528" i="6" s="1"/>
  <c r="E540" i="6"/>
  <c r="C529" i="6"/>
  <c r="D529" i="6" s="1"/>
  <c r="G529" i="6"/>
  <c r="H529" i="6" s="1"/>
  <c r="C544" i="6"/>
  <c r="D544" i="6" s="1"/>
  <c r="E556" i="6"/>
  <c r="C545" i="6"/>
  <c r="D545" i="6" s="1"/>
  <c r="G545" i="6"/>
  <c r="H545" i="6" s="1"/>
  <c r="E576" i="6"/>
  <c r="C564" i="6"/>
  <c r="D564" i="6" s="1"/>
  <c r="C565" i="6"/>
  <c r="D565" i="6" s="1"/>
  <c r="G570" i="6"/>
  <c r="H570" i="6" s="1"/>
  <c r="I582" i="6"/>
  <c r="C8" i="6"/>
  <c r="C9" i="6"/>
  <c r="C16" i="6"/>
  <c r="C17" i="6"/>
  <c r="C24" i="6"/>
  <c r="C25" i="6"/>
  <c r="C32" i="6"/>
  <c r="C33" i="6"/>
  <c r="C40" i="6"/>
  <c r="C41" i="6"/>
  <c r="C48" i="6"/>
  <c r="C49" i="6"/>
  <c r="C56" i="6"/>
  <c r="C57" i="6"/>
  <c r="E71" i="6"/>
  <c r="C64" i="6"/>
  <c r="D64" i="6" s="1"/>
  <c r="C65" i="6"/>
  <c r="D65" i="6" s="1"/>
  <c r="I90" i="6"/>
  <c r="C88" i="6"/>
  <c r="D88" i="6" s="1"/>
  <c r="C105" i="6"/>
  <c r="D105" i="6" s="1"/>
  <c r="E118" i="6"/>
  <c r="E119" i="6"/>
  <c r="G231" i="6"/>
  <c r="H231" i="6" s="1"/>
  <c r="G235" i="6"/>
  <c r="H235" i="6" s="1"/>
  <c r="I247" i="6"/>
  <c r="G239" i="6"/>
  <c r="H239" i="6" s="1"/>
  <c r="G243" i="6"/>
  <c r="H243" i="6" s="1"/>
  <c r="I255" i="6"/>
  <c r="G247" i="6"/>
  <c r="H247" i="6" s="1"/>
  <c r="G251" i="6"/>
  <c r="H251" i="6" s="1"/>
  <c r="I263" i="6"/>
  <c r="G255" i="6"/>
  <c r="H255" i="6" s="1"/>
  <c r="G259" i="6"/>
  <c r="H259" i="6" s="1"/>
  <c r="I271" i="6"/>
  <c r="G263" i="6"/>
  <c r="H263" i="6" s="1"/>
  <c r="G267" i="6"/>
  <c r="H267" i="6" s="1"/>
  <c r="I279" i="6"/>
  <c r="G271" i="6"/>
  <c r="H271" i="6" s="1"/>
  <c r="G275" i="6"/>
  <c r="H275" i="6" s="1"/>
  <c r="I287" i="6"/>
  <c r="G279" i="6"/>
  <c r="H279" i="6" s="1"/>
  <c r="G283" i="6"/>
  <c r="H283" i="6" s="1"/>
  <c r="I295" i="6"/>
  <c r="G287" i="6"/>
  <c r="H287" i="6" s="1"/>
  <c r="I304" i="6"/>
  <c r="I306" i="6"/>
  <c r="I310" i="6"/>
  <c r="G298" i="6"/>
  <c r="H298" i="6" s="1"/>
  <c r="G302" i="6"/>
  <c r="H302" i="6" s="1"/>
  <c r="B313" i="6"/>
  <c r="B323" i="6"/>
  <c r="B328" i="6"/>
  <c r="F328" i="6"/>
  <c r="G335" i="6"/>
  <c r="H335" i="6" s="1"/>
  <c r="I350" i="6"/>
  <c r="G338" i="6"/>
  <c r="H338" i="6" s="1"/>
  <c r="C340" i="6"/>
  <c r="D340" i="6" s="1"/>
  <c r="E352" i="6"/>
  <c r="B345" i="6"/>
  <c r="B355" i="6"/>
  <c r="B360" i="6"/>
  <c r="F360" i="6"/>
  <c r="G361" i="6" s="1"/>
  <c r="H361" i="6" s="1"/>
  <c r="I382" i="6"/>
  <c r="G370" i="6"/>
  <c r="H370" i="6" s="1"/>
  <c r="G376" i="6"/>
  <c r="H376" i="6" s="1"/>
  <c r="I388" i="6"/>
  <c r="I386" i="6"/>
  <c r="B391" i="6"/>
  <c r="F391" i="6"/>
  <c r="G392" i="6" s="1"/>
  <c r="H392" i="6" s="1"/>
  <c r="I408" i="6"/>
  <c r="G396" i="6"/>
  <c r="H396" i="6" s="1"/>
  <c r="B400" i="6"/>
  <c r="F411" i="6"/>
  <c r="B411" i="6"/>
  <c r="G417" i="6"/>
  <c r="H417" i="6" s="1"/>
  <c r="G425" i="6"/>
  <c r="H425" i="6" s="1"/>
  <c r="F427" i="6"/>
  <c r="B427" i="6"/>
  <c r="C434" i="6"/>
  <c r="D434" i="6" s="1"/>
  <c r="C439" i="6"/>
  <c r="D439" i="6" s="1"/>
  <c r="B459" i="6"/>
  <c r="G464" i="6"/>
  <c r="H464" i="6" s="1"/>
  <c r="I478" i="6"/>
  <c r="G466" i="6"/>
  <c r="H466" i="6" s="1"/>
  <c r="I484" i="6"/>
  <c r="G472" i="6"/>
  <c r="H472" i="6" s="1"/>
  <c r="E490" i="6"/>
  <c r="G492" i="6"/>
  <c r="H492" i="6" s="1"/>
  <c r="I504" i="6"/>
  <c r="C516" i="6"/>
  <c r="D516" i="6" s="1"/>
  <c r="E560" i="6"/>
  <c r="C287" i="6"/>
  <c r="D287" i="6" s="1"/>
  <c r="C288" i="6"/>
  <c r="D288" i="6" s="1"/>
  <c r="C295" i="6"/>
  <c r="D295" i="6" s="1"/>
  <c r="C296" i="6"/>
  <c r="D296" i="6" s="1"/>
  <c r="E312" i="6"/>
  <c r="E314" i="6"/>
  <c r="C303" i="6"/>
  <c r="D303" i="6" s="1"/>
  <c r="C304" i="6"/>
  <c r="D304" i="6" s="1"/>
  <c r="E320" i="6"/>
  <c r="B381" i="6"/>
  <c r="F381" i="6"/>
  <c r="B389" i="6"/>
  <c r="F389" i="6"/>
  <c r="B397" i="6"/>
  <c r="F397" i="6"/>
  <c r="G398" i="6" s="1"/>
  <c r="H398" i="6" s="1"/>
  <c r="B405" i="6"/>
  <c r="F405" i="6"/>
  <c r="I421" i="6"/>
  <c r="B413" i="6"/>
  <c r="E413" i="6" s="1"/>
  <c r="F413" i="6"/>
  <c r="E438" i="6"/>
  <c r="C445" i="6"/>
  <c r="D445" i="6" s="1"/>
  <c r="G455" i="6"/>
  <c r="H455" i="6" s="1"/>
  <c r="I470" i="6"/>
  <c r="G458" i="6"/>
  <c r="H458" i="6" s="1"/>
  <c r="C475" i="6"/>
  <c r="D475" i="6" s="1"/>
  <c r="C488" i="6"/>
  <c r="D488" i="6" s="1"/>
  <c r="E500" i="6"/>
  <c r="C489" i="6"/>
  <c r="D489" i="6" s="1"/>
  <c r="E507" i="6"/>
  <c r="C495" i="6"/>
  <c r="D495" i="6" s="1"/>
  <c r="I511" i="6"/>
  <c r="G499" i="6"/>
  <c r="H499" i="6" s="1"/>
  <c r="I514" i="6"/>
  <c r="G503" i="6"/>
  <c r="H503" i="6" s="1"/>
  <c r="I530" i="6"/>
  <c r="G519" i="6"/>
  <c r="H519" i="6" s="1"/>
  <c r="I546" i="6"/>
  <c r="G535" i="6"/>
  <c r="H535" i="6" s="1"/>
  <c r="I562" i="6"/>
  <c r="G551" i="6"/>
  <c r="H551" i="6" s="1"/>
  <c r="I578" i="6"/>
  <c r="G567" i="6"/>
  <c r="H567" i="6" s="1"/>
  <c r="E568" i="6"/>
  <c r="C583" i="6"/>
  <c r="D583" i="6" s="1"/>
  <c r="E595" i="6"/>
  <c r="C588" i="6"/>
  <c r="D588" i="6" s="1"/>
  <c r="F592" i="6"/>
  <c r="B600" i="6"/>
  <c r="C601" i="6" s="1"/>
  <c r="D601" i="6" s="1"/>
  <c r="F600" i="6"/>
  <c r="G601" i="6" s="1"/>
  <c r="H601" i="6" s="1"/>
  <c r="C606" i="6"/>
  <c r="D606" i="6" s="1"/>
  <c r="E618" i="6"/>
  <c r="I642" i="6"/>
  <c r="G631" i="6"/>
  <c r="H631" i="6" s="1"/>
  <c r="E654" i="6"/>
  <c r="G643" i="6"/>
  <c r="H643" i="6" s="1"/>
  <c r="E679" i="6"/>
  <c r="C667" i="6"/>
  <c r="D667" i="6" s="1"/>
  <c r="F673" i="6"/>
  <c r="B673" i="6"/>
  <c r="E543" i="6"/>
  <c r="C531" i="6"/>
  <c r="D531" i="6" s="1"/>
  <c r="E559" i="6"/>
  <c r="C547" i="6"/>
  <c r="D547" i="6" s="1"/>
  <c r="E575" i="6"/>
  <c r="C563" i="6"/>
  <c r="D563" i="6" s="1"/>
  <c r="I580" i="6"/>
  <c r="C578" i="6"/>
  <c r="D578" i="6" s="1"/>
  <c r="E608" i="6"/>
  <c r="B644" i="6"/>
  <c r="F644" i="6"/>
  <c r="E694" i="6"/>
  <c r="I573" i="6"/>
  <c r="I561" i="6"/>
  <c r="G580" i="6"/>
  <c r="H580" i="6" s="1"/>
  <c r="I592" i="6"/>
  <c r="I626" i="6"/>
  <c r="G614" i="6"/>
  <c r="H614" i="6" s="1"/>
  <c r="C639" i="6"/>
  <c r="D639" i="6" s="1"/>
  <c r="E651" i="6"/>
  <c r="G682" i="6"/>
  <c r="H682" i="6" s="1"/>
  <c r="I694" i="6"/>
  <c r="I596" i="6"/>
  <c r="G585" i="6"/>
  <c r="H585" i="6" s="1"/>
  <c r="G588" i="6"/>
  <c r="H588" i="6" s="1"/>
  <c r="G589" i="6"/>
  <c r="H589" i="6" s="1"/>
  <c r="B604" i="6"/>
  <c r="F604" i="6"/>
  <c r="C614" i="6"/>
  <c r="D614" i="6" s="1"/>
  <c r="B628" i="6"/>
  <c r="F628" i="6"/>
  <c r="C653" i="6"/>
  <c r="D653" i="6" s="1"/>
  <c r="E665" i="6"/>
  <c r="I588" i="6"/>
  <c r="G584" i="6"/>
  <c r="H584" i="6" s="1"/>
  <c r="C597" i="6"/>
  <c r="D597" i="6" s="1"/>
  <c r="E597" i="6"/>
  <c r="E614" i="6"/>
  <c r="C602" i="6"/>
  <c r="D602" i="6" s="1"/>
  <c r="G616" i="6"/>
  <c r="H616" i="6" s="1"/>
  <c r="I628" i="6"/>
  <c r="G639" i="6"/>
  <c r="H639" i="6" s="1"/>
  <c r="F675" i="6"/>
  <c r="B675" i="6"/>
  <c r="I452" i="6"/>
  <c r="G440" i="6"/>
  <c r="H440" i="6" s="1"/>
  <c r="I462" i="6"/>
  <c r="G450" i="6"/>
  <c r="H450" i="6" s="1"/>
  <c r="E474" i="6"/>
  <c r="I503" i="6"/>
  <c r="G491" i="6"/>
  <c r="H491" i="6" s="1"/>
  <c r="I506" i="6"/>
  <c r="E496" i="6"/>
  <c r="E510" i="6"/>
  <c r="C498" i="6"/>
  <c r="D498" i="6" s="1"/>
  <c r="E519" i="6"/>
  <c r="C507" i="6"/>
  <c r="D507" i="6" s="1"/>
  <c r="E535" i="6"/>
  <c r="C523" i="6"/>
  <c r="D523" i="6" s="1"/>
  <c r="E551" i="6"/>
  <c r="C539" i="6"/>
  <c r="D539" i="6" s="1"/>
  <c r="E567" i="6"/>
  <c r="C555" i="6"/>
  <c r="D555" i="6" s="1"/>
  <c r="E583" i="6"/>
  <c r="C571" i="6"/>
  <c r="D571" i="6" s="1"/>
  <c r="E594" i="6"/>
  <c r="I606" i="6"/>
  <c r="E626" i="6"/>
  <c r="G634" i="6"/>
  <c r="H634" i="6" s="1"/>
  <c r="I646" i="6"/>
  <c r="I390" i="6"/>
  <c r="I398" i="6"/>
  <c r="I406" i="6"/>
  <c r="I414" i="6"/>
  <c r="B421" i="6"/>
  <c r="F421" i="6"/>
  <c r="B429" i="6"/>
  <c r="F429" i="6"/>
  <c r="B437" i="6"/>
  <c r="E437" i="6" s="1"/>
  <c r="F437" i="6"/>
  <c r="I437" i="6" s="1"/>
  <c r="E452" i="6"/>
  <c r="C446" i="6"/>
  <c r="D446" i="6" s="1"/>
  <c r="I463" i="6"/>
  <c r="G451" i="6"/>
  <c r="H451" i="6" s="1"/>
  <c r="I466" i="6"/>
  <c r="E470" i="6"/>
  <c r="C458" i="6"/>
  <c r="D458" i="6" s="1"/>
  <c r="I476" i="6"/>
  <c r="I483" i="6"/>
  <c r="G471" i="6"/>
  <c r="H471" i="6" s="1"/>
  <c r="I486" i="6"/>
  <c r="G474" i="6"/>
  <c r="H474" i="6" s="1"/>
  <c r="E503" i="6"/>
  <c r="C491" i="6"/>
  <c r="D491" i="6" s="1"/>
  <c r="C504" i="6"/>
  <c r="D504" i="6" s="1"/>
  <c r="E516" i="6"/>
  <c r="C505" i="6"/>
  <c r="D505" i="6" s="1"/>
  <c r="C520" i="6"/>
  <c r="D520" i="6" s="1"/>
  <c r="E532" i="6"/>
  <c r="C521" i="6"/>
  <c r="D521" i="6" s="1"/>
  <c r="C536" i="6"/>
  <c r="D536" i="6" s="1"/>
  <c r="E548" i="6"/>
  <c r="C537" i="6"/>
  <c r="D537" i="6" s="1"/>
  <c r="I549" i="6"/>
  <c r="I537" i="6"/>
  <c r="C552" i="6"/>
  <c r="D552" i="6" s="1"/>
  <c r="E564" i="6"/>
  <c r="C553" i="6"/>
  <c r="D553" i="6" s="1"/>
  <c r="I565" i="6"/>
  <c r="I553" i="6"/>
  <c r="C568" i="6"/>
  <c r="D568" i="6" s="1"/>
  <c r="C569" i="6"/>
  <c r="D569" i="6" s="1"/>
  <c r="I569" i="6"/>
  <c r="C573" i="6"/>
  <c r="D573" i="6" s="1"/>
  <c r="C592" i="6"/>
  <c r="D592" i="6" s="1"/>
  <c r="C593" i="6"/>
  <c r="D593" i="6" s="1"/>
  <c r="I614" i="6"/>
  <c r="G602" i="6"/>
  <c r="H602" i="6" s="1"/>
  <c r="C632" i="6"/>
  <c r="D632" i="6" s="1"/>
  <c r="B309" i="6"/>
  <c r="F309" i="6"/>
  <c r="I309" i="6" s="1"/>
  <c r="E322" i="6"/>
  <c r="B317" i="6"/>
  <c r="F317" i="6"/>
  <c r="B325" i="6"/>
  <c r="F325" i="6"/>
  <c r="E338" i="6"/>
  <c r="B333" i="6"/>
  <c r="F333" i="6"/>
  <c r="E346" i="6"/>
  <c r="B341" i="6"/>
  <c r="F341" i="6"/>
  <c r="E354" i="6"/>
  <c r="B349" i="6"/>
  <c r="F349" i="6"/>
  <c r="G350" i="6" s="1"/>
  <c r="H350" i="6" s="1"/>
  <c r="E362" i="6"/>
  <c r="B357" i="6"/>
  <c r="F357" i="6"/>
  <c r="I357" i="6" s="1"/>
  <c r="E370" i="6"/>
  <c r="B365" i="6"/>
  <c r="F365" i="6"/>
  <c r="C367" i="6"/>
  <c r="D367" i="6" s="1"/>
  <c r="B373" i="6"/>
  <c r="F373" i="6"/>
  <c r="E386" i="6"/>
  <c r="B378" i="6"/>
  <c r="E394" i="6"/>
  <c r="B386" i="6"/>
  <c r="B394" i="6"/>
  <c r="E410" i="6"/>
  <c r="B402" i="6"/>
  <c r="E418" i="6"/>
  <c r="B410" i="6"/>
  <c r="E426" i="6"/>
  <c r="B418" i="6"/>
  <c r="G422" i="6"/>
  <c r="H422" i="6" s="1"/>
  <c r="I434" i="6"/>
  <c r="G430" i="6"/>
  <c r="H430" i="6" s="1"/>
  <c r="I450" i="6"/>
  <c r="C440" i="6"/>
  <c r="D440" i="6" s="1"/>
  <c r="B451" i="6"/>
  <c r="G454" i="6"/>
  <c r="H454" i="6" s="1"/>
  <c r="E458" i="6"/>
  <c r="B464" i="6"/>
  <c r="G465" i="6"/>
  <c r="H465" i="6" s="1"/>
  <c r="B471" i="6"/>
  <c r="C472" i="6" s="1"/>
  <c r="D472" i="6" s="1"/>
  <c r="I487" i="6"/>
  <c r="G475" i="6"/>
  <c r="H475" i="6" s="1"/>
  <c r="I490" i="6"/>
  <c r="E494" i="6"/>
  <c r="C482" i="6"/>
  <c r="D482" i="6" s="1"/>
  <c r="I500" i="6"/>
  <c r="I507" i="6"/>
  <c r="G495" i="6"/>
  <c r="H495" i="6" s="1"/>
  <c r="I510" i="6"/>
  <c r="G498" i="6"/>
  <c r="H498" i="6" s="1"/>
  <c r="G505" i="6"/>
  <c r="H505" i="6" s="1"/>
  <c r="E523" i="6"/>
  <c r="C511" i="6"/>
  <c r="D511" i="6" s="1"/>
  <c r="I526" i="6"/>
  <c r="G514" i="6"/>
  <c r="H514" i="6" s="1"/>
  <c r="G521" i="6"/>
  <c r="H521" i="6" s="1"/>
  <c r="E539" i="6"/>
  <c r="C527" i="6"/>
  <c r="D527" i="6" s="1"/>
  <c r="I542" i="6"/>
  <c r="G530" i="6"/>
  <c r="H530" i="6" s="1"/>
  <c r="G537" i="6"/>
  <c r="H537" i="6" s="1"/>
  <c r="E555" i="6"/>
  <c r="C543" i="6"/>
  <c r="D543" i="6" s="1"/>
  <c r="I558" i="6"/>
  <c r="G546" i="6"/>
  <c r="H546" i="6" s="1"/>
  <c r="G553" i="6"/>
  <c r="H553" i="6" s="1"/>
  <c r="E571" i="6"/>
  <c r="C559" i="6"/>
  <c r="D559" i="6" s="1"/>
  <c r="I574" i="6"/>
  <c r="G562" i="6"/>
  <c r="H562" i="6" s="1"/>
  <c r="G569" i="6"/>
  <c r="H569" i="6" s="1"/>
  <c r="G574" i="6"/>
  <c r="H574" i="6" s="1"/>
  <c r="F590" i="6"/>
  <c r="B590" i="6"/>
  <c r="E592" i="6"/>
  <c r="I610" i="6"/>
  <c r="I598" i="6"/>
  <c r="G607" i="6"/>
  <c r="H607" i="6" s="1"/>
  <c r="B635" i="6"/>
  <c r="F635" i="6"/>
  <c r="I455" i="6"/>
  <c r="I519" i="6"/>
  <c r="G507" i="6"/>
  <c r="H507" i="6" s="1"/>
  <c r="I527" i="6"/>
  <c r="G515" i="6"/>
  <c r="H515" i="6" s="1"/>
  <c r="I535" i="6"/>
  <c r="G523" i="6"/>
  <c r="H523" i="6" s="1"/>
  <c r="I543" i="6"/>
  <c r="G531" i="6"/>
  <c r="H531" i="6" s="1"/>
  <c r="I551" i="6"/>
  <c r="G539" i="6"/>
  <c r="H539" i="6" s="1"/>
  <c r="I559" i="6"/>
  <c r="G547" i="6"/>
  <c r="H547" i="6" s="1"/>
  <c r="I567" i="6"/>
  <c r="G555" i="6"/>
  <c r="H555" i="6" s="1"/>
  <c r="I575" i="6"/>
  <c r="G563" i="6"/>
  <c r="H563" i="6" s="1"/>
  <c r="E577" i="6"/>
  <c r="I583" i="6"/>
  <c r="G571" i="6"/>
  <c r="H571" i="6" s="1"/>
  <c r="I594" i="6"/>
  <c r="G596" i="6"/>
  <c r="H596" i="6" s="1"/>
  <c r="I613" i="6"/>
  <c r="B609" i="6"/>
  <c r="F609" i="6"/>
  <c r="F613" i="6"/>
  <c r="B613" i="6"/>
  <c r="I627" i="6"/>
  <c r="G615" i="6"/>
  <c r="H615" i="6" s="1"/>
  <c r="I635" i="6"/>
  <c r="I639" i="6"/>
  <c r="I648" i="6"/>
  <c r="G637" i="6"/>
  <c r="H637" i="6" s="1"/>
  <c r="B641" i="6"/>
  <c r="C642" i="6" s="1"/>
  <c r="D642" i="6" s="1"/>
  <c r="F641" i="6"/>
  <c r="G654" i="6"/>
  <c r="H654" i="6" s="1"/>
  <c r="I662" i="6"/>
  <c r="I682" i="6"/>
  <c r="G670" i="6"/>
  <c r="H670" i="6" s="1"/>
  <c r="E696" i="6"/>
  <c r="C684" i="6"/>
  <c r="D684" i="6" s="1"/>
  <c r="I714" i="6"/>
  <c r="G702" i="6"/>
  <c r="H702" i="6" s="1"/>
  <c r="I677" i="6"/>
  <c r="G665" i="6"/>
  <c r="H665" i="6" s="1"/>
  <c r="B694" i="6"/>
  <c r="F694" i="6"/>
  <c r="I712" i="6"/>
  <c r="G701" i="6"/>
  <c r="H701" i="6" s="1"/>
  <c r="I700" i="6"/>
  <c r="G700" i="6"/>
  <c r="H700" i="6" s="1"/>
  <c r="I665" i="6"/>
  <c r="I679" i="6"/>
  <c r="G667" i="6"/>
  <c r="H667" i="6" s="1"/>
  <c r="I684" i="6"/>
  <c r="I701" i="6"/>
  <c r="G689" i="6"/>
  <c r="H689" i="6" s="1"/>
  <c r="C692" i="6"/>
  <c r="D692" i="6" s="1"/>
  <c r="F718" i="6"/>
  <c r="B718" i="6"/>
  <c r="E701" i="6"/>
  <c r="C689" i="6"/>
  <c r="D689" i="6" s="1"/>
  <c r="E689" i="6"/>
  <c r="I704" i="6"/>
  <c r="G692" i="6"/>
  <c r="H692" i="6" s="1"/>
  <c r="G693" i="6"/>
  <c r="H693" i="6" s="1"/>
  <c r="C709" i="6"/>
  <c r="D709" i="6" s="1"/>
  <c r="E721" i="6"/>
  <c r="F726" i="6"/>
  <c r="B726" i="6"/>
  <c r="I516" i="6"/>
  <c r="I524" i="6"/>
  <c r="I532" i="6"/>
  <c r="I540" i="6"/>
  <c r="I548" i="6"/>
  <c r="I556" i="6"/>
  <c r="I564" i="6"/>
  <c r="I572" i="6"/>
  <c r="I576" i="6"/>
  <c r="C579" i="6"/>
  <c r="D579" i="6" s="1"/>
  <c r="E591" i="6"/>
  <c r="I601" i="6"/>
  <c r="G605" i="6"/>
  <c r="H605" i="6" s="1"/>
  <c r="G608" i="6"/>
  <c r="H608" i="6" s="1"/>
  <c r="I630" i="6"/>
  <c r="G620" i="6"/>
  <c r="H620" i="6" s="1"/>
  <c r="I632" i="6"/>
  <c r="B622" i="6"/>
  <c r="E622" i="6" s="1"/>
  <c r="F622" i="6"/>
  <c r="G623" i="6" s="1"/>
  <c r="H623" i="6" s="1"/>
  <c r="C629" i="6"/>
  <c r="D629" i="6" s="1"/>
  <c r="G633" i="6"/>
  <c r="H633" i="6" s="1"/>
  <c r="I633" i="6"/>
  <c r="I645" i="6"/>
  <c r="G655" i="6"/>
  <c r="H655" i="6" s="1"/>
  <c r="E676" i="6"/>
  <c r="C664" i="6"/>
  <c r="D664" i="6" s="1"/>
  <c r="C665" i="6"/>
  <c r="D665" i="6" s="1"/>
  <c r="B727" i="6"/>
  <c r="F727" i="6"/>
  <c r="G508" i="6"/>
  <c r="H508" i="6" s="1"/>
  <c r="I520" i="6"/>
  <c r="G516" i="6"/>
  <c r="H516" i="6" s="1"/>
  <c r="I528" i="6"/>
  <c r="G524" i="6"/>
  <c r="H524" i="6" s="1"/>
  <c r="I536" i="6"/>
  <c r="G532" i="6"/>
  <c r="H532" i="6" s="1"/>
  <c r="I544" i="6"/>
  <c r="G540" i="6"/>
  <c r="H540" i="6" s="1"/>
  <c r="I552" i="6"/>
  <c r="G548" i="6"/>
  <c r="H548" i="6" s="1"/>
  <c r="I560" i="6"/>
  <c r="G556" i="6"/>
  <c r="H556" i="6" s="1"/>
  <c r="I568" i="6"/>
  <c r="E578" i="6"/>
  <c r="E582" i="6"/>
  <c r="G572" i="6"/>
  <c r="H572" i="6" s="1"/>
  <c r="I584" i="6"/>
  <c r="B577" i="6"/>
  <c r="F577" i="6"/>
  <c r="F581" i="6"/>
  <c r="G582" i="6" s="1"/>
  <c r="H582" i="6" s="1"/>
  <c r="B581" i="6"/>
  <c r="C587" i="6"/>
  <c r="D587" i="6" s="1"/>
  <c r="E599" i="6"/>
  <c r="F595" i="6"/>
  <c r="B595" i="6"/>
  <c r="E613" i="6"/>
  <c r="C605" i="6"/>
  <c r="D605" i="6" s="1"/>
  <c r="E617" i="6"/>
  <c r="G612" i="6"/>
  <c r="H612" i="6" s="1"/>
  <c r="I624" i="6"/>
  <c r="C615" i="6"/>
  <c r="D615" i="6" s="1"/>
  <c r="E627" i="6"/>
  <c r="B625" i="6"/>
  <c r="F625" i="6"/>
  <c r="C636" i="6"/>
  <c r="D636" i="6" s="1"/>
  <c r="E648" i="6"/>
  <c r="C645" i="6"/>
  <c r="D645" i="6" s="1"/>
  <c r="E657" i="6"/>
  <c r="E664" i="6"/>
  <c r="I692" i="6"/>
  <c r="E702" i="6"/>
  <c r="C690" i="6"/>
  <c r="D690" i="6" s="1"/>
  <c r="F698" i="6"/>
  <c r="I698" i="6" s="1"/>
  <c r="B698" i="6"/>
  <c r="I453" i="6"/>
  <c r="G441" i="6"/>
  <c r="H441" i="6" s="1"/>
  <c r="I458" i="6"/>
  <c r="I459" i="6"/>
  <c r="I465" i="6"/>
  <c r="I473" i="6"/>
  <c r="I481" i="6"/>
  <c r="I489" i="6"/>
  <c r="I497" i="6"/>
  <c r="I505" i="6"/>
  <c r="I513" i="6"/>
  <c r="I515" i="6"/>
  <c r="C506" i="6"/>
  <c r="D506" i="6" s="1"/>
  <c r="I521" i="6"/>
  <c r="I523" i="6"/>
  <c r="C514" i="6"/>
  <c r="D514" i="6" s="1"/>
  <c r="I529" i="6"/>
  <c r="I531" i="6"/>
  <c r="C522" i="6"/>
  <c r="D522" i="6" s="1"/>
  <c r="I539" i="6"/>
  <c r="C530" i="6"/>
  <c r="D530" i="6" s="1"/>
  <c r="I547" i="6"/>
  <c r="C538" i="6"/>
  <c r="D538" i="6" s="1"/>
  <c r="I555" i="6"/>
  <c r="C546" i="6"/>
  <c r="D546" i="6" s="1"/>
  <c r="I563" i="6"/>
  <c r="C554" i="6"/>
  <c r="D554" i="6" s="1"/>
  <c r="I571" i="6"/>
  <c r="C562" i="6"/>
  <c r="D562" i="6" s="1"/>
  <c r="C566" i="6"/>
  <c r="D566" i="6" s="1"/>
  <c r="C570" i="6"/>
  <c r="D570" i="6" s="1"/>
  <c r="G575" i="6"/>
  <c r="H575" i="6" s="1"/>
  <c r="G593" i="6"/>
  <c r="H593" i="6" s="1"/>
  <c r="I595" i="6"/>
  <c r="G597" i="6"/>
  <c r="H597" i="6" s="1"/>
  <c r="I608" i="6"/>
  <c r="C611" i="6"/>
  <c r="D611" i="6" s="1"/>
  <c r="E623" i="6"/>
  <c r="C619" i="6"/>
  <c r="D619" i="6" s="1"/>
  <c r="E631" i="6"/>
  <c r="I631" i="6"/>
  <c r="B638" i="6"/>
  <c r="F638" i="6"/>
  <c r="I659" i="6"/>
  <c r="G648" i="6"/>
  <c r="H648" i="6" s="1"/>
  <c r="G678" i="6"/>
  <c r="H678" i="6" s="1"/>
  <c r="I690" i="6"/>
  <c r="G679" i="6"/>
  <c r="H679" i="6" s="1"/>
  <c r="C686" i="6"/>
  <c r="D686" i="6" s="1"/>
  <c r="C687" i="6"/>
  <c r="D687" i="6" s="1"/>
  <c r="I716" i="6"/>
  <c r="E736" i="6"/>
  <c r="C575" i="6"/>
  <c r="D575" i="6" s="1"/>
  <c r="C584" i="6"/>
  <c r="D584" i="6" s="1"/>
  <c r="G586" i="6"/>
  <c r="H586" i="6" s="1"/>
  <c r="C607" i="6"/>
  <c r="D607" i="6" s="1"/>
  <c r="C616" i="6"/>
  <c r="D616" i="6" s="1"/>
  <c r="C627" i="6"/>
  <c r="D627" i="6" s="1"/>
  <c r="E639" i="6"/>
  <c r="C630" i="6"/>
  <c r="D630" i="6" s="1"/>
  <c r="I667" i="6"/>
  <c r="E670" i="6"/>
  <c r="C658" i="6"/>
  <c r="D658" i="6" s="1"/>
  <c r="G666" i="6"/>
  <c r="H666" i="6" s="1"/>
  <c r="I678" i="6"/>
  <c r="G674" i="6"/>
  <c r="H674" i="6" s="1"/>
  <c r="I686" i="6"/>
  <c r="C678" i="6"/>
  <c r="D678" i="6" s="1"/>
  <c r="E690" i="6"/>
  <c r="F691" i="6"/>
  <c r="B691" i="6"/>
  <c r="G695" i="6"/>
  <c r="H695" i="6" s="1"/>
  <c r="I707" i="6"/>
  <c r="C739" i="6"/>
  <c r="D739" i="6" s="1"/>
  <c r="F750" i="6"/>
  <c r="B750" i="6"/>
  <c r="C764" i="6"/>
  <c r="D764" i="6" s="1"/>
  <c r="E776" i="6"/>
  <c r="E796" i="6"/>
  <c r="C784" i="6"/>
  <c r="D784" i="6" s="1"/>
  <c r="F787" i="6"/>
  <c r="B787" i="6"/>
  <c r="G709" i="6"/>
  <c r="H709" i="6" s="1"/>
  <c r="I721" i="6"/>
  <c r="I709" i="6"/>
  <c r="F729" i="6"/>
  <c r="B729" i="6"/>
  <c r="E752" i="6"/>
  <c r="C740" i="6"/>
  <c r="D740" i="6" s="1"/>
  <c r="C765" i="6"/>
  <c r="D765" i="6" s="1"/>
  <c r="E770" i="6"/>
  <c r="F774" i="6"/>
  <c r="I774" i="6" s="1"/>
  <c r="B774" i="6"/>
  <c r="C778" i="6"/>
  <c r="D778" i="6" s="1"/>
  <c r="E790" i="6"/>
  <c r="I711" i="6"/>
  <c r="E733" i="6"/>
  <c r="C721" i="6"/>
  <c r="D721" i="6" s="1"/>
  <c r="E598" i="6"/>
  <c r="C586" i="6"/>
  <c r="D586" i="6" s="1"/>
  <c r="E587" i="6"/>
  <c r="E596" i="6"/>
  <c r="E630" i="6"/>
  <c r="C618" i="6"/>
  <c r="D618" i="6" s="1"/>
  <c r="I638" i="6"/>
  <c r="G642" i="6"/>
  <c r="H642" i="6" s="1"/>
  <c r="C648" i="6"/>
  <c r="D648" i="6" s="1"/>
  <c r="I654" i="6"/>
  <c r="C656" i="6"/>
  <c r="D656" i="6" s="1"/>
  <c r="E671" i="6"/>
  <c r="C659" i="6"/>
  <c r="D659" i="6" s="1"/>
  <c r="E660" i="6"/>
  <c r="C669" i="6"/>
  <c r="D669" i="6" s="1"/>
  <c r="I689" i="6"/>
  <c r="I691" i="6"/>
  <c r="G683" i="6"/>
  <c r="H683" i="6" s="1"/>
  <c r="B699" i="6"/>
  <c r="G712" i="6"/>
  <c r="H712" i="6" s="1"/>
  <c r="F731" i="6"/>
  <c r="B731" i="6"/>
  <c r="I756" i="6"/>
  <c r="G744" i="6"/>
  <c r="H744" i="6" s="1"/>
  <c r="G745" i="6"/>
  <c r="H745" i="6" s="1"/>
  <c r="F755" i="6"/>
  <c r="B755" i="6"/>
  <c r="I782" i="6"/>
  <c r="C576" i="6"/>
  <c r="D576" i="6" s="1"/>
  <c r="C599" i="6"/>
  <c r="D599" i="6" s="1"/>
  <c r="C608" i="6"/>
  <c r="D608" i="6" s="1"/>
  <c r="C621" i="6"/>
  <c r="D621" i="6" s="1"/>
  <c r="C631" i="6"/>
  <c r="D631" i="6" s="1"/>
  <c r="E646" i="6"/>
  <c r="C634" i="6"/>
  <c r="D634" i="6" s="1"/>
  <c r="I672" i="6"/>
  <c r="G660" i="6"/>
  <c r="H660" i="6" s="1"/>
  <c r="I661" i="6"/>
  <c r="C663" i="6"/>
  <c r="D663" i="6" s="1"/>
  <c r="E675" i="6"/>
  <c r="E688" i="6"/>
  <c r="C677" i="6"/>
  <c r="D677" i="6" s="1"/>
  <c r="G677" i="6"/>
  <c r="H677" i="6" s="1"/>
  <c r="F681" i="6"/>
  <c r="B681" i="6"/>
  <c r="E695" i="6"/>
  <c r="E683" i="6"/>
  <c r="C685" i="6"/>
  <c r="D685" i="6" s="1"/>
  <c r="G690" i="6"/>
  <c r="H690" i="6" s="1"/>
  <c r="I702" i="6"/>
  <c r="I715" i="6"/>
  <c r="G703" i="6"/>
  <c r="H703" i="6" s="1"/>
  <c r="B716" i="6"/>
  <c r="E716" i="6" s="1"/>
  <c r="F716" i="6"/>
  <c r="G719" i="6"/>
  <c r="H719" i="6" s="1"/>
  <c r="I731" i="6"/>
  <c r="G720" i="6"/>
  <c r="H720" i="6" s="1"/>
  <c r="G722" i="6"/>
  <c r="H722" i="6" s="1"/>
  <c r="I734" i="6"/>
  <c r="I744" i="6"/>
  <c r="G732" i="6"/>
  <c r="H732" i="6" s="1"/>
  <c r="I732" i="6"/>
  <c r="C580" i="6"/>
  <c r="D580" i="6" s="1"/>
  <c r="C585" i="6"/>
  <c r="D585" i="6" s="1"/>
  <c r="C589" i="6"/>
  <c r="D589" i="6" s="1"/>
  <c r="E601" i="6"/>
  <c r="E606" i="6"/>
  <c r="C594" i="6"/>
  <c r="D594" i="6" s="1"/>
  <c r="C598" i="6"/>
  <c r="D598" i="6" s="1"/>
  <c r="E610" i="6"/>
  <c r="C603" i="6"/>
  <c r="D603" i="6" s="1"/>
  <c r="C612" i="6"/>
  <c r="D612" i="6" s="1"/>
  <c r="C617" i="6"/>
  <c r="D617" i="6" s="1"/>
  <c r="G618" i="6"/>
  <c r="H618" i="6" s="1"/>
  <c r="C620" i="6"/>
  <c r="D620" i="6" s="1"/>
  <c r="C624" i="6"/>
  <c r="D624" i="6" s="1"/>
  <c r="E636" i="6"/>
  <c r="E628" i="6"/>
  <c r="I643" i="6"/>
  <c r="C637" i="6"/>
  <c r="D637" i="6" s="1"/>
  <c r="F640" i="6"/>
  <c r="B640" i="6"/>
  <c r="C643" i="6"/>
  <c r="D643" i="6" s="1"/>
  <c r="E655" i="6"/>
  <c r="C651" i="6"/>
  <c r="D651" i="6" s="1"/>
  <c r="E663" i="6"/>
  <c r="G652" i="6"/>
  <c r="H652" i="6" s="1"/>
  <c r="I664" i="6"/>
  <c r="C655" i="6"/>
  <c r="D655" i="6" s="1"/>
  <c r="E667" i="6"/>
  <c r="G656" i="6"/>
  <c r="H656" i="6" s="1"/>
  <c r="E659" i="6"/>
  <c r="G663" i="6"/>
  <c r="H663" i="6" s="1"/>
  <c r="E680" i="6"/>
  <c r="C668" i="6"/>
  <c r="D668" i="6" s="1"/>
  <c r="C676" i="6"/>
  <c r="D676" i="6" s="1"/>
  <c r="E681" i="6"/>
  <c r="C683" i="6"/>
  <c r="D683" i="6" s="1"/>
  <c r="G685" i="6"/>
  <c r="H685" i="6" s="1"/>
  <c r="I699" i="6"/>
  <c r="G688" i="6"/>
  <c r="H688" i="6" s="1"/>
  <c r="E709" i="6"/>
  <c r="C697" i="6"/>
  <c r="D697" i="6" s="1"/>
  <c r="E713" i="6"/>
  <c r="C701" i="6"/>
  <c r="D701" i="6" s="1"/>
  <c r="C708" i="6"/>
  <c r="D708" i="6" s="1"/>
  <c r="E720" i="6"/>
  <c r="B722" i="6"/>
  <c r="E744" i="6"/>
  <c r="C732" i="6"/>
  <c r="D732" i="6" s="1"/>
  <c r="E748" i="6"/>
  <c r="C737" i="6"/>
  <c r="D737" i="6" s="1"/>
  <c r="C736" i="6"/>
  <c r="D736" i="6" s="1"/>
  <c r="C794" i="6"/>
  <c r="D794" i="6" s="1"/>
  <c r="C788" i="6"/>
  <c r="D788" i="6" s="1"/>
  <c r="E800" i="6"/>
  <c r="I736" i="6"/>
  <c r="I724" i="6"/>
  <c r="B734" i="6"/>
  <c r="F734" i="6"/>
  <c r="I752" i="6"/>
  <c r="G740" i="6"/>
  <c r="H740" i="6" s="1"/>
  <c r="G741" i="6"/>
  <c r="H741" i="6" s="1"/>
  <c r="B743" i="6"/>
  <c r="F743" i="6"/>
  <c r="F748" i="6"/>
  <c r="B748" i="6"/>
  <c r="F766" i="6"/>
  <c r="I766" i="6" s="1"/>
  <c r="B766" i="6"/>
  <c r="E784" i="6"/>
  <c r="I680" i="6"/>
  <c r="G668" i="6"/>
  <c r="H668" i="6" s="1"/>
  <c r="I670" i="6"/>
  <c r="F705" i="6"/>
  <c r="B705" i="6"/>
  <c r="I726" i="6"/>
  <c r="C725" i="6"/>
  <c r="D725" i="6" s="1"/>
  <c r="I740" i="6"/>
  <c r="E638" i="6"/>
  <c r="C626" i="6"/>
  <c r="D626" i="6" s="1"/>
  <c r="I658" i="6"/>
  <c r="E662" i="6"/>
  <c r="C650" i="6"/>
  <c r="D650" i="6" s="1"/>
  <c r="E672" i="6"/>
  <c r="C660" i="6"/>
  <c r="D660" i="6" s="1"/>
  <c r="E678" i="6"/>
  <c r="C666" i="6"/>
  <c r="D666" i="6" s="1"/>
  <c r="I669" i="6"/>
  <c r="E686" i="6"/>
  <c r="C693" i="6"/>
  <c r="D693" i="6" s="1"/>
  <c r="G696" i="6"/>
  <c r="H696" i="6" s="1"/>
  <c r="E724" i="6"/>
  <c r="C712" i="6"/>
  <c r="D712" i="6" s="1"/>
  <c r="B714" i="6"/>
  <c r="F723" i="6"/>
  <c r="B723" i="6"/>
  <c r="G725" i="6"/>
  <c r="H725" i="6" s="1"/>
  <c r="I737" i="6"/>
  <c r="F730" i="6"/>
  <c r="B730" i="6"/>
  <c r="E756" i="6"/>
  <c r="C754" i="6"/>
  <c r="D754" i="6" s="1"/>
  <c r="E766" i="6"/>
  <c r="C702" i="6"/>
  <c r="D702" i="6" s="1"/>
  <c r="C707" i="6"/>
  <c r="D707" i="6" s="1"/>
  <c r="F710" i="6"/>
  <c r="G711" i="6" s="1"/>
  <c r="H711" i="6" s="1"/>
  <c r="B710" i="6"/>
  <c r="G739" i="6"/>
  <c r="H739" i="6" s="1"/>
  <c r="C746" i="6"/>
  <c r="D746" i="6" s="1"/>
  <c r="E758" i="6"/>
  <c r="G754" i="6"/>
  <c r="H754" i="6" s="1"/>
  <c r="G758" i="6"/>
  <c r="H758" i="6" s="1"/>
  <c r="I770" i="6"/>
  <c r="E782" i="6"/>
  <c r="C770" i="6"/>
  <c r="D770" i="6" s="1"/>
  <c r="I790" i="6"/>
  <c r="G793" i="6"/>
  <c r="H793" i="6" s="1"/>
  <c r="I805" i="6"/>
  <c r="I720" i="6"/>
  <c r="G708" i="6"/>
  <c r="H708" i="6" s="1"/>
  <c r="F713" i="6"/>
  <c r="B713" i="6"/>
  <c r="G715" i="6"/>
  <c r="H715" i="6" s="1"/>
  <c r="I765" i="6"/>
  <c r="G753" i="6"/>
  <c r="H753" i="6" s="1"/>
  <c r="I768" i="6"/>
  <c r="G756" i="6"/>
  <c r="H756" i="6" s="1"/>
  <c r="C646" i="6"/>
  <c r="D646" i="6" s="1"/>
  <c r="C654" i="6"/>
  <c r="D654" i="6" s="1"/>
  <c r="E674" i="6"/>
  <c r="C662" i="6"/>
  <c r="D662" i="6" s="1"/>
  <c r="E682" i="6"/>
  <c r="C670" i="6"/>
  <c r="D670" i="6" s="1"/>
  <c r="I683" i="6"/>
  <c r="E719" i="6"/>
  <c r="B715" i="6"/>
  <c r="E740" i="6"/>
  <c r="C733" i="6"/>
  <c r="D733" i="6" s="1"/>
  <c r="B735" i="6"/>
  <c r="F735" i="6"/>
  <c r="C741" i="6"/>
  <c r="D741" i="6" s="1"/>
  <c r="C749" i="6"/>
  <c r="D749" i="6" s="1"/>
  <c r="I753" i="6"/>
  <c r="B756" i="6"/>
  <c r="F777" i="6"/>
  <c r="B777" i="6"/>
  <c r="G785" i="6"/>
  <c r="H785" i="6" s="1"/>
  <c r="I797" i="6"/>
  <c r="B717" i="6"/>
  <c r="F717" i="6"/>
  <c r="E731" i="6"/>
  <c r="F733" i="6"/>
  <c r="C738" i="6"/>
  <c r="D738" i="6" s="1"/>
  <c r="F757" i="6"/>
  <c r="B757" i="6"/>
  <c r="B761" i="6"/>
  <c r="F761" i="6"/>
  <c r="I776" i="6"/>
  <c r="G764" i="6"/>
  <c r="H764" i="6" s="1"/>
  <c r="B769" i="6"/>
  <c r="F769" i="6"/>
  <c r="I784" i="6"/>
  <c r="G707" i="6"/>
  <c r="H707" i="6" s="1"/>
  <c r="E732" i="6"/>
  <c r="I757" i="6"/>
  <c r="F747" i="6"/>
  <c r="B747" i="6"/>
  <c r="B781" i="6"/>
  <c r="F781" i="6"/>
  <c r="I787" i="6"/>
  <c r="C804" i="6"/>
  <c r="D804" i="6" s="1"/>
  <c r="E816" i="6"/>
  <c r="C828" i="6"/>
  <c r="D828" i="6" s="1"/>
  <c r="E840" i="6"/>
  <c r="I816" i="6"/>
  <c r="I804" i="6"/>
  <c r="G804" i="6"/>
  <c r="H804" i="6" s="1"/>
  <c r="C825" i="6"/>
  <c r="D825" i="6" s="1"/>
  <c r="G797" i="6"/>
  <c r="H797" i="6" s="1"/>
  <c r="I809" i="6"/>
  <c r="G811" i="6"/>
  <c r="H811" i="6" s="1"/>
  <c r="I841" i="6"/>
  <c r="C782" i="6"/>
  <c r="D782" i="6" s="1"/>
  <c r="E794" i="6"/>
  <c r="I800" i="6"/>
  <c r="I788" i="6"/>
  <c r="B797" i="6"/>
  <c r="B802" i="6"/>
  <c r="F802" i="6"/>
  <c r="I794" i="6"/>
  <c r="G782" i="6"/>
  <c r="H782" i="6" s="1"/>
  <c r="B791" i="6"/>
  <c r="F791" i="6"/>
  <c r="F795" i="6"/>
  <c r="B795" i="6"/>
  <c r="F806" i="6"/>
  <c r="B806" i="6"/>
  <c r="C820" i="6"/>
  <c r="D820" i="6" s="1"/>
  <c r="E832" i="6"/>
  <c r="G746" i="6"/>
  <c r="H746" i="6" s="1"/>
  <c r="I758" i="6"/>
  <c r="E765" i="6"/>
  <c r="C753" i="6"/>
  <c r="D753" i="6" s="1"/>
  <c r="F771" i="6"/>
  <c r="G772" i="6" s="1"/>
  <c r="H772" i="6" s="1"/>
  <c r="B771" i="6"/>
  <c r="I785" i="6"/>
  <c r="G786" i="6"/>
  <c r="H786" i="6" s="1"/>
  <c r="I798" i="6"/>
  <c r="I812" i="6"/>
  <c r="G800" i="6"/>
  <c r="H800" i="6" s="1"/>
  <c r="G801" i="6"/>
  <c r="H801" i="6" s="1"/>
  <c r="E824" i="6"/>
  <c r="C812" i="6"/>
  <c r="D812" i="6" s="1"/>
  <c r="B815" i="6"/>
  <c r="F815" i="6"/>
  <c r="F821" i="6"/>
  <c r="B821" i="6"/>
  <c r="G826" i="6"/>
  <c r="H826" i="6" s="1"/>
  <c r="I838" i="6"/>
  <c r="G827" i="6"/>
  <c r="H827" i="6" s="1"/>
  <c r="E677" i="6"/>
  <c r="E684" i="6"/>
  <c r="E692" i="6"/>
  <c r="E700" i="6"/>
  <c r="E708" i="6"/>
  <c r="I719" i="6"/>
  <c r="G738" i="6"/>
  <c r="H738" i="6" s="1"/>
  <c r="I750" i="6"/>
  <c r="B742" i="6"/>
  <c r="E757" i="6"/>
  <c r="C745" i="6"/>
  <c r="D745" i="6" s="1"/>
  <c r="I754" i="6"/>
  <c r="F763" i="6"/>
  <c r="B763" i="6"/>
  <c r="I777" i="6"/>
  <c r="B773" i="6"/>
  <c r="C785" i="6"/>
  <c r="D785" i="6" s="1"/>
  <c r="E797" i="6"/>
  <c r="I821" i="6"/>
  <c r="G809" i="6"/>
  <c r="H809" i="6" s="1"/>
  <c r="G812" i="6"/>
  <c r="H812" i="6" s="1"/>
  <c r="G818" i="6"/>
  <c r="H818" i="6" s="1"/>
  <c r="I830" i="6"/>
  <c r="G819" i="6"/>
  <c r="H819" i="6" s="1"/>
  <c r="B751" i="6"/>
  <c r="F751" i="6"/>
  <c r="I751" i="6" s="1"/>
  <c r="E764" i="6"/>
  <c r="B759" i="6"/>
  <c r="F759" i="6"/>
  <c r="E772" i="6"/>
  <c r="B767" i="6"/>
  <c r="F767" i="6"/>
  <c r="E780" i="6"/>
  <c r="B789" i="6"/>
  <c r="F789" i="6"/>
  <c r="E804" i="6"/>
  <c r="I832" i="6"/>
  <c r="G820" i="6"/>
  <c r="H820" i="6" s="1"/>
  <c r="C824" i="6"/>
  <c r="D824" i="6" s="1"/>
  <c r="B834" i="6"/>
  <c r="F834" i="6"/>
  <c r="I849" i="6"/>
  <c r="G837" i="6"/>
  <c r="H837" i="6" s="1"/>
  <c r="B839" i="6"/>
  <c r="C840" i="6" s="1"/>
  <c r="D840" i="6" s="1"/>
  <c r="F839" i="6"/>
  <c r="C846" i="6"/>
  <c r="D846" i="6" s="1"/>
  <c r="E858" i="6"/>
  <c r="E823" i="6"/>
  <c r="C817" i="6"/>
  <c r="D817" i="6" s="1"/>
  <c r="B837" i="6"/>
  <c r="E837" i="6" s="1"/>
  <c r="E847" i="6"/>
  <c r="I853" i="6"/>
  <c r="G778" i="6"/>
  <c r="H778" i="6" s="1"/>
  <c r="B783" i="6"/>
  <c r="F783" i="6"/>
  <c r="I811" i="6"/>
  <c r="I815" i="6"/>
  <c r="B829" i="6"/>
  <c r="C830" i="6" s="1"/>
  <c r="D830" i="6" s="1"/>
  <c r="G831" i="6"/>
  <c r="H831" i="6" s="1"/>
  <c r="E835" i="6"/>
  <c r="E788" i="6"/>
  <c r="C776" i="6"/>
  <c r="D776" i="6" s="1"/>
  <c r="C780" i="6"/>
  <c r="D780" i="6" s="1"/>
  <c r="C790" i="6"/>
  <c r="D790" i="6" s="1"/>
  <c r="C793" i="6"/>
  <c r="D793" i="6" s="1"/>
  <c r="B796" i="6"/>
  <c r="F796" i="6"/>
  <c r="G799" i="6"/>
  <c r="H799" i="6" s="1"/>
  <c r="C803" i="6"/>
  <c r="D803" i="6" s="1"/>
  <c r="I820" i="6"/>
  <c r="E828" i="6"/>
  <c r="G817" i="6"/>
  <c r="H817" i="6" s="1"/>
  <c r="I829" i="6"/>
  <c r="I834" i="6"/>
  <c r="G830" i="6"/>
  <c r="H830" i="6" s="1"/>
  <c r="B844" i="6"/>
  <c r="G849" i="6"/>
  <c r="H849" i="6" s="1"/>
  <c r="F779" i="6"/>
  <c r="B779" i="6"/>
  <c r="C786" i="6"/>
  <c r="D786" i="6" s="1"/>
  <c r="G794" i="6"/>
  <c r="H794" i="6" s="1"/>
  <c r="I806" i="6"/>
  <c r="B798" i="6"/>
  <c r="C799" i="6" s="1"/>
  <c r="D799" i="6" s="1"/>
  <c r="F805" i="6"/>
  <c r="B805" i="6"/>
  <c r="E805" i="6" s="1"/>
  <c r="G808" i="6"/>
  <c r="H808" i="6" s="1"/>
  <c r="B810" i="6"/>
  <c r="C811" i="6" s="1"/>
  <c r="D811" i="6" s="1"/>
  <c r="F810" i="6"/>
  <c r="F814" i="6"/>
  <c r="B814" i="6"/>
  <c r="C816" i="6"/>
  <c r="D816" i="6" s="1"/>
  <c r="C826" i="6"/>
  <c r="D826" i="6" s="1"/>
  <c r="C831" i="6"/>
  <c r="D831" i="6" s="1"/>
  <c r="G833" i="6"/>
  <c r="H833" i="6" s="1"/>
  <c r="G842" i="6"/>
  <c r="H842" i="6" s="1"/>
  <c r="G844" i="6"/>
  <c r="H844" i="6" s="1"/>
  <c r="C855" i="6"/>
  <c r="D855" i="6" s="1"/>
  <c r="E820" i="6"/>
  <c r="B813" i="6"/>
  <c r="C822" i="6"/>
  <c r="D822" i="6" s="1"/>
  <c r="F823" i="6"/>
  <c r="C827" i="6"/>
  <c r="D827" i="6" s="1"/>
  <c r="F828" i="6"/>
  <c r="I828" i="6" s="1"/>
  <c r="I847" i="6"/>
  <c r="E850" i="6"/>
  <c r="C842" i="6"/>
  <c r="D842" i="6" s="1"/>
  <c r="F852" i="6"/>
  <c r="G852" i="6" s="1"/>
  <c r="H852" i="6" s="1"/>
  <c r="B852" i="6"/>
  <c r="C852" i="6" s="1"/>
  <c r="D852" i="6" s="1"/>
  <c r="F854" i="6"/>
  <c r="G854" i="6" s="1"/>
  <c r="H854" i="6" s="1"/>
  <c r="B854" i="6"/>
  <c r="C854" i="6" s="1"/>
  <c r="D854" i="6" s="1"/>
  <c r="I831" i="6"/>
  <c r="I848" i="6"/>
  <c r="I855" i="6"/>
  <c r="I857" i="6"/>
  <c r="G845" i="6"/>
  <c r="H845" i="6" s="1"/>
  <c r="C848" i="6"/>
  <c r="D848" i="6" s="1"/>
  <c r="C847" i="6"/>
  <c r="D847" i="6" s="1"/>
  <c r="G851" i="6"/>
  <c r="H851" i="6" s="1"/>
  <c r="C856" i="6"/>
  <c r="D856" i="6" s="1"/>
  <c r="E812" i="6"/>
  <c r="E811" i="6"/>
  <c r="E831" i="6"/>
  <c r="C819" i="6"/>
  <c r="D819" i="6" s="1"/>
  <c r="B836" i="6"/>
  <c r="I837" i="6"/>
  <c r="I852" i="6"/>
  <c r="G841" i="6"/>
  <c r="H841" i="6" s="1"/>
  <c r="E855" i="6"/>
  <c r="B845" i="6"/>
  <c r="G813" i="6"/>
  <c r="H813" i="6" s="1"/>
  <c r="C818" i="6"/>
  <c r="D818" i="6" s="1"/>
  <c r="I839" i="6"/>
  <c r="C832" i="6"/>
  <c r="D832" i="6" s="1"/>
  <c r="I850" i="6"/>
  <c r="G840" i="6"/>
  <c r="H840" i="6" s="1"/>
  <c r="F847" i="6"/>
  <c r="G847" i="6" s="1"/>
  <c r="H847" i="6" s="1"/>
  <c r="I858" i="6"/>
  <c r="F853" i="6"/>
  <c r="G853" i="6" s="1"/>
  <c r="H853" i="6" s="1"/>
  <c r="E845" i="6"/>
  <c r="G846" i="6"/>
  <c r="H846" i="6" s="1"/>
  <c r="C843" i="6"/>
  <c r="D843" i="6" s="1"/>
  <c r="E853" i="6"/>
  <c r="C841" i="6"/>
  <c r="D841" i="6" s="1"/>
  <c r="C857" i="6"/>
  <c r="D857" i="6" s="1"/>
  <c r="G858" i="6"/>
  <c r="H858" i="6" s="1"/>
  <c r="E783" i="6" l="1"/>
  <c r="C771" i="6"/>
  <c r="D771" i="6" s="1"/>
  <c r="G705" i="6"/>
  <c r="H705" i="6" s="1"/>
  <c r="I717" i="6"/>
  <c r="E825" i="6"/>
  <c r="C813" i="6"/>
  <c r="D813" i="6" s="1"/>
  <c r="E813" i="6"/>
  <c r="I791" i="6"/>
  <c r="G780" i="6"/>
  <c r="H780" i="6" s="1"/>
  <c r="G779" i="6"/>
  <c r="H779" i="6" s="1"/>
  <c r="C834" i="6"/>
  <c r="D834" i="6" s="1"/>
  <c r="E846" i="6"/>
  <c r="E834" i="6"/>
  <c r="G789" i="6"/>
  <c r="H789" i="6" s="1"/>
  <c r="I801" i="6"/>
  <c r="G821" i="6"/>
  <c r="H821" i="6" s="1"/>
  <c r="I833" i="6"/>
  <c r="G822" i="6"/>
  <c r="H822" i="6" s="1"/>
  <c r="E803" i="6"/>
  <c r="C791" i="6"/>
  <c r="D791" i="6" s="1"/>
  <c r="G747" i="6"/>
  <c r="H747" i="6" s="1"/>
  <c r="I759" i="6"/>
  <c r="E768" i="6"/>
  <c r="C756" i="6"/>
  <c r="D756" i="6" s="1"/>
  <c r="E727" i="6"/>
  <c r="C715" i="6"/>
  <c r="D715" i="6" s="1"/>
  <c r="E715" i="6"/>
  <c r="G713" i="6"/>
  <c r="H713" i="6" s="1"/>
  <c r="I725" i="6"/>
  <c r="I713" i="6"/>
  <c r="E735" i="6"/>
  <c r="E723" i="6"/>
  <c r="C723" i="6"/>
  <c r="D723" i="6" s="1"/>
  <c r="C772" i="6"/>
  <c r="D772" i="6" s="1"/>
  <c r="G743" i="6"/>
  <c r="H743" i="6" s="1"/>
  <c r="I755" i="6"/>
  <c r="C640" i="6"/>
  <c r="D640" i="6" s="1"/>
  <c r="E652" i="6"/>
  <c r="C755" i="6"/>
  <c r="D755" i="6" s="1"/>
  <c r="E767" i="6"/>
  <c r="E711" i="6"/>
  <c r="C700" i="6"/>
  <c r="D700" i="6" s="1"/>
  <c r="E699" i="6"/>
  <c r="C699" i="6"/>
  <c r="D699" i="6" s="1"/>
  <c r="I799" i="6"/>
  <c r="G787" i="6"/>
  <c r="H787" i="6" s="1"/>
  <c r="C623" i="6"/>
  <c r="D623" i="6" s="1"/>
  <c r="G727" i="6"/>
  <c r="H727" i="6" s="1"/>
  <c r="I739" i="6"/>
  <c r="I727" i="6"/>
  <c r="G728" i="6"/>
  <c r="H728" i="6" s="1"/>
  <c r="C718" i="6"/>
  <c r="D718" i="6" s="1"/>
  <c r="E730" i="6"/>
  <c r="C719" i="6"/>
  <c r="D719" i="6" s="1"/>
  <c r="C609" i="6"/>
  <c r="D609" i="6" s="1"/>
  <c r="E621" i="6"/>
  <c r="C590" i="6"/>
  <c r="D590" i="6" s="1"/>
  <c r="E602" i="6"/>
  <c r="C443" i="6"/>
  <c r="D443" i="6" s="1"/>
  <c r="E377" i="6"/>
  <c r="C366" i="6"/>
  <c r="D366" i="6" s="1"/>
  <c r="C365" i="6"/>
  <c r="D365" i="6" s="1"/>
  <c r="G341" i="6"/>
  <c r="H341" i="6" s="1"/>
  <c r="G342" i="6"/>
  <c r="H342" i="6" s="1"/>
  <c r="I353" i="6"/>
  <c r="E330" i="6"/>
  <c r="C610" i="6"/>
  <c r="D610" i="6" s="1"/>
  <c r="E433" i="6"/>
  <c r="C421" i="6"/>
  <c r="D421" i="6" s="1"/>
  <c r="E421" i="6"/>
  <c r="C628" i="6"/>
  <c r="D628" i="6" s="1"/>
  <c r="E640" i="6"/>
  <c r="E393" i="6"/>
  <c r="C382" i="6"/>
  <c r="D382" i="6" s="1"/>
  <c r="C381" i="6"/>
  <c r="D381" i="6" s="1"/>
  <c r="E439" i="6"/>
  <c r="C427" i="6"/>
  <c r="D427" i="6" s="1"/>
  <c r="E412" i="6"/>
  <c r="C401" i="6"/>
  <c r="D401" i="6" s="1"/>
  <c r="C400" i="6"/>
  <c r="D400" i="6" s="1"/>
  <c r="C345" i="6"/>
  <c r="D345" i="6" s="1"/>
  <c r="E357" i="6"/>
  <c r="E335" i="6"/>
  <c r="C323" i="6"/>
  <c r="D323" i="6" s="1"/>
  <c r="E323" i="6"/>
  <c r="E488" i="6"/>
  <c r="C476" i="6"/>
  <c r="D476" i="6" s="1"/>
  <c r="C477" i="6"/>
  <c r="D477" i="6" s="1"/>
  <c r="C480" i="6"/>
  <c r="D480" i="6" s="1"/>
  <c r="E492" i="6"/>
  <c r="C481" i="6"/>
  <c r="D481" i="6" s="1"/>
  <c r="G468" i="6"/>
  <c r="H468" i="6" s="1"/>
  <c r="C404" i="6"/>
  <c r="D404" i="6" s="1"/>
  <c r="E416" i="6"/>
  <c r="E387" i="6"/>
  <c r="C375" i="6"/>
  <c r="D375" i="6" s="1"/>
  <c r="C376" i="6"/>
  <c r="D376" i="6" s="1"/>
  <c r="C368" i="6"/>
  <c r="D368" i="6" s="1"/>
  <c r="E380" i="6"/>
  <c r="C336" i="6"/>
  <c r="D336" i="6" s="1"/>
  <c r="E348" i="6"/>
  <c r="C109" i="6"/>
  <c r="D109" i="6" s="1"/>
  <c r="E109" i="6"/>
  <c r="E121" i="6"/>
  <c r="C166" i="6"/>
  <c r="D166" i="6" s="1"/>
  <c r="E178" i="6"/>
  <c r="C214" i="6"/>
  <c r="D214" i="6" s="1"/>
  <c r="E226" i="6"/>
  <c r="I202" i="6"/>
  <c r="G190" i="6"/>
  <c r="H190" i="6" s="1"/>
  <c r="C836" i="6"/>
  <c r="D836" i="6" s="1"/>
  <c r="E848" i="6"/>
  <c r="C806" i="6"/>
  <c r="D806" i="6" s="1"/>
  <c r="E818" i="6"/>
  <c r="C838" i="6"/>
  <c r="D838" i="6" s="1"/>
  <c r="C805" i="6"/>
  <c r="D805" i="6" s="1"/>
  <c r="E817" i="6"/>
  <c r="C835" i="6"/>
  <c r="D835" i="6" s="1"/>
  <c r="G855" i="6"/>
  <c r="H855" i="6" s="1"/>
  <c r="C789" i="6"/>
  <c r="D789" i="6" s="1"/>
  <c r="E801" i="6"/>
  <c r="G751" i="6"/>
  <c r="H751" i="6" s="1"/>
  <c r="I763" i="6"/>
  <c r="I827" i="6"/>
  <c r="G815" i="6"/>
  <c r="H815" i="6" s="1"/>
  <c r="G717" i="6"/>
  <c r="H717" i="6" s="1"/>
  <c r="I729" i="6"/>
  <c r="G723" i="6"/>
  <c r="H723" i="6" s="1"/>
  <c r="I735" i="6"/>
  <c r="G714" i="6"/>
  <c r="H714" i="6" s="1"/>
  <c r="E755" i="6"/>
  <c r="C743" i="6"/>
  <c r="D743" i="6" s="1"/>
  <c r="C744" i="6"/>
  <c r="D744" i="6" s="1"/>
  <c r="G724" i="6"/>
  <c r="H724" i="6" s="1"/>
  <c r="I652" i="6"/>
  <c r="G640" i="6"/>
  <c r="H640" i="6" s="1"/>
  <c r="G755" i="6"/>
  <c r="H755" i="6" s="1"/>
  <c r="I767" i="6"/>
  <c r="I723" i="6"/>
  <c r="C724" i="6"/>
  <c r="D724" i="6" s="1"/>
  <c r="C728" i="6"/>
  <c r="D728" i="6" s="1"/>
  <c r="E739" i="6"/>
  <c r="C727" i="6"/>
  <c r="D727" i="6" s="1"/>
  <c r="E641" i="6"/>
  <c r="G718" i="6"/>
  <c r="H718" i="6" s="1"/>
  <c r="I730" i="6"/>
  <c r="I602" i="6"/>
  <c r="G591" i="6"/>
  <c r="H591" i="6" s="1"/>
  <c r="G590" i="6"/>
  <c r="H590" i="6" s="1"/>
  <c r="I590" i="6"/>
  <c r="E422" i="6"/>
  <c r="C410" i="6"/>
  <c r="D410" i="6" s="1"/>
  <c r="E390" i="6"/>
  <c r="C378" i="6"/>
  <c r="D378" i="6" s="1"/>
  <c r="E353" i="6"/>
  <c r="C342" i="6"/>
  <c r="D342" i="6" s="1"/>
  <c r="C341" i="6"/>
  <c r="D341" i="6" s="1"/>
  <c r="I329" i="6"/>
  <c r="G317" i="6"/>
  <c r="H317" i="6" s="1"/>
  <c r="I581" i="6"/>
  <c r="E687" i="6"/>
  <c r="C675" i="6"/>
  <c r="D675" i="6" s="1"/>
  <c r="E609" i="6"/>
  <c r="E590" i="6"/>
  <c r="E685" i="6"/>
  <c r="C673" i="6"/>
  <c r="D673" i="6" s="1"/>
  <c r="C674" i="6"/>
  <c r="D674" i="6" s="1"/>
  <c r="E673" i="6"/>
  <c r="I417" i="6"/>
  <c r="G405" i="6"/>
  <c r="H405" i="6" s="1"/>
  <c r="I439" i="6"/>
  <c r="G427" i="6"/>
  <c r="H427" i="6" s="1"/>
  <c r="C313" i="6"/>
  <c r="D313" i="6" s="1"/>
  <c r="E325" i="6"/>
  <c r="C380" i="6"/>
  <c r="D380" i="6" s="1"/>
  <c r="E392" i="6"/>
  <c r="C117" i="6"/>
  <c r="D117" i="6" s="1"/>
  <c r="E117" i="6"/>
  <c r="E129" i="6"/>
  <c r="I492" i="6"/>
  <c r="G480" i="6"/>
  <c r="H480" i="6" s="1"/>
  <c r="E407" i="6"/>
  <c r="C395" i="6"/>
  <c r="D395" i="6" s="1"/>
  <c r="C369" i="6"/>
  <c r="D369" i="6" s="1"/>
  <c r="E381" i="6"/>
  <c r="C370" i="6"/>
  <c r="D370" i="6" s="1"/>
  <c r="G352" i="6"/>
  <c r="H352" i="6" s="1"/>
  <c r="I364" i="6"/>
  <c r="I352" i="6"/>
  <c r="E499" i="6"/>
  <c r="C487" i="6"/>
  <c r="D487" i="6" s="1"/>
  <c r="E391" i="6"/>
  <c r="C379" i="6"/>
  <c r="D379" i="6" s="1"/>
  <c r="G383" i="6"/>
  <c r="H383" i="6" s="1"/>
  <c r="I395" i="6"/>
  <c r="E358" i="6"/>
  <c r="C346" i="6"/>
  <c r="D346" i="6" s="1"/>
  <c r="G481" i="6"/>
  <c r="H481" i="6" s="1"/>
  <c r="E375" i="6"/>
  <c r="G428" i="6"/>
  <c r="H428" i="6" s="1"/>
  <c r="E399" i="6"/>
  <c r="C387" i="6"/>
  <c r="D387" i="6" s="1"/>
  <c r="G109" i="6"/>
  <c r="H109" i="6" s="1"/>
  <c r="I121" i="6"/>
  <c r="I109" i="6"/>
  <c r="E336" i="6"/>
  <c r="I238" i="6"/>
  <c r="G226" i="6"/>
  <c r="H226" i="6" s="1"/>
  <c r="I186" i="6"/>
  <c r="G174" i="6"/>
  <c r="H174" i="6" s="1"/>
  <c r="I194" i="6"/>
  <c r="G182" i="6"/>
  <c r="H182" i="6" s="1"/>
  <c r="I166" i="6"/>
  <c r="G154" i="6"/>
  <c r="H154" i="6" s="1"/>
  <c r="C223" i="6"/>
  <c r="D223" i="6" s="1"/>
  <c r="C190" i="6"/>
  <c r="D190" i="6" s="1"/>
  <c r="E202" i="6"/>
  <c r="E139" i="6"/>
  <c r="C127" i="6"/>
  <c r="D127" i="6" s="1"/>
  <c r="I840" i="6"/>
  <c r="G828" i="6"/>
  <c r="H828" i="6" s="1"/>
  <c r="E836" i="6"/>
  <c r="G805" i="6"/>
  <c r="H805" i="6" s="1"/>
  <c r="I817" i="6"/>
  <c r="C844" i="6"/>
  <c r="D844" i="6" s="1"/>
  <c r="E856" i="6"/>
  <c r="C807" i="6"/>
  <c r="D807" i="6" s="1"/>
  <c r="C829" i="6"/>
  <c r="D829" i="6" s="1"/>
  <c r="E841" i="6"/>
  <c r="I851" i="6"/>
  <c r="G839" i="6"/>
  <c r="H839" i="6" s="1"/>
  <c r="E763" i="6"/>
  <c r="C752" i="6"/>
  <c r="D752" i="6" s="1"/>
  <c r="C751" i="6"/>
  <c r="D751" i="6" s="1"/>
  <c r="C742" i="6"/>
  <c r="D742" i="6" s="1"/>
  <c r="E754" i="6"/>
  <c r="E827" i="6"/>
  <c r="C815" i="6"/>
  <c r="D815" i="6" s="1"/>
  <c r="I773" i="6"/>
  <c r="G761" i="6"/>
  <c r="H761" i="6" s="1"/>
  <c r="E729" i="6"/>
  <c r="C717" i="6"/>
  <c r="D717" i="6" s="1"/>
  <c r="C710" i="6"/>
  <c r="D710" i="6" s="1"/>
  <c r="C711" i="6"/>
  <c r="D711" i="6" s="1"/>
  <c r="E722" i="6"/>
  <c r="I761" i="6"/>
  <c r="E726" i="6"/>
  <c r="C714" i="6"/>
  <c r="D714" i="6" s="1"/>
  <c r="E717" i="6"/>
  <c r="C705" i="6"/>
  <c r="D705" i="6" s="1"/>
  <c r="C706" i="6"/>
  <c r="D706" i="6" s="1"/>
  <c r="C766" i="6"/>
  <c r="D766" i="6" s="1"/>
  <c r="E778" i="6"/>
  <c r="C774" i="6"/>
  <c r="D774" i="6" s="1"/>
  <c r="C775" i="6"/>
  <c r="D775" i="6" s="1"/>
  <c r="E786" i="6"/>
  <c r="E741" i="6"/>
  <c r="C729" i="6"/>
  <c r="D729" i="6" s="1"/>
  <c r="E710" i="6"/>
  <c r="C698" i="6"/>
  <c r="D698" i="6" s="1"/>
  <c r="C581" i="6"/>
  <c r="D581" i="6" s="1"/>
  <c r="E593" i="6"/>
  <c r="E581" i="6"/>
  <c r="G635" i="6"/>
  <c r="H635" i="6" s="1"/>
  <c r="I647" i="6"/>
  <c r="E483" i="6"/>
  <c r="C471" i="6"/>
  <c r="D471" i="6" s="1"/>
  <c r="G438" i="6"/>
  <c r="H438" i="6" s="1"/>
  <c r="I369" i="6"/>
  <c r="G357" i="6"/>
  <c r="H357" i="6" s="1"/>
  <c r="G358" i="6"/>
  <c r="H358" i="6" s="1"/>
  <c r="E329" i="6"/>
  <c r="C318" i="6"/>
  <c r="D318" i="6" s="1"/>
  <c r="C317" i="6"/>
  <c r="D317" i="6" s="1"/>
  <c r="E317" i="6"/>
  <c r="C582" i="6"/>
  <c r="D582" i="6" s="1"/>
  <c r="G675" i="6"/>
  <c r="H675" i="6" s="1"/>
  <c r="I687" i="6"/>
  <c r="G676" i="6"/>
  <c r="H676" i="6" s="1"/>
  <c r="G604" i="6"/>
  <c r="H604" i="6" s="1"/>
  <c r="I616" i="6"/>
  <c r="I685" i="6"/>
  <c r="I673" i="6"/>
  <c r="G673" i="6"/>
  <c r="H673" i="6" s="1"/>
  <c r="E417" i="6"/>
  <c r="C406" i="6"/>
  <c r="D406" i="6" s="1"/>
  <c r="E405" i="6"/>
  <c r="C405" i="6"/>
  <c r="D405" i="6" s="1"/>
  <c r="G395" i="6"/>
  <c r="H395" i="6" s="1"/>
  <c r="I407" i="6"/>
  <c r="C352" i="6"/>
  <c r="D352" i="6" s="1"/>
  <c r="E364" i="6"/>
  <c r="I499" i="6"/>
  <c r="G487" i="6"/>
  <c r="H487" i="6" s="1"/>
  <c r="G488" i="6"/>
  <c r="H488" i="6" s="1"/>
  <c r="G379" i="6"/>
  <c r="H379" i="6" s="1"/>
  <c r="I379" i="6"/>
  <c r="I391" i="6"/>
  <c r="C412" i="6"/>
  <c r="D412" i="6" s="1"/>
  <c r="E424" i="6"/>
  <c r="E395" i="6"/>
  <c r="C383" i="6"/>
  <c r="D383" i="6" s="1"/>
  <c r="G407" i="6"/>
  <c r="H407" i="6" s="1"/>
  <c r="I419" i="6"/>
  <c r="C353" i="6"/>
  <c r="D353" i="6" s="1"/>
  <c r="C467" i="6"/>
  <c r="D467" i="6" s="1"/>
  <c r="E479" i="6"/>
  <c r="C468" i="6"/>
  <c r="D468" i="6" s="1"/>
  <c r="G387" i="6"/>
  <c r="H387" i="6" s="1"/>
  <c r="I399" i="6"/>
  <c r="G100" i="6"/>
  <c r="H100" i="6" s="1"/>
  <c r="I112" i="6"/>
  <c r="C324" i="6"/>
  <c r="D324" i="6" s="1"/>
  <c r="I234" i="6"/>
  <c r="G222" i="6"/>
  <c r="H222" i="6" s="1"/>
  <c r="I146" i="6"/>
  <c r="G134" i="6"/>
  <c r="H134" i="6" s="1"/>
  <c r="C174" i="6"/>
  <c r="D174" i="6" s="1"/>
  <c r="E186" i="6"/>
  <c r="C182" i="6"/>
  <c r="D182" i="6" s="1"/>
  <c r="E194" i="6"/>
  <c r="E101" i="6"/>
  <c r="C101" i="6"/>
  <c r="D101" i="6" s="1"/>
  <c r="E113" i="6"/>
  <c r="I170" i="6"/>
  <c r="G158" i="6"/>
  <c r="H158" i="6" s="1"/>
  <c r="I139" i="6"/>
  <c r="G127" i="6"/>
  <c r="H127" i="6" s="1"/>
  <c r="C72" i="6"/>
  <c r="D72" i="6" s="1"/>
  <c r="E84" i="6"/>
  <c r="I779" i="6"/>
  <c r="G767" i="6"/>
  <c r="H767" i="6" s="1"/>
  <c r="G641" i="6"/>
  <c r="H641" i="6" s="1"/>
  <c r="I653" i="6"/>
  <c r="I641" i="6"/>
  <c r="I385" i="6"/>
  <c r="G373" i="6"/>
  <c r="H373" i="6" s="1"/>
  <c r="C814" i="6"/>
  <c r="D814" i="6" s="1"/>
  <c r="E826" i="6"/>
  <c r="G806" i="6"/>
  <c r="H806" i="6" s="1"/>
  <c r="I818" i="6"/>
  <c r="G807" i="6"/>
  <c r="H807" i="6" s="1"/>
  <c r="G625" i="6"/>
  <c r="H625" i="6" s="1"/>
  <c r="I637" i="6"/>
  <c r="E345" i="6"/>
  <c r="C334" i="6"/>
  <c r="D334" i="6" s="1"/>
  <c r="C333" i="6"/>
  <c r="D333" i="6" s="1"/>
  <c r="C126" i="6"/>
  <c r="D126" i="6" s="1"/>
  <c r="E138" i="6"/>
  <c r="G399" i="6"/>
  <c r="H399" i="6" s="1"/>
  <c r="I411" i="6"/>
  <c r="I141" i="6"/>
  <c r="G130" i="6"/>
  <c r="H130" i="6" s="1"/>
  <c r="G129" i="6"/>
  <c r="H129" i="6" s="1"/>
  <c r="I129" i="6"/>
  <c r="C625" i="6"/>
  <c r="D625" i="6" s="1"/>
  <c r="E637" i="6"/>
  <c r="I361" i="6"/>
  <c r="G349" i="6"/>
  <c r="H349" i="6" s="1"/>
  <c r="C320" i="6"/>
  <c r="D320" i="6" s="1"/>
  <c r="E332" i="6"/>
  <c r="C344" i="6"/>
  <c r="D344" i="6" s="1"/>
  <c r="E356" i="6"/>
  <c r="I454" i="6"/>
  <c r="G443" i="6"/>
  <c r="H443" i="6" s="1"/>
  <c r="G442" i="6"/>
  <c r="H442" i="6" s="1"/>
  <c r="C175" i="6"/>
  <c r="D175" i="6" s="1"/>
  <c r="E187" i="6"/>
  <c r="C176" i="6"/>
  <c r="D176" i="6" s="1"/>
  <c r="C198" i="6"/>
  <c r="D198" i="6" s="1"/>
  <c r="E210" i="6"/>
  <c r="E141" i="6"/>
  <c r="C129" i="6"/>
  <c r="D129" i="6" s="1"/>
  <c r="C130" i="6"/>
  <c r="D130" i="6" s="1"/>
  <c r="C151" i="6"/>
  <c r="D151" i="6" s="1"/>
  <c r="E163" i="6"/>
  <c r="C152" i="6"/>
  <c r="D152" i="6" s="1"/>
  <c r="E326" i="6"/>
  <c r="C314" i="6"/>
  <c r="D314" i="6" s="1"/>
  <c r="I218" i="6"/>
  <c r="G206" i="6"/>
  <c r="H206" i="6" s="1"/>
  <c r="E142" i="6"/>
  <c r="C142" i="6"/>
  <c r="D142" i="6" s="1"/>
  <c r="E154" i="6"/>
  <c r="C110" i="6"/>
  <c r="D110" i="6" s="1"/>
  <c r="C73" i="6"/>
  <c r="D73" i="6" s="1"/>
  <c r="E85" i="6"/>
  <c r="C74" i="6"/>
  <c r="D74" i="6" s="1"/>
  <c r="G110" i="6"/>
  <c r="H110" i="6" s="1"/>
  <c r="I93" i="6"/>
  <c r="G81" i="6"/>
  <c r="H81" i="6" s="1"/>
  <c r="I81" i="6"/>
  <c r="G82" i="6"/>
  <c r="H82" i="6" s="1"/>
  <c r="C199" i="6"/>
  <c r="D199" i="6" s="1"/>
  <c r="C167" i="6"/>
  <c r="D167" i="6" s="1"/>
  <c r="E333" i="6"/>
  <c r="G223" i="6"/>
  <c r="H223" i="6" s="1"/>
  <c r="E849" i="6"/>
  <c r="C837" i="6"/>
  <c r="D837" i="6" s="1"/>
  <c r="E785" i="6"/>
  <c r="C773" i="6"/>
  <c r="D773" i="6" s="1"/>
  <c r="E773" i="6"/>
  <c r="C761" i="6"/>
  <c r="D761" i="6" s="1"/>
  <c r="G729" i="6"/>
  <c r="H729" i="6" s="1"/>
  <c r="I741" i="6"/>
  <c r="G698" i="6"/>
  <c r="H698" i="6" s="1"/>
  <c r="I710" i="6"/>
  <c r="I634" i="6"/>
  <c r="G622" i="6"/>
  <c r="H622" i="6" s="1"/>
  <c r="I622" i="6"/>
  <c r="C635" i="6"/>
  <c r="D635" i="6" s="1"/>
  <c r="E647" i="6"/>
  <c r="E414" i="6"/>
  <c r="C402" i="6"/>
  <c r="D402" i="6" s="1"/>
  <c r="G333" i="6"/>
  <c r="H333" i="6" s="1"/>
  <c r="I345" i="6"/>
  <c r="I409" i="6"/>
  <c r="G397" i="6"/>
  <c r="H397" i="6" s="1"/>
  <c r="C456" i="6"/>
  <c r="D456" i="6" s="1"/>
  <c r="E468" i="6"/>
  <c r="C457" i="6"/>
  <c r="D457" i="6" s="1"/>
  <c r="E491" i="6"/>
  <c r="C479" i="6"/>
  <c r="D479" i="6" s="1"/>
  <c r="E415" i="6"/>
  <c r="C403" i="6"/>
  <c r="D403" i="6" s="1"/>
  <c r="G334" i="6"/>
  <c r="H334" i="6" s="1"/>
  <c r="E419" i="6"/>
  <c r="C407" i="6"/>
  <c r="D407" i="6" s="1"/>
  <c r="C222" i="6"/>
  <c r="D222" i="6" s="1"/>
  <c r="E234" i="6"/>
  <c r="C215" i="6"/>
  <c r="D215" i="6" s="1"/>
  <c r="E227" i="6"/>
  <c r="C216" i="6"/>
  <c r="D216" i="6" s="1"/>
  <c r="I162" i="6"/>
  <c r="G150" i="6"/>
  <c r="H150" i="6" s="1"/>
  <c r="I84" i="6"/>
  <c r="G72" i="6"/>
  <c r="H72" i="6" s="1"/>
  <c r="I72" i="6"/>
  <c r="E844" i="6"/>
  <c r="C767" i="6"/>
  <c r="D767" i="6" s="1"/>
  <c r="E779" i="6"/>
  <c r="C768" i="6"/>
  <c r="D768" i="6" s="1"/>
  <c r="C802" i="6"/>
  <c r="D802" i="6" s="1"/>
  <c r="E814" i="6"/>
  <c r="E802" i="6"/>
  <c r="E769" i="6"/>
  <c r="C757" i="6"/>
  <c r="D757" i="6" s="1"/>
  <c r="E705" i="6"/>
  <c r="I589" i="6"/>
  <c r="G577" i="6"/>
  <c r="H577" i="6" s="1"/>
  <c r="G578" i="6"/>
  <c r="H578" i="6" s="1"/>
  <c r="I577" i="6"/>
  <c r="C464" i="6"/>
  <c r="D464" i="6" s="1"/>
  <c r="E476" i="6"/>
  <c r="C465" i="6"/>
  <c r="D465" i="6" s="1"/>
  <c r="E385" i="6"/>
  <c r="C374" i="6"/>
  <c r="D374" i="6" s="1"/>
  <c r="C373" i="6"/>
  <c r="D373" i="6" s="1"/>
  <c r="E449" i="6"/>
  <c r="C437" i="6"/>
  <c r="D437" i="6" s="1"/>
  <c r="G644" i="6"/>
  <c r="H644" i="6" s="1"/>
  <c r="G645" i="6"/>
  <c r="H645" i="6" s="1"/>
  <c r="I656" i="6"/>
  <c r="I644" i="6"/>
  <c r="E409" i="6"/>
  <c r="C398" i="6"/>
  <c r="D398" i="6" s="1"/>
  <c r="E397" i="6"/>
  <c r="C397" i="6"/>
  <c r="D397" i="6" s="1"/>
  <c r="E374" i="6"/>
  <c r="C362" i="6"/>
  <c r="D362" i="6" s="1"/>
  <c r="E396" i="6"/>
  <c r="C384" i="6"/>
  <c r="D384" i="6" s="1"/>
  <c r="C385" i="6"/>
  <c r="D385" i="6" s="1"/>
  <c r="E383" i="6"/>
  <c r="E371" i="6"/>
  <c r="C371" i="6"/>
  <c r="D371" i="6" s="1"/>
  <c r="G403" i="6"/>
  <c r="H403" i="6" s="1"/>
  <c r="I415" i="6"/>
  <c r="C460" i="6"/>
  <c r="D460" i="6" s="1"/>
  <c r="C461" i="6"/>
  <c r="D461" i="6" s="1"/>
  <c r="E472" i="6"/>
  <c r="E454" i="6"/>
  <c r="C442" i="6"/>
  <c r="D442" i="6" s="1"/>
  <c r="C207" i="6"/>
  <c r="D207" i="6" s="1"/>
  <c r="E219" i="6"/>
  <c r="C208" i="6"/>
  <c r="D208" i="6" s="1"/>
  <c r="G315" i="6"/>
  <c r="H315" i="6" s="1"/>
  <c r="I327" i="6"/>
  <c r="G316" i="6"/>
  <c r="H316" i="6" s="1"/>
  <c r="I154" i="6"/>
  <c r="G142" i="6"/>
  <c r="H142" i="6" s="1"/>
  <c r="C191" i="6"/>
  <c r="D191" i="6" s="1"/>
  <c r="E203" i="6"/>
  <c r="C192" i="6"/>
  <c r="D192" i="6" s="1"/>
  <c r="I85" i="6"/>
  <c r="G73" i="6"/>
  <c r="H73" i="6" s="1"/>
  <c r="G74" i="6"/>
  <c r="H74" i="6" s="1"/>
  <c r="I73" i="6"/>
  <c r="E207" i="6"/>
  <c r="C196" i="6"/>
  <c r="D196" i="6" s="1"/>
  <c r="C195" i="6"/>
  <c r="D195" i="6" s="1"/>
  <c r="E97" i="6"/>
  <c r="C85" i="6"/>
  <c r="D85" i="6" s="1"/>
  <c r="I826" i="6"/>
  <c r="G814" i="6"/>
  <c r="H814" i="6" s="1"/>
  <c r="E809" i="6"/>
  <c r="C797" i="6"/>
  <c r="D797" i="6" s="1"/>
  <c r="G781" i="6"/>
  <c r="H781" i="6" s="1"/>
  <c r="I793" i="6"/>
  <c r="E747" i="6"/>
  <c r="C735" i="6"/>
  <c r="D735" i="6" s="1"/>
  <c r="G730" i="6"/>
  <c r="H730" i="6" s="1"/>
  <c r="I742" i="6"/>
  <c r="G762" i="6"/>
  <c r="H762" i="6" s="1"/>
  <c r="C762" i="6"/>
  <c r="D762" i="6" s="1"/>
  <c r="G768" i="6"/>
  <c r="H768" i="6" s="1"/>
  <c r="E806" i="6"/>
  <c r="E693" i="6"/>
  <c r="C681" i="6"/>
  <c r="D681" i="6" s="1"/>
  <c r="E743" i="6"/>
  <c r="C731" i="6"/>
  <c r="D731" i="6" s="1"/>
  <c r="G626" i="6"/>
  <c r="H626" i="6" s="1"/>
  <c r="C758" i="6"/>
  <c r="D758" i="6" s="1"/>
  <c r="C638" i="6"/>
  <c r="D638" i="6" s="1"/>
  <c r="E650" i="6"/>
  <c r="C595" i="6"/>
  <c r="D595" i="6" s="1"/>
  <c r="E607" i="6"/>
  <c r="C613" i="6"/>
  <c r="D613" i="6" s="1"/>
  <c r="E625" i="6"/>
  <c r="E321" i="6"/>
  <c r="C310" i="6"/>
  <c r="D310" i="6" s="1"/>
  <c r="C309" i="6"/>
  <c r="D309" i="6" s="1"/>
  <c r="E309" i="6"/>
  <c r="C644" i="6"/>
  <c r="D644" i="6" s="1"/>
  <c r="E656" i="6"/>
  <c r="I401" i="6"/>
  <c r="G389" i="6"/>
  <c r="H389" i="6" s="1"/>
  <c r="E313" i="6"/>
  <c r="E423" i="6"/>
  <c r="C411" i="6"/>
  <c r="D411" i="6" s="1"/>
  <c r="C453" i="6"/>
  <c r="D453" i="6" s="1"/>
  <c r="C452" i="6"/>
  <c r="D452" i="6" s="1"/>
  <c r="E464" i="6"/>
  <c r="E411" i="6"/>
  <c r="C399" i="6"/>
  <c r="D399" i="6" s="1"/>
  <c r="I349" i="6"/>
  <c r="E365" i="6"/>
  <c r="I456" i="6"/>
  <c r="G444" i="6"/>
  <c r="H444" i="6" s="1"/>
  <c r="E857" i="6"/>
  <c r="C845" i="6"/>
  <c r="D845" i="6" s="1"/>
  <c r="I835" i="6"/>
  <c r="G824" i="6"/>
  <c r="H824" i="6" s="1"/>
  <c r="G823" i="6"/>
  <c r="H823" i="6" s="1"/>
  <c r="G810" i="6"/>
  <c r="H810" i="6" s="1"/>
  <c r="I822" i="6"/>
  <c r="I810" i="6"/>
  <c r="I808" i="6"/>
  <c r="G796" i="6"/>
  <c r="H796" i="6" s="1"/>
  <c r="I796" i="6"/>
  <c r="C853" i="6"/>
  <c r="D853" i="6" s="1"/>
  <c r="C783" i="6"/>
  <c r="D783" i="6" s="1"/>
  <c r="E795" i="6"/>
  <c r="G848" i="6"/>
  <c r="H848" i="6" s="1"/>
  <c r="C792" i="6"/>
  <c r="D792" i="6" s="1"/>
  <c r="I771" i="6"/>
  <c r="G759" i="6"/>
  <c r="H759" i="6" s="1"/>
  <c r="G763" i="6"/>
  <c r="H763" i="6" s="1"/>
  <c r="I775" i="6"/>
  <c r="I807" i="6"/>
  <c r="G795" i="6"/>
  <c r="H795" i="6" s="1"/>
  <c r="G788" i="6"/>
  <c r="H788" i="6" s="1"/>
  <c r="I823" i="6"/>
  <c r="C781" i="6"/>
  <c r="D781" i="6" s="1"/>
  <c r="E793" i="6"/>
  <c r="I781" i="6"/>
  <c r="G769" i="6"/>
  <c r="H769" i="6" s="1"/>
  <c r="G777" i="6"/>
  <c r="H777" i="6" s="1"/>
  <c r="I789" i="6"/>
  <c r="G790" i="6"/>
  <c r="H790" i="6" s="1"/>
  <c r="E714" i="6"/>
  <c r="G706" i="6"/>
  <c r="H706" i="6" s="1"/>
  <c r="E760" i="6"/>
  <c r="C748" i="6"/>
  <c r="D748" i="6" s="1"/>
  <c r="G734" i="6"/>
  <c r="H734" i="6" s="1"/>
  <c r="I746" i="6"/>
  <c r="I693" i="6"/>
  <c r="I681" i="6"/>
  <c r="G681" i="6"/>
  <c r="H681" i="6" s="1"/>
  <c r="G731" i="6"/>
  <c r="H731" i="6" s="1"/>
  <c r="I743" i="6"/>
  <c r="G750" i="6"/>
  <c r="H750" i="6" s="1"/>
  <c r="I762" i="6"/>
  <c r="E703" i="6"/>
  <c r="E691" i="6"/>
  <c r="C691" i="6"/>
  <c r="D691" i="6" s="1"/>
  <c r="I607" i="6"/>
  <c r="G595" i="6"/>
  <c r="H595" i="6" s="1"/>
  <c r="C726" i="6"/>
  <c r="D726" i="6" s="1"/>
  <c r="E738" i="6"/>
  <c r="C682" i="6"/>
  <c r="D682" i="6" s="1"/>
  <c r="I706" i="6"/>
  <c r="G694" i="6"/>
  <c r="H694" i="6" s="1"/>
  <c r="I625" i="6"/>
  <c r="G613" i="6"/>
  <c r="H613" i="6" s="1"/>
  <c r="E402" i="6"/>
  <c r="E378" i="6"/>
  <c r="E361" i="6"/>
  <c r="C350" i="6"/>
  <c r="D350" i="6" s="1"/>
  <c r="C349" i="6"/>
  <c r="D349" i="6" s="1"/>
  <c r="I337" i="6"/>
  <c r="G325" i="6"/>
  <c r="H325" i="6" s="1"/>
  <c r="G326" i="6"/>
  <c r="H326" i="6" s="1"/>
  <c r="E644" i="6"/>
  <c r="E487" i="6"/>
  <c r="E441" i="6"/>
  <c r="C429" i="6"/>
  <c r="D429" i="6" s="1"/>
  <c r="G592" i="6"/>
  <c r="H592" i="6" s="1"/>
  <c r="I604" i="6"/>
  <c r="I425" i="6"/>
  <c r="G413" i="6"/>
  <c r="H413" i="6" s="1"/>
  <c r="E401" i="6"/>
  <c r="C390" i="6"/>
  <c r="D390" i="6" s="1"/>
  <c r="C389" i="6"/>
  <c r="D389" i="6" s="1"/>
  <c r="I423" i="6"/>
  <c r="G411" i="6"/>
  <c r="H411" i="6" s="1"/>
  <c r="I397" i="6"/>
  <c r="C360" i="6"/>
  <c r="D360" i="6" s="1"/>
  <c r="E372" i="6"/>
  <c r="G328" i="6"/>
  <c r="H328" i="6" s="1"/>
  <c r="I340" i="6"/>
  <c r="I328" i="6"/>
  <c r="C337" i="6"/>
  <c r="D337" i="6" s="1"/>
  <c r="E349" i="6"/>
  <c r="C338" i="6"/>
  <c r="D338" i="6" s="1"/>
  <c r="E431" i="6"/>
  <c r="C419" i="6"/>
  <c r="D419" i="6" s="1"/>
  <c r="I405" i="6"/>
  <c r="E400" i="6"/>
  <c r="E480" i="6"/>
  <c r="C435" i="6"/>
  <c r="D435" i="6" s="1"/>
  <c r="E447" i="6"/>
  <c r="E404" i="6"/>
  <c r="C392" i="6"/>
  <c r="D392" i="6" s="1"/>
  <c r="C363" i="6"/>
  <c r="D363" i="6" s="1"/>
  <c r="I442" i="6"/>
  <c r="I317" i="6"/>
  <c r="C143" i="6"/>
  <c r="D143" i="6" s="1"/>
  <c r="E155" i="6"/>
  <c r="C144" i="6"/>
  <c r="D144" i="6" s="1"/>
  <c r="C118" i="6"/>
  <c r="D118" i="6" s="1"/>
  <c r="E130" i="6"/>
  <c r="I182" i="6"/>
  <c r="I326" i="6"/>
  <c r="G314" i="6"/>
  <c r="H314" i="6" s="1"/>
  <c r="C206" i="6"/>
  <c r="D206" i="6" s="1"/>
  <c r="E218" i="6"/>
  <c r="G155" i="6"/>
  <c r="H155" i="6" s="1"/>
  <c r="E334" i="6"/>
  <c r="C322" i="6"/>
  <c r="D322" i="6" s="1"/>
  <c r="E175" i="6"/>
  <c r="C164" i="6"/>
  <c r="D164" i="6" s="1"/>
  <c r="C163" i="6"/>
  <c r="D163" i="6" s="1"/>
  <c r="C81" i="6"/>
  <c r="D81" i="6" s="1"/>
  <c r="E93" i="6"/>
  <c r="C82" i="6"/>
  <c r="D82" i="6" s="1"/>
  <c r="G312" i="6"/>
  <c r="H312" i="6" s="1"/>
  <c r="I324" i="6"/>
  <c r="I312" i="6"/>
  <c r="C321" i="6"/>
  <c r="D321" i="6" s="1"/>
  <c r="I206" i="6"/>
  <c r="E151" i="6"/>
  <c r="C798" i="6"/>
  <c r="D798" i="6" s="1"/>
  <c r="E810" i="6"/>
  <c r="E798" i="6"/>
  <c r="E851" i="6"/>
  <c r="C839" i="6"/>
  <c r="D839" i="6" s="1"/>
  <c r="G802" i="6"/>
  <c r="H802" i="6" s="1"/>
  <c r="I814" i="6"/>
  <c r="G803" i="6"/>
  <c r="H803" i="6" s="1"/>
  <c r="G710" i="6"/>
  <c r="H710" i="6" s="1"/>
  <c r="I722" i="6"/>
  <c r="I778" i="6"/>
  <c r="G766" i="6"/>
  <c r="H766" i="6" s="1"/>
  <c r="I786" i="6"/>
  <c r="G774" i="6"/>
  <c r="H774" i="6" s="1"/>
  <c r="G775" i="6"/>
  <c r="H775" i="6" s="1"/>
  <c r="I593" i="6"/>
  <c r="G581" i="6"/>
  <c r="H581" i="6" s="1"/>
  <c r="E369" i="6"/>
  <c r="C358" i="6"/>
  <c r="D358" i="6" s="1"/>
  <c r="C357" i="6"/>
  <c r="D357" i="6" s="1"/>
  <c r="I449" i="6"/>
  <c r="G437" i="6"/>
  <c r="H437" i="6" s="1"/>
  <c r="C604" i="6"/>
  <c r="D604" i="6" s="1"/>
  <c r="E616" i="6"/>
  <c r="G391" i="6"/>
  <c r="H391" i="6" s="1"/>
  <c r="I403" i="6"/>
  <c r="C420" i="6"/>
  <c r="D420" i="6" s="1"/>
  <c r="E432" i="6"/>
  <c r="E359" i="6"/>
  <c r="E347" i="6"/>
  <c r="C347" i="6"/>
  <c r="D347" i="6" s="1"/>
  <c r="G374" i="6"/>
  <c r="H374" i="6" s="1"/>
  <c r="G460" i="6"/>
  <c r="H460" i="6" s="1"/>
  <c r="I472" i="6"/>
  <c r="G461" i="6"/>
  <c r="H461" i="6" s="1"/>
  <c r="I479" i="6"/>
  <c r="G467" i="6"/>
  <c r="H467" i="6" s="1"/>
  <c r="E420" i="6"/>
  <c r="I333" i="6"/>
  <c r="E327" i="6"/>
  <c r="E315" i="6"/>
  <c r="C315" i="6"/>
  <c r="D315" i="6" s="1"/>
  <c r="E134" i="6"/>
  <c r="C134" i="6"/>
  <c r="D134" i="6" s="1"/>
  <c r="E146" i="6"/>
  <c r="C158" i="6"/>
  <c r="D158" i="6" s="1"/>
  <c r="E170" i="6"/>
  <c r="E815" i="6"/>
  <c r="E829" i="6"/>
  <c r="G771" i="6"/>
  <c r="H771" i="6" s="1"/>
  <c r="I783" i="6"/>
  <c r="G829" i="6"/>
  <c r="H829" i="6" s="1"/>
  <c r="G816" i="6"/>
  <c r="H816" i="6" s="1"/>
  <c r="G735" i="6"/>
  <c r="H735" i="6" s="1"/>
  <c r="G736" i="6"/>
  <c r="H736" i="6" s="1"/>
  <c r="I747" i="6"/>
  <c r="E742" i="6"/>
  <c r="C730" i="6"/>
  <c r="D730" i="6" s="1"/>
  <c r="E774" i="6"/>
  <c r="I728" i="6"/>
  <c r="G716" i="6"/>
  <c r="H716" i="6" s="1"/>
  <c r="I650" i="6"/>
  <c r="G638" i="6"/>
  <c r="H638" i="6" s="1"/>
  <c r="C622" i="6"/>
  <c r="D622" i="6" s="1"/>
  <c r="E634" i="6"/>
  <c r="C641" i="6"/>
  <c r="D641" i="6" s="1"/>
  <c r="E653" i="6"/>
  <c r="G309" i="6"/>
  <c r="H309" i="6" s="1"/>
  <c r="I321" i="6"/>
  <c r="G600" i="6"/>
  <c r="H600" i="6" s="1"/>
  <c r="I612" i="6"/>
  <c r="E403" i="6"/>
  <c r="C391" i="6"/>
  <c r="D391" i="6" s="1"/>
  <c r="G415" i="6"/>
  <c r="H415" i="6" s="1"/>
  <c r="I427" i="6"/>
  <c r="E342" i="6"/>
  <c r="C330" i="6"/>
  <c r="D330" i="6" s="1"/>
  <c r="G320" i="6"/>
  <c r="H320" i="6" s="1"/>
  <c r="I332" i="6"/>
  <c r="I320" i="6"/>
  <c r="G344" i="6"/>
  <c r="H344" i="6" s="1"/>
  <c r="I356" i="6"/>
  <c r="I344" i="6"/>
  <c r="C444" i="6"/>
  <c r="D444" i="6" s="1"/>
  <c r="E456" i="6"/>
  <c r="C348" i="6"/>
  <c r="D348" i="6" s="1"/>
  <c r="G321" i="6"/>
  <c r="H321" i="6" s="1"/>
  <c r="E96" i="6"/>
  <c r="C84" i="6"/>
  <c r="D84" i="6" s="1"/>
  <c r="I210" i="6"/>
  <c r="G198" i="6"/>
  <c r="H198" i="6" s="1"/>
  <c r="C183" i="6"/>
  <c r="D183" i="6" s="1"/>
  <c r="E195" i="6"/>
  <c r="C184" i="6"/>
  <c r="D184" i="6" s="1"/>
  <c r="C159" i="6"/>
  <c r="D159" i="6" s="1"/>
  <c r="E171" i="6"/>
  <c r="C160" i="6"/>
  <c r="D160" i="6" s="1"/>
  <c r="C150" i="6"/>
  <c r="D150" i="6" s="1"/>
  <c r="E162" i="6"/>
  <c r="E183" i="6"/>
  <c r="E839" i="6"/>
  <c r="I854" i="6"/>
  <c r="I795" i="6"/>
  <c r="G784" i="6"/>
  <c r="H784" i="6" s="1"/>
  <c r="G783" i="6"/>
  <c r="H783" i="6" s="1"/>
  <c r="E775" i="6"/>
  <c r="C763" i="6"/>
  <c r="D763" i="6" s="1"/>
  <c r="E807" i="6"/>
  <c r="C795" i="6"/>
  <c r="D795" i="6" s="1"/>
  <c r="G757" i="6"/>
  <c r="H757" i="6" s="1"/>
  <c r="I769" i="6"/>
  <c r="C777" i="6"/>
  <c r="D777" i="6" s="1"/>
  <c r="E789" i="6"/>
  <c r="E761" i="6"/>
  <c r="E718" i="6"/>
  <c r="I718" i="6"/>
  <c r="E734" i="6"/>
  <c r="C722" i="6"/>
  <c r="D722" i="6" s="1"/>
  <c r="I675" i="6"/>
  <c r="C716" i="6"/>
  <c r="D716" i="6" s="1"/>
  <c r="E728" i="6"/>
  <c r="C750" i="6"/>
  <c r="D750" i="6" s="1"/>
  <c r="E762" i="6"/>
  <c r="E750" i="6"/>
  <c r="I705" i="6"/>
  <c r="E698" i="6"/>
  <c r="C577" i="6"/>
  <c r="D577" i="6" s="1"/>
  <c r="E589" i="6"/>
  <c r="E406" i="6"/>
  <c r="C394" i="6"/>
  <c r="D394" i="6" s="1"/>
  <c r="E604" i="6"/>
  <c r="I441" i="6"/>
  <c r="G429" i="6"/>
  <c r="H429" i="6" s="1"/>
  <c r="I600" i="6"/>
  <c r="C600" i="6"/>
  <c r="D600" i="6" s="1"/>
  <c r="E612" i="6"/>
  <c r="I429" i="6"/>
  <c r="C459" i="6"/>
  <c r="D459" i="6" s="1"/>
  <c r="E471" i="6"/>
  <c r="G360" i="6"/>
  <c r="H360" i="6" s="1"/>
  <c r="I372" i="6"/>
  <c r="I360" i="6"/>
  <c r="E427" i="6"/>
  <c r="C415" i="6"/>
  <c r="D415" i="6" s="1"/>
  <c r="G380" i="6"/>
  <c r="H380" i="6" s="1"/>
  <c r="E854" i="6"/>
  <c r="C810" i="6"/>
  <c r="D810" i="6" s="1"/>
  <c r="E822" i="6"/>
  <c r="C779" i="6"/>
  <c r="D779" i="6" s="1"/>
  <c r="E791" i="6"/>
  <c r="C796" i="6"/>
  <c r="D796" i="6" s="1"/>
  <c r="E808" i="6"/>
  <c r="E852" i="6"/>
  <c r="G834" i="6"/>
  <c r="H834" i="6" s="1"/>
  <c r="I846" i="6"/>
  <c r="G835" i="6"/>
  <c r="H835" i="6" s="1"/>
  <c r="E771" i="6"/>
  <c r="C760" i="6"/>
  <c r="D760" i="6" s="1"/>
  <c r="C759" i="6"/>
  <c r="D759" i="6" s="1"/>
  <c r="E833" i="6"/>
  <c r="E821" i="6"/>
  <c r="C821" i="6"/>
  <c r="D821" i="6" s="1"/>
  <c r="I803" i="6"/>
  <c r="G791" i="6"/>
  <c r="H791" i="6" s="1"/>
  <c r="G792" i="6"/>
  <c r="H792" i="6" s="1"/>
  <c r="C747" i="6"/>
  <c r="D747" i="6" s="1"/>
  <c r="E759" i="6"/>
  <c r="C769" i="6"/>
  <c r="D769" i="6" s="1"/>
  <c r="E781" i="6"/>
  <c r="G733" i="6"/>
  <c r="H733" i="6" s="1"/>
  <c r="I745" i="6"/>
  <c r="I733" i="6"/>
  <c r="G760" i="6"/>
  <c r="H760" i="6" s="1"/>
  <c r="E725" i="6"/>
  <c r="C713" i="6"/>
  <c r="D713" i="6" s="1"/>
  <c r="I802" i="6"/>
  <c r="I760" i="6"/>
  <c r="G748" i="6"/>
  <c r="H748" i="6" s="1"/>
  <c r="G749" i="6"/>
  <c r="H749" i="6" s="1"/>
  <c r="I748" i="6"/>
  <c r="C734" i="6"/>
  <c r="D734" i="6" s="1"/>
  <c r="E746" i="6"/>
  <c r="G752" i="6"/>
  <c r="H752" i="6" s="1"/>
  <c r="G770" i="6"/>
  <c r="H770" i="6" s="1"/>
  <c r="G699" i="6"/>
  <c r="H699" i="6" s="1"/>
  <c r="E777" i="6"/>
  <c r="E799" i="6"/>
  <c r="C787" i="6"/>
  <c r="D787" i="6" s="1"/>
  <c r="E787" i="6"/>
  <c r="E751" i="6"/>
  <c r="G691" i="6"/>
  <c r="H691" i="6" s="1"/>
  <c r="I703" i="6"/>
  <c r="E635" i="6"/>
  <c r="C591" i="6"/>
  <c r="D591" i="6" s="1"/>
  <c r="G726" i="6"/>
  <c r="H726" i="6" s="1"/>
  <c r="I738" i="6"/>
  <c r="C694" i="6"/>
  <c r="D694" i="6" s="1"/>
  <c r="C695" i="6"/>
  <c r="D695" i="6" s="1"/>
  <c r="E706" i="6"/>
  <c r="G636" i="6"/>
  <c r="H636" i="6" s="1"/>
  <c r="G609" i="6"/>
  <c r="H609" i="6" s="1"/>
  <c r="G610" i="6"/>
  <c r="H610" i="6" s="1"/>
  <c r="I609" i="6"/>
  <c r="I621" i="6"/>
  <c r="C451" i="6"/>
  <c r="D451" i="6" s="1"/>
  <c r="E463" i="6"/>
  <c r="E430" i="6"/>
  <c r="C418" i="6"/>
  <c r="D418" i="6" s="1"/>
  <c r="E398" i="6"/>
  <c r="C386" i="6"/>
  <c r="D386" i="6" s="1"/>
  <c r="I377" i="6"/>
  <c r="G365" i="6"/>
  <c r="H365" i="6" s="1"/>
  <c r="E337" i="6"/>
  <c r="C326" i="6"/>
  <c r="D326" i="6" s="1"/>
  <c r="C325" i="6"/>
  <c r="D325" i="6" s="1"/>
  <c r="I433" i="6"/>
  <c r="G421" i="6"/>
  <c r="H421" i="6" s="1"/>
  <c r="G628" i="6"/>
  <c r="H628" i="6" s="1"/>
  <c r="G629" i="6"/>
  <c r="H629" i="6" s="1"/>
  <c r="I640" i="6"/>
  <c r="C596" i="6"/>
  <c r="D596" i="6" s="1"/>
  <c r="E600" i="6"/>
  <c r="E425" i="6"/>
  <c r="C414" i="6"/>
  <c r="D414" i="6" s="1"/>
  <c r="C413" i="6"/>
  <c r="D413" i="6" s="1"/>
  <c r="I393" i="6"/>
  <c r="G381" i="6"/>
  <c r="H381" i="6" s="1"/>
  <c r="G406" i="6"/>
  <c r="H406" i="6" s="1"/>
  <c r="E367" i="6"/>
  <c r="E355" i="6"/>
  <c r="C355" i="6"/>
  <c r="D355" i="6" s="1"/>
  <c r="C328" i="6"/>
  <c r="D328" i="6" s="1"/>
  <c r="E340" i="6"/>
  <c r="E451" i="6"/>
  <c r="G318" i="6"/>
  <c r="H318" i="6" s="1"/>
  <c r="I480" i="6"/>
  <c r="G375" i="6"/>
  <c r="H375" i="6" s="1"/>
  <c r="I387" i="6"/>
  <c r="E344" i="6"/>
  <c r="I431" i="6"/>
  <c r="G419" i="6"/>
  <c r="H419" i="6" s="1"/>
  <c r="C438" i="6"/>
  <c r="D438" i="6" s="1"/>
  <c r="C388" i="6"/>
  <c r="D388" i="6" s="1"/>
  <c r="C361" i="6"/>
  <c r="D361" i="6" s="1"/>
  <c r="E373" i="6"/>
  <c r="I447" i="6"/>
  <c r="G435" i="6"/>
  <c r="H435" i="6" s="1"/>
  <c r="G388" i="6"/>
  <c r="H388" i="6" s="1"/>
  <c r="I373" i="6"/>
  <c r="C428" i="6"/>
  <c r="D428" i="6" s="1"/>
  <c r="G368" i="6"/>
  <c r="H368" i="6" s="1"/>
  <c r="I380" i="6"/>
  <c r="I368" i="6"/>
  <c r="G336" i="6"/>
  <c r="H336" i="6" s="1"/>
  <c r="I348" i="6"/>
  <c r="I336" i="6"/>
  <c r="C430" i="6"/>
  <c r="D430" i="6" s="1"/>
  <c r="I365" i="6"/>
  <c r="C408" i="6"/>
  <c r="D408" i="6" s="1"/>
  <c r="I130" i="6"/>
  <c r="G118" i="6"/>
  <c r="H118" i="6" s="1"/>
  <c r="I118" i="6"/>
  <c r="G227" i="6"/>
  <c r="H227" i="6" s="1"/>
  <c r="G207" i="6"/>
  <c r="H207" i="6" s="1"/>
  <c r="I178" i="6"/>
  <c r="G166" i="6"/>
  <c r="H166" i="6" s="1"/>
  <c r="C102" i="6"/>
  <c r="D102" i="6" s="1"/>
  <c r="E114" i="6"/>
  <c r="C103" i="6"/>
  <c r="D103" i="6" s="1"/>
  <c r="G151" i="6"/>
  <c r="H151" i="6" s="1"/>
  <c r="I226" i="6"/>
  <c r="G214" i="6"/>
  <c r="H214" i="6" s="1"/>
  <c r="I198" i="6"/>
  <c r="G186" i="6"/>
  <c r="H186" i="6" s="1"/>
  <c r="G159" i="6"/>
  <c r="H159" i="6" s="1"/>
  <c r="C312" i="6"/>
  <c r="D312" i="6" s="1"/>
  <c r="E324" i="6"/>
  <c r="E328" i="6"/>
  <c r="G135" i="6"/>
  <c r="H135"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<sst xmlns="http://schemas.openxmlformats.org/spreadsheetml/2006/main" count="792" uniqueCount="563">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</sst>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1">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pt idx="151">
                  <c:v>0.80207608009150988</c:v>
                </c:pt>
              </c:numCache>
            </c:numRef>
          </c:val>
          <c:extLst>
            <c:ext xmlns:c16="http://schemas.microsoft.com/office/drawing/2014/chart" uri="{C3380CC4-5D6E-409C-BE32-E72D297353CC}">
              <c16:uniqueId val="{00000000-CF7B-6642-A1B4-CB9913EC6D79}"/>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pt idx="151">
                  <c:v>0.67921061878365874</c:v>
                </c:pt>
              </c:numCache>
            </c:numRef>
          </c:val>
          <c:smooth val="0"/>
          <c:extLst>
            <c:ext xmlns:c16="http://schemas.microsoft.com/office/drawing/2014/chart" uri="{C3380CC4-5D6E-409C-BE32-E72D297353CC}">
              <c16:uniqueId val="{00000000-7B38-654A-8A9C-84575D87E413}"/>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332466</xdr:colOff>
      <xdr:row>810</xdr:row>
      <xdr:rowOff>81643</xdr:rowOff>
    </xdr:from>
    <xdr:to>
      <xdr:col>23</xdr:col>
      <xdr:colOff>99786</xdr:colOff>
      <xdr:row>834</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69849</xdr:rowOff>
    </xdr:from>
    <xdr:to>
      <xdr:col>23</xdr:col>
      <xdr:colOff>108857</xdr:colOff>
      <xdr:row>860</xdr:row>
      <xdr:rowOff>45357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58" totalsRowShown="0" headerRowDxfId="11" dataDxfId="9" headerRowBorderDxfId="10">
  <autoFilter ref="A2:I858"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40" zoomScaleNormal="140" workbookViewId="0">
      <selection activeCell="M12" sqref="M12"/>
    </sheetView>
  </sheetViews>
  <sheetFormatPr baseColWidth="10" defaultColWidth="9.1640625" defaultRowHeight="15" x14ac:dyDescent="0.2"/>
  <cols>
    <col min="1" max="1" width="9.1640625" style="73" customWidth="1"/>
    <col min="2" max="10" width="12.83203125" style="73" customWidth="1"/>
    <col min="11" max="14" width="9.1640625" style="73" customWidth="1"/>
    <col min="15" max="16" width="19.1640625" style="73" customWidth="1"/>
    <col min="17" max="32" width="9.1640625" style="73" customWidth="1"/>
    <col min="33" max="16384" width="9.1640625" style="73"/>
  </cols>
  <sheetData>
    <row r="1" spans="2:16" x14ac:dyDescent="0.2">
      <c r="B1" s="81"/>
      <c r="C1" s="77"/>
      <c r="D1" s="77"/>
      <c r="E1" s="77"/>
      <c r="F1" s="77"/>
      <c r="G1" s="77"/>
      <c r="H1" s="77"/>
      <c r="I1" s="77"/>
      <c r="J1" s="77"/>
    </row>
    <row r="2" spans="2:16" ht="16" customHeight="1" thickBot="1" x14ac:dyDescent="0.25">
      <c r="B2" s="82"/>
      <c r="C2" s="82"/>
      <c r="D2" s="82"/>
      <c r="E2" s="82"/>
      <c r="F2" s="82"/>
      <c r="G2" s="82"/>
      <c r="H2" s="82"/>
      <c r="I2" s="82"/>
      <c r="J2" s="82"/>
    </row>
    <row r="3" spans="2:16" ht="16" customHeight="1" thickBot="1" x14ac:dyDescent="0.25">
      <c r="B3" s="83" t="s">
        <v>0</v>
      </c>
      <c r="C3" s="84"/>
      <c r="D3" s="84"/>
      <c r="E3" s="84"/>
      <c r="F3" s="84"/>
      <c r="G3" s="84"/>
      <c r="H3" s="84"/>
      <c r="I3" s="84"/>
      <c r="J3" s="85"/>
    </row>
    <row r="5" spans="2:16" x14ac:dyDescent="0.2">
      <c r="B5" s="86" t="s">
        <v>1</v>
      </c>
      <c r="C5" s="87"/>
      <c r="D5" s="87"/>
      <c r="E5" s="87"/>
      <c r="F5" s="87"/>
      <c r="G5" s="87"/>
      <c r="H5" s="87"/>
      <c r="I5" s="87"/>
      <c r="J5" s="88"/>
    </row>
    <row r="7" spans="2:16" ht="139.5" customHeight="1" x14ac:dyDescent="0.2">
      <c r="B7" s="89" t="s">
        <v>2</v>
      </c>
      <c r="C7" s="77"/>
      <c r="D7" s="77"/>
      <c r="E7" s="77"/>
      <c r="F7" s="77"/>
      <c r="G7" s="77"/>
      <c r="H7" s="77"/>
      <c r="I7" s="77"/>
      <c r="J7" s="77"/>
    </row>
    <row r="8" spans="2:16" ht="33.75" customHeight="1" x14ac:dyDescent="0.2">
      <c r="B8" s="90" t="s">
        <v>3</v>
      </c>
      <c r="C8" s="77"/>
      <c r="D8" s="77"/>
      <c r="E8" s="77"/>
      <c r="F8" s="77"/>
      <c r="G8" s="77"/>
      <c r="H8" s="77"/>
      <c r="I8" s="77"/>
      <c r="J8" s="77"/>
    </row>
    <row r="9" spans="2:16" x14ac:dyDescent="0.2">
      <c r="B9" s="66"/>
      <c r="C9" s="66"/>
      <c r="D9" s="66"/>
      <c r="E9" s="66"/>
    </row>
    <row r="10" spans="2:16" x14ac:dyDescent="0.2">
      <c r="B10" s="86" t="s">
        <v>4</v>
      </c>
      <c r="C10" s="87"/>
      <c r="D10" s="87"/>
      <c r="E10" s="87"/>
      <c r="F10" s="87"/>
      <c r="G10" s="87"/>
      <c r="H10" s="87"/>
      <c r="I10" s="87"/>
      <c r="J10" s="88"/>
    </row>
    <row r="12" spans="2:16" x14ac:dyDescent="0.2">
      <c r="B12" s="86" t="s">
        <v>5</v>
      </c>
      <c r="C12" s="87"/>
      <c r="D12" s="87"/>
      <c r="E12" s="87"/>
      <c r="F12" s="88"/>
      <c r="G12" s="86" t="s">
        <v>6</v>
      </c>
      <c r="H12" s="87"/>
      <c r="I12" s="87"/>
      <c r="J12" s="88"/>
      <c r="O12" s="74" t="s">
        <v>7</v>
      </c>
      <c r="P12" s="74" t="s">
        <v>8</v>
      </c>
    </row>
    <row r="13" spans="2:16" x14ac:dyDescent="0.2">
      <c r="O13" s="69" t="s">
        <v>9</v>
      </c>
      <c r="P13" s="69" t="s">
        <v>10</v>
      </c>
    </row>
    <row r="14" spans="2:16" x14ac:dyDescent="0.2">
      <c r="B14" s="75" t="s">
        <v>3</v>
      </c>
      <c r="G14" s="77" t="s">
        <v>11</v>
      </c>
      <c r="H14" s="77"/>
      <c r="I14" s="77"/>
      <c r="J14" s="77"/>
      <c r="O14" s="69" t="s">
        <v>12</v>
      </c>
      <c r="P14" s="69" t="s">
        <v>13</v>
      </c>
    </row>
    <row r="15" spans="2:16" x14ac:dyDescent="0.2">
      <c r="B15" s="73" t="s">
        <v>14</v>
      </c>
      <c r="G15" s="77" t="s">
        <v>15</v>
      </c>
      <c r="H15" s="77"/>
      <c r="I15" s="77"/>
      <c r="J15" s="77"/>
      <c r="O15" s="69" t="s">
        <v>16</v>
      </c>
      <c r="P15" s="69" t="s">
        <v>17</v>
      </c>
    </row>
    <row r="16" spans="2:16" ht="15.75" customHeight="1" x14ac:dyDescent="0.2">
      <c r="B16" s="73" t="s">
        <v>18</v>
      </c>
      <c r="G16" s="78" t="s">
        <v>19</v>
      </c>
      <c r="H16" s="77"/>
      <c r="I16" s="77"/>
      <c r="J16" s="77"/>
      <c r="O16" s="69" t="s">
        <v>20</v>
      </c>
      <c r="P16" s="69" t="s">
        <v>21</v>
      </c>
    </row>
    <row r="17" spans="2:16" ht="15.75" customHeight="1" x14ac:dyDescent="0.2">
      <c r="B17" s="73" t="s">
        <v>22</v>
      </c>
      <c r="G17" s="78"/>
      <c r="H17" s="77"/>
      <c r="I17" s="77"/>
      <c r="J17" s="77"/>
      <c r="O17" s="69" t="s">
        <v>23</v>
      </c>
      <c r="P17" s="69" t="s">
        <v>24</v>
      </c>
    </row>
    <row r="18" spans="2:16" ht="15.75" customHeight="1" x14ac:dyDescent="0.2">
      <c r="B18" s="73" t="s">
        <v>25</v>
      </c>
      <c r="G18" s="80"/>
      <c r="H18" s="77"/>
      <c r="I18" s="77"/>
      <c r="J18" s="77"/>
      <c r="O18" s="69" t="s">
        <v>26</v>
      </c>
      <c r="P18" s="69" t="s">
        <v>27</v>
      </c>
    </row>
    <row r="19" spans="2:16" ht="15.75" customHeight="1" x14ac:dyDescent="0.2">
      <c r="B19" s="73" t="s">
        <v>28</v>
      </c>
      <c r="G19" s="78"/>
      <c r="H19" s="77"/>
      <c r="I19" s="77"/>
      <c r="J19" s="77"/>
      <c r="O19" s="69" t="s">
        <v>29</v>
      </c>
      <c r="P19" s="69" t="s">
        <v>30</v>
      </c>
    </row>
    <row r="20" spans="2:16" ht="15.75" customHeight="1" x14ac:dyDescent="0.2">
      <c r="G20" s="78"/>
      <c r="H20" s="77"/>
      <c r="I20" s="77"/>
      <c r="J20" s="77"/>
      <c r="O20" s="69" t="s">
        <v>31</v>
      </c>
      <c r="P20" s="69" t="s">
        <v>32</v>
      </c>
    </row>
    <row r="21" spans="2:16" ht="15.75" customHeight="1" x14ac:dyDescent="0.2">
      <c r="B21" s="75" t="s">
        <v>3</v>
      </c>
      <c r="G21" s="78" t="s">
        <v>33</v>
      </c>
      <c r="H21" s="77"/>
      <c r="I21" s="77"/>
      <c r="J21" s="77"/>
      <c r="O21" s="69" t="s">
        <v>34</v>
      </c>
      <c r="P21" s="69" t="s">
        <v>35</v>
      </c>
    </row>
    <row r="22" spans="2:16" ht="15.75" customHeight="1" x14ac:dyDescent="0.2">
      <c r="B22" s="73" t="s">
        <v>36</v>
      </c>
      <c r="G22" s="78" t="s">
        <v>37</v>
      </c>
      <c r="H22" s="77"/>
      <c r="I22" s="77"/>
      <c r="J22" s="77"/>
      <c r="O22" s="69" t="s">
        <v>38</v>
      </c>
      <c r="P22" s="69" t="s">
        <v>39</v>
      </c>
    </row>
    <row r="23" spans="2:16" ht="15.75" customHeight="1" x14ac:dyDescent="0.2">
      <c r="B23" s="73" t="s">
        <v>18</v>
      </c>
      <c r="G23" s="78" t="s">
        <v>19</v>
      </c>
      <c r="H23" s="77"/>
      <c r="I23" s="77"/>
      <c r="J23" s="77"/>
      <c r="O23" s="69" t="s">
        <v>40</v>
      </c>
      <c r="P23" s="69" t="s">
        <v>41</v>
      </c>
    </row>
    <row r="24" spans="2:16" ht="15.75" customHeight="1" x14ac:dyDescent="0.2">
      <c r="B24" s="73" t="s">
        <v>22</v>
      </c>
      <c r="G24" s="78"/>
      <c r="H24" s="77"/>
      <c r="I24" s="77"/>
      <c r="J24" s="77"/>
      <c r="O24" s="69" t="s">
        <v>42</v>
      </c>
      <c r="P24" s="69" t="s">
        <v>43</v>
      </c>
    </row>
    <row r="25" spans="2:16" ht="15.75" customHeight="1" x14ac:dyDescent="0.2">
      <c r="B25" s="73" t="s">
        <v>25</v>
      </c>
      <c r="G25" s="78"/>
      <c r="H25" s="77"/>
      <c r="I25" s="77"/>
      <c r="J25" s="77"/>
      <c r="O25" s="69" t="s">
        <v>44</v>
      </c>
      <c r="P25" s="69" t="s">
        <v>45</v>
      </c>
    </row>
    <row r="26" spans="2:16" ht="15.75" customHeight="1" x14ac:dyDescent="0.2">
      <c r="B26" s="73" t="s">
        <v>46</v>
      </c>
      <c r="G26" s="78"/>
      <c r="H26" s="77"/>
      <c r="I26" s="77"/>
      <c r="J26" s="77"/>
      <c r="O26" s="69" t="s">
        <v>47</v>
      </c>
      <c r="P26" s="69" t="s">
        <v>48</v>
      </c>
    </row>
    <row r="27" spans="2:16" ht="15.75" customHeight="1" x14ac:dyDescent="0.2">
      <c r="B27" s="77"/>
      <c r="C27" s="77"/>
      <c r="D27" s="77"/>
      <c r="E27" s="77"/>
      <c r="F27" s="77"/>
      <c r="G27" s="78"/>
      <c r="H27" s="77"/>
      <c r="I27" s="77"/>
      <c r="J27" s="77"/>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79"/>
      <c r="C31" s="77"/>
      <c r="D31" s="77"/>
      <c r="E31" s="77"/>
      <c r="F31" s="77"/>
      <c r="G31" s="77"/>
      <c r="H31" s="77"/>
      <c r="I31" s="77"/>
      <c r="J31" s="77"/>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63"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3" customWidth="1"/>
    <col min="2" max="4" width="9.1640625" style="73" customWidth="1"/>
    <col min="5" max="5" width="10.6640625" style="73" bestFit="1" customWidth="1"/>
    <col min="6" max="21" width="9.1640625" style="73" customWidth="1"/>
    <col min="22" max="16384" width="9.1640625" style="73"/>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6">
        <v>17899</v>
      </c>
      <c r="E2">
        <v>9.5601789999999998</v>
      </c>
    </row>
    <row r="3" spans="1:50" x14ac:dyDescent="0.2">
      <c r="A3" s="76">
        <v>17930</v>
      </c>
      <c r="E3">
        <v>9.5601789999999998</v>
      </c>
    </row>
    <row r="4" spans="1:50" x14ac:dyDescent="0.2">
      <c r="A4" s="76">
        <v>17958</v>
      </c>
      <c r="E4">
        <v>9.5601789999999998</v>
      </c>
    </row>
    <row r="5" spans="1:50" x14ac:dyDescent="0.2">
      <c r="A5" s="76">
        <v>17989</v>
      </c>
      <c r="E5">
        <v>9.5601789999999998</v>
      </c>
    </row>
    <row r="6" spans="1:50" x14ac:dyDescent="0.2">
      <c r="A6" s="76">
        <v>18019</v>
      </c>
      <c r="E6">
        <v>9.5601789999999998</v>
      </c>
    </row>
    <row r="7" spans="1:50" x14ac:dyDescent="0.2">
      <c r="A7" s="76">
        <v>18050</v>
      </c>
      <c r="E7">
        <v>9.5601789999999998</v>
      </c>
    </row>
    <row r="8" spans="1:50" x14ac:dyDescent="0.2">
      <c r="A8" s="76">
        <v>18080</v>
      </c>
      <c r="E8">
        <v>9.5601789999999998</v>
      </c>
    </row>
    <row r="9" spans="1:50" x14ac:dyDescent="0.2">
      <c r="A9" s="76">
        <v>18111</v>
      </c>
      <c r="E9">
        <v>9.639189</v>
      </c>
    </row>
    <row r="10" spans="1:50" x14ac:dyDescent="0.2">
      <c r="A10" s="76">
        <v>18142</v>
      </c>
      <c r="E10">
        <v>9.639189</v>
      </c>
    </row>
    <row r="11" spans="1:50" x14ac:dyDescent="0.2">
      <c r="A11" s="76">
        <v>18172</v>
      </c>
      <c r="E11">
        <v>9.7181990000000003</v>
      </c>
    </row>
    <row r="12" spans="1:50" x14ac:dyDescent="0.2">
      <c r="A12" s="76">
        <v>18203</v>
      </c>
      <c r="E12">
        <v>9.7181990000000003</v>
      </c>
    </row>
    <row r="13" spans="1:50" x14ac:dyDescent="0.2">
      <c r="A13" s="76">
        <v>18233</v>
      </c>
      <c r="E13">
        <v>9.639189</v>
      </c>
    </row>
    <row r="14" spans="1:50" x14ac:dyDescent="0.2">
      <c r="A14" s="76">
        <v>18264</v>
      </c>
      <c r="E14">
        <v>9.5601789999999998</v>
      </c>
    </row>
    <row r="15" spans="1:50" x14ac:dyDescent="0.2">
      <c r="A15" s="76">
        <v>18295</v>
      </c>
      <c r="E15">
        <v>9.639189</v>
      </c>
    </row>
    <row r="16" spans="1:50" x14ac:dyDescent="0.2">
      <c r="A16" s="76">
        <v>18323</v>
      </c>
      <c r="E16">
        <v>9.7181990000000003</v>
      </c>
    </row>
    <row r="17" spans="1:5" x14ac:dyDescent="0.2">
      <c r="A17" s="76">
        <v>18354</v>
      </c>
      <c r="E17">
        <v>9.7181990000000003</v>
      </c>
    </row>
    <row r="18" spans="1:5" x14ac:dyDescent="0.2">
      <c r="A18" s="76">
        <v>18384</v>
      </c>
      <c r="E18">
        <v>9.7181990000000003</v>
      </c>
    </row>
    <row r="19" spans="1:5" x14ac:dyDescent="0.2">
      <c r="A19" s="76">
        <v>18415</v>
      </c>
      <c r="E19">
        <v>9.7181990000000003</v>
      </c>
    </row>
    <row r="20" spans="1:5" x14ac:dyDescent="0.2">
      <c r="A20" s="76">
        <v>18445</v>
      </c>
      <c r="E20">
        <v>9.7972090000000005</v>
      </c>
    </row>
    <row r="21" spans="1:5" x14ac:dyDescent="0.2">
      <c r="A21" s="76">
        <v>18476</v>
      </c>
      <c r="E21">
        <v>9.8762179999999997</v>
      </c>
    </row>
    <row r="22" spans="1:5" x14ac:dyDescent="0.2">
      <c r="A22" s="76">
        <v>18507</v>
      </c>
      <c r="E22">
        <v>10.03424</v>
      </c>
    </row>
    <row r="23" spans="1:5" x14ac:dyDescent="0.2">
      <c r="A23" s="76">
        <v>18537</v>
      </c>
      <c r="E23">
        <v>10.192259999999999</v>
      </c>
    </row>
    <row r="24" spans="1:5" x14ac:dyDescent="0.2">
      <c r="A24" s="76">
        <v>18568</v>
      </c>
      <c r="E24">
        <v>10.192259999999999</v>
      </c>
    </row>
    <row r="25" spans="1:5" x14ac:dyDescent="0.2">
      <c r="A25" s="76">
        <v>18598</v>
      </c>
      <c r="E25">
        <v>10.192259999999999</v>
      </c>
    </row>
    <row r="26" spans="1:5" x14ac:dyDescent="0.2">
      <c r="A26" s="76">
        <v>18629</v>
      </c>
      <c r="E26">
        <v>10.271269999999999</v>
      </c>
    </row>
    <row r="27" spans="1:5" x14ac:dyDescent="0.2">
      <c r="A27" s="76">
        <v>18660</v>
      </c>
      <c r="E27">
        <v>10.5083</v>
      </c>
    </row>
    <row r="28" spans="1:5" x14ac:dyDescent="0.2">
      <c r="A28" s="76">
        <v>18688</v>
      </c>
      <c r="E28">
        <v>10.58731</v>
      </c>
    </row>
    <row r="29" spans="1:5" x14ac:dyDescent="0.2">
      <c r="A29" s="76">
        <v>18719</v>
      </c>
      <c r="E29">
        <v>10.745329999999999</v>
      </c>
    </row>
    <row r="30" spans="1:5" x14ac:dyDescent="0.2">
      <c r="A30" s="76">
        <v>18749</v>
      </c>
      <c r="E30">
        <v>10.745329999999999</v>
      </c>
    </row>
    <row r="31" spans="1:5" x14ac:dyDescent="0.2">
      <c r="A31" s="76">
        <v>18780</v>
      </c>
      <c r="E31">
        <v>10.98235</v>
      </c>
    </row>
    <row r="32" spans="1:5" x14ac:dyDescent="0.2">
      <c r="A32" s="76">
        <v>18810</v>
      </c>
      <c r="E32">
        <v>10.98235</v>
      </c>
    </row>
    <row r="33" spans="1:32" x14ac:dyDescent="0.2">
      <c r="A33" s="76">
        <v>18841</v>
      </c>
      <c r="E33">
        <v>11.061360000000001</v>
      </c>
      <c r="AF33">
        <v>0.13468269999999999</v>
      </c>
    </row>
    <row r="34" spans="1:32" x14ac:dyDescent="0.2">
      <c r="A34" s="76">
        <v>18872</v>
      </c>
      <c r="E34">
        <v>11.140370000000001</v>
      </c>
      <c r="AF34">
        <v>0.13333130000000001</v>
      </c>
    </row>
    <row r="35" spans="1:32" x14ac:dyDescent="0.2">
      <c r="A35" s="76">
        <v>18902</v>
      </c>
      <c r="E35">
        <v>11.219379999999999</v>
      </c>
      <c r="AF35">
        <v>0.1158228</v>
      </c>
    </row>
    <row r="36" spans="1:32" x14ac:dyDescent="0.2">
      <c r="A36" s="76">
        <v>18933</v>
      </c>
      <c r="E36">
        <v>11.298389999999999</v>
      </c>
      <c r="AF36">
        <v>0.11717420000000001</v>
      </c>
    </row>
    <row r="37" spans="1:32" x14ac:dyDescent="0.2">
      <c r="A37" s="76">
        <v>18963</v>
      </c>
      <c r="E37">
        <v>11.298389999999999</v>
      </c>
      <c r="AF37">
        <v>0.12794559999999999</v>
      </c>
    </row>
    <row r="38" spans="1:32" x14ac:dyDescent="0.2">
      <c r="A38" s="76">
        <v>18994</v>
      </c>
      <c r="E38">
        <v>11.3774</v>
      </c>
      <c r="AF38">
        <v>0.142758</v>
      </c>
    </row>
    <row r="39" spans="1:32" x14ac:dyDescent="0.2">
      <c r="A39" s="76">
        <v>19025</v>
      </c>
      <c r="E39">
        <v>11.298389999999999</v>
      </c>
      <c r="AF39">
        <v>0.17104459999999999</v>
      </c>
    </row>
    <row r="40" spans="1:32" x14ac:dyDescent="0.2">
      <c r="A40" s="76">
        <v>19054</v>
      </c>
      <c r="E40">
        <v>11.219379999999999</v>
      </c>
      <c r="AF40">
        <v>0.2087513</v>
      </c>
    </row>
    <row r="41" spans="1:32" x14ac:dyDescent="0.2">
      <c r="A41" s="76">
        <v>19085</v>
      </c>
      <c r="E41">
        <v>11.219379999999999</v>
      </c>
      <c r="AF41">
        <v>0.21953600000000001</v>
      </c>
    </row>
    <row r="42" spans="1:32" x14ac:dyDescent="0.2">
      <c r="A42" s="76">
        <v>19115</v>
      </c>
      <c r="E42">
        <v>11.140370000000001</v>
      </c>
      <c r="AF42">
        <v>0.2370379</v>
      </c>
    </row>
    <row r="43" spans="1:32" x14ac:dyDescent="0.2">
      <c r="A43" s="76">
        <v>19146</v>
      </c>
      <c r="E43">
        <v>11.140370000000001</v>
      </c>
      <c r="AF43">
        <v>0.24107880000000001</v>
      </c>
    </row>
    <row r="44" spans="1:32" x14ac:dyDescent="0.2">
      <c r="A44" s="76">
        <v>19176</v>
      </c>
      <c r="E44">
        <v>11.140370000000001</v>
      </c>
      <c r="AF44">
        <v>0.25320169999999997</v>
      </c>
    </row>
    <row r="45" spans="1:32" x14ac:dyDescent="0.2">
      <c r="A45" s="76">
        <v>19207</v>
      </c>
      <c r="E45">
        <v>11.140370000000001</v>
      </c>
      <c r="AF45">
        <v>0.2747445</v>
      </c>
    </row>
    <row r="46" spans="1:32" x14ac:dyDescent="0.2">
      <c r="A46" s="76">
        <v>19238</v>
      </c>
      <c r="E46">
        <v>11.140370000000001</v>
      </c>
      <c r="AF46">
        <v>0.29495589999999999</v>
      </c>
    </row>
    <row r="47" spans="1:32" x14ac:dyDescent="0.2">
      <c r="A47" s="76">
        <v>19268</v>
      </c>
      <c r="E47">
        <v>11.140370000000001</v>
      </c>
      <c r="AF47">
        <v>0.25724259999999999</v>
      </c>
    </row>
    <row r="48" spans="1:32" x14ac:dyDescent="0.2">
      <c r="A48" s="76">
        <v>19299</v>
      </c>
      <c r="E48">
        <v>11.140370000000001</v>
      </c>
      <c r="AF48">
        <v>0.24780930000000001</v>
      </c>
    </row>
    <row r="49" spans="1:32" x14ac:dyDescent="0.2">
      <c r="A49" s="76">
        <v>19329</v>
      </c>
      <c r="E49">
        <v>11.140370000000001</v>
      </c>
      <c r="AF49">
        <v>0.26801409999999998</v>
      </c>
    </row>
    <row r="50" spans="1:32" x14ac:dyDescent="0.2">
      <c r="A50" s="76">
        <v>19360</v>
      </c>
      <c r="E50">
        <v>11.140370000000001</v>
      </c>
      <c r="AF50">
        <v>0.28956359999999998</v>
      </c>
    </row>
    <row r="51" spans="1:32" x14ac:dyDescent="0.2">
      <c r="A51" s="76">
        <v>19391</v>
      </c>
      <c r="E51">
        <v>11.061360000000001</v>
      </c>
      <c r="AF51">
        <v>0.3313178</v>
      </c>
    </row>
    <row r="52" spans="1:32" x14ac:dyDescent="0.2">
      <c r="A52" s="76">
        <v>19419</v>
      </c>
      <c r="E52">
        <v>10.98235</v>
      </c>
      <c r="AF52">
        <v>0.33266259999999997</v>
      </c>
    </row>
    <row r="53" spans="1:32" x14ac:dyDescent="0.2">
      <c r="A53" s="76">
        <v>19450</v>
      </c>
      <c r="E53">
        <v>10.98235</v>
      </c>
      <c r="AF53">
        <v>0.35017110000000001</v>
      </c>
    </row>
    <row r="54" spans="1:32" x14ac:dyDescent="0.2">
      <c r="A54" s="76">
        <v>19480</v>
      </c>
      <c r="E54">
        <v>10.98235</v>
      </c>
      <c r="AF54">
        <v>0.3259321</v>
      </c>
    </row>
    <row r="55" spans="1:32" x14ac:dyDescent="0.2">
      <c r="A55" s="76">
        <v>19511</v>
      </c>
      <c r="E55">
        <v>10.98235</v>
      </c>
      <c r="AF55">
        <v>0.3313178</v>
      </c>
    </row>
    <row r="56" spans="1:32" x14ac:dyDescent="0.2">
      <c r="A56" s="76">
        <v>19541</v>
      </c>
      <c r="E56">
        <v>10.98235</v>
      </c>
      <c r="AF56">
        <v>0.35825299999999999</v>
      </c>
    </row>
    <row r="57" spans="1:32" x14ac:dyDescent="0.2">
      <c r="A57" s="76">
        <v>19572</v>
      </c>
      <c r="E57">
        <v>11.140370000000001</v>
      </c>
      <c r="AF57">
        <v>0.38114730000000002</v>
      </c>
    </row>
    <row r="58" spans="1:32" x14ac:dyDescent="0.2">
      <c r="A58" s="76">
        <v>19603</v>
      </c>
      <c r="E58">
        <v>11.140370000000001</v>
      </c>
      <c r="AF58">
        <v>0.39192539999999998</v>
      </c>
    </row>
    <row r="59" spans="1:32" x14ac:dyDescent="0.2">
      <c r="A59" s="76">
        <v>19633</v>
      </c>
      <c r="E59">
        <v>11.219379999999999</v>
      </c>
      <c r="AF59">
        <v>0.37172060000000001</v>
      </c>
    </row>
    <row r="60" spans="1:32" x14ac:dyDescent="0.2">
      <c r="A60" s="76">
        <v>19664</v>
      </c>
      <c r="E60">
        <v>11.140370000000001</v>
      </c>
      <c r="AF60">
        <v>0.3905806</v>
      </c>
    </row>
    <row r="61" spans="1:32" x14ac:dyDescent="0.2">
      <c r="A61" s="76">
        <v>19694</v>
      </c>
      <c r="E61">
        <v>11.140370000000001</v>
      </c>
      <c r="AF61">
        <v>0.44041010000000003</v>
      </c>
    </row>
    <row r="62" spans="1:32" x14ac:dyDescent="0.2">
      <c r="A62" s="76">
        <v>19725</v>
      </c>
      <c r="E62">
        <v>11.140370000000001</v>
      </c>
      <c r="AF62">
        <v>0.41886060000000003</v>
      </c>
    </row>
    <row r="63" spans="1:32" x14ac:dyDescent="0.2">
      <c r="A63" s="76">
        <v>19756</v>
      </c>
      <c r="E63">
        <v>11.140370000000001</v>
      </c>
      <c r="AF63">
        <v>0.40942729999999999</v>
      </c>
    </row>
    <row r="64" spans="1:32" x14ac:dyDescent="0.2">
      <c r="A64" s="76">
        <v>19784</v>
      </c>
      <c r="E64">
        <v>11.061360000000001</v>
      </c>
      <c r="O64">
        <v>1.7859100000000001</v>
      </c>
      <c r="AF64">
        <v>0.43636920000000001</v>
      </c>
    </row>
    <row r="65" spans="1:49" x14ac:dyDescent="0.2">
      <c r="A65" s="76">
        <v>19815</v>
      </c>
      <c r="E65">
        <v>11.061360000000001</v>
      </c>
      <c r="O65">
        <v>1.7897190000000001</v>
      </c>
      <c r="AF65">
        <v>0.4336796</v>
      </c>
    </row>
    <row r="66" spans="1:49" x14ac:dyDescent="0.2">
      <c r="A66" s="76">
        <v>19845</v>
      </c>
      <c r="E66">
        <v>11.061360000000001</v>
      </c>
      <c r="O66">
        <v>1.7897190000000001</v>
      </c>
      <c r="AF66">
        <v>0.40135199999999999</v>
      </c>
    </row>
    <row r="67" spans="1:49" x14ac:dyDescent="0.2">
      <c r="A67" s="76">
        <v>19876</v>
      </c>
      <c r="E67">
        <v>11.140370000000001</v>
      </c>
      <c r="O67">
        <v>1.7831900000000001</v>
      </c>
      <c r="AF67">
        <v>0.40135199999999999</v>
      </c>
    </row>
    <row r="68" spans="1:49" x14ac:dyDescent="0.2">
      <c r="A68" s="76">
        <v>19906</v>
      </c>
      <c r="E68">
        <v>11.140370000000001</v>
      </c>
      <c r="O68">
        <v>1.7848219999999999</v>
      </c>
      <c r="AF68">
        <v>0.44310630000000001</v>
      </c>
    </row>
    <row r="69" spans="1:49" x14ac:dyDescent="0.2">
      <c r="A69" s="76">
        <v>19937</v>
      </c>
      <c r="E69">
        <v>11.219379999999999</v>
      </c>
      <c r="O69">
        <v>1.7777480000000001</v>
      </c>
      <c r="AF69">
        <v>0.47677199999999997</v>
      </c>
    </row>
    <row r="70" spans="1:49" x14ac:dyDescent="0.2">
      <c r="A70" s="76">
        <v>19968</v>
      </c>
      <c r="E70">
        <v>11.219379999999999</v>
      </c>
      <c r="O70">
        <v>1.7788360000000001</v>
      </c>
      <c r="AF70">
        <v>0.54815100000000005</v>
      </c>
    </row>
    <row r="71" spans="1:49" x14ac:dyDescent="0.2">
      <c r="A71" s="76">
        <v>19998</v>
      </c>
      <c r="E71">
        <v>11.219379999999999</v>
      </c>
      <c r="O71">
        <v>1.788087</v>
      </c>
      <c r="AF71">
        <v>0.61010330000000002</v>
      </c>
    </row>
    <row r="72" spans="1:49" x14ac:dyDescent="0.2">
      <c r="A72" s="76">
        <v>20029</v>
      </c>
      <c r="E72">
        <v>11.219379999999999</v>
      </c>
      <c r="O72">
        <v>1.803323</v>
      </c>
      <c r="AF72">
        <v>0.65859469999999998</v>
      </c>
    </row>
    <row r="73" spans="1:49" x14ac:dyDescent="0.2">
      <c r="A73" s="76">
        <v>20059</v>
      </c>
      <c r="E73">
        <v>11.140370000000001</v>
      </c>
      <c r="O73">
        <v>1.819647</v>
      </c>
      <c r="AF73">
        <v>0.65185760000000004</v>
      </c>
    </row>
    <row r="74" spans="1:49" x14ac:dyDescent="0.2">
      <c r="A74" s="76">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2">
      <c r="A75" s="76">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2">
      <c r="A76" s="76">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2">
      <c r="A77" s="76">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2">
      <c r="A78" s="76">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2">
      <c r="A79" s="76">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2">
      <c r="A80" s="76">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2">
      <c r="A81" s="76">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2">
      <c r="A82" s="76">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2">
      <c r="A83" s="76">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2">
      <c r="A84" s="76">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2">
      <c r="A85" s="76">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2">
      <c r="A86" s="76">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2">
      <c r="A87" s="76">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2">
      <c r="A88" s="76">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2">
      <c r="A89" s="76">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2">
      <c r="A90" s="76">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2">
      <c r="A91" s="76">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2">
      <c r="A92" s="76">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2">
      <c r="A93" s="76">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2">
      <c r="A94" s="76">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2">
      <c r="A95" s="76">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2">
      <c r="A96" s="76">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2">
      <c r="A97" s="76">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2">
      <c r="A98" s="76">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2">
      <c r="A99" s="76">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2">
      <c r="A100" s="76">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2">
      <c r="A101" s="76">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2">
      <c r="A102" s="76">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2">
      <c r="A103" s="76">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2">
      <c r="A104" s="76">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2">
      <c r="A105" s="76">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2">
      <c r="A106" s="76">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2">
      <c r="A107" s="76">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2">
      <c r="A108" s="76">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2">
      <c r="A109" s="76">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2">
      <c r="A110" s="76">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2">
      <c r="A111" s="76">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2">
      <c r="A112" s="76">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2">
      <c r="A113" s="76">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2">
      <c r="A114" s="76">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2">
      <c r="A115" s="76">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2">
      <c r="A116" s="76">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2">
      <c r="A117" s="76">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2">
      <c r="A118" s="76">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2">
      <c r="A119" s="76">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2">
      <c r="A120" s="76">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2">
      <c r="A121" s="76">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2">
      <c r="A122" s="76">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2">
      <c r="A123" s="76">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2">
      <c r="A124" s="76">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2">
      <c r="A125" s="76">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2">
      <c r="A126" s="76">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2">
      <c r="A127" s="76">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2">
      <c r="A128" s="76">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2">
      <c r="A129" s="76">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2">
      <c r="A130" s="76">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2">
      <c r="A131" s="76">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2">
      <c r="A132" s="76">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2">
      <c r="A133" s="76">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2">
      <c r="A134" s="76">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2">
      <c r="A135" s="76">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2">
      <c r="A136" s="76">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2">
      <c r="A137" s="76">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2">
      <c r="A138" s="76">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2">
      <c r="A139" s="76">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2">
      <c r="A140" s="76">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2">
      <c r="A141" s="76">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2">
      <c r="A142" s="76">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2">
      <c r="A143" s="76">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2">
      <c r="A144" s="76">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2">
      <c r="A145" s="76">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2">
      <c r="A146" s="76">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2">
      <c r="A147" s="76">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2">
      <c r="A148" s="76">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2">
      <c r="A149" s="76">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2">
      <c r="A150" s="76">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2">
      <c r="A151" s="76">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2">
      <c r="A152" s="76">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2">
      <c r="A153" s="76">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2">
      <c r="A154" s="76">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2">
      <c r="A155" s="76">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2">
      <c r="A156" s="76">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2">
      <c r="A157" s="76">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2">
      <c r="A158" s="76">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2">
      <c r="A159" s="76">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2">
      <c r="A160" s="76">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2">
      <c r="A161" s="76">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2">
      <c r="A162" s="76">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2">
      <c r="A163" s="76">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2">
      <c r="A164" s="76">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2">
      <c r="A165" s="76">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2">
      <c r="A166" s="76">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2">
      <c r="A167" s="76">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2">
      <c r="A168" s="76">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2">
      <c r="A169" s="76">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2">
      <c r="A170" s="76">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2">
      <c r="A171" s="76">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2">
      <c r="A172" s="76">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2">
      <c r="A173" s="76">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2">
      <c r="A174" s="76">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2">
      <c r="A175" s="76">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2">
      <c r="A176" s="76">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2">
      <c r="A177" s="76">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2">
      <c r="A178" s="76">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2">
      <c r="A179" s="76">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2">
      <c r="A180" s="76">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2">
      <c r="A181" s="76">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2">
      <c r="A182" s="76">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2">
      <c r="A183" s="76">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2">
      <c r="A184" s="76">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2">
      <c r="A185" s="76">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2">
      <c r="A186" s="76">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2">
      <c r="A187" s="76">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2">
      <c r="A188" s="76">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2">
      <c r="A189" s="76">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2">
      <c r="A190" s="76">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2">
      <c r="A191" s="76">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2">
      <c r="A192" s="76">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2">
      <c r="A193" s="76">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2">
      <c r="A194" s="76">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2">
      <c r="A195" s="76">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2">
      <c r="A196" s="76">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2">
      <c r="A197" s="76">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2">
      <c r="A198" s="76">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2">
      <c r="A199" s="76">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2">
      <c r="A200" s="76">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2">
      <c r="A201" s="76">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2">
      <c r="A202" s="76">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2">
      <c r="A203" s="76">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2">
      <c r="A204" s="76">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2">
      <c r="A205" s="76">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2">
      <c r="A206" s="76">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2">
      <c r="A207" s="76">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2">
      <c r="A208" s="76">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2">
      <c r="A209" s="76">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2">
      <c r="A210" s="76">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2">
      <c r="A211" s="76">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2">
      <c r="A212" s="76">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2">
      <c r="A213" s="76">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2">
      <c r="A214" s="76">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2">
      <c r="A215" s="76">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2">
      <c r="A216" s="76">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2">
      <c r="A217" s="76">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2">
      <c r="A218" s="76">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2">
      <c r="A219" s="76">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2">
      <c r="A220" s="76">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2">
      <c r="A221" s="76">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2">
      <c r="A222" s="76">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2">
      <c r="A223" s="76">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2">
      <c r="A224" s="76">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2">
      <c r="A225" s="76">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2">
      <c r="A226" s="76">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2">
      <c r="A227" s="76">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2">
      <c r="A228" s="76">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2">
      <c r="A229" s="76">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2">
      <c r="A230" s="76">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2">
      <c r="A231" s="76">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2">
      <c r="A232" s="76">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2">
      <c r="A233" s="76">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2">
      <c r="A234" s="76">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2">
      <c r="A235" s="76">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2">
      <c r="A236" s="76">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2">
      <c r="A237" s="76">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2">
      <c r="A238" s="76">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2">
      <c r="A239" s="76">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2">
      <c r="A240" s="76">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2">
      <c r="A241" s="76">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2">
      <c r="A242" s="76">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2">
      <c r="A243" s="76">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2">
      <c r="A244" s="76">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2">
      <c r="A245" s="76">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2">
      <c r="A246" s="76">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2">
      <c r="A247" s="76">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2">
      <c r="A248" s="76">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2">
      <c r="A249" s="76">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2">
      <c r="A250" s="76">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2">
      <c r="A251" s="76">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2">
      <c r="A252" s="76">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2">
      <c r="A253" s="76">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2">
      <c r="A254" s="76">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16.047429999999999</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7.0651359999999999</v>
      </c>
      <c r="AN254">
        <v>5.1122730000000001</v>
      </c>
      <c r="AP254">
        <v>1.694515</v>
      </c>
      <c r="AU254">
        <v>12.766909999999999</v>
      </c>
      <c r="AV254">
        <v>6.4139000000000004E-5</v>
      </c>
      <c r="AW254">
        <v>15.948219999999999</v>
      </c>
      <c r="AX254">
        <v>1.7476449999999999</v>
      </c>
    </row>
    <row r="255" spans="1:50" x14ac:dyDescent="0.2">
      <c r="A255" s="76">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16.113499999999998</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7.0912509999999997</v>
      </c>
      <c r="AN255">
        <v>5.1303210000000004</v>
      </c>
      <c r="AP255">
        <v>1.67279</v>
      </c>
      <c r="AU255">
        <v>12.94294</v>
      </c>
      <c r="AV255">
        <v>6.4478000000000002E-5</v>
      </c>
      <c r="AW255">
        <v>16.032609999999998</v>
      </c>
      <c r="AX255">
        <v>1.7476449999999999</v>
      </c>
    </row>
    <row r="256" spans="1:50" x14ac:dyDescent="0.2">
      <c r="A256" s="76">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16.198319999999999</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7.1295080000000004</v>
      </c>
      <c r="AN256">
        <v>5.1562400000000004</v>
      </c>
      <c r="AP256">
        <v>1.70834</v>
      </c>
      <c r="AU256">
        <v>13.03851</v>
      </c>
      <c r="AV256">
        <v>6.4562999999999998E-5</v>
      </c>
      <c r="AW256">
        <v>16.116990000000001</v>
      </c>
      <c r="AX256">
        <v>1.7476449999999999</v>
      </c>
    </row>
    <row r="257" spans="1:50" x14ac:dyDescent="0.2">
      <c r="A257" s="76">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16.322279999999999</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7.1803949999999999</v>
      </c>
      <c r="AN257">
        <v>5.1873889999999996</v>
      </c>
      <c r="AP257">
        <v>1.6984649999999999</v>
      </c>
      <c r="AU257">
        <v>13.06142</v>
      </c>
      <c r="AV257">
        <v>6.4690999999999994E-5</v>
      </c>
      <c r="AW257">
        <v>16.243559999999999</v>
      </c>
      <c r="AX257">
        <v>1.793636</v>
      </c>
    </row>
    <row r="258" spans="1:50" x14ac:dyDescent="0.2">
      <c r="A258" s="76">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16.350829999999998</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7.1909939999999999</v>
      </c>
      <c r="AN258">
        <v>5.1971569999999998</v>
      </c>
      <c r="AP258">
        <v>1.6797029999999999</v>
      </c>
      <c r="AU258">
        <v>13.10669</v>
      </c>
      <c r="AV258">
        <v>6.5073000000000005E-5</v>
      </c>
      <c r="AW258">
        <v>16.28575</v>
      </c>
      <c r="AX258">
        <v>1.793636</v>
      </c>
    </row>
    <row r="259" spans="1:50" x14ac:dyDescent="0.2">
      <c r="A259" s="76">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16.40746</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7.2153989999999997</v>
      </c>
      <c r="AN259">
        <v>5.2139559999999996</v>
      </c>
      <c r="AP259">
        <v>1.6856279999999999</v>
      </c>
      <c r="AU259">
        <v>13.165369999999999</v>
      </c>
      <c r="AV259">
        <v>6.5753000000000006E-5</v>
      </c>
      <c r="AW259">
        <v>16.37013</v>
      </c>
      <c r="AX259">
        <v>1.793636</v>
      </c>
    </row>
    <row r="260" spans="1:50" x14ac:dyDescent="0.2">
      <c r="A260" s="76">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16.46866</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7.2475699999999996</v>
      </c>
      <c r="AN260">
        <v>5.2346009999999996</v>
      </c>
      <c r="AP260">
        <v>1.6984649999999999</v>
      </c>
      <c r="AU260">
        <v>13.268190000000001</v>
      </c>
      <c r="AV260">
        <v>6.5498000000000002E-5</v>
      </c>
      <c r="AW260">
        <v>16.454519999999999</v>
      </c>
      <c r="AX260">
        <v>1.793636</v>
      </c>
    </row>
    <row r="261" spans="1:50" x14ac:dyDescent="0.2">
      <c r="A261" s="76">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16.468610000000002</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7.2549539999999997</v>
      </c>
      <c r="AN261">
        <v>5.248024</v>
      </c>
      <c r="AP261">
        <v>1.7122900000000001</v>
      </c>
      <c r="AU261">
        <v>13.31625</v>
      </c>
      <c r="AV261">
        <v>6.6007999999999995E-5</v>
      </c>
      <c r="AW261">
        <v>16.454519999999999</v>
      </c>
      <c r="AX261">
        <v>1.839626</v>
      </c>
    </row>
    <row r="262" spans="1:50" x14ac:dyDescent="0.2">
      <c r="A262" s="76">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16.557790000000001</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7.2945589999999996</v>
      </c>
      <c r="AN262">
        <v>5.2704360000000001</v>
      </c>
      <c r="AP262">
        <v>1.730064</v>
      </c>
      <c r="AU262">
        <v>13.35426</v>
      </c>
      <c r="AV262">
        <v>6.6644999999999996E-5</v>
      </c>
      <c r="AW262">
        <v>16.538900000000002</v>
      </c>
      <c r="AX262">
        <v>1.839626</v>
      </c>
    </row>
    <row r="263" spans="1:50" x14ac:dyDescent="0.2">
      <c r="A263" s="76">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16.66404</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7.3453419999999996</v>
      </c>
      <c r="AN263">
        <v>5.3047969999999998</v>
      </c>
      <c r="AP263">
        <v>1.7399389999999999</v>
      </c>
      <c r="AU263">
        <v>13.419079999999999</v>
      </c>
      <c r="AV263">
        <v>6.7918999999999998E-5</v>
      </c>
      <c r="AW263">
        <v>16.623280000000001</v>
      </c>
      <c r="AX263">
        <v>1.839626</v>
      </c>
    </row>
    <row r="264" spans="1:50" x14ac:dyDescent="0.2">
      <c r="A264" s="76">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16.738579999999999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7.3785429999999996</v>
      </c>
      <c r="AN264">
        <v>5.3346939999999998</v>
      </c>
      <c r="AP264">
        <v>1.749814</v>
      </c>
      <c r="AU264">
        <v>13.518000000000001</v>
      </c>
      <c r="AV264">
        <v>6.8853E-5</v>
      </c>
      <c r="AW264">
        <v>16.707660000000001</v>
      </c>
      <c r="AX264">
        <v>1.839626</v>
      </c>
    </row>
    <row r="265" spans="1:50" x14ac:dyDescent="0.2">
      <c r="A265" s="76">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16.82037</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7.4167189999999996</v>
      </c>
      <c r="AN265">
        <v>5.3617619999999997</v>
      </c>
      <c r="AP265">
        <v>1.761663</v>
      </c>
      <c r="AU265">
        <v>13.60183</v>
      </c>
      <c r="AV265">
        <v>6.9533E-5</v>
      </c>
      <c r="AW265">
        <v>16.79204</v>
      </c>
      <c r="AX265">
        <v>1.839626</v>
      </c>
    </row>
    <row r="266" spans="1:50" x14ac:dyDescent="0.2">
      <c r="A266" s="76">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16.894500000000001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7.4600020000000002</v>
      </c>
      <c r="AN266">
        <v>5.4114230000000001</v>
      </c>
      <c r="AP266">
        <v>1.7952379999999999</v>
      </c>
      <c r="AU266">
        <v>14.010339999999999</v>
      </c>
      <c r="AV266">
        <v>7.0297999999999997E-5</v>
      </c>
      <c r="AW266">
        <v>16.79204</v>
      </c>
      <c r="AX266">
        <v>1.839626</v>
      </c>
    </row>
    <row r="267" spans="1:50" x14ac:dyDescent="0.2">
      <c r="A267" s="76">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16.954989999999999</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7.4890699999999999</v>
      </c>
      <c r="AN267">
        <v>5.4426269999999999</v>
      </c>
      <c r="AP267">
        <v>1.8031379999999999</v>
      </c>
      <c r="AU267">
        <v>14.02543</v>
      </c>
      <c r="AV267">
        <v>7.1996999999999995E-5</v>
      </c>
      <c r="AW267">
        <v>16.834240000000001</v>
      </c>
      <c r="AX267">
        <v>1.839626</v>
      </c>
    </row>
    <row r="268" spans="1:50" x14ac:dyDescent="0.2">
      <c r="A268" s="76">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17.011800000000001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7.5196009999999998</v>
      </c>
      <c r="AN268">
        <v>5.4747510000000004</v>
      </c>
      <c r="AP268">
        <v>1.848562</v>
      </c>
      <c r="AU268">
        <v>14.060639999999999</v>
      </c>
      <c r="AV268">
        <v>7.2675999999999993E-5</v>
      </c>
      <c r="AW268">
        <v>16.876429999999999</v>
      </c>
      <c r="AX268">
        <v>1.8856170000000001</v>
      </c>
    </row>
    <row r="269" spans="1:50" x14ac:dyDescent="0.2">
      <c r="A269" s="76">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17.117270000000001</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7.5702150000000001</v>
      </c>
      <c r="AN269">
        <v>5.5248309999999998</v>
      </c>
      <c r="AP269">
        <v>1.8732489999999999</v>
      </c>
      <c r="AU269">
        <v>14.03214</v>
      </c>
      <c r="AV269">
        <v>7.4289999999999995E-5</v>
      </c>
      <c r="AW269">
        <v>16.918620000000001</v>
      </c>
      <c r="AX269">
        <v>1.8856170000000001</v>
      </c>
    </row>
    <row r="270" spans="1:50" x14ac:dyDescent="0.2">
      <c r="A270" s="76">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17.19463</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7.6030329999999999</v>
      </c>
      <c r="AN270">
        <v>5.5536810000000001</v>
      </c>
      <c r="AP270">
        <v>1.882136</v>
      </c>
      <c r="AU270">
        <v>13.984640000000001</v>
      </c>
      <c r="AV270">
        <v>7.4969999999999995E-5</v>
      </c>
      <c r="AW270">
        <v>17.003</v>
      </c>
      <c r="AX270">
        <v>1.8856170000000001</v>
      </c>
    </row>
    <row r="271" spans="1:50" x14ac:dyDescent="0.2">
      <c r="A271" s="76">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17.2911</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7.6429900000000002</v>
      </c>
      <c r="AN271">
        <v>5.577617</v>
      </c>
      <c r="AP271">
        <v>1.892998</v>
      </c>
      <c r="AU271">
        <v>14.02543</v>
      </c>
      <c r="AV271">
        <v>7.6286999999999997E-5</v>
      </c>
      <c r="AW271">
        <v>17.129570000000001</v>
      </c>
      <c r="AX271">
        <v>1.8856170000000001</v>
      </c>
    </row>
    <row r="272" spans="1:50" x14ac:dyDescent="0.2">
      <c r="A272" s="76">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17.34524</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7.6775779999999996</v>
      </c>
      <c r="AN272">
        <v>5.6109710000000002</v>
      </c>
      <c r="AP272">
        <v>1.9068229999999999</v>
      </c>
      <c r="AU272">
        <v>14.09361</v>
      </c>
      <c r="AV272">
        <v>8.0492000000000001E-5</v>
      </c>
      <c r="AW272">
        <v>17.171759999999999</v>
      </c>
      <c r="AX272">
        <v>1.8856170000000001</v>
      </c>
    </row>
    <row r="273" spans="1:50" x14ac:dyDescent="0.2">
      <c r="A273" s="76">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17.380590000000002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7.700164</v>
      </c>
      <c r="AN273">
        <v>5.6280780000000004</v>
      </c>
      <c r="AP273">
        <v>1.913735</v>
      </c>
      <c r="AU273">
        <v>14.289210000000001</v>
      </c>
      <c r="AV273">
        <v>8.2572999999999997E-5</v>
      </c>
      <c r="AW273">
        <v>17.213950000000001</v>
      </c>
      <c r="AX273">
        <v>1.931608</v>
      </c>
    </row>
    <row r="274" spans="1:50" x14ac:dyDescent="0.2">
      <c r="A274" s="76">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17.448920000000001</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7.7370950000000001</v>
      </c>
      <c r="AN274">
        <v>5.6597470000000003</v>
      </c>
      <c r="AP274">
        <v>1.9749589999999999</v>
      </c>
      <c r="AU274">
        <v>14.30542</v>
      </c>
      <c r="AV274">
        <v>8.3549999999999998E-5</v>
      </c>
      <c r="AW274">
        <v>17.213950000000001</v>
      </c>
      <c r="AX274">
        <v>1.931608</v>
      </c>
    </row>
    <row r="275" spans="1:50" x14ac:dyDescent="0.2">
      <c r="A275" s="76">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17.50995</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7.7719139999999998</v>
      </c>
      <c r="AN275">
        <v>5.6959239999999998</v>
      </c>
      <c r="AP275">
        <v>2.0075460000000001</v>
      </c>
      <c r="AU275">
        <v>14.45072</v>
      </c>
      <c r="AV275">
        <v>8.5079000000000003E-5</v>
      </c>
      <c r="AW275">
        <v>17.256150000000002</v>
      </c>
      <c r="AX275">
        <v>1.977598</v>
      </c>
    </row>
    <row r="276" spans="1:50" x14ac:dyDescent="0.2">
      <c r="A276" s="76">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17.51519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7.7843730000000004</v>
      </c>
      <c r="AN276">
        <v>5.7271700000000001</v>
      </c>
      <c r="AP276">
        <v>2.0569199999999999</v>
      </c>
      <c r="AU276">
        <v>14.439539999999999</v>
      </c>
      <c r="AV276">
        <v>8.5928999999999997E-5</v>
      </c>
      <c r="AW276">
        <v>17.256150000000002</v>
      </c>
      <c r="AX276">
        <v>1.977598</v>
      </c>
    </row>
    <row r="277" spans="1:50" x14ac:dyDescent="0.2">
      <c r="A277" s="76">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17.587199999999999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7.8175679999999996</v>
      </c>
      <c r="AN277">
        <v>5.7539790000000002</v>
      </c>
      <c r="AP277">
        <v>2.0292699999999999</v>
      </c>
      <c r="AU277">
        <v>14.568630000000001</v>
      </c>
      <c r="AV277">
        <v>8.5801000000000001E-5</v>
      </c>
      <c r="AW277">
        <v>17.340530000000001</v>
      </c>
      <c r="AX277">
        <v>1.977598</v>
      </c>
    </row>
    <row r="278" spans="1:50" x14ac:dyDescent="0.2">
      <c r="A278" s="76">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17.634239999999998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7.8430819999999999</v>
      </c>
      <c r="AN278">
        <v>5.7887440000000003</v>
      </c>
      <c r="AP278">
        <v>2.0421079999999998</v>
      </c>
      <c r="AU278">
        <v>14.69773</v>
      </c>
      <c r="AV278">
        <v>8.5716000000000004E-5</v>
      </c>
      <c r="AW278">
        <v>17.340530000000001</v>
      </c>
      <c r="AX278">
        <v>1.977598</v>
      </c>
    </row>
    <row r="279" spans="1:50" x14ac:dyDescent="0.2">
      <c r="A279" s="76">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17.722519999999999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7.8823449999999999</v>
      </c>
      <c r="AN279">
        <v>5.8164400000000001</v>
      </c>
      <c r="AP279">
        <v>2.0776569999999999</v>
      </c>
      <c r="AU279">
        <v>14.75361</v>
      </c>
      <c r="AV279">
        <v>8.6862999999999998E-5</v>
      </c>
      <c r="AW279">
        <v>17.424910000000001</v>
      </c>
      <c r="AX279">
        <v>1.977598</v>
      </c>
    </row>
    <row r="280" spans="1:50" x14ac:dyDescent="0.2">
      <c r="A280" s="76">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17.793289999999999</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7.9180159999999997</v>
      </c>
      <c r="AN280">
        <v>5.8458759999999996</v>
      </c>
      <c r="AP280">
        <v>2.0993810000000002</v>
      </c>
      <c r="AU280">
        <v>14.817880000000001</v>
      </c>
      <c r="AV280">
        <v>8.6947999999999995E-5</v>
      </c>
      <c r="AW280">
        <v>17.467099999999999</v>
      </c>
      <c r="AX280">
        <v>1.977598</v>
      </c>
    </row>
    <row r="281" spans="1:50" x14ac:dyDescent="0.2">
      <c r="A281" s="76">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17.87172</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7.9554499999999999</v>
      </c>
      <c r="AN281">
        <v>5.8739549999999996</v>
      </c>
      <c r="AP281">
        <v>2.0895069999999998</v>
      </c>
      <c r="AU281">
        <v>14.85421</v>
      </c>
      <c r="AV281">
        <v>8.7202999999999998E-5</v>
      </c>
      <c r="AW281">
        <v>17.50929</v>
      </c>
      <c r="AX281">
        <v>1.977598</v>
      </c>
    </row>
    <row r="282" spans="1:50" x14ac:dyDescent="0.2">
      <c r="A282" s="76">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17.925719999999998</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7.9833970000000001</v>
      </c>
      <c r="AN282">
        <v>5.9043489999999998</v>
      </c>
      <c r="AP282">
        <v>2.1546799999999999</v>
      </c>
      <c r="AU282">
        <v>14.92742</v>
      </c>
      <c r="AV282">
        <v>8.8350000000000006E-5</v>
      </c>
      <c r="AW282">
        <v>17.551480000000002</v>
      </c>
      <c r="AX282">
        <v>1.977598</v>
      </c>
    </row>
    <row r="283" spans="1:50" x14ac:dyDescent="0.2">
      <c r="A283" s="76">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17.980029999999999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8.0131440000000005</v>
      </c>
      <c r="AN283">
        <v>5.9386710000000003</v>
      </c>
      <c r="AP283">
        <v>2.1003690000000002</v>
      </c>
      <c r="AU283">
        <v>15.00454</v>
      </c>
      <c r="AV283">
        <v>9.1237999999999996E-5</v>
      </c>
      <c r="AW283">
        <v>17.593679999999999</v>
      </c>
      <c r="AX283">
        <v>1.977598</v>
      </c>
    </row>
    <row r="284" spans="1:50" x14ac:dyDescent="0.2">
      <c r="A284" s="76">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18.069870000000002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8.0567720000000005</v>
      </c>
      <c r="AN284">
        <v>5.9746730000000001</v>
      </c>
      <c r="AP284">
        <v>2.1141939999999999</v>
      </c>
      <c r="AU284">
        <v>15.092280000000001</v>
      </c>
      <c r="AV284">
        <v>9.2385000000000004E-5</v>
      </c>
      <c r="AW284">
        <v>17.678059999999999</v>
      </c>
      <c r="AX284">
        <v>2.0235889999999999</v>
      </c>
    </row>
    <row r="285" spans="1:50" x14ac:dyDescent="0.2">
      <c r="A285" s="76">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18.143219999999999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8.0903329999999993</v>
      </c>
      <c r="AN285">
        <v>5.9993800000000004</v>
      </c>
      <c r="AP285">
        <v>2.1043189999999998</v>
      </c>
      <c r="AU285">
        <v>15.14648</v>
      </c>
      <c r="AV285">
        <v>9.2597999999999997E-5</v>
      </c>
      <c r="AW285">
        <v>17.72025</v>
      </c>
      <c r="AX285">
        <v>2.0695800000000002</v>
      </c>
    </row>
    <row r="286" spans="1:50" x14ac:dyDescent="0.2">
      <c r="A286" s="76">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18.232900000000001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8.1349520000000002</v>
      </c>
      <c r="AN286">
        <v>6.0519170000000004</v>
      </c>
      <c r="AP286">
        <v>2.1398679999999999</v>
      </c>
      <c r="AU286">
        <v>15.21466</v>
      </c>
      <c r="AV286">
        <v>9.3573999999999996E-5</v>
      </c>
      <c r="AW286">
        <v>17.762440000000002</v>
      </c>
      <c r="AX286">
        <v>2.0695800000000002</v>
      </c>
    </row>
    <row r="287" spans="1:50" x14ac:dyDescent="0.2">
      <c r="A287" s="76">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18.343309999999999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8.184526</v>
      </c>
      <c r="AN287">
        <v>6.1031940000000002</v>
      </c>
      <c r="AP287">
        <v>2.1527050000000001</v>
      </c>
      <c r="AU287">
        <v>15.261609999999999</v>
      </c>
      <c r="AV287">
        <v>9.4424000000000003E-5</v>
      </c>
      <c r="AW287">
        <v>17.846820000000001</v>
      </c>
      <c r="AX287">
        <v>2.11557</v>
      </c>
    </row>
    <row r="288" spans="1:50" x14ac:dyDescent="0.2">
      <c r="A288" s="76">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18.396719999999998</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8.2087959999999995</v>
      </c>
      <c r="AN288">
        <v>6.1354699999999998</v>
      </c>
      <c r="AP288">
        <v>2.165543</v>
      </c>
      <c r="AU288">
        <v>15.266080000000001</v>
      </c>
      <c r="AV288">
        <v>9.4933999999999996E-5</v>
      </c>
      <c r="AW288">
        <v>17.889009999999999</v>
      </c>
      <c r="AX288">
        <v>2.11557</v>
      </c>
    </row>
    <row r="289" spans="1:50" x14ac:dyDescent="0.2">
      <c r="A289" s="76">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18.470089999999999</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8.2442580000000003</v>
      </c>
      <c r="AN289">
        <v>6.1690139999999998</v>
      </c>
      <c r="AP289">
        <v>2.1951670000000001</v>
      </c>
      <c r="AU289">
        <v>15.478999999999999</v>
      </c>
      <c r="AV289">
        <v>9.5230999999999997E-5</v>
      </c>
      <c r="AW289">
        <v>17.9312</v>
      </c>
      <c r="AX289">
        <v>2.11557</v>
      </c>
    </row>
    <row r="290" spans="1:50" x14ac:dyDescent="0.2">
      <c r="A290" s="76">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18.567409999999999</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8.2971769999999996</v>
      </c>
      <c r="AN290">
        <v>6.2192879999999997</v>
      </c>
      <c r="AP290">
        <v>2.2376290000000001</v>
      </c>
      <c r="AU290">
        <v>15.541029999999999</v>
      </c>
      <c r="AV290">
        <v>9.6207999999999998E-5</v>
      </c>
      <c r="AW290">
        <v>17.973389999999998</v>
      </c>
      <c r="AX290">
        <v>2.11557</v>
      </c>
    </row>
    <row r="291" spans="1:50" x14ac:dyDescent="0.2">
      <c r="A291" s="76">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18.69829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8.3530630000000006</v>
      </c>
      <c r="AN291">
        <v>6.2579370000000001</v>
      </c>
      <c r="AP291">
        <v>2.3077399999999999</v>
      </c>
      <c r="AU291">
        <v>15.66733</v>
      </c>
      <c r="AV291">
        <v>9.6675000000000005E-5</v>
      </c>
      <c r="AW291">
        <v>18.099969999999999</v>
      </c>
      <c r="AX291">
        <v>2.11557</v>
      </c>
    </row>
    <row r="292" spans="1:50" x14ac:dyDescent="0.2">
      <c r="A292" s="76">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18.889610000000001</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8.4311330000000009</v>
      </c>
      <c r="AN292">
        <v>6.3027049999999996</v>
      </c>
      <c r="AP292">
        <v>2.2860149999999999</v>
      </c>
      <c r="AU292">
        <v>15.722659999999999</v>
      </c>
      <c r="AV292">
        <v>9.6844999999999999E-5</v>
      </c>
      <c r="AW292">
        <v>18.268730000000001</v>
      </c>
      <c r="AX292">
        <v>2.1615609999999998</v>
      </c>
    </row>
    <row r="293" spans="1:50" x14ac:dyDescent="0.2">
      <c r="A293" s="76">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19.07236</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8.5199440000000006</v>
      </c>
      <c r="AN293">
        <v>6.3661729999999999</v>
      </c>
      <c r="AP293">
        <v>2.3037899999999998</v>
      </c>
      <c r="AU293">
        <v>15.83555</v>
      </c>
      <c r="AV293">
        <v>9.7822E-5</v>
      </c>
      <c r="AW293">
        <v>18.395309999999998</v>
      </c>
      <c r="AX293">
        <v>2.207551</v>
      </c>
    </row>
    <row r="294" spans="1:50" x14ac:dyDescent="0.2">
      <c r="A294" s="76">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19.241109999999999</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8.5967889999999993</v>
      </c>
      <c r="AN294">
        <v>6.4301339999999998</v>
      </c>
      <c r="AP294">
        <v>2.3472390000000001</v>
      </c>
      <c r="AU294">
        <v>15.894220000000001</v>
      </c>
      <c r="AV294">
        <v>9.9479000000000001E-5</v>
      </c>
      <c r="AW294">
        <v>18.521879999999999</v>
      </c>
      <c r="AX294">
        <v>2.207551</v>
      </c>
    </row>
    <row r="295" spans="1:50" x14ac:dyDescent="0.2">
      <c r="A295" s="76">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19.362300000000001</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8.6566550000000007</v>
      </c>
      <c r="AN295">
        <v>6.4843590000000004</v>
      </c>
      <c r="AP295">
        <v>2.353164</v>
      </c>
      <c r="AU295">
        <v>16.032820000000001</v>
      </c>
      <c r="AV295">
        <v>1.0224E-4</v>
      </c>
      <c r="AW295">
        <v>18.64845</v>
      </c>
      <c r="AX295">
        <v>2.207551</v>
      </c>
    </row>
    <row r="296" spans="1:50" x14ac:dyDescent="0.2">
      <c r="A296" s="76">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19.448350000000001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8.7066879999999998</v>
      </c>
      <c r="AN296">
        <v>6.5155209999999997</v>
      </c>
      <c r="AP296">
        <v>2.3669880000000001</v>
      </c>
      <c r="AU296">
        <v>16.0915</v>
      </c>
      <c r="AV296">
        <v>1.02537E-4</v>
      </c>
      <c r="AW296">
        <v>18.690639999999998</v>
      </c>
      <c r="AX296">
        <v>2.2535419999999999</v>
      </c>
    </row>
    <row r="297" spans="1:50" x14ac:dyDescent="0.2">
      <c r="A297" s="76">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19.669450000000001</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8.801857</v>
      </c>
      <c r="AN297">
        <v>6.5502209999999996</v>
      </c>
      <c r="AP297">
        <v>2.3936500000000001</v>
      </c>
      <c r="AU297">
        <v>16.133410000000001</v>
      </c>
      <c r="AV297">
        <v>1.0368400000000001E-4</v>
      </c>
      <c r="AW297">
        <v>19.028169999999999</v>
      </c>
      <c r="AX297">
        <v>2.2535419999999999</v>
      </c>
    </row>
    <row r="298" spans="1:50" x14ac:dyDescent="0.2">
      <c r="A298" s="76">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19.79926</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8.8788339999999994</v>
      </c>
      <c r="AN298">
        <v>6.611904</v>
      </c>
      <c r="AP298">
        <v>2.462774</v>
      </c>
      <c r="AU298">
        <v>16.185939999999999</v>
      </c>
      <c r="AV298">
        <v>1.08399E-4</v>
      </c>
      <c r="AW298">
        <v>19.070360000000001</v>
      </c>
      <c r="AX298">
        <v>2.2535419999999999</v>
      </c>
    </row>
    <row r="299" spans="1:50" x14ac:dyDescent="0.2">
      <c r="A299" s="76">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19.975190000000001</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8.9738330000000008</v>
      </c>
      <c r="AN299">
        <v>6.6987180000000004</v>
      </c>
      <c r="AP299">
        <v>2.510173</v>
      </c>
      <c r="AU299">
        <v>16.3536</v>
      </c>
      <c r="AV299">
        <v>1.11075E-4</v>
      </c>
      <c r="AW299">
        <v>19.239129999999999</v>
      </c>
      <c r="AX299">
        <v>2.2995329999999998</v>
      </c>
    </row>
    <row r="300" spans="1:50" x14ac:dyDescent="0.2">
      <c r="A300" s="76">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20.138529999999999</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9.0514390000000002</v>
      </c>
      <c r="AN300">
        <v>6.771388</v>
      </c>
      <c r="AP300">
        <v>2.5348600000000001</v>
      </c>
      <c r="AU300">
        <v>16.541930000000001</v>
      </c>
      <c r="AV300">
        <v>1.1230600000000001E-4</v>
      </c>
      <c r="AW300">
        <v>19.3657</v>
      </c>
      <c r="AX300">
        <v>2.2995329999999998</v>
      </c>
    </row>
    <row r="301" spans="1:50" x14ac:dyDescent="0.2">
      <c r="A301" s="76">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20.353870000000001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9.1610659999999999</v>
      </c>
      <c r="AN301">
        <v>6.8435180000000004</v>
      </c>
      <c r="AP301">
        <v>2.6316329999999999</v>
      </c>
      <c r="AU301">
        <v>16.642520000000001</v>
      </c>
      <c r="AV301">
        <v>1.14048E-4</v>
      </c>
      <c r="AW301">
        <v>19.492270000000001</v>
      </c>
      <c r="AX301">
        <v>2.2995329999999998</v>
      </c>
    </row>
    <row r="302" spans="1:50" x14ac:dyDescent="0.2">
      <c r="A302" s="76">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20.655200000000001</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9.3047020000000007</v>
      </c>
      <c r="AN302">
        <v>6.9316019999999998</v>
      </c>
      <c r="AP302">
        <v>2.6711320000000001</v>
      </c>
      <c r="AU302">
        <v>16.843150000000001</v>
      </c>
      <c r="AV302">
        <v>1.15152E-4</v>
      </c>
      <c r="AW302">
        <v>19.66104</v>
      </c>
      <c r="AX302">
        <v>2.3455240000000002</v>
      </c>
    </row>
    <row r="303" spans="1:50" x14ac:dyDescent="0.2">
      <c r="A303" s="76">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20.97953</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9.443505</v>
      </c>
      <c r="AN303">
        <v>7.0168239999999997</v>
      </c>
      <c r="AP303">
        <v>2.84388</v>
      </c>
      <c r="AU303">
        <v>17.26285</v>
      </c>
      <c r="AV303">
        <v>1.15067E-4</v>
      </c>
      <c r="AW303">
        <v>19.914180000000002</v>
      </c>
      <c r="AX303">
        <v>2.3455240000000002</v>
      </c>
    </row>
    <row r="304" spans="1:50" x14ac:dyDescent="0.2">
      <c r="A304" s="76">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21.21454</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9.560772</v>
      </c>
      <c r="AN304">
        <v>7.1158700000000001</v>
      </c>
      <c r="AP304">
        <v>2.942593</v>
      </c>
      <c r="AU304">
        <v>17.417090000000002</v>
      </c>
      <c r="AV304">
        <v>1.21481E-4</v>
      </c>
      <c r="AW304">
        <v>20.16733</v>
      </c>
      <c r="AX304">
        <v>2.3915139999999999</v>
      </c>
    </row>
    <row r="305" spans="1:50" x14ac:dyDescent="0.2">
      <c r="A305" s="76">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21.450980000000001</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9.6757190000000008</v>
      </c>
      <c r="AN305">
        <v>7.2209430000000001</v>
      </c>
      <c r="AP305">
        <v>2.9190900000000002</v>
      </c>
      <c r="AU305">
        <v>17.32264</v>
      </c>
      <c r="AV305">
        <v>1.2334999999999999E-4</v>
      </c>
      <c r="AW305">
        <v>20.251709999999999</v>
      </c>
      <c r="AX305">
        <v>2.3915139999999999</v>
      </c>
    </row>
    <row r="306" spans="1:50" x14ac:dyDescent="0.2">
      <c r="A306" s="76">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21.688099999999999</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9.7778369999999999</v>
      </c>
      <c r="AN306">
        <v>7.2980450000000001</v>
      </c>
      <c r="AP306">
        <v>2.9461189999999999</v>
      </c>
      <c r="AU306">
        <v>17.251110000000001</v>
      </c>
      <c r="AV306">
        <v>1.2543100000000001E-4</v>
      </c>
      <c r="AW306">
        <v>20.504860000000001</v>
      </c>
      <c r="AX306">
        <v>2.4375049999999998</v>
      </c>
    </row>
    <row r="307" spans="1:50" x14ac:dyDescent="0.2">
      <c r="A307" s="76">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21.866969999999998</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9.8551509999999993</v>
      </c>
      <c r="AN307">
        <v>7.3608979999999997</v>
      </c>
      <c r="AP307">
        <v>2.9531700000000001</v>
      </c>
      <c r="AU307">
        <v>17.39753</v>
      </c>
      <c r="AV307">
        <v>1.27513E-4</v>
      </c>
      <c r="AW307">
        <v>20.67362</v>
      </c>
      <c r="AX307">
        <v>2.483495</v>
      </c>
    </row>
    <row r="308" spans="1:50" x14ac:dyDescent="0.2">
      <c r="A308" s="76">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22.094519999999999</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9.9670480000000001</v>
      </c>
      <c r="AN308">
        <v>7.4343199999999996</v>
      </c>
      <c r="AP308">
        <v>2.9778479999999998</v>
      </c>
      <c r="AU308">
        <v>17.44727</v>
      </c>
      <c r="AV308">
        <v>1.2908400000000001E-4</v>
      </c>
      <c r="AW308">
        <v>20.842390000000002</v>
      </c>
      <c r="AX308">
        <v>2.483495</v>
      </c>
    </row>
    <row r="309" spans="1:50" x14ac:dyDescent="0.2">
      <c r="A309" s="76">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22.320720000000001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10.06837</v>
      </c>
      <c r="AN309">
        <v>7.4956990000000001</v>
      </c>
      <c r="AP309">
        <v>3.083612</v>
      </c>
      <c r="AU309">
        <v>17.624980000000001</v>
      </c>
      <c r="AV309">
        <v>1.3014600000000001E-4</v>
      </c>
      <c r="AW309">
        <v>21.09553</v>
      </c>
      <c r="AX309">
        <v>2.5294859999999999</v>
      </c>
    </row>
    <row r="310" spans="1:50" x14ac:dyDescent="0.2">
      <c r="A310" s="76">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22.591480000000001</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10.196059999999999</v>
      </c>
      <c r="AN310">
        <v>7.6001510000000003</v>
      </c>
      <c r="AP310">
        <v>3.2328570000000001</v>
      </c>
      <c r="AU310">
        <v>17.777550000000002</v>
      </c>
      <c r="AV310">
        <v>1.3341699999999999E-4</v>
      </c>
      <c r="AW310">
        <v>21.348680000000002</v>
      </c>
      <c r="AX310">
        <v>2.5754769999999998</v>
      </c>
    </row>
    <row r="311" spans="1:50" x14ac:dyDescent="0.2">
      <c r="A311" s="76">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22.88391</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10.33197</v>
      </c>
      <c r="AN311">
        <v>7.699503</v>
      </c>
      <c r="AP311">
        <v>3.1447210000000001</v>
      </c>
      <c r="AU311">
        <v>18.328569999999999</v>
      </c>
      <c r="AV311">
        <v>1.3613500000000001E-4</v>
      </c>
      <c r="AW311">
        <v>21.559640000000002</v>
      </c>
      <c r="AX311">
        <v>2.5754769999999998</v>
      </c>
    </row>
    <row r="312" spans="1:50" x14ac:dyDescent="0.2">
      <c r="A312" s="76">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23.101659999999999</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10.443429999999999</v>
      </c>
      <c r="AN312">
        <v>7.8019730000000003</v>
      </c>
      <c r="AP312">
        <v>3.1082909999999999</v>
      </c>
      <c r="AU312">
        <v>18.49455</v>
      </c>
      <c r="AV312">
        <v>1.39066E-4</v>
      </c>
      <c r="AW312">
        <v>21.728400000000001</v>
      </c>
      <c r="AX312">
        <v>2.6214680000000001</v>
      </c>
    </row>
    <row r="313" spans="1:50" x14ac:dyDescent="0.2">
      <c r="A313" s="76">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23.26445</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10.519869999999999</v>
      </c>
      <c r="AN313">
        <v>7.8655540000000004</v>
      </c>
      <c r="AP313">
        <v>3.1200420000000002</v>
      </c>
      <c r="AU313">
        <v>18.56944</v>
      </c>
      <c r="AV313">
        <v>1.4212400000000001E-4</v>
      </c>
      <c r="AW313">
        <v>21.89716</v>
      </c>
      <c r="AX313">
        <v>2.6214680000000001</v>
      </c>
    </row>
    <row r="314" spans="1:50" x14ac:dyDescent="0.2">
      <c r="A314" s="76">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23.459769999999999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10.628869999999999</v>
      </c>
      <c r="AN314">
        <v>7.9768460000000001</v>
      </c>
      <c r="AP314">
        <v>3.2634110000000001</v>
      </c>
      <c r="AU314">
        <v>18.49399</v>
      </c>
      <c r="AV314">
        <v>1.43399E-4</v>
      </c>
      <c r="AW314">
        <v>21.981549999999999</v>
      </c>
      <c r="AX314">
        <v>2.6674579999999999</v>
      </c>
    </row>
    <row r="315" spans="1:50" x14ac:dyDescent="0.2">
      <c r="A315" s="76">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23.647099999999998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10.71462</v>
      </c>
      <c r="AN315">
        <v>8.0573169999999994</v>
      </c>
      <c r="AP315">
        <v>3.2128800000000002</v>
      </c>
      <c r="AU315">
        <v>18.6812</v>
      </c>
      <c r="AV315">
        <v>1.49813E-4</v>
      </c>
      <c r="AW315">
        <v>22.150310000000001</v>
      </c>
      <c r="AX315">
        <v>2.7134490000000002</v>
      </c>
    </row>
    <row r="316" spans="1:50" x14ac:dyDescent="0.2">
      <c r="A316" s="76">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23.784369999999999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10.788729999999999</v>
      </c>
      <c r="AN316">
        <v>8.1365879999999997</v>
      </c>
      <c r="AP316">
        <v>3.3762259999999999</v>
      </c>
      <c r="AU316">
        <v>18.787939999999999</v>
      </c>
      <c r="AV316">
        <v>1.5291299999999999E-4</v>
      </c>
      <c r="AW316">
        <v>22.234690000000001</v>
      </c>
      <c r="AX316">
        <v>2.7134490000000002</v>
      </c>
    </row>
    <row r="317" spans="1:50" x14ac:dyDescent="0.2">
      <c r="A317" s="76">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24.023589999999999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10.904769999999999</v>
      </c>
      <c r="AN317">
        <v>8.2499140000000004</v>
      </c>
      <c r="AP317">
        <v>3.345672</v>
      </c>
      <c r="AU317">
        <v>18.825949999999999</v>
      </c>
      <c r="AV317">
        <v>1.5350800000000001E-4</v>
      </c>
      <c r="AW317">
        <v>22.31907</v>
      </c>
      <c r="AX317">
        <v>2.759439</v>
      </c>
    </row>
    <row r="318" spans="1:50" x14ac:dyDescent="0.2">
      <c r="A318" s="76">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24.240629999999999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11.004569999999999</v>
      </c>
      <c r="AN318">
        <v>8.3514280000000003</v>
      </c>
      <c r="AP318">
        <v>3.356249</v>
      </c>
      <c r="AU318">
        <v>19.124929999999999</v>
      </c>
      <c r="AV318">
        <v>1.5465499999999999E-4</v>
      </c>
      <c r="AW318">
        <v>22.445650000000001</v>
      </c>
      <c r="AX318">
        <v>2.759439</v>
      </c>
    </row>
    <row r="319" spans="1:50" x14ac:dyDescent="0.2">
      <c r="A319" s="76">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24.42831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11.08841</v>
      </c>
      <c r="AN319">
        <v>8.4237850000000005</v>
      </c>
      <c r="AP319">
        <v>3.4573119999999999</v>
      </c>
      <c r="AU319">
        <v>19.244520000000001</v>
      </c>
      <c r="AV319">
        <v>1.5440000000000001E-4</v>
      </c>
      <c r="AW319">
        <v>22.614409999999999</v>
      </c>
      <c r="AX319">
        <v>2.8054299999999999</v>
      </c>
    </row>
    <row r="320" spans="1:50" x14ac:dyDescent="0.2">
      <c r="A320" s="76">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24.625260000000001</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11.17933</v>
      </c>
      <c r="AN320">
        <v>8.4726479999999995</v>
      </c>
      <c r="AP320">
        <v>3.4831660000000002</v>
      </c>
      <c r="AU320">
        <v>19.492090000000001</v>
      </c>
      <c r="AV320">
        <v>1.5457000000000001E-4</v>
      </c>
      <c r="AW320">
        <v>22.867560000000001</v>
      </c>
      <c r="AX320">
        <v>2.8514210000000002</v>
      </c>
    </row>
    <row r="321" spans="1:50" x14ac:dyDescent="0.2">
      <c r="A321" s="76">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24.67756</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11.21406</v>
      </c>
      <c r="AN321">
        <v>8.5098640000000003</v>
      </c>
      <c r="AP321">
        <v>3.4326340000000002</v>
      </c>
      <c r="AU321">
        <v>19.7011</v>
      </c>
      <c r="AV321">
        <v>1.5508000000000001E-4</v>
      </c>
      <c r="AW321">
        <v>22.909749999999999</v>
      </c>
      <c r="AX321">
        <v>2.8514210000000002</v>
      </c>
    </row>
    <row r="322" spans="1:50" x14ac:dyDescent="0.2">
      <c r="A322" s="76">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24.879750000000001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11.316839999999999</v>
      </c>
      <c r="AN322">
        <v>8.5922040000000006</v>
      </c>
      <c r="AP322">
        <v>3.5901049999999999</v>
      </c>
      <c r="AU322">
        <v>19.75084</v>
      </c>
      <c r="AV322">
        <v>1.57076E-4</v>
      </c>
      <c r="AW322">
        <v>23.03632</v>
      </c>
      <c r="AX322">
        <v>2.897411</v>
      </c>
    </row>
    <row r="323" spans="1:50" x14ac:dyDescent="0.2">
      <c r="A323" s="76">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25.068860000000001</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11.413589999999999</v>
      </c>
      <c r="AN323">
        <v>8.6566550000000007</v>
      </c>
      <c r="AP323">
        <v>3.5595509999999999</v>
      </c>
      <c r="AU323">
        <v>19.959849999999999</v>
      </c>
      <c r="AV323">
        <v>1.6081400000000001E-4</v>
      </c>
      <c r="AW323">
        <v>23.1629</v>
      </c>
      <c r="AX323">
        <v>2.897411</v>
      </c>
    </row>
    <row r="324" spans="1:50" x14ac:dyDescent="0.2">
      <c r="A324" s="76">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25.223649999999999</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11.48307</v>
      </c>
      <c r="AN324">
        <v>8.72288</v>
      </c>
      <c r="AP324">
        <v>3.5666020000000001</v>
      </c>
      <c r="AU324">
        <v>20.163270000000001</v>
      </c>
      <c r="AV324">
        <v>1.6297999999999999E-4</v>
      </c>
      <c r="AW324">
        <v>23.331659999999999</v>
      </c>
      <c r="AX324">
        <v>2.9434019999999999</v>
      </c>
    </row>
    <row r="325" spans="1:50" x14ac:dyDescent="0.2">
      <c r="A325" s="76">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25.333659999999998</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11.545389999999999</v>
      </c>
      <c r="AN325">
        <v>8.7965260000000001</v>
      </c>
      <c r="AP325">
        <v>3.788707</v>
      </c>
      <c r="AU325">
        <v>20.218599999999999</v>
      </c>
      <c r="AV325">
        <v>1.65231E-4</v>
      </c>
      <c r="AW325">
        <v>23.416039999999999</v>
      </c>
      <c r="AX325">
        <v>2.9434019999999999</v>
      </c>
    </row>
    <row r="326" spans="1:50" x14ac:dyDescent="0.2">
      <c r="A326" s="76">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25.50967</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11.65558</v>
      </c>
      <c r="AN326">
        <v>8.9080159999999999</v>
      </c>
      <c r="AP326">
        <v>4.0378400000000001</v>
      </c>
      <c r="AU326">
        <v>20.514230000000001</v>
      </c>
      <c r="AV326">
        <v>1.7113600000000001E-4</v>
      </c>
      <c r="AW326">
        <v>23.45823</v>
      </c>
      <c r="AX326">
        <v>2.9434019999999999</v>
      </c>
    </row>
    <row r="327" spans="1:50" x14ac:dyDescent="0.2">
      <c r="A327" s="76">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25.685469999999999</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11.739610000000001</v>
      </c>
      <c r="AN327">
        <v>8.9936869999999995</v>
      </c>
      <c r="AP327">
        <v>3.8897699999999999</v>
      </c>
      <c r="AU327">
        <v>20.674060000000001</v>
      </c>
      <c r="AV327">
        <v>1.74916E-4</v>
      </c>
      <c r="AW327">
        <v>23.542619999999999</v>
      </c>
      <c r="AX327">
        <v>2.9893930000000002</v>
      </c>
    </row>
    <row r="328" spans="1:50" x14ac:dyDescent="0.2">
      <c r="A328" s="76">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25.800350000000002</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11.812889999999999</v>
      </c>
      <c r="AN328">
        <v>9.0900859999999994</v>
      </c>
      <c r="AP328">
        <v>3.9931839999999998</v>
      </c>
      <c r="AU328">
        <v>20.87189</v>
      </c>
      <c r="AV328">
        <v>1.76785E-4</v>
      </c>
      <c r="AW328">
        <v>23.584810000000001</v>
      </c>
      <c r="AX328">
        <v>3.0353829999999999</v>
      </c>
    </row>
    <row r="329" spans="1:50" x14ac:dyDescent="0.2">
      <c r="A329" s="76">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26.048649999999999</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11.928190000000001</v>
      </c>
      <c r="AN329">
        <v>9.1966289999999997</v>
      </c>
      <c r="AP329">
        <v>3.7734299999999998</v>
      </c>
      <c r="AU329">
        <v>21.027249999999999</v>
      </c>
      <c r="AV329">
        <v>1.7708200000000001E-4</v>
      </c>
      <c r="AW329">
        <v>23.66919</v>
      </c>
      <c r="AX329">
        <v>3.0813739999999998</v>
      </c>
    </row>
    <row r="330" spans="1:50" x14ac:dyDescent="0.2">
      <c r="A330" s="76">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26.237410000000001</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12.022040000000001</v>
      </c>
      <c r="AN330">
        <v>9.2906630000000003</v>
      </c>
      <c r="AP330">
        <v>3.6617899999999999</v>
      </c>
      <c r="AU330">
        <v>21.210550000000001</v>
      </c>
      <c r="AV330">
        <v>1.7784699999999999E-4</v>
      </c>
      <c r="AW330">
        <v>23.837949999999999</v>
      </c>
      <c r="AX330">
        <v>3.0813739999999998</v>
      </c>
    </row>
    <row r="331" spans="1:50" x14ac:dyDescent="0.2">
      <c r="A331" s="76">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26.34948</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12.07558</v>
      </c>
      <c r="AN331">
        <v>9.3313950000000006</v>
      </c>
      <c r="AP331">
        <v>3.8968210000000001</v>
      </c>
      <c r="AU331">
        <v>21.388269999999999</v>
      </c>
      <c r="AV331">
        <v>1.8018299999999999E-4</v>
      </c>
      <c r="AW331">
        <v>23.96453</v>
      </c>
      <c r="AX331">
        <v>3.1273650000000002</v>
      </c>
    </row>
    <row r="332" spans="1:50" x14ac:dyDescent="0.2">
      <c r="A332" s="76">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26.475239999999999</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12.146649999999999</v>
      </c>
      <c r="AN332">
        <v>9.3736789999999992</v>
      </c>
      <c r="AP332">
        <v>4.219989</v>
      </c>
      <c r="AU332">
        <v>21.414539999999999</v>
      </c>
      <c r="AV332">
        <v>1.81585E-4</v>
      </c>
      <c r="AW332">
        <v>24.091100000000001</v>
      </c>
      <c r="AX332">
        <v>3.1273650000000002</v>
      </c>
    </row>
    <row r="333" spans="1:50" x14ac:dyDescent="0.2">
      <c r="A333" s="76">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26.593489999999999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12.208299999999999</v>
      </c>
      <c r="AN333">
        <v>9.4475219999999993</v>
      </c>
      <c r="AP333">
        <v>4.2963740000000001</v>
      </c>
      <c r="AU333">
        <v>21.545860000000001</v>
      </c>
      <c r="AV333">
        <v>1.8413300000000001E-4</v>
      </c>
      <c r="AW333">
        <v>24.217669999999998</v>
      </c>
      <c r="AX333">
        <v>3.2193459999999998</v>
      </c>
    </row>
    <row r="334" spans="1:50" x14ac:dyDescent="0.2">
      <c r="A334" s="76">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26.82461</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12.33362</v>
      </c>
      <c r="AN334">
        <v>9.5509629999999994</v>
      </c>
      <c r="AP334">
        <v>4.4162410000000003</v>
      </c>
      <c r="AU334">
        <v>21.582190000000001</v>
      </c>
      <c r="AV334">
        <v>1.8744599999999999E-4</v>
      </c>
      <c r="AW334">
        <v>24.302050000000001</v>
      </c>
      <c r="AX334">
        <v>3.2193459999999998</v>
      </c>
    </row>
    <row r="335" spans="1:50" x14ac:dyDescent="0.2">
      <c r="A335" s="76">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27.040590000000002</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12.478020000000001</v>
      </c>
      <c r="AN335">
        <v>9.6743950000000005</v>
      </c>
      <c r="AP335">
        <v>4.5654849999999998</v>
      </c>
      <c r="AU335">
        <v>21.888999999999999</v>
      </c>
      <c r="AV335">
        <v>1.90292E-4</v>
      </c>
      <c r="AW335">
        <v>24.428629999999998</v>
      </c>
      <c r="AX335">
        <v>3.2193459999999998</v>
      </c>
    </row>
    <row r="336" spans="1:50" x14ac:dyDescent="0.2">
      <c r="A336" s="76">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27.172329999999999</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12.56697</v>
      </c>
      <c r="AN336">
        <v>9.7737370000000006</v>
      </c>
      <c r="AP336">
        <v>4.6254189999999999</v>
      </c>
      <c r="AU336">
        <v>22.058890000000002</v>
      </c>
      <c r="AV336">
        <v>1.9131199999999999E-4</v>
      </c>
      <c r="AW336">
        <v>24.47082</v>
      </c>
      <c r="AX336">
        <v>3.2193459999999998</v>
      </c>
    </row>
    <row r="337" spans="1:50" x14ac:dyDescent="0.2">
      <c r="A337" s="76">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27.309380000000001</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12.652480000000001</v>
      </c>
      <c r="AN337">
        <v>9.8435170000000003</v>
      </c>
      <c r="AP337">
        <v>4.8157940000000004</v>
      </c>
      <c r="AU337">
        <v>22.0913</v>
      </c>
      <c r="AV337">
        <v>1.97173E-4</v>
      </c>
      <c r="AW337">
        <v>24.555199999999999</v>
      </c>
      <c r="AX337">
        <v>3.2653370000000002</v>
      </c>
    </row>
    <row r="338" spans="1:50" x14ac:dyDescent="0.2">
      <c r="A338" s="76">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27.536940000000001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12.78213</v>
      </c>
      <c r="AN338">
        <v>9.9684840000000001</v>
      </c>
      <c r="AP338">
        <v>4.7958160000000003</v>
      </c>
      <c r="AU338">
        <v>22.36458</v>
      </c>
      <c r="AV338">
        <v>1.9849000000000001E-4</v>
      </c>
      <c r="AW338">
        <v>24.68177</v>
      </c>
      <c r="AX338">
        <v>3.3113269999999999</v>
      </c>
    </row>
    <row r="339" spans="1:50" x14ac:dyDescent="0.2">
      <c r="A339" s="76">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27.793410000000002</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12.90916</v>
      </c>
      <c r="AN339">
        <v>10.06546</v>
      </c>
      <c r="AP339">
        <v>4.930167</v>
      </c>
      <c r="AU339">
        <v>22.645119999999999</v>
      </c>
      <c r="AV339">
        <v>2.0159099999999999E-4</v>
      </c>
      <c r="AW339">
        <v>24.934920000000002</v>
      </c>
      <c r="AX339">
        <v>3.3113269999999999</v>
      </c>
    </row>
    <row r="340" spans="1:50" x14ac:dyDescent="0.2">
      <c r="A340" s="76">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27.986920000000001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13.02262</v>
      </c>
      <c r="AN340">
        <v>10.17314</v>
      </c>
      <c r="AP340">
        <v>5.3182910000000003</v>
      </c>
      <c r="AU340">
        <v>22.857479999999999</v>
      </c>
      <c r="AV340">
        <v>2.0664500000000001E-4</v>
      </c>
      <c r="AW340">
        <v>25.10369</v>
      </c>
      <c r="AX340">
        <v>3.3573179999999998</v>
      </c>
    </row>
    <row r="341" spans="1:50" x14ac:dyDescent="0.2">
      <c r="A341" s="76">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28.287109999999998</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13.175280000000001</v>
      </c>
      <c r="AN341">
        <v>10.30599</v>
      </c>
      <c r="AP341">
        <v>5.4994149999999999</v>
      </c>
      <c r="AU341">
        <v>23.129079999999998</v>
      </c>
      <c r="AV341">
        <v>2.0915199999999999E-4</v>
      </c>
      <c r="AW341">
        <v>25.314640000000001</v>
      </c>
      <c r="AX341">
        <v>3.4492989999999999</v>
      </c>
    </row>
    <row r="342" spans="1:50" x14ac:dyDescent="0.2">
      <c r="A342" s="76">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28.478200000000001</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13.267340000000001</v>
      </c>
      <c r="AN342">
        <v>10.38686</v>
      </c>
      <c r="AP342">
        <v>5.5392219999999996</v>
      </c>
      <c r="AU342">
        <v>23.411860000000001</v>
      </c>
      <c r="AV342">
        <v>2.1250699999999999E-4</v>
      </c>
      <c r="AW342">
        <v>25.441210000000002</v>
      </c>
      <c r="AX342">
        <v>3.4492989999999999</v>
      </c>
    </row>
    <row r="343" spans="1:50" x14ac:dyDescent="0.2">
      <c r="A343" s="76">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28.630890000000001</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13.35454</v>
      </c>
      <c r="AN343">
        <v>10.477980000000001</v>
      </c>
      <c r="AP343">
        <v>5.5332509999999999</v>
      </c>
      <c r="AU343">
        <v>23.937740000000002</v>
      </c>
      <c r="AV343">
        <v>2.13909E-4</v>
      </c>
      <c r="AW343">
        <v>25.60998</v>
      </c>
      <c r="AX343">
        <v>3.4492989999999999</v>
      </c>
    </row>
    <row r="344" spans="1:50" x14ac:dyDescent="0.2">
      <c r="A344" s="76">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28.73188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13.4353</v>
      </c>
      <c r="AN344">
        <v>10.55255</v>
      </c>
      <c r="AP344">
        <v>5.5372320000000004</v>
      </c>
      <c r="AU344">
        <v>24.15401</v>
      </c>
      <c r="AV344">
        <v>2.2163900000000001E-4</v>
      </c>
      <c r="AW344">
        <v>25.736550000000001</v>
      </c>
      <c r="AX344">
        <v>3.4952899999999998</v>
      </c>
    </row>
    <row r="345" spans="1:50" x14ac:dyDescent="0.2">
      <c r="A345" s="76">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28.826699999999999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13.50886</v>
      </c>
      <c r="AN345">
        <v>10.62932</v>
      </c>
      <c r="AP345">
        <v>5.6168469999999999</v>
      </c>
      <c r="AU345">
        <v>24.22052</v>
      </c>
      <c r="AV345">
        <v>2.2592900000000001E-4</v>
      </c>
      <c r="AW345">
        <v>25.820930000000001</v>
      </c>
      <c r="AX345">
        <v>3.5412810000000001</v>
      </c>
    </row>
    <row r="346" spans="1:50" x14ac:dyDescent="0.2">
      <c r="A346" s="76">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29.00543</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13.618119999999999</v>
      </c>
      <c r="AN346">
        <v>10.73588</v>
      </c>
      <c r="AP346">
        <v>5.5969429999999996</v>
      </c>
      <c r="AU346">
        <v>24.469760000000001</v>
      </c>
      <c r="AV346">
        <v>2.42453E-4</v>
      </c>
      <c r="AW346">
        <v>25.90532</v>
      </c>
      <c r="AX346">
        <v>3.5412810000000001</v>
      </c>
    </row>
    <row r="347" spans="1:50" x14ac:dyDescent="0.2">
      <c r="A347" s="76">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29.142890000000001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13.719099999999999</v>
      </c>
      <c r="AN347">
        <v>10.84783</v>
      </c>
      <c r="AP347">
        <v>5.7143759999999997</v>
      </c>
      <c r="AU347">
        <v>24.61562</v>
      </c>
      <c r="AV347">
        <v>2.59953E-4</v>
      </c>
      <c r="AW347">
        <v>25.989699999999999</v>
      </c>
      <c r="AX347">
        <v>3.5872709999999999</v>
      </c>
    </row>
    <row r="348" spans="1:50" x14ac:dyDescent="0.2">
      <c r="A348" s="76">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29.22512</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13.787229999999999</v>
      </c>
      <c r="AN348">
        <v>10.937580000000001</v>
      </c>
      <c r="AP348">
        <v>5.7820489999999998</v>
      </c>
      <c r="AU348">
        <v>24.810099999999998</v>
      </c>
      <c r="AV348">
        <v>2.7728300000000002E-4</v>
      </c>
      <c r="AW348">
        <v>26.11627</v>
      </c>
      <c r="AX348">
        <v>3.5872709999999999</v>
      </c>
    </row>
    <row r="349" spans="1:50" x14ac:dyDescent="0.2">
      <c r="A349" s="76">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29.31147</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13.85308</v>
      </c>
      <c r="AN349">
        <v>11.01027</v>
      </c>
      <c r="AP349">
        <v>5.8964949999999998</v>
      </c>
      <c r="AU349">
        <v>24.973839999999999</v>
      </c>
      <c r="AV349">
        <v>2.8938899999999998E-4</v>
      </c>
      <c r="AW349">
        <v>26.20065</v>
      </c>
      <c r="AX349">
        <v>3.6332620000000002</v>
      </c>
    </row>
    <row r="350" spans="1:50" x14ac:dyDescent="0.2">
      <c r="A350" s="76">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29.489629999999998</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13.96983</v>
      </c>
      <c r="AN350">
        <v>11.114610000000001</v>
      </c>
      <c r="AP350">
        <v>6.039803</v>
      </c>
      <c r="AU350">
        <v>25.4986</v>
      </c>
      <c r="AV350">
        <v>3.0094200000000001E-4</v>
      </c>
      <c r="AW350">
        <v>26.369420000000002</v>
      </c>
      <c r="AX350">
        <v>3.6792530000000001</v>
      </c>
    </row>
    <row r="351" spans="1:50" x14ac:dyDescent="0.2">
      <c r="A351" s="76">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29.678059999999999</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14.07591</v>
      </c>
      <c r="AN351">
        <v>11.206860000000001</v>
      </c>
      <c r="AP351">
        <v>6.0557259999999999</v>
      </c>
      <c r="AU351">
        <v>25.78753</v>
      </c>
      <c r="AV351">
        <v>3.16955E-4</v>
      </c>
      <c r="AW351">
        <v>26.538180000000001</v>
      </c>
      <c r="AX351">
        <v>3.6792530000000001</v>
      </c>
    </row>
    <row r="352" spans="1:50" x14ac:dyDescent="0.2">
      <c r="A352" s="76">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29.905360000000002</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14.18834</v>
      </c>
      <c r="AN352">
        <v>11.297319999999999</v>
      </c>
      <c r="AP352">
        <v>6.1104609999999999</v>
      </c>
      <c r="AU352">
        <v>25.795349999999999</v>
      </c>
      <c r="AV352">
        <v>3.2286000000000001E-4</v>
      </c>
      <c r="AW352">
        <v>26.749140000000001</v>
      </c>
      <c r="AX352">
        <v>3.6792530000000001</v>
      </c>
    </row>
    <row r="353" spans="1:50" x14ac:dyDescent="0.2">
      <c r="A353" s="76">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30.157250000000001</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14.327500000000001</v>
      </c>
      <c r="AN353">
        <v>11.427049999999999</v>
      </c>
      <c r="AP353">
        <v>6.4856470000000002</v>
      </c>
      <c r="AU353">
        <v>25.95965</v>
      </c>
      <c r="AV353">
        <v>3.3250199999999998E-4</v>
      </c>
      <c r="AW353">
        <v>26.960090000000001</v>
      </c>
      <c r="AX353">
        <v>3.7712340000000002</v>
      </c>
    </row>
    <row r="354" spans="1:50" x14ac:dyDescent="0.2">
      <c r="A354" s="76">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30.39723</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14.45063</v>
      </c>
      <c r="AN354">
        <v>11.522360000000001</v>
      </c>
      <c r="AP354">
        <v>6.5563060000000002</v>
      </c>
      <c r="AU354">
        <v>26.09937</v>
      </c>
      <c r="AV354">
        <v>3.49704E-4</v>
      </c>
      <c r="AW354">
        <v>27.213239999999999</v>
      </c>
      <c r="AX354">
        <v>3.7712340000000002</v>
      </c>
    </row>
    <row r="355" spans="1:50" x14ac:dyDescent="0.2">
      <c r="A355" s="76">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30.615010000000002</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14.56631</v>
      </c>
      <c r="AN355">
        <v>11.61115</v>
      </c>
      <c r="AP355">
        <v>6.5612820000000003</v>
      </c>
      <c r="AU355">
        <v>26.126750000000001</v>
      </c>
      <c r="AV355">
        <v>3.64061E-4</v>
      </c>
      <c r="AW355">
        <v>27.508579999999998</v>
      </c>
      <c r="AX355">
        <v>3.7712340000000002</v>
      </c>
    </row>
    <row r="356" spans="1:50" x14ac:dyDescent="0.2">
      <c r="A356" s="76">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30.805969999999999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14.685269999999999</v>
      </c>
      <c r="AN356">
        <v>11.70124</v>
      </c>
      <c r="AP356">
        <v>6.6856799999999996</v>
      </c>
      <c r="AU356">
        <v>26.238520000000001</v>
      </c>
      <c r="AV356">
        <v>3.7786599999999998E-4</v>
      </c>
      <c r="AW356">
        <v>27.719529999999999</v>
      </c>
      <c r="AX356">
        <v>3.9092060000000002</v>
      </c>
    </row>
    <row r="357" spans="1:50" x14ac:dyDescent="0.2">
      <c r="A357" s="76">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30.925190000000001</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14.75794</v>
      </c>
      <c r="AN357">
        <v>11.7684</v>
      </c>
      <c r="AP357">
        <v>6.7603200000000001</v>
      </c>
      <c r="AU357">
        <v>26.2212</v>
      </c>
      <c r="AV357">
        <v>3.8784799999999999E-4</v>
      </c>
      <c r="AW357">
        <v>27.8461</v>
      </c>
      <c r="AX357">
        <v>3.9551970000000001</v>
      </c>
    </row>
    <row r="358" spans="1:50" x14ac:dyDescent="0.2">
      <c r="A358" s="76">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31.133959999999998</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14.87617</v>
      </c>
      <c r="AN358">
        <v>11.866820000000001</v>
      </c>
      <c r="AP358">
        <v>6.8558579999999996</v>
      </c>
      <c r="AU358">
        <v>26.405609999999999</v>
      </c>
      <c r="AV358">
        <v>4.05263E-4</v>
      </c>
      <c r="AW358">
        <v>28.05706</v>
      </c>
      <c r="AX358">
        <v>4.0011869999999998</v>
      </c>
    </row>
    <row r="359" spans="1:50" x14ac:dyDescent="0.2">
      <c r="A359" s="76">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31.35417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15.00831</v>
      </c>
      <c r="AN359">
        <v>11.974349999999999</v>
      </c>
      <c r="AP359">
        <v>7.0638519999999998</v>
      </c>
      <c r="AU359">
        <v>26.540299999999998</v>
      </c>
      <c r="AV359">
        <v>4.2484400000000001E-4</v>
      </c>
      <c r="AW359">
        <v>28.310210000000001</v>
      </c>
      <c r="AX359">
        <v>4.0471779999999997</v>
      </c>
    </row>
    <row r="360" spans="1:50" x14ac:dyDescent="0.2">
      <c r="A360" s="76">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31.458680000000001</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15.075390000000001</v>
      </c>
      <c r="AN360">
        <v>12.0595</v>
      </c>
      <c r="AP360">
        <v>7.1454579999999996</v>
      </c>
      <c r="AU360">
        <v>26.647600000000001</v>
      </c>
      <c r="AV360">
        <v>4.3822400000000002E-4</v>
      </c>
      <c r="AW360">
        <v>28.436779999999999</v>
      </c>
      <c r="AX360">
        <v>4.0471779999999997</v>
      </c>
    </row>
    <row r="361" spans="1:50" x14ac:dyDescent="0.2">
      <c r="A361" s="76">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31.57845</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15.14682</v>
      </c>
      <c r="AN361">
        <v>12.137309999999999</v>
      </c>
      <c r="AP361">
        <v>7.274832</v>
      </c>
      <c r="AU361">
        <v>26.814689999999999</v>
      </c>
      <c r="AV361">
        <v>4.4557199999999998E-4</v>
      </c>
      <c r="AW361">
        <v>28.56335</v>
      </c>
      <c r="AX361">
        <v>4.0471779999999997</v>
      </c>
    </row>
    <row r="362" spans="1:50" x14ac:dyDescent="0.2">
      <c r="A362" s="76">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31.860910000000001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15.31002</v>
      </c>
      <c r="AN362">
        <v>12.287430000000001</v>
      </c>
      <c r="AP362">
        <v>7.3325529999999999</v>
      </c>
      <c r="AU362">
        <v>26.99297</v>
      </c>
      <c r="AV362">
        <v>4.5597900000000002E-4</v>
      </c>
      <c r="AW362">
        <v>28.816500000000001</v>
      </c>
      <c r="AX362">
        <v>4.0931689999999996</v>
      </c>
    </row>
    <row r="363" spans="1:50" x14ac:dyDescent="0.2">
      <c r="A363" s="76">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32.129040000000003</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15.446020000000001</v>
      </c>
      <c r="AN363">
        <v>12.38593</v>
      </c>
      <c r="AP363">
        <v>7.4559559999999996</v>
      </c>
      <c r="AU363">
        <v>27.212589999999999</v>
      </c>
      <c r="AV363">
        <v>4.6617300000000001E-4</v>
      </c>
      <c r="AW363">
        <v>29.154029999999999</v>
      </c>
      <c r="AX363">
        <v>4.1391590000000003</v>
      </c>
    </row>
    <row r="364" spans="1:50" x14ac:dyDescent="0.2">
      <c r="A364" s="76">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32.434199999999997</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15.598240000000001</v>
      </c>
      <c r="AN364">
        <v>12.505179999999999</v>
      </c>
      <c r="AP364">
        <v>7.5753789999999999</v>
      </c>
      <c r="AU364">
        <v>27.351749999999999</v>
      </c>
      <c r="AV364">
        <v>4.7781199999999998E-4</v>
      </c>
      <c r="AW364">
        <v>29.449359999999999</v>
      </c>
      <c r="AX364">
        <v>4.1851500000000001</v>
      </c>
    </row>
    <row r="365" spans="1:50" x14ac:dyDescent="0.2">
      <c r="A365" s="76">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32.785980000000002</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15.7865</v>
      </c>
      <c r="AN365">
        <v>12.656129999999999</v>
      </c>
      <c r="AP365">
        <v>7.7923309999999999</v>
      </c>
      <c r="AU365">
        <v>27.50487</v>
      </c>
      <c r="AV365">
        <v>5.0215000000000004E-4</v>
      </c>
      <c r="AW365">
        <v>29.78689</v>
      </c>
      <c r="AX365">
        <v>4.231141</v>
      </c>
    </row>
    <row r="366" spans="1:50" x14ac:dyDescent="0.2">
      <c r="A366" s="76">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33.12462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15.95833</v>
      </c>
      <c r="AN366">
        <v>12.77575</v>
      </c>
      <c r="AP366">
        <v>8.0192340000000009</v>
      </c>
      <c r="AU366">
        <v>27.670850000000002</v>
      </c>
      <c r="AV366">
        <v>5.2428000000000002E-4</v>
      </c>
      <c r="AW366">
        <v>30.166609999999999</v>
      </c>
      <c r="AX366">
        <v>4.231141</v>
      </c>
    </row>
    <row r="367" spans="1:50" x14ac:dyDescent="0.2">
      <c r="A367" s="76">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33.422699999999999</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16.133949999999999</v>
      </c>
      <c r="AN367">
        <v>12.95664</v>
      </c>
      <c r="AP367">
        <v>8.0421230000000001</v>
      </c>
      <c r="AU367">
        <v>27.793800000000001</v>
      </c>
      <c r="AV367">
        <v>5.8102800000000003E-4</v>
      </c>
      <c r="AW367">
        <v>30.50414</v>
      </c>
      <c r="AX367">
        <v>4.2771309999999998</v>
      </c>
    </row>
    <row r="368" spans="1:50" x14ac:dyDescent="0.2">
      <c r="A368" s="76">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33.830950000000001</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16.36186</v>
      </c>
      <c r="AN368">
        <v>13.194750000000001</v>
      </c>
      <c r="AP368">
        <v>8.0650119999999994</v>
      </c>
      <c r="AU368">
        <v>27.984359999999999</v>
      </c>
      <c r="AV368">
        <v>6.31362E-4</v>
      </c>
      <c r="AW368">
        <v>30.841670000000001</v>
      </c>
      <c r="AX368">
        <v>4.4610940000000001</v>
      </c>
    </row>
    <row r="369" spans="1:50" x14ac:dyDescent="0.2">
      <c r="A369" s="76">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34.03246</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16.478719999999999</v>
      </c>
      <c r="AN369">
        <v>13.31287</v>
      </c>
      <c r="AP369">
        <v>8.2361850000000008</v>
      </c>
      <c r="AU369">
        <v>28.378350000000001</v>
      </c>
      <c r="AV369">
        <v>6.5773999999999997E-4</v>
      </c>
      <c r="AW369">
        <v>31.13701</v>
      </c>
      <c r="AX369">
        <v>4.5070839999999999</v>
      </c>
    </row>
    <row r="370" spans="1:50" x14ac:dyDescent="0.2">
      <c r="A370" s="76">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34.413879999999999</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16.673500000000001</v>
      </c>
      <c r="AN370">
        <v>13.486230000000001</v>
      </c>
      <c r="AP370">
        <v>8.4173100000000005</v>
      </c>
      <c r="AU370">
        <v>28.501300000000001</v>
      </c>
      <c r="AV370">
        <v>6.8827999999999999E-4</v>
      </c>
      <c r="AW370">
        <v>31.474530000000001</v>
      </c>
      <c r="AX370">
        <v>4.5530749999999998</v>
      </c>
    </row>
    <row r="371" spans="1:50" x14ac:dyDescent="0.2">
      <c r="A371" s="76">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34.722079999999998</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16.869689999999999</v>
      </c>
      <c r="AN371">
        <v>13.67665</v>
      </c>
      <c r="AP371">
        <v>8.598433</v>
      </c>
      <c r="AU371">
        <v>28.77178</v>
      </c>
      <c r="AV371">
        <v>7.3585299999999996E-4</v>
      </c>
      <c r="AW371">
        <v>31.727679999999999</v>
      </c>
      <c r="AX371">
        <v>4.5990659999999997</v>
      </c>
    </row>
    <row r="372" spans="1:50" x14ac:dyDescent="0.2">
      <c r="A372" s="76">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34.976419999999997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17.01615</v>
      </c>
      <c r="AN372">
        <v>13.82446</v>
      </c>
      <c r="AP372">
        <v>8.6889959999999995</v>
      </c>
      <c r="AU372">
        <v>29.189800000000002</v>
      </c>
      <c r="AV372">
        <v>7.7399599999999999E-4</v>
      </c>
      <c r="AW372">
        <v>32.023020000000002</v>
      </c>
      <c r="AX372">
        <v>4.5990659999999997</v>
      </c>
    </row>
    <row r="373" spans="1:50" x14ac:dyDescent="0.2">
      <c r="A373" s="76">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35.295859999999998</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17.19791</v>
      </c>
      <c r="AN373">
        <v>13.982559999999999</v>
      </c>
      <c r="AP373">
        <v>8.8024470000000008</v>
      </c>
      <c r="AU373">
        <v>29.43122</v>
      </c>
      <c r="AV373">
        <v>8.1022799999999997E-4</v>
      </c>
      <c r="AW373">
        <v>32.360550000000003</v>
      </c>
      <c r="AX373">
        <v>4.6450560000000003</v>
      </c>
    </row>
    <row r="374" spans="1:50" x14ac:dyDescent="0.2">
      <c r="A374" s="76">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35.809519999999999</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17.51981</v>
      </c>
      <c r="AN374">
        <v>14.29237</v>
      </c>
      <c r="AP374">
        <v>8.8840529999999998</v>
      </c>
      <c r="AT374">
        <v>3.43517E-4</v>
      </c>
      <c r="AU374">
        <v>30.413679999999999</v>
      </c>
      <c r="AV374">
        <v>8.9458599999999995E-4</v>
      </c>
      <c r="AW374">
        <v>32.824649999999998</v>
      </c>
      <c r="AX374">
        <v>4.6450560000000003</v>
      </c>
    </row>
    <row r="375" spans="1:50" x14ac:dyDescent="0.2">
      <c r="A375" s="76">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36.277850000000001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17.79326</v>
      </c>
      <c r="AN375">
        <v>14.55114</v>
      </c>
      <c r="AP375">
        <v>9.0492539999999995</v>
      </c>
      <c r="AT375">
        <v>3.5909499999999998E-4</v>
      </c>
      <c r="AU375">
        <v>30.876429999999999</v>
      </c>
      <c r="AV375">
        <v>1.0134759999999999E-3</v>
      </c>
      <c r="AW375">
        <v>33.28875</v>
      </c>
      <c r="AX375">
        <v>4.6910470000000002</v>
      </c>
    </row>
    <row r="376" spans="1:50" x14ac:dyDescent="0.2">
      <c r="A376" s="76">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36.695390000000003</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18.01042</v>
      </c>
      <c r="AN376">
        <v>14.703049999999999</v>
      </c>
      <c r="AP376">
        <v>9.1646970000000003</v>
      </c>
      <c r="AT376">
        <v>3.6975300000000001E-4</v>
      </c>
      <c r="AU376">
        <v>31.032800000000002</v>
      </c>
      <c r="AV376">
        <v>1.0517040000000001E-3</v>
      </c>
      <c r="AW376">
        <v>33.79504</v>
      </c>
      <c r="AX376">
        <v>4.7370380000000001</v>
      </c>
    </row>
    <row r="377" spans="1:50" x14ac:dyDescent="0.2">
      <c r="A377" s="76">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37.185389999999998</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18.26557</v>
      </c>
      <c r="AN377">
        <v>14.927429999999999</v>
      </c>
      <c r="AP377">
        <v>9.2263979999999997</v>
      </c>
      <c r="AT377">
        <v>3.7795100000000001E-4</v>
      </c>
      <c r="AU377">
        <v>31.24343</v>
      </c>
      <c r="AV377">
        <v>1.091886E-3</v>
      </c>
      <c r="AW377">
        <v>34.174759999999999</v>
      </c>
      <c r="AX377">
        <v>4.783029</v>
      </c>
    </row>
    <row r="378" spans="1:50" x14ac:dyDescent="0.2">
      <c r="A378" s="76">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37.521839999999997</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18.441089999999999</v>
      </c>
      <c r="AN378">
        <v>15.056089999999999</v>
      </c>
      <c r="AP378">
        <v>9.2164459999999995</v>
      </c>
      <c r="AT378">
        <v>3.8369000000000001E-4</v>
      </c>
      <c r="AU378">
        <v>31.342369999999999</v>
      </c>
      <c r="AV378">
        <v>1.124805E-3</v>
      </c>
      <c r="AW378">
        <v>34.51229</v>
      </c>
      <c r="AX378">
        <v>4.8290189999999997</v>
      </c>
    </row>
    <row r="379" spans="1:50" x14ac:dyDescent="0.2">
      <c r="A379" s="76">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37.843000000000004</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18.621980000000001</v>
      </c>
      <c r="AN379">
        <v>15.196059999999999</v>
      </c>
      <c r="AP379">
        <v>9.3129799999999996</v>
      </c>
      <c r="AT379">
        <v>3.9762800000000002E-4</v>
      </c>
      <c r="AU379">
        <v>31.425339999999998</v>
      </c>
      <c r="AV379">
        <v>1.169914E-3</v>
      </c>
      <c r="AW379">
        <v>34.892009999999999</v>
      </c>
      <c r="AX379">
        <v>4.9210000000000003</v>
      </c>
    </row>
    <row r="380" spans="1:50" x14ac:dyDescent="0.2">
      <c r="A380" s="76">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37.982700000000001</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18.738890000000001</v>
      </c>
      <c r="AN380">
        <v>15.347519999999999</v>
      </c>
      <c r="AP380">
        <v>9.4025470000000002</v>
      </c>
      <c r="AT380">
        <v>4.0582599999999997E-4</v>
      </c>
      <c r="AU380">
        <v>31.69023</v>
      </c>
      <c r="AV380">
        <v>1.194805E-3</v>
      </c>
      <c r="AW380">
        <v>34.892009999999999</v>
      </c>
      <c r="AX380">
        <v>5.012982</v>
      </c>
    </row>
    <row r="381" spans="1:50" x14ac:dyDescent="0.2">
      <c r="A381" s="76">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38.19735</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18.874220000000001</v>
      </c>
      <c r="AN381">
        <v>15.46696</v>
      </c>
      <c r="AP381">
        <v>9.4921129999999998</v>
      </c>
      <c r="AT381">
        <v>4.0254700000000001E-4</v>
      </c>
      <c r="AU381">
        <v>31.868939999999998</v>
      </c>
      <c r="AV381">
        <v>1.2377060000000001E-3</v>
      </c>
      <c r="AW381">
        <v>35.145159999999997</v>
      </c>
      <c r="AX381">
        <v>5.012982</v>
      </c>
    </row>
    <row r="382" spans="1:50" x14ac:dyDescent="0.2">
      <c r="A382" s="76">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38.548389999999998</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19.064080000000001</v>
      </c>
      <c r="AN382">
        <v>15.62767</v>
      </c>
      <c r="AP382">
        <v>9.5080369999999998</v>
      </c>
      <c r="AT382">
        <v>4.1484399999999999E-4</v>
      </c>
      <c r="AU382">
        <v>32.775289999999998</v>
      </c>
      <c r="AV382">
        <v>1.2849389999999999E-3</v>
      </c>
      <c r="AW382">
        <v>35.440489999999997</v>
      </c>
      <c r="AX382">
        <v>5.1509539999999996</v>
      </c>
    </row>
    <row r="383" spans="1:50" x14ac:dyDescent="0.2">
      <c r="A383" s="76">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38.861460000000001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19.25928</v>
      </c>
      <c r="AN383">
        <v>15.79862</v>
      </c>
      <c r="AP383">
        <v>9.5946180000000005</v>
      </c>
      <c r="AT383">
        <v>4.3288099999999998E-4</v>
      </c>
      <c r="AU383">
        <v>33.241230000000002</v>
      </c>
      <c r="AV383">
        <v>1.344236E-3</v>
      </c>
      <c r="AW383">
        <v>35.778019999999998</v>
      </c>
      <c r="AX383">
        <v>5.2429350000000001</v>
      </c>
    </row>
    <row r="384" spans="1:50" x14ac:dyDescent="0.2">
      <c r="A384" s="76">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39.183439999999997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19.429030000000001</v>
      </c>
      <c r="AN384">
        <v>15.961320000000001</v>
      </c>
      <c r="AP384">
        <v>9.6533350000000002</v>
      </c>
      <c r="AT384">
        <v>4.4517899999999997E-4</v>
      </c>
      <c r="AU384">
        <v>33.44547</v>
      </c>
      <c r="AV384">
        <v>1.3639870000000001E-3</v>
      </c>
      <c r="AW384">
        <v>36.073360000000001</v>
      </c>
      <c r="AX384">
        <v>5.288926</v>
      </c>
    </row>
    <row r="385" spans="1:50" x14ac:dyDescent="0.2">
      <c r="A385" s="76">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39.427349999999997</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19.602029999999999</v>
      </c>
      <c r="AN385">
        <v>16.108640000000001</v>
      </c>
      <c r="AP385">
        <v>9.9170590000000001</v>
      </c>
      <c r="AT385">
        <v>4.68135E-4</v>
      </c>
      <c r="AU385">
        <v>33.589080000000003</v>
      </c>
      <c r="AV385">
        <v>1.418484E-3</v>
      </c>
      <c r="AW385">
        <v>36.410890000000002</v>
      </c>
      <c r="AX385">
        <v>5.3809069999999997</v>
      </c>
    </row>
    <row r="386" spans="1:50" x14ac:dyDescent="0.2">
      <c r="A386" s="76">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39.816020000000002</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19.852070000000001</v>
      </c>
      <c r="AN386">
        <v>16.340219999999999</v>
      </c>
      <c r="AP386">
        <v>10.21462</v>
      </c>
      <c r="AT386">
        <v>5.14866E-4</v>
      </c>
      <c r="AU386">
        <v>34.214590000000001</v>
      </c>
      <c r="AV386">
        <v>1.4690300000000001E-3</v>
      </c>
      <c r="AW386">
        <v>36.706229999999998</v>
      </c>
      <c r="AX386">
        <v>5.3809069999999997</v>
      </c>
    </row>
    <row r="387" spans="1:50" x14ac:dyDescent="0.2">
      <c r="A387" s="76">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40.176679999999998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20.04223</v>
      </c>
      <c r="AN387">
        <v>16.509170000000001</v>
      </c>
      <c r="AP387">
        <v>10.354939999999999</v>
      </c>
      <c r="AT387">
        <v>5.2470399999999997E-4</v>
      </c>
      <c r="AU387">
        <v>34.865630000000003</v>
      </c>
      <c r="AV387">
        <v>1.490056E-3</v>
      </c>
      <c r="AW387">
        <v>37.085949999999997</v>
      </c>
      <c r="AX387">
        <v>5.4728880000000002</v>
      </c>
    </row>
    <row r="388" spans="1:50" x14ac:dyDescent="0.2">
      <c r="A388" s="76">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40.498350000000002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20.225930000000002</v>
      </c>
      <c r="AN388">
        <v>16.695879999999999</v>
      </c>
      <c r="AP388">
        <v>10.483320000000001</v>
      </c>
      <c r="AT388">
        <v>5.3864199999999998E-4</v>
      </c>
      <c r="AU388">
        <v>35.053919999999998</v>
      </c>
      <c r="AV388">
        <v>1.500122E-3</v>
      </c>
      <c r="AW388">
        <v>37.339089999999999</v>
      </c>
      <c r="AX388">
        <v>5.4728880000000002</v>
      </c>
    </row>
    <row r="389" spans="1:50" x14ac:dyDescent="0.2">
      <c r="A389" s="76">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40.875219999999999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20.432559999999999</v>
      </c>
      <c r="AN389">
        <v>16.89584</v>
      </c>
      <c r="AP389">
        <v>10.75103</v>
      </c>
      <c r="AT389">
        <v>5.4684000000000004E-4</v>
      </c>
      <c r="AU389">
        <v>35.26455</v>
      </c>
      <c r="AV389">
        <v>1.5085330000000001E-3</v>
      </c>
      <c r="AW389">
        <v>37.592239999999997</v>
      </c>
      <c r="AX389">
        <v>5.5188790000000001</v>
      </c>
    </row>
    <row r="390" spans="1:50" x14ac:dyDescent="0.2">
      <c r="A390" s="76">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41.217309999999998</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20.61026</v>
      </c>
      <c r="AN390">
        <v>17.041910000000001</v>
      </c>
      <c r="AP390">
        <v>10.80775</v>
      </c>
      <c r="AT390">
        <v>5.6569699999999999E-4</v>
      </c>
      <c r="AU390">
        <v>35.478369999999998</v>
      </c>
      <c r="AV390">
        <v>1.5501169999999999E-3</v>
      </c>
      <c r="AW390">
        <v>37.88758</v>
      </c>
      <c r="AX390">
        <v>5.5648689999999998</v>
      </c>
    </row>
    <row r="391" spans="1:50" x14ac:dyDescent="0.2">
      <c r="A391" s="76">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41.532649999999997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20.785309999999999</v>
      </c>
      <c r="AN391">
        <v>17.18657</v>
      </c>
      <c r="AP391">
        <v>10.882389999999999</v>
      </c>
      <c r="AT391">
        <v>5.7225600000000005E-4</v>
      </c>
      <c r="AU391">
        <v>35.609220000000001</v>
      </c>
      <c r="AV391">
        <v>1.611197E-3</v>
      </c>
      <c r="AW391">
        <v>38.225110000000001</v>
      </c>
      <c r="AX391">
        <v>5.6108599999999997</v>
      </c>
    </row>
    <row r="392" spans="1:50" x14ac:dyDescent="0.2">
      <c r="A392" s="76">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41.87041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20.985489999999999</v>
      </c>
      <c r="AN392">
        <v>17.354559999999999</v>
      </c>
      <c r="AP392">
        <v>11.16901</v>
      </c>
      <c r="AT392">
        <v>5.7307500000000004E-4</v>
      </c>
      <c r="AU392">
        <v>35.934739999999998</v>
      </c>
      <c r="AV392">
        <v>1.633284E-3</v>
      </c>
      <c r="AW392">
        <v>38.647019999999998</v>
      </c>
      <c r="AX392">
        <v>5.7488320000000002</v>
      </c>
    </row>
    <row r="393" spans="1:50" x14ac:dyDescent="0.2">
      <c r="A393" s="76">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42.123069999999998</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21.130759999999999</v>
      </c>
      <c r="AN393">
        <v>17.48245</v>
      </c>
      <c r="AP393">
        <v>11.460599999999999</v>
      </c>
      <c r="AT393">
        <v>5.7307500000000004E-4</v>
      </c>
      <c r="AU393">
        <v>36.206000000000003</v>
      </c>
      <c r="AV393">
        <v>1.646834E-3</v>
      </c>
      <c r="AW393">
        <v>38.942360000000001</v>
      </c>
      <c r="AX393">
        <v>5.840814</v>
      </c>
    </row>
    <row r="394" spans="1:50" x14ac:dyDescent="0.2">
      <c r="A394" s="76">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42.540370000000003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21.363209999999999</v>
      </c>
      <c r="AN394">
        <v>17.676729999999999</v>
      </c>
      <c r="AP394">
        <v>11.63575</v>
      </c>
      <c r="AT394">
        <v>5.8209400000000001E-4</v>
      </c>
      <c r="AU394">
        <v>36.467689999999997</v>
      </c>
      <c r="AV394">
        <v>1.725372E-3</v>
      </c>
      <c r="AW394">
        <v>39.322069999999997</v>
      </c>
      <c r="AX394">
        <v>5.9787860000000004</v>
      </c>
    </row>
    <row r="395" spans="1:50" x14ac:dyDescent="0.2">
      <c r="A395" s="76">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42.780459999999998</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21.536670000000001</v>
      </c>
      <c r="AN395">
        <v>17.87368</v>
      </c>
      <c r="AP395">
        <v>11.831799999999999</v>
      </c>
      <c r="AT395">
        <v>6.0587E-4</v>
      </c>
      <c r="AU395">
        <v>36.703850000000003</v>
      </c>
      <c r="AV395">
        <v>1.7660639999999999E-3</v>
      </c>
      <c r="AW395">
        <v>39.406460000000003</v>
      </c>
      <c r="AX395">
        <v>6.0247760000000001</v>
      </c>
    </row>
    <row r="396" spans="1:50" x14ac:dyDescent="0.2">
      <c r="A396" s="76">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43.004219999999997</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21.67286</v>
      </c>
      <c r="AN396">
        <v>18.049209999999999</v>
      </c>
      <c r="AP396">
        <v>11.970129999999999</v>
      </c>
      <c r="AT396">
        <v>6.1488799999999996E-4</v>
      </c>
      <c r="AU396">
        <v>36.841079999999998</v>
      </c>
      <c r="AV396">
        <v>1.803528E-3</v>
      </c>
      <c r="AW396">
        <v>39.533029999999997</v>
      </c>
      <c r="AX396">
        <v>6.070767</v>
      </c>
    </row>
    <row r="397" spans="1:50" x14ac:dyDescent="0.2">
      <c r="A397" s="76">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43.173879999999997</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21.798940000000002</v>
      </c>
      <c r="AN397">
        <v>18.174019999999999</v>
      </c>
      <c r="AP397">
        <v>12.26571</v>
      </c>
      <c r="AT397">
        <v>6.3538400000000001E-4</v>
      </c>
      <c r="AU397">
        <v>36.65598</v>
      </c>
      <c r="AV397">
        <v>1.8241290000000001E-3</v>
      </c>
      <c r="AW397">
        <v>39.659599999999998</v>
      </c>
      <c r="AX397">
        <v>6.1167569999999998</v>
      </c>
    </row>
    <row r="398" spans="1:50" x14ac:dyDescent="0.2">
      <c r="A398" s="76">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43.401859999999999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22.01324</v>
      </c>
      <c r="AN398">
        <v>18.413489999999999</v>
      </c>
      <c r="AP398">
        <v>12.50853</v>
      </c>
      <c r="AT398">
        <v>6.4932100000000001E-4</v>
      </c>
      <c r="AU398">
        <v>37.460209999999996</v>
      </c>
      <c r="AV398">
        <v>1.9120540000000001E-3</v>
      </c>
      <c r="AW398">
        <v>39.786169999999998</v>
      </c>
      <c r="AX398">
        <v>6.1167569999999998</v>
      </c>
    </row>
    <row r="399" spans="1:50" x14ac:dyDescent="0.2">
      <c r="A399" s="76">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43.574249999999999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22.154160000000001</v>
      </c>
      <c r="AN399">
        <v>18.5442</v>
      </c>
      <c r="AP399">
        <v>12.85187</v>
      </c>
      <c r="AT399">
        <v>6.6325900000000003E-4</v>
      </c>
      <c r="AU399">
        <v>37.98997</v>
      </c>
      <c r="AV399">
        <v>1.955591E-3</v>
      </c>
      <c r="AW399">
        <v>39.912750000000003</v>
      </c>
      <c r="AX399">
        <v>6.2087389999999996</v>
      </c>
    </row>
    <row r="400" spans="1:50" x14ac:dyDescent="0.2">
      <c r="A400" s="76">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43.681690000000003</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22.27834</v>
      </c>
      <c r="AN400">
        <v>18.696300000000001</v>
      </c>
      <c r="AP400">
        <v>13.168340000000001</v>
      </c>
      <c r="AT400">
        <v>6.9359399999999996E-4</v>
      </c>
      <c r="AU400">
        <v>38.085720000000002</v>
      </c>
      <c r="AV400">
        <v>2.0001530000000002E-3</v>
      </c>
      <c r="AW400">
        <v>39.870559999999998</v>
      </c>
      <c r="AX400">
        <v>6.346711</v>
      </c>
    </row>
    <row r="401" spans="1:50" x14ac:dyDescent="0.2">
      <c r="A401" s="76">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43.972709999999999</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22.507919999999999</v>
      </c>
      <c r="AN401">
        <v>18.88748</v>
      </c>
      <c r="AP401">
        <v>13.409179999999999</v>
      </c>
      <c r="AT401">
        <v>6.9687299999999998E-4</v>
      </c>
      <c r="AU401">
        <v>38.34102</v>
      </c>
      <c r="AV401">
        <v>2.0191039999999999E-3</v>
      </c>
      <c r="AW401">
        <v>40.039319999999996</v>
      </c>
      <c r="AX401">
        <v>6.4386919999999996</v>
      </c>
    </row>
    <row r="402" spans="1:50" x14ac:dyDescent="0.2">
      <c r="A402" s="76">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44.346040000000002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22.75479</v>
      </c>
      <c r="AN402">
        <v>19.04467</v>
      </c>
      <c r="AP402">
        <v>13.42013</v>
      </c>
      <c r="AT402">
        <v>7.2884700000000002E-4</v>
      </c>
      <c r="AU402">
        <v>38.503779999999999</v>
      </c>
      <c r="AV402">
        <v>2.025251E-3</v>
      </c>
      <c r="AW402">
        <v>40.419040000000003</v>
      </c>
      <c r="AX402">
        <v>6.4846830000000004</v>
      </c>
    </row>
    <row r="403" spans="1:50" x14ac:dyDescent="0.2">
      <c r="A403" s="76">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44.759860000000003</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23.015750000000001</v>
      </c>
      <c r="AN403">
        <v>19.213519999999999</v>
      </c>
      <c r="AP403">
        <v>13.552490000000001</v>
      </c>
      <c r="AT403">
        <v>7.4606399999999995E-4</v>
      </c>
      <c r="AU403">
        <v>38.634630000000001</v>
      </c>
      <c r="AV403">
        <v>2.0595679999999999E-3</v>
      </c>
      <c r="AW403">
        <v>40.925330000000002</v>
      </c>
      <c r="AX403">
        <v>6.5306740000000003</v>
      </c>
    </row>
    <row r="404" spans="1:50" x14ac:dyDescent="0.2">
      <c r="A404" s="76">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44.908070000000002</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23.189430000000002</v>
      </c>
      <c r="AN404">
        <v>19.315010000000001</v>
      </c>
      <c r="AP404">
        <v>13.538550000000001</v>
      </c>
      <c r="AT404">
        <v>7.6820000000000002E-4</v>
      </c>
      <c r="AU404">
        <v>38.902700000000003</v>
      </c>
      <c r="AV404">
        <v>2.080569E-3</v>
      </c>
      <c r="AW404">
        <v>41.136290000000002</v>
      </c>
      <c r="AX404">
        <v>6.5766640000000001</v>
      </c>
    </row>
    <row r="405" spans="1:50" x14ac:dyDescent="0.2">
      <c r="A405" s="76">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45.078479999999999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23.440809999999999</v>
      </c>
      <c r="AN405">
        <v>19.407830000000001</v>
      </c>
      <c r="AP405">
        <v>13.76844</v>
      </c>
      <c r="AT405">
        <v>7.6491999999999999E-4</v>
      </c>
      <c r="AU405">
        <v>39.004829999999998</v>
      </c>
      <c r="AV405">
        <v>2.10874E-3</v>
      </c>
      <c r="AW405">
        <v>41.220669999999998</v>
      </c>
      <c r="AX405">
        <v>6.6686449999999997</v>
      </c>
    </row>
    <row r="406" spans="1:50" x14ac:dyDescent="0.2">
      <c r="A406" s="76">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45.31176</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23.654879999999999</v>
      </c>
      <c r="AN406">
        <v>19.545839999999998</v>
      </c>
      <c r="AP406">
        <v>13.94459</v>
      </c>
      <c r="AT406">
        <v>7.7639799999999998E-4</v>
      </c>
      <c r="AU406">
        <v>39.21546</v>
      </c>
      <c r="AV406">
        <v>2.1743019999999999E-3</v>
      </c>
      <c r="AW406">
        <v>41.305050000000001</v>
      </c>
      <c r="AX406">
        <v>6.7606270000000004</v>
      </c>
    </row>
    <row r="407" spans="1:50" x14ac:dyDescent="0.2">
      <c r="A407" s="76">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45.533250000000002</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23.886389999999999</v>
      </c>
      <c r="AN407">
        <v>19.726220000000001</v>
      </c>
      <c r="AP407">
        <v>14.02819</v>
      </c>
      <c r="AT407">
        <v>7.9033599999999999E-4</v>
      </c>
      <c r="AU407">
        <v>39.761180000000003</v>
      </c>
      <c r="AV407">
        <v>2.2332049999999998E-3</v>
      </c>
      <c r="AW407">
        <v>41.431629999999998</v>
      </c>
      <c r="AX407">
        <v>6.852608</v>
      </c>
    </row>
    <row r="408" spans="1:50" x14ac:dyDescent="0.2">
      <c r="A408" s="76">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45.564790000000002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24.015239999999999</v>
      </c>
      <c r="AN408">
        <v>19.870200000000001</v>
      </c>
      <c r="AP408">
        <v>14.14363</v>
      </c>
      <c r="AT408">
        <v>8.0837200000000002E-4</v>
      </c>
      <c r="AU408">
        <v>40.077129999999997</v>
      </c>
      <c r="AV408">
        <v>2.2849379999999998E-3</v>
      </c>
      <c r="AW408">
        <v>41.347239999999999</v>
      </c>
      <c r="AX408">
        <v>6.9445889999999997</v>
      </c>
    </row>
    <row r="409" spans="1:50" x14ac:dyDescent="0.2">
      <c r="A409" s="76">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45.543979999999998</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24.2606</v>
      </c>
      <c r="AN409">
        <v>20.018229999999999</v>
      </c>
      <c r="AP409">
        <v>14.505879999999999</v>
      </c>
      <c r="AT409">
        <v>8.2313000000000004E-4</v>
      </c>
      <c r="AU409">
        <v>40.192010000000003</v>
      </c>
      <c r="AV409">
        <v>2.3648419999999998E-3</v>
      </c>
      <c r="AW409">
        <v>41.17848</v>
      </c>
      <c r="AX409">
        <v>6.9445889999999997</v>
      </c>
    </row>
    <row r="410" spans="1:50" x14ac:dyDescent="0.2">
      <c r="A410" s="76">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45.703029999999998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24.522179999999999</v>
      </c>
      <c r="AN410">
        <v>20.226369999999999</v>
      </c>
      <c r="AP410">
        <v>15.07512</v>
      </c>
      <c r="AT410">
        <v>8.32148E-4</v>
      </c>
      <c r="AU410">
        <v>41.079210000000003</v>
      </c>
      <c r="AV410">
        <v>2.4642090000000002E-3</v>
      </c>
      <c r="AW410">
        <v>41.262860000000003</v>
      </c>
      <c r="AX410">
        <v>6.9905799999999996</v>
      </c>
    </row>
    <row r="411" spans="1:50" x14ac:dyDescent="0.2">
      <c r="A411" s="76">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45.798789999999997</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24.661100000000001</v>
      </c>
      <c r="AN411">
        <v>20.357189999999999</v>
      </c>
      <c r="AP411">
        <v>15.38264</v>
      </c>
      <c r="AT411">
        <v>8.6986099999999998E-4</v>
      </c>
      <c r="AU411">
        <v>41.095170000000003</v>
      </c>
      <c r="AV411">
        <v>2.5261849999999998E-3</v>
      </c>
      <c r="AW411">
        <v>41.305050000000001</v>
      </c>
      <c r="AX411">
        <v>7.128552</v>
      </c>
    </row>
    <row r="412" spans="1:50" x14ac:dyDescent="0.2">
      <c r="A412" s="76">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45.925759999999997</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24.814409999999999</v>
      </c>
      <c r="AN412">
        <v>20.490089999999999</v>
      </c>
      <c r="AP412">
        <v>15.74091</v>
      </c>
      <c r="AT412">
        <v>9.1249400000000002E-4</v>
      </c>
      <c r="AU412">
        <v>41.248359999999998</v>
      </c>
      <c r="AV412">
        <v>2.577406E-3</v>
      </c>
      <c r="AW412">
        <v>41.305050000000001</v>
      </c>
      <c r="AX412">
        <v>7.1745419999999998</v>
      </c>
    </row>
    <row r="413" spans="1:50" x14ac:dyDescent="0.2">
      <c r="A413" s="76">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46.255540000000003</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25.084820000000001</v>
      </c>
      <c r="AN413">
        <v>20.680019999999999</v>
      </c>
      <c r="AP413">
        <v>16.078279999999999</v>
      </c>
      <c r="AT413">
        <v>9.4610699999999996E-4</v>
      </c>
      <c r="AU413">
        <v>41.573869999999999</v>
      </c>
      <c r="AV413">
        <v>2.6153090000000001E-3</v>
      </c>
      <c r="AW413">
        <v>41.600389999999997</v>
      </c>
      <c r="AX413">
        <v>7.2665240000000004</v>
      </c>
    </row>
    <row r="414" spans="1:50" x14ac:dyDescent="0.2">
      <c r="A414" s="76">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46.538550000000001</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25.284939999999999</v>
      </c>
      <c r="AN414">
        <v>20.783709999999999</v>
      </c>
      <c r="AP414">
        <v>16.049410000000002</v>
      </c>
      <c r="AT414">
        <v>9.7808199999999991E-4</v>
      </c>
      <c r="AU414">
        <v>41.835560000000001</v>
      </c>
      <c r="AV414">
        <v>2.6327239999999999E-3</v>
      </c>
      <c r="AW414">
        <v>41.853540000000002</v>
      </c>
      <c r="AX414">
        <v>7.3125140000000002</v>
      </c>
    </row>
    <row r="415" spans="1:50" x14ac:dyDescent="0.2">
      <c r="A415" s="76">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46.655560000000001</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25.417729999999999</v>
      </c>
      <c r="AN415">
        <v>20.89396</v>
      </c>
      <c r="AP415">
        <v>16.324090000000002</v>
      </c>
      <c r="AT415">
        <v>1.008416E-3</v>
      </c>
      <c r="AU415">
        <v>42.062150000000003</v>
      </c>
      <c r="AV415">
        <v>2.667553E-3</v>
      </c>
      <c r="AW415">
        <v>41.980110000000003</v>
      </c>
      <c r="AX415">
        <v>7.3125140000000002</v>
      </c>
    </row>
    <row r="416" spans="1:50" x14ac:dyDescent="0.2">
      <c r="A416" s="76">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46.831499999999998</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25.600860000000001</v>
      </c>
      <c r="AN416">
        <v>21.02121</v>
      </c>
      <c r="AP416">
        <v>16.661460000000002</v>
      </c>
      <c r="AT416">
        <v>1.0100560000000001E-3</v>
      </c>
      <c r="AU416">
        <v>42.397239999999996</v>
      </c>
      <c r="AV416">
        <v>2.6952120000000002E-3</v>
      </c>
      <c r="AW416">
        <v>42.148879999999998</v>
      </c>
      <c r="AX416">
        <v>7.404496</v>
      </c>
    </row>
    <row r="417" spans="1:50" x14ac:dyDescent="0.2">
      <c r="A417" s="76">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46.966900000000003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25.760750000000002</v>
      </c>
      <c r="AN417">
        <v>21.15926</v>
      </c>
      <c r="AP417">
        <v>17.174969999999998</v>
      </c>
      <c r="AT417">
        <v>1.0789230000000001E-3</v>
      </c>
      <c r="AU417">
        <v>42.614260000000002</v>
      </c>
      <c r="AV417">
        <v>2.7582129999999998E-3</v>
      </c>
      <c r="AW417">
        <v>42.275449999999999</v>
      </c>
      <c r="AX417">
        <v>7.4964769999999996</v>
      </c>
    </row>
    <row r="418" spans="1:50" x14ac:dyDescent="0.2">
      <c r="A418" s="76">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47.25891</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25.984649999999998</v>
      </c>
      <c r="AN418">
        <v>21.347429999999999</v>
      </c>
      <c r="AP418">
        <v>17.74024</v>
      </c>
      <c r="AT418">
        <v>1.1223749999999999E-3</v>
      </c>
      <c r="AU418">
        <v>42.923819999999999</v>
      </c>
      <c r="AV418">
        <v>2.8473370000000001E-3</v>
      </c>
      <c r="AW418">
        <v>42.486400000000003</v>
      </c>
      <c r="AX418">
        <v>7.5424680000000004</v>
      </c>
    </row>
    <row r="419" spans="1:50" x14ac:dyDescent="0.2">
      <c r="A419" s="76">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47.495249999999999</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26.215920000000001</v>
      </c>
      <c r="AN419">
        <v>21.553039999999999</v>
      </c>
      <c r="AP419">
        <v>18.058700000000002</v>
      </c>
      <c r="AT419">
        <v>1.1764849999999999E-3</v>
      </c>
      <c r="AU419">
        <v>43.27487</v>
      </c>
      <c r="AV419">
        <v>2.9984370000000001E-3</v>
      </c>
      <c r="AW419">
        <v>42.61298</v>
      </c>
      <c r="AX419">
        <v>7.5884590000000003</v>
      </c>
    </row>
    <row r="420" spans="1:50" x14ac:dyDescent="0.2">
      <c r="A420" s="76">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47.59346</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26.414639999999999</v>
      </c>
      <c r="AN420">
        <v>21.721060000000001</v>
      </c>
      <c r="AP420">
        <v>18.463740000000001</v>
      </c>
      <c r="AT420">
        <v>1.2404339999999999E-3</v>
      </c>
      <c r="AU420">
        <v>43.536560000000001</v>
      </c>
      <c r="AV420">
        <v>3.1106089999999999E-3</v>
      </c>
      <c r="AW420">
        <v>42.697360000000003</v>
      </c>
      <c r="AX420">
        <v>7.6804399999999999</v>
      </c>
    </row>
    <row r="421" spans="1:50" x14ac:dyDescent="0.2">
      <c r="A421" s="76">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47.647440000000003</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26.57957</v>
      </c>
      <c r="AN421">
        <v>21.8779</v>
      </c>
      <c r="AP421">
        <v>19.176300000000001</v>
      </c>
      <c r="AT421">
        <v>1.31668E-3</v>
      </c>
      <c r="AU421">
        <v>43.890799999999999</v>
      </c>
      <c r="AV421">
        <v>3.2412209999999999E-3</v>
      </c>
      <c r="AW421">
        <v>42.739550000000001</v>
      </c>
      <c r="AX421">
        <v>7.6804399999999999</v>
      </c>
    </row>
    <row r="422" spans="1:50" x14ac:dyDescent="0.2">
      <c r="A422" s="76">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47.908650000000002</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26.823730000000001</v>
      </c>
      <c r="AN422">
        <v>22.070810000000002</v>
      </c>
      <c r="AP422">
        <v>19.582339999999999</v>
      </c>
      <c r="AT422">
        <v>1.347834E-3</v>
      </c>
      <c r="AU422">
        <v>44.497160000000001</v>
      </c>
      <c r="AV422">
        <v>3.3528809999999998E-3</v>
      </c>
      <c r="AW422">
        <v>42.992690000000003</v>
      </c>
      <c r="AX422">
        <v>7.7264299999999997</v>
      </c>
    </row>
    <row r="423" spans="1:50" x14ac:dyDescent="0.2">
      <c r="A423" s="76">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48.172710000000002</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27.031379999999999</v>
      </c>
      <c r="AN423">
        <v>22.20899</v>
      </c>
      <c r="AP423">
        <v>19.890840000000001</v>
      </c>
      <c r="AT423">
        <v>1.356852E-3</v>
      </c>
      <c r="AU423">
        <v>44.315249999999999</v>
      </c>
      <c r="AV423">
        <v>3.4041010000000001E-3</v>
      </c>
      <c r="AW423">
        <v>43.203650000000003</v>
      </c>
      <c r="AX423">
        <v>7.8184120000000004</v>
      </c>
    </row>
    <row r="424" spans="1:50" x14ac:dyDescent="0.2">
      <c r="A424" s="76">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48.298589999999997</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27.19323</v>
      </c>
      <c r="AN424">
        <v>22.372450000000001</v>
      </c>
      <c r="AP424">
        <v>20.619319999999998</v>
      </c>
      <c r="AT424">
        <v>1.37079E-3</v>
      </c>
      <c r="AU424">
        <v>44.953530000000001</v>
      </c>
      <c r="AV424">
        <v>3.5096149999999998E-3</v>
      </c>
      <c r="AW424">
        <v>43.288029999999999</v>
      </c>
      <c r="AX424">
        <v>7.910393</v>
      </c>
    </row>
    <row r="425" spans="1:50" x14ac:dyDescent="0.2">
      <c r="A425" s="76">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48.536720000000003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27.416370000000001</v>
      </c>
      <c r="AN425">
        <v>22.577750000000002</v>
      </c>
      <c r="AP425">
        <v>21.009440000000001</v>
      </c>
      <c r="AT425">
        <v>1.3929260000000001E-3</v>
      </c>
      <c r="AU425">
        <v>45.243940000000002</v>
      </c>
      <c r="AV425">
        <v>3.7283260000000001E-3</v>
      </c>
      <c r="AW425">
        <v>43.498989999999999</v>
      </c>
      <c r="AX425">
        <v>8.0483650000000004</v>
      </c>
    </row>
    <row r="426" spans="1:50" x14ac:dyDescent="0.2">
      <c r="A426" s="76">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48.71754</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27.581009999999999</v>
      </c>
      <c r="AN426">
        <v>22.714790000000001</v>
      </c>
      <c r="AP426">
        <v>20.82732</v>
      </c>
      <c r="AT426">
        <v>1.4634330000000001E-3</v>
      </c>
      <c r="AU426">
        <v>45.563079999999999</v>
      </c>
      <c r="AV426">
        <v>3.9091339999999999E-3</v>
      </c>
      <c r="AW426">
        <v>43.62556</v>
      </c>
      <c r="AX426">
        <v>8.1403470000000002</v>
      </c>
    </row>
    <row r="427" spans="1:50" x14ac:dyDescent="0.2">
      <c r="A427" s="76">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48.817340000000002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27.739080000000001</v>
      </c>
      <c r="AN427">
        <v>22.904589999999999</v>
      </c>
      <c r="AP427">
        <v>21.460260000000002</v>
      </c>
      <c r="AT427">
        <v>1.5650939999999999E-3</v>
      </c>
      <c r="AU427">
        <v>45.454569999999997</v>
      </c>
      <c r="AV427">
        <v>4.1626739999999999E-3</v>
      </c>
      <c r="AW427">
        <v>43.752139999999997</v>
      </c>
      <c r="AX427">
        <v>8.186337</v>
      </c>
    </row>
    <row r="428" spans="1:50" x14ac:dyDescent="0.2">
      <c r="A428" s="76">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48.955309999999997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27.883870000000002</v>
      </c>
      <c r="AN428">
        <v>22.978750000000002</v>
      </c>
      <c r="AP428">
        <v>22.02055</v>
      </c>
      <c r="AT428">
        <v>1.6151049999999999E-3</v>
      </c>
      <c r="AU428">
        <v>45.572650000000003</v>
      </c>
      <c r="AV428">
        <v>4.2010889999999999E-3</v>
      </c>
      <c r="AW428">
        <v>43.920900000000003</v>
      </c>
      <c r="AX428">
        <v>8.2783180000000005</v>
      </c>
    </row>
    <row r="429" spans="1:50" x14ac:dyDescent="0.2">
      <c r="A429" s="76">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49.048319999999997</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28.003640000000001</v>
      </c>
      <c r="AN429">
        <v>23.098140000000001</v>
      </c>
      <c r="AP429">
        <v>22.413650000000001</v>
      </c>
      <c r="AT429">
        <v>1.647899E-3</v>
      </c>
      <c r="AU429">
        <v>45.91413</v>
      </c>
      <c r="AV429">
        <v>4.3055790000000004E-3</v>
      </c>
      <c r="AW429">
        <v>44.089660000000002</v>
      </c>
      <c r="AX429">
        <v>8.3702989999999993</v>
      </c>
    </row>
    <row r="430" spans="1:50" x14ac:dyDescent="0.2">
      <c r="A430" s="76">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49.333419999999997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28.209769999999999</v>
      </c>
      <c r="AN430">
        <v>23.213840000000001</v>
      </c>
      <c r="AP430">
        <v>22.48132</v>
      </c>
      <c r="AT430">
        <v>1.7274250000000001E-3</v>
      </c>
      <c r="AU430">
        <v>46.210920000000002</v>
      </c>
      <c r="AV430">
        <v>4.3947020000000003E-3</v>
      </c>
      <c r="AW430">
        <v>44.300620000000002</v>
      </c>
      <c r="AX430">
        <v>8.41629</v>
      </c>
    </row>
    <row r="431" spans="1:50" x14ac:dyDescent="0.2">
      <c r="A431" s="76">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49.564770000000003</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28.431290000000001</v>
      </c>
      <c r="AN431">
        <v>23.429410000000001</v>
      </c>
      <c r="AP431">
        <v>22.669409999999999</v>
      </c>
      <c r="AT431">
        <v>1.8126889999999999E-3</v>
      </c>
      <c r="AU431">
        <v>46.437510000000003</v>
      </c>
      <c r="AV431">
        <v>4.5862660000000003E-3</v>
      </c>
      <c r="AW431">
        <v>44.427190000000003</v>
      </c>
      <c r="AX431">
        <v>8.5542619999999996</v>
      </c>
    </row>
    <row r="432" spans="1:50" x14ac:dyDescent="0.2">
      <c r="A432" s="76">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49.602420000000002</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28.551860000000001</v>
      </c>
      <c r="AN432">
        <v>23.577639999999999</v>
      </c>
      <c r="AP432">
        <v>23.02768</v>
      </c>
      <c r="AT432">
        <v>1.905332E-3</v>
      </c>
      <c r="AU432">
        <v>46.724730000000001</v>
      </c>
      <c r="AV432">
        <v>4.7629760000000004E-3</v>
      </c>
      <c r="AW432">
        <v>44.427190000000003</v>
      </c>
      <c r="AX432">
        <v>8.6462439999999994</v>
      </c>
    </row>
    <row r="433" spans="1:50" x14ac:dyDescent="0.2">
      <c r="A433" s="76">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49.654559999999996</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28.68243</v>
      </c>
      <c r="AN433">
        <v>23.676110000000001</v>
      </c>
      <c r="AP433">
        <v>23.239660000000001</v>
      </c>
      <c r="AT433">
        <v>1.9914170000000001E-3</v>
      </c>
      <c r="AU433">
        <v>47.471510000000002</v>
      </c>
      <c r="AV433">
        <v>4.8515870000000001E-3</v>
      </c>
      <c r="AW433">
        <v>44.427190000000003</v>
      </c>
      <c r="AX433">
        <v>8.6922339999999991</v>
      </c>
    </row>
    <row r="434" spans="1:50" x14ac:dyDescent="0.2">
      <c r="A434" s="76">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49.83222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28.943650000000002</v>
      </c>
      <c r="AN434">
        <v>23.933440000000001</v>
      </c>
      <c r="AP434">
        <v>24.31147</v>
      </c>
      <c r="AT434">
        <v>2.2365520000000002E-3</v>
      </c>
      <c r="AU434">
        <v>47.75235</v>
      </c>
      <c r="AV434">
        <v>5.122031E-3</v>
      </c>
      <c r="AW434">
        <v>44.511569999999999</v>
      </c>
      <c r="AX434">
        <v>8.7842160000000007</v>
      </c>
    </row>
    <row r="435" spans="1:50" x14ac:dyDescent="0.2">
      <c r="A435" s="76">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50.0548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29.147870000000001</v>
      </c>
      <c r="AN435">
        <v>24.137989999999999</v>
      </c>
      <c r="AP435">
        <v>24.950389999999999</v>
      </c>
      <c r="AT435">
        <v>2.3005E-3</v>
      </c>
      <c r="AU435">
        <v>48.173609999999996</v>
      </c>
      <c r="AV435">
        <v>5.2910570000000001E-3</v>
      </c>
      <c r="AW435">
        <v>44.722529999999999</v>
      </c>
      <c r="AX435">
        <v>9.1061510000000006</v>
      </c>
    </row>
    <row r="436" spans="1:50" x14ac:dyDescent="0.2">
      <c r="A436" s="76">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50.28593</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29.368449999999999</v>
      </c>
      <c r="AN436">
        <v>24.369340000000001</v>
      </c>
      <c r="AP436">
        <v>25.334530000000001</v>
      </c>
      <c r="AT436">
        <v>2.4620110000000001E-3</v>
      </c>
      <c r="AU436">
        <v>48.543810000000001</v>
      </c>
      <c r="AV436">
        <v>5.5440860000000002E-3</v>
      </c>
      <c r="AW436">
        <v>44.891300000000001</v>
      </c>
      <c r="AX436">
        <v>9.1061510000000006</v>
      </c>
    </row>
    <row r="437" spans="1:50" x14ac:dyDescent="0.2">
      <c r="A437" s="76">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50.59442</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29.598230000000001</v>
      </c>
      <c r="AN437">
        <v>24.553059999999999</v>
      </c>
      <c r="AP437">
        <v>25.614180000000001</v>
      </c>
      <c r="AT437">
        <v>2.5948270000000001E-3</v>
      </c>
      <c r="AU437">
        <v>48.738480000000003</v>
      </c>
      <c r="AV437">
        <v>5.5901839999999998E-3</v>
      </c>
      <c r="AW437">
        <v>45.102249999999998</v>
      </c>
      <c r="AX437">
        <v>9.3361029999999996</v>
      </c>
    </row>
    <row r="438" spans="1:50" x14ac:dyDescent="0.2">
      <c r="A438" s="76">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50.763710000000003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29.74005</v>
      </c>
      <c r="AN438">
        <v>24.667010000000001</v>
      </c>
      <c r="AP438">
        <v>25.694790000000001</v>
      </c>
      <c r="AT438">
        <v>2.6423779999999999E-3</v>
      </c>
      <c r="AU438">
        <v>49.290590000000002</v>
      </c>
      <c r="AV438">
        <v>5.7243809999999997E-3</v>
      </c>
      <c r="AW438">
        <v>45.27102</v>
      </c>
      <c r="AX438">
        <v>9.4280840000000001</v>
      </c>
    </row>
    <row r="439" spans="1:50" x14ac:dyDescent="0.2">
      <c r="A439" s="76">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50.888629999999999</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29.835249999999998</v>
      </c>
      <c r="AN439">
        <v>24.709980000000002</v>
      </c>
      <c r="AP439">
        <v>25.732600000000001</v>
      </c>
      <c r="AT439">
        <v>2.700587E-3</v>
      </c>
      <c r="AU439">
        <v>49.127830000000003</v>
      </c>
      <c r="AV439">
        <v>5.680844E-3</v>
      </c>
      <c r="AW439">
        <v>45.397590000000001</v>
      </c>
      <c r="AX439">
        <v>9.5660570000000007</v>
      </c>
    </row>
    <row r="440" spans="1:50" x14ac:dyDescent="0.2">
      <c r="A440" s="76">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50.976059999999997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29.957899999999999</v>
      </c>
      <c r="AN440">
        <v>24.752120000000001</v>
      </c>
      <c r="AP440">
        <v>25.818190000000001</v>
      </c>
      <c r="AT440">
        <v>2.8571790000000001E-3</v>
      </c>
      <c r="AU440">
        <v>49.095910000000003</v>
      </c>
      <c r="AV440">
        <v>5.7617720000000001E-3</v>
      </c>
      <c r="AW440">
        <v>45.481969999999997</v>
      </c>
      <c r="AX440">
        <v>9.6120470000000005</v>
      </c>
    </row>
    <row r="441" spans="1:50" x14ac:dyDescent="0.2">
      <c r="A441" s="76">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51.010680000000001</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30.066669999999998</v>
      </c>
      <c r="AN441">
        <v>24.800709999999999</v>
      </c>
      <c r="AP441">
        <v>26.018219999999999</v>
      </c>
      <c r="AT441">
        <v>2.9080099999999999E-3</v>
      </c>
      <c r="AU441">
        <v>49.076770000000003</v>
      </c>
      <c r="AV441">
        <v>5.9108229999999999E-3</v>
      </c>
      <c r="AW441">
        <v>45.56635</v>
      </c>
      <c r="AX441">
        <v>9.7040290000000002</v>
      </c>
    </row>
    <row r="442" spans="1:50" x14ac:dyDescent="0.2">
      <c r="A442" s="76">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51.123350000000002</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30.255130000000001</v>
      </c>
      <c r="AN442">
        <v>24.96583</v>
      </c>
      <c r="AP442">
        <v>26.048079999999999</v>
      </c>
      <c r="AT442">
        <v>3.0154100000000001E-3</v>
      </c>
      <c r="AU442">
        <v>49.293779999999998</v>
      </c>
      <c r="AV442">
        <v>6.1915099999999999E-3</v>
      </c>
      <c r="AW442">
        <v>45.692920000000001</v>
      </c>
      <c r="AX442">
        <v>9.8420009999999998</v>
      </c>
    </row>
    <row r="443" spans="1:50" x14ac:dyDescent="0.2">
      <c r="A443" s="76">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51.354089999999999</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30.50976</v>
      </c>
      <c r="AN443">
        <v>25.17052</v>
      </c>
      <c r="AP443">
        <v>26.30583</v>
      </c>
      <c r="AT443">
        <v>3.4294339999999999E-3</v>
      </c>
      <c r="AU443">
        <v>49.612920000000003</v>
      </c>
      <c r="AV443">
        <v>6.5792480000000002E-3</v>
      </c>
      <c r="AW443">
        <v>45.861690000000003</v>
      </c>
      <c r="AX443">
        <v>9.9799729999999993</v>
      </c>
    </row>
    <row r="444" spans="1:50" x14ac:dyDescent="0.2">
      <c r="A444" s="76">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51.429310000000001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30.685490000000001</v>
      </c>
      <c r="AN444">
        <v>25.35322</v>
      </c>
      <c r="AP444">
        <v>26.71386</v>
      </c>
      <c r="AT444">
        <v>3.5720880000000002E-3</v>
      </c>
      <c r="AU444">
        <v>49.938429999999997</v>
      </c>
      <c r="AV444">
        <v>6.8845210000000002E-3</v>
      </c>
      <c r="AW444">
        <v>45.988259999999997</v>
      </c>
      <c r="AX444">
        <v>10.117940000000001</v>
      </c>
    </row>
    <row r="445" spans="1:50" x14ac:dyDescent="0.2">
      <c r="A445" s="76">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51.555570000000003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30.908329999999999</v>
      </c>
      <c r="AN445">
        <v>25.458300000000001</v>
      </c>
      <c r="AP445">
        <v>27.15174</v>
      </c>
      <c r="AT445">
        <v>3.7213010000000002E-3</v>
      </c>
      <c r="AU445">
        <v>50.142679999999999</v>
      </c>
      <c r="AV445">
        <v>6.9956690000000004E-3</v>
      </c>
      <c r="AW445">
        <v>46.114829999999998</v>
      </c>
      <c r="AX445">
        <v>10.301909999999999</v>
      </c>
    </row>
    <row r="446" spans="1:50" x14ac:dyDescent="0.2">
      <c r="A446" s="76">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51.708109999999998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31.18168</v>
      </c>
      <c r="AN446">
        <v>25.640550000000001</v>
      </c>
      <c r="AP446">
        <v>27.8643</v>
      </c>
      <c r="AT446">
        <v>4.0320249999999998E-3</v>
      </c>
      <c r="AU446">
        <v>50.707549999999998</v>
      </c>
      <c r="AV446">
        <v>7.219502E-3</v>
      </c>
      <c r="AW446">
        <v>46.241410000000002</v>
      </c>
      <c r="AX446">
        <v>10.62384</v>
      </c>
    </row>
    <row r="447" spans="1:50" x14ac:dyDescent="0.2">
      <c r="A447" s="76">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51.652729999999998</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31.2423</v>
      </c>
      <c r="AN447">
        <v>25.694459999999999</v>
      </c>
      <c r="AP447">
        <v>28.22655</v>
      </c>
      <c r="AT447">
        <v>4.2558439999999999E-3</v>
      </c>
      <c r="AU447">
        <v>50.739460000000001</v>
      </c>
      <c r="AV447">
        <v>7.3449910000000004E-3</v>
      </c>
      <c r="AW447">
        <v>46.114829999999998</v>
      </c>
      <c r="AX447">
        <v>10.715820000000001</v>
      </c>
    </row>
    <row r="448" spans="1:50" x14ac:dyDescent="0.2">
      <c r="A448" s="76">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51.546340000000001</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31.28632</v>
      </c>
      <c r="AN448">
        <v>25.75423</v>
      </c>
      <c r="AP448">
        <v>28.55198</v>
      </c>
      <c r="AT448">
        <v>4.5198360000000002E-3</v>
      </c>
      <c r="AU448">
        <v>50.653300000000002</v>
      </c>
      <c r="AV448">
        <v>7.4407739999999998E-3</v>
      </c>
      <c r="AW448">
        <v>45.903880000000001</v>
      </c>
      <c r="AX448">
        <v>10.8538</v>
      </c>
    </row>
    <row r="449" spans="1:50" x14ac:dyDescent="0.2">
      <c r="A449" s="76">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51.582000000000001</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31.419630000000002</v>
      </c>
      <c r="AN449">
        <v>25.855899999999998</v>
      </c>
      <c r="AP449">
        <v>28.9192</v>
      </c>
      <c r="AT449">
        <v>4.8592540000000004E-3</v>
      </c>
      <c r="AU449">
        <v>50.962859999999999</v>
      </c>
      <c r="AV449">
        <v>7.4689450000000003E-3</v>
      </c>
      <c r="AW449">
        <v>45.819499999999998</v>
      </c>
      <c r="AX449">
        <v>11.03776</v>
      </c>
    </row>
    <row r="450" spans="1:50" x14ac:dyDescent="0.2">
      <c r="A450" s="76">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51.713590000000003</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31.592610000000001</v>
      </c>
      <c r="AN450">
        <v>25.919119999999999</v>
      </c>
      <c r="AP450">
        <v>28.788830000000001</v>
      </c>
      <c r="AT450">
        <v>5.174896E-3</v>
      </c>
      <c r="AU450">
        <v>50.959670000000003</v>
      </c>
      <c r="AV450">
        <v>7.6108249999999999E-3</v>
      </c>
      <c r="AW450">
        <v>45.946069999999999</v>
      </c>
      <c r="AX450">
        <v>11.03776</v>
      </c>
    </row>
    <row r="451" spans="1:50" x14ac:dyDescent="0.2">
      <c r="A451" s="76">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51.842930000000003</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31.799980000000001</v>
      </c>
      <c r="AN451">
        <v>26.008949999999999</v>
      </c>
      <c r="AP451">
        <v>28.880389999999998</v>
      </c>
      <c r="AT451">
        <v>5.458564E-3</v>
      </c>
      <c r="AU451">
        <v>50.962859999999999</v>
      </c>
      <c r="AV451">
        <v>7.7926569999999997E-3</v>
      </c>
      <c r="AW451">
        <v>46.199219999999997</v>
      </c>
      <c r="AX451">
        <v>11.17573</v>
      </c>
    </row>
    <row r="452" spans="1:50" x14ac:dyDescent="0.2">
      <c r="A452" s="76">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51.81673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31.916119999999999</v>
      </c>
      <c r="AN452">
        <v>26.016470000000002</v>
      </c>
      <c r="AP452">
        <v>28.878399999999999</v>
      </c>
      <c r="AT452">
        <v>5.5708839999999999E-3</v>
      </c>
      <c r="AU452">
        <v>51.080939999999998</v>
      </c>
      <c r="AV452">
        <v>7.9386349999999994E-3</v>
      </c>
      <c r="AW452">
        <v>46.199219999999997</v>
      </c>
      <c r="AX452">
        <v>11.40568</v>
      </c>
    </row>
    <row r="453" spans="1:50" x14ac:dyDescent="0.2">
      <c r="A453" s="76">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51.857590000000002</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32.10651</v>
      </c>
      <c r="AN453">
        <v>26.053139999999999</v>
      </c>
      <c r="AP453">
        <v>29.14809</v>
      </c>
      <c r="AT453">
        <v>5.9266989999999997E-3</v>
      </c>
      <c r="AU453">
        <v>51.013919999999999</v>
      </c>
      <c r="AV453">
        <v>8.0077829999999992E-3</v>
      </c>
      <c r="AW453">
        <v>46.2836</v>
      </c>
      <c r="AX453">
        <v>11.543659999999999</v>
      </c>
    </row>
    <row r="454" spans="1:50" x14ac:dyDescent="0.2">
      <c r="A454" s="76">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52.057899999999997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32.379089999999998</v>
      </c>
      <c r="AN454">
        <v>26.20177</v>
      </c>
      <c r="AP454">
        <v>29.268509999999999</v>
      </c>
      <c r="AT454">
        <v>6.3595800000000001E-3</v>
      </c>
      <c r="AU454">
        <v>51.486240000000002</v>
      </c>
      <c r="AV454">
        <v>8.1921749999999995E-3</v>
      </c>
      <c r="AW454">
        <v>46.49456</v>
      </c>
      <c r="AX454">
        <v>11.77361</v>
      </c>
    </row>
    <row r="455" spans="1:50" x14ac:dyDescent="0.2">
      <c r="A455" s="76">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52.118690000000001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32.627479999999998</v>
      </c>
      <c r="AN455">
        <v>26.36271</v>
      </c>
      <c r="AP455">
        <v>29.454609999999999</v>
      </c>
      <c r="AT455">
        <v>6.7613059999999999E-3</v>
      </c>
      <c r="AU455">
        <v>51.671340000000001</v>
      </c>
      <c r="AV455">
        <v>8.7935019999999999E-3</v>
      </c>
      <c r="AW455">
        <v>46.536749999999998</v>
      </c>
      <c r="AX455">
        <v>11.911580000000001</v>
      </c>
    </row>
    <row r="456" spans="1:50" x14ac:dyDescent="0.2">
      <c r="A456" s="76">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52.16386</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32.830689999999997</v>
      </c>
      <c r="AN456">
        <v>26.452459999999999</v>
      </c>
      <c r="AP456">
        <v>29.7044</v>
      </c>
      <c r="AT456">
        <v>7.1400780000000002E-3</v>
      </c>
      <c r="AU456">
        <v>51.68092</v>
      </c>
      <c r="AV456">
        <v>8.993773E-3</v>
      </c>
      <c r="AW456">
        <v>46.578940000000003</v>
      </c>
      <c r="AX456">
        <v>12.04955</v>
      </c>
    </row>
    <row r="457" spans="1:50" x14ac:dyDescent="0.2">
      <c r="A457" s="76">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52.210610000000003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33.080530000000003</v>
      </c>
      <c r="AN457">
        <v>26.543569999999999</v>
      </c>
      <c r="AP457">
        <v>30.19802</v>
      </c>
      <c r="AT457">
        <v>7.4048889999999996E-3</v>
      </c>
      <c r="AU457">
        <v>51.808570000000003</v>
      </c>
      <c r="AV457">
        <v>9.1412879999999992E-3</v>
      </c>
      <c r="AW457">
        <v>46.621130000000001</v>
      </c>
      <c r="AX457">
        <v>12.187519999999999</v>
      </c>
    </row>
    <row r="458" spans="1:50" x14ac:dyDescent="0.2">
      <c r="A458" s="76">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52.4589</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33.369300000000003</v>
      </c>
      <c r="AN458">
        <v>26.729949999999999</v>
      </c>
      <c r="AP458">
        <v>30.652819999999998</v>
      </c>
      <c r="AT458">
        <v>7.8787630000000004E-3</v>
      </c>
      <c r="AU458">
        <v>52.284080000000003</v>
      </c>
      <c r="AV458">
        <v>9.4101940000000002E-3</v>
      </c>
      <c r="AW458">
        <v>46.916469999999997</v>
      </c>
      <c r="AX458">
        <v>12.3255</v>
      </c>
    </row>
    <row r="459" spans="1:50" x14ac:dyDescent="0.2">
      <c r="A459" s="76">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52.611719999999998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33.582929999999998</v>
      </c>
      <c r="AN459">
        <v>26.84517</v>
      </c>
      <c r="AP459">
        <v>31.007110000000001</v>
      </c>
      <c r="AT459">
        <v>8.4444589999999996E-3</v>
      </c>
      <c r="AU459">
        <v>52.450040000000001</v>
      </c>
      <c r="AV459">
        <v>9.6642470000000008E-3</v>
      </c>
      <c r="AW459">
        <v>47.085230000000003</v>
      </c>
      <c r="AX459">
        <v>12.509460000000001</v>
      </c>
    </row>
    <row r="460" spans="1:50" x14ac:dyDescent="0.2">
      <c r="A460" s="76">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52.783430000000003</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33.826230000000002</v>
      </c>
      <c r="AN460">
        <v>26.971820000000001</v>
      </c>
      <c r="AP460">
        <v>31.425090000000001</v>
      </c>
      <c r="AT460">
        <v>9.3717100000000001E-3</v>
      </c>
      <c r="AU460">
        <v>52.555349999999997</v>
      </c>
      <c r="AV460">
        <v>1.0025350000000001E-2</v>
      </c>
      <c r="AW460">
        <v>47.29618</v>
      </c>
      <c r="AX460">
        <v>12.69342</v>
      </c>
    </row>
    <row r="461" spans="1:50" x14ac:dyDescent="0.2">
      <c r="A461" s="76">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53.095619999999997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34.174460000000003</v>
      </c>
      <c r="AN461">
        <v>27.128799999999998</v>
      </c>
      <c r="AP461">
        <v>31.583320000000001</v>
      </c>
      <c r="AT461">
        <v>9.9677419999999999E-3</v>
      </c>
      <c r="AU461">
        <v>52.69258</v>
      </c>
      <c r="AV461">
        <v>1.0235350000000001E-2</v>
      </c>
      <c r="AW461">
        <v>47.549329999999998</v>
      </c>
      <c r="AX461">
        <v>12.87738</v>
      </c>
    </row>
    <row r="462" spans="1:50" x14ac:dyDescent="0.2">
      <c r="A462" s="76">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53.239100000000001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34.429229999999997</v>
      </c>
      <c r="AN462">
        <v>27.238009999999999</v>
      </c>
      <c r="AP462">
        <v>31.617159999999998</v>
      </c>
      <c r="AT462">
        <v>1.027191E-2</v>
      </c>
      <c r="AU462">
        <v>52.734070000000003</v>
      </c>
      <c r="AV462">
        <v>1.0740390000000001E-2</v>
      </c>
      <c r="AW462">
        <v>47.7181</v>
      </c>
      <c r="AX462">
        <v>12.96937</v>
      </c>
    </row>
    <row r="463" spans="1:50" x14ac:dyDescent="0.2">
      <c r="A463" s="76">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53.358730000000001</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34.639380000000003</v>
      </c>
      <c r="AN463">
        <v>27.288229999999999</v>
      </c>
      <c r="AP463">
        <v>31.53257</v>
      </c>
      <c r="AT463">
        <v>1.1368049999999999E-2</v>
      </c>
      <c r="AU463">
        <v>52.63832</v>
      </c>
      <c r="AV463">
        <v>1.072912E-2</v>
      </c>
      <c r="AW463">
        <v>47.886859999999999</v>
      </c>
      <c r="AX463">
        <v>13.107340000000001</v>
      </c>
    </row>
    <row r="464" spans="1:50" x14ac:dyDescent="0.2">
      <c r="A464" s="76">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53.42033</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34.876669999999997</v>
      </c>
      <c r="AN464">
        <v>27.356929999999998</v>
      </c>
      <c r="AP464">
        <v>31.630089999999999</v>
      </c>
      <c r="AT464">
        <v>1.232891E-2</v>
      </c>
      <c r="AU464">
        <v>53.270209999999999</v>
      </c>
      <c r="AV464">
        <v>1.093451E-2</v>
      </c>
      <c r="AW464">
        <v>48.013440000000003</v>
      </c>
      <c r="AX464">
        <v>13.19932</v>
      </c>
    </row>
    <row r="465" spans="1:50" x14ac:dyDescent="0.2">
      <c r="A465" s="76">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53.592309999999998</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35.176470000000002</v>
      </c>
      <c r="AN465">
        <v>27.431640000000002</v>
      </c>
      <c r="AP465">
        <v>31.96846</v>
      </c>
      <c r="AT465">
        <v>1.3908759999999999E-2</v>
      </c>
      <c r="AU465">
        <v>53.544670000000004</v>
      </c>
      <c r="AV465">
        <v>1.112198E-2</v>
      </c>
      <c r="AW465">
        <v>48.266579999999998</v>
      </c>
      <c r="AX465">
        <v>13.429270000000001</v>
      </c>
    </row>
    <row r="466" spans="1:50" x14ac:dyDescent="0.2">
      <c r="A466" s="76">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53.833440000000003</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35.505009999999999</v>
      </c>
      <c r="AN466">
        <v>27.555029999999999</v>
      </c>
      <c r="AP466">
        <v>32.057029999999997</v>
      </c>
      <c r="AT466">
        <v>1.5409910000000001E-2</v>
      </c>
      <c r="AU466">
        <v>54.045720000000003</v>
      </c>
      <c r="AV466">
        <v>1.1447229999999999E-2</v>
      </c>
      <c r="AW466">
        <v>48.519730000000003</v>
      </c>
      <c r="AX466">
        <v>13.61323</v>
      </c>
    </row>
    <row r="467" spans="1:50" x14ac:dyDescent="0.2">
      <c r="A467" s="76">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53.976709999999997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35.868650000000002</v>
      </c>
      <c r="AN467">
        <v>27.75075</v>
      </c>
      <c r="AP467">
        <v>32.415300000000002</v>
      </c>
      <c r="AT467">
        <v>1.68717E-2</v>
      </c>
      <c r="AU467">
        <v>54.294640000000001</v>
      </c>
      <c r="AV467">
        <v>1.199682E-2</v>
      </c>
      <c r="AW467">
        <v>48.646299999999997</v>
      </c>
      <c r="AX467">
        <v>13.75121</v>
      </c>
    </row>
    <row r="468" spans="1:50" x14ac:dyDescent="0.2">
      <c r="A468" s="76">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54.012520000000002</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36.165260000000004</v>
      </c>
      <c r="AN468">
        <v>27.904769999999999</v>
      </c>
      <c r="AP468">
        <v>32.53472</v>
      </c>
      <c r="AT468">
        <v>1.9750199999999999E-2</v>
      </c>
      <c r="AU468">
        <v>54.460590000000003</v>
      </c>
      <c r="AV468">
        <v>1.2746169999999999E-2</v>
      </c>
      <c r="AW468">
        <v>48.688490000000002</v>
      </c>
      <c r="AX468">
        <v>13.88918</v>
      </c>
    </row>
    <row r="469" spans="1:50" x14ac:dyDescent="0.2">
      <c r="A469" s="76">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54.019710000000003</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36.737319999999997</v>
      </c>
      <c r="AN469">
        <v>28.15457</v>
      </c>
      <c r="AP469">
        <v>32.977580000000003</v>
      </c>
      <c r="AT469">
        <v>2.0993089999999999E-2</v>
      </c>
      <c r="AU469">
        <v>54.46378</v>
      </c>
      <c r="AV469">
        <v>1.4173679999999999E-2</v>
      </c>
      <c r="AW469">
        <v>48.688490000000002</v>
      </c>
      <c r="AX469">
        <v>13.981159999999999</v>
      </c>
    </row>
    <row r="470" spans="1:50" x14ac:dyDescent="0.2">
      <c r="A470" s="76">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54.121229999999997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37.090110000000003</v>
      </c>
      <c r="AN470">
        <v>28.328430000000001</v>
      </c>
      <c r="AP470">
        <v>33.450290000000003</v>
      </c>
      <c r="AT470">
        <v>2.157682E-2</v>
      </c>
      <c r="AU470">
        <v>54.760579999999997</v>
      </c>
      <c r="AV470">
        <v>1.502189E-2</v>
      </c>
      <c r="AW470">
        <v>48.815060000000003</v>
      </c>
      <c r="AX470">
        <v>14.07314</v>
      </c>
    </row>
    <row r="471" spans="1:50" x14ac:dyDescent="0.2">
      <c r="A471" s="76">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54.237389999999998</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37.344929999999998</v>
      </c>
      <c r="AN471">
        <v>28.462479999999999</v>
      </c>
      <c r="AP471">
        <v>33.913060000000002</v>
      </c>
      <c r="AT471">
        <v>2.281644E-2</v>
      </c>
      <c r="AU471">
        <v>55.169080000000001</v>
      </c>
      <c r="AV471">
        <v>1.5583049999999999E-2</v>
      </c>
      <c r="AW471">
        <v>48.94164</v>
      </c>
      <c r="AX471">
        <v>14.16512</v>
      </c>
    </row>
    <row r="472" spans="1:50" x14ac:dyDescent="0.2">
      <c r="A472" s="76">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54.437269999999998</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37.625720000000001</v>
      </c>
      <c r="AN472">
        <v>28.651250000000001</v>
      </c>
      <c r="AP472">
        <v>34.14096</v>
      </c>
      <c r="AT472">
        <v>2.451271E-2</v>
      </c>
      <c r="AU472">
        <v>55.417999999999999</v>
      </c>
      <c r="AV472">
        <v>1.644638E-2</v>
      </c>
      <c r="AW472">
        <v>49.152589999999996</v>
      </c>
      <c r="AX472">
        <v>14.39508</v>
      </c>
    </row>
    <row r="473" spans="1:50" x14ac:dyDescent="0.2">
      <c r="A473" s="76">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54.707819999999998</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37.905549999999998</v>
      </c>
      <c r="AN473">
        <v>28.87087</v>
      </c>
      <c r="AP473">
        <v>34.268340000000002</v>
      </c>
      <c r="AT473">
        <v>2.5854800000000001E-2</v>
      </c>
      <c r="AU473">
        <v>55.912660000000002</v>
      </c>
      <c r="AV473">
        <v>1.747158E-2</v>
      </c>
      <c r="AW473">
        <v>49.405740000000002</v>
      </c>
      <c r="AX473">
        <v>14.533049999999999</v>
      </c>
    </row>
    <row r="474" spans="1:50" x14ac:dyDescent="0.2">
      <c r="A474" s="76">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54.87435</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38.072360000000003</v>
      </c>
      <c r="AN474">
        <v>28.997050000000002</v>
      </c>
      <c r="AP474">
        <v>34.383780000000002</v>
      </c>
      <c r="AT474">
        <v>2.7538779999999999E-2</v>
      </c>
      <c r="AU474">
        <v>56.113720000000001</v>
      </c>
      <c r="AV474">
        <v>1.8075910000000001E-2</v>
      </c>
      <c r="AW474">
        <v>49.5745</v>
      </c>
      <c r="AX474">
        <v>14.67102</v>
      </c>
    </row>
    <row r="475" spans="1:50" x14ac:dyDescent="0.2">
      <c r="A475" s="76">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55.02731</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38.223500000000001</v>
      </c>
      <c r="AN475">
        <v>29.09572</v>
      </c>
      <c r="AP475">
        <v>34.56391</v>
      </c>
      <c r="AT475">
        <v>3.3657319999999998E-2</v>
      </c>
      <c r="AU475">
        <v>56.250950000000003</v>
      </c>
      <c r="AV475">
        <v>1.8237779999999999E-2</v>
      </c>
      <c r="AW475">
        <v>49.78546</v>
      </c>
      <c r="AX475">
        <v>14.71701</v>
      </c>
    </row>
    <row r="476" spans="1:50" x14ac:dyDescent="0.2">
      <c r="A476" s="76">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55.167560000000002</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38.383369999999999</v>
      </c>
      <c r="AN476">
        <v>29.188400000000001</v>
      </c>
      <c r="AP476">
        <v>34.847540000000002</v>
      </c>
      <c r="AT476">
        <v>3.6344790000000002E-2</v>
      </c>
      <c r="AU476">
        <v>56.522210000000001</v>
      </c>
      <c r="AV476">
        <v>1.8529159999999999E-2</v>
      </c>
      <c r="AW476">
        <v>49.996409999999997</v>
      </c>
      <c r="AX476">
        <v>14.900969999999999</v>
      </c>
    </row>
    <row r="477" spans="1:50" x14ac:dyDescent="0.2">
      <c r="A477" s="76">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55.35089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38.548720000000003</v>
      </c>
      <c r="AN477">
        <v>29.324349999999999</v>
      </c>
      <c r="AP477">
        <v>35.30433</v>
      </c>
      <c r="AT477">
        <v>4.0139880000000003E-2</v>
      </c>
      <c r="AU477">
        <v>56.63391</v>
      </c>
      <c r="AV477">
        <v>1.897161E-2</v>
      </c>
      <c r="AW477">
        <v>50.207369999999997</v>
      </c>
      <c r="AX477">
        <v>15.08494</v>
      </c>
    </row>
    <row r="478" spans="1:50" x14ac:dyDescent="0.2">
      <c r="A478" s="76">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55.65428</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38.810589999999998</v>
      </c>
      <c r="AN478">
        <v>29.54665</v>
      </c>
      <c r="AP478">
        <v>35.665590000000002</v>
      </c>
      <c r="AT478">
        <v>4.6169059999999998E-2</v>
      </c>
      <c r="AU478">
        <v>57.06474</v>
      </c>
      <c r="AV478">
        <v>2.0093940000000001E-2</v>
      </c>
      <c r="AW478">
        <v>50.544899999999998</v>
      </c>
      <c r="AX478">
        <v>15.2689</v>
      </c>
    </row>
    <row r="479" spans="1:50" x14ac:dyDescent="0.2">
      <c r="A479" s="76">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55.862990000000003</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39.024180000000001</v>
      </c>
      <c r="AN479">
        <v>29.759219999999999</v>
      </c>
      <c r="AP479">
        <v>35.982059999999997</v>
      </c>
      <c r="AT479">
        <v>5.4857009999999998E-2</v>
      </c>
      <c r="AU479">
        <v>57.511539999999997</v>
      </c>
      <c r="AV479">
        <v>2.1216260000000001E-2</v>
      </c>
      <c r="AW479">
        <v>50.713659999999997</v>
      </c>
      <c r="AX479">
        <v>15.452859999999999</v>
      </c>
    </row>
    <row r="480" spans="1:50" x14ac:dyDescent="0.2">
      <c r="A480" s="76">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55.940390000000001</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39.166269999999997</v>
      </c>
      <c r="AN480">
        <v>29.971489999999999</v>
      </c>
      <c r="AP480">
        <v>36.488610000000001</v>
      </c>
      <c r="AT480">
        <v>6.3271140000000003E-2</v>
      </c>
      <c r="AU480">
        <v>57.60089</v>
      </c>
      <c r="AV480">
        <v>2.2349379999999999E-2</v>
      </c>
      <c r="AW480">
        <v>50.755850000000002</v>
      </c>
      <c r="AX480">
        <v>15.59083</v>
      </c>
    </row>
    <row r="481" spans="1:50" x14ac:dyDescent="0.2">
      <c r="A481" s="76">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55.998779999999996</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39.295810000000003</v>
      </c>
      <c r="AN481">
        <v>30.10529</v>
      </c>
      <c r="AP481">
        <v>36.920520000000003</v>
      </c>
      <c r="AT481">
        <v>7.1005609999999997E-2</v>
      </c>
      <c r="AU481">
        <v>57.722160000000002</v>
      </c>
      <c r="AV481">
        <v>2.289975E-2</v>
      </c>
      <c r="AW481">
        <v>50.840240000000001</v>
      </c>
      <c r="AX481">
        <v>15.7288</v>
      </c>
    </row>
    <row r="482" spans="1:50" x14ac:dyDescent="0.2">
      <c r="A482" s="76">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56.253660000000004</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39.560070000000003</v>
      </c>
      <c r="AN482">
        <v>30.378689999999999</v>
      </c>
      <c r="AO482">
        <v>0.42199150000000002</v>
      </c>
      <c r="AP482">
        <v>37.57734</v>
      </c>
      <c r="AT482">
        <v>8.1933389999999995E-2</v>
      </c>
      <c r="AU482">
        <v>58.39235</v>
      </c>
      <c r="AV482">
        <v>2.4410569999999999E-2</v>
      </c>
      <c r="AW482">
        <v>51.093380000000003</v>
      </c>
      <c r="AX482">
        <v>15.95876</v>
      </c>
    </row>
    <row r="483" spans="1:50" x14ac:dyDescent="0.2">
      <c r="A483" s="76">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56.43967</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39.739669999999997</v>
      </c>
      <c r="AN483">
        <v>30.572759999999999</v>
      </c>
      <c r="AO483">
        <v>0.42199150000000002</v>
      </c>
      <c r="AP483">
        <v>38.080910000000003</v>
      </c>
      <c r="AT483">
        <v>9.7758139999999993E-2</v>
      </c>
      <c r="AU483">
        <v>58.721060000000001</v>
      </c>
      <c r="AV483">
        <v>2.5576060000000001E-2</v>
      </c>
      <c r="AW483">
        <v>51.304340000000003</v>
      </c>
      <c r="AX483">
        <v>16.096730000000001</v>
      </c>
    </row>
    <row r="484" spans="1:50" x14ac:dyDescent="0.2">
      <c r="A484" s="76">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56.716279999999998</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39.969029999999997</v>
      </c>
      <c r="AN484">
        <v>30.751740000000002</v>
      </c>
      <c r="AO484">
        <v>0.42199150000000002</v>
      </c>
      <c r="AP484">
        <v>38.40634</v>
      </c>
      <c r="AT484">
        <v>0.1142093</v>
      </c>
      <c r="AU484">
        <v>58.960410000000003</v>
      </c>
      <c r="AV484">
        <v>2.6353060000000001E-2</v>
      </c>
      <c r="AW484">
        <v>51.599670000000003</v>
      </c>
      <c r="AX484">
        <v>16.372669999999999</v>
      </c>
    </row>
    <row r="485" spans="1:50" x14ac:dyDescent="0.2">
      <c r="A485" s="76">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57.169449999999998</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40.348100000000002</v>
      </c>
      <c r="AN485">
        <v>31.049440000000001</v>
      </c>
      <c r="AO485">
        <v>0.49232340000000002</v>
      </c>
      <c r="AP485">
        <v>38.798439999999999</v>
      </c>
      <c r="AT485">
        <v>0.14909549999999999</v>
      </c>
      <c r="AU485">
        <v>59.506140000000002</v>
      </c>
      <c r="AV485">
        <v>2.7993380000000002E-2</v>
      </c>
      <c r="AW485">
        <v>51.937199999999997</v>
      </c>
      <c r="AX485">
        <v>16.602630000000001</v>
      </c>
    </row>
    <row r="486" spans="1:50" x14ac:dyDescent="0.2">
      <c r="A486" s="76">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57.476329999999997</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40.585839999999997</v>
      </c>
      <c r="AN486">
        <v>31.20393</v>
      </c>
      <c r="AO486">
        <v>0.56265529999999997</v>
      </c>
      <c r="AP486">
        <v>38.867109999999997</v>
      </c>
      <c r="AT486">
        <v>0.1813681</v>
      </c>
      <c r="AU486">
        <v>59.76144</v>
      </c>
      <c r="AV486">
        <v>2.8845920000000001E-2</v>
      </c>
      <c r="AW486">
        <v>52.23254</v>
      </c>
      <c r="AX486">
        <v>16.83258</v>
      </c>
    </row>
    <row r="487" spans="1:50" x14ac:dyDescent="0.2">
      <c r="A487" s="76">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57.591479999999997</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40.709580000000003</v>
      </c>
      <c r="AN487">
        <v>31.32028</v>
      </c>
      <c r="AO487">
        <v>0.56265529999999997</v>
      </c>
      <c r="AP487">
        <v>39.127850000000002</v>
      </c>
      <c r="AT487">
        <v>0.23316219999999999</v>
      </c>
      <c r="AU487">
        <v>59.956119999999999</v>
      </c>
      <c r="AV487">
        <v>2.9450250000000001E-2</v>
      </c>
      <c r="AW487">
        <v>52.359110000000001</v>
      </c>
      <c r="AX487">
        <v>17.016539999999999</v>
      </c>
    </row>
    <row r="488" spans="1:50" x14ac:dyDescent="0.2">
      <c r="A488" s="76">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57.669229999999999</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40.847180000000002</v>
      </c>
      <c r="AN488">
        <v>31.44623</v>
      </c>
      <c r="AO488">
        <v>0.63298719999999997</v>
      </c>
      <c r="AP488">
        <v>39.493079999999999</v>
      </c>
      <c r="AT488">
        <v>0.30726599999999998</v>
      </c>
      <c r="AU488">
        <v>59.978459999999998</v>
      </c>
      <c r="AV488">
        <v>3.034595E-2</v>
      </c>
      <c r="AW488">
        <v>52.485689999999998</v>
      </c>
      <c r="AX488">
        <v>17.200510000000001</v>
      </c>
    </row>
    <row r="489" spans="1:50" x14ac:dyDescent="0.2">
      <c r="A489" s="76">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57.734789999999997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40.955550000000002</v>
      </c>
      <c r="AN489">
        <v>31.573599999999999</v>
      </c>
      <c r="AO489">
        <v>0.84398289999999998</v>
      </c>
      <c r="AP489">
        <v>40.143940000000001</v>
      </c>
      <c r="AT489">
        <v>0.40344269999999999</v>
      </c>
      <c r="AU489">
        <v>60.214619999999996</v>
      </c>
      <c r="AV489">
        <v>3.1414320000000003E-2</v>
      </c>
      <c r="AW489">
        <v>52.570070000000001</v>
      </c>
      <c r="AX489">
        <v>17.43046</v>
      </c>
    </row>
    <row r="490" spans="1:50" x14ac:dyDescent="0.2">
      <c r="A490" s="76">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57.972029999999997</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41.204720000000002</v>
      </c>
      <c r="AN490">
        <v>31.834800000000001</v>
      </c>
      <c r="AO490">
        <v>1.125311</v>
      </c>
      <c r="AP490">
        <v>40.230519999999999</v>
      </c>
      <c r="AT490">
        <v>0.60880449999999997</v>
      </c>
      <c r="AU490">
        <v>60.699710000000003</v>
      </c>
      <c r="AV490">
        <v>3.3184129999999999E-2</v>
      </c>
      <c r="AW490">
        <v>52.73883</v>
      </c>
      <c r="AX490">
        <v>17.568429999999999</v>
      </c>
    </row>
    <row r="491" spans="1:50" x14ac:dyDescent="0.2">
      <c r="A491" s="76">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58.279829999999997</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41.505409999999998</v>
      </c>
      <c r="AN491">
        <v>32.121830000000003</v>
      </c>
      <c r="AO491">
        <v>1.6879660000000001</v>
      </c>
      <c r="AP491">
        <v>40.430549999999997</v>
      </c>
      <c r="AT491">
        <v>0.9142612</v>
      </c>
      <c r="AU491">
        <v>61.226280000000003</v>
      </c>
      <c r="AV491">
        <v>3.5234540000000002E-2</v>
      </c>
      <c r="AW491">
        <v>52.991979999999998</v>
      </c>
      <c r="AX491">
        <v>17.706399999999999</v>
      </c>
    </row>
    <row r="492" spans="1:50" x14ac:dyDescent="0.2">
      <c r="A492" s="76">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58.334409999999998</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41.62397</v>
      </c>
      <c r="AN492">
        <v>32.31147</v>
      </c>
      <c r="AO492">
        <v>2.039625</v>
      </c>
      <c r="AP492">
        <v>40.808720000000001</v>
      </c>
      <c r="AT492">
        <v>1.305415</v>
      </c>
      <c r="AU492">
        <v>61.322020000000002</v>
      </c>
      <c r="AV492">
        <v>3.6766939999999998E-2</v>
      </c>
      <c r="AW492">
        <v>53.118549999999999</v>
      </c>
      <c r="AX492">
        <v>17.936360000000001</v>
      </c>
    </row>
    <row r="493" spans="1:50" x14ac:dyDescent="0.2">
      <c r="A493" s="76">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58.439950000000003</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41.793480000000002</v>
      </c>
      <c r="AN493">
        <v>32.469169999999998</v>
      </c>
      <c r="AO493">
        <v>2.3912849999999999</v>
      </c>
      <c r="AP493">
        <v>41.237650000000002</v>
      </c>
      <c r="AT493">
        <v>2.064908</v>
      </c>
      <c r="AU493">
        <v>61.54222</v>
      </c>
      <c r="AV493">
        <v>3.7619479999999997E-2</v>
      </c>
      <c r="AW493">
        <v>53.202930000000002</v>
      </c>
      <c r="AX493">
        <v>18.166309999999999</v>
      </c>
    </row>
    <row r="494" spans="1:50" x14ac:dyDescent="0.2">
      <c r="A494" s="76">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58.895299999999999</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42.233199999999997</v>
      </c>
      <c r="AN494">
        <v>32.724870000000003</v>
      </c>
      <c r="AO494">
        <v>4.2902459999999998</v>
      </c>
      <c r="AP494">
        <v>42.22786</v>
      </c>
      <c r="AT494">
        <v>2.9212500000000001</v>
      </c>
      <c r="AU494">
        <v>63.297469999999997</v>
      </c>
      <c r="AV494">
        <v>3.9065549999999997E-2</v>
      </c>
      <c r="AW494">
        <v>53.751420000000003</v>
      </c>
      <c r="AX494">
        <v>18.396260000000002</v>
      </c>
    </row>
    <row r="495" spans="1:50" x14ac:dyDescent="0.2">
      <c r="A495" s="76">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59.167409999999997</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42.491370000000003</v>
      </c>
      <c r="AN495">
        <v>32.969250000000002</v>
      </c>
      <c r="AO495">
        <v>5.2748929999999996</v>
      </c>
      <c r="AP495">
        <v>43.169310000000003</v>
      </c>
      <c r="AT495">
        <v>3.194617</v>
      </c>
      <c r="AU495">
        <v>63.508110000000002</v>
      </c>
      <c r="AV495">
        <v>4.0792200000000001E-2</v>
      </c>
      <c r="AW495">
        <v>54.004570000000001</v>
      </c>
      <c r="AX495">
        <v>18.53424</v>
      </c>
    </row>
    <row r="496" spans="1:50" x14ac:dyDescent="0.2">
      <c r="A496" s="76">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59.407800000000002</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42.745780000000003</v>
      </c>
      <c r="AN496">
        <v>33.17568</v>
      </c>
      <c r="AO496">
        <v>5.4858890000000002</v>
      </c>
      <c r="AP496">
        <v>43.422089999999997</v>
      </c>
      <c r="AT496">
        <v>3.2583790000000001</v>
      </c>
      <c r="AU496">
        <v>65.253780000000006</v>
      </c>
      <c r="AV496">
        <v>4.2907349999999997E-2</v>
      </c>
      <c r="AW496">
        <v>54.299900000000001</v>
      </c>
      <c r="AX496">
        <v>18.810179999999999</v>
      </c>
    </row>
    <row r="497" spans="1:50" x14ac:dyDescent="0.2">
      <c r="A497" s="76">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59.686689999999999</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43.033329999999999</v>
      </c>
      <c r="AN497">
        <v>33.510770000000001</v>
      </c>
      <c r="AO497">
        <v>5.9078809999999997</v>
      </c>
      <c r="AP497">
        <v>43.922669999999997</v>
      </c>
      <c r="AT497">
        <v>3.4160469999999998</v>
      </c>
      <c r="AU497">
        <v>65.489940000000004</v>
      </c>
      <c r="AV497">
        <v>4.5756329999999998E-2</v>
      </c>
      <c r="AW497">
        <v>54.384279999999997</v>
      </c>
      <c r="AX497">
        <v>18.994140000000002</v>
      </c>
    </row>
    <row r="498" spans="1:50" x14ac:dyDescent="0.2">
      <c r="A498" s="76">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59.886400000000002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43.237740000000002</v>
      </c>
      <c r="AN498">
        <v>33.703319999999998</v>
      </c>
      <c r="AO498">
        <v>6.1892079999999998</v>
      </c>
      <c r="AP498">
        <v>44.388420000000004</v>
      </c>
      <c r="AT498">
        <v>3.4617239999999998</v>
      </c>
      <c r="AU498">
        <v>65.863330000000005</v>
      </c>
      <c r="AV498">
        <v>4.7159239999999998E-2</v>
      </c>
      <c r="AW498">
        <v>54.510860000000001</v>
      </c>
      <c r="AX498">
        <v>19.178100000000001</v>
      </c>
    </row>
    <row r="499" spans="1:50" x14ac:dyDescent="0.2">
      <c r="A499" s="76">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60.070160000000001</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43.417200000000001</v>
      </c>
      <c r="AN499">
        <v>33.812539999999998</v>
      </c>
      <c r="AO499">
        <v>6.4002039999999996</v>
      </c>
      <c r="AP499">
        <v>44.518790000000003</v>
      </c>
      <c r="AT499">
        <v>3.390774</v>
      </c>
      <c r="AU499">
        <v>65.821849999999998</v>
      </c>
      <c r="AV499">
        <v>4.7871490000000003E-2</v>
      </c>
      <c r="AW499">
        <v>54.806190000000001</v>
      </c>
      <c r="AX499">
        <v>19.316079999999999</v>
      </c>
    </row>
    <row r="500" spans="1:50" x14ac:dyDescent="0.2">
      <c r="A500" s="76">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60.189779999999999</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43.551000000000002</v>
      </c>
      <c r="AN500">
        <v>33.874070000000003</v>
      </c>
      <c r="AO500">
        <v>6.6112000000000002</v>
      </c>
      <c r="AP500">
        <v>44.83426</v>
      </c>
      <c r="AT500">
        <v>3.4172060000000002</v>
      </c>
      <c r="AU500">
        <v>66.44735</v>
      </c>
      <c r="AV500">
        <v>4.7429029999999997E-2</v>
      </c>
      <c r="AW500">
        <v>55.017150000000001</v>
      </c>
      <c r="AX500">
        <v>19.454049999999999</v>
      </c>
    </row>
    <row r="501" spans="1:50" x14ac:dyDescent="0.2">
      <c r="A501" s="76">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60.614049999999999</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43.879190000000001</v>
      </c>
      <c r="AN501">
        <v>34.112009999999998</v>
      </c>
      <c r="AO501">
        <v>6.7518630000000002</v>
      </c>
      <c r="AP501">
        <v>45.366689999999998</v>
      </c>
      <c r="AT501">
        <v>3.378253</v>
      </c>
      <c r="AU501">
        <v>66.903720000000007</v>
      </c>
      <c r="AV501">
        <v>4.8637689999999997E-2</v>
      </c>
      <c r="AW501">
        <v>55.523449999999997</v>
      </c>
      <c r="AX501">
        <v>19.775980000000001</v>
      </c>
    </row>
    <row r="502" spans="1:50" x14ac:dyDescent="0.2">
      <c r="A502" s="76">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61.051450000000003</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44.296239999999997</v>
      </c>
      <c r="AN502">
        <v>34.513390000000001</v>
      </c>
      <c r="AO502">
        <v>7.0331910000000004</v>
      </c>
      <c r="AP502">
        <v>45.84836</v>
      </c>
      <c r="AT502">
        <v>3.6400269999999999</v>
      </c>
      <c r="AU502">
        <v>67.666449999999998</v>
      </c>
      <c r="AV502">
        <v>5.2867989999999997E-2</v>
      </c>
      <c r="AW502">
        <v>55.987549999999999</v>
      </c>
      <c r="AX502">
        <v>20.097919999999998</v>
      </c>
    </row>
    <row r="503" spans="1:50" x14ac:dyDescent="0.2">
      <c r="A503" s="76">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61.493200000000002</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44.709800000000001</v>
      </c>
      <c r="AN503">
        <v>34.896839999999997</v>
      </c>
      <c r="AO503">
        <v>7.4551829999999999</v>
      </c>
      <c r="AP503">
        <v>46.34695</v>
      </c>
      <c r="AT503">
        <v>3.8899759999999999</v>
      </c>
      <c r="AU503">
        <v>68.110050000000001</v>
      </c>
      <c r="AV503">
        <v>5.6483169999999999E-2</v>
      </c>
      <c r="AW503">
        <v>56.325069999999997</v>
      </c>
      <c r="AX503">
        <v>20.235890000000001</v>
      </c>
    </row>
    <row r="504" spans="1:50" x14ac:dyDescent="0.2">
      <c r="A504" s="76">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61.591070000000002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44.884720000000002</v>
      </c>
      <c r="AN504">
        <v>35.052520000000001</v>
      </c>
      <c r="AO504">
        <v>7.8068419999999996</v>
      </c>
      <c r="AP504">
        <v>46.648490000000002</v>
      </c>
      <c r="AT504">
        <v>4.0330360000000001</v>
      </c>
      <c r="AU504">
        <v>68.33663</v>
      </c>
      <c r="AV504">
        <v>5.931057E-2</v>
      </c>
      <c r="AW504">
        <v>56.451650000000001</v>
      </c>
      <c r="AX504">
        <v>20.649809999999999</v>
      </c>
    </row>
    <row r="505" spans="1:50" x14ac:dyDescent="0.2">
      <c r="A505" s="76">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61.600879999999997</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44.991050000000001</v>
      </c>
      <c r="AN505">
        <v>35.137340000000002</v>
      </c>
      <c r="AO505">
        <v>8.2991659999999996</v>
      </c>
      <c r="AP505">
        <v>47.008749999999999</v>
      </c>
      <c r="AT505">
        <v>4.1338970000000002</v>
      </c>
      <c r="AU505">
        <v>68.250470000000007</v>
      </c>
      <c r="AV505">
        <v>6.034656E-2</v>
      </c>
      <c r="AW505">
        <v>56.451650000000001</v>
      </c>
      <c r="AX505">
        <v>20.787780000000001</v>
      </c>
    </row>
    <row r="506" spans="1:50" x14ac:dyDescent="0.2">
      <c r="A506" s="76">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61.997529999999998</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45.374400000000001</v>
      </c>
      <c r="AN506">
        <v>35.427149999999997</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2">
      <c r="A507" s="76">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62.106780000000001</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45.559579999999997</v>
      </c>
      <c r="AN507">
        <v>35.688659999999999</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2">
      <c r="A508" s="76">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62.267910000000001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45.754379999999998</v>
      </c>
      <c r="AN508">
        <v>35.882869999999997</v>
      </c>
      <c r="AO508">
        <v>10.40912</v>
      </c>
      <c r="AP508">
        <v>49.120539999999998</v>
      </c>
      <c r="AS508">
        <v>23.46808</v>
      </c>
      <c r="AT508">
        <v>4.975562</v>
      </c>
      <c r="AU508">
        <v>72.073719999999994</v>
      </c>
      <c r="AV508">
        <v>6.9627330000000001E-2</v>
      </c>
      <c r="AW508">
        <v>56.957940000000001</v>
      </c>
      <c r="AX508">
        <v>21.477640000000001</v>
      </c>
    </row>
    <row r="509" spans="1:50" x14ac:dyDescent="0.2">
      <c r="A509" s="76">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62.51464</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46.01558</v>
      </c>
      <c r="AN509">
        <v>36.244639999999997</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2">
      <c r="A510" s="76">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62.755690000000001</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46.229959999999998</v>
      </c>
      <c r="AN510">
        <v>36.456339999999997</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2">
      <c r="A511" s="76">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62.915439999999997</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46.405329999999999</v>
      </c>
      <c r="AN511">
        <v>36.68038</v>
      </c>
      <c r="AO511">
        <v>11.53443</v>
      </c>
      <c r="AP511">
        <v>50.151560000000003</v>
      </c>
      <c r="AS511">
        <v>24.572140000000001</v>
      </c>
      <c r="AT511">
        <v>6.4291150000000004</v>
      </c>
      <c r="AU511">
        <v>72.447109999999995</v>
      </c>
      <c r="AV511">
        <v>7.8929680000000002E-2</v>
      </c>
      <c r="AW511">
        <v>57.379849999999998</v>
      </c>
      <c r="AX511">
        <v>22.25948</v>
      </c>
    </row>
    <row r="512" spans="1:50" x14ac:dyDescent="0.2">
      <c r="A512" s="76">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63.04853</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46.556570000000001</v>
      </c>
      <c r="AN512">
        <v>36.881979999999999</v>
      </c>
      <c r="AO512">
        <v>11.53443</v>
      </c>
      <c r="AP512">
        <v>50.379460000000002</v>
      </c>
      <c r="AS512">
        <v>24.69332</v>
      </c>
      <c r="AT512">
        <v>6.7942999999999998</v>
      </c>
      <c r="AU512">
        <v>72.463070000000002</v>
      </c>
      <c r="AV512">
        <v>7.9965670000000003E-2</v>
      </c>
      <c r="AW512">
        <v>57.464230000000001</v>
      </c>
      <c r="AX512">
        <v>22.535419999999998</v>
      </c>
    </row>
    <row r="513" spans="1:50" x14ac:dyDescent="0.2">
      <c r="A513" s="76">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63.225520000000003</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46.741019999999999</v>
      </c>
      <c r="AN513">
        <v>37.077570000000001</v>
      </c>
      <c r="AO513">
        <v>11.60477</v>
      </c>
      <c r="AP513">
        <v>50.710850000000001</v>
      </c>
      <c r="AS513">
        <v>24.814499999999999</v>
      </c>
      <c r="AT513">
        <v>7.2823719999999996</v>
      </c>
      <c r="AU513">
        <v>72.360950000000003</v>
      </c>
      <c r="AV513">
        <v>8.3149189999999998E-2</v>
      </c>
      <c r="AW513">
        <v>57.633000000000003</v>
      </c>
      <c r="AX513">
        <v>22.85736</v>
      </c>
    </row>
    <row r="514" spans="1:50" x14ac:dyDescent="0.2">
      <c r="A514" s="76">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63.419310000000003</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46.992420000000003</v>
      </c>
      <c r="AN514">
        <v>37.357990000000001</v>
      </c>
      <c r="AO514">
        <v>12.09709</v>
      </c>
      <c r="AP514">
        <v>50.80838</v>
      </c>
      <c r="AS514">
        <v>24.827960000000001</v>
      </c>
      <c r="AT514">
        <v>8.3953179999999996</v>
      </c>
      <c r="AU514">
        <v>73.149209999999997</v>
      </c>
      <c r="AV514">
        <v>8.8210440000000001E-2</v>
      </c>
      <c r="AW514">
        <v>57.886139999999997</v>
      </c>
      <c r="AX514">
        <v>23.179290000000002</v>
      </c>
    </row>
    <row r="515" spans="1:50" x14ac:dyDescent="0.2">
      <c r="A515" s="76">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63.737589999999997</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47.319690000000001</v>
      </c>
      <c r="AN515">
        <v>37.784619999999997</v>
      </c>
      <c r="AO515">
        <v>12.519080000000001</v>
      </c>
      <c r="AP515">
        <v>51.092010000000002</v>
      </c>
      <c r="AS515">
        <v>24.733709999999999</v>
      </c>
      <c r="AT515">
        <v>10.27736</v>
      </c>
      <c r="AU515">
        <v>73.423670000000001</v>
      </c>
      <c r="AV515">
        <v>9.4027109999999997E-2</v>
      </c>
      <c r="AW515">
        <v>57.97052</v>
      </c>
      <c r="AX515">
        <v>23.593209999999999</v>
      </c>
    </row>
    <row r="516" spans="1:50" x14ac:dyDescent="0.2">
      <c r="A516" s="76">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63.93329</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47.58379</v>
      </c>
      <c r="AN516">
        <v>38.075159999999997</v>
      </c>
      <c r="AO516">
        <v>12.94107</v>
      </c>
      <c r="AP516">
        <v>51.341799999999999</v>
      </c>
      <c r="AS516">
        <v>25.164570000000001</v>
      </c>
      <c r="AT516">
        <v>12.15939</v>
      </c>
      <c r="AU516">
        <v>73.755570000000006</v>
      </c>
      <c r="AV516">
        <v>9.8958859999999996E-2</v>
      </c>
      <c r="AW516">
        <v>58.139290000000003</v>
      </c>
      <c r="AX516">
        <v>23.823160000000001</v>
      </c>
    </row>
    <row r="517" spans="1:50" x14ac:dyDescent="0.2">
      <c r="A517" s="76">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63.929259999999999</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47.703609999999998</v>
      </c>
      <c r="AN517">
        <v>38.242730000000002</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2">
      <c r="A518" s="76">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64.031890000000004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47.936279999999996</v>
      </c>
      <c r="AN518">
        <v>38.582569999999997</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2">
      <c r="A519" s="76">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64.243369999999999</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48.173029999999997</v>
      </c>
      <c r="AN519">
        <v>38.880629999999996</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2">
      <c r="A520" s="76">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64.549099999999996</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48.466819999999998</v>
      </c>
      <c r="AN520">
        <v>39.157260000000001</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2">
      <c r="A521" s="76">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64.805279999999996</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48.699820000000003</v>
      </c>
      <c r="AN521">
        <v>39.410600000000002</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2">
      <c r="A522" s="76">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64.939890000000005</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48.823090000000001</v>
      </c>
      <c r="AN522">
        <v>39.563540000000003</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2">
      <c r="A523" s="76">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65.089680000000001</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48.943600000000004</v>
      </c>
      <c r="AN523">
        <v>39.635210000000001</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2">
      <c r="A524" s="76">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65.095879999999994</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48.989130000000003</v>
      </c>
      <c r="AN524">
        <v>39.69502</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2">
      <c r="A525" s="76">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65.234059999999999</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49.15663</v>
      </c>
      <c r="AN525">
        <v>39.863030000000002</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2">
      <c r="A526" s="76">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65.410250000000005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49.420499999999997</v>
      </c>
      <c r="AN526">
        <v>40.188569999999999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2">
      <c r="A527" s="76">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65.575739999999996</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49.655589999999997</v>
      </c>
      <c r="AN527">
        <v>40.490830000000003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2">
      <c r="A528" s="76">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65.693870000000004</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49.821480000000001</v>
      </c>
      <c r="AN528">
        <v>40.746859999999998</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2">
      <c r="A529" s="76">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65.699799999999996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49.910820000000001</v>
      </c>
      <c r="AN529">
        <v>40.885620000000003</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2">
      <c r="A530" s="76">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66.018879999999996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50.241759999999999</v>
      </c>
      <c r="AN530">
        <v>41.295140000000004</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2">
      <c r="A531" s="76">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66.26652</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50.47495</v>
      </c>
      <c r="AN531">
        <v>41.567120000000003</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2">
      <c r="A532" s="76">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66.479839999999996</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50.717619999999997</v>
      </c>
      <c r="AN532">
        <v>41.857680000000002</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2">
      <c r="A533" s="76">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66.717290000000006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50.954520000000002</v>
      </c>
      <c r="AN533">
        <v>42.106090000000002</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2">
      <c r="A534" s="76">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66.816720000000004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51.095829999999999</v>
      </c>
      <c r="AN534">
        <v>42.304639999999999</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2">
      <c r="A535" s="76">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66.910640000000001</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51.199390000000001</v>
      </c>
      <c r="AN535">
        <v>42.427549999999997</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2">
      <c r="A536" s="76">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66.984340000000003</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51.33222</v>
      </c>
      <c r="AN536">
        <v>42.643120000000003</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2">
      <c r="A537" s="76">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67.13373</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51.4968</v>
      </c>
      <c r="AN537">
        <v>42.801200000000001</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2">
      <c r="A538" s="76">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67.250820000000004</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51.693489999999997</v>
      </c>
      <c r="AN538">
        <v>43.069980000000001</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2">
      <c r="A539" s="76">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67.417330000000007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51.928559999999997</v>
      </c>
      <c r="AN539">
        <v>43.366459999999996</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2">
      <c r="A540" s="76">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67.419359999999998</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52.047269999999997</v>
      </c>
      <c r="AN540">
        <v>43.618569999999998</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2">
      <c r="A541" s="76">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67.454890000000006</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52.161830000000002</v>
      </c>
      <c r="AN541">
        <v>43.815860000000001</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2">
      <c r="A542" s="76">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67.626480000000001</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52.380229999999997</v>
      </c>
      <c r="AN542">
        <v>44.078470000000003</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2">
      <c r="A543" s="76">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67.828050000000005</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52.621510000000001</v>
      </c>
      <c r="AN543">
        <v>44.426360000000003</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2">
      <c r="A544" s="76">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68.041039999999995</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52.87086</v>
      </c>
      <c r="AN544">
        <v>44.703919999999997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2">
      <c r="A545" s="76">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68.174239999999998</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53.301600000000001</v>
      </c>
      <c r="AN545">
        <v>45.51435</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2">
      <c r="A546" s="76">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68.27458</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53.517429999999997</v>
      </c>
      <c r="AN546">
        <v>45.924259999999997</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2">
      <c r="A547" s="76">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68.370909999999995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53.638500000000001</v>
      </c>
      <c r="AN547">
        <v>46.039859999999997</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2">
      <c r="A548" s="76">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68.423100000000005</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53.770240000000001</v>
      </c>
      <c r="AN548">
        <v>46.200369999999999</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2">
      <c r="A549" s="76">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68.670860000000005</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54.015909999999998</v>
      </c>
      <c r="AN549">
        <v>46.43938</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2">
      <c r="A550" s="76">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68.814800000000005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54.257829999999998</v>
      </c>
      <c r="AN550">
        <v>46.776020000000003</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2">
      <c r="A551" s="76">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68.890289999999993</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54.476550000000003</v>
      </c>
      <c r="AN551">
        <v>47.140180000000001</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2">
      <c r="A552" s="76">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68.95872</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54.672879999999999</v>
      </c>
      <c r="AN552">
        <v>47.498620000000003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2">
      <c r="A553" s="76">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68.993840000000006</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54.88747</v>
      </c>
      <c r="AN553">
        <v>47.945340000000002</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2">
      <c r="A554" s="76">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69.202110000000005</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55.242870000000003</v>
      </c>
      <c r="AN554">
        <v>48.289960000000001</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2">
      <c r="A555" s="76">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69.425510000000003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55.604550000000003</v>
      </c>
      <c r="AN555">
        <v>48.669809999999998</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2">
      <c r="A556" s="76">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69.617099999999994</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55.990749999999998</v>
      </c>
      <c r="AN556">
        <v>49.016829999999999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2">
      <c r="A557" s="76">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69.836590000000001</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56.475239999999999</v>
      </c>
      <c r="AN557">
        <v>49.374079999999999</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2">
      <c r="A558" s="76">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69.993039999999993</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56.765999999999998</v>
      </c>
      <c r="AN558">
        <v>49.614960000000004</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2">
      <c r="A559" s="76">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70.101089999999999</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56.978340000000003</v>
      </c>
      <c r="AN559">
        <v>49.80294</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2">
      <c r="A560" s="76">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70.059920000000005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57.073650000000001</v>
      </c>
      <c r="AN560">
        <v>49.89425</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2">
      <c r="A561" s="76">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70.217029999999994</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57.311120000000003</v>
      </c>
      <c r="AN561">
        <v>50.149509999999999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2">
      <c r="A562" s="76">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70.401290000000003</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57.674770000000002</v>
      </c>
      <c r="AN562">
        <v>50.601439999999997</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2">
      <c r="A563" s="76">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70.481719999999996</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57.928750000000001</v>
      </c>
      <c r="AN563">
        <v>50.894089999999998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2">
      <c r="A564" s="76">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70.468720000000005</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58.109949999999998</v>
      </c>
      <c r="AN564">
        <v>51.179409999999997</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2">
      <c r="A565" s="76">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70.510130000000004</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58.349719999999998</v>
      </c>
      <c r="AN565">
        <v>51.485680000000002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2">
      <c r="A566" s="76">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70.752269999999996</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58.771839999999997</v>
      </c>
      <c r="AN566">
        <v>51.907170000000001</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2">
      <c r="A567" s="76">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70.957369999999997</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59.076059999999998</v>
      </c>
      <c r="AN567">
        <v>52.270780000000002</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2">
      <c r="A568" s="76">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71.239879999999999</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59.454270000000001</v>
      </c>
      <c r="AN568">
        <v>52.65137</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2">
      <c r="A569" s="76">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71.501589999999993</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59.857889999999998</v>
      </c>
      <c r="AN569">
        <v>53.046280000000003</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2">
      <c r="A570" s="76">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71.661760000000001</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60.11542</v>
      </c>
      <c r="AN570">
        <v>53.338009999999997</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2">
      <c r="A571" s="76">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71.674570000000003</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60.223199999999999</v>
      </c>
      <c r="AN571">
        <v>53.483710000000002</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2">
      <c r="A572" s="76">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71.700580000000002</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60.337029999999999</v>
      </c>
      <c r="AN572">
        <v>53.529089999999997</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2">
      <c r="A573" s="76">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71.784019999999998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60.53257</v>
      </c>
      <c r="AN573">
        <v>53.778880000000001</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2">
      <c r="A574" s="76">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71.985420000000005</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60.849989999999998</v>
      </c>
      <c r="AN574">
        <v>54.153239999999997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2">
      <c r="A575" s="76">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72.152559999999994</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61.144629999999999</v>
      </c>
      <c r="AN575">
        <v>54.517380000000003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2">
      <c r="A576" s="76">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72.215440000000001</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61.342559999999999</v>
      </c>
      <c r="AN576">
        <v>54.790550000000003</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2">
      <c r="A577" s="76">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72.284009999999995</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61.576680000000003</v>
      </c>
      <c r="AN577">
        <v>55.08905</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2">
      <c r="A578" s="76">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72.471710000000002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61.907310000000003</v>
      </c>
      <c r="AN578">
        <v>55.496459999999999</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2">
      <c r="A579" s="76">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72.603710000000007</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62.158940000000001</v>
      </c>
      <c r="AN579">
        <v>55.764539999999997</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2">
      <c r="A580" s="76">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72.735150000000004</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62.39846</v>
      </c>
      <c r="AN580">
        <v>56.050069999999998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2">
      <c r="A581" s="76">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73.001419999999996</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62.73706</v>
      </c>
      <c r="AN581">
        <v>56.366750000000003</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2">
      <c r="A582" s="76">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73.065079999999995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62.90981</v>
      </c>
      <c r="AN582">
        <v>56.682180000000002</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2">
      <c r="A583" s="76">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73.132949999999994</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63.058050000000001</v>
      </c>
      <c r="AN583">
        <v>56.863880000000002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2">
      <c r="A584" s="76">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73.189959999999999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63.24033</v>
      </c>
      <c r="AN584">
        <v>57.209269999999997</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2">
      <c r="A585" s="76">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73.321860000000001</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63.502090000000003</v>
      </c>
      <c r="AN585">
        <v>57.589489999999998</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2">
      <c r="A586" s="76">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73.497439999999997</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63.851410000000001</v>
      </c>
      <c r="AN586">
        <v>58.038780000000003</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2">
      <c r="A587" s="76">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73.631249999999994</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64.167109999999994</v>
      </c>
      <c r="AN587">
        <v>58.500970000000002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2">
      <c r="A588" s="76">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73.558530000000005</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64.330240000000003</v>
      </c>
      <c r="AN588">
        <v>58.942410000000002</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2">
      <c r="A589" s="76">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73.517250000000004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64.531480000000002</v>
      </c>
      <c r="AN589">
        <v>59.319899999999997</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2">
      <c r="A590" s="76">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73.569059999999993</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64.821879999999993</v>
      </c>
      <c r="AN590">
        <v>59.626820000000002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2">
      <c r="A591" s="76">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73.697720000000004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65.093519999999998</v>
      </c>
      <c r="AN591">
        <v>59.948740000000001</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2">
      <c r="A592" s="76">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73.840320000000006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65.335170000000005</v>
      </c>
      <c r="AN592">
        <v>60.236490000000003</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2">
      <c r="A593" s="76">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73.982029999999995</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65.602919999999997</v>
      </c>
      <c r="AN593">
        <v>60.588650000000001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2">
      <c r="A594" s="76">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74.134960000000007</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65.804460000000006</v>
      </c>
      <c r="AN594">
        <v>60.838140000000003</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2">
      <c r="A595" s="76">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74.15352</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65.899289999999993</v>
      </c>
      <c r="AN595">
        <v>60.968130000000002</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2">
      <c r="A596" s="76">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74.134749999999997</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65.980770000000007</v>
      </c>
      <c r="AN596">
        <v>61.106070000000003</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2">
      <c r="A597" s="76">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74.17559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66.110370000000003</v>
      </c>
      <c r="AN597">
        <v>61.274380000000001</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2">
      <c r="A598" s="76">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74.300899999999999</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66.412090000000006</v>
      </c>
      <c r="AN598">
        <v>61.664819999999999</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2">
      <c r="A599" s="76">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74.476380000000006</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66.726759999999999</v>
      </c>
      <c r="AN599">
        <v>61.992840000000001</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2">
      <c r="A600" s="76">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74.475449999999995</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66.871279999999999</v>
      </c>
      <c r="AN600">
        <v>62.238219999999998</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2">
      <c r="A601" s="76">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74.435959999999994</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67.004069999999999</v>
      </c>
      <c r="AN601">
        <v>62.492069999999998</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2">
      <c r="A602" s="76">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74.453649999999996</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67.190889999999996</v>
      </c>
      <c r="AN602">
        <v>62.673560000000002</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2">
      <c r="A603" s="76">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74.505330000000001</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67.348079999999996</v>
      </c>
      <c r="AN603">
        <v>62.908880000000003</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2">
      <c r="A604" s="76">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74.701189999999997</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67.626429999999999</v>
      </c>
      <c r="AN604">
        <v>63.270090000000003</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2">
      <c r="A605" s="76">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75.136259999999993</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68.075299999999999</v>
      </c>
      <c r="AN605">
        <v>63.689770000000003</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2">
      <c r="A606" s="76">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75.167640000000006</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68.177509999999998</v>
      </c>
      <c r="AN606">
        <v>63.879550000000002</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2">
      <c r="A607" s="76">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75.144919999999999</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68.233509999999995</v>
      </c>
      <c r="AN607">
        <v>64.021839999999997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2">
      <c r="A608" s="76">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75.244569999999996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68.397890000000004</v>
      </c>
      <c r="AN608">
        <v>64.216570000000004</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2">
      <c r="A609" s="76">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75.393619999999999</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68.637370000000004</v>
      </c>
      <c r="AN609">
        <v>64.494380000000007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2">
      <c r="A610" s="76">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75.635750000000002</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68.995080000000002</v>
      </c>
      <c r="AN610">
        <v>64.904859999999999</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2">
      <c r="A611" s="76">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75.742840000000001</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69.259829999999994</v>
      </c>
      <c r="AN611">
        <v>65.289270000000002</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2">
      <c r="A612" s="76">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75.740920000000003</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69.397220000000004</v>
      </c>
      <c r="AN612">
        <v>65.620149999999995</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2">
      <c r="A613" s="76">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75.78313</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69.625429999999994</v>
      </c>
      <c r="AN613">
        <v>66.139259999999993</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2">
      <c r="A614" s="76">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75.875969999999995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69.848169999999996</v>
      </c>
      <c r="AN614">
        <v>66.356669999999994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2">
      <c r="A615" s="76">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76.150229999999993</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70.179450000000003</v>
      </c>
      <c r="AN615">
        <v>66.678430000000006</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2">
      <c r="A616" s="76">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76.574759999999998</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70.607069999999993</v>
      </c>
      <c r="AN616">
        <v>67.012919999999994</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2">
      <c r="A617" s="76">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76.636359999999996</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70.742909999999995</v>
      </c>
      <c r="AN617">
        <v>67.220470000000006</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2">
      <c r="A618" s="76">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76.740639999999999</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70.885859999999994</v>
      </c>
      <c r="AN618">
        <v>67.438220000000001</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2">
      <c r="A619" s="76">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77.022509999999997</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71.148510000000002</v>
      </c>
      <c r="AN619">
        <v>67.661689999999993</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2">
      <c r="A620" s="76">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77.111969999999999</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71.327640000000002</v>
      </c>
      <c r="AN620">
        <v>67.807019999999994</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2">
      <c r="A621" s="76">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77.134680000000003</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71.419280000000001</v>
      </c>
      <c r="AN621">
        <v>67.924409999999995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2">
      <c r="A622" s="76">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77.440280000000001</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71.792370000000005</v>
      </c>
      <c r="AN622">
        <v>68.368300000000005</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2">
      <c r="A623" s="76">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77.521140000000003</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71.961070000000007</v>
      </c>
      <c r="AN623">
        <v>68.585120000000003</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2">
      <c r="A624" s="76">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77.573620000000005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72.112840000000006</v>
      </c>
      <c r="AN624">
        <v>68.911420000000007</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2">
      <c r="A625" s="76">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77.62903</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72.246510000000001</v>
      </c>
      <c r="AN625">
        <v>69.154920000000004</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2">
      <c r="A626" s="76">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77.813410000000005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72.488919999999993</v>
      </c>
      <c r="AN626">
        <v>69.191509999999994</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2">
      <c r="A627" s="76">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78.055300000000003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72.743740000000003</v>
      </c>
      <c r="AN627">
        <v>69.520179999999996</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2">
      <c r="A628" s="76">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78.191580000000002</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73.034090000000006</v>
      </c>
      <c r="AN628">
        <v>69.967280000000002</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2">
      <c r="A629" s="76">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78.509870000000006</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73.527050000000003</v>
      </c>
      <c r="AN629">
        <v>70.746579999999994</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2">
      <c r="A630" s="76">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78.84357</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73.915469999999999</v>
      </c>
      <c r="AN630">
        <v>71.307370000000006</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2">
      <c r="A631" s="76">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78.930809999999994</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74.060779999999994</v>
      </c>
      <c r="AN631">
        <v>71.545119999999997</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2">
      <c r="A632" s="76">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78.737690000000001</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73.961129999999997</v>
      </c>
      <c r="AN632">
        <v>71.561419999999998</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2">
      <c r="A633" s="76">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78.773570000000007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74.077330000000003</v>
      </c>
      <c r="AN633">
        <v>71.724800000000002</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2">
      <c r="A634" s="76">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78.983050000000006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74.414720000000003</v>
      </c>
      <c r="AN634">
        <v>72.172370000000001</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2">
      <c r="A635" s="76">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78.822760000000002</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74.466970000000003</v>
      </c>
      <c r="AN635">
        <v>72.505309999999994</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2">
      <c r="A636" s="76">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78.652109999999993</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74.4482</v>
      </c>
      <c r="AN636">
        <v>72.715729999999994</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2">
      <c r="A637" s="76">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78.572119999999998</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74.495819999999995</v>
      </c>
      <c r="AN637">
        <v>73.105680000000007</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2">
      <c r="A638" s="76">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78.691950000000006</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74.750050000000002</v>
      </c>
      <c r="AN638">
        <v>73.459950000000006</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2">
      <c r="A639" s="76">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78.889160000000004</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74.949010000000001</v>
      </c>
      <c r="AN639">
        <v>73.683700000000002</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2">
      <c r="A640" s="76">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79.236080000000001</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75.310010000000005</v>
      </c>
      <c r="AN640">
        <v>74.021119999999996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2">
      <c r="A641" s="76">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79.576580000000007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75.70138</v>
      </c>
      <c r="AN641">
        <v>74.382130000000004</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2">
      <c r="A642" s="76">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79.658159999999995</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75.808589999999995</v>
      </c>
      <c r="AN642">
        <v>74.534520000000001</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2">
      <c r="A643" s="76">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79.681139999999999</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75.840260000000001</v>
      </c>
      <c r="AN643">
        <v>74.529300000000006</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2">
      <c r="A644" s="76">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79.706729999999993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75.862009999999998</v>
      </c>
      <c r="AN644">
        <v>74.496669999999995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2">
      <c r="A645" s="76">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79.919169999999994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76.082120000000003</v>
      </c>
      <c r="AN645">
        <v>74.662099999999995</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2">
      <c r="A646" s="76">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80.024249999999995</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76.297359999999998</v>
      </c>
      <c r="AN646">
        <v>74.9953</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2">
      <c r="A647" s="76">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80.104230000000001</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76.477620000000002</v>
      </c>
      <c r="AN647">
        <v>75.282259999999994</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2">
      <c r="A648" s="76">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80.105059999999995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76.559669999999997</v>
      </c>
      <c r="AN648">
        <v>75.399510000000006</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2">
      <c r="A649" s="76">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80.098429999999993</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76.626279999999994</v>
      </c>
      <c r="AN649">
        <v>75.704089999999994</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2">
      <c r="A650" s="76">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80.282359999999997</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76.871889999999993</v>
      </c>
      <c r="AN650">
        <v>75.865780000000001</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2">
      <c r="A651" s="76">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80.708370000000002</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77.266109999999998</v>
      </c>
      <c r="AN651">
        <v>76.215289999999996</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2">
      <c r="A652" s="76">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81.079859999999996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77.676479999999998</v>
      </c>
      <c r="AN652">
        <v>76.583330000000004</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2">
      <c r="A653" s="76">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81.00797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77.6751</v>
      </c>
      <c r="AN653">
        <v>76.706379999999996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2">
      <c r="A654" s="76">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80.951319999999996</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77.635260000000002</v>
      </c>
      <c r="AN654">
        <v>76.71893</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2">
      <c r="A655" s="76">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80.998940000000005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77.661919999999995</v>
      </c>
      <c r="AN655">
        <v>76.774159999999995</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2">
      <c r="A656" s="76">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81.039659999999998</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77.653289999999998</v>
      </c>
      <c r="AN656">
        <v>76.674130000000005</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2">
      <c r="A657" s="76">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81.276470000000003</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77.862949999999998</v>
      </c>
      <c r="AN657">
        <v>76.802130000000005</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2">
      <c r="A658" s="76">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81.471029999999999</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78.110919999999993</v>
      </c>
      <c r="AN658">
        <v>77.058620000000005</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2">
      <c r="A659" s="76">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81.439089999999993</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78.152590000000004</v>
      </c>
      <c r="AN659">
        <v>77.21217</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2">
      <c r="A660" s="76">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81.279529999999994</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78.100719999999995</v>
      </c>
      <c r="AN660">
        <v>77.314189999999996</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2">
      <c r="A661" s="76">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81.33193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78.176929999999999</v>
      </c>
      <c r="AN661">
        <v>77.504279999999994</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2">
      <c r="A662" s="76">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81.510750000000002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78.367379999999997</v>
      </c>
      <c r="AN662">
        <v>77.504630000000006</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2">
      <c r="A663" s="76">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81.821020000000004</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78.656809999999993</v>
      </c>
      <c r="AN663">
        <v>77.709590000000006</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2">
      <c r="A664" s="76">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82.209950000000006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79.050129999999996</v>
      </c>
      <c r="AN664">
        <v>78.045140000000004</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2">
      <c r="A665" s="76">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82.433250000000001</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79.304339999999996</v>
      </c>
      <c r="AN665">
        <v>78.379519999999999</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2">
      <c r="A666" s="76">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82.804270000000002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79.626519999999999</v>
      </c>
      <c r="AN666">
        <v>78.67765</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2">
      <c r="A667" s="76">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82.981430000000003</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79.772859999999994</v>
      </c>
      <c r="AN667">
        <v>78.717010000000002</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2">
      <c r="A668" s="76">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82.871369999999999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79.689130000000006</v>
      </c>
      <c r="AN668">
        <v>78.619969999999995</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2">
      <c r="A669" s="76">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82.948939999999993</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79.806319999999999</v>
      </c>
      <c r="AN669">
        <v>78.769620000000003</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2">
      <c r="A670" s="76">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83.070400000000006</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79.972899999999996</v>
      </c>
      <c r="AN670">
        <v>78.882760000000005</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2">
      <c r="A671" s="76">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83.405299999999997</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80.343990000000005</v>
      </c>
      <c r="AN671">
        <v>79.209940000000003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2">
      <c r="A672" s="76">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83.425340000000006</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80.404880000000006</v>
      </c>
      <c r="AN672">
        <v>79.297160000000005</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2">
      <c r="A673" s="76">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83.326130000000006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80.341819999999998</v>
      </c>
      <c r="AN673">
        <v>79.523380000000003</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2">
      <c r="A674" s="76">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83.283910000000006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80.340609999999998</v>
      </c>
      <c r="AN674">
        <v>79.28792</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2">
      <c r="A675" s="76">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83.621930000000006</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80.638040000000004</v>
      </c>
      <c r="AN675">
        <v>79.548159999999996</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2">
      <c r="A676" s="76">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84.13597</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81.111490000000003</v>
      </c>
      <c r="AN676">
        <v>79.939869999999999</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2">
      <c r="A677" s="76">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84.49015</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81.477450000000005</v>
      </c>
      <c r="AN677">
        <v>80.199579999999997</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2">
      <c r="A678" s="76">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84.518150000000006</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81.526790000000005</v>
      </c>
      <c r="AN678">
        <v>80.402230000000003</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2">
      <c r="A679" s="76">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84.518190000000004</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81.532610000000005</v>
      </c>
      <c r="AN679">
        <v>80.454800000000006</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2">
      <c r="A680" s="76">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84.780469999999994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81.725669999999994</v>
      </c>
      <c r="AN680">
        <v>80.453609999999998</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2">
      <c r="A681" s="76">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85.093890000000002</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81.993549999999999</v>
      </c>
      <c r="AN681">
        <v>80.637010000000004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2">
      <c r="A682" s="76">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85.767229999999998</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82.589730000000003</v>
      </c>
      <c r="AN682">
        <v>80.946039999999996</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2">
      <c r="A683" s="76">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85.874759999999995</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82.761070000000004</v>
      </c>
      <c r="AN683">
        <v>81.197299999999998</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2">
      <c r="A684" s="76">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85.414240000000007</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82.464320000000001</v>
      </c>
      <c r="AN684">
        <v>81.179519999999997</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2">
      <c r="A685" s="76">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85.322069999999997</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82.434250000000006</v>
      </c>
      <c r="AN685">
        <v>81.37415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2">
      <c r="A686" s="76">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85.665599999999998</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82.729429999999994</v>
      </c>
      <c r="AN686">
        <v>81.291560000000004</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2">
      <c r="A687" s="76">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85.801609999999997</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82.870099999999994</v>
      </c>
      <c r="AN687">
        <v>81.518100000000004</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2">
      <c r="A688" s="76">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86.146519999999995</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83.208500000000001</v>
      </c>
      <c r="AN688">
        <v>81.776669999999996</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2">
      <c r="A689" s="76">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86.6935</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83.750929999999997</v>
      </c>
      <c r="AN689">
        <v>82.263949999999994</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2">
      <c r="A690" s="76">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87.051000000000002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84.070980000000006</v>
      </c>
      <c r="AN690">
        <v>82.587720000000004</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2">
      <c r="A691" s="76">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87.175650000000005</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84.170760000000001</v>
      </c>
      <c r="AN691">
        <v>82.672259999999994</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2">
      <c r="A692" s="76">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87.326070000000001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84.309939999999997</v>
      </c>
      <c r="AN692">
        <v>82.724429999999998</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2">
      <c r="A693" s="76">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87.54083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84.509150000000005</v>
      </c>
      <c r="AN693">
        <v>82.818160000000006</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2">
      <c r="A694" s="76">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87.252970000000005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84.391400000000004</v>
      </c>
      <c r="AN694">
        <v>82.88673</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2">
      <c r="A695" s="76">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86.963139999999996</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84.216729999999998</v>
      </c>
      <c r="AN695">
        <v>82.979159999999993</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2">
      <c r="A696" s="76">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86.867189999999994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84.193740000000005</v>
      </c>
      <c r="AN696">
        <v>83.128720000000001</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2">
      <c r="A697" s="76">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87.060929999999999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84.377489999999995</v>
      </c>
      <c r="AN697">
        <v>83.373440000000002</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2">
      <c r="A698" s="76">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87.129390000000001</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84.457629999999995</v>
      </c>
      <c r="AN698">
        <v>83.266810000000007</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2">
      <c r="A699" s="76">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87.43432</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84.744280000000003</v>
      </c>
      <c r="AN699">
        <v>83.520589999999999</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2">
      <c r="A700" s="76">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88.013419999999996</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85.29289</v>
      </c>
      <c r="AN700">
        <v>83.942530000000005</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2">
      <c r="A701" s="76">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88.47784</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85.774159999999995</v>
      </c>
      <c r="AN701">
        <v>84.424610000000001</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2">
      <c r="A702" s="76">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88.872050000000002</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86.084829999999997</v>
      </c>
      <c r="AN702">
        <v>84.611930000000001</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2">
      <c r="A703" s="76">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88.973159999999993</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86.171360000000007</v>
      </c>
      <c r="AN703">
        <v>84.684240000000003</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2">
      <c r="A704" s="76">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88.959109999999995</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86.158709999999999</v>
      </c>
      <c r="AN704">
        <v>84.56465</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2">
      <c r="A705" s="76">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88.964219999999997</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86.180019999999999</v>
      </c>
      <c r="AN705">
        <v>84.639740000000003</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2">
      <c r="A706" s="76">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89.135850000000005</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86.429199999999994</v>
      </c>
      <c r="AN706">
        <v>84.916079999999994</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2">
      <c r="A707" s="76">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89.325890000000001</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86.717399999999998</v>
      </c>
      <c r="AN707">
        <v>85.362499999999997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2">
      <c r="A708" s="76">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89.732209999999995</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87.152789999999996</v>
      </c>
      <c r="AN708">
        <v>85.881929999999997</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2">
      <c r="A709" s="76">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89.830500000000001</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87.293520000000001</v>
      </c>
      <c r="AN709">
        <v>86.204149999999998</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2">
      <c r="A710" s="76">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90.021850000000001</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87.517179999999996</v>
      </c>
      <c r="AN710">
        <v>86.202820000000003</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2">
      <c r="A711" s="76">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90.25076</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87.784809999999993</v>
      </c>
      <c r="AN711">
        <v>86.570740000000001</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2">
      <c r="A712" s="76">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90.877700000000004</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88.409059999999997</v>
      </c>
      <c r="AN712">
        <v>87.142970000000005</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2">
      <c r="A713" s="76">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91.269779999999997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88.852360000000004</v>
      </c>
      <c r="AN713">
        <v>87.549710000000005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2">
      <c r="A714" s="76">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91.970600000000005</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89.491489999999999</v>
      </c>
      <c r="AN714">
        <v>88.112210000000005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2">
      <c r="A715" s="76">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92.669560000000004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90.068870000000004</v>
      </c>
      <c r="AN715">
        <v>88.389060000000001</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2">
      <c r="A716" s="76">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93.039969999999997</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90.405469999999994</v>
      </c>
      <c r="AN716">
        <v>88.493920000000003</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2">
      <c r="A717" s="76">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92.883719999999997</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90.296509999999998</v>
      </c>
      <c r="AN717">
        <v>88.462710000000001</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2">
      <c r="A718" s="76">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92.81841</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90.338239999999999</v>
      </c>
      <c r="AN718">
        <v>88.620260000000002</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2">
      <c r="A719" s="76">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92.214070000000007</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90.005340000000004</v>
      </c>
      <c r="AN719">
        <v>88.746030000000005</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2">
      <c r="A720" s="76">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91.030370000000005</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89.170389999999998</v>
      </c>
      <c r="AN720">
        <v>88.496769999999998</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2">
      <c r="A721" s="76">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90.433980000000005</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88.705259999999996</v>
      </c>
      <c r="AN721">
        <v>88.310779999999994</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2">
      <c r="A722" s="76">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88.716089999999994</v>
      </c>
      <c r="AN722">
        <v>88.017619999999994</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2">
      <c r="A723" s="76">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90.838489999999993</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89.030439999999999</v>
      </c>
      <c r="AN723">
        <v>88.334370000000007</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2">
      <c r="A724" s="76">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91.008480000000006</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89.266369999999995</v>
      </c>
      <c r="AN724">
        <v>88.533990000000003</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2">
      <c r="A725" s="76">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91.187849999999997</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89.483170000000001</v>
      </c>
      <c r="AN725">
        <v>88.768000000000001</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2">
      <c r="A726" s="76">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89.637960000000007</v>
      </c>
      <c r="AN726">
        <v>88.930109999999999</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2">
      <c r="A727" s="76">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91.852469999999997</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90.003200000000007</v>
      </c>
      <c r="AN727">
        <v>89.074359999999999</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2">
      <c r="A728" s="76">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91.690359999999998</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89.871390000000005</v>
      </c>
      <c r="AN728">
        <v>88.858980000000003</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2">
      <c r="A729" s="76">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91.9251</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90.057460000000006</v>
      </c>
      <c r="AN729">
        <v>89.022760000000005</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2">
      <c r="A730" s="76">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91.90652</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90.09451</v>
      </c>
      <c r="AN730">
        <v>88.995580000000004</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2">
      <c r="A731" s="76">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91.923249999999996</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90.197980000000001</v>
      </c>
      <c r="AN731">
        <v>89.242519999999999</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2">
      <c r="A732" s="76">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90.311139999999995</v>
      </c>
      <c r="AN732">
        <v>89.430329999999998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2">
      <c r="A733" s="76">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90.332949999999997</v>
      </c>
      <c r="AN733">
        <v>89.665639999999996</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2">
      <c r="A734" s="76">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90.532330000000002</v>
      </c>
      <c r="AN734">
        <v>89.602559999999997</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2">
      <c r="A735" s="76">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92.203000000000003</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90.704340000000002</v>
      </c>
      <c r="AN735">
        <v>89.914670000000001</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2">
      <c r="A736" s="76">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92.551370000000006</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91.09469</v>
      </c>
      <c r="AN736">
        <v>90.425340000000006</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2">
      <c r="A737" s="76">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91.331739999999996</v>
      </c>
      <c r="AN737">
        <v>90.812709999999996</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2">
      <c r="A738" s="76">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92.799289999999999</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91.381770000000003</v>
      </c>
      <c r="AN738">
        <v>90.89152</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2">
      <c r="A739" s="76">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92.728700000000003</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91.317949999999996</v>
      </c>
      <c r="AN739">
        <v>90.870859999999993</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2">
      <c r="A740" s="76">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92.702089999999998</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91.287769999999995</v>
      </c>
      <c r="AN740">
        <v>90.761539999999997</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2">
      <c r="A741" s="76">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91.421980000000005</v>
      </c>
      <c r="AN741">
        <v>90.901610000000005</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2">
      <c r="A742" s="76">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91.563180000000003</v>
      </c>
      <c r="AN742">
        <v>91.055049999999994</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2">
      <c r="A743" s="76">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93.039240000000007</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91.804370000000006</v>
      </c>
      <c r="AN743">
        <v>91.381569999999996</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2">
      <c r="A744" s="76">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91.86927</v>
      </c>
      <c r="AN744">
        <v>91.527940000000001</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2">
      <c r="A745" s="76">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93.28331</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92.110129999999998</v>
      </c>
      <c r="AN745">
        <v>91.948570000000004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2">
      <c r="A746" s="76">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93.523359999999997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92.383449999999996</v>
      </c>
      <c r="AN746">
        <v>91.983789999999999</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2">
      <c r="A747" s="76">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93.916579999999996</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92.760670000000005</v>
      </c>
      <c r="AN747">
        <v>92.383610000000004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2">
      <c r="A748" s="76">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94.62773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93.425899999999999</v>
      </c>
      <c r="AN748">
        <v>93.01155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2">
      <c r="A749" s="76">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95.088099999999997</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93.881680000000003</v>
      </c>
      <c r="AN749">
        <v>93.473339999999993</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2">
      <c r="A750" s="76">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95.382369999999995</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94.15907</v>
      </c>
      <c r="AN750">
        <v>93.732640000000004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2">
      <c r="A751" s="76">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95.308009999999996</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94.059039999999996</v>
      </c>
      <c r="AN751">
        <v>93.611050000000006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2">
      <c r="A752" s="76">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95.367159999999998</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94.098209999999995</v>
      </c>
      <c r="AN752">
        <v>93.497240000000005</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2">
      <c r="A753" s="76">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95.620410000000007</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94.314930000000004</v>
      </c>
      <c r="AN753">
        <v>93.687160000000006</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2">
      <c r="A754" s="76">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95.764610000000005</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94.508170000000007</v>
      </c>
      <c r="AN754">
        <v>94.004019999999997</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2">
      <c r="A755" s="76">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95.724549999999994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94.632869999999997</v>
      </c>
      <c r="AN755">
        <v>94.449029999999993</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2">
      <c r="A756" s="76">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95.650400000000005</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94.698269999999994</v>
      </c>
      <c r="AN756">
        <v>94.727199999999996</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2">
      <c r="A757" s="76">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94.736069999999998</v>
      </c>
      <c r="AN757">
        <v>94.961780000000005</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2">
      <c r="A758" s="76">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94.963179999999994</v>
      </c>
      <c r="AN758">
        <v>94.917900000000003</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2">
      <c r="A759" s="76">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95.348290000000006</v>
      </c>
      <c r="AN759">
        <v>95.356930000000006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2">
      <c r="A760" s="76">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95.898229999999998</v>
      </c>
      <c r="AN760">
        <v>95.920720000000003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2">
      <c r="A761" s="76">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96.194149999999993</v>
      </c>
      <c r="AN761">
        <v>96.341160000000002</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2">
      <c r="A762" s="76">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96.102419999999995</v>
      </c>
      <c r="AN762">
        <v>96.298749999999998</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2">
      <c r="A763" s="76">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95.940550000000002</v>
      </c>
      <c r="AN763">
        <v>96.134780000000006</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2">
      <c r="A764" s="76">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95.869150000000005</v>
      </c>
      <c r="AN764">
        <v>96.077449999999999</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2">
      <c r="A765" s="76">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96.255799999999994</v>
      </c>
      <c r="AN765">
        <v>96.399950000000004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2">
      <c r="A766" s="76">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96.599670000000003</v>
      </c>
      <c r="AN766">
        <v>96.711079999999995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2">
      <c r="A767" s="76">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96.748459999999994</v>
      </c>
      <c r="AN767">
        <v>97.079669999999993</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2">
      <c r="A768" s="76">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96.533690000000007</v>
      </c>
      <c r="AN768">
        <v>97.052149999999997</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2">
      <c r="A769" s="76">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96.50018</v>
      </c>
      <c r="AN769">
        <v>97.239549999999994</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2">
      <c r="A770" s="76">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96.604179999999999</v>
      </c>
      <c r="AN770">
        <v>97.051670000000001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2">
      <c r="A771" s="76">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97.080470000000005</v>
      </c>
      <c r="AN771">
        <v>97.362589999999997</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2">
      <c r="A772" s="76">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97.410740000000004</v>
      </c>
      <c r="AN772">
        <v>97.841070000000002</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2">
      <c r="A773" s="76">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97.413290000000003</v>
      </c>
      <c r="AN773">
        <v>97.86788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2">
      <c r="A774" s="76">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97.538499999999999</v>
      </c>
      <c r="AN774">
        <v>98.00318</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2">
      <c r="A775" s="76">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97.674629999999993</v>
      </c>
      <c r="AN775">
        <v>98.10745</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2">
      <c r="A776" s="76">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97.754549999999995</v>
      </c>
      <c r="AN776">
        <v>98.133409999999998</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2">
      <c r="A777" s="76">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97.893559999999994</v>
      </c>
      <c r="AN777">
        <v>98.241600000000005</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2">
      <c r="A778" s="76">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98.045509999999993</v>
      </c>
      <c r="AN778">
        <v>98.368120000000005</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2">
      <c r="A779" s="76">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98.009540000000001</v>
      </c>
      <c r="AN779">
        <v>98.475340000000003</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2">
      <c r="A780" s="76">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97.948099999999997</v>
      </c>
      <c r="AN780">
        <v>98.430080000000004</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2">
      <c r="A781" s="76">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98.079890000000006</v>
      </c>
      <c r="AN781">
        <v>98.698819999999998</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2">
      <c r="A782" s="76">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98.203919999999997</v>
      </c>
      <c r="AN782">
        <v>98.457930000000005</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2">
      <c r="A783" s="76">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98.49342</v>
      </c>
      <c r="AN783">
        <v>98.71875</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2">
      <c r="A784" s="76">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98.950299999999999</v>
      </c>
      <c r="AN784">
        <v>99.108980000000003</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2">
      <c r="A785" s="76">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99.392430000000004</v>
      </c>
      <c r="AN785">
        <v>99.356290000000001</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2">
      <c r="A786" s="76">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99.581019999999995</v>
      </c>
      <c r="AN786">
        <v>99.347139999999996</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2">
      <c r="A787" s="76">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99.697490000000002</v>
      </c>
      <c r="AN787">
        <v>99.467730000000003</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2">
      <c r="A788" s="76">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99.685010000000005</v>
      </c>
      <c r="AN788">
        <v>99.374780000000001</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2">
      <c r="A789" s="76">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99.689580000000007</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2">
      <c r="A790" s="76">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99.769840000000002</v>
      </c>
      <c r="AN790">
        <v>99.463750000000005</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2">
      <c r="A791" s="76">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99.732089999999999</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2">
      <c r="A792" s="76">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99.462350000000001</v>
      </c>
      <c r="AN792">
        <v>99.50273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2">
      <c r="A793" s="76">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99.19135</v>
      </c>
      <c r="AN793">
        <v>99.368049999999997</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2">
      <c r="A794" s="76">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98.780079999999998</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2">
      <c r="A795" s="76">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99.131060000000005</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2">
      <c r="A796" s="76">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99.633510000000001</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2">
      <c r="A797" s="76">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99.942939999999993</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2">
      <c r="A798" s="76">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100.26739999999999</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2">
      <c r="A799" s="76">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100.3978</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2">
      <c r="A800" s="76">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100.3646</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2">
      <c r="A801" s="76">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100.2398</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2">
      <c r="A802" s="76">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2">
      <c r="A803" s="76">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2">
      <c r="A804" s="76">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100.26220000000001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2">
      <c r="A805" s="76">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100.1464</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2">
      <c r="A806" s="76">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100.0506</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2">
      <c r="A807" s="76">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100.1829</v>
      </c>
      <c r="AN807">
        <v>99.920100000000005</v>
      </c>
      <c r="AO807">
        <v>98.9011</v>
      </c>
      <c r="AP807">
        <v>98.637169999999998</v>
      </c>
      <c r="AQ807">
        <v>105.2449</v>
      </c>
      <c r="AR807">
        <v>102.0732</v>
      </c>
      <c r="AS807">
        <v>99.352540000000005</v>
      </c>
      <c r="AT807">
        <v>98.42</v>
      </c>
      <c r="AU807">
        <v>100.2534</v>
      </c>
      <c r="AV807">
        <v>105.29389999999999</v>
      </c>
      <c r="AW807">
        <v>100.0397</v>
      </c>
      <c r="AX807">
        <v>104.1071</v>
      </c>
    </row>
    <row r="808" spans="1:50" x14ac:dyDescent="0.2">
      <c r="A808" s="76">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2">
      <c r="A809" s="76">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2">
      <c r="A810" s="76">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2">
      <c r="A811" s="76">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101.4066</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2">
      <c r="A812" s="76">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2">
      <c r="A813" s="76">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2">
      <c r="A814" s="76">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2">
      <c r="A815" s="76">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101.8734</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2">
      <c r="A816" s="76">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101.8083</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2">
      <c r="A817" s="76">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102.0262</v>
      </c>
      <c r="AN817">
        <v>102.1439</v>
      </c>
      <c r="AO817">
        <v>100.3663</v>
      </c>
      <c r="AP817">
        <v>100.9978</v>
      </c>
      <c r="AQ817">
        <v>109.1597</v>
      </c>
      <c r="AR817">
        <v>101.565</v>
      </c>
      <c r="AS817">
        <v>99.7196</v>
      </c>
      <c r="AT817">
        <v>100.26</v>
      </c>
      <c r="AU817">
        <v>102.0215</v>
      </c>
      <c r="AV817">
        <v>112.2628</v>
      </c>
      <c r="AW817">
        <v>101.8627</v>
      </c>
      <c r="AX817">
        <v>108.9682</v>
      </c>
    </row>
    <row r="818" spans="1:50" x14ac:dyDescent="0.2">
      <c r="A818" s="76">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102.4104</v>
      </c>
      <c r="AN818">
        <v>102.14660000000001</v>
      </c>
      <c r="AO818">
        <v>100.77330000000001</v>
      </c>
      <c r="AP818">
        <v>100.3997</v>
      </c>
      <c r="AQ818">
        <v>109.8365</v>
      </c>
      <c r="AR818">
        <v>101.3887</v>
      </c>
      <c r="AS818">
        <v>99.964309999999998</v>
      </c>
      <c r="AT818">
        <v>99.66</v>
      </c>
      <c r="AU818">
        <v>101.3257</v>
      </c>
      <c r="AV818">
        <v>115.0258</v>
      </c>
      <c r="AW818">
        <v>102.4564</v>
      </c>
      <c r="AX818">
        <v>109.6433</v>
      </c>
    </row>
    <row r="819" spans="1:50" x14ac:dyDescent="0.2">
      <c r="A819" s="76">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2">
      <c r="A820" s="76">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2">
      <c r="A821" s="76">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2">
      <c r="A822" s="76">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103.3746</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2">
      <c r="A823" s="76">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103.4063</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2">
      <c r="A824" s="76">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103.3954</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2">
      <c r="A825" s="76">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2">
      <c r="A826" s="76">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104.0056</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2">
      <c r="A827" s="76">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2">
      <c r="A828" s="76">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104.3387</v>
      </c>
      <c r="AO828">
        <v>102.3199</v>
      </c>
      <c r="AP828">
        <v>102.5224</v>
      </c>
      <c r="AQ828">
        <v>111.44580000000001</v>
      </c>
      <c r="AR828">
        <v>100.1339</v>
      </c>
      <c r="AS828">
        <v>101.5549</v>
      </c>
      <c r="AT828">
        <v>102.02</v>
      </c>
      <c r="AU828">
        <v>103.41289999999999</v>
      </c>
      <c r="AV828">
        <v>124.7885</v>
      </c>
      <c r="AW828">
        <v>104.0723</v>
      </c>
      <c r="AX828">
        <v>113.2891</v>
      </c>
    </row>
    <row r="829" spans="1:50" x14ac:dyDescent="0.2">
      <c r="A829" s="76">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104.4178</v>
      </c>
      <c r="AN829">
        <v>104.66240000000001</v>
      </c>
      <c r="AO829">
        <v>102.5641</v>
      </c>
      <c r="AP829">
        <v>102.4786</v>
      </c>
      <c r="AQ829">
        <v>111.9139</v>
      </c>
      <c r="AR829">
        <v>100.43470000000001</v>
      </c>
      <c r="AS829">
        <v>101.5549</v>
      </c>
      <c r="AT829">
        <v>102.01</v>
      </c>
      <c r="AU829">
        <v>103.7927</v>
      </c>
      <c r="AV829">
        <v>125.6442</v>
      </c>
      <c r="AW829">
        <v>104.0111</v>
      </c>
      <c r="AX829">
        <v>113.8292</v>
      </c>
    </row>
    <row r="830" spans="1:50" x14ac:dyDescent="0.2">
      <c r="A830" s="76">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2">
      <c r="A831" s="76">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105.00960000000001</v>
      </c>
      <c r="AN831">
        <v>104.7063</v>
      </c>
      <c r="AO831">
        <v>102.6455</v>
      </c>
      <c r="AP831">
        <v>100.747</v>
      </c>
      <c r="AQ831">
        <v>112.4966</v>
      </c>
      <c r="AR831">
        <v>104.479</v>
      </c>
      <c r="AS831">
        <v>102.595</v>
      </c>
      <c r="AT831">
        <v>101.87</v>
      </c>
      <c r="AU831">
        <v>103.6778</v>
      </c>
      <c r="AV831">
        <v>127.8546</v>
      </c>
      <c r="AW831">
        <v>105.05200000000001</v>
      </c>
      <c r="AX831">
        <v>115.0444</v>
      </c>
    </row>
    <row r="832" spans="1:50" x14ac:dyDescent="0.2">
      <c r="A832" s="76">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105.2921</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2">
      <c r="A833" s="76">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105.6557</v>
      </c>
      <c r="AN833">
        <v>105.7084</v>
      </c>
      <c r="AO833">
        <v>103.05249999999999</v>
      </c>
      <c r="AP833">
        <v>103.3036</v>
      </c>
      <c r="AQ833">
        <v>113.2516</v>
      </c>
      <c r="AR833">
        <v>104.04349999999999</v>
      </c>
      <c r="AS833">
        <v>103.3903</v>
      </c>
      <c r="AT833">
        <v>102.86</v>
      </c>
      <c r="AU833">
        <v>104.3895</v>
      </c>
      <c r="AV833">
        <v>131.54249999999999</v>
      </c>
      <c r="AW833">
        <v>105.708</v>
      </c>
      <c r="AX833">
        <v>116.2597</v>
      </c>
    </row>
    <row r="834" spans="1:50" x14ac:dyDescent="0.2">
      <c r="A834" s="76">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v>
      </c>
      <c r="AN834">
        <v>106.30800000000001</v>
      </c>
      <c r="AO834">
        <v>103.2967</v>
      </c>
      <c r="AP834">
        <v>103.7236</v>
      </c>
      <c r="AQ834">
        <v>113.6819</v>
      </c>
      <c r="AR834">
        <v>103.80500000000001</v>
      </c>
      <c r="AS834">
        <v>103.3903</v>
      </c>
      <c r="AT834">
        <v>104.07</v>
      </c>
      <c r="AU834">
        <v>104.63200000000001</v>
      </c>
      <c r="AV834">
        <v>133.67609999999999</v>
      </c>
      <c r="AW834">
        <v>106.1477</v>
      </c>
      <c r="AX834">
        <v>116.6648</v>
      </c>
    </row>
    <row r="835" spans="1:50" x14ac:dyDescent="0.2">
      <c r="A835" s="76">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106.2911</v>
      </c>
      <c r="AN835">
        <v>106.6777</v>
      </c>
      <c r="AO835">
        <v>103.3781</v>
      </c>
      <c r="AP835">
        <v>103.7903</v>
      </c>
      <c r="AQ835">
        <v>114.239</v>
      </c>
      <c r="AR835">
        <v>104.002</v>
      </c>
      <c r="AS835">
        <v>103.51260000000001</v>
      </c>
      <c r="AT835">
        <v>104.07</v>
      </c>
      <c r="AU835">
        <v>104.8745</v>
      </c>
      <c r="AV835">
        <v>137.16829999999999</v>
      </c>
      <c r="AW835">
        <v>106.3168</v>
      </c>
      <c r="AX835">
        <v>116.9348</v>
      </c>
    </row>
    <row r="836" spans="1:50" x14ac:dyDescent="0.2">
      <c r="A836" s="76">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106.3814</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2">
      <c r="A837" s="76">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106.67319999999999</v>
      </c>
      <c r="AN837">
        <v>107.2316</v>
      </c>
      <c r="AO837">
        <v>103.1339</v>
      </c>
      <c r="AP837">
        <v>102.801</v>
      </c>
      <c r="AQ837">
        <v>114.55889999999999</v>
      </c>
      <c r="AR837">
        <v>103.7116</v>
      </c>
      <c r="AS837">
        <v>103.63500000000001</v>
      </c>
      <c r="AT837">
        <v>103.2</v>
      </c>
      <c r="AU837">
        <v>105.1969</v>
      </c>
      <c r="AV837">
        <v>141.09020000000001</v>
      </c>
      <c r="AW837">
        <v>106.3831</v>
      </c>
      <c r="AX837">
        <v>117.745</v>
      </c>
    </row>
    <row r="838" spans="1:50" x14ac:dyDescent="0.2">
      <c r="A838" s="76">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107.0356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2">
      <c r="A839" s="76">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107.3771</v>
      </c>
      <c r="AN839">
        <v>108.49120000000001</v>
      </c>
      <c r="AO839">
        <v>103.7851</v>
      </c>
      <c r="AP839">
        <v>103.8669</v>
      </c>
      <c r="AQ839">
        <v>115.1438</v>
      </c>
      <c r="AR839">
        <v>102.98569999999999</v>
      </c>
      <c r="AS839">
        <v>103.7573</v>
      </c>
      <c r="AT839">
        <v>103.96</v>
      </c>
      <c r="AU839">
        <v>105.54470000000001</v>
      </c>
      <c r="AV839">
        <v>153.9881</v>
      </c>
      <c r="AW839">
        <v>106.6949</v>
      </c>
      <c r="AX839">
        <v>118.9603</v>
      </c>
    </row>
    <row r="840" spans="1:50" x14ac:dyDescent="0.2">
      <c r="A840" s="76">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107.08540000000001</v>
      </c>
      <c r="AN840">
        <v>108.11960000000001</v>
      </c>
      <c r="AO840">
        <v>103.7851</v>
      </c>
      <c r="AP840">
        <v>103.4021</v>
      </c>
      <c r="AQ840">
        <v>115.7195</v>
      </c>
      <c r="AR840">
        <v>102.768</v>
      </c>
      <c r="AS840">
        <v>103.6962</v>
      </c>
      <c r="AT840">
        <v>104.06</v>
      </c>
      <c r="AU840">
        <v>105.4426</v>
      </c>
      <c r="AV840">
        <v>151.7662</v>
      </c>
      <c r="AW840">
        <v>106.33750000000001</v>
      </c>
      <c r="AX840">
        <v>119.09529999999999</v>
      </c>
    </row>
    <row r="841" spans="1:50" x14ac:dyDescent="0.2">
      <c r="A841" s="76">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106.9149</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2">
      <c r="A842" s="76">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106.8682</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2">
      <c r="A843" s="76">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107.2071</v>
      </c>
      <c r="AN843">
        <v>107.9524</v>
      </c>
      <c r="AO843">
        <v>103.9479</v>
      </c>
      <c r="AP843">
        <v>101.6934</v>
      </c>
      <c r="AQ843">
        <v>118.3887</v>
      </c>
      <c r="AR843">
        <v>101.0984</v>
      </c>
      <c r="AS843">
        <v>104.91970000000001</v>
      </c>
      <c r="AT843">
        <v>103.11</v>
      </c>
      <c r="AU843">
        <v>105.6405</v>
      </c>
      <c r="AV843">
        <v>153.00569999999999</v>
      </c>
      <c r="AW843">
        <v>106.6489</v>
      </c>
      <c r="AX843">
        <v>119.7705</v>
      </c>
    </row>
    <row r="844" spans="1:50" x14ac:dyDescent="0.2">
      <c r="A844" s="76">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105.8083</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107.6947</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2">
      <c r="A845" s="76">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106.3485</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108.2821</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2">
      <c r="A846" s="76">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108.4783</v>
      </c>
      <c r="AN846">
        <v>109.48050000000001</v>
      </c>
      <c r="AO846">
        <v>105.65730000000001</v>
      </c>
      <c r="AP846">
        <v>104.1605</v>
      </c>
      <c r="AQ846">
        <v>119.517</v>
      </c>
      <c r="AR846">
        <v>101.0776</v>
      </c>
      <c r="AS846">
        <v>106.1433</v>
      </c>
      <c r="AT846">
        <v>105.56</v>
      </c>
      <c r="AU846">
        <v>106.8947</v>
      </c>
      <c r="AV846">
        <v>158.6891</v>
      </c>
      <c r="AW846">
        <v>108.0479</v>
      </c>
      <c r="AX846">
        <v>121.7959</v>
      </c>
    </row>
    <row r="847" spans="1:50" x14ac:dyDescent="0.2">
      <c r="A847" s="76">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108.5051</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2">
      <c r="A848" s="76">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106.73699999999999</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108.6776</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2">
      <c r="A849" s="76">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106.8069</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108.7668</v>
      </c>
      <c r="AN849">
        <v>109.9395</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2">
      <c r="A850" s="76">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108.8331</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2">
      <c r="A851" s="76">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109.1493</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2">
      <c r="A852" s="76">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109.1164</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2">
      <c r="A853" s="76">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109.2332</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2">
      <c r="A854" s="76">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107.07250000000001</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109.4134</v>
      </c>
      <c r="AN854">
        <v>110.38639999999999</v>
      </c>
      <c r="AO854">
        <v>108.0993</v>
      </c>
      <c r="AP854">
        <v>102.7334</v>
      </c>
      <c r="AQ854">
        <v>120.72709999999999</v>
      </c>
      <c r="AR854">
        <v>102.01090000000001</v>
      </c>
      <c r="AS854">
        <v>107.8562</v>
      </c>
      <c r="AT854">
        <v>104.45</v>
      </c>
      <c r="AU854">
        <v>106.2149</v>
      </c>
      <c r="AV854">
        <v>171.32599999999999</v>
      </c>
      <c r="AW854">
        <v>108.8407</v>
      </c>
      <c r="AX854">
        <v>123.9563</v>
      </c>
    </row>
    <row r="855" spans="1:50" x14ac:dyDescent="0.2">
      <c r="A855" s="76">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107.2895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109.648</v>
      </c>
      <c r="AN855">
        <v>110.6031</v>
      </c>
      <c r="AO855">
        <v>108.8319</v>
      </c>
      <c r="AP855">
        <v>102.0795</v>
      </c>
      <c r="AQ855">
        <v>121.1255</v>
      </c>
      <c r="AR855">
        <v>102.3428</v>
      </c>
      <c r="AS855">
        <v>107.9786</v>
      </c>
      <c r="AT855">
        <v>105.14</v>
      </c>
      <c r="AU855">
        <v>106.7415</v>
      </c>
      <c r="AV855">
        <v>171.92850000000001</v>
      </c>
      <c r="AW855">
        <v>109.139</v>
      </c>
      <c r="AX855">
        <v>125.1716</v>
      </c>
    </row>
    <row r="856" spans="1:50" x14ac:dyDescent="0.2">
      <c r="A856" s="76">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107.1486</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109.5818</v>
      </c>
      <c r="AN856">
        <v>110.73050000000001</v>
      </c>
      <c r="AO856">
        <v>109.0761</v>
      </c>
      <c r="AP856">
        <v>103.54349999999999</v>
      </c>
      <c r="AQ856">
        <v>121.79170000000001</v>
      </c>
      <c r="AR856">
        <v>102.488</v>
      </c>
      <c r="AS856">
        <v>107.9786</v>
      </c>
      <c r="AT856">
        <v>104.32</v>
      </c>
      <c r="AU856">
        <v>106.5628</v>
      </c>
      <c r="AV856">
        <v>172.9109</v>
      </c>
      <c r="AW856">
        <v>108.9015</v>
      </c>
      <c r="AX856">
        <v>125.71169999999999</v>
      </c>
    </row>
    <row r="857" spans="1:50" x14ac:dyDescent="0.2">
      <c r="A857" s="76">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106.7371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109.2099</v>
      </c>
      <c r="AN857">
        <v>110.8977</v>
      </c>
      <c r="AO857">
        <v>108.99469999999999</v>
      </c>
      <c r="AP857">
        <v>103.8719</v>
      </c>
      <c r="AQ857">
        <v>122.8026</v>
      </c>
      <c r="AR857">
        <v>102.3635</v>
      </c>
      <c r="AS857">
        <v>107.9786</v>
      </c>
      <c r="AT857">
        <v>103.36</v>
      </c>
      <c r="AU857">
        <v>106.24039999999999</v>
      </c>
      <c r="AV857">
        <v>174.38839999999999</v>
      </c>
      <c r="AW857">
        <v>108.1733</v>
      </c>
      <c r="AX857">
        <v>124.9015</v>
      </c>
    </row>
    <row r="858" spans="1:50" x14ac:dyDescent="0.2">
      <c r="A858" s="76">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106.7283</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109.24760000000001</v>
      </c>
      <c r="AN858">
        <v>110.9726</v>
      </c>
      <c r="AO858">
        <v>108.7505</v>
      </c>
      <c r="AP858">
        <v>103.4061</v>
      </c>
      <c r="AQ858">
        <v>123.13420000000001</v>
      </c>
      <c r="AR858">
        <v>102.14579999999999</v>
      </c>
      <c r="AS858">
        <v>108.22329999999999</v>
      </c>
      <c r="AT858">
        <v>104.26</v>
      </c>
      <c r="AU858">
        <v>106.8819</v>
      </c>
      <c r="AV858">
        <v>176.7638</v>
      </c>
      <c r="AW858">
        <v>108.1754</v>
      </c>
      <c r="AX858">
        <v>124.2264</v>
      </c>
    </row>
    <row r="859" spans="1:50" x14ac:dyDescent="0.2">
      <c r="A859" s="76">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107.1558</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109.68510000000001</v>
      </c>
      <c r="AN859">
        <v>111.4064</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2">
      <c r="A860" s="76">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107.4751</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109.9863</v>
      </c>
      <c r="AN860">
        <v>111.4059</v>
      </c>
      <c r="AO860">
        <v>109.1575</v>
      </c>
      <c r="AP860">
        <v>102.9782</v>
      </c>
      <c r="AQ860">
        <v>123.837</v>
      </c>
      <c r="AR860">
        <v>107.8078</v>
      </c>
      <c r="AS860">
        <v>108.22329999999999</v>
      </c>
      <c r="AT860">
        <v>105.48</v>
      </c>
      <c r="AU860">
        <v>107.7308</v>
      </c>
      <c r="AV860">
        <v>179.8108</v>
      </c>
      <c r="AW860">
        <v>109.3175</v>
      </c>
      <c r="AX860">
        <v>126.5219</v>
      </c>
    </row>
    <row r="861" spans="1:50" x14ac:dyDescent="0.2">
      <c r="A861" s="76">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107.64879999999999</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110.1628</v>
      </c>
      <c r="AN861">
        <v>111.3897</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2">
      <c r="A862" s="76">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107.6455</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110.2521</v>
      </c>
      <c r="AN862">
        <v>111.4104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2">
      <c r="A863" s="76">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107.6974</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110.4402</v>
      </c>
      <c r="AN863">
        <v>111.7574</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2">
      <c r="A864" s="76">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107.55110000000001</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110.3968</v>
      </c>
      <c r="AN864">
        <v>111.7791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2">
      <c r="A865" s="76">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107.6713</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110.59139999999999</v>
      </c>
      <c r="AN865">
        <v>112.1687</v>
      </c>
      <c r="AO865">
        <v>109.5645</v>
      </c>
      <c r="AP865">
        <v>103.3544</v>
      </c>
      <c r="AQ865">
        <v>126.1532</v>
      </c>
      <c r="AR865">
        <v>107.6108</v>
      </c>
      <c r="AS865">
        <v>108.28449999999999</v>
      </c>
      <c r="AT865">
        <v>104.21</v>
      </c>
      <c r="AU865">
        <v>108.2957</v>
      </c>
      <c r="AV865">
        <v>193.7218</v>
      </c>
      <c r="AW865">
        <v>109.8968</v>
      </c>
      <c r="AX865">
        <v>127.4671</v>
      </c>
    </row>
    <row r="866" spans="1:50" x14ac:dyDescent="0.2">
      <c r="A866" s="76">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111.1168</v>
      </c>
      <c r="AN866">
        <v>112.6778</v>
      </c>
      <c r="AO866">
        <v>110.9483</v>
      </c>
      <c r="AP866">
        <v>103.0429</v>
      </c>
      <c r="AQ866">
        <v>126.9984</v>
      </c>
      <c r="AR866">
        <v>107.8493</v>
      </c>
      <c r="AS866">
        <v>108.6515</v>
      </c>
      <c r="AT866">
        <v>103.76</v>
      </c>
      <c r="AU866">
        <v>107.8968</v>
      </c>
      <c r="AV866">
        <v>196.97989999999999</v>
      </c>
      <c r="AW866">
        <v>110.3642</v>
      </c>
      <c r="AX866">
        <v>128.00720000000001</v>
      </c>
    </row>
    <row r="867" spans="1:50" x14ac:dyDescent="0.2">
      <c r="A867" s="76">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108.5805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111.5626</v>
      </c>
      <c r="AN867">
        <v>113.0129</v>
      </c>
      <c r="AO867">
        <v>111.5181</v>
      </c>
      <c r="AP867">
        <v>102.5712</v>
      </c>
      <c r="AQ867">
        <v>127.989</v>
      </c>
      <c r="AR867">
        <v>107.7145</v>
      </c>
      <c r="AS867">
        <v>108.8963</v>
      </c>
      <c r="AT867">
        <v>104.06</v>
      </c>
      <c r="AU867">
        <v>108.1904</v>
      </c>
      <c r="AV867">
        <v>198.76820000000001</v>
      </c>
      <c r="AW867">
        <v>110.9684</v>
      </c>
      <c r="AX867">
        <v>128.81739999999999</v>
      </c>
    </row>
    <row r="868" spans="1:50" x14ac:dyDescent="0.2">
      <c r="A868" s="76">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109.185</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112.2051</v>
      </c>
      <c r="AN868">
        <v>113.6568</v>
      </c>
      <c r="AO868">
        <v>112.65770000000001</v>
      </c>
      <c r="AP868">
        <v>104.0142</v>
      </c>
      <c r="AQ868">
        <v>128.8338</v>
      </c>
      <c r="AR868">
        <v>107.559</v>
      </c>
      <c r="AS868">
        <v>109.4469</v>
      </c>
      <c r="AT868">
        <v>104.41</v>
      </c>
      <c r="AU868">
        <v>108.3595</v>
      </c>
      <c r="AV868">
        <v>200.9057</v>
      </c>
      <c r="AW868">
        <v>111.7544</v>
      </c>
      <c r="AX868">
        <v>129.6275</v>
      </c>
    </row>
    <row r="869" spans="1:50" x14ac:dyDescent="0.2">
      <c r="A869" s="76">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109.78019999999999</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112.8536</v>
      </c>
      <c r="AN869">
        <v>114.38379999999999</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2">
      <c r="A870" s="76">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110.4588</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113.4576</v>
      </c>
      <c r="AN870">
        <v>114.813</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2">
      <c r="A871" s="76">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111.1627</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114.12130000000001</v>
      </c>
      <c r="AN871">
        <v>115.3109</v>
      </c>
      <c r="AO871">
        <v>113.9601</v>
      </c>
      <c r="AP871">
        <v>104.85209999999999</v>
      </c>
      <c r="AQ871">
        <v>131.44059999999999</v>
      </c>
      <c r="AR871">
        <v>108.1086</v>
      </c>
      <c r="AS871">
        <v>111.221</v>
      </c>
      <c r="AT871">
        <v>107.1</v>
      </c>
      <c r="AU871">
        <v>108.9276</v>
      </c>
      <c r="AV871">
        <v>210.09649999999999</v>
      </c>
      <c r="AW871">
        <v>114.6314</v>
      </c>
      <c r="AX871">
        <v>131.1129</v>
      </c>
    </row>
    <row r="872" spans="1:50" x14ac:dyDescent="0.2">
      <c r="A872" s="76">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111.6527</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114.64319999999999</v>
      </c>
      <c r="AN872">
        <v>115.81910000000001</v>
      </c>
      <c r="AO872">
        <v>114.4485</v>
      </c>
      <c r="AP872">
        <v>104.4879</v>
      </c>
      <c r="AQ872">
        <v>131.84809999999999</v>
      </c>
      <c r="AR872">
        <v>108.2745</v>
      </c>
      <c r="AS872">
        <v>111.77160000000001</v>
      </c>
      <c r="AT872">
        <v>107.54</v>
      </c>
      <c r="AU872">
        <v>109.218</v>
      </c>
      <c r="AV872">
        <v>213.88800000000001</v>
      </c>
      <c r="AW872">
        <v>115.1829</v>
      </c>
      <c r="AX872">
        <v>132.4632</v>
      </c>
    </row>
    <row r="873" spans="1:50" x14ac:dyDescent="0.2">
      <c r="A873" s="76">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111.9075</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114.9573</v>
      </c>
      <c r="AN873">
        <v>116.30240000000001</v>
      </c>
      <c r="AO873">
        <v>114.7741</v>
      </c>
      <c r="AP873">
        <v>104.27889999999999</v>
      </c>
      <c r="AQ873">
        <v>132.07220000000001</v>
      </c>
      <c r="AR873">
        <v>108.3471</v>
      </c>
      <c r="AS873">
        <v>112.1998</v>
      </c>
      <c r="AT873">
        <v>107.64</v>
      </c>
      <c r="AU873">
        <v>109.77970000000001</v>
      </c>
      <c r="AV873">
        <v>216.2826</v>
      </c>
      <c r="AW873">
        <v>115.4208</v>
      </c>
      <c r="AX873">
        <v>133.0033</v>
      </c>
    </row>
    <row r="874" spans="1:50" x14ac:dyDescent="0.2">
      <c r="A874" s="76">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112.1344</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115.3202</v>
      </c>
      <c r="AN874">
        <v>116.6721</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2">
      <c r="A875" s="76">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112.88</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116.22199999999999</v>
      </c>
      <c r="AN875">
        <v>117.79349999999999</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2">
      <c r="A876" s="76">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113.3254</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116.8716</v>
      </c>
      <c r="AN876">
        <v>118.6443</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2">
      <c r="A877" s="76">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113.6557</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117.8434</v>
      </c>
      <c r="AN877">
        <v>120.8488</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2">
      <c r="A878" s="76">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114.4229</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119.0975</v>
      </c>
      <c r="AN878">
        <v>122.69280000000001</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2">
      <c r="A879" s="76">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115.3836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120.2195</v>
      </c>
      <c r="AN879">
        <v>124.1309</v>
      </c>
      <c r="AO879">
        <v>121.0419</v>
      </c>
      <c r="AP879">
        <v>106.8734</v>
      </c>
      <c r="AQ879">
        <v>139.7107</v>
      </c>
      <c r="AR879">
        <v>109.4567</v>
      </c>
      <c r="AS879">
        <v>118.74590000000001</v>
      </c>
      <c r="AT879">
        <v>111.24</v>
      </c>
      <c r="AU879">
        <v>112.8338</v>
      </c>
      <c r="AV879">
        <v>306.97469999999998</v>
      </c>
      <c r="AW879">
        <v>119.7028</v>
      </c>
      <c r="AX879">
        <v>136.10890000000001</v>
      </c>
    </row>
    <row r="880" spans="1:50" x14ac:dyDescent="0.2">
      <c r="A880" s="76">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116.8929</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122.0468</v>
      </c>
      <c r="AN880">
        <v>126.8826</v>
      </c>
      <c r="AO880">
        <v>125.0305</v>
      </c>
      <c r="AP880">
        <v>109.5594</v>
      </c>
      <c r="AQ880">
        <v>150.34700000000001</v>
      </c>
      <c r="AR880">
        <v>109.7574</v>
      </c>
      <c r="AS880">
        <v>120.8259</v>
      </c>
      <c r="AT880">
        <v>110.01</v>
      </c>
      <c r="AU880">
        <v>114.8252</v>
      </c>
      <c r="AV880">
        <v>323.74849999999998</v>
      </c>
      <c r="AW880">
        <v>121.301</v>
      </c>
      <c r="AX880">
        <v>137.5942</v>
      </c>
    </row>
    <row r="881" spans="1:50" x14ac:dyDescent="0.2">
      <c r="A881" s="76">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117.624</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123.22369999999999</v>
      </c>
      <c r="AN881">
        <v>128.8648</v>
      </c>
      <c r="AO881">
        <v>127.5539</v>
      </c>
      <c r="AP881">
        <v>111.97069999999999</v>
      </c>
      <c r="AR881">
        <v>110.22410000000001</v>
      </c>
      <c r="AS881">
        <v>122.5389</v>
      </c>
      <c r="AT881">
        <v>112.83</v>
      </c>
      <c r="AU881">
        <v>115.5337</v>
      </c>
      <c r="AV881">
        <v>347.2149</v>
      </c>
      <c r="AW881">
        <v>121.9782</v>
      </c>
      <c r="AX881">
        <v>138.40440000000001</v>
      </c>
    </row>
    <row r="882" spans="1:50" x14ac:dyDescent="0.2">
      <c r="A882" s="76">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118.73090000000001</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124.4164</v>
      </c>
      <c r="AN882">
        <v>130.26900000000001</v>
      </c>
      <c r="AO882">
        <v>129.7517</v>
      </c>
      <c r="AP882">
        <v>113.06740000000001</v>
      </c>
      <c r="AR882">
        <v>110.35890000000001</v>
      </c>
      <c r="AS882">
        <v>124.4966</v>
      </c>
      <c r="AT882">
        <v>115.12</v>
      </c>
      <c r="AU882">
        <v>116.74639999999999</v>
      </c>
      <c r="AV882">
        <v>357.56470000000002</v>
      </c>
      <c r="AW882">
        <v>123.3228</v>
      </c>
      <c r="AX882">
        <v>139.34960000000001</v>
      </c>
    </row>
    <row r="883" spans="1:50" x14ac:dyDescent="0.2">
      <c r="A883" s="76">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119.9063</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125.84</v>
      </c>
      <c r="AN883">
        <v>131.99719999999999</v>
      </c>
      <c r="AO883">
        <v>131.70529999999999</v>
      </c>
      <c r="AP883">
        <v>114.0029</v>
      </c>
      <c r="AR883">
        <v>110.6078</v>
      </c>
      <c r="AS883">
        <v>125.9648</v>
      </c>
      <c r="AT883">
        <v>118.27</v>
      </c>
      <c r="AU883">
        <v>118.3836</v>
      </c>
      <c r="AV883">
        <v>375.27100000000002</v>
      </c>
      <c r="AW883">
        <v>125.0168</v>
      </c>
      <c r="AX883">
        <v>140.8349</v>
      </c>
    </row>
    <row r="884" spans="1:50" x14ac:dyDescent="0.2">
      <c r="A884" s="76">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131.01480000000001</v>
      </c>
      <c r="U884">
        <v>120.1525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126.3832</v>
      </c>
      <c r="AN884">
        <v>133.01679999999999</v>
      </c>
      <c r="AO884">
        <v>132.35650000000001</v>
      </c>
      <c r="AP884">
        <v>113.9551</v>
      </c>
      <c r="AR884">
        <v>111.1678</v>
      </c>
      <c r="AS884">
        <v>127.0048</v>
      </c>
      <c r="AT884">
        <v>119.41</v>
      </c>
      <c r="AU884">
        <v>118.4889</v>
      </c>
      <c r="AV884">
        <v>384.1472</v>
      </c>
      <c r="AW884">
        <v>125.002</v>
      </c>
      <c r="AX884">
        <v>143.13040000000001</v>
      </c>
    </row>
    <row r="885" spans="1:50" x14ac:dyDescent="0.2">
      <c r="A885" s="76">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131.3629</v>
      </c>
      <c r="U885">
        <v>120.32129999999999</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126.752</v>
      </c>
      <c r="AN885">
        <v>133.88059999999999</v>
      </c>
      <c r="AO885">
        <v>133.41470000000001</v>
      </c>
      <c r="AP885">
        <v>113.6058</v>
      </c>
      <c r="AR885">
        <v>111.5929</v>
      </c>
      <c r="AS885">
        <v>127.9837</v>
      </c>
      <c r="AT885">
        <v>119.44</v>
      </c>
      <c r="AU885">
        <v>120.5729</v>
      </c>
      <c r="AV885">
        <v>389.7577</v>
      </c>
      <c r="AW885">
        <v>124.9577</v>
      </c>
      <c r="AX885">
        <v>143.53550000000001</v>
      </c>
    </row>
    <row r="886" spans="1:50" x14ac:dyDescent="0.2">
      <c r="A886" s="76">
        <v>44805</v>
      </c>
      <c r="B886">
        <v>123.70269999999999</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132.23849999999999</v>
      </c>
      <c r="U886">
        <v>120.7457</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127.48139999999999</v>
      </c>
      <c r="AN886">
        <v>135.34960000000001</v>
      </c>
      <c r="AO886">
        <v>135.53110000000001</v>
      </c>
      <c r="AP886">
        <v>114.9991</v>
      </c>
      <c r="AR886">
        <v>111.8937</v>
      </c>
      <c r="AS886">
        <v>129.14609999999999</v>
      </c>
      <c r="AT886">
        <v>118.34</v>
      </c>
      <c r="AU886">
        <v>122.2962</v>
      </c>
      <c r="AV886">
        <v>401.74610000000001</v>
      </c>
      <c r="AW886">
        <v>125.2265</v>
      </c>
      <c r="AX886">
        <v>143.6705</v>
      </c>
    </row>
    <row r="887" spans="1:50" x14ac:dyDescent="0.2">
      <c r="A887" s="76">
        <v>44835</v>
      </c>
      <c r="C887">
        <v>127.0633</v>
      </c>
      <c r="F887">
        <v>104.89109999999999</v>
      </c>
      <c r="G887">
        <v>138.81979999999999</v>
      </c>
      <c r="H887">
        <v>115.4502</v>
      </c>
      <c r="M887">
        <v>117.6</v>
      </c>
      <c r="P887">
        <v>142.63499999999999</v>
      </c>
      <c r="W887">
        <v>113.0521</v>
      </c>
      <c r="X887">
        <v>146.48410000000001</v>
      </c>
      <c r="Y887">
        <v>125.1666</v>
      </c>
      <c r="AB887">
        <v>130.6771</v>
      </c>
      <c r="AF887">
        <v>115.1264</v>
      </c>
      <c r="AH887">
        <v>118.02</v>
      </c>
      <c r="AI887">
        <v>140.23570000000001</v>
      </c>
      <c r="AJ887">
        <v>142.92009999999999</v>
      </c>
      <c r="AK887">
        <v>128.25</v>
      </c>
      <c r="AL887">
        <v>126</v>
      </c>
      <c r="AT887">
        <v>119.24</v>
      </c>
      <c r="AV887">
        <v>415.9871</v>
      </c>
      <c r="AW887">
        <v>125.73439999999999</v>
      </c>
    </row>
    <row r="888" spans="1:50" x14ac:dyDescent="0.2">
      <c r="A888" s="76">
        <v>44866</v>
      </c>
    </row>
    <row r="889" spans="1:50" x14ac:dyDescent="0.2">
      <c r="A889" s="76">
        <v>44896</v>
      </c>
    </row>
    <row r="890" spans="1:50" x14ac:dyDescent="0.2">
      <c r="A890" s="76">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3" customWidth="1"/>
    <col min="2" max="4" width="9.1640625" style="73" customWidth="1"/>
    <col min="5" max="5" width="10.6640625" style="73" bestFit="1" customWidth="1"/>
    <col min="6" max="21" width="9.1640625" style="73" customWidth="1"/>
    <col min="22" max="16384" width="9.1640625" style="73"/>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6">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6">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6">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6">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6">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6">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6">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6">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6">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6">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6">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6">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6">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6">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6">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6">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6">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6">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6">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6">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6">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6">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6">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6">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6">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6">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6">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6">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6">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6">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6">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6">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6">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6">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6">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6">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6">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6">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6">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6">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6">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6">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6">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6">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6">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6">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6">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6">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6">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6">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6">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6">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6">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6">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6">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6">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6">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6">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6">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6">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6">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6">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6">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6">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6">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6">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6">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6">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6">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6">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6">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6">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6">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2">
      <c r="A75" s="76">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2">
      <c r="A76" s="76">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2">
      <c r="A77" s="76">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2">
      <c r="A78" s="76">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2">
      <c r="A79" s="76">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2">
      <c r="A80" s="76">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2">
      <c r="A81" s="76">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2">
      <c r="A82" s="76">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2">
      <c r="A83" s="76">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2">
      <c r="A84" s="76">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2">
      <c r="A85" s="76">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2">
      <c r="A86" s="76">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2">
      <c r="A87" s="76">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2">
      <c r="A88" s="76">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2">
      <c r="A89" s="76">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2">
      <c r="A90" s="76">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2">
      <c r="A91" s="76">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2">
      <c r="A92" s="76">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2">
      <c r="A93" s="76">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2">
      <c r="A94" s="76">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2">
      <c r="A95" s="76">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2">
      <c r="A96" s="76">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2">
      <c r="A97" s="76">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2">
      <c r="A98" s="76">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2">
      <c r="A99" s="76">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2">
      <c r="A100" s="76">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2">
      <c r="A101" s="76">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2">
      <c r="A102" s="76">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2">
      <c r="A103" s="76">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2">
      <c r="A104" s="76">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2">
      <c r="A105" s="76">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2">
      <c r="A106" s="76">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2">
      <c r="A107" s="76">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2">
      <c r="A108" s="76">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2">
      <c r="A109" s="76">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2">
      <c r="A110" s="76">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2">
      <c r="A111" s="76">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2">
      <c r="A112" s="76">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2">
      <c r="A113" s="76">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2">
      <c r="A114" s="76">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2">
      <c r="A115" s="76">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2">
      <c r="A116" s="76">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2">
      <c r="A117" s="76">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2">
      <c r="A118" s="76">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2">
      <c r="A119" s="76">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2">
      <c r="A120" s="76">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2">
      <c r="A121" s="76">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2">
      <c r="A122" s="76">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2">
      <c r="A123" s="76">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2">
      <c r="A124" s="76">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2">
      <c r="A125" s="76">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2">
      <c r="A126" s="76">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2">
      <c r="A127" s="76">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2">
      <c r="A128" s="76">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2">
      <c r="A129" s="76">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2">
      <c r="A130" s="76">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2">
      <c r="A131" s="76">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2">
      <c r="A132" s="76">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2">
      <c r="A133" s="76">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2">
      <c r="A134" s="76">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2">
      <c r="A135" s="76">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2">
      <c r="A136" s="76">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2">
      <c r="A137" s="76">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2">
      <c r="A138" s="76">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2">
      <c r="A139" s="76">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2">
      <c r="A140" s="76">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2">
      <c r="A141" s="76">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2">
      <c r="A142" s="76">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2">
      <c r="A143" s="76">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2">
      <c r="A144" s="76">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2">
      <c r="A145" s="76">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2">
      <c r="A146" s="76">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2">
      <c r="A147" s="76">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2">
      <c r="A148" s="76">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2">
      <c r="A149" s="76">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2">
      <c r="A150" s="76">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2">
      <c r="A151" s="76">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2">
      <c r="A152" s="76">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2">
      <c r="A153" s="76">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2">
      <c r="A154" s="76">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2">
      <c r="A155" s="76">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2">
      <c r="A156" s="76">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2">
      <c r="A157" s="76">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2">
      <c r="A158" s="76">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2">
      <c r="A159" s="76">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2">
      <c r="A160" s="76">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2">
      <c r="A161" s="76">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2">
      <c r="A162" s="76">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2">
      <c r="A163" s="76">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2">
      <c r="A164" s="76">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2">
      <c r="A165" s="76">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2">
      <c r="A166" s="76">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2">
      <c r="A167" s="76">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2">
      <c r="A168" s="76">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2">
      <c r="A169" s="76">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2">
      <c r="A170" s="76">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2">
      <c r="A171" s="76">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2">
      <c r="A172" s="76">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2">
      <c r="A173" s="76">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2">
      <c r="A174" s="76">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2">
      <c r="A175" s="76">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2">
      <c r="A176" s="76">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2">
      <c r="A177" s="76">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2">
      <c r="A178" s="76">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2">
      <c r="A179" s="76">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2">
      <c r="A180" s="76">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2">
      <c r="A181" s="76">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2">
      <c r="A182" s="76">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2">
      <c r="A183" s="76">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2">
      <c r="A184" s="76">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2">
      <c r="A185" s="76">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2">
      <c r="A186" s="76">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2">
      <c r="A187" s="76">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2">
      <c r="A188" s="76">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2">
      <c r="A189" s="76">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2">
      <c r="A190" s="76">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2">
      <c r="A191" s="76">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2">
      <c r="A192" s="76">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2">
      <c r="A193" s="76">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2">
      <c r="A194" s="76">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2">
      <c r="A195" s="76">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2">
      <c r="A196" s="76">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2">
      <c r="A197" s="76">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2">
      <c r="A198" s="76">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2">
      <c r="A199" s="76">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2">
      <c r="A200" s="76">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2">
      <c r="A201" s="76">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2">
      <c r="A202" s="76">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2">
      <c r="A203" s="76">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2">
      <c r="A204" s="76">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2">
      <c r="A205" s="76">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2">
      <c r="A206" s="76">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2">
      <c r="A207" s="76">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2">
      <c r="A208" s="76">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2">
      <c r="A209" s="76">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2">
      <c r="A210" s="76">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2">
      <c r="A211" s="76">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2">
      <c r="A212" s="76">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2">
      <c r="A213" s="76">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2">
      <c r="A214" s="76">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2">
      <c r="A215" s="76">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2">
      <c r="A216" s="76">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2">
      <c r="A217" s="76">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2">
      <c r="A218" s="76">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2">
      <c r="A219" s="76">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2">
      <c r="A220" s="76">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2">
      <c r="A221" s="76">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2">
      <c r="A222" s="76">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2">
      <c r="A223" s="76">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2">
      <c r="A224" s="76">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2">
      <c r="A225" s="76">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2">
      <c r="A226" s="76">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2">
      <c r="A227" s="76">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2">
      <c r="A228" s="76">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2">
      <c r="A229" s="76">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2">
      <c r="A230" s="76">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2">
      <c r="A231" s="76">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2">
      <c r="A232" s="76">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2">
      <c r="A233" s="76">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2">
      <c r="A234" s="76">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2">
      <c r="A235" s="76">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2">
      <c r="A236" s="76">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2">
      <c r="A237" s="76">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2">
      <c r="A238" s="76">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2">
      <c r="A239" s="76">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2">
      <c r="A240" s="76">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2">
      <c r="A241" s="76">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2">
      <c r="A242" s="76">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2">
      <c r="A243" s="76">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2">
      <c r="A244" s="76">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2">
      <c r="A245" s="76">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2">
      <c r="A246" s="76">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2">
      <c r="A247" s="76">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2">
      <c r="A248" s="76">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2">
      <c r="A249" s="76">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2">
      <c r="A250" s="76">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2">
      <c r="A251" s="76">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2">
      <c r="A252" s="76">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2">
      <c r="A253" s="76">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2">
      <c r="A254" s="76">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16.480340000000002</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7.2997800000000002</v>
      </c>
      <c r="AN254">
        <v>5.3068489999999997</v>
      </c>
      <c r="AO254"/>
      <c r="AP254">
        <v>1.5384100000000001</v>
      </c>
      <c r="AQ254"/>
      <c r="AR254"/>
      <c r="AS254"/>
      <c r="AT254"/>
      <c r="AU254">
        <v>14.10826</v>
      </c>
      <c r="AV254"/>
      <c r="AW254">
        <v>16.346979999999999</v>
      </c>
      <c r="AX254"/>
    </row>
    <row r="255" spans="1:50" x14ac:dyDescent="0.2">
      <c r="A255" s="76">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16.538049999999998</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7.3255840000000001</v>
      </c>
      <c r="AN255">
        <v>5.3314279999999998</v>
      </c>
      <c r="AO255"/>
      <c r="AP255">
        <v>1.5151969999999999</v>
      </c>
      <c r="AQ255"/>
      <c r="AR255"/>
      <c r="AS255"/>
      <c r="AT255"/>
      <c r="AU255">
        <v>14.31235</v>
      </c>
      <c r="AV255"/>
      <c r="AW255">
        <v>16.429549999999999</v>
      </c>
      <c r="AX255"/>
    </row>
    <row r="256" spans="1:50" x14ac:dyDescent="0.2">
      <c r="A256" s="76">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16.64602</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7.3727669999999996</v>
      </c>
      <c r="AN256">
        <v>5.3540070000000002</v>
      </c>
      <c r="AO256"/>
      <c r="AP256">
        <v>1.545093</v>
      </c>
      <c r="AQ256"/>
      <c r="AR256"/>
      <c r="AS256"/>
      <c r="AT256"/>
      <c r="AU256">
        <v>14.395210000000001</v>
      </c>
      <c r="AV256"/>
      <c r="AW256">
        <v>16.55339</v>
      </c>
      <c r="AX256"/>
    </row>
    <row r="257" spans="1:50" x14ac:dyDescent="0.2">
      <c r="A257" s="76">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16.741879999999998</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7.4145849999999998</v>
      </c>
      <c r="AN257">
        <v>5.3787630000000002</v>
      </c>
      <c r="AO257"/>
      <c r="AP257">
        <v>1.540006</v>
      </c>
      <c r="AQ257"/>
      <c r="AR257"/>
      <c r="AS257"/>
      <c r="AT257"/>
      <c r="AU257">
        <v>14.41994</v>
      </c>
      <c r="AV257"/>
      <c r="AW257">
        <v>16.635950000000001</v>
      </c>
      <c r="AX257"/>
    </row>
    <row r="258" spans="1:50" x14ac:dyDescent="0.2">
      <c r="A258" s="76">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16.80499</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7.4427760000000003</v>
      </c>
      <c r="AN258">
        <v>5.3903780000000001</v>
      </c>
      <c r="AO258"/>
      <c r="AP258">
        <v>1.5261659999999999</v>
      </c>
      <c r="AQ258"/>
      <c r="AR258"/>
      <c r="AS258"/>
      <c r="AT258"/>
      <c r="AU258">
        <v>14.467040000000001</v>
      </c>
      <c r="AV258"/>
      <c r="AW258">
        <v>16.718509999999998</v>
      </c>
      <c r="AX258"/>
    </row>
    <row r="259" spans="1:50" x14ac:dyDescent="0.2">
      <c r="A259" s="76">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16.890090000000001</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7.4788629999999996</v>
      </c>
      <c r="AN259">
        <v>5.4005460000000003</v>
      </c>
      <c r="AO259"/>
      <c r="AP259">
        <v>1.5540909999999999</v>
      </c>
      <c r="AQ259"/>
      <c r="AR259"/>
      <c r="AS259"/>
      <c r="AT259"/>
      <c r="AU259">
        <v>14.51742</v>
      </c>
      <c r="AV259"/>
      <c r="AW259">
        <v>16.84235</v>
      </c>
      <c r="AX259"/>
    </row>
    <row r="260" spans="1:50" x14ac:dyDescent="0.2">
      <c r="A260" s="76">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16.92895</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7.4966600000000003</v>
      </c>
      <c r="AN260">
        <v>5.4059030000000003</v>
      </c>
      <c r="AO260"/>
      <c r="AP260">
        <v>1.5696049999999999</v>
      </c>
      <c r="AQ260"/>
      <c r="AR260"/>
      <c r="AS260"/>
      <c r="AT260"/>
      <c r="AU260">
        <v>14.59829</v>
      </c>
      <c r="AV260"/>
      <c r="AW260">
        <v>16.88363</v>
      </c>
      <c r="AX260"/>
    </row>
    <row r="261" spans="1:50" x14ac:dyDescent="0.2">
      <c r="A261" s="76">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16.95092</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7.5078449999999997</v>
      </c>
      <c r="AN261">
        <v>5.4135629999999999</v>
      </c>
      <c r="AO261"/>
      <c r="AP261">
        <v>1.586203</v>
      </c>
      <c r="AQ261"/>
      <c r="AR261"/>
      <c r="AS261"/>
      <c r="AT261"/>
      <c r="AU261">
        <v>14.65879</v>
      </c>
      <c r="AV261"/>
      <c r="AW261">
        <v>16.924910000000001</v>
      </c>
      <c r="AX261"/>
    </row>
    <row r="262" spans="1:50" x14ac:dyDescent="0.2">
      <c r="A262" s="76">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17.06785</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7.559221</v>
      </c>
      <c r="AN262">
        <v>5.4385909999999997</v>
      </c>
      <c r="AO262"/>
      <c r="AP262">
        <v>1.60782</v>
      </c>
      <c r="AQ262"/>
      <c r="AR262"/>
      <c r="AS262"/>
      <c r="AT262"/>
      <c r="AU262">
        <v>14.700240000000001</v>
      </c>
      <c r="AV262"/>
      <c r="AW262">
        <v>17.048749999999998</v>
      </c>
      <c r="AX262"/>
    </row>
    <row r="263" spans="1:50" x14ac:dyDescent="0.2">
      <c r="A263" s="76">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17.192499999999999</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7.6144879999999997</v>
      </c>
      <c r="AN263">
        <v>5.4644139999999997</v>
      </c>
      <c r="AO263"/>
      <c r="AP263">
        <v>1.6119479999999999</v>
      </c>
      <c r="AQ263"/>
      <c r="AR263"/>
      <c r="AS263"/>
      <c r="AT263"/>
      <c r="AU263">
        <v>14.78758</v>
      </c>
      <c r="AV263"/>
      <c r="AW263">
        <v>17.17259</v>
      </c>
      <c r="AX263"/>
    </row>
    <row r="264" spans="1:50" x14ac:dyDescent="0.2">
      <c r="A264" s="76">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17.293620000000001</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7.6590299999999996</v>
      </c>
      <c r="AN264">
        <v>5.4958109999999998</v>
      </c>
      <c r="AO264"/>
      <c r="AP264">
        <v>1.6237600000000001</v>
      </c>
      <c r="AQ264"/>
      <c r="AR264"/>
      <c r="AS264"/>
      <c r="AT264"/>
      <c r="AU264">
        <v>14.86018</v>
      </c>
      <c r="AV264"/>
      <c r="AW264">
        <v>17.296430000000001</v>
      </c>
      <c r="AX264"/>
    </row>
    <row r="265" spans="1:50" x14ac:dyDescent="0.2">
      <c r="A265" s="76">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17.376809999999999</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7.6948610000000004</v>
      </c>
      <c r="AN265">
        <v>5.5229520000000001</v>
      </c>
      <c r="AO265"/>
      <c r="AP265">
        <v>1.6341950000000001</v>
      </c>
      <c r="AQ265"/>
      <c r="AR265"/>
      <c r="AS265"/>
      <c r="AT265"/>
      <c r="AU265">
        <v>14.982519999999999</v>
      </c>
      <c r="AV265"/>
      <c r="AW265">
        <v>17.378990000000002</v>
      </c>
      <c r="AX265"/>
    </row>
    <row r="266" spans="1:50" x14ac:dyDescent="0.2">
      <c r="A266" s="76">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17.455719999999999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7.7395680000000002</v>
      </c>
      <c r="AN266">
        <v>5.5747119999999999</v>
      </c>
      <c r="AO266"/>
      <c r="AP266">
        <v>1.6659280000000001</v>
      </c>
      <c r="AQ266"/>
      <c r="AR266"/>
      <c r="AS266"/>
      <c r="AT266"/>
      <c r="AU266">
        <v>15.400069999999999</v>
      </c>
      <c r="AV266"/>
      <c r="AW266">
        <v>17.378990000000002</v>
      </c>
      <c r="AX266"/>
    </row>
    <row r="267" spans="1:50" x14ac:dyDescent="0.2">
      <c r="A267" s="76">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17.493379999999998</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7.7629080000000004</v>
      </c>
      <c r="AN267">
        <v>5.6092760000000004</v>
      </c>
      <c r="AO267"/>
      <c r="AP267">
        <v>1.6911350000000001</v>
      </c>
      <c r="AQ267"/>
      <c r="AR267"/>
      <c r="AS267"/>
      <c r="AT267"/>
      <c r="AU267">
        <v>15.414709999999999</v>
      </c>
      <c r="AV267"/>
      <c r="AW267">
        <v>17.378990000000002</v>
      </c>
      <c r="AX267"/>
    </row>
    <row r="268" spans="1:50" x14ac:dyDescent="0.2">
      <c r="A268" s="76">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17.552440000000001</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7.7940870000000002</v>
      </c>
      <c r="AN268">
        <v>5.6396350000000002</v>
      </c>
      <c r="AO268"/>
      <c r="AP268">
        <v>1.7295199999999999</v>
      </c>
      <c r="AQ268"/>
      <c r="AR268"/>
      <c r="AS268"/>
      <c r="AT268"/>
      <c r="AU268">
        <v>15.44994</v>
      </c>
      <c r="AV268"/>
      <c r="AW268">
        <v>17.420269999999999</v>
      </c>
      <c r="AX268"/>
    </row>
    <row r="269" spans="1:50" x14ac:dyDescent="0.2">
      <c r="A269" s="76">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17.665600000000001</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7.8489040000000001</v>
      </c>
      <c r="AN269">
        <v>5.6930069999999997</v>
      </c>
      <c r="AO269"/>
      <c r="AP269">
        <v>1.7660229999999999</v>
      </c>
      <c r="AQ269"/>
      <c r="AR269"/>
      <c r="AS269"/>
      <c r="AT269"/>
      <c r="AU269">
        <v>15.4154</v>
      </c>
      <c r="AV269"/>
      <c r="AW269">
        <v>17.461549999999999</v>
      </c>
      <c r="AX269"/>
    </row>
    <row r="270" spans="1:50" x14ac:dyDescent="0.2">
      <c r="A270" s="76">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17.770009999999999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7.8949100000000003</v>
      </c>
      <c r="AN270">
        <v>5.7271979999999996</v>
      </c>
      <c r="AO270"/>
      <c r="AP270">
        <v>1.780675</v>
      </c>
      <c r="AQ270"/>
      <c r="AR270"/>
      <c r="AS270"/>
      <c r="AT270"/>
      <c r="AU270">
        <v>15.368790000000001</v>
      </c>
      <c r="AV270"/>
      <c r="AW270">
        <v>17.58539</v>
      </c>
      <c r="AX270"/>
    </row>
    <row r="271" spans="1:50" x14ac:dyDescent="0.2">
      <c r="A271" s="76">
        <v>26085</v>
      </c>
      <c r="B271">
        <v>22.67521</v>
      </c>
      <c r="C271"/>
      <c r="D271"/>
      <c r="E271">
        <v>17.748799999999999</v>
      </c>
      <c r="F271">
        <v>35.35107</v>
      </c>
      <c r="G271"/>
      <c r="H271"/>
      <c r="I271"/>
      <c r="J271"/>
      <c r="K271"/>
      <c r="L271">
        <v>31.756989999999998</v>
      </c>
      <c r="M271">
        <v>15.12612</v>
      </c>
      <c r="N271"/>
      <c r="O271"/>
      <c r="P271"/>
      <c r="Q271"/>
      <c r="R271">
        <v>13.00761</v>
      </c>
      <c r="S271">
        <v>16.0657</v>
      </c>
      <c r="T271"/>
      <c r="U271">
        <v>17.84413</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7.9258660000000001</v>
      </c>
      <c r="AN271">
        <v>5.7465450000000002</v>
      </c>
      <c r="AO271"/>
      <c r="AP271">
        <v>1.7986930000000001</v>
      </c>
      <c r="AQ271"/>
      <c r="AR271"/>
      <c r="AS271"/>
      <c r="AT271"/>
      <c r="AU271">
        <v>15.41699</v>
      </c>
      <c r="AV271"/>
      <c r="AW271">
        <v>17.667950000000001</v>
      </c>
      <c r="AX271"/>
    </row>
    <row r="272" spans="1:50" x14ac:dyDescent="0.2">
      <c r="A272" s="76">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17.906749999999999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7.96915</v>
      </c>
      <c r="AN272">
        <v>5.7907390000000003</v>
      </c>
      <c r="AO272"/>
      <c r="AP272">
        <v>1.80063</v>
      </c>
      <c r="AQ272"/>
      <c r="AR272"/>
      <c r="AS272"/>
      <c r="AT272"/>
      <c r="AU272">
        <v>15.47099</v>
      </c>
      <c r="AV272"/>
      <c r="AW272">
        <v>17.709230000000002</v>
      </c>
      <c r="AX272"/>
    </row>
    <row r="273" spans="1:50" x14ac:dyDescent="0.2">
      <c r="A273" s="76">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17.923770000000001</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7.987857</v>
      </c>
      <c r="AN273">
        <v>5.8133879999999998</v>
      </c>
      <c r="AO273"/>
      <c r="AP273">
        <v>1.803698</v>
      </c>
      <c r="AQ273"/>
      <c r="AR273"/>
      <c r="AS273"/>
      <c r="AT273"/>
      <c r="AU273">
        <v>15.64955</v>
      </c>
      <c r="AV273"/>
      <c r="AW273">
        <v>17.709230000000002</v>
      </c>
      <c r="AX273"/>
    </row>
    <row r="274" spans="1:50" x14ac:dyDescent="0.2">
      <c r="A274" s="76">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18.010770000000001</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8.0320820000000008</v>
      </c>
      <c r="AN274">
        <v>5.846514</v>
      </c>
      <c r="AO274"/>
      <c r="AP274">
        <v>1.8679950000000001</v>
      </c>
      <c r="AQ274"/>
      <c r="AR274"/>
      <c r="AS274"/>
      <c r="AT274"/>
      <c r="AU274">
        <v>15.647729999999999</v>
      </c>
      <c r="AV274"/>
      <c r="AW274">
        <v>17.791789999999999</v>
      </c>
      <c r="AX274"/>
    </row>
    <row r="275" spans="1:50" x14ac:dyDescent="0.2">
      <c r="A275" s="76">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18.07949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8.0709920000000004</v>
      </c>
      <c r="AN275">
        <v>5.8848240000000001</v>
      </c>
      <c r="AO275"/>
      <c r="AP275">
        <v>1.9013500000000001</v>
      </c>
      <c r="AQ275"/>
      <c r="AR275"/>
      <c r="AS275"/>
      <c r="AT275"/>
      <c r="AU275">
        <v>15.843220000000001</v>
      </c>
      <c r="AV275"/>
      <c r="AW275">
        <v>17.833069999999999</v>
      </c>
      <c r="AX275"/>
    </row>
    <row r="276" spans="1:50" x14ac:dyDescent="0.2">
      <c r="A276" s="76">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18.119869999999999</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8.0973629999999996</v>
      </c>
      <c r="AN276">
        <v>5.9170689999999997</v>
      </c>
      <c r="AO276"/>
      <c r="AP276">
        <v>1.9598990000000001</v>
      </c>
      <c r="AQ276"/>
      <c r="AR276"/>
      <c r="AS276"/>
      <c r="AT276"/>
      <c r="AU276">
        <v>15.816409999999999</v>
      </c>
      <c r="AV276"/>
      <c r="AW276">
        <v>17.874359999999999</v>
      </c>
      <c r="AX276"/>
    </row>
    <row r="277" spans="1:50" x14ac:dyDescent="0.2">
      <c r="A277" s="76">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18.168050000000001</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8.1199539999999999</v>
      </c>
      <c r="AN277">
        <v>5.9370799999999999</v>
      </c>
      <c r="AO277"/>
      <c r="AP277">
        <v>1.908075</v>
      </c>
      <c r="AQ277"/>
      <c r="AR277"/>
      <c r="AS277"/>
      <c r="AT277"/>
      <c r="AU277">
        <v>15.98739</v>
      </c>
      <c r="AV277"/>
      <c r="AW277">
        <v>17.91564</v>
      </c>
      <c r="AX277"/>
    </row>
    <row r="278" spans="1:50" x14ac:dyDescent="0.2">
      <c r="A278" s="76">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18.21603</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8.1464780000000001</v>
      </c>
      <c r="AN278">
        <v>5.9719470000000001</v>
      </c>
      <c r="AO278"/>
      <c r="AP278">
        <v>1.9283360000000001</v>
      </c>
      <c r="AQ278"/>
      <c r="AR278"/>
      <c r="AS278"/>
      <c r="AT278"/>
      <c r="AU278">
        <v>16.114339999999999</v>
      </c>
      <c r="AV278"/>
      <c r="AW278">
        <v>17.91564</v>
      </c>
      <c r="AX278"/>
    </row>
    <row r="279" spans="1:50" x14ac:dyDescent="0.2">
      <c r="A279" s="76">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18.28754</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8.1793099999999992</v>
      </c>
      <c r="AN279">
        <v>5.9996650000000002</v>
      </c>
      <c r="AO279"/>
      <c r="AP279">
        <v>1.9702120000000001</v>
      </c>
      <c r="AQ279"/>
      <c r="AR279"/>
      <c r="AS279"/>
      <c r="AT279"/>
      <c r="AU279">
        <v>16.169170000000001</v>
      </c>
      <c r="AV279"/>
      <c r="AW279">
        <v>17.956910000000001</v>
      </c>
      <c r="AX279"/>
    </row>
    <row r="280" spans="1:50" x14ac:dyDescent="0.2">
      <c r="A280" s="76">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18.356470000000002</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8.2165269999999992</v>
      </c>
      <c r="AN280">
        <v>6.0337160000000001</v>
      </c>
      <c r="AO280"/>
      <c r="AP280">
        <v>1.973101</v>
      </c>
      <c r="AQ280"/>
      <c r="AR280"/>
      <c r="AS280"/>
      <c r="AT280"/>
      <c r="AU280">
        <v>16.232620000000001</v>
      </c>
      <c r="AV280"/>
      <c r="AW280">
        <v>17.998200000000001</v>
      </c>
      <c r="AX280"/>
    </row>
    <row r="281" spans="1:50" x14ac:dyDescent="0.2">
      <c r="A281" s="76">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18.441610000000001</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8.2593119999999995</v>
      </c>
      <c r="AN281">
        <v>6.0694309999999998</v>
      </c>
      <c r="AO281"/>
      <c r="AP281">
        <v>1.972262</v>
      </c>
      <c r="AQ281"/>
      <c r="AR281"/>
      <c r="AS281"/>
      <c r="AT281"/>
      <c r="AU281">
        <v>16.269259999999999</v>
      </c>
      <c r="AV281"/>
      <c r="AW281">
        <v>18.039480000000001</v>
      </c>
      <c r="AX281"/>
    </row>
    <row r="282" spans="1:50" x14ac:dyDescent="0.2">
      <c r="A282" s="76">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18.519169999999999</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8.2954399999999993</v>
      </c>
      <c r="AN282">
        <v>6.0970880000000003</v>
      </c>
      <c r="AO282"/>
      <c r="AP282">
        <v>2.0095329999999998</v>
      </c>
      <c r="AQ282"/>
      <c r="AR282"/>
      <c r="AS282"/>
      <c r="AT282"/>
      <c r="AU282">
        <v>16.363330000000001</v>
      </c>
      <c r="AV282"/>
      <c r="AW282">
        <v>18.122039999999998</v>
      </c>
      <c r="AX282"/>
    </row>
    <row r="283" spans="1:50" x14ac:dyDescent="0.2">
      <c r="A283" s="76">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18.575130000000001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8.3289910000000003</v>
      </c>
      <c r="AN283">
        <v>6.1342990000000004</v>
      </c>
      <c r="AO283"/>
      <c r="AP283">
        <v>1.9842470000000001</v>
      </c>
      <c r="AQ283"/>
      <c r="AR283"/>
      <c r="AS283"/>
      <c r="AT283"/>
      <c r="AU283">
        <v>16.445399999999999</v>
      </c>
      <c r="AV283"/>
      <c r="AW283">
        <v>18.163319999999999</v>
      </c>
      <c r="AX283"/>
    </row>
    <row r="284" spans="1:50" x14ac:dyDescent="0.2">
      <c r="A284" s="76">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18.65316</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8.3702799999999993</v>
      </c>
      <c r="AN284">
        <v>6.1750800000000003</v>
      </c>
      <c r="AO284"/>
      <c r="AP284">
        <v>2.0218759999999998</v>
      </c>
      <c r="AQ284"/>
      <c r="AR284"/>
      <c r="AS284"/>
      <c r="AT284"/>
      <c r="AU284">
        <v>16.518360000000001</v>
      </c>
      <c r="AV284"/>
      <c r="AW284">
        <v>18.204599999999999</v>
      </c>
      <c r="AX284"/>
    </row>
    <row r="285" spans="1:50" x14ac:dyDescent="0.2">
      <c r="A285" s="76">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18.728719999999999</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8.402806</v>
      </c>
      <c r="AN285">
        <v>6.1947229999999998</v>
      </c>
      <c r="AO285"/>
      <c r="AP285">
        <v>2.0144139999999999</v>
      </c>
      <c r="AQ285"/>
      <c r="AR285"/>
      <c r="AS285"/>
      <c r="AT285"/>
      <c r="AU285">
        <v>16.567679999999999</v>
      </c>
      <c r="AV285"/>
      <c r="AW285">
        <v>18.28716</v>
      </c>
      <c r="AX285"/>
    </row>
    <row r="286" spans="1:50" x14ac:dyDescent="0.2">
      <c r="A286" s="76">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18.795190000000002</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8.4381280000000007</v>
      </c>
      <c r="AN286">
        <v>6.2411099999999999</v>
      </c>
      <c r="AO286"/>
      <c r="AP286">
        <v>2.06162</v>
      </c>
      <c r="AQ286"/>
      <c r="AR286"/>
      <c r="AS286"/>
      <c r="AT286"/>
      <c r="AU286">
        <v>16.621960000000001</v>
      </c>
      <c r="AV286"/>
      <c r="AW286">
        <v>18.28716</v>
      </c>
      <c r="AX286"/>
    </row>
    <row r="287" spans="1:50" x14ac:dyDescent="0.2">
      <c r="A287" s="76">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18.911960000000001</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8.4903960000000005</v>
      </c>
      <c r="AN287">
        <v>6.2951969999999999</v>
      </c>
      <c r="AO287"/>
      <c r="AP287">
        <v>2.0710769999999998</v>
      </c>
      <c r="AQ287"/>
      <c r="AR287"/>
      <c r="AS287"/>
      <c r="AT287"/>
      <c r="AU287">
        <v>16.683720000000001</v>
      </c>
      <c r="AV287"/>
      <c r="AW287">
        <v>18.369720000000001</v>
      </c>
      <c r="AX287"/>
    </row>
    <row r="288" spans="1:50" x14ac:dyDescent="0.2">
      <c r="A288" s="76">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18.975539999999999</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8.5192189999999997</v>
      </c>
      <c r="AN288">
        <v>6.3305340000000001</v>
      </c>
      <c r="AO288"/>
      <c r="AP288">
        <v>2.0988739999999999</v>
      </c>
      <c r="AQ288"/>
      <c r="AR288"/>
      <c r="AS288"/>
      <c r="AT288"/>
      <c r="AU288">
        <v>16.698229999999999</v>
      </c>
      <c r="AV288"/>
      <c r="AW288">
        <v>18.411000000000001</v>
      </c>
      <c r="AX288"/>
    </row>
    <row r="289" spans="1:50" x14ac:dyDescent="0.2">
      <c r="A289" s="76">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19.045030000000001</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8.553191</v>
      </c>
      <c r="AN289">
        <v>6.359712</v>
      </c>
      <c r="AO289"/>
      <c r="AP289">
        <v>2.1178560000000002</v>
      </c>
      <c r="AQ289"/>
      <c r="AR289"/>
      <c r="AS289"/>
      <c r="AT289"/>
      <c r="AU289">
        <v>16.962209999999999</v>
      </c>
      <c r="AV289"/>
      <c r="AW289">
        <v>18.452279999999998</v>
      </c>
      <c r="AX289"/>
    </row>
    <row r="290" spans="1:50" x14ac:dyDescent="0.2">
      <c r="A290" s="76">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19.09019</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8.5853909999999996</v>
      </c>
      <c r="AN290">
        <v>6.4032929999999997</v>
      </c>
      <c r="AO290"/>
      <c r="AP290">
        <v>2.1601140000000001</v>
      </c>
      <c r="AQ290"/>
      <c r="AR290"/>
      <c r="AS290"/>
      <c r="AT290"/>
      <c r="AU290">
        <v>17.02928</v>
      </c>
      <c r="AV290"/>
      <c r="AW290">
        <v>18.411000000000001</v>
      </c>
      <c r="AX290"/>
    </row>
    <row r="291" spans="1:50" x14ac:dyDescent="0.2">
      <c r="A291" s="76">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19.169450000000001</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8.6236829999999998</v>
      </c>
      <c r="AN291">
        <v>6.4409679999999998</v>
      </c>
      <c r="AO291"/>
      <c r="AP291">
        <v>2.246251</v>
      </c>
      <c r="AQ291"/>
      <c r="AR291"/>
      <c r="AS291"/>
      <c r="AT291"/>
      <c r="AU291">
        <v>17.165759999999999</v>
      </c>
      <c r="AV291"/>
      <c r="AW291">
        <v>18.452279999999998</v>
      </c>
      <c r="AX291"/>
    </row>
    <row r="292" spans="1:50" x14ac:dyDescent="0.2">
      <c r="A292" s="76">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19.30546</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8.6822809999999997</v>
      </c>
      <c r="AN292">
        <v>6.4844970000000002</v>
      </c>
      <c r="AO292"/>
      <c r="AP292">
        <v>2.200142</v>
      </c>
      <c r="AQ292"/>
      <c r="AR292"/>
      <c r="AS292"/>
      <c r="AT292"/>
      <c r="AU292">
        <v>17.23874</v>
      </c>
      <c r="AV292"/>
      <c r="AW292">
        <v>18.534839999999999</v>
      </c>
      <c r="AX292"/>
    </row>
    <row r="293" spans="1:50" x14ac:dyDescent="0.2">
      <c r="A293" s="76">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19.47523</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8.7606680000000008</v>
      </c>
      <c r="AN293">
        <v>6.5395289999999999</v>
      </c>
      <c r="AO293"/>
      <c r="AP293">
        <v>2.21705</v>
      </c>
      <c r="AQ293"/>
      <c r="AR293"/>
      <c r="AS293"/>
      <c r="AT293"/>
      <c r="AU293">
        <v>17.343610000000002</v>
      </c>
      <c r="AV293"/>
      <c r="AW293">
        <v>18.6174</v>
      </c>
      <c r="AX293"/>
    </row>
    <row r="294" spans="1:50" x14ac:dyDescent="0.2">
      <c r="A294" s="76">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19.622019999999999</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8.8298799999999993</v>
      </c>
      <c r="AN294">
        <v>6.6029520000000002</v>
      </c>
      <c r="AO294"/>
      <c r="AP294">
        <v>2.2858559999999999</v>
      </c>
      <c r="AQ294"/>
      <c r="AR294"/>
      <c r="AS294"/>
      <c r="AT294"/>
      <c r="AU294">
        <v>17.405460000000001</v>
      </c>
      <c r="AV294"/>
      <c r="AW294">
        <v>18.699960000000001</v>
      </c>
      <c r="AX294"/>
    </row>
    <row r="295" spans="1:50" x14ac:dyDescent="0.2">
      <c r="A295" s="76">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19.715479999999999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8.8804370000000006</v>
      </c>
      <c r="AN295">
        <v>6.6547580000000002</v>
      </c>
      <c r="AO295"/>
      <c r="AP295">
        <v>2.3083849999999999</v>
      </c>
      <c r="AQ295"/>
      <c r="AR295"/>
      <c r="AS295"/>
      <c r="AT295"/>
      <c r="AU295">
        <v>17.52028</v>
      </c>
      <c r="AV295"/>
      <c r="AW295">
        <v>18.741240000000001</v>
      </c>
      <c r="AX295"/>
    </row>
    <row r="296" spans="1:50" x14ac:dyDescent="0.2">
      <c r="A296" s="76">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19.805319999999998</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8.925281</v>
      </c>
      <c r="AN296">
        <v>6.684304</v>
      </c>
      <c r="AO296"/>
      <c r="AP296">
        <v>2.3108949999999999</v>
      </c>
      <c r="AQ296"/>
      <c r="AR296"/>
      <c r="AS296"/>
      <c r="AT296"/>
      <c r="AU296">
        <v>17.566569999999999</v>
      </c>
      <c r="AV296"/>
      <c r="AW296">
        <v>18.782520000000002</v>
      </c>
      <c r="AX296"/>
    </row>
    <row r="297" spans="1:50" x14ac:dyDescent="0.2">
      <c r="A297" s="76">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19.894189999999998</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8.9739059999999995</v>
      </c>
      <c r="AN297">
        <v>6.7227449999999997</v>
      </c>
      <c r="AO297"/>
      <c r="AP297">
        <v>2.340525</v>
      </c>
      <c r="AQ297"/>
      <c r="AR297"/>
      <c r="AS297"/>
      <c r="AT297"/>
      <c r="AU297">
        <v>17.60089</v>
      </c>
      <c r="AV297"/>
      <c r="AW297">
        <v>18.865079999999999</v>
      </c>
      <c r="AX297"/>
    </row>
    <row r="298" spans="1:50" x14ac:dyDescent="0.2">
      <c r="A298" s="76">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20.050080000000001</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9.0711150000000007</v>
      </c>
      <c r="AN298">
        <v>6.8050300000000004</v>
      </c>
      <c r="AO298"/>
      <c r="AP298">
        <v>2.4032650000000002</v>
      </c>
      <c r="AQ298"/>
      <c r="AR298"/>
      <c r="AS298"/>
      <c r="AT298"/>
      <c r="AU298">
        <v>17.66142</v>
      </c>
      <c r="AV298"/>
      <c r="AW298">
        <v>18.98892</v>
      </c>
      <c r="AX298"/>
    </row>
    <row r="299" spans="1:50" x14ac:dyDescent="0.2">
      <c r="A299" s="76">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20.219729999999998</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9.1628710000000009</v>
      </c>
      <c r="AN299">
        <v>6.8794300000000002</v>
      </c>
      <c r="AO299"/>
      <c r="AP299">
        <v>2.4635349999999998</v>
      </c>
      <c r="AQ299"/>
      <c r="AR299"/>
      <c r="AS299"/>
      <c r="AT299"/>
      <c r="AU299">
        <v>17.802600000000002</v>
      </c>
      <c r="AV299"/>
      <c r="AW299">
        <v>19.154039999999998</v>
      </c>
      <c r="AX299"/>
    </row>
    <row r="300" spans="1:50" x14ac:dyDescent="0.2">
      <c r="A300" s="76">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20.348590000000002</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9.2235849999999999</v>
      </c>
      <c r="AN300">
        <v>6.9321830000000002</v>
      </c>
      <c r="AO300"/>
      <c r="AP300">
        <v>2.4735309999999999</v>
      </c>
      <c r="AQ300"/>
      <c r="AR300"/>
      <c r="AS300"/>
      <c r="AT300"/>
      <c r="AU300">
        <v>17.953420000000001</v>
      </c>
      <c r="AV300"/>
      <c r="AW300">
        <v>19.236599999999999</v>
      </c>
      <c r="AX300"/>
    </row>
    <row r="301" spans="1:50" x14ac:dyDescent="0.2">
      <c r="A301" s="76">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20.495100000000001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9.314095</v>
      </c>
      <c r="AN301">
        <v>6.9970970000000001</v>
      </c>
      <c r="AO301"/>
      <c r="AP301">
        <v>2.5888399999999998</v>
      </c>
      <c r="AQ301"/>
      <c r="AR301"/>
      <c r="AS301"/>
      <c r="AT301"/>
      <c r="AU301">
        <v>18.083320000000001</v>
      </c>
      <c r="AV301"/>
      <c r="AW301">
        <v>19.31916</v>
      </c>
      <c r="AX301"/>
    </row>
    <row r="302" spans="1:50" x14ac:dyDescent="0.2">
      <c r="A302" s="76">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20.665220000000001</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9.4029779999999992</v>
      </c>
      <c r="AN302">
        <v>7.0693390000000003</v>
      </c>
      <c r="AO302"/>
      <c r="AP302">
        <v>2.6142690000000002</v>
      </c>
      <c r="AQ302"/>
      <c r="AR302"/>
      <c r="AS302"/>
      <c r="AT302"/>
      <c r="AU302">
        <v>18.282550000000001</v>
      </c>
      <c r="AV302"/>
      <c r="AW302">
        <v>19.31916</v>
      </c>
      <c r="AX302"/>
    </row>
    <row r="303" spans="1:50" x14ac:dyDescent="0.2">
      <c r="A303" s="76">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20.898350000000001</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9.5084070000000001</v>
      </c>
      <c r="AN303">
        <v>7.1432609999999999</v>
      </c>
      <c r="AO303"/>
      <c r="AP303">
        <v>2.7718989999999999</v>
      </c>
      <c r="AQ303"/>
      <c r="AR303"/>
      <c r="AS303"/>
      <c r="AT303"/>
      <c r="AU303">
        <v>18.588940000000001</v>
      </c>
      <c r="AV303"/>
      <c r="AW303">
        <v>19.443000000000001</v>
      </c>
      <c r="AX303"/>
    </row>
    <row r="304" spans="1:50" x14ac:dyDescent="0.2">
      <c r="A304" s="76">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21.082940000000001</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9.6148860000000003</v>
      </c>
      <c r="AN304">
        <v>7.2473099999999997</v>
      </c>
      <c r="AO304"/>
      <c r="AP304">
        <v>2.890587</v>
      </c>
      <c r="AQ304"/>
      <c r="AR304"/>
      <c r="AS304"/>
      <c r="AT304"/>
      <c r="AU304">
        <v>18.736139999999999</v>
      </c>
      <c r="AV304"/>
      <c r="AW304">
        <v>19.608129999999999</v>
      </c>
      <c r="AX304"/>
    </row>
    <row r="305" spans="1:50" x14ac:dyDescent="0.2">
      <c r="A305" s="76">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21.35765</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9.7426150000000007</v>
      </c>
      <c r="AN305">
        <v>7.3581519999999996</v>
      </c>
      <c r="AO305"/>
      <c r="AP305">
        <v>2.7796509999999999</v>
      </c>
      <c r="AQ305"/>
      <c r="AR305"/>
      <c r="AS305"/>
      <c r="AT305"/>
      <c r="AU305">
        <v>18.709040000000002</v>
      </c>
      <c r="AV305"/>
      <c r="AW305">
        <v>19.773250000000001</v>
      </c>
      <c r="AX305"/>
    </row>
    <row r="306" spans="1:50" x14ac:dyDescent="0.2">
      <c r="A306" s="76">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21.60408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9.8496690000000005</v>
      </c>
      <c r="AN306">
        <v>7.4396009999999997</v>
      </c>
      <c r="AO306"/>
      <c r="AP306">
        <v>2.8179880000000002</v>
      </c>
      <c r="AQ306"/>
      <c r="AR306"/>
      <c r="AS306"/>
      <c r="AT306"/>
      <c r="AU306">
        <v>18.700220000000002</v>
      </c>
      <c r="AV306"/>
      <c r="AW306">
        <v>19.979649999999999</v>
      </c>
      <c r="AX306"/>
    </row>
    <row r="307" spans="1:50" x14ac:dyDescent="0.2">
      <c r="A307" s="76">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21.81934</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9.9451440000000009</v>
      </c>
      <c r="AN307">
        <v>7.5124919999999999</v>
      </c>
      <c r="AO307"/>
      <c r="AP307">
        <v>2.8333330000000001</v>
      </c>
      <c r="AQ307"/>
      <c r="AR307"/>
      <c r="AS307"/>
      <c r="AT307"/>
      <c r="AU307">
        <v>18.864409999999999</v>
      </c>
      <c r="AV307"/>
      <c r="AW307">
        <v>20.227329999999998</v>
      </c>
      <c r="AX307"/>
    </row>
    <row r="308" spans="1:50" x14ac:dyDescent="0.2">
      <c r="A308" s="76">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22.050219999999999</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10.058730000000001</v>
      </c>
      <c r="AN308">
        <v>7.5780529999999997</v>
      </c>
      <c r="AO308"/>
      <c r="AP308">
        <v>2.8215150000000002</v>
      </c>
      <c r="AQ308"/>
      <c r="AR308"/>
      <c r="AS308"/>
      <c r="AT308"/>
      <c r="AU308">
        <v>18.91948</v>
      </c>
      <c r="AV308"/>
      <c r="AW308">
        <v>20.433730000000001</v>
      </c>
      <c r="AX308"/>
    </row>
    <row r="309" spans="1:50" x14ac:dyDescent="0.2">
      <c r="A309" s="76">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22.254390000000001</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10.149459999999999</v>
      </c>
      <c r="AN309">
        <v>7.6335329999999999</v>
      </c>
      <c r="AO309"/>
      <c r="AP309">
        <v>2.9632170000000002</v>
      </c>
      <c r="AQ309"/>
      <c r="AR309"/>
      <c r="AS309"/>
      <c r="AT309"/>
      <c r="AU309">
        <v>19.094139999999999</v>
      </c>
      <c r="AV309"/>
      <c r="AW309">
        <v>20.68141</v>
      </c>
      <c r="AX309"/>
    </row>
    <row r="310" spans="1:50" x14ac:dyDescent="0.2">
      <c r="A310" s="76">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22.515650000000001</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10.275600000000001</v>
      </c>
      <c r="AN310">
        <v>7.7395449999999997</v>
      </c>
      <c r="AO310"/>
      <c r="AP310">
        <v>3.0126240000000002</v>
      </c>
      <c r="AQ310"/>
      <c r="AR310"/>
      <c r="AS310"/>
      <c r="AT310"/>
      <c r="AU310">
        <v>19.286709999999999</v>
      </c>
      <c r="AV310"/>
      <c r="AW310">
        <v>20.929089999999999</v>
      </c>
      <c r="AX310"/>
    </row>
    <row r="311" spans="1:50" x14ac:dyDescent="0.2">
      <c r="A311" s="76">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22.838280000000001</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10.426170000000001</v>
      </c>
      <c r="AN311">
        <v>7.84138</v>
      </c>
      <c r="AO311"/>
      <c r="AP311">
        <v>2.8827060000000002</v>
      </c>
      <c r="AQ311"/>
      <c r="AR311"/>
      <c r="AS311"/>
      <c r="AT311"/>
      <c r="AU311">
        <v>19.92859</v>
      </c>
      <c r="AV311"/>
      <c r="AW311">
        <v>21.176780000000001</v>
      </c>
      <c r="AX311"/>
    </row>
    <row r="312" spans="1:50" x14ac:dyDescent="0.2">
      <c r="A312" s="76">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23.074639999999999</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10.54547</v>
      </c>
      <c r="AN312">
        <v>7.9416039999999999</v>
      </c>
      <c r="AO312"/>
      <c r="AP312">
        <v>2.827102</v>
      </c>
      <c r="AQ312"/>
      <c r="AR312"/>
      <c r="AS312"/>
      <c r="AT312"/>
      <c r="AU312">
        <v>20.107420000000001</v>
      </c>
      <c r="AV312"/>
      <c r="AW312">
        <v>21.383179999999999</v>
      </c>
      <c r="AX312"/>
    </row>
    <row r="313" spans="1:50" x14ac:dyDescent="0.2">
      <c r="A313" s="76">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23.17867</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10.608219999999999</v>
      </c>
      <c r="AN313">
        <v>8.0070879999999995</v>
      </c>
      <c r="AO313"/>
      <c r="AP313">
        <v>2.8320720000000001</v>
      </c>
      <c r="AQ313"/>
      <c r="AR313"/>
      <c r="AS313"/>
      <c r="AT313"/>
      <c r="AU313">
        <v>20.186689999999999</v>
      </c>
      <c r="AV313"/>
      <c r="AW313">
        <v>21.46574</v>
      </c>
      <c r="AX313"/>
    </row>
    <row r="314" spans="1:50" x14ac:dyDescent="0.2">
      <c r="A314" s="76">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23.346769999999999</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10.710369999999999</v>
      </c>
      <c r="AN314">
        <v>8.1027349999999991</v>
      </c>
      <c r="AO314"/>
      <c r="AP314">
        <v>3.060816</v>
      </c>
      <c r="AQ314"/>
      <c r="AR314"/>
      <c r="AS314"/>
      <c r="AT314"/>
      <c r="AU314">
        <v>20.06447</v>
      </c>
      <c r="AV314"/>
      <c r="AW314">
        <v>21.548300000000001</v>
      </c>
      <c r="AX314"/>
    </row>
    <row r="315" spans="1:50" x14ac:dyDescent="0.2">
      <c r="A315" s="76">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23.534839999999999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10.791550000000001</v>
      </c>
      <c r="AN315">
        <v>8.1756729999999997</v>
      </c>
      <c r="AO315"/>
      <c r="AP315">
        <v>2.910148</v>
      </c>
      <c r="AQ315"/>
      <c r="AR315"/>
      <c r="AS315"/>
      <c r="AT315"/>
      <c r="AU315">
        <v>20.294409999999999</v>
      </c>
      <c r="AV315"/>
      <c r="AW315">
        <v>21.713419999999999</v>
      </c>
      <c r="AX315"/>
    </row>
    <row r="316" spans="1:50" x14ac:dyDescent="0.2">
      <c r="A316" s="76">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23.668790000000001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10.869910000000001</v>
      </c>
      <c r="AN316">
        <v>8.2560979999999997</v>
      </c>
      <c r="AO316"/>
      <c r="AP316">
        <v>3.0959439999999998</v>
      </c>
      <c r="AQ316"/>
      <c r="AR316"/>
      <c r="AS316"/>
      <c r="AT316"/>
      <c r="AU316">
        <v>20.409099999999999</v>
      </c>
      <c r="AV316"/>
      <c r="AW316">
        <v>21.837260000000001</v>
      </c>
      <c r="AX316"/>
    </row>
    <row r="317" spans="1:50" x14ac:dyDescent="0.2">
      <c r="A317" s="76">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23.970469999999999</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11.0062</v>
      </c>
      <c r="AN317">
        <v>8.3667320000000007</v>
      </c>
      <c r="AO317"/>
      <c r="AP317">
        <v>2.9977659999999999</v>
      </c>
      <c r="AQ317"/>
      <c r="AR317"/>
      <c r="AS317"/>
      <c r="AT317"/>
      <c r="AU317">
        <v>20.458400000000001</v>
      </c>
      <c r="AV317"/>
      <c r="AW317">
        <v>22.002379999999999</v>
      </c>
      <c r="AX317"/>
    </row>
    <row r="318" spans="1:50" x14ac:dyDescent="0.2">
      <c r="A318" s="76">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24.192969999999999</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11.105259999999999</v>
      </c>
      <c r="AN318">
        <v>8.4801590000000004</v>
      </c>
      <c r="AO318"/>
      <c r="AP318">
        <v>3.0369090000000001</v>
      </c>
      <c r="AQ318"/>
      <c r="AR318"/>
      <c r="AS318"/>
      <c r="AT318"/>
      <c r="AU318">
        <v>20.820270000000001</v>
      </c>
      <c r="AV318"/>
      <c r="AW318">
        <v>22.08494</v>
      </c>
      <c r="AX318"/>
    </row>
    <row r="319" spans="1:50" x14ac:dyDescent="0.2">
      <c r="A319" s="76">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24.330480000000001</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11.175929999999999</v>
      </c>
      <c r="AN319">
        <v>8.554252</v>
      </c>
      <c r="AO319"/>
      <c r="AP319">
        <v>3.1683180000000002</v>
      </c>
      <c r="AQ319"/>
      <c r="AR319"/>
      <c r="AS319"/>
      <c r="AT319"/>
      <c r="AU319">
        <v>20.938279999999999</v>
      </c>
      <c r="AV319"/>
      <c r="AW319">
        <v>22.1675</v>
      </c>
      <c r="AX319"/>
    </row>
    <row r="320" spans="1:50" x14ac:dyDescent="0.2">
      <c r="A320" s="76">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24.461770000000001</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11.241540000000001</v>
      </c>
      <c r="AN320">
        <v>8.6032759999999993</v>
      </c>
      <c r="AO320"/>
      <c r="AP320">
        <v>3.2123200000000001</v>
      </c>
      <c r="AQ320"/>
      <c r="AR320"/>
      <c r="AS320"/>
      <c r="AT320"/>
      <c r="AU320">
        <v>21.075949999999999</v>
      </c>
      <c r="AV320"/>
      <c r="AW320">
        <v>22.291340000000002</v>
      </c>
      <c r="AX320"/>
    </row>
    <row r="321" spans="1:50" x14ac:dyDescent="0.2">
      <c r="A321" s="76">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24.537610000000001</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11.280799999999999</v>
      </c>
      <c r="AN321">
        <v>8.6381169999999994</v>
      </c>
      <c r="AO321"/>
      <c r="AP321">
        <v>3.059196</v>
      </c>
      <c r="AQ321"/>
      <c r="AR321"/>
      <c r="AS321"/>
      <c r="AT321"/>
      <c r="AU321">
        <v>21.31634</v>
      </c>
      <c r="AV321"/>
      <c r="AW321">
        <v>22.373909999999999</v>
      </c>
      <c r="AX321"/>
    </row>
    <row r="322" spans="1:50" x14ac:dyDescent="0.2">
      <c r="A322" s="76">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24.745850000000001</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11.387969999999999</v>
      </c>
      <c r="AN322">
        <v>8.7204680000000003</v>
      </c>
      <c r="AO322"/>
      <c r="AP322">
        <v>3.275576</v>
      </c>
      <c r="AQ322"/>
      <c r="AR322"/>
      <c r="AS322"/>
      <c r="AT322"/>
      <c r="AU322">
        <v>21.377739999999999</v>
      </c>
      <c r="AV322"/>
      <c r="AW322">
        <v>22.53903</v>
      </c>
      <c r="AX322"/>
    </row>
    <row r="323" spans="1:50" x14ac:dyDescent="0.2">
      <c r="A323" s="76">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24.918690000000002</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11.484080000000001</v>
      </c>
      <c r="AN323">
        <v>8.7930130000000002</v>
      </c>
      <c r="AO323"/>
      <c r="AP323">
        <v>3.244262</v>
      </c>
      <c r="AQ323"/>
      <c r="AR323"/>
      <c r="AS323"/>
      <c r="AT323"/>
      <c r="AU323">
        <v>21.557829999999999</v>
      </c>
      <c r="AV323"/>
      <c r="AW323">
        <v>22.662870000000002</v>
      </c>
      <c r="AX323"/>
    </row>
    <row r="324" spans="1:50" x14ac:dyDescent="0.2">
      <c r="A324" s="76">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25.092949999999998</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11.562049999999999</v>
      </c>
      <c r="AN324">
        <v>8.8604629999999993</v>
      </c>
      <c r="AO324"/>
      <c r="AP324">
        <v>3.174836</v>
      </c>
      <c r="AQ324"/>
      <c r="AR324"/>
      <c r="AS324"/>
      <c r="AT324"/>
      <c r="AU324">
        <v>21.770910000000001</v>
      </c>
      <c r="AV324"/>
      <c r="AW324">
        <v>22.82799</v>
      </c>
      <c r="AX324"/>
    </row>
    <row r="325" spans="1:50" x14ac:dyDescent="0.2">
      <c r="A325" s="76">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25.188130000000001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11.622540000000001</v>
      </c>
      <c r="AN325">
        <v>8.9232700000000005</v>
      </c>
      <c r="AO325"/>
      <c r="AP325">
        <v>3.4286720000000002</v>
      </c>
      <c r="AQ325"/>
      <c r="AR325"/>
      <c r="AS325"/>
      <c r="AT325"/>
      <c r="AU325">
        <v>21.85493</v>
      </c>
      <c r="AV325"/>
      <c r="AW325">
        <v>22.910550000000001</v>
      </c>
      <c r="AX325"/>
    </row>
    <row r="326" spans="1:50" x14ac:dyDescent="0.2">
      <c r="A326" s="76">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25.395610000000001</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11.72514</v>
      </c>
      <c r="AN326">
        <v>9.0058869999999995</v>
      </c>
      <c r="AO326"/>
      <c r="AP326">
        <v>3.6276670000000002</v>
      </c>
      <c r="AQ326"/>
      <c r="AR326"/>
      <c r="AS326"/>
      <c r="AT326"/>
      <c r="AU326">
        <v>22.079609999999999</v>
      </c>
      <c r="AV326"/>
      <c r="AW326">
        <v>22.993110000000001</v>
      </c>
      <c r="AX326"/>
    </row>
    <row r="327" spans="1:50" x14ac:dyDescent="0.2">
      <c r="A327" s="76">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25.581610000000001</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11.81174</v>
      </c>
      <c r="AN327">
        <v>9.083304</v>
      </c>
      <c r="AO327"/>
      <c r="AP327">
        <v>3.464159</v>
      </c>
      <c r="AQ327"/>
      <c r="AR327"/>
      <c r="AS327"/>
      <c r="AT327"/>
      <c r="AU327">
        <v>22.25178</v>
      </c>
      <c r="AV327"/>
      <c r="AW327">
        <v>23.116949999999999</v>
      </c>
      <c r="AX327"/>
    </row>
    <row r="328" spans="1:50" x14ac:dyDescent="0.2">
      <c r="A328" s="76">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25.7529</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11.90611</v>
      </c>
      <c r="AN328">
        <v>9.1701040000000003</v>
      </c>
      <c r="AO328"/>
      <c r="AP328">
        <v>3.566249</v>
      </c>
      <c r="AQ328"/>
      <c r="AR328"/>
      <c r="AS328"/>
      <c r="AT328"/>
      <c r="AU328">
        <v>22.422740000000001</v>
      </c>
      <c r="AV328"/>
      <c r="AW328">
        <v>23.282070000000001</v>
      </c>
      <c r="AX328"/>
    </row>
    <row r="329" spans="1:50" x14ac:dyDescent="0.2">
      <c r="A329" s="76">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26.00883</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12.023389999999999</v>
      </c>
      <c r="AN329">
        <v>9.259646</v>
      </c>
      <c r="AO329"/>
      <c r="AP329">
        <v>3.2282350000000002</v>
      </c>
      <c r="AQ329"/>
      <c r="AR329"/>
      <c r="AS329"/>
      <c r="AT329"/>
      <c r="AU329">
        <v>22.597519999999999</v>
      </c>
      <c r="AV329"/>
      <c r="AW329">
        <v>23.405909999999999</v>
      </c>
      <c r="AX329"/>
    </row>
    <row r="330" spans="1:50" x14ac:dyDescent="0.2">
      <c r="A330" s="76">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26.188120000000001</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12.1188</v>
      </c>
      <c r="AN330">
        <v>9.3606770000000008</v>
      </c>
      <c r="AO330"/>
      <c r="AP330">
        <v>3.1028030000000002</v>
      </c>
      <c r="AQ330"/>
      <c r="AR330"/>
      <c r="AS330"/>
      <c r="AT330"/>
      <c r="AU330">
        <v>22.81964</v>
      </c>
      <c r="AV330"/>
      <c r="AW330">
        <v>23.52975</v>
      </c>
      <c r="AX330"/>
    </row>
    <row r="331" spans="1:50" x14ac:dyDescent="0.2">
      <c r="A331" s="76">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26.292010000000001</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12.18791</v>
      </c>
      <c r="AN331">
        <v>9.4360350000000004</v>
      </c>
      <c r="AO331"/>
      <c r="AP331">
        <v>3.465862</v>
      </c>
      <c r="AQ331"/>
      <c r="AR331"/>
      <c r="AS331"/>
      <c r="AT331"/>
      <c r="AU331">
        <v>22.993690000000001</v>
      </c>
      <c r="AV331"/>
      <c r="AW331">
        <v>23.612310000000001</v>
      </c>
      <c r="AX331"/>
    </row>
    <row r="332" spans="1:50" x14ac:dyDescent="0.2">
      <c r="A332" s="76">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26.452750000000002</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12.27576</v>
      </c>
      <c r="AN332">
        <v>9.5006570000000004</v>
      </c>
      <c r="AO332"/>
      <c r="AP332">
        <v>3.9202979999999998</v>
      </c>
      <c r="AQ332"/>
      <c r="AR332"/>
      <c r="AS332"/>
      <c r="AT332"/>
      <c r="AU332">
        <v>23.017710000000001</v>
      </c>
      <c r="AV332"/>
      <c r="AW332">
        <v>23.777429999999999</v>
      </c>
      <c r="AX332"/>
    </row>
    <row r="333" spans="1:50" x14ac:dyDescent="0.2">
      <c r="A333" s="76">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26.560580000000002</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12.333690000000001</v>
      </c>
      <c r="AN333">
        <v>9.5639850000000006</v>
      </c>
      <c r="AO333"/>
      <c r="AP333">
        <v>3.9273120000000001</v>
      </c>
      <c r="AQ333"/>
      <c r="AR333"/>
      <c r="AS333"/>
      <c r="AT333"/>
      <c r="AU333">
        <v>23.139500000000002</v>
      </c>
      <c r="AV333"/>
      <c r="AW333">
        <v>23.90127</v>
      </c>
      <c r="AX333"/>
    </row>
    <row r="334" spans="1:50" x14ac:dyDescent="0.2">
      <c r="A334" s="76">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26.796880000000002</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12.464729999999999</v>
      </c>
      <c r="AN334">
        <v>9.6629400000000008</v>
      </c>
      <c r="AO334"/>
      <c r="AP334">
        <v>4.093121</v>
      </c>
      <c r="AQ334"/>
      <c r="AR334"/>
      <c r="AS334"/>
      <c r="AT334"/>
      <c r="AU334">
        <v>23.214919999999999</v>
      </c>
      <c r="AV334"/>
      <c r="AW334">
        <v>24.066389999999998</v>
      </c>
      <c r="AX334"/>
    </row>
    <row r="335" spans="1:50" x14ac:dyDescent="0.2">
      <c r="A335" s="76">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26.980820000000001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12.59877</v>
      </c>
      <c r="AN335">
        <v>9.7662390000000006</v>
      </c>
      <c r="AO335"/>
      <c r="AP335">
        <v>4.2190219999999998</v>
      </c>
      <c r="AQ335"/>
      <c r="AR335"/>
      <c r="AS335"/>
      <c r="AT335"/>
      <c r="AU335">
        <v>23.622900000000001</v>
      </c>
      <c r="AV335"/>
      <c r="AW335">
        <v>24.190239999999999</v>
      </c>
      <c r="AX335"/>
    </row>
    <row r="336" spans="1:50" x14ac:dyDescent="0.2">
      <c r="A336" s="76">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27.16272</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12.71292</v>
      </c>
      <c r="AN336">
        <v>9.8607069999999997</v>
      </c>
      <c r="AO336"/>
      <c r="AP336">
        <v>4.2329100000000004</v>
      </c>
      <c r="AQ336"/>
      <c r="AR336"/>
      <c r="AS336"/>
      <c r="AT336"/>
      <c r="AU336">
        <v>23.814350000000001</v>
      </c>
      <c r="AV336"/>
      <c r="AW336">
        <v>24.314080000000001</v>
      </c>
      <c r="AX336"/>
    </row>
    <row r="337" spans="1:50" x14ac:dyDescent="0.2">
      <c r="A337" s="76">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27.249079999999999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12.78055</v>
      </c>
      <c r="AN337">
        <v>9.9214920000000006</v>
      </c>
      <c r="AO337"/>
      <c r="AP337">
        <v>4.4095620000000002</v>
      </c>
      <c r="AQ337"/>
      <c r="AR337"/>
      <c r="AS337"/>
      <c r="AT337"/>
      <c r="AU337">
        <v>23.852070000000001</v>
      </c>
      <c r="AV337"/>
      <c r="AW337">
        <v>24.314080000000001</v>
      </c>
      <c r="AX337"/>
    </row>
    <row r="338" spans="1:50" x14ac:dyDescent="0.2">
      <c r="A338" s="76">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27.462769999999999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12.900029999999999</v>
      </c>
      <c r="AN338">
        <v>10.0509</v>
      </c>
      <c r="AO338"/>
      <c r="AP338">
        <v>4.324236</v>
      </c>
      <c r="AQ338"/>
      <c r="AR338"/>
      <c r="AS338"/>
      <c r="AT338"/>
      <c r="AU338">
        <v>24.05986</v>
      </c>
      <c r="AV338"/>
      <c r="AW338">
        <v>24.437919999999998</v>
      </c>
      <c r="AX338"/>
    </row>
    <row r="339" spans="1:50" x14ac:dyDescent="0.2">
      <c r="A339" s="76">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27.643409999999999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13.00306</v>
      </c>
      <c r="AN339">
        <v>10.153969999999999</v>
      </c>
      <c r="AO339"/>
      <c r="AP339">
        <v>4.4088349999999998</v>
      </c>
      <c r="AQ339"/>
      <c r="AR339"/>
      <c r="AS339"/>
      <c r="AT339"/>
      <c r="AU339">
        <v>24.378</v>
      </c>
      <c r="AV339"/>
      <c r="AW339">
        <v>24.56176</v>
      </c>
      <c r="AX339"/>
    </row>
    <row r="340" spans="1:50" x14ac:dyDescent="0.2">
      <c r="A340" s="76">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27.830169999999999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13.11223</v>
      </c>
      <c r="AN340">
        <v>10.25935</v>
      </c>
      <c r="AO340"/>
      <c r="AP340">
        <v>4.5555060000000003</v>
      </c>
      <c r="AQ340"/>
      <c r="AR340"/>
      <c r="AS340"/>
      <c r="AT340"/>
      <c r="AU340">
        <v>24.59975</v>
      </c>
      <c r="AV340"/>
      <c r="AW340">
        <v>24.726880000000001</v>
      </c>
      <c r="AX340"/>
    </row>
    <row r="341" spans="1:50" x14ac:dyDescent="0.2">
      <c r="A341" s="76">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28.11788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13.26233</v>
      </c>
      <c r="AN341">
        <v>10.39753</v>
      </c>
      <c r="AO341"/>
      <c r="AP341">
        <v>4.7180249999999999</v>
      </c>
      <c r="AQ341"/>
      <c r="AR341"/>
      <c r="AS341"/>
      <c r="AT341"/>
      <c r="AU341">
        <v>24.837569999999999</v>
      </c>
      <c r="AV341"/>
      <c r="AW341">
        <v>24.891999999999999</v>
      </c>
      <c r="AX341"/>
    </row>
    <row r="342" spans="1:50" x14ac:dyDescent="0.2">
      <c r="A342" s="76">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28.310320000000001</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13.354369999999999</v>
      </c>
      <c r="AN342">
        <v>10.47363</v>
      </c>
      <c r="AO342"/>
      <c r="AP342">
        <v>4.7408650000000003</v>
      </c>
      <c r="AQ342"/>
      <c r="AR342"/>
      <c r="AS342"/>
      <c r="AT342"/>
      <c r="AU342">
        <v>25.179040000000001</v>
      </c>
      <c r="AV342"/>
      <c r="AW342">
        <v>25.015840000000001</v>
      </c>
      <c r="AX342"/>
    </row>
    <row r="343" spans="1:50" x14ac:dyDescent="0.2">
      <c r="A343" s="76">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28.467089999999999</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13.44351</v>
      </c>
      <c r="AN343">
        <v>10.55477</v>
      </c>
      <c r="AO343"/>
      <c r="AP343">
        <v>4.7575810000000001</v>
      </c>
      <c r="AQ343"/>
      <c r="AR343"/>
      <c r="AS343"/>
      <c r="AT343"/>
      <c r="AU343">
        <v>25.70252</v>
      </c>
      <c r="AV343"/>
      <c r="AW343">
        <v>25.180959999999999</v>
      </c>
      <c r="AX343"/>
    </row>
    <row r="344" spans="1:50" x14ac:dyDescent="0.2">
      <c r="A344" s="76">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28.56204</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13.51385</v>
      </c>
      <c r="AN344">
        <v>10.619</v>
      </c>
      <c r="AO344"/>
      <c r="AP344">
        <v>4.8418929999999998</v>
      </c>
      <c r="AQ344"/>
      <c r="AR344"/>
      <c r="AS344"/>
      <c r="AT344"/>
      <c r="AU344">
        <v>25.892810000000001</v>
      </c>
      <c r="AV344"/>
      <c r="AW344">
        <v>25.26352</v>
      </c>
      <c r="AX344"/>
    </row>
    <row r="345" spans="1:50" x14ac:dyDescent="0.2">
      <c r="A345" s="76">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28.67923</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13.579800000000001</v>
      </c>
      <c r="AN345">
        <v>10.678380000000001</v>
      </c>
      <c r="AO345"/>
      <c r="AP345">
        <v>4.9200189999999999</v>
      </c>
      <c r="AQ345"/>
      <c r="AR345"/>
      <c r="AS345"/>
      <c r="AT345"/>
      <c r="AU345">
        <v>25.98546</v>
      </c>
      <c r="AV345"/>
      <c r="AW345">
        <v>25.387360000000001</v>
      </c>
      <c r="AX345"/>
    </row>
    <row r="346" spans="1:50" x14ac:dyDescent="0.2">
      <c r="A346" s="76">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28.888739999999999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13.69716</v>
      </c>
      <c r="AN346">
        <v>10.78148</v>
      </c>
      <c r="AO346"/>
      <c r="AP346">
        <v>4.9378289999999998</v>
      </c>
      <c r="AQ346"/>
      <c r="AR346"/>
      <c r="AS346"/>
      <c r="AT346"/>
      <c r="AU346">
        <v>26.20392</v>
      </c>
      <c r="AV346"/>
      <c r="AW346">
        <v>25.552479999999999</v>
      </c>
      <c r="AX346"/>
    </row>
    <row r="347" spans="1:50" x14ac:dyDescent="0.2">
      <c r="A347" s="76">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29.036200000000001</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13.81498</v>
      </c>
      <c r="AN347">
        <v>10.92179</v>
      </c>
      <c r="AO347"/>
      <c r="AP347">
        <v>5.1064629999999998</v>
      </c>
      <c r="AQ347"/>
      <c r="AR347"/>
      <c r="AS347"/>
      <c r="AT347"/>
      <c r="AU347">
        <v>26.409549999999999</v>
      </c>
      <c r="AV347"/>
      <c r="AW347">
        <v>25.63505</v>
      </c>
      <c r="AX347"/>
    </row>
    <row r="348" spans="1:50" x14ac:dyDescent="0.2">
      <c r="A348" s="76">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29.155940000000001</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13.911910000000001</v>
      </c>
      <c r="AN348">
        <v>11.04444</v>
      </c>
      <c r="AO348"/>
      <c r="AP348">
        <v>5.1659350000000002</v>
      </c>
      <c r="AQ348"/>
      <c r="AR348"/>
      <c r="AS348"/>
      <c r="AT348"/>
      <c r="AU348">
        <v>26.6585</v>
      </c>
      <c r="AV348"/>
      <c r="AW348">
        <v>25.758890000000001</v>
      </c>
      <c r="AX348"/>
    </row>
    <row r="349" spans="1:50" x14ac:dyDescent="0.2">
      <c r="A349" s="76">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29.27149</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13.9979</v>
      </c>
      <c r="AN349">
        <v>11.133279999999999</v>
      </c>
      <c r="AO349"/>
      <c r="AP349">
        <v>5.2413049999999997</v>
      </c>
      <c r="AQ349"/>
      <c r="AR349"/>
      <c r="AS349"/>
      <c r="AT349"/>
      <c r="AU349">
        <v>26.885349999999999</v>
      </c>
      <c r="AV349"/>
      <c r="AW349">
        <v>25.882729999999999</v>
      </c>
      <c r="AX349"/>
    </row>
    <row r="350" spans="1:50" x14ac:dyDescent="0.2">
      <c r="A350" s="76">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29.419609999999999</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14.112730000000001</v>
      </c>
      <c r="AN350">
        <v>11.249029999999999</v>
      </c>
      <c r="AO350"/>
      <c r="AP350">
        <v>5.3950519999999997</v>
      </c>
      <c r="AQ350"/>
      <c r="AR350"/>
      <c r="AS350"/>
      <c r="AT350"/>
      <c r="AU350">
        <v>27.331</v>
      </c>
      <c r="AV350"/>
      <c r="AW350">
        <v>26.00657</v>
      </c>
      <c r="AX350"/>
    </row>
    <row r="351" spans="1:50" x14ac:dyDescent="0.2">
      <c r="A351" s="76">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29.562059999999999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14.206099999999999</v>
      </c>
      <c r="AN351">
        <v>11.34502</v>
      </c>
      <c r="AO351"/>
      <c r="AP351">
        <v>5.4121350000000001</v>
      </c>
      <c r="AQ351"/>
      <c r="AR351"/>
      <c r="AS351"/>
      <c r="AT351"/>
      <c r="AU351">
        <v>27.67277</v>
      </c>
      <c r="AV351"/>
      <c r="AW351">
        <v>26.089130000000001</v>
      </c>
      <c r="AX351"/>
    </row>
    <row r="352" spans="1:50" x14ac:dyDescent="0.2">
      <c r="A352" s="76">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29.78012</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14.31817</v>
      </c>
      <c r="AN352">
        <v>11.44345</v>
      </c>
      <c r="AO352"/>
      <c r="AP352">
        <v>5.4285819999999996</v>
      </c>
      <c r="AQ352"/>
      <c r="AR352"/>
      <c r="AS352"/>
      <c r="AT352"/>
      <c r="AU352">
        <v>27.71265</v>
      </c>
      <c r="AV352"/>
      <c r="AW352">
        <v>26.295529999999999</v>
      </c>
      <c r="AX352"/>
    </row>
    <row r="353" spans="1:50" x14ac:dyDescent="0.2">
      <c r="A353" s="76">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30.042380000000001</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14.459339999999999</v>
      </c>
      <c r="AN353">
        <v>11.576510000000001</v>
      </c>
      <c r="AO353"/>
      <c r="AP353">
        <v>5.6563400000000001</v>
      </c>
      <c r="AQ353"/>
      <c r="AR353"/>
      <c r="AS353"/>
      <c r="AT353"/>
      <c r="AU353">
        <v>27.77486</v>
      </c>
      <c r="AV353"/>
      <c r="AW353">
        <v>26.501930000000002</v>
      </c>
      <c r="AX353"/>
    </row>
    <row r="354" spans="1:50" x14ac:dyDescent="0.2">
      <c r="A354" s="76">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30.264520000000001</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14.580539999999999</v>
      </c>
      <c r="AN354">
        <v>11.67956</v>
      </c>
      <c r="AO354"/>
      <c r="AP354">
        <v>5.708475</v>
      </c>
      <c r="AQ354"/>
      <c r="AR354"/>
      <c r="AS354"/>
      <c r="AT354"/>
      <c r="AU354">
        <v>27.966519999999999</v>
      </c>
      <c r="AV354"/>
      <c r="AW354">
        <v>26.70833</v>
      </c>
      <c r="AX354"/>
    </row>
    <row r="355" spans="1:50" x14ac:dyDescent="0.2">
      <c r="A355" s="76">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30.467459999999999</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14.705349999999999</v>
      </c>
      <c r="AN355">
        <v>11.7972</v>
      </c>
      <c r="AO355"/>
      <c r="AP355">
        <v>5.7824650000000002</v>
      </c>
      <c r="AQ355"/>
      <c r="AR355"/>
      <c r="AS355"/>
      <c r="AT355"/>
      <c r="AU355">
        <v>28.010950000000001</v>
      </c>
      <c r="AV355"/>
      <c r="AW355">
        <v>26.956009999999999</v>
      </c>
      <c r="AX355"/>
    </row>
    <row r="356" spans="1:50" x14ac:dyDescent="0.2">
      <c r="A356" s="76">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30.622969999999999</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14.79936</v>
      </c>
      <c r="AN356">
        <v>11.86562</v>
      </c>
      <c r="AO356"/>
      <c r="AP356">
        <v>5.8978849999999996</v>
      </c>
      <c r="AQ356"/>
      <c r="AR356"/>
      <c r="AS356"/>
      <c r="AT356"/>
      <c r="AU356">
        <v>28.107530000000001</v>
      </c>
      <c r="AV356"/>
      <c r="AW356">
        <v>27.12114</v>
      </c>
      <c r="AX356"/>
    </row>
    <row r="357" spans="1:50" x14ac:dyDescent="0.2">
      <c r="A357" s="76">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30.758859999999999</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14.882949999999999</v>
      </c>
      <c r="AN357">
        <v>11.945779999999999</v>
      </c>
      <c r="AO357"/>
      <c r="AP357">
        <v>6.0124940000000002</v>
      </c>
      <c r="AQ357"/>
      <c r="AR357"/>
      <c r="AS357"/>
      <c r="AT357"/>
      <c r="AU357">
        <v>28.071190000000001</v>
      </c>
      <c r="AV357"/>
      <c r="AW357">
        <v>27.286259999999999</v>
      </c>
      <c r="AX357"/>
    </row>
    <row r="358" spans="1:50" x14ac:dyDescent="0.2">
      <c r="A358" s="76">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31.024830000000001</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15.03514</v>
      </c>
      <c r="AN358">
        <v>12.07147</v>
      </c>
      <c r="AO358"/>
      <c r="AP358">
        <v>6.0926130000000001</v>
      </c>
      <c r="AQ358"/>
      <c r="AR358"/>
      <c r="AS358"/>
      <c r="AT358"/>
      <c r="AU358">
        <v>28.26802</v>
      </c>
      <c r="AV358"/>
      <c r="AW358">
        <v>27.575220000000002</v>
      </c>
      <c r="AX358"/>
    </row>
    <row r="359" spans="1:50" x14ac:dyDescent="0.2">
      <c r="A359" s="76">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31.248999999999999</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15.181319999999999</v>
      </c>
      <c r="AN359">
        <v>12.21289</v>
      </c>
      <c r="AO359"/>
      <c r="AP359">
        <v>6.2577309999999997</v>
      </c>
      <c r="AQ359"/>
      <c r="AR359"/>
      <c r="AS359"/>
      <c r="AT359"/>
      <c r="AU359">
        <v>28.44445</v>
      </c>
      <c r="AV359"/>
      <c r="AW359">
        <v>27.78162</v>
      </c>
      <c r="AX359"/>
    </row>
    <row r="360" spans="1:50" x14ac:dyDescent="0.2">
      <c r="A360" s="76">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31.430330000000001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15.2864</v>
      </c>
      <c r="AN360">
        <v>12.31143</v>
      </c>
      <c r="AO360"/>
      <c r="AP360">
        <v>6.4549529999999997</v>
      </c>
      <c r="AQ360"/>
      <c r="AR360"/>
      <c r="AS360"/>
      <c r="AT360"/>
      <c r="AU360">
        <v>28.548269999999999</v>
      </c>
      <c r="AV360"/>
      <c r="AW360">
        <v>27.988019999999999</v>
      </c>
      <c r="AX360"/>
    </row>
    <row r="361" spans="1:50" x14ac:dyDescent="0.2">
      <c r="A361" s="76">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31.53051</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15.35661</v>
      </c>
      <c r="AN361">
        <v>12.397629999999999</v>
      </c>
      <c r="AO361"/>
      <c r="AP361">
        <v>6.548171</v>
      </c>
      <c r="AQ361"/>
      <c r="AR361"/>
      <c r="AS361"/>
      <c r="AT361"/>
      <c r="AU361">
        <v>28.735009999999999</v>
      </c>
      <c r="AV361"/>
      <c r="AW361">
        <v>28.07058</v>
      </c>
      <c r="AX361"/>
    </row>
    <row r="362" spans="1:50" x14ac:dyDescent="0.2">
      <c r="A362" s="76">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31.741520000000001</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15.488009999999999</v>
      </c>
      <c r="AN362">
        <v>12.53651</v>
      </c>
      <c r="AO362"/>
      <c r="AP362">
        <v>6.5771790000000001</v>
      </c>
      <c r="AQ362"/>
      <c r="AR362"/>
      <c r="AS362"/>
      <c r="AT362"/>
      <c r="AU362">
        <v>28.86243</v>
      </c>
      <c r="AV362"/>
      <c r="AW362">
        <v>28.235700000000001</v>
      </c>
      <c r="AX362"/>
    </row>
    <row r="363" spans="1:50" x14ac:dyDescent="0.2">
      <c r="A363" s="76">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31.951899999999998</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15.60181</v>
      </c>
      <c r="AN363">
        <v>12.621639999999999</v>
      </c>
      <c r="AO363"/>
      <c r="AP363">
        <v>6.6395799999999996</v>
      </c>
      <c r="AQ363"/>
      <c r="AR363"/>
      <c r="AS363"/>
      <c r="AT363"/>
      <c r="AU363">
        <v>29.1069</v>
      </c>
      <c r="AV363"/>
      <c r="AW363">
        <v>28.48338</v>
      </c>
      <c r="AX363"/>
    </row>
    <row r="364" spans="1:50" x14ac:dyDescent="0.2">
      <c r="A364" s="76">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32.213200000000001</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15.73936</v>
      </c>
      <c r="AN364">
        <v>12.73033</v>
      </c>
      <c r="AO364"/>
      <c r="AP364">
        <v>6.6995269999999998</v>
      </c>
      <c r="AQ364"/>
      <c r="AR364"/>
      <c r="AS364"/>
      <c r="AT364"/>
      <c r="AU364">
        <v>29.23518</v>
      </c>
      <c r="AV364"/>
      <c r="AW364">
        <v>28.731069999999999</v>
      </c>
      <c r="AX364"/>
    </row>
    <row r="365" spans="1:50" x14ac:dyDescent="0.2">
      <c r="A365" s="76">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32.50544</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15.905099999999999</v>
      </c>
      <c r="AN365">
        <v>12.88785</v>
      </c>
      <c r="AO365"/>
      <c r="AP365">
        <v>6.7992049999999997</v>
      </c>
      <c r="AQ365"/>
      <c r="AR365"/>
      <c r="AS365"/>
      <c r="AT365"/>
      <c r="AU365">
        <v>29.446870000000001</v>
      </c>
      <c r="AV365"/>
      <c r="AW365">
        <v>28.978750000000002</v>
      </c>
      <c r="AX365"/>
    </row>
    <row r="366" spans="1:50" x14ac:dyDescent="0.2">
      <c r="A366" s="76">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32.771349999999998</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16.052990000000001</v>
      </c>
      <c r="AN366">
        <v>13.00262</v>
      </c>
      <c r="AO366"/>
      <c r="AP366">
        <v>6.8888350000000003</v>
      </c>
      <c r="AQ366"/>
      <c r="AR366"/>
      <c r="AS366"/>
      <c r="AT366"/>
      <c r="AU366">
        <v>29.613330000000001</v>
      </c>
      <c r="AV366"/>
      <c r="AW366">
        <v>29.226430000000001</v>
      </c>
      <c r="AX366"/>
    </row>
    <row r="367" spans="1:50" x14ac:dyDescent="0.2">
      <c r="A367" s="76">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32.993870000000001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16.20974</v>
      </c>
      <c r="AN367">
        <v>13.17754</v>
      </c>
      <c r="AO367"/>
      <c r="AP367">
        <v>6.9187209999999997</v>
      </c>
      <c r="AQ367"/>
      <c r="AR367"/>
      <c r="AS367"/>
      <c r="AT367"/>
      <c r="AU367">
        <v>29.683589999999999</v>
      </c>
      <c r="AV367"/>
      <c r="AW367">
        <v>29.47411</v>
      </c>
      <c r="AX367"/>
    </row>
    <row r="368" spans="1:50" x14ac:dyDescent="0.2">
      <c r="A368" s="76">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33.327660000000002</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16.399069999999998</v>
      </c>
      <c r="AN368">
        <v>13.39509</v>
      </c>
      <c r="AO368"/>
      <c r="AP368">
        <v>6.8973490000000002</v>
      </c>
      <c r="AQ368"/>
      <c r="AR368"/>
      <c r="AS368"/>
      <c r="AT368"/>
      <c r="AU368">
        <v>29.812280000000001</v>
      </c>
      <c r="AV368"/>
      <c r="AW368">
        <v>29.721789999999999</v>
      </c>
      <c r="AX368"/>
    </row>
    <row r="369" spans="1:50" x14ac:dyDescent="0.2">
      <c r="A369" s="76">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33.527000000000001</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16.51484</v>
      </c>
      <c r="AN369">
        <v>13.51755</v>
      </c>
      <c r="AO369"/>
      <c r="AP369">
        <v>6.9931859999999997</v>
      </c>
      <c r="AQ369"/>
      <c r="AR369"/>
      <c r="AS369"/>
      <c r="AT369"/>
      <c r="AU369">
        <v>30.08652</v>
      </c>
      <c r="AV369"/>
      <c r="AW369">
        <v>30.010750000000002</v>
      </c>
      <c r="AX369"/>
    </row>
    <row r="370" spans="1:50" x14ac:dyDescent="0.2">
      <c r="A370" s="76">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33.89772</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16.707239999999999</v>
      </c>
      <c r="AN370">
        <v>13.7027</v>
      </c>
      <c r="AO370"/>
      <c r="AP370">
        <v>7.178833</v>
      </c>
      <c r="AQ370"/>
      <c r="AR370"/>
      <c r="AS370"/>
      <c r="AT370"/>
      <c r="AU370">
        <v>30.231339999999999</v>
      </c>
      <c r="AV370"/>
      <c r="AW370">
        <v>30.299720000000001</v>
      </c>
      <c r="AX370"/>
    </row>
    <row r="371" spans="1:50" x14ac:dyDescent="0.2">
      <c r="A371" s="76">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34.219949999999997</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16.914960000000001</v>
      </c>
      <c r="AN371">
        <v>13.92014</v>
      </c>
      <c r="AO371"/>
      <c r="AP371">
        <v>7.366835</v>
      </c>
      <c r="AQ371"/>
      <c r="AR371"/>
      <c r="AS371"/>
      <c r="AT371"/>
      <c r="AU371">
        <v>30.605820000000001</v>
      </c>
      <c r="AV371"/>
      <c r="AW371">
        <v>30.58868</v>
      </c>
      <c r="AX371"/>
    </row>
    <row r="372" spans="1:50" x14ac:dyDescent="0.2">
      <c r="A372" s="76">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34.538029999999999</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17.10745</v>
      </c>
      <c r="AN372">
        <v>14.109249999999999</v>
      </c>
      <c r="AO372"/>
      <c r="AP372">
        <v>7.4379910000000002</v>
      </c>
      <c r="AQ372"/>
      <c r="AR372"/>
      <c r="AS372"/>
      <c r="AT372"/>
      <c r="AU372">
        <v>31.12265</v>
      </c>
      <c r="AV372"/>
      <c r="AW372">
        <v>30.9602</v>
      </c>
      <c r="AX372"/>
    </row>
    <row r="373" spans="1:50" x14ac:dyDescent="0.2">
      <c r="A373" s="76">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34.813070000000003</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17.26952</v>
      </c>
      <c r="AN373">
        <v>14.25713</v>
      </c>
      <c r="AO373"/>
      <c r="AP373">
        <v>7.5021009999999997</v>
      </c>
      <c r="AQ373"/>
      <c r="AR373"/>
      <c r="AS373"/>
      <c r="AT373"/>
      <c r="AU373">
        <v>31.440729999999999</v>
      </c>
      <c r="AV373"/>
      <c r="AW373">
        <v>31.24916</v>
      </c>
      <c r="AX373"/>
    </row>
    <row r="374" spans="1:50" x14ac:dyDescent="0.2">
      <c r="A374" s="76">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35.244729999999997</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17.551359999999999</v>
      </c>
      <c r="AN374">
        <v>14.521850000000001</v>
      </c>
      <c r="AO374"/>
      <c r="AP374">
        <v>7.5686989999999996</v>
      </c>
      <c r="AQ374"/>
      <c r="AR374"/>
      <c r="AS374"/>
      <c r="AT374"/>
      <c r="AU374">
        <v>32.14358</v>
      </c>
      <c r="AV374"/>
      <c r="AW374">
        <v>31.62068</v>
      </c>
      <c r="AX374"/>
    </row>
    <row r="375" spans="1:50" x14ac:dyDescent="0.2">
      <c r="A375" s="76">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35.604309999999998</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17.779720000000001</v>
      </c>
      <c r="AN375">
        <v>14.783110000000001</v>
      </c>
      <c r="AO375"/>
      <c r="AP375">
        <v>7.7034339999999997</v>
      </c>
      <c r="AQ375"/>
      <c r="AR375"/>
      <c r="AS375"/>
      <c r="AT375"/>
      <c r="AU375">
        <v>32.615180000000002</v>
      </c>
      <c r="AV375"/>
      <c r="AW375">
        <v>31.909649999999999</v>
      </c>
      <c r="AX375"/>
    </row>
    <row r="376" spans="1:50" x14ac:dyDescent="0.2">
      <c r="A376" s="76">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35.975720000000003</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17.975960000000001</v>
      </c>
      <c r="AN376">
        <v>14.92441</v>
      </c>
      <c r="AO376"/>
      <c r="AP376">
        <v>7.7791519999999998</v>
      </c>
      <c r="AQ376"/>
      <c r="AR376"/>
      <c r="AS376"/>
      <c r="AT376"/>
      <c r="AU376">
        <v>32.787689999999998</v>
      </c>
      <c r="AV376"/>
      <c r="AW376">
        <v>32.322450000000003</v>
      </c>
      <c r="AX376"/>
    </row>
    <row r="377" spans="1:50" x14ac:dyDescent="0.2">
      <c r="A377" s="76">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36.481679999999997</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18.236910000000002</v>
      </c>
      <c r="AN377">
        <v>15.16447</v>
      </c>
      <c r="AO377"/>
      <c r="AP377">
        <v>7.829904</v>
      </c>
      <c r="AQ377"/>
      <c r="AR377"/>
      <c r="AS377"/>
      <c r="AT377"/>
      <c r="AU377">
        <v>33.034619999999997</v>
      </c>
      <c r="AV377"/>
      <c r="AW377">
        <v>32.735250000000001</v>
      </c>
      <c r="AX377"/>
    </row>
    <row r="378" spans="1:50" x14ac:dyDescent="0.2">
      <c r="A378" s="76">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36.858690000000003</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18.4099</v>
      </c>
      <c r="AN378">
        <v>15.247</v>
      </c>
      <c r="AO378"/>
      <c r="AP378">
        <v>7.8983059999999998</v>
      </c>
      <c r="AQ378"/>
      <c r="AR378"/>
      <c r="AS378"/>
      <c r="AT378"/>
      <c r="AU378">
        <v>33.132840000000002</v>
      </c>
      <c r="AV378"/>
      <c r="AW378">
        <v>33.106769999999997</v>
      </c>
      <c r="AX378"/>
    </row>
    <row r="379" spans="1:50" x14ac:dyDescent="0.2">
      <c r="A379" s="76">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37.16948</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18.601870000000002</v>
      </c>
      <c r="AN379">
        <v>15.41043</v>
      </c>
      <c r="AO379"/>
      <c r="AP379">
        <v>7.9838769999999997</v>
      </c>
      <c r="AQ379"/>
      <c r="AR379"/>
      <c r="AS379"/>
      <c r="AT379"/>
      <c r="AU379">
        <v>33.175409999999999</v>
      </c>
      <c r="AV379"/>
      <c r="AW379">
        <v>33.478290000000001</v>
      </c>
      <c r="AX379"/>
    </row>
    <row r="380" spans="1:50" x14ac:dyDescent="0.2">
      <c r="A380" s="76">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37.271740000000001</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18.697610000000001</v>
      </c>
      <c r="AN380">
        <v>15.559979999999999</v>
      </c>
      <c r="AO380"/>
      <c r="AP380">
        <v>8.0679230000000004</v>
      </c>
      <c r="AQ380"/>
      <c r="AR380"/>
      <c r="AS380"/>
      <c r="AT380"/>
      <c r="AU380">
        <v>33.404139999999998</v>
      </c>
      <c r="AV380"/>
      <c r="AW380">
        <v>33.395740000000004</v>
      </c>
      <c r="AX380"/>
    </row>
    <row r="381" spans="1:50" x14ac:dyDescent="0.2">
      <c r="A381" s="76">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37.44247</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18.81737</v>
      </c>
      <c r="AN381">
        <v>15.69924</v>
      </c>
      <c r="AO381"/>
      <c r="AP381">
        <v>8.1459259999999993</v>
      </c>
      <c r="AQ381"/>
      <c r="AR381"/>
      <c r="AS381"/>
      <c r="AT381"/>
      <c r="AU381">
        <v>33.584510000000002</v>
      </c>
      <c r="AV381"/>
      <c r="AW381">
        <v>33.560859999999998</v>
      </c>
      <c r="AX381"/>
    </row>
    <row r="382" spans="1:50" x14ac:dyDescent="0.2">
      <c r="A382" s="76">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37.841709999999999</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19.03585</v>
      </c>
      <c r="AN382">
        <v>15.88763</v>
      </c>
      <c r="AO382"/>
      <c r="AP382">
        <v>8.1314949999999993</v>
      </c>
      <c r="AQ382"/>
      <c r="AR382"/>
      <c r="AS382"/>
      <c r="AT382"/>
      <c r="AU382">
        <v>34.635559999999998</v>
      </c>
      <c r="AV382"/>
      <c r="AW382">
        <v>33.932380000000002</v>
      </c>
      <c r="AX382"/>
    </row>
    <row r="383" spans="1:50" x14ac:dyDescent="0.2">
      <c r="A383" s="76">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38.214860000000002</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19.26172</v>
      </c>
      <c r="AN383">
        <v>16.077400000000001</v>
      </c>
      <c r="AO383"/>
      <c r="AP383">
        <v>8.2710640000000009</v>
      </c>
      <c r="AQ383"/>
      <c r="AR383"/>
      <c r="AS383"/>
      <c r="AT383"/>
      <c r="AU383">
        <v>34.988289999999999</v>
      </c>
      <c r="AV383"/>
      <c r="AW383">
        <v>34.345179999999999</v>
      </c>
      <c r="AX383"/>
    </row>
    <row r="384" spans="1:50" x14ac:dyDescent="0.2">
      <c r="A384" s="76">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38.569110000000002</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19.449380000000001</v>
      </c>
      <c r="AN384">
        <v>16.238869999999999</v>
      </c>
      <c r="AO384"/>
      <c r="AP384">
        <v>8.3674660000000003</v>
      </c>
      <c r="AQ384"/>
      <c r="AR384"/>
      <c r="AS384"/>
      <c r="AT384"/>
      <c r="AU384">
        <v>35.187440000000002</v>
      </c>
      <c r="AV384"/>
      <c r="AW384">
        <v>34.716709999999999</v>
      </c>
      <c r="AX384"/>
    </row>
    <row r="385" spans="1:50" x14ac:dyDescent="0.2">
      <c r="A385" s="76">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38.78389</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19.612030000000001</v>
      </c>
      <c r="AN385">
        <v>16.36016</v>
      </c>
      <c r="AO385"/>
      <c r="AP385">
        <v>8.595618</v>
      </c>
      <c r="AQ385"/>
      <c r="AR385"/>
      <c r="AS385"/>
      <c r="AT385"/>
      <c r="AU385">
        <v>35.36195</v>
      </c>
      <c r="AV385"/>
      <c r="AW385">
        <v>35.046950000000002</v>
      </c>
      <c r="AX385"/>
    </row>
    <row r="386" spans="1:50" x14ac:dyDescent="0.2">
      <c r="A386" s="76">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39.06429</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19.80003</v>
      </c>
      <c r="AN386">
        <v>16.545919999999999</v>
      </c>
      <c r="AO386"/>
      <c r="AP386">
        <v>8.8869369999999996</v>
      </c>
      <c r="AQ386"/>
      <c r="AR386"/>
      <c r="AS386"/>
      <c r="AT386"/>
      <c r="AU386">
        <v>35.77637</v>
      </c>
      <c r="AV386"/>
      <c r="AW386">
        <v>35.212069999999997</v>
      </c>
      <c r="AX386"/>
    </row>
    <row r="387" spans="1:50" x14ac:dyDescent="0.2">
      <c r="A387" s="76">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39.294429999999998</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19.941490000000002</v>
      </c>
      <c r="AN387">
        <v>16.704879999999999</v>
      </c>
      <c r="AO387"/>
      <c r="AP387">
        <v>8.9845089999999992</v>
      </c>
      <c r="AQ387"/>
      <c r="AR387"/>
      <c r="AS387"/>
      <c r="AT387"/>
      <c r="AU387">
        <v>36.502580000000002</v>
      </c>
      <c r="AV387"/>
      <c r="AW387">
        <v>35.377189999999999</v>
      </c>
      <c r="AX387"/>
    </row>
    <row r="388" spans="1:50" x14ac:dyDescent="0.2">
      <c r="A388" s="76">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39.532699999999998</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20.088840000000001</v>
      </c>
      <c r="AN388">
        <v>16.857790000000001</v>
      </c>
      <c r="AO388"/>
      <c r="AP388">
        <v>9.0723749999999992</v>
      </c>
      <c r="AQ388"/>
      <c r="AR388"/>
      <c r="AS388"/>
      <c r="AT388"/>
      <c r="AU388">
        <v>36.735129999999998</v>
      </c>
      <c r="AV388"/>
      <c r="AW388">
        <v>35.542310000000001</v>
      </c>
      <c r="AX388"/>
    </row>
    <row r="389" spans="1:50" x14ac:dyDescent="0.2">
      <c r="A389" s="76">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39.956580000000002</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20.320810000000002</v>
      </c>
      <c r="AN389">
        <v>17.08006</v>
      </c>
      <c r="AO389"/>
      <c r="AP389">
        <v>9.195392</v>
      </c>
      <c r="AQ389"/>
      <c r="AR389"/>
      <c r="AS389"/>
      <c r="AT389"/>
      <c r="AU389">
        <v>37.041829999999997</v>
      </c>
      <c r="AV389"/>
      <c r="AW389">
        <v>35.831270000000004</v>
      </c>
      <c r="AX389"/>
    </row>
    <row r="390" spans="1:50" x14ac:dyDescent="0.2">
      <c r="A390" s="76">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40.377279999999999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20.536460000000002</v>
      </c>
      <c r="AN390">
        <v>17.228529999999999</v>
      </c>
      <c r="AO390"/>
      <c r="AP390">
        <v>9.2565760000000008</v>
      </c>
      <c r="AQ390"/>
      <c r="AR390"/>
      <c r="AS390"/>
      <c r="AT390"/>
      <c r="AU390">
        <v>37.195129999999999</v>
      </c>
      <c r="AV390"/>
      <c r="AW390">
        <v>36.244070000000001</v>
      </c>
      <c r="AX390"/>
    </row>
    <row r="391" spans="1:50" x14ac:dyDescent="0.2">
      <c r="A391" s="76">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40.687809999999999</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20.723859999999998</v>
      </c>
      <c r="AN391">
        <v>17.380510000000001</v>
      </c>
      <c r="AO391"/>
      <c r="AP391">
        <v>9.3451170000000001</v>
      </c>
      <c r="AQ391"/>
      <c r="AR391"/>
      <c r="AS391"/>
      <c r="AT391"/>
      <c r="AU391">
        <v>37.333820000000003</v>
      </c>
      <c r="AV391"/>
      <c r="AW391">
        <v>36.615600000000001</v>
      </c>
      <c r="AX391"/>
    </row>
    <row r="392" spans="1:50" x14ac:dyDescent="0.2">
      <c r="A392" s="76">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41.048780000000001</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20.904969999999999</v>
      </c>
      <c r="AN392">
        <v>17.473279999999999</v>
      </c>
      <c r="AO392"/>
      <c r="AP392">
        <v>9.4847619999999999</v>
      </c>
      <c r="AQ392"/>
      <c r="AR392"/>
      <c r="AS392"/>
      <c r="AT392"/>
      <c r="AU392">
        <v>37.499139999999997</v>
      </c>
      <c r="AV392"/>
      <c r="AW392">
        <v>37.110959999999999</v>
      </c>
      <c r="AX392"/>
    </row>
    <row r="393" spans="1:50" x14ac:dyDescent="0.2">
      <c r="A393" s="76">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41.301459999999999</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21.049610000000001</v>
      </c>
      <c r="AN393">
        <v>17.588709999999999</v>
      </c>
      <c r="AO393"/>
      <c r="AP393">
        <v>9.5957939999999997</v>
      </c>
      <c r="AQ393"/>
      <c r="AR393"/>
      <c r="AS393"/>
      <c r="AT393"/>
      <c r="AU393">
        <v>37.71528</v>
      </c>
      <c r="AV393"/>
      <c r="AW393">
        <v>37.441200000000002</v>
      </c>
      <c r="AX393"/>
    </row>
    <row r="394" spans="1:50" x14ac:dyDescent="0.2">
      <c r="A394" s="76">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41.773119999999999</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21.310120000000001</v>
      </c>
      <c r="AN394">
        <v>17.79055</v>
      </c>
      <c r="AO394"/>
      <c r="AP394">
        <v>9.7629180000000009</v>
      </c>
      <c r="AQ394"/>
      <c r="AR394"/>
      <c r="AS394"/>
      <c r="AT394"/>
      <c r="AU394">
        <v>38.037739999999999</v>
      </c>
      <c r="AV394"/>
      <c r="AW394">
        <v>37.936570000000003</v>
      </c>
      <c r="AX394"/>
    </row>
    <row r="395" spans="1:50" x14ac:dyDescent="0.2">
      <c r="A395" s="76">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42.074930000000002</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21.521100000000001</v>
      </c>
      <c r="AN395">
        <v>18.01887</v>
      </c>
      <c r="AO395"/>
      <c r="AP395">
        <v>9.9396979999999999</v>
      </c>
      <c r="AQ395"/>
      <c r="AR395"/>
      <c r="AS395"/>
      <c r="AT395"/>
      <c r="AU395">
        <v>38.157389999999999</v>
      </c>
      <c r="AV395"/>
      <c r="AW395">
        <v>38.101680000000002</v>
      </c>
      <c r="AX395"/>
    </row>
    <row r="396" spans="1:50" x14ac:dyDescent="0.2">
      <c r="A396" s="76">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42.33728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21.68337</v>
      </c>
      <c r="AN396">
        <v>18.209479999999999</v>
      </c>
      <c r="AO396"/>
      <c r="AP396">
        <v>10.07981</v>
      </c>
      <c r="AQ396"/>
      <c r="AR396"/>
      <c r="AS396"/>
      <c r="AT396"/>
      <c r="AU396">
        <v>38.31964</v>
      </c>
      <c r="AV396"/>
      <c r="AW396">
        <v>38.26681</v>
      </c>
      <c r="AX396"/>
    </row>
    <row r="397" spans="1:50" x14ac:dyDescent="0.2">
      <c r="A397" s="76">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42.496720000000003</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21.804580000000001</v>
      </c>
      <c r="AN397">
        <v>18.330400000000001</v>
      </c>
      <c r="AO397"/>
      <c r="AP397">
        <v>10.269170000000001</v>
      </c>
      <c r="AQ397"/>
      <c r="AR397"/>
      <c r="AS397"/>
      <c r="AT397"/>
      <c r="AU397">
        <v>38.119169999999997</v>
      </c>
      <c r="AV397"/>
      <c r="AW397">
        <v>38.390650000000001</v>
      </c>
      <c r="AX397"/>
    </row>
    <row r="398" spans="1:50" x14ac:dyDescent="0.2">
      <c r="A398" s="76">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42.665170000000003</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21.983599999999999</v>
      </c>
      <c r="AN398">
        <v>18.542000000000002</v>
      </c>
      <c r="AO398"/>
      <c r="AP398">
        <v>10.482799999999999</v>
      </c>
      <c r="AQ398"/>
      <c r="AR398"/>
      <c r="AS398"/>
      <c r="AT398"/>
      <c r="AU398">
        <v>38.873100000000001</v>
      </c>
      <c r="AV398"/>
      <c r="AW398">
        <v>38.473210000000002</v>
      </c>
      <c r="AX398"/>
    </row>
    <row r="399" spans="1:50" x14ac:dyDescent="0.2">
      <c r="A399" s="76">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42.852890000000002</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22.12829</v>
      </c>
      <c r="AN399">
        <v>18.670120000000001</v>
      </c>
      <c r="AO399"/>
      <c r="AP399">
        <v>10.687379999999999</v>
      </c>
      <c r="AQ399"/>
      <c r="AR399"/>
      <c r="AS399"/>
      <c r="AT399"/>
      <c r="AU399">
        <v>39.36683</v>
      </c>
      <c r="AV399"/>
      <c r="AW399">
        <v>38.597050000000003</v>
      </c>
      <c r="AX399"/>
    </row>
    <row r="400" spans="1:50" x14ac:dyDescent="0.2">
      <c r="A400" s="76">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43.0261</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22.284330000000001</v>
      </c>
      <c r="AN400">
        <v>18.823619999999998</v>
      </c>
      <c r="AO400"/>
      <c r="AP400">
        <v>10.828279999999999</v>
      </c>
      <c r="AQ400"/>
      <c r="AR400"/>
      <c r="AS400"/>
      <c r="AT400"/>
      <c r="AU400">
        <v>39.383209999999998</v>
      </c>
      <c r="AV400"/>
      <c r="AW400">
        <v>38.679609999999997</v>
      </c>
      <c r="AX400"/>
    </row>
    <row r="401" spans="1:50" x14ac:dyDescent="0.2">
      <c r="A401" s="76">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43.403239999999997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22.550920000000001</v>
      </c>
      <c r="AN401">
        <v>19.01333</v>
      </c>
      <c r="AO401"/>
      <c r="AP401">
        <v>11.043530000000001</v>
      </c>
      <c r="AQ401"/>
      <c r="AR401"/>
      <c r="AS401"/>
      <c r="AT401"/>
      <c r="AU401">
        <v>39.669960000000003</v>
      </c>
      <c r="AV401"/>
      <c r="AW401">
        <v>39.00985</v>
      </c>
      <c r="AX401"/>
    </row>
    <row r="402" spans="1:50" x14ac:dyDescent="0.2">
      <c r="A402" s="76">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43.786110000000001</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22.806100000000001</v>
      </c>
      <c r="AN402">
        <v>19.160350000000001</v>
      </c>
      <c r="AO402"/>
      <c r="AP402">
        <v>11.113530000000001</v>
      </c>
      <c r="AQ402"/>
      <c r="AR402"/>
      <c r="AS402"/>
      <c r="AT402"/>
      <c r="AU402">
        <v>39.903910000000003</v>
      </c>
      <c r="AV402"/>
      <c r="AW402">
        <v>39.381369999999997</v>
      </c>
      <c r="AX402"/>
    </row>
    <row r="403" spans="1:50" x14ac:dyDescent="0.2">
      <c r="A403" s="76">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44.113460000000003</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23.056719999999999</v>
      </c>
      <c r="AN403">
        <v>19.335439999999998</v>
      </c>
      <c r="AO403"/>
      <c r="AP403">
        <v>11.255940000000001</v>
      </c>
      <c r="AQ403"/>
      <c r="AR403"/>
      <c r="AS403"/>
      <c r="AT403"/>
      <c r="AU403">
        <v>39.973799999999997</v>
      </c>
      <c r="AV403"/>
      <c r="AW403">
        <v>39.752899999999997</v>
      </c>
      <c r="AX403"/>
    </row>
    <row r="404" spans="1:50" x14ac:dyDescent="0.2">
      <c r="A404" s="76">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44.261499999999998</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23.216619999999999</v>
      </c>
      <c r="AN404">
        <v>19.421749999999999</v>
      </c>
      <c r="AO404"/>
      <c r="AP404">
        <v>11.32424</v>
      </c>
      <c r="AQ404"/>
      <c r="AR404"/>
      <c r="AS404"/>
      <c r="AT404"/>
      <c r="AU404">
        <v>40.130380000000002</v>
      </c>
      <c r="AV404"/>
      <c r="AW404">
        <v>39.918019999999999</v>
      </c>
      <c r="AX404"/>
    </row>
    <row r="405" spans="1:50" x14ac:dyDescent="0.2">
      <c r="A405" s="76">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44.42324</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23.43967</v>
      </c>
      <c r="AN405">
        <v>19.51662</v>
      </c>
      <c r="AO405"/>
      <c r="AP405">
        <v>11.450150000000001</v>
      </c>
      <c r="AQ405"/>
      <c r="AR405"/>
      <c r="AS405"/>
      <c r="AT405"/>
      <c r="AU405">
        <v>40.220359999999999</v>
      </c>
      <c r="AV405"/>
      <c r="AW405">
        <v>40.08314</v>
      </c>
      <c r="AX405"/>
    </row>
    <row r="406" spans="1:50" x14ac:dyDescent="0.2">
      <c r="A406" s="76">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44.638280000000002</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23.66367</v>
      </c>
      <c r="AN406">
        <v>19.676780000000001</v>
      </c>
      <c r="AO406"/>
      <c r="AP406">
        <v>11.57222</v>
      </c>
      <c r="AQ406"/>
      <c r="AR406"/>
      <c r="AS406"/>
      <c r="AT406"/>
      <c r="AU406">
        <v>40.482019999999999</v>
      </c>
      <c r="AV406"/>
      <c r="AW406">
        <v>40.165700000000001</v>
      </c>
      <c r="AX406"/>
    </row>
    <row r="407" spans="1:50" x14ac:dyDescent="0.2">
      <c r="A407" s="76">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44.891550000000002</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23.902519999999999</v>
      </c>
      <c r="AN407">
        <v>19.852119999999999</v>
      </c>
      <c r="AO407"/>
      <c r="AP407">
        <v>11.73133</v>
      </c>
      <c r="AQ407"/>
      <c r="AR407"/>
      <c r="AS407"/>
      <c r="AT407"/>
      <c r="AU407">
        <v>40.919170000000001</v>
      </c>
      <c r="AV407"/>
      <c r="AW407">
        <v>40.330820000000003</v>
      </c>
      <c r="AX407"/>
    </row>
    <row r="408" spans="1:50" x14ac:dyDescent="0.2">
      <c r="A408" s="76">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44.980319999999999</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24.073270000000001</v>
      </c>
      <c r="AN408">
        <v>20.01296</v>
      </c>
      <c r="AO408"/>
      <c r="AP408">
        <v>11.83155</v>
      </c>
      <c r="AQ408"/>
      <c r="AR408"/>
      <c r="AS408"/>
      <c r="AT408"/>
      <c r="AU408">
        <v>41.267139999999998</v>
      </c>
      <c r="AV408"/>
      <c r="AW408">
        <v>40.289540000000002</v>
      </c>
      <c r="AX408"/>
    </row>
    <row r="409" spans="1:50" x14ac:dyDescent="0.2">
      <c r="A409" s="76">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44.973019999999998</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24.279050000000002</v>
      </c>
      <c r="AN409">
        <v>20.142800000000001</v>
      </c>
      <c r="AO409"/>
      <c r="AP409">
        <v>11.99817</v>
      </c>
      <c r="AQ409"/>
      <c r="AR409"/>
      <c r="AS409"/>
      <c r="AT409"/>
      <c r="AU409">
        <v>41.472360000000002</v>
      </c>
      <c r="AV409"/>
      <c r="AW409">
        <v>40.124420000000001</v>
      </c>
      <c r="AX409"/>
    </row>
    <row r="410" spans="1:50" x14ac:dyDescent="0.2">
      <c r="A410" s="76">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45.130119999999998</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24.56523</v>
      </c>
      <c r="AN410">
        <v>20.34309</v>
      </c>
      <c r="AO410"/>
      <c r="AP410">
        <v>12.43412</v>
      </c>
      <c r="AQ410"/>
      <c r="AR410"/>
      <c r="AS410"/>
      <c r="AT410"/>
      <c r="AU410">
        <v>42.407739999999997</v>
      </c>
      <c r="AV410"/>
      <c r="AW410">
        <v>40.289540000000002</v>
      </c>
      <c r="AX410"/>
    </row>
    <row r="411" spans="1:50" x14ac:dyDescent="0.2">
      <c r="A411" s="76">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45.289490000000001</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24.745979999999999</v>
      </c>
      <c r="AN411">
        <v>20.50375</v>
      </c>
      <c r="AO411"/>
      <c r="AP411">
        <v>12.67178</v>
      </c>
      <c r="AQ411"/>
      <c r="AR411"/>
      <c r="AS411"/>
      <c r="AT411"/>
      <c r="AU411">
        <v>42.39828</v>
      </c>
      <c r="AV411"/>
      <c r="AW411">
        <v>40.413379999999997</v>
      </c>
      <c r="AX411"/>
    </row>
    <row r="412" spans="1:50" x14ac:dyDescent="0.2">
      <c r="A412" s="76">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45.463999999999999</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24.931699999999999</v>
      </c>
      <c r="AN412">
        <v>20.666969999999999</v>
      </c>
      <c r="AO412"/>
      <c r="AP412">
        <v>12.879899999999999</v>
      </c>
      <c r="AQ412"/>
      <c r="AR412"/>
      <c r="AS412"/>
      <c r="AT412"/>
      <c r="AU412">
        <v>42.627090000000003</v>
      </c>
      <c r="AV412"/>
      <c r="AW412">
        <v>40.495939999999997</v>
      </c>
      <c r="AX412"/>
    </row>
    <row r="413" spans="1:50" x14ac:dyDescent="0.2">
      <c r="A413" s="76">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45.774099999999997</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25.188960000000002</v>
      </c>
      <c r="AN413">
        <v>20.862670000000001</v>
      </c>
      <c r="AO413"/>
      <c r="AP413">
        <v>13.110849999999999</v>
      </c>
      <c r="AQ413"/>
      <c r="AR413"/>
      <c r="AS413"/>
      <c r="AT413"/>
      <c r="AU413">
        <v>43.01164</v>
      </c>
      <c r="AV413"/>
      <c r="AW413">
        <v>40.70234</v>
      </c>
      <c r="AX413"/>
    </row>
    <row r="414" spans="1:50" x14ac:dyDescent="0.2">
      <c r="A414" s="76">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45.97231</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25.362120000000001</v>
      </c>
      <c r="AN414">
        <v>20.979299999999999</v>
      </c>
      <c r="AO414"/>
      <c r="AP414">
        <v>13.17557</v>
      </c>
      <c r="AQ414"/>
      <c r="AR414"/>
      <c r="AS414"/>
      <c r="AT414"/>
      <c r="AU414">
        <v>43.21763</v>
      </c>
      <c r="AV414"/>
      <c r="AW414">
        <v>40.7849</v>
      </c>
      <c r="AX414"/>
    </row>
    <row r="415" spans="1:50" x14ac:dyDescent="0.2">
      <c r="A415" s="76">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46.107880000000002</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25.517620000000001</v>
      </c>
      <c r="AN415">
        <v>21.106110000000001</v>
      </c>
      <c r="AO415"/>
      <c r="AP415">
        <v>13.38264</v>
      </c>
      <c r="AQ415"/>
      <c r="AR415"/>
      <c r="AS415"/>
      <c r="AT415"/>
      <c r="AU415">
        <v>43.426470000000002</v>
      </c>
      <c r="AV415"/>
      <c r="AW415">
        <v>40.908740000000002</v>
      </c>
      <c r="AX415"/>
    </row>
    <row r="416" spans="1:50" x14ac:dyDescent="0.2">
      <c r="A416" s="76">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46.323180000000001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25.711639999999999</v>
      </c>
      <c r="AN416">
        <v>21.23987</v>
      </c>
      <c r="AO416"/>
      <c r="AP416">
        <v>13.61411</v>
      </c>
      <c r="AQ416"/>
      <c r="AR416"/>
      <c r="AS416"/>
      <c r="AT416"/>
      <c r="AU416">
        <v>43.640329999999999</v>
      </c>
      <c r="AV416"/>
      <c r="AW416">
        <v>41.11515</v>
      </c>
      <c r="AX416"/>
    </row>
    <row r="417" spans="1:50" x14ac:dyDescent="0.2">
      <c r="A417" s="76">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46.451439999999998</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25.866499999999998</v>
      </c>
      <c r="AN417">
        <v>21.357759999999999</v>
      </c>
      <c r="AO417"/>
      <c r="AP417">
        <v>13.91741</v>
      </c>
      <c r="AQ417"/>
      <c r="AR417"/>
      <c r="AS417"/>
      <c r="AT417"/>
      <c r="AU417">
        <v>43.78857</v>
      </c>
      <c r="AV417"/>
      <c r="AW417">
        <v>41.280270000000002</v>
      </c>
      <c r="AX417"/>
    </row>
    <row r="418" spans="1:50" x14ac:dyDescent="0.2">
      <c r="A418" s="76">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46.801470000000002</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26.118089999999999</v>
      </c>
      <c r="AN418">
        <v>21.529869999999999</v>
      </c>
      <c r="AO418"/>
      <c r="AP418">
        <v>14.24301</v>
      </c>
      <c r="AQ418"/>
      <c r="AR418"/>
      <c r="AS418"/>
      <c r="AT418"/>
      <c r="AU418">
        <v>44.151859999999999</v>
      </c>
      <c r="AV418"/>
      <c r="AW418">
        <v>41.569229999999997</v>
      </c>
      <c r="AX418"/>
    </row>
    <row r="419" spans="1:50" x14ac:dyDescent="0.2">
      <c r="A419" s="76">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47.100700000000003</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26.38683</v>
      </c>
      <c r="AN419">
        <v>21.75536</v>
      </c>
      <c r="AO419"/>
      <c r="AP419">
        <v>14.50295</v>
      </c>
      <c r="AQ419"/>
      <c r="AR419"/>
      <c r="AS419"/>
      <c r="AT419"/>
      <c r="AU419">
        <v>44.527340000000002</v>
      </c>
      <c r="AV419"/>
      <c r="AW419">
        <v>41.81691</v>
      </c>
      <c r="AX419"/>
    </row>
    <row r="420" spans="1:50" x14ac:dyDescent="0.2">
      <c r="A420" s="76">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47.305019999999999</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26.628920000000001</v>
      </c>
      <c r="AN420">
        <v>21.940010000000001</v>
      </c>
      <c r="AO420"/>
      <c r="AP420">
        <v>14.750920000000001</v>
      </c>
      <c r="AQ420"/>
      <c r="AR420"/>
      <c r="AS420"/>
      <c r="AT420"/>
      <c r="AU420">
        <v>44.837359999999997</v>
      </c>
      <c r="AV420"/>
      <c r="AW420">
        <v>42.023310000000002</v>
      </c>
      <c r="AX420"/>
    </row>
    <row r="421" spans="1:50" x14ac:dyDescent="0.2">
      <c r="A421" s="76">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47.358789999999999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26.77779</v>
      </c>
      <c r="AN421">
        <v>22.07094</v>
      </c>
      <c r="AO421"/>
      <c r="AP421">
        <v>15.112679999999999</v>
      </c>
      <c r="AQ421"/>
      <c r="AR421"/>
      <c r="AS421"/>
      <c r="AT421"/>
      <c r="AU421">
        <v>45.202959999999997</v>
      </c>
      <c r="AV421"/>
      <c r="AW421">
        <v>42.064590000000003</v>
      </c>
      <c r="AX421"/>
    </row>
    <row r="422" spans="1:50" x14ac:dyDescent="0.2">
      <c r="A422" s="76">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47.517180000000003</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26.95815</v>
      </c>
      <c r="AN422">
        <v>22.235890000000001</v>
      </c>
      <c r="AO422"/>
      <c r="AP422">
        <v>15.51385</v>
      </c>
      <c r="AQ422"/>
      <c r="AR422"/>
      <c r="AS422"/>
      <c r="AT422"/>
      <c r="AU422">
        <v>45.643360000000001</v>
      </c>
      <c r="AV422"/>
      <c r="AW422">
        <v>42.229709999999997</v>
      </c>
      <c r="AX422"/>
    </row>
    <row r="423" spans="1:50" x14ac:dyDescent="0.2">
      <c r="A423" s="76">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47.683619999999998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27.118939999999998</v>
      </c>
      <c r="AN423">
        <v>22.364899999999999</v>
      </c>
      <c r="AO423"/>
      <c r="AP423">
        <v>15.82142</v>
      </c>
      <c r="AQ423"/>
      <c r="AR423"/>
      <c r="AS423"/>
      <c r="AT423"/>
      <c r="AU423">
        <v>45.882829999999998</v>
      </c>
      <c r="AV423"/>
      <c r="AW423">
        <v>42.353549999999998</v>
      </c>
      <c r="AX423"/>
    </row>
    <row r="424" spans="1:50" x14ac:dyDescent="0.2">
      <c r="A424" s="76">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47.852539999999998</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27.289339999999999</v>
      </c>
      <c r="AN424">
        <v>22.506219999999999</v>
      </c>
      <c r="AO424"/>
      <c r="AP424">
        <v>16.170829999999999</v>
      </c>
      <c r="AQ424"/>
      <c r="AR424"/>
      <c r="AS424"/>
      <c r="AT424"/>
      <c r="AU424">
        <v>46.129379999999998</v>
      </c>
      <c r="AV424"/>
      <c r="AW424">
        <v>42.51867</v>
      </c>
      <c r="AX424"/>
    </row>
    <row r="425" spans="1:50" x14ac:dyDescent="0.2">
      <c r="A425" s="76">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48.123249999999999</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27.503409999999999</v>
      </c>
      <c r="AN425">
        <v>22.690529999999999</v>
      </c>
      <c r="AO425"/>
      <c r="AP425">
        <v>16.56897</v>
      </c>
      <c r="AQ425"/>
      <c r="AR425"/>
      <c r="AS425"/>
      <c r="AT425"/>
      <c r="AU425">
        <v>46.501429999999999</v>
      </c>
      <c r="AV425"/>
      <c r="AW425">
        <v>42.725070000000002</v>
      </c>
      <c r="AX425"/>
    </row>
    <row r="426" spans="1:50" x14ac:dyDescent="0.2">
      <c r="A426" s="76">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48.37818</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27.686589999999999</v>
      </c>
      <c r="AN426">
        <v>22.812449999999998</v>
      </c>
      <c r="AO426"/>
      <c r="AP426">
        <v>16.642389999999999</v>
      </c>
      <c r="AQ426"/>
      <c r="AR426"/>
      <c r="AS426"/>
      <c r="AT426"/>
      <c r="AU426">
        <v>46.647190000000002</v>
      </c>
      <c r="AV426"/>
      <c r="AW426">
        <v>42.8902</v>
      </c>
      <c r="AX426"/>
    </row>
    <row r="427" spans="1:50" x14ac:dyDescent="0.2">
      <c r="A427" s="76">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48.497909999999997</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27.863119999999999</v>
      </c>
      <c r="AN427">
        <v>23.018999999999998</v>
      </c>
      <c r="AO427"/>
      <c r="AP427">
        <v>17.08203</v>
      </c>
      <c r="AQ427"/>
      <c r="AR427"/>
      <c r="AS427"/>
      <c r="AT427"/>
      <c r="AU427">
        <v>46.645859999999999</v>
      </c>
      <c r="AV427"/>
      <c r="AW427">
        <v>43.014040000000001</v>
      </c>
      <c r="AX427"/>
    </row>
    <row r="428" spans="1:50" x14ac:dyDescent="0.2">
      <c r="A428" s="76">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48.617609999999999</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27.985299999999999</v>
      </c>
      <c r="AN428">
        <v>23.070160000000001</v>
      </c>
      <c r="AO428"/>
      <c r="AP428">
        <v>17.37735</v>
      </c>
      <c r="AQ428"/>
      <c r="AR428"/>
      <c r="AS428"/>
      <c r="AT428"/>
      <c r="AU428">
        <v>46.918799999999997</v>
      </c>
      <c r="AV428"/>
      <c r="AW428">
        <v>43.179160000000003</v>
      </c>
      <c r="AX428"/>
    </row>
    <row r="429" spans="1:50" x14ac:dyDescent="0.2">
      <c r="A429" s="76">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48.755360000000003</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28.118960000000001</v>
      </c>
      <c r="AN429">
        <v>23.193149999999999</v>
      </c>
      <c r="AO429"/>
      <c r="AP429">
        <v>17.606300000000001</v>
      </c>
      <c r="AQ429"/>
      <c r="AR429"/>
      <c r="AS429"/>
      <c r="AT429"/>
      <c r="AU429">
        <v>47.064500000000002</v>
      </c>
      <c r="AV429"/>
      <c r="AW429">
        <v>43.385559999999998</v>
      </c>
      <c r="AX429"/>
    </row>
    <row r="430" spans="1:50" x14ac:dyDescent="0.2">
      <c r="A430" s="76">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49.089820000000003</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28.380579999999998</v>
      </c>
      <c r="AN430">
        <v>23.374199999999998</v>
      </c>
      <c r="AO430"/>
      <c r="AP430">
        <v>17.774619999999999</v>
      </c>
      <c r="AQ430"/>
      <c r="AR430"/>
      <c r="AS430"/>
      <c r="AT430"/>
      <c r="AU430">
        <v>47.39284</v>
      </c>
      <c r="AV430"/>
      <c r="AW430">
        <v>43.674520000000001</v>
      </c>
      <c r="AX430"/>
    </row>
    <row r="431" spans="1:50" x14ac:dyDescent="0.2">
      <c r="A431" s="76">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49.363430000000001</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28.633939999999999</v>
      </c>
      <c r="AN431">
        <v>23.601510000000001</v>
      </c>
      <c r="AO431"/>
      <c r="AP431">
        <v>18.035979999999999</v>
      </c>
      <c r="AQ431"/>
      <c r="AR431"/>
      <c r="AS431"/>
      <c r="AT431"/>
      <c r="AU431">
        <v>47.852960000000003</v>
      </c>
      <c r="AV431"/>
      <c r="AW431">
        <v>43.880920000000003</v>
      </c>
      <c r="AX431"/>
    </row>
    <row r="432" spans="1:50" x14ac:dyDescent="0.2">
      <c r="A432" s="76">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49.488100000000003</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28.792629999999999</v>
      </c>
      <c r="AN432">
        <v>23.761189999999999</v>
      </c>
      <c r="AO432"/>
      <c r="AP432">
        <v>18.351780000000002</v>
      </c>
      <c r="AQ432"/>
      <c r="AR432"/>
      <c r="AS432"/>
      <c r="AT432"/>
      <c r="AU432">
        <v>48.165129999999998</v>
      </c>
      <c r="AV432"/>
      <c r="AW432">
        <v>43.963479999999997</v>
      </c>
      <c r="AX432"/>
    </row>
    <row r="433" spans="1:50" x14ac:dyDescent="0.2">
      <c r="A433" s="76">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49.580060000000003</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28.94164</v>
      </c>
      <c r="AN433">
        <v>23.89152</v>
      </c>
      <c r="AO433"/>
      <c r="AP433">
        <v>18.563220000000001</v>
      </c>
      <c r="AQ433"/>
      <c r="AR433"/>
      <c r="AS433"/>
      <c r="AT433"/>
      <c r="AU433">
        <v>48.707590000000003</v>
      </c>
      <c r="AV433"/>
      <c r="AW433">
        <v>44.046039999999998</v>
      </c>
      <c r="AX433"/>
    </row>
    <row r="434" spans="1:50" x14ac:dyDescent="0.2">
      <c r="A434" s="76">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49.70608</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29.15944</v>
      </c>
      <c r="AN434">
        <v>24.118230000000001</v>
      </c>
      <c r="AO434"/>
      <c r="AP434">
        <v>19.227820000000001</v>
      </c>
      <c r="AQ434"/>
      <c r="AR434"/>
      <c r="AS434"/>
      <c r="AT434"/>
      <c r="AU434">
        <v>48.95064</v>
      </c>
      <c r="AV434"/>
      <c r="AW434">
        <v>44.128599999999999</v>
      </c>
      <c r="AX434"/>
    </row>
    <row r="435" spans="1:50" x14ac:dyDescent="0.2">
      <c r="A435" s="76">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49.925910000000002</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29.34864</v>
      </c>
      <c r="AN435">
        <v>24.28969</v>
      </c>
      <c r="AO435"/>
      <c r="AP435">
        <v>19.723960000000002</v>
      </c>
      <c r="AQ435"/>
      <c r="AR435"/>
      <c r="AS435"/>
      <c r="AT435"/>
      <c r="AU435">
        <v>49.205440000000003</v>
      </c>
      <c r="AV435"/>
      <c r="AW435">
        <v>44.335009999999997</v>
      </c>
      <c r="AX435"/>
    </row>
    <row r="436" spans="1:50" x14ac:dyDescent="0.2">
      <c r="A436" s="76">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50.156230000000001</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29.567679999999999</v>
      </c>
      <c r="AN436">
        <v>24.486709999999999</v>
      </c>
      <c r="AO436"/>
      <c r="AP436">
        <v>20.058450000000001</v>
      </c>
      <c r="AQ436"/>
      <c r="AR436"/>
      <c r="AS436"/>
      <c r="AT436"/>
      <c r="AU436">
        <v>49.498170000000002</v>
      </c>
      <c r="AV436"/>
      <c r="AW436">
        <v>44.541409999999999</v>
      </c>
      <c r="AX436"/>
    </row>
    <row r="437" spans="1:50" x14ac:dyDescent="0.2">
      <c r="A437" s="76">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50.436590000000002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29.779450000000001</v>
      </c>
      <c r="AN437">
        <v>24.67183</v>
      </c>
      <c r="AO437"/>
      <c r="AP437">
        <v>20.291550000000001</v>
      </c>
      <c r="AQ437"/>
      <c r="AR437"/>
      <c r="AS437"/>
      <c r="AT437"/>
      <c r="AU437">
        <v>49.733089999999997</v>
      </c>
      <c r="AV437"/>
      <c r="AW437">
        <v>44.66525</v>
      </c>
      <c r="AX437"/>
    </row>
    <row r="438" spans="1:50" x14ac:dyDescent="0.2">
      <c r="A438" s="76">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50.632399999999997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29.94877</v>
      </c>
      <c r="AN438">
        <v>24.812370000000001</v>
      </c>
      <c r="AO438"/>
      <c r="AP438">
        <v>20.514790000000001</v>
      </c>
      <c r="AQ438"/>
      <c r="AR438"/>
      <c r="AS438"/>
      <c r="AT438"/>
      <c r="AU438">
        <v>50.348550000000003</v>
      </c>
      <c r="AV438"/>
      <c r="AW438">
        <v>44.830370000000002</v>
      </c>
      <c r="AX438"/>
    </row>
    <row r="439" spans="1:50" x14ac:dyDescent="0.2">
      <c r="A439" s="76">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50.745159999999998</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30.085319999999999</v>
      </c>
      <c r="AN439">
        <v>24.946870000000001</v>
      </c>
      <c r="AO439"/>
      <c r="AP439">
        <v>20.65043</v>
      </c>
      <c r="AQ439"/>
      <c r="AR439"/>
      <c r="AS439"/>
      <c r="AT439"/>
      <c r="AU439">
        <v>50.208919999999999</v>
      </c>
      <c r="AV439"/>
      <c r="AW439">
        <v>44.912930000000003</v>
      </c>
      <c r="AX439"/>
    </row>
    <row r="440" spans="1:50" x14ac:dyDescent="0.2">
      <c r="A440" s="76">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50.8461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30.225490000000001</v>
      </c>
      <c r="AN440">
        <v>25.018509999999999</v>
      </c>
      <c r="AO440"/>
      <c r="AP440">
        <v>20.79561</v>
      </c>
      <c r="AQ440"/>
      <c r="AR440"/>
      <c r="AS440"/>
      <c r="AT440"/>
      <c r="AU440">
        <v>50.023029999999999</v>
      </c>
      <c r="AV440"/>
      <c r="AW440">
        <v>44.995489999999997</v>
      </c>
      <c r="AX440"/>
    </row>
    <row r="441" spans="1:50" x14ac:dyDescent="0.2">
      <c r="A441" s="76">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50.943330000000003</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30.363209999999999</v>
      </c>
      <c r="AN441">
        <v>25.074110000000001</v>
      </c>
      <c r="AO441"/>
      <c r="AP441">
        <v>20.900259999999999</v>
      </c>
      <c r="AQ441"/>
      <c r="AR441"/>
      <c r="AS441"/>
      <c r="AT441"/>
      <c r="AU441">
        <v>50.126159999999999</v>
      </c>
      <c r="AV441"/>
      <c r="AW441">
        <v>45.160609999999998</v>
      </c>
      <c r="AX441"/>
    </row>
    <row r="442" spans="1:50" x14ac:dyDescent="0.2">
      <c r="A442" s="76">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51.14667</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30.589849999999998</v>
      </c>
      <c r="AN442">
        <v>25.216059999999999</v>
      </c>
      <c r="AO442"/>
      <c r="AP442">
        <v>21.022629999999999</v>
      </c>
      <c r="AQ442"/>
      <c r="AR442"/>
      <c r="AS442"/>
      <c r="AT442"/>
      <c r="AU442">
        <v>50.411940000000001</v>
      </c>
      <c r="AV442"/>
      <c r="AW442">
        <v>45.408290000000001</v>
      </c>
      <c r="AX442"/>
    </row>
    <row r="443" spans="1:50" x14ac:dyDescent="0.2">
      <c r="A443" s="76">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51.441040000000001</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30.90297</v>
      </c>
      <c r="AN443">
        <v>25.482019999999999</v>
      </c>
      <c r="AO443"/>
      <c r="AP443">
        <v>21.389320000000001</v>
      </c>
      <c r="AQ443"/>
      <c r="AR443"/>
      <c r="AS443"/>
      <c r="AT443"/>
      <c r="AU443">
        <v>50.926830000000002</v>
      </c>
      <c r="AV443"/>
      <c r="AW443">
        <v>45.697249999999997</v>
      </c>
      <c r="AX443"/>
    </row>
    <row r="444" spans="1:50" x14ac:dyDescent="0.2">
      <c r="A444" s="76">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51.615630000000003</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31.155059999999999</v>
      </c>
      <c r="AN444">
        <v>25.709510000000002</v>
      </c>
      <c r="AO444"/>
      <c r="AP444">
        <v>21.7074</v>
      </c>
      <c r="AQ444"/>
      <c r="AR444"/>
      <c r="AS444"/>
      <c r="AT444"/>
      <c r="AU444">
        <v>51.221649999999997</v>
      </c>
      <c r="AV444"/>
      <c r="AW444">
        <v>45.903660000000002</v>
      </c>
      <c r="AX444"/>
    </row>
    <row r="445" spans="1:50" x14ac:dyDescent="0.2">
      <c r="A445" s="76">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51.686770000000003</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31.347750000000001</v>
      </c>
      <c r="AN445">
        <v>25.844139999999999</v>
      </c>
      <c r="AO445"/>
      <c r="AP445">
        <v>22.089739999999999</v>
      </c>
      <c r="AQ445"/>
      <c r="AR445"/>
      <c r="AS445"/>
      <c r="AT445"/>
      <c r="AU445">
        <v>51.416150000000002</v>
      </c>
      <c r="AV445"/>
      <c r="AW445">
        <v>45.944929999999999</v>
      </c>
      <c r="AX445"/>
    </row>
    <row r="446" spans="1:50" x14ac:dyDescent="0.2">
      <c r="A446" s="76">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51.812190000000001</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31.597020000000001</v>
      </c>
      <c r="AN446">
        <v>26.048469999999998</v>
      </c>
      <c r="AO446"/>
      <c r="AP446">
        <v>22.88617</v>
      </c>
      <c r="AQ446"/>
      <c r="AR446"/>
      <c r="AS446"/>
      <c r="AT446"/>
      <c r="AU446">
        <v>51.916409999999999</v>
      </c>
      <c r="AV446"/>
      <c r="AW446">
        <v>46.068779999999997</v>
      </c>
      <c r="AX446"/>
    </row>
    <row r="447" spans="1:50" x14ac:dyDescent="0.2">
      <c r="A447" s="76">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51.946629999999999</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31.76136</v>
      </c>
      <c r="AN447">
        <v>26.15117</v>
      </c>
      <c r="AO447"/>
      <c r="AP447">
        <v>23.194769999999998</v>
      </c>
      <c r="AQ447"/>
      <c r="AR447"/>
      <c r="AS447"/>
      <c r="AT447"/>
      <c r="AU447">
        <v>51.914999999999999</v>
      </c>
      <c r="AV447"/>
      <c r="AW447">
        <v>46.192619999999998</v>
      </c>
      <c r="AX447"/>
    </row>
    <row r="448" spans="1:50" x14ac:dyDescent="0.2">
      <c r="A448" s="76">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52.094059999999999</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31.948509999999999</v>
      </c>
      <c r="AN448">
        <v>26.271139999999999</v>
      </c>
      <c r="AO448"/>
      <c r="AP448">
        <v>23.455580000000001</v>
      </c>
      <c r="AQ448"/>
      <c r="AR448"/>
      <c r="AS448"/>
      <c r="AT448"/>
      <c r="AU448">
        <v>51.96414</v>
      </c>
      <c r="AV448"/>
      <c r="AW448">
        <v>46.35774</v>
      </c>
      <c r="AX448"/>
    </row>
    <row r="449" spans="1:50" x14ac:dyDescent="0.2">
      <c r="A449" s="76">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52.334119999999999</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32.17953</v>
      </c>
      <c r="AN449">
        <v>26.411899999999999</v>
      </c>
      <c r="AO449"/>
      <c r="AP449">
        <v>23.681889999999999</v>
      </c>
      <c r="AQ449"/>
      <c r="AR449"/>
      <c r="AS449"/>
      <c r="AT449"/>
      <c r="AU449">
        <v>52.331699999999998</v>
      </c>
      <c r="AV449"/>
      <c r="AW449">
        <v>46.522860000000001</v>
      </c>
      <c r="AX449"/>
    </row>
    <row r="450" spans="1:50" x14ac:dyDescent="0.2">
      <c r="A450" s="76">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52.477760000000004</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32.342840000000002</v>
      </c>
      <c r="AN450">
        <v>26.490010000000002</v>
      </c>
      <c r="AO450"/>
      <c r="AP450">
        <v>23.742529999999999</v>
      </c>
      <c r="AQ450"/>
      <c r="AR450"/>
      <c r="AS450"/>
      <c r="AT450"/>
      <c r="AU450">
        <v>52.317770000000003</v>
      </c>
      <c r="AV450"/>
      <c r="AW450">
        <v>46.605420000000002</v>
      </c>
      <c r="AX450"/>
    </row>
    <row r="451" spans="1:50" x14ac:dyDescent="0.2">
      <c r="A451" s="76">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52.551139999999997</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32.532629999999997</v>
      </c>
      <c r="AN451">
        <v>26.607309999999998</v>
      </c>
      <c r="AO451"/>
      <c r="AP451">
        <v>23.875319999999999</v>
      </c>
      <c r="AQ451"/>
      <c r="AR451"/>
      <c r="AS451"/>
      <c r="AT451"/>
      <c r="AU451">
        <v>52.312370000000001</v>
      </c>
      <c r="AV451"/>
      <c r="AW451">
        <v>46.687980000000003</v>
      </c>
      <c r="AX451"/>
    </row>
    <row r="452" spans="1:50" x14ac:dyDescent="0.2">
      <c r="A452" s="76">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52.668660000000003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32.729689999999998</v>
      </c>
      <c r="AN452">
        <v>26.656780000000001</v>
      </c>
      <c r="AO452"/>
      <c r="AP452">
        <v>23.899190000000001</v>
      </c>
      <c r="AQ452"/>
      <c r="AR452"/>
      <c r="AS452"/>
      <c r="AT452"/>
      <c r="AU452">
        <v>52.519100000000002</v>
      </c>
      <c r="AV452"/>
      <c r="AW452">
        <v>46.853099999999998</v>
      </c>
      <c r="AX452"/>
    </row>
    <row r="453" spans="1:50" x14ac:dyDescent="0.2">
      <c r="A453" s="76">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52.740630000000003</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32.944499999999998</v>
      </c>
      <c r="AN453">
        <v>26.707070000000002</v>
      </c>
      <c r="AO453"/>
      <c r="AP453">
        <v>24.059889999999999</v>
      </c>
      <c r="AQ453"/>
      <c r="AR453"/>
      <c r="AS453"/>
      <c r="AT453"/>
      <c r="AU453">
        <v>52.601840000000003</v>
      </c>
      <c r="AV453"/>
      <c r="AW453">
        <v>46.976939999999999</v>
      </c>
      <c r="AX453"/>
    </row>
    <row r="454" spans="1:50" x14ac:dyDescent="0.2">
      <c r="A454" s="76">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52.986980000000003</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33.236519999999999</v>
      </c>
      <c r="AN454">
        <v>26.848189999999999</v>
      </c>
      <c r="AO454"/>
      <c r="AP454">
        <v>24.237960000000001</v>
      </c>
      <c r="AQ454"/>
      <c r="AR454"/>
      <c r="AS454"/>
      <c r="AT454"/>
      <c r="AU454">
        <v>53.020740000000004</v>
      </c>
      <c r="AV454"/>
      <c r="AW454">
        <v>47.265900000000002</v>
      </c>
      <c r="AX454"/>
    </row>
    <row r="455" spans="1:50" x14ac:dyDescent="0.2">
      <c r="A455" s="76">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53.209739999999996</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33.583979999999997</v>
      </c>
      <c r="AN455">
        <v>27.071960000000001</v>
      </c>
      <c r="AO455"/>
      <c r="AP455">
        <v>24.569990000000001</v>
      </c>
      <c r="AQ455"/>
      <c r="AR455"/>
      <c r="AS455"/>
      <c r="AT455"/>
      <c r="AU455">
        <v>53.293019999999999</v>
      </c>
      <c r="AV455"/>
      <c r="AW455">
        <v>47.513590000000001</v>
      </c>
      <c r="AX455"/>
    </row>
    <row r="456" spans="1:50" x14ac:dyDescent="0.2">
      <c r="A456" s="76">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53.35351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33.853259999999999</v>
      </c>
      <c r="AN456">
        <v>27.221029999999999</v>
      </c>
      <c r="AO456"/>
      <c r="AP456">
        <v>24.80875</v>
      </c>
      <c r="AQ456"/>
      <c r="AR456"/>
      <c r="AS456"/>
      <c r="AT456"/>
      <c r="AU456">
        <v>53.41189</v>
      </c>
      <c r="AV456"/>
      <c r="AW456">
        <v>47.637430000000002</v>
      </c>
      <c r="AX456"/>
    </row>
    <row r="457" spans="1:50" x14ac:dyDescent="0.2">
      <c r="A457" s="76">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53.416789999999999</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34.10727</v>
      </c>
      <c r="AN457">
        <v>27.327660000000002</v>
      </c>
      <c r="AO457"/>
      <c r="AP457">
        <v>25.104040000000001</v>
      </c>
      <c r="AQ457"/>
      <c r="AR457"/>
      <c r="AS457"/>
      <c r="AT457"/>
      <c r="AU457">
        <v>53.580350000000003</v>
      </c>
      <c r="AV457"/>
      <c r="AW457">
        <v>47.678710000000002</v>
      </c>
      <c r="AX457"/>
    </row>
    <row r="458" spans="1:50" x14ac:dyDescent="0.2">
      <c r="A458" s="76">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53.554169999999999</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34.351300000000002</v>
      </c>
      <c r="AN458">
        <v>27.48771</v>
      </c>
      <c r="AO458"/>
      <c r="AP458">
        <v>25.535499999999999</v>
      </c>
      <c r="AQ458"/>
      <c r="AR458"/>
      <c r="AS458"/>
      <c r="AT458"/>
      <c r="AU458">
        <v>54.055790000000002</v>
      </c>
      <c r="AV458"/>
      <c r="AW458">
        <v>47.802549999999997</v>
      </c>
      <c r="AX458"/>
    </row>
    <row r="459" spans="1:50" x14ac:dyDescent="0.2">
      <c r="A459" s="76">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53.688049999999997</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34.56268</v>
      </c>
      <c r="AN459">
        <v>27.626639999999998</v>
      </c>
      <c r="AO459"/>
      <c r="AP459">
        <v>25.768750000000001</v>
      </c>
      <c r="AQ459"/>
      <c r="AR459"/>
      <c r="AS459"/>
      <c r="AT459"/>
      <c r="AU459">
        <v>54.218020000000003</v>
      </c>
      <c r="AV459"/>
      <c r="AW459">
        <v>47.926389999999998</v>
      </c>
      <c r="AX459"/>
    </row>
    <row r="460" spans="1:50" x14ac:dyDescent="0.2">
      <c r="A460" s="76">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53.908029999999997</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34.823560000000001</v>
      </c>
      <c r="AN460">
        <v>27.74222</v>
      </c>
      <c r="AO460"/>
      <c r="AP460">
        <v>26.045739999999999</v>
      </c>
      <c r="AQ460"/>
      <c r="AR460"/>
      <c r="AS460"/>
      <c r="AT460"/>
      <c r="AU460">
        <v>54.365949999999998</v>
      </c>
      <c r="AV460"/>
      <c r="AW460">
        <v>48.215350000000001</v>
      </c>
      <c r="AX460"/>
    </row>
    <row r="461" spans="1:50" x14ac:dyDescent="0.2">
      <c r="A461" s="76">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54.227789999999999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35.178789999999999</v>
      </c>
      <c r="AN461">
        <v>27.933309999999999</v>
      </c>
      <c r="AO461"/>
      <c r="AP461">
        <v>26.224879999999999</v>
      </c>
      <c r="AQ461"/>
      <c r="AR461"/>
      <c r="AS461"/>
      <c r="AT461"/>
      <c r="AU461">
        <v>54.574939999999998</v>
      </c>
      <c r="AV461"/>
      <c r="AW461">
        <v>48.463030000000003</v>
      </c>
      <c r="AX461"/>
    </row>
    <row r="462" spans="1:50" x14ac:dyDescent="0.2">
      <c r="A462" s="76">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54.32217</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35.393839999999997</v>
      </c>
      <c r="AN462">
        <v>27.999649999999999</v>
      </c>
      <c r="AO462"/>
      <c r="AP462">
        <v>26.37116</v>
      </c>
      <c r="AQ462"/>
      <c r="AR462"/>
      <c r="AS462"/>
      <c r="AT462"/>
      <c r="AU462">
        <v>54.667810000000003</v>
      </c>
      <c r="AV462"/>
      <c r="AW462">
        <v>48.545589999999997</v>
      </c>
      <c r="AX462"/>
    </row>
    <row r="463" spans="1:50" x14ac:dyDescent="0.2">
      <c r="A463" s="76">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54.387419999999999</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35.617899999999999</v>
      </c>
      <c r="AN463">
        <v>28.117180000000001</v>
      </c>
      <c r="AO463"/>
      <c r="AP463">
        <v>26.414090000000002</v>
      </c>
      <c r="AQ463"/>
      <c r="AR463"/>
      <c r="AS463"/>
      <c r="AT463"/>
      <c r="AU463">
        <v>54.675989999999999</v>
      </c>
      <c r="AV463"/>
      <c r="AW463">
        <v>48.586869999999998</v>
      </c>
      <c r="AX463"/>
    </row>
    <row r="464" spans="1:50" x14ac:dyDescent="0.2">
      <c r="A464" s="76">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54.490319999999997</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35.88897</v>
      </c>
      <c r="AN464">
        <v>28.190999999999999</v>
      </c>
      <c r="AO464"/>
      <c r="AP464">
        <v>26.568480000000001</v>
      </c>
      <c r="AQ464"/>
      <c r="AR464"/>
      <c r="AS464"/>
      <c r="AT464"/>
      <c r="AU464">
        <v>54.875459999999997</v>
      </c>
      <c r="AV464"/>
      <c r="AW464">
        <v>48.710709999999999</v>
      </c>
      <c r="AX464"/>
    </row>
    <row r="465" spans="1:50" x14ac:dyDescent="0.2">
      <c r="A465" s="76">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54.653149999999997</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36.171520000000001</v>
      </c>
      <c r="AN465">
        <v>28.251169999999998</v>
      </c>
      <c r="AO465"/>
      <c r="AP465">
        <v>26.71912</v>
      </c>
      <c r="AQ465"/>
      <c r="AR465"/>
      <c r="AS465"/>
      <c r="AT465"/>
      <c r="AU465">
        <v>55.105289999999997</v>
      </c>
      <c r="AV465"/>
      <c r="AW465">
        <v>48.958399999999997</v>
      </c>
      <c r="AX465"/>
    </row>
    <row r="466" spans="1:50" x14ac:dyDescent="0.2">
      <c r="A466" s="76">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54.920529999999999</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36.541229999999999</v>
      </c>
      <c r="AN466">
        <v>28.415949999999999</v>
      </c>
      <c r="AO466"/>
      <c r="AP466">
        <v>26.858350000000002</v>
      </c>
      <c r="AQ466"/>
      <c r="AR466"/>
      <c r="AS466"/>
      <c r="AT466"/>
      <c r="AU466">
        <v>55.645629999999997</v>
      </c>
      <c r="AV466"/>
      <c r="AW466">
        <v>49.288640000000001</v>
      </c>
      <c r="AX466"/>
    </row>
    <row r="467" spans="1:50" x14ac:dyDescent="0.2">
      <c r="A467" s="76">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55.181280000000001</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36.978140000000003</v>
      </c>
      <c r="AN467">
        <v>28.625219999999999</v>
      </c>
      <c r="AO467"/>
      <c r="AP467">
        <v>27.258669999999999</v>
      </c>
      <c r="AQ467"/>
      <c r="AR467"/>
      <c r="AS467"/>
      <c r="AT467"/>
      <c r="AU467">
        <v>56.075299999999999</v>
      </c>
      <c r="AV467"/>
      <c r="AW467">
        <v>49.577599999999997</v>
      </c>
      <c r="AX467"/>
    </row>
    <row r="468" spans="1:50" x14ac:dyDescent="0.2">
      <c r="A468" s="76">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55.335830000000001</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37.410919999999997</v>
      </c>
      <c r="AN468">
        <v>28.865030000000001</v>
      </c>
      <c r="AO468"/>
      <c r="AP468">
        <v>27.516159999999999</v>
      </c>
      <c r="AQ468"/>
      <c r="AR468"/>
      <c r="AS468"/>
      <c r="AT468"/>
      <c r="AU468">
        <v>56.308570000000003</v>
      </c>
      <c r="AV468"/>
      <c r="AW468">
        <v>49.742719999999998</v>
      </c>
      <c r="AX468"/>
    </row>
    <row r="469" spans="1:50" x14ac:dyDescent="0.2">
      <c r="A469" s="76">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55.319159999999997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38.002290000000002</v>
      </c>
      <c r="AN469">
        <v>29.13955</v>
      </c>
      <c r="AO469"/>
      <c r="AP469">
        <v>27.753350000000001</v>
      </c>
      <c r="AQ469"/>
      <c r="AR469"/>
      <c r="AS469"/>
      <c r="AT469"/>
      <c r="AU469">
        <v>56.350940000000001</v>
      </c>
      <c r="AV469"/>
      <c r="AW469">
        <v>49.701439999999998</v>
      </c>
      <c r="AX469"/>
    </row>
    <row r="470" spans="1:50" x14ac:dyDescent="0.2">
      <c r="A470" s="76">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55.445349999999998</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38.33426</v>
      </c>
      <c r="AN470">
        <v>29.29682</v>
      </c>
      <c r="AO470"/>
      <c r="AP470">
        <v>28.370139999999999</v>
      </c>
      <c r="AQ470"/>
      <c r="AR470"/>
      <c r="AS470"/>
      <c r="AT470"/>
      <c r="AU470">
        <v>56.631830000000001</v>
      </c>
      <c r="AV470"/>
      <c r="AW470">
        <v>49.86656</v>
      </c>
      <c r="AX470"/>
    </row>
    <row r="471" spans="1:50" x14ac:dyDescent="0.2">
      <c r="A471" s="76">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55.582529999999998</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38.61703</v>
      </c>
      <c r="AN471">
        <v>29.436579999999999</v>
      </c>
      <c r="AO471"/>
      <c r="AP471">
        <v>28.71838</v>
      </c>
      <c r="AQ471"/>
      <c r="AR471"/>
      <c r="AS471"/>
      <c r="AT471"/>
      <c r="AU471">
        <v>57.109490000000001</v>
      </c>
      <c r="AV471"/>
      <c r="AW471">
        <v>49.990400000000001</v>
      </c>
      <c r="AX471"/>
    </row>
    <row r="472" spans="1:50" x14ac:dyDescent="0.2">
      <c r="A472" s="76">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55.864330000000002</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38.95241</v>
      </c>
      <c r="AN472">
        <v>29.623480000000001</v>
      </c>
      <c r="AO472"/>
      <c r="AP472">
        <v>28.906949999999998</v>
      </c>
      <c r="AQ472"/>
      <c r="AR472"/>
      <c r="AS472"/>
      <c r="AT472"/>
      <c r="AU472">
        <v>57.381599999999999</v>
      </c>
      <c r="AV472"/>
      <c r="AW472">
        <v>50.320639999999997</v>
      </c>
      <c r="AX472"/>
    </row>
    <row r="473" spans="1:50" x14ac:dyDescent="0.2">
      <c r="A473" s="76">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56.137749999999997</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39.244869999999999</v>
      </c>
      <c r="AN473">
        <v>29.876519999999999</v>
      </c>
      <c r="AO473"/>
      <c r="AP473">
        <v>29.13918</v>
      </c>
      <c r="AQ473"/>
      <c r="AR473"/>
      <c r="AS473"/>
      <c r="AT473"/>
      <c r="AU473">
        <v>57.96895</v>
      </c>
      <c r="AV473"/>
      <c r="AW473">
        <v>50.527050000000003</v>
      </c>
      <c r="AX473"/>
    </row>
    <row r="474" spans="1:50" x14ac:dyDescent="0.2">
      <c r="A474" s="76">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56.295909999999999</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39.42736</v>
      </c>
      <c r="AN474">
        <v>30.03472</v>
      </c>
      <c r="AO474"/>
      <c r="AP474">
        <v>29.503399999999999</v>
      </c>
      <c r="AQ474"/>
      <c r="AR474"/>
      <c r="AS474"/>
      <c r="AT474"/>
      <c r="AU474">
        <v>58.22101</v>
      </c>
      <c r="AV474"/>
      <c r="AW474">
        <v>50.650889999999997</v>
      </c>
      <c r="AX474"/>
    </row>
    <row r="475" spans="1:50" x14ac:dyDescent="0.2">
      <c r="A475" s="76">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56.39864</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39.562109999999997</v>
      </c>
      <c r="AN475">
        <v>30.156110000000002</v>
      </c>
      <c r="AO475"/>
      <c r="AP475">
        <v>29.606649999999998</v>
      </c>
      <c r="AQ475"/>
      <c r="AR475"/>
      <c r="AS475"/>
      <c r="AT475"/>
      <c r="AU475">
        <v>58.348239999999997</v>
      </c>
      <c r="AV475"/>
      <c r="AW475">
        <v>50.774729999999998</v>
      </c>
      <c r="AX475"/>
    </row>
    <row r="476" spans="1:50" x14ac:dyDescent="0.2">
      <c r="A476" s="76">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56.51558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39.706870000000002</v>
      </c>
      <c r="AN476">
        <v>30.28153</v>
      </c>
      <c r="AO476"/>
      <c r="AP476">
        <v>29.781669999999998</v>
      </c>
      <c r="AQ476"/>
      <c r="AR476"/>
      <c r="AS476"/>
      <c r="AT476"/>
      <c r="AU476">
        <v>58.477449999999997</v>
      </c>
      <c r="AV476"/>
      <c r="AW476">
        <v>50.898569999999999</v>
      </c>
      <c r="AX476"/>
    </row>
    <row r="477" spans="1:50" x14ac:dyDescent="0.2">
      <c r="A477" s="76">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56.697580000000002</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39.867620000000002</v>
      </c>
      <c r="AN477">
        <v>30.429069999999999</v>
      </c>
      <c r="AO477"/>
      <c r="AP477">
        <v>30.04636</v>
      </c>
      <c r="AQ477"/>
      <c r="AR477"/>
      <c r="AS477"/>
      <c r="AT477"/>
      <c r="AU477">
        <v>58.568080000000002</v>
      </c>
      <c r="AV477"/>
      <c r="AW477">
        <v>51.104970000000002</v>
      </c>
      <c r="AX477"/>
    </row>
    <row r="478" spans="1:50" x14ac:dyDescent="0.2">
      <c r="A478" s="76">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57.013030000000001</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40.147750000000002</v>
      </c>
      <c r="AN478">
        <v>30.675830000000001</v>
      </c>
      <c r="AO478"/>
      <c r="AP478">
        <v>30.394960000000001</v>
      </c>
      <c r="AQ478"/>
      <c r="AR478"/>
      <c r="AS478"/>
      <c r="AT478"/>
      <c r="AU478">
        <v>59.121090000000002</v>
      </c>
      <c r="AV478"/>
      <c r="AW478">
        <v>51.476489999999998</v>
      </c>
      <c r="AX478"/>
    </row>
    <row r="479" spans="1:50" x14ac:dyDescent="0.2">
      <c r="A479" s="76">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57.348439999999997</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40.441960000000002</v>
      </c>
      <c r="AN479">
        <v>30.948550000000001</v>
      </c>
      <c r="AO479"/>
      <c r="AP479">
        <v>30.840920000000001</v>
      </c>
      <c r="AQ479"/>
      <c r="AR479"/>
      <c r="AS479"/>
      <c r="AT479"/>
      <c r="AU479">
        <v>59.661250000000003</v>
      </c>
      <c r="AV479"/>
      <c r="AW479">
        <v>51.806730000000002</v>
      </c>
      <c r="AX479"/>
    </row>
    <row r="480" spans="1:50" x14ac:dyDescent="0.2">
      <c r="A480" s="76">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57.519599999999997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40.62847</v>
      </c>
      <c r="AN480">
        <v>31.161719999999999</v>
      </c>
      <c r="AO480"/>
      <c r="AP480">
        <v>31.492979999999999</v>
      </c>
      <c r="AQ480"/>
      <c r="AR480"/>
      <c r="AS480"/>
      <c r="AT480"/>
      <c r="AU480">
        <v>59.751379999999997</v>
      </c>
      <c r="AV480"/>
      <c r="AW480">
        <v>51.930579999999999</v>
      </c>
      <c r="AX480"/>
    </row>
    <row r="481" spans="1:50" x14ac:dyDescent="0.2">
      <c r="A481" s="76">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57.598820000000003</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40.762819999999998</v>
      </c>
      <c r="AN481">
        <v>31.30423</v>
      </c>
      <c r="AO481"/>
      <c r="AP481">
        <v>31.832039999999999</v>
      </c>
      <c r="AQ481"/>
      <c r="AR481"/>
      <c r="AS481"/>
      <c r="AT481"/>
      <c r="AU481">
        <v>59.851730000000003</v>
      </c>
      <c r="AV481"/>
      <c r="AW481">
        <v>52.013129999999997</v>
      </c>
      <c r="AX481"/>
    </row>
    <row r="482" spans="1:50" x14ac:dyDescent="0.2">
      <c r="A482" s="76">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57.796379999999999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40.996670000000002</v>
      </c>
      <c r="AN482">
        <v>31.574459999999998</v>
      </c>
      <c r="AO482"/>
      <c r="AP482">
        <v>32.584020000000002</v>
      </c>
      <c r="AQ482"/>
      <c r="AR482"/>
      <c r="AS482"/>
      <c r="AT482"/>
      <c r="AU482">
        <v>60.374450000000003</v>
      </c>
      <c r="AV482"/>
      <c r="AW482">
        <v>52.178260000000002</v>
      </c>
      <c r="AX482"/>
    </row>
    <row r="483" spans="1:50" x14ac:dyDescent="0.2">
      <c r="A483" s="76">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58.00441</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41.191049999999997</v>
      </c>
      <c r="AN483">
        <v>31.770659999999999</v>
      </c>
      <c r="AO483"/>
      <c r="AP483">
        <v>33.262349999999998</v>
      </c>
      <c r="AQ483"/>
      <c r="AR483"/>
      <c r="AS483"/>
      <c r="AT483"/>
      <c r="AU483">
        <v>60.742469999999997</v>
      </c>
      <c r="AV483"/>
      <c r="AW483">
        <v>52.384659999999997</v>
      </c>
      <c r="AX483"/>
    </row>
    <row r="484" spans="1:50" x14ac:dyDescent="0.2">
      <c r="A484" s="76">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58.271410000000003</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41.424950000000003</v>
      </c>
      <c r="AN484">
        <v>31.948969999999999</v>
      </c>
      <c r="AO484"/>
      <c r="AP484">
        <v>33.360939999999999</v>
      </c>
      <c r="AQ484"/>
      <c r="AR484"/>
      <c r="AS484"/>
      <c r="AT484"/>
      <c r="AU484">
        <v>60.985610000000001</v>
      </c>
      <c r="AV484"/>
      <c r="AW484">
        <v>52.67362</v>
      </c>
      <c r="AX484"/>
    </row>
    <row r="485" spans="1:50" x14ac:dyDescent="0.2">
      <c r="A485" s="76">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58.65943</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41.758540000000004</v>
      </c>
      <c r="AN485">
        <v>32.261479999999999</v>
      </c>
      <c r="AO485"/>
      <c r="AP485">
        <v>33.798720000000003</v>
      </c>
      <c r="AQ485"/>
      <c r="AR485"/>
      <c r="AS485"/>
      <c r="AT485"/>
      <c r="AU485">
        <v>61.471139999999998</v>
      </c>
      <c r="AV485"/>
      <c r="AW485">
        <v>52.838740000000001</v>
      </c>
      <c r="AX485"/>
    </row>
    <row r="486" spans="1:50" x14ac:dyDescent="0.2">
      <c r="A486" s="76">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58.858229999999999</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41.942520000000002</v>
      </c>
      <c r="AN486">
        <v>32.415529999999997</v>
      </c>
      <c r="AO486"/>
      <c r="AP486">
        <v>34.025970000000001</v>
      </c>
      <c r="AQ486"/>
      <c r="AR486"/>
      <c r="AS486"/>
      <c r="AT486"/>
      <c r="AU486">
        <v>61.715440000000001</v>
      </c>
      <c r="AV486"/>
      <c r="AW486">
        <v>52.962580000000003</v>
      </c>
      <c r="AX486"/>
    </row>
    <row r="487" spans="1:50" x14ac:dyDescent="0.2">
      <c r="A487" s="76">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58.958159999999999</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42.06606</v>
      </c>
      <c r="AN487">
        <v>32.550179999999997</v>
      </c>
      <c r="AO487"/>
      <c r="AP487">
        <v>34.240560000000002</v>
      </c>
      <c r="AQ487"/>
      <c r="AR487"/>
      <c r="AS487"/>
      <c r="AT487"/>
      <c r="AU487">
        <v>62.050379999999997</v>
      </c>
      <c r="AV487"/>
      <c r="AW487">
        <v>53.045140000000004</v>
      </c>
      <c r="AX487"/>
    </row>
    <row r="488" spans="1:50" x14ac:dyDescent="0.2">
      <c r="A488" s="76">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59.097749999999998</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42.234859999999998</v>
      </c>
      <c r="AN488">
        <v>32.686509999999998</v>
      </c>
      <c r="AO488"/>
      <c r="AP488">
        <v>34.408909999999999</v>
      </c>
      <c r="AQ488"/>
      <c r="AR488"/>
      <c r="AS488"/>
      <c r="AT488"/>
      <c r="AU488">
        <v>61.918059999999997</v>
      </c>
      <c r="AV488"/>
      <c r="AW488">
        <v>53.251539999999999</v>
      </c>
      <c r="AX488"/>
    </row>
    <row r="489" spans="1:50" x14ac:dyDescent="0.2">
      <c r="A489" s="76">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59.199280000000002</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42.357939999999999</v>
      </c>
      <c r="AN489">
        <v>32.811309999999999</v>
      </c>
      <c r="AO489"/>
      <c r="AP489">
        <v>34.62247</v>
      </c>
      <c r="AQ489"/>
      <c r="AR489"/>
      <c r="AS489"/>
      <c r="AT489"/>
      <c r="AU489">
        <v>62.221939999999996</v>
      </c>
      <c r="AV489"/>
      <c r="AW489">
        <v>53.375390000000003</v>
      </c>
      <c r="AX489"/>
    </row>
    <row r="490" spans="1:50" x14ac:dyDescent="0.2">
      <c r="A490" s="76">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59.478569999999998</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42.631770000000003</v>
      </c>
      <c r="AN490">
        <v>33.041890000000002</v>
      </c>
      <c r="AO490"/>
      <c r="AP490">
        <v>34.712009999999999</v>
      </c>
      <c r="AQ490"/>
      <c r="AR490"/>
      <c r="AS490"/>
      <c r="AT490"/>
      <c r="AU490">
        <v>62.78604</v>
      </c>
      <c r="AV490"/>
      <c r="AW490">
        <v>53.664340000000003</v>
      </c>
      <c r="AX490"/>
    </row>
    <row r="491" spans="1:50" x14ac:dyDescent="0.2">
      <c r="A491" s="76">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59.809890000000003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42.957639999999998</v>
      </c>
      <c r="AN491">
        <v>33.328809999999997</v>
      </c>
      <c r="AO491"/>
      <c r="AP491">
        <v>35.008620000000001</v>
      </c>
      <c r="AQ491"/>
      <c r="AR491"/>
      <c r="AS491"/>
      <c r="AT491"/>
      <c r="AU491">
        <v>63.434980000000003</v>
      </c>
      <c r="AV491"/>
      <c r="AW491">
        <v>54.035870000000003</v>
      </c>
      <c r="AX491"/>
    </row>
    <row r="492" spans="1:50" x14ac:dyDescent="0.2">
      <c r="A492" s="76">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59.981760000000001</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43.150570000000002</v>
      </c>
      <c r="AN492">
        <v>33.552410000000002</v>
      </c>
      <c r="AO492"/>
      <c r="AP492">
        <v>35.36497</v>
      </c>
      <c r="AQ492"/>
      <c r="AR492"/>
      <c r="AS492"/>
      <c r="AT492"/>
      <c r="AU492">
        <v>63.594819999999999</v>
      </c>
      <c r="AV492"/>
      <c r="AW492">
        <v>54.200989999999997</v>
      </c>
      <c r="AX492"/>
    </row>
    <row r="493" spans="1:50" x14ac:dyDescent="0.2">
      <c r="A493" s="76">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60.073839999999997</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43.312939999999998</v>
      </c>
      <c r="AN493">
        <v>33.69688</v>
      </c>
      <c r="AO493"/>
      <c r="AP493">
        <v>35.553469999999997</v>
      </c>
      <c r="AQ493"/>
      <c r="AR493"/>
      <c r="AS493"/>
      <c r="AT493"/>
      <c r="AU493">
        <v>63.828310000000002</v>
      </c>
      <c r="AV493"/>
      <c r="AW493">
        <v>54.283549999999998</v>
      </c>
      <c r="AX493"/>
    </row>
    <row r="494" spans="1:50" x14ac:dyDescent="0.2">
      <c r="A494" s="76">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60.294229999999999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43.631729999999997</v>
      </c>
      <c r="AN494">
        <v>33.940800000000003</v>
      </c>
      <c r="AO494"/>
      <c r="AP494">
        <v>36.377450000000003</v>
      </c>
      <c r="AQ494"/>
      <c r="AR494"/>
      <c r="AS494"/>
      <c r="AT494"/>
      <c r="AU494">
        <v>65.292460000000005</v>
      </c>
      <c r="AV494"/>
      <c r="AW494">
        <v>54.48995</v>
      </c>
      <c r="AX494"/>
    </row>
    <row r="495" spans="1:50" x14ac:dyDescent="0.2">
      <c r="A495" s="76">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60.582970000000003</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43.894570000000002</v>
      </c>
      <c r="AN495">
        <v>34.179589999999997</v>
      </c>
      <c r="AO495"/>
      <c r="AP495">
        <v>37.45008</v>
      </c>
      <c r="AQ495"/>
      <c r="AR495"/>
      <c r="AS495"/>
      <c r="AT495"/>
      <c r="AU495">
        <v>65.547799999999995</v>
      </c>
      <c r="AV495"/>
      <c r="AW495">
        <v>54.820189999999997</v>
      </c>
      <c r="AX495"/>
    </row>
    <row r="496" spans="1:50" x14ac:dyDescent="0.2">
      <c r="A496" s="76">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60.960769999999997</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44.223930000000003</v>
      </c>
      <c r="AN496">
        <v>34.43215</v>
      </c>
      <c r="AO496"/>
      <c r="AP496">
        <v>37.510269999999998</v>
      </c>
      <c r="AQ496"/>
      <c r="AR496"/>
      <c r="AS496"/>
      <c r="AT496"/>
      <c r="AU496">
        <v>66.506590000000003</v>
      </c>
      <c r="AV496"/>
      <c r="AW496">
        <v>55.274279999999997</v>
      </c>
      <c r="AX496"/>
    </row>
    <row r="497" spans="1:50" x14ac:dyDescent="0.2">
      <c r="A497" s="76">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61.316369999999999</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44.556739999999998</v>
      </c>
      <c r="AN497">
        <v>34.801839999999999</v>
      </c>
      <c r="AO497"/>
      <c r="AP497">
        <v>37.914340000000003</v>
      </c>
      <c r="AQ497"/>
      <c r="AR497"/>
      <c r="AS497"/>
      <c r="AT497"/>
      <c r="AU497">
        <v>66.841610000000003</v>
      </c>
      <c r="AV497"/>
      <c r="AW497">
        <v>55.398119999999999</v>
      </c>
      <c r="AX497"/>
    </row>
    <row r="498" spans="1:50" x14ac:dyDescent="0.2">
      <c r="A498" s="76">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61.47992</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44.749630000000003</v>
      </c>
      <c r="AN498">
        <v>34.995959999999997</v>
      </c>
      <c r="AO498"/>
      <c r="AP498">
        <v>38.491390000000003</v>
      </c>
      <c r="AQ498"/>
      <c r="AR498"/>
      <c r="AS498"/>
      <c r="AT498"/>
      <c r="AU498">
        <v>67.260490000000004</v>
      </c>
      <c r="AV498"/>
      <c r="AW498">
        <v>55.48068</v>
      </c>
      <c r="AX498"/>
    </row>
    <row r="499" spans="1:50" x14ac:dyDescent="0.2">
      <c r="A499" s="76">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61.642400000000002</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44.934049999999999</v>
      </c>
      <c r="AN499">
        <v>35.152389999999997</v>
      </c>
      <c r="AO499"/>
      <c r="AP499">
        <v>38.66489</v>
      </c>
      <c r="AQ499"/>
      <c r="AR499"/>
      <c r="AS499"/>
      <c r="AT499"/>
      <c r="AU499">
        <v>67.18571</v>
      </c>
      <c r="AV499"/>
      <c r="AW499">
        <v>55.645800000000001</v>
      </c>
      <c r="AX499"/>
    </row>
    <row r="500" spans="1:50" x14ac:dyDescent="0.2">
      <c r="A500" s="76">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61.833260000000003</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45.121699999999997</v>
      </c>
      <c r="AN500">
        <v>35.261740000000003</v>
      </c>
      <c r="AO500"/>
      <c r="AP500">
        <v>38.996969999999997</v>
      </c>
      <c r="AQ500"/>
      <c r="AR500"/>
      <c r="AS500"/>
      <c r="AT500"/>
      <c r="AU500">
        <v>67.61506</v>
      </c>
      <c r="AV500"/>
      <c r="AW500">
        <v>55.934759999999997</v>
      </c>
      <c r="AX500"/>
    </row>
    <row r="501" spans="1:50" x14ac:dyDescent="0.2">
      <c r="A501" s="76">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62.113959999999999</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45.360489999999999</v>
      </c>
      <c r="AN501">
        <v>35.437330000000003</v>
      </c>
      <c r="AO501"/>
      <c r="AP501">
        <v>39.384039999999999</v>
      </c>
      <c r="AQ501"/>
      <c r="AR501"/>
      <c r="AS501"/>
      <c r="AT501"/>
      <c r="AU501">
        <v>67.933009999999996</v>
      </c>
      <c r="AV501"/>
      <c r="AW501">
        <v>56.306280000000001</v>
      </c>
      <c r="AX501"/>
    </row>
    <row r="502" spans="1:50" x14ac:dyDescent="0.2">
      <c r="A502" s="76">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62.44323</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45.718409999999999</v>
      </c>
      <c r="AN502">
        <v>35.806049999999999</v>
      </c>
      <c r="AO502"/>
      <c r="AP502">
        <v>39.614330000000002</v>
      </c>
      <c r="AQ502"/>
      <c r="AR502"/>
      <c r="AS502"/>
      <c r="AT502"/>
      <c r="AU502">
        <v>68.570700000000002</v>
      </c>
      <c r="AV502"/>
      <c r="AW502">
        <v>56.636519999999997</v>
      </c>
      <c r="AX502"/>
    </row>
    <row r="503" spans="1:50" x14ac:dyDescent="0.2">
      <c r="A503" s="76">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62.745600000000003</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46.053130000000003</v>
      </c>
      <c r="AN503">
        <v>36.152189999999997</v>
      </c>
      <c r="AO503"/>
      <c r="AP503">
        <v>39.97598</v>
      </c>
      <c r="AQ503"/>
      <c r="AR503"/>
      <c r="AS503"/>
      <c r="AT503"/>
      <c r="AU503">
        <v>69.072460000000007</v>
      </c>
      <c r="AV503"/>
      <c r="AW503">
        <v>56.884210000000003</v>
      </c>
      <c r="AX503"/>
    </row>
    <row r="504" spans="1:50" x14ac:dyDescent="0.2">
      <c r="A504" s="76">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62.89696</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46.281860000000002</v>
      </c>
      <c r="AN504">
        <v>36.359139999999996</v>
      </c>
      <c r="AO504"/>
      <c r="AP504">
        <v>40.500860000000003</v>
      </c>
      <c r="AQ504"/>
      <c r="AR504"/>
      <c r="AS504"/>
      <c r="AT504"/>
      <c r="AU504">
        <v>69.461200000000005</v>
      </c>
      <c r="AV504"/>
      <c r="AW504">
        <v>57.049329999999998</v>
      </c>
      <c r="AX504"/>
    </row>
    <row r="505" spans="1:50" x14ac:dyDescent="0.2">
      <c r="A505" s="76">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62.956780000000002</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46.423020000000001</v>
      </c>
      <c r="AN505">
        <v>36.472329999999999</v>
      </c>
      <c r="AO505"/>
      <c r="AP505">
        <v>40.66536</v>
      </c>
      <c r="AQ505"/>
      <c r="AR505"/>
      <c r="AS505"/>
      <c r="AT505"/>
      <c r="AU505">
        <v>69.658529999999999</v>
      </c>
      <c r="AV505"/>
      <c r="AW505">
        <v>57.090609999999998</v>
      </c>
      <c r="AX505"/>
    </row>
    <row r="506" spans="1:50" x14ac:dyDescent="0.2">
      <c r="A506" s="76">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63.316070000000003</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46.803280000000001</v>
      </c>
      <c r="AN506">
        <v>36.750039999999998</v>
      </c>
      <c r="AO506"/>
      <c r="AP506">
        <v>42.103200000000001</v>
      </c>
      <c r="AQ506"/>
      <c r="AR506"/>
      <c r="AS506"/>
      <c r="AT506"/>
      <c r="AU506">
        <v>71.169499999999999</v>
      </c>
      <c r="AV506"/>
      <c r="AW506">
        <v>57.544690000000003</v>
      </c>
      <c r="AX506"/>
    </row>
    <row r="507" spans="1:50" x14ac:dyDescent="0.2">
      <c r="A507" s="76">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63.628360000000001</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47.107320000000001</v>
      </c>
      <c r="AN507">
        <v>37.031309999999998</v>
      </c>
      <c r="AO507"/>
      <c r="AP507">
        <v>42.86571</v>
      </c>
      <c r="AQ507"/>
      <c r="AR507"/>
      <c r="AS507"/>
      <c r="AT507"/>
      <c r="AU507">
        <v>73.939430000000002</v>
      </c>
      <c r="AV507"/>
      <c r="AW507">
        <v>57.91621</v>
      </c>
      <c r="AX507"/>
    </row>
    <row r="508" spans="1:50" x14ac:dyDescent="0.2">
      <c r="A508" s="76">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63.910589999999999</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47.38411</v>
      </c>
      <c r="AN508">
        <v>37.258020000000002</v>
      </c>
      <c r="AO508"/>
      <c r="AP508">
        <v>43.288600000000002</v>
      </c>
      <c r="AQ508"/>
      <c r="AR508"/>
      <c r="AS508"/>
      <c r="AT508"/>
      <c r="AU508">
        <v>74.314850000000007</v>
      </c>
      <c r="AV508"/>
      <c r="AW508">
        <v>58.163890000000002</v>
      </c>
      <c r="AX508"/>
    </row>
    <row r="509" spans="1:50" x14ac:dyDescent="0.2">
      <c r="A509" s="76">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64.120350000000002</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47.631030000000003</v>
      </c>
      <c r="AN509">
        <v>37.55827</v>
      </c>
      <c r="AO509"/>
      <c r="AP509">
        <v>43.854100000000003</v>
      </c>
      <c r="AQ509"/>
      <c r="AR509"/>
      <c r="AS509"/>
      <c r="AT509"/>
      <c r="AU509">
        <v>74.90634</v>
      </c>
      <c r="AV509"/>
      <c r="AW509">
        <v>58.246459999999999</v>
      </c>
      <c r="AX509"/>
    </row>
    <row r="510" spans="1:50" x14ac:dyDescent="0.2">
      <c r="A510" s="76">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64.308090000000007</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47.835099999999997</v>
      </c>
      <c r="AN510">
        <v>37.788089999999997</v>
      </c>
      <c r="AO510"/>
      <c r="AP510">
        <v>44.220840000000003</v>
      </c>
      <c r="AQ510"/>
      <c r="AR510"/>
      <c r="AS510"/>
      <c r="AT510"/>
      <c r="AU510">
        <v>74.906139999999994</v>
      </c>
      <c r="AV510"/>
      <c r="AW510">
        <v>58.32902</v>
      </c>
      <c r="AX510"/>
    </row>
    <row r="511" spans="1:50" x14ac:dyDescent="0.2">
      <c r="A511" s="76">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64.43974</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48.004519999999999</v>
      </c>
      <c r="AN511">
        <v>38.024720000000002</v>
      </c>
      <c r="AO511"/>
      <c r="AP511">
        <v>44.448439999999998</v>
      </c>
      <c r="AQ511"/>
      <c r="AR511"/>
      <c r="AS511"/>
      <c r="AT511"/>
      <c r="AU511">
        <v>74.666730000000001</v>
      </c>
      <c r="AV511"/>
      <c r="AW511">
        <v>58.411580000000001</v>
      </c>
      <c r="AX511"/>
    </row>
    <row r="512" spans="1:50" x14ac:dyDescent="0.2">
      <c r="A512" s="76">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64.62182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48.192970000000003</v>
      </c>
      <c r="AN512">
        <v>38.2226</v>
      </c>
      <c r="AO512"/>
      <c r="AP512">
        <v>44.744909999999997</v>
      </c>
      <c r="AQ512"/>
      <c r="AR512"/>
      <c r="AS512"/>
      <c r="AT512"/>
      <c r="AU512">
        <v>74.528369999999995</v>
      </c>
      <c r="AV512"/>
      <c r="AW512">
        <v>58.617980000000003</v>
      </c>
      <c r="AX512"/>
    </row>
    <row r="513" spans="1:50" x14ac:dyDescent="0.2">
      <c r="A513" s="76">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64.821780000000004</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48.385489999999997</v>
      </c>
      <c r="AN513">
        <v>38.382060000000003</v>
      </c>
      <c r="AO513"/>
      <c r="AP513">
        <v>44.991840000000003</v>
      </c>
      <c r="AQ513"/>
      <c r="AR513"/>
      <c r="AS513"/>
      <c r="AT513"/>
      <c r="AU513">
        <v>74.548869999999994</v>
      </c>
      <c r="AV513"/>
      <c r="AW513">
        <v>58.906939999999999</v>
      </c>
      <c r="AX513"/>
    </row>
    <row r="514" spans="1:50" x14ac:dyDescent="0.2">
      <c r="A514" s="76">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65.098429999999993</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48.699849999999998</v>
      </c>
      <c r="AN514">
        <v>38.705530000000003</v>
      </c>
      <c r="AO514"/>
      <c r="AP514">
        <v>45.288499999999999</v>
      </c>
      <c r="AQ514"/>
      <c r="AR514"/>
      <c r="AS514"/>
      <c r="AT514"/>
      <c r="AU514">
        <v>75.775760000000005</v>
      </c>
      <c r="AV514"/>
      <c r="AW514">
        <v>59.195900000000002</v>
      </c>
      <c r="AX514"/>
    </row>
    <row r="515" spans="1:50" x14ac:dyDescent="0.2">
      <c r="A515" s="76">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65.446910000000003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49.061999999999998</v>
      </c>
      <c r="AN515">
        <v>39.151760000000003</v>
      </c>
      <c r="AO515"/>
      <c r="AP515">
        <v>45.668129999999998</v>
      </c>
      <c r="AQ515"/>
      <c r="AR515"/>
      <c r="AS515"/>
      <c r="AT515"/>
      <c r="AU515">
        <v>76.211780000000005</v>
      </c>
      <c r="AV515"/>
      <c r="AW515">
        <v>59.402299999999997</v>
      </c>
      <c r="AX515"/>
    </row>
    <row r="516" spans="1:50" x14ac:dyDescent="0.2">
      <c r="A516" s="76">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65.655940000000001</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49.324129999999997</v>
      </c>
      <c r="AN516">
        <v>39.432690000000001</v>
      </c>
      <c r="AO516"/>
      <c r="AP516">
        <v>46.056480000000001</v>
      </c>
      <c r="AQ516"/>
      <c r="AR516"/>
      <c r="AS516"/>
      <c r="AT516"/>
      <c r="AU516">
        <v>76.420969999999997</v>
      </c>
      <c r="AV516"/>
      <c r="AW516">
        <v>59.608699999999999</v>
      </c>
      <c r="AX516"/>
    </row>
    <row r="517" spans="1:50" x14ac:dyDescent="0.2">
      <c r="A517" s="76">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65.702119999999994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49.470050000000001</v>
      </c>
      <c r="AN517">
        <v>39.633209999999998</v>
      </c>
      <c r="AO517"/>
      <c r="AP517">
        <v>46.377719999999997</v>
      </c>
      <c r="AQ517"/>
      <c r="AR517"/>
      <c r="AS517"/>
      <c r="AT517"/>
      <c r="AU517">
        <v>76.667370000000005</v>
      </c>
      <c r="AV517"/>
      <c r="AW517">
        <v>59.608699999999999</v>
      </c>
      <c r="AX517"/>
    </row>
    <row r="518" spans="1:50" x14ac:dyDescent="0.2">
      <c r="A518" s="76">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65.859889999999993</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49.729869999999998</v>
      </c>
      <c r="AN518">
        <v>39.97634</v>
      </c>
      <c r="AO518"/>
      <c r="AP518">
        <v>47.47775</v>
      </c>
      <c r="AQ518"/>
      <c r="AR518"/>
      <c r="AS518"/>
      <c r="AT518"/>
      <c r="AU518">
        <v>76.997569999999996</v>
      </c>
      <c r="AV518"/>
      <c r="AW518">
        <v>59.815109999999997</v>
      </c>
      <c r="AX518"/>
    </row>
    <row r="519" spans="1:50" x14ac:dyDescent="0.2">
      <c r="A519" s="76">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66.137309999999999</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50.002000000000002</v>
      </c>
      <c r="AN519">
        <v>40.260129999999997</v>
      </c>
      <c r="AO519"/>
      <c r="AP519">
        <v>48.124879999999997</v>
      </c>
      <c r="AQ519"/>
      <c r="AR519"/>
      <c r="AS519"/>
      <c r="AT519"/>
      <c r="AU519">
        <v>77.095249999999993</v>
      </c>
      <c r="AV519"/>
      <c r="AW519">
        <v>60.10407</v>
      </c>
      <c r="AX519"/>
    </row>
    <row r="520" spans="1:50" x14ac:dyDescent="0.2">
      <c r="A520" s="76">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66.487350000000006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50.327660000000002</v>
      </c>
      <c r="AN520">
        <v>40.547739999999997</v>
      </c>
      <c r="AO520"/>
      <c r="AP520">
        <v>48.530259999999998</v>
      </c>
      <c r="AQ520"/>
      <c r="AR520"/>
      <c r="AS520"/>
      <c r="AT520"/>
      <c r="AU520">
        <v>77.557140000000004</v>
      </c>
      <c r="AV520"/>
      <c r="AW520">
        <v>60.434310000000004</v>
      </c>
      <c r="AX520"/>
    </row>
    <row r="521" spans="1:50" x14ac:dyDescent="0.2">
      <c r="A521" s="76">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66.777159999999995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50.601660000000003</v>
      </c>
      <c r="AN521">
        <v>40.881140000000002</v>
      </c>
      <c r="AO521"/>
      <c r="AP521">
        <v>48.851309999999998</v>
      </c>
      <c r="AQ521"/>
      <c r="AR521"/>
      <c r="AS521"/>
      <c r="AT521"/>
      <c r="AU521">
        <v>77.749039999999994</v>
      </c>
      <c r="AV521"/>
      <c r="AW521">
        <v>60.516869999999997</v>
      </c>
      <c r="AX521"/>
    </row>
    <row r="522" spans="1:50" x14ac:dyDescent="0.2">
      <c r="A522" s="76">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66.90137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50.757420000000003</v>
      </c>
      <c r="AN522">
        <v>41.084319999999998</v>
      </c>
      <c r="AO522"/>
      <c r="AP522">
        <v>49.69173</v>
      </c>
      <c r="AQ522"/>
      <c r="AR522"/>
      <c r="AS522"/>
      <c r="AT522"/>
      <c r="AU522">
        <v>77.672389999999993</v>
      </c>
      <c r="AV522"/>
      <c r="AW522">
        <v>60.558149999999998</v>
      </c>
      <c r="AX522"/>
    </row>
    <row r="523" spans="1:50" x14ac:dyDescent="0.2">
      <c r="A523" s="76">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67.014939999999996</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50.894370000000002</v>
      </c>
      <c r="AN523">
        <v>41.241100000000003</v>
      </c>
      <c r="AO523"/>
      <c r="AP523">
        <v>50.170409999999997</v>
      </c>
      <c r="AQ523"/>
      <c r="AR523"/>
      <c r="AS523"/>
      <c r="AT523"/>
      <c r="AU523">
        <v>77.36206</v>
      </c>
      <c r="AV523"/>
      <c r="AW523">
        <v>60.640709999999999</v>
      </c>
      <c r="AX523"/>
    </row>
    <row r="524" spans="1:50" x14ac:dyDescent="0.2">
      <c r="A524" s="76">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67.103809999999996</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51.02319</v>
      </c>
      <c r="AN524">
        <v>41.421230000000001</v>
      </c>
      <c r="AO524"/>
      <c r="AP524">
        <v>50.42747</v>
      </c>
      <c r="AQ524"/>
      <c r="AR524"/>
      <c r="AS524"/>
      <c r="AT524"/>
      <c r="AU524">
        <v>77.447040000000001</v>
      </c>
      <c r="AV524"/>
      <c r="AW524">
        <v>60.80583</v>
      </c>
      <c r="AX524"/>
    </row>
    <row r="525" spans="1:50" x14ac:dyDescent="0.2">
      <c r="A525" s="76">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67.255359999999996</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51.196820000000002</v>
      </c>
      <c r="AN525">
        <v>41.618499999999997</v>
      </c>
      <c r="AO525"/>
      <c r="AP525">
        <v>50.671129999999998</v>
      </c>
      <c r="AQ525"/>
      <c r="AR525"/>
      <c r="AS525"/>
      <c r="AT525"/>
      <c r="AU525">
        <v>77.599260000000001</v>
      </c>
      <c r="AV525"/>
      <c r="AW525">
        <v>60.970950000000002</v>
      </c>
      <c r="AX525"/>
    </row>
    <row r="526" spans="1:50" x14ac:dyDescent="0.2">
      <c r="A526" s="76">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67.453370000000007</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51.491630000000001</v>
      </c>
      <c r="AN526">
        <v>41.988079999999997</v>
      </c>
      <c r="AO526"/>
      <c r="AP526">
        <v>50.928330000000003</v>
      </c>
      <c r="AQ526"/>
      <c r="AR526"/>
      <c r="AS526"/>
      <c r="AT526"/>
      <c r="AU526">
        <v>79.18817</v>
      </c>
      <c r="AV526"/>
      <c r="AW526">
        <v>61.136069999999997</v>
      </c>
      <c r="AX526"/>
    </row>
    <row r="527" spans="1:50" x14ac:dyDescent="0.2">
      <c r="A527" s="76">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67.70908</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51.804380000000002</v>
      </c>
      <c r="AN527">
        <v>42.319519999999997</v>
      </c>
      <c r="AO527"/>
      <c r="AP527">
        <v>51.402140000000003</v>
      </c>
      <c r="AQ527"/>
      <c r="AR527"/>
      <c r="AS527"/>
      <c r="AT527"/>
      <c r="AU527">
        <v>79.356229999999996</v>
      </c>
      <c r="AV527"/>
      <c r="AW527">
        <v>61.507599999999996</v>
      </c>
      <c r="AX527"/>
    </row>
    <row r="528" spans="1:50" x14ac:dyDescent="0.2">
      <c r="A528" s="76">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67.890249999999995</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52.027569999999997</v>
      </c>
      <c r="AN528">
        <v>42.602249999999998</v>
      </c>
      <c r="AO528"/>
      <c r="AP528">
        <v>51.852249999999998</v>
      </c>
      <c r="AQ528"/>
      <c r="AR528"/>
      <c r="AS528"/>
      <c r="AT528"/>
      <c r="AU528">
        <v>79.016779999999997</v>
      </c>
      <c r="AV528"/>
      <c r="AW528">
        <v>61.631439999999998</v>
      </c>
      <c r="AX528"/>
    </row>
    <row r="529" spans="1:50" x14ac:dyDescent="0.2">
      <c r="A529" s="76">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67.885149999999996</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52.114519999999999</v>
      </c>
      <c r="AN529">
        <v>42.73704</v>
      </c>
      <c r="AO529"/>
      <c r="AP529">
        <v>52.050649999999997</v>
      </c>
      <c r="AQ529"/>
      <c r="AR529"/>
      <c r="AS529"/>
      <c r="AT529"/>
      <c r="AU529">
        <v>79.220349999999996</v>
      </c>
      <c r="AV529"/>
      <c r="AW529">
        <v>61.590159999999997</v>
      </c>
      <c r="AX529"/>
    </row>
    <row r="530" spans="1:50" x14ac:dyDescent="0.2">
      <c r="A530" s="76">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68.119479999999996</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52.395420000000001</v>
      </c>
      <c r="AN530">
        <v>43.123100000000001</v>
      </c>
      <c r="AO530"/>
      <c r="AP530">
        <v>53.164619999999999</v>
      </c>
      <c r="AQ530"/>
      <c r="AR530"/>
      <c r="AS530"/>
      <c r="AT530"/>
      <c r="AU530">
        <v>80.565960000000004</v>
      </c>
      <c r="AV530"/>
      <c r="AW530">
        <v>61.87912</v>
      </c>
      <c r="AX530"/>
    </row>
    <row r="531" spans="1:50" x14ac:dyDescent="0.2">
      <c r="A531" s="76">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68.470789999999994</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52.71096</v>
      </c>
      <c r="AN531">
        <v>43.451520000000002</v>
      </c>
      <c r="AO531"/>
      <c r="AP531">
        <v>53.854399999999998</v>
      </c>
      <c r="AQ531"/>
      <c r="AR531"/>
      <c r="AS531"/>
      <c r="AT531"/>
      <c r="AU531">
        <v>80.795940000000002</v>
      </c>
      <c r="AV531"/>
      <c r="AW531">
        <v>62.250639999999997</v>
      </c>
      <c r="AX531"/>
    </row>
    <row r="532" spans="1:50" x14ac:dyDescent="0.2">
      <c r="A532" s="76">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68.704710000000006</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52.975020000000001</v>
      </c>
      <c r="AN532">
        <v>43.724170000000001</v>
      </c>
      <c r="AO532"/>
      <c r="AP532">
        <v>54.255020000000002</v>
      </c>
      <c r="AQ532"/>
      <c r="AR532"/>
      <c r="AS532"/>
      <c r="AT532"/>
      <c r="AU532">
        <v>81.165980000000005</v>
      </c>
      <c r="AV532"/>
      <c r="AW532">
        <v>62.49832</v>
      </c>
      <c r="AX532"/>
    </row>
    <row r="533" spans="1:50" x14ac:dyDescent="0.2">
      <c r="A533" s="76">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68.968620000000001</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53.244590000000002</v>
      </c>
      <c r="AN533">
        <v>44.014040000000001</v>
      </c>
      <c r="AO533"/>
      <c r="AP533">
        <v>54.776069999999997</v>
      </c>
      <c r="AQ533"/>
      <c r="AR533"/>
      <c r="AS533"/>
      <c r="AT533"/>
      <c r="AU533">
        <v>81.591139999999996</v>
      </c>
      <c r="AV533"/>
      <c r="AW533">
        <v>62.622169999999997</v>
      </c>
      <c r="AX533"/>
    </row>
    <row r="534" spans="1:50" x14ac:dyDescent="0.2">
      <c r="A534" s="76">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69.029300000000006</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53.36918</v>
      </c>
      <c r="AN534">
        <v>44.232810000000001</v>
      </c>
      <c r="AO534"/>
      <c r="AP534">
        <v>55.150230000000001</v>
      </c>
      <c r="AQ534"/>
      <c r="AR534"/>
      <c r="AS534"/>
      <c r="AT534"/>
      <c r="AU534">
        <v>81.386970000000005</v>
      </c>
      <c r="AV534"/>
      <c r="AW534">
        <v>62.622169999999997</v>
      </c>
      <c r="AX534"/>
    </row>
    <row r="535" spans="1:50" x14ac:dyDescent="0.2">
      <c r="A535" s="76">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69.12312</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53.498199999999997</v>
      </c>
      <c r="AN535">
        <v>44.423029999999997</v>
      </c>
      <c r="AO535"/>
      <c r="AP535">
        <v>55.443600000000004</v>
      </c>
      <c r="AQ535"/>
      <c r="AR535"/>
      <c r="AS535"/>
      <c r="AT535"/>
      <c r="AU535">
        <v>81.189769999999996</v>
      </c>
      <c r="AV535"/>
      <c r="AW535">
        <v>62.663440000000001</v>
      </c>
      <c r="AX535"/>
    </row>
    <row r="536" spans="1:50" x14ac:dyDescent="0.2">
      <c r="A536" s="76">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69.228759999999994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53.648240000000001</v>
      </c>
      <c r="AN536">
        <v>44.664830000000002</v>
      </c>
      <c r="AO536"/>
      <c r="AP536">
        <v>55.523449999999997</v>
      </c>
      <c r="AQ536"/>
      <c r="AR536"/>
      <c r="AS536"/>
      <c r="AT536"/>
      <c r="AU536">
        <v>80.917959999999994</v>
      </c>
      <c r="AV536"/>
      <c r="AW536">
        <v>62.746009999999998</v>
      </c>
      <c r="AX536"/>
    </row>
    <row r="537" spans="1:50" x14ac:dyDescent="0.2">
      <c r="A537" s="76">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69.420140000000004</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53.86356</v>
      </c>
      <c r="AN537">
        <v>44.91048</v>
      </c>
      <c r="AO537"/>
      <c r="AP537">
        <v>55.838000000000001</v>
      </c>
      <c r="AQ537"/>
      <c r="AR537"/>
      <c r="AS537"/>
      <c r="AT537"/>
      <c r="AU537">
        <v>81.106579999999994</v>
      </c>
      <c r="AV537"/>
      <c r="AW537">
        <v>62.993690000000001</v>
      </c>
      <c r="AX537"/>
    </row>
    <row r="538" spans="1:50" x14ac:dyDescent="0.2">
      <c r="A538" s="76">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69.577100000000002</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54.09507</v>
      </c>
      <c r="AN538">
        <v>45.217619999999997</v>
      </c>
      <c r="AO538"/>
      <c r="AP538">
        <v>55.977589999999999</v>
      </c>
      <c r="AQ538"/>
      <c r="AR538"/>
      <c r="AS538"/>
      <c r="AT538"/>
      <c r="AU538">
        <v>82.170900000000003</v>
      </c>
      <c r="AV538"/>
      <c r="AW538">
        <v>63.117530000000002</v>
      </c>
      <c r="AX538"/>
    </row>
    <row r="539" spans="1:50" x14ac:dyDescent="0.2">
      <c r="A539" s="76">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69.777919999999995</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54.362009999999998</v>
      </c>
      <c r="AN539">
        <v>45.527299999999997</v>
      </c>
      <c r="AO539"/>
      <c r="AP539">
        <v>56.277149999999999</v>
      </c>
      <c r="AQ539"/>
      <c r="AR539"/>
      <c r="AS539"/>
      <c r="AT539"/>
      <c r="AU539">
        <v>82.649959999999993</v>
      </c>
      <c r="AV539"/>
      <c r="AW539">
        <v>63.365209999999998</v>
      </c>
      <c r="AX539"/>
    </row>
    <row r="540" spans="1:50" x14ac:dyDescent="0.2">
      <c r="A540" s="76">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69.90401</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54.549460000000003</v>
      </c>
      <c r="AN540">
        <v>45.77487</v>
      </c>
      <c r="AO540"/>
      <c r="AP540">
        <v>56.603090000000002</v>
      </c>
      <c r="AQ540"/>
      <c r="AR540"/>
      <c r="AS540"/>
      <c r="AT540"/>
      <c r="AU540">
        <v>82.661959999999993</v>
      </c>
      <c r="AV540"/>
      <c r="AW540">
        <v>63.530329999999999</v>
      </c>
      <c r="AX540"/>
    </row>
    <row r="541" spans="1:50" x14ac:dyDescent="0.2">
      <c r="A541" s="76">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69.917090000000002</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54.636099999999999</v>
      </c>
      <c r="AN541">
        <v>45.956919999999997</v>
      </c>
      <c r="AO541"/>
      <c r="AP541">
        <v>56.668129999999998</v>
      </c>
      <c r="AQ541"/>
      <c r="AR541"/>
      <c r="AS541"/>
      <c r="AT541"/>
      <c r="AU541">
        <v>82.319379999999995</v>
      </c>
      <c r="AV541"/>
      <c r="AW541">
        <v>63.530329999999999</v>
      </c>
      <c r="AX541"/>
    </row>
    <row r="542" spans="1:50" x14ac:dyDescent="0.2">
      <c r="A542" s="76">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69.974540000000005</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54.80301</v>
      </c>
      <c r="AN542">
        <v>46.197600000000001</v>
      </c>
      <c r="AO542"/>
      <c r="AP542">
        <v>57.5152</v>
      </c>
      <c r="AQ542"/>
      <c r="AR542"/>
      <c r="AS542"/>
      <c r="AT542"/>
      <c r="AU542">
        <v>82.539709999999999</v>
      </c>
      <c r="AV542">
        <v>0.32922960000000001</v>
      </c>
      <c r="AW542">
        <v>63.695450000000001</v>
      </c>
      <c r="AX542"/>
    </row>
    <row r="543" spans="1:50" x14ac:dyDescent="0.2">
      <c r="A543" s="76">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70.224109999999996</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55.073070000000001</v>
      </c>
      <c r="AN543">
        <v>46.56597</v>
      </c>
      <c r="AO543"/>
      <c r="AP543">
        <v>57.99427</v>
      </c>
      <c r="AQ543"/>
      <c r="AR543"/>
      <c r="AS543"/>
      <c r="AT543"/>
      <c r="AU543">
        <v>82.606610000000003</v>
      </c>
      <c r="AV543">
        <v>0.34598679999999998</v>
      </c>
      <c r="AW543">
        <v>63.984409999999997</v>
      </c>
      <c r="AX543"/>
    </row>
    <row r="544" spans="1:50" x14ac:dyDescent="0.2">
      <c r="A544" s="76">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70.509680000000003</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55.375970000000002</v>
      </c>
      <c r="AN544">
        <v>46.858840000000001</v>
      </c>
      <c r="AO544"/>
      <c r="AP544">
        <v>58.317779999999999</v>
      </c>
      <c r="AQ544"/>
      <c r="AR544"/>
      <c r="AS544"/>
      <c r="AT544"/>
      <c r="AU544">
        <v>83.053730000000002</v>
      </c>
      <c r="AV544">
        <v>0.36274390000000001</v>
      </c>
      <c r="AW544">
        <v>64.31465</v>
      </c>
      <c r="AX544"/>
    </row>
    <row r="545" spans="1:50" x14ac:dyDescent="0.2">
      <c r="A545" s="76">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70.681079999999994</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55.786369999999998</v>
      </c>
      <c r="AN545">
        <v>47.567799999999998</v>
      </c>
      <c r="AO545"/>
      <c r="AP545">
        <v>58.560169999999999</v>
      </c>
      <c r="AQ545"/>
      <c r="AR545"/>
      <c r="AS545"/>
      <c r="AT545"/>
      <c r="AU545">
        <v>83.346549999999993</v>
      </c>
      <c r="AV545">
        <v>0.43223699999999998</v>
      </c>
      <c r="AW545">
        <v>64.355930000000001</v>
      </c>
      <c r="AX545"/>
    </row>
    <row r="546" spans="1:50" x14ac:dyDescent="0.2">
      <c r="A546" s="76">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70.799180000000007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56.021419999999999</v>
      </c>
      <c r="AN546">
        <v>47.979970000000002</v>
      </c>
      <c r="AO546"/>
      <c r="AP546">
        <v>58.700949999999999</v>
      </c>
      <c r="AQ546"/>
      <c r="AR546"/>
      <c r="AS546"/>
      <c r="AT546"/>
      <c r="AU546">
        <v>83.459770000000006</v>
      </c>
      <c r="AV546">
        <v>0.46969430000000001</v>
      </c>
      <c r="AW546">
        <v>64.397220000000004</v>
      </c>
      <c r="AX546"/>
    </row>
    <row r="547" spans="1:50" x14ac:dyDescent="0.2">
      <c r="A547" s="76">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70.849320000000006</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56.154559999999996</v>
      </c>
      <c r="AN547">
        <v>48.175690000000003</v>
      </c>
      <c r="AO547"/>
      <c r="AP547">
        <v>58.882719999999999</v>
      </c>
      <c r="AQ547"/>
      <c r="AR547"/>
      <c r="AS547"/>
      <c r="AT547"/>
      <c r="AU547">
        <v>83.368979999999993</v>
      </c>
      <c r="AV547">
        <v>0.48842289999999999</v>
      </c>
      <c r="AW547">
        <v>64.479770000000002</v>
      </c>
      <c r="AX547"/>
    </row>
    <row r="548" spans="1:50" x14ac:dyDescent="0.2">
      <c r="A548" s="76">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70.873040000000003</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56.283099999999997</v>
      </c>
      <c r="AN548">
        <v>48.411090000000002</v>
      </c>
      <c r="AO548"/>
      <c r="AP548">
        <v>59.01529</v>
      </c>
      <c r="AQ548"/>
      <c r="AR548"/>
      <c r="AS548"/>
      <c r="AT548"/>
      <c r="AU548">
        <v>83.219250000000002</v>
      </c>
      <c r="AV548">
        <v>0.51010869999999997</v>
      </c>
      <c r="AW548">
        <v>64.562340000000006</v>
      </c>
      <c r="AX548"/>
    </row>
    <row r="549" spans="1:50" x14ac:dyDescent="0.2">
      <c r="A549" s="76">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56.521729999999998</v>
      </c>
      <c r="AN549">
        <v>48.711309999999997</v>
      </c>
      <c r="AO549"/>
      <c r="AP549">
        <v>59.204880000000003</v>
      </c>
      <c r="AQ549"/>
      <c r="AR549"/>
      <c r="AS549"/>
      <c r="AT549"/>
      <c r="AU549">
        <v>83.141390000000001</v>
      </c>
      <c r="AV549">
        <v>0.53080870000000002</v>
      </c>
      <c r="AW549">
        <v>64.810019999999994</v>
      </c>
      <c r="AX549"/>
    </row>
    <row r="550" spans="1:50" x14ac:dyDescent="0.2">
      <c r="A550" s="76">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71.277280000000005</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56.814689999999999</v>
      </c>
      <c r="AN550">
        <v>49.090789999999998</v>
      </c>
      <c r="AO550"/>
      <c r="AP550">
        <v>59.380249999999997</v>
      </c>
      <c r="AQ550"/>
      <c r="AR550"/>
      <c r="AS550"/>
      <c r="AT550"/>
      <c r="AU550">
        <v>84.21593</v>
      </c>
      <c r="AV550">
        <v>0.56284460000000003</v>
      </c>
      <c r="AW550">
        <v>65.016419999999997</v>
      </c>
      <c r="AX550"/>
    </row>
    <row r="551" spans="1:50" x14ac:dyDescent="0.2">
      <c r="A551" s="76">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71.43647</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57.075530000000001</v>
      </c>
      <c r="AN551">
        <v>49.435189999999999</v>
      </c>
      <c r="AO551"/>
      <c r="AP551">
        <v>59.807560000000002</v>
      </c>
      <c r="AQ551"/>
      <c r="AR551"/>
      <c r="AS551"/>
      <c r="AT551"/>
      <c r="AU551">
        <v>84.55265</v>
      </c>
      <c r="AV551">
        <v>0.59438749999999996</v>
      </c>
      <c r="AW551">
        <v>65.222819999999999</v>
      </c>
      <c r="AX551"/>
    </row>
    <row r="552" spans="1:50" x14ac:dyDescent="0.2">
      <c r="A552" s="76">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71.545410000000004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57.279760000000003</v>
      </c>
      <c r="AN552">
        <v>49.769100000000002</v>
      </c>
      <c r="AO552"/>
      <c r="AP552">
        <v>59.986130000000003</v>
      </c>
      <c r="AQ552"/>
      <c r="AR552"/>
      <c r="AS552"/>
      <c r="AT552"/>
      <c r="AU552">
        <v>84.495069999999998</v>
      </c>
      <c r="AV552">
        <v>0.62494470000000002</v>
      </c>
      <c r="AW552">
        <v>65.30538</v>
      </c>
      <c r="AX552"/>
    </row>
    <row r="553" spans="1:50" x14ac:dyDescent="0.2">
      <c r="A553" s="76">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71.537030000000001</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57.442970000000003</v>
      </c>
      <c r="AN553">
        <v>50.16621</v>
      </c>
      <c r="AO553"/>
      <c r="AP553">
        <v>60.0227</v>
      </c>
      <c r="AQ553"/>
      <c r="AR553"/>
      <c r="AS553"/>
      <c r="AT553"/>
      <c r="AU553">
        <v>84.391530000000003</v>
      </c>
      <c r="AV553">
        <v>0.66240200000000005</v>
      </c>
      <c r="AW553">
        <v>65.181539999999998</v>
      </c>
      <c r="AX553"/>
    </row>
    <row r="554" spans="1:50" x14ac:dyDescent="0.2">
      <c r="A554" s="76">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71.702510000000004</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57.759300000000003</v>
      </c>
      <c r="AN554">
        <v>50.44164</v>
      </c>
      <c r="AO554">
        <v>35.669550000000001</v>
      </c>
      <c r="AP554">
        <v>60.658799999999999</v>
      </c>
      <c r="AQ554"/>
      <c r="AR554"/>
      <c r="AS554">
        <v>39.723700000000001</v>
      </c>
      <c r="AT554"/>
      <c r="AU554">
        <v>84.594549999999998</v>
      </c>
      <c r="AV554">
        <v>0.70725210000000005</v>
      </c>
      <c r="AW554">
        <v>65.511780000000002</v>
      </c>
      <c r="AX554"/>
    </row>
    <row r="555" spans="1:50" x14ac:dyDescent="0.2">
      <c r="A555" s="76">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72.027959999999993</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58.135010000000001</v>
      </c>
      <c r="AN555">
        <v>50.791179999999997</v>
      </c>
      <c r="AO555">
        <v>36.535559999999997</v>
      </c>
      <c r="AP555">
        <v>61.060040000000001</v>
      </c>
      <c r="AQ555"/>
      <c r="AR555"/>
      <c r="AS555">
        <v>40.071719999999999</v>
      </c>
      <c r="AT555"/>
      <c r="AU555">
        <v>84.862629999999996</v>
      </c>
      <c r="AV555">
        <v>0.72943080000000005</v>
      </c>
      <c r="AW555">
        <v>65.883309999999994</v>
      </c>
      <c r="AX555"/>
    </row>
    <row r="556" spans="1:50" x14ac:dyDescent="0.2">
      <c r="A556" s="76">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72.317440000000005</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58.577260000000003</v>
      </c>
      <c r="AN556">
        <v>51.138469999999998</v>
      </c>
      <c r="AO556">
        <v>37.301439999999999</v>
      </c>
      <c r="AP556">
        <v>61.323349999999998</v>
      </c>
      <c r="AQ556"/>
      <c r="AR556"/>
      <c r="AS556">
        <v>40.420999999999999</v>
      </c>
      <c r="AT556"/>
      <c r="AU556">
        <v>85.164230000000003</v>
      </c>
      <c r="AV556">
        <v>0.76146659999999999</v>
      </c>
      <c r="AW556">
        <v>66.213549999999998</v>
      </c>
      <c r="AX556"/>
    </row>
    <row r="557" spans="1:50" x14ac:dyDescent="0.2">
      <c r="A557" s="76">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72.531649999999999</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59.063560000000003</v>
      </c>
      <c r="AN557">
        <v>51.53998</v>
      </c>
      <c r="AO557">
        <v>38.059840000000001</v>
      </c>
      <c r="AP557">
        <v>61.659080000000003</v>
      </c>
      <c r="AQ557"/>
      <c r="AR557"/>
      <c r="AS557">
        <v>40.778399999999998</v>
      </c>
      <c r="AT557"/>
      <c r="AU557">
        <v>85.690349999999995</v>
      </c>
      <c r="AV557">
        <v>0.81025959999999997</v>
      </c>
      <c r="AW557">
        <v>66.337389999999999</v>
      </c>
      <c r="AX557"/>
    </row>
    <row r="558" spans="1:50" x14ac:dyDescent="0.2">
      <c r="A558" s="76">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72.610720000000001</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59.304229999999997</v>
      </c>
      <c r="AN558">
        <v>51.750790000000002</v>
      </c>
      <c r="AO558">
        <v>38.830190000000002</v>
      </c>
      <c r="AP558">
        <v>61.941070000000003</v>
      </c>
      <c r="AQ558"/>
      <c r="AR558"/>
      <c r="AS558">
        <v>41.044580000000003</v>
      </c>
      <c r="AT558"/>
      <c r="AU558">
        <v>85.68365</v>
      </c>
      <c r="AV558">
        <v>0.84525260000000002</v>
      </c>
      <c r="AW558">
        <v>66.37867</v>
      </c>
      <c r="AX558"/>
    </row>
    <row r="559" spans="1:50" x14ac:dyDescent="0.2">
      <c r="A559" s="76">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72.693020000000004</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59.512459999999997</v>
      </c>
      <c r="AN559">
        <v>52.004800000000003</v>
      </c>
      <c r="AO559">
        <v>39.365859999999998</v>
      </c>
      <c r="AP559">
        <v>62.22195</v>
      </c>
      <c r="AQ559"/>
      <c r="AR559"/>
      <c r="AS559">
        <v>41.406910000000003</v>
      </c>
      <c r="AT559"/>
      <c r="AU559">
        <v>85.626679999999993</v>
      </c>
      <c r="AV559">
        <v>0.87433119999999998</v>
      </c>
      <c r="AW559">
        <v>66.419939999999997</v>
      </c>
      <c r="AX559"/>
    </row>
    <row r="560" spans="1:50" x14ac:dyDescent="0.2">
      <c r="A560" s="76">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72.742509999999996</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59.678530000000002</v>
      </c>
      <c r="AN560">
        <v>52.18365</v>
      </c>
      <c r="AO560">
        <v>39.948189999999997</v>
      </c>
      <c r="AP560">
        <v>62.39085</v>
      </c>
      <c r="AQ560"/>
      <c r="AR560"/>
      <c r="AS560">
        <v>41.828270000000003</v>
      </c>
      <c r="AT560"/>
      <c r="AU560">
        <v>85.640079999999998</v>
      </c>
      <c r="AV560">
        <v>0.90242420000000001</v>
      </c>
      <c r="AW560">
        <v>66.502510000000001</v>
      </c>
      <c r="AX560"/>
    </row>
    <row r="561" spans="1:50" x14ac:dyDescent="0.2">
      <c r="A561" s="76">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72.932130000000001</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59.952739999999999</v>
      </c>
      <c r="AN561">
        <v>52.513590000000001</v>
      </c>
      <c r="AO561">
        <v>40.50564</v>
      </c>
      <c r="AP561">
        <v>62.413919999999997</v>
      </c>
      <c r="AQ561"/>
      <c r="AR561"/>
      <c r="AS561">
        <v>41.86262</v>
      </c>
      <c r="AT561"/>
      <c r="AU561">
        <v>85.579769999999996</v>
      </c>
      <c r="AV561">
        <v>0.9453028</v>
      </c>
      <c r="AW561">
        <v>66.708910000000003</v>
      </c>
      <c r="AX561"/>
    </row>
    <row r="562" spans="1:50" x14ac:dyDescent="0.2">
      <c r="A562" s="76">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73.188879999999997</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60.354619999999997</v>
      </c>
      <c r="AN562">
        <v>52.991520000000001</v>
      </c>
      <c r="AO562">
        <v>41.584310000000002</v>
      </c>
      <c r="AP562">
        <v>62.616309999999999</v>
      </c>
      <c r="AQ562"/>
      <c r="AR562"/>
      <c r="AS562">
        <v>41.809449999999998</v>
      </c>
      <c r="AT562"/>
      <c r="AU562">
        <v>86.320350000000005</v>
      </c>
      <c r="AV562">
        <v>1.024653</v>
      </c>
      <c r="AW562">
        <v>66.915310000000005</v>
      </c>
      <c r="AX562"/>
    </row>
    <row r="563" spans="1:50" x14ac:dyDescent="0.2">
      <c r="A563" s="76">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73.328770000000006</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60.646500000000003</v>
      </c>
      <c r="AN563">
        <v>53.287210000000002</v>
      </c>
      <c r="AO563">
        <v>42.204810000000002</v>
      </c>
      <c r="AP563">
        <v>62.863750000000003</v>
      </c>
      <c r="AQ563"/>
      <c r="AR563"/>
      <c r="AS563">
        <v>42.015610000000002</v>
      </c>
      <c r="AT563"/>
      <c r="AU563">
        <v>86.782799999999995</v>
      </c>
      <c r="AV563">
        <v>1.0906960000000001</v>
      </c>
      <c r="AW563">
        <v>67.204279999999997</v>
      </c>
      <c r="AX563"/>
    </row>
    <row r="564" spans="1:50" x14ac:dyDescent="0.2">
      <c r="A564" s="76">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73.431439999999995</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60.869770000000003</v>
      </c>
      <c r="AN564">
        <v>53.557160000000003</v>
      </c>
      <c r="AO564">
        <v>42.750369999999997</v>
      </c>
      <c r="AP564">
        <v>62.947839999999999</v>
      </c>
      <c r="AQ564"/>
      <c r="AR564"/>
      <c r="AS564">
        <v>42.272419999999997</v>
      </c>
      <c r="AT564"/>
      <c r="AU564">
        <v>86.836420000000004</v>
      </c>
      <c r="AV564">
        <v>1.139489</v>
      </c>
      <c r="AW564">
        <v>67.286829999999995</v>
      </c>
      <c r="AX564"/>
    </row>
    <row r="565" spans="1:50" x14ac:dyDescent="0.2">
      <c r="A565" s="76">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73.395960000000002</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61.033940000000001</v>
      </c>
      <c r="AN565">
        <v>53.820869999999999</v>
      </c>
      <c r="AO565">
        <v>43.388559999999998</v>
      </c>
      <c r="AP565">
        <v>62.850859999999997</v>
      </c>
      <c r="AQ565"/>
      <c r="AR565"/>
      <c r="AS565">
        <v>42.728549999999998</v>
      </c>
      <c r="AT565"/>
      <c r="AU565">
        <v>86.598489999999998</v>
      </c>
      <c r="AV565">
        <v>1.1823680000000001</v>
      </c>
      <c r="AW565">
        <v>67.162989999999994</v>
      </c>
      <c r="AX565"/>
    </row>
    <row r="566" spans="1:50" x14ac:dyDescent="0.2">
      <c r="A566" s="76">
        <v>35065</v>
      </c>
      <c r="B566">
        <v>71.732820000000004</v>
      </c>
      <c r="C566">
        <v>72.484790000000004</v>
      </c>
      <c r="D566"/>
      <c r="E566">
        <v>72.668710000000004</v>
      </c>
      <c r="F566">
        <v>92.733339999999998</v>
      </c>
      <c r="G566"/>
      <c r="H566"/>
      <c r="I566">
        <v>27.76972</v>
      </c>
      <c r="J566">
        <v>20.443480000000001</v>
      </c>
      <c r="K566">
        <v>70.3</v>
      </c>
      <c r="L566">
        <v>79.262360000000001</v>
      </c>
      <c r="M566">
        <v>70.501779999999997</v>
      </c>
      <c r="N566">
        <v>75.099999999999994</v>
      </c>
      <c r="O566">
        <v>67.778660000000002</v>
      </c>
      <c r="P566"/>
      <c r="Q566"/>
      <c r="R566">
        <v>76.473219999999998</v>
      </c>
      <c r="S566">
        <v>78.982320000000001</v>
      </c>
      <c r="T566"/>
      <c r="U566">
        <v>73.612669999999994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61.44444</v>
      </c>
      <c r="AN566">
        <v>54.346730000000001</v>
      </c>
      <c r="AO566">
        <v>44.80677</v>
      </c>
      <c r="AP566">
        <v>63.18909</v>
      </c>
      <c r="AQ566"/>
      <c r="AR566"/>
      <c r="AS566">
        <v>42.992899999999999</v>
      </c>
      <c r="AT566"/>
      <c r="AU566">
        <v>87.131309999999999</v>
      </c>
      <c r="AV566">
        <v>1.2769969999999999</v>
      </c>
      <c r="AW566">
        <v>67.45196</v>
      </c>
      <c r="AX566"/>
    </row>
    <row r="567" spans="1:50" x14ac:dyDescent="0.2">
      <c r="A567" s="76">
        <v>35096</v>
      </c>
      <c r="B567">
        <v>72.106080000000006</v>
      </c>
      <c r="C567">
        <v>72.613720000000001</v>
      </c>
      <c r="D567"/>
      <c r="E567">
        <v>72.787360000000007</v>
      </c>
      <c r="F567">
        <v>92.928709999999995</v>
      </c>
      <c r="G567"/>
      <c r="H567"/>
      <c r="I567">
        <v>28.325600000000001</v>
      </c>
      <c r="J567">
        <v>20.772200000000002</v>
      </c>
      <c r="K567">
        <v>70.599999999999994</v>
      </c>
      <c r="L567">
        <v>79.740260000000006</v>
      </c>
      <c r="M567">
        <v>70.876959999999997</v>
      </c>
      <c r="N567">
        <v>75.42</v>
      </c>
      <c r="O567">
        <v>68.116829999999993</v>
      </c>
      <c r="P567"/>
      <c r="Q567"/>
      <c r="R567">
        <v>76.779730000000001</v>
      </c>
      <c r="S567">
        <v>79.281829999999999</v>
      </c>
      <c r="T567"/>
      <c r="U567">
        <v>73.885959999999997</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61.779629999999997</v>
      </c>
      <c r="AN567">
        <v>54.725239999999999</v>
      </c>
      <c r="AO567">
        <v>45.42454</v>
      </c>
      <c r="AP567">
        <v>63.545499999999997</v>
      </c>
      <c r="AQ567"/>
      <c r="AR567"/>
      <c r="AS567">
        <v>43.27084</v>
      </c>
      <c r="AT567"/>
      <c r="AU567">
        <v>87.218440000000001</v>
      </c>
      <c r="AV567">
        <v>1.328254</v>
      </c>
      <c r="AW567">
        <v>67.782200000000003</v>
      </c>
      <c r="AX567"/>
    </row>
    <row r="568" spans="1:50" x14ac:dyDescent="0.2">
      <c r="A568" s="76">
        <v>35125</v>
      </c>
      <c r="B568">
        <v>72.423969999999997</v>
      </c>
      <c r="C568">
        <v>72.570880000000002</v>
      </c>
      <c r="D568"/>
      <c r="E568">
        <v>73.053020000000004</v>
      </c>
      <c r="F568">
        <v>92.963059999999999</v>
      </c>
      <c r="G568"/>
      <c r="H568"/>
      <c r="I568">
        <v>29.60904</v>
      </c>
      <c r="J568">
        <v>20.945779999999999</v>
      </c>
      <c r="K568">
        <v>71</v>
      </c>
      <c r="L568">
        <v>79.62585</v>
      </c>
      <c r="M568">
        <v>71.292320000000004</v>
      </c>
      <c r="N568">
        <v>75.69</v>
      </c>
      <c r="O568">
        <v>68.446449999999999</v>
      </c>
      <c r="P568"/>
      <c r="Q568"/>
      <c r="R568">
        <v>76.703100000000006</v>
      </c>
      <c r="S568">
        <v>79.725859999999997</v>
      </c>
      <c r="T568"/>
      <c r="U568">
        <v>74.152590000000004</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62.152380000000001</v>
      </c>
      <c r="AN568">
        <v>55.053260000000002</v>
      </c>
      <c r="AO568">
        <v>45.842089999999999</v>
      </c>
      <c r="AP568">
        <v>63.865459999999999</v>
      </c>
      <c r="AQ568"/>
      <c r="AR568"/>
      <c r="AS568">
        <v>43.497689999999999</v>
      </c>
      <c r="AT568"/>
      <c r="AU568">
        <v>87.439610000000002</v>
      </c>
      <c r="AV568">
        <v>1.3829610000000001</v>
      </c>
      <c r="AW568">
        <v>68.071160000000006</v>
      </c>
      <c r="AX568"/>
    </row>
    <row r="569" spans="1:50" x14ac:dyDescent="0.2">
      <c r="A569" s="76">
        <v>35156</v>
      </c>
      <c r="B569">
        <v>72.291799999999995</v>
      </c>
      <c r="C569">
        <v>72.571560000000005</v>
      </c>
      <c r="D569"/>
      <c r="E569">
        <v>73.031009999999995</v>
      </c>
      <c r="F569">
        <v>92.961060000000003</v>
      </c>
      <c r="G569"/>
      <c r="H569"/>
      <c r="I569">
        <v>30.246670000000002</v>
      </c>
      <c r="J569">
        <v>21.091149999999999</v>
      </c>
      <c r="K569">
        <v>71.400000000000006</v>
      </c>
      <c r="L569">
        <v>79.492289999999997</v>
      </c>
      <c r="M569">
        <v>71.391630000000006</v>
      </c>
      <c r="N569">
        <v>75.72</v>
      </c>
      <c r="O569">
        <v>68.699700000000007</v>
      </c>
      <c r="P569"/>
      <c r="Q569"/>
      <c r="R569">
        <v>76.779730000000001</v>
      </c>
      <c r="S569">
        <v>79.788570000000007</v>
      </c>
      <c r="T569"/>
      <c r="U569">
        <v>74.260279999999995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62.420589999999997</v>
      </c>
      <c r="AN569">
        <v>55.352130000000002</v>
      </c>
      <c r="AO569">
        <v>46.551969999999997</v>
      </c>
      <c r="AP569">
        <v>64.032629999999997</v>
      </c>
      <c r="AQ569"/>
      <c r="AR569"/>
      <c r="AS569">
        <v>43.663580000000003</v>
      </c>
      <c r="AT569"/>
      <c r="AU569">
        <v>87.523380000000003</v>
      </c>
      <c r="AV569">
        <v>1.46034</v>
      </c>
      <c r="AW569">
        <v>68.112440000000007</v>
      </c>
      <c r="AX569"/>
    </row>
    <row r="570" spans="1:50" x14ac:dyDescent="0.2">
      <c r="A570" s="76">
        <v>35186</v>
      </c>
      <c r="B570">
        <v>72.156260000000003</v>
      </c>
      <c r="C570">
        <v>72.374889999999994</v>
      </c>
      <c r="D570"/>
      <c r="E570">
        <v>73.199929999999995</v>
      </c>
      <c r="F570">
        <v>92.679789999999997</v>
      </c>
      <c r="G570"/>
      <c r="H570"/>
      <c r="I570">
        <v>30.908829999999998</v>
      </c>
      <c r="J570">
        <v>21.404679999999999</v>
      </c>
      <c r="K570">
        <v>71.8</v>
      </c>
      <c r="L570">
        <v>79.677899999999994</v>
      </c>
      <c r="M570">
        <v>71.682289999999995</v>
      </c>
      <c r="N570">
        <v>75.88</v>
      </c>
      <c r="O570">
        <v>68.827240000000003</v>
      </c>
      <c r="P570"/>
      <c r="Q570"/>
      <c r="R570">
        <v>76.856350000000006</v>
      </c>
      <c r="S570">
        <v>79.863050000000001</v>
      </c>
      <c r="T570"/>
      <c r="U570">
        <v>74.367570000000001</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62.641280000000002</v>
      </c>
      <c r="AN570">
        <v>55.631100000000004</v>
      </c>
      <c r="AO570">
        <v>47.261249999999997</v>
      </c>
      <c r="AP570">
        <v>64.113519999999994</v>
      </c>
      <c r="AQ570"/>
      <c r="AR570"/>
      <c r="AS570">
        <v>43.79954</v>
      </c>
      <c r="AT570"/>
      <c r="AU570">
        <v>87.3994</v>
      </c>
      <c r="AV570">
        <v>1.5288470000000001</v>
      </c>
      <c r="AW570">
        <v>68.153720000000007</v>
      </c>
      <c r="AX570"/>
    </row>
    <row r="571" spans="1:50" x14ac:dyDescent="0.2">
      <c r="A571" s="76">
        <v>35217</v>
      </c>
      <c r="B571">
        <v>72.469480000000004</v>
      </c>
      <c r="C571">
        <v>72.439899999999994</v>
      </c>
      <c r="D571"/>
      <c r="E571">
        <v>73.21105</v>
      </c>
      <c r="F571">
        <v>92.699420000000003</v>
      </c>
      <c r="G571"/>
      <c r="H571"/>
      <c r="I571">
        <v>31.521940000000001</v>
      </c>
      <c r="J571">
        <v>21.584769999999999</v>
      </c>
      <c r="K571">
        <v>72.2</v>
      </c>
      <c r="L571">
        <v>79.879649999999998</v>
      </c>
      <c r="M571">
        <v>71.684489999999997</v>
      </c>
      <c r="N571">
        <v>76</v>
      </c>
      <c r="O571">
        <v>68.974590000000006</v>
      </c>
      <c r="P571"/>
      <c r="Q571"/>
      <c r="R571">
        <v>76.856350000000006</v>
      </c>
      <c r="S571">
        <v>79.916939999999997</v>
      </c>
      <c r="T571"/>
      <c r="U571">
        <v>74.429919999999996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62.82882</v>
      </c>
      <c r="AN571">
        <v>55.893990000000002</v>
      </c>
      <c r="AO571">
        <v>47.936070000000001</v>
      </c>
      <c r="AP571">
        <v>64.408060000000006</v>
      </c>
      <c r="AQ571"/>
      <c r="AR571"/>
      <c r="AS571">
        <v>44.156309999999998</v>
      </c>
      <c r="AT571"/>
      <c r="AU571">
        <v>87.174869999999999</v>
      </c>
      <c r="AV571">
        <v>1.5899620000000001</v>
      </c>
      <c r="AW571">
        <v>68.194999999999993</v>
      </c>
      <c r="AX571"/>
    </row>
    <row r="572" spans="1:50" x14ac:dyDescent="0.2">
      <c r="A572" s="76">
        <v>35247</v>
      </c>
      <c r="B572">
        <v>73.186840000000004</v>
      </c>
      <c r="C572">
        <v>73.154240000000001</v>
      </c>
      <c r="D572"/>
      <c r="E572">
        <v>73.420010000000005</v>
      </c>
      <c r="F572">
        <v>92.730739999999997</v>
      </c>
      <c r="G572"/>
      <c r="H572"/>
      <c r="I572">
        <v>31.930679999999999</v>
      </c>
      <c r="J572">
        <v>21.8126</v>
      </c>
      <c r="K572">
        <v>72.8</v>
      </c>
      <c r="L572">
        <v>79.990009999999998</v>
      </c>
      <c r="M572">
        <v>71.328310000000002</v>
      </c>
      <c r="N572">
        <v>76.040000000000006</v>
      </c>
      <c r="O572">
        <v>69.084919999999997</v>
      </c>
      <c r="P572"/>
      <c r="Q572"/>
      <c r="R572">
        <v>76.856350000000006</v>
      </c>
      <c r="S572">
        <v>79.770690000000002</v>
      </c>
      <c r="T572"/>
      <c r="U572">
        <v>74.450550000000007</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62.970089999999999</v>
      </c>
      <c r="AN572">
        <v>56.04157</v>
      </c>
      <c r="AO572">
        <v>48.483159999999998</v>
      </c>
      <c r="AP572">
        <v>64.456609999999998</v>
      </c>
      <c r="AQ572"/>
      <c r="AR572"/>
      <c r="AS572">
        <v>44.191800000000001</v>
      </c>
      <c r="AT572"/>
      <c r="AU572">
        <v>86.632000000000005</v>
      </c>
      <c r="AV572">
        <v>1.6446689999999999</v>
      </c>
      <c r="AW572">
        <v>68.318839999999994</v>
      </c>
      <c r="AX572"/>
    </row>
    <row r="573" spans="1:50" x14ac:dyDescent="0.2">
      <c r="A573" s="76">
        <v>35278</v>
      </c>
      <c r="B573">
        <v>73.666790000000006</v>
      </c>
      <c r="C573">
        <v>73.520359999999997</v>
      </c>
      <c r="D573"/>
      <c r="E573">
        <v>73.461539999999999</v>
      </c>
      <c r="F573">
        <v>93.175290000000004</v>
      </c>
      <c r="G573"/>
      <c r="H573"/>
      <c r="I573">
        <v>32.290370000000003</v>
      </c>
      <c r="J573">
        <v>22.029579999999999</v>
      </c>
      <c r="K573">
        <v>73</v>
      </c>
      <c r="L573">
        <v>80.09205</v>
      </c>
      <c r="M573">
        <v>71.549880000000002</v>
      </c>
      <c r="N573">
        <v>76.12</v>
      </c>
      <c r="O573">
        <v>69.154560000000004</v>
      </c>
      <c r="P573"/>
      <c r="Q573"/>
      <c r="R573">
        <v>76.856350000000006</v>
      </c>
      <c r="S573">
        <v>79.828379999999996</v>
      </c>
      <c r="T573"/>
      <c r="U573">
        <v>74.542879999999997</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63.178429999999999</v>
      </c>
      <c r="AN573">
        <v>56.327530000000003</v>
      </c>
      <c r="AO573">
        <v>48.932540000000003</v>
      </c>
      <c r="AP573">
        <v>64.611540000000005</v>
      </c>
      <c r="AQ573"/>
      <c r="AR573"/>
      <c r="AS573">
        <v>44.290489999999998</v>
      </c>
      <c r="AT573"/>
      <c r="AU573">
        <v>86.377319999999997</v>
      </c>
      <c r="AV573">
        <v>1.7190909999999999</v>
      </c>
      <c r="AW573">
        <v>68.442679999999996</v>
      </c>
      <c r="AX573"/>
    </row>
    <row r="574" spans="1:50" x14ac:dyDescent="0.2">
      <c r="A574" s="76">
        <v>35309</v>
      </c>
      <c r="B574">
        <v>72.861369999999994</v>
      </c>
      <c r="C574">
        <v>73.224209999999999</v>
      </c>
      <c r="D574"/>
      <c r="E574">
        <v>73.564499999999995</v>
      </c>
      <c r="F574">
        <v>93.184330000000003</v>
      </c>
      <c r="G574"/>
      <c r="H574"/>
      <c r="I574">
        <v>32.658230000000003</v>
      </c>
      <c r="J574">
        <v>22.1858</v>
      </c>
      <c r="K574">
        <v>73.2</v>
      </c>
      <c r="L574">
        <v>80.066429999999997</v>
      </c>
      <c r="M574">
        <v>71.889759999999995</v>
      </c>
      <c r="N574">
        <v>76.25</v>
      </c>
      <c r="O574">
        <v>69.288799999999995</v>
      </c>
      <c r="P574"/>
      <c r="Q574"/>
      <c r="R574">
        <v>77.009609999999995</v>
      </c>
      <c r="S574">
        <v>79.973619999999997</v>
      </c>
      <c r="T574"/>
      <c r="U574">
        <v>74.791880000000006</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63.558030000000002</v>
      </c>
      <c r="AN574">
        <v>56.77084</v>
      </c>
      <c r="AO574">
        <v>49.759619999999998</v>
      </c>
      <c r="AP574">
        <v>64.737049999999996</v>
      </c>
      <c r="AQ574"/>
      <c r="AR574"/>
      <c r="AS574">
        <v>44.373390000000001</v>
      </c>
      <c r="AT574"/>
      <c r="AU574">
        <v>86.816310000000001</v>
      </c>
      <c r="AV574">
        <v>1.8413200000000001</v>
      </c>
      <c r="AW574">
        <v>68.690359999999998</v>
      </c>
      <c r="AX574"/>
    </row>
    <row r="575" spans="1:50" x14ac:dyDescent="0.2">
      <c r="A575" s="76">
        <v>35339</v>
      </c>
      <c r="B575">
        <v>72.583510000000004</v>
      </c>
      <c r="C575">
        <v>73.238720000000001</v>
      </c>
      <c r="D575"/>
      <c r="E575">
        <v>73.543139999999994</v>
      </c>
      <c r="F575">
        <v>93.128820000000005</v>
      </c>
      <c r="G575"/>
      <c r="H575"/>
      <c r="I575">
        <v>33.091500000000003</v>
      </c>
      <c r="J575">
        <v>22.446169999999999</v>
      </c>
      <c r="K575">
        <v>73.5</v>
      </c>
      <c r="L575">
        <v>79.993970000000004</v>
      </c>
      <c r="M575">
        <v>71.896360000000001</v>
      </c>
      <c r="N575">
        <v>76.31</v>
      </c>
      <c r="O575">
        <v>69.425330000000002</v>
      </c>
      <c r="P575"/>
      <c r="Q575"/>
      <c r="R575">
        <v>77.086240000000004</v>
      </c>
      <c r="S575">
        <v>80.078419999999994</v>
      </c>
      <c r="T575"/>
      <c r="U575">
        <v>74.959779999999995</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63.865960000000001</v>
      </c>
      <c r="AN575">
        <v>57.141190000000002</v>
      </c>
      <c r="AO575">
        <v>50.553750000000001</v>
      </c>
      <c r="AP575">
        <v>65.020250000000004</v>
      </c>
      <c r="AQ575"/>
      <c r="AR575"/>
      <c r="AS575">
        <v>44.634619999999998</v>
      </c>
      <c r="AT575"/>
      <c r="AU575">
        <v>86.947010000000006</v>
      </c>
      <c r="AV575">
        <v>1.961084</v>
      </c>
      <c r="AW575">
        <v>68.938040000000001</v>
      </c>
      <c r="AX575"/>
    </row>
    <row r="576" spans="1:50" x14ac:dyDescent="0.2">
      <c r="A576" s="76">
        <v>35370</v>
      </c>
      <c r="B576">
        <v>72.738659999999996</v>
      </c>
      <c r="C576">
        <v>73.444569999999999</v>
      </c>
      <c r="D576"/>
      <c r="E576">
        <v>73.861130000000003</v>
      </c>
      <c r="F576">
        <v>93.083250000000007</v>
      </c>
      <c r="G576"/>
      <c r="H576"/>
      <c r="I576">
        <v>33.38579</v>
      </c>
      <c r="J576">
        <v>22.642530000000001</v>
      </c>
      <c r="K576">
        <v>73.8</v>
      </c>
      <c r="L576">
        <v>79.914469999999994</v>
      </c>
      <c r="M576">
        <v>72.144840000000002</v>
      </c>
      <c r="N576">
        <v>76.260000000000005</v>
      </c>
      <c r="O576">
        <v>69.461439999999996</v>
      </c>
      <c r="P576"/>
      <c r="Q576"/>
      <c r="R576">
        <v>76.856350000000006</v>
      </c>
      <c r="S576">
        <v>79.849879999999999</v>
      </c>
      <c r="T576"/>
      <c r="U576">
        <v>75.020600000000002</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64.048299999999998</v>
      </c>
      <c r="AN576">
        <v>57.379689999999997</v>
      </c>
      <c r="AO576">
        <v>50.923609999999996</v>
      </c>
      <c r="AP576">
        <v>65.338430000000002</v>
      </c>
      <c r="AQ576"/>
      <c r="AR576"/>
      <c r="AS576">
        <v>44.806840000000001</v>
      </c>
      <c r="AT576"/>
      <c r="AU576">
        <v>86.890039999999999</v>
      </c>
      <c r="AV576">
        <v>2.04487</v>
      </c>
      <c r="AW576">
        <v>69.020610000000005</v>
      </c>
      <c r="AX576"/>
    </row>
    <row r="577" spans="1:50" x14ac:dyDescent="0.2">
      <c r="A577" s="76">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75.010729999999995</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64.249309999999994</v>
      </c>
      <c r="AN577">
        <v>57.705410000000001</v>
      </c>
      <c r="AO577">
        <v>51.2729</v>
      </c>
      <c r="AP577">
        <v>65.144260000000003</v>
      </c>
      <c r="AQ577"/>
      <c r="AR577"/>
      <c r="AS577">
        <v>45.055810000000001</v>
      </c>
      <c r="AT577"/>
      <c r="AU577">
        <v>86.635350000000003</v>
      </c>
      <c r="AV577">
        <v>2.1325989999999999</v>
      </c>
      <c r="AW577">
        <v>68.938040000000001</v>
      </c>
      <c r="AX577"/>
    </row>
    <row r="578" spans="1:50" x14ac:dyDescent="0.2">
      <c r="A578" s="76">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75.099950000000007</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64.502170000000007</v>
      </c>
      <c r="AN578">
        <v>58.023240000000001</v>
      </c>
      <c r="AO578">
        <v>52.71978</v>
      </c>
      <c r="AP578">
        <v>66.895259999999993</v>
      </c>
      <c r="AQ578"/>
      <c r="AR578"/>
      <c r="AS578">
        <v>45.588290000000001</v>
      </c>
      <c r="AT578"/>
      <c r="AU578">
        <v>86.558279999999996</v>
      </c>
      <c r="AV578">
        <v>2.2651780000000001</v>
      </c>
      <c r="AW578">
        <v>69.144450000000006</v>
      </c>
      <c r="AX578"/>
    </row>
    <row r="579" spans="1:50" x14ac:dyDescent="0.2">
      <c r="A579" s="76">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75.330510000000004</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64.805660000000003</v>
      </c>
      <c r="AN579">
        <v>58.336550000000003</v>
      </c>
      <c r="AO579">
        <v>53.550040000000003</v>
      </c>
      <c r="AP579">
        <v>67.188270000000003</v>
      </c>
      <c r="AQ579"/>
      <c r="AR579"/>
      <c r="AS579">
        <v>45.771410000000003</v>
      </c>
      <c r="AT579"/>
      <c r="AU579">
        <v>86.424229999999994</v>
      </c>
      <c r="AV579">
        <v>2.3494570000000001</v>
      </c>
      <c r="AW579">
        <v>69.474689999999995</v>
      </c>
      <c r="AX579"/>
    </row>
    <row r="580" spans="1:50" x14ac:dyDescent="0.2">
      <c r="A580" s="76">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75.608029999999999</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65.165139999999994</v>
      </c>
      <c r="AN580">
        <v>58.691029999999998</v>
      </c>
      <c r="AO580">
        <v>54.210340000000002</v>
      </c>
      <c r="AP580">
        <v>67.412750000000003</v>
      </c>
      <c r="AQ580"/>
      <c r="AR580"/>
      <c r="AS580">
        <v>46.023240000000001</v>
      </c>
      <c r="AT580"/>
      <c r="AU580">
        <v>86.906790000000001</v>
      </c>
      <c r="AV580">
        <v>2.4342290000000002</v>
      </c>
      <c r="AW580">
        <v>69.763649999999998</v>
      </c>
      <c r="AX580"/>
    </row>
    <row r="581" spans="1:50" x14ac:dyDescent="0.2">
      <c r="A581" s="76">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65.513890000000004</v>
      </c>
      <c r="AN581">
        <v>58.974260000000001</v>
      </c>
      <c r="AO581">
        <v>54.743299999999998</v>
      </c>
      <c r="AP581">
        <v>67.564089999999993</v>
      </c>
      <c r="AQ581"/>
      <c r="AR581"/>
      <c r="AS581">
        <v>46.412239999999997</v>
      </c>
      <c r="AT581"/>
      <c r="AU581">
        <v>87.302220000000005</v>
      </c>
      <c r="AV581">
        <v>2.5682860000000001</v>
      </c>
      <c r="AW581">
        <v>69.92877</v>
      </c>
      <c r="AX581"/>
    </row>
    <row r="582" spans="1:50" x14ac:dyDescent="0.2">
      <c r="A582" s="76">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75.958200000000005</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65.707179999999994</v>
      </c>
      <c r="AN582">
        <v>59.302599999999998</v>
      </c>
      <c r="AO582">
        <v>55.059040000000003</v>
      </c>
      <c r="AP582">
        <v>67.744429999999994</v>
      </c>
      <c r="AQ582"/>
      <c r="AR582"/>
      <c r="AS582">
        <v>46.692500000000003</v>
      </c>
      <c r="AT582"/>
      <c r="AU582">
        <v>87.191630000000004</v>
      </c>
      <c r="AV582">
        <v>2.7181150000000001</v>
      </c>
      <c r="AW582">
        <v>69.88749</v>
      </c>
      <c r="AX582"/>
    </row>
    <row r="583" spans="1:50" x14ac:dyDescent="0.2">
      <c r="A583" s="76">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75.950749999999999</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65.820400000000006</v>
      </c>
      <c r="AN583">
        <v>59.491340000000001</v>
      </c>
      <c r="AO583">
        <v>55.460769999999997</v>
      </c>
      <c r="AP583">
        <v>67.813320000000004</v>
      </c>
      <c r="AQ583"/>
      <c r="AR583"/>
      <c r="AS583">
        <v>46.772410000000001</v>
      </c>
      <c r="AT583"/>
      <c r="AU583">
        <v>87.198329999999999</v>
      </c>
      <c r="AV583">
        <v>2.813237</v>
      </c>
      <c r="AW583">
        <v>69.846209999999999</v>
      </c>
      <c r="AX583"/>
    </row>
    <row r="584" spans="1:50" x14ac:dyDescent="0.2">
      <c r="A584" s="76">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66.050640000000001</v>
      </c>
      <c r="AN584">
        <v>59.892029999999998</v>
      </c>
      <c r="AO584">
        <v>56.054459999999999</v>
      </c>
      <c r="AP584">
        <v>67.905680000000004</v>
      </c>
      <c r="AQ584"/>
      <c r="AR584"/>
      <c r="AS584">
        <v>47.009340000000002</v>
      </c>
      <c r="AT584"/>
      <c r="AU584">
        <v>86.688969999999998</v>
      </c>
      <c r="AV584">
        <v>3.001509</v>
      </c>
      <c r="AW584">
        <v>69.970050000000001</v>
      </c>
      <c r="AX584"/>
    </row>
    <row r="585" spans="1:50" x14ac:dyDescent="0.2">
      <c r="A585" s="76">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76.106030000000004</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66.270570000000006</v>
      </c>
      <c r="AN585">
        <v>60.313339999999997</v>
      </c>
      <c r="AO585">
        <v>56.52243</v>
      </c>
      <c r="AP585">
        <v>68.030519999999996</v>
      </c>
      <c r="AQ585"/>
      <c r="AR585"/>
      <c r="AS585">
        <v>47.404609999999998</v>
      </c>
      <c r="AT585"/>
      <c r="AU585">
        <v>86.672219999999996</v>
      </c>
      <c r="AV585">
        <v>3.1991450000000001</v>
      </c>
      <c r="AW585">
        <v>70.011330000000001</v>
      </c>
      <c r="AX585"/>
    </row>
    <row r="586" spans="1:50" x14ac:dyDescent="0.2">
      <c r="A586" s="76">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66.681979999999996</v>
      </c>
      <c r="AN586">
        <v>60.841880000000003</v>
      </c>
      <c r="AO586">
        <v>57.418469999999999</v>
      </c>
      <c r="AP586">
        <v>68.129549999999995</v>
      </c>
      <c r="AQ586"/>
      <c r="AR586"/>
      <c r="AS586">
        <v>47.609279999999998</v>
      </c>
      <c r="AT586"/>
      <c r="AU586">
        <v>87.774720000000002</v>
      </c>
      <c r="AV586">
        <v>3.4574029999999998</v>
      </c>
      <c r="AW586">
        <v>70.176450000000003</v>
      </c>
      <c r="AX586"/>
    </row>
    <row r="587" spans="1:50" x14ac:dyDescent="0.2">
      <c r="A587" s="76">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67.052220000000005</v>
      </c>
      <c r="AN587">
        <v>61.273350000000001</v>
      </c>
      <c r="AO587">
        <v>57.894710000000003</v>
      </c>
      <c r="AP587">
        <v>68.203699999999998</v>
      </c>
      <c r="AQ587"/>
      <c r="AR587"/>
      <c r="AS587">
        <v>47.989690000000003</v>
      </c>
      <c r="AT587"/>
      <c r="AU587">
        <v>88.032749999999993</v>
      </c>
      <c r="AV587">
        <v>3.7176330000000002</v>
      </c>
      <c r="AW587">
        <v>70.506690000000006</v>
      </c>
      <c r="AX587"/>
    </row>
    <row r="588" spans="1:50" x14ac:dyDescent="0.2">
      <c r="A588" s="76">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67.243110000000001</v>
      </c>
      <c r="AN588">
        <v>61.663519999999998</v>
      </c>
      <c r="AO588">
        <v>58.40643</v>
      </c>
      <c r="AP588">
        <v>68.302539999999993</v>
      </c>
      <c r="AQ588"/>
      <c r="AR588"/>
      <c r="AS588">
        <v>48.291310000000003</v>
      </c>
      <c r="AT588"/>
      <c r="AU588">
        <v>87.97578</v>
      </c>
      <c r="AV588">
        <v>3.9142830000000002</v>
      </c>
      <c r="AW588">
        <v>70.506690000000006</v>
      </c>
      <c r="AX588"/>
    </row>
    <row r="589" spans="1:50" x14ac:dyDescent="0.2">
      <c r="A589" s="76">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76.583359999999999</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67.423689999999993</v>
      </c>
      <c r="AN589">
        <v>62.021790000000003</v>
      </c>
      <c r="AO589">
        <v>58.765599999999999</v>
      </c>
      <c r="AP589">
        <v>68.344089999999994</v>
      </c>
      <c r="AQ589"/>
      <c r="AR589"/>
      <c r="AS589">
        <v>48.4861</v>
      </c>
      <c r="AT589"/>
      <c r="AU589">
        <v>87.945629999999994</v>
      </c>
      <c r="AV589">
        <v>4.1015699999999997</v>
      </c>
      <c r="AW589">
        <v>70.465419999999995</v>
      </c>
      <c r="AX589"/>
    </row>
    <row r="590" spans="1:50" x14ac:dyDescent="0.2">
      <c r="A590" s="76">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67.652900000000002</v>
      </c>
      <c r="AN590">
        <v>62.247459999999997</v>
      </c>
      <c r="AO590">
        <v>60.441209999999998</v>
      </c>
      <c r="AP590">
        <v>68.306079999999994</v>
      </c>
      <c r="AQ590"/>
      <c r="AR590"/>
      <c r="AS590">
        <v>49.524030000000003</v>
      </c>
      <c r="AT590"/>
      <c r="AU590">
        <v>86.779449999999997</v>
      </c>
      <c r="AV590">
        <v>4.3903850000000002</v>
      </c>
      <c r="AW590">
        <v>70.671809999999994</v>
      </c>
      <c r="AX590"/>
    </row>
    <row r="591" spans="1:50" x14ac:dyDescent="0.2">
      <c r="A591" s="76">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68.033249999999995</v>
      </c>
      <c r="AN591">
        <v>62.657299999999999</v>
      </c>
      <c r="AO591">
        <v>61.865920000000003</v>
      </c>
      <c r="AP591">
        <v>68.186890000000005</v>
      </c>
      <c r="AQ591"/>
      <c r="AR591"/>
      <c r="AS591">
        <v>49.818080000000002</v>
      </c>
      <c r="AT591"/>
      <c r="AU591">
        <v>86.632000000000005</v>
      </c>
      <c r="AV591">
        <v>4.562392</v>
      </c>
      <c r="AW591">
        <v>71.043329999999997</v>
      </c>
      <c r="AX591"/>
    </row>
    <row r="592" spans="1:50" x14ac:dyDescent="0.2">
      <c r="A592" s="76">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68.369190000000003</v>
      </c>
      <c r="AN592">
        <v>63.0306</v>
      </c>
      <c r="AO592">
        <v>62.344790000000003</v>
      </c>
      <c r="AP592">
        <v>68.389849999999996</v>
      </c>
      <c r="AQ592"/>
      <c r="AR592"/>
      <c r="AS592">
        <v>50.086179999999999</v>
      </c>
      <c r="AT592"/>
      <c r="AU592">
        <v>86.873279999999994</v>
      </c>
      <c r="AV592">
        <v>4.7600290000000003</v>
      </c>
      <c r="AW592">
        <v>71.249740000000003</v>
      </c>
      <c r="AX592"/>
    </row>
    <row r="593" spans="1:50" x14ac:dyDescent="0.2">
      <c r="A593" s="76">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68.668109999999999</v>
      </c>
      <c r="AN593">
        <v>63.402000000000001</v>
      </c>
      <c r="AO593">
        <v>62.776000000000003</v>
      </c>
      <c r="AP593">
        <v>68.893600000000006</v>
      </c>
      <c r="AQ593"/>
      <c r="AR593"/>
      <c r="AS593">
        <v>50.233629999999998</v>
      </c>
      <c r="AT593"/>
      <c r="AU593">
        <v>87.024079999999998</v>
      </c>
      <c r="AV593">
        <v>5.0281440000000002</v>
      </c>
      <c r="AW593">
        <v>71.414860000000004</v>
      </c>
      <c r="AX593"/>
    </row>
    <row r="594" spans="1:50" x14ac:dyDescent="0.2">
      <c r="A594" s="76">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68.85342</v>
      </c>
      <c r="AN594">
        <v>63.717759999999998</v>
      </c>
      <c r="AO594">
        <v>63.048360000000002</v>
      </c>
      <c r="AP594">
        <v>69.390079999999998</v>
      </c>
      <c r="AQ594"/>
      <c r="AR594"/>
      <c r="AS594">
        <v>50.372750000000003</v>
      </c>
      <c r="AT594"/>
      <c r="AU594">
        <v>87.13467</v>
      </c>
      <c r="AV594">
        <v>5.2696440000000004</v>
      </c>
      <c r="AW594">
        <v>71.456140000000005</v>
      </c>
      <c r="AX594"/>
    </row>
    <row r="595" spans="1:50" x14ac:dyDescent="0.2">
      <c r="A595" s="76">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68.971680000000006</v>
      </c>
      <c r="AN595">
        <v>63.968409999999999</v>
      </c>
      <c r="AO595">
        <v>63.397539999999999</v>
      </c>
      <c r="AP595">
        <v>69.508989999999997</v>
      </c>
      <c r="AQ595"/>
      <c r="AR595"/>
      <c r="AS595">
        <v>50.465510000000002</v>
      </c>
      <c r="AT595"/>
      <c r="AU595">
        <v>86.836420000000004</v>
      </c>
      <c r="AV595">
        <v>5.496359</v>
      </c>
      <c r="AW595">
        <v>71.414860000000004</v>
      </c>
      <c r="AX595"/>
    </row>
    <row r="596" spans="1:50" x14ac:dyDescent="0.2">
      <c r="A596" s="76">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69.106700000000004</v>
      </c>
      <c r="AN596">
        <v>64.158299999999997</v>
      </c>
      <c r="AO596">
        <v>63.984810000000003</v>
      </c>
      <c r="AP596">
        <v>69.648200000000003</v>
      </c>
      <c r="AQ596"/>
      <c r="AR596"/>
      <c r="AS596">
        <v>50.608359999999998</v>
      </c>
      <c r="AT596"/>
      <c r="AU596">
        <v>86.504660000000001</v>
      </c>
      <c r="AV596">
        <v>5.6895600000000002</v>
      </c>
      <c r="AW596">
        <v>71.538700000000006</v>
      </c>
      <c r="AX596"/>
    </row>
    <row r="597" spans="1:50" x14ac:dyDescent="0.2">
      <c r="A597" s="76">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69.351010000000002</v>
      </c>
      <c r="AN597">
        <v>64.487880000000004</v>
      </c>
      <c r="AO597">
        <v>64.427809999999994</v>
      </c>
      <c r="AP597">
        <v>69.534580000000005</v>
      </c>
      <c r="AQ597"/>
      <c r="AR597"/>
      <c r="AS597">
        <v>50.62509</v>
      </c>
      <c r="AT597"/>
      <c r="AU597">
        <v>86.042209999999997</v>
      </c>
      <c r="AV597">
        <v>5.9586610000000002</v>
      </c>
      <c r="AW597">
        <v>71.745099999999994</v>
      </c>
      <c r="AX597"/>
    </row>
    <row r="598" spans="1:50" x14ac:dyDescent="0.2">
      <c r="A598" s="76">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77.670839999999998</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69.715620000000001</v>
      </c>
      <c r="AN598">
        <v>64.991730000000004</v>
      </c>
      <c r="AO598">
        <v>64.877200000000002</v>
      </c>
      <c r="AP598">
        <v>69.625579999999999</v>
      </c>
      <c r="AQ598"/>
      <c r="AR598"/>
      <c r="AS598">
        <v>50.832859999999997</v>
      </c>
      <c r="AT598"/>
      <c r="AU598">
        <v>86.742580000000004</v>
      </c>
      <c r="AV598">
        <v>6.3815340000000003</v>
      </c>
      <c r="AW598">
        <v>71.910219999999995</v>
      </c>
      <c r="AX598"/>
    </row>
    <row r="599" spans="1:50" x14ac:dyDescent="0.2">
      <c r="A599" s="76">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70.008960000000002</v>
      </c>
      <c r="AN599">
        <v>65.360209999999995</v>
      </c>
      <c r="AO599">
        <v>65.263530000000003</v>
      </c>
      <c r="AP599">
        <v>69.961489999999998</v>
      </c>
      <c r="AQ599"/>
      <c r="AR599"/>
      <c r="AS599">
        <v>51.213389999999997</v>
      </c>
      <c r="AT599"/>
      <c r="AU599">
        <v>86.987210000000005</v>
      </c>
      <c r="AV599">
        <v>6.7521630000000004</v>
      </c>
      <c r="AW599">
        <v>72.116619999999998</v>
      </c>
      <c r="AX599"/>
    </row>
    <row r="600" spans="1:50" x14ac:dyDescent="0.2">
      <c r="A600" s="76">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70.184330000000003</v>
      </c>
      <c r="AN600">
        <v>65.638239999999996</v>
      </c>
      <c r="AO600">
        <v>65.438580000000002</v>
      </c>
      <c r="AP600">
        <v>70.474720000000005</v>
      </c>
      <c r="AQ600"/>
      <c r="AR600"/>
      <c r="AS600">
        <v>51.435090000000002</v>
      </c>
      <c r="AT600"/>
      <c r="AU600">
        <v>86.75264</v>
      </c>
      <c r="AV600">
        <v>7.0335859999999997</v>
      </c>
      <c r="AW600">
        <v>72.157910000000001</v>
      </c>
      <c r="AX600"/>
    </row>
    <row r="601" spans="1:50" x14ac:dyDescent="0.2">
      <c r="A601" s="76">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70.369429999999994</v>
      </c>
      <c r="AN601">
        <v>65.945170000000005</v>
      </c>
      <c r="AO601">
        <v>65.579710000000006</v>
      </c>
      <c r="AP601">
        <v>70.592399999999998</v>
      </c>
      <c r="AQ601"/>
      <c r="AR601"/>
      <c r="AS601">
        <v>51.626159999999999</v>
      </c>
      <c r="AT601"/>
      <c r="AU601">
        <v>86.668859999999995</v>
      </c>
      <c r="AV601">
        <v>7.2938150000000004</v>
      </c>
      <c r="AW601">
        <v>72.157910000000001</v>
      </c>
      <c r="AX601"/>
    </row>
    <row r="602" spans="1:50" x14ac:dyDescent="0.2">
      <c r="A602" s="76">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70.511020000000002</v>
      </c>
      <c r="AN602">
        <v>66.031589999999994</v>
      </c>
      <c r="AO602">
        <v>67.088340000000002</v>
      </c>
      <c r="AP602">
        <v>70.323620000000005</v>
      </c>
      <c r="AQ602"/>
      <c r="AR602"/>
      <c r="AS602">
        <v>52.406010000000002</v>
      </c>
      <c r="AT602"/>
      <c r="AU602">
        <v>86.531469999999999</v>
      </c>
      <c r="AV602">
        <v>7.6674020000000001</v>
      </c>
      <c r="AW602">
        <v>72.3643</v>
      </c>
      <c r="AX602"/>
    </row>
    <row r="603" spans="1:50" x14ac:dyDescent="0.2">
      <c r="A603" s="76">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70.74512</v>
      </c>
      <c r="AN603">
        <v>66.336460000000002</v>
      </c>
      <c r="AO603">
        <v>67.7517</v>
      </c>
      <c r="AP603">
        <v>70.281239999999997</v>
      </c>
      <c r="AQ603"/>
      <c r="AR603"/>
      <c r="AS603">
        <v>53.165050000000001</v>
      </c>
      <c r="AT603"/>
      <c r="AU603">
        <v>86.531469999999999</v>
      </c>
      <c r="AV603">
        <v>7.8975669999999996</v>
      </c>
      <c r="AW603">
        <v>72.529430000000005</v>
      </c>
      <c r="AX603"/>
    </row>
    <row r="604" spans="1:50" x14ac:dyDescent="0.2">
      <c r="A604" s="76">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78.152829999999994</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71.045389999999998</v>
      </c>
      <c r="AN604">
        <v>66.654660000000007</v>
      </c>
      <c r="AO604">
        <v>68.289199999999994</v>
      </c>
      <c r="AP604">
        <v>70.468249999999998</v>
      </c>
      <c r="AQ604"/>
      <c r="AR604"/>
      <c r="AS604">
        <v>53.507890000000003</v>
      </c>
      <c r="AT604"/>
      <c r="AU604">
        <v>86.816310000000001</v>
      </c>
      <c r="AV604">
        <v>8.1696240000000007</v>
      </c>
      <c r="AW604">
        <v>72.735830000000007</v>
      </c>
      <c r="AX604"/>
    </row>
    <row r="605" spans="1:50" x14ac:dyDescent="0.2">
      <c r="A605" s="76">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71.360990000000001</v>
      </c>
      <c r="AN605">
        <v>66.974620000000002</v>
      </c>
      <c r="AO605">
        <v>68.888530000000003</v>
      </c>
      <c r="AP605">
        <v>70.935649999999995</v>
      </c>
      <c r="AQ605"/>
      <c r="AR605"/>
      <c r="AS605">
        <v>53.9437</v>
      </c>
      <c r="AT605"/>
      <c r="AU605">
        <v>87.047539999999998</v>
      </c>
      <c r="AV605">
        <v>8.5407480000000007</v>
      </c>
      <c r="AW605">
        <v>72.983509999999995</v>
      </c>
      <c r="AX605"/>
    </row>
    <row r="606" spans="1:50" x14ac:dyDescent="0.2">
      <c r="A606" s="76">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78.38373</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71.482219999999998</v>
      </c>
      <c r="AN606">
        <v>67.269030000000001</v>
      </c>
      <c r="AO606">
        <v>69.404240000000001</v>
      </c>
      <c r="AP606">
        <v>71.39143</v>
      </c>
      <c r="AQ606"/>
      <c r="AR606"/>
      <c r="AS606">
        <v>54.280090000000001</v>
      </c>
      <c r="AT606"/>
      <c r="AU606">
        <v>87.077699999999993</v>
      </c>
      <c r="AV606">
        <v>8.9429200000000009</v>
      </c>
      <c r="AW606">
        <v>72.900949999999995</v>
      </c>
      <c r="AX606"/>
    </row>
    <row r="607" spans="1:50" x14ac:dyDescent="0.2">
      <c r="A607" s="76">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78.401690000000002</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71.625889999999998</v>
      </c>
      <c r="AN607">
        <v>67.549000000000007</v>
      </c>
      <c r="AO607">
        <v>69.891459999999995</v>
      </c>
      <c r="AP607">
        <v>71.494420000000005</v>
      </c>
      <c r="AQ607"/>
      <c r="AR607"/>
      <c r="AS607">
        <v>54.567369999999997</v>
      </c>
      <c r="AT607"/>
      <c r="AU607">
        <v>87.194980000000001</v>
      </c>
      <c r="AV607">
        <v>9.3825489999999991</v>
      </c>
      <c r="AW607">
        <v>72.900949999999995</v>
      </c>
      <c r="AX607"/>
    </row>
    <row r="608" spans="1:50" x14ac:dyDescent="0.2">
      <c r="A608" s="76">
        <v>36342</v>
      </c>
      <c r="B608">
        <v>74.865489999999994</v>
      </c>
      <c r="C608">
        <v>76.262039999999999</v>
      </c>
      <c r="D608"/>
      <c r="E608">
        <v>76.834249999999997</v>
      </c>
      <c r="F608">
        <v>93.916619999999995</v>
      </c>
      <c r="G608">
        <v>67.768190000000004</v>
      </c>
      <c r="H608"/>
      <c r="I608">
        <v>50.070509999999999</v>
      </c>
      <c r="J608">
        <v>30.416779999999999</v>
      </c>
      <c r="K608">
        <v>86.5</v>
      </c>
      <c r="L608">
        <v>83.24324</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71.763509999999997</v>
      </c>
      <c r="AN608">
        <v>67.751580000000004</v>
      </c>
      <c r="AO608">
        <v>70.317980000000006</v>
      </c>
      <c r="AP608">
        <v>71.565219999999997</v>
      </c>
      <c r="AQ608"/>
      <c r="AR608"/>
      <c r="AS608">
        <v>55.780050000000003</v>
      </c>
      <c r="AT608"/>
      <c r="AU608">
        <v>86.779449999999997</v>
      </c>
      <c r="AV608">
        <v>9.7635299999999994</v>
      </c>
      <c r="AW608">
        <v>73.024789999999996</v>
      </c>
      <c r="AX608"/>
    </row>
    <row r="609" spans="1:50" x14ac:dyDescent="0.2">
      <c r="A609" s="76">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78.492419999999996</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71.946719999999999</v>
      </c>
      <c r="AN609">
        <v>68.070959999999999</v>
      </c>
      <c r="AO609">
        <v>70.747259999999997</v>
      </c>
      <c r="AP609">
        <v>71.3035</v>
      </c>
      <c r="AQ609"/>
      <c r="AR609"/>
      <c r="AS609">
        <v>56.190899999999999</v>
      </c>
      <c r="AT609"/>
      <c r="AU609">
        <v>86.645409999999998</v>
      </c>
      <c r="AV609">
        <v>10.215479999999999</v>
      </c>
      <c r="AW609">
        <v>73.107349999999997</v>
      </c>
      <c r="AX609"/>
    </row>
    <row r="610" spans="1:50" x14ac:dyDescent="0.2">
      <c r="A610" s="76">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78.698750000000004</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72.302639999999997</v>
      </c>
      <c r="AN610">
        <v>68.521550000000005</v>
      </c>
      <c r="AO610">
        <v>71.392009999999999</v>
      </c>
      <c r="AP610">
        <v>71.324219999999997</v>
      </c>
      <c r="AQ610"/>
      <c r="AR610"/>
      <c r="AS610">
        <v>56.498660000000001</v>
      </c>
      <c r="AT610"/>
      <c r="AU610">
        <v>87.449659999999994</v>
      </c>
      <c r="AV610">
        <v>10.88232</v>
      </c>
      <c r="AW610">
        <v>73.355029999999999</v>
      </c>
      <c r="AX610"/>
    </row>
    <row r="611" spans="1:50" x14ac:dyDescent="0.2">
      <c r="A611" s="76">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78.858080000000001</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72.603269999999995</v>
      </c>
      <c r="AN611">
        <v>68.902180000000001</v>
      </c>
      <c r="AO611">
        <v>71.89246</v>
      </c>
      <c r="AP611">
        <v>71.797330000000002</v>
      </c>
      <c r="AQ611"/>
      <c r="AR611"/>
      <c r="AS611">
        <v>56.85463</v>
      </c>
      <c r="AT611"/>
      <c r="AU611">
        <v>87.600459999999998</v>
      </c>
      <c r="AV611">
        <v>11.55359</v>
      </c>
      <c r="AW611">
        <v>73.602710000000002</v>
      </c>
      <c r="AX611"/>
    </row>
    <row r="612" spans="1:50" x14ac:dyDescent="0.2">
      <c r="A612" s="76">
        <v>36465</v>
      </c>
      <c r="B612">
        <v>74.882999999999996</v>
      </c>
      <c r="C612">
        <v>76.570139999999995</v>
      </c>
      <c r="D612"/>
      <c r="E612">
        <v>77.11591</v>
      </c>
      <c r="F612">
        <v>94.447609999999997</v>
      </c>
      <c r="G612">
        <v>67.910839999999993</v>
      </c>
      <c r="H612"/>
      <c r="I612">
        <v>50.879809999999999</v>
      </c>
      <c r="J612">
        <v>31.322659999999999</v>
      </c>
      <c r="K612">
        <v>86.4</v>
      </c>
      <c r="L612">
        <v>83.037130000000005</v>
      </c>
      <c r="M612">
        <v>76.627489999999995</v>
      </c>
      <c r="N612">
        <v>79.47</v>
      </c>
      <c r="O612">
        <v>74.705439999999996</v>
      </c>
      <c r="P612">
        <v>66.517520000000005</v>
      </c>
      <c r="Q612"/>
      <c r="R612">
        <v>80.381169999999997</v>
      </c>
      <c r="S612">
        <v>81.612570000000005</v>
      </c>
      <c r="T612"/>
      <c r="U612">
        <v>78.894620000000003</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72.75582</v>
      </c>
      <c r="AN612">
        <v>69.193749999999994</v>
      </c>
      <c r="AO612">
        <v>72.21002</v>
      </c>
      <c r="AP612">
        <v>72.398669999999996</v>
      </c>
      <c r="AQ612"/>
      <c r="AR612"/>
      <c r="AS612">
        <v>57.062620000000003</v>
      </c>
      <c r="AT612"/>
      <c r="AU612">
        <v>87.3994</v>
      </c>
      <c r="AV612">
        <v>11.98386</v>
      </c>
      <c r="AW612">
        <v>73.644000000000005</v>
      </c>
      <c r="AX612"/>
    </row>
    <row r="613" spans="1:50" x14ac:dyDescent="0.2">
      <c r="A613" s="76">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78.867009999999993</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72.927670000000006</v>
      </c>
      <c r="AN613">
        <v>69.633480000000006</v>
      </c>
      <c r="AO613">
        <v>72.531199999999998</v>
      </c>
      <c r="AP613">
        <v>72.505970000000005</v>
      </c>
      <c r="AQ613"/>
      <c r="AR613"/>
      <c r="AS613">
        <v>57.218229999999998</v>
      </c>
      <c r="AT613"/>
      <c r="AU613">
        <v>87.496579999999994</v>
      </c>
      <c r="AV613">
        <v>12.68224</v>
      </c>
      <c r="AW613">
        <v>73.561430000000001</v>
      </c>
      <c r="AX613"/>
    </row>
    <row r="614" spans="1:50" x14ac:dyDescent="0.2">
      <c r="A614" s="76">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78.8643</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73.086299999999994</v>
      </c>
      <c r="AN614">
        <v>69.727829999999997</v>
      </c>
      <c r="AO614">
        <v>74.173779999999994</v>
      </c>
      <c r="AP614">
        <v>72.218670000000003</v>
      </c>
      <c r="AQ614"/>
      <c r="AR614"/>
      <c r="AS614">
        <v>57.989879999999999</v>
      </c>
      <c r="AT614">
        <v>64.941090000000003</v>
      </c>
      <c r="AU614">
        <v>86.621949999999998</v>
      </c>
      <c r="AV614">
        <v>13.37668</v>
      </c>
      <c r="AW614">
        <v>73.809110000000004</v>
      </c>
      <c r="AX614"/>
    </row>
    <row r="615" spans="1:50" x14ac:dyDescent="0.2">
      <c r="A615" s="76">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79.049800000000005</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73.339240000000004</v>
      </c>
      <c r="AN615">
        <v>69.979119999999995</v>
      </c>
      <c r="AO615">
        <v>74.696190000000001</v>
      </c>
      <c r="AP615">
        <v>71.912760000000006</v>
      </c>
      <c r="AQ615"/>
      <c r="AR615"/>
      <c r="AS615">
        <v>59.81953</v>
      </c>
      <c r="AT615">
        <v>65.471090000000004</v>
      </c>
      <c r="AU615">
        <v>86.742580000000004</v>
      </c>
      <c r="AV615">
        <v>13.71527</v>
      </c>
      <c r="AW615">
        <v>74.098079999999996</v>
      </c>
      <c r="AX615"/>
    </row>
    <row r="616" spans="1:50" x14ac:dyDescent="0.2">
      <c r="A616" s="76">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79.33681</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73.664510000000007</v>
      </c>
      <c r="AN616">
        <v>70.23075</v>
      </c>
      <c r="AO616">
        <v>75.328389999999999</v>
      </c>
      <c r="AP616">
        <v>72.116039999999998</v>
      </c>
      <c r="AQ616"/>
      <c r="AR616"/>
      <c r="AS616">
        <v>60.170749999999998</v>
      </c>
      <c r="AT616">
        <v>65.941100000000006</v>
      </c>
      <c r="AU616">
        <v>87.131309999999999</v>
      </c>
      <c r="AV616">
        <v>13.9824</v>
      </c>
      <c r="AW616">
        <v>74.51088</v>
      </c>
      <c r="AX616"/>
    </row>
    <row r="617" spans="1:50" x14ac:dyDescent="0.2">
      <c r="A617" s="76">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79.482389999999995</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73.883449999999996</v>
      </c>
      <c r="AN617">
        <v>70.481629999999996</v>
      </c>
      <c r="AO617">
        <v>75.493260000000006</v>
      </c>
      <c r="AP617">
        <v>72.770660000000007</v>
      </c>
      <c r="AQ617"/>
      <c r="AR617"/>
      <c r="AS617">
        <v>60.41621</v>
      </c>
      <c r="AT617">
        <v>66.371110000000002</v>
      </c>
      <c r="AU617">
        <v>87.308920000000001</v>
      </c>
      <c r="AV617">
        <v>14.39541</v>
      </c>
      <c r="AW617">
        <v>74.676000000000002</v>
      </c>
      <c r="AX617"/>
    </row>
    <row r="618" spans="1:50" x14ac:dyDescent="0.2">
      <c r="A618" s="76">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79.518910000000005</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73.991429999999994</v>
      </c>
      <c r="AN618">
        <v>70.667839999999998</v>
      </c>
      <c r="AO618">
        <v>75.965900000000005</v>
      </c>
      <c r="AP618">
        <v>73.400350000000003</v>
      </c>
      <c r="AQ618"/>
      <c r="AR618"/>
      <c r="AS618">
        <v>60.530830000000002</v>
      </c>
      <c r="AT618">
        <v>66.731110000000001</v>
      </c>
      <c r="AU618">
        <v>87.486530000000002</v>
      </c>
      <c r="AV618">
        <v>14.80843</v>
      </c>
      <c r="AW618">
        <v>74.676000000000002</v>
      </c>
      <c r="AX618"/>
    </row>
    <row r="619" spans="1:50" x14ac:dyDescent="0.2">
      <c r="A619" s="76">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79.552890000000005</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74.091710000000006</v>
      </c>
      <c r="AN619">
        <v>70.856470000000002</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2">
      <c r="A620" s="76">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79.599720000000005</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74.250690000000006</v>
      </c>
      <c r="AN620">
        <v>70.967010000000002</v>
      </c>
      <c r="AO620">
        <v>76.827470000000005</v>
      </c>
      <c r="AP620">
        <v>73.704909999999998</v>
      </c>
      <c r="AQ620"/>
      <c r="AR620"/>
      <c r="AS620">
        <v>60.890470000000001</v>
      </c>
      <c r="AT620">
        <v>67.41113</v>
      </c>
      <c r="AU620">
        <v>86.873279999999994</v>
      </c>
      <c r="AV620">
        <v>15.50385</v>
      </c>
      <c r="AW620">
        <v>74.841130000000007</v>
      </c>
      <c r="AX620"/>
    </row>
    <row r="621" spans="1:50" x14ac:dyDescent="0.2">
      <c r="A621" s="76">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79.748450000000005</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74.451920000000001</v>
      </c>
      <c r="AN621">
        <v>71.212760000000003</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2">
      <c r="A622" s="76">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74.703280000000007</v>
      </c>
      <c r="AN622">
        <v>71.530829999999995</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2">
      <c r="A623" s="76">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80.034899999999993</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74.907399999999996</v>
      </c>
      <c r="AN623">
        <v>71.769300000000001</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2">
      <c r="A624" s="76">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80.08005</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75.056139999999999</v>
      </c>
      <c r="AN624">
        <v>72.019940000000005</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2">
      <c r="A625" s="76">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80.137550000000005</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75.191180000000003</v>
      </c>
      <c r="AN625">
        <v>72.357669999999999</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2">
      <c r="A626" s="76">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80.154049999999998</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75.302790000000002</v>
      </c>
      <c r="AN626">
        <v>72.340459999999993</v>
      </c>
      <c r="AO626">
        <v>79.160330000000002</v>
      </c>
      <c r="AP626">
        <v>74.678579999999997</v>
      </c>
      <c r="AQ626"/>
      <c r="AR626"/>
      <c r="AS626">
        <v>62.287610000000001</v>
      </c>
      <c r="AT626">
        <v>69.67116</v>
      </c>
      <c r="AU626">
        <v>87.550190000000001</v>
      </c>
      <c r="AV626">
        <v>18.48357</v>
      </c>
      <c r="AW626">
        <v>75.749290000000002</v>
      </c>
      <c r="AX626"/>
    </row>
    <row r="627" spans="1:50" x14ac:dyDescent="0.2">
      <c r="A627" s="76">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80.419120000000007</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75.589709999999997</v>
      </c>
      <c r="AN627">
        <v>72.634119999999996</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2">
      <c r="A628" s="76">
        <v>36951</v>
      </c>
      <c r="B628">
        <v>77.403880000000001</v>
      </c>
      <c r="C628">
        <v>78.560630000000003</v>
      </c>
      <c r="D628"/>
      <c r="E628">
        <v>78.928600000000003</v>
      </c>
      <c r="F628">
        <v>95.257320000000007</v>
      </c>
      <c r="G628">
        <v>71.468199999999996</v>
      </c>
      <c r="H628"/>
      <c r="I628">
        <v>56.93732</v>
      </c>
      <c r="J628">
        <v>36.396639999999998</v>
      </c>
      <c r="K628">
        <v>84.8</v>
      </c>
      <c r="L628">
        <v>83.771690000000007</v>
      </c>
      <c r="M628">
        <v>78.898719999999997</v>
      </c>
      <c r="N628">
        <v>80.73</v>
      </c>
      <c r="O628">
        <v>78.427499999999995</v>
      </c>
      <c r="P628">
        <v>70.660679999999999</v>
      </c>
      <c r="Q628"/>
      <c r="R628">
        <v>83.820040000000006</v>
      </c>
      <c r="S628">
        <v>82.646320000000003</v>
      </c>
      <c r="T628"/>
      <c r="U628">
        <v>80.686859999999996</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75.940479999999994</v>
      </c>
      <c r="AN628">
        <v>73.000050000000002</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2">
      <c r="A629" s="76">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80.88861</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76.297219999999996</v>
      </c>
      <c r="AN629">
        <v>73.603089999999995</v>
      </c>
      <c r="AO629">
        <v>79.98827</v>
      </c>
      <c r="AP629">
        <v>75.318979999999996</v>
      </c>
      <c r="AQ629"/>
      <c r="AR629"/>
      <c r="AS629">
        <v>64.653689999999997</v>
      </c>
      <c r="AT629">
        <v>71.521190000000004</v>
      </c>
      <c r="AU629">
        <v>88.853769999999997</v>
      </c>
      <c r="AV629">
        <v>21.121310000000001</v>
      </c>
      <c r="AW629">
        <v>76.616169999999997</v>
      </c>
      <c r="AX629"/>
    </row>
    <row r="630" spans="1:50" x14ac:dyDescent="0.2">
      <c r="A630" s="76">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80.928790000000006</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76.459829999999997</v>
      </c>
      <c r="AN630">
        <v>73.974919999999997</v>
      </c>
      <c r="AO630">
        <v>80.805819999999997</v>
      </c>
      <c r="AP630">
        <v>75.958680000000001</v>
      </c>
      <c r="AQ630"/>
      <c r="AR630"/>
      <c r="AS630">
        <v>64.593040000000002</v>
      </c>
      <c r="AT630">
        <v>71.711200000000005</v>
      </c>
      <c r="AU630">
        <v>89.007909999999995</v>
      </c>
      <c r="AV630">
        <v>22.15831</v>
      </c>
      <c r="AW630">
        <v>76.574889999999996</v>
      </c>
      <c r="AX630"/>
    </row>
    <row r="631" spans="1:50" x14ac:dyDescent="0.2">
      <c r="A631" s="76">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81.065349999999995</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76.662469999999999</v>
      </c>
      <c r="AN631">
        <v>74.272480000000002</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2">
      <c r="A632" s="76">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81.132999999999996</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76.788659999999993</v>
      </c>
      <c r="AN632">
        <v>74.450320000000005</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2">
      <c r="A633" s="76">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81.290319999999994</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77.012129999999999</v>
      </c>
      <c r="AN633">
        <v>74.800799999999995</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2">
      <c r="A634" s="76">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81.425089999999997</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77.29025</v>
      </c>
      <c r="AN634">
        <v>75.200710000000001</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2">
      <c r="A635" s="76">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81.561239999999998</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77.532600000000002</v>
      </c>
      <c r="AN635">
        <v>75.557860000000005</v>
      </c>
      <c r="AO635">
        <v>81.672280000000001</v>
      </c>
      <c r="AP635">
        <v>76.772170000000003</v>
      </c>
      <c r="AQ635"/>
      <c r="AR635"/>
      <c r="AS635">
        <v>65.607659999999996</v>
      </c>
      <c r="AT635">
        <v>73.561229999999995</v>
      </c>
      <c r="AU635">
        <v>89.661379999999994</v>
      </c>
      <c r="AV635">
        <v>27.09083</v>
      </c>
      <c r="AW635">
        <v>77.441779999999994</v>
      </c>
      <c r="AX635"/>
    </row>
    <row r="636" spans="1:50" x14ac:dyDescent="0.2">
      <c r="A636" s="76">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81.666390000000007</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77.712389999999999</v>
      </c>
      <c r="AN636">
        <v>75.805400000000006</v>
      </c>
      <c r="AO636">
        <v>81.743380000000002</v>
      </c>
      <c r="AP636">
        <v>77.438770000000005</v>
      </c>
      <c r="AQ636"/>
      <c r="AR636"/>
      <c r="AS636">
        <v>65.722539999999995</v>
      </c>
      <c r="AT636">
        <v>74.12124</v>
      </c>
      <c r="AU636">
        <v>89.895949999999999</v>
      </c>
      <c r="AV636">
        <v>27.949259999999999</v>
      </c>
      <c r="AW636">
        <v>77.648179999999996</v>
      </c>
      <c r="AX636"/>
    </row>
    <row r="637" spans="1:50" x14ac:dyDescent="0.2">
      <c r="A637" s="76">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81.719729999999998</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77.831639999999993</v>
      </c>
      <c r="AN637">
        <v>76.190849999999998</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2">
      <c r="A638" s="76">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81.691109999999995</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77.887209999999996</v>
      </c>
      <c r="AN638">
        <v>76.271150000000006</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2">
      <c r="A639" s="76">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81.978409999999997</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78.165469999999999</v>
      </c>
      <c r="AN639">
        <v>76.518190000000004</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2">
      <c r="A640" s="76">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82.241110000000006</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78.489909999999995</v>
      </c>
      <c r="AN640">
        <v>76.905230000000003</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2">
      <c r="A641" s="76">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82.420969999999997</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78.767619999999994</v>
      </c>
      <c r="AN641">
        <v>77.207279999999997</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2">
      <c r="A642" s="76">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82.482510000000005</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78.894509999999997</v>
      </c>
      <c r="AN642">
        <v>77.499660000000006</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2">
      <c r="A643" s="76">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82.504810000000006</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78.972989999999996</v>
      </c>
      <c r="AN643">
        <v>77.687889999999996</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2">
      <c r="A644" s="76">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82.556749999999994</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79.021150000000006</v>
      </c>
      <c r="AN644">
        <v>77.691659999999999</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2">
      <c r="A645" s="76">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82.791629999999998</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79.266109999999998</v>
      </c>
      <c r="AN645">
        <v>77.950479999999999</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2">
      <c r="A646" s="76">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82.891559999999998</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79.462379999999996</v>
      </c>
      <c r="AN646">
        <v>78.227869999999996</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2">
      <c r="A647" s="76">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83.011619999999994</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79.676649999999995</v>
      </c>
      <c r="AN647">
        <v>78.526570000000007</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2">
      <c r="A648" s="76">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83.03152</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79.766570000000002</v>
      </c>
      <c r="AN648">
        <v>78.718310000000002</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2">
      <c r="A649" s="76">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83.074510000000004</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79.847030000000004</v>
      </c>
      <c r="AN649">
        <v>79.034139999999994</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2">
      <c r="A650" s="76">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83.00318</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79.837289999999996</v>
      </c>
      <c r="AN650">
        <v>78.860410000000002</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2">
      <c r="A651" s="76">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83.234740000000002</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80.068349999999995</v>
      </c>
      <c r="AN651">
        <v>79.111090000000004</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2">
      <c r="A652" s="76">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83.444389999999999</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80.337310000000002</v>
      </c>
      <c r="AN652">
        <v>79.398910000000001</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2">
      <c r="A653" s="76">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83.538039999999995</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80.519419999999997</v>
      </c>
      <c r="AN653">
        <v>79.685320000000004</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2">
      <c r="A654" s="76">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83.624780000000001</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80.619020000000006</v>
      </c>
      <c r="AN654">
        <v>79.816640000000007</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2">
      <c r="A655" s="76">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83.581149999999994</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80.617919999999998</v>
      </c>
      <c r="AN655">
        <v>79.935680000000005</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2">
      <c r="A656" s="76">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83.649199999999993</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80.631680000000003</v>
      </c>
      <c r="AN656">
        <v>79.846540000000005</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2">
      <c r="A657" s="76">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80.782939999999996</v>
      </c>
      <c r="AN657">
        <v>80.030720000000002</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2">
      <c r="A658" s="76">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83.849729999999994</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80.925060000000002</v>
      </c>
      <c r="AN658">
        <v>80.271500000000003</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2">
      <c r="A659" s="76">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81.145939999999996</v>
      </c>
      <c r="AN659">
        <v>80.490070000000003</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2">
      <c r="A660" s="76">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83.943740000000005</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81.110669999999999</v>
      </c>
      <c r="AN660">
        <v>80.589219999999997</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2">
      <c r="A661" s="76">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81.165189999999996</v>
      </c>
      <c r="AN661">
        <v>80.818539999999999</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2">
      <c r="A662" s="76">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v>
      </c>
      <c r="AN662">
        <v>80.611149999999995</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2">
      <c r="A663" s="76">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81.390020000000007</v>
      </c>
      <c r="AN663">
        <v>80.864170000000001</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2">
      <c r="A664" s="76">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84.606359999999995</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81.78304</v>
      </c>
      <c r="AN664">
        <v>81.174970000000002</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2">
      <c r="A665" s="76">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82.032880000000006</v>
      </c>
      <c r="AN665">
        <v>81.526899999999998</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2">
      <c r="A666" s="76">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82.126310000000004</v>
      </c>
      <c r="AN666">
        <v>81.726510000000005</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2">
      <c r="A667" s="76">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82.194100000000006</v>
      </c>
      <c r="AN667">
        <v>81.825739999999996</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2">
      <c r="A668" s="76">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84.884469999999993</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82.168400000000005</v>
      </c>
      <c r="AN668">
        <v>81.706919999999997</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2">
      <c r="A669" s="76">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85.00103</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82.285550000000001</v>
      </c>
      <c r="AN669">
        <v>81.881609999999995</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2">
      <c r="A670" s="76">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82.493380000000002</v>
      </c>
      <c r="AN670">
        <v>82.071640000000002</v>
      </c>
      <c r="AO670">
        <v>85.793419999999998</v>
      </c>
      <c r="AP670">
        <v>84.198329999999999</v>
      </c>
      <c r="AQ670"/>
      <c r="AR670"/>
      <c r="AS670">
        <v>78.40746</v>
      </c>
      <c r="AT670">
        <v>86.69144</v>
      </c>
      <c r="AU670">
        <v>92.265159999999995</v>
      </c>
      <c r="AV670">
        <v>45.761049999999997</v>
      </c>
      <c r="AW670">
        <v>81.48724</v>
      </c>
      <c r="AX670">
        <v>59.936709999999998</v>
      </c>
    </row>
    <row r="671" spans="1:50" x14ac:dyDescent="0.2">
      <c r="A671" s="76">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85.348320000000001</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82.726169999999996</v>
      </c>
      <c r="AN671">
        <v>82.27543</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2">
      <c r="A672" s="76">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85.316360000000003</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82.752200000000002</v>
      </c>
      <c r="AN672">
        <v>82.405259999999998</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2">
      <c r="A673" s="76">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85.428430000000006</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82.853099999999998</v>
      </c>
      <c r="AN673">
        <v>82.763739999999999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2">
      <c r="A674" s="76">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85.357969999999995</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82.809910000000002</v>
      </c>
      <c r="AN674">
        <v>82.338549999999998</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2">
      <c r="A675" s="76">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85.662840000000003</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83.054900000000004</v>
      </c>
      <c r="AN675">
        <v>82.492490000000004</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2">
      <c r="A676" s="76">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83.44032</v>
      </c>
      <c r="AN676">
        <v>82.814980000000006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2">
      <c r="A677" s="76">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86.131020000000007</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83.579599999999999</v>
      </c>
      <c r="AN677">
        <v>82.990989999999996</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2">
      <c r="A678" s="76">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83.682270000000003</v>
      </c>
      <c r="AN678">
        <v>83.264560000000003</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2">
      <c r="A679" s="76">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83.678250000000006</v>
      </c>
      <c r="AN679">
        <v>83.326390000000004</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2">
      <c r="A680" s="76">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86.197540000000004</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83.676609999999997</v>
      </c>
      <c r="AN680">
        <v>83.221789999999999</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2">
      <c r="A681" s="76">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83.804019999999994</v>
      </c>
      <c r="AN681">
        <v>83.418090000000007</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2">
      <c r="A682" s="76">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83.942430000000002</v>
      </c>
      <c r="AN682">
        <v>83.548240000000007</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2">
      <c r="A683" s="76">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86.645859999999999</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84.222650000000002</v>
      </c>
      <c r="AN683">
        <v>83.814639999999997</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2">
      <c r="A684" s="76">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86.643360000000001</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84.272810000000007</v>
      </c>
      <c r="AN684">
        <v>83.932079999999999</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2">
      <c r="A685" s="76">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84.353679999999997</v>
      </c>
      <c r="AN685">
        <v>84.169060000000002</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2">
      <c r="A686" s="76">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84.250029999999995</v>
      </c>
      <c r="AN686">
        <v>83.762739999999994</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2">
      <c r="A687" s="76">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84.501239999999996</v>
      </c>
      <c r="AN687">
        <v>83.924959999999999</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2">
      <c r="A688" s="76">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84.897900000000007</v>
      </c>
      <c r="AN688">
        <v>84.188869999999994</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2">
      <c r="A689" s="76">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85.171300000000002</v>
      </c>
      <c r="AN689">
        <v>84.544250000000005</v>
      </c>
      <c r="AO689">
        <v>86.589870000000005</v>
      </c>
      <c r="AP689">
        <v>89.282589999999999</v>
      </c>
      <c r="AQ689"/>
      <c r="AR689"/>
      <c r="AS689">
        <v>82.70035</v>
      </c>
      <c r="AT689">
        <v>88.931479999999993</v>
      </c>
      <c r="AU689">
        <v>92.653880000000001</v>
      </c>
      <c r="AV689">
        <v>51.79063</v>
      </c>
      <c r="AW689">
        <v>84.830950000000001</v>
      </c>
      <c r="AX689">
        <v>61.57197</v>
      </c>
    </row>
    <row r="690" spans="1:50" x14ac:dyDescent="0.2">
      <c r="A690" s="76">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85.304569999999998</v>
      </c>
      <c r="AN690">
        <v>84.759979999999999</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2">
      <c r="A691" s="76">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85.394559999999998</v>
      </c>
      <c r="AN691">
        <v>84.899169999999998</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2">
      <c r="A692" s="76">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85.425910000000002</v>
      </c>
      <c r="AN692">
        <v>84.824010000000001</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2">
      <c r="A693" s="76">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85.578959999999995</v>
      </c>
      <c r="AN693">
        <v>84.927310000000006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2">
      <c r="A694" s="76">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85.800349999999995</v>
      </c>
      <c r="AN694">
        <v>85.161569999999998</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2">
      <c r="A695" s="76">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86.032039999999995</v>
      </c>
      <c r="AN695">
        <v>85.455200000000005</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2">
      <c r="A696" s="76">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86.054370000000006</v>
      </c>
      <c r="AN696">
        <v>85.583470000000005</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2">
      <c r="A697" s="76">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86.122200000000007</v>
      </c>
      <c r="AN697">
        <v>85.843249999999998</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2">
      <c r="A698" s="76">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86.103129999999993</v>
      </c>
      <c r="AN698">
        <v>85.508520000000004</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2">
      <c r="A699" s="76">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88.654880000000006</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86.400040000000004</v>
      </c>
      <c r="AN699">
        <v>85.769199999999998</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2">
      <c r="A700" s="76">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88.949060000000003</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86.746089999999995</v>
      </c>
      <c r="AN700">
        <v>86.161640000000006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2">
      <c r="A701" s="76">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87.028890000000004</v>
      </c>
      <c r="AN701">
        <v>86.581649999999996</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2">
      <c r="A702" s="76">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89.221040000000002</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87.125789999999995</v>
      </c>
      <c r="AN702">
        <v>86.782269999999997</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2">
      <c r="A703" s="76">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89.25112</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87.179500000000004</v>
      </c>
      <c r="AN703">
        <v>86.863600000000005</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2">
      <c r="A704" s="76">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89.330579999999998</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87.202479999999994</v>
      </c>
      <c r="AN704">
        <v>86.720060000000004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2">
      <c r="A705" s="76">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89.525080000000003</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87.348659999999995</v>
      </c>
      <c r="AN705">
        <v>86.841669999999993</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2">
      <c r="A706" s="76">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89.648409999999998</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87.514070000000004</v>
      </c>
      <c r="AN706">
        <v>86.987170000000006</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2">
      <c r="A707" s="76">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89.847110000000001</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87.769940000000005</v>
      </c>
      <c r="AN707">
        <v>87.274469999999994</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2">
      <c r="A708" s="76">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89.905889999999999</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87.889060000000001</v>
      </c>
      <c r="AN708">
        <v>87.476280000000003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2">
      <c r="A709" s="76">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89.992840000000001</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87.990679999999998</v>
      </c>
      <c r="AN709">
        <v>87.773650000000004</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2">
      <c r="A710" s="76">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89.993020000000001</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87.980760000000004</v>
      </c>
      <c r="AN710">
        <v>87.373400000000004</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2">
      <c r="A711" s="76">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90.232069999999993</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88.218649999999997</v>
      </c>
      <c r="AN711">
        <v>87.616590000000002</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2">
      <c r="A712" s="76">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90.610100000000003</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88.659319999999994</v>
      </c>
      <c r="AN712">
        <v>88.122209999999995</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2">
      <c r="A713" s="76">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90.685429999999997</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88.862979999999993</v>
      </c>
      <c r="AN713">
        <v>88.4315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2">
      <c r="A714" s="76">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90.819460000000007</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89.059979999999996</v>
      </c>
      <c r="AN714">
        <v>88.770110000000003</v>
      </c>
      <c r="AO714">
        <v>89.545749999999998</v>
      </c>
      <c r="AP714">
        <v>93.388499999999993</v>
      </c>
      <c r="AQ714"/>
      <c r="AR714"/>
      <c r="AS714">
        <v>88.02843</v>
      </c>
      <c r="AT714">
        <v>94.931579999999997</v>
      </c>
      <c r="AU714">
        <v>96.926509999999993</v>
      </c>
      <c r="AV714">
        <v>61.995150000000002</v>
      </c>
      <c r="AW714">
        <v>88.82687</v>
      </c>
      <c r="AX714">
        <v>69.73751</v>
      </c>
    </row>
    <row r="715" spans="1:50" x14ac:dyDescent="0.2">
      <c r="A715" s="76">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90.952809999999999</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89.205380000000005</v>
      </c>
      <c r="AN715">
        <v>88.902820000000006</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2">
      <c r="A716" s="76">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91.101039999999998</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89.305769999999995</v>
      </c>
      <c r="AN716">
        <v>88.812950000000001</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2">
      <c r="A717" s="76">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91.326009999999997</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89.510279999999995</v>
      </c>
      <c r="AN717">
        <v>89.036689999999993</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2">
      <c r="A718" s="76">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91.424350000000004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89.691469999999995</v>
      </c>
      <c r="AN718">
        <v>89.179569999999998</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2">
      <c r="A719" s="76">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91.486469999999997</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89.865629999999996</v>
      </c>
      <c r="AN719">
        <v>89.46951</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2">
      <c r="A720" s="76">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91.423649999999995</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89.881860000000003</v>
      </c>
      <c r="AN720">
        <v>89.556870000000004</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2">
      <c r="A721" s="76">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89.848650000000006</v>
      </c>
      <c r="AN721">
        <v>89.671779999999998</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2">
      <c r="A722" s="76">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89.720950000000002</v>
      </c>
      <c r="AN722">
        <v>89.187910000000002</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2">
      <c r="A723" s="76">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90.001519999999999</v>
      </c>
      <c r="AN723">
        <v>89.447299999999998</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2">
      <c r="A724" s="76">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91.910269999999997</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90.340109999999996</v>
      </c>
      <c r="AN724">
        <v>89.756389999999996</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2">
      <c r="A725" s="76">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90.587050000000005</v>
      </c>
      <c r="AN725">
        <v>90.078599999999994</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2">
      <c r="A726" s="76">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v>
      </c>
      <c r="AN726">
        <v>90.253330000000005</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2">
      <c r="A727" s="76">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92.169200000000004</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90.704409999999996</v>
      </c>
      <c r="AN727">
        <v>90.28595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2">
      <c r="A728" s="76">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v>
      </c>
      <c r="AN728">
        <v>90.253140000000002</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2">
      <c r="A729" s="76">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90.848290000000006</v>
      </c>
      <c r="AN729">
        <v>90.442089999999993</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2">
      <c r="A730" s="76">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90.99803</v>
      </c>
      <c r="AN730">
        <v>90.515270000000001</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2">
      <c r="A731" s="76">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91.214359999999999</v>
      </c>
      <c r="AN731">
        <v>90.796080000000003</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2">
      <c r="A732" s="76">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92.490459999999999</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91.186499999999995</v>
      </c>
      <c r="AN732">
        <v>90.827640000000002</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2">
      <c r="A733" s="76">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92.517120000000006</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91.216480000000004</v>
      </c>
      <c r="AN733">
        <v>91.078069999999997</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2">
      <c r="A734" s="76">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92.319730000000007</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91.076639999999998</v>
      </c>
      <c r="AN734">
        <v>90.605999999999995</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2">
      <c r="A735" s="76">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91.302080000000004</v>
      </c>
      <c r="AN735">
        <v>90.870109999999997</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2">
      <c r="A736" s="76">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91.552930000000003</v>
      </c>
      <c r="AN736">
        <v>91.268749999999997</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2">
      <c r="A737" s="76">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91.685419999999993</v>
      </c>
      <c r="AN737">
        <v>91.563289999999995</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2">
      <c r="A738" s="76">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91.765370000000004</v>
      </c>
      <c r="AN738">
        <v>91.739980000000003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2">
      <c r="A739" s="76">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92.838679999999997</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91.802310000000006</v>
      </c>
      <c r="AN739">
        <v>91.804599999999994</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2">
      <c r="A740" s="76">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92.825850000000003</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91.772720000000007</v>
      </c>
      <c r="AN740">
        <v>91.685540000000003</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2">
      <c r="A741" s="76">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91.895439999999994</v>
      </c>
      <c r="AN741">
        <v>91.866159999999994</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2">
      <c r="A742" s="76">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91.99512</v>
      </c>
      <c r="AN742">
        <v>91.900620000000004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2">
      <c r="A743" s="76">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92.173259999999999</v>
      </c>
      <c r="AN743">
        <v>92.14725</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2">
      <c r="A744" s="76">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93.143339999999995</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92.196690000000004</v>
      </c>
      <c r="AN744">
        <v>92.236310000000003</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2">
      <c r="A745" s="76">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93.164140000000003</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92.244709999999998</v>
      </c>
      <c r="AN745">
        <v>92.44417</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2">
      <c r="A746" s="76">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93.089830000000006</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92.160870000000003</v>
      </c>
      <c r="AN746">
        <v>92.039709999999999</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2">
      <c r="A747" s="76">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93.402119999999996</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92.438929999999999</v>
      </c>
      <c r="AN747">
        <v>92.329539999999994</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2">
      <c r="A748" s="76">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93.691059999999993</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92.784419999999997</v>
      </c>
      <c r="AN748">
        <v>92.845179999999999</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2">
      <c r="A749" s="76">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93.036060000000006</v>
      </c>
      <c r="AN749">
        <v>93.294330000000002</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2">
      <c r="A750" s="76">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93.999619999999993</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93.21951</v>
      </c>
      <c r="AN750">
        <v>93.464489999999998</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2">
      <c r="A751" s="76">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94.070310000000006</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93.298119999999997</v>
      </c>
      <c r="AN751">
        <v>93.559259999999995</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2">
      <c r="A752" s="76">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94.119799999999998</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93.303380000000004</v>
      </c>
      <c r="AN752">
        <v>93.402770000000004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2">
      <c r="A753" s="76">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94.424109999999999</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93.543660000000003</v>
      </c>
      <c r="AN753">
        <v>93.65728</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2">
      <c r="A754" s="76">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94.538979999999995</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93.718260000000001</v>
      </c>
      <c r="AN754">
        <v>93.867189999999994</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2">
      <c r="A755" s="76">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94.680480000000003</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93.947749999999999</v>
      </c>
      <c r="AN755">
        <v>94.251949999999994</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2">
      <c r="A756" s="76">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94.669510000000002</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94.005970000000005</v>
      </c>
      <c r="AN756">
        <v>94.398240000000001</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2">
      <c r="A757" s="76">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94.07835</v>
      </c>
      <c r="AN757">
        <v>94.608320000000006</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2">
      <c r="A758" s="76">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93.993510000000001</v>
      </c>
      <c r="AN758">
        <v>94.121510000000001</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2">
      <c r="A759" s="76">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94.246009999999998</v>
      </c>
      <c r="AN759">
        <v>94.364270000000005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2">
      <c r="A760" s="76">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94.614329999999995</v>
      </c>
      <c r="AN760">
        <v>94.893259999999998</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2">
      <c r="A761" s="76">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94.91328</v>
      </c>
      <c r="AN761">
        <v>95.299869999999999</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2">
      <c r="A762" s="76">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95.029719999999998</v>
      </c>
      <c r="AN762">
        <v>95.468729999999994</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2">
      <c r="A763" s="76">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95.071100000000001</v>
      </c>
      <c r="AN763">
        <v>95.507919999999999</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2">
      <c r="A764" s="76">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95.053809999999999</v>
      </c>
      <c r="AN764">
        <v>95.442369999999997</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2">
      <c r="A765" s="76">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95.192019999999999</v>
      </c>
      <c r="AN765">
        <v>95.585489999999993</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2">
      <c r="A766" s="76">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95.355540000000005</v>
      </c>
      <c r="AN766">
        <v>95.739819999999995</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2">
      <c r="A767" s="76">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95.586290000000005</v>
      </c>
      <c r="AN767">
        <v>96.088149999999999</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2">
      <c r="A768" s="76">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95.595050000000001</v>
      </c>
      <c r="AN768">
        <v>96.148060000000001</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2">
      <c r="A769" s="76">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95.598820000000003</v>
      </c>
      <c r="AN769">
        <v>96.312160000000006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2">
      <c r="A770" s="76">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95.499539999999996</v>
      </c>
      <c r="AN770">
        <v>95.740930000000006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2">
      <c r="A771" s="76">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95.767610000000005</v>
      </c>
      <c r="AN771">
        <v>95.977220000000003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2">
      <c r="A772" s="76">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96.148319999999998</v>
      </c>
      <c r="AN772">
        <v>96.574950000000001</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2">
      <c r="A773" s="76">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96.29495</v>
      </c>
      <c r="AN773">
        <v>96.733800000000002</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2">
      <c r="A774" s="76">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96.469859999999997</v>
      </c>
      <c r="AN774">
        <v>97.019840000000002</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2">
      <c r="A775" s="76">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96.518630000000002</v>
      </c>
      <c r="AN775">
        <v>97.063580000000002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2">
      <c r="A776" s="76">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96.551060000000007</v>
      </c>
      <c r="AN776">
        <v>97.025710000000004</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2">
      <c r="A777" s="76">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96.712519999999998</v>
      </c>
      <c r="AN777">
        <v>97.189679999999996</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2">
      <c r="A778" s="76">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96.884320000000002</v>
      </c>
      <c r="AN778">
        <v>97.330089999999998</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2">
      <c r="A779" s="76">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97.086830000000006</v>
      </c>
      <c r="AN779">
        <v>97.551749999999998</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2">
      <c r="A780" s="76">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97.131320000000002</v>
      </c>
      <c r="AN780">
        <v>97.620140000000006</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2">
      <c r="A781" s="76">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97.139030000000005</v>
      </c>
      <c r="AN781">
        <v>97.716220000000007</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2">
      <c r="A782" s="76">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97.027140000000003</v>
      </c>
      <c r="AN782">
        <v>97.177229999999994</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2">
      <c r="A783" s="76">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97.325879999999998</v>
      </c>
      <c r="AN783">
        <v>97.530209999999997</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2">
      <c r="A784" s="76">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97.718040000000002</v>
      </c>
      <c r="AN784">
        <v>98.079610000000002</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2">
      <c r="A785" s="76">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98.18338</v>
      </c>
      <c r="AN785">
        <v>98.475070000000002</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2">
      <c r="A786" s="76">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98.333730000000003</v>
      </c>
      <c r="AN786">
        <v>98.547780000000003</v>
      </c>
      <c r="AO786">
        <v>99.543580000000006</v>
      </c>
      <c r="AP786">
        <v>99.910830000000004</v>
      </c>
      <c r="AQ786"/>
      <c r="AR786"/>
      <c r="AS786">
        <v>99.508589999999998</v>
      </c>
      <c r="AT786">
        <v>100.4217</v>
      </c>
      <c r="AU786">
        <v>100.0933</v>
      </c>
      <c r="AV786">
        <v>92.772130000000004</v>
      </c>
      <c r="AW786">
        <v>98.259</v>
      </c>
      <c r="AX786">
        <v>94.491190000000003</v>
      </c>
    </row>
    <row r="787" spans="1:50" x14ac:dyDescent="0.2">
      <c r="A787" s="76">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98.405360000000002</v>
      </c>
      <c r="AN787">
        <v>98.687950000000001</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2">
      <c r="A788" s="76">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98.403090000000006</v>
      </c>
      <c r="AN788">
        <v>98.594899999999996</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2">
      <c r="A789" s="76">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98.545079999999999</v>
      </c>
      <c r="AN789">
        <v>98.807060000000007</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2">
      <c r="A790" s="76">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98.645300000000006</v>
      </c>
      <c r="AN790">
        <v>98.792159999999996</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2">
      <c r="A791" s="76">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98.875510000000006</v>
      </c>
      <c r="AN791">
        <v>99.011219999999994</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2">
      <c r="A792" s="76">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98.856660000000005</v>
      </c>
      <c r="AN792">
        <v>99.02122</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2">
      <c r="A793" s="76">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98.844610000000003</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2">
      <c r="A794" s="76">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98.735709999999997</v>
      </c>
      <c r="AN794">
        <v>98.563379999999995</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2">
      <c r="A795" s="76">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99.036869999999993</v>
      </c>
      <c r="AN795">
        <v>98.854029999999995</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2">
      <c r="A796" s="76">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99.43186</v>
      </c>
      <c r="AN796">
        <v>99.294250000000005</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2">
      <c r="A797" s="76">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99.810149999999993</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2">
      <c r="A798" s="76">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99.983289999999997</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2">
      <c r="A799" s="76">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v>
      </c>
      <c r="AN799">
        <v>100.1802</v>
      </c>
      <c r="AO799">
        <v>100.0652</v>
      </c>
      <c r="AP799">
        <v>100.4954</v>
      </c>
      <c r="AQ799"/>
      <c r="AR799"/>
      <c r="AS799">
        <v>100.0692</v>
      </c>
      <c r="AT799">
        <v>100.4517</v>
      </c>
      <c r="AU799">
        <v>99.925719999999998</v>
      </c>
      <c r="AV799">
        <v>100.158</v>
      </c>
      <c r="AW799">
        <v>100.0444</v>
      </c>
      <c r="AX799">
        <v>100.0956</v>
      </c>
    </row>
    <row r="800" spans="1:50" x14ac:dyDescent="0.2">
      <c r="A800" s="76">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2">
      <c r="A801" s="76">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2">
      <c r="A802" s="76">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v>
      </c>
      <c r="AN802">
        <v>100.4453</v>
      </c>
      <c r="AO802">
        <v>99.978260000000006</v>
      </c>
      <c r="AP802">
        <v>100.6737</v>
      </c>
      <c r="AQ802"/>
      <c r="AR802"/>
      <c r="AS802">
        <v>100.02070000000001</v>
      </c>
      <c r="AT802">
        <v>100.2617</v>
      </c>
      <c r="AU802">
        <v>100.3848</v>
      </c>
      <c r="AV802">
        <v>101.4162</v>
      </c>
      <c r="AW802">
        <v>100.4592</v>
      </c>
      <c r="AX802">
        <v>100.9915</v>
      </c>
    </row>
    <row r="803" spans="1:50" x14ac:dyDescent="0.2">
      <c r="A803" s="76">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2">
      <c r="A804" s="76">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100.6765</v>
      </c>
      <c r="AN804">
        <v>100.6127</v>
      </c>
      <c r="AO804">
        <v>100.0652</v>
      </c>
      <c r="AP804">
        <v>100.7431</v>
      </c>
      <c r="AQ804"/>
      <c r="AR804"/>
      <c r="AS804">
        <v>100.1966</v>
      </c>
      <c r="AT804">
        <v>100.8417</v>
      </c>
      <c r="AU804">
        <v>100.13679999999999</v>
      </c>
      <c r="AV804">
        <v>104.1572</v>
      </c>
      <c r="AW804">
        <v>100.7548</v>
      </c>
      <c r="AX804">
        <v>101.331</v>
      </c>
    </row>
    <row r="805" spans="1:50" x14ac:dyDescent="0.2">
      <c r="A805" s="76">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100.7162</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2">
      <c r="A806" s="76">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100.6468</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2">
      <c r="A807" s="76">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2">
      <c r="A808" s="76">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2">
      <c r="A809" s="76">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2">
      <c r="A810" s="76">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101.8913</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2">
      <c r="A811" s="76">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101.97329999999999</v>
      </c>
      <c r="AN811">
        <v>101.7765</v>
      </c>
      <c r="AO811">
        <v>99.891329999999996</v>
      </c>
      <c r="AP811">
        <v>101.2385</v>
      </c>
      <c r="AQ811"/>
      <c r="AR811"/>
      <c r="AS811">
        <v>100.5979</v>
      </c>
      <c r="AT811">
        <v>101.5917</v>
      </c>
      <c r="AU811">
        <v>100.9813</v>
      </c>
      <c r="AV811">
        <v>109.20229999999999</v>
      </c>
      <c r="AW811">
        <v>102.29</v>
      </c>
      <c r="AX811">
        <v>105.5565</v>
      </c>
    </row>
    <row r="812" spans="1:50" x14ac:dyDescent="0.2">
      <c r="A812" s="76">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102.0159</v>
      </c>
      <c r="AN812">
        <v>101.8356</v>
      </c>
      <c r="AO812">
        <v>99.891329999999996</v>
      </c>
      <c r="AP812">
        <v>100.4954</v>
      </c>
      <c r="AQ812"/>
      <c r="AR812"/>
      <c r="AS812">
        <v>100.559</v>
      </c>
      <c r="AT812">
        <v>100.49169999999999</v>
      </c>
      <c r="AU812">
        <v>100.9746</v>
      </c>
      <c r="AV812">
        <v>110.0275</v>
      </c>
      <c r="AW812">
        <v>102.2694</v>
      </c>
      <c r="AX812">
        <v>106.0776</v>
      </c>
    </row>
    <row r="813" spans="1:50" x14ac:dyDescent="0.2">
      <c r="A813" s="76">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102.1969</v>
      </c>
      <c r="AN813">
        <v>102.0269</v>
      </c>
      <c r="AO813">
        <v>99.804389999999998</v>
      </c>
      <c r="AP813">
        <v>100.1387</v>
      </c>
      <c r="AQ813"/>
      <c r="AR813"/>
      <c r="AS813">
        <v>100.548</v>
      </c>
      <c r="AT813">
        <v>100.8017</v>
      </c>
      <c r="AU813">
        <v>100.90089999999999</v>
      </c>
      <c r="AV813">
        <v>110.3747</v>
      </c>
      <c r="AW813">
        <v>102.4898</v>
      </c>
      <c r="AX813">
        <v>106.2538</v>
      </c>
    </row>
    <row r="814" spans="1:50" x14ac:dyDescent="0.2">
      <c r="A814" s="76">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102.29649999999999</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2">
      <c r="A815" s="76">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2">
      <c r="A816" s="76">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102.1968</v>
      </c>
      <c r="AO816">
        <v>100.0652</v>
      </c>
      <c r="AP816">
        <v>101.19889999999999</v>
      </c>
      <c r="AQ816"/>
      <c r="AR816"/>
      <c r="AS816">
        <v>100.9897</v>
      </c>
      <c r="AT816">
        <v>101.4117</v>
      </c>
      <c r="AU816">
        <v>101.1824</v>
      </c>
      <c r="AV816">
        <v>112.91970000000001</v>
      </c>
      <c r="AW816">
        <v>102.88160000000001</v>
      </c>
      <c r="AX816">
        <v>106.8999</v>
      </c>
    </row>
    <row r="817" spans="1:50" x14ac:dyDescent="0.2">
      <c r="A817" s="76">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102.5937</v>
      </c>
      <c r="AN817">
        <v>102.55970000000001</v>
      </c>
      <c r="AO817">
        <v>100.1521</v>
      </c>
      <c r="AP817">
        <v>101.0998</v>
      </c>
      <c r="AQ817"/>
      <c r="AR817"/>
      <c r="AS817">
        <v>100.9158</v>
      </c>
      <c r="AT817">
        <v>100.68170000000001</v>
      </c>
      <c r="AU817">
        <v>101.6917</v>
      </c>
      <c r="AV817">
        <v>113.9819</v>
      </c>
      <c r="AW817">
        <v>102.8432</v>
      </c>
      <c r="AX817">
        <v>107.3878</v>
      </c>
    </row>
    <row r="818" spans="1:50" x14ac:dyDescent="0.2">
      <c r="A818" s="76">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101.96850000000001</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2">
      <c r="A819" s="76">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102.95440000000001</v>
      </c>
      <c r="AN819">
        <v>102.31489999999999</v>
      </c>
      <c r="AO819">
        <v>99.978260000000006</v>
      </c>
      <c r="AP819">
        <v>99.564059999999998</v>
      </c>
      <c r="AQ819"/>
      <c r="AR819"/>
      <c r="AS819">
        <v>101.5896</v>
      </c>
      <c r="AT819">
        <v>100.1717</v>
      </c>
      <c r="AU819">
        <v>101.2997</v>
      </c>
      <c r="AV819">
        <v>115.9631</v>
      </c>
      <c r="AW819">
        <v>103.6725</v>
      </c>
      <c r="AX819">
        <v>108.94410000000001</v>
      </c>
    </row>
    <row r="820" spans="1:50" x14ac:dyDescent="0.2">
      <c r="A820" s="76">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v>
      </c>
      <c r="AN820">
        <v>102.9208</v>
      </c>
      <c r="AO820">
        <v>100.1521</v>
      </c>
      <c r="AP820">
        <v>101.7933</v>
      </c>
      <c r="AQ820"/>
      <c r="AR820"/>
      <c r="AS820">
        <v>101.64060000000001</v>
      </c>
      <c r="AT820">
        <v>100.8717</v>
      </c>
      <c r="AU820">
        <v>101.45050000000001</v>
      </c>
      <c r="AV820">
        <v>117.22539999999999</v>
      </c>
      <c r="AW820">
        <v>103.7332</v>
      </c>
      <c r="AX820">
        <v>109.568</v>
      </c>
    </row>
    <row r="821" spans="1:50" x14ac:dyDescent="0.2">
      <c r="A821" s="76">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v>
      </c>
      <c r="AN821">
        <v>103.60290000000001</v>
      </c>
      <c r="AO821">
        <v>100.7607</v>
      </c>
      <c r="AP821">
        <v>102.8931</v>
      </c>
      <c r="AQ821"/>
      <c r="AR821"/>
      <c r="AS821">
        <v>101.7401</v>
      </c>
      <c r="AT821">
        <v>101.71169999999999</v>
      </c>
      <c r="AU821">
        <v>102.20780000000001</v>
      </c>
      <c r="AV821">
        <v>119.2189</v>
      </c>
      <c r="AW821">
        <v>103.8785</v>
      </c>
      <c r="AX821">
        <v>109.82980000000001</v>
      </c>
    </row>
    <row r="822" spans="1:50" x14ac:dyDescent="0.2">
      <c r="A822" s="76">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103.7572</v>
      </c>
      <c r="AN822">
        <v>103.7393</v>
      </c>
      <c r="AO822">
        <v>100.6738</v>
      </c>
      <c r="AP822">
        <v>102.6652</v>
      </c>
      <c r="AQ822"/>
      <c r="AR822"/>
      <c r="AS822">
        <v>101.8749</v>
      </c>
      <c r="AT822">
        <v>101.9817</v>
      </c>
      <c r="AU822">
        <v>102.36190000000001</v>
      </c>
      <c r="AV822">
        <v>120.518</v>
      </c>
      <c r="AW822">
        <v>103.95820000000001</v>
      </c>
      <c r="AX822">
        <v>109.91370000000001</v>
      </c>
    </row>
    <row r="823" spans="1:50" x14ac:dyDescent="0.2">
      <c r="A823" s="76">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103.8612</v>
      </c>
      <c r="AN823">
        <v>103.9362</v>
      </c>
      <c r="AO823">
        <v>100.6738</v>
      </c>
      <c r="AP823">
        <v>102.3779</v>
      </c>
      <c r="AQ823"/>
      <c r="AR823"/>
      <c r="AS823">
        <v>101.8938</v>
      </c>
      <c r="AT823">
        <v>102.35169999999999</v>
      </c>
      <c r="AU823">
        <v>102.6602</v>
      </c>
      <c r="AV823">
        <v>120.61190000000001</v>
      </c>
      <c r="AW823">
        <v>104.0321</v>
      </c>
      <c r="AX823">
        <v>110.3398</v>
      </c>
    </row>
    <row r="824" spans="1:50" x14ac:dyDescent="0.2">
      <c r="A824" s="76">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2">
      <c r="A825" s="76">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104.0992</v>
      </c>
      <c r="AN825">
        <v>104.1998</v>
      </c>
      <c r="AO825">
        <v>100.413</v>
      </c>
      <c r="AP825">
        <v>101.41679999999999</v>
      </c>
      <c r="AQ825"/>
      <c r="AR825"/>
      <c r="AS825">
        <v>102.0363</v>
      </c>
      <c r="AT825">
        <v>101.60169999999999</v>
      </c>
      <c r="AU825">
        <v>102.6602</v>
      </c>
      <c r="AV825">
        <v>121.7231</v>
      </c>
      <c r="AW825">
        <v>104.2162</v>
      </c>
      <c r="AX825">
        <v>110.9272</v>
      </c>
    </row>
    <row r="826" spans="1:50" x14ac:dyDescent="0.2">
      <c r="A826" s="76">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104.27070000000001</v>
      </c>
      <c r="AO826">
        <v>100.4999</v>
      </c>
      <c r="AP826">
        <v>102.5463</v>
      </c>
      <c r="AQ826"/>
      <c r="AR826"/>
      <c r="AS826">
        <v>102.0981</v>
      </c>
      <c r="AT826">
        <v>101.65170000000001</v>
      </c>
      <c r="AU826">
        <v>102.7473</v>
      </c>
      <c r="AV826">
        <v>122.6994</v>
      </c>
      <c r="AW826">
        <v>104.4147</v>
      </c>
      <c r="AX826">
        <v>111.3449</v>
      </c>
    </row>
    <row r="827" spans="1:50" x14ac:dyDescent="0.2">
      <c r="A827" s="76">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104.4495</v>
      </c>
      <c r="AN827">
        <v>104.4405</v>
      </c>
      <c r="AO827">
        <v>100.7607</v>
      </c>
      <c r="AP827">
        <v>102.8832</v>
      </c>
      <c r="AQ827"/>
      <c r="AR827"/>
      <c r="AS827">
        <v>102.23520000000001</v>
      </c>
      <c r="AT827">
        <v>101.6717</v>
      </c>
      <c r="AU827">
        <v>102.744</v>
      </c>
      <c r="AV827">
        <v>125.2894</v>
      </c>
      <c r="AW827">
        <v>104.7024</v>
      </c>
      <c r="AX827">
        <v>111.46339999999999</v>
      </c>
    </row>
    <row r="828" spans="1:50" x14ac:dyDescent="0.2">
      <c r="A828" s="76">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104.4118</v>
      </c>
      <c r="AN828">
        <v>104.3737</v>
      </c>
      <c r="AO828">
        <v>100.8476</v>
      </c>
      <c r="AP828">
        <v>102.3184</v>
      </c>
      <c r="AQ828"/>
      <c r="AR828"/>
      <c r="AS828">
        <v>102.34650000000001</v>
      </c>
      <c r="AT828">
        <v>101.9117</v>
      </c>
      <c r="AU828">
        <v>102.69370000000001</v>
      </c>
      <c r="AV828">
        <v>126.64149999999999</v>
      </c>
      <c r="AW828">
        <v>104.6422</v>
      </c>
      <c r="AX828">
        <v>111.4487</v>
      </c>
    </row>
    <row r="829" spans="1:50" x14ac:dyDescent="0.2">
      <c r="A829" s="76">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v>
      </c>
      <c r="AN829">
        <v>104.6978</v>
      </c>
      <c r="AO829">
        <v>100.9346</v>
      </c>
      <c r="AP829">
        <v>102.29859999999999</v>
      </c>
      <c r="AQ829"/>
      <c r="AR829"/>
      <c r="AS829">
        <v>102.33750000000001</v>
      </c>
      <c r="AT829">
        <v>101.5517</v>
      </c>
      <c r="AU829">
        <v>103.06570000000001</v>
      </c>
      <c r="AV829">
        <v>127.193</v>
      </c>
      <c r="AW829">
        <v>104.6694</v>
      </c>
      <c r="AX829">
        <v>111.7603</v>
      </c>
    </row>
    <row r="830" spans="1:50" x14ac:dyDescent="0.2">
      <c r="A830" s="76">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104.07380000000001</v>
      </c>
      <c r="AO830">
        <v>100.8476</v>
      </c>
      <c r="AP830">
        <v>100.6737</v>
      </c>
      <c r="AQ830"/>
      <c r="AR830"/>
      <c r="AS830">
        <v>102.755</v>
      </c>
      <c r="AT830">
        <v>99.891660000000002</v>
      </c>
      <c r="AU830">
        <v>101.7722</v>
      </c>
      <c r="AV830">
        <v>127.87520000000001</v>
      </c>
      <c r="AW830">
        <v>105.1152</v>
      </c>
      <c r="AX830">
        <v>112.1328</v>
      </c>
    </row>
    <row r="831" spans="1:50" x14ac:dyDescent="0.2">
      <c r="A831" s="76">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104.9068</v>
      </c>
      <c r="AN831">
        <v>104.3963</v>
      </c>
      <c r="AO831">
        <v>100.8476</v>
      </c>
      <c r="AP831">
        <v>100.1387</v>
      </c>
      <c r="AQ831"/>
      <c r="AR831"/>
      <c r="AS831">
        <v>103.2444</v>
      </c>
      <c r="AT831">
        <v>100.6717</v>
      </c>
      <c r="AU831">
        <v>102.5898</v>
      </c>
      <c r="AV831">
        <v>128.4675</v>
      </c>
      <c r="AW831">
        <v>105.5879</v>
      </c>
      <c r="AX831">
        <v>113.2508</v>
      </c>
    </row>
    <row r="832" spans="1:50" x14ac:dyDescent="0.2">
      <c r="A832" s="76">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105.3353</v>
      </c>
      <c r="AN832">
        <v>105.05159999999999</v>
      </c>
      <c r="AO832">
        <v>100.8476</v>
      </c>
      <c r="AP832">
        <v>102.586</v>
      </c>
      <c r="AQ832"/>
      <c r="AR832"/>
      <c r="AS832">
        <v>103.4145</v>
      </c>
      <c r="AT832">
        <v>101.2317</v>
      </c>
      <c r="AU832">
        <v>102.75069999999999</v>
      </c>
      <c r="AV832">
        <v>129.42349999999999</v>
      </c>
      <c r="AW832">
        <v>105.9293</v>
      </c>
      <c r="AX832">
        <v>114.0189</v>
      </c>
    </row>
    <row r="833" spans="1:50" x14ac:dyDescent="0.2">
      <c r="A833" s="76">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105.6495</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2">
      <c r="A834" s="76">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v>
      </c>
      <c r="AN834">
        <v>106.0193</v>
      </c>
      <c r="AO834">
        <v>101.28230000000001</v>
      </c>
      <c r="AP834">
        <v>103.31910000000001</v>
      </c>
      <c r="AQ834"/>
      <c r="AR834"/>
      <c r="AS834">
        <v>103.92919999999999</v>
      </c>
      <c r="AT834">
        <v>103.1617</v>
      </c>
      <c r="AU834">
        <v>103.3907</v>
      </c>
      <c r="AV834">
        <v>134.7422</v>
      </c>
      <c r="AW834">
        <v>106.2839</v>
      </c>
      <c r="AX834">
        <v>114.738</v>
      </c>
    </row>
    <row r="835" spans="1:50" x14ac:dyDescent="0.2">
      <c r="A835" s="76">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106.0215</v>
      </c>
      <c r="AN835">
        <v>106.2381</v>
      </c>
      <c r="AO835">
        <v>101.3693</v>
      </c>
      <c r="AP835">
        <v>103.3489</v>
      </c>
      <c r="AQ835"/>
      <c r="AR835"/>
      <c r="AS835">
        <v>103.9117</v>
      </c>
      <c r="AT835">
        <v>103.2817</v>
      </c>
      <c r="AU835">
        <v>103.6555</v>
      </c>
      <c r="AV835">
        <v>137.02170000000001</v>
      </c>
      <c r="AW835">
        <v>106.378</v>
      </c>
      <c r="AX835">
        <v>114.7881</v>
      </c>
    </row>
    <row r="836" spans="1:50" x14ac:dyDescent="0.2">
      <c r="A836" s="76">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106.12390000000001</v>
      </c>
      <c r="AN836">
        <v>106.3548</v>
      </c>
      <c r="AO836">
        <v>101.28230000000001</v>
      </c>
      <c r="AP836">
        <v>102.5265</v>
      </c>
      <c r="AQ836"/>
      <c r="AR836"/>
      <c r="AS836">
        <v>104.0911</v>
      </c>
      <c r="AT836">
        <v>102.2517</v>
      </c>
      <c r="AU836">
        <v>103.82640000000001</v>
      </c>
      <c r="AV836">
        <v>138.24719999999999</v>
      </c>
      <c r="AW836">
        <v>106.4482</v>
      </c>
      <c r="AX836">
        <v>115.4359</v>
      </c>
    </row>
    <row r="837" spans="1:50" x14ac:dyDescent="0.2">
      <c r="A837" s="76">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106.37090000000001</v>
      </c>
      <c r="AN837">
        <v>106.8443</v>
      </c>
      <c r="AO837">
        <v>101.3693</v>
      </c>
      <c r="AP837">
        <v>102.0311</v>
      </c>
      <c r="AQ837"/>
      <c r="AR837"/>
      <c r="AS837">
        <v>104.48480000000001</v>
      </c>
      <c r="AT837">
        <v>102.3417</v>
      </c>
      <c r="AU837">
        <v>103.4611</v>
      </c>
      <c r="AV837">
        <v>141.64189999999999</v>
      </c>
      <c r="AW837">
        <v>106.508</v>
      </c>
      <c r="AX837">
        <v>115.3043</v>
      </c>
    </row>
    <row r="838" spans="1:50" x14ac:dyDescent="0.2">
      <c r="A838" s="76">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106.6367</v>
      </c>
      <c r="AN838">
        <v>107.38679999999999</v>
      </c>
      <c r="AO838">
        <v>101.3693</v>
      </c>
      <c r="AP838">
        <v>103.438</v>
      </c>
      <c r="AQ838"/>
      <c r="AR838"/>
      <c r="AS838">
        <v>104.3013</v>
      </c>
      <c r="AT838">
        <v>102.5617</v>
      </c>
      <c r="AU838">
        <v>103.94029999999999</v>
      </c>
      <c r="AV838">
        <v>150.3186</v>
      </c>
      <c r="AW838">
        <v>106.6802</v>
      </c>
      <c r="AX838">
        <v>115.9438</v>
      </c>
    </row>
    <row r="839" spans="1:50" x14ac:dyDescent="0.2">
      <c r="A839" s="76">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106.93470000000001</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2">
      <c r="A840" s="76">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106.76479999999999</v>
      </c>
      <c r="AN840">
        <v>107.2996</v>
      </c>
      <c r="AO840">
        <v>101.5431</v>
      </c>
      <c r="AP840">
        <v>102.8237</v>
      </c>
      <c r="AQ840"/>
      <c r="AR840"/>
      <c r="AS840">
        <v>104.7139</v>
      </c>
      <c r="AT840">
        <v>102.96169999999999</v>
      </c>
      <c r="AU840">
        <v>103.80289999999999</v>
      </c>
      <c r="AV840">
        <v>150.9273</v>
      </c>
      <c r="AW840">
        <v>106.9592</v>
      </c>
      <c r="AX840">
        <v>116.19119999999999</v>
      </c>
    </row>
    <row r="841" spans="1:50" x14ac:dyDescent="0.2">
      <c r="A841" s="76">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106.85809999999999</v>
      </c>
      <c r="AN841">
        <v>107.4905</v>
      </c>
      <c r="AO841">
        <v>101.5431</v>
      </c>
      <c r="AP841">
        <v>102.8733</v>
      </c>
      <c r="AQ841"/>
      <c r="AR841"/>
      <c r="AS841">
        <v>104.5172</v>
      </c>
      <c r="AT841">
        <v>102.79170000000001</v>
      </c>
      <c r="AU841">
        <v>104.3994</v>
      </c>
      <c r="AV841">
        <v>150.36359999999999</v>
      </c>
      <c r="AW841">
        <v>106.95010000000001</v>
      </c>
      <c r="AX841">
        <v>116.6232</v>
      </c>
    </row>
    <row r="842" spans="1:50" x14ac:dyDescent="0.2">
      <c r="A842" s="76">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106.81059999999999</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2">
      <c r="A843" s="76">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105.73180000000001</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107.1426</v>
      </c>
      <c r="AN843">
        <v>107.0865</v>
      </c>
      <c r="AO843">
        <v>101.717</v>
      </c>
      <c r="AP843">
        <v>101.1097</v>
      </c>
      <c r="AQ843"/>
      <c r="AR843"/>
      <c r="AS843">
        <v>105.0063</v>
      </c>
      <c r="AT843">
        <v>102.07170000000001</v>
      </c>
      <c r="AU843">
        <v>103.7694</v>
      </c>
      <c r="AV843">
        <v>149.9469</v>
      </c>
      <c r="AW843">
        <v>107.7886</v>
      </c>
      <c r="AX843">
        <v>118.19880000000001</v>
      </c>
    </row>
    <row r="844" spans="1:50" x14ac:dyDescent="0.2">
      <c r="A844" s="76">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v>
      </c>
      <c r="AN844">
        <v>107.6369</v>
      </c>
      <c r="AO844">
        <v>102.15170000000001</v>
      </c>
      <c r="AP844">
        <v>103.2597</v>
      </c>
      <c r="AQ844"/>
      <c r="AR844"/>
      <c r="AS844">
        <v>105.4979</v>
      </c>
      <c r="AT844">
        <v>102.90170000000001</v>
      </c>
      <c r="AU844">
        <v>104.004</v>
      </c>
      <c r="AV844">
        <v>150.38399999999999</v>
      </c>
      <c r="AW844">
        <v>108.0866</v>
      </c>
      <c r="AX844">
        <v>119.0466</v>
      </c>
    </row>
    <row r="845" spans="1:50" x14ac:dyDescent="0.2">
      <c r="A845" s="76">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107.9669</v>
      </c>
      <c r="AN845">
        <v>108.4764</v>
      </c>
      <c r="AO845">
        <v>103.19499999999999</v>
      </c>
      <c r="AP845">
        <v>103.9235</v>
      </c>
      <c r="AQ845"/>
      <c r="AR845"/>
      <c r="AS845">
        <v>105.6767</v>
      </c>
      <c r="AT845">
        <v>103.9817</v>
      </c>
      <c r="AU845">
        <v>104.8853</v>
      </c>
      <c r="AV845">
        <v>153.2517</v>
      </c>
      <c r="AW845">
        <v>108.2914</v>
      </c>
      <c r="AX845">
        <v>119.26909999999999</v>
      </c>
    </row>
    <row r="846" spans="1:50" x14ac:dyDescent="0.2">
      <c r="A846" s="76">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108.08069999999999</v>
      </c>
      <c r="AN846">
        <v>108.6194</v>
      </c>
      <c r="AO846">
        <v>102.8472</v>
      </c>
      <c r="AP846">
        <v>103.80459999999999</v>
      </c>
      <c r="AQ846"/>
      <c r="AR846"/>
      <c r="AS846">
        <v>105.8916</v>
      </c>
      <c r="AT846">
        <v>104.4417</v>
      </c>
      <c r="AU846">
        <v>105.2171</v>
      </c>
      <c r="AV846">
        <v>156.0582</v>
      </c>
      <c r="AW846">
        <v>108.39790000000001</v>
      </c>
      <c r="AX846">
        <v>119.33159999999999</v>
      </c>
    </row>
    <row r="847" spans="1:50" x14ac:dyDescent="0.2">
      <c r="A847" s="76">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108.30629999999999</v>
      </c>
      <c r="AN847">
        <v>108.9687</v>
      </c>
      <c r="AO847">
        <v>103.28189999999999</v>
      </c>
      <c r="AP847">
        <v>103.983</v>
      </c>
      <c r="AQ847"/>
      <c r="AR847"/>
      <c r="AS847">
        <v>106.0763</v>
      </c>
      <c r="AT847">
        <v>105.0318</v>
      </c>
      <c r="AU847">
        <v>105.5287</v>
      </c>
      <c r="AV847">
        <v>157.30410000000001</v>
      </c>
      <c r="AW847">
        <v>108.64019999999999</v>
      </c>
      <c r="AX847">
        <v>119.7368</v>
      </c>
    </row>
    <row r="848" spans="1:50" x14ac:dyDescent="0.2">
      <c r="A848" s="76">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106.8395</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108.4971</v>
      </c>
      <c r="AN848">
        <v>109.1743</v>
      </c>
      <c r="AO848">
        <v>103.36879999999999</v>
      </c>
      <c r="AP848">
        <v>102.3977</v>
      </c>
      <c r="AQ848"/>
      <c r="AR848"/>
      <c r="AS848">
        <v>106.2813</v>
      </c>
      <c r="AT848">
        <v>104.2317</v>
      </c>
      <c r="AU848">
        <v>105.3545</v>
      </c>
      <c r="AV848">
        <v>160.30670000000001</v>
      </c>
      <c r="AW848">
        <v>108.80070000000001</v>
      </c>
      <c r="AX848">
        <v>120.1374</v>
      </c>
    </row>
    <row r="849" spans="1:50" x14ac:dyDescent="0.2">
      <c r="A849" s="76">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108.7659</v>
      </c>
      <c r="AN849">
        <v>109.5035</v>
      </c>
      <c r="AO849">
        <v>103.5427</v>
      </c>
      <c r="AP849">
        <v>102.259</v>
      </c>
      <c r="AQ849"/>
      <c r="AR849"/>
      <c r="AS849">
        <v>106.69410000000001</v>
      </c>
      <c r="AT849">
        <v>104.71169999999999</v>
      </c>
      <c r="AU849">
        <v>104.9691</v>
      </c>
      <c r="AV849">
        <v>162.76179999999999</v>
      </c>
      <c r="AW849">
        <v>109.0497</v>
      </c>
      <c r="AX849">
        <v>120.3377</v>
      </c>
    </row>
    <row r="850" spans="1:50" x14ac:dyDescent="0.2">
      <c r="A850" s="76">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108.8458</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2">
      <c r="A851" s="76">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109.1159</v>
      </c>
      <c r="AN851">
        <v>109.9271</v>
      </c>
      <c r="AO851">
        <v>104.0643</v>
      </c>
      <c r="AP851">
        <v>103.66589999999999</v>
      </c>
      <c r="AQ851"/>
      <c r="AR851"/>
      <c r="AS851">
        <v>106.7736</v>
      </c>
      <c r="AT851">
        <v>104.6317</v>
      </c>
      <c r="AU851">
        <v>105.646</v>
      </c>
      <c r="AV851">
        <v>167.19820000000001</v>
      </c>
      <c r="AW851">
        <v>109.4171</v>
      </c>
      <c r="AX851">
        <v>120.61490000000001</v>
      </c>
    </row>
    <row r="852" spans="1:50" x14ac:dyDescent="0.2">
      <c r="A852" s="76">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109.0616</v>
      </c>
      <c r="AN852">
        <v>109.7512</v>
      </c>
      <c r="AO852">
        <v>104.0643</v>
      </c>
      <c r="AP852">
        <v>103.4479</v>
      </c>
      <c r="AQ852"/>
      <c r="AR852"/>
      <c r="AS852">
        <v>106.92100000000001</v>
      </c>
      <c r="AT852">
        <v>104.79170000000001</v>
      </c>
      <c r="AU852">
        <v>105.5187</v>
      </c>
      <c r="AV852">
        <v>167.8518</v>
      </c>
      <c r="AW852">
        <v>109.43729999999999</v>
      </c>
      <c r="AX852">
        <v>120.71259999999999</v>
      </c>
    </row>
    <row r="853" spans="1:50" x14ac:dyDescent="0.2">
      <c r="A853" s="76">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109.15940000000001</v>
      </c>
      <c r="AN853">
        <v>110.0307</v>
      </c>
      <c r="AO853">
        <v>104.6729</v>
      </c>
      <c r="AP853">
        <v>103.24979999999999</v>
      </c>
      <c r="AQ853"/>
      <c r="AR853"/>
      <c r="AS853">
        <v>106.7739</v>
      </c>
      <c r="AT853">
        <v>104.43170000000001</v>
      </c>
      <c r="AU853">
        <v>106.1855</v>
      </c>
      <c r="AV853">
        <v>167.9948</v>
      </c>
      <c r="AW853">
        <v>109.3659</v>
      </c>
      <c r="AX853">
        <v>121.00490000000001</v>
      </c>
    </row>
    <row r="854" spans="1:50" x14ac:dyDescent="0.2">
      <c r="A854" s="76">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107.3028</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109.1489</v>
      </c>
      <c r="AN854">
        <v>109.4312</v>
      </c>
      <c r="AO854">
        <v>104.7598</v>
      </c>
      <c r="AP854">
        <v>101.88249999999999</v>
      </c>
      <c r="AQ854"/>
      <c r="AR854"/>
      <c r="AS854">
        <v>107.3657</v>
      </c>
      <c r="AT854">
        <v>102.6617</v>
      </c>
      <c r="AU854">
        <v>104.6373</v>
      </c>
      <c r="AV854">
        <v>168.64019999999999</v>
      </c>
      <c r="AW854">
        <v>109.80719999999999</v>
      </c>
      <c r="AX854">
        <v>121.1343</v>
      </c>
    </row>
    <row r="855" spans="1:50" x14ac:dyDescent="0.2">
      <c r="A855" s="76">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107.7026</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109.5183</v>
      </c>
      <c r="AN855">
        <v>109.7212</v>
      </c>
      <c r="AO855">
        <v>105.36839999999999</v>
      </c>
      <c r="AP855">
        <v>101.2088</v>
      </c>
      <c r="AQ855"/>
      <c r="AR855"/>
      <c r="AS855">
        <v>107.6242</v>
      </c>
      <c r="AT855">
        <v>103.7817</v>
      </c>
      <c r="AU855">
        <v>105.3746</v>
      </c>
      <c r="AV855">
        <v>168.3869</v>
      </c>
      <c r="AW855">
        <v>110.3289</v>
      </c>
      <c r="AX855">
        <v>122.65089999999999</v>
      </c>
    </row>
    <row r="856" spans="1:50" x14ac:dyDescent="0.2">
      <c r="A856" s="76">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107.8437</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109.7393</v>
      </c>
      <c r="AN856">
        <v>110.2217</v>
      </c>
      <c r="AO856">
        <v>105.89</v>
      </c>
      <c r="AP856">
        <v>103.2993</v>
      </c>
      <c r="AQ856"/>
      <c r="AR856"/>
      <c r="AS856">
        <v>107.8541</v>
      </c>
      <c r="AT856">
        <v>104.2517</v>
      </c>
      <c r="AU856">
        <v>105.4516</v>
      </c>
      <c r="AV856">
        <v>169.61250000000001</v>
      </c>
      <c r="AW856">
        <v>110.3471</v>
      </c>
      <c r="AX856">
        <v>123.2915</v>
      </c>
    </row>
    <row r="857" spans="1:50" x14ac:dyDescent="0.2">
      <c r="A857" s="76">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107.6461</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109.6841</v>
      </c>
      <c r="AN857">
        <v>110.7884</v>
      </c>
      <c r="AO857">
        <v>106.7594</v>
      </c>
      <c r="AP857">
        <v>103.7452</v>
      </c>
      <c r="AQ857"/>
      <c r="AR857"/>
      <c r="AS857">
        <v>108.0527</v>
      </c>
      <c r="AT857">
        <v>104.2717</v>
      </c>
      <c r="AU857">
        <v>105.4349</v>
      </c>
      <c r="AV857">
        <v>171.64680000000001</v>
      </c>
      <c r="AW857">
        <v>109.84220000000001</v>
      </c>
      <c r="AX857">
        <v>123.1157</v>
      </c>
    </row>
    <row r="858" spans="1:50" x14ac:dyDescent="0.2">
      <c r="A858" s="76">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107.608</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109.71599999999999</v>
      </c>
      <c r="AN858">
        <v>110.9863</v>
      </c>
      <c r="AO858">
        <v>106.6725</v>
      </c>
      <c r="AP858">
        <v>103.339</v>
      </c>
      <c r="AQ858"/>
      <c r="AR858"/>
      <c r="AS858">
        <v>108.1418</v>
      </c>
      <c r="AT858">
        <v>105.0117</v>
      </c>
      <c r="AU858">
        <v>106.0347</v>
      </c>
      <c r="AV858">
        <v>174.40020000000001</v>
      </c>
      <c r="AW858">
        <v>109.7225</v>
      </c>
      <c r="AX858">
        <v>123.0433</v>
      </c>
    </row>
    <row r="859" spans="1:50" x14ac:dyDescent="0.2">
      <c r="A859" s="76">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107.8117</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109.9892</v>
      </c>
      <c r="AN859">
        <v>111.48269999999999</v>
      </c>
      <c r="AO859">
        <v>107.45489999999999</v>
      </c>
      <c r="AP859">
        <v>104.2009</v>
      </c>
      <c r="AQ859"/>
      <c r="AR859"/>
      <c r="AS859">
        <v>108.328</v>
      </c>
      <c r="AT859">
        <v>105.65179999999999</v>
      </c>
      <c r="AU859">
        <v>106.6748</v>
      </c>
      <c r="AV859">
        <v>177.73769999999999</v>
      </c>
      <c r="AW859">
        <v>109.9302</v>
      </c>
      <c r="AX859">
        <v>123.2144</v>
      </c>
    </row>
    <row r="860" spans="1:50" x14ac:dyDescent="0.2">
      <c r="A860" s="76">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108.1816</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110.3254</v>
      </c>
      <c r="AN860">
        <v>111.60209999999999</v>
      </c>
      <c r="AO860">
        <v>107.6288</v>
      </c>
      <c r="AP860">
        <v>102.477</v>
      </c>
      <c r="AQ860"/>
      <c r="AR860"/>
      <c r="AS860">
        <v>108.54259999999999</v>
      </c>
      <c r="AT860">
        <v>105.3918</v>
      </c>
      <c r="AU860">
        <v>106.99979999999999</v>
      </c>
      <c r="AV860">
        <v>179.47380000000001</v>
      </c>
      <c r="AW860">
        <v>110.5085</v>
      </c>
      <c r="AX860">
        <v>124.2163</v>
      </c>
    </row>
    <row r="861" spans="1:50" x14ac:dyDescent="0.2">
      <c r="A861" s="76">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110.51390000000001</v>
      </c>
      <c r="AN861">
        <v>111.60980000000001</v>
      </c>
      <c r="AO861">
        <v>107.6288</v>
      </c>
      <c r="AP861">
        <v>102.1797</v>
      </c>
      <c r="AQ861"/>
      <c r="AR861"/>
      <c r="AS861">
        <v>108.6949</v>
      </c>
      <c r="AT861">
        <v>105.23180000000001</v>
      </c>
      <c r="AU861">
        <v>106.4134</v>
      </c>
      <c r="AV861">
        <v>181.56950000000001</v>
      </c>
      <c r="AW861">
        <v>110.9432</v>
      </c>
      <c r="AX861">
        <v>124.2565</v>
      </c>
    </row>
    <row r="862" spans="1:50" x14ac:dyDescent="0.2">
      <c r="A862" s="76">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108.4008</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110.6233</v>
      </c>
      <c r="AN862">
        <v>111.7276</v>
      </c>
      <c r="AO862">
        <v>108.0635</v>
      </c>
      <c r="AP862">
        <v>103.4479</v>
      </c>
      <c r="AQ862"/>
      <c r="AR862"/>
      <c r="AS862">
        <v>108.96339999999999</v>
      </c>
      <c r="AT862">
        <v>104.8717</v>
      </c>
      <c r="AU862">
        <v>106.6614</v>
      </c>
      <c r="AV862">
        <v>183.6815</v>
      </c>
      <c r="AW862">
        <v>111.06619999999999</v>
      </c>
      <c r="AX862">
        <v>124.5087</v>
      </c>
    </row>
    <row r="863" spans="1:50" x14ac:dyDescent="0.2">
      <c r="A863" s="76">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108.5021</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110.8081</v>
      </c>
      <c r="AN863">
        <v>112.0568</v>
      </c>
      <c r="AO863">
        <v>108.41119999999999</v>
      </c>
      <c r="AP863">
        <v>103.5668</v>
      </c>
      <c r="AQ863"/>
      <c r="AR863"/>
      <c r="AS863">
        <v>108.97799999999999</v>
      </c>
      <c r="AT863">
        <v>105.5218</v>
      </c>
      <c r="AU863">
        <v>106.7787</v>
      </c>
      <c r="AV863">
        <v>186.95359999999999</v>
      </c>
      <c r="AW863">
        <v>111.1793</v>
      </c>
      <c r="AX863">
        <v>124.8852</v>
      </c>
    </row>
    <row r="864" spans="1:50" x14ac:dyDescent="0.2">
      <c r="A864" s="76">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108.4307</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110.82380000000001</v>
      </c>
      <c r="AN864">
        <v>112.0013</v>
      </c>
      <c r="AO864">
        <v>108.5851</v>
      </c>
      <c r="AP864">
        <v>103.2597</v>
      </c>
      <c r="AQ864"/>
      <c r="AR864"/>
      <c r="AS864">
        <v>109.0887</v>
      </c>
      <c r="AT864">
        <v>104.82170000000001</v>
      </c>
      <c r="AU864">
        <v>106.75190000000001</v>
      </c>
      <c r="AV864">
        <v>190.4178</v>
      </c>
      <c r="AW864">
        <v>111.2392</v>
      </c>
      <c r="AX864">
        <v>124.863</v>
      </c>
    </row>
    <row r="865" spans="1:50" x14ac:dyDescent="0.2">
      <c r="A865" s="76">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108.4495</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110.9188</v>
      </c>
      <c r="AN865">
        <v>112.3154</v>
      </c>
      <c r="AO865">
        <v>108.5851</v>
      </c>
      <c r="AP865">
        <v>103.10120000000001</v>
      </c>
      <c r="AQ865"/>
      <c r="AR865"/>
      <c r="AS865">
        <v>109.015</v>
      </c>
      <c r="AT865">
        <v>104.2817</v>
      </c>
      <c r="AU865">
        <v>107.43210000000001</v>
      </c>
      <c r="AV865">
        <v>191.83529999999999</v>
      </c>
      <c r="AW865">
        <v>111.13720000000001</v>
      </c>
      <c r="AX865">
        <v>125.02379999999999</v>
      </c>
    </row>
    <row r="866" spans="1:50" x14ac:dyDescent="0.2">
      <c r="A866" s="76">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108.6131</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111.0633</v>
      </c>
      <c r="AN866">
        <v>112.2433</v>
      </c>
      <c r="AO866">
        <v>108.9328</v>
      </c>
      <c r="AP866">
        <v>102.4472</v>
      </c>
      <c r="AQ866"/>
      <c r="AR866"/>
      <c r="AS866">
        <v>109.8665</v>
      </c>
      <c r="AT866">
        <v>103.2717</v>
      </c>
      <c r="AU866">
        <v>106.41670000000001</v>
      </c>
      <c r="AV866">
        <v>194.2782</v>
      </c>
      <c r="AW866">
        <v>111.3556</v>
      </c>
      <c r="AX866">
        <v>125.16419999999999</v>
      </c>
    </row>
    <row r="867" spans="1:50" x14ac:dyDescent="0.2">
      <c r="A867" s="76">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108.8935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111.3387</v>
      </c>
      <c r="AN867">
        <v>112.44880000000001</v>
      </c>
      <c r="AO867">
        <v>109.36750000000001</v>
      </c>
      <c r="AP867">
        <v>101.88249999999999</v>
      </c>
      <c r="AQ867"/>
      <c r="AR867"/>
      <c r="AS867">
        <v>109.94280000000001</v>
      </c>
      <c r="AT867">
        <v>103.3317</v>
      </c>
      <c r="AU867">
        <v>106.6781</v>
      </c>
      <c r="AV867">
        <v>194.94</v>
      </c>
      <c r="AW867">
        <v>111.744</v>
      </c>
      <c r="AX867">
        <v>125.84780000000001</v>
      </c>
    </row>
    <row r="868" spans="1:50" x14ac:dyDescent="0.2">
      <c r="A868" s="76">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109.2467</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111.75360000000001</v>
      </c>
      <c r="AN868">
        <v>112.9768</v>
      </c>
      <c r="AO868">
        <v>110.15</v>
      </c>
      <c r="AP868">
        <v>103.4479</v>
      </c>
      <c r="AQ868"/>
      <c r="AR868"/>
      <c r="AS868">
        <v>110.6484</v>
      </c>
      <c r="AT868">
        <v>103.40170000000001</v>
      </c>
      <c r="AU868">
        <v>106.92610000000001</v>
      </c>
      <c r="AV868">
        <v>197.29300000000001</v>
      </c>
      <c r="AW868">
        <v>112.16379999999999</v>
      </c>
      <c r="AX868">
        <v>126.4178</v>
      </c>
    </row>
    <row r="869" spans="1:50" x14ac:dyDescent="0.2">
      <c r="A869" s="76">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109.7548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112.31100000000001</v>
      </c>
      <c r="AN869">
        <v>113.6133</v>
      </c>
      <c r="AO869">
        <v>110.6716</v>
      </c>
      <c r="AP869">
        <v>103.8343</v>
      </c>
      <c r="AQ869"/>
      <c r="AR869"/>
      <c r="AS869">
        <v>110.801</v>
      </c>
      <c r="AT869">
        <v>104.6317</v>
      </c>
      <c r="AU869">
        <v>107.3484</v>
      </c>
      <c r="AV869">
        <v>200.7244</v>
      </c>
      <c r="AW869">
        <v>113.0947</v>
      </c>
      <c r="AX869">
        <v>126.84269999999999</v>
      </c>
    </row>
    <row r="870" spans="1:50" x14ac:dyDescent="0.2">
      <c r="A870" s="76">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110.33799999999999</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112.8309</v>
      </c>
      <c r="AN870">
        <v>114.01690000000001</v>
      </c>
      <c r="AO870">
        <v>111.0193</v>
      </c>
      <c r="AP870">
        <v>103.99290000000001</v>
      </c>
      <c r="AQ870"/>
      <c r="AR870"/>
      <c r="AS870">
        <v>111.6293</v>
      </c>
      <c r="AT870">
        <v>105.7418</v>
      </c>
      <c r="AU870">
        <v>107.4355</v>
      </c>
      <c r="AV870">
        <v>202.73840000000001</v>
      </c>
      <c r="AW870">
        <v>113.88939999999999</v>
      </c>
      <c r="AX870">
        <v>126.8409</v>
      </c>
    </row>
    <row r="871" spans="1:50" x14ac:dyDescent="0.2">
      <c r="A871" s="76">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110.982</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113.447</v>
      </c>
      <c r="AN871">
        <v>114.5491</v>
      </c>
      <c r="AO871">
        <v>111.0193</v>
      </c>
      <c r="AP871">
        <v>103.93340000000001</v>
      </c>
      <c r="AQ871"/>
      <c r="AR871"/>
      <c r="AS871">
        <v>112.29</v>
      </c>
      <c r="AT871">
        <v>106.4918</v>
      </c>
      <c r="AU871">
        <v>107.536</v>
      </c>
      <c r="AV871">
        <v>207.33</v>
      </c>
      <c r="AW871">
        <v>114.84910000000001</v>
      </c>
      <c r="AX871">
        <v>127.38849999999999</v>
      </c>
    </row>
    <row r="872" spans="1:50" x14ac:dyDescent="0.2">
      <c r="A872" s="76">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111.3454</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113.7683</v>
      </c>
      <c r="AN872">
        <v>114.75060000000001</v>
      </c>
      <c r="AO872">
        <v>111.45399999999999</v>
      </c>
      <c r="AP872">
        <v>103.3489</v>
      </c>
      <c r="AQ872"/>
      <c r="AR872"/>
      <c r="AS872">
        <v>112.7825</v>
      </c>
      <c r="AT872">
        <v>106.8018</v>
      </c>
      <c r="AU872">
        <v>107.3115</v>
      </c>
      <c r="AV872">
        <v>208.46969999999999</v>
      </c>
      <c r="AW872">
        <v>115.23220000000001</v>
      </c>
      <c r="AX872">
        <v>127.9645</v>
      </c>
    </row>
    <row r="873" spans="1:50" x14ac:dyDescent="0.2">
      <c r="A873" s="76">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111.5168</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113.9633</v>
      </c>
      <c r="AN873">
        <v>115.04179999999999</v>
      </c>
      <c r="AO873">
        <v>111.7148</v>
      </c>
      <c r="AP873">
        <v>103.121</v>
      </c>
      <c r="AQ873"/>
      <c r="AR873"/>
      <c r="AS873">
        <v>113.42570000000001</v>
      </c>
      <c r="AT873">
        <v>106.87179999999999</v>
      </c>
      <c r="AU873">
        <v>107.66670000000001</v>
      </c>
      <c r="AV873">
        <v>209.1765</v>
      </c>
      <c r="AW873">
        <v>115.38120000000001</v>
      </c>
      <c r="AX873">
        <v>128.29769999999999</v>
      </c>
    </row>
    <row r="874" spans="1:50" x14ac:dyDescent="0.2">
      <c r="A874" s="76">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111.5829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114.17100000000001</v>
      </c>
      <c r="AN874">
        <v>115.37569999999999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2">
      <c r="A875" s="76">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112.0351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114.7518</v>
      </c>
      <c r="AN875">
        <v>115.9794</v>
      </c>
      <c r="AO875">
        <v>113.27970000000001</v>
      </c>
      <c r="AP875">
        <v>104.6765</v>
      </c>
      <c r="AQ875"/>
      <c r="AR875"/>
      <c r="AS875">
        <v>115.4209</v>
      </c>
      <c r="AT875">
        <v>107.0718</v>
      </c>
      <c r="AU875">
        <v>108.44750000000001</v>
      </c>
      <c r="AV875">
        <v>216.8278</v>
      </c>
      <c r="AW875">
        <v>116.25230000000001</v>
      </c>
      <c r="AX875">
        <v>128.86490000000001</v>
      </c>
    </row>
    <row r="876" spans="1:50" x14ac:dyDescent="0.2">
      <c r="A876" s="76">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112.2864</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115.11369999999999</v>
      </c>
      <c r="AN876">
        <v>116.36060000000001</v>
      </c>
      <c r="AO876">
        <v>113.7144</v>
      </c>
      <c r="AP876">
        <v>105.0134</v>
      </c>
      <c r="AQ876"/>
      <c r="AR876"/>
      <c r="AS876">
        <v>116.0498</v>
      </c>
      <c r="AT876">
        <v>107.81180000000001</v>
      </c>
      <c r="AU876">
        <v>108.5179</v>
      </c>
      <c r="AV876">
        <v>222.76339999999999</v>
      </c>
      <c r="AW876">
        <v>116.7216</v>
      </c>
      <c r="AX876">
        <v>128.89400000000001</v>
      </c>
    </row>
    <row r="877" spans="1:50" x14ac:dyDescent="0.2">
      <c r="A877" s="76">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112.6908</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116.0621</v>
      </c>
      <c r="AN877">
        <v>118.3205</v>
      </c>
      <c r="AO877">
        <v>114.1491</v>
      </c>
      <c r="AP877">
        <v>104.97369999999999</v>
      </c>
      <c r="AQ877"/>
      <c r="AR877"/>
      <c r="AS877">
        <v>116.1253</v>
      </c>
      <c r="AT877">
        <v>107.4718</v>
      </c>
      <c r="AU877">
        <v>108.9234</v>
      </c>
      <c r="AV877">
        <v>251.44069999999999</v>
      </c>
      <c r="AW877">
        <v>117.19799999999999</v>
      </c>
      <c r="AX877">
        <v>129.4033</v>
      </c>
    </row>
    <row r="878" spans="1:50" x14ac:dyDescent="0.2">
      <c r="A878" s="76">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113.11150000000001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116.7788</v>
      </c>
      <c r="AN878">
        <v>119.0226</v>
      </c>
      <c r="AO878">
        <v>115.27930000000001</v>
      </c>
      <c r="AP878">
        <v>104.9539</v>
      </c>
      <c r="AQ878"/>
      <c r="AR878"/>
      <c r="AS878">
        <v>117.2914</v>
      </c>
      <c r="AT878">
        <v>107.23180000000001</v>
      </c>
      <c r="AU878">
        <v>108.91</v>
      </c>
      <c r="AV878">
        <v>271.48610000000002</v>
      </c>
      <c r="AW878">
        <v>118.0599</v>
      </c>
      <c r="AX878">
        <v>129.71780000000001</v>
      </c>
    </row>
    <row r="879" spans="1:50" x14ac:dyDescent="0.2">
      <c r="A879" s="76">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113.7779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117.5718</v>
      </c>
      <c r="AN879">
        <v>119.9961</v>
      </c>
      <c r="AO879">
        <v>116.40949999999999</v>
      </c>
      <c r="AP879">
        <v>105.1224</v>
      </c>
      <c r="AQ879"/>
      <c r="AR879"/>
      <c r="AS879">
        <v>117.9926</v>
      </c>
      <c r="AT879">
        <v>108.2118</v>
      </c>
      <c r="AU879">
        <v>109.9186</v>
      </c>
      <c r="AV879">
        <v>280.91039999999998</v>
      </c>
      <c r="AW879">
        <v>118.9115</v>
      </c>
      <c r="AX879">
        <v>130.2225</v>
      </c>
    </row>
    <row r="880" spans="1:50" x14ac:dyDescent="0.2">
      <c r="A880" s="76">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114.33110000000001</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118.34780000000001</v>
      </c>
      <c r="AN880">
        <v>121.2957</v>
      </c>
      <c r="AO880">
        <v>117.5397</v>
      </c>
      <c r="AP880">
        <v>107.4012</v>
      </c>
      <c r="AQ880"/>
      <c r="AR880"/>
      <c r="AS880">
        <v>119.85760000000001</v>
      </c>
      <c r="AT880">
        <v>108.0318</v>
      </c>
      <c r="AU880">
        <v>110.7396</v>
      </c>
      <c r="AV880">
        <v>293.2801</v>
      </c>
      <c r="AW880">
        <v>119.4259</v>
      </c>
      <c r="AX880">
        <v>131.35419999999999</v>
      </c>
    </row>
    <row r="881" spans="1:50" x14ac:dyDescent="0.2">
      <c r="A881" s="76">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115.0009</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119.3404</v>
      </c>
      <c r="AN881">
        <v>122.887</v>
      </c>
      <c r="AO881">
        <v>119.1045</v>
      </c>
      <c r="AP881">
        <v>108.9864</v>
      </c>
      <c r="AQ881"/>
      <c r="AR881"/>
      <c r="AS881">
        <v>121.2989</v>
      </c>
      <c r="AT881">
        <v>110.3018</v>
      </c>
      <c r="AU881">
        <v>111.70140000000001</v>
      </c>
      <c r="AV881">
        <v>307.19380000000001</v>
      </c>
      <c r="AW881">
        <v>120.062</v>
      </c>
      <c r="AX881">
        <v>131.98840000000001</v>
      </c>
    </row>
    <row r="882" spans="1:50" x14ac:dyDescent="0.2">
      <c r="A882" s="76">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115.5742</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120.0958</v>
      </c>
      <c r="AN882">
        <v>123.96299999999999</v>
      </c>
      <c r="AO882">
        <v>120.32170000000001</v>
      </c>
      <c r="AP882">
        <v>109.7791</v>
      </c>
      <c r="AQ882"/>
      <c r="AR882"/>
      <c r="AS882">
        <v>122.6182</v>
      </c>
      <c r="AT882">
        <v>111.5519</v>
      </c>
      <c r="AU882">
        <v>112.61620000000001</v>
      </c>
      <c r="AV882">
        <v>318.68920000000003</v>
      </c>
      <c r="AW882">
        <v>120.7473</v>
      </c>
      <c r="AX882">
        <v>132.34</v>
      </c>
    </row>
    <row r="883" spans="1:50" x14ac:dyDescent="0.2">
      <c r="A883" s="76">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116.1495</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120.8366</v>
      </c>
      <c r="AN883">
        <v>124.82640000000001</v>
      </c>
      <c r="AO883">
        <v>121.0172</v>
      </c>
      <c r="AP883">
        <v>110.15560000000001</v>
      </c>
      <c r="AQ883"/>
      <c r="AR883"/>
      <c r="AS883">
        <v>123.5462</v>
      </c>
      <c r="AT883">
        <v>112.89190000000001</v>
      </c>
      <c r="AU883">
        <v>113.4406</v>
      </c>
      <c r="AV883">
        <v>329.32679999999999</v>
      </c>
      <c r="AW883">
        <v>121.6447</v>
      </c>
      <c r="AX883">
        <v>132.94120000000001</v>
      </c>
    </row>
    <row r="884" spans="1:50" x14ac:dyDescent="0.2">
      <c r="A884" s="76">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116.636</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121.5341</v>
      </c>
      <c r="AN884">
        <v>125.82550000000001</v>
      </c>
      <c r="AO884">
        <v>121.7127</v>
      </c>
      <c r="AP884">
        <v>109.789</v>
      </c>
      <c r="AQ884"/>
      <c r="AR884"/>
      <c r="AS884">
        <v>124.5543</v>
      </c>
      <c r="AT884">
        <v>113.3319</v>
      </c>
      <c r="AU884">
        <v>113.7187</v>
      </c>
      <c r="AV884">
        <v>341.40629999999999</v>
      </c>
      <c r="AW884">
        <v>122.04349999999999</v>
      </c>
      <c r="AX884">
        <v>134.10730000000001</v>
      </c>
    </row>
    <row r="885" spans="1:50" x14ac:dyDescent="0.2">
      <c r="A885" s="76">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117.1793</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122.21639999999999</v>
      </c>
      <c r="AN885">
        <v>126.78279999999999</v>
      </c>
      <c r="AO885">
        <v>122.669</v>
      </c>
      <c r="AP885">
        <v>109.81870000000001</v>
      </c>
      <c r="AQ885"/>
      <c r="AR885"/>
      <c r="AS885">
        <v>125.66670000000001</v>
      </c>
      <c r="AT885">
        <v>113.61190000000001</v>
      </c>
      <c r="AU885">
        <v>114.7676</v>
      </c>
      <c r="AV885">
        <v>351.25139999999999</v>
      </c>
      <c r="AW885">
        <v>122.6759</v>
      </c>
      <c r="AX885">
        <v>134.46680000000001</v>
      </c>
    </row>
    <row r="886" spans="1:50" x14ac:dyDescent="0.2">
      <c r="A886" s="76">
        <v>44805</v>
      </c>
      <c r="B886">
        <v>119.0381</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117.622</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122.84229999999999</v>
      </c>
      <c r="AN886">
        <v>127.7685</v>
      </c>
      <c r="AO886">
        <v>124.40770000000001</v>
      </c>
      <c r="AP886">
        <v>111.5228</v>
      </c>
      <c r="AQ886"/>
      <c r="AR886"/>
      <c r="AS886">
        <v>126.5842</v>
      </c>
      <c r="AT886">
        <v>113.4919</v>
      </c>
      <c r="AU886">
        <v>115.9439</v>
      </c>
      <c r="AV886">
        <v>360.38159999999999</v>
      </c>
      <c r="AW886">
        <v>123.1977</v>
      </c>
      <c r="AX886">
        <v>135.2011</v>
      </c>
    </row>
    <row r="887" spans="1:50" x14ac:dyDescent="0.2">
      <c r="A887" s="76">
        <v>44835</v>
      </c>
      <c r="B887"/>
      <c r="C887">
        <v>116.97369999999999</v>
      </c>
      <c r="D887"/>
      <c r="E887"/>
      <c r="F887">
        <v>102.91589999999999</v>
      </c>
      <c r="G887">
        <v>131.5489</v>
      </c>
      <c r="H887"/>
      <c r="I887"/>
      <c r="J887"/>
      <c r="K887"/>
      <c r="L887"/>
      <c r="M887">
        <v>111.434</v>
      </c>
      <c r="N887"/>
      <c r="O887"/>
      <c r="P887">
        <v>127.41630000000001</v>
      </c>
      <c r="Q887"/>
      <c r="R887"/>
      <c r="S887"/>
      <c r="T887"/>
      <c r="U887"/>
      <c r="V887"/>
      <c r="W887">
        <v>105.32689999999999</v>
      </c>
      <c r="X887">
        <v>135.53720000000001</v>
      </c>
      <c r="Y887"/>
      <c r="Z887"/>
      <c r="AA887"/>
      <c r="AB887">
        <v>131.0411</v>
      </c>
      <c r="AC887"/>
      <c r="AD887"/>
      <c r="AE887"/>
      <c r="AF887">
        <v>112.23520000000001</v>
      </c>
      <c r="AG887"/>
      <c r="AH887">
        <v>113.77</v>
      </c>
      <c r="AI887">
        <v>123.2984</v>
      </c>
      <c r="AJ887">
        <v>133.32730000000001</v>
      </c>
      <c r="AK887">
        <v>117.1528</v>
      </c>
      <c r="AL887">
        <v>120.1874</v>
      </c>
      <c r="AM887"/>
      <c r="AN887"/>
      <c r="AO887"/>
      <c r="AP887"/>
      <c r="AQ887"/>
      <c r="AR887"/>
      <c r="AS887"/>
      <c r="AT887">
        <v>114.2719</v>
      </c>
      <c r="AU887"/>
      <c r="AV887"/>
      <c r="AW887">
        <v>123.55800000000001</v>
      </c>
      <c r="AX887"/>
    </row>
    <row r="888" spans="1:50" x14ac:dyDescent="0.2">
      <c r="A888" s="76">
        <v>44866</v>
      </c>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2">
      <c r="A889" s="76">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2">
      <c r="A890" s="76">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tabSelected="1"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Y156" sqref="Y156"/>
    </sheetView>
  </sheetViews>
  <sheetFormatPr baseColWidth="10" defaultColWidth="8.83203125" defaultRowHeight="15" x14ac:dyDescent="0.2"/>
  <cols>
    <col min="1" max="1" width="9.1640625" style="73"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7.332031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3" customWidth="1"/>
    <col min="31" max="31" width="10.6640625" style="73" bestFit="1" customWidth="1"/>
    <col min="32" max="72" width="9.1640625" style="73"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3" customFormat="1" ht="16" customHeight="1" thickBot="1" x14ac:dyDescent="0.25">
      <c r="AD2" s="73" t="s">
        <v>504</v>
      </c>
      <c r="AE2" s="28">
        <v>44774</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1"/>
    </row>
    <row r="4" spans="2:31" x14ac:dyDescent="0.2">
      <c r="B4" s="61" t="s">
        <v>513</v>
      </c>
      <c r="C4" s="22">
        <f t="shared" ref="C4:Y4" ca="1" si="0">MAX(OFFSET(C$59,COUNT(C$59:C$250),0,-13,1))</f>
        <v>9.0598213055061744E-2</v>
      </c>
      <c r="D4" s="22">
        <f t="shared" ca="1" si="0"/>
        <v>2.7833078169306535E-2</v>
      </c>
      <c r="E4" s="22" t="e">
        <f t="shared" ca="1" si="0"/>
        <v>#N/A</v>
      </c>
      <c r="F4" s="22" t="e">
        <f t="shared" ca="1" si="0"/>
        <v>#N/A</v>
      </c>
      <c r="G4" s="22" t="e">
        <f t="shared" ca="1" si="0"/>
        <v>#N/A</v>
      </c>
      <c r="H4" s="22" t="e">
        <f t="shared" ca="1" si="0"/>
        <v>#N/A</v>
      </c>
      <c r="I4" s="22" t="e">
        <f t="shared" ca="1" si="0"/>
        <v>#N/A</v>
      </c>
      <c r="J4" s="22" t="e">
        <f t="shared" ca="1" si="0"/>
        <v>#N/A</v>
      </c>
      <c r="K4" s="22" t="e">
        <f t="shared" ca="1" si="0"/>
        <v>#N/A</v>
      </c>
      <c r="L4" s="22" t="e">
        <f t="shared" ca="1" si="0"/>
        <v>#N/A</v>
      </c>
      <c r="M4" s="22">
        <f t="shared" ca="1" si="0"/>
        <v>8.6997558542958028E-2</v>
      </c>
      <c r="N4" s="22">
        <f t="shared" ca="1" si="0"/>
        <v>0.16698412994105594</v>
      </c>
      <c r="O4" s="22" t="e">
        <f t="shared" ca="1" si="0"/>
        <v>#N/A</v>
      </c>
      <c r="P4" s="22" t="e">
        <f t="shared" ca="1" si="0"/>
        <v>#N/A</v>
      </c>
      <c r="Q4" s="22" t="e">
        <f t="shared" ca="1" si="0"/>
        <v>#N/A</v>
      </c>
      <c r="R4" s="22">
        <f t="shared" ca="1" si="0"/>
        <v>3.4521040753623403E-2</v>
      </c>
      <c r="S4" s="22">
        <f t="shared" ca="1" si="0"/>
        <v>6.3368333365800958E-2</v>
      </c>
      <c r="T4" s="22" t="e">
        <f t="shared" ca="1" si="0"/>
        <v>#N/A</v>
      </c>
      <c r="U4" s="22">
        <f t="shared" ca="1" si="0"/>
        <v>0.1209375765283956</v>
      </c>
      <c r="V4" s="22">
        <f t="shared" ca="1" si="0"/>
        <v>9.1258138754929524E-2</v>
      </c>
      <c r="W4" s="22">
        <f t="shared" ca="1" si="0"/>
        <v>0.85514812880657198</v>
      </c>
      <c r="X4" s="22" t="e">
        <f t="shared" ca="1" si="0"/>
        <v>#N/A</v>
      </c>
      <c r="Y4" s="62" t="e">
        <f t="shared" ca="1" si="0"/>
        <v>#N/A</v>
      </c>
      <c r="Z4" s="49" t="e">
        <f>MAX(Z94:Z106)</f>
        <v>#N/A</v>
      </c>
      <c r="AA4" s="22" t="e">
        <f>MAX(AA94:AA106)</f>
        <v>#N/A</v>
      </c>
      <c r="AB4" s="72"/>
    </row>
    <row r="5" spans="2:31" x14ac:dyDescent="0.2">
      <c r="B5" s="61" t="s">
        <v>514</v>
      </c>
      <c r="C5" s="22">
        <f t="shared" ref="C5:Y5" ca="1" si="1">MIN(OFFSET(C$59,COUNT(C$59:C$250),0,-13,1))</f>
        <v>6.8089703024043269E-2</v>
      </c>
      <c r="D5" s="22">
        <f t="shared" ca="1" si="1"/>
        <v>9.8516772317086745E-3</v>
      </c>
      <c r="E5" s="22" t="e">
        <f t="shared" ca="1" si="1"/>
        <v>#N/A</v>
      </c>
      <c r="F5" s="22" t="e">
        <f t="shared" ca="1" si="1"/>
        <v>#N/A</v>
      </c>
      <c r="G5" s="22" t="e">
        <f t="shared" ca="1" si="1"/>
        <v>#N/A</v>
      </c>
      <c r="H5" s="22" t="e">
        <f t="shared" ca="1" si="1"/>
        <v>#N/A</v>
      </c>
      <c r="I5" s="22" t="e">
        <f t="shared" ca="1" si="1"/>
        <v>#N/A</v>
      </c>
      <c r="J5" s="22" t="e">
        <f t="shared" ca="1" si="1"/>
        <v>#N/A</v>
      </c>
      <c r="K5" s="22" t="e">
        <f t="shared" ca="1" si="1"/>
        <v>#N/A</v>
      </c>
      <c r="L5" s="22" t="e">
        <f t="shared" ca="1" si="1"/>
        <v>#N/A</v>
      </c>
      <c r="M5" s="22">
        <f t="shared" ca="1" si="1"/>
        <v>7.0701061462377937E-2</v>
      </c>
      <c r="N5" s="22">
        <f t="shared" ca="1" si="1"/>
        <v>-1</v>
      </c>
      <c r="O5" s="22" t="e">
        <f t="shared" ca="1" si="1"/>
        <v>#N/A</v>
      </c>
      <c r="P5" s="22" t="e">
        <f t="shared" ca="1" si="1"/>
        <v>#N/A</v>
      </c>
      <c r="Q5" s="22" t="e">
        <f t="shared" ca="1" si="1"/>
        <v>#N/A</v>
      </c>
      <c r="R5" s="22">
        <f t="shared" ca="1" si="1"/>
        <v>1.5311146071406025E-2</v>
      </c>
      <c r="S5" s="22">
        <f t="shared" ca="1" si="1"/>
        <v>3.6124896492285431E-2</v>
      </c>
      <c r="T5" s="22" t="e">
        <f t="shared" ca="1" si="1"/>
        <v>#N/A</v>
      </c>
      <c r="U5" s="22">
        <f t="shared" ca="1" si="1"/>
        <v>4.8227973976198588E-2</v>
      </c>
      <c r="V5" s="22">
        <f t="shared" ca="1" si="1"/>
        <v>-1</v>
      </c>
      <c r="W5" s="22">
        <f t="shared" ca="1" si="1"/>
        <v>0.21312542139015636</v>
      </c>
      <c r="X5" s="22" t="e">
        <f t="shared" ca="1" si="1"/>
        <v>#N/A</v>
      </c>
      <c r="Y5" s="62" t="e">
        <f t="shared" ca="1" si="1"/>
        <v>#N/A</v>
      </c>
      <c r="Z5" s="49" t="e">
        <f>MIN(Z94:Z106)</f>
        <v>#N/A</v>
      </c>
      <c r="AA5" s="22" t="e">
        <f>MIN(AA94:AA106)</f>
        <v>#N/A</v>
      </c>
      <c r="AB5" s="72"/>
    </row>
    <row r="6" spans="2:31" x14ac:dyDescent="0.2">
      <c r="B6" s="61" t="s">
        <v>515</v>
      </c>
      <c r="C6" s="22">
        <f t="shared" ref="C6:Y6" ca="1" si="2">AVERAGE(OFFSET(C$59,COUNT(C$59:C$250),0,-13,1))</f>
        <v>8.0311205269887817E-2</v>
      </c>
      <c r="D6" s="22">
        <f t="shared" ca="1" si="2"/>
        <v>2.0228702102299951E-2</v>
      </c>
      <c r="E6" s="22" t="e">
        <f t="shared" ca="1" si="2"/>
        <v>#N/A</v>
      </c>
      <c r="F6" s="22" t="e">
        <f t="shared" ca="1" si="2"/>
        <v>#N/A</v>
      </c>
      <c r="G6" s="22" t="e">
        <f t="shared" ca="1" si="2"/>
        <v>#N/A</v>
      </c>
      <c r="H6" s="22" t="e">
        <f t="shared" ca="1" si="2"/>
        <v>#N/A</v>
      </c>
      <c r="I6" s="22" t="e">
        <f t="shared" ca="1" si="2"/>
        <v>#N/A</v>
      </c>
      <c r="J6" s="22" t="e">
        <f t="shared" ca="1" si="2"/>
        <v>#N/A</v>
      </c>
      <c r="K6" s="22" t="e">
        <f t="shared" ca="1" si="2"/>
        <v>#N/A</v>
      </c>
      <c r="L6" s="22" t="e">
        <f t="shared" ca="1" si="2"/>
        <v>#N/A</v>
      </c>
      <c r="M6" s="22">
        <f t="shared" ca="1" si="2"/>
        <v>7.8173388147237885E-2</v>
      </c>
      <c r="N6" s="22">
        <f t="shared" ca="1" si="2"/>
        <v>-0.54050738360916961</v>
      </c>
      <c r="O6" s="22" t="e">
        <f t="shared" ca="1" si="2"/>
        <v>#N/A</v>
      </c>
      <c r="P6" s="22" t="e">
        <f t="shared" ca="1" si="2"/>
        <v>#N/A</v>
      </c>
      <c r="Q6" s="22" t="e">
        <f t="shared" ca="1" si="2"/>
        <v>#N/A</v>
      </c>
      <c r="R6" s="22">
        <f t="shared" ca="1" si="2"/>
        <v>2.6049232963144601E-2</v>
      </c>
      <c r="S6" s="22">
        <f t="shared" ca="1" si="2"/>
        <v>4.868013952270156E-2</v>
      </c>
      <c r="T6" s="22" t="e">
        <f t="shared" ca="1" si="2"/>
        <v>#N/A</v>
      </c>
      <c r="U6" s="22">
        <f t="shared" ca="1" si="2"/>
        <v>9.1609085531509135E-2</v>
      </c>
      <c r="V6" s="22">
        <f t="shared" ca="1" si="2"/>
        <v>-1.8293947072787014E-2</v>
      </c>
      <c r="W6" s="22">
        <f t="shared" ca="1" si="2"/>
        <v>0.64377472556767701</v>
      </c>
      <c r="X6" s="22" t="e">
        <f t="shared" ca="1" si="2"/>
        <v>#N/A</v>
      </c>
      <c r="Y6" s="62" t="e">
        <f t="shared" ca="1" si="2"/>
        <v>#N/A</v>
      </c>
      <c r="Z6" s="49" t="e">
        <f>AVERAGE(Z94:Z106)</f>
        <v>#N/A</v>
      </c>
      <c r="AA6" s="22" t="e">
        <f>AVERAGE(AA94:AA106)</f>
        <v>#N/A</v>
      </c>
      <c r="AB6" s="72"/>
    </row>
    <row r="7" spans="2:31" ht="16" customHeight="1" thickBot="1" x14ac:dyDescent="0.25">
      <c r="B7" s="63" t="s">
        <v>516</v>
      </c>
      <c r="C7" s="64" t="str">
        <f t="shared" ref="C7:Y7" ca="1" si="3">IF((VLOOKUP($AE$2,$B:$Y,MATCH(C3,$B$3:$Y$3,),))&gt;C6,"above","below")</f>
        <v>above</v>
      </c>
      <c r="D7" s="64" t="str">
        <f t="shared" ca="1" si="3"/>
        <v>above</v>
      </c>
      <c r="E7" s="64" t="e">
        <f t="shared" ca="1" si="3"/>
        <v>#N/A</v>
      </c>
      <c r="F7" s="64" t="e">
        <f t="shared" ca="1" si="3"/>
        <v>#N/A</v>
      </c>
      <c r="G7" s="64" t="e">
        <f t="shared" ca="1" si="3"/>
        <v>#N/A</v>
      </c>
      <c r="H7" s="64" t="e">
        <f t="shared" ca="1" si="3"/>
        <v>#N/A</v>
      </c>
      <c r="I7" s="64" t="e">
        <f t="shared" ca="1" si="3"/>
        <v>#N/A</v>
      </c>
      <c r="J7" s="64" t="e">
        <f t="shared" ca="1" si="3"/>
        <v>#N/A</v>
      </c>
      <c r="K7" s="64" t="e">
        <f t="shared" ca="1" si="3"/>
        <v>#N/A</v>
      </c>
      <c r="L7" s="64" t="e">
        <f t="shared" ca="1" si="3"/>
        <v>#N/A</v>
      </c>
      <c r="M7" s="64" t="str">
        <f t="shared" ca="1" si="3"/>
        <v>above</v>
      </c>
      <c r="N7" s="64" t="str">
        <f t="shared" ca="1" si="3"/>
        <v>below</v>
      </c>
      <c r="O7" s="64" t="e">
        <f t="shared" ca="1" si="3"/>
        <v>#N/A</v>
      </c>
      <c r="P7" s="64" t="e">
        <f t="shared" ca="1" si="3"/>
        <v>#N/A</v>
      </c>
      <c r="Q7" s="64" t="e">
        <f t="shared" ca="1" si="3"/>
        <v>#N/A</v>
      </c>
      <c r="R7" s="64" t="str">
        <f t="shared" ca="1" si="3"/>
        <v>above</v>
      </c>
      <c r="S7" s="64" t="str">
        <f t="shared" ca="1" si="3"/>
        <v>above</v>
      </c>
      <c r="T7" s="64" t="e">
        <f t="shared" ca="1" si="3"/>
        <v>#N/A</v>
      </c>
      <c r="U7" s="64" t="str">
        <f t="shared" ca="1" si="3"/>
        <v>above</v>
      </c>
      <c r="V7" s="64" t="str">
        <f t="shared" ca="1" si="3"/>
        <v>above</v>
      </c>
      <c r="W7" s="64" t="str">
        <f t="shared" ca="1" si="3"/>
        <v>above</v>
      </c>
      <c r="X7" s="64" t="e">
        <f t="shared" ca="1" si="3"/>
        <v>#N/A</v>
      </c>
      <c r="Y7" s="65" t="e">
        <f t="shared" ca="1" si="3"/>
        <v>#N/A</v>
      </c>
      <c r="Z7" s="50" t="e">
        <f>IF((VLOOKUP($AE$2,$B:$Z,MATCH(Z3,$B$3:$Z$3,),))&gt;Z6,"above","below")</f>
        <v>#N/A</v>
      </c>
      <c r="AA7" s="11" t="e">
        <f>IF((VLOOKUP($AE$2,$B:$AA,MATCH(AA3,$B$3:$AA$3,),))&gt;AA6,"above","below")</f>
        <v>#N/A</v>
      </c>
      <c r="AB7" s="7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3" t="s">
        <v>554</v>
      </c>
    </row>
    <row r="80" spans="2:32" x14ac:dyDescent="0.2">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2">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2">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2">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2">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2">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2">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2">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2">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2">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2">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2">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3" customFormat="1" x14ac:dyDescent="0.2">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3" customFormat="1" x14ac:dyDescent="0.2">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3" customFormat="1" x14ac:dyDescent="0.2">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3" customFormat="1" x14ac:dyDescent="0.2">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3" customFormat="1" x14ac:dyDescent="0.2">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3" customFormat="1" x14ac:dyDescent="0.2">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2.7566539923954293E-2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3" customFormat="1" x14ac:dyDescent="0.2">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3" customFormat="1" x14ac:dyDescent="0.2">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3" customFormat="1" x14ac:dyDescent="0.2">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3" customFormat="1" x14ac:dyDescent="0.2">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3" customFormat="1" x14ac:dyDescent="0.2">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3" customFormat="1" x14ac:dyDescent="0.2">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3" customFormat="1" x14ac:dyDescent="0.2">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3" customFormat="1" x14ac:dyDescent="0.2">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3" customFormat="1" x14ac:dyDescent="0.2">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3" customFormat="1" x14ac:dyDescent="0.2">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3" customFormat="1" x14ac:dyDescent="0.2">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3" customFormat="1" x14ac:dyDescent="0.2">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3" customFormat="1" x14ac:dyDescent="0.2">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3" customFormat="1" x14ac:dyDescent="0.2">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3" customFormat="1" x14ac:dyDescent="0.2">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3" customFormat="1" x14ac:dyDescent="0.2">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3" customFormat="1" x14ac:dyDescent="0.2">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3" customFormat="1" x14ac:dyDescent="0.2">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3" customFormat="1" x14ac:dyDescent="0.2">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3" customFormat="1" x14ac:dyDescent="0.2">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3" customFormat="1" x14ac:dyDescent="0.2">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3" customFormat="1" x14ac:dyDescent="0.2">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3" customFormat="1" x14ac:dyDescent="0.2">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3" customFormat="1" x14ac:dyDescent="0.2">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3" customFormat="1" x14ac:dyDescent="0.2">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3" customFormat="1" x14ac:dyDescent="0.2">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3" customFormat="1" x14ac:dyDescent="0.2">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3" customFormat="1" x14ac:dyDescent="0.2">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3" customFormat="1" x14ac:dyDescent="0.2">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3" customFormat="1" x14ac:dyDescent="0.2">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3" customFormat="1" x14ac:dyDescent="0.2">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3" customFormat="1" x14ac:dyDescent="0.2">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3" customFormat="1" x14ac:dyDescent="0.2">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3" customFormat="1" x14ac:dyDescent="0.2">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3" customFormat="1" x14ac:dyDescent="0.2">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3" customFormat="1" x14ac:dyDescent="0.2">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3" customFormat="1" x14ac:dyDescent="0.2">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3" customFormat="1" x14ac:dyDescent="0.2">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3" customFormat="1" x14ac:dyDescent="0.2">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t="e">
        <f>IF(VLOOKUP(B152,Data!$A:$AX,MATCH($E$1,Data!$A$1:$AX$1,))=0,#N/A,(VLOOKUP(B152,Data!$A:$AX,MATCH($E$1,Data!$A$1:$AX$1,),)-VLOOKUP(EDATE(B152,-12),Data!$A:$AX,MATCH($E$1,Data!$A$1:$AX$1,),))/VLOOKUP(EDATE(B152,-12),Data!$A:$AX,MATCH($E$1,Data!$A$1:$AX$1,),))</f>
        <v>#N/A</v>
      </c>
      <c r="F152" s="20" t="e">
        <f>IF(VLOOKUP(B152,Data!$A:$AX,MATCH($F$1,Data!$A$1:$AX$1,))=0,#N/A,(VLOOKUP(B152,Data!$A:$AX,MATCH($F$1,Data!$A$1:$AX$1,),)-VLOOKUP(EDATE(B152,-12),Data!$A:$AX,MATCH($F$1,Data!$A$1:$AX$1,),))/VLOOKUP(EDATE(B152,-12),Data!$A:$AX,MATCH($F$1,Data!$A$1:$AX$1,),))</f>
        <v>#N/A</v>
      </c>
      <c r="G152" s="20" t="e">
        <f>IF(VLOOKUP(B152,Data!$A:$AX,MATCH($G$1,Data!$A$1:$AX$1,))=0,#N/A,(VLOOKUP(B152,Data!$A:$AX,MATCH($G$1,Data!$A$1:$AX$1,),)-VLOOKUP(EDATE(B152,-12),Data!$A:$AX,MATCH($G$1,Data!$A$1:$AX$1,),))/VLOOKUP(EDATE(B152,-12),Data!$A:$AX,MATCH($G$1,Data!$A$1:$AX$1,),))</f>
        <v>#N/A</v>
      </c>
      <c r="H152" s="20" t="e">
        <f>IF(VLOOKUP(B152,Data!$A:$AX,MATCH($H$1,Data!$A$1:$AX$1,))=0,#N/A,(VLOOKUP(B152,Data!$A:$AX,MATCH($H$1,Data!$A$1:$AX$1,),)-VLOOKUP(EDATE(B152,-12),Data!$A:$AX,MATCH($H$1,Data!$A$1:$AX$1,),))/VLOOKUP(EDATE(B152,-12),Data!$A:$AX,MATCH($H$1,Data!$A$1:$AX$1,),))</f>
        <v>#N/A</v>
      </c>
      <c r="I152" s="20" t="e">
        <f>IF(VLOOKUP(B152,Data!$A:$AX,MATCH($I$1,Data!$A$1:$AX$1,))=0,#N/A,(VLOOKUP(B152,Data!$A:$AX,MATCH($I$1,Data!$A$1:$AX$1,),)-VLOOKUP(EDATE(B152,-12),Data!$A:$AX,MATCH($I$1,Data!$A$1:$AX$1,),))/VLOOKUP(EDATE(B152,-12),Data!$A:$AX,MATCH($I$1,Data!$A$1:$AX$1,),))</f>
        <v>#N/A</v>
      </c>
      <c r="J152" s="20" t="e">
        <f>IF(VLOOKUP(B152,Data!$A:$AX,MATCH($J$1,Data!$A$1:$AX$1,))=0,#N/A,(VLOOKUP(B152,Data!$A:$AX,MATCH($J$1,Data!$A$1:$AX$1,),)-VLOOKUP(EDATE(B152,-12),Data!$A:$AX,MATCH($J$1,Data!$A$1:$AX$1,),))/VLOOKUP(EDATE(B152,-12),Data!$A:$AX,MATCH($J$1,Data!$A$1:$AX$1,),))</f>
        <v>#N/A</v>
      </c>
      <c r="K152" s="20" t="e">
        <f>IF(VLOOKUP(B152,Data!$A:$AX,MATCH($K$1,Data!$A$1:$AX$1,))=0,#N/A,(VLOOKUP(B152,Data!$A:$AX,MATCH($K$1,Data!$A$1:$AX$1,),)-VLOOKUP(EDATE(B152,-12),Data!$A:$AX,MATCH($K$1,Data!$A$1:$AX$1,),))/VLOOKUP(EDATE(B152,-12),Data!$A:$AX,MATCH($K$1,Data!$A$1:$AX$1,),))</f>
        <v>#N/A</v>
      </c>
      <c r="L152" s="20" t="e">
        <f>IF(VLOOKUP(B152,Data!$A:$AX,MATCH($L$1,Data!$A$1:$AX$1,))=0,#N/A,(VLOOKUP(B152,Data!$A:$AX,MATCH($L$1,Data!$A$1:$AX$1,),)-VLOOKUP(EDATE(B152,-12),Data!$A:$AX,MATCH($L$1,Data!$A$1:$AX$1,),))/VLOOKUP(EDATE(B152,-12),Data!$A:$AX,MATCH($L$1,Data!$A$1:$AX$1,),))</f>
        <v>#N/A</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t="e">
        <f>IF(VLOOKUP(B152,Data!$A:$AX,MATCH($O$1,Data!$A$1:$AX$1,))=0,#N/A,(VLOOKUP(B152,Data!$A:$AX,MATCH($O$1,Data!$A$1:$AX$1,),)-VLOOKUP(EDATE(B152,-12),Data!$A:$AX,MATCH($O$1,Data!$A$1:$AX$1,),))/VLOOKUP(EDATE(B152,-12),Data!$A:$AX,MATCH($O$1,Data!$A$1:$AX$1,),))</f>
        <v>#N/A</v>
      </c>
      <c r="P152" s="20" t="e">
        <f>IF(VLOOKUP(B152,Data!$A:$AX,MATCH($P$1,Data!$A$1:$AX$1,))=0,#N/A,(VLOOKUP(B152,Data!$A:$AX,MATCH($P$1,Data!$A$1:$AX$1,),)-VLOOKUP(EDATE(B152,-12),Data!$A:$AX,MATCH($P$1,Data!$A$1:$AX$1,),))/VLOOKUP(EDATE(B152,-12),Data!$A:$AX,MATCH($P$1,Data!$A$1:$AX$1,),))</f>
        <v>#N/A</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t="e">
        <f>IF(VLOOKUP(B152,Data!$A:$AX,MATCH($T$1,Data!$A$1:$AX$1,))=0,#N/A,(VLOOKUP(B152,Data!$A:$AX,MATCH($T$1,Data!$A$1:$AX$1,),)-VLOOKUP(EDATE(B152,-12),Data!$A:$AX,MATCH($T$1,Data!$A$1:$AX$1,),))/VLOOKUP(EDATE(B152,-12),Data!$A:$AX,MATCH($T$1,Data!$A$1:$AX$1,),))</f>
        <v>#N/A</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-1</v>
      </c>
      <c r="W152" s="20">
        <f>IF(VLOOKUP(B152,Data!$A:$AX,MATCH($W$1,Data!$A$1:$AX$1,))=0,#N/A,(VLOOKUP(B152,Data!$A:$AX,MATCH($W$1,Data!$A$1:$AX$1,),)-VLOOKUP(EDATE(B152,-12),Data!$A:$AX,MATCH($W$1,Data!$A$1:$AX$1,),))/VLOOKUP(EDATE(B152,-12),Data!$A:$AX,MATCH($W$1,Data!$A$1:$AX$1,),))</f>
        <v>0.85514812880657198</v>
      </c>
      <c r="X152" s="20" t="e">
        <f>IF(VLOOKUP(B152,Data!$A:$AX,MATCH($X$1,Data!$A$1:$AX$1,))=0,#N/A,(VLOOKUP(B152,Data!$A:$AX,MATCH($X$1,Data!$A$1:$AX$1,),)-VLOOKUP(EDATE(B152,-12),Data!$A:$AX,MATCH($X$1,Data!$A$1:$AX$1,),))/VLOOKUP(EDATE(B152,-12),Data!$A:$AX,MATCH($X$1,Data!$A$1:$AX$1,),))</f>
        <v>#N/A</v>
      </c>
      <c r="Y152" s="20" t="e">
        <f>IF(VLOOKUP(B152,Data!$A:$AX,MATCH($Y$1,Data!$A$1:$AX$1,))=0,#N/A,(VLOOKUP(B152,Data!$A:$AX,MATCH($Y$1,Data!$A$1:$AX$1,),)-VLOOKUP(EDATE(B152,-12),Data!$A:$AX,MATCH($Y$1,Data!$A$1:$AX$1,),))/VLOOKUP(EDATE(B152,-12),Data!$A:$AX,MATCH($Y$1,Data!$A$1:$AX$1,),))</f>
        <v>#N/A</v>
      </c>
    </row>
    <row r="153" spans="2:25" s="73" customFormat="1" x14ac:dyDescent="0.2"/>
    <row r="154" spans="2:25" s="73" customFormat="1" x14ac:dyDescent="0.2"/>
    <row r="155" spans="2:25" s="73" customFormat="1" x14ac:dyDescent="0.2"/>
    <row r="156" spans="2:25" s="73" customFormat="1" x14ac:dyDescent="0.2"/>
    <row r="157" spans="2:25" s="73" customFormat="1" x14ac:dyDescent="0.2"/>
    <row r="158" spans="2:25" s="73" customFormat="1" x14ac:dyDescent="0.2"/>
    <row r="159" spans="2:25" s="73" customFormat="1" x14ac:dyDescent="0.2"/>
    <row r="160" spans="2:25"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row r="379" s="73" customFormat="1" x14ac:dyDescent="0.2"/>
    <row r="380" s="73" customFormat="1" x14ac:dyDescent="0.2"/>
    <row r="381" s="73" customFormat="1" x14ac:dyDescent="0.2"/>
    <row r="382" s="73" customFormat="1" x14ac:dyDescent="0.2"/>
    <row r="383" s="73" customFormat="1" x14ac:dyDescent="0.2"/>
    <row r="384" s="73" customFormat="1" x14ac:dyDescent="0.2"/>
    <row r="385" s="73" customFormat="1" x14ac:dyDescent="0.2"/>
    <row r="386" s="73" customFormat="1" x14ac:dyDescent="0.2"/>
    <row r="387" s="73" customFormat="1" x14ac:dyDescent="0.2"/>
    <row r="388" s="73" customFormat="1" x14ac:dyDescent="0.2"/>
    <row r="389" s="73" customFormat="1" x14ac:dyDescent="0.2"/>
    <row r="390" s="73" customFormat="1" x14ac:dyDescent="0.2"/>
    <row r="391" s="73" customFormat="1" x14ac:dyDescent="0.2"/>
    <row r="392" s="73" customFormat="1" x14ac:dyDescent="0.2"/>
  </sheetData>
  <conditionalFormatting sqref="C24:C15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2">
    <cfRule type="colorScale" priority="1">
      <colorScale>
        <cfvo type="min"/>
        <cfvo type="percentile" val="50"/>
        <cfvo type="max"/>
        <color rgb="FFF8696B"/>
        <color rgb="FFFFEB84"/>
        <color rgb="FF63BE7B"/>
      </colorScale>
    </cfRule>
  </conditionalFormatting>
  <conditionalFormatting sqref="E59:AA59 Z60:AA106 E60:Y152">
    <cfRule type="colorScale" priority="24">
      <colorScale>
        <cfvo type="min"/>
        <cfvo type="percentile" val="50"/>
        <cfvo type="max"/>
        <color rgb="FFF8696B"/>
        <color rgb="FFFFEB84"/>
        <color rgb="FF63BE7B"/>
      </colorScale>
    </cfRule>
  </conditionalFormatting>
  <conditionalFormatting sqref="O15:O152">
    <cfRule type="colorScale" priority="23">
      <colorScale>
        <cfvo type="min"/>
        <cfvo type="percentile" val="50"/>
        <cfvo type="max"/>
        <color rgb="FFF8696B"/>
        <color rgb="FFFFEB84"/>
        <color rgb="FF63BE7B"/>
      </colorScale>
    </cfRule>
  </conditionalFormatting>
  <conditionalFormatting sqref="O59:O152">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2">
    <cfRule type="colorScale" priority="21">
      <colorScale>
        <cfvo type="min"/>
        <cfvo type="percentile" val="50"/>
        <cfvo type="max"/>
        <color rgb="FFF8696B"/>
        <color rgb="FFFFEB84"/>
        <color rgb="FF63BE7B"/>
      </colorScale>
    </cfRule>
  </conditionalFormatting>
  <conditionalFormatting sqref="F59:F152">
    <cfRule type="colorScale" priority="19">
      <colorScale>
        <cfvo type="min"/>
        <cfvo type="percentile" val="50"/>
        <cfvo type="max"/>
        <color rgb="FFF8696B"/>
        <color rgb="FFFFEB84"/>
        <color rgb="FF63BE7B"/>
      </colorScale>
    </cfRule>
  </conditionalFormatting>
  <conditionalFormatting sqref="G59:G152">
    <cfRule type="colorScale" priority="18">
      <colorScale>
        <cfvo type="min"/>
        <cfvo type="percentile" val="50"/>
        <cfvo type="max"/>
        <color rgb="FFF8696B"/>
        <color rgb="FFFFEB84"/>
        <color rgb="FF63BE7B"/>
      </colorScale>
    </cfRule>
  </conditionalFormatting>
  <conditionalFormatting sqref="H59:H152">
    <cfRule type="colorScale" priority="17">
      <colorScale>
        <cfvo type="min"/>
        <cfvo type="percentile" val="50"/>
        <cfvo type="max"/>
        <color rgb="FFF8696B"/>
        <color rgb="FFFFEB84"/>
        <color rgb="FF63BE7B"/>
      </colorScale>
    </cfRule>
  </conditionalFormatting>
  <conditionalFormatting sqref="I59:I152">
    <cfRule type="colorScale" priority="16">
      <colorScale>
        <cfvo type="min"/>
        <cfvo type="percentile" val="50"/>
        <cfvo type="max"/>
        <color rgb="FFF8696B"/>
        <color rgb="FFFFEB84"/>
        <color rgb="FF63BE7B"/>
      </colorScale>
    </cfRule>
  </conditionalFormatting>
  <conditionalFormatting sqref="J59:J152">
    <cfRule type="colorScale" priority="15">
      <colorScale>
        <cfvo type="min"/>
        <cfvo type="percentile" val="50"/>
        <cfvo type="max"/>
        <color rgb="FFF8696B"/>
        <color rgb="FFFFEB84"/>
        <color rgb="FF63BE7B"/>
      </colorScale>
    </cfRule>
  </conditionalFormatting>
  <conditionalFormatting sqref="K59:K152">
    <cfRule type="colorScale" priority="14">
      <colorScale>
        <cfvo type="min"/>
        <cfvo type="percentile" val="50"/>
        <cfvo type="max"/>
        <color rgb="FFF8696B"/>
        <color rgb="FFFFEB84"/>
        <color rgb="FF63BE7B"/>
      </colorScale>
    </cfRule>
  </conditionalFormatting>
  <conditionalFormatting sqref="L59:L152">
    <cfRule type="colorScale" priority="13">
      <colorScale>
        <cfvo type="min"/>
        <cfvo type="percentile" val="50"/>
        <cfvo type="max"/>
        <color rgb="FFF8696B"/>
        <color rgb="FFFFEB84"/>
        <color rgb="FF63BE7B"/>
      </colorScale>
    </cfRule>
  </conditionalFormatting>
  <conditionalFormatting sqref="M59:M152">
    <cfRule type="colorScale" priority="12">
      <colorScale>
        <cfvo type="min"/>
        <cfvo type="percentile" val="50"/>
        <cfvo type="max"/>
        <color rgb="FFF8696B"/>
        <color rgb="FFFFEB84"/>
        <color rgb="FF63BE7B"/>
      </colorScale>
    </cfRule>
  </conditionalFormatting>
  <conditionalFormatting sqref="P59:P152">
    <cfRule type="colorScale" priority="11">
      <colorScale>
        <cfvo type="min"/>
        <cfvo type="percentile" val="50"/>
        <cfvo type="max"/>
        <color rgb="FFF8696B"/>
        <color rgb="FFFFEB84"/>
        <color rgb="FF63BE7B"/>
      </colorScale>
    </cfRule>
  </conditionalFormatting>
  <conditionalFormatting sqref="R59:R152">
    <cfRule type="colorScale" priority="10">
      <colorScale>
        <cfvo type="min"/>
        <cfvo type="percentile" val="50"/>
        <cfvo type="max"/>
        <color rgb="FFF8696B"/>
        <color rgb="FFFFEB84"/>
        <color rgb="FF63BE7B"/>
      </colorScale>
    </cfRule>
  </conditionalFormatting>
  <conditionalFormatting sqref="S59:S152">
    <cfRule type="colorScale" priority="9">
      <colorScale>
        <cfvo type="min"/>
        <cfvo type="percentile" val="50"/>
        <cfvo type="max"/>
        <color rgb="FFF8696B"/>
        <color rgb="FFFFEB84"/>
        <color rgb="FF63BE7B"/>
      </colorScale>
    </cfRule>
  </conditionalFormatting>
  <conditionalFormatting sqref="T59:T152">
    <cfRule type="colorScale" priority="8">
      <colorScale>
        <cfvo type="min"/>
        <cfvo type="percentile" val="50"/>
        <cfvo type="max"/>
        <color rgb="FFF8696B"/>
        <color rgb="FFFFEB84"/>
        <color rgb="FF63BE7B"/>
      </colorScale>
    </cfRule>
  </conditionalFormatting>
  <conditionalFormatting sqref="U59:U152">
    <cfRule type="colorScale" priority="7">
      <colorScale>
        <cfvo type="min"/>
        <cfvo type="percentile" val="50"/>
        <cfvo type="max"/>
        <color rgb="FFF8696B"/>
        <color rgb="FFFFEB84"/>
        <color rgb="FF63BE7B"/>
      </colorScale>
    </cfRule>
  </conditionalFormatting>
  <conditionalFormatting sqref="W59:W152">
    <cfRule type="colorScale" priority="6">
      <colorScale>
        <cfvo type="min"/>
        <cfvo type="percentile" val="50"/>
        <cfvo type="max"/>
        <color rgb="FFF8696B"/>
        <color rgb="FFFFEB84"/>
        <color rgb="FF63BE7B"/>
      </colorScale>
    </cfRule>
  </conditionalFormatting>
  <conditionalFormatting sqref="X59:X152">
    <cfRule type="colorScale" priority="5">
      <colorScale>
        <cfvo type="min"/>
        <cfvo type="percentile" val="50"/>
        <cfvo type="max"/>
        <color rgb="FFF8696B"/>
        <color rgb="FFFFEB84"/>
        <color rgb="FF63BE7B"/>
      </colorScale>
    </cfRule>
  </conditionalFormatting>
  <conditionalFormatting sqref="Y59:Y152">
    <cfRule type="colorScale" priority="4">
      <colorScale>
        <cfvo type="min"/>
        <cfvo type="percentile" val="50"/>
        <cfvo type="max"/>
        <color rgb="FFF8696B"/>
        <color rgb="FFFFEB84"/>
        <color rgb="FF63BE7B"/>
      </colorScale>
    </cfRule>
  </conditionalFormatting>
  <conditionalFormatting sqref="C59:C152">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E138" activePane="bottomRight" state="frozen"/>
      <selection activeCell="M12" sqref="M12"/>
      <selection pane="topRight" activeCell="M12" sqref="M12"/>
      <selection pane="bottomLeft" activeCell="M12" sqref="M12"/>
      <selection pane="bottomRight" activeCell="M12" sqref="M12"/>
    </sheetView>
  </sheetViews>
  <sheetFormatPr baseColWidth="10" defaultColWidth="8.83203125" defaultRowHeight="15" x14ac:dyDescent="0.2"/>
  <cols>
    <col min="1" max="1" width="9.1640625" style="73"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3" customWidth="1"/>
    <col min="31" max="31" width="10.6640625" style="73" bestFit="1" customWidth="1"/>
    <col min="32" max="72" width="9.1640625" style="73"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3" customFormat="1" x14ac:dyDescent="0.2">
      <c r="AD2" s="73" t="s">
        <v>504</v>
      </c>
      <c r="AE2" s="28">
        <v>44805</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 t="shared" ref="C4:Y4" ca="1" si="0">MAX(OFFSET(C$59,COUNT(C$59:C$250),0,-13,1))</f>
        <v>6.6306089223442846E-2</v>
      </c>
      <c r="D4" s="22" t="e">
        <f t="shared" ca="1" si="0"/>
        <v>#DIV/0!</v>
      </c>
      <c r="E4" s="22">
        <f t="shared" ca="1" si="0"/>
        <v>4.7521047708138427E-2</v>
      </c>
      <c r="F4" s="22" t="e">
        <f t="shared" ca="1" si="0"/>
        <v>#N/A</v>
      </c>
      <c r="G4" s="22">
        <f t="shared" ca="1" si="0"/>
        <v>4.6833043536932351E-2</v>
      </c>
      <c r="H4" s="22">
        <f t="shared" ca="1" si="0"/>
        <v>3.5205875815267428E-2</v>
      </c>
      <c r="I4" s="22">
        <f t="shared" ca="1" si="0"/>
        <v>5.7624113475177305E-2</v>
      </c>
      <c r="J4" s="22">
        <f t="shared" ca="1" si="0"/>
        <v>3.8833475714406727E-2</v>
      </c>
      <c r="K4" s="22">
        <f t="shared" ca="1" si="0"/>
        <v>4.6918158482132107E-2</v>
      </c>
      <c r="L4" s="22">
        <f t="shared" ca="1" si="0"/>
        <v>7.3769383506330957E-2</v>
      </c>
      <c r="M4" s="22">
        <f t="shared" ca="1" si="0"/>
        <v>6.5008274305672603E-2</v>
      </c>
      <c r="N4" s="22" t="e">
        <f t="shared" ca="1" si="0"/>
        <v>#DIV/0!</v>
      </c>
      <c r="O4" s="22" t="e">
        <f t="shared" ca="1" si="0"/>
        <v>#DIV/0!</v>
      </c>
      <c r="P4" s="22">
        <f t="shared" ca="1" si="0"/>
        <v>5.5939801075335596E-2</v>
      </c>
      <c r="Q4" s="22" t="e">
        <f t="shared" ca="1" si="0"/>
        <v>#N/A</v>
      </c>
      <c r="R4" s="22">
        <f t="shared" ca="1" si="0"/>
        <v>2.0456025799891919E-2</v>
      </c>
      <c r="S4" s="22">
        <f t="shared" ca="1" si="0"/>
        <v>4.0657374243815894E-2</v>
      </c>
      <c r="T4" s="22" t="e">
        <f t="shared" ca="1" si="0"/>
        <v>#DIV/0!</v>
      </c>
      <c r="U4" s="22">
        <f t="shared" ca="1" si="0"/>
        <v>4.7170596799185879E-2</v>
      </c>
      <c r="V4" s="22">
        <f t="shared" ca="1" si="0"/>
        <v>5.6115717427105374E-2</v>
      </c>
      <c r="W4" s="22">
        <f t="shared" ca="1" si="0"/>
        <v>0.69668230826487498</v>
      </c>
      <c r="X4" s="22">
        <f t="shared" ca="1" si="0"/>
        <v>0.13502109704641349</v>
      </c>
      <c r="Y4" s="22">
        <f t="shared" ca="1" si="0"/>
        <v>0.10587276316853836</v>
      </c>
      <c r="Z4" s="22" t="e">
        <f>MAX(Z94:Z106)</f>
        <v>#N/A</v>
      </c>
      <c r="AA4" s="22" t="e">
        <f>MAX(AA94:AA106)</f>
        <v>#N/A</v>
      </c>
      <c r="AB4" s="12"/>
    </row>
    <row r="5" spans="2:34" x14ac:dyDescent="0.2">
      <c r="B5" s="3" t="s">
        <v>514</v>
      </c>
      <c r="C5" s="22">
        <f t="shared" ref="C5:Y5" ca="1" si="1">MIN(OFFSET(C$59,COUNT(C$59:C$250),0,-13,1))</f>
        <v>4.562899748424399E-2</v>
      </c>
      <c r="D5" s="22" t="e">
        <f t="shared" ca="1" si="1"/>
        <v>#DIV/0!</v>
      </c>
      <c r="E5" s="22">
        <f t="shared" ca="1" si="1"/>
        <v>2.046254877700586E-2</v>
      </c>
      <c r="F5" s="22" t="e">
        <f t="shared" ca="1" si="1"/>
        <v>#N/A</v>
      </c>
      <c r="G5" s="22">
        <f t="shared" ca="1" si="1"/>
        <v>2.6855254555301057E-2</v>
      </c>
      <c r="H5" s="22">
        <f t="shared" ca="1" si="1"/>
        <v>1.2951060305538855E-2</v>
      </c>
      <c r="I5" s="22">
        <f t="shared" ca="1" si="1"/>
        <v>3.0909090909090962E-2</v>
      </c>
      <c r="J5" s="22">
        <f t="shared" ca="1" si="1"/>
        <v>1.0189750921522207E-2</v>
      </c>
      <c r="K5" s="22">
        <f t="shared" ca="1" si="1"/>
        <v>1.2038356404783228E-2</v>
      </c>
      <c r="L5" s="22">
        <f t="shared" ca="1" si="1"/>
        <v>1.3881325972404853E-2</v>
      </c>
      <c r="M5" s="22">
        <f t="shared" ca="1" si="1"/>
        <v>4.2367551420429209E-2</v>
      </c>
      <c r="N5" s="22" t="e">
        <f t="shared" ca="1" si="1"/>
        <v>#DIV/0!</v>
      </c>
      <c r="O5" s="22" t="e">
        <f t="shared" ca="1" si="1"/>
        <v>#DIV/0!</v>
      </c>
      <c r="P5" s="22">
        <f t="shared" ca="1" si="1"/>
        <v>3.1161836601711627E-2</v>
      </c>
      <c r="Q5" s="22" t="e">
        <f t="shared" ca="1" si="1"/>
        <v>#N/A</v>
      </c>
      <c r="R5" s="22">
        <f t="shared" ca="1" si="1"/>
        <v>7.5830600228595606E-3</v>
      </c>
      <c r="S5" s="22">
        <f t="shared" ca="1" si="1"/>
        <v>1.8969118087006957E-2</v>
      </c>
      <c r="T5" s="22" t="e">
        <f t="shared" ca="1" si="1"/>
        <v>#DIV/0!</v>
      </c>
      <c r="U5" s="22">
        <f t="shared" ca="1" si="1"/>
        <v>1.9519485021243321E-3</v>
      </c>
      <c r="V5" s="22">
        <f t="shared" ca="1" si="1"/>
        <v>3.2467330217383288E-2</v>
      </c>
      <c r="W5" s="22">
        <f t="shared" ca="1" si="1"/>
        <v>0.15979472981531248</v>
      </c>
      <c r="X5" s="22">
        <f t="shared" ca="1" si="1"/>
        <v>6.6783831282952621E-2</v>
      </c>
      <c r="Y5" s="22">
        <f t="shared" ca="1" si="1"/>
        <v>4.4907721711409998E-2</v>
      </c>
      <c r="Z5" s="22" t="e">
        <f>MIN(Z94:Z106)</f>
        <v>#N/A</v>
      </c>
      <c r="AA5" s="22" t="e">
        <f>MIN(AA94:AA106)</f>
        <v>#N/A</v>
      </c>
      <c r="AB5" s="12"/>
    </row>
    <row r="6" spans="2:34" x14ac:dyDescent="0.2">
      <c r="B6" s="3" t="s">
        <v>515</v>
      </c>
      <c r="C6" s="22">
        <f t="shared" ref="C6:Y6" ca="1" si="2">AVERAGE(OFFSET(C$59,COUNT(C$59:C$250),0,-13,1))</f>
        <v>5.9014268290147463E-2</v>
      </c>
      <c r="D6" s="22" t="e">
        <f t="shared" ca="1" si="2"/>
        <v>#DIV/0!</v>
      </c>
      <c r="E6" s="22">
        <f t="shared" ca="1" si="2"/>
        <v>3.2719438044381009E-2</v>
      </c>
      <c r="F6" s="22" t="e">
        <f t="shared" ca="1" si="2"/>
        <v>#N/A</v>
      </c>
      <c r="G6" s="22">
        <f t="shared" ca="1" si="2"/>
        <v>3.3568473417024805E-2</v>
      </c>
      <c r="H6" s="22">
        <f t="shared" ca="1" si="2"/>
        <v>2.2866151066164995E-2</v>
      </c>
      <c r="I6" s="22">
        <f t="shared" ca="1" si="2"/>
        <v>4.7356563794677807E-2</v>
      </c>
      <c r="J6" s="22">
        <f t="shared" ca="1" si="2"/>
        <v>2.1633529723054299E-2</v>
      </c>
      <c r="K6" s="22">
        <f t="shared" ca="1" si="2"/>
        <v>2.9829096619079565E-2</v>
      </c>
      <c r="L6" s="22">
        <f t="shared" ca="1" si="2"/>
        <v>3.9886013261037995E-2</v>
      </c>
      <c r="M6" s="22">
        <f t="shared" ca="1" si="2"/>
        <v>5.512732265583898E-2</v>
      </c>
      <c r="N6" s="22" t="e">
        <f t="shared" ca="1" si="2"/>
        <v>#DIV/0!</v>
      </c>
      <c r="O6" s="22" t="e">
        <f t="shared" ca="1" si="2"/>
        <v>#DIV/0!</v>
      </c>
      <c r="P6" s="22">
        <f t="shared" ca="1" si="2"/>
        <v>4.5135917976453561E-2</v>
      </c>
      <c r="Q6" s="22" t="e">
        <f t="shared" ca="1" si="2"/>
        <v>#N/A</v>
      </c>
      <c r="R6" s="22">
        <f t="shared" ca="1" si="2"/>
        <v>1.5253581186334105E-2</v>
      </c>
      <c r="S6" s="22">
        <f t="shared" ca="1" si="2"/>
        <v>3.0968411297325239E-2</v>
      </c>
      <c r="T6" s="22" t="e">
        <f t="shared" ca="1" si="2"/>
        <v>#DIV/0!</v>
      </c>
      <c r="U6" s="22">
        <f t="shared" ca="1" si="2"/>
        <v>2.1609748808115767E-2</v>
      </c>
      <c r="V6" s="22">
        <f t="shared" ca="1" si="2"/>
        <v>4.4107975567135006E-2</v>
      </c>
      <c r="W6" s="22">
        <f t="shared" ca="1" si="2"/>
        <v>0.4724708577624448</v>
      </c>
      <c r="X6" s="22">
        <f t="shared" ca="1" si="2"/>
        <v>0.10797452030013931</v>
      </c>
      <c r="Y6" s="22">
        <f t="shared" ca="1" si="2"/>
        <v>7.3261572703255021E-2</v>
      </c>
      <c r="Z6" s="22" t="e">
        <f>AVERAGE(Z94:Z106)</f>
        <v>#N/A</v>
      </c>
      <c r="AA6" s="22" t="e">
        <f>AVERAGE(AA94:AA106)</f>
        <v>#N/A</v>
      </c>
      <c r="AB6" s="12"/>
    </row>
    <row r="7" spans="2:34" x14ac:dyDescent="0.2">
      <c r="B7" s="3" t="s">
        <v>516</v>
      </c>
      <c r="C7" s="23" t="str">
        <f t="shared" ref="C7:Y7" ca="1" si="3">IF((VLOOKUP($AE$2,$B:$Y,MATCH(C3,$B$3:$Y$3,),))&gt;C6,"above","below")</f>
        <v>above</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above</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2">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2">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2">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2">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2">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2">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2">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2">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2">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2">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2">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3" customFormat="1" x14ac:dyDescent="0.2">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3" customFormat="1" x14ac:dyDescent="0.2">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3" customFormat="1" x14ac:dyDescent="0.2">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3" customFormat="1" x14ac:dyDescent="0.2">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3" customFormat="1" x14ac:dyDescent="0.2">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3" customFormat="1" x14ac:dyDescent="0.2">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3" customFormat="1" x14ac:dyDescent="0.2">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3" customFormat="1" x14ac:dyDescent="0.2">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3" customFormat="1" x14ac:dyDescent="0.2">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3" customFormat="1" x14ac:dyDescent="0.2">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3" customFormat="1" x14ac:dyDescent="0.2">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3" customFormat="1" x14ac:dyDescent="0.2">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3" customFormat="1" x14ac:dyDescent="0.2">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3" customFormat="1" x14ac:dyDescent="0.2">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3" customFormat="1" x14ac:dyDescent="0.2">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3" customFormat="1" x14ac:dyDescent="0.2">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3" customFormat="1" x14ac:dyDescent="0.2">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3" customFormat="1" x14ac:dyDescent="0.2">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3" customFormat="1" x14ac:dyDescent="0.2">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3" customFormat="1" x14ac:dyDescent="0.2">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3" customFormat="1" x14ac:dyDescent="0.2">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3" customFormat="1" x14ac:dyDescent="0.2">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3" customFormat="1" x14ac:dyDescent="0.2">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3" customFormat="1" x14ac:dyDescent="0.2">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3" customFormat="1" x14ac:dyDescent="0.2">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3" customFormat="1" x14ac:dyDescent="0.2">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3" customFormat="1" x14ac:dyDescent="0.2">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3" customFormat="1" x14ac:dyDescent="0.2">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3" customFormat="1" x14ac:dyDescent="0.2">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3" customFormat="1" x14ac:dyDescent="0.2">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3" customFormat="1" x14ac:dyDescent="0.2">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3" customFormat="1" x14ac:dyDescent="0.2">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3" customFormat="1" x14ac:dyDescent="0.2">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3" customFormat="1" x14ac:dyDescent="0.2">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3" customFormat="1" x14ac:dyDescent="0.2">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3" customFormat="1" x14ac:dyDescent="0.2">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3" customFormat="1" x14ac:dyDescent="0.2">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3" customFormat="1" x14ac:dyDescent="0.2">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3" customFormat="1" x14ac:dyDescent="0.2">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3" customFormat="1" x14ac:dyDescent="0.2">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3" customFormat="1" x14ac:dyDescent="0.2">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3" customFormat="1" x14ac:dyDescent="0.2">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3" customFormat="1" x14ac:dyDescent="0.2">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3" customFormat="1" x14ac:dyDescent="0.2">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3" customFormat="1" x14ac:dyDescent="0.2"/>
    <row r="153" spans="2:25" s="73" customFormat="1" x14ac:dyDescent="0.2"/>
    <row r="154" spans="2:25" s="73" customFormat="1" x14ac:dyDescent="0.2"/>
    <row r="155" spans="2:25" s="73" customFormat="1" x14ac:dyDescent="0.2"/>
    <row r="156" spans="2:25" s="73" customFormat="1" x14ac:dyDescent="0.2"/>
    <row r="157" spans="2:25" s="73" customFormat="1" x14ac:dyDescent="0.2"/>
    <row r="158" spans="2:25" s="73" customFormat="1" x14ac:dyDescent="0.2"/>
    <row r="159" spans="2:25" s="73" customFormat="1" x14ac:dyDescent="0.2"/>
    <row r="160" spans="2:25"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row r="379" s="73" customFormat="1" x14ac:dyDescent="0.2"/>
    <row r="380" s="73" customFormat="1" x14ac:dyDescent="0.2"/>
    <row r="381" s="73" customFormat="1" x14ac:dyDescent="0.2"/>
    <row r="382" s="73" customFormat="1" x14ac:dyDescent="0.2"/>
    <row r="383" s="73" customFormat="1" x14ac:dyDescent="0.2"/>
    <row r="384" s="73" customFormat="1" x14ac:dyDescent="0.2"/>
    <row r="385" s="73" customFormat="1" x14ac:dyDescent="0.2"/>
    <row r="386" s="73" customFormat="1" x14ac:dyDescent="0.2"/>
    <row r="387" s="73" customFormat="1" x14ac:dyDescent="0.2"/>
    <row r="388" s="73" customFormat="1" x14ac:dyDescent="0.2"/>
    <row r="389" s="73" customFormat="1" x14ac:dyDescent="0.2"/>
    <row r="390" s="73" customFormat="1" x14ac:dyDescent="0.2"/>
    <row r="391" s="73" customFormat="1" x14ac:dyDescent="0.2"/>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1">
    <cfRule type="colorScale" priority="44">
      <colorScale>
        <cfvo type="min"/>
        <cfvo type="percentile" val="50"/>
        <cfvo type="max"/>
        <color rgb="FFF8696B"/>
        <color rgb="FFFFEB84"/>
        <color rgb="FF63BE7B"/>
      </colorScale>
    </cfRule>
  </conditionalFormatting>
  <conditionalFormatting sqref="D59:D151">
    <cfRule type="colorScale" priority="45">
      <colorScale>
        <cfvo type="min"/>
        <cfvo type="percentile" val="50"/>
        <cfvo type="max"/>
        <color rgb="FFF8696B"/>
        <color rgb="FFFFEB84"/>
        <color rgb="FF63BE7B"/>
      </colorScale>
    </cfRule>
  </conditionalFormatting>
  <conditionalFormatting sqref="E59:AA59 Z60:AA106 E60:Y151">
    <cfRule type="colorScale" priority="46">
      <colorScale>
        <cfvo type="min"/>
        <cfvo type="percentile" val="50"/>
        <cfvo type="max"/>
        <color rgb="FFF8696B"/>
        <color rgb="FFFFEB84"/>
        <color rgb="FF63BE7B"/>
      </colorScale>
    </cfRule>
  </conditionalFormatting>
  <conditionalFormatting sqref="C59:C151">
    <cfRule type="colorScale" priority="16">
      <colorScale>
        <cfvo type="min"/>
        <cfvo type="percentile" val="50"/>
        <cfvo type="max"/>
        <color rgb="FFF8696B"/>
        <color rgb="FFFFEB84"/>
        <color rgb="FF63BE7B"/>
      </colorScale>
    </cfRule>
  </conditionalFormatting>
  <conditionalFormatting sqref="E59:E151">
    <cfRule type="colorScale" priority="15">
      <colorScale>
        <cfvo type="min"/>
        <cfvo type="percentile" val="50"/>
        <cfvo type="max"/>
        <color rgb="FFF8696B"/>
        <color rgb="FFFFEB84"/>
        <color rgb="FF63BE7B"/>
      </colorScale>
    </cfRule>
  </conditionalFormatting>
  <conditionalFormatting sqref="F59:F151">
    <cfRule type="colorScale" priority="14">
      <colorScale>
        <cfvo type="min"/>
        <cfvo type="percentile" val="50"/>
        <cfvo type="max"/>
        <color rgb="FFF8696B"/>
        <color rgb="FFFFEB84"/>
        <color rgb="FF63BE7B"/>
      </colorScale>
    </cfRule>
  </conditionalFormatting>
  <conditionalFormatting sqref="G59:G151">
    <cfRule type="colorScale" priority="13">
      <colorScale>
        <cfvo type="min"/>
        <cfvo type="percentile" val="50"/>
        <cfvo type="max"/>
        <color rgb="FFF8696B"/>
        <color rgb="FFFFEB84"/>
        <color rgb="FF63BE7B"/>
      </colorScale>
    </cfRule>
  </conditionalFormatting>
  <conditionalFormatting sqref="H59:H151">
    <cfRule type="colorScale" priority="12">
      <colorScale>
        <cfvo type="min"/>
        <cfvo type="percentile" val="50"/>
        <cfvo type="max"/>
        <color rgb="FFF8696B"/>
        <color rgb="FFFFEB84"/>
        <color rgb="FF63BE7B"/>
      </colorScale>
    </cfRule>
  </conditionalFormatting>
  <conditionalFormatting sqref="I59:I151">
    <cfRule type="colorScale" priority="11">
      <colorScale>
        <cfvo type="min"/>
        <cfvo type="percentile" val="50"/>
        <cfvo type="max"/>
        <color rgb="FFF8696B"/>
        <color rgb="FFFFEB84"/>
        <color rgb="FF63BE7B"/>
      </colorScale>
    </cfRule>
  </conditionalFormatting>
  <conditionalFormatting sqref="J59:J151">
    <cfRule type="colorScale" priority="10">
      <colorScale>
        <cfvo type="min"/>
        <cfvo type="percentile" val="50"/>
        <cfvo type="max"/>
        <color rgb="FFF8696B"/>
        <color rgb="FFFFEB84"/>
        <color rgb="FF63BE7B"/>
      </colorScale>
    </cfRule>
  </conditionalFormatting>
  <conditionalFormatting sqref="K59:K151">
    <cfRule type="colorScale" priority="9">
      <colorScale>
        <cfvo type="min"/>
        <cfvo type="percentile" val="50"/>
        <cfvo type="max"/>
        <color rgb="FFF8696B"/>
        <color rgb="FFFFEB84"/>
        <color rgb="FF63BE7B"/>
      </colorScale>
    </cfRule>
  </conditionalFormatting>
  <conditionalFormatting sqref="L59:L151">
    <cfRule type="colorScale" priority="8">
      <colorScale>
        <cfvo type="min"/>
        <cfvo type="percentile" val="50"/>
        <cfvo type="max"/>
        <color rgb="FFF8696B"/>
        <color rgb="FFFFEB84"/>
        <color rgb="FF63BE7B"/>
      </colorScale>
    </cfRule>
  </conditionalFormatting>
  <conditionalFormatting sqref="M59:M151">
    <cfRule type="colorScale" priority="7">
      <colorScale>
        <cfvo type="min"/>
        <cfvo type="percentile" val="50"/>
        <cfvo type="max"/>
        <color rgb="FFF8696B"/>
        <color rgb="FFFFEB84"/>
        <color rgb="FF63BE7B"/>
      </colorScale>
    </cfRule>
  </conditionalFormatting>
  <conditionalFormatting sqref="P59:P151">
    <cfRule type="colorScale" priority="6">
      <colorScale>
        <cfvo type="min"/>
        <cfvo type="percentile" val="50"/>
        <cfvo type="max"/>
        <color rgb="FFF8696B"/>
        <color rgb="FFFFEB84"/>
        <color rgb="FF63BE7B"/>
      </colorScale>
    </cfRule>
  </conditionalFormatting>
  <conditionalFormatting sqref="R59:R151">
    <cfRule type="colorScale" priority="5">
      <colorScale>
        <cfvo type="min"/>
        <cfvo type="percentile" val="50"/>
        <cfvo type="max"/>
        <color rgb="FFF8696B"/>
        <color rgb="FFFFEB84"/>
        <color rgb="FF63BE7B"/>
      </colorScale>
    </cfRule>
  </conditionalFormatting>
  <conditionalFormatting sqref="U59:U151">
    <cfRule type="colorScale" priority="4">
      <colorScale>
        <cfvo type="min"/>
        <cfvo type="percentile" val="50"/>
        <cfvo type="max"/>
        <color rgb="FFF8696B"/>
        <color rgb="FFFFEB84"/>
        <color rgb="FF63BE7B"/>
      </colorScale>
    </cfRule>
  </conditionalFormatting>
  <conditionalFormatting sqref="W59:W151">
    <cfRule type="colorScale" priority="3">
      <colorScale>
        <cfvo type="min"/>
        <cfvo type="percentile" val="50"/>
        <cfvo type="max"/>
        <color rgb="FFF8696B"/>
        <color rgb="FFFFEB84"/>
        <color rgb="FF63BE7B"/>
      </colorScale>
    </cfRule>
  </conditionalFormatting>
  <conditionalFormatting sqref="X59:X151">
    <cfRule type="colorScale" priority="2">
      <colorScale>
        <cfvo type="min"/>
        <cfvo type="percentile" val="50"/>
        <cfvo type="max"/>
        <color rgb="FFF8696B"/>
        <color rgb="FFFFEB84"/>
        <color rgb="FF63BE7B"/>
      </colorScale>
    </cfRule>
  </conditionalFormatting>
  <conditionalFormatting sqref="Y59:Y15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140" zoomScaleNormal="140" workbookViewId="0">
      <pane ySplit="2" topLeftCell="A834" activePane="bottomLeft" state="frozen"/>
      <selection activeCell="M12" sqref="M12"/>
      <selection pane="bottomLeft" activeCell="M12" sqref="M12"/>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2">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2">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2">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2">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2">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2">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2">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2">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2">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2">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2">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2">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2">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2">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2">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2">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2">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2">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2">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2">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2">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2">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2">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2">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2">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2">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2">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2">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2">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2">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2">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2">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2">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2">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2">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2">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2">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2">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2">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2">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2">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2">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2">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2">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2">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2">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2">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2">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2">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2">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2">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2">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2">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2">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2">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2">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2">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2">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2">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2">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2">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2">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2">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2">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2">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2">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2">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2">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2">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2">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2">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2">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2">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2">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2">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2">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2">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2">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2">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2">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2">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2">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2">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2">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2">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2">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2">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2">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2">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2">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2">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2">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2">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2">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2">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2">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2">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2">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2">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2">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2">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2">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2">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2">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2">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2">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2">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2">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2">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2">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2">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2">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2">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2">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2">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2">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2">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2">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2">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2">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2">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2">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2">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2">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2">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2">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2">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2">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2">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2">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2">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2">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2">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2">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2">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2">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2">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2">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2">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2">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2">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2">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2">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2">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2">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2">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2">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2">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2">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2">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2">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2">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2">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2">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2">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2">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2">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2">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2">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2">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2">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2">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2">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2">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2">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2">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2">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2">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2">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2">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2">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2">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2">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2">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2">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2">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2">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2">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2">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2">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2">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2">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2">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2">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2">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2">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2">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2">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2">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2">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2">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2">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2">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2">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2">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2">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2">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2">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2">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2">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2">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2">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2">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2">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2">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2">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2">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2">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2">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2">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2">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2">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2">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2">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2">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2">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2">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2">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2">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2">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2">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2">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2">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2">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2">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2">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2">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2">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2">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2">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2">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2">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2">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2">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2">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2">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2">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2">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2">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2">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2">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2">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2">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2">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2">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2">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2">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2">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2">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2">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2">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2">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2">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2">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2">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2">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2">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2">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2">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2">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2">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2">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2">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2">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2">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2">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2">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2">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2">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2">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2">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2">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2">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2">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2">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2">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2">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2">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2">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2">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2">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2">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2">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2">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2">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2">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2">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2">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2">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2">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2">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2">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2">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2">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2">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2">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2">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2">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2">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2">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2">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2">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2">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2">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2">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2">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2">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2">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2">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2">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2">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2">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2">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2">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2">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2">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2">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2">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2">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2">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2">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2">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2">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2">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2">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2">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2">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2">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2">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2">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2">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2">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2">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2">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2">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2">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2">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2">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2">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2">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2">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2">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2">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2">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2">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2">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2">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2">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2">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2">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2">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2">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2">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2">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2">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2">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2">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2">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2">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2">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2">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2">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2">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2">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2">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2">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2">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2">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2">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2">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2">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2">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2">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2">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2">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2">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2">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2">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2">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2">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2">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2">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2">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2">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2">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2">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2">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2">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2">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2">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2">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2">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2">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2">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2">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2">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2">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2">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2">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2">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2">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2">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2">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2">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2">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2">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2">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2">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2">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2">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2">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2">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2">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2">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2">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2">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2">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2">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2">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2">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2">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2">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2">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2">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2">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2">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2">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2">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2">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2">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2">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2">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2">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2">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2">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2">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2">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2">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2">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2">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2">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2">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2">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2">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2">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2">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2">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2">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2">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2">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2">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2">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2">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2">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2">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2">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2">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2">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2">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2">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2">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2">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2">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2">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2">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2">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2">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2">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2">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2">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2">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2">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2">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2">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2">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2">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2">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2">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2">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2">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2">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2">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2">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2">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2">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2">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2">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2">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2">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2">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2">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2">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2">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2">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2">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2">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2">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2">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2">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2">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2">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2">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2">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2">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2">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2">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2">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2">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2">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2">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2">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2">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2">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2">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2">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2">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2">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2">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2">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2">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2">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2">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2">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2">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2">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2">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2">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2">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2">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2">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2">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2">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2">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2">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2">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2">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2">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2">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2">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2">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2">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2">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2">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2">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2">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2">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2">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2">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2">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2">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2">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2">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2">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2">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2">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2">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2">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2">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2">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2">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2">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2">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2">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2">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2">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2">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2">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2">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2">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2">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2">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2">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2">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2">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2">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2">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2">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2">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2">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2">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2">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2">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2">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2">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2">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2">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2">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2">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2">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2">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2">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2">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2">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2">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2">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2">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2">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2">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2">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2">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2">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2">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2">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2">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2">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2">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2">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2">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2">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2">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2">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2">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2">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2">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2">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2">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2">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2">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2">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2">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2">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2">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2">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2">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2">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2">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2">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2">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2">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2">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2">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2">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2">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2">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2">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2">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2">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2">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2">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2">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2">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2">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2">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2">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2">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2">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2">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2">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2">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2">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2">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2">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2">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2">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2">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2">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2">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2">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2">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2">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2">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2">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2">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2">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2">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2">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2">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2">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2">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2">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2">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2">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2">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2">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2">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2">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2">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2">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2">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2">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2">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2">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2">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2">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2">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2">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2">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2">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2">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2">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2">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2">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2">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2">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2">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2">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2">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2">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2">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2">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2">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2">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2">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2">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2">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2">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2">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2">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2">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2">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2">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2">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2">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2">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2">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2">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2">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2">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2">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2">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2">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2">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2">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2">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2">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2">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2">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2">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2">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2">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2">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2">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2">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2">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2">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2">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2">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2">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2">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2">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2">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2">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2">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2">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2">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2">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2">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2">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2">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2">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2">
      <c r="A858" s="33">
        <f>IF(Data!A885="",#N/A,Data!A885)</f>
        <v>44774</v>
      </c>
      <c r="B858" s="34">
        <f>VLOOKUP(A858,Data!A:AX,MATCH($B$2,Data!$B$1:$AX$1,0),FALSE)</f>
        <v>389.7577</v>
      </c>
      <c r="C858" s="35">
        <f t="shared" si="54"/>
        <v>1.4605078469919874E-2</v>
      </c>
      <c r="D858" s="35">
        <f t="shared" si="51"/>
        <v>0.19004773331645475</v>
      </c>
      <c r="E858" s="35">
        <f>(Table143454[[#This Row],[USA]]-B846)/B846</f>
        <v>0.80207608009150988</v>
      </c>
      <c r="F858" s="34">
        <f>VLOOKUP(Table143454[[#This Row],[Date]],'Data Core CPI'!$A:$AX,MATCH($B$2,'Data Core CPI'!$B$1:$AX$1,0),FALSE)</f>
        <v>351.25139999999999</v>
      </c>
      <c r="G858" s="35">
        <f t="shared" si="52"/>
        <v>2.883690195523636E-2</v>
      </c>
      <c r="H858" s="35">
        <f t="shared" si="53"/>
        <v>0.40656043087890215</v>
      </c>
      <c r="I858" s="35">
        <f>(Table143454[[#This Row],[Core CPI]]-F846)/F846</f>
        <v>0.67921061878365874</v>
      </c>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58">
    <cfRule type="colorScale" priority="2">
      <colorScale>
        <cfvo type="min"/>
        <cfvo type="percentile" val="50"/>
        <cfvo type="max"/>
        <color rgb="FFF8696B"/>
        <color rgb="FFFFEB84"/>
        <color rgb="FF63BE7B"/>
      </colorScale>
    </cfRule>
  </conditionalFormatting>
  <conditionalFormatting sqref="I707:I85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2022-11-12T02:22:02Z</dcterms:modified>
</cp:coreProperties>
</file>