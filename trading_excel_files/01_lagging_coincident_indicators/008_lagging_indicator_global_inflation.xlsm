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DC436F4D-CF8F-4697-AA5A-098EFE0AFB0B}" xr6:coauthVersionLast="47" xr6:coauthVersionMax="47" xr10:uidLastSave="{00000000-0000-0000-0000-000000000000}"/>
  <bookViews>
    <workbookView xWindow="-4990" yWindow="-14200" windowWidth="24190" windowHeight="1376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6" i="5" l="1"/>
  <c r="D156" i="5"/>
  <c r="E156" i="5"/>
  <c r="F156" i="5"/>
  <c r="G156" i="5"/>
  <c r="H156" i="5"/>
  <c r="I156" i="5"/>
  <c r="J156" i="5"/>
  <c r="K156" i="5"/>
  <c r="L156" i="5"/>
  <c r="M156" i="5"/>
  <c r="N156" i="5"/>
  <c r="N6" i="5" s="1"/>
  <c r="N7" i="5" s="1"/>
  <c r="O156" i="5"/>
  <c r="P156" i="5"/>
  <c r="Q156" i="5"/>
  <c r="R156" i="5"/>
  <c r="S156" i="5"/>
  <c r="T156" i="5"/>
  <c r="U156" i="5"/>
  <c r="V156" i="5"/>
  <c r="W156" i="5"/>
  <c r="X156" i="5"/>
  <c r="Y156" i="5"/>
  <c r="C156" i="4"/>
  <c r="D156" i="4"/>
  <c r="E156" i="4"/>
  <c r="F156" i="4"/>
  <c r="G156" i="4"/>
  <c r="H156" i="4"/>
  <c r="I156" i="4"/>
  <c r="J156" i="4"/>
  <c r="K156" i="4"/>
  <c r="L156" i="4"/>
  <c r="M156" i="4"/>
  <c r="N156" i="4"/>
  <c r="O156" i="4"/>
  <c r="P156" i="4"/>
  <c r="Q156" i="4"/>
  <c r="R156" i="4"/>
  <c r="S156" i="4"/>
  <c r="T156" i="4"/>
  <c r="U156" i="4"/>
  <c r="V156" i="4"/>
  <c r="W156" i="4"/>
  <c r="X156" i="4"/>
  <c r="Y156" i="4"/>
  <c r="A863" i="6"/>
  <c r="F863" i="6" s="1"/>
  <c r="F862" i="6"/>
  <c r="G862" i="6" s="1"/>
  <c r="H862" i="6" s="1"/>
  <c r="A862" i="6"/>
  <c r="B862" i="6" s="1"/>
  <c r="A861" i="6"/>
  <c r="F861" i="6" s="1"/>
  <c r="A860" i="6"/>
  <c r="A859" i="6"/>
  <c r="F859" i="6" s="1"/>
  <c r="F858" i="6"/>
  <c r="A858" i="6"/>
  <c r="B858" i="6" s="1"/>
  <c r="A857" i="6"/>
  <c r="F857" i="6" s="1"/>
  <c r="A856" i="6"/>
  <c r="A855" i="6"/>
  <c r="F855" i="6" s="1"/>
  <c r="F854" i="6"/>
  <c r="A854" i="6"/>
  <c r="B854" i="6" s="1"/>
  <c r="B853" i="6"/>
  <c r="A853" i="6"/>
  <c r="F853" i="6" s="1"/>
  <c r="A852" i="6"/>
  <c r="A851" i="6"/>
  <c r="F851" i="6" s="1"/>
  <c r="F850" i="6"/>
  <c r="B850" i="6"/>
  <c r="A850" i="6"/>
  <c r="A849" i="6"/>
  <c r="F849" i="6" s="1"/>
  <c r="A848" i="6"/>
  <c r="A847" i="6"/>
  <c r="F847" i="6" s="1"/>
  <c r="F846" i="6"/>
  <c r="B846" i="6"/>
  <c r="E858" i="6" s="1"/>
  <c r="A846" i="6"/>
  <c r="A845" i="6"/>
  <c r="F845" i="6" s="1"/>
  <c r="A844" i="6"/>
  <c r="A843" i="6"/>
  <c r="F843" i="6" s="1"/>
  <c r="F842" i="6"/>
  <c r="B842" i="6"/>
  <c r="E854" i="6" s="1"/>
  <c r="A842" i="6"/>
  <c r="A841" i="6"/>
  <c r="F841" i="6" s="1"/>
  <c r="A840" i="6"/>
  <c r="A839" i="6"/>
  <c r="F839" i="6" s="1"/>
  <c r="I851" i="6" s="1"/>
  <c r="F838" i="6"/>
  <c r="I850" i="6" s="1"/>
  <c r="B838" i="6"/>
  <c r="A838" i="6"/>
  <c r="B837" i="6"/>
  <c r="A837" i="6"/>
  <c r="F837" i="6" s="1"/>
  <c r="A836" i="6"/>
  <c r="A835" i="6"/>
  <c r="F835" i="6" s="1"/>
  <c r="F834" i="6"/>
  <c r="B834" i="6"/>
  <c r="A834" i="6"/>
  <c r="B833" i="6"/>
  <c r="A833" i="6"/>
  <c r="F833" i="6" s="1"/>
  <c r="A832" i="6"/>
  <c r="A831" i="6"/>
  <c r="F831" i="6" s="1"/>
  <c r="I843" i="6" s="1"/>
  <c r="F830" i="6"/>
  <c r="G830" i="6" s="1"/>
  <c r="H830" i="6" s="1"/>
  <c r="B830" i="6"/>
  <c r="E842" i="6" s="1"/>
  <c r="A830" i="6"/>
  <c r="B829" i="6"/>
  <c r="A829" i="6"/>
  <c r="F829" i="6" s="1"/>
  <c r="A828" i="6"/>
  <c r="A827" i="6"/>
  <c r="F827" i="6" s="1"/>
  <c r="F826" i="6"/>
  <c r="B826" i="6"/>
  <c r="A826" i="6"/>
  <c r="B825" i="6"/>
  <c r="E837" i="6" s="1"/>
  <c r="A825" i="6"/>
  <c r="F825" i="6" s="1"/>
  <c r="A824" i="6"/>
  <c r="A823" i="6"/>
  <c r="F823" i="6" s="1"/>
  <c r="F822" i="6"/>
  <c r="B822" i="6"/>
  <c r="E834" i="6" s="1"/>
  <c r="A822" i="6"/>
  <c r="B821" i="6"/>
  <c r="E833" i="6" s="1"/>
  <c r="A821" i="6"/>
  <c r="F821" i="6" s="1"/>
  <c r="G822" i="6" s="1"/>
  <c r="H822" i="6" s="1"/>
  <c r="A820" i="6"/>
  <c r="A819" i="6"/>
  <c r="F819" i="6" s="1"/>
  <c r="I819" i="6" s="1"/>
  <c r="F818" i="6"/>
  <c r="B818" i="6"/>
  <c r="A818" i="6"/>
  <c r="B817" i="6"/>
  <c r="A817" i="6"/>
  <c r="F817" i="6" s="1"/>
  <c r="A816" i="6"/>
  <c r="A815" i="6"/>
  <c r="F815" i="6" s="1"/>
  <c r="F814" i="6"/>
  <c r="E814" i="6"/>
  <c r="B814" i="6"/>
  <c r="A814" i="6"/>
  <c r="B813" i="6"/>
  <c r="A813" i="6"/>
  <c r="F813" i="6" s="1"/>
  <c r="G814" i="6" s="1"/>
  <c r="H814" i="6" s="1"/>
  <c r="A812" i="6"/>
  <c r="A811" i="6"/>
  <c r="F811" i="6" s="1"/>
  <c r="F810" i="6"/>
  <c r="I822" i="6" s="1"/>
  <c r="B810" i="6"/>
  <c r="E822" i="6" s="1"/>
  <c r="A810" i="6"/>
  <c r="A809" i="6"/>
  <c r="A808" i="6"/>
  <c r="F808" i="6" s="1"/>
  <c r="A807" i="6"/>
  <c r="F807" i="6" s="1"/>
  <c r="F806" i="6"/>
  <c r="G806" i="6" s="1"/>
  <c r="H806" i="6" s="1"/>
  <c r="B806" i="6"/>
  <c r="A806" i="6"/>
  <c r="B805" i="6"/>
  <c r="A805" i="6"/>
  <c r="F805" i="6" s="1"/>
  <c r="B804" i="6"/>
  <c r="A804" i="6"/>
  <c r="F804" i="6" s="1"/>
  <c r="A803" i="6"/>
  <c r="F803" i="6" s="1"/>
  <c r="I803" i="6" s="1"/>
  <c r="F802" i="6"/>
  <c r="B802" i="6"/>
  <c r="A802" i="6"/>
  <c r="B801" i="6"/>
  <c r="A801" i="6"/>
  <c r="F801" i="6" s="1"/>
  <c r="A800" i="6"/>
  <c r="A799" i="6"/>
  <c r="F799" i="6" s="1"/>
  <c r="F798" i="6"/>
  <c r="I810" i="6" s="1"/>
  <c r="B798" i="6"/>
  <c r="A798" i="6"/>
  <c r="A797" i="6"/>
  <c r="B796" i="6"/>
  <c r="A796" i="6"/>
  <c r="F796" i="6" s="1"/>
  <c r="A795" i="6"/>
  <c r="F795" i="6" s="1"/>
  <c r="I807" i="6" s="1"/>
  <c r="F794" i="6"/>
  <c r="I806" i="6" s="1"/>
  <c r="B794" i="6"/>
  <c r="C794" i="6" s="1"/>
  <c r="D794" i="6" s="1"/>
  <c r="A794" i="6"/>
  <c r="B793" i="6"/>
  <c r="A793" i="6"/>
  <c r="F793" i="6" s="1"/>
  <c r="B792" i="6"/>
  <c r="A792" i="6"/>
  <c r="F792" i="6" s="1"/>
  <c r="A791" i="6"/>
  <c r="F791" i="6" s="1"/>
  <c r="F790" i="6"/>
  <c r="B790" i="6"/>
  <c r="A790" i="6"/>
  <c r="B789" i="6"/>
  <c r="E801" i="6" s="1"/>
  <c r="A789" i="6"/>
  <c r="F789" i="6" s="1"/>
  <c r="A788" i="6"/>
  <c r="A787" i="6"/>
  <c r="F787" i="6" s="1"/>
  <c r="G787" i="6" s="1"/>
  <c r="H787" i="6" s="1"/>
  <c r="F786" i="6"/>
  <c r="G786" i="6" s="1"/>
  <c r="H786" i="6" s="1"/>
  <c r="B786" i="6"/>
  <c r="A786" i="6"/>
  <c r="C785" i="6"/>
  <c r="D785" i="6" s="1"/>
  <c r="B785" i="6"/>
  <c r="A785" i="6"/>
  <c r="F785" i="6" s="1"/>
  <c r="B784" i="6"/>
  <c r="A784" i="6"/>
  <c r="F784" i="6" s="1"/>
  <c r="A783" i="6"/>
  <c r="F783" i="6" s="1"/>
  <c r="A782" i="6"/>
  <c r="A781" i="6"/>
  <c r="F781" i="6" s="1"/>
  <c r="A780" i="6"/>
  <c r="A779" i="6"/>
  <c r="F779" i="6" s="1"/>
  <c r="G779" i="6" s="1"/>
  <c r="H779" i="6" s="1"/>
  <c r="F778" i="6"/>
  <c r="I790" i="6" s="1"/>
  <c r="A778" i="6"/>
  <c r="B778" i="6" s="1"/>
  <c r="B777" i="6"/>
  <c r="C777" i="6" s="1"/>
  <c r="D777" i="6" s="1"/>
  <c r="A777" i="6"/>
  <c r="F777" i="6" s="1"/>
  <c r="B776" i="6"/>
  <c r="A776" i="6"/>
  <c r="F776" i="6" s="1"/>
  <c r="A775" i="6"/>
  <c r="F775" i="6" s="1"/>
  <c r="F774" i="6"/>
  <c r="E774" i="6"/>
  <c r="B774" i="6"/>
  <c r="A774" i="6"/>
  <c r="A773" i="6"/>
  <c r="B772" i="6"/>
  <c r="A772" i="6"/>
  <c r="F772" i="6" s="1"/>
  <c r="A771" i="6"/>
  <c r="F770" i="6"/>
  <c r="B770" i="6"/>
  <c r="A770" i="6"/>
  <c r="A769" i="6"/>
  <c r="A768" i="6"/>
  <c r="F768" i="6" s="1"/>
  <c r="A767" i="6"/>
  <c r="F766" i="6"/>
  <c r="B766" i="6"/>
  <c r="A766" i="6"/>
  <c r="A765" i="6"/>
  <c r="B764" i="6"/>
  <c r="A764" i="6"/>
  <c r="F764" i="6" s="1"/>
  <c r="A763" i="6"/>
  <c r="F762" i="6"/>
  <c r="E762" i="6"/>
  <c r="B762" i="6"/>
  <c r="A762" i="6"/>
  <c r="A761" i="6"/>
  <c r="B760" i="6"/>
  <c r="A760" i="6"/>
  <c r="F760" i="6" s="1"/>
  <c r="A759" i="6"/>
  <c r="A758" i="6"/>
  <c r="B757" i="6"/>
  <c r="A757" i="6"/>
  <c r="F757" i="6" s="1"/>
  <c r="A756" i="6"/>
  <c r="A755" i="6"/>
  <c r="B754" i="6"/>
  <c r="A754" i="6"/>
  <c r="F754" i="6" s="1"/>
  <c r="B753" i="6"/>
  <c r="A753" i="6"/>
  <c r="F753" i="6" s="1"/>
  <c r="B752" i="6"/>
  <c r="A752" i="6"/>
  <c r="F752" i="6" s="1"/>
  <c r="B751" i="6"/>
  <c r="A751" i="6"/>
  <c r="F751" i="6" s="1"/>
  <c r="F750" i="6"/>
  <c r="E750" i="6"/>
  <c r="B750" i="6"/>
  <c r="A750" i="6"/>
  <c r="A749" i="6"/>
  <c r="F749" i="6" s="1"/>
  <c r="F748" i="6"/>
  <c r="A748" i="6"/>
  <c r="B748" i="6" s="1"/>
  <c r="A747" i="6"/>
  <c r="F746" i="6"/>
  <c r="B746" i="6"/>
  <c r="A746" i="6"/>
  <c r="F745" i="6"/>
  <c r="B745" i="6"/>
  <c r="E757" i="6" s="1"/>
  <c r="A745" i="6"/>
  <c r="F744" i="6"/>
  <c r="C744" i="6"/>
  <c r="D744" i="6" s="1"/>
  <c r="A744" i="6"/>
  <c r="B744" i="6" s="1"/>
  <c r="F743" i="6"/>
  <c r="A743" i="6"/>
  <c r="B743" i="6" s="1"/>
  <c r="F742" i="6"/>
  <c r="D742" i="6"/>
  <c r="B742" i="6"/>
  <c r="A742" i="6"/>
  <c r="F741" i="6"/>
  <c r="D741" i="6"/>
  <c r="C741" i="6"/>
  <c r="B741" i="6"/>
  <c r="C742" i="6" s="1"/>
  <c r="A741" i="6"/>
  <c r="A740" i="6"/>
  <c r="B740" i="6" s="1"/>
  <c r="F739" i="6"/>
  <c r="B739" i="6"/>
  <c r="E751" i="6" s="1"/>
  <c r="A739" i="6"/>
  <c r="F738" i="6"/>
  <c r="B738" i="6"/>
  <c r="C739" i="6" s="1"/>
  <c r="D739" i="6" s="1"/>
  <c r="A738" i="6"/>
  <c r="B737" i="6"/>
  <c r="A737" i="6"/>
  <c r="F737" i="6" s="1"/>
  <c r="F736" i="6"/>
  <c r="I748" i="6" s="1"/>
  <c r="A736" i="6"/>
  <c r="B736" i="6" s="1"/>
  <c r="E748" i="6" s="1"/>
  <c r="A735" i="6"/>
  <c r="F735" i="6" s="1"/>
  <c r="F734" i="6"/>
  <c r="C734" i="6"/>
  <c r="D734" i="6" s="1"/>
  <c r="B734" i="6"/>
  <c r="E746" i="6" s="1"/>
  <c r="A734" i="6"/>
  <c r="F733" i="6"/>
  <c r="B733" i="6"/>
  <c r="A733" i="6"/>
  <c r="A732" i="6"/>
  <c r="F731" i="6"/>
  <c r="G731" i="6" s="1"/>
  <c r="H731" i="6" s="1"/>
  <c r="B731" i="6"/>
  <c r="A731" i="6"/>
  <c r="F730" i="6"/>
  <c r="I730" i="6" s="1"/>
  <c r="B730" i="6"/>
  <c r="E742" i="6" s="1"/>
  <c r="A730" i="6"/>
  <c r="A729" i="6"/>
  <c r="A728" i="6"/>
  <c r="F727" i="6"/>
  <c r="C727" i="6"/>
  <c r="D727" i="6" s="1"/>
  <c r="B727" i="6"/>
  <c r="E739" i="6" s="1"/>
  <c r="A727" i="6"/>
  <c r="F726" i="6"/>
  <c r="I726" i="6" s="1"/>
  <c r="E726" i="6"/>
  <c r="B726" i="6"/>
  <c r="E738" i="6" s="1"/>
  <c r="A726" i="6"/>
  <c r="A725" i="6"/>
  <c r="A724" i="6"/>
  <c r="B723" i="6"/>
  <c r="C723" i="6" s="1"/>
  <c r="D723" i="6" s="1"/>
  <c r="A723" i="6"/>
  <c r="F723" i="6" s="1"/>
  <c r="F722" i="6"/>
  <c r="I734" i="6" s="1"/>
  <c r="E722" i="6"/>
  <c r="B722" i="6"/>
  <c r="E734" i="6" s="1"/>
  <c r="A722" i="6"/>
  <c r="B721" i="6"/>
  <c r="E733" i="6" s="1"/>
  <c r="A721" i="6"/>
  <c r="F721" i="6" s="1"/>
  <c r="A720" i="6"/>
  <c r="A719" i="6"/>
  <c r="F719" i="6" s="1"/>
  <c r="G719" i="6" s="1"/>
  <c r="H719" i="6" s="1"/>
  <c r="F718" i="6"/>
  <c r="G718" i="6" s="1"/>
  <c r="H718" i="6" s="1"/>
  <c r="B718" i="6"/>
  <c r="C718" i="6" s="1"/>
  <c r="D718" i="6" s="1"/>
  <c r="A718" i="6"/>
  <c r="F717" i="6"/>
  <c r="A717" i="6"/>
  <c r="B717" i="6" s="1"/>
  <c r="A716" i="6"/>
  <c r="B716" i="6" s="1"/>
  <c r="A715" i="6"/>
  <c r="F714" i="6"/>
  <c r="B714" i="6"/>
  <c r="A714" i="6"/>
  <c r="A713" i="6"/>
  <c r="B713" i="6" s="1"/>
  <c r="F712" i="6"/>
  <c r="A712" i="6"/>
  <c r="B712" i="6" s="1"/>
  <c r="A711" i="6"/>
  <c r="F710" i="6"/>
  <c r="B710" i="6"/>
  <c r="C710" i="6" s="1"/>
  <c r="D710" i="6" s="1"/>
  <c r="A710" i="6"/>
  <c r="A709" i="6"/>
  <c r="B709" i="6" s="1"/>
  <c r="F708" i="6"/>
  <c r="A708" i="6"/>
  <c r="B708" i="6" s="1"/>
  <c r="A707" i="6"/>
  <c r="F706" i="6"/>
  <c r="B706" i="6"/>
  <c r="A706" i="6"/>
  <c r="F705" i="6"/>
  <c r="C705" i="6"/>
  <c r="D705" i="6" s="1"/>
  <c r="B705" i="6"/>
  <c r="E717" i="6" s="1"/>
  <c r="A705" i="6"/>
  <c r="F704" i="6"/>
  <c r="A704" i="6"/>
  <c r="B704" i="6" s="1"/>
  <c r="A703" i="6"/>
  <c r="B703" i="6" s="1"/>
  <c r="F702" i="6"/>
  <c r="I714" i="6" s="1"/>
  <c r="B702" i="6"/>
  <c r="A702" i="6"/>
  <c r="A701" i="6"/>
  <c r="F700" i="6"/>
  <c r="E700" i="6"/>
  <c r="A700" i="6"/>
  <c r="B700" i="6" s="1"/>
  <c r="E712" i="6" s="1"/>
  <c r="A699" i="6"/>
  <c r="B699" i="6" s="1"/>
  <c r="C700" i="6" s="1"/>
  <c r="D700" i="6" s="1"/>
  <c r="F698" i="6"/>
  <c r="B698" i="6"/>
  <c r="C698" i="6" s="1"/>
  <c r="D698" i="6" s="1"/>
  <c r="A698" i="6"/>
  <c r="F697" i="6"/>
  <c r="B697" i="6"/>
  <c r="A697" i="6"/>
  <c r="F696" i="6"/>
  <c r="C696" i="6"/>
  <c r="D696" i="6" s="1"/>
  <c r="A696" i="6"/>
  <c r="B696" i="6" s="1"/>
  <c r="E708" i="6" s="1"/>
  <c r="F695" i="6"/>
  <c r="A695" i="6"/>
  <c r="B695" i="6" s="1"/>
  <c r="C695" i="6" s="1"/>
  <c r="D695" i="6" s="1"/>
  <c r="F694" i="6"/>
  <c r="B694" i="6"/>
  <c r="A694" i="6"/>
  <c r="F693" i="6"/>
  <c r="A693" i="6"/>
  <c r="B693" i="6" s="1"/>
  <c r="C694" i="6" s="1"/>
  <c r="D694" i="6" s="1"/>
  <c r="C692" i="6"/>
  <c r="D692" i="6" s="1"/>
  <c r="A692" i="6"/>
  <c r="B692" i="6" s="1"/>
  <c r="F691" i="6"/>
  <c r="B691" i="6"/>
  <c r="A691" i="6"/>
  <c r="F690" i="6"/>
  <c r="B690" i="6"/>
  <c r="E702" i="6" s="1"/>
  <c r="A690" i="6"/>
  <c r="B689" i="6"/>
  <c r="A689" i="6"/>
  <c r="F689" i="6" s="1"/>
  <c r="F688" i="6"/>
  <c r="A688" i="6"/>
  <c r="B688" i="6" s="1"/>
  <c r="F687" i="6"/>
  <c r="G687" i="6" s="1"/>
  <c r="H687" i="6" s="1"/>
  <c r="C687" i="6"/>
  <c r="D687" i="6" s="1"/>
  <c r="B687" i="6"/>
  <c r="E699" i="6" s="1"/>
  <c r="A687" i="6"/>
  <c r="F686" i="6"/>
  <c r="B686" i="6"/>
  <c r="A686" i="6"/>
  <c r="A685" i="6"/>
  <c r="B685" i="6" s="1"/>
  <c r="B684" i="6"/>
  <c r="A684" i="6"/>
  <c r="F684" i="6" s="1"/>
  <c r="E683" i="6"/>
  <c r="B683" i="6"/>
  <c r="E695" i="6" s="1"/>
  <c r="A683" i="6"/>
  <c r="F683" i="6" s="1"/>
  <c r="F682" i="6"/>
  <c r="D682" i="6"/>
  <c r="B682" i="6"/>
  <c r="C682" i="6" s="1"/>
  <c r="A682" i="6"/>
  <c r="F681" i="6"/>
  <c r="I693" i="6" s="1"/>
  <c r="A681" i="6"/>
  <c r="B681" i="6" s="1"/>
  <c r="A680" i="6"/>
  <c r="A679" i="6"/>
  <c r="F678" i="6"/>
  <c r="B678" i="6"/>
  <c r="C678" i="6" s="1"/>
  <c r="D678" i="6" s="1"/>
  <c r="A678" i="6"/>
  <c r="F677" i="6"/>
  <c r="G678" i="6" s="1"/>
  <c r="H678" i="6" s="1"/>
  <c r="E677" i="6"/>
  <c r="A677" i="6"/>
  <c r="B677" i="6" s="1"/>
  <c r="A676" i="6"/>
  <c r="F676" i="6" s="1"/>
  <c r="A675" i="6"/>
  <c r="B675" i="6" s="1"/>
  <c r="F674" i="6"/>
  <c r="I674" i="6" s="1"/>
  <c r="B674" i="6"/>
  <c r="A674" i="6"/>
  <c r="F673" i="6"/>
  <c r="B673" i="6"/>
  <c r="A673" i="6"/>
  <c r="E672" i="6"/>
  <c r="C672" i="6"/>
  <c r="D672" i="6" s="1"/>
  <c r="B672" i="6"/>
  <c r="A672" i="6"/>
  <c r="F672" i="6" s="1"/>
  <c r="A671" i="6"/>
  <c r="B671" i="6" s="1"/>
  <c r="F670" i="6"/>
  <c r="I682" i="6" s="1"/>
  <c r="B670" i="6"/>
  <c r="A670" i="6"/>
  <c r="A669" i="6"/>
  <c r="F668" i="6"/>
  <c r="C668" i="6"/>
  <c r="D668" i="6" s="1"/>
  <c r="A668" i="6"/>
  <c r="B668" i="6" s="1"/>
  <c r="F667" i="6"/>
  <c r="I667" i="6" s="1"/>
  <c r="B667" i="6"/>
  <c r="A667" i="6"/>
  <c r="A666" i="6"/>
  <c r="F665" i="6"/>
  <c r="B665" i="6"/>
  <c r="A665" i="6"/>
  <c r="A664" i="6"/>
  <c r="F663" i="6"/>
  <c r="G663" i="6" s="1"/>
  <c r="H663" i="6" s="1"/>
  <c r="B663" i="6"/>
  <c r="A663" i="6"/>
  <c r="F662" i="6"/>
  <c r="B662" i="6"/>
  <c r="A662" i="6"/>
  <c r="F661" i="6"/>
  <c r="I673" i="6" s="1"/>
  <c r="B661" i="6"/>
  <c r="A661" i="6"/>
  <c r="F660" i="6"/>
  <c r="A660" i="6"/>
  <c r="B660" i="6" s="1"/>
  <c r="F659" i="6"/>
  <c r="B659" i="6"/>
  <c r="A659" i="6"/>
  <c r="A658" i="6"/>
  <c r="F658" i="6" s="1"/>
  <c r="F657" i="6"/>
  <c r="B657" i="6"/>
  <c r="C657" i="6" s="1"/>
  <c r="D657" i="6" s="1"/>
  <c r="A657" i="6"/>
  <c r="F656" i="6"/>
  <c r="A656" i="6"/>
  <c r="B656" i="6" s="1"/>
  <c r="F655" i="6"/>
  <c r="I655" i="6" s="1"/>
  <c r="E655" i="6"/>
  <c r="B655" i="6"/>
  <c r="E667" i="6" s="1"/>
  <c r="A655" i="6"/>
  <c r="A654" i="6"/>
  <c r="F653" i="6"/>
  <c r="I665" i="6" s="1"/>
  <c r="B653" i="6"/>
  <c r="E665" i="6" s="1"/>
  <c r="A653" i="6"/>
  <c r="F652" i="6"/>
  <c r="C652" i="6"/>
  <c r="D652" i="6" s="1"/>
  <c r="B652" i="6"/>
  <c r="A652" i="6"/>
  <c r="F651" i="6"/>
  <c r="E651" i="6"/>
  <c r="B651" i="6"/>
  <c r="A651" i="6"/>
  <c r="F650" i="6"/>
  <c r="B650" i="6"/>
  <c r="A650" i="6"/>
  <c r="A649" i="6"/>
  <c r="A648" i="6"/>
  <c r="F647" i="6"/>
  <c r="E647" i="6"/>
  <c r="B647" i="6"/>
  <c r="A647" i="6"/>
  <c r="F646" i="6"/>
  <c r="D646" i="6"/>
  <c r="C646" i="6"/>
  <c r="B646" i="6"/>
  <c r="C647" i="6" s="1"/>
  <c r="D647" i="6" s="1"/>
  <c r="A646" i="6"/>
  <c r="F645" i="6"/>
  <c r="G646" i="6" s="1"/>
  <c r="H646" i="6" s="1"/>
  <c r="E645" i="6"/>
  <c r="B645" i="6"/>
  <c r="E657" i="6" s="1"/>
  <c r="A645" i="6"/>
  <c r="A644" i="6"/>
  <c r="F644" i="6" s="1"/>
  <c r="F643" i="6"/>
  <c r="B643" i="6"/>
  <c r="A643" i="6"/>
  <c r="A642" i="6"/>
  <c r="F641" i="6"/>
  <c r="C641" i="6"/>
  <c r="D641" i="6" s="1"/>
  <c r="B641" i="6"/>
  <c r="E653" i="6" s="1"/>
  <c r="A641" i="6"/>
  <c r="F640" i="6"/>
  <c r="E640" i="6"/>
  <c r="B640" i="6"/>
  <c r="C640" i="6" s="1"/>
  <c r="D640" i="6" s="1"/>
  <c r="A640" i="6"/>
  <c r="F639" i="6"/>
  <c r="B639" i="6"/>
  <c r="A639" i="6"/>
  <c r="F638" i="6"/>
  <c r="B638" i="6"/>
  <c r="A638" i="6"/>
  <c r="A637" i="6"/>
  <c r="F636" i="6"/>
  <c r="G636" i="6" s="1"/>
  <c r="H636" i="6" s="1"/>
  <c r="B636" i="6"/>
  <c r="A636" i="6"/>
  <c r="F635" i="6"/>
  <c r="G635" i="6" s="1"/>
  <c r="H635" i="6" s="1"/>
  <c r="B635" i="6"/>
  <c r="A635" i="6"/>
  <c r="F634" i="6"/>
  <c r="A634" i="6"/>
  <c r="B634" i="6" s="1"/>
  <c r="F633" i="6"/>
  <c r="B633" i="6"/>
  <c r="A633" i="6"/>
  <c r="A632" i="6"/>
  <c r="F631" i="6"/>
  <c r="I643" i="6" s="1"/>
  <c r="B631" i="6"/>
  <c r="A631" i="6"/>
  <c r="A630" i="6"/>
  <c r="F630" i="6" s="1"/>
  <c r="F629" i="6"/>
  <c r="C629" i="6"/>
  <c r="D629" i="6" s="1"/>
  <c r="B629" i="6"/>
  <c r="E641" i="6" s="1"/>
  <c r="A629" i="6"/>
  <c r="F628" i="6"/>
  <c r="E628" i="6"/>
  <c r="B628" i="6"/>
  <c r="A628" i="6"/>
  <c r="A627" i="6"/>
  <c r="F627" i="6" s="1"/>
  <c r="I639" i="6" s="1"/>
  <c r="F626" i="6"/>
  <c r="B626" i="6"/>
  <c r="A626" i="6"/>
  <c r="A625" i="6"/>
  <c r="F625" i="6" s="1"/>
  <c r="F624" i="6"/>
  <c r="B624" i="6"/>
  <c r="A624" i="6"/>
  <c r="A623" i="6"/>
  <c r="F622" i="6"/>
  <c r="B622" i="6"/>
  <c r="A622" i="6"/>
  <c r="A621" i="6"/>
  <c r="F620" i="6"/>
  <c r="B620" i="6"/>
  <c r="A620" i="6"/>
  <c r="A619" i="6"/>
  <c r="F618" i="6"/>
  <c r="B618" i="6"/>
  <c r="A618" i="6"/>
  <c r="F617" i="6"/>
  <c r="A617" i="6"/>
  <c r="B617" i="6" s="1"/>
  <c r="F616" i="6"/>
  <c r="B616" i="6"/>
  <c r="A616" i="6"/>
  <c r="A615" i="6"/>
  <c r="F614" i="6"/>
  <c r="B614" i="6"/>
  <c r="A614" i="6"/>
  <c r="A613" i="6"/>
  <c r="B613" i="6" s="1"/>
  <c r="F612" i="6"/>
  <c r="B612" i="6"/>
  <c r="A612" i="6"/>
  <c r="A611" i="6"/>
  <c r="F610" i="6"/>
  <c r="D610" i="6"/>
  <c r="B610" i="6"/>
  <c r="C610" i="6" s="1"/>
  <c r="A610" i="6"/>
  <c r="C609" i="6"/>
  <c r="D609" i="6" s="1"/>
  <c r="B609" i="6"/>
  <c r="A609" i="6"/>
  <c r="F609" i="6" s="1"/>
  <c r="F608" i="6"/>
  <c r="B608" i="6"/>
  <c r="E620" i="6" s="1"/>
  <c r="A608" i="6"/>
  <c r="A607" i="6"/>
  <c r="F606" i="6"/>
  <c r="E606" i="6"/>
  <c r="B606" i="6"/>
  <c r="A606" i="6"/>
  <c r="B605" i="6"/>
  <c r="A605" i="6"/>
  <c r="F605" i="6" s="1"/>
  <c r="F604" i="6"/>
  <c r="B604" i="6"/>
  <c r="A604" i="6"/>
  <c r="B603" i="6"/>
  <c r="A603" i="6"/>
  <c r="F603" i="6" s="1"/>
  <c r="F602" i="6"/>
  <c r="B602" i="6"/>
  <c r="A602" i="6"/>
  <c r="F601" i="6"/>
  <c r="B601" i="6"/>
  <c r="A601" i="6"/>
  <c r="F600" i="6"/>
  <c r="B600" i="6"/>
  <c r="E612" i="6" s="1"/>
  <c r="A600" i="6"/>
  <c r="B599" i="6"/>
  <c r="A599" i="6"/>
  <c r="F599" i="6" s="1"/>
  <c r="F598" i="6"/>
  <c r="B598" i="6"/>
  <c r="A598" i="6"/>
  <c r="B597" i="6"/>
  <c r="A597" i="6"/>
  <c r="F597" i="6" s="1"/>
  <c r="F596" i="6"/>
  <c r="D596" i="6"/>
  <c r="C596" i="6"/>
  <c r="B596" i="6"/>
  <c r="A596" i="6"/>
  <c r="B595" i="6"/>
  <c r="A595" i="6"/>
  <c r="F595" i="6" s="1"/>
  <c r="F594" i="6"/>
  <c r="I606" i="6" s="1"/>
  <c r="B594" i="6"/>
  <c r="C594" i="6" s="1"/>
  <c r="D594" i="6" s="1"/>
  <c r="A594" i="6"/>
  <c r="F593" i="6"/>
  <c r="B593" i="6"/>
  <c r="A593" i="6"/>
  <c r="A592" i="6"/>
  <c r="A591" i="6"/>
  <c r="F590" i="6"/>
  <c r="B590" i="6"/>
  <c r="A590" i="6"/>
  <c r="A589" i="6"/>
  <c r="F588" i="6"/>
  <c r="A588" i="6"/>
  <c r="B588" i="6" s="1"/>
  <c r="A587" i="6"/>
  <c r="F586" i="6"/>
  <c r="E586" i="6"/>
  <c r="B586" i="6"/>
  <c r="A586" i="6"/>
  <c r="A585" i="6"/>
  <c r="F584" i="6"/>
  <c r="E584" i="6"/>
  <c r="A584" i="6"/>
  <c r="B584" i="6" s="1"/>
  <c r="A583" i="6"/>
  <c r="I582" i="6"/>
  <c r="F582" i="6"/>
  <c r="E582" i="6"/>
  <c r="B582" i="6"/>
  <c r="A582" i="6"/>
  <c r="A581" i="6"/>
  <c r="F580" i="6"/>
  <c r="B580" i="6"/>
  <c r="C580" i="6" s="1"/>
  <c r="D580" i="6" s="1"/>
  <c r="A580" i="6"/>
  <c r="C579" i="6"/>
  <c r="D579" i="6" s="1"/>
  <c r="B579" i="6"/>
  <c r="A579" i="6"/>
  <c r="F579" i="6" s="1"/>
  <c r="F578" i="6"/>
  <c r="G579" i="6" s="1"/>
  <c r="H579" i="6" s="1"/>
  <c r="E578" i="6"/>
  <c r="B578" i="6"/>
  <c r="C578" i="6" s="1"/>
  <c r="D578" i="6" s="1"/>
  <c r="A578" i="6"/>
  <c r="F577" i="6"/>
  <c r="A577" i="6"/>
  <c r="B577" i="6" s="1"/>
  <c r="A576" i="6"/>
  <c r="A575" i="6"/>
  <c r="F574" i="6"/>
  <c r="B574" i="6"/>
  <c r="A574" i="6"/>
  <c r="F573" i="6"/>
  <c r="C573" i="6"/>
  <c r="D573" i="6" s="1"/>
  <c r="A573" i="6"/>
  <c r="B573" i="6" s="1"/>
  <c r="F572" i="6"/>
  <c r="B572" i="6"/>
  <c r="A572" i="6"/>
  <c r="A571" i="6"/>
  <c r="F570" i="6"/>
  <c r="E570" i="6"/>
  <c r="B570" i="6"/>
  <c r="A570" i="6"/>
  <c r="F569" i="6"/>
  <c r="B569" i="6"/>
  <c r="A569" i="6"/>
  <c r="A568" i="6"/>
  <c r="G567" i="6"/>
  <c r="H567" i="6" s="1"/>
  <c r="C567" i="6"/>
  <c r="D567" i="6" s="1"/>
  <c r="B567" i="6"/>
  <c r="E579" i="6" s="1"/>
  <c r="A567" i="6"/>
  <c r="F567" i="6" s="1"/>
  <c r="F566" i="6"/>
  <c r="E566" i="6"/>
  <c r="B566" i="6"/>
  <c r="A566" i="6"/>
  <c r="A565" i="6"/>
  <c r="F564" i="6"/>
  <c r="B564" i="6"/>
  <c r="A564" i="6"/>
  <c r="A563" i="6"/>
  <c r="F562" i="6"/>
  <c r="G562" i="6" s="1"/>
  <c r="H562" i="6" s="1"/>
  <c r="B562" i="6"/>
  <c r="A562" i="6"/>
  <c r="F561" i="6"/>
  <c r="B561" i="6"/>
  <c r="E573" i="6" s="1"/>
  <c r="A561" i="6"/>
  <c r="A560" i="6"/>
  <c r="B559" i="6"/>
  <c r="A559" i="6"/>
  <c r="F559" i="6" s="1"/>
  <c r="I559" i="6" s="1"/>
  <c r="F558" i="6"/>
  <c r="I570" i="6" s="1"/>
  <c r="B558" i="6"/>
  <c r="A558" i="6"/>
  <c r="A557" i="6"/>
  <c r="F556" i="6"/>
  <c r="B556" i="6"/>
  <c r="A556" i="6"/>
  <c r="A555" i="6"/>
  <c r="F554" i="6"/>
  <c r="I566" i="6" s="1"/>
  <c r="E554" i="6"/>
  <c r="B554" i="6"/>
  <c r="A554" i="6"/>
  <c r="G553" i="6"/>
  <c r="H553" i="6" s="1"/>
  <c r="B553" i="6"/>
  <c r="A553" i="6"/>
  <c r="F553" i="6" s="1"/>
  <c r="D552" i="6"/>
  <c r="C552" i="6"/>
  <c r="B552" i="6"/>
  <c r="A552" i="6"/>
  <c r="F552" i="6" s="1"/>
  <c r="B551" i="6"/>
  <c r="A551" i="6"/>
  <c r="F551" i="6" s="1"/>
  <c r="F550" i="6"/>
  <c r="B550" i="6"/>
  <c r="C551" i="6" s="1"/>
  <c r="D551" i="6" s="1"/>
  <c r="A550" i="6"/>
  <c r="A549" i="6"/>
  <c r="F549" i="6" s="1"/>
  <c r="F548" i="6"/>
  <c r="B548" i="6"/>
  <c r="A548" i="6"/>
  <c r="B547" i="6"/>
  <c r="A547" i="6"/>
  <c r="F547" i="6" s="1"/>
  <c r="F546" i="6"/>
  <c r="B546" i="6"/>
  <c r="A546" i="6"/>
  <c r="F545" i="6"/>
  <c r="B545" i="6"/>
  <c r="A545" i="6"/>
  <c r="F544" i="6"/>
  <c r="A544" i="6"/>
  <c r="B544" i="6" s="1"/>
  <c r="A543" i="6"/>
  <c r="F542" i="6"/>
  <c r="B542" i="6"/>
  <c r="A542" i="6"/>
  <c r="F541" i="6"/>
  <c r="A541" i="6"/>
  <c r="B541" i="6" s="1"/>
  <c r="F540" i="6"/>
  <c r="B540" i="6"/>
  <c r="E552" i="6" s="1"/>
  <c r="A540" i="6"/>
  <c r="A539" i="6"/>
  <c r="F538" i="6"/>
  <c r="I538" i="6" s="1"/>
  <c r="E538" i="6"/>
  <c r="B538" i="6"/>
  <c r="A538" i="6"/>
  <c r="F537" i="6"/>
  <c r="A537" i="6"/>
  <c r="B537" i="6" s="1"/>
  <c r="A536" i="6"/>
  <c r="B535" i="6"/>
  <c r="A535" i="6"/>
  <c r="F535" i="6" s="1"/>
  <c r="F534" i="6"/>
  <c r="E534" i="6"/>
  <c r="B534" i="6"/>
  <c r="A534" i="6"/>
  <c r="F533" i="6"/>
  <c r="A533" i="6"/>
  <c r="B533" i="6" s="1"/>
  <c r="A532" i="6"/>
  <c r="A531" i="6"/>
  <c r="F530" i="6"/>
  <c r="B530" i="6"/>
  <c r="A530" i="6"/>
  <c r="A529" i="6"/>
  <c r="B529" i="6" s="1"/>
  <c r="A528" i="6"/>
  <c r="C527" i="6"/>
  <c r="D527" i="6" s="1"/>
  <c r="B527" i="6"/>
  <c r="A527" i="6"/>
  <c r="F527" i="6" s="1"/>
  <c r="F526" i="6"/>
  <c r="B526" i="6"/>
  <c r="A526" i="6"/>
  <c r="F525" i="6"/>
  <c r="E525" i="6"/>
  <c r="A525" i="6"/>
  <c r="B525" i="6" s="1"/>
  <c r="A524" i="6"/>
  <c r="A523" i="6"/>
  <c r="F522" i="6"/>
  <c r="I522" i="6" s="1"/>
  <c r="B522" i="6"/>
  <c r="A522" i="6"/>
  <c r="A521" i="6"/>
  <c r="F521" i="6" s="1"/>
  <c r="A520" i="6"/>
  <c r="B519" i="6"/>
  <c r="A519" i="6"/>
  <c r="F519" i="6" s="1"/>
  <c r="F518" i="6"/>
  <c r="B518" i="6"/>
  <c r="A518" i="6"/>
  <c r="A517" i="6"/>
  <c r="F516" i="6"/>
  <c r="B516" i="6"/>
  <c r="A516" i="6"/>
  <c r="A515" i="6"/>
  <c r="F514" i="6"/>
  <c r="B514" i="6"/>
  <c r="A514" i="6"/>
  <c r="F513" i="6"/>
  <c r="E513" i="6"/>
  <c r="B513" i="6"/>
  <c r="A513" i="6"/>
  <c r="A512" i="6"/>
  <c r="A511" i="6"/>
  <c r="F510" i="6"/>
  <c r="I510" i="6" s="1"/>
  <c r="B510" i="6"/>
  <c r="A510" i="6"/>
  <c r="A509" i="6"/>
  <c r="B508" i="6"/>
  <c r="A508" i="6"/>
  <c r="F508" i="6" s="1"/>
  <c r="A507" i="6"/>
  <c r="F506" i="6"/>
  <c r="I518" i="6" s="1"/>
  <c r="B506" i="6"/>
  <c r="A506" i="6"/>
  <c r="A505" i="6"/>
  <c r="B505" i="6" s="1"/>
  <c r="C505" i="6" s="1"/>
  <c r="D505" i="6" s="1"/>
  <c r="F504" i="6"/>
  <c r="B504" i="6"/>
  <c r="E516" i="6" s="1"/>
  <c r="A504" i="6"/>
  <c r="B503" i="6"/>
  <c r="A503" i="6"/>
  <c r="F503" i="6" s="1"/>
  <c r="F502" i="6"/>
  <c r="B502" i="6"/>
  <c r="A502" i="6"/>
  <c r="F501" i="6"/>
  <c r="A501" i="6"/>
  <c r="B501" i="6" s="1"/>
  <c r="C501" i="6" s="1"/>
  <c r="D501" i="6" s="1"/>
  <c r="C500" i="6"/>
  <c r="D500" i="6" s="1"/>
  <c r="B500" i="6"/>
  <c r="A500" i="6"/>
  <c r="F500" i="6" s="1"/>
  <c r="C499" i="6"/>
  <c r="D499" i="6" s="1"/>
  <c r="B499" i="6"/>
  <c r="A499" i="6"/>
  <c r="F499" i="6" s="1"/>
  <c r="F498" i="6"/>
  <c r="B498" i="6"/>
  <c r="A498" i="6"/>
  <c r="F497" i="6"/>
  <c r="G497" i="6" s="1"/>
  <c r="H497" i="6" s="1"/>
  <c r="D497" i="6"/>
  <c r="A497" i="6"/>
  <c r="B497" i="6" s="1"/>
  <c r="C497" i="6" s="1"/>
  <c r="F496" i="6"/>
  <c r="E496" i="6"/>
  <c r="B496" i="6"/>
  <c r="A496" i="6"/>
  <c r="A495" i="6"/>
  <c r="F495" i="6" s="1"/>
  <c r="F494" i="6"/>
  <c r="G494" i="6" s="1"/>
  <c r="H494" i="6" s="1"/>
  <c r="E494" i="6"/>
  <c r="B494" i="6"/>
  <c r="E506" i="6" s="1"/>
  <c r="A494" i="6"/>
  <c r="F493" i="6"/>
  <c r="B493" i="6"/>
  <c r="A493" i="6"/>
  <c r="F492" i="6"/>
  <c r="B492" i="6"/>
  <c r="E504" i="6" s="1"/>
  <c r="A492" i="6"/>
  <c r="A491" i="6"/>
  <c r="F490" i="6"/>
  <c r="I502" i="6" s="1"/>
  <c r="E490" i="6"/>
  <c r="B490" i="6"/>
  <c r="A490" i="6"/>
  <c r="A489" i="6"/>
  <c r="F488" i="6"/>
  <c r="A488" i="6"/>
  <c r="B488" i="6" s="1"/>
  <c r="A487" i="6"/>
  <c r="F486" i="6"/>
  <c r="E486" i="6"/>
  <c r="B486" i="6"/>
  <c r="A486" i="6"/>
  <c r="F485" i="6"/>
  <c r="I485" i="6" s="1"/>
  <c r="E485" i="6"/>
  <c r="A485" i="6"/>
  <c r="B485" i="6" s="1"/>
  <c r="F484" i="6"/>
  <c r="A484" i="6"/>
  <c r="B484" i="6" s="1"/>
  <c r="A483" i="6"/>
  <c r="F483" i="6" s="1"/>
  <c r="F482" i="6"/>
  <c r="I494" i="6" s="1"/>
  <c r="B482" i="6"/>
  <c r="A482" i="6"/>
  <c r="A481" i="6"/>
  <c r="F480" i="6"/>
  <c r="A480" i="6"/>
  <c r="B480" i="6" s="1"/>
  <c r="A479" i="6"/>
  <c r="F478" i="6"/>
  <c r="B478" i="6"/>
  <c r="A478" i="6"/>
  <c r="A477" i="6"/>
  <c r="F476" i="6"/>
  <c r="A476" i="6"/>
  <c r="B476" i="6" s="1"/>
  <c r="E488" i="6" s="1"/>
  <c r="A475" i="6"/>
  <c r="F474" i="6"/>
  <c r="I474" i="6" s="1"/>
  <c r="B474" i="6"/>
  <c r="C474" i="6" s="1"/>
  <c r="D474" i="6" s="1"/>
  <c r="A474" i="6"/>
  <c r="F473" i="6"/>
  <c r="B473" i="6"/>
  <c r="A473" i="6"/>
  <c r="A472" i="6"/>
  <c r="F472" i="6" s="1"/>
  <c r="A471" i="6"/>
  <c r="F470" i="6"/>
  <c r="B470" i="6"/>
  <c r="A470" i="6"/>
  <c r="A469" i="6"/>
  <c r="I468" i="6"/>
  <c r="B468" i="6"/>
  <c r="E480" i="6" s="1"/>
  <c r="A468" i="6"/>
  <c r="F468" i="6" s="1"/>
  <c r="A467" i="6"/>
  <c r="F466" i="6"/>
  <c r="B466" i="6"/>
  <c r="A466" i="6"/>
  <c r="F465" i="6"/>
  <c r="G465" i="6" s="1"/>
  <c r="H465" i="6" s="1"/>
  <c r="B465" i="6"/>
  <c r="A465" i="6"/>
  <c r="F464" i="6"/>
  <c r="E464" i="6"/>
  <c r="B464" i="6"/>
  <c r="E476" i="6" s="1"/>
  <c r="A464" i="6"/>
  <c r="A463" i="6"/>
  <c r="F462" i="6"/>
  <c r="G462" i="6" s="1"/>
  <c r="H462" i="6" s="1"/>
  <c r="E462" i="6"/>
  <c r="C462" i="6"/>
  <c r="D462" i="6" s="1"/>
  <c r="B462" i="6"/>
  <c r="E474" i="6" s="1"/>
  <c r="A462" i="6"/>
  <c r="F461" i="6"/>
  <c r="E461" i="6"/>
  <c r="B461" i="6"/>
  <c r="E473" i="6" s="1"/>
  <c r="A461" i="6"/>
  <c r="F460" i="6"/>
  <c r="B460" i="6"/>
  <c r="A460" i="6"/>
  <c r="G459" i="6"/>
  <c r="H459" i="6" s="1"/>
  <c r="F459" i="6"/>
  <c r="C459" i="6"/>
  <c r="D459" i="6" s="1"/>
  <c r="B459" i="6"/>
  <c r="A459" i="6"/>
  <c r="F458" i="6"/>
  <c r="E458" i="6"/>
  <c r="B458" i="6"/>
  <c r="E470" i="6" s="1"/>
  <c r="A458" i="6"/>
  <c r="A457" i="6"/>
  <c r="F456" i="6"/>
  <c r="A456" i="6"/>
  <c r="B456" i="6" s="1"/>
  <c r="B455" i="6"/>
  <c r="C455" i="6" s="1"/>
  <c r="D455" i="6" s="1"/>
  <c r="A455" i="6"/>
  <c r="F455" i="6" s="1"/>
  <c r="F454" i="6"/>
  <c r="B454" i="6"/>
  <c r="A454" i="6"/>
  <c r="F453" i="6"/>
  <c r="I465" i="6" s="1"/>
  <c r="B453" i="6"/>
  <c r="C453" i="6" s="1"/>
  <c r="D453" i="6" s="1"/>
  <c r="A453" i="6"/>
  <c r="F452" i="6"/>
  <c r="I452" i="6" s="1"/>
  <c r="B452" i="6"/>
  <c r="A452" i="6"/>
  <c r="F451" i="6"/>
  <c r="E451" i="6"/>
  <c r="B451" i="6"/>
  <c r="A451" i="6"/>
  <c r="F450" i="6"/>
  <c r="G450" i="6" s="1"/>
  <c r="H450" i="6" s="1"/>
  <c r="B450" i="6"/>
  <c r="C450" i="6" s="1"/>
  <c r="D450" i="6" s="1"/>
  <c r="A450" i="6"/>
  <c r="F449" i="6"/>
  <c r="A449" i="6"/>
  <c r="B449" i="6" s="1"/>
  <c r="E448" i="6"/>
  <c r="B448" i="6"/>
  <c r="E460" i="6" s="1"/>
  <c r="A448" i="6"/>
  <c r="F448" i="6" s="1"/>
  <c r="I448" i="6" s="1"/>
  <c r="A447" i="6"/>
  <c r="F446" i="6"/>
  <c r="E446" i="6"/>
  <c r="B446" i="6"/>
  <c r="C446" i="6" s="1"/>
  <c r="D446" i="6" s="1"/>
  <c r="A446" i="6"/>
  <c r="F445" i="6"/>
  <c r="B445" i="6"/>
  <c r="A445" i="6"/>
  <c r="A444" i="6"/>
  <c r="A443" i="6"/>
  <c r="F442" i="6"/>
  <c r="B442" i="6"/>
  <c r="A442" i="6"/>
  <c r="F441" i="6"/>
  <c r="A441" i="6"/>
  <c r="B441" i="6" s="1"/>
  <c r="B440" i="6"/>
  <c r="A440" i="6"/>
  <c r="F440" i="6" s="1"/>
  <c r="F439" i="6"/>
  <c r="A439" i="6"/>
  <c r="B439" i="6" s="1"/>
  <c r="F438" i="6"/>
  <c r="I450" i="6" s="1"/>
  <c r="B438" i="6"/>
  <c r="A438" i="6"/>
  <c r="A437" i="6"/>
  <c r="B437" i="6" s="1"/>
  <c r="F436" i="6"/>
  <c r="A436" i="6"/>
  <c r="B436" i="6" s="1"/>
  <c r="F435" i="6"/>
  <c r="G435" i="6" s="1"/>
  <c r="H435" i="6" s="1"/>
  <c r="E435" i="6"/>
  <c r="B435" i="6"/>
  <c r="A435" i="6"/>
  <c r="F434" i="6"/>
  <c r="B434" i="6"/>
  <c r="A434" i="6"/>
  <c r="A433" i="6"/>
  <c r="F432" i="6"/>
  <c r="E432" i="6"/>
  <c r="A432" i="6"/>
  <c r="B432" i="6" s="1"/>
  <c r="C432" i="6" s="1"/>
  <c r="D432" i="6" s="1"/>
  <c r="F431" i="6"/>
  <c r="A431" i="6"/>
  <c r="B431" i="6" s="1"/>
  <c r="F430" i="6"/>
  <c r="B430" i="6"/>
  <c r="E442" i="6" s="1"/>
  <c r="A430" i="6"/>
  <c r="A429" i="6"/>
  <c r="F428" i="6"/>
  <c r="I428" i="6" s="1"/>
  <c r="A428" i="6"/>
  <c r="B428" i="6" s="1"/>
  <c r="A427" i="6"/>
  <c r="F426" i="6"/>
  <c r="G426" i="6" s="1"/>
  <c r="H426" i="6" s="1"/>
  <c r="A426" i="6"/>
  <c r="B426" i="6" s="1"/>
  <c r="B425" i="6"/>
  <c r="A425" i="6"/>
  <c r="F425" i="6" s="1"/>
  <c r="G425" i="6" s="1"/>
  <c r="H425" i="6" s="1"/>
  <c r="F424" i="6"/>
  <c r="I436" i="6" s="1"/>
  <c r="E424" i="6"/>
  <c r="A424" i="6"/>
  <c r="B424" i="6" s="1"/>
  <c r="F423" i="6"/>
  <c r="B423" i="6"/>
  <c r="A423" i="6"/>
  <c r="B422" i="6"/>
  <c r="A422" i="6"/>
  <c r="F422" i="6" s="1"/>
  <c r="B421" i="6"/>
  <c r="A421" i="6"/>
  <c r="F421" i="6" s="1"/>
  <c r="F420" i="6"/>
  <c r="E420" i="6"/>
  <c r="A420" i="6"/>
  <c r="B420" i="6" s="1"/>
  <c r="C420" i="6" s="1"/>
  <c r="D420" i="6" s="1"/>
  <c r="F419" i="6"/>
  <c r="A419" i="6"/>
  <c r="B419" i="6" s="1"/>
  <c r="F418" i="6"/>
  <c r="B418" i="6"/>
  <c r="C419" i="6" s="1"/>
  <c r="D419" i="6" s="1"/>
  <c r="A418" i="6"/>
  <c r="A417" i="6"/>
  <c r="F416" i="6"/>
  <c r="A416" i="6"/>
  <c r="B416" i="6" s="1"/>
  <c r="E428" i="6" s="1"/>
  <c r="B415" i="6"/>
  <c r="A415" i="6"/>
  <c r="F415" i="6" s="1"/>
  <c r="A414" i="6"/>
  <c r="B413" i="6"/>
  <c r="A413" i="6"/>
  <c r="F413" i="6" s="1"/>
  <c r="F412" i="6"/>
  <c r="I412" i="6" s="1"/>
  <c r="A412" i="6"/>
  <c r="B412" i="6" s="1"/>
  <c r="F411" i="6"/>
  <c r="I423" i="6" s="1"/>
  <c r="B411" i="6"/>
  <c r="A411" i="6"/>
  <c r="A410" i="6"/>
  <c r="B409" i="6"/>
  <c r="A409" i="6"/>
  <c r="F409" i="6" s="1"/>
  <c r="I421" i="6" s="1"/>
  <c r="F408" i="6"/>
  <c r="A408" i="6"/>
  <c r="B408" i="6" s="1"/>
  <c r="A407" i="6"/>
  <c r="F406" i="6"/>
  <c r="E406" i="6"/>
  <c r="B406" i="6"/>
  <c r="A406" i="6"/>
  <c r="A405" i="6"/>
  <c r="F404" i="6"/>
  <c r="I416" i="6" s="1"/>
  <c r="A404" i="6"/>
  <c r="B404" i="6" s="1"/>
  <c r="B403" i="6"/>
  <c r="A403" i="6"/>
  <c r="F403" i="6" s="1"/>
  <c r="B402" i="6"/>
  <c r="A402" i="6"/>
  <c r="F402" i="6" s="1"/>
  <c r="B401" i="6"/>
  <c r="E413" i="6" s="1"/>
  <c r="A401" i="6"/>
  <c r="F401" i="6" s="1"/>
  <c r="F400" i="6"/>
  <c r="G400" i="6" s="1"/>
  <c r="H400" i="6" s="1"/>
  <c r="A400" i="6"/>
  <c r="B400" i="6" s="1"/>
  <c r="F399" i="6"/>
  <c r="E399" i="6"/>
  <c r="B399" i="6"/>
  <c r="A399" i="6"/>
  <c r="F398" i="6"/>
  <c r="A398" i="6"/>
  <c r="B398" i="6" s="1"/>
  <c r="B397" i="6"/>
  <c r="A397" i="6"/>
  <c r="F397" i="6" s="1"/>
  <c r="F396" i="6"/>
  <c r="I396" i="6" s="1"/>
  <c r="A396" i="6"/>
  <c r="B396" i="6" s="1"/>
  <c r="A395" i="6"/>
  <c r="F394" i="6"/>
  <c r="B394" i="6"/>
  <c r="A394" i="6"/>
  <c r="B393" i="6"/>
  <c r="A393" i="6"/>
  <c r="F393" i="6" s="1"/>
  <c r="F392" i="6"/>
  <c r="A392" i="6"/>
  <c r="B392" i="6" s="1"/>
  <c r="C392" i="6" s="1"/>
  <c r="D392" i="6" s="1"/>
  <c r="F391" i="6"/>
  <c r="B391" i="6"/>
  <c r="A391" i="6"/>
  <c r="F390" i="6"/>
  <c r="B390" i="6"/>
  <c r="A390" i="6"/>
  <c r="G389" i="6"/>
  <c r="H389" i="6" s="1"/>
  <c r="B389" i="6"/>
  <c r="A389" i="6"/>
  <c r="F389" i="6" s="1"/>
  <c r="F388" i="6"/>
  <c r="E388" i="6"/>
  <c r="A388" i="6"/>
  <c r="B388" i="6" s="1"/>
  <c r="C388" i="6" s="1"/>
  <c r="D388" i="6" s="1"/>
  <c r="F387" i="6"/>
  <c r="I399" i="6" s="1"/>
  <c r="B387" i="6"/>
  <c r="A387" i="6"/>
  <c r="A386" i="6"/>
  <c r="B385" i="6"/>
  <c r="A385" i="6"/>
  <c r="F385" i="6" s="1"/>
  <c r="F384" i="6"/>
  <c r="A384" i="6"/>
  <c r="B384" i="6" s="1"/>
  <c r="A383" i="6"/>
  <c r="B383" i="6" s="1"/>
  <c r="F382" i="6"/>
  <c r="B382" i="6"/>
  <c r="A382" i="6"/>
  <c r="B381" i="6"/>
  <c r="A381" i="6"/>
  <c r="F381" i="6" s="1"/>
  <c r="F380" i="6"/>
  <c r="A380" i="6"/>
  <c r="B380" i="6" s="1"/>
  <c r="A379" i="6"/>
  <c r="A378" i="6"/>
  <c r="D377" i="6"/>
  <c r="C377" i="6"/>
  <c r="B377" i="6"/>
  <c r="E389" i="6" s="1"/>
  <c r="A377" i="6"/>
  <c r="F377" i="6" s="1"/>
  <c r="I389" i="6" s="1"/>
  <c r="F376" i="6"/>
  <c r="I388" i="6" s="1"/>
  <c r="A376" i="6"/>
  <c r="B376" i="6" s="1"/>
  <c r="F375" i="6"/>
  <c r="G375" i="6" s="1"/>
  <c r="H375" i="6" s="1"/>
  <c r="A375" i="6"/>
  <c r="B375" i="6" s="1"/>
  <c r="F374" i="6"/>
  <c r="C374" i="6"/>
  <c r="D374" i="6" s="1"/>
  <c r="A374" i="6"/>
  <c r="B374" i="6" s="1"/>
  <c r="B373" i="6"/>
  <c r="A373" i="6"/>
  <c r="F373" i="6" s="1"/>
  <c r="I373" i="6" s="1"/>
  <c r="F372" i="6"/>
  <c r="A372" i="6"/>
  <c r="B372" i="6" s="1"/>
  <c r="F371" i="6"/>
  <c r="E371" i="6"/>
  <c r="B371" i="6"/>
  <c r="A371" i="6"/>
  <c r="B370" i="6"/>
  <c r="C371" i="6" s="1"/>
  <c r="D371" i="6" s="1"/>
  <c r="A370" i="6"/>
  <c r="F370" i="6" s="1"/>
  <c r="A369" i="6"/>
  <c r="A368" i="6"/>
  <c r="F367" i="6"/>
  <c r="A367" i="6"/>
  <c r="B367" i="6" s="1"/>
  <c r="F366" i="6"/>
  <c r="B366" i="6"/>
  <c r="A366" i="6"/>
  <c r="B365" i="6"/>
  <c r="A365" i="6"/>
  <c r="F365" i="6" s="1"/>
  <c r="A364" i="6"/>
  <c r="A363" i="6"/>
  <c r="F363" i="6" s="1"/>
  <c r="F362" i="6"/>
  <c r="C362" i="6"/>
  <c r="D362" i="6" s="1"/>
  <c r="A362" i="6"/>
  <c r="B362" i="6" s="1"/>
  <c r="E374" i="6" s="1"/>
  <c r="B361" i="6"/>
  <c r="A361" i="6"/>
  <c r="F361" i="6" s="1"/>
  <c r="F360" i="6"/>
  <c r="A360" i="6"/>
  <c r="B360" i="6" s="1"/>
  <c r="F359" i="6"/>
  <c r="E359" i="6"/>
  <c r="A359" i="6"/>
  <c r="B359" i="6" s="1"/>
  <c r="A358" i="6"/>
  <c r="B357" i="6"/>
  <c r="A357" i="6"/>
  <c r="F357" i="6" s="1"/>
  <c r="I357" i="6" s="1"/>
  <c r="A356" i="6"/>
  <c r="F355" i="6"/>
  <c r="B355" i="6"/>
  <c r="A355" i="6"/>
  <c r="A354" i="6"/>
  <c r="A353" i="6"/>
  <c r="A352" i="6"/>
  <c r="B351" i="6"/>
  <c r="A351" i="6"/>
  <c r="F351" i="6" s="1"/>
  <c r="I351" i="6" s="1"/>
  <c r="F350" i="6"/>
  <c r="B350" i="6"/>
  <c r="A350" i="6"/>
  <c r="A349" i="6"/>
  <c r="A348" i="6"/>
  <c r="B348" i="6" s="1"/>
  <c r="F347" i="6"/>
  <c r="A347" i="6"/>
  <c r="B347" i="6" s="1"/>
  <c r="A346" i="6"/>
  <c r="B345" i="6"/>
  <c r="A345" i="6"/>
  <c r="F345" i="6" s="1"/>
  <c r="A344" i="6"/>
  <c r="F343" i="6"/>
  <c r="I355" i="6" s="1"/>
  <c r="B343" i="6"/>
  <c r="A343" i="6"/>
  <c r="A342" i="6"/>
  <c r="F342" i="6" s="1"/>
  <c r="B341" i="6"/>
  <c r="A341" i="6"/>
  <c r="F341" i="6" s="1"/>
  <c r="F340" i="6"/>
  <c r="E340" i="6"/>
  <c r="A340" i="6"/>
  <c r="B340" i="6" s="1"/>
  <c r="F339" i="6"/>
  <c r="B339" i="6"/>
  <c r="A339" i="6"/>
  <c r="B338" i="6"/>
  <c r="A338" i="6"/>
  <c r="F338" i="6" s="1"/>
  <c r="B337" i="6"/>
  <c r="A337" i="6"/>
  <c r="F337" i="6" s="1"/>
  <c r="F336" i="6"/>
  <c r="E336" i="6"/>
  <c r="A336" i="6"/>
  <c r="B336" i="6" s="1"/>
  <c r="A335" i="6"/>
  <c r="F334" i="6"/>
  <c r="B334" i="6"/>
  <c r="A334" i="6"/>
  <c r="A333" i="6"/>
  <c r="F332" i="6"/>
  <c r="G332" i="6" s="1"/>
  <c r="H332" i="6" s="1"/>
  <c r="A332" i="6"/>
  <c r="B332" i="6" s="1"/>
  <c r="A331" i="6"/>
  <c r="F331" i="6" s="1"/>
  <c r="B330" i="6"/>
  <c r="C330" i="6" s="1"/>
  <c r="D330" i="6" s="1"/>
  <c r="A330" i="6"/>
  <c r="F330" i="6" s="1"/>
  <c r="B329" i="6"/>
  <c r="E341" i="6" s="1"/>
  <c r="A329" i="6"/>
  <c r="F329" i="6" s="1"/>
  <c r="G329" i="6" s="1"/>
  <c r="H329" i="6" s="1"/>
  <c r="F328" i="6"/>
  <c r="E328" i="6"/>
  <c r="A328" i="6"/>
  <c r="B328" i="6" s="1"/>
  <c r="F327" i="6"/>
  <c r="G328" i="6" s="1"/>
  <c r="H328" i="6" s="1"/>
  <c r="B327" i="6"/>
  <c r="A327" i="6"/>
  <c r="A326" i="6"/>
  <c r="A325" i="6"/>
  <c r="F324" i="6"/>
  <c r="A324" i="6"/>
  <c r="B324" i="6" s="1"/>
  <c r="A323" i="6"/>
  <c r="B323" i="6" s="1"/>
  <c r="A322" i="6"/>
  <c r="B321" i="6"/>
  <c r="A321" i="6"/>
  <c r="F321" i="6" s="1"/>
  <c r="F320" i="6"/>
  <c r="A320" i="6"/>
  <c r="B320" i="6" s="1"/>
  <c r="A319" i="6"/>
  <c r="F319" i="6" s="1"/>
  <c r="A318" i="6"/>
  <c r="F318" i="6" s="1"/>
  <c r="I330" i="6" s="1"/>
  <c r="A317" i="6"/>
  <c r="F317" i="6" s="1"/>
  <c r="F316" i="6"/>
  <c r="A316" i="6"/>
  <c r="B316" i="6" s="1"/>
  <c r="F315" i="6"/>
  <c r="B315" i="6"/>
  <c r="A315" i="6"/>
  <c r="B314" i="6"/>
  <c r="A314" i="6"/>
  <c r="F314" i="6" s="1"/>
  <c r="A313" i="6"/>
  <c r="F312" i="6"/>
  <c r="A312" i="6"/>
  <c r="B312" i="6" s="1"/>
  <c r="E324" i="6" s="1"/>
  <c r="A311" i="6"/>
  <c r="F310" i="6"/>
  <c r="I310" i="6" s="1"/>
  <c r="E310" i="6"/>
  <c r="B310" i="6"/>
  <c r="A310" i="6"/>
  <c r="F309" i="6"/>
  <c r="B309" i="6"/>
  <c r="A309" i="6"/>
  <c r="A308" i="6"/>
  <c r="F308" i="6" s="1"/>
  <c r="B307" i="6"/>
  <c r="A307" i="6"/>
  <c r="F307" i="6" s="1"/>
  <c r="F306" i="6"/>
  <c r="B306" i="6"/>
  <c r="A306" i="6"/>
  <c r="F305" i="6"/>
  <c r="A305" i="6"/>
  <c r="B305" i="6" s="1"/>
  <c r="F304" i="6"/>
  <c r="B304" i="6"/>
  <c r="A304" i="6"/>
  <c r="F303" i="6"/>
  <c r="B303" i="6"/>
  <c r="A303" i="6"/>
  <c r="F302" i="6"/>
  <c r="D302" i="6"/>
  <c r="C302" i="6"/>
  <c r="B302" i="6"/>
  <c r="A302" i="6"/>
  <c r="F301" i="6"/>
  <c r="G301" i="6" s="1"/>
  <c r="H301" i="6" s="1"/>
  <c r="E301" i="6"/>
  <c r="A301" i="6"/>
  <c r="B301" i="6" s="1"/>
  <c r="F300" i="6"/>
  <c r="A300" i="6"/>
  <c r="B300" i="6" s="1"/>
  <c r="F299" i="6"/>
  <c r="C299" i="6"/>
  <c r="D299" i="6" s="1"/>
  <c r="B299" i="6"/>
  <c r="A299" i="6"/>
  <c r="F298" i="6"/>
  <c r="C298" i="6"/>
  <c r="D298" i="6" s="1"/>
  <c r="B298" i="6"/>
  <c r="A298" i="6"/>
  <c r="F297" i="6"/>
  <c r="C297" i="6"/>
  <c r="D297" i="6" s="1"/>
  <c r="A297" i="6"/>
  <c r="B297" i="6" s="1"/>
  <c r="F296" i="6"/>
  <c r="E296" i="6"/>
  <c r="B296" i="6"/>
  <c r="A296" i="6"/>
  <c r="A295" i="6"/>
  <c r="F295" i="6" s="1"/>
  <c r="I307" i="6" s="1"/>
  <c r="A294" i="6"/>
  <c r="A293" i="6"/>
  <c r="B293" i="6" s="1"/>
  <c r="F292" i="6"/>
  <c r="A292" i="6"/>
  <c r="B292" i="6" s="1"/>
  <c r="F291" i="6"/>
  <c r="A291" i="6"/>
  <c r="B291" i="6" s="1"/>
  <c r="A290" i="6"/>
  <c r="F290" i="6" s="1"/>
  <c r="F289" i="6"/>
  <c r="D289" i="6"/>
  <c r="B289" i="6"/>
  <c r="C289" i="6" s="1"/>
  <c r="A289" i="6"/>
  <c r="F288" i="6"/>
  <c r="E288" i="6"/>
  <c r="A288" i="6"/>
  <c r="B288" i="6" s="1"/>
  <c r="A287" i="6"/>
  <c r="B286" i="6"/>
  <c r="A286" i="6"/>
  <c r="F286" i="6" s="1"/>
  <c r="F285" i="6"/>
  <c r="B285" i="6"/>
  <c r="A285" i="6"/>
  <c r="F284" i="6"/>
  <c r="I296" i="6" s="1"/>
  <c r="A284" i="6"/>
  <c r="B284" i="6" s="1"/>
  <c r="F283" i="6"/>
  <c r="G283" i="6" s="1"/>
  <c r="H283" i="6" s="1"/>
  <c r="E283" i="6"/>
  <c r="B283" i="6"/>
  <c r="A283" i="6"/>
  <c r="C282" i="6"/>
  <c r="D282" i="6" s="1"/>
  <c r="B282" i="6"/>
  <c r="A282" i="6"/>
  <c r="F282" i="6" s="1"/>
  <c r="F281" i="6"/>
  <c r="B281" i="6"/>
  <c r="A281" i="6"/>
  <c r="A280" i="6"/>
  <c r="B280" i="6" s="1"/>
  <c r="B279" i="6"/>
  <c r="A279" i="6"/>
  <c r="F279" i="6" s="1"/>
  <c r="A278" i="6"/>
  <c r="A277" i="6"/>
  <c r="B277" i="6" s="1"/>
  <c r="F276" i="6"/>
  <c r="A276" i="6"/>
  <c r="B276" i="6" s="1"/>
  <c r="F275" i="6"/>
  <c r="A275" i="6"/>
  <c r="B275" i="6" s="1"/>
  <c r="B274" i="6"/>
  <c r="A274" i="6"/>
  <c r="F274" i="6" s="1"/>
  <c r="F273" i="6"/>
  <c r="B273" i="6"/>
  <c r="A273" i="6"/>
  <c r="F272" i="6"/>
  <c r="A272" i="6"/>
  <c r="B272" i="6" s="1"/>
  <c r="E284" i="6" s="1"/>
  <c r="F271" i="6"/>
  <c r="C271" i="6"/>
  <c r="D271" i="6" s="1"/>
  <c r="B271" i="6"/>
  <c r="A271" i="6"/>
  <c r="B270" i="6"/>
  <c r="E282" i="6" s="1"/>
  <c r="A270" i="6"/>
  <c r="F270" i="6" s="1"/>
  <c r="B269" i="6"/>
  <c r="A269" i="6"/>
  <c r="F269" i="6" s="1"/>
  <c r="F268" i="6"/>
  <c r="A268" i="6"/>
  <c r="B268" i="6" s="1"/>
  <c r="E280" i="6" s="1"/>
  <c r="B267" i="6"/>
  <c r="A267" i="6"/>
  <c r="F267" i="6" s="1"/>
  <c r="B266" i="6"/>
  <c r="A266" i="6"/>
  <c r="F266" i="6" s="1"/>
  <c r="F265" i="6"/>
  <c r="B265" i="6"/>
  <c r="A265" i="6"/>
  <c r="F264" i="6"/>
  <c r="E264" i="6"/>
  <c r="A264" i="6"/>
  <c r="B264" i="6" s="1"/>
  <c r="E276" i="6" s="1"/>
  <c r="B263" i="6"/>
  <c r="A263" i="6"/>
  <c r="F263" i="6" s="1"/>
  <c r="B262" i="6"/>
  <c r="E274" i="6" s="1"/>
  <c r="A262" i="6"/>
  <c r="F262" i="6" s="1"/>
  <c r="A261" i="6"/>
  <c r="A260" i="6"/>
  <c r="A259" i="6"/>
  <c r="A258" i="6"/>
  <c r="F257" i="6"/>
  <c r="B257" i="6"/>
  <c r="A257" i="6"/>
  <c r="A256" i="6"/>
  <c r="F255" i="6"/>
  <c r="A255" i="6"/>
  <c r="B255" i="6" s="1"/>
  <c r="A254" i="6"/>
  <c r="F253" i="6"/>
  <c r="I265" i="6" s="1"/>
  <c r="B253" i="6"/>
  <c r="A253" i="6"/>
  <c r="F252" i="6"/>
  <c r="G252" i="6" s="1"/>
  <c r="H252" i="6" s="1"/>
  <c r="A252" i="6"/>
  <c r="B252" i="6" s="1"/>
  <c r="F251" i="6"/>
  <c r="C251" i="6"/>
  <c r="D251" i="6" s="1"/>
  <c r="B251" i="6"/>
  <c r="A251" i="6"/>
  <c r="D250" i="6"/>
  <c r="C250" i="6"/>
  <c r="B250" i="6"/>
  <c r="A250" i="6"/>
  <c r="F250" i="6" s="1"/>
  <c r="F249" i="6"/>
  <c r="B249" i="6"/>
  <c r="A249" i="6"/>
  <c r="F248" i="6"/>
  <c r="A248" i="6"/>
  <c r="B248" i="6" s="1"/>
  <c r="F247" i="6"/>
  <c r="G247" i="6" s="1"/>
  <c r="H247" i="6" s="1"/>
  <c r="B247" i="6"/>
  <c r="C247" i="6" s="1"/>
  <c r="D247" i="6" s="1"/>
  <c r="A247" i="6"/>
  <c r="B246" i="6"/>
  <c r="A246" i="6"/>
  <c r="F246" i="6" s="1"/>
  <c r="F245" i="6"/>
  <c r="A245" i="6"/>
  <c r="B245" i="6" s="1"/>
  <c r="E244" i="6"/>
  <c r="A244" i="6"/>
  <c r="B244" i="6" s="1"/>
  <c r="F243" i="6"/>
  <c r="E243" i="6"/>
  <c r="B243" i="6"/>
  <c r="C244" i="6" s="1"/>
  <c r="D244" i="6" s="1"/>
  <c r="A243" i="6"/>
  <c r="B242" i="6"/>
  <c r="A242" i="6"/>
  <c r="F242" i="6" s="1"/>
  <c r="F241" i="6"/>
  <c r="I253" i="6" s="1"/>
  <c r="B241" i="6"/>
  <c r="C242" i="6" s="1"/>
  <c r="D242" i="6" s="1"/>
  <c r="A241" i="6"/>
  <c r="A240" i="6"/>
  <c r="B240" i="6" s="1"/>
  <c r="C240" i="6" s="1"/>
  <c r="D240" i="6" s="1"/>
  <c r="F239" i="6"/>
  <c r="G239" i="6" s="1"/>
  <c r="H239" i="6" s="1"/>
  <c r="A239" i="6"/>
  <c r="B239" i="6" s="1"/>
  <c r="B238" i="6"/>
  <c r="A238" i="6"/>
  <c r="F238" i="6" s="1"/>
  <c r="F237" i="6"/>
  <c r="A237" i="6"/>
  <c r="B237" i="6" s="1"/>
  <c r="A236" i="6"/>
  <c r="A235" i="6"/>
  <c r="B235" i="6" s="1"/>
  <c r="B234" i="6"/>
  <c r="A234" i="6"/>
  <c r="F234" i="6" s="1"/>
  <c r="F233" i="6"/>
  <c r="B233" i="6"/>
  <c r="A233" i="6"/>
  <c r="F232" i="6"/>
  <c r="G233" i="6" s="1"/>
  <c r="H233" i="6" s="1"/>
  <c r="E232" i="6"/>
  <c r="D232" i="6"/>
  <c r="A232" i="6"/>
  <c r="B232" i="6" s="1"/>
  <c r="C232" i="6" s="1"/>
  <c r="B231" i="6"/>
  <c r="A231" i="6"/>
  <c r="F231" i="6" s="1"/>
  <c r="A230" i="6"/>
  <c r="B229" i="6"/>
  <c r="A229" i="6"/>
  <c r="F229" i="6" s="1"/>
  <c r="A228" i="6"/>
  <c r="E227" i="6"/>
  <c r="B227" i="6"/>
  <c r="A227" i="6"/>
  <c r="F227" i="6" s="1"/>
  <c r="B226" i="6"/>
  <c r="C227" i="6" s="1"/>
  <c r="D227" i="6" s="1"/>
  <c r="A226" i="6"/>
  <c r="F226" i="6" s="1"/>
  <c r="F225" i="6"/>
  <c r="B225" i="6"/>
  <c r="A225" i="6"/>
  <c r="F224" i="6"/>
  <c r="E224" i="6"/>
  <c r="A224" i="6"/>
  <c r="B224" i="6" s="1"/>
  <c r="B223" i="6"/>
  <c r="A223" i="6"/>
  <c r="F223" i="6" s="1"/>
  <c r="A222" i="6"/>
  <c r="F222" i="6" s="1"/>
  <c r="G222" i="6" s="1"/>
  <c r="H222" i="6" s="1"/>
  <c r="B221" i="6"/>
  <c r="A221" i="6"/>
  <c r="F221" i="6" s="1"/>
  <c r="F220" i="6"/>
  <c r="A220" i="6"/>
  <c r="B220" i="6" s="1"/>
  <c r="A219" i="6"/>
  <c r="F219" i="6" s="1"/>
  <c r="A218" i="6"/>
  <c r="F217" i="6"/>
  <c r="B217" i="6"/>
  <c r="A217" i="6"/>
  <c r="C216" i="6"/>
  <c r="D216" i="6" s="1"/>
  <c r="A216" i="6"/>
  <c r="B216" i="6" s="1"/>
  <c r="F215" i="6"/>
  <c r="B215" i="6"/>
  <c r="A215" i="6"/>
  <c r="A214" i="6"/>
  <c r="F214" i="6" s="1"/>
  <c r="A213" i="6"/>
  <c r="A212" i="6"/>
  <c r="B212" i="6" s="1"/>
  <c r="E212" i="6" s="1"/>
  <c r="A211" i="6"/>
  <c r="A210" i="6"/>
  <c r="F210" i="6" s="1"/>
  <c r="B209" i="6"/>
  <c r="A209" i="6"/>
  <c r="F209" i="6" s="1"/>
  <c r="D208" i="6"/>
  <c r="C208" i="6"/>
  <c r="A208" i="6"/>
  <c r="B208" i="6" s="1"/>
  <c r="E220" i="6" s="1"/>
  <c r="F207" i="6"/>
  <c r="D207" i="6"/>
  <c r="B207" i="6"/>
  <c r="A207" i="6"/>
  <c r="B206" i="6"/>
  <c r="C207" i="6" s="1"/>
  <c r="A206" i="6"/>
  <c r="F206" i="6" s="1"/>
  <c r="A205" i="6"/>
  <c r="F204" i="6"/>
  <c r="E204" i="6"/>
  <c r="A204" i="6"/>
  <c r="B204" i="6" s="1"/>
  <c r="E216" i="6" s="1"/>
  <c r="A203" i="6"/>
  <c r="A202" i="6"/>
  <c r="F202" i="6" s="1"/>
  <c r="A201" i="6"/>
  <c r="F201" i="6" s="1"/>
  <c r="C200" i="6"/>
  <c r="D200" i="6" s="1"/>
  <c r="A200" i="6"/>
  <c r="B200" i="6" s="1"/>
  <c r="F199" i="6"/>
  <c r="G199" i="6" s="1"/>
  <c r="H199" i="6" s="1"/>
  <c r="B199" i="6"/>
  <c r="A199" i="6"/>
  <c r="A198" i="6"/>
  <c r="F198" i="6" s="1"/>
  <c r="A197" i="6"/>
  <c r="A196" i="6"/>
  <c r="B196" i="6" s="1"/>
  <c r="E208" i="6" s="1"/>
  <c r="A195" i="6"/>
  <c r="I194" i="6"/>
  <c r="A194" i="6"/>
  <c r="F194" i="6" s="1"/>
  <c r="B193" i="6"/>
  <c r="A193" i="6"/>
  <c r="F193" i="6" s="1"/>
  <c r="D192" i="6"/>
  <c r="C192" i="6"/>
  <c r="A192" i="6"/>
  <c r="B192" i="6" s="1"/>
  <c r="F191" i="6"/>
  <c r="B191" i="6"/>
  <c r="A191" i="6"/>
  <c r="B190" i="6"/>
  <c r="A190" i="6"/>
  <c r="F190" i="6" s="1"/>
  <c r="I202" i="6" s="1"/>
  <c r="A189" i="6"/>
  <c r="A188" i="6"/>
  <c r="B188" i="6" s="1"/>
  <c r="E200" i="6" s="1"/>
  <c r="A187" i="6"/>
  <c r="A186" i="6"/>
  <c r="F186" i="6" s="1"/>
  <c r="A185" i="6"/>
  <c r="F185" i="6" s="1"/>
  <c r="A184" i="6"/>
  <c r="F183" i="6"/>
  <c r="G183" i="6" s="1"/>
  <c r="H183" i="6" s="1"/>
  <c r="E183" i="6"/>
  <c r="B183" i="6"/>
  <c r="A183" i="6"/>
  <c r="B182" i="6"/>
  <c r="A182" i="6"/>
  <c r="F182" i="6" s="1"/>
  <c r="A181" i="6"/>
  <c r="A180" i="6"/>
  <c r="B180" i="6" s="1"/>
  <c r="E192" i="6" s="1"/>
  <c r="A179" i="6"/>
  <c r="A178" i="6"/>
  <c r="F178" i="6" s="1"/>
  <c r="B177" i="6"/>
  <c r="A177" i="6"/>
  <c r="F177" i="6" s="1"/>
  <c r="A176" i="6"/>
  <c r="F175" i="6"/>
  <c r="G175" i="6" s="1"/>
  <c r="H175" i="6" s="1"/>
  <c r="E175" i="6"/>
  <c r="A175" i="6"/>
  <c r="B175" i="6" s="1"/>
  <c r="F174" i="6"/>
  <c r="G174" i="6" s="1"/>
  <c r="H174" i="6" s="1"/>
  <c r="B174" i="6"/>
  <c r="C174" i="6" s="1"/>
  <c r="D174" i="6" s="1"/>
  <c r="A174" i="6"/>
  <c r="F173" i="6"/>
  <c r="I173" i="6" s="1"/>
  <c r="B173" i="6"/>
  <c r="A173" i="6"/>
  <c r="F172" i="6"/>
  <c r="A172" i="6"/>
  <c r="B172" i="6" s="1"/>
  <c r="B171" i="6"/>
  <c r="A171" i="6"/>
  <c r="F171" i="6" s="1"/>
  <c r="A170" i="6"/>
  <c r="A169" i="6"/>
  <c r="B169" i="6" s="1"/>
  <c r="F168" i="6"/>
  <c r="A168" i="6"/>
  <c r="B168" i="6" s="1"/>
  <c r="E180" i="6" s="1"/>
  <c r="F167" i="6"/>
  <c r="A167" i="6"/>
  <c r="B167" i="6" s="1"/>
  <c r="F166" i="6"/>
  <c r="B166" i="6"/>
  <c r="C166" i="6" s="1"/>
  <c r="D166" i="6" s="1"/>
  <c r="A166" i="6"/>
  <c r="F165" i="6"/>
  <c r="B165" i="6"/>
  <c r="A165" i="6"/>
  <c r="F164" i="6"/>
  <c r="G164" i="6" s="1"/>
  <c r="H164" i="6" s="1"/>
  <c r="A164" i="6"/>
  <c r="B164" i="6" s="1"/>
  <c r="C163" i="6"/>
  <c r="D163" i="6" s="1"/>
  <c r="B163" i="6"/>
  <c r="A163" i="6"/>
  <c r="F163" i="6" s="1"/>
  <c r="F162" i="6"/>
  <c r="A162" i="6"/>
  <c r="B162" i="6" s="1"/>
  <c r="F161" i="6"/>
  <c r="E161" i="6"/>
  <c r="B161" i="6"/>
  <c r="A161" i="6"/>
  <c r="A160" i="6"/>
  <c r="B160" i="6" s="1"/>
  <c r="B159" i="6"/>
  <c r="E171" i="6" s="1"/>
  <c r="A159" i="6"/>
  <c r="F159" i="6" s="1"/>
  <c r="A158" i="6"/>
  <c r="B158" i="6" s="1"/>
  <c r="C158" i="6" s="1"/>
  <c r="D158" i="6" s="1"/>
  <c r="F157" i="6"/>
  <c r="I157" i="6" s="1"/>
  <c r="B157" i="6"/>
  <c r="E169" i="6" s="1"/>
  <c r="A157" i="6"/>
  <c r="A156" i="6"/>
  <c r="F156" i="6" s="1"/>
  <c r="C155" i="6"/>
  <c r="D155" i="6" s="1"/>
  <c r="B155" i="6"/>
  <c r="E167" i="6" s="1"/>
  <c r="A155" i="6"/>
  <c r="F155" i="6" s="1"/>
  <c r="A154" i="6"/>
  <c r="B154" i="6" s="1"/>
  <c r="F153" i="6"/>
  <c r="E153" i="6"/>
  <c r="B153" i="6"/>
  <c r="E165" i="6" s="1"/>
  <c r="A153" i="6"/>
  <c r="F152" i="6"/>
  <c r="A152" i="6"/>
  <c r="B152" i="6" s="1"/>
  <c r="D151" i="6"/>
  <c r="C151" i="6"/>
  <c r="B151" i="6"/>
  <c r="E163" i="6" s="1"/>
  <c r="A151" i="6"/>
  <c r="F151" i="6" s="1"/>
  <c r="I163" i="6" s="1"/>
  <c r="F150" i="6"/>
  <c r="A150" i="6"/>
  <c r="B150" i="6" s="1"/>
  <c r="C150" i="6" s="1"/>
  <c r="D150" i="6" s="1"/>
  <c r="F149" i="6"/>
  <c r="B149" i="6"/>
  <c r="A149" i="6"/>
  <c r="A148" i="6"/>
  <c r="B147" i="6"/>
  <c r="E159" i="6" s="1"/>
  <c r="A147" i="6"/>
  <c r="F147" i="6" s="1"/>
  <c r="A146" i="6"/>
  <c r="F145" i="6"/>
  <c r="C145" i="6"/>
  <c r="D145" i="6" s="1"/>
  <c r="B145" i="6"/>
  <c r="E145" i="6" s="1"/>
  <c r="A145" i="6"/>
  <c r="C144" i="6"/>
  <c r="D144" i="6" s="1"/>
  <c r="B144" i="6"/>
  <c r="A144" i="6"/>
  <c r="F144" i="6" s="1"/>
  <c r="C143" i="6"/>
  <c r="D143" i="6" s="1"/>
  <c r="B143" i="6"/>
  <c r="A143" i="6"/>
  <c r="F143" i="6" s="1"/>
  <c r="F142" i="6"/>
  <c r="E142" i="6"/>
  <c r="A142" i="6"/>
  <c r="B142" i="6" s="1"/>
  <c r="C142" i="6" s="1"/>
  <c r="D142" i="6" s="1"/>
  <c r="F141" i="6"/>
  <c r="B141" i="6"/>
  <c r="A141" i="6"/>
  <c r="F140" i="6"/>
  <c r="A140" i="6"/>
  <c r="B140" i="6" s="1"/>
  <c r="F139" i="6"/>
  <c r="B139" i="6"/>
  <c r="E151" i="6" s="1"/>
  <c r="A139" i="6"/>
  <c r="A138" i="6"/>
  <c r="B138" i="6" s="1"/>
  <c r="E150" i="6" s="1"/>
  <c r="F137" i="6"/>
  <c r="B137" i="6"/>
  <c r="A137" i="6"/>
  <c r="B136" i="6"/>
  <c r="C136" i="6" s="1"/>
  <c r="D136" i="6" s="1"/>
  <c r="A136" i="6"/>
  <c r="F136" i="6" s="1"/>
  <c r="F135" i="6"/>
  <c r="B135" i="6"/>
  <c r="E147" i="6" s="1"/>
  <c r="A135" i="6"/>
  <c r="A134" i="6"/>
  <c r="F133" i="6"/>
  <c r="E133" i="6"/>
  <c r="B133" i="6"/>
  <c r="A133" i="6"/>
  <c r="F132" i="6"/>
  <c r="C132" i="6"/>
  <c r="D132" i="6" s="1"/>
  <c r="A132" i="6"/>
  <c r="B132" i="6" s="1"/>
  <c r="F131" i="6"/>
  <c r="I131" i="6" s="1"/>
  <c r="B131" i="6"/>
  <c r="A131" i="6"/>
  <c r="A130" i="6"/>
  <c r="B130" i="6" s="1"/>
  <c r="F129" i="6"/>
  <c r="B129" i="6"/>
  <c r="C129" i="6" s="1"/>
  <c r="D129" i="6" s="1"/>
  <c r="A129" i="6"/>
  <c r="B128" i="6"/>
  <c r="A128" i="6"/>
  <c r="F128" i="6" s="1"/>
  <c r="F127" i="6"/>
  <c r="I127" i="6" s="1"/>
  <c r="C127" i="6"/>
  <c r="D127" i="6" s="1"/>
  <c r="B127" i="6"/>
  <c r="E139" i="6" s="1"/>
  <c r="A127" i="6"/>
  <c r="F126" i="6"/>
  <c r="E126" i="6"/>
  <c r="A126" i="6"/>
  <c r="B126" i="6" s="1"/>
  <c r="C126" i="6" s="1"/>
  <c r="D126" i="6" s="1"/>
  <c r="F125" i="6"/>
  <c r="C125" i="6"/>
  <c r="D125" i="6" s="1"/>
  <c r="B125" i="6"/>
  <c r="A125" i="6"/>
  <c r="F124" i="6"/>
  <c r="A124" i="6"/>
  <c r="B124" i="6" s="1"/>
  <c r="F123" i="6"/>
  <c r="I123" i="6" s="1"/>
  <c r="B123" i="6"/>
  <c r="A123" i="6"/>
  <c r="A122" i="6"/>
  <c r="B122" i="6" s="1"/>
  <c r="F121" i="6"/>
  <c r="B121" i="6"/>
  <c r="C121" i="6" s="1"/>
  <c r="D121" i="6" s="1"/>
  <c r="A121" i="6"/>
  <c r="B120" i="6"/>
  <c r="C120" i="6" s="1"/>
  <c r="D120" i="6" s="1"/>
  <c r="A120" i="6"/>
  <c r="F120" i="6" s="1"/>
  <c r="F119" i="6"/>
  <c r="B119" i="6"/>
  <c r="E131" i="6" s="1"/>
  <c r="A119" i="6"/>
  <c r="A118" i="6"/>
  <c r="B118" i="6" s="1"/>
  <c r="C119" i="6" s="1"/>
  <c r="D119" i="6" s="1"/>
  <c r="F117" i="6"/>
  <c r="I129" i="6" s="1"/>
  <c r="B117" i="6"/>
  <c r="E129" i="6" s="1"/>
  <c r="A117" i="6"/>
  <c r="F116" i="6"/>
  <c r="C116" i="6"/>
  <c r="D116" i="6" s="1"/>
  <c r="A116" i="6"/>
  <c r="B116" i="6" s="1"/>
  <c r="F115" i="6"/>
  <c r="B115" i="6"/>
  <c r="A115" i="6"/>
  <c r="A114" i="6"/>
  <c r="B114" i="6" s="1"/>
  <c r="F113" i="6"/>
  <c r="B113" i="6"/>
  <c r="A113" i="6"/>
  <c r="G112" i="6"/>
  <c r="H112" i="6" s="1"/>
  <c r="B112" i="6"/>
  <c r="A112" i="6"/>
  <c r="F112" i="6" s="1"/>
  <c r="F111" i="6"/>
  <c r="C111" i="6"/>
  <c r="D111" i="6" s="1"/>
  <c r="B111" i="6"/>
  <c r="E123" i="6" s="1"/>
  <c r="A111" i="6"/>
  <c r="F110" i="6"/>
  <c r="E110" i="6"/>
  <c r="A110" i="6"/>
  <c r="B110" i="6" s="1"/>
  <c r="C110" i="6" s="1"/>
  <c r="D110" i="6" s="1"/>
  <c r="F109" i="6"/>
  <c r="B109" i="6"/>
  <c r="E121" i="6" s="1"/>
  <c r="A109" i="6"/>
  <c r="F108" i="6"/>
  <c r="A108" i="6"/>
  <c r="B108" i="6" s="1"/>
  <c r="C109" i="6" s="1"/>
  <c r="D109" i="6" s="1"/>
  <c r="F107" i="6"/>
  <c r="B107" i="6"/>
  <c r="A107" i="6"/>
  <c r="A106" i="6"/>
  <c r="B106" i="6" s="1"/>
  <c r="E118" i="6" s="1"/>
  <c r="F105" i="6"/>
  <c r="B105" i="6"/>
  <c r="E117" i="6" s="1"/>
  <c r="A105" i="6"/>
  <c r="B104" i="6"/>
  <c r="A104" i="6"/>
  <c r="F104" i="6" s="1"/>
  <c r="F103" i="6"/>
  <c r="I115" i="6" s="1"/>
  <c r="C103" i="6"/>
  <c r="D103" i="6" s="1"/>
  <c r="B103" i="6"/>
  <c r="E115" i="6" s="1"/>
  <c r="A103" i="6"/>
  <c r="F102" i="6"/>
  <c r="A102" i="6"/>
  <c r="B102" i="6" s="1"/>
  <c r="A101" i="6"/>
  <c r="B100" i="6"/>
  <c r="A100" i="6"/>
  <c r="F100" i="6" s="1"/>
  <c r="F99" i="6"/>
  <c r="G99" i="6" s="1"/>
  <c r="H99" i="6" s="1"/>
  <c r="B99" i="6"/>
  <c r="A99" i="6"/>
  <c r="F98" i="6"/>
  <c r="I110" i="6" s="1"/>
  <c r="A98" i="6"/>
  <c r="B98" i="6" s="1"/>
  <c r="F97" i="6"/>
  <c r="B97" i="6"/>
  <c r="E109" i="6" s="1"/>
  <c r="A97" i="6"/>
  <c r="A96" i="6"/>
  <c r="F95" i="6"/>
  <c r="B95" i="6"/>
  <c r="A95" i="6"/>
  <c r="A94" i="6"/>
  <c r="B94" i="6" s="1"/>
  <c r="A93" i="6"/>
  <c r="E92" i="6"/>
  <c r="C92" i="6"/>
  <c r="D92" i="6" s="1"/>
  <c r="B92" i="6"/>
  <c r="A92" i="6"/>
  <c r="F92" i="6" s="1"/>
  <c r="F91" i="6"/>
  <c r="B91" i="6"/>
  <c r="A91" i="6"/>
  <c r="C90" i="6"/>
  <c r="D90" i="6" s="1"/>
  <c r="A90" i="6"/>
  <c r="B90" i="6" s="1"/>
  <c r="E102" i="6" s="1"/>
  <c r="F89" i="6"/>
  <c r="B89" i="6"/>
  <c r="A89" i="6"/>
  <c r="F88" i="6"/>
  <c r="C88" i="6"/>
  <c r="D88" i="6" s="1"/>
  <c r="A88" i="6"/>
  <c r="B88" i="6" s="1"/>
  <c r="F87" i="6"/>
  <c r="B87" i="6"/>
  <c r="A87" i="6"/>
  <c r="A86" i="6"/>
  <c r="B86" i="6" s="1"/>
  <c r="E98" i="6" s="1"/>
  <c r="F85" i="6"/>
  <c r="A85" i="6"/>
  <c r="B85" i="6" s="1"/>
  <c r="F84" i="6"/>
  <c r="A84" i="6"/>
  <c r="B84" i="6" s="1"/>
  <c r="F83" i="6"/>
  <c r="I95" i="6" s="1"/>
  <c r="B83" i="6"/>
  <c r="A83" i="6"/>
  <c r="F82" i="6"/>
  <c r="A82" i="6"/>
  <c r="B82" i="6" s="1"/>
  <c r="E94" i="6" s="1"/>
  <c r="F81" i="6"/>
  <c r="A81" i="6"/>
  <c r="B81" i="6" s="1"/>
  <c r="A80" i="6"/>
  <c r="B80" i="6" s="1"/>
  <c r="C80" i="6" s="1"/>
  <c r="D80" i="6" s="1"/>
  <c r="F79" i="6"/>
  <c r="C79" i="6"/>
  <c r="D79" i="6" s="1"/>
  <c r="B79" i="6"/>
  <c r="E91" i="6" s="1"/>
  <c r="A79" i="6"/>
  <c r="F78" i="6"/>
  <c r="A78" i="6"/>
  <c r="B78" i="6" s="1"/>
  <c r="A77" i="6"/>
  <c r="B76" i="6"/>
  <c r="A76" i="6"/>
  <c r="F76" i="6" s="1"/>
  <c r="F75" i="6"/>
  <c r="D75" i="6"/>
  <c r="C75" i="6"/>
  <c r="B75" i="6"/>
  <c r="E87" i="6" s="1"/>
  <c r="A75" i="6"/>
  <c r="F74" i="6"/>
  <c r="A74" i="6"/>
  <c r="B74" i="6" s="1"/>
  <c r="E86" i="6" s="1"/>
  <c r="F73" i="6"/>
  <c r="B73" i="6"/>
  <c r="E85" i="6" s="1"/>
  <c r="A73" i="6"/>
  <c r="C72" i="6"/>
  <c r="D72" i="6" s="1"/>
  <c r="B72" i="6"/>
  <c r="A72" i="6"/>
  <c r="F72" i="6" s="1"/>
  <c r="I72" i="6" s="1"/>
  <c r="F71" i="6"/>
  <c r="B71" i="6"/>
  <c r="A71" i="6"/>
  <c r="A70" i="6"/>
  <c r="C69" i="6"/>
  <c r="D69" i="6" s="1"/>
  <c r="B69" i="6"/>
  <c r="A69" i="6"/>
  <c r="F69" i="6" s="1"/>
  <c r="F68" i="6"/>
  <c r="B68" i="6"/>
  <c r="A68" i="6"/>
  <c r="F67" i="6"/>
  <c r="I79" i="6" s="1"/>
  <c r="B67" i="6"/>
  <c r="A67" i="6"/>
  <c r="C66" i="6"/>
  <c r="D66" i="6" s="1"/>
  <c r="A66" i="6"/>
  <c r="B66" i="6" s="1"/>
  <c r="E78" i="6" s="1"/>
  <c r="F65" i="6"/>
  <c r="B65" i="6"/>
  <c r="A65" i="6"/>
  <c r="F64" i="6"/>
  <c r="A64" i="6"/>
  <c r="B64" i="6" s="1"/>
  <c r="F63" i="6"/>
  <c r="B63" i="6"/>
  <c r="A63" i="6"/>
  <c r="A62" i="6"/>
  <c r="A61" i="6"/>
  <c r="B61" i="6" s="1"/>
  <c r="F60" i="6"/>
  <c r="B60" i="6"/>
  <c r="A60" i="6"/>
  <c r="F59" i="6"/>
  <c r="I71" i="6" s="1"/>
  <c r="B59" i="6"/>
  <c r="A59" i="6"/>
  <c r="C58" i="6"/>
  <c r="A58" i="6"/>
  <c r="B58" i="6" s="1"/>
  <c r="F57" i="6"/>
  <c r="B57" i="6"/>
  <c r="A57" i="6"/>
  <c r="A56" i="6"/>
  <c r="F55" i="6"/>
  <c r="C55" i="6"/>
  <c r="B55" i="6"/>
  <c r="E67" i="6" s="1"/>
  <c r="A55" i="6"/>
  <c r="F54" i="6"/>
  <c r="D54" i="6"/>
  <c r="A54" i="6"/>
  <c r="B54" i="6" s="1"/>
  <c r="C54" i="6" s="1"/>
  <c r="F53" i="6"/>
  <c r="A53" i="6"/>
  <c r="B53" i="6" s="1"/>
  <c r="B52" i="6"/>
  <c r="A52" i="6"/>
  <c r="F52" i="6" s="1"/>
  <c r="F51" i="6"/>
  <c r="B51" i="6"/>
  <c r="A51" i="6"/>
  <c r="F50" i="6"/>
  <c r="A50" i="6"/>
  <c r="B50" i="6" s="1"/>
  <c r="A49" i="6"/>
  <c r="F49" i="6" s="1"/>
  <c r="A48" i="6"/>
  <c r="F47" i="6"/>
  <c r="D47" i="6"/>
  <c r="B47" i="6"/>
  <c r="A47" i="6"/>
  <c r="A46" i="6"/>
  <c r="B46" i="6" s="1"/>
  <c r="A45" i="6"/>
  <c r="C44" i="6"/>
  <c r="B44" i="6"/>
  <c r="A44" i="6"/>
  <c r="F44" i="6" s="1"/>
  <c r="F43" i="6"/>
  <c r="D43" i="6"/>
  <c r="B43" i="6"/>
  <c r="D55" i="6" s="1"/>
  <c r="A43" i="6"/>
  <c r="D42" i="6"/>
  <c r="C42" i="6"/>
  <c r="A42" i="6"/>
  <c r="B42" i="6" s="1"/>
  <c r="E54" i="6" s="1"/>
  <c r="F41" i="6"/>
  <c r="C41" i="6"/>
  <c r="B41" i="6"/>
  <c r="D53" i="6" s="1"/>
  <c r="A41" i="6"/>
  <c r="F40" i="6"/>
  <c r="A40" i="6"/>
  <c r="B40" i="6" s="1"/>
  <c r="F39" i="6"/>
  <c r="I51" i="6" s="1"/>
  <c r="B39" i="6"/>
  <c r="A39" i="6"/>
  <c r="F38" i="6"/>
  <c r="D38" i="6"/>
  <c r="C38" i="6"/>
  <c r="B38" i="6"/>
  <c r="D50" i="6" s="1"/>
  <c r="A38" i="6"/>
  <c r="F37" i="6"/>
  <c r="B37" i="6"/>
  <c r="A37" i="6"/>
  <c r="B36" i="6"/>
  <c r="A36" i="6"/>
  <c r="F36" i="6" s="1"/>
  <c r="F35" i="6"/>
  <c r="B35" i="6"/>
  <c r="E47" i="6" s="1"/>
  <c r="A35" i="6"/>
  <c r="A34" i="6"/>
  <c r="F34" i="6" s="1"/>
  <c r="F33" i="6"/>
  <c r="B33" i="6"/>
  <c r="A33" i="6"/>
  <c r="F32" i="6"/>
  <c r="A32" i="6"/>
  <c r="B32" i="6" s="1"/>
  <c r="E44" i="6" s="1"/>
  <c r="F31" i="6"/>
  <c r="G32" i="6" s="1"/>
  <c r="H32" i="6" s="1"/>
  <c r="B31" i="6"/>
  <c r="E43" i="6" s="1"/>
  <c r="A31" i="6"/>
  <c r="F30" i="6"/>
  <c r="D30" i="6"/>
  <c r="B30" i="6"/>
  <c r="E42" i="6" s="1"/>
  <c r="A30" i="6"/>
  <c r="A29" i="6"/>
  <c r="F28" i="6"/>
  <c r="A28" i="6"/>
  <c r="B28" i="6" s="1"/>
  <c r="A27" i="6"/>
  <c r="F27" i="6" s="1"/>
  <c r="F26" i="6"/>
  <c r="D26" i="6"/>
  <c r="B26" i="6"/>
  <c r="A26" i="6"/>
  <c r="A25" i="6"/>
  <c r="F24" i="6"/>
  <c r="D24" i="6"/>
  <c r="A24" i="6"/>
  <c r="B24" i="6" s="1"/>
  <c r="A23" i="6"/>
  <c r="F23" i="6" s="1"/>
  <c r="G23" i="6" s="1"/>
  <c r="H23" i="6" s="1"/>
  <c r="F22" i="6"/>
  <c r="D22" i="6"/>
  <c r="B22" i="6"/>
  <c r="A22" i="6"/>
  <c r="A21" i="6"/>
  <c r="F20" i="6"/>
  <c r="A20" i="6"/>
  <c r="B20" i="6" s="1"/>
  <c r="A19" i="6"/>
  <c r="F19" i="6" s="1"/>
  <c r="F18" i="6"/>
  <c r="D18" i="6"/>
  <c r="B18" i="6"/>
  <c r="E30" i="6" s="1"/>
  <c r="A18" i="6"/>
  <c r="A17" i="6"/>
  <c r="F16" i="6"/>
  <c r="A16" i="6"/>
  <c r="B16" i="6" s="1"/>
  <c r="B15" i="6"/>
  <c r="A15" i="6"/>
  <c r="F15" i="6" s="1"/>
  <c r="F14" i="6"/>
  <c r="E14" i="6"/>
  <c r="D14" i="6"/>
  <c r="B14" i="6"/>
  <c r="E26" i="6" s="1"/>
  <c r="A14" i="6"/>
  <c r="A13" i="6"/>
  <c r="F13" i="6" s="1"/>
  <c r="I13" i="6" s="1"/>
  <c r="D12" i="6"/>
  <c r="A12" i="6"/>
  <c r="B12" i="6" s="1"/>
  <c r="A11" i="6"/>
  <c r="F11" i="6" s="1"/>
  <c r="F10" i="6"/>
  <c r="E10" i="6"/>
  <c r="D10" i="6"/>
  <c r="B10" i="6"/>
  <c r="E22" i="6" s="1"/>
  <c r="A10" i="6"/>
  <c r="B9" i="6"/>
  <c r="A9" i="6"/>
  <c r="F9" i="6" s="1"/>
  <c r="A8" i="6"/>
  <c r="B8" i="6" s="1"/>
  <c r="E20" i="6" s="1"/>
  <c r="A7" i="6"/>
  <c r="F7" i="6" s="1"/>
  <c r="I7" i="6" s="1"/>
  <c r="F6" i="6"/>
  <c r="E6" i="6"/>
  <c r="D6" i="6"/>
  <c r="B6" i="6"/>
  <c r="E18" i="6" s="1"/>
  <c r="A6" i="6"/>
  <c r="A5" i="6"/>
  <c r="F5" i="6" s="1"/>
  <c r="I5" i="6" s="1"/>
  <c r="F4" i="6"/>
  <c r="E4" i="6"/>
  <c r="D4" i="6"/>
  <c r="A4" i="6"/>
  <c r="B4" i="6" s="1"/>
  <c r="E16" i="6" s="1"/>
  <c r="A3" i="6"/>
  <c r="K2" i="6"/>
  <c r="L2" i="6" s="1"/>
  <c r="N2" i="6" s="1"/>
  <c r="Y155" i="5"/>
  <c r="X155" i="5"/>
  <c r="W155" i="5"/>
  <c r="V155" i="5"/>
  <c r="U155" i="5"/>
  <c r="T155" i="5"/>
  <c r="S155" i="5"/>
  <c r="R155" i="5"/>
  <c r="Q155" i="5"/>
  <c r="P155" i="5"/>
  <c r="O155" i="5"/>
  <c r="N155" i="5"/>
  <c r="M155" i="5"/>
  <c r="L155" i="5"/>
  <c r="K155" i="5"/>
  <c r="J155" i="5"/>
  <c r="I155" i="5"/>
  <c r="H155" i="5"/>
  <c r="G155" i="5"/>
  <c r="F155" i="5"/>
  <c r="E155" i="5"/>
  <c r="D155" i="5"/>
  <c r="C155" i="5"/>
  <c r="Y154" i="5"/>
  <c r="X154" i="5"/>
  <c r="W154" i="5"/>
  <c r="V154" i="5"/>
  <c r="U154" i="5"/>
  <c r="T154" i="5"/>
  <c r="S154" i="5"/>
  <c r="R154" i="5"/>
  <c r="Q154" i="5"/>
  <c r="P154" i="5"/>
  <c r="O154" i="5"/>
  <c r="N154" i="5"/>
  <c r="M154" i="5"/>
  <c r="L154" i="5"/>
  <c r="K154" i="5"/>
  <c r="J154" i="5"/>
  <c r="I154" i="5"/>
  <c r="H154" i="5"/>
  <c r="G154" i="5"/>
  <c r="F154" i="5"/>
  <c r="E154" i="5"/>
  <c r="D154" i="5"/>
  <c r="C154" i="5"/>
  <c r="Y153" i="5"/>
  <c r="X153" i="5"/>
  <c r="W153" i="5"/>
  <c r="V153" i="5"/>
  <c r="U153" i="5"/>
  <c r="T153" i="5"/>
  <c r="S153" i="5"/>
  <c r="R153" i="5"/>
  <c r="Q153" i="5"/>
  <c r="P153" i="5"/>
  <c r="O153" i="5"/>
  <c r="N153" i="5"/>
  <c r="M153" i="5"/>
  <c r="L153" i="5"/>
  <c r="K153" i="5"/>
  <c r="J153" i="5"/>
  <c r="I153" i="5"/>
  <c r="H153" i="5"/>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O4" i="5" s="1"/>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H4" i="5" s="1"/>
  <c r="G64" i="5"/>
  <c r="F64" i="5"/>
  <c r="E64" i="5"/>
  <c r="D64" i="5"/>
  <c r="C64" i="5"/>
  <c r="C4" i="5" s="1"/>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W6" i="5" s="1"/>
  <c r="W7" i="5" s="1"/>
  <c r="V61" i="5"/>
  <c r="U61" i="5"/>
  <c r="T61" i="5"/>
  <c r="S61" i="5"/>
  <c r="R61" i="5"/>
  <c r="Q61" i="5"/>
  <c r="P61" i="5"/>
  <c r="O61" i="5"/>
  <c r="N61" i="5"/>
  <c r="M61" i="5"/>
  <c r="L61" i="5"/>
  <c r="K61" i="5"/>
  <c r="J61" i="5"/>
  <c r="I61" i="5"/>
  <c r="H61" i="5"/>
  <c r="G61" i="5"/>
  <c r="F61" i="5"/>
  <c r="E61" i="5"/>
  <c r="D61" i="5"/>
  <c r="C61" i="5"/>
  <c r="AA60" i="5"/>
  <c r="Z60" i="5"/>
  <c r="Y60" i="5"/>
  <c r="X60" i="5"/>
  <c r="X6" i="5" s="1"/>
  <c r="X7" i="5" s="1"/>
  <c r="W60" i="5"/>
  <c r="V60" i="5"/>
  <c r="U60" i="5"/>
  <c r="T60" i="5"/>
  <c r="S60" i="5"/>
  <c r="R60" i="5"/>
  <c r="Q60" i="5"/>
  <c r="P60" i="5"/>
  <c r="O60" i="5"/>
  <c r="N60" i="5"/>
  <c r="M60" i="5"/>
  <c r="L60" i="5"/>
  <c r="L6" i="5" s="1"/>
  <c r="L7" i="5" s="1"/>
  <c r="K60" i="5"/>
  <c r="J60" i="5"/>
  <c r="I60" i="5"/>
  <c r="H60" i="5"/>
  <c r="G60" i="5"/>
  <c r="F60" i="5"/>
  <c r="E60" i="5"/>
  <c r="D60" i="5"/>
  <c r="C60" i="5"/>
  <c r="AA59" i="5"/>
  <c r="Z59" i="5"/>
  <c r="Y59" i="5"/>
  <c r="Y6" i="5" s="1"/>
  <c r="Y7" i="5" s="1"/>
  <c r="X59" i="5"/>
  <c r="X4" i="5" s="1"/>
  <c r="W59" i="5"/>
  <c r="W5" i="5" s="1"/>
  <c r="V59" i="5"/>
  <c r="V6" i="5" s="1"/>
  <c r="V7" i="5" s="1"/>
  <c r="U59" i="5"/>
  <c r="U6" i="5" s="1"/>
  <c r="U7" i="5" s="1"/>
  <c r="T59" i="5"/>
  <c r="T6" i="5" s="1"/>
  <c r="T7" i="5" s="1"/>
  <c r="S59" i="5"/>
  <c r="R59" i="5"/>
  <c r="Q59" i="5"/>
  <c r="P59" i="5"/>
  <c r="O59" i="5"/>
  <c r="N59" i="5"/>
  <c r="M59" i="5"/>
  <c r="M6" i="5" s="1"/>
  <c r="M7" i="5" s="1"/>
  <c r="L59" i="5"/>
  <c r="L5" i="5" s="1"/>
  <c r="K59" i="5"/>
  <c r="K6" i="5" s="1"/>
  <c r="K7" i="5" s="1"/>
  <c r="J59" i="5"/>
  <c r="J6" i="5" s="1"/>
  <c r="J7" i="5" s="1"/>
  <c r="I59" i="5"/>
  <c r="I6" i="5" s="1"/>
  <c r="I7" i="5" s="1"/>
  <c r="H59" i="5"/>
  <c r="H6" i="5" s="1"/>
  <c r="H7" i="5" s="1"/>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AA6" i="5"/>
  <c r="Z6" i="5"/>
  <c r="Z7" i="5" s="1"/>
  <c r="S6" i="5"/>
  <c r="S7" i="5" s="1"/>
  <c r="R6" i="5"/>
  <c r="R7" i="5" s="1"/>
  <c r="Q6" i="5"/>
  <c r="Q7" i="5" s="1"/>
  <c r="P6" i="5"/>
  <c r="P7" i="5" s="1"/>
  <c r="O6" i="5"/>
  <c r="O7" i="5" s="1"/>
  <c r="G6" i="5"/>
  <c r="G7" i="5" s="1"/>
  <c r="F6" i="5"/>
  <c r="F7" i="5" s="1"/>
  <c r="E6" i="5"/>
  <c r="E7" i="5" s="1"/>
  <c r="D6" i="5"/>
  <c r="D7" i="5" s="1"/>
  <c r="C6" i="5"/>
  <c r="C7" i="5" s="1"/>
  <c r="AA5" i="5"/>
  <c r="Z5" i="5"/>
  <c r="T5" i="5"/>
  <c r="S5" i="5"/>
  <c r="R5" i="5"/>
  <c r="Q5" i="5"/>
  <c r="P5" i="5"/>
  <c r="O5" i="5"/>
  <c r="H5" i="5"/>
  <c r="G5" i="5"/>
  <c r="F5" i="5"/>
  <c r="E5" i="5"/>
  <c r="D5" i="5"/>
  <c r="C5" i="5"/>
  <c r="AA4" i="5"/>
  <c r="Z4" i="5"/>
  <c r="U4" i="5"/>
  <c r="T4" i="5"/>
  <c r="S4" i="5"/>
  <c r="R4" i="5"/>
  <c r="Q4" i="5"/>
  <c r="P4" i="5"/>
  <c r="I4" i="5"/>
  <c r="G4" i="5"/>
  <c r="F4" i="5"/>
  <c r="E4" i="5"/>
  <c r="D4" i="5"/>
  <c r="Y155" i="4"/>
  <c r="X155" i="4"/>
  <c r="W155" i="4"/>
  <c r="V155" i="4"/>
  <c r="U155" i="4"/>
  <c r="T155" i="4"/>
  <c r="S155" i="4"/>
  <c r="R155" i="4"/>
  <c r="Q155" i="4"/>
  <c r="P155" i="4"/>
  <c r="O155" i="4"/>
  <c r="N155" i="4"/>
  <c r="M155" i="4"/>
  <c r="L155" i="4"/>
  <c r="K155" i="4"/>
  <c r="J155" i="4"/>
  <c r="I155" i="4"/>
  <c r="H155" i="4"/>
  <c r="G155" i="4"/>
  <c r="F155" i="4"/>
  <c r="E155" i="4"/>
  <c r="D155" i="4"/>
  <c r="C155" i="4"/>
  <c r="Y154" i="4"/>
  <c r="X154" i="4"/>
  <c r="W154" i="4"/>
  <c r="V154" i="4"/>
  <c r="U154" i="4"/>
  <c r="T154" i="4"/>
  <c r="S154" i="4"/>
  <c r="R154" i="4"/>
  <c r="Q154" i="4"/>
  <c r="P154" i="4"/>
  <c r="O154" i="4"/>
  <c r="N154" i="4"/>
  <c r="M154" i="4"/>
  <c r="L154" i="4"/>
  <c r="K154" i="4"/>
  <c r="J154" i="4"/>
  <c r="I154" i="4"/>
  <c r="H154" i="4"/>
  <c r="G154" i="4"/>
  <c r="F154" i="4"/>
  <c r="E154" i="4"/>
  <c r="D154" i="4"/>
  <c r="C154" i="4"/>
  <c r="Y153" i="4"/>
  <c r="X153" i="4"/>
  <c r="W153" i="4"/>
  <c r="V153" i="4"/>
  <c r="U153" i="4"/>
  <c r="T153" i="4"/>
  <c r="S153" i="4"/>
  <c r="R153" i="4"/>
  <c r="Q153" i="4"/>
  <c r="P153" i="4"/>
  <c r="O153" i="4"/>
  <c r="N153" i="4"/>
  <c r="M153" i="4"/>
  <c r="L153" i="4"/>
  <c r="K153" i="4"/>
  <c r="J153" i="4"/>
  <c r="I153" i="4"/>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R6" i="4" s="1"/>
  <c r="R7" i="4" s="1"/>
  <c r="Q66" i="4"/>
  <c r="P66" i="4"/>
  <c r="O66" i="4"/>
  <c r="N66" i="4"/>
  <c r="M66" i="4"/>
  <c r="L66" i="4"/>
  <c r="K66" i="4"/>
  <c r="J66" i="4"/>
  <c r="I66" i="4"/>
  <c r="H66" i="4"/>
  <c r="G66" i="4"/>
  <c r="F66" i="4"/>
  <c r="F6" i="4" s="1"/>
  <c r="F7" i="4" s="1"/>
  <c r="E66" i="4"/>
  <c r="D66" i="4"/>
  <c r="C66" i="4"/>
  <c r="AA65" i="4"/>
  <c r="Z65" i="4"/>
  <c r="Y65" i="4"/>
  <c r="X65" i="4"/>
  <c r="W65" i="4"/>
  <c r="V65" i="4"/>
  <c r="U65" i="4"/>
  <c r="T65" i="4"/>
  <c r="S65" i="4"/>
  <c r="S6" i="4" s="1"/>
  <c r="S7" i="4" s="1"/>
  <c r="R65" i="4"/>
  <c r="Q65" i="4"/>
  <c r="P65" i="4"/>
  <c r="O65" i="4"/>
  <c r="N65" i="4"/>
  <c r="M65" i="4"/>
  <c r="L65" i="4"/>
  <c r="K65" i="4"/>
  <c r="J65" i="4"/>
  <c r="I65" i="4"/>
  <c r="H65" i="4"/>
  <c r="G65" i="4"/>
  <c r="G6" i="4" s="1"/>
  <c r="G7" i="4" s="1"/>
  <c r="F65" i="4"/>
  <c r="E65" i="4"/>
  <c r="D65" i="4"/>
  <c r="C65" i="4"/>
  <c r="AA64" i="4"/>
  <c r="Z64" i="4"/>
  <c r="Y64" i="4"/>
  <c r="X64" i="4"/>
  <c r="W64" i="4"/>
  <c r="V64" i="4"/>
  <c r="U64" i="4"/>
  <c r="T64" i="4"/>
  <c r="T4" i="4" s="1"/>
  <c r="S64" i="4"/>
  <c r="R64" i="4"/>
  <c r="Q64" i="4"/>
  <c r="P64" i="4"/>
  <c r="O64" i="4"/>
  <c r="N64" i="4"/>
  <c r="M64" i="4"/>
  <c r="L64" i="4"/>
  <c r="K64" i="4"/>
  <c r="J64" i="4"/>
  <c r="I64" i="4"/>
  <c r="H64" i="4"/>
  <c r="H4" i="4" s="1"/>
  <c r="G64" i="4"/>
  <c r="F64" i="4"/>
  <c r="E64" i="4"/>
  <c r="D64" i="4"/>
  <c r="C64" i="4"/>
  <c r="AA63" i="4"/>
  <c r="Z63" i="4"/>
  <c r="Y63" i="4"/>
  <c r="X63" i="4"/>
  <c r="W63" i="4"/>
  <c r="V63" i="4"/>
  <c r="U63" i="4"/>
  <c r="T63" i="4"/>
  <c r="T6" i="4" s="1"/>
  <c r="T7" i="4" s="1"/>
  <c r="S63" i="4"/>
  <c r="R63" i="4"/>
  <c r="Q63" i="4"/>
  <c r="P63" i="4"/>
  <c r="O63" i="4"/>
  <c r="N63" i="4"/>
  <c r="M63" i="4"/>
  <c r="L63" i="4"/>
  <c r="K63" i="4"/>
  <c r="J63" i="4"/>
  <c r="I63" i="4"/>
  <c r="H63" i="4"/>
  <c r="H6" i="4" s="1"/>
  <c r="H7" i="4" s="1"/>
  <c r="G63" i="4"/>
  <c r="F63" i="4"/>
  <c r="E63" i="4"/>
  <c r="D63" i="4"/>
  <c r="C63" i="4"/>
  <c r="AA62" i="4"/>
  <c r="Z62" i="4"/>
  <c r="Y62" i="4"/>
  <c r="X62" i="4"/>
  <c r="W62" i="4"/>
  <c r="V62" i="4"/>
  <c r="U62" i="4"/>
  <c r="U6" i="4" s="1"/>
  <c r="U7" i="4" s="1"/>
  <c r="T62" i="4"/>
  <c r="S62" i="4"/>
  <c r="R62" i="4"/>
  <c r="Q62" i="4"/>
  <c r="P62" i="4"/>
  <c r="O62" i="4"/>
  <c r="N62" i="4"/>
  <c r="M62" i="4"/>
  <c r="L62" i="4"/>
  <c r="K62" i="4"/>
  <c r="J62" i="4"/>
  <c r="I62" i="4"/>
  <c r="I6" i="4" s="1"/>
  <c r="I7" i="4" s="1"/>
  <c r="H62" i="4"/>
  <c r="G62" i="4"/>
  <c r="F62" i="4"/>
  <c r="E62" i="4"/>
  <c r="D62" i="4"/>
  <c r="C62" i="4"/>
  <c r="AA61" i="4"/>
  <c r="Z61" i="4"/>
  <c r="Y61" i="4"/>
  <c r="X61" i="4"/>
  <c r="W61" i="4"/>
  <c r="V61" i="4"/>
  <c r="V5" i="4" s="1"/>
  <c r="U61" i="4"/>
  <c r="T61" i="4"/>
  <c r="S61" i="4"/>
  <c r="R61" i="4"/>
  <c r="Q61" i="4"/>
  <c r="P61" i="4"/>
  <c r="O61" i="4"/>
  <c r="N61" i="4"/>
  <c r="M61" i="4"/>
  <c r="L61" i="4"/>
  <c r="K61" i="4"/>
  <c r="J61" i="4"/>
  <c r="J5" i="4" s="1"/>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Y4" i="4" s="1"/>
  <c r="X59" i="4"/>
  <c r="W59" i="4"/>
  <c r="V59" i="4"/>
  <c r="U59" i="4"/>
  <c r="T59" i="4"/>
  <c r="S59" i="4"/>
  <c r="R59" i="4"/>
  <c r="Q59" i="4"/>
  <c r="Q4" i="4" s="1"/>
  <c r="P59" i="4"/>
  <c r="P5" i="4" s="1"/>
  <c r="O59" i="4"/>
  <c r="O6" i="4" s="1"/>
  <c r="O7" i="4" s="1"/>
  <c r="N59" i="4"/>
  <c r="N4" i="4" s="1"/>
  <c r="M59" i="4"/>
  <c r="M5" i="4" s="1"/>
  <c r="L59" i="4"/>
  <c r="K59" i="4"/>
  <c r="J59" i="4"/>
  <c r="I59" i="4"/>
  <c r="H59" i="4"/>
  <c r="G59" i="4"/>
  <c r="F59" i="4"/>
  <c r="E59" i="4"/>
  <c r="E4" i="4" s="1"/>
  <c r="D59" i="4"/>
  <c r="D5" i="4" s="1"/>
  <c r="C59" i="4"/>
  <c r="C6" i="4" s="1"/>
  <c r="C7" i="4" s="1"/>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T8" i="4"/>
  <c r="S8" i="4"/>
  <c r="R8" i="4"/>
  <c r="Q8" i="4"/>
  <c r="P8" i="4"/>
  <c r="O8" i="4"/>
  <c r="N8" i="4"/>
  <c r="M8" i="4"/>
  <c r="L8" i="4"/>
  <c r="K8" i="4"/>
  <c r="J8" i="4"/>
  <c r="I8" i="4"/>
  <c r="H8" i="4"/>
  <c r="G8" i="4"/>
  <c r="F8" i="4"/>
  <c r="E8" i="4"/>
  <c r="D8" i="4"/>
  <c r="C8" i="4"/>
  <c r="AA7" i="4"/>
  <c r="AA6" i="4"/>
  <c r="Z6" i="4"/>
  <c r="Z7" i="4" s="1"/>
  <c r="Q6" i="4"/>
  <c r="Q7" i="4" s="1"/>
  <c r="P6" i="4"/>
  <c r="P7" i="4" s="1"/>
  <c r="E6" i="4"/>
  <c r="E7" i="4" s="1"/>
  <c r="D6" i="4"/>
  <c r="D7" i="4" s="1"/>
  <c r="AA5" i="4"/>
  <c r="Z5" i="4"/>
  <c r="R5" i="4"/>
  <c r="Q5" i="4"/>
  <c r="F5" i="4"/>
  <c r="E5" i="4"/>
  <c r="AA4" i="4"/>
  <c r="Z4" i="4"/>
  <c r="S4" i="4"/>
  <c r="R4" i="4"/>
  <c r="G4" i="4"/>
  <c r="F4" i="4"/>
  <c r="I646" i="6" l="1"/>
  <c r="I659" i="6"/>
  <c r="I738" i="6"/>
  <c r="G863" i="6"/>
  <c r="H863" i="6" s="1"/>
  <c r="G74" i="6"/>
  <c r="H74" i="6" s="1"/>
  <c r="G84" i="6"/>
  <c r="H84" i="6" s="1"/>
  <c r="G100" i="6"/>
  <c r="H100" i="6" s="1"/>
  <c r="I636" i="6"/>
  <c r="I695" i="6"/>
  <c r="I830" i="6"/>
  <c r="G44" i="6"/>
  <c r="H44" i="6" s="1"/>
  <c r="G128" i="6"/>
  <c r="H128" i="6" s="1"/>
  <c r="I149" i="6"/>
  <c r="I174" i="6"/>
  <c r="G178" i="6"/>
  <c r="H178" i="6" s="1"/>
  <c r="G483" i="6"/>
  <c r="H483" i="6" s="1"/>
  <c r="I672" i="6"/>
  <c r="I686" i="6"/>
  <c r="I712" i="6"/>
  <c r="I753" i="6"/>
  <c r="G847" i="6"/>
  <c r="H847" i="6" s="1"/>
  <c r="I350" i="6"/>
  <c r="I23" i="6"/>
  <c r="G55" i="6"/>
  <c r="H55" i="6" s="1"/>
  <c r="I119" i="6"/>
  <c r="I155" i="6"/>
  <c r="I233" i="6"/>
  <c r="I274" i="6"/>
  <c r="I308" i="6"/>
  <c r="G388" i="6"/>
  <c r="H388" i="6" s="1"/>
  <c r="I404" i="6"/>
  <c r="I408" i="6"/>
  <c r="G416" i="6"/>
  <c r="H416" i="6" s="1"/>
  <c r="I420" i="6"/>
  <c r="G644" i="6"/>
  <c r="H644" i="6" s="1"/>
  <c r="I751" i="6"/>
  <c r="G194" i="6"/>
  <c r="H194" i="6" s="1"/>
  <c r="I214" i="6"/>
  <c r="G251" i="6"/>
  <c r="H251" i="6" s="1"/>
  <c r="I276" i="6"/>
  <c r="I282" i="6"/>
  <c r="G290" i="6"/>
  <c r="H290" i="6" s="1"/>
  <c r="I393" i="6"/>
  <c r="G546" i="6"/>
  <c r="H546" i="6" s="1"/>
  <c r="I647" i="6"/>
  <c r="I838" i="6"/>
  <c r="I145" i="6"/>
  <c r="I626" i="6"/>
  <c r="G647" i="6"/>
  <c r="H647" i="6" s="1"/>
  <c r="I103" i="6"/>
  <c r="I139" i="6"/>
  <c r="G455" i="6"/>
  <c r="H455" i="6" s="1"/>
  <c r="G815" i="6"/>
  <c r="H815" i="6" s="1"/>
  <c r="I846" i="6"/>
  <c r="I99" i="6"/>
  <c r="G342" i="6"/>
  <c r="H342" i="6" s="1"/>
  <c r="I385" i="6"/>
  <c r="G404" i="6"/>
  <c r="H404" i="6" s="1"/>
  <c r="I454" i="6"/>
  <c r="I466" i="6"/>
  <c r="G631" i="6"/>
  <c r="H631" i="6" s="1"/>
  <c r="I815" i="6"/>
  <c r="I75" i="6"/>
  <c r="G249" i="6"/>
  <c r="H249" i="6" s="1"/>
  <c r="G266" i="6"/>
  <c r="H266" i="6" s="1"/>
  <c r="I304" i="6"/>
  <c r="G330" i="6"/>
  <c r="H330" i="6" s="1"/>
  <c r="I442" i="6"/>
  <c r="I490" i="6"/>
  <c r="I514" i="6"/>
  <c r="G527" i="6"/>
  <c r="H527" i="6" s="1"/>
  <c r="I562" i="6"/>
  <c r="G662" i="6"/>
  <c r="H662" i="6" s="1"/>
  <c r="I776" i="6"/>
  <c r="I31" i="6"/>
  <c r="I135" i="6"/>
  <c r="I210" i="6"/>
  <c r="I684" i="6"/>
  <c r="I791" i="6"/>
  <c r="I165" i="6"/>
  <c r="G210" i="6"/>
  <c r="H210" i="6" s="1"/>
  <c r="G246" i="6"/>
  <c r="H246" i="6" s="1"/>
  <c r="G253" i="6"/>
  <c r="H253" i="6" s="1"/>
  <c r="I400" i="6"/>
  <c r="G495" i="6"/>
  <c r="H495" i="6" s="1"/>
  <c r="G651" i="6"/>
  <c r="H651" i="6" s="1"/>
  <c r="I835" i="6"/>
  <c r="G846" i="6"/>
  <c r="H846" i="6" s="1"/>
  <c r="I59" i="6"/>
  <c r="I222" i="6"/>
  <c r="G307" i="6"/>
  <c r="H307" i="6" s="1"/>
  <c r="G827" i="6"/>
  <c r="H827" i="6" s="1"/>
  <c r="I198" i="6"/>
  <c r="I409" i="6"/>
  <c r="I594" i="6"/>
  <c r="G858" i="6"/>
  <c r="H858" i="6" s="1"/>
  <c r="G83" i="6"/>
  <c r="H83" i="6" s="1"/>
  <c r="G150" i="6"/>
  <c r="H150" i="6" s="1"/>
  <c r="G186" i="6"/>
  <c r="H186" i="6" s="1"/>
  <c r="G284" i="6"/>
  <c r="H284" i="6" s="1"/>
  <c r="G318" i="6"/>
  <c r="H318" i="6" s="1"/>
  <c r="I403" i="6"/>
  <c r="I424" i="6"/>
  <c r="G493" i="6"/>
  <c r="H493" i="6" s="1"/>
  <c r="I526" i="6"/>
  <c r="I554" i="6"/>
  <c r="G547" i="6"/>
  <c r="H547" i="6" s="1"/>
  <c r="G691" i="6"/>
  <c r="H691" i="6" s="1"/>
  <c r="G736" i="6"/>
  <c r="H736" i="6" s="1"/>
  <c r="G835" i="6"/>
  <c r="H835" i="6" s="1"/>
  <c r="I862" i="6"/>
  <c r="G859" i="6"/>
  <c r="H859" i="6" s="1"/>
  <c r="I83" i="6"/>
  <c r="G98" i="6"/>
  <c r="H98" i="6" s="1"/>
  <c r="I124" i="6"/>
  <c r="I153" i="6"/>
  <c r="I186" i="6"/>
  <c r="G270" i="6"/>
  <c r="H270" i="6" s="1"/>
  <c r="I315" i="6"/>
  <c r="G320" i="6"/>
  <c r="H320" i="6" s="1"/>
  <c r="G331" i="6"/>
  <c r="H331" i="6" s="1"/>
  <c r="G391" i="6"/>
  <c r="H391" i="6" s="1"/>
  <c r="I545" i="6"/>
  <c r="G594" i="6"/>
  <c r="H594" i="6" s="1"/>
  <c r="G598" i="6"/>
  <c r="H598" i="6" s="1"/>
  <c r="I690" i="6"/>
  <c r="I722" i="6"/>
  <c r="I855" i="6"/>
  <c r="I36" i="6"/>
  <c r="G38" i="6"/>
  <c r="H38" i="6" s="1"/>
  <c r="G60" i="6"/>
  <c r="H60" i="6" s="1"/>
  <c r="I183" i="6"/>
  <c r="I319" i="6"/>
  <c r="G385" i="6"/>
  <c r="H385" i="6" s="1"/>
  <c r="G473" i="6"/>
  <c r="H473" i="6" s="1"/>
  <c r="I534" i="6"/>
  <c r="I578" i="6"/>
  <c r="G603" i="6"/>
  <c r="H603" i="6" s="1"/>
  <c r="I652" i="6"/>
  <c r="I739" i="6"/>
  <c r="G79" i="6"/>
  <c r="H79" i="6" s="1"/>
  <c r="I47" i="6"/>
  <c r="G202" i="6"/>
  <c r="H202" i="6" s="1"/>
  <c r="I219" i="6"/>
  <c r="I226" i="6"/>
  <c r="I392" i="6"/>
  <c r="I397" i="6"/>
  <c r="G453" i="6"/>
  <c r="H453" i="6" s="1"/>
  <c r="I506" i="6"/>
  <c r="I663" i="6"/>
  <c r="G659" i="6"/>
  <c r="H659" i="6" s="1"/>
  <c r="G794" i="6"/>
  <c r="H794" i="6" s="1"/>
  <c r="I546" i="6"/>
  <c r="G15" i="6"/>
  <c r="H15" i="6" s="1"/>
  <c r="G39" i="6"/>
  <c r="H39" i="6" s="1"/>
  <c r="I87" i="6"/>
  <c r="G162" i="6"/>
  <c r="H162" i="6" s="1"/>
  <c r="I178" i="6"/>
  <c r="G381" i="6"/>
  <c r="H381" i="6" s="1"/>
  <c r="G412" i="6"/>
  <c r="H412" i="6" s="1"/>
  <c r="G502" i="6"/>
  <c r="H502" i="6" s="1"/>
  <c r="I530" i="6"/>
  <c r="G535" i="6"/>
  <c r="H535" i="6" s="1"/>
  <c r="G545" i="6"/>
  <c r="H545" i="6" s="1"/>
  <c r="G625" i="6"/>
  <c r="H625" i="6" s="1"/>
  <c r="G803" i="6"/>
  <c r="H803" i="6" s="1"/>
  <c r="G807" i="6"/>
  <c r="H807" i="6" s="1"/>
  <c r="I831" i="6"/>
  <c r="I858" i="6"/>
  <c r="G854" i="6"/>
  <c r="H854" i="6" s="1"/>
  <c r="G166" i="6"/>
  <c r="H166" i="6" s="1"/>
  <c r="I227" i="6"/>
  <c r="I284" i="6"/>
  <c r="I341" i="6"/>
  <c r="G339" i="6"/>
  <c r="H339" i="6" s="1"/>
  <c r="G660" i="6"/>
  <c r="H660" i="6" s="1"/>
  <c r="I742" i="6"/>
  <c r="G791" i="6"/>
  <c r="H791" i="6" s="1"/>
  <c r="I39" i="6"/>
  <c r="I44" i="6"/>
  <c r="I43" i="6"/>
  <c r="G68" i="6"/>
  <c r="H68" i="6" s="1"/>
  <c r="G173" i="6"/>
  <c r="H173" i="6" s="1"/>
  <c r="G215" i="6"/>
  <c r="H215" i="6" s="1"/>
  <c r="G316" i="6"/>
  <c r="H316" i="6" s="1"/>
  <c r="G454" i="6"/>
  <c r="H454" i="6" s="1"/>
  <c r="I537" i="6"/>
  <c r="G605" i="6"/>
  <c r="H605" i="6" s="1"/>
  <c r="I705" i="6"/>
  <c r="G742" i="6"/>
  <c r="H742" i="6" s="1"/>
  <c r="I798" i="6"/>
  <c r="N4" i="5"/>
  <c r="N5" i="5"/>
  <c r="L6" i="4"/>
  <c r="L7" i="4" s="1"/>
  <c r="X5" i="4"/>
  <c r="K6" i="4"/>
  <c r="K7" i="4" s="1"/>
  <c r="W6" i="4"/>
  <c r="W7" i="4" s="1"/>
  <c r="G50" i="6"/>
  <c r="H50" i="6" s="1"/>
  <c r="I49" i="6"/>
  <c r="G34" i="6"/>
  <c r="H34" i="6" s="1"/>
  <c r="G35" i="6"/>
  <c r="H35" i="6" s="1"/>
  <c r="T5" i="4"/>
  <c r="F8" i="6"/>
  <c r="I22" i="6"/>
  <c r="I10" i="6"/>
  <c r="G14" i="6"/>
  <c r="H14" i="6" s="1"/>
  <c r="G19" i="6"/>
  <c r="H19" i="6" s="1"/>
  <c r="F25" i="6"/>
  <c r="I25" i="6" s="1"/>
  <c r="B25" i="6"/>
  <c r="G27" i="6"/>
  <c r="H27" i="6" s="1"/>
  <c r="G40" i="6"/>
  <c r="H40" i="6" s="1"/>
  <c r="I52" i="6"/>
  <c r="D58" i="6"/>
  <c r="C47" i="6"/>
  <c r="G53" i="6"/>
  <c r="H53" i="6" s="1"/>
  <c r="I65" i="6"/>
  <c r="C76" i="6"/>
  <c r="D76" i="6" s="1"/>
  <c r="E88" i="6"/>
  <c r="C84" i="6"/>
  <c r="D84" i="6" s="1"/>
  <c r="E106" i="6"/>
  <c r="C94" i="6"/>
  <c r="D94" i="6" s="1"/>
  <c r="C95" i="6"/>
  <c r="D95" i="6" s="1"/>
  <c r="C98" i="6"/>
  <c r="D98" i="6" s="1"/>
  <c r="G105" i="6"/>
  <c r="H105" i="6" s="1"/>
  <c r="I117" i="6"/>
  <c r="C112" i="6"/>
  <c r="D112" i="6" s="1"/>
  <c r="E124" i="6"/>
  <c r="G127" i="6"/>
  <c r="H127" i="6" s="1"/>
  <c r="G126" i="6"/>
  <c r="H126" i="6" s="1"/>
  <c r="C137" i="6"/>
  <c r="D137" i="6" s="1"/>
  <c r="E149" i="6"/>
  <c r="C279" i="6"/>
  <c r="D279" i="6" s="1"/>
  <c r="E291" i="6"/>
  <c r="K4" i="4"/>
  <c r="I16" i="6"/>
  <c r="I4" i="6"/>
  <c r="I18" i="6"/>
  <c r="I6" i="6"/>
  <c r="G10" i="6"/>
  <c r="H10" i="6" s="1"/>
  <c r="B13" i="6"/>
  <c r="C14" i="6" s="1"/>
  <c r="I19" i="6"/>
  <c r="I27" i="6"/>
  <c r="F46" i="6"/>
  <c r="G47" i="6" s="1"/>
  <c r="H47" i="6" s="1"/>
  <c r="C60" i="6"/>
  <c r="D60" i="6" s="1"/>
  <c r="E76" i="6"/>
  <c r="C64" i="6"/>
  <c r="D64" i="6" s="1"/>
  <c r="F77" i="6"/>
  <c r="G78" i="6" s="1"/>
  <c r="H78" i="6" s="1"/>
  <c r="B77" i="6"/>
  <c r="C78" i="6" s="1"/>
  <c r="D78" i="6" s="1"/>
  <c r="C81" i="6"/>
  <c r="D81" i="6" s="1"/>
  <c r="E93" i="6"/>
  <c r="F94" i="6"/>
  <c r="G95" i="6" s="1"/>
  <c r="H95" i="6" s="1"/>
  <c r="E172" i="6"/>
  <c r="C160" i="6"/>
  <c r="D160" i="6" s="1"/>
  <c r="C161" i="6"/>
  <c r="D161" i="6" s="1"/>
  <c r="C165" i="6"/>
  <c r="D165" i="6" s="1"/>
  <c r="C164" i="6"/>
  <c r="D164" i="6" s="1"/>
  <c r="G5" i="4"/>
  <c r="G6" i="6"/>
  <c r="H6" i="6" s="1"/>
  <c r="E21" i="6"/>
  <c r="E9" i="6"/>
  <c r="E27" i="6"/>
  <c r="D32" i="6"/>
  <c r="I34" i="6"/>
  <c r="D40" i="6"/>
  <c r="C28" i="6"/>
  <c r="E40" i="6"/>
  <c r="E45" i="6"/>
  <c r="C33" i="6"/>
  <c r="I35" i="6"/>
  <c r="G64" i="6"/>
  <c r="H64" i="6" s="1"/>
  <c r="I76" i="6"/>
  <c r="E100" i="6"/>
  <c r="C89" i="6"/>
  <c r="D89" i="6" s="1"/>
  <c r="E128" i="6"/>
  <c r="C117" i="6"/>
  <c r="D117" i="6" s="1"/>
  <c r="I235" i="6"/>
  <c r="G224" i="6"/>
  <c r="H224" i="6" s="1"/>
  <c r="G223" i="6"/>
  <c r="H223" i="6" s="1"/>
  <c r="I553" i="6"/>
  <c r="G541" i="6"/>
  <c r="H541" i="6" s="1"/>
  <c r="W5" i="4"/>
  <c r="B5" i="6"/>
  <c r="C9" i="6"/>
  <c r="B11" i="6"/>
  <c r="C12" i="6" s="1"/>
  <c r="C15" i="6"/>
  <c r="D20" i="6"/>
  <c r="D28" i="6"/>
  <c r="G36" i="6"/>
  <c r="H36" i="6" s="1"/>
  <c r="I69" i="6"/>
  <c r="E97" i="6"/>
  <c r="C86" i="6"/>
  <c r="D86" i="6" s="1"/>
  <c r="C113" i="6"/>
  <c r="D113" i="6" s="1"/>
  <c r="E125" i="6"/>
  <c r="B134" i="6"/>
  <c r="E134" i="6" s="1"/>
  <c r="F134" i="6"/>
  <c r="G142" i="6"/>
  <c r="H142" i="6" s="1"/>
  <c r="B146" i="6"/>
  <c r="F146" i="6"/>
  <c r="B228" i="6"/>
  <c r="F228" i="6"/>
  <c r="G229" i="6" s="1"/>
  <c r="H229" i="6" s="1"/>
  <c r="G299" i="6"/>
  <c r="H299" i="6" s="1"/>
  <c r="S5" i="4"/>
  <c r="M2" i="6"/>
  <c r="B7" i="6"/>
  <c r="D9" i="6"/>
  <c r="B23" i="6"/>
  <c r="E28" i="6"/>
  <c r="D48" i="6"/>
  <c r="C36" i="6"/>
  <c r="G54" i="6"/>
  <c r="H54" i="6" s="1"/>
  <c r="E70" i="6"/>
  <c r="C65" i="6"/>
  <c r="D65" i="6" s="1"/>
  <c r="C68" i="6"/>
  <c r="D68" i="6" s="1"/>
  <c r="E80" i="6"/>
  <c r="C82" i="6"/>
  <c r="D82" i="6" s="1"/>
  <c r="C85" i="6"/>
  <c r="D85" i="6" s="1"/>
  <c r="G88" i="6"/>
  <c r="H88" i="6" s="1"/>
  <c r="I100" i="6"/>
  <c r="E111" i="6"/>
  <c r="C99" i="6"/>
  <c r="D99" i="6" s="1"/>
  <c r="I128" i="6"/>
  <c r="G116" i="6"/>
  <c r="H116" i="6" s="1"/>
  <c r="I132" i="6"/>
  <c r="G120" i="6"/>
  <c r="H120" i="6" s="1"/>
  <c r="E136" i="6"/>
  <c r="C124" i="6"/>
  <c r="D124" i="6" s="1"/>
  <c r="I159" i="6"/>
  <c r="G156" i="6"/>
  <c r="H156" i="6" s="1"/>
  <c r="I168" i="6"/>
  <c r="B179" i="6"/>
  <c r="F179" i="6"/>
  <c r="I4" i="4"/>
  <c r="U4" i="4"/>
  <c r="H5" i="4"/>
  <c r="U5" i="4"/>
  <c r="L4" i="4"/>
  <c r="K5" i="4"/>
  <c r="J6" i="4"/>
  <c r="J7" i="4" s="1"/>
  <c r="V6" i="4"/>
  <c r="V7" i="4" s="1"/>
  <c r="C4" i="4"/>
  <c r="O4" i="4"/>
  <c r="N5" i="4"/>
  <c r="M6" i="4"/>
  <c r="M7" i="4" s="1"/>
  <c r="Y6" i="4"/>
  <c r="Y7" i="4" s="1"/>
  <c r="J4" i="5"/>
  <c r="V4" i="5"/>
  <c r="I5" i="5"/>
  <c r="U5" i="5"/>
  <c r="G9" i="6"/>
  <c r="H9" i="6" s="1"/>
  <c r="G11" i="6"/>
  <c r="H11" i="6" s="1"/>
  <c r="I32" i="6"/>
  <c r="G20" i="6"/>
  <c r="H20" i="6" s="1"/>
  <c r="I40" i="6"/>
  <c r="G28" i="6"/>
  <c r="H28" i="6" s="1"/>
  <c r="C31" i="6"/>
  <c r="I53" i="6"/>
  <c r="E63" i="6"/>
  <c r="C51" i="6"/>
  <c r="E73" i="6"/>
  <c r="C61" i="6"/>
  <c r="D61" i="6" s="1"/>
  <c r="G72" i="6"/>
  <c r="H72" i="6" s="1"/>
  <c r="I84" i="6"/>
  <c r="I107" i="6"/>
  <c r="I136" i="6"/>
  <c r="G124" i="6"/>
  <c r="H124" i="6" s="1"/>
  <c r="E246" i="6"/>
  <c r="C234" i="6"/>
  <c r="D234" i="6" s="1"/>
  <c r="J4" i="4"/>
  <c r="V4" i="4"/>
  <c r="I5" i="4"/>
  <c r="M4" i="4"/>
  <c r="L5" i="4"/>
  <c r="Y5" i="4"/>
  <c r="X6" i="4"/>
  <c r="X7" i="4" s="1"/>
  <c r="D4" i="4"/>
  <c r="P4" i="4"/>
  <c r="C5" i="4"/>
  <c r="O5" i="4"/>
  <c r="N6" i="4"/>
  <c r="N7" i="4" s="1"/>
  <c r="K4" i="5"/>
  <c r="W4" i="5"/>
  <c r="J5" i="5"/>
  <c r="V5" i="5"/>
  <c r="F3" i="6"/>
  <c r="G4" i="6" s="1"/>
  <c r="H4" i="6" s="1"/>
  <c r="B3" i="6"/>
  <c r="G5" i="6"/>
  <c r="H5" i="6" s="1"/>
  <c r="G7" i="6"/>
  <c r="H7" i="6" s="1"/>
  <c r="C16" i="6"/>
  <c r="F21" i="6"/>
  <c r="I21" i="6" s="1"/>
  <c r="B21" i="6"/>
  <c r="D21" i="6" s="1"/>
  <c r="C26" i="6"/>
  <c r="F29" i="6"/>
  <c r="B29" i="6"/>
  <c r="B34" i="6"/>
  <c r="D51" i="6"/>
  <c r="E58" i="6"/>
  <c r="E84" i="6"/>
  <c r="G82" i="6"/>
  <c r="H82" i="6" s="1"/>
  <c r="I104" i="6"/>
  <c r="G92" i="6"/>
  <c r="H92" i="6" s="1"/>
  <c r="F96" i="6"/>
  <c r="I96" i="6" s="1"/>
  <c r="B96" i="6"/>
  <c r="G111" i="6"/>
  <c r="H111" i="6" s="1"/>
  <c r="G110" i="6"/>
  <c r="H110" i="6" s="1"/>
  <c r="I140" i="6"/>
  <c r="F148" i="6"/>
  <c r="I148" i="6" s="1"/>
  <c r="B148" i="6"/>
  <c r="C152" i="6"/>
  <c r="D152" i="6" s="1"/>
  <c r="E164" i="6"/>
  <c r="C153" i="6"/>
  <c r="D153" i="6" s="1"/>
  <c r="W4" i="4"/>
  <c r="X4" i="4"/>
  <c r="L4" i="5"/>
  <c r="K5" i="5"/>
  <c r="I9" i="6"/>
  <c r="I11" i="6"/>
  <c r="D16" i="6"/>
  <c r="I30" i="6"/>
  <c r="G31" i="6"/>
  <c r="H31" i="6" s="1"/>
  <c r="F48" i="6"/>
  <c r="B48" i="6"/>
  <c r="E48" i="6" s="1"/>
  <c r="G51" i="6"/>
  <c r="H51" i="6" s="1"/>
  <c r="B62" i="6"/>
  <c r="E62" i="6" s="1"/>
  <c r="F62" i="6"/>
  <c r="G63" i="6" s="1"/>
  <c r="H63" i="6" s="1"/>
  <c r="G69" i="6"/>
  <c r="H69" i="6" s="1"/>
  <c r="I81" i="6"/>
  <c r="E104" i="6"/>
  <c r="I112" i="6"/>
  <c r="E137" i="6"/>
  <c r="C128" i="6"/>
  <c r="D128" i="6" s="1"/>
  <c r="E140" i="6"/>
  <c r="I156" i="6"/>
  <c r="G144" i="6"/>
  <c r="H144" i="6" s="1"/>
  <c r="I303" i="6"/>
  <c r="G291" i="6"/>
  <c r="H291" i="6" s="1"/>
  <c r="G292" i="6"/>
  <c r="H292" i="6" s="1"/>
  <c r="M4" i="5"/>
  <c r="Y4" i="5"/>
  <c r="X5" i="5"/>
  <c r="D36" i="6"/>
  <c r="C24" i="6"/>
  <c r="E36" i="6"/>
  <c r="I38" i="6"/>
  <c r="I64" i="6"/>
  <c r="E81" i="6"/>
  <c r="E95" i="6"/>
  <c r="C83" i="6"/>
  <c r="D83" i="6" s="1"/>
  <c r="E112" i="6"/>
  <c r="C100" i="6"/>
  <c r="D100" i="6" s="1"/>
  <c r="I116" i="6"/>
  <c r="G104" i="6"/>
  <c r="H104" i="6" s="1"/>
  <c r="G121" i="6"/>
  <c r="H121" i="6" s="1"/>
  <c r="I121" i="6"/>
  <c r="I133" i="6"/>
  <c r="E144" i="6"/>
  <c r="C133" i="6"/>
  <c r="D133" i="6" s="1"/>
  <c r="E152" i="6"/>
  <c r="C141" i="6"/>
  <c r="D141" i="6" s="1"/>
  <c r="C140" i="6"/>
  <c r="D140" i="6" s="1"/>
  <c r="I279" i="6"/>
  <c r="G267" i="6"/>
  <c r="H267" i="6" s="1"/>
  <c r="M5" i="5"/>
  <c r="Y5" i="5"/>
  <c r="C8" i="6"/>
  <c r="I28" i="6"/>
  <c r="G16" i="6"/>
  <c r="H16" i="6" s="1"/>
  <c r="D44" i="6"/>
  <c r="C32" i="6"/>
  <c r="F45" i="6"/>
  <c r="B45" i="6"/>
  <c r="C46" i="6" s="1"/>
  <c r="C52" i="6"/>
  <c r="E64" i="6"/>
  <c r="E71" i="6"/>
  <c r="C59" i="6"/>
  <c r="D59" i="6" s="1"/>
  <c r="C104" i="6"/>
  <c r="D104" i="6" s="1"/>
  <c r="E116" i="6"/>
  <c r="E120" i="6"/>
  <c r="C108" i="6"/>
  <c r="D108" i="6" s="1"/>
  <c r="C118" i="6"/>
  <c r="D118" i="6" s="1"/>
  <c r="E130" i="6"/>
  <c r="G136" i="6"/>
  <c r="H136" i="6" s="1"/>
  <c r="I152" i="6"/>
  <c r="G140" i="6"/>
  <c r="H140" i="6" s="1"/>
  <c r="C4" i="6"/>
  <c r="D8" i="6"/>
  <c r="E12" i="6"/>
  <c r="F17" i="6"/>
  <c r="B17" i="6"/>
  <c r="B19" i="6"/>
  <c r="C20" i="6" s="1"/>
  <c r="E24" i="6"/>
  <c r="B27" i="6"/>
  <c r="E32" i="6"/>
  <c r="G37" i="6"/>
  <c r="H37" i="6" s="1"/>
  <c r="D52" i="6"/>
  <c r="E52" i="6"/>
  <c r="B49" i="6"/>
  <c r="C50" i="6" s="1"/>
  <c r="G52" i="6"/>
  <c r="H52" i="6" s="1"/>
  <c r="B56" i="6"/>
  <c r="C57" i="6" s="1"/>
  <c r="F56" i="6"/>
  <c r="G57" i="6" s="1"/>
  <c r="H57" i="6" s="1"/>
  <c r="C73" i="6"/>
  <c r="D73" i="6" s="1"/>
  <c r="C74" i="6"/>
  <c r="D74" i="6" s="1"/>
  <c r="F93" i="6"/>
  <c r="B93" i="6"/>
  <c r="I109" i="6"/>
  <c r="B101" i="6"/>
  <c r="F101" i="6"/>
  <c r="I101" i="6" s="1"/>
  <c r="I120" i="6"/>
  <c r="G108" i="6"/>
  <c r="H108" i="6" s="1"/>
  <c r="F118" i="6"/>
  <c r="C167" i="6"/>
  <c r="D167" i="6" s="1"/>
  <c r="C168" i="6"/>
  <c r="D168" i="6" s="1"/>
  <c r="E179" i="6"/>
  <c r="I275" i="6"/>
  <c r="G263" i="6"/>
  <c r="H263" i="6" s="1"/>
  <c r="E8" i="6"/>
  <c r="F12" i="6"/>
  <c r="I26" i="6"/>
  <c r="I14" i="6"/>
  <c r="G24" i="6"/>
  <c r="H24" i="6" s="1"/>
  <c r="C40" i="6"/>
  <c r="C53" i="6"/>
  <c r="E65" i="6"/>
  <c r="B70" i="6"/>
  <c r="F70" i="6"/>
  <c r="G71" i="6" s="1"/>
  <c r="H71" i="6" s="1"/>
  <c r="I88" i="6"/>
  <c r="G76" i="6"/>
  <c r="H76" i="6" s="1"/>
  <c r="F80" i="6"/>
  <c r="I97" i="6"/>
  <c r="C105" i="6"/>
  <c r="D105" i="6" s="1"/>
  <c r="I171" i="6"/>
  <c r="E250" i="6"/>
  <c r="C238" i="6"/>
  <c r="D238" i="6" s="1"/>
  <c r="E50" i="6"/>
  <c r="E53" i="6"/>
  <c r="G73" i="6"/>
  <c r="H73" i="6" s="1"/>
  <c r="I111" i="6"/>
  <c r="G113" i="6"/>
  <c r="H113" i="6" s="1"/>
  <c r="G129" i="6"/>
  <c r="H129" i="6" s="1"/>
  <c r="I167" i="6"/>
  <c r="F160" i="6"/>
  <c r="G161" i="6" s="1"/>
  <c r="H161" i="6" s="1"/>
  <c r="G172" i="6"/>
  <c r="H172" i="6" s="1"/>
  <c r="C183" i="6"/>
  <c r="D183" i="6" s="1"/>
  <c r="F197" i="6"/>
  <c r="I197" i="6" s="1"/>
  <c r="B197" i="6"/>
  <c r="E221" i="6"/>
  <c r="C209" i="6"/>
  <c r="D209" i="6" s="1"/>
  <c r="B256" i="6"/>
  <c r="F256" i="6"/>
  <c r="E278" i="6"/>
  <c r="I285" i="6"/>
  <c r="G273" i="6"/>
  <c r="H273" i="6" s="1"/>
  <c r="F278" i="6"/>
  <c r="G279" i="6" s="1"/>
  <c r="H279" i="6" s="1"/>
  <c r="B278" i="6"/>
  <c r="E298" i="6"/>
  <c r="C286" i="6"/>
  <c r="D286" i="6" s="1"/>
  <c r="I147" i="6"/>
  <c r="G168" i="6"/>
  <c r="H168" i="6" s="1"/>
  <c r="F181" i="6"/>
  <c r="B181" i="6"/>
  <c r="C182" i="6" s="1"/>
  <c r="D182" i="6" s="1"/>
  <c r="I243" i="6"/>
  <c r="G234" i="6"/>
  <c r="H234" i="6" s="1"/>
  <c r="I246" i="6"/>
  <c r="I234" i="6"/>
  <c r="I250" i="6"/>
  <c r="G238" i="6"/>
  <c r="H238" i="6" s="1"/>
  <c r="C266" i="6"/>
  <c r="D266" i="6" s="1"/>
  <c r="I291" i="6"/>
  <c r="F287" i="6"/>
  <c r="G288" i="6" s="1"/>
  <c r="H288" i="6" s="1"/>
  <c r="B287" i="6"/>
  <c r="C288" i="6" s="1"/>
  <c r="D288" i="6" s="1"/>
  <c r="E303" i="6"/>
  <c r="E38" i="6"/>
  <c r="F58" i="6"/>
  <c r="F61" i="6"/>
  <c r="E75" i="6"/>
  <c r="E72" i="6"/>
  <c r="C114" i="6"/>
  <c r="D114" i="6" s="1"/>
  <c r="G117" i="6"/>
  <c r="H117" i="6" s="1"/>
  <c r="C130" i="6"/>
  <c r="D130" i="6" s="1"/>
  <c r="G133" i="6"/>
  <c r="H133" i="6" s="1"/>
  <c r="I151" i="6"/>
  <c r="G153" i="6"/>
  <c r="H153" i="6" s="1"/>
  <c r="E173" i="6"/>
  <c r="I162" i="6"/>
  <c r="I195" i="6"/>
  <c r="I185" i="6"/>
  <c r="B195" i="6"/>
  <c r="F195" i="6"/>
  <c r="F205" i="6"/>
  <c r="B205" i="6"/>
  <c r="E229" i="6"/>
  <c r="C217" i="6"/>
  <c r="D217" i="6" s="1"/>
  <c r="I238" i="6"/>
  <c r="C263" i="6"/>
  <c r="D263" i="6" s="1"/>
  <c r="E275" i="6"/>
  <c r="I295" i="6"/>
  <c r="E309" i="6"/>
  <c r="F311" i="6"/>
  <c r="I311" i="6" s="1"/>
  <c r="B311" i="6"/>
  <c r="B410" i="6"/>
  <c r="F410" i="6"/>
  <c r="I500" i="6"/>
  <c r="D34" i="6"/>
  <c r="G41" i="6"/>
  <c r="H41" i="6" s="1"/>
  <c r="E55" i="6"/>
  <c r="D49" i="6"/>
  <c r="I50" i="6"/>
  <c r="E66" i="6"/>
  <c r="I67" i="6"/>
  <c r="E69" i="6"/>
  <c r="G75" i="6"/>
  <c r="H75" i="6" s="1"/>
  <c r="F86" i="6"/>
  <c r="I86" i="6" s="1"/>
  <c r="G89" i="6"/>
  <c r="H89" i="6" s="1"/>
  <c r="E103" i="6"/>
  <c r="G103" i="6"/>
  <c r="H103" i="6" s="1"/>
  <c r="E119" i="6"/>
  <c r="E114" i="6"/>
  <c r="E135" i="6"/>
  <c r="E157" i="6"/>
  <c r="C159" i="6"/>
  <c r="D159" i="6" s="1"/>
  <c r="I175" i="6"/>
  <c r="G163" i="6"/>
  <c r="H163" i="6" s="1"/>
  <c r="C169" i="6"/>
  <c r="D169" i="6" s="1"/>
  <c r="E185" i="6"/>
  <c r="C175" i="6"/>
  <c r="D175" i="6" s="1"/>
  <c r="E189" i="6"/>
  <c r="F212" i="6"/>
  <c r="I232" i="6"/>
  <c r="E235" i="6"/>
  <c r="I237" i="6"/>
  <c r="G225" i="6"/>
  <c r="H225" i="6" s="1"/>
  <c r="E247" i="6"/>
  <c r="C235" i="6"/>
  <c r="D235" i="6" s="1"/>
  <c r="E251" i="6"/>
  <c r="C239" i="6"/>
  <c r="D239" i="6" s="1"/>
  <c r="C267" i="6"/>
  <c r="D267" i="6" s="1"/>
  <c r="G300" i="6"/>
  <c r="H300" i="6" s="1"/>
  <c r="I312" i="6"/>
  <c r="C6" i="6"/>
  <c r="C10" i="6"/>
  <c r="C18" i="6"/>
  <c r="C30" i="6"/>
  <c r="C37" i="6"/>
  <c r="C43" i="6"/>
  <c r="F66" i="6"/>
  <c r="E83" i="6"/>
  <c r="C91" i="6"/>
  <c r="D91" i="6" s="1"/>
  <c r="C107" i="6"/>
  <c r="D107" i="6" s="1"/>
  <c r="F114" i="6"/>
  <c r="I114" i="6" s="1"/>
  <c r="C123" i="6"/>
  <c r="D123" i="6" s="1"/>
  <c r="F130" i="6"/>
  <c r="C139" i="6"/>
  <c r="D139" i="6" s="1"/>
  <c r="E148" i="6"/>
  <c r="G157" i="6"/>
  <c r="H157" i="6" s="1"/>
  <c r="E177" i="6"/>
  <c r="F169" i="6"/>
  <c r="C173" i="6"/>
  <c r="D173" i="6" s="1"/>
  <c r="B184" i="6"/>
  <c r="E184" i="6" s="1"/>
  <c r="F184" i="6"/>
  <c r="F188" i="6"/>
  <c r="B198" i="6"/>
  <c r="G207" i="6"/>
  <c r="H207" i="6" s="1"/>
  <c r="G220" i="6"/>
  <c r="H220" i="6" s="1"/>
  <c r="F235" i="6"/>
  <c r="I257" i="6"/>
  <c r="E287" i="6"/>
  <c r="C275" i="6"/>
  <c r="D275" i="6" s="1"/>
  <c r="I324" i="6"/>
  <c r="G312" i="6"/>
  <c r="H312" i="6" s="1"/>
  <c r="G137" i="6"/>
  <c r="H137" i="6" s="1"/>
  <c r="G143" i="6"/>
  <c r="H143" i="6" s="1"/>
  <c r="E166" i="6"/>
  <c r="C154" i="6"/>
  <c r="D154" i="6" s="1"/>
  <c r="C193" i="6"/>
  <c r="D193" i="6" s="1"/>
  <c r="B203" i="6"/>
  <c r="F203" i="6"/>
  <c r="G204" i="6" s="1"/>
  <c r="H204" i="6" s="1"/>
  <c r="F213" i="6"/>
  <c r="I213" i="6" s="1"/>
  <c r="B213" i="6"/>
  <c r="E238" i="6"/>
  <c r="C226" i="6"/>
  <c r="D226" i="6" s="1"/>
  <c r="I241" i="6"/>
  <c r="F258" i="6"/>
  <c r="B258" i="6"/>
  <c r="I283" i="6"/>
  <c r="G271" i="6"/>
  <c r="H271" i="6" s="1"/>
  <c r="I287" i="6"/>
  <c r="G275" i="6"/>
  <c r="H275" i="6" s="1"/>
  <c r="G308" i="6"/>
  <c r="H308" i="6" s="1"/>
  <c r="I320" i="6"/>
  <c r="G309" i="6"/>
  <c r="H309" i="6" s="1"/>
  <c r="I55" i="6"/>
  <c r="E132" i="6"/>
  <c r="E155" i="6"/>
  <c r="E154" i="6"/>
  <c r="B156" i="6"/>
  <c r="C180" i="6"/>
  <c r="D180" i="6" s="1"/>
  <c r="C191" i="6"/>
  <c r="D191" i="6" s="1"/>
  <c r="C196" i="6"/>
  <c r="D196" i="6" s="1"/>
  <c r="F218" i="6"/>
  <c r="I218" i="6" s="1"/>
  <c r="B218" i="6"/>
  <c r="E218" i="6" s="1"/>
  <c r="B236" i="6"/>
  <c r="F236" i="6"/>
  <c r="I236" i="6" s="1"/>
  <c r="I259" i="6"/>
  <c r="F254" i="6"/>
  <c r="B254" i="6"/>
  <c r="F259" i="6"/>
  <c r="B259" i="6"/>
  <c r="G268" i="6"/>
  <c r="H268" i="6" s="1"/>
  <c r="C293" i="6"/>
  <c r="D293" i="6" s="1"/>
  <c r="E305" i="6"/>
  <c r="G304" i="6"/>
  <c r="H304" i="6" s="1"/>
  <c r="I316" i="6"/>
  <c r="G315" i="6"/>
  <c r="H315" i="6" s="1"/>
  <c r="B326" i="6"/>
  <c r="F326" i="6"/>
  <c r="G327" i="6" s="1"/>
  <c r="H327" i="6" s="1"/>
  <c r="I144" i="6"/>
  <c r="I137" i="6"/>
  <c r="E141" i="6"/>
  <c r="G147" i="6"/>
  <c r="H147" i="6" s="1"/>
  <c r="I164" i="6"/>
  <c r="F154" i="6"/>
  <c r="I154" i="6" s="1"/>
  <c r="I179" i="6"/>
  <c r="G167" i="6"/>
  <c r="H167" i="6" s="1"/>
  <c r="I177" i="6"/>
  <c r="F189" i="6"/>
  <c r="G190" i="6" s="1"/>
  <c r="H190" i="6" s="1"/>
  <c r="B189" i="6"/>
  <c r="C206" i="6"/>
  <c r="D206" i="6" s="1"/>
  <c r="E233" i="6"/>
  <c r="C221" i="6"/>
  <c r="D221" i="6" s="1"/>
  <c r="G232" i="6"/>
  <c r="H232" i="6" s="1"/>
  <c r="I255" i="6"/>
  <c r="G243" i="6"/>
  <c r="H243" i="6" s="1"/>
  <c r="I281" i="6"/>
  <c r="G269" i="6"/>
  <c r="H269" i="6" s="1"/>
  <c r="F294" i="6"/>
  <c r="G295" i="6" s="1"/>
  <c r="H295" i="6" s="1"/>
  <c r="B294" i="6"/>
  <c r="E321" i="6"/>
  <c r="C310" i="6"/>
  <c r="D310" i="6" s="1"/>
  <c r="E326" i="6"/>
  <c r="C314" i="6"/>
  <c r="D314" i="6" s="1"/>
  <c r="I458" i="6"/>
  <c r="G446" i="6"/>
  <c r="H446" i="6" s="1"/>
  <c r="E51" i="6"/>
  <c r="I63" i="6"/>
  <c r="G85" i="6"/>
  <c r="H85" i="6" s="1"/>
  <c r="E99" i="6"/>
  <c r="I94" i="6"/>
  <c r="C106" i="6"/>
  <c r="D106" i="6" s="1"/>
  <c r="G109" i="6"/>
  <c r="H109" i="6" s="1"/>
  <c r="C122" i="6"/>
  <c r="D122" i="6" s="1"/>
  <c r="G125" i="6"/>
  <c r="H125" i="6" s="1"/>
  <c r="G132" i="6"/>
  <c r="H132" i="6" s="1"/>
  <c r="C138" i="6"/>
  <c r="D138" i="6" s="1"/>
  <c r="G141" i="6"/>
  <c r="H141" i="6" s="1"/>
  <c r="G152" i="6"/>
  <c r="H152" i="6" s="1"/>
  <c r="I161" i="6"/>
  <c r="G165" i="6"/>
  <c r="H165" i="6" s="1"/>
  <c r="B170" i="6"/>
  <c r="F170" i="6"/>
  <c r="C172" i="6"/>
  <c r="D172" i="6" s="1"/>
  <c r="I190" i="6"/>
  <c r="B187" i="6"/>
  <c r="F187" i="6"/>
  <c r="I187" i="6" s="1"/>
  <c r="B201" i="6"/>
  <c r="B211" i="6"/>
  <c r="F211" i="6"/>
  <c r="I211" i="6" s="1"/>
  <c r="G221" i="6"/>
  <c r="H221" i="6" s="1"/>
  <c r="F230" i="6"/>
  <c r="G231" i="6" s="1"/>
  <c r="H231" i="6" s="1"/>
  <c r="B230" i="6"/>
  <c r="E256" i="6"/>
  <c r="C255" i="6"/>
  <c r="D255" i="6" s="1"/>
  <c r="E267" i="6"/>
  <c r="B260" i="6"/>
  <c r="F260" i="6"/>
  <c r="E277" i="6"/>
  <c r="C265" i="6"/>
  <c r="D265" i="6" s="1"/>
  <c r="G272" i="6"/>
  <c r="H272" i="6" s="1"/>
  <c r="G276" i="6"/>
  <c r="H276" i="6" s="1"/>
  <c r="G305" i="6"/>
  <c r="H305" i="6" s="1"/>
  <c r="G33" i="6"/>
  <c r="H33" i="6" s="1"/>
  <c r="C39" i="6"/>
  <c r="G65" i="6"/>
  <c r="H65" i="6" s="1"/>
  <c r="E79" i="6"/>
  <c r="C87" i="6"/>
  <c r="D87" i="6" s="1"/>
  <c r="E90" i="6"/>
  <c r="I91" i="6"/>
  <c r="E127" i="6"/>
  <c r="E122" i="6"/>
  <c r="E143" i="6"/>
  <c r="E138" i="6"/>
  <c r="G151" i="6"/>
  <c r="H151" i="6" s="1"/>
  <c r="F158" i="6"/>
  <c r="G159" i="6" s="1"/>
  <c r="H159" i="6" s="1"/>
  <c r="E174" i="6"/>
  <c r="C162" i="6"/>
  <c r="D162" i="6" s="1"/>
  <c r="B176" i="6"/>
  <c r="E176" i="6" s="1"/>
  <c r="F176" i="6"/>
  <c r="I176" i="6" s="1"/>
  <c r="F180" i="6"/>
  <c r="I206" i="6"/>
  <c r="F196" i="6"/>
  <c r="I231" i="6"/>
  <c r="I239" i="6"/>
  <c r="G227" i="6"/>
  <c r="H227" i="6" s="1"/>
  <c r="E249" i="6"/>
  <c r="I260" i="6"/>
  <c r="G248" i="6"/>
  <c r="H248" i="6" s="1"/>
  <c r="I263" i="6"/>
  <c r="F261" i="6"/>
  <c r="G262" i="6" s="1"/>
  <c r="H262" i="6" s="1"/>
  <c r="B261" i="6"/>
  <c r="B295" i="6"/>
  <c r="E377" i="6"/>
  <c r="C366" i="6"/>
  <c r="D366" i="6" s="1"/>
  <c r="F427" i="6"/>
  <c r="B427" i="6"/>
  <c r="F42" i="6"/>
  <c r="I42" i="6" s="1"/>
  <c r="E59" i="6"/>
  <c r="E56" i="6"/>
  <c r="C67" i="6"/>
  <c r="D67" i="6" s="1"/>
  <c r="I85" i="6"/>
  <c r="F90" i="6"/>
  <c r="E107" i="6"/>
  <c r="F106" i="6"/>
  <c r="C115" i="6"/>
  <c r="D115" i="6" s="1"/>
  <c r="F122" i="6"/>
  <c r="I125" i="6"/>
  <c r="C131" i="6"/>
  <c r="D131" i="6" s="1"/>
  <c r="F138" i="6"/>
  <c r="I141" i="6"/>
  <c r="I143" i="6"/>
  <c r="G145" i="6"/>
  <c r="H145" i="6" s="1"/>
  <c r="E162" i="6"/>
  <c r="B185" i="6"/>
  <c r="G191" i="6"/>
  <c r="H191" i="6" s="1"/>
  <c r="I221" i="6"/>
  <c r="B214" i="6"/>
  <c r="B219" i="6"/>
  <c r="E219" i="6" s="1"/>
  <c r="I249" i="6"/>
  <c r="E257" i="6"/>
  <c r="C245" i="6"/>
  <c r="D245" i="6" s="1"/>
  <c r="C246" i="6"/>
  <c r="D246" i="6" s="1"/>
  <c r="E289" i="6"/>
  <c r="C277" i="6"/>
  <c r="D277" i="6" s="1"/>
  <c r="I298" i="6"/>
  <c r="I286" i="6"/>
  <c r="G286" i="6"/>
  <c r="H286" i="6" s="1"/>
  <c r="E237" i="6"/>
  <c r="C225" i="6"/>
  <c r="D225" i="6" s="1"/>
  <c r="E239" i="6"/>
  <c r="E254" i="6"/>
  <c r="E258" i="6"/>
  <c r="E262" i="6"/>
  <c r="E252" i="6"/>
  <c r="I262" i="6"/>
  <c r="E285" i="6"/>
  <c r="C273" i="6"/>
  <c r="D273" i="6" s="1"/>
  <c r="G282" i="6"/>
  <c r="H282" i="6" s="1"/>
  <c r="E316" i="6"/>
  <c r="C304" i="6"/>
  <c r="D304" i="6" s="1"/>
  <c r="F335" i="6"/>
  <c r="G336" i="6" s="1"/>
  <c r="H336" i="6" s="1"/>
  <c r="B335" i="6"/>
  <c r="E335" i="6" s="1"/>
  <c r="I343" i="6"/>
  <c r="C351" i="6"/>
  <c r="D351" i="6" s="1"/>
  <c r="E434" i="6"/>
  <c r="C422" i="6"/>
  <c r="D422" i="6" s="1"/>
  <c r="E241" i="6"/>
  <c r="C229" i="6"/>
  <c r="D229" i="6" s="1"/>
  <c r="F240" i="6"/>
  <c r="G241" i="6" s="1"/>
  <c r="H241" i="6" s="1"/>
  <c r="I264" i="6"/>
  <c r="E279" i="6"/>
  <c r="E281" i="6"/>
  <c r="C269" i="6"/>
  <c r="D269" i="6" s="1"/>
  <c r="F277" i="6"/>
  <c r="I277" i="6" s="1"/>
  <c r="C280" i="6"/>
  <c r="D280" i="6" s="1"/>
  <c r="F293" i="6"/>
  <c r="I293" i="6" s="1"/>
  <c r="C300" i="6"/>
  <c r="D300" i="6" s="1"/>
  <c r="E312" i="6"/>
  <c r="I328" i="6"/>
  <c r="E350" i="6"/>
  <c r="C338" i="6"/>
  <c r="D338" i="6" s="1"/>
  <c r="I371" i="6"/>
  <c r="I359" i="6"/>
  <c r="B386" i="6"/>
  <c r="F386" i="6"/>
  <c r="I386" i="6" s="1"/>
  <c r="E245" i="6"/>
  <c r="C233" i="6"/>
  <c r="D233" i="6" s="1"/>
  <c r="F244" i="6"/>
  <c r="I301" i="6"/>
  <c r="I314" i="6"/>
  <c r="G302" i="6"/>
  <c r="H302" i="6" s="1"/>
  <c r="G317" i="6"/>
  <c r="H317" i="6" s="1"/>
  <c r="I329" i="6"/>
  <c r="G338" i="6"/>
  <c r="H338" i="6" s="1"/>
  <c r="B356" i="6"/>
  <c r="F356" i="6"/>
  <c r="G357" i="6" s="1"/>
  <c r="H357" i="6" s="1"/>
  <c r="E394" i="6"/>
  <c r="C382" i="6"/>
  <c r="D382" i="6" s="1"/>
  <c r="C383" i="6"/>
  <c r="D383" i="6" s="1"/>
  <c r="C393" i="6"/>
  <c r="D393" i="6" s="1"/>
  <c r="I435" i="6"/>
  <c r="G424" i="6"/>
  <c r="H424" i="6" s="1"/>
  <c r="G423" i="6"/>
  <c r="H423" i="6" s="1"/>
  <c r="B178" i="6"/>
  <c r="E178" i="6" s="1"/>
  <c r="B186" i="6"/>
  <c r="F192" i="6"/>
  <c r="B194" i="6"/>
  <c r="F200" i="6"/>
  <c r="G201" i="6" s="1"/>
  <c r="H201" i="6" s="1"/>
  <c r="B202" i="6"/>
  <c r="F208" i="6"/>
  <c r="G209" i="6" s="1"/>
  <c r="H209" i="6" s="1"/>
  <c r="B210" i="6"/>
  <c r="F216" i="6"/>
  <c r="B222" i="6"/>
  <c r="C223" i="6" s="1"/>
  <c r="D223" i="6" s="1"/>
  <c r="C224" i="6"/>
  <c r="D224" i="6" s="1"/>
  <c r="E269" i="6"/>
  <c r="C257" i="6"/>
  <c r="D257" i="6" s="1"/>
  <c r="F280" i="6"/>
  <c r="G281" i="6" s="1"/>
  <c r="H281" i="6" s="1"/>
  <c r="G289" i="6"/>
  <c r="H289" i="6" s="1"/>
  <c r="G298" i="6"/>
  <c r="H298" i="6" s="1"/>
  <c r="I300" i="6"/>
  <c r="C305" i="6"/>
  <c r="D305" i="6" s="1"/>
  <c r="B317" i="6"/>
  <c r="I332" i="6"/>
  <c r="C348" i="6"/>
  <c r="D348" i="6" s="1"/>
  <c r="E360" i="6"/>
  <c r="E382" i="6"/>
  <c r="E414" i="6"/>
  <c r="C402" i="6"/>
  <c r="D402" i="6" s="1"/>
  <c r="C403" i="6"/>
  <c r="D403" i="6" s="1"/>
  <c r="G432" i="6"/>
  <c r="H432" i="6" s="1"/>
  <c r="I432" i="6"/>
  <c r="G226" i="6"/>
  <c r="H226" i="6" s="1"/>
  <c r="I245" i="6"/>
  <c r="E263" i="6"/>
  <c r="E265" i="6"/>
  <c r="C253" i="6"/>
  <c r="D253" i="6" s="1"/>
  <c r="E259" i="6"/>
  <c r="G265" i="6"/>
  <c r="H265" i="6" s="1"/>
  <c r="C272" i="6"/>
  <c r="D272" i="6" s="1"/>
  <c r="G274" i="6"/>
  <c r="H274" i="6" s="1"/>
  <c r="C276" i="6"/>
  <c r="D276" i="6" s="1"/>
  <c r="E295" i="6"/>
  <c r="E297" i="6"/>
  <c r="C285" i="6"/>
  <c r="D285" i="6" s="1"/>
  <c r="G296" i="6"/>
  <c r="H296" i="6" s="1"/>
  <c r="I302" i="6"/>
  <c r="C307" i="6"/>
  <c r="D307" i="6" s="1"/>
  <c r="E319" i="6"/>
  <c r="I321" i="6"/>
  <c r="I317" i="6"/>
  <c r="F323" i="6"/>
  <c r="C327" i="6"/>
  <c r="D327" i="6" s="1"/>
  <c r="E339" i="6"/>
  <c r="E351" i="6"/>
  <c r="C339" i="6"/>
  <c r="D339" i="6" s="1"/>
  <c r="F348" i="6"/>
  <c r="I348" i="6" s="1"/>
  <c r="I394" i="6"/>
  <c r="G382" i="6"/>
  <c r="H382" i="6" s="1"/>
  <c r="C399" i="6"/>
  <c r="D399" i="6" s="1"/>
  <c r="E411" i="6"/>
  <c r="E427" i="6"/>
  <c r="E253" i="6"/>
  <c r="C241" i="6"/>
  <c r="D241" i="6" s="1"/>
  <c r="E255" i="6"/>
  <c r="E261" i="6"/>
  <c r="C249" i="6"/>
  <c r="D249" i="6" s="1"/>
  <c r="I267" i="6"/>
  <c r="I269" i="6"/>
  <c r="E286" i="6"/>
  <c r="C283" i="6"/>
  <c r="D283" i="6" s="1"/>
  <c r="E292" i="6"/>
  <c r="C301" i="6"/>
  <c r="D301" i="6" s="1"/>
  <c r="G337" i="6"/>
  <c r="H337" i="6" s="1"/>
  <c r="I336" i="6"/>
  <c r="F349" i="6"/>
  <c r="B349" i="6"/>
  <c r="E373" i="6"/>
  <c r="C361" i="6"/>
  <c r="D361" i="6" s="1"/>
  <c r="G366" i="6"/>
  <c r="H366" i="6" s="1"/>
  <c r="B378" i="6"/>
  <c r="F378" i="6"/>
  <c r="I402" i="6"/>
  <c r="G390" i="6"/>
  <c r="H390" i="6" s="1"/>
  <c r="G237" i="6"/>
  <c r="H237" i="6" s="1"/>
  <c r="I251" i="6"/>
  <c r="C243" i="6"/>
  <c r="D243" i="6" s="1"/>
  <c r="C264" i="6"/>
  <c r="D264" i="6" s="1"/>
  <c r="C268" i="6"/>
  <c r="D268" i="6" s="1"/>
  <c r="C270" i="6"/>
  <c r="D270" i="6" s="1"/>
  <c r="C274" i="6"/>
  <c r="D274" i="6" s="1"/>
  <c r="I288" i="6"/>
  <c r="I278" i="6"/>
  <c r="E293" i="6"/>
  <c r="C281" i="6"/>
  <c r="D281" i="6" s="1"/>
  <c r="I297" i="6"/>
  <c r="G285" i="6"/>
  <c r="H285" i="6" s="1"/>
  <c r="E300" i="6"/>
  <c r="B290" i="6"/>
  <c r="E311" i="6"/>
  <c r="C303" i="6"/>
  <c r="D303" i="6" s="1"/>
  <c r="E315" i="6"/>
  <c r="E327" i="6"/>
  <c r="C315" i="6"/>
  <c r="D315" i="6" s="1"/>
  <c r="B318" i="6"/>
  <c r="I339" i="6"/>
  <c r="C340" i="6"/>
  <c r="D340" i="6" s="1"/>
  <c r="G371" i="6"/>
  <c r="H371" i="6" s="1"/>
  <c r="I387" i="6"/>
  <c r="I375" i="6"/>
  <c r="F379" i="6"/>
  <c r="B379" i="6"/>
  <c r="C380" i="6" s="1"/>
  <c r="D380" i="6" s="1"/>
  <c r="C384" i="6"/>
  <c r="D384" i="6" s="1"/>
  <c r="E396" i="6"/>
  <c r="F395" i="6"/>
  <c r="B395" i="6"/>
  <c r="G321" i="6"/>
  <c r="H321" i="6" s="1"/>
  <c r="E346" i="6"/>
  <c r="E362" i="6"/>
  <c r="I446" i="6"/>
  <c r="F528" i="6"/>
  <c r="I528" i="6" s="1"/>
  <c r="B528" i="6"/>
  <c r="C529" i="6" s="1"/>
  <c r="D529" i="6" s="1"/>
  <c r="E333" i="6"/>
  <c r="C321" i="6"/>
  <c r="D321" i="6" s="1"/>
  <c r="C334" i="6"/>
  <c r="D334" i="6" s="1"/>
  <c r="F346" i="6"/>
  <c r="B346" i="6"/>
  <c r="F354" i="6"/>
  <c r="B354" i="6"/>
  <c r="F358" i="6"/>
  <c r="G359" i="6" s="1"/>
  <c r="H359" i="6" s="1"/>
  <c r="B358" i="6"/>
  <c r="C359" i="6" s="1"/>
  <c r="D359" i="6" s="1"/>
  <c r="I374" i="6"/>
  <c r="G362" i="6"/>
  <c r="H362" i="6" s="1"/>
  <c r="G363" i="6"/>
  <c r="H363" i="6" s="1"/>
  <c r="B368" i="6"/>
  <c r="F368" i="6"/>
  <c r="G372" i="6"/>
  <c r="H372" i="6" s="1"/>
  <c r="I384" i="6"/>
  <c r="E392" i="6"/>
  <c r="G397" i="6"/>
  <c r="H397" i="6" s="1"/>
  <c r="G297" i="6"/>
  <c r="H297" i="6" s="1"/>
  <c r="I309" i="6"/>
  <c r="B308" i="6"/>
  <c r="E308" i="6" s="1"/>
  <c r="I331" i="6"/>
  <c r="G319" i="6"/>
  <c r="H319" i="6" s="1"/>
  <c r="B331" i="6"/>
  <c r="C332" i="6" s="1"/>
  <c r="D332" i="6" s="1"/>
  <c r="G340" i="6"/>
  <c r="H340" i="6" s="1"/>
  <c r="G343" i="6"/>
  <c r="H343" i="6" s="1"/>
  <c r="I372" i="6"/>
  <c r="C425" i="6"/>
  <c r="D425" i="6" s="1"/>
  <c r="E437" i="6"/>
  <c r="I229" i="6"/>
  <c r="G242" i="6"/>
  <c r="H242" i="6" s="1"/>
  <c r="C248" i="6"/>
  <c r="D248" i="6" s="1"/>
  <c r="G250" i="6"/>
  <c r="H250" i="6" s="1"/>
  <c r="C252" i="6"/>
  <c r="D252" i="6" s="1"/>
  <c r="G264" i="6"/>
  <c r="H264" i="6" s="1"/>
  <c r="C284" i="6"/>
  <c r="D284" i="6" s="1"/>
  <c r="E314" i="6"/>
  <c r="C306" i="6"/>
  <c r="D306" i="6" s="1"/>
  <c r="G310" i="6"/>
  <c r="H310" i="6" s="1"/>
  <c r="F313" i="6"/>
  <c r="I313" i="6" s="1"/>
  <c r="B313" i="6"/>
  <c r="C316" i="6"/>
  <c r="D316" i="6" s="1"/>
  <c r="B319" i="6"/>
  <c r="F322" i="6"/>
  <c r="I322" i="6" s="1"/>
  <c r="B322" i="6"/>
  <c r="F325" i="6"/>
  <c r="B325" i="6"/>
  <c r="I340" i="6"/>
  <c r="E367" i="6"/>
  <c r="E355" i="6"/>
  <c r="B364" i="6"/>
  <c r="F364" i="6"/>
  <c r="I434" i="6"/>
  <c r="G422" i="6"/>
  <c r="H422" i="6" s="1"/>
  <c r="E452" i="6"/>
  <c r="C440" i="6"/>
  <c r="D440" i="6" s="1"/>
  <c r="C372" i="6"/>
  <c r="D372" i="6" s="1"/>
  <c r="E384" i="6"/>
  <c r="G374" i="6"/>
  <c r="H374" i="6" s="1"/>
  <c r="C391" i="6"/>
  <c r="D391" i="6" s="1"/>
  <c r="E403" i="6"/>
  <c r="E418" i="6"/>
  <c r="E421" i="6"/>
  <c r="C409" i="6"/>
  <c r="D409" i="6" s="1"/>
  <c r="I451" i="6"/>
  <c r="G439" i="6"/>
  <c r="H439" i="6" s="1"/>
  <c r="F471" i="6"/>
  <c r="B471" i="6"/>
  <c r="E471" i="6" s="1"/>
  <c r="G360" i="6"/>
  <c r="H360" i="6" s="1"/>
  <c r="G361" i="6"/>
  <c r="H361" i="6" s="1"/>
  <c r="C375" i="6"/>
  <c r="D375" i="6" s="1"/>
  <c r="E387" i="6"/>
  <c r="I406" i="6"/>
  <c r="G394" i="6"/>
  <c r="H394" i="6" s="1"/>
  <c r="B444" i="6"/>
  <c r="E444" i="6" s="1"/>
  <c r="F444" i="6"/>
  <c r="I444" i="6" s="1"/>
  <c r="C451" i="6"/>
  <c r="D451" i="6" s="1"/>
  <c r="C452" i="6"/>
  <c r="D452" i="6" s="1"/>
  <c r="C416" i="6"/>
  <c r="D416" i="6" s="1"/>
  <c r="E416" i="6"/>
  <c r="E453" i="6"/>
  <c r="C442" i="6"/>
  <c r="D442" i="6" s="1"/>
  <c r="G451" i="6"/>
  <c r="H451" i="6" s="1"/>
  <c r="C502" i="6"/>
  <c r="D502" i="6" s="1"/>
  <c r="E514" i="6"/>
  <c r="E502" i="6"/>
  <c r="E304" i="6"/>
  <c r="I318" i="6"/>
  <c r="B344" i="6"/>
  <c r="F344" i="6"/>
  <c r="I344" i="6" s="1"/>
  <c r="B352" i="6"/>
  <c r="F352" i="6"/>
  <c r="E404" i="6"/>
  <c r="B407" i="6"/>
  <c r="F407" i="6"/>
  <c r="I425" i="6"/>
  <c r="G413" i="6"/>
  <c r="H413" i="6" s="1"/>
  <c r="C426" i="6"/>
  <c r="D426" i="6" s="1"/>
  <c r="E438" i="6"/>
  <c r="C441" i="6"/>
  <c r="D441" i="6" s="1"/>
  <c r="C292" i="6"/>
  <c r="D292" i="6" s="1"/>
  <c r="G306" i="6"/>
  <c r="H306" i="6" s="1"/>
  <c r="B342" i="6"/>
  <c r="C343" i="6" s="1"/>
  <c r="D343" i="6" s="1"/>
  <c r="I367" i="6"/>
  <c r="G367" i="6"/>
  <c r="H367" i="6" s="1"/>
  <c r="G392" i="6"/>
  <c r="H392" i="6" s="1"/>
  <c r="I410" i="6"/>
  <c r="G398" i="6"/>
  <c r="H398" i="6" s="1"/>
  <c r="E425" i="6"/>
  <c r="E449" i="6"/>
  <c r="C437" i="6"/>
  <c r="D437" i="6" s="1"/>
  <c r="C465" i="6"/>
  <c r="D465" i="6" s="1"/>
  <c r="G303" i="6"/>
  <c r="H303" i="6" s="1"/>
  <c r="I327" i="6"/>
  <c r="C329" i="6"/>
  <c r="D329" i="6" s="1"/>
  <c r="E332" i="6"/>
  <c r="I346" i="6"/>
  <c r="E349" i="6"/>
  <c r="C337" i="6"/>
  <c r="D337" i="6" s="1"/>
  <c r="E344" i="6"/>
  <c r="F353" i="6"/>
  <c r="B353" i="6"/>
  <c r="C401" i="6"/>
  <c r="D401" i="6" s="1"/>
  <c r="C411" i="6"/>
  <c r="D411" i="6" s="1"/>
  <c r="E423" i="6"/>
  <c r="C413" i="6"/>
  <c r="D413" i="6" s="1"/>
  <c r="C423" i="6"/>
  <c r="D423" i="6" s="1"/>
  <c r="F437" i="6"/>
  <c r="I437" i="6" s="1"/>
  <c r="E465" i="6"/>
  <c r="G376" i="6"/>
  <c r="H376" i="6" s="1"/>
  <c r="E397" i="6"/>
  <c r="C385" i="6"/>
  <c r="D385" i="6" s="1"/>
  <c r="E402" i="6"/>
  <c r="C390" i="6"/>
  <c r="D390" i="6" s="1"/>
  <c r="G402" i="6"/>
  <c r="H402" i="6" s="1"/>
  <c r="G409" i="6"/>
  <c r="H409" i="6" s="1"/>
  <c r="G420" i="6"/>
  <c r="H420" i="6" s="1"/>
  <c r="G421" i="6"/>
  <c r="H421" i="6" s="1"/>
  <c r="E430" i="6"/>
  <c r="E450" i="6"/>
  <c r="C438" i="6"/>
  <c r="D438" i="6" s="1"/>
  <c r="C466" i="6"/>
  <c r="D466" i="6" s="1"/>
  <c r="E478" i="6"/>
  <c r="C296" i="6"/>
  <c r="D296" i="6" s="1"/>
  <c r="F333" i="6"/>
  <c r="B333" i="6"/>
  <c r="E348" i="6"/>
  <c r="I363" i="6"/>
  <c r="G351" i="6"/>
  <c r="H351" i="6" s="1"/>
  <c r="C394" i="6"/>
  <c r="D394" i="6" s="1"/>
  <c r="E409" i="6"/>
  <c r="C397" i="6"/>
  <c r="D397" i="6" s="1"/>
  <c r="C398" i="6"/>
  <c r="D398" i="6" s="1"/>
  <c r="E415" i="6"/>
  <c r="E433" i="6"/>
  <c r="C421" i="6"/>
  <c r="D421" i="6" s="1"/>
  <c r="G431" i="6"/>
  <c r="H431" i="6" s="1"/>
  <c r="I431" i="6"/>
  <c r="C435" i="6"/>
  <c r="D435" i="6" s="1"/>
  <c r="F443" i="6"/>
  <c r="I443" i="6" s="1"/>
  <c r="B443" i="6"/>
  <c r="I460" i="6"/>
  <c r="F457" i="6"/>
  <c r="G458" i="6" s="1"/>
  <c r="H458" i="6" s="1"/>
  <c r="B457" i="6"/>
  <c r="B536" i="6"/>
  <c r="F536" i="6"/>
  <c r="G537" i="6" s="1"/>
  <c r="H537" i="6" s="1"/>
  <c r="I552" i="6"/>
  <c r="I382" i="6"/>
  <c r="E386" i="6"/>
  <c r="I413" i="6"/>
  <c r="G401" i="6"/>
  <c r="H401" i="6" s="1"/>
  <c r="G440" i="6"/>
  <c r="H440" i="6" s="1"/>
  <c r="C456" i="6"/>
  <c r="D456" i="6" s="1"/>
  <c r="E468" i="6"/>
  <c r="B467" i="6"/>
  <c r="F467" i="6"/>
  <c r="G468" i="6" s="1"/>
  <c r="H468" i="6" s="1"/>
  <c r="I482" i="6"/>
  <c r="C320" i="6"/>
  <c r="D320" i="6" s="1"/>
  <c r="E395" i="6"/>
  <c r="G399" i="6"/>
  <c r="H399" i="6" s="1"/>
  <c r="I418" i="6"/>
  <c r="I430" i="6"/>
  <c r="C428" i="6"/>
  <c r="D428" i="6" s="1"/>
  <c r="E440" i="6"/>
  <c r="F433" i="6"/>
  <c r="G434" i="6" s="1"/>
  <c r="H434" i="6" s="1"/>
  <c r="B433" i="6"/>
  <c r="I496" i="6"/>
  <c r="G484" i="6"/>
  <c r="H484" i="6" s="1"/>
  <c r="E537" i="6"/>
  <c r="C525" i="6"/>
  <c r="D525" i="6" s="1"/>
  <c r="I586" i="6"/>
  <c r="G574" i="6"/>
  <c r="H574" i="6" s="1"/>
  <c r="C324" i="6"/>
  <c r="D324" i="6" s="1"/>
  <c r="G341" i="6"/>
  <c r="H341" i="6" s="1"/>
  <c r="F369" i="6"/>
  <c r="G370" i="6" s="1"/>
  <c r="H370" i="6" s="1"/>
  <c r="B369" i="6"/>
  <c r="E383" i="6"/>
  <c r="G373" i="6"/>
  <c r="H373" i="6" s="1"/>
  <c r="G377" i="6"/>
  <c r="H377" i="6" s="1"/>
  <c r="F383" i="6"/>
  <c r="I383" i="6" s="1"/>
  <c r="I401" i="6"/>
  <c r="C400" i="6"/>
  <c r="D400" i="6" s="1"/>
  <c r="E412" i="6"/>
  <c r="F414" i="6"/>
  <c r="I414" i="6" s="1"/>
  <c r="B414" i="6"/>
  <c r="C415" i="6" s="1"/>
  <c r="D415" i="6" s="1"/>
  <c r="I440" i="6"/>
  <c r="I438" i="6"/>
  <c r="I453" i="6"/>
  <c r="G441" i="6"/>
  <c r="H441" i="6" s="1"/>
  <c r="G442" i="6"/>
  <c r="H442" i="6" s="1"/>
  <c r="C460" i="6"/>
  <c r="D460" i="6" s="1"/>
  <c r="B481" i="6"/>
  <c r="F481" i="6"/>
  <c r="B489" i="6"/>
  <c r="F489" i="6"/>
  <c r="C328" i="6"/>
  <c r="D328" i="6" s="1"/>
  <c r="E353" i="6"/>
  <c r="I362" i="6"/>
  <c r="C367" i="6"/>
  <c r="D367" i="6" s="1"/>
  <c r="E385" i="6"/>
  <c r="E393" i="6"/>
  <c r="C381" i="6"/>
  <c r="D381" i="6" s="1"/>
  <c r="E401" i="6"/>
  <c r="G393" i="6"/>
  <c r="H393" i="6" s="1"/>
  <c r="E410" i="6"/>
  <c r="I411" i="6"/>
  <c r="E443" i="6"/>
  <c r="G436" i="6"/>
  <c r="H436" i="6" s="1"/>
  <c r="C439" i="6"/>
  <c r="D439" i="6" s="1"/>
  <c r="I472" i="6"/>
  <c r="G460" i="6"/>
  <c r="H460" i="6" s="1"/>
  <c r="I497" i="6"/>
  <c r="G485" i="6"/>
  <c r="H485" i="6" s="1"/>
  <c r="G486" i="6"/>
  <c r="H486" i="6" s="1"/>
  <c r="G503" i="6"/>
  <c r="H503" i="6" s="1"/>
  <c r="F517" i="6"/>
  <c r="B517" i="6"/>
  <c r="C518" i="6" s="1"/>
  <c r="D518" i="6" s="1"/>
  <c r="G521" i="6"/>
  <c r="H521" i="6" s="1"/>
  <c r="I533" i="6"/>
  <c r="E568" i="6"/>
  <c r="I342" i="6"/>
  <c r="C341" i="6"/>
  <c r="D341" i="6" s="1"/>
  <c r="E357" i="6"/>
  <c r="G350" i="6"/>
  <c r="H350" i="6" s="1"/>
  <c r="B363" i="6"/>
  <c r="E363" i="6" s="1"/>
  <c r="G365" i="6"/>
  <c r="H365" i="6" s="1"/>
  <c r="I377" i="6"/>
  <c r="C373" i="6"/>
  <c r="D373" i="6" s="1"/>
  <c r="E379" i="6"/>
  <c r="C389" i="6"/>
  <c r="D389" i="6" s="1"/>
  <c r="C396" i="6"/>
  <c r="D396" i="6" s="1"/>
  <c r="E408" i="6"/>
  <c r="E400" i="6"/>
  <c r="I415" i="6"/>
  <c r="G403" i="6"/>
  <c r="H403" i="6" s="1"/>
  <c r="F405" i="6"/>
  <c r="B405" i="6"/>
  <c r="E405" i="6" s="1"/>
  <c r="I427" i="6"/>
  <c r="F417" i="6"/>
  <c r="B417" i="6"/>
  <c r="C418" i="6" s="1"/>
  <c r="D418" i="6" s="1"/>
  <c r="G419" i="6"/>
  <c r="H419" i="6" s="1"/>
  <c r="C431" i="6"/>
  <c r="D431" i="6" s="1"/>
  <c r="G452" i="6"/>
  <c r="H452" i="6" s="1"/>
  <c r="I464" i="6"/>
  <c r="C503" i="6"/>
  <c r="D503" i="6" s="1"/>
  <c r="C504" i="6"/>
  <c r="D504" i="6" s="1"/>
  <c r="C545" i="6"/>
  <c r="D545" i="6" s="1"/>
  <c r="I470" i="6"/>
  <c r="E482" i="6"/>
  <c r="C510" i="6"/>
  <c r="D510" i="6" s="1"/>
  <c r="E522" i="6"/>
  <c r="C540" i="6"/>
  <c r="D540" i="6" s="1"/>
  <c r="E505" i="6"/>
  <c r="C493" i="6"/>
  <c r="D493" i="6" s="1"/>
  <c r="C498" i="6"/>
  <c r="D498" i="6" s="1"/>
  <c r="E510" i="6"/>
  <c r="E498" i="6"/>
  <c r="F505" i="6"/>
  <c r="G506" i="6" s="1"/>
  <c r="H506" i="6" s="1"/>
  <c r="C519" i="6"/>
  <c r="D519" i="6" s="1"/>
  <c r="I556" i="6"/>
  <c r="F587" i="6"/>
  <c r="G588" i="6" s="1"/>
  <c r="H588" i="6" s="1"/>
  <c r="B587" i="6"/>
  <c r="F477" i="6"/>
  <c r="B477" i="6"/>
  <c r="I492" i="6"/>
  <c r="I525" i="6"/>
  <c r="G514" i="6"/>
  <c r="H514" i="6" s="1"/>
  <c r="B520" i="6"/>
  <c r="E520" i="6" s="1"/>
  <c r="F520" i="6"/>
  <c r="C535" i="6"/>
  <c r="D535" i="6" s="1"/>
  <c r="E547" i="6"/>
  <c r="I629" i="6"/>
  <c r="G617" i="6"/>
  <c r="H617" i="6" s="1"/>
  <c r="C360" i="6"/>
  <c r="D360" i="6" s="1"/>
  <c r="E372" i="6"/>
  <c r="C408" i="6"/>
  <c r="D408" i="6" s="1"/>
  <c r="F429" i="6"/>
  <c r="G430" i="6" s="1"/>
  <c r="H430" i="6" s="1"/>
  <c r="B429" i="6"/>
  <c r="E457" i="6"/>
  <c r="F447" i="6"/>
  <c r="I447" i="6" s="1"/>
  <c r="B447" i="6"/>
  <c r="I461" i="6"/>
  <c r="G449" i="6"/>
  <c r="H449" i="6" s="1"/>
  <c r="B463" i="6"/>
  <c r="F463" i="6"/>
  <c r="G464" i="6" s="1"/>
  <c r="H464" i="6" s="1"/>
  <c r="F475" i="6"/>
  <c r="B475" i="6"/>
  <c r="F511" i="6"/>
  <c r="B511" i="6"/>
  <c r="G550" i="6"/>
  <c r="H550" i="6" s="1"/>
  <c r="I550" i="6"/>
  <c r="I617" i="6"/>
  <c r="E466" i="6"/>
  <c r="E454" i="6"/>
  <c r="C454" i="6"/>
  <c r="D454" i="6" s="1"/>
  <c r="I484" i="6"/>
  <c r="G472" i="6"/>
  <c r="H472" i="6" s="1"/>
  <c r="F479" i="6"/>
  <c r="G480" i="6" s="1"/>
  <c r="H480" i="6" s="1"/>
  <c r="B479" i="6"/>
  <c r="F512" i="6"/>
  <c r="I512" i="6" s="1"/>
  <c r="B512" i="6"/>
  <c r="C513" i="6" s="1"/>
  <c r="D513" i="6" s="1"/>
  <c r="F515" i="6"/>
  <c r="G516" i="6" s="1"/>
  <c r="H516" i="6" s="1"/>
  <c r="B515" i="6"/>
  <c r="E515" i="6" s="1"/>
  <c r="C376" i="6"/>
  <c r="D376" i="6" s="1"/>
  <c r="C404" i="6"/>
  <c r="D404" i="6" s="1"/>
  <c r="E431" i="6"/>
  <c r="C436" i="6"/>
  <c r="D436" i="6" s="1"/>
  <c r="C461" i="6"/>
  <c r="D461" i="6" s="1"/>
  <c r="F469" i="6"/>
  <c r="B469" i="6"/>
  <c r="B472" i="6"/>
  <c r="E472" i="6" s="1"/>
  <c r="C530" i="6"/>
  <c r="D530" i="6" s="1"/>
  <c r="E542" i="6"/>
  <c r="I504" i="6"/>
  <c r="I573" i="6"/>
  <c r="E616" i="6"/>
  <c r="C604" i="6"/>
  <c r="D604" i="6" s="1"/>
  <c r="G466" i="6"/>
  <c r="H466" i="6" s="1"/>
  <c r="I478" i="6"/>
  <c r="I488" i="6"/>
  <c r="G476" i="6"/>
  <c r="H476" i="6" s="1"/>
  <c r="I513" i="6"/>
  <c r="G501" i="6"/>
  <c r="H501" i="6" s="1"/>
  <c r="F523" i="6"/>
  <c r="B523" i="6"/>
  <c r="E559" i="6"/>
  <c r="C547" i="6"/>
  <c r="D547" i="6" s="1"/>
  <c r="C559" i="6"/>
  <c r="D559" i="6" s="1"/>
  <c r="F563" i="6"/>
  <c r="G564" i="6" s="1"/>
  <c r="H564" i="6" s="1"/>
  <c r="B563" i="6"/>
  <c r="C564" i="6" s="1"/>
  <c r="D564" i="6" s="1"/>
  <c r="G573" i="6"/>
  <c r="H573" i="6" s="1"/>
  <c r="G456" i="6"/>
  <c r="H456" i="6" s="1"/>
  <c r="G500" i="6"/>
  <c r="H500" i="6" s="1"/>
  <c r="B532" i="6"/>
  <c r="F532" i="6"/>
  <c r="G559" i="6"/>
  <c r="H559" i="6" s="1"/>
  <c r="B576" i="6"/>
  <c r="E576" i="6" s="1"/>
  <c r="F576" i="6"/>
  <c r="G577" i="6" s="1"/>
  <c r="H577" i="6" s="1"/>
  <c r="E591" i="6"/>
  <c r="E541" i="6"/>
  <c r="I561" i="6"/>
  <c r="G549" i="6"/>
  <c r="H549" i="6" s="1"/>
  <c r="B560" i="6"/>
  <c r="F560" i="6"/>
  <c r="I560" i="6" s="1"/>
  <c r="B592" i="6"/>
  <c r="E592" i="6" s="1"/>
  <c r="F592" i="6"/>
  <c r="I592" i="6" s="1"/>
  <c r="C598" i="6"/>
  <c r="D598" i="6" s="1"/>
  <c r="E610" i="6"/>
  <c r="I476" i="6"/>
  <c r="G474" i="6"/>
  <c r="H474" i="6" s="1"/>
  <c r="E492" i="6"/>
  <c r="I486" i="6"/>
  <c r="E530" i="6"/>
  <c r="F529" i="6"/>
  <c r="G530" i="6" s="1"/>
  <c r="H530" i="6" s="1"/>
  <c r="G542" i="6"/>
  <c r="H542" i="6" s="1"/>
  <c r="B549" i="6"/>
  <c r="C550" i="6" s="1"/>
  <c r="D550" i="6" s="1"/>
  <c r="E621" i="6"/>
  <c r="C412" i="6"/>
  <c r="D412" i="6" s="1"/>
  <c r="E436" i="6"/>
  <c r="C424" i="6"/>
  <c r="D424" i="6" s="1"/>
  <c r="F487" i="6"/>
  <c r="B487" i="6"/>
  <c r="E508" i="6"/>
  <c r="B509" i="6"/>
  <c r="F509" i="6"/>
  <c r="G510" i="6" s="1"/>
  <c r="H510" i="6" s="1"/>
  <c r="B521" i="6"/>
  <c r="B557" i="6"/>
  <c r="E557" i="6" s="1"/>
  <c r="F557" i="6"/>
  <c r="G580" i="6"/>
  <c r="H580" i="6" s="1"/>
  <c r="G498" i="6"/>
  <c r="H498" i="6" s="1"/>
  <c r="E518" i="6"/>
  <c r="G526" i="6"/>
  <c r="H526" i="6" s="1"/>
  <c r="C537" i="6"/>
  <c r="D537" i="6" s="1"/>
  <c r="E549" i="6"/>
  <c r="F543" i="6"/>
  <c r="G544" i="6" s="1"/>
  <c r="H544" i="6" s="1"/>
  <c r="B543" i="6"/>
  <c r="C544" i="6" s="1"/>
  <c r="D544" i="6" s="1"/>
  <c r="I549" i="6"/>
  <c r="B581" i="6"/>
  <c r="F581" i="6"/>
  <c r="I581" i="6" s="1"/>
  <c r="C605" i="6"/>
  <c r="D605" i="6" s="1"/>
  <c r="E617" i="6"/>
  <c r="E605" i="6"/>
  <c r="E611" i="6"/>
  <c r="C599" i="6"/>
  <c r="D599" i="6" s="1"/>
  <c r="C600" i="6"/>
  <c r="D600" i="6" s="1"/>
  <c r="I645" i="6"/>
  <c r="C449" i="6"/>
  <c r="D449" i="6" s="1"/>
  <c r="C478" i="6"/>
  <c r="D478" i="6" s="1"/>
  <c r="I508" i="6"/>
  <c r="G496" i="6"/>
  <c r="H496" i="6" s="1"/>
  <c r="E511" i="6"/>
  <c r="C534" i="6"/>
  <c r="D534" i="6" s="1"/>
  <c r="E546" i="6"/>
  <c r="E556" i="6"/>
  <c r="G570" i="6"/>
  <c r="H570" i="6" s="1"/>
  <c r="B585" i="6"/>
  <c r="F585" i="6"/>
  <c r="G586" i="6" s="1"/>
  <c r="H586" i="6" s="1"/>
  <c r="I473" i="6"/>
  <c r="G461" i="6"/>
  <c r="H461" i="6" s="1"/>
  <c r="E500" i="6"/>
  <c r="C488" i="6"/>
  <c r="D488" i="6" s="1"/>
  <c r="F507" i="6"/>
  <c r="G508" i="6" s="1"/>
  <c r="H508" i="6" s="1"/>
  <c r="B507" i="6"/>
  <c r="F531" i="6"/>
  <c r="B531" i="6"/>
  <c r="C538" i="6"/>
  <c r="D538" i="6" s="1"/>
  <c r="E550" i="6"/>
  <c r="C541" i="6"/>
  <c r="D541" i="6" s="1"/>
  <c r="E553" i="6"/>
  <c r="I547" i="6"/>
  <c r="C562" i="6"/>
  <c r="D562" i="6" s="1"/>
  <c r="E574" i="6"/>
  <c r="I596" i="6"/>
  <c r="I608" i="6"/>
  <c r="G596" i="6"/>
  <c r="H596" i="6" s="1"/>
  <c r="G597" i="6"/>
  <c r="H597" i="6" s="1"/>
  <c r="G601" i="6"/>
  <c r="H601" i="6" s="1"/>
  <c r="F623" i="6"/>
  <c r="G624" i="6" s="1"/>
  <c r="H624" i="6" s="1"/>
  <c r="B623" i="6"/>
  <c r="C624" i="6" s="1"/>
  <c r="D624" i="6" s="1"/>
  <c r="G626" i="6"/>
  <c r="H626" i="6" s="1"/>
  <c r="I638" i="6"/>
  <c r="G627" i="6"/>
  <c r="H627" i="6" s="1"/>
  <c r="F654" i="6"/>
  <c r="B654" i="6"/>
  <c r="G657" i="6"/>
  <c r="H657" i="6" s="1"/>
  <c r="G629" i="6"/>
  <c r="H629" i="6" s="1"/>
  <c r="I641" i="6"/>
  <c r="E648" i="6"/>
  <c r="C636" i="6"/>
  <c r="D636" i="6" s="1"/>
  <c r="F680" i="6"/>
  <c r="B680" i="6"/>
  <c r="E696" i="6"/>
  <c r="C684" i="6"/>
  <c r="D684" i="6" s="1"/>
  <c r="C685" i="6"/>
  <c r="D685" i="6" s="1"/>
  <c r="G519" i="6"/>
  <c r="H519" i="6" s="1"/>
  <c r="C553" i="6"/>
  <c r="D553" i="6" s="1"/>
  <c r="C590" i="6"/>
  <c r="D590" i="6" s="1"/>
  <c r="G595" i="6"/>
  <c r="H595" i="6" s="1"/>
  <c r="E609" i="6"/>
  <c r="C597" i="6"/>
  <c r="D597" i="6" s="1"/>
  <c r="G609" i="6"/>
  <c r="H609" i="6" s="1"/>
  <c r="F615" i="6"/>
  <c r="G616" i="6" s="1"/>
  <c r="H616" i="6" s="1"/>
  <c r="B615" i="6"/>
  <c r="B621" i="6"/>
  <c r="F621" i="6"/>
  <c r="I621" i="6" s="1"/>
  <c r="E636" i="6"/>
  <c r="I495" i="6"/>
  <c r="E497" i="6"/>
  <c r="I498" i="6"/>
  <c r="C490" i="6"/>
  <c r="D490" i="6" s="1"/>
  <c r="B495" i="6"/>
  <c r="C496" i="6" s="1"/>
  <c r="D496" i="6" s="1"/>
  <c r="I516" i="6"/>
  <c r="G504" i="6"/>
  <c r="H504" i="6" s="1"/>
  <c r="C514" i="6"/>
  <c r="D514" i="6" s="1"/>
  <c r="B524" i="6"/>
  <c r="F524" i="6"/>
  <c r="C526" i="6"/>
  <c r="D526" i="6" s="1"/>
  <c r="I542" i="6"/>
  <c r="G534" i="6"/>
  <c r="H534" i="6" s="1"/>
  <c r="F555" i="6"/>
  <c r="G556" i="6" s="1"/>
  <c r="H556" i="6" s="1"/>
  <c r="B555" i="6"/>
  <c r="G578" i="6"/>
  <c r="H578" i="6" s="1"/>
  <c r="E590" i="6"/>
  <c r="E607" i="6"/>
  <c r="E614" i="6"/>
  <c r="F607" i="6"/>
  <c r="G608" i="6" s="1"/>
  <c r="H608" i="6" s="1"/>
  <c r="B607" i="6"/>
  <c r="I609" i="6"/>
  <c r="E630" i="6"/>
  <c r="C618" i="6"/>
  <c r="D618" i="6" s="1"/>
  <c r="E624" i="6"/>
  <c r="E646" i="6"/>
  <c r="C635" i="6"/>
  <c r="D635" i="6" s="1"/>
  <c r="I462" i="6"/>
  <c r="I480" i="6"/>
  <c r="B483" i="6"/>
  <c r="C485" i="6"/>
  <c r="D485" i="6" s="1"/>
  <c r="G499" i="6"/>
  <c r="H499" i="6" s="1"/>
  <c r="E528" i="6"/>
  <c r="E526" i="6"/>
  <c r="E545" i="6"/>
  <c r="F539" i="6"/>
  <c r="G540" i="6" s="1"/>
  <c r="H540" i="6" s="1"/>
  <c r="B539" i="6"/>
  <c r="B568" i="6"/>
  <c r="C569" i="6" s="1"/>
  <c r="D569" i="6" s="1"/>
  <c r="F568" i="6"/>
  <c r="I568" i="6" s="1"/>
  <c r="I579" i="6"/>
  <c r="F583" i="6"/>
  <c r="B583" i="6"/>
  <c r="C588" i="6"/>
  <c r="D588" i="6" s="1"/>
  <c r="E600" i="6"/>
  <c r="I602" i="6"/>
  <c r="I590" i="6"/>
  <c r="C595" i="6"/>
  <c r="D595" i="6" s="1"/>
  <c r="E602" i="6"/>
  <c r="C634" i="6"/>
  <c r="D634" i="6" s="1"/>
  <c r="E618" i="6"/>
  <c r="F637" i="6"/>
  <c r="I637" i="6" s="1"/>
  <c r="B637" i="6"/>
  <c r="E664" i="6"/>
  <c r="E625" i="6"/>
  <c r="I630" i="6"/>
  <c r="G618" i="6"/>
  <c r="H618" i="6" s="1"/>
  <c r="F649" i="6"/>
  <c r="G650" i="6" s="1"/>
  <c r="H650" i="6" s="1"/>
  <c r="B649" i="6"/>
  <c r="C650" i="6" s="1"/>
  <c r="D650" i="6" s="1"/>
  <c r="C546" i="6"/>
  <c r="D546" i="6" s="1"/>
  <c r="C548" i="6"/>
  <c r="D548" i="6" s="1"/>
  <c r="E562" i="6"/>
  <c r="I564" i="6"/>
  <c r="G552" i="6"/>
  <c r="H552" i="6" s="1"/>
  <c r="I584" i="6"/>
  <c r="F575" i="6"/>
  <c r="B575" i="6"/>
  <c r="I600" i="6"/>
  <c r="F591" i="6"/>
  <c r="B591" i="6"/>
  <c r="C608" i="6"/>
  <c r="D608" i="6" s="1"/>
  <c r="C613" i="6"/>
  <c r="D613" i="6" s="1"/>
  <c r="F619" i="6"/>
  <c r="B619" i="6"/>
  <c r="B625" i="6"/>
  <c r="C494" i="6"/>
  <c r="D494" i="6" s="1"/>
  <c r="G522" i="6"/>
  <c r="H522" i="6" s="1"/>
  <c r="G533" i="6"/>
  <c r="H533" i="6" s="1"/>
  <c r="E564" i="6"/>
  <c r="E560" i="6"/>
  <c r="I574" i="6"/>
  <c r="E596" i="6"/>
  <c r="C584" i="6"/>
  <c r="D584" i="6" s="1"/>
  <c r="B589" i="6"/>
  <c r="F589" i="6"/>
  <c r="E598" i="6"/>
  <c r="E615" i="6"/>
  <c r="C603" i="6"/>
  <c r="D603" i="6" s="1"/>
  <c r="I605" i="6"/>
  <c r="I610" i="6"/>
  <c r="F613" i="6"/>
  <c r="I613" i="6" s="1"/>
  <c r="E622" i="6"/>
  <c r="I640" i="6"/>
  <c r="G628" i="6"/>
  <c r="H628" i="6" s="1"/>
  <c r="C639" i="6"/>
  <c r="D639" i="6" s="1"/>
  <c r="E650" i="6"/>
  <c r="I668" i="6"/>
  <c r="G656" i="6"/>
  <c r="H656" i="6" s="1"/>
  <c r="I656" i="6"/>
  <c r="B664" i="6"/>
  <c r="F664" i="6"/>
  <c r="I664" i="6" s="1"/>
  <c r="C542" i="6"/>
  <c r="D542" i="6" s="1"/>
  <c r="I558" i="6"/>
  <c r="G548" i="6"/>
  <c r="H548" i="6" s="1"/>
  <c r="C556" i="6"/>
  <c r="D556" i="6" s="1"/>
  <c r="E558" i="6"/>
  <c r="B565" i="6"/>
  <c r="E565" i="6" s="1"/>
  <c r="F565" i="6"/>
  <c r="E608" i="6"/>
  <c r="I634" i="6"/>
  <c r="B632" i="6"/>
  <c r="F632" i="6"/>
  <c r="I632" i="6" s="1"/>
  <c r="F669" i="6"/>
  <c r="I669" i="6" s="1"/>
  <c r="B669" i="6"/>
  <c r="C601" i="6"/>
  <c r="D601" i="6" s="1"/>
  <c r="E613" i="6"/>
  <c r="C614" i="6"/>
  <c r="D614" i="6" s="1"/>
  <c r="E626" i="6"/>
  <c r="I628" i="6"/>
  <c r="I622" i="6"/>
  <c r="C626" i="6"/>
  <c r="D626" i="6" s="1"/>
  <c r="E638" i="6"/>
  <c r="E673" i="6"/>
  <c r="C661" i="6"/>
  <c r="D661" i="6" s="1"/>
  <c r="E629" i="6"/>
  <c r="C617" i="6"/>
  <c r="D617" i="6" s="1"/>
  <c r="G630" i="6"/>
  <c r="H630" i="6" s="1"/>
  <c r="F642" i="6"/>
  <c r="I642" i="6" s="1"/>
  <c r="B642" i="6"/>
  <c r="E662" i="6"/>
  <c r="C651" i="6"/>
  <c r="D651" i="6" s="1"/>
  <c r="E671" i="6"/>
  <c r="C660" i="6"/>
  <c r="D660" i="6" s="1"/>
  <c r="E701" i="6"/>
  <c r="C689" i="6"/>
  <c r="D689" i="6" s="1"/>
  <c r="F765" i="6"/>
  <c r="I765" i="6" s="1"/>
  <c r="B765" i="6"/>
  <c r="G599" i="6"/>
  <c r="H599" i="6" s="1"/>
  <c r="F611" i="6"/>
  <c r="B611" i="6"/>
  <c r="B630" i="6"/>
  <c r="E659" i="6"/>
  <c r="G673" i="6"/>
  <c r="H673" i="6" s="1"/>
  <c r="I764" i="6"/>
  <c r="G752" i="6"/>
  <c r="H752" i="6" s="1"/>
  <c r="G753" i="6"/>
  <c r="H753" i="6" s="1"/>
  <c r="I651" i="6"/>
  <c r="G639" i="6"/>
  <c r="H639" i="6" s="1"/>
  <c r="F666" i="6"/>
  <c r="G667" i="6" s="1"/>
  <c r="H667" i="6" s="1"/>
  <c r="B666" i="6"/>
  <c r="C486" i="6"/>
  <c r="D486" i="6" s="1"/>
  <c r="F491" i="6"/>
  <c r="B491" i="6"/>
  <c r="C506" i="6"/>
  <c r="D506" i="6" s="1"/>
  <c r="F571" i="6"/>
  <c r="G572" i="6" s="1"/>
  <c r="H572" i="6" s="1"/>
  <c r="B571" i="6"/>
  <c r="C582" i="6"/>
  <c r="D582" i="6" s="1"/>
  <c r="E594" i="6"/>
  <c r="C656" i="6"/>
  <c r="D656" i="6" s="1"/>
  <c r="E668" i="6"/>
  <c r="E686" i="6"/>
  <c r="C674" i="6"/>
  <c r="D674" i="6" s="1"/>
  <c r="C690" i="6"/>
  <c r="D690" i="6" s="1"/>
  <c r="E675" i="6"/>
  <c r="C663" i="6"/>
  <c r="D663" i="6" s="1"/>
  <c r="E632" i="6"/>
  <c r="E643" i="6"/>
  <c r="C631" i="6"/>
  <c r="D631" i="6" s="1"/>
  <c r="F648" i="6"/>
  <c r="B648" i="6"/>
  <c r="I650" i="6"/>
  <c r="G688" i="6"/>
  <c r="H688" i="6" s="1"/>
  <c r="I700" i="6"/>
  <c r="I688" i="6"/>
  <c r="G538" i="6"/>
  <c r="H538" i="6" s="1"/>
  <c r="G551" i="6"/>
  <c r="H551" i="6" s="1"/>
  <c r="G554" i="6"/>
  <c r="H554" i="6" s="1"/>
  <c r="C574" i="6"/>
  <c r="D574" i="6" s="1"/>
  <c r="I607" i="6"/>
  <c r="G602" i="6"/>
  <c r="H602" i="6" s="1"/>
  <c r="I616" i="6"/>
  <c r="G604" i="6"/>
  <c r="H604" i="6" s="1"/>
  <c r="G606" i="6"/>
  <c r="H606" i="6" s="1"/>
  <c r="I618" i="6"/>
  <c r="I620" i="6"/>
  <c r="I624" i="6"/>
  <c r="G612" i="6"/>
  <c r="H612" i="6" s="1"/>
  <c r="I614" i="6"/>
  <c r="G634" i="6"/>
  <c r="H634" i="6" s="1"/>
  <c r="G641" i="6"/>
  <c r="H641" i="6" s="1"/>
  <c r="I653" i="6"/>
  <c r="I662" i="6"/>
  <c r="B747" i="6"/>
  <c r="F747" i="6"/>
  <c r="G748" i="6" s="1"/>
  <c r="H748" i="6" s="1"/>
  <c r="E764" i="6"/>
  <c r="C752" i="6"/>
  <c r="D752" i="6" s="1"/>
  <c r="C522" i="6"/>
  <c r="D522" i="6" s="1"/>
  <c r="C570" i="6"/>
  <c r="D570" i="6" s="1"/>
  <c r="C606" i="6"/>
  <c r="D606" i="6" s="1"/>
  <c r="I658" i="6"/>
  <c r="C653" i="6"/>
  <c r="D653" i="6" s="1"/>
  <c r="G684" i="6"/>
  <c r="H684" i="6" s="1"/>
  <c r="I696" i="6"/>
  <c r="G689" i="6"/>
  <c r="H689" i="6" s="1"/>
  <c r="E694" i="6"/>
  <c r="E721" i="6"/>
  <c r="C709" i="6"/>
  <c r="D709" i="6" s="1"/>
  <c r="I706" i="6"/>
  <c r="G694" i="6"/>
  <c r="H694" i="6" s="1"/>
  <c r="F701" i="6"/>
  <c r="G702" i="6" s="1"/>
  <c r="H702" i="6" s="1"/>
  <c r="B701" i="6"/>
  <c r="I731" i="6"/>
  <c r="E772" i="6"/>
  <c r="C760" i="6"/>
  <c r="D760" i="6" s="1"/>
  <c r="F780" i="6"/>
  <c r="G781" i="6" s="1"/>
  <c r="H781" i="6" s="1"/>
  <c r="B780" i="6"/>
  <c r="C633" i="6"/>
  <c r="D633" i="6" s="1"/>
  <c r="G653" i="6"/>
  <c r="H653" i="6" s="1"/>
  <c r="E684" i="6"/>
  <c r="E689" i="6"/>
  <c r="I717" i="6"/>
  <c r="G705" i="6"/>
  <c r="H705" i="6" s="1"/>
  <c r="E682" i="6"/>
  <c r="G674" i="6"/>
  <c r="H674" i="6" s="1"/>
  <c r="F679" i="6"/>
  <c r="I679" i="6" s="1"/>
  <c r="B679" i="6"/>
  <c r="E679" i="6" s="1"/>
  <c r="I707" i="6"/>
  <c r="C702" i="6"/>
  <c r="D702" i="6" s="1"/>
  <c r="E714" i="6"/>
  <c r="B720" i="6"/>
  <c r="F720" i="6"/>
  <c r="I720" i="6" s="1"/>
  <c r="I786" i="6"/>
  <c r="G775" i="6"/>
  <c r="H775" i="6" s="1"/>
  <c r="G661" i="6"/>
  <c r="H661" i="6" s="1"/>
  <c r="E697" i="6"/>
  <c r="C686" i="6"/>
  <c r="D686" i="6" s="1"/>
  <c r="E710" i="6"/>
  <c r="I811" i="6"/>
  <c r="G799" i="6"/>
  <c r="H799" i="6" s="1"/>
  <c r="G698" i="6"/>
  <c r="H698" i="6" s="1"/>
  <c r="I710" i="6"/>
  <c r="E728" i="6"/>
  <c r="I745" i="6"/>
  <c r="G645" i="6"/>
  <c r="H645" i="6" s="1"/>
  <c r="I657" i="6"/>
  <c r="E652" i="6"/>
  <c r="E674" i="6"/>
  <c r="C675" i="6"/>
  <c r="D675" i="6" s="1"/>
  <c r="I689" i="6"/>
  <c r="I677" i="6"/>
  <c r="G677" i="6"/>
  <c r="H677" i="6" s="1"/>
  <c r="I694" i="6"/>
  <c r="G682" i="6"/>
  <c r="H682" i="6" s="1"/>
  <c r="F685" i="6"/>
  <c r="I685" i="6" s="1"/>
  <c r="E687" i="6"/>
  <c r="E690" i="6"/>
  <c r="E705" i="6"/>
  <c r="C693" i="6"/>
  <c r="D693" i="6" s="1"/>
  <c r="I698" i="6"/>
  <c r="C704" i="6"/>
  <c r="D704" i="6" s="1"/>
  <c r="I718" i="6"/>
  <c r="G706" i="6"/>
  <c r="H706" i="6" s="1"/>
  <c r="I598" i="6"/>
  <c r="C602" i="6"/>
  <c r="D602" i="6" s="1"/>
  <c r="G640" i="6"/>
  <c r="H640" i="6" s="1"/>
  <c r="I670" i="6"/>
  <c r="G658" i="6"/>
  <c r="H658" i="6" s="1"/>
  <c r="C662" i="6"/>
  <c r="D662" i="6" s="1"/>
  <c r="E685" i="6"/>
  <c r="F675" i="6"/>
  <c r="G676" i="6" s="1"/>
  <c r="H676" i="6" s="1"/>
  <c r="G683" i="6"/>
  <c r="H683" i="6" s="1"/>
  <c r="C703" i="6"/>
  <c r="D703" i="6" s="1"/>
  <c r="F707" i="6"/>
  <c r="B707" i="6"/>
  <c r="I757" i="6"/>
  <c r="G745" i="6"/>
  <c r="H745" i="6" s="1"/>
  <c r="C554" i="6"/>
  <c r="D554" i="6" s="1"/>
  <c r="I612" i="6"/>
  <c r="G600" i="6"/>
  <c r="H600" i="6" s="1"/>
  <c r="G610" i="6"/>
  <c r="H610" i="6" s="1"/>
  <c r="C622" i="6"/>
  <c r="D622" i="6" s="1"/>
  <c r="E634" i="6"/>
  <c r="B627" i="6"/>
  <c r="B644" i="6"/>
  <c r="E663" i="6"/>
  <c r="G652" i="6"/>
  <c r="H652" i="6" s="1"/>
  <c r="B658" i="6"/>
  <c r="G668" i="6"/>
  <c r="H668" i="6" s="1"/>
  <c r="C688" i="6"/>
  <c r="D688" i="6" s="1"/>
  <c r="C671" i="6"/>
  <c r="D671" i="6" s="1"/>
  <c r="C683" i="6"/>
  <c r="D683" i="6" s="1"/>
  <c r="G696" i="6"/>
  <c r="H696" i="6" s="1"/>
  <c r="I708" i="6"/>
  <c r="E693" i="6"/>
  <c r="E703" i="6"/>
  <c r="F703" i="6"/>
  <c r="I703" i="6" s="1"/>
  <c r="C714" i="6"/>
  <c r="D714" i="6" s="1"/>
  <c r="E716" i="6"/>
  <c r="B724" i="6"/>
  <c r="F724" i="6"/>
  <c r="I724" i="6" s="1"/>
  <c r="B732" i="6"/>
  <c r="F732" i="6"/>
  <c r="G733" i="6" s="1"/>
  <c r="H733" i="6" s="1"/>
  <c r="G735" i="6"/>
  <c r="H735" i="6" s="1"/>
  <c r="G749" i="6"/>
  <c r="H749" i="6" s="1"/>
  <c r="F809" i="6"/>
  <c r="B809" i="6"/>
  <c r="C810" i="6" s="1"/>
  <c r="D810" i="6" s="1"/>
  <c r="E669" i="6"/>
  <c r="B676" i="6"/>
  <c r="C681" i="6"/>
  <c r="D681" i="6" s="1"/>
  <c r="E698" i="6"/>
  <c r="C691" i="6"/>
  <c r="D691" i="6" s="1"/>
  <c r="C699" i="6"/>
  <c r="D699" i="6" s="1"/>
  <c r="F716" i="6"/>
  <c r="I716" i="6" s="1"/>
  <c r="B719" i="6"/>
  <c r="B735" i="6"/>
  <c r="C743" i="6"/>
  <c r="D743" i="6" s="1"/>
  <c r="B749" i="6"/>
  <c r="C750" i="6" s="1"/>
  <c r="D750" i="6" s="1"/>
  <c r="E778" i="6"/>
  <c r="E709" i="6"/>
  <c r="C697" i="6"/>
  <c r="D697" i="6" s="1"/>
  <c r="C712" i="6"/>
  <c r="D712" i="6" s="1"/>
  <c r="C738" i="6"/>
  <c r="D738" i="6" s="1"/>
  <c r="G743" i="6"/>
  <c r="H743" i="6" s="1"/>
  <c r="C753" i="6"/>
  <c r="D753" i="6" s="1"/>
  <c r="I778" i="6"/>
  <c r="F671" i="6"/>
  <c r="G672" i="6" s="1"/>
  <c r="H672" i="6" s="1"/>
  <c r="C673" i="6"/>
  <c r="D673" i="6" s="1"/>
  <c r="F699" i="6"/>
  <c r="G700" i="6" s="1"/>
  <c r="H700" i="6" s="1"/>
  <c r="C717" i="6"/>
  <c r="D717" i="6" s="1"/>
  <c r="F725" i="6"/>
  <c r="B725" i="6"/>
  <c r="E725" i="6" s="1"/>
  <c r="E745" i="6"/>
  <c r="C733" i="6"/>
  <c r="D733" i="6" s="1"/>
  <c r="I743" i="6"/>
  <c r="E758" i="6"/>
  <c r="E753" i="6"/>
  <c r="I795" i="6"/>
  <c r="G784" i="6"/>
  <c r="H784" i="6" s="1"/>
  <c r="G695" i="6"/>
  <c r="H695" i="6" s="1"/>
  <c r="G697" i="6"/>
  <c r="H697" i="6" s="1"/>
  <c r="C706" i="6"/>
  <c r="D706" i="6" s="1"/>
  <c r="C722" i="6"/>
  <c r="D722" i="6" s="1"/>
  <c r="E730" i="6"/>
  <c r="I784" i="6"/>
  <c r="I789" i="6"/>
  <c r="G777" i="6"/>
  <c r="H777" i="6" s="1"/>
  <c r="I766" i="6"/>
  <c r="G754" i="6"/>
  <c r="H754" i="6" s="1"/>
  <c r="B758" i="6"/>
  <c r="F758" i="6"/>
  <c r="I758" i="6" s="1"/>
  <c r="I774" i="6"/>
  <c r="E784" i="6"/>
  <c r="E804" i="6"/>
  <c r="C792" i="6"/>
  <c r="D792" i="6" s="1"/>
  <c r="C806" i="6"/>
  <c r="D806" i="6" s="1"/>
  <c r="E818" i="6"/>
  <c r="B715" i="6"/>
  <c r="F715" i="6"/>
  <c r="B728" i="6"/>
  <c r="F728" i="6"/>
  <c r="I762" i="6"/>
  <c r="G750" i="6"/>
  <c r="H750" i="6" s="1"/>
  <c r="C754" i="6"/>
  <c r="D754" i="6" s="1"/>
  <c r="E766" i="6"/>
  <c r="E754" i="6"/>
  <c r="C778" i="6"/>
  <c r="D778" i="6" s="1"/>
  <c r="E790" i="6"/>
  <c r="E704" i="6"/>
  <c r="E706" i="6"/>
  <c r="C713" i="6"/>
  <c r="D713" i="6" s="1"/>
  <c r="G722" i="6"/>
  <c r="H722" i="6" s="1"/>
  <c r="G751" i="6"/>
  <c r="H751" i="6" s="1"/>
  <c r="F769" i="6"/>
  <c r="I769" i="6" s="1"/>
  <c r="B769" i="6"/>
  <c r="F711" i="6"/>
  <c r="G712" i="6" s="1"/>
  <c r="H712" i="6" s="1"/>
  <c r="B711" i="6"/>
  <c r="G723" i="6"/>
  <c r="H723" i="6" s="1"/>
  <c r="I735" i="6"/>
  <c r="C731" i="6"/>
  <c r="D731" i="6" s="1"/>
  <c r="E743" i="6"/>
  <c r="G737" i="6"/>
  <c r="H737" i="6" s="1"/>
  <c r="I749" i="6"/>
  <c r="E776" i="6"/>
  <c r="C764" i="6"/>
  <c r="D764" i="6" s="1"/>
  <c r="G690" i="6"/>
  <c r="H690" i="6" s="1"/>
  <c r="I702" i="6"/>
  <c r="F713" i="6"/>
  <c r="E718" i="6"/>
  <c r="I733" i="6"/>
  <c r="G739" i="6"/>
  <c r="H739" i="6" s="1"/>
  <c r="E789" i="6"/>
  <c r="F709" i="6"/>
  <c r="I709" i="6" s="1"/>
  <c r="C716" i="6"/>
  <c r="D716" i="6" s="1"/>
  <c r="B729" i="6"/>
  <c r="F729" i="6"/>
  <c r="G734" i="6"/>
  <c r="H734" i="6" s="1"/>
  <c r="I746" i="6"/>
  <c r="I754" i="6"/>
  <c r="I760" i="6"/>
  <c r="I772" i="6"/>
  <c r="G727" i="6"/>
  <c r="H727" i="6" s="1"/>
  <c r="E735" i="6"/>
  <c r="E752" i="6"/>
  <c r="C746" i="6"/>
  <c r="D746" i="6" s="1"/>
  <c r="E765" i="6"/>
  <c r="C790" i="6"/>
  <c r="D790" i="6" s="1"/>
  <c r="E802" i="6"/>
  <c r="E805" i="6"/>
  <c r="C793" i="6"/>
  <c r="D793" i="6" s="1"/>
  <c r="F800" i="6"/>
  <c r="G801" i="6" s="1"/>
  <c r="H801" i="6" s="1"/>
  <c r="B800" i="6"/>
  <c r="F848" i="6"/>
  <c r="B848" i="6"/>
  <c r="E749" i="6"/>
  <c r="I750" i="6"/>
  <c r="C740" i="6"/>
  <c r="D740" i="6" s="1"/>
  <c r="E763" i="6"/>
  <c r="I793" i="6"/>
  <c r="I799" i="6"/>
  <c r="I787" i="6"/>
  <c r="F797" i="6"/>
  <c r="B797" i="6"/>
  <c r="C737" i="6"/>
  <c r="D737" i="6" s="1"/>
  <c r="G738" i="6"/>
  <c r="H738" i="6" s="1"/>
  <c r="E760" i="6"/>
  <c r="C751" i="6"/>
  <c r="D751" i="6" s="1"/>
  <c r="F761" i="6"/>
  <c r="G762" i="6" s="1"/>
  <c r="H762" i="6" s="1"/>
  <c r="B761" i="6"/>
  <c r="B768" i="6"/>
  <c r="F773" i="6"/>
  <c r="B773" i="6"/>
  <c r="B781" i="6"/>
  <c r="E796" i="6"/>
  <c r="I802" i="6"/>
  <c r="G790" i="6"/>
  <c r="H790" i="6" s="1"/>
  <c r="G810" i="6"/>
  <c r="H810" i="6" s="1"/>
  <c r="C766" i="6"/>
  <c r="D766" i="6" s="1"/>
  <c r="E813" i="6"/>
  <c r="I823" i="6"/>
  <c r="G811" i="6"/>
  <c r="H811" i="6" s="1"/>
  <c r="I854" i="6"/>
  <c r="G842" i="6"/>
  <c r="H842" i="6" s="1"/>
  <c r="F692" i="6"/>
  <c r="G693" i="6" s="1"/>
  <c r="H693" i="6" s="1"/>
  <c r="F740" i="6"/>
  <c r="C745" i="6"/>
  <c r="D745" i="6" s="1"/>
  <c r="G746" i="6"/>
  <c r="H746" i="6" s="1"/>
  <c r="B755" i="6"/>
  <c r="E755" i="6" s="1"/>
  <c r="F755" i="6"/>
  <c r="G778" i="6"/>
  <c r="H778" i="6" s="1"/>
  <c r="F782" i="6"/>
  <c r="G783" i="6" s="1"/>
  <c r="H783" i="6" s="1"/>
  <c r="B782" i="6"/>
  <c r="I797" i="6"/>
  <c r="G785" i="6"/>
  <c r="H785" i="6" s="1"/>
  <c r="C801" i="6"/>
  <c r="D801" i="6" s="1"/>
  <c r="C757" i="6"/>
  <c r="D757" i="6" s="1"/>
  <c r="E797" i="6"/>
  <c r="F788" i="6"/>
  <c r="B788" i="6"/>
  <c r="E788" i="6" s="1"/>
  <c r="F812" i="6"/>
  <c r="B812" i="6"/>
  <c r="I863" i="6"/>
  <c r="G851" i="6"/>
  <c r="H851" i="6" s="1"/>
  <c r="G808" i="6"/>
  <c r="H808" i="6" s="1"/>
  <c r="E756" i="6"/>
  <c r="C774" i="6"/>
  <c r="D774" i="6" s="1"/>
  <c r="E786" i="6"/>
  <c r="G776" i="6"/>
  <c r="H776" i="6" s="1"/>
  <c r="C802" i="6"/>
  <c r="D802" i="6" s="1"/>
  <c r="E817" i="6"/>
  <c r="C805" i="6"/>
  <c r="D805" i="6" s="1"/>
  <c r="B808" i="6"/>
  <c r="E825" i="6"/>
  <c r="C813" i="6"/>
  <c r="D813" i="6" s="1"/>
  <c r="I814" i="6"/>
  <c r="G802" i="6"/>
  <c r="H802" i="6" s="1"/>
  <c r="G744" i="6"/>
  <c r="H744" i="6" s="1"/>
  <c r="F756" i="6"/>
  <c r="B756" i="6"/>
  <c r="I808" i="6"/>
  <c r="G796" i="6"/>
  <c r="H796" i="6" s="1"/>
  <c r="E806" i="6"/>
  <c r="G855" i="6"/>
  <c r="H855" i="6" s="1"/>
  <c r="I804" i="6"/>
  <c r="G792" i="6"/>
  <c r="H792" i="6" s="1"/>
  <c r="G804" i="6"/>
  <c r="H804" i="6" s="1"/>
  <c r="I818" i="6"/>
  <c r="C814" i="6"/>
  <c r="D814" i="6" s="1"/>
  <c r="I829" i="6"/>
  <c r="G819" i="6"/>
  <c r="H819" i="6" s="1"/>
  <c r="I827" i="6"/>
  <c r="B845" i="6"/>
  <c r="B861" i="6"/>
  <c r="C861" i="6" s="1"/>
  <c r="D861" i="6" s="1"/>
  <c r="E816" i="6"/>
  <c r="C804" i="6"/>
  <c r="D804" i="6" s="1"/>
  <c r="E829" i="6"/>
  <c r="I834" i="6"/>
  <c r="F828" i="6"/>
  <c r="G829" i="6" s="1"/>
  <c r="H829" i="6" s="1"/>
  <c r="B828" i="6"/>
  <c r="C834" i="6"/>
  <c r="D834" i="6" s="1"/>
  <c r="I849" i="6"/>
  <c r="G839" i="6"/>
  <c r="H839" i="6" s="1"/>
  <c r="I847" i="6"/>
  <c r="G850" i="6"/>
  <c r="H850" i="6" s="1"/>
  <c r="I805" i="6"/>
  <c r="G793" i="6"/>
  <c r="H793" i="6" s="1"/>
  <c r="I817" i="6"/>
  <c r="G805" i="6"/>
  <c r="H805" i="6" s="1"/>
  <c r="I826" i="6"/>
  <c r="F820" i="6"/>
  <c r="I820" i="6" s="1"/>
  <c r="B820" i="6"/>
  <c r="C826" i="6"/>
  <c r="D826" i="6" s="1"/>
  <c r="I841" i="6"/>
  <c r="G831" i="6"/>
  <c r="H831" i="6" s="1"/>
  <c r="I839" i="6"/>
  <c r="C862" i="6"/>
  <c r="D862" i="6" s="1"/>
  <c r="E841" i="6"/>
  <c r="F840" i="6"/>
  <c r="G841" i="6" s="1"/>
  <c r="H841" i="6" s="1"/>
  <c r="B840" i="6"/>
  <c r="C846" i="6"/>
  <c r="D846" i="6" s="1"/>
  <c r="I861" i="6"/>
  <c r="F759" i="6"/>
  <c r="B759" i="6"/>
  <c r="F763" i="6"/>
  <c r="I763" i="6" s="1"/>
  <c r="B763" i="6"/>
  <c r="F767" i="6"/>
  <c r="B767" i="6"/>
  <c r="F771" i="6"/>
  <c r="B771" i="6"/>
  <c r="C772" i="6" s="1"/>
  <c r="D772" i="6" s="1"/>
  <c r="C786" i="6"/>
  <c r="D786" i="6" s="1"/>
  <c r="G795" i="6"/>
  <c r="H795" i="6" s="1"/>
  <c r="C818" i="6"/>
  <c r="D818" i="6" s="1"/>
  <c r="I833" i="6"/>
  <c r="G821" i="6"/>
  <c r="H821" i="6" s="1"/>
  <c r="G823" i="6"/>
  <c r="H823" i="6" s="1"/>
  <c r="E826" i="6"/>
  <c r="C829" i="6"/>
  <c r="D829" i="6" s="1"/>
  <c r="G834" i="6"/>
  <c r="H834" i="6" s="1"/>
  <c r="B849" i="6"/>
  <c r="E849" i="6" s="1"/>
  <c r="E862" i="6"/>
  <c r="F832" i="6"/>
  <c r="G833" i="6" s="1"/>
  <c r="H833" i="6" s="1"/>
  <c r="B832" i="6"/>
  <c r="C838" i="6"/>
  <c r="D838" i="6" s="1"/>
  <c r="I853" i="6"/>
  <c r="G843" i="6"/>
  <c r="H843" i="6" s="1"/>
  <c r="E846" i="6"/>
  <c r="F852" i="6"/>
  <c r="G852" i="6" s="1"/>
  <c r="H852" i="6" s="1"/>
  <c r="B852" i="6"/>
  <c r="I796" i="6"/>
  <c r="I801" i="6"/>
  <c r="E798" i="6"/>
  <c r="I813" i="6"/>
  <c r="E810" i="6"/>
  <c r="I825" i="6"/>
  <c r="G813" i="6"/>
  <c r="H813" i="6" s="1"/>
  <c r="C821" i="6"/>
  <c r="D821" i="6" s="1"/>
  <c r="G826" i="6"/>
  <c r="H826" i="6" s="1"/>
  <c r="B841" i="6"/>
  <c r="C842" i="6" s="1"/>
  <c r="D842" i="6" s="1"/>
  <c r="G853" i="6"/>
  <c r="H853" i="6" s="1"/>
  <c r="F824" i="6"/>
  <c r="G825" i="6" s="1"/>
  <c r="H825" i="6" s="1"/>
  <c r="B824" i="6"/>
  <c r="C825" i="6" s="1"/>
  <c r="D825" i="6" s="1"/>
  <c r="C830" i="6"/>
  <c r="D830" i="6" s="1"/>
  <c r="I845" i="6"/>
  <c r="E838" i="6"/>
  <c r="F856" i="6"/>
  <c r="G856" i="6" s="1"/>
  <c r="H856" i="6" s="1"/>
  <c r="B856" i="6"/>
  <c r="G818" i="6"/>
  <c r="H818" i="6" s="1"/>
  <c r="E845" i="6"/>
  <c r="F844" i="6"/>
  <c r="B844" i="6"/>
  <c r="I859" i="6"/>
  <c r="F816" i="6"/>
  <c r="I816" i="6" s="1"/>
  <c r="B816" i="6"/>
  <c r="C822" i="6"/>
  <c r="D822" i="6" s="1"/>
  <c r="I837" i="6"/>
  <c r="E830" i="6"/>
  <c r="C833" i="6"/>
  <c r="D833" i="6" s="1"/>
  <c r="G838" i="6"/>
  <c r="H838" i="6" s="1"/>
  <c r="B857" i="6"/>
  <c r="C857" i="6" s="1"/>
  <c r="D857" i="6" s="1"/>
  <c r="F860" i="6"/>
  <c r="G860" i="6" s="1"/>
  <c r="H860" i="6" s="1"/>
  <c r="B860" i="6"/>
  <c r="I842" i="6"/>
  <c r="F836" i="6"/>
  <c r="G837" i="6" s="1"/>
  <c r="H837" i="6" s="1"/>
  <c r="B836" i="6"/>
  <c r="I857" i="6"/>
  <c r="E850" i="6"/>
  <c r="C854" i="6"/>
  <c r="D854" i="6" s="1"/>
  <c r="B775" i="6"/>
  <c r="C776" i="6" s="1"/>
  <c r="D776" i="6" s="1"/>
  <c r="B779" i="6"/>
  <c r="B783" i="6"/>
  <c r="C784" i="6" s="1"/>
  <c r="D784" i="6" s="1"/>
  <c r="B787" i="6"/>
  <c r="B791" i="6"/>
  <c r="B795" i="6"/>
  <c r="B799" i="6"/>
  <c r="B803" i="6"/>
  <c r="B807" i="6"/>
  <c r="B811" i="6"/>
  <c r="B815" i="6"/>
  <c r="B819" i="6"/>
  <c r="B823" i="6"/>
  <c r="B827" i="6"/>
  <c r="B831" i="6"/>
  <c r="B835" i="6"/>
  <c r="B839" i="6"/>
  <c r="B843" i="6"/>
  <c r="B847" i="6"/>
  <c r="B851" i="6"/>
  <c r="B855" i="6"/>
  <c r="C855" i="6" s="1"/>
  <c r="D855" i="6" s="1"/>
  <c r="B859" i="6"/>
  <c r="C859" i="6" s="1"/>
  <c r="D859" i="6" s="1"/>
  <c r="B863" i="6"/>
  <c r="C863" i="6" s="1"/>
  <c r="D863" i="6" s="1"/>
  <c r="G593" i="6" l="1"/>
  <c r="H593" i="6" s="1"/>
  <c r="I507" i="6"/>
  <c r="G670" i="6"/>
  <c r="H670" i="6" s="1"/>
  <c r="G149" i="6"/>
  <c r="H149" i="6" s="1"/>
  <c r="I782" i="6"/>
  <c r="I463" i="6"/>
  <c r="I780" i="6"/>
  <c r="I699" i="6"/>
  <c r="I701" i="6"/>
  <c r="G155" i="6"/>
  <c r="H155" i="6" s="1"/>
  <c r="G102" i="6"/>
  <c r="H102" i="6" s="1"/>
  <c r="G861" i="6"/>
  <c r="H861" i="6" s="1"/>
  <c r="G622" i="6"/>
  <c r="H622" i="6" s="1"/>
  <c r="G614" i="6"/>
  <c r="H614" i="6" s="1"/>
  <c r="I280" i="6"/>
  <c r="G721" i="6"/>
  <c r="H721" i="6" s="1"/>
  <c r="E773" i="6"/>
  <c r="C761" i="6"/>
  <c r="D761" i="6" s="1"/>
  <c r="I800" i="6"/>
  <c r="G788" i="6"/>
  <c r="H788" i="6" s="1"/>
  <c r="C815" i="6"/>
  <c r="D815" i="6" s="1"/>
  <c r="E827" i="6"/>
  <c r="G766" i="6"/>
  <c r="H766" i="6" s="1"/>
  <c r="E820" i="6"/>
  <c r="C808" i="6"/>
  <c r="D808" i="6" s="1"/>
  <c r="I821" i="6"/>
  <c r="G809" i="6"/>
  <c r="H809" i="6" s="1"/>
  <c r="C748" i="6"/>
  <c r="D748" i="6" s="1"/>
  <c r="E759" i="6"/>
  <c r="C747" i="6"/>
  <c r="D747" i="6" s="1"/>
  <c r="I503" i="6"/>
  <c r="G491" i="6"/>
  <c r="H491" i="6" s="1"/>
  <c r="C632" i="6"/>
  <c r="D632" i="6" s="1"/>
  <c r="E644" i="6"/>
  <c r="I676" i="6"/>
  <c r="G664" i="6"/>
  <c r="H664" i="6" s="1"/>
  <c r="C591" i="6"/>
  <c r="D591" i="6" s="1"/>
  <c r="E603" i="6"/>
  <c r="C637" i="6"/>
  <c r="D637" i="6" s="1"/>
  <c r="E649" i="6"/>
  <c r="G583" i="6"/>
  <c r="H583" i="6" s="1"/>
  <c r="I595" i="6"/>
  <c r="C585" i="6"/>
  <c r="D585" i="6" s="1"/>
  <c r="E597" i="6"/>
  <c r="G581" i="6"/>
  <c r="H581" i="6" s="1"/>
  <c r="I593" i="6"/>
  <c r="G582" i="6"/>
  <c r="H582" i="6" s="1"/>
  <c r="C560" i="6"/>
  <c r="D560" i="6" s="1"/>
  <c r="C561" i="6"/>
  <c r="D561" i="6" s="1"/>
  <c r="E572" i="6"/>
  <c r="I544" i="6"/>
  <c r="G532" i="6"/>
  <c r="H532" i="6" s="1"/>
  <c r="E481" i="6"/>
  <c r="C469" i="6"/>
  <c r="D469" i="6" s="1"/>
  <c r="C470" i="6"/>
  <c r="D470" i="6" s="1"/>
  <c r="C479" i="6"/>
  <c r="D479" i="6" s="1"/>
  <c r="E491" i="6"/>
  <c r="E512" i="6"/>
  <c r="I441" i="6"/>
  <c r="G429" i="6"/>
  <c r="H429" i="6" s="1"/>
  <c r="I417" i="6"/>
  <c r="I405" i="6"/>
  <c r="G405" i="6"/>
  <c r="H405" i="6" s="1"/>
  <c r="C481" i="6"/>
  <c r="D481" i="6" s="1"/>
  <c r="E493" i="6"/>
  <c r="G406" i="6"/>
  <c r="H406" i="6" s="1"/>
  <c r="E469" i="6"/>
  <c r="C457" i="6"/>
  <c r="D457" i="6" s="1"/>
  <c r="C458" i="6"/>
  <c r="D458" i="6" s="1"/>
  <c r="E345" i="6"/>
  <c r="C333" i="6"/>
  <c r="D333" i="6" s="1"/>
  <c r="I364" i="6"/>
  <c r="G352" i="6"/>
  <c r="H352" i="6" s="1"/>
  <c r="C406" i="6"/>
  <c r="D406" i="6" s="1"/>
  <c r="C364" i="6"/>
  <c r="D364" i="6" s="1"/>
  <c r="E376" i="6"/>
  <c r="I325" i="6"/>
  <c r="G313" i="6"/>
  <c r="H313" i="6" s="1"/>
  <c r="E366" i="6"/>
  <c r="C354" i="6"/>
  <c r="D354" i="6" s="1"/>
  <c r="E342" i="6"/>
  <c r="E329" i="6"/>
  <c r="C317" i="6"/>
  <c r="D317" i="6" s="1"/>
  <c r="I228" i="6"/>
  <c r="G216" i="6"/>
  <c r="H216" i="6" s="1"/>
  <c r="G217" i="6"/>
  <c r="H217" i="6" s="1"/>
  <c r="G123" i="6"/>
  <c r="H123" i="6" s="1"/>
  <c r="I134" i="6"/>
  <c r="G122" i="6"/>
  <c r="H122" i="6" s="1"/>
  <c r="I122" i="6"/>
  <c r="C170" i="6"/>
  <c r="D170" i="6" s="1"/>
  <c r="E182" i="6"/>
  <c r="C294" i="6"/>
  <c r="D294" i="6" s="1"/>
  <c r="E306" i="6"/>
  <c r="C203" i="6"/>
  <c r="D203" i="6" s="1"/>
  <c r="C204" i="6"/>
  <c r="D204" i="6" s="1"/>
  <c r="E203" i="6"/>
  <c r="E215" i="6"/>
  <c r="G287" i="6"/>
  <c r="H287" i="6" s="1"/>
  <c r="I299" i="6"/>
  <c r="G80" i="6"/>
  <c r="H80" i="6" s="1"/>
  <c r="I92" i="6"/>
  <c r="I80" i="6"/>
  <c r="E113" i="6"/>
  <c r="C101" i="6"/>
  <c r="D101" i="6" s="1"/>
  <c r="G26" i="6"/>
  <c r="H26" i="6" s="1"/>
  <c r="G48" i="6"/>
  <c r="H48" i="6" s="1"/>
  <c r="I60" i="6"/>
  <c r="E191" i="6"/>
  <c r="C179" i="6"/>
  <c r="D179" i="6" s="1"/>
  <c r="I240" i="6"/>
  <c r="G228" i="6"/>
  <c r="H228" i="6" s="1"/>
  <c r="G81" i="6"/>
  <c r="H81" i="6" s="1"/>
  <c r="G22" i="6"/>
  <c r="H22" i="6" s="1"/>
  <c r="C775" i="6"/>
  <c r="D775" i="6" s="1"/>
  <c r="E787" i="6"/>
  <c r="I741" i="6"/>
  <c r="G729" i="6"/>
  <c r="H729" i="6" s="1"/>
  <c r="E741" i="6"/>
  <c r="C729" i="6"/>
  <c r="D729" i="6" s="1"/>
  <c r="C730" i="6"/>
  <c r="D730" i="6" s="1"/>
  <c r="E863" i="6"/>
  <c r="C851" i="6"/>
  <c r="D851" i="6" s="1"/>
  <c r="E857" i="6"/>
  <c r="C845" i="6"/>
  <c r="D845" i="6" s="1"/>
  <c r="I860" i="6"/>
  <c r="G848" i="6"/>
  <c r="H848" i="6" s="1"/>
  <c r="I729" i="6"/>
  <c r="E544" i="6"/>
  <c r="C533" i="6"/>
  <c r="D533" i="6" s="1"/>
  <c r="C532" i="6"/>
  <c r="D532" i="6" s="1"/>
  <c r="C475" i="6"/>
  <c r="D475" i="6" s="1"/>
  <c r="C476" i="6"/>
  <c r="D476" i="6" s="1"/>
  <c r="E487" i="6"/>
  <c r="G457" i="6"/>
  <c r="H457" i="6" s="1"/>
  <c r="I469" i="6"/>
  <c r="G333" i="6"/>
  <c r="H333" i="6" s="1"/>
  <c r="G334" i="6"/>
  <c r="H334" i="6" s="1"/>
  <c r="I345" i="6"/>
  <c r="C352" i="6"/>
  <c r="D352" i="6" s="1"/>
  <c r="E364" i="6"/>
  <c r="I366" i="6"/>
  <c r="G354" i="6"/>
  <c r="H354" i="6" s="1"/>
  <c r="G355" i="6"/>
  <c r="H355" i="6" s="1"/>
  <c r="C290" i="6"/>
  <c r="D290" i="6" s="1"/>
  <c r="E302" i="6"/>
  <c r="E361" i="6"/>
  <c r="C349" i="6"/>
  <c r="D349" i="6" s="1"/>
  <c r="E222" i="6"/>
  <c r="C210" i="6"/>
  <c r="D210" i="6" s="1"/>
  <c r="I256" i="6"/>
  <c r="G244" i="6"/>
  <c r="H244" i="6" s="1"/>
  <c r="I252" i="6"/>
  <c r="G240" i="6"/>
  <c r="H240" i="6" s="1"/>
  <c r="C365" i="6"/>
  <c r="D365" i="6" s="1"/>
  <c r="I294" i="6"/>
  <c r="G294" i="6"/>
  <c r="H294" i="6" s="1"/>
  <c r="I306" i="6"/>
  <c r="E271" i="6"/>
  <c r="C259" i="6"/>
  <c r="D259" i="6" s="1"/>
  <c r="G86" i="6"/>
  <c r="H86" i="6" s="1"/>
  <c r="I98" i="6"/>
  <c r="G87" i="6"/>
  <c r="H87" i="6" s="1"/>
  <c r="I422" i="6"/>
  <c r="G410" i="6"/>
  <c r="H410" i="6" s="1"/>
  <c r="G411" i="6"/>
  <c r="H411" i="6" s="1"/>
  <c r="E217" i="6"/>
  <c r="C205" i="6"/>
  <c r="D205" i="6" s="1"/>
  <c r="E209" i="6"/>
  <c r="C197" i="6"/>
  <c r="D197" i="6" s="1"/>
  <c r="I24" i="6"/>
  <c r="I12" i="6"/>
  <c r="G12" i="6"/>
  <c r="H12" i="6" s="1"/>
  <c r="C228" i="6"/>
  <c r="D228" i="6" s="1"/>
  <c r="E240" i="6"/>
  <c r="E228" i="6"/>
  <c r="C720" i="6"/>
  <c r="D720" i="6" s="1"/>
  <c r="E732" i="6"/>
  <c r="C721" i="6"/>
  <c r="D721" i="6" s="1"/>
  <c r="G771" i="6"/>
  <c r="H771" i="6" s="1"/>
  <c r="I783" i="6"/>
  <c r="I856" i="6"/>
  <c r="G844" i="6"/>
  <c r="H844" i="6" s="1"/>
  <c r="I781" i="6"/>
  <c r="G770" i="6"/>
  <c r="H770" i="6" s="1"/>
  <c r="G769" i="6"/>
  <c r="H769" i="6" s="1"/>
  <c r="G772" i="6"/>
  <c r="H772" i="6" s="1"/>
  <c r="C763" i="6"/>
  <c r="D763" i="6" s="1"/>
  <c r="E775" i="6"/>
  <c r="C658" i="6"/>
  <c r="D658" i="6" s="1"/>
  <c r="E670" i="6"/>
  <c r="C803" i="6"/>
  <c r="D803" i="6" s="1"/>
  <c r="E815" i="6"/>
  <c r="G740" i="6"/>
  <c r="H740" i="6" s="1"/>
  <c r="I752" i="6"/>
  <c r="G685" i="6"/>
  <c r="H685" i="6" s="1"/>
  <c r="I697" i="6"/>
  <c r="E859" i="6"/>
  <c r="C847" i="6"/>
  <c r="D847" i="6" s="1"/>
  <c r="E809" i="6"/>
  <c r="C797" i="6"/>
  <c r="D797" i="6" s="1"/>
  <c r="I603" i="6"/>
  <c r="G591" i="6"/>
  <c r="H591" i="6" s="1"/>
  <c r="G479" i="6"/>
  <c r="H479" i="6" s="1"/>
  <c r="I491" i="6"/>
  <c r="E855" i="6"/>
  <c r="C843" i="6"/>
  <c r="D843" i="6" s="1"/>
  <c r="C795" i="6"/>
  <c r="D795" i="6" s="1"/>
  <c r="E807" i="6"/>
  <c r="E848" i="6"/>
  <c r="C836" i="6"/>
  <c r="D836" i="6" s="1"/>
  <c r="E828" i="6"/>
  <c r="C816" i="6"/>
  <c r="D816" i="6" s="1"/>
  <c r="C817" i="6"/>
  <c r="D817" i="6" s="1"/>
  <c r="I771" i="6"/>
  <c r="G759" i="6"/>
  <c r="H759" i="6" s="1"/>
  <c r="E793" i="6"/>
  <c r="C781" i="6"/>
  <c r="D781" i="6" s="1"/>
  <c r="I809" i="6"/>
  <c r="G797" i="6"/>
  <c r="H797" i="6" s="1"/>
  <c r="G798" i="6"/>
  <c r="H798" i="6" s="1"/>
  <c r="E812" i="6"/>
  <c r="C800" i="6"/>
  <c r="D800" i="6" s="1"/>
  <c r="G741" i="6"/>
  <c r="H741" i="6" s="1"/>
  <c r="C735" i="6"/>
  <c r="D735" i="6" s="1"/>
  <c r="E747" i="6"/>
  <c r="C736" i="6"/>
  <c r="D736" i="6" s="1"/>
  <c r="I761" i="6"/>
  <c r="C644" i="6"/>
  <c r="D644" i="6" s="1"/>
  <c r="E656" i="6"/>
  <c r="C645" i="6"/>
  <c r="D645" i="6" s="1"/>
  <c r="I719" i="6"/>
  <c r="G707" i="6"/>
  <c r="H707" i="6" s="1"/>
  <c r="E713" i="6"/>
  <c r="C701" i="6"/>
  <c r="D701" i="6" s="1"/>
  <c r="C630" i="6"/>
  <c r="D630" i="6" s="1"/>
  <c r="E642" i="6"/>
  <c r="I591" i="6"/>
  <c r="C607" i="6"/>
  <c r="D607" i="6" s="1"/>
  <c r="E619" i="6"/>
  <c r="I536" i="6"/>
  <c r="G524" i="6"/>
  <c r="H524" i="6" s="1"/>
  <c r="G525" i="6"/>
  <c r="H525" i="6" s="1"/>
  <c r="G621" i="6"/>
  <c r="H621" i="6" s="1"/>
  <c r="I633" i="6"/>
  <c r="I543" i="6"/>
  <c r="G531" i="6"/>
  <c r="H531" i="6" s="1"/>
  <c r="I531" i="6"/>
  <c r="G487" i="6"/>
  <c r="H487" i="6" s="1"/>
  <c r="I499" i="6"/>
  <c r="E535" i="6"/>
  <c r="C523" i="6"/>
  <c r="D523" i="6" s="1"/>
  <c r="I585" i="6"/>
  <c r="G475" i="6"/>
  <c r="H475" i="6" s="1"/>
  <c r="I487" i="6"/>
  <c r="E489" i="6"/>
  <c r="C477" i="6"/>
  <c r="D477" i="6" s="1"/>
  <c r="E477" i="6"/>
  <c r="I356" i="6"/>
  <c r="G345" i="6"/>
  <c r="H345" i="6" s="1"/>
  <c r="G344" i="6"/>
  <c r="H344" i="6" s="1"/>
  <c r="C355" i="6"/>
  <c r="D355" i="6" s="1"/>
  <c r="C346" i="6"/>
  <c r="D346" i="6" s="1"/>
  <c r="E358" i="6"/>
  <c r="C347" i="6"/>
  <c r="D347" i="6" s="1"/>
  <c r="E352" i="6"/>
  <c r="G349" i="6"/>
  <c r="H349" i="6" s="1"/>
  <c r="I361" i="6"/>
  <c r="I349" i="6"/>
  <c r="E317" i="6"/>
  <c r="I220" i="6"/>
  <c r="G208" i="6"/>
  <c r="H208" i="6" s="1"/>
  <c r="G107" i="6"/>
  <c r="H107" i="6" s="1"/>
  <c r="I118" i="6"/>
  <c r="G106" i="6"/>
  <c r="H106" i="6" s="1"/>
  <c r="G196" i="6"/>
  <c r="H196" i="6" s="1"/>
  <c r="I208" i="6"/>
  <c r="I338" i="6"/>
  <c r="G326" i="6"/>
  <c r="H326" i="6" s="1"/>
  <c r="I271" i="6"/>
  <c r="G259" i="6"/>
  <c r="H259" i="6" s="1"/>
  <c r="E205" i="6"/>
  <c r="I247" i="6"/>
  <c r="G235" i="6"/>
  <c r="H235" i="6" s="1"/>
  <c r="C22" i="6"/>
  <c r="E181" i="6"/>
  <c r="E422" i="6"/>
  <c r="C410" i="6"/>
  <c r="D410" i="6" s="1"/>
  <c r="I217" i="6"/>
  <c r="I205" i="6"/>
  <c r="G205" i="6"/>
  <c r="H205" i="6" s="1"/>
  <c r="G198" i="6"/>
  <c r="H198" i="6" s="1"/>
  <c r="I209" i="6"/>
  <c r="G197" i="6"/>
  <c r="H197" i="6" s="1"/>
  <c r="G97" i="6"/>
  <c r="H97" i="6" s="1"/>
  <c r="E160" i="6"/>
  <c r="C149" i="6"/>
  <c r="D149" i="6" s="1"/>
  <c r="C148" i="6"/>
  <c r="D148" i="6" s="1"/>
  <c r="E15" i="6"/>
  <c r="E3" i="6"/>
  <c r="D15" i="6"/>
  <c r="G146" i="6"/>
  <c r="H146" i="6" s="1"/>
  <c r="I158" i="6"/>
  <c r="C102" i="6"/>
  <c r="D102" i="6" s="1"/>
  <c r="I20" i="6"/>
  <c r="I8" i="6"/>
  <c r="G8" i="6"/>
  <c r="H8" i="6" s="1"/>
  <c r="C850" i="6"/>
  <c r="D850" i="6" s="1"/>
  <c r="E856" i="6"/>
  <c r="C844" i="6"/>
  <c r="D844" i="6" s="1"/>
  <c r="C724" i="6"/>
  <c r="D724" i="6" s="1"/>
  <c r="E736" i="6"/>
  <c r="C555" i="6"/>
  <c r="D555" i="6" s="1"/>
  <c r="E567" i="6"/>
  <c r="C852" i="6"/>
  <c r="D852" i="6" s="1"/>
  <c r="C853" i="6"/>
  <c r="D853" i="6" s="1"/>
  <c r="G767" i="6"/>
  <c r="H767" i="6" s="1"/>
  <c r="I779" i="6"/>
  <c r="C858" i="6"/>
  <c r="D858" i="6" s="1"/>
  <c r="I788" i="6"/>
  <c r="I715" i="6"/>
  <c r="G703" i="6"/>
  <c r="H703" i="6" s="1"/>
  <c r="I775" i="6"/>
  <c r="G763" i="6"/>
  <c r="H763" i="6" s="1"/>
  <c r="G764" i="6"/>
  <c r="H764" i="6" s="1"/>
  <c r="C799" i="6"/>
  <c r="D799" i="6" s="1"/>
  <c r="E811" i="6"/>
  <c r="C707" i="6"/>
  <c r="D707" i="6" s="1"/>
  <c r="C708" i="6"/>
  <c r="D708" i="6" s="1"/>
  <c r="E719" i="6"/>
  <c r="E707" i="6"/>
  <c r="G637" i="6"/>
  <c r="H637" i="6" s="1"/>
  <c r="I649" i="6"/>
  <c r="C531" i="6"/>
  <c r="D531" i="6" s="1"/>
  <c r="E543" i="6"/>
  <c r="E499" i="6"/>
  <c r="C487" i="6"/>
  <c r="D487" i="6" s="1"/>
  <c r="E851" i="6"/>
  <c r="C839" i="6"/>
  <c r="D839" i="6" s="1"/>
  <c r="I848" i="6"/>
  <c r="G836" i="6"/>
  <c r="H836" i="6" s="1"/>
  <c r="I828" i="6"/>
  <c r="G816" i="6"/>
  <c r="H816" i="6" s="1"/>
  <c r="G849" i="6"/>
  <c r="H849" i="6" s="1"/>
  <c r="E832" i="6"/>
  <c r="C820" i="6"/>
  <c r="D820" i="6" s="1"/>
  <c r="C837" i="6"/>
  <c r="D837" i="6" s="1"/>
  <c r="C782" i="6"/>
  <c r="D782" i="6" s="1"/>
  <c r="E782" i="6"/>
  <c r="E794" i="6"/>
  <c r="E785" i="6"/>
  <c r="C773" i="6"/>
  <c r="D773" i="6" s="1"/>
  <c r="I812" i="6"/>
  <c r="G800" i="6"/>
  <c r="H800" i="6" s="1"/>
  <c r="G760" i="6"/>
  <c r="H760" i="6" s="1"/>
  <c r="G728" i="6"/>
  <c r="H728" i="6" s="1"/>
  <c r="I740" i="6"/>
  <c r="I770" i="6"/>
  <c r="G758" i="6"/>
  <c r="H758" i="6" s="1"/>
  <c r="C719" i="6"/>
  <c r="D719" i="6" s="1"/>
  <c r="E731" i="6"/>
  <c r="I747" i="6"/>
  <c r="E639" i="6"/>
  <c r="C628" i="6"/>
  <c r="D628" i="6" s="1"/>
  <c r="C627" i="6"/>
  <c r="D627" i="6" s="1"/>
  <c r="G701" i="6"/>
  <c r="H701" i="6" s="1"/>
  <c r="I713" i="6"/>
  <c r="I671" i="6"/>
  <c r="G638" i="6"/>
  <c r="H638" i="6" s="1"/>
  <c r="G708" i="6"/>
  <c r="H708" i="6" s="1"/>
  <c r="E623" i="6"/>
  <c r="C611" i="6"/>
  <c r="D611" i="6" s="1"/>
  <c r="I580" i="6"/>
  <c r="G568" i="6"/>
  <c r="H568" i="6" s="1"/>
  <c r="I619" i="6"/>
  <c r="G607" i="6"/>
  <c r="H607" i="6" s="1"/>
  <c r="C524" i="6"/>
  <c r="D524" i="6" s="1"/>
  <c r="E536" i="6"/>
  <c r="E633" i="6"/>
  <c r="C621" i="6"/>
  <c r="D621" i="6" s="1"/>
  <c r="E666" i="6"/>
  <c r="C654" i="6"/>
  <c r="D654" i="6" s="1"/>
  <c r="C655" i="6"/>
  <c r="D655" i="6" s="1"/>
  <c r="C507" i="6"/>
  <c r="D507" i="6" s="1"/>
  <c r="E519" i="6"/>
  <c r="G569" i="6"/>
  <c r="H569" i="6" s="1"/>
  <c r="C480" i="6"/>
  <c r="D480" i="6" s="1"/>
  <c r="I535" i="6"/>
  <c r="G523" i="6"/>
  <c r="H523" i="6" s="1"/>
  <c r="I475" i="6"/>
  <c r="G463" i="6"/>
  <c r="H463" i="6" s="1"/>
  <c r="G477" i="6"/>
  <c r="H477" i="6" s="1"/>
  <c r="I489" i="6"/>
  <c r="G478" i="6"/>
  <c r="H478" i="6" s="1"/>
  <c r="I477" i="6"/>
  <c r="I467" i="6"/>
  <c r="I395" i="6"/>
  <c r="G383" i="6"/>
  <c r="H383" i="6" s="1"/>
  <c r="G384" i="6"/>
  <c r="H384" i="6" s="1"/>
  <c r="G448" i="6"/>
  <c r="H448" i="6" s="1"/>
  <c r="E365" i="6"/>
  <c r="C353" i="6"/>
  <c r="D353" i="6" s="1"/>
  <c r="C344" i="6"/>
  <c r="D344" i="6" s="1"/>
  <c r="C345" i="6"/>
  <c r="D345" i="6" s="1"/>
  <c r="E356" i="6"/>
  <c r="I358" i="6"/>
  <c r="G346" i="6"/>
  <c r="H346" i="6" s="1"/>
  <c r="G347" i="6"/>
  <c r="H347" i="6" s="1"/>
  <c r="I333" i="6"/>
  <c r="C202" i="6"/>
  <c r="D202" i="6" s="1"/>
  <c r="E214" i="6"/>
  <c r="E197" i="6"/>
  <c r="C185" i="6"/>
  <c r="D185" i="6" s="1"/>
  <c r="C295" i="6"/>
  <c r="D295" i="6" s="1"/>
  <c r="E307" i="6"/>
  <c r="E201" i="6"/>
  <c r="C189" i="6"/>
  <c r="D189" i="6" s="1"/>
  <c r="C326" i="6"/>
  <c r="D326" i="6" s="1"/>
  <c r="E338" i="6"/>
  <c r="E266" i="6"/>
  <c r="C254" i="6"/>
  <c r="D254" i="6" s="1"/>
  <c r="C156" i="6"/>
  <c r="D156" i="6" s="1"/>
  <c r="E168" i="6"/>
  <c r="C157" i="6"/>
  <c r="D157" i="6" s="1"/>
  <c r="E270" i="6"/>
  <c r="C258" i="6"/>
  <c r="D258" i="6" s="1"/>
  <c r="C311" i="6"/>
  <c r="D311" i="6" s="1"/>
  <c r="C312" i="6"/>
  <c r="D312" i="6" s="1"/>
  <c r="E323" i="6"/>
  <c r="E202" i="6"/>
  <c r="I216" i="6"/>
  <c r="E290" i="6"/>
  <c r="C278" i="6"/>
  <c r="D278" i="6" s="1"/>
  <c r="D56" i="6"/>
  <c r="G70" i="6"/>
  <c r="H70" i="6" s="1"/>
  <c r="I82" i="6"/>
  <c r="E105" i="6"/>
  <c r="C93" i="6"/>
  <c r="D93" i="6" s="1"/>
  <c r="E39" i="6"/>
  <c r="D39" i="6"/>
  <c r="C27" i="6"/>
  <c r="E156" i="6"/>
  <c r="I160" i="6"/>
  <c r="G148" i="6"/>
  <c r="H148" i="6" s="1"/>
  <c r="I3" i="6"/>
  <c r="G3" i="6"/>
  <c r="H3" i="6" s="1"/>
  <c r="I15" i="6"/>
  <c r="C146" i="6"/>
  <c r="D146" i="6" s="1"/>
  <c r="C147" i="6"/>
  <c r="D147" i="6" s="1"/>
  <c r="E158" i="6"/>
  <c r="I62" i="6"/>
  <c r="C762" i="6"/>
  <c r="D762" i="6" s="1"/>
  <c r="E781" i="6"/>
  <c r="C769" i="6"/>
  <c r="D769" i="6" s="1"/>
  <c r="E769" i="6"/>
  <c r="C572" i="6"/>
  <c r="D572" i="6" s="1"/>
  <c r="E583" i="6"/>
  <c r="C571" i="6"/>
  <c r="D571" i="6" s="1"/>
  <c r="E853" i="6"/>
  <c r="C841" i="6"/>
  <c r="D841" i="6" s="1"/>
  <c r="C749" i="6"/>
  <c r="D749" i="6" s="1"/>
  <c r="E761" i="6"/>
  <c r="C856" i="6"/>
  <c r="D856" i="6" s="1"/>
  <c r="E860" i="6"/>
  <c r="C848" i="6"/>
  <c r="D848" i="6" s="1"/>
  <c r="G730" i="6"/>
  <c r="H730" i="6" s="1"/>
  <c r="G679" i="6"/>
  <c r="H679" i="6" s="1"/>
  <c r="I691" i="6"/>
  <c r="G686" i="6"/>
  <c r="H686" i="6" s="1"/>
  <c r="C759" i="6"/>
  <c r="D759" i="6" s="1"/>
  <c r="E771" i="6"/>
  <c r="G692" i="6"/>
  <c r="H692" i="6" s="1"/>
  <c r="I704" i="6"/>
  <c r="G709" i="6"/>
  <c r="H709" i="6" s="1"/>
  <c r="G710" i="6"/>
  <c r="H710" i="6" s="1"/>
  <c r="I721" i="6"/>
  <c r="C664" i="6"/>
  <c r="D664" i="6" s="1"/>
  <c r="E676" i="6"/>
  <c r="C665" i="6"/>
  <c r="D665" i="6" s="1"/>
  <c r="E593" i="6"/>
  <c r="C581" i="6"/>
  <c r="D581" i="6" s="1"/>
  <c r="I481" i="6"/>
  <c r="G469" i="6"/>
  <c r="H469" i="6" s="1"/>
  <c r="C791" i="6"/>
  <c r="D791" i="6" s="1"/>
  <c r="E803" i="6"/>
  <c r="C835" i="6"/>
  <c r="D835" i="6" s="1"/>
  <c r="E847" i="6"/>
  <c r="C787" i="6"/>
  <c r="D787" i="6" s="1"/>
  <c r="E799" i="6"/>
  <c r="E844" i="6"/>
  <c r="C832" i="6"/>
  <c r="D832" i="6" s="1"/>
  <c r="C798" i="6"/>
  <c r="D798" i="6" s="1"/>
  <c r="I832" i="6"/>
  <c r="G820" i="6"/>
  <c r="H820" i="6" s="1"/>
  <c r="G817" i="6"/>
  <c r="H817" i="6" s="1"/>
  <c r="C770" i="6"/>
  <c r="D770" i="6" s="1"/>
  <c r="I794" i="6"/>
  <c r="G782" i="6"/>
  <c r="H782" i="6" s="1"/>
  <c r="I785" i="6"/>
  <c r="G773" i="6"/>
  <c r="H773" i="6" s="1"/>
  <c r="C796" i="6"/>
  <c r="D796" i="6" s="1"/>
  <c r="C728" i="6"/>
  <c r="D728" i="6" s="1"/>
  <c r="E740" i="6"/>
  <c r="E770" i="6"/>
  <c r="C758" i="6"/>
  <c r="D758" i="6" s="1"/>
  <c r="E729" i="6"/>
  <c r="G716" i="6"/>
  <c r="H716" i="6" s="1"/>
  <c r="I728" i="6"/>
  <c r="G717" i="6"/>
  <c r="H717" i="6" s="1"/>
  <c r="G774" i="6"/>
  <c r="H774" i="6" s="1"/>
  <c r="E658" i="6"/>
  <c r="E660" i="6"/>
  <c r="C648" i="6"/>
  <c r="D648" i="6" s="1"/>
  <c r="C666" i="6"/>
  <c r="D666" i="6" s="1"/>
  <c r="C667" i="6"/>
  <c r="D667" i="6" s="1"/>
  <c r="E678" i="6"/>
  <c r="I623" i="6"/>
  <c r="G611" i="6"/>
  <c r="H611" i="6" s="1"/>
  <c r="I611" i="6"/>
  <c r="C642" i="6"/>
  <c r="D642" i="6" s="1"/>
  <c r="E654" i="6"/>
  <c r="C643" i="6"/>
  <c r="D643" i="6" s="1"/>
  <c r="I577" i="6"/>
  <c r="G566" i="6"/>
  <c r="H566" i="6" s="1"/>
  <c r="G565" i="6"/>
  <c r="H565" i="6" s="1"/>
  <c r="C586" i="6"/>
  <c r="D586" i="6" s="1"/>
  <c r="E580" i="6"/>
  <c r="C568" i="6"/>
  <c r="D568" i="6" s="1"/>
  <c r="C483" i="6"/>
  <c r="D483" i="6" s="1"/>
  <c r="E495" i="6"/>
  <c r="C484" i="6"/>
  <c r="D484" i="6" s="1"/>
  <c r="E627" i="6"/>
  <c r="C616" i="6"/>
  <c r="D616" i="6" s="1"/>
  <c r="C615" i="6"/>
  <c r="D615" i="6" s="1"/>
  <c r="I666" i="6"/>
  <c r="G654" i="6"/>
  <c r="H654" i="6" s="1"/>
  <c r="G655" i="6"/>
  <c r="H655" i="6" s="1"/>
  <c r="G584" i="6"/>
  <c r="H584" i="6" s="1"/>
  <c r="I519" i="6"/>
  <c r="G507" i="6"/>
  <c r="H507" i="6" s="1"/>
  <c r="G633" i="6"/>
  <c r="H633" i="6" s="1"/>
  <c r="C508" i="6"/>
  <c r="D508" i="6" s="1"/>
  <c r="C463" i="6"/>
  <c r="D463" i="6" s="1"/>
  <c r="E475" i="6"/>
  <c r="C464" i="6"/>
  <c r="D464" i="6" s="1"/>
  <c r="E599" i="6"/>
  <c r="C587" i="6"/>
  <c r="D587" i="6" s="1"/>
  <c r="I565" i="6"/>
  <c r="C443" i="6"/>
  <c r="D443" i="6" s="1"/>
  <c r="E455" i="6"/>
  <c r="I353" i="6"/>
  <c r="G353" i="6"/>
  <c r="H353" i="6" s="1"/>
  <c r="I365" i="6"/>
  <c r="I354" i="6"/>
  <c r="C482" i="6"/>
  <c r="D482" i="6" s="1"/>
  <c r="I352" i="6"/>
  <c r="E407" i="6"/>
  <c r="C395" i="6"/>
  <c r="D395" i="6" s="1"/>
  <c r="G200" i="6"/>
  <c r="H200" i="6" s="1"/>
  <c r="I212" i="6"/>
  <c r="I102" i="6"/>
  <c r="G90" i="6"/>
  <c r="H90" i="6" s="1"/>
  <c r="G91" i="6"/>
  <c r="H91" i="6" s="1"/>
  <c r="I90" i="6"/>
  <c r="E273" i="6"/>
  <c r="C261" i="6"/>
  <c r="D261" i="6" s="1"/>
  <c r="I203" i="6"/>
  <c r="I223" i="6"/>
  <c r="G211" i="6"/>
  <c r="H211" i="6" s="1"/>
  <c r="I189" i="6"/>
  <c r="G189" i="6"/>
  <c r="H189" i="6" s="1"/>
  <c r="I201" i="6"/>
  <c r="G314" i="6"/>
  <c r="H314" i="6" s="1"/>
  <c r="I266" i="6"/>
  <c r="G255" i="6"/>
  <c r="H255" i="6" s="1"/>
  <c r="G254" i="6"/>
  <c r="H254" i="6" s="1"/>
  <c r="I254" i="6"/>
  <c r="G258" i="6"/>
  <c r="H258" i="6" s="1"/>
  <c r="I270" i="6"/>
  <c r="I258" i="6"/>
  <c r="G131" i="6"/>
  <c r="H131" i="6" s="1"/>
  <c r="I142" i="6"/>
  <c r="G130" i="6"/>
  <c r="H130" i="6" s="1"/>
  <c r="I323" i="6"/>
  <c r="G311" i="6"/>
  <c r="H311" i="6" s="1"/>
  <c r="I207" i="6"/>
  <c r="G195" i="6"/>
  <c r="H195" i="6" s="1"/>
  <c r="C262" i="6"/>
  <c r="D262" i="6" s="1"/>
  <c r="G278" i="6"/>
  <c r="H278" i="6" s="1"/>
  <c r="I290" i="6"/>
  <c r="C70" i="6"/>
  <c r="D70" i="6" s="1"/>
  <c r="E82" i="6"/>
  <c r="C71" i="6"/>
  <c r="D71" i="6" s="1"/>
  <c r="G93" i="6"/>
  <c r="H93" i="6" s="1"/>
  <c r="I105" i="6"/>
  <c r="E57" i="6"/>
  <c r="C45" i="6"/>
  <c r="D57" i="6"/>
  <c r="D35" i="6"/>
  <c r="C23" i="6"/>
  <c r="E35" i="6"/>
  <c r="I48" i="6"/>
  <c r="D27" i="6"/>
  <c r="C771" i="6"/>
  <c r="D771" i="6" s="1"/>
  <c r="E783" i="6"/>
  <c r="C819" i="6"/>
  <c r="D819" i="6" s="1"/>
  <c r="E831" i="6"/>
  <c r="E767" i="6"/>
  <c r="C755" i="6"/>
  <c r="D755" i="6" s="1"/>
  <c r="C807" i="6"/>
  <c r="D807" i="6" s="1"/>
  <c r="E819" i="6"/>
  <c r="C860" i="6"/>
  <c r="D860" i="6" s="1"/>
  <c r="E840" i="6"/>
  <c r="C828" i="6"/>
  <c r="D828" i="6" s="1"/>
  <c r="E824" i="6"/>
  <c r="C812" i="6"/>
  <c r="D812" i="6" s="1"/>
  <c r="I687" i="6"/>
  <c r="G675" i="6"/>
  <c r="H675" i="6" s="1"/>
  <c r="I675" i="6"/>
  <c r="I660" i="6"/>
  <c r="I648" i="6"/>
  <c r="G648" i="6"/>
  <c r="H648" i="6" s="1"/>
  <c r="I654" i="6"/>
  <c r="G642" i="6"/>
  <c r="H642" i="6" s="1"/>
  <c r="G643" i="6"/>
  <c r="H643" i="6" s="1"/>
  <c r="C575" i="6"/>
  <c r="D575" i="6" s="1"/>
  <c r="E587" i="6"/>
  <c r="G615" i="6"/>
  <c r="H615" i="6" s="1"/>
  <c r="I627" i="6"/>
  <c r="I615" i="6"/>
  <c r="E581" i="6"/>
  <c r="E585" i="6"/>
  <c r="G492" i="6"/>
  <c r="H492" i="6" s="1"/>
  <c r="G587" i="6"/>
  <c r="H587" i="6" s="1"/>
  <c r="I599" i="6"/>
  <c r="I455" i="6"/>
  <c r="G443" i="6"/>
  <c r="H443" i="6" s="1"/>
  <c r="E483" i="6"/>
  <c r="C471" i="6"/>
  <c r="D471" i="6" s="1"/>
  <c r="E337" i="6"/>
  <c r="C325" i="6"/>
  <c r="D325" i="6" s="1"/>
  <c r="E343" i="6"/>
  <c r="C331" i="6"/>
  <c r="D331" i="6" s="1"/>
  <c r="I380" i="6"/>
  <c r="G368" i="6"/>
  <c r="H368" i="6" s="1"/>
  <c r="G395" i="6"/>
  <c r="H395" i="6" s="1"/>
  <c r="I407" i="6"/>
  <c r="G323" i="6"/>
  <c r="H323" i="6" s="1"/>
  <c r="G324" i="6"/>
  <c r="H324" i="6" s="1"/>
  <c r="I335" i="6"/>
  <c r="C194" i="6"/>
  <c r="D194" i="6" s="1"/>
  <c r="E206" i="6"/>
  <c r="I368" i="6"/>
  <c r="G356" i="6"/>
  <c r="H356" i="6" s="1"/>
  <c r="I398" i="6"/>
  <c r="G386" i="6"/>
  <c r="H386" i="6" s="1"/>
  <c r="G387" i="6"/>
  <c r="H387" i="6" s="1"/>
  <c r="I305" i="6"/>
  <c r="G293" i="6"/>
  <c r="H293" i="6" s="1"/>
  <c r="G261" i="6"/>
  <c r="H261" i="6" s="1"/>
  <c r="I273" i="6"/>
  <c r="G180" i="6"/>
  <c r="H180" i="6" s="1"/>
  <c r="I192" i="6"/>
  <c r="I272" i="6"/>
  <c r="G260" i="6"/>
  <c r="H260" i="6" s="1"/>
  <c r="E223" i="6"/>
  <c r="C211" i="6"/>
  <c r="D211" i="6" s="1"/>
  <c r="E211" i="6"/>
  <c r="C212" i="6"/>
  <c r="D212" i="6" s="1"/>
  <c r="C198" i="6"/>
  <c r="D198" i="6" s="1"/>
  <c r="C199" i="6"/>
  <c r="D199" i="6" s="1"/>
  <c r="E210" i="6"/>
  <c r="C195" i="6"/>
  <c r="D195" i="6" s="1"/>
  <c r="E195" i="6"/>
  <c r="E207" i="6"/>
  <c r="I261" i="6"/>
  <c r="E170" i="6"/>
  <c r="E31" i="6"/>
  <c r="D31" i="6"/>
  <c r="C19" i="6"/>
  <c r="G45" i="6"/>
  <c r="H45" i="6" s="1"/>
  <c r="I57" i="6"/>
  <c r="I45" i="6"/>
  <c r="E46" i="6"/>
  <c r="D46" i="6"/>
  <c r="C34" i="6"/>
  <c r="C35" i="6"/>
  <c r="G13" i="6"/>
  <c r="H13" i="6" s="1"/>
  <c r="G46" i="6"/>
  <c r="H46" i="6" s="1"/>
  <c r="I58" i="6"/>
  <c r="I852" i="6"/>
  <c r="G840" i="6"/>
  <c r="H840" i="6" s="1"/>
  <c r="E720" i="6"/>
  <c r="C767" i="6"/>
  <c r="D767" i="6" s="1"/>
  <c r="E779" i="6"/>
  <c r="C676" i="6"/>
  <c r="D676" i="6" s="1"/>
  <c r="E688" i="6"/>
  <c r="C677" i="6"/>
  <c r="D677" i="6" s="1"/>
  <c r="C811" i="6"/>
  <c r="D811" i="6" s="1"/>
  <c r="E823" i="6"/>
  <c r="G845" i="6"/>
  <c r="H845" i="6" s="1"/>
  <c r="C831" i="6"/>
  <c r="D831" i="6" s="1"/>
  <c r="E843" i="6"/>
  <c r="C783" i="6"/>
  <c r="D783" i="6" s="1"/>
  <c r="E795" i="6"/>
  <c r="I844" i="6"/>
  <c r="G832" i="6"/>
  <c r="H832" i="6" s="1"/>
  <c r="E768" i="6"/>
  <c r="C756" i="6"/>
  <c r="D756" i="6" s="1"/>
  <c r="E808" i="6"/>
  <c r="I727" i="6"/>
  <c r="G715" i="6"/>
  <c r="H715" i="6" s="1"/>
  <c r="E737" i="6"/>
  <c r="C725" i="6"/>
  <c r="D725" i="6" s="1"/>
  <c r="C726" i="6"/>
  <c r="D726" i="6" s="1"/>
  <c r="G732" i="6"/>
  <c r="H732" i="6" s="1"/>
  <c r="I744" i="6"/>
  <c r="G666" i="6"/>
  <c r="H666" i="6" s="1"/>
  <c r="I678" i="6"/>
  <c r="E577" i="6"/>
  <c r="C565" i="6"/>
  <c r="D565" i="6" s="1"/>
  <c r="G589" i="6"/>
  <c r="H589" i="6" s="1"/>
  <c r="G590" i="6"/>
  <c r="H590" i="6" s="1"/>
  <c r="I589" i="6"/>
  <c r="I601" i="6"/>
  <c r="E661" i="6"/>
  <c r="C649" i="6"/>
  <c r="D649" i="6" s="1"/>
  <c r="C566" i="6"/>
  <c r="D566" i="6" s="1"/>
  <c r="C827" i="6"/>
  <c r="D827" i="6" s="1"/>
  <c r="E839" i="6"/>
  <c r="C779" i="6"/>
  <c r="D779" i="6" s="1"/>
  <c r="E791" i="6"/>
  <c r="G857" i="6"/>
  <c r="H857" i="6" s="1"/>
  <c r="E836" i="6"/>
  <c r="C824" i="6"/>
  <c r="D824" i="6" s="1"/>
  <c r="G789" i="6"/>
  <c r="H789" i="6" s="1"/>
  <c r="E852" i="6"/>
  <c r="C840" i="6"/>
  <c r="D840" i="6" s="1"/>
  <c r="I840" i="6"/>
  <c r="G828" i="6"/>
  <c r="H828" i="6" s="1"/>
  <c r="I768" i="6"/>
  <c r="I756" i="6"/>
  <c r="G756" i="6"/>
  <c r="H756" i="6" s="1"/>
  <c r="G757" i="6"/>
  <c r="H757" i="6" s="1"/>
  <c r="I824" i="6"/>
  <c r="G812" i="6"/>
  <c r="H812" i="6" s="1"/>
  <c r="G768" i="6"/>
  <c r="H768" i="6" s="1"/>
  <c r="E780" i="6"/>
  <c r="C768" i="6"/>
  <c r="D768" i="6" s="1"/>
  <c r="G713" i="6"/>
  <c r="H713" i="6" s="1"/>
  <c r="I725" i="6"/>
  <c r="G714" i="6"/>
  <c r="H714" i="6" s="1"/>
  <c r="E723" i="6"/>
  <c r="E711" i="6"/>
  <c r="C711" i="6"/>
  <c r="D711" i="6" s="1"/>
  <c r="G665" i="6"/>
  <c r="H665" i="6" s="1"/>
  <c r="C715" i="6"/>
  <c r="D715" i="6" s="1"/>
  <c r="E727" i="6"/>
  <c r="I737" i="6"/>
  <c r="G726" i="6"/>
  <c r="H726" i="6" s="1"/>
  <c r="G725" i="6"/>
  <c r="H725" i="6" s="1"/>
  <c r="E724" i="6"/>
  <c r="C732" i="6"/>
  <c r="D732" i="6" s="1"/>
  <c r="E744" i="6"/>
  <c r="E715" i="6"/>
  <c r="G720" i="6"/>
  <c r="H720" i="6" s="1"/>
  <c r="I732" i="6"/>
  <c r="E777" i="6"/>
  <c r="C765" i="6"/>
  <c r="D765" i="6" s="1"/>
  <c r="C638" i="6"/>
  <c r="D638" i="6" s="1"/>
  <c r="E601" i="6"/>
  <c r="C589" i="6"/>
  <c r="D589" i="6" s="1"/>
  <c r="E589" i="6"/>
  <c r="E637" i="6"/>
  <c r="C625" i="6"/>
  <c r="D625" i="6" s="1"/>
  <c r="I587" i="6"/>
  <c r="G575" i="6"/>
  <c r="H575" i="6" s="1"/>
  <c r="G649" i="6"/>
  <c r="H649" i="6" s="1"/>
  <c r="I661" i="6"/>
  <c r="C539" i="6"/>
  <c r="D539" i="6" s="1"/>
  <c r="E539" i="6"/>
  <c r="E551" i="6"/>
  <c r="C612" i="6"/>
  <c r="D612" i="6" s="1"/>
  <c r="C543" i="6"/>
  <c r="D543" i="6" s="1"/>
  <c r="E555" i="6"/>
  <c r="I569" i="6"/>
  <c r="G557" i="6"/>
  <c r="H557" i="6" s="1"/>
  <c r="G558" i="6"/>
  <c r="H558" i="6" s="1"/>
  <c r="I557" i="6"/>
  <c r="E445" i="6"/>
  <c r="C434" i="6"/>
  <c r="D434" i="6" s="1"/>
  <c r="C433" i="6"/>
  <c r="D433" i="6" s="1"/>
  <c r="G470" i="6"/>
  <c r="H470" i="6" s="1"/>
  <c r="E463" i="6"/>
  <c r="I483" i="6"/>
  <c r="I471" i="6"/>
  <c r="G471" i="6"/>
  <c r="H471" i="6" s="1"/>
  <c r="G325" i="6"/>
  <c r="H325" i="6" s="1"/>
  <c r="I337" i="6"/>
  <c r="C368" i="6"/>
  <c r="D368" i="6" s="1"/>
  <c r="E380" i="6"/>
  <c r="I292" i="6"/>
  <c r="G280" i="6"/>
  <c r="H280" i="6" s="1"/>
  <c r="G192" i="6"/>
  <c r="H192" i="6" s="1"/>
  <c r="I204" i="6"/>
  <c r="C356" i="6"/>
  <c r="D356" i="6" s="1"/>
  <c r="C357" i="6"/>
  <c r="D357" i="6" s="1"/>
  <c r="E368" i="6"/>
  <c r="C386" i="6"/>
  <c r="D386" i="6" s="1"/>
  <c r="E398" i="6"/>
  <c r="C387" i="6"/>
  <c r="D387" i="6" s="1"/>
  <c r="E294" i="6"/>
  <c r="G176" i="6"/>
  <c r="H176" i="6" s="1"/>
  <c r="I188" i="6"/>
  <c r="G177" i="6"/>
  <c r="H177" i="6" s="1"/>
  <c r="C260" i="6"/>
  <c r="D260" i="6" s="1"/>
  <c r="E260" i="6"/>
  <c r="E272" i="6"/>
  <c r="E213" i="6"/>
  <c r="C201" i="6"/>
  <c r="D201" i="6" s="1"/>
  <c r="I326" i="6"/>
  <c r="I248" i="6"/>
  <c r="G236" i="6"/>
  <c r="H236" i="6" s="1"/>
  <c r="G193" i="6"/>
  <c r="H193" i="6" s="1"/>
  <c r="G115" i="6"/>
  <c r="H115" i="6" s="1"/>
  <c r="I126" i="6"/>
  <c r="G114" i="6"/>
  <c r="H114" i="6" s="1"/>
  <c r="G61" i="6"/>
  <c r="H61" i="6" s="1"/>
  <c r="I73" i="6"/>
  <c r="G245" i="6"/>
  <c r="H245" i="6" s="1"/>
  <c r="C190" i="6"/>
  <c r="D190" i="6" s="1"/>
  <c r="G160" i="6"/>
  <c r="H160" i="6" s="1"/>
  <c r="I172" i="6"/>
  <c r="G206" i="6"/>
  <c r="H206" i="6" s="1"/>
  <c r="E29" i="6"/>
  <c r="D29" i="6"/>
  <c r="C17" i="6"/>
  <c r="E41" i="6"/>
  <c r="C29" i="6"/>
  <c r="D41" i="6"/>
  <c r="G135" i="6"/>
  <c r="H135" i="6" s="1"/>
  <c r="G134" i="6"/>
  <c r="H134" i="6" s="1"/>
  <c r="I146" i="6"/>
  <c r="D45" i="6"/>
  <c r="G94" i="6"/>
  <c r="H94" i="6" s="1"/>
  <c r="I106" i="6"/>
  <c r="I836" i="6"/>
  <c r="G824" i="6"/>
  <c r="H824" i="6" s="1"/>
  <c r="I777" i="6"/>
  <c r="G765" i="6"/>
  <c r="H765" i="6" s="1"/>
  <c r="E631" i="6"/>
  <c r="C619" i="6"/>
  <c r="D619" i="6" s="1"/>
  <c r="C620" i="6"/>
  <c r="D620" i="6" s="1"/>
  <c r="G539" i="6"/>
  <c r="H539" i="6" s="1"/>
  <c r="I551" i="6"/>
  <c r="C495" i="6"/>
  <c r="D495" i="6" s="1"/>
  <c r="E507" i="6"/>
  <c r="E692" i="6"/>
  <c r="C680" i="6"/>
  <c r="D680" i="6" s="1"/>
  <c r="E680" i="6"/>
  <c r="I555" i="6"/>
  <c r="G543" i="6"/>
  <c r="H543" i="6" s="1"/>
  <c r="E569" i="6"/>
  <c r="C557" i="6"/>
  <c r="D557" i="6" s="1"/>
  <c r="E459" i="6"/>
  <c r="C447" i="6"/>
  <c r="D447" i="6" s="1"/>
  <c r="E381" i="6"/>
  <c r="C369" i="6"/>
  <c r="D369" i="6" s="1"/>
  <c r="C370" i="6"/>
  <c r="D370" i="6" s="1"/>
  <c r="G433" i="6"/>
  <c r="H433" i="6" s="1"/>
  <c r="I433" i="6"/>
  <c r="I445" i="6"/>
  <c r="E447" i="6"/>
  <c r="E369" i="6"/>
  <c r="G444" i="6"/>
  <c r="H444" i="6" s="1"/>
  <c r="I456" i="6"/>
  <c r="G445" i="6"/>
  <c r="H445" i="6" s="1"/>
  <c r="E322" i="6"/>
  <c r="C322" i="6"/>
  <c r="D322" i="6" s="1"/>
  <c r="E334" i="6"/>
  <c r="C323" i="6"/>
  <c r="D323" i="6" s="1"/>
  <c r="E330" i="6"/>
  <c r="E318" i="6"/>
  <c r="C318" i="6"/>
  <c r="D318" i="6" s="1"/>
  <c r="I390" i="6"/>
  <c r="G378" i="6"/>
  <c r="H378" i="6" s="1"/>
  <c r="C186" i="6"/>
  <c r="D186" i="6" s="1"/>
  <c r="E198" i="6"/>
  <c r="E186" i="6"/>
  <c r="C176" i="6"/>
  <c r="D176" i="6" s="1"/>
  <c r="E188" i="6"/>
  <c r="I199" i="6"/>
  <c r="G187" i="6"/>
  <c r="H187" i="6" s="1"/>
  <c r="E236" i="6"/>
  <c r="E248" i="6"/>
  <c r="C236" i="6"/>
  <c r="D236" i="6" s="1"/>
  <c r="G188" i="6"/>
  <c r="H188" i="6" s="1"/>
  <c r="I200" i="6"/>
  <c r="G212" i="6"/>
  <c r="H212" i="6" s="1"/>
  <c r="I224" i="6"/>
  <c r="G58" i="6"/>
  <c r="H58" i="6" s="1"/>
  <c r="I70" i="6"/>
  <c r="G59" i="6"/>
  <c r="H59" i="6" s="1"/>
  <c r="E193" i="6"/>
  <c r="C181" i="6"/>
  <c r="D181" i="6" s="1"/>
  <c r="I68" i="6"/>
  <c r="G56" i="6"/>
  <c r="H56" i="6" s="1"/>
  <c r="I56" i="6"/>
  <c r="I29" i="6"/>
  <c r="G18" i="6"/>
  <c r="H18" i="6" s="1"/>
  <c r="G17" i="6"/>
  <c r="H17" i="6" s="1"/>
  <c r="E108" i="6"/>
  <c r="C96" i="6"/>
  <c r="D96" i="6" s="1"/>
  <c r="G29" i="6"/>
  <c r="H29" i="6" s="1"/>
  <c r="I41" i="6"/>
  <c r="E19" i="6"/>
  <c r="E7" i="6"/>
  <c r="D19" i="6"/>
  <c r="D7" i="6"/>
  <c r="C7" i="6"/>
  <c r="C134" i="6"/>
  <c r="D134" i="6" s="1"/>
  <c r="E146" i="6"/>
  <c r="C135" i="6"/>
  <c r="D135" i="6" s="1"/>
  <c r="I17" i="6"/>
  <c r="E96" i="6"/>
  <c r="E37" i="6"/>
  <c r="D37" i="6"/>
  <c r="C25" i="6"/>
  <c r="I46" i="6"/>
  <c r="E800" i="6"/>
  <c r="C788" i="6"/>
  <c r="D788" i="6" s="1"/>
  <c r="C789" i="6"/>
  <c r="D789" i="6" s="1"/>
  <c r="I773" i="6"/>
  <c r="G761" i="6"/>
  <c r="H761" i="6" s="1"/>
  <c r="G619" i="6"/>
  <c r="H619" i="6" s="1"/>
  <c r="I631" i="6"/>
  <c r="G680" i="6"/>
  <c r="H680" i="6" s="1"/>
  <c r="G681" i="6"/>
  <c r="H681" i="6" s="1"/>
  <c r="I692" i="6"/>
  <c r="E635" i="6"/>
  <c r="C623" i="6"/>
  <c r="D623" i="6" s="1"/>
  <c r="E533" i="6"/>
  <c r="C521" i="6"/>
  <c r="D521" i="6" s="1"/>
  <c r="I588" i="6"/>
  <c r="G576" i="6"/>
  <c r="H576" i="6" s="1"/>
  <c r="E575" i="6"/>
  <c r="C563" i="6"/>
  <c r="D563" i="6" s="1"/>
  <c r="C516" i="6"/>
  <c r="D516" i="6" s="1"/>
  <c r="C515" i="6"/>
  <c r="D515" i="6" s="1"/>
  <c r="E527" i="6"/>
  <c r="G447" i="6"/>
  <c r="H447" i="6" s="1"/>
  <c r="I459" i="6"/>
  <c r="I532" i="6"/>
  <c r="G520" i="6"/>
  <c r="H520" i="6" s="1"/>
  <c r="E429" i="6"/>
  <c r="C417" i="6"/>
  <c r="D417" i="6" s="1"/>
  <c r="E529" i="6"/>
  <c r="C517" i="6"/>
  <c r="D517" i="6" s="1"/>
  <c r="E517" i="6"/>
  <c r="I381" i="6"/>
  <c r="G369" i="6"/>
  <c r="H369" i="6" s="1"/>
  <c r="I369" i="6"/>
  <c r="G467" i="6"/>
  <c r="H467" i="6" s="1"/>
  <c r="I479" i="6"/>
  <c r="I548" i="6"/>
  <c r="G536" i="6"/>
  <c r="H536" i="6" s="1"/>
  <c r="G437" i="6"/>
  <c r="H437" i="6" s="1"/>
  <c r="I449" i="6"/>
  <c r="G438" i="6"/>
  <c r="H438" i="6" s="1"/>
  <c r="G407" i="6"/>
  <c r="H407" i="6" s="1"/>
  <c r="I419" i="6"/>
  <c r="C444" i="6"/>
  <c r="D444" i="6" s="1"/>
  <c r="E456" i="6"/>
  <c r="I334" i="6"/>
  <c r="G322" i="6"/>
  <c r="H322" i="6" s="1"/>
  <c r="E320" i="6"/>
  <c r="C308" i="6"/>
  <c r="D308" i="6" s="1"/>
  <c r="E540" i="6"/>
  <c r="C528" i="6"/>
  <c r="D528" i="6" s="1"/>
  <c r="E391" i="6"/>
  <c r="C379" i="6"/>
  <c r="D379" i="6" s="1"/>
  <c r="E378" i="6"/>
  <c r="C378" i="6"/>
  <c r="D378" i="6" s="1"/>
  <c r="E390" i="6"/>
  <c r="C178" i="6"/>
  <c r="D178" i="6" s="1"/>
  <c r="E190" i="6"/>
  <c r="G277" i="6"/>
  <c r="H277" i="6" s="1"/>
  <c r="I289" i="6"/>
  <c r="C335" i="6"/>
  <c r="D335" i="6" s="1"/>
  <c r="E347" i="6"/>
  <c r="C187" i="6"/>
  <c r="D187" i="6" s="1"/>
  <c r="E199" i="6"/>
  <c r="E187" i="6"/>
  <c r="C188" i="6"/>
  <c r="D188" i="6" s="1"/>
  <c r="G154" i="6"/>
  <c r="H154" i="6" s="1"/>
  <c r="I166" i="6"/>
  <c r="E230" i="6"/>
  <c r="C218" i="6"/>
  <c r="D218" i="6" s="1"/>
  <c r="G184" i="6"/>
  <c r="H184" i="6" s="1"/>
  <c r="I196" i="6"/>
  <c r="I184" i="6"/>
  <c r="G185" i="6"/>
  <c r="H185" i="6" s="1"/>
  <c r="I193" i="6"/>
  <c r="G182" i="6"/>
  <c r="H182" i="6" s="1"/>
  <c r="G181" i="6"/>
  <c r="H181" i="6" s="1"/>
  <c r="I268" i="6"/>
  <c r="G257" i="6"/>
  <c r="H257" i="6" s="1"/>
  <c r="G256" i="6"/>
  <c r="H256" i="6" s="1"/>
  <c r="G119" i="6"/>
  <c r="H119" i="6" s="1"/>
  <c r="G118" i="6"/>
  <c r="H118" i="6" s="1"/>
  <c r="I130" i="6"/>
  <c r="C56" i="6"/>
  <c r="E68" i="6"/>
  <c r="G62" i="6"/>
  <c r="H62" i="6" s="1"/>
  <c r="I74" i="6"/>
  <c r="I108" i="6"/>
  <c r="G96" i="6"/>
  <c r="H96" i="6" s="1"/>
  <c r="G30" i="6"/>
  <c r="H30" i="6" s="1"/>
  <c r="E25" i="6"/>
  <c r="E13" i="6"/>
  <c r="D25" i="6"/>
  <c r="D13" i="6"/>
  <c r="C13" i="6"/>
  <c r="I37" i="6"/>
  <c r="G25" i="6"/>
  <c r="H25" i="6" s="1"/>
  <c r="C823" i="6"/>
  <c r="D823" i="6" s="1"/>
  <c r="E835" i="6"/>
  <c r="I723" i="6"/>
  <c r="G711" i="6"/>
  <c r="H711" i="6" s="1"/>
  <c r="G699" i="6"/>
  <c r="H699" i="6" s="1"/>
  <c r="I711" i="6"/>
  <c r="E792" i="6"/>
  <c r="C780" i="6"/>
  <c r="D780" i="6" s="1"/>
  <c r="I583" i="6"/>
  <c r="G571" i="6"/>
  <c r="H571" i="6" s="1"/>
  <c r="E681" i="6"/>
  <c r="C670" i="6"/>
  <c r="D670" i="6" s="1"/>
  <c r="C669" i="6"/>
  <c r="D669" i="6" s="1"/>
  <c r="I567" i="6"/>
  <c r="G555" i="6"/>
  <c r="H555" i="6" s="1"/>
  <c r="I635" i="6"/>
  <c r="G623" i="6"/>
  <c r="H623" i="6" s="1"/>
  <c r="I539" i="6"/>
  <c r="I521" i="6"/>
  <c r="G509" i="6"/>
  <c r="H509" i="6" s="1"/>
  <c r="I509" i="6"/>
  <c r="E561" i="6"/>
  <c r="C549" i="6"/>
  <c r="D549" i="6" s="1"/>
  <c r="I604" i="6"/>
  <c r="G592" i="6"/>
  <c r="H592" i="6" s="1"/>
  <c r="E588" i="6"/>
  <c r="C577" i="6"/>
  <c r="D577" i="6" s="1"/>
  <c r="C576" i="6"/>
  <c r="D576" i="6" s="1"/>
  <c r="I575" i="6"/>
  <c r="I563" i="6"/>
  <c r="G563" i="6"/>
  <c r="H563" i="6" s="1"/>
  <c r="I527" i="6"/>
  <c r="G515" i="6"/>
  <c r="H515" i="6" s="1"/>
  <c r="C445" i="6"/>
  <c r="D445" i="6" s="1"/>
  <c r="E532" i="6"/>
  <c r="C520" i="6"/>
  <c r="D520" i="6" s="1"/>
  <c r="E531" i="6"/>
  <c r="I429" i="6"/>
  <c r="G417" i="6"/>
  <c r="H417" i="6" s="1"/>
  <c r="I529" i="6"/>
  <c r="G517" i="6"/>
  <c r="H517" i="6" s="1"/>
  <c r="G518" i="6"/>
  <c r="H518" i="6" s="1"/>
  <c r="G489" i="6"/>
  <c r="H489" i="6" s="1"/>
  <c r="I501" i="6"/>
  <c r="G490" i="6"/>
  <c r="H490" i="6" s="1"/>
  <c r="E479" i="6"/>
  <c r="C467" i="6"/>
  <c r="D467" i="6" s="1"/>
  <c r="C468" i="6"/>
  <c r="D468" i="6" s="1"/>
  <c r="E467" i="6"/>
  <c r="E548" i="6"/>
  <c r="C536" i="6"/>
  <c r="D536" i="6" s="1"/>
  <c r="E419" i="6"/>
  <c r="C407" i="6"/>
  <c r="D407" i="6" s="1"/>
  <c r="C319" i="6"/>
  <c r="D319" i="6" s="1"/>
  <c r="E331" i="6"/>
  <c r="I540" i="6"/>
  <c r="G528" i="6"/>
  <c r="H528" i="6" s="1"/>
  <c r="I391" i="6"/>
  <c r="G379" i="6"/>
  <c r="H379" i="6" s="1"/>
  <c r="G380" i="6"/>
  <c r="H380" i="6" s="1"/>
  <c r="I347" i="6"/>
  <c r="G335" i="6"/>
  <c r="H335" i="6" s="1"/>
  <c r="G139" i="6"/>
  <c r="H139" i="6" s="1"/>
  <c r="I150" i="6"/>
  <c r="G138" i="6"/>
  <c r="H138" i="6" s="1"/>
  <c r="I138" i="6"/>
  <c r="I54" i="6"/>
  <c r="G42" i="6"/>
  <c r="H42" i="6" s="1"/>
  <c r="G43" i="6"/>
  <c r="H43" i="6" s="1"/>
  <c r="C237" i="6"/>
  <c r="D237" i="6" s="1"/>
  <c r="I244" i="6"/>
  <c r="G218" i="6"/>
  <c r="H218" i="6" s="1"/>
  <c r="I230" i="6"/>
  <c r="G219" i="6"/>
  <c r="H219" i="6" s="1"/>
  <c r="E225" i="6"/>
  <c r="C213" i="6"/>
  <c r="D213" i="6" s="1"/>
  <c r="E196" i="6"/>
  <c r="C184" i="6"/>
  <c r="D184" i="6" s="1"/>
  <c r="C177" i="6"/>
  <c r="D177" i="6" s="1"/>
  <c r="C291" i="6"/>
  <c r="D291" i="6" s="1"/>
  <c r="C256" i="6"/>
  <c r="D256" i="6" s="1"/>
  <c r="E268" i="6"/>
  <c r="C62" i="6"/>
  <c r="D62" i="6" s="1"/>
  <c r="C63" i="6"/>
  <c r="D63" i="6" s="1"/>
  <c r="E74" i="6"/>
  <c r="E33" i="6"/>
  <c r="C21" i="6"/>
  <c r="D33" i="6"/>
  <c r="E23" i="6"/>
  <c r="E11" i="6"/>
  <c r="D23" i="6"/>
  <c r="D11" i="6"/>
  <c r="C11" i="6"/>
  <c r="E34" i="6"/>
  <c r="E861" i="6"/>
  <c r="C849" i="6"/>
  <c r="D849" i="6" s="1"/>
  <c r="G724" i="6"/>
  <c r="H724" i="6" s="1"/>
  <c r="I736" i="6"/>
  <c r="I683" i="6"/>
  <c r="G671" i="6"/>
  <c r="H671" i="6" s="1"/>
  <c r="I792" i="6"/>
  <c r="G780" i="6"/>
  <c r="H780" i="6" s="1"/>
  <c r="G704" i="6"/>
  <c r="H704" i="6" s="1"/>
  <c r="C659" i="6"/>
  <c r="D659" i="6" s="1"/>
  <c r="I681" i="6"/>
  <c r="G669" i="6"/>
  <c r="H669" i="6" s="1"/>
  <c r="I576" i="6"/>
  <c r="E563" i="6"/>
  <c r="G620" i="6"/>
  <c r="H620" i="6" s="1"/>
  <c r="C509" i="6"/>
  <c r="D509" i="6" s="1"/>
  <c r="E509" i="6"/>
  <c r="E521" i="6"/>
  <c r="E604" i="6"/>
  <c r="C593" i="6"/>
  <c r="D593" i="6" s="1"/>
  <c r="C592" i="6"/>
  <c r="D592" i="6" s="1"/>
  <c r="I571" i="6"/>
  <c r="E571" i="6"/>
  <c r="I520" i="6"/>
  <c r="C512" i="6"/>
  <c r="D512" i="6" s="1"/>
  <c r="E524" i="6"/>
  <c r="C511" i="6"/>
  <c r="D511" i="6" s="1"/>
  <c r="E523" i="6"/>
  <c r="G505" i="6"/>
  <c r="H505" i="6" s="1"/>
  <c r="I517" i="6"/>
  <c r="I505" i="6"/>
  <c r="I515" i="6"/>
  <c r="E501" i="6"/>
  <c r="C489" i="6"/>
  <c r="D489" i="6" s="1"/>
  <c r="E426" i="6"/>
  <c r="C414" i="6"/>
  <c r="D414" i="6" s="1"/>
  <c r="G418" i="6"/>
  <c r="H418" i="6" s="1"/>
  <c r="C448" i="6"/>
  <c r="D448" i="6" s="1"/>
  <c r="C358" i="6"/>
  <c r="D358" i="6" s="1"/>
  <c r="E370" i="6"/>
  <c r="I378" i="6"/>
  <c r="E231" i="6"/>
  <c r="C219" i="6"/>
  <c r="D219" i="6" s="1"/>
  <c r="E439" i="6"/>
  <c r="C427" i="6"/>
  <c r="D427" i="6" s="1"/>
  <c r="I170" i="6"/>
  <c r="G158" i="6"/>
  <c r="H158" i="6" s="1"/>
  <c r="E242" i="6"/>
  <c r="C230" i="6"/>
  <c r="D230" i="6" s="1"/>
  <c r="C231" i="6"/>
  <c r="D231" i="6" s="1"/>
  <c r="C309" i="6"/>
  <c r="D309" i="6" s="1"/>
  <c r="I225" i="6"/>
  <c r="G213" i="6"/>
  <c r="H213" i="6" s="1"/>
  <c r="G214" i="6"/>
  <c r="H214" i="6" s="1"/>
  <c r="I78" i="6"/>
  <c r="I66" i="6"/>
  <c r="G66" i="6"/>
  <c r="H66" i="6" s="1"/>
  <c r="G67" i="6"/>
  <c r="H67" i="6" s="1"/>
  <c r="C220" i="6"/>
  <c r="D220" i="6" s="1"/>
  <c r="C49" i="6"/>
  <c r="E61" i="6"/>
  <c r="E49" i="6"/>
  <c r="C171" i="6"/>
  <c r="D171" i="6" s="1"/>
  <c r="I33" i="6"/>
  <c r="G21" i="6"/>
  <c r="H21" i="6" s="1"/>
  <c r="C77" i="6"/>
  <c r="D77" i="6" s="1"/>
  <c r="E89" i="6"/>
  <c r="E77" i="6"/>
  <c r="I61" i="6"/>
  <c r="I767" i="6"/>
  <c r="G755" i="6"/>
  <c r="H755" i="6" s="1"/>
  <c r="I755" i="6"/>
  <c r="I680" i="6"/>
  <c r="E821" i="6"/>
  <c r="C809" i="6"/>
  <c r="D809" i="6" s="1"/>
  <c r="E691" i="6"/>
  <c r="C679" i="6"/>
  <c r="D679" i="6" s="1"/>
  <c r="I759" i="6"/>
  <c r="G747" i="6"/>
  <c r="H747" i="6" s="1"/>
  <c r="E503" i="6"/>
  <c r="C492" i="6"/>
  <c r="D492" i="6" s="1"/>
  <c r="C491" i="6"/>
  <c r="D491" i="6" s="1"/>
  <c r="I644" i="6"/>
  <c r="G632" i="6"/>
  <c r="H632" i="6" s="1"/>
  <c r="G613" i="6"/>
  <c r="H613" i="6" s="1"/>
  <c r="I625" i="6"/>
  <c r="C558" i="6"/>
  <c r="D558" i="6" s="1"/>
  <c r="E595" i="6"/>
  <c r="C583" i="6"/>
  <c r="D583" i="6" s="1"/>
  <c r="G585" i="6"/>
  <c r="H585" i="6" s="1"/>
  <c r="I597" i="6"/>
  <c r="G529" i="6"/>
  <c r="H529" i="6" s="1"/>
  <c r="I541" i="6"/>
  <c r="I572" i="6"/>
  <c r="G560" i="6"/>
  <c r="H560" i="6" s="1"/>
  <c r="G561" i="6"/>
  <c r="H561" i="6" s="1"/>
  <c r="E484" i="6"/>
  <c r="C472" i="6"/>
  <c r="D472" i="6" s="1"/>
  <c r="C473" i="6"/>
  <c r="D473" i="6" s="1"/>
  <c r="I524" i="6"/>
  <c r="G512" i="6"/>
  <c r="H512" i="6" s="1"/>
  <c r="G513" i="6"/>
  <c r="H513" i="6" s="1"/>
  <c r="I523" i="6"/>
  <c r="I511" i="6"/>
  <c r="G511" i="6"/>
  <c r="H511" i="6" s="1"/>
  <c r="E441" i="6"/>
  <c r="C429" i="6"/>
  <c r="D429" i="6" s="1"/>
  <c r="C430" i="6"/>
  <c r="D430" i="6" s="1"/>
  <c r="E417" i="6"/>
  <c r="C405" i="6"/>
  <c r="D405" i="6" s="1"/>
  <c r="E375" i="6"/>
  <c r="C363" i="6"/>
  <c r="D363" i="6" s="1"/>
  <c r="I493" i="6"/>
  <c r="G482" i="6"/>
  <c r="H482" i="6" s="1"/>
  <c r="G481" i="6"/>
  <c r="H481" i="6" s="1"/>
  <c r="I426" i="6"/>
  <c r="G414" i="6"/>
  <c r="H414" i="6" s="1"/>
  <c r="G415" i="6"/>
  <c r="H415" i="6" s="1"/>
  <c r="I457" i="6"/>
  <c r="C336" i="6"/>
  <c r="D336" i="6" s="1"/>
  <c r="G408" i="6"/>
  <c r="H408" i="6" s="1"/>
  <c r="C342" i="6"/>
  <c r="D342" i="6" s="1"/>
  <c r="E354" i="6"/>
  <c r="I379" i="6"/>
  <c r="G364" i="6"/>
  <c r="H364" i="6" s="1"/>
  <c r="I376" i="6"/>
  <c r="E325" i="6"/>
  <c r="C313" i="6"/>
  <c r="D313" i="6" s="1"/>
  <c r="G396" i="6"/>
  <c r="H396" i="6" s="1"/>
  <c r="I370" i="6"/>
  <c r="G358" i="6"/>
  <c r="H358" i="6" s="1"/>
  <c r="C350" i="6"/>
  <c r="D350" i="6" s="1"/>
  <c r="I360" i="6"/>
  <c r="G348" i="6"/>
  <c r="H348" i="6" s="1"/>
  <c r="E313" i="6"/>
  <c r="C222" i="6"/>
  <c r="D222" i="6" s="1"/>
  <c r="E234" i="6"/>
  <c r="C214" i="6"/>
  <c r="D214" i="6" s="1"/>
  <c r="E226" i="6"/>
  <c r="C215" i="6"/>
  <c r="D215" i="6" s="1"/>
  <c r="I439" i="6"/>
  <c r="G428" i="6"/>
  <c r="H428" i="6" s="1"/>
  <c r="G427" i="6"/>
  <c r="H427" i="6" s="1"/>
  <c r="I242" i="6"/>
  <c r="G230" i="6"/>
  <c r="H230" i="6" s="1"/>
  <c r="G170" i="6"/>
  <c r="H170" i="6" s="1"/>
  <c r="I182" i="6"/>
  <c r="G171" i="6"/>
  <c r="H171" i="6" s="1"/>
  <c r="I215" i="6"/>
  <c r="G203" i="6"/>
  <c r="H203" i="6" s="1"/>
  <c r="I169" i="6"/>
  <c r="G169" i="6"/>
  <c r="H169" i="6" s="1"/>
  <c r="I181" i="6"/>
  <c r="G488" i="6"/>
  <c r="H488" i="6" s="1"/>
  <c r="E299" i="6"/>
  <c r="C287" i="6"/>
  <c r="D287" i="6" s="1"/>
  <c r="G101" i="6"/>
  <c r="H101" i="6" s="1"/>
  <c r="I113" i="6"/>
  <c r="E194" i="6"/>
  <c r="C97" i="6"/>
  <c r="D97" i="6" s="1"/>
  <c r="C48" i="6"/>
  <c r="E60" i="6"/>
  <c r="E101" i="6"/>
  <c r="I191" i="6"/>
  <c r="G179" i="6"/>
  <c r="H179" i="6" s="1"/>
  <c r="E17" i="6"/>
  <c r="E5" i="6"/>
  <c r="D5" i="6"/>
  <c r="C5" i="6"/>
  <c r="D17" i="6"/>
  <c r="I93" i="6"/>
  <c r="I180" i="6"/>
  <c r="G77" i="6"/>
  <c r="H77" i="6" s="1"/>
  <c r="I77" i="6"/>
  <c r="I89" i="6"/>
  <c r="G49" i="6"/>
  <c r="H49"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<sst xmlns="http://schemas.openxmlformats.org/spreadsheetml/2006/main" count="792" uniqueCount="563">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</sst>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pt idx="156">
                  <c:v>9.972299168975067E-2</c:v>
                </c:pt>
              </c:numCache>
            </c:numRef>
          </c:val>
          <c:extLst>
            <c:ext xmlns:c16="http://schemas.microsoft.com/office/drawing/2014/chart" uri="{C3380CC4-5D6E-409C-BE32-E72D297353CC}">
              <c16:uniqueId val="{00000000-6395-423E-90FB-7E46BEAF043E}"/>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pt idx="156">
                  <c:v>44927</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pt idx="156">
                  <c:v>4.4743466966390068E-2</c:v>
                </c:pt>
              </c:numCache>
            </c:numRef>
          </c:val>
          <c:smooth val="0"/>
          <c:extLst>
            <c:ext xmlns:c16="http://schemas.microsoft.com/office/drawing/2014/chart" uri="{C3380CC4-5D6E-409C-BE32-E72D297353CC}">
              <c16:uniqueId val="{00000000-270E-4305-ABCD-3A7F70FC4AB0}"/>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3" totalsRowShown="0" headerRowDxfId="11" dataDxfId="9" headerRowBorderDxfId="10">
  <autoFilter ref="A2:I863"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70" zoomScaleNormal="7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46" width="9.1796875" style="72" customWidth="1"/>
    <col min="47" max="16384" width="9.1796875" style="72"/>
  </cols>
  <sheetData>
    <row r="1" spans="2:16" x14ac:dyDescent="0.35">
      <c r="B1" s="78"/>
      <c r="C1" s="77"/>
      <c r="D1" s="77"/>
      <c r="E1" s="77"/>
      <c r="F1" s="77"/>
      <c r="G1" s="77"/>
      <c r="H1" s="77"/>
      <c r="I1" s="77"/>
      <c r="J1" s="77"/>
    </row>
    <row r="2" spans="2:16" ht="16" customHeight="1" thickBot="1" x14ac:dyDescent="0.4">
      <c r="B2" s="79"/>
      <c r="C2" s="79"/>
      <c r="D2" s="79"/>
      <c r="E2" s="79"/>
      <c r="F2" s="79"/>
      <c r="G2" s="79"/>
      <c r="H2" s="79"/>
      <c r="I2" s="79"/>
      <c r="J2" s="79"/>
    </row>
    <row r="3" spans="2:16" ht="16" customHeight="1" thickBot="1" x14ac:dyDescent="0.4">
      <c r="B3" s="80" t="s">
        <v>0</v>
      </c>
      <c r="C3" s="81"/>
      <c r="D3" s="81"/>
      <c r="E3" s="81"/>
      <c r="F3" s="81"/>
      <c r="G3" s="81"/>
      <c r="H3" s="81"/>
      <c r="I3" s="81"/>
      <c r="J3" s="82"/>
    </row>
    <row r="5" spans="2:16" x14ac:dyDescent="0.35">
      <c r="B5" s="83" t="s">
        <v>1</v>
      </c>
      <c r="C5" s="84"/>
      <c r="D5" s="84"/>
      <c r="E5" s="84"/>
      <c r="F5" s="84"/>
      <c r="G5" s="84"/>
      <c r="H5" s="84"/>
      <c r="I5" s="84"/>
      <c r="J5" s="85"/>
    </row>
    <row r="7" spans="2:16" ht="139.5" customHeight="1" x14ac:dyDescent="0.35">
      <c r="B7" s="86" t="s">
        <v>2</v>
      </c>
      <c r="C7" s="77"/>
      <c r="D7" s="77"/>
      <c r="E7" s="77"/>
      <c r="F7" s="77"/>
      <c r="G7" s="77"/>
      <c r="H7" s="77"/>
      <c r="I7" s="77"/>
      <c r="J7" s="77"/>
    </row>
    <row r="8" spans="2:16" ht="33.75" customHeight="1" x14ac:dyDescent="0.35">
      <c r="B8" s="87" t="s">
        <v>3</v>
      </c>
      <c r="C8" s="77"/>
      <c r="D8" s="77"/>
      <c r="E8" s="77"/>
      <c r="F8" s="77"/>
      <c r="G8" s="77"/>
      <c r="H8" s="77"/>
      <c r="I8" s="77"/>
      <c r="J8" s="77"/>
    </row>
    <row r="9" spans="2:16" x14ac:dyDescent="0.35">
      <c r="B9" s="66"/>
      <c r="C9" s="66"/>
      <c r="D9" s="66"/>
      <c r="E9" s="66"/>
    </row>
    <row r="10" spans="2:16" x14ac:dyDescent="0.35">
      <c r="B10" s="83" t="s">
        <v>4</v>
      </c>
      <c r="C10" s="84"/>
      <c r="D10" s="84"/>
      <c r="E10" s="84"/>
      <c r="F10" s="84"/>
      <c r="G10" s="84"/>
      <c r="H10" s="84"/>
      <c r="I10" s="84"/>
      <c r="J10" s="85"/>
    </row>
    <row r="12" spans="2:16" x14ac:dyDescent="0.35">
      <c r="B12" s="83" t="s">
        <v>5</v>
      </c>
      <c r="C12" s="84"/>
      <c r="D12" s="84"/>
      <c r="E12" s="84"/>
      <c r="F12" s="85"/>
      <c r="G12" s="83" t="s">
        <v>6</v>
      </c>
      <c r="H12" s="84"/>
      <c r="I12" s="84"/>
      <c r="J12" s="85"/>
      <c r="O12" s="73" t="s">
        <v>7</v>
      </c>
      <c r="P12" s="73" t="s">
        <v>8</v>
      </c>
    </row>
    <row r="13" spans="2:16" x14ac:dyDescent="0.35">
      <c r="O13" s="69" t="s">
        <v>9</v>
      </c>
      <c r="P13" s="69" t="s">
        <v>10</v>
      </c>
    </row>
    <row r="14" spans="2:16" x14ac:dyDescent="0.35">
      <c r="B14" s="74" t="s">
        <v>3</v>
      </c>
      <c r="G14" s="77" t="s">
        <v>11</v>
      </c>
      <c r="H14" s="77"/>
      <c r="I14" s="77"/>
      <c r="J14" s="77"/>
      <c r="O14" s="69" t="s">
        <v>12</v>
      </c>
      <c r="P14" s="69" t="s">
        <v>13</v>
      </c>
    </row>
    <row r="15" spans="2:16" x14ac:dyDescent="0.35">
      <c r="B15" s="72" t="s">
        <v>14</v>
      </c>
      <c r="G15" s="77" t="s">
        <v>15</v>
      </c>
      <c r="H15" s="77"/>
      <c r="I15" s="77"/>
      <c r="J15" s="77"/>
      <c r="O15" s="69" t="s">
        <v>16</v>
      </c>
      <c r="P15" s="69" t="s">
        <v>17</v>
      </c>
    </row>
    <row r="16" spans="2:16" ht="15.75" customHeight="1" x14ac:dyDescent="0.35">
      <c r="B16" s="72" t="s">
        <v>18</v>
      </c>
      <c r="G16" s="76" t="s">
        <v>19</v>
      </c>
      <c r="H16" s="77"/>
      <c r="I16" s="77"/>
      <c r="J16" s="77"/>
      <c r="O16" s="69" t="s">
        <v>20</v>
      </c>
      <c r="P16" s="69" t="s">
        <v>21</v>
      </c>
    </row>
    <row r="17" spans="2:16" ht="15.75" customHeight="1" x14ac:dyDescent="0.35">
      <c r="B17" s="72" t="s">
        <v>22</v>
      </c>
      <c r="G17" s="76"/>
      <c r="H17" s="77"/>
      <c r="I17" s="77"/>
      <c r="J17" s="77"/>
      <c r="O17" s="69" t="s">
        <v>23</v>
      </c>
      <c r="P17" s="69" t="s">
        <v>24</v>
      </c>
    </row>
    <row r="18" spans="2:16" ht="15.75" customHeight="1" x14ac:dyDescent="0.35">
      <c r="B18" s="72" t="s">
        <v>25</v>
      </c>
      <c r="G18" s="89"/>
      <c r="H18" s="77"/>
      <c r="I18" s="77"/>
      <c r="J18" s="77"/>
      <c r="O18" s="69" t="s">
        <v>26</v>
      </c>
      <c r="P18" s="69" t="s">
        <v>27</v>
      </c>
    </row>
    <row r="19" spans="2:16" ht="15.75" customHeight="1" x14ac:dyDescent="0.35">
      <c r="B19" s="72" t="s">
        <v>28</v>
      </c>
      <c r="G19" s="76"/>
      <c r="H19" s="77"/>
      <c r="I19" s="77"/>
      <c r="J19" s="77"/>
      <c r="O19" s="69" t="s">
        <v>29</v>
      </c>
      <c r="P19" s="69" t="s">
        <v>30</v>
      </c>
    </row>
    <row r="20" spans="2:16" ht="15.75" customHeight="1" x14ac:dyDescent="0.35">
      <c r="G20" s="76"/>
      <c r="H20" s="77"/>
      <c r="I20" s="77"/>
      <c r="J20" s="77"/>
      <c r="O20" s="69" t="s">
        <v>31</v>
      </c>
      <c r="P20" s="69" t="s">
        <v>32</v>
      </c>
    </row>
    <row r="21" spans="2:16" ht="15.75" customHeight="1" x14ac:dyDescent="0.35">
      <c r="B21" s="74" t="s">
        <v>3</v>
      </c>
      <c r="G21" s="76" t="s">
        <v>33</v>
      </c>
      <c r="H21" s="77"/>
      <c r="I21" s="77"/>
      <c r="J21" s="77"/>
      <c r="O21" s="69" t="s">
        <v>34</v>
      </c>
      <c r="P21" s="69" t="s">
        <v>35</v>
      </c>
    </row>
    <row r="22" spans="2:16" ht="15.75" customHeight="1" x14ac:dyDescent="0.35">
      <c r="B22" s="72" t="s">
        <v>36</v>
      </c>
      <c r="G22" s="76" t="s">
        <v>37</v>
      </c>
      <c r="H22" s="77"/>
      <c r="I22" s="77"/>
      <c r="J22" s="77"/>
      <c r="O22" s="69" t="s">
        <v>38</v>
      </c>
      <c r="P22" s="69" t="s">
        <v>39</v>
      </c>
    </row>
    <row r="23" spans="2:16" ht="15.75" customHeight="1" x14ac:dyDescent="0.35">
      <c r="B23" s="72" t="s">
        <v>18</v>
      </c>
      <c r="G23" s="76" t="s">
        <v>19</v>
      </c>
      <c r="H23" s="77"/>
      <c r="I23" s="77"/>
      <c r="J23" s="77"/>
      <c r="O23" s="69" t="s">
        <v>40</v>
      </c>
      <c r="P23" s="69" t="s">
        <v>41</v>
      </c>
    </row>
    <row r="24" spans="2:16" ht="15.75" customHeight="1" x14ac:dyDescent="0.35">
      <c r="B24" s="72" t="s">
        <v>22</v>
      </c>
      <c r="G24" s="76"/>
      <c r="H24" s="77"/>
      <c r="I24" s="77"/>
      <c r="J24" s="77"/>
      <c r="O24" s="69" t="s">
        <v>42</v>
      </c>
      <c r="P24" s="69" t="s">
        <v>43</v>
      </c>
    </row>
    <row r="25" spans="2:16" ht="15.75" customHeight="1" x14ac:dyDescent="0.35">
      <c r="B25" s="72" t="s">
        <v>25</v>
      </c>
      <c r="G25" s="76"/>
      <c r="H25" s="77"/>
      <c r="I25" s="77"/>
      <c r="J25" s="77"/>
      <c r="O25" s="69" t="s">
        <v>44</v>
      </c>
      <c r="P25" s="69" t="s">
        <v>45</v>
      </c>
    </row>
    <row r="26" spans="2:16" ht="15.75" customHeight="1" x14ac:dyDescent="0.35">
      <c r="B26" s="72" t="s">
        <v>46</v>
      </c>
      <c r="G26" s="76"/>
      <c r="H26" s="77"/>
      <c r="I26" s="77"/>
      <c r="J26" s="77"/>
      <c r="O26" s="69" t="s">
        <v>47</v>
      </c>
      <c r="P26" s="69" t="s">
        <v>48</v>
      </c>
    </row>
    <row r="27" spans="2:16" ht="15.75" customHeight="1" x14ac:dyDescent="0.35">
      <c r="B27" s="77"/>
      <c r="C27" s="77"/>
      <c r="D27" s="77"/>
      <c r="E27" s="77"/>
      <c r="F27" s="77"/>
      <c r="G27" s="76"/>
      <c r="H27" s="77"/>
      <c r="I27" s="77"/>
      <c r="J27" s="77"/>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8"/>
      <c r="C31" s="77"/>
      <c r="D31" s="77"/>
      <c r="E31" s="77"/>
      <c r="F31" s="77"/>
      <c r="G31" s="77"/>
      <c r="H31" s="77"/>
      <c r="I31" s="77"/>
      <c r="J31" s="77"/>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zoomScale="80" zoomScaleNormal="80"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35" width="9.1796875" style="72" customWidth="1"/>
    <col min="36"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57.911999999999999</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58.125430000000001</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58.267719999999997</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58.481160000000003</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58.623449999999998</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58.694600000000001</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58.765740000000001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59.121459999999999</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59.54833</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59.904060000000001</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59.904060000000001</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59.904060000000001</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60.259779999999999</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60.61551</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60.68665</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60.900089999999999</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61.113520000000001</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61.32696</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61.82497</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61.896120000000003</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61.967260000000003</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62.180700000000002</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62.46528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62.53642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62.749859999999998</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63.105580000000003</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63.319020000000002</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63.532449999999997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63.745890000000003</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63.817030000000003</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63.888179999999998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64.030460000000005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64.101609999999994</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64.243899999999996</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64.457340000000002</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64.599620000000002</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64.884209999999996</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65.239930000000001</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65.524510000000006</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65.666799999999995</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65.809089999999998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65.95138</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66.164820000000006</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66.235960000000006</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66.307109999999994</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66.449389999999994</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66.591679999999997</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66.66283</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66.947410000000005</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67.231989999999996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67.445430000000002</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67.516570000000002</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67.801150000000007</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67.943439999999995</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68.085729999999998</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68.156880000000001</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68.299160000000001</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68.299160000000001</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68.441450000000003</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68.654889999999995</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68.93947</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69.224050000000005</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69.366339999999994</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69.437479999999994</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69.650919999999999</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69.650919999999999</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69.722059999999999</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69.935500000000005</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69.935500000000005</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70.006649999999993</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70.148929999999993</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70.362369999999999</v>
      </c>
      <c r="O566">
        <v>63.917299999999997</v>
      </c>
      <c r="R566">
        <v>73.540520000000001</v>
      </c>
      <c r="S566">
        <v>75.97</v>
      </c>
      <c r="T566">
        <v>47.221719999999998</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70.672200000000004</v>
      </c>
      <c r="O567">
        <v>64.091419999999999</v>
      </c>
      <c r="R567">
        <v>73.834590000000006</v>
      </c>
      <c r="S567">
        <v>76.260000000000005</v>
      </c>
      <c r="T567">
        <v>47.500140000000002</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70.972040000000007</v>
      </c>
      <c r="O568">
        <v>64.318889999999996</v>
      </c>
      <c r="R568">
        <v>73.871350000000007</v>
      </c>
      <c r="S568">
        <v>76.75</v>
      </c>
      <c r="T568">
        <v>47.828629999999997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71.101969999999994</v>
      </c>
      <c r="O569">
        <v>64.684010000000001</v>
      </c>
      <c r="R569">
        <v>73.988979999999998</v>
      </c>
      <c r="S569">
        <v>76.84</v>
      </c>
      <c r="T569">
        <v>48.223210000000002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71.281880000000001</v>
      </c>
      <c r="O570">
        <v>64.907110000000003</v>
      </c>
      <c r="R570">
        <v>74.143370000000004</v>
      </c>
      <c r="S570">
        <v>77</v>
      </c>
      <c r="T570">
        <v>48.482979999999998</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71.291870000000003</v>
      </c>
      <c r="O571">
        <v>64.852699999999999</v>
      </c>
      <c r="R571">
        <v>74.084559999999996</v>
      </c>
      <c r="S571">
        <v>76.91</v>
      </c>
      <c r="T571">
        <v>48.598289999999999</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71.271879999999996</v>
      </c>
      <c r="O572">
        <v>64.939220000000006</v>
      </c>
      <c r="R572">
        <v>74.165430000000001</v>
      </c>
      <c r="S572">
        <v>76.77</v>
      </c>
      <c r="T572">
        <v>48.718440000000001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71.231899999999996</v>
      </c>
      <c r="O573">
        <v>65.123140000000006</v>
      </c>
      <c r="R573">
        <v>73.959580000000003</v>
      </c>
      <c r="S573">
        <v>76.62</v>
      </c>
      <c r="T573">
        <v>48.9176</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71.401809999999998</v>
      </c>
      <c r="O574">
        <v>65.282039999999995</v>
      </c>
      <c r="R574">
        <v>74.055149999999998</v>
      </c>
      <c r="S574">
        <v>76.849999999999994</v>
      </c>
      <c r="T574">
        <v>49.198950000000004</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71.481769999999997</v>
      </c>
      <c r="O575">
        <v>65.371279999999999</v>
      </c>
      <c r="R575">
        <v>74.158079999999998</v>
      </c>
      <c r="S575">
        <v>77.05</v>
      </c>
      <c r="T575">
        <v>49.421030000000002</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71.491759999999999</v>
      </c>
      <c r="O576">
        <v>65.375079999999997</v>
      </c>
      <c r="R576">
        <v>73.937520000000006</v>
      </c>
      <c r="S576">
        <v>76.98</v>
      </c>
      <c r="T576">
        <v>49.606470000000002</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71.691659999999999</v>
      </c>
      <c r="O577">
        <v>65.568799999999996</v>
      </c>
      <c r="R577">
        <v>73.988979999999998</v>
      </c>
      <c r="S577">
        <v>77.14</v>
      </c>
      <c r="T577">
        <v>49.834580000000003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71.911540000000002</v>
      </c>
      <c r="O578">
        <v>65.759249999999994</v>
      </c>
      <c r="R578">
        <v>74.033100000000005</v>
      </c>
      <c r="S578">
        <v>77.31</v>
      </c>
      <c r="T578">
        <v>50.165680000000002</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72.071460000000002</v>
      </c>
      <c r="O579">
        <v>65.714640000000003</v>
      </c>
      <c r="R579">
        <v>74.069850000000002</v>
      </c>
      <c r="S579">
        <v>77.47</v>
      </c>
      <c r="T579">
        <v>50.672319999999999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72.161410000000004</v>
      </c>
      <c r="O580">
        <v>65.747280000000003</v>
      </c>
      <c r="R580">
        <v>74.260999999999996</v>
      </c>
      <c r="S580">
        <v>77.53</v>
      </c>
      <c r="T580">
        <v>50.972850000000001</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72.141419999999997</v>
      </c>
      <c r="O581">
        <v>65.77122</v>
      </c>
      <c r="R581">
        <v>74.650649999999999</v>
      </c>
      <c r="S581">
        <v>77.56</v>
      </c>
      <c r="T581">
        <v>51.292279999999998</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72.341309999999993</v>
      </c>
      <c r="O582">
        <v>65.867000000000004</v>
      </c>
      <c r="R582">
        <v>74.827100000000002</v>
      </c>
      <c r="S582">
        <v>77.67</v>
      </c>
      <c r="T582">
        <v>51.431319999999999</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72.371290000000002</v>
      </c>
      <c r="O583">
        <v>65.864819999999995</v>
      </c>
      <c r="R583">
        <v>74.922669999999997</v>
      </c>
      <c r="S583">
        <v>77.650000000000006</v>
      </c>
      <c r="T583">
        <v>51.567500000000003</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72.421260000000004</v>
      </c>
      <c r="O584">
        <v>65.98563</v>
      </c>
      <c r="R584">
        <v>75.025599999999997</v>
      </c>
      <c r="S584">
        <v>77.55</v>
      </c>
      <c r="T584">
        <v>51.680439999999997</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72.541210000000007</v>
      </c>
      <c r="O585">
        <v>66.276740000000004</v>
      </c>
      <c r="R585">
        <v>75.150570000000002</v>
      </c>
      <c r="S585">
        <v>77.75</v>
      </c>
      <c r="T585">
        <v>51.923990000000003</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72.611170000000001</v>
      </c>
      <c r="O586">
        <v>66.604870000000005</v>
      </c>
      <c r="R586">
        <v>75.224100000000007</v>
      </c>
      <c r="S586">
        <v>77.89</v>
      </c>
      <c r="T586">
        <v>52.26014</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72.651150000000001</v>
      </c>
      <c r="O587">
        <v>66.580380000000005</v>
      </c>
      <c r="R587">
        <v>75.400540000000007</v>
      </c>
      <c r="S587">
        <v>77.849999999999994</v>
      </c>
      <c r="T587">
        <v>52.534770000000002</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72.751090000000005</v>
      </c>
      <c r="O588">
        <v>66.712609999999998</v>
      </c>
      <c r="R588">
        <v>75.363780000000006</v>
      </c>
      <c r="S588">
        <v>77.98</v>
      </c>
      <c r="T588">
        <v>52.675170000000001</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72.841040000000007</v>
      </c>
      <c r="O589">
        <v>66.890010000000004</v>
      </c>
      <c r="R589">
        <v>75.385829999999999</v>
      </c>
      <c r="S589">
        <v>78.02</v>
      </c>
      <c r="T589">
        <v>52.918170000000003</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72.78107</v>
      </c>
      <c r="O590">
        <v>67.047809999999998</v>
      </c>
      <c r="P590">
        <v>54.141820000000003</v>
      </c>
      <c r="R590">
        <v>75.466710000000006</v>
      </c>
      <c r="S590">
        <v>77.78</v>
      </c>
      <c r="T590">
        <v>53.345730000000003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72.960980000000006</v>
      </c>
      <c r="O591">
        <v>66.891090000000005</v>
      </c>
      <c r="P591">
        <v>54.654519999999998</v>
      </c>
      <c r="R591">
        <v>75.451999999999998</v>
      </c>
      <c r="S591">
        <v>78.069999999999993</v>
      </c>
      <c r="T591">
        <v>53.719029999999997</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73.060929999999999</v>
      </c>
      <c r="O592">
        <v>66.922110000000004</v>
      </c>
      <c r="P592">
        <v>55.064689999999999</v>
      </c>
      <c r="R592">
        <v>75.613749999999996</v>
      </c>
      <c r="S592">
        <v>78.2</v>
      </c>
      <c r="T592">
        <v>53.951149999999998</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73.240830000000003</v>
      </c>
      <c r="O593">
        <v>67.088070000000002</v>
      </c>
      <c r="P593">
        <v>55.321040000000004</v>
      </c>
      <c r="R593">
        <v>75.959280000000007</v>
      </c>
      <c r="S593">
        <v>78.36</v>
      </c>
      <c r="T593">
        <v>54.239669999999997</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73.390749999999997</v>
      </c>
      <c r="O594">
        <v>67.17568</v>
      </c>
      <c r="P594">
        <v>55.526119999999999</v>
      </c>
      <c r="R594">
        <v>75.922520000000006</v>
      </c>
      <c r="S594">
        <v>78.38</v>
      </c>
      <c r="T594">
        <v>54.50065</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73.430729999999997</v>
      </c>
      <c r="O595">
        <v>67.219220000000007</v>
      </c>
      <c r="P595">
        <v>55.628660000000004</v>
      </c>
      <c r="R595">
        <v>76.076909999999998</v>
      </c>
      <c r="S595">
        <v>78.44</v>
      </c>
      <c r="T595">
        <v>54.657089999999997</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73.430729999999997</v>
      </c>
      <c r="O596">
        <v>67.467349999999996</v>
      </c>
      <c r="P596">
        <v>55.93629</v>
      </c>
      <c r="R596">
        <v>75.885769999999994</v>
      </c>
      <c r="S596">
        <v>78.180000000000007</v>
      </c>
      <c r="T596">
        <v>54.912120000000002</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73.450710000000001</v>
      </c>
      <c r="O597">
        <v>67.648009999999999</v>
      </c>
      <c r="P597">
        <v>55.833750000000002</v>
      </c>
      <c r="R597">
        <v>75.996039999999994</v>
      </c>
      <c r="S597">
        <v>78.23</v>
      </c>
      <c r="T597">
        <v>55.195979999999999</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73.430729999999997</v>
      </c>
      <c r="O598">
        <v>67.698070000000001</v>
      </c>
      <c r="P598">
        <v>55.833750000000002</v>
      </c>
      <c r="R598">
        <v>76.223950000000002</v>
      </c>
      <c r="S598">
        <v>78.2</v>
      </c>
      <c r="T598">
        <v>56.133620000000001</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73.410740000000004</v>
      </c>
      <c r="O599">
        <v>67.704059999999998</v>
      </c>
      <c r="P599">
        <v>55.93629</v>
      </c>
      <c r="R599">
        <v>76.238650000000007</v>
      </c>
      <c r="S599">
        <v>78.16</v>
      </c>
      <c r="T599">
        <v>56.55321</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73.410740000000004</v>
      </c>
      <c r="O600">
        <v>67.643109999999993</v>
      </c>
      <c r="P600">
        <v>55.885019999999997</v>
      </c>
      <c r="R600">
        <v>76.047499999999999</v>
      </c>
      <c r="S600">
        <v>78.11</v>
      </c>
      <c r="T600">
        <v>56.794559999999997</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73.450710000000001</v>
      </c>
      <c r="O601">
        <v>67.830299999999994</v>
      </c>
      <c r="P601">
        <v>55.987560000000002</v>
      </c>
      <c r="R601">
        <v>76.003389999999996</v>
      </c>
      <c r="S601">
        <v>78.19</v>
      </c>
      <c r="T601">
        <v>57.08596</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73.400739999999999</v>
      </c>
      <c r="O602">
        <v>68.079520000000002</v>
      </c>
      <c r="P602">
        <v>56.602809999999998</v>
      </c>
      <c r="R602">
        <v>75.841650000000001</v>
      </c>
      <c r="S602">
        <v>77.97</v>
      </c>
      <c r="T602">
        <v>57.287849999999999</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73.570660000000004</v>
      </c>
      <c r="O603">
        <v>68.119789999999995</v>
      </c>
      <c r="P603">
        <v>56.756619999999998</v>
      </c>
      <c r="R603">
        <v>76.025440000000003</v>
      </c>
      <c r="S603">
        <v>78.209999999999994</v>
      </c>
      <c r="T603">
        <v>57.461739999999999</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73.810519999999997</v>
      </c>
      <c r="O604">
        <v>68.420169999999999</v>
      </c>
      <c r="P604">
        <v>57.064239999999998</v>
      </c>
      <c r="R604">
        <v>76.209239999999994</v>
      </c>
      <c r="S604">
        <v>78.47</v>
      </c>
      <c r="T604">
        <v>57.717030000000001</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74.07038</v>
      </c>
      <c r="O605">
        <v>68.673190000000005</v>
      </c>
      <c r="P605">
        <v>57.166780000000003</v>
      </c>
      <c r="R605">
        <v>76.767979999999994</v>
      </c>
      <c r="S605">
        <v>78.69</v>
      </c>
      <c r="T605">
        <v>58.080199999999998</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74.120360000000005</v>
      </c>
      <c r="O606">
        <v>68.671019999999999</v>
      </c>
      <c r="P606">
        <v>57.371859999999998</v>
      </c>
      <c r="R606">
        <v>76.959130000000002</v>
      </c>
      <c r="S606">
        <v>78.7</v>
      </c>
      <c r="T606">
        <v>58.207970000000003</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74.120360000000005</v>
      </c>
      <c r="O607">
        <v>68.68571</v>
      </c>
      <c r="P607">
        <v>57.371859999999998</v>
      </c>
      <c r="R607">
        <v>76.915019999999998</v>
      </c>
      <c r="S607">
        <v>78.69</v>
      </c>
      <c r="T607">
        <v>58.250639999999997</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74.220309999999998</v>
      </c>
      <c r="O608">
        <v>68.983360000000005</v>
      </c>
      <c r="P608">
        <v>57.371859999999998</v>
      </c>
      <c r="R608">
        <v>76.782679999999999</v>
      </c>
      <c r="S608">
        <v>78.48</v>
      </c>
      <c r="T608">
        <v>58.41836</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74.31026</v>
      </c>
      <c r="O609">
        <v>69.277209999999997</v>
      </c>
      <c r="P609">
        <v>57.269329999999997</v>
      </c>
      <c r="R609">
        <v>76.834149999999994</v>
      </c>
      <c r="S609">
        <v>78.61</v>
      </c>
      <c r="T609">
        <v>58.641150000000003</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74.390209999999996</v>
      </c>
      <c r="O610">
        <v>69.410520000000005</v>
      </c>
      <c r="P610">
        <v>57.371859999999998</v>
      </c>
      <c r="R610">
        <v>77.091459999999998</v>
      </c>
      <c r="S610">
        <v>78.739999999999995</v>
      </c>
      <c r="T610">
        <v>59.02167</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74.430189999999996</v>
      </c>
      <c r="O611">
        <v>69.384399999999999</v>
      </c>
      <c r="P611">
        <v>57.525680000000001</v>
      </c>
      <c r="R611">
        <v>77.253200000000007</v>
      </c>
      <c r="S611">
        <v>78.790000000000006</v>
      </c>
      <c r="T611">
        <v>59.315530000000003</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74.530140000000003</v>
      </c>
      <c r="O612">
        <v>69.495959999999997</v>
      </c>
      <c r="P612">
        <v>57.679490000000001</v>
      </c>
      <c r="R612">
        <v>77.245850000000004</v>
      </c>
      <c r="S612">
        <v>78.819999999999993</v>
      </c>
      <c r="T612">
        <v>59.443359999999998</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74.790000000000006</v>
      </c>
      <c r="O613">
        <v>69.809389999999993</v>
      </c>
      <c r="P613">
        <v>58.140929999999997</v>
      </c>
      <c r="Q613">
        <v>71.599999999999994</v>
      </c>
      <c r="R613">
        <v>77.547280000000001</v>
      </c>
      <c r="S613">
        <v>79.17</v>
      </c>
      <c r="T613">
        <v>59.591999999999999</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74.819999999999993</v>
      </c>
      <c r="O614">
        <v>70.039019999999994</v>
      </c>
      <c r="P614">
        <v>58.448549999999997</v>
      </c>
      <c r="Q614">
        <v>71.8</v>
      </c>
      <c r="R614">
        <v>77.561980000000005</v>
      </c>
      <c r="S614">
        <v>79.17</v>
      </c>
      <c r="T614">
        <v>59.84863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75.06</v>
      </c>
      <c r="O615">
        <v>70.138050000000007</v>
      </c>
      <c r="P615">
        <v>58.49982</v>
      </c>
      <c r="Q615">
        <v>72.099999999999994</v>
      </c>
      <c r="R615">
        <v>78.139629999999997</v>
      </c>
      <c r="S615">
        <v>79.27</v>
      </c>
      <c r="T615">
        <v>60.130139999999997</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75.33</v>
      </c>
      <c r="O616">
        <v>70.416110000000003</v>
      </c>
      <c r="P616">
        <v>58.858719999999998</v>
      </c>
      <c r="Q616">
        <v>72.42</v>
      </c>
      <c r="R616">
        <v>78.606480000000005</v>
      </c>
      <c r="S616">
        <v>79.64</v>
      </c>
      <c r="T616">
        <v>60.423969999999997</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75.41</v>
      </c>
      <c r="O617">
        <v>70.708870000000005</v>
      </c>
      <c r="P617">
        <v>58.961260000000003</v>
      </c>
      <c r="Q617">
        <v>72.59</v>
      </c>
      <c r="R617">
        <v>78.796390000000002</v>
      </c>
      <c r="S617">
        <v>79.64</v>
      </c>
      <c r="T617">
        <v>60.573439999999998</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v>
      </c>
      <c r="O618">
        <v>70.826409999999996</v>
      </c>
      <c r="P618">
        <v>59.012529999999998</v>
      </c>
      <c r="Q618">
        <v>72.760000000000005</v>
      </c>
      <c r="R618">
        <v>79.033779999999993</v>
      </c>
      <c r="S618">
        <v>79.8</v>
      </c>
      <c r="T618">
        <v>60.705829999999999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75.760000000000005</v>
      </c>
      <c r="O619">
        <v>71.040800000000004</v>
      </c>
      <c r="P619">
        <v>59.217610000000001</v>
      </c>
      <c r="Q619">
        <v>73.06</v>
      </c>
      <c r="R619">
        <v>79.223690000000005</v>
      </c>
      <c r="S619">
        <v>80</v>
      </c>
      <c r="T619">
        <v>60.929400000000001</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75.84</v>
      </c>
      <c r="O620">
        <v>71.472319999999996</v>
      </c>
      <c r="P620">
        <v>59.730319999999999</v>
      </c>
      <c r="Q620">
        <v>73.239999999999995</v>
      </c>
      <c r="R620">
        <v>78.970470000000006</v>
      </c>
      <c r="S620">
        <v>79.87</v>
      </c>
      <c r="T620">
        <v>61.13935</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75.900000000000006</v>
      </c>
      <c r="O621">
        <v>71.772149999999996</v>
      </c>
      <c r="P621">
        <v>59.832859999999997</v>
      </c>
      <c r="Q621">
        <v>73.34</v>
      </c>
      <c r="R621">
        <v>79.286990000000003</v>
      </c>
      <c r="S621">
        <v>80.02</v>
      </c>
      <c r="T621">
        <v>61.262909999999998</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76.23</v>
      </c>
      <c r="O622">
        <v>71.957700000000003</v>
      </c>
      <c r="P622">
        <v>60.089210000000001</v>
      </c>
      <c r="Q622">
        <v>73.760000000000005</v>
      </c>
      <c r="R622">
        <v>79.959580000000003</v>
      </c>
      <c r="S622">
        <v>80.430000000000007</v>
      </c>
      <c r="T622">
        <v>61.636569999999999</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76.27</v>
      </c>
      <c r="O623">
        <v>72.141620000000003</v>
      </c>
      <c r="P623">
        <v>60.653190000000002</v>
      </c>
      <c r="Q623">
        <v>73.91</v>
      </c>
      <c r="R623">
        <v>80.030799999999999</v>
      </c>
      <c r="S623">
        <v>80.33</v>
      </c>
      <c r="T623">
        <v>61.850340000000003</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76.430000000000007</v>
      </c>
      <c r="O624">
        <v>72.321200000000005</v>
      </c>
      <c r="P624">
        <v>60.960810000000002</v>
      </c>
      <c r="Q624">
        <v>74.13</v>
      </c>
      <c r="R624">
        <v>80.007059999999996</v>
      </c>
      <c r="S624">
        <v>80.510000000000005</v>
      </c>
      <c r="T624">
        <v>62.021120000000003</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76.709999999999994</v>
      </c>
      <c r="O625">
        <v>72.5715</v>
      </c>
      <c r="P625">
        <v>61.06335</v>
      </c>
      <c r="Q625">
        <v>74.44</v>
      </c>
      <c r="R625">
        <v>79.888369999999995</v>
      </c>
      <c r="S625">
        <v>80.47</v>
      </c>
      <c r="T625">
        <v>62.163879999999999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76.400000000000006</v>
      </c>
      <c r="O626">
        <v>72.597080000000005</v>
      </c>
      <c r="P626">
        <v>61.832410000000003</v>
      </c>
      <c r="Q626">
        <v>74.31</v>
      </c>
      <c r="R626">
        <v>79.832980000000006</v>
      </c>
      <c r="S626">
        <v>80.13</v>
      </c>
      <c r="T626">
        <v>62.385170000000002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76.63</v>
      </c>
      <c r="O627">
        <v>72.835419999999999</v>
      </c>
      <c r="P627">
        <v>62.037489999999998</v>
      </c>
      <c r="Q627">
        <v>74.59</v>
      </c>
      <c r="R627">
        <v>80.323580000000007</v>
      </c>
      <c r="S627">
        <v>80.349999999999994</v>
      </c>
      <c r="T627">
        <v>62.577959999999997</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77.040000000000006</v>
      </c>
      <c r="O628">
        <v>73.142330000000001</v>
      </c>
      <c r="P628">
        <v>62.293849999999999</v>
      </c>
      <c r="Q628">
        <v>75.010000000000005</v>
      </c>
      <c r="R628">
        <v>80.758780000000002</v>
      </c>
      <c r="S628">
        <v>80.709999999999994</v>
      </c>
      <c r="T628">
        <v>62.863579999999999</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77.510000000000005</v>
      </c>
      <c r="O629">
        <v>73.522139999999993</v>
      </c>
      <c r="P629">
        <v>62.704009999999997</v>
      </c>
      <c r="Q629">
        <v>75.52</v>
      </c>
      <c r="R629">
        <v>81.130690000000001</v>
      </c>
      <c r="S629">
        <v>81.099999999999994</v>
      </c>
      <c r="T629">
        <v>63.314790000000002</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77.87</v>
      </c>
      <c r="O630">
        <v>73.800200000000004</v>
      </c>
      <c r="P630">
        <v>63.114179999999998</v>
      </c>
      <c r="Q630">
        <v>75.94</v>
      </c>
      <c r="R630">
        <v>81.668760000000006</v>
      </c>
      <c r="S630">
        <v>81.599999999999994</v>
      </c>
      <c r="T630">
        <v>63.661499999999997</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77.989999999999995</v>
      </c>
      <c r="O631">
        <v>74.048879999999997</v>
      </c>
      <c r="P631">
        <v>63.267989999999998</v>
      </c>
      <c r="Q631">
        <v>76.08</v>
      </c>
      <c r="R631">
        <v>81.660849999999996</v>
      </c>
      <c r="S631">
        <v>81.650000000000006</v>
      </c>
      <c r="T631">
        <v>63.842889999999997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77.81</v>
      </c>
      <c r="O632">
        <v>74.230630000000005</v>
      </c>
      <c r="P632">
        <v>63.524349999999998</v>
      </c>
      <c r="Q632">
        <v>75.930000000000007</v>
      </c>
      <c r="R632">
        <v>81.051559999999995</v>
      </c>
      <c r="S632">
        <v>81.48</v>
      </c>
      <c r="T632">
        <v>63.845219999999998</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77.75</v>
      </c>
      <c r="O633">
        <v>74.410200000000003</v>
      </c>
      <c r="P633">
        <v>63.473080000000003</v>
      </c>
      <c r="Q633">
        <v>75.91</v>
      </c>
      <c r="R633">
        <v>81.304770000000005</v>
      </c>
      <c r="S633">
        <v>81.48</v>
      </c>
      <c r="T633">
        <v>63.966560000000001</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77.959999999999994</v>
      </c>
      <c r="O634">
        <v>74.400409999999994</v>
      </c>
      <c r="P634">
        <v>63.524349999999998</v>
      </c>
      <c r="Q634">
        <v>76.17</v>
      </c>
      <c r="R634">
        <v>81.890330000000006</v>
      </c>
      <c r="S634">
        <v>81.63</v>
      </c>
      <c r="T634">
        <v>64.274870000000007</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78.03</v>
      </c>
      <c r="O635">
        <v>74.322590000000005</v>
      </c>
      <c r="P635">
        <v>63.524349999999998</v>
      </c>
      <c r="Q635">
        <v>76.3</v>
      </c>
      <c r="R635">
        <v>81.708330000000004</v>
      </c>
      <c r="S635">
        <v>81.680000000000007</v>
      </c>
      <c r="T635">
        <v>64.419169999999994</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77.98</v>
      </c>
      <c r="O636">
        <v>74.267089999999996</v>
      </c>
      <c r="P636">
        <v>63.524349999999998</v>
      </c>
      <c r="Q636">
        <v>76.319999999999993</v>
      </c>
      <c r="R636">
        <v>81.344340000000003</v>
      </c>
      <c r="S636">
        <v>81.459999999999994</v>
      </c>
      <c r="T636">
        <v>64.513570000000001</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78.319999999999993</v>
      </c>
      <c r="O637">
        <v>74.536450000000002</v>
      </c>
      <c r="P637">
        <v>63.62688</v>
      </c>
      <c r="Q637">
        <v>76.680000000000007</v>
      </c>
      <c r="R637">
        <v>81.31268</v>
      </c>
      <c r="S637">
        <v>81.56</v>
      </c>
      <c r="T637">
        <v>64.615939999999995</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78.42</v>
      </c>
      <c r="O638">
        <v>74.434020000000004</v>
      </c>
      <c r="P638">
        <v>64.447220000000002</v>
      </c>
      <c r="Q638">
        <v>76.86</v>
      </c>
      <c r="R638">
        <v>81.652940000000001</v>
      </c>
      <c r="S638">
        <v>81.94</v>
      </c>
      <c r="T638">
        <v>64.867919999999998</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78.55</v>
      </c>
      <c r="O639">
        <v>74.498249999999999</v>
      </c>
      <c r="P639">
        <v>64.806110000000004</v>
      </c>
      <c r="Q639">
        <v>77.02</v>
      </c>
      <c r="R639">
        <v>81.779539999999997</v>
      </c>
      <c r="S639">
        <v>82.04</v>
      </c>
      <c r="T639">
        <v>65.072620000000001</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78.989999999999995</v>
      </c>
      <c r="O640">
        <v>75.113810000000001</v>
      </c>
      <c r="P640">
        <v>64.959919999999997</v>
      </c>
      <c r="Q640">
        <v>77.44</v>
      </c>
      <c r="R640">
        <v>82.214749999999995</v>
      </c>
      <c r="S640">
        <v>82.4</v>
      </c>
      <c r="T640">
        <v>65.339650000000006</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79.349999999999994</v>
      </c>
      <c r="O641">
        <v>76.134029999999996</v>
      </c>
      <c r="P641">
        <v>65.57517</v>
      </c>
      <c r="Q641">
        <v>77.81</v>
      </c>
      <c r="R641">
        <v>82.555009999999996</v>
      </c>
      <c r="S641">
        <v>82.71</v>
      </c>
      <c r="T641">
        <v>65.654200000000003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79.489999999999995</v>
      </c>
      <c r="O642">
        <v>76.408079999999998</v>
      </c>
      <c r="P642">
        <v>65.728980000000007</v>
      </c>
      <c r="Q642">
        <v>77.94</v>
      </c>
      <c r="R642">
        <v>82.736999999999995</v>
      </c>
      <c r="S642">
        <v>82.81</v>
      </c>
      <c r="T642">
        <v>65.782139999999998</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79.459999999999994</v>
      </c>
      <c r="O643">
        <v>76.411289999999994</v>
      </c>
      <c r="P643">
        <v>65.677710000000005</v>
      </c>
      <c r="Q643">
        <v>77.89</v>
      </c>
      <c r="R643">
        <v>82.562920000000005</v>
      </c>
      <c r="S643">
        <v>82.8</v>
      </c>
      <c r="T643">
        <v>65.821309999999997</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79.38</v>
      </c>
      <c r="O644">
        <v>75.881379999999993</v>
      </c>
      <c r="P644">
        <v>65.472629999999995</v>
      </c>
      <c r="Q644">
        <v>77.8</v>
      </c>
      <c r="R644">
        <v>82.412570000000002</v>
      </c>
      <c r="S644">
        <v>82.8</v>
      </c>
      <c r="T644">
        <v>65.906930000000003</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79.430000000000007</v>
      </c>
      <c r="O645">
        <v>76.098699999999994</v>
      </c>
      <c r="P645">
        <v>65.165009999999995</v>
      </c>
      <c r="Q645">
        <v>77.84</v>
      </c>
      <c r="R645">
        <v>82.412570000000002</v>
      </c>
      <c r="S645">
        <v>82.99</v>
      </c>
      <c r="T645">
        <v>66.117649999999998</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79.63</v>
      </c>
      <c r="O646">
        <v>76.383459999999999</v>
      </c>
      <c r="P646">
        <v>65.216279999999998</v>
      </c>
      <c r="Q646">
        <v>78.05</v>
      </c>
      <c r="R646">
        <v>82.713260000000005</v>
      </c>
      <c r="S646">
        <v>83.14</v>
      </c>
      <c r="T646">
        <v>66.348730000000003</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79.819999999999993</v>
      </c>
      <c r="O647">
        <v>77.140330000000006</v>
      </c>
      <c r="P647">
        <v>65.57517</v>
      </c>
      <c r="Q647">
        <v>78.260000000000005</v>
      </c>
      <c r="R647">
        <v>82.926910000000007</v>
      </c>
      <c r="S647">
        <v>83.27</v>
      </c>
      <c r="T647">
        <v>66.566850000000002</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79.760000000000005</v>
      </c>
      <c r="O648">
        <v>77.259159999999994</v>
      </c>
      <c r="P648">
        <v>65.472629999999995</v>
      </c>
      <c r="Q648">
        <v>78.239999999999995</v>
      </c>
      <c r="R648">
        <v>82.665790000000001</v>
      </c>
      <c r="S648">
        <v>83.27</v>
      </c>
      <c r="T648">
        <v>66.770650000000003</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80.14</v>
      </c>
      <c r="O649">
        <v>77.516080000000002</v>
      </c>
      <c r="P649">
        <v>65.370090000000005</v>
      </c>
      <c r="Q649">
        <v>78.599999999999994</v>
      </c>
      <c r="R649">
        <v>82.657880000000006</v>
      </c>
      <c r="S649">
        <v>83.41</v>
      </c>
      <c r="T649">
        <v>66.903800000000004</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80.11</v>
      </c>
      <c r="O650">
        <v>77.197069999999997</v>
      </c>
      <c r="P650">
        <v>66.087879999999998</v>
      </c>
      <c r="Q650">
        <v>78.64</v>
      </c>
      <c r="R650">
        <v>82.760739999999998</v>
      </c>
      <c r="S650">
        <v>83.57</v>
      </c>
      <c r="T650">
        <v>67.187169999999995</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80.430000000000007</v>
      </c>
      <c r="O651">
        <v>77.360860000000002</v>
      </c>
      <c r="P651">
        <v>66.344229999999996</v>
      </c>
      <c r="Q651">
        <v>78.959999999999994</v>
      </c>
      <c r="R651">
        <v>83.306730000000002</v>
      </c>
      <c r="S651">
        <v>84.15</v>
      </c>
      <c r="T651">
        <v>67.574680000000001</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80.89</v>
      </c>
      <c r="O652">
        <v>77.897189999999995</v>
      </c>
      <c r="P652">
        <v>66.498050000000006</v>
      </c>
      <c r="Q652">
        <v>79.41</v>
      </c>
      <c r="R652">
        <v>83.536199999999994</v>
      </c>
      <c r="S652">
        <v>84.49</v>
      </c>
      <c r="T652">
        <v>67.936890000000005</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81.02</v>
      </c>
      <c r="O653">
        <v>78.530940000000001</v>
      </c>
      <c r="P653">
        <v>66.395499999999998</v>
      </c>
      <c r="Q653">
        <v>79.540000000000006</v>
      </c>
      <c r="R653">
        <v>83.433329999999998</v>
      </c>
      <c r="S653">
        <v>84.37</v>
      </c>
      <c r="T653">
        <v>68.045559999999995</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80.97</v>
      </c>
      <c r="O654">
        <v>78.458150000000003</v>
      </c>
      <c r="P654">
        <v>66.190420000000003</v>
      </c>
      <c r="Q654">
        <v>79.5</v>
      </c>
      <c r="R654">
        <v>83.330470000000005</v>
      </c>
      <c r="S654">
        <v>84.27</v>
      </c>
      <c r="T654">
        <v>68.035139999999998</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81.069999999999993</v>
      </c>
      <c r="O655">
        <v>78.510599999999997</v>
      </c>
      <c r="P655">
        <v>65.882800000000003</v>
      </c>
      <c r="Q655">
        <v>79.58</v>
      </c>
      <c r="R655">
        <v>83.235510000000005</v>
      </c>
      <c r="S655">
        <v>84.43</v>
      </c>
      <c r="T655">
        <v>68.035749999999993</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80.95</v>
      </c>
      <c r="O656">
        <v>78.018159999999995</v>
      </c>
      <c r="P656">
        <v>65.985339999999994</v>
      </c>
      <c r="Q656">
        <v>79.47</v>
      </c>
      <c r="R656">
        <v>82.800309999999996</v>
      </c>
      <c r="S656">
        <v>84.34</v>
      </c>
      <c r="T656">
        <v>68.055310000000006</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81.069999999999993</v>
      </c>
      <c r="O657">
        <v>78.37679</v>
      </c>
      <c r="P657">
        <v>65.985339999999994</v>
      </c>
      <c r="Q657">
        <v>79.56</v>
      </c>
      <c r="R657">
        <v>82.911090000000002</v>
      </c>
      <c r="S657">
        <v>84.54</v>
      </c>
      <c r="T657">
        <v>68.215909999999994</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81.36</v>
      </c>
      <c r="O658">
        <v>78.610169999999997</v>
      </c>
      <c r="P658">
        <v>66.139139999999998</v>
      </c>
      <c r="Q658">
        <v>79.88</v>
      </c>
      <c r="R658">
        <v>83.251339999999999</v>
      </c>
      <c r="S658">
        <v>84.86</v>
      </c>
      <c r="T658">
        <v>68.493219999999994</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81.48</v>
      </c>
      <c r="O659">
        <v>79.140079999999998</v>
      </c>
      <c r="P659">
        <v>66.241690000000006</v>
      </c>
      <c r="Q659">
        <v>80.03</v>
      </c>
      <c r="R659">
        <v>83.164299999999997</v>
      </c>
      <c r="S659">
        <v>85.04</v>
      </c>
      <c r="T659">
        <v>68.63158</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81.510000000000005</v>
      </c>
      <c r="O660">
        <v>79.398079999999993</v>
      </c>
      <c r="P660">
        <v>66.139139999999998</v>
      </c>
      <c r="Q660">
        <v>80.11</v>
      </c>
      <c r="R660">
        <v>83.085170000000005</v>
      </c>
      <c r="S660">
        <v>85.14</v>
      </c>
      <c r="T660">
        <v>68.68535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81.760000000000005</v>
      </c>
      <c r="O661">
        <v>79.534030000000001</v>
      </c>
      <c r="P661">
        <v>66.036609999999996</v>
      </c>
      <c r="Q661">
        <v>80.36</v>
      </c>
      <c r="R661">
        <v>83.156390000000002</v>
      </c>
      <c r="S661">
        <v>85.23</v>
      </c>
      <c r="T661">
        <v>68.811000000000007</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81.58</v>
      </c>
      <c r="O662">
        <v>78.976290000000006</v>
      </c>
      <c r="P662">
        <v>66.395499999999998</v>
      </c>
      <c r="Q662">
        <v>80.3</v>
      </c>
      <c r="R662">
        <v>82.926910000000007</v>
      </c>
      <c r="S662">
        <v>85.23</v>
      </c>
      <c r="T662">
        <v>69.050399999999996</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81.77</v>
      </c>
      <c r="O663">
        <v>79.012690000000006</v>
      </c>
      <c r="P663">
        <v>66.651859999999999</v>
      </c>
      <c r="Q663">
        <v>80.5</v>
      </c>
      <c r="R663">
        <v>83.393770000000004</v>
      </c>
      <c r="S663">
        <v>85.59</v>
      </c>
      <c r="T663">
        <v>69.267009999999999</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82.29</v>
      </c>
      <c r="O664">
        <v>79.564009999999996</v>
      </c>
      <c r="P664">
        <v>66.754390000000001</v>
      </c>
      <c r="Q664">
        <v>80.98</v>
      </c>
      <c r="R664">
        <v>83.108909999999995</v>
      </c>
      <c r="S664">
        <v>85.93</v>
      </c>
      <c r="T664">
        <v>69.601730000000003</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82.71</v>
      </c>
      <c r="O665">
        <v>80.653809999999993</v>
      </c>
      <c r="P665">
        <v>67.267110000000002</v>
      </c>
      <c r="Q665">
        <v>81.39</v>
      </c>
      <c r="R665">
        <v>83.12473</v>
      </c>
      <c r="S665">
        <v>86.15</v>
      </c>
      <c r="T665">
        <v>69.846819999999994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82.98</v>
      </c>
      <c r="O666">
        <v>81.129130000000004</v>
      </c>
      <c r="P666">
        <v>68.651409999999998</v>
      </c>
      <c r="Q666">
        <v>81.69</v>
      </c>
      <c r="R666">
        <v>83.24342</v>
      </c>
      <c r="S666">
        <v>86.47</v>
      </c>
      <c r="T666">
        <v>70.130489999999995</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83.02</v>
      </c>
      <c r="O667">
        <v>81.257589999999993</v>
      </c>
      <c r="P667">
        <v>68.856489999999994</v>
      </c>
      <c r="Q667">
        <v>81.75</v>
      </c>
      <c r="R667">
        <v>83.188029999999998</v>
      </c>
      <c r="S667">
        <v>86.5</v>
      </c>
      <c r="T667">
        <v>70.267979999999994</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82.85</v>
      </c>
      <c r="O668">
        <v>80.640960000000007</v>
      </c>
      <c r="P668">
        <v>68.702680000000001</v>
      </c>
      <c r="Q668">
        <v>81.62</v>
      </c>
      <c r="R668">
        <v>83.069339999999997</v>
      </c>
      <c r="S668">
        <v>86.36</v>
      </c>
      <c r="T668">
        <v>70.29074</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83.01</v>
      </c>
      <c r="O669">
        <v>80.997450000000001</v>
      </c>
      <c r="P669">
        <v>68.600139999999996</v>
      </c>
      <c r="Q669">
        <v>81.739999999999995</v>
      </c>
      <c r="R669">
        <v>83.282989999999998</v>
      </c>
      <c r="S669">
        <v>86.55</v>
      </c>
      <c r="T669">
        <v>70.473269999999999</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83.11</v>
      </c>
      <c r="O670">
        <v>81.141970000000001</v>
      </c>
      <c r="P670">
        <v>68.702680000000001</v>
      </c>
      <c r="Q670">
        <v>81.86</v>
      </c>
      <c r="R670">
        <v>83.607410000000002</v>
      </c>
      <c r="S670">
        <v>86.63</v>
      </c>
      <c r="T670">
        <v>70.671480000000003</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83.43</v>
      </c>
      <c r="O671">
        <v>81.975909999999999</v>
      </c>
      <c r="P671">
        <v>68.959040000000002</v>
      </c>
      <c r="Q671">
        <v>82.2</v>
      </c>
      <c r="R671">
        <v>83.876459999999994</v>
      </c>
      <c r="S671">
        <v>86.85</v>
      </c>
      <c r="T671">
        <v>71.012439999999998</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83.37</v>
      </c>
      <c r="O672">
        <v>82.181460000000001</v>
      </c>
      <c r="P672">
        <v>69.215389999999999</v>
      </c>
      <c r="Q672">
        <v>82.15</v>
      </c>
      <c r="R672">
        <v>83.504549999999995</v>
      </c>
      <c r="S672">
        <v>86.9</v>
      </c>
      <c r="T672">
        <v>71.072590000000005</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83.68</v>
      </c>
      <c r="O673">
        <v>82.101169999999996</v>
      </c>
      <c r="P673">
        <v>69.369200000000006</v>
      </c>
      <c r="Q673">
        <v>82.43</v>
      </c>
      <c r="R673">
        <v>83.512469999999993</v>
      </c>
      <c r="S673">
        <v>87</v>
      </c>
      <c r="T673">
        <v>71.074839999999995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83.17</v>
      </c>
      <c r="O674">
        <v>81.409610000000001</v>
      </c>
      <c r="P674">
        <v>69.215389999999999</v>
      </c>
      <c r="Q674">
        <v>82.02</v>
      </c>
      <c r="R674">
        <v>83.085170000000005</v>
      </c>
      <c r="S674">
        <v>86.52</v>
      </c>
      <c r="T674">
        <v>71.201620000000005</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83.47</v>
      </c>
      <c r="O675">
        <v>81.620500000000007</v>
      </c>
      <c r="P675">
        <v>69.625559999999993</v>
      </c>
      <c r="Q675">
        <v>82.32</v>
      </c>
      <c r="R675">
        <v>83.672039999999996</v>
      </c>
      <c r="S675">
        <v>87.05</v>
      </c>
      <c r="T675">
        <v>71.521469999999994</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84.09</v>
      </c>
      <c r="O676">
        <v>82.266030000000001</v>
      </c>
      <c r="P676">
        <v>70.08699</v>
      </c>
      <c r="Q676">
        <v>82.87</v>
      </c>
      <c r="R676">
        <v>83.923569999999998</v>
      </c>
      <c r="S676">
        <v>87.6</v>
      </c>
      <c r="T676">
        <v>71.897670000000005</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84.45</v>
      </c>
      <c r="O677">
        <v>83.451099999999997</v>
      </c>
      <c r="P677">
        <v>70.394620000000003</v>
      </c>
      <c r="Q677">
        <v>83.25</v>
      </c>
      <c r="R677">
        <v>84.007409999999993</v>
      </c>
      <c r="S677">
        <v>87.77</v>
      </c>
      <c r="T677">
        <v>72.238529999999997</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84.63</v>
      </c>
      <c r="O678">
        <v>83.610619999999997</v>
      </c>
      <c r="P678">
        <v>70.548419999999993</v>
      </c>
      <c r="Q678">
        <v>83.43</v>
      </c>
      <c r="R678">
        <v>83.755880000000005</v>
      </c>
      <c r="S678">
        <v>87.83</v>
      </c>
      <c r="T678">
        <v>72.279660000000007</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84.72</v>
      </c>
      <c r="O679">
        <v>83.805449999999993</v>
      </c>
      <c r="P679">
        <v>71.009860000000003</v>
      </c>
      <c r="Q679">
        <v>83.52</v>
      </c>
      <c r="R679">
        <v>83.839730000000003</v>
      </c>
      <c r="S679">
        <v>87.93</v>
      </c>
      <c r="T679">
        <v>72.281450000000007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84.63</v>
      </c>
      <c r="O680">
        <v>83.292670000000001</v>
      </c>
      <c r="P680">
        <v>71.266210000000001</v>
      </c>
      <c r="Q680">
        <v>83.46</v>
      </c>
      <c r="R680">
        <v>83.504360000000005</v>
      </c>
      <c r="S680">
        <v>87.8</v>
      </c>
      <c r="T680">
        <v>72.509150000000005</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84.83</v>
      </c>
      <c r="O681">
        <v>83.658789999999996</v>
      </c>
      <c r="P681">
        <v>71.471299999999999</v>
      </c>
      <c r="Q681">
        <v>83.63</v>
      </c>
      <c r="R681">
        <v>83.839730000000003</v>
      </c>
      <c r="S681">
        <v>88.14</v>
      </c>
      <c r="T681">
        <v>72.734440000000006</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85.27</v>
      </c>
      <c r="O682">
        <v>84.172650000000004</v>
      </c>
      <c r="P682">
        <v>72.086550000000003</v>
      </c>
      <c r="Q682">
        <v>84.06</v>
      </c>
      <c r="R682">
        <v>84.258930000000007</v>
      </c>
      <c r="S682">
        <v>88.48</v>
      </c>
      <c r="T682">
        <v>73.247749999999996</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85.49</v>
      </c>
      <c r="O683">
        <v>84.856710000000007</v>
      </c>
      <c r="P683">
        <v>72.035269999999997</v>
      </c>
      <c r="Q683">
        <v>84.3</v>
      </c>
      <c r="R683">
        <v>84.175089999999997</v>
      </c>
      <c r="S683">
        <v>88.46</v>
      </c>
      <c r="T683">
        <v>73.619060000000005</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85.31</v>
      </c>
      <c r="O684">
        <v>84.98518</v>
      </c>
      <c r="P684">
        <v>71.932730000000006</v>
      </c>
      <c r="Q684">
        <v>84.15</v>
      </c>
      <c r="R684">
        <v>84.007409999999993</v>
      </c>
      <c r="S684">
        <v>88.28</v>
      </c>
      <c r="T684">
        <v>73.487269999999995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85.59</v>
      </c>
      <c r="O685">
        <v>85.168239999999997</v>
      </c>
      <c r="P685">
        <v>71.830190000000002</v>
      </c>
      <c r="Q685">
        <v>84.39</v>
      </c>
      <c r="R685">
        <v>84.007409999999993</v>
      </c>
      <c r="S685">
        <v>88.39</v>
      </c>
      <c r="T685">
        <v>73.496750000000006</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85.22</v>
      </c>
      <c r="O686">
        <v>84.822460000000007</v>
      </c>
      <c r="P686">
        <v>72.445440000000005</v>
      </c>
      <c r="Q686">
        <v>84.1</v>
      </c>
      <c r="R686">
        <v>83.755880000000005</v>
      </c>
      <c r="S686">
        <v>88.3</v>
      </c>
      <c r="T686">
        <v>73.812730000000002</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85.46</v>
      </c>
      <c r="O687">
        <v>84.863140000000001</v>
      </c>
      <c r="P687">
        <v>72.804339999999996</v>
      </c>
      <c r="Q687">
        <v>84.35</v>
      </c>
      <c r="R687">
        <v>84.426609999999997</v>
      </c>
      <c r="S687">
        <v>88.64</v>
      </c>
      <c r="T687">
        <v>73.997060000000005</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85.95</v>
      </c>
      <c r="O688">
        <v>85.463710000000006</v>
      </c>
      <c r="P688">
        <v>72.855609999999999</v>
      </c>
      <c r="Q688">
        <v>84.79</v>
      </c>
      <c r="R688">
        <v>84.678120000000007</v>
      </c>
      <c r="S688">
        <v>88.89</v>
      </c>
      <c r="T688">
        <v>74.235079999999996</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86.52</v>
      </c>
      <c r="O689">
        <v>86.669120000000007</v>
      </c>
      <c r="P689">
        <v>73.419579999999996</v>
      </c>
      <c r="Q689">
        <v>85.35</v>
      </c>
      <c r="R689">
        <v>85.097319999999996</v>
      </c>
      <c r="S689">
        <v>89.27</v>
      </c>
      <c r="T689">
        <v>74.688370000000006</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86.77</v>
      </c>
      <c r="O690">
        <v>86.981719999999996</v>
      </c>
      <c r="P690">
        <v>73.829750000000004</v>
      </c>
      <c r="Q690">
        <v>85.61</v>
      </c>
      <c r="R690">
        <v>85.181160000000006</v>
      </c>
      <c r="S690">
        <v>89.65</v>
      </c>
      <c r="T690">
        <v>74.972539999999995</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86.83</v>
      </c>
      <c r="O691">
        <v>87.113399999999999</v>
      </c>
      <c r="P691">
        <v>74.086100000000002</v>
      </c>
      <c r="Q691">
        <v>85.67</v>
      </c>
      <c r="R691">
        <v>85.265000000000001</v>
      </c>
      <c r="S691">
        <v>89.65</v>
      </c>
      <c r="T691">
        <v>75.109250000000003</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86.72</v>
      </c>
      <c r="O692">
        <v>86.595249999999993</v>
      </c>
      <c r="P692">
        <v>74.496269999999996</v>
      </c>
      <c r="Q692">
        <v>85.58</v>
      </c>
      <c r="R692">
        <v>85.097319999999996</v>
      </c>
      <c r="S692">
        <v>89.5</v>
      </c>
      <c r="T692">
        <v>75.235810000000001</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v>
      </c>
      <c r="O693">
        <v>86.771900000000002</v>
      </c>
      <c r="P693">
        <v>75.060239999999993</v>
      </c>
      <c r="Q693">
        <v>85.67</v>
      </c>
      <c r="R693">
        <v>85.432680000000005</v>
      </c>
      <c r="S693">
        <v>89.8</v>
      </c>
      <c r="T693">
        <v>75.402659999999997</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86.81</v>
      </c>
      <c r="O694">
        <v>86.629519999999999</v>
      </c>
      <c r="P694">
        <v>74.803889999999996</v>
      </c>
      <c r="Q694">
        <v>85.7</v>
      </c>
      <c r="R694">
        <v>85.51652</v>
      </c>
      <c r="S694">
        <v>89.6</v>
      </c>
      <c r="T694">
        <v>75.422330000000002</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86.87</v>
      </c>
      <c r="O695">
        <v>86.984930000000006</v>
      </c>
      <c r="P695">
        <v>74.701350000000005</v>
      </c>
      <c r="Q695">
        <v>85.76</v>
      </c>
      <c r="R695">
        <v>85.768039999999999</v>
      </c>
      <c r="S695">
        <v>89.4</v>
      </c>
      <c r="T695">
        <v>75.439639999999997</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86.91</v>
      </c>
      <c r="O696">
        <v>87.200100000000006</v>
      </c>
      <c r="P696">
        <v>75.265330000000006</v>
      </c>
      <c r="Q696">
        <v>85.82</v>
      </c>
      <c r="R696">
        <v>85.768039999999999</v>
      </c>
      <c r="S696">
        <v>89.5</v>
      </c>
      <c r="T696">
        <v>75.469560000000001</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87.24</v>
      </c>
      <c r="O697">
        <v>87.438839999999999</v>
      </c>
      <c r="P697">
        <v>75.521680000000003</v>
      </c>
      <c r="Q697">
        <v>86.12</v>
      </c>
      <c r="R697">
        <v>85.851879999999994</v>
      </c>
      <c r="S697">
        <v>89.71</v>
      </c>
      <c r="T697">
        <v>75.747730000000004</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86.81</v>
      </c>
      <c r="O698">
        <v>86.851110000000006</v>
      </c>
      <c r="P698">
        <v>76.136920000000003</v>
      </c>
      <c r="Q698">
        <v>85.8</v>
      </c>
      <c r="R698">
        <v>85.684200000000004</v>
      </c>
      <c r="S698">
        <v>89.4</v>
      </c>
      <c r="T698">
        <v>75.873239999999996</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87.06</v>
      </c>
      <c r="O699">
        <v>86.91</v>
      </c>
      <c r="P699">
        <v>76.239469999999997</v>
      </c>
      <c r="Q699">
        <v>86.07</v>
      </c>
      <c r="R699">
        <v>86.271079999999998</v>
      </c>
      <c r="S699">
        <v>89.57</v>
      </c>
      <c r="T699">
        <v>76.220209999999994</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87.64</v>
      </c>
      <c r="O700">
        <v>87.56944</v>
      </c>
      <c r="P700">
        <v>77.059799999999996</v>
      </c>
      <c r="Q700">
        <v>86.61</v>
      </c>
      <c r="R700">
        <v>86.857960000000006</v>
      </c>
      <c r="S700">
        <v>89.95</v>
      </c>
      <c r="T700">
        <v>76.586070000000007</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v>
      </c>
      <c r="O701">
        <v>88.779139999999998</v>
      </c>
      <c r="P701">
        <v>77.46996</v>
      </c>
      <c r="Q701">
        <v>87.15</v>
      </c>
      <c r="R701">
        <v>87.277150000000006</v>
      </c>
      <c r="S701">
        <v>90.39</v>
      </c>
      <c r="T701">
        <v>76.970659999999995</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88.41</v>
      </c>
      <c r="O702">
        <v>89.023219999999995</v>
      </c>
      <c r="P702">
        <v>78.033940000000001</v>
      </c>
      <c r="Q702">
        <v>87.38</v>
      </c>
      <c r="R702">
        <v>87.193309999999997</v>
      </c>
      <c r="S702">
        <v>90.61</v>
      </c>
      <c r="T702">
        <v>77.278210000000001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88.49</v>
      </c>
      <c r="O703">
        <v>89.187010000000001</v>
      </c>
      <c r="P703">
        <v>78.392840000000007</v>
      </c>
      <c r="Q703">
        <v>87.48</v>
      </c>
      <c r="R703">
        <v>87.360990000000001</v>
      </c>
      <c r="S703">
        <v>90.72</v>
      </c>
      <c r="T703">
        <v>77.448490000000007</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88.28</v>
      </c>
      <c r="O704">
        <v>88.537199999999999</v>
      </c>
      <c r="P704">
        <v>79.264430000000004</v>
      </c>
      <c r="Q704">
        <v>87.31</v>
      </c>
      <c r="R704">
        <v>87.277150000000006</v>
      </c>
      <c r="S704">
        <v>90.49</v>
      </c>
      <c r="T704">
        <v>77.597430000000003</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88.35</v>
      </c>
      <c r="O705">
        <v>88.659239999999997</v>
      </c>
      <c r="P705">
        <v>79.315700000000007</v>
      </c>
      <c r="Q705">
        <v>87.38</v>
      </c>
      <c r="R705">
        <v>87.360990000000001</v>
      </c>
      <c r="S705">
        <v>90.86</v>
      </c>
      <c r="T705">
        <v>77.767709999999994</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88.69</v>
      </c>
      <c r="O706">
        <v>88.950419999999994</v>
      </c>
      <c r="P706">
        <v>80.187309999999997</v>
      </c>
      <c r="Q706">
        <v>87.75</v>
      </c>
      <c r="R706">
        <v>87.780190000000005</v>
      </c>
      <c r="S706">
        <v>90.96</v>
      </c>
      <c r="T706">
        <v>78.023089999999996</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89.13</v>
      </c>
      <c r="O707">
        <v>90.103390000000005</v>
      </c>
      <c r="P707">
        <v>81.007639999999995</v>
      </c>
      <c r="Q707">
        <v>88.21</v>
      </c>
      <c r="R707">
        <v>88.031720000000007</v>
      </c>
      <c r="S707">
        <v>91.19</v>
      </c>
      <c r="T707">
        <v>78.37473</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89.61</v>
      </c>
      <c r="O708">
        <v>90.748919999999998</v>
      </c>
      <c r="P708">
        <v>82.135599999999997</v>
      </c>
      <c r="Q708">
        <v>88.71</v>
      </c>
      <c r="R708">
        <v>88.283230000000003</v>
      </c>
      <c r="S708">
        <v>91.69</v>
      </c>
      <c r="T708">
        <v>78.766689999999997</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89.97</v>
      </c>
      <c r="O709">
        <v>91.128950000000003</v>
      </c>
      <c r="P709">
        <v>82.750839999999997</v>
      </c>
      <c r="Q709">
        <v>89.06</v>
      </c>
      <c r="R709">
        <v>88.115549999999999</v>
      </c>
      <c r="S709">
        <v>92.03</v>
      </c>
      <c r="T709">
        <v>79.009990000000002</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89.65</v>
      </c>
      <c r="O710">
        <v>90.564790000000002</v>
      </c>
      <c r="P710">
        <v>84.545310000000001</v>
      </c>
      <c r="Q710">
        <v>88.94</v>
      </c>
      <c r="R710">
        <v>89.037790000000001</v>
      </c>
      <c r="S710">
        <v>91.92</v>
      </c>
      <c r="T710">
        <v>79.340059999999994</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89.97</v>
      </c>
      <c r="O711">
        <v>90.706090000000003</v>
      </c>
      <c r="P711">
        <v>84.852940000000004</v>
      </c>
      <c r="Q711">
        <v>89.27</v>
      </c>
      <c r="R711">
        <v>89.456990000000005</v>
      </c>
      <c r="S711">
        <v>92.12</v>
      </c>
      <c r="T711">
        <v>79.816119999999998</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90.85</v>
      </c>
      <c r="O712">
        <v>91.511129999999994</v>
      </c>
      <c r="P712">
        <v>85.468190000000007</v>
      </c>
      <c r="Q712">
        <v>90.08</v>
      </c>
      <c r="R712">
        <v>90.211550000000003</v>
      </c>
      <c r="S712">
        <v>92.81</v>
      </c>
      <c r="T712">
        <v>80.393900000000002</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91.15</v>
      </c>
      <c r="O713">
        <v>92.496030000000005</v>
      </c>
      <c r="P713">
        <v>86.339789999999994</v>
      </c>
      <c r="Q713">
        <v>90.4</v>
      </c>
      <c r="R713">
        <v>90.379230000000007</v>
      </c>
      <c r="S713">
        <v>93.12</v>
      </c>
      <c r="T713">
        <v>80.817530000000005</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91.73</v>
      </c>
      <c r="O714">
        <v>93.120140000000006</v>
      </c>
      <c r="P714">
        <v>86.852490000000003</v>
      </c>
      <c r="Q714">
        <v>90.96</v>
      </c>
      <c r="R714">
        <v>90.882260000000002</v>
      </c>
      <c r="S714">
        <v>93.62</v>
      </c>
      <c r="T714">
        <v>81.35651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92.08</v>
      </c>
      <c r="O715">
        <v>93.656480000000002</v>
      </c>
      <c r="P715">
        <v>87.365200000000002</v>
      </c>
      <c r="Q715">
        <v>91.3</v>
      </c>
      <c r="R715">
        <v>91.217619999999997</v>
      </c>
      <c r="S715">
        <v>93.96</v>
      </c>
      <c r="T715">
        <v>81.863910000000004</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82.260140000000007</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82.297460000000001</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91.99</v>
      </c>
      <c r="O718">
        <v>92.987399999999994</v>
      </c>
      <c r="P718">
        <v>88.595699999999994</v>
      </c>
      <c r="Q718">
        <v>91.28</v>
      </c>
      <c r="R718">
        <v>91.888339999999999</v>
      </c>
      <c r="S718">
        <v>93.67</v>
      </c>
      <c r="T718">
        <v>82.447199999999995</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92.02</v>
      </c>
      <c r="O719">
        <v>93.307490000000001</v>
      </c>
      <c r="P719">
        <v>88.954589999999996</v>
      </c>
      <c r="Q719">
        <v>91.35</v>
      </c>
      <c r="R719">
        <v>91.888339999999999</v>
      </c>
      <c r="S719">
        <v>93.62</v>
      </c>
      <c r="T719">
        <v>82.361630000000005</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91.58</v>
      </c>
      <c r="O720">
        <v>92.911389999999997</v>
      </c>
      <c r="P720">
        <v>88.698229999999995</v>
      </c>
      <c r="Q720">
        <v>90.97</v>
      </c>
      <c r="R720">
        <v>91.469139999999996</v>
      </c>
      <c r="S720">
        <v>93.18</v>
      </c>
      <c r="T720">
        <v>81.780360000000002</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91.46</v>
      </c>
      <c r="O721">
        <v>92.435010000000005</v>
      </c>
      <c r="P721">
        <v>88.493160000000003</v>
      </c>
      <c r="Q721">
        <v>90.85</v>
      </c>
      <c r="R721">
        <v>91.133780000000002</v>
      </c>
      <c r="S721">
        <v>92.95</v>
      </c>
      <c r="T721">
        <v>81.449740000000006</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81.621480000000005</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81.939639999999997</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82.183729999999997</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82.4422</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91.81</v>
      </c>
      <c r="O726">
        <v>92.316180000000003</v>
      </c>
      <c r="P726">
        <v>86.596140000000005</v>
      </c>
      <c r="Q726">
        <v>91.51</v>
      </c>
      <c r="R726">
        <v>90.882260000000002</v>
      </c>
      <c r="S726">
        <v>93.38</v>
      </c>
      <c r="T726">
        <v>82.606859999999998</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82.944959999999995</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91.39</v>
      </c>
      <c r="O728">
        <v>91.930790000000002</v>
      </c>
      <c r="P728">
        <v>87.365200000000002</v>
      </c>
      <c r="Q728">
        <v>91.19</v>
      </c>
      <c r="R728">
        <v>90.546909999999997</v>
      </c>
      <c r="S728">
        <v>93.08</v>
      </c>
      <c r="T728">
        <v>83.159030000000001</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83.436170000000004</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83.585369999999998</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83.761610000000005</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84.018910000000005</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v>
      </c>
      <c r="O733">
        <v>93.169390000000007</v>
      </c>
      <c r="P733">
        <v>87.006309999999999</v>
      </c>
      <c r="Q733">
        <v>92</v>
      </c>
      <c r="R733">
        <v>90.630740000000003</v>
      </c>
      <c r="S733">
        <v>93.8</v>
      </c>
      <c r="T733">
        <v>84.204390000000004</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91.57</v>
      </c>
      <c r="O734">
        <v>92.234819999999999</v>
      </c>
      <c r="P734">
        <v>87.365200000000002</v>
      </c>
      <c r="Q734">
        <v>91.51</v>
      </c>
      <c r="R734">
        <v>90.798419999999993</v>
      </c>
      <c r="S734">
        <v>93.59</v>
      </c>
      <c r="T734">
        <v>84.539869999999993</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84.757819999999995</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85.074780000000004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85.281869999999998</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85.430660000000003</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85.454899999999995</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92.96</v>
      </c>
      <c r="O740">
        <v>93.691800000000001</v>
      </c>
      <c r="P740">
        <v>89.877459999999999</v>
      </c>
      <c r="Q740">
        <v>92.93</v>
      </c>
      <c r="R740">
        <v>91.267210000000006</v>
      </c>
      <c r="S740">
        <v>94.64</v>
      </c>
      <c r="T740">
        <v>85.642009999999999</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85.837670000000003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86.119669999999999</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v>
      </c>
      <c r="O743">
        <v>94.852260000000001</v>
      </c>
      <c r="P743">
        <v>91.159229999999994</v>
      </c>
      <c r="Q743">
        <v>93.63</v>
      </c>
      <c r="R743">
        <v>92.600049999999996</v>
      </c>
      <c r="S743">
        <v>94.91</v>
      </c>
      <c r="T743">
        <v>86.469909999999999</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86.717179999999999</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94.35</v>
      </c>
      <c r="O745">
        <v>95.952770000000001</v>
      </c>
      <c r="P745">
        <v>91.979560000000006</v>
      </c>
      <c r="Q745">
        <v>94.28</v>
      </c>
      <c r="R745">
        <v>93.215909999999994</v>
      </c>
      <c r="S745">
        <v>95.45</v>
      </c>
      <c r="T745">
        <v>87.141270000000006</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87.588040000000007</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87.925809999999998</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88.483279999999993</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95.88</v>
      </c>
      <c r="O749">
        <v>97.280230000000003</v>
      </c>
      <c r="P749">
        <v>93.876570000000001</v>
      </c>
      <c r="Q749">
        <v>95.88</v>
      </c>
      <c r="R749">
        <v>94.824510000000004</v>
      </c>
      <c r="S749">
        <v>96.78</v>
      </c>
      <c r="T749">
        <v>88.90128</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95.89</v>
      </c>
      <c r="O750">
        <v>97.248109999999997</v>
      </c>
      <c r="P750">
        <v>94.030389999999997</v>
      </c>
      <c r="Q750">
        <v>95.94</v>
      </c>
      <c r="R750">
        <v>94.870469999999997</v>
      </c>
      <c r="S750">
        <v>96.83</v>
      </c>
      <c r="T750">
        <v>89.162890000000004</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95.88</v>
      </c>
      <c r="O751">
        <v>97.111080000000001</v>
      </c>
      <c r="P751">
        <v>94.030389999999997</v>
      </c>
      <c r="Q751">
        <v>95.89</v>
      </c>
      <c r="R751">
        <v>95.146230000000003</v>
      </c>
      <c r="S751">
        <v>96.91</v>
      </c>
      <c r="T751">
        <v>89.221130000000002</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89.392150000000001</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89.635130000000004</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96.21</v>
      </c>
      <c r="O754">
        <v>96.946219999999997</v>
      </c>
      <c r="P754">
        <v>95.312150000000003</v>
      </c>
      <c r="Q754">
        <v>96.14</v>
      </c>
      <c r="R754">
        <v>95.642600000000002</v>
      </c>
      <c r="S754">
        <v>96.91</v>
      </c>
      <c r="T754">
        <v>90.015659999999997</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96.54</v>
      </c>
      <c r="O755">
        <v>97.710579999999993</v>
      </c>
      <c r="P755">
        <v>95.158339999999995</v>
      </c>
      <c r="Q755">
        <v>96.49</v>
      </c>
      <c r="R755">
        <v>95.881590000000003</v>
      </c>
      <c r="S755">
        <v>97.14</v>
      </c>
      <c r="T755">
        <v>90.194029999999998</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96.63</v>
      </c>
      <c r="O756">
        <v>98.106669999999994</v>
      </c>
      <c r="P756">
        <v>95.26088</v>
      </c>
      <c r="Q756">
        <v>96.63</v>
      </c>
      <c r="R756">
        <v>95.945930000000004</v>
      </c>
      <c r="S756">
        <v>97.41</v>
      </c>
      <c r="T756">
        <v>90.289630000000002</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96.95</v>
      </c>
      <c r="O757">
        <v>98.234070000000003</v>
      </c>
      <c r="P757">
        <v>95.414699999999996</v>
      </c>
      <c r="Q757">
        <v>96.95</v>
      </c>
      <c r="R757">
        <v>95.918360000000007</v>
      </c>
      <c r="S757">
        <v>97.8</v>
      </c>
      <c r="T757">
        <v>90.346980000000002</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96.17</v>
      </c>
      <c r="O758">
        <v>97.153909999999996</v>
      </c>
      <c r="P758">
        <v>96.081209999999999</v>
      </c>
      <c r="Q758">
        <v>96.39</v>
      </c>
      <c r="R758">
        <v>96.525030000000001</v>
      </c>
      <c r="S758">
        <v>97.46</v>
      </c>
      <c r="T758">
        <v>90.64761</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96.65</v>
      </c>
      <c r="O759">
        <v>97.254530000000003</v>
      </c>
      <c r="P759">
        <v>96.440110000000004</v>
      </c>
      <c r="Q759">
        <v>96.88</v>
      </c>
      <c r="R759">
        <v>97.058170000000004</v>
      </c>
      <c r="S759">
        <v>97.86</v>
      </c>
      <c r="T759">
        <v>90.972229999999996</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v>
      </c>
      <c r="O760">
        <v>97.908630000000002</v>
      </c>
      <c r="P760">
        <v>97.362979999999993</v>
      </c>
      <c r="Q760">
        <v>98.01</v>
      </c>
      <c r="R760">
        <v>97.425839999999994</v>
      </c>
      <c r="S760">
        <v>98.67</v>
      </c>
      <c r="T760">
        <v>91.562160000000006</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91.965100000000007</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91.93141</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98.16</v>
      </c>
      <c r="O763">
        <v>98.952389999999994</v>
      </c>
      <c r="P763">
        <v>97.670599999999993</v>
      </c>
      <c r="Q763">
        <v>98.3</v>
      </c>
      <c r="R763">
        <v>97.839489999999998</v>
      </c>
      <c r="S763">
        <v>98.78</v>
      </c>
      <c r="T763">
        <v>91.901750000000007</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92.021569999999997</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92.475520000000003</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92.899019999999993</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93.120859999999993</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93.065460000000002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93.260959999999997</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93.526989999999998</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94.129679999999993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94.418580000000006</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94.554109999999994</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94.667770000000004</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99.74</v>
      </c>
      <c r="O775">
        <v>100.9939</v>
      </c>
      <c r="P775">
        <v>101.3621</v>
      </c>
      <c r="Q775">
        <v>99.81</v>
      </c>
      <c r="R775">
        <v>99.227469999999997</v>
      </c>
      <c r="S775">
        <v>99.7</v>
      </c>
      <c r="T775">
        <v>94.916340000000005</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99.21</v>
      </c>
      <c r="O776">
        <v>100.4725</v>
      </c>
      <c r="P776">
        <v>101.25960000000001</v>
      </c>
      <c r="Q776">
        <v>99.36</v>
      </c>
      <c r="R776">
        <v>99.209090000000003</v>
      </c>
      <c r="S776">
        <v>99.4</v>
      </c>
      <c r="T776">
        <v>95.177440000000004</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99.33</v>
      </c>
      <c r="O777">
        <v>100.7851</v>
      </c>
      <c r="P777">
        <v>101.25960000000001</v>
      </c>
      <c r="Q777">
        <v>99.44</v>
      </c>
      <c r="R777">
        <v>99.05283</v>
      </c>
      <c r="S777">
        <v>99.86</v>
      </c>
      <c r="T777">
        <v>95.445689999999999</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99.81</v>
      </c>
      <c r="O778">
        <v>100.5967</v>
      </c>
      <c r="P778">
        <v>100.9007</v>
      </c>
      <c r="Q778">
        <v>99.85</v>
      </c>
      <c r="R778">
        <v>99.402119999999996</v>
      </c>
      <c r="S778">
        <v>99.63</v>
      </c>
      <c r="T778">
        <v>95.76379</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99.69</v>
      </c>
      <c r="O779">
        <v>101.0057</v>
      </c>
      <c r="P779">
        <v>100.593</v>
      </c>
      <c r="Q779">
        <v>99.75</v>
      </c>
      <c r="R779">
        <v>99.54</v>
      </c>
      <c r="S779">
        <v>99.5</v>
      </c>
      <c r="T779">
        <v>95.914730000000006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95.984750000000005</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96.051469999999995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96.181179999999998</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96.555850000000007</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96.994919999999993</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97.406589999999994</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100.12</v>
      </c>
      <c r="O786">
        <v>101.0528</v>
      </c>
      <c r="P786">
        <v>100.95189999999999</v>
      </c>
      <c r="Q786">
        <v>100.18</v>
      </c>
      <c r="R786">
        <v>100.0731</v>
      </c>
      <c r="S786">
        <v>100.22</v>
      </c>
      <c r="T786">
        <v>97.654629999999997</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100.23</v>
      </c>
      <c r="O787">
        <v>101.0806</v>
      </c>
      <c r="P787">
        <v>101.00320000000001</v>
      </c>
      <c r="Q787">
        <v>100.27</v>
      </c>
      <c r="R787">
        <v>100.1467</v>
      </c>
      <c r="S787">
        <v>100.18</v>
      </c>
      <c r="T787">
        <v>97.846959999999996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99.58</v>
      </c>
      <c r="O788">
        <v>100.13</v>
      </c>
      <c r="P788">
        <v>100.8494</v>
      </c>
      <c r="Q788">
        <v>99.72</v>
      </c>
      <c r="R788">
        <v>100.0364</v>
      </c>
      <c r="S788">
        <v>99.86</v>
      </c>
      <c r="T788">
        <v>98.022829999999999</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99.69</v>
      </c>
      <c r="O789">
        <v>100.2884</v>
      </c>
      <c r="P789">
        <v>100.54179999999999</v>
      </c>
      <c r="Q789">
        <v>99.78</v>
      </c>
      <c r="R789">
        <v>100.18340000000001</v>
      </c>
      <c r="S789">
        <v>100.3</v>
      </c>
      <c r="T789">
        <v>98.130960000000002</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100.13</v>
      </c>
      <c r="O790">
        <v>100.4415</v>
      </c>
      <c r="P790">
        <v>100.33669999999999</v>
      </c>
      <c r="Q790">
        <v>100.13</v>
      </c>
      <c r="R790">
        <v>100.72580000000001</v>
      </c>
      <c r="S790">
        <v>99.92</v>
      </c>
      <c r="T790">
        <v>98.366420000000005</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98.401439999999994</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98.296880000000002</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98.395570000000006</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98.306619999999995</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98.818600000000004</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99.314970000000002</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99.622749999999996</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99.952160000000006</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100.1974</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100.12</v>
      </c>
      <c r="O800">
        <v>100.1985</v>
      </c>
      <c r="P800">
        <v>100.4905</v>
      </c>
      <c r="Q800">
        <v>100.14</v>
      </c>
      <c r="R800">
        <v>99.81</v>
      </c>
      <c r="S800">
        <v>100.03</v>
      </c>
      <c r="T800">
        <v>100.3301</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100.4511</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100.5941</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100.7855</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100.7801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100.8466</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100.8627</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98.72</v>
      </c>
      <c r="O807">
        <v>98.009259999999998</v>
      </c>
      <c r="P807">
        <v>99.259990000000002</v>
      </c>
      <c r="Q807">
        <v>98.85</v>
      </c>
      <c r="R807">
        <v>99.7</v>
      </c>
      <c r="S807">
        <v>99.33</v>
      </c>
      <c r="T807">
        <v>101.1801</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99.95</v>
      </c>
      <c r="O808">
        <v>98.637659999999997</v>
      </c>
      <c r="P808">
        <v>100.08029999999999</v>
      </c>
      <c r="Q808">
        <v>99.89</v>
      </c>
      <c r="R808">
        <v>100.08</v>
      </c>
      <c r="S808">
        <v>100.02</v>
      </c>
      <c r="T808">
        <v>101.5324</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101.8481</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100.58</v>
      </c>
      <c r="O810">
        <v>99.871979999999994</v>
      </c>
      <c r="P810">
        <v>100.08029999999999</v>
      </c>
      <c r="Q810">
        <v>100.49</v>
      </c>
      <c r="R810">
        <v>100.34</v>
      </c>
      <c r="S810">
        <v>100.5</v>
      </c>
      <c r="T810">
        <v>102.1819</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100.76</v>
      </c>
      <c r="O811">
        <v>100.3334</v>
      </c>
      <c r="P811">
        <v>100.4392</v>
      </c>
      <c r="Q811">
        <v>100.66</v>
      </c>
      <c r="R811">
        <v>100.39</v>
      </c>
      <c r="S811">
        <v>100.63</v>
      </c>
      <c r="T811">
        <v>102.4119</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102.5235</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102.5265</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100.71</v>
      </c>
      <c r="O814">
        <v>99.736019999999996</v>
      </c>
      <c r="P814">
        <v>100.6956</v>
      </c>
      <c r="Q814">
        <v>100.56</v>
      </c>
      <c r="R814">
        <v>100.54</v>
      </c>
      <c r="S814">
        <v>100.34</v>
      </c>
      <c r="T814">
        <v>102.7792</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100.95</v>
      </c>
      <c r="O815">
        <v>100.87609999999999</v>
      </c>
      <c r="P815">
        <v>100.33669999999999</v>
      </c>
      <c r="Q815">
        <v>100.82</v>
      </c>
      <c r="R815">
        <v>100.75</v>
      </c>
      <c r="S815">
        <v>100.37</v>
      </c>
      <c r="T815">
        <v>103.0235</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100.59</v>
      </c>
      <c r="O816">
        <v>101.2423</v>
      </c>
      <c r="P816">
        <v>100.4392</v>
      </c>
      <c r="Q816">
        <v>100.53</v>
      </c>
      <c r="R816">
        <v>100.77</v>
      </c>
      <c r="S816">
        <v>100.35</v>
      </c>
      <c r="T816">
        <v>102.9747</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101.12</v>
      </c>
      <c r="O817">
        <v>101.84180000000001</v>
      </c>
      <c r="P817">
        <v>100.9007</v>
      </c>
      <c r="Q817">
        <v>101.04</v>
      </c>
      <c r="R817">
        <v>101.02</v>
      </c>
      <c r="S817">
        <v>100.65</v>
      </c>
      <c r="T817">
        <v>103.13290000000001</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103.4725</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100.65</v>
      </c>
      <c r="O819">
        <v>100.9179</v>
      </c>
      <c r="P819">
        <v>102.6439</v>
      </c>
      <c r="Q819">
        <v>100.75</v>
      </c>
      <c r="R819">
        <v>100.92</v>
      </c>
      <c r="S819">
        <v>100.53</v>
      </c>
      <c r="T819">
        <v>103.70659999999999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101.48</v>
      </c>
      <c r="O820">
        <v>100.8965</v>
      </c>
      <c r="P820">
        <v>102.9002</v>
      </c>
      <c r="Q820">
        <v>101.43</v>
      </c>
      <c r="R820">
        <v>100.91</v>
      </c>
      <c r="S820">
        <v>101.17</v>
      </c>
      <c r="T820">
        <v>103.92440000000001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102.06</v>
      </c>
      <c r="O821">
        <v>101.8653</v>
      </c>
      <c r="P821">
        <v>103.20780000000001</v>
      </c>
      <c r="Q821">
        <v>101.97</v>
      </c>
      <c r="R821">
        <v>101.22</v>
      </c>
      <c r="S821">
        <v>101.26</v>
      </c>
      <c r="T821">
        <v>104.2794</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101.97</v>
      </c>
      <c r="O822">
        <v>101.8043</v>
      </c>
      <c r="P822">
        <v>103.41289999999999</v>
      </c>
      <c r="Q822">
        <v>101.9</v>
      </c>
      <c r="R822">
        <v>101.06</v>
      </c>
      <c r="S822">
        <v>101.31</v>
      </c>
      <c r="T822">
        <v>104.4088</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102.07</v>
      </c>
      <c r="O823">
        <v>101.84820000000001</v>
      </c>
      <c r="P823">
        <v>103.3616</v>
      </c>
      <c r="Q823">
        <v>101.97</v>
      </c>
      <c r="R823">
        <v>101.14</v>
      </c>
      <c r="S823">
        <v>101.32</v>
      </c>
      <c r="T823">
        <v>104.52330000000001</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104.6354</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101.88</v>
      </c>
      <c r="O825">
        <v>101.3472</v>
      </c>
      <c r="P825">
        <v>104.4383</v>
      </c>
      <c r="Q825">
        <v>101.81</v>
      </c>
      <c r="R825">
        <v>101.11</v>
      </c>
      <c r="S825">
        <v>101.49</v>
      </c>
      <c r="T825">
        <v>104.88200000000001</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105.24979999999999</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105.4427</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102.13</v>
      </c>
      <c r="O828">
        <v>102.92829999999999</v>
      </c>
      <c r="P828">
        <v>104.6947</v>
      </c>
      <c r="Q828">
        <v>102.17</v>
      </c>
      <c r="R828">
        <v>101.55</v>
      </c>
      <c r="S828">
        <v>101.53</v>
      </c>
      <c r="T828">
        <v>105.5639</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102.48</v>
      </c>
      <c r="O829">
        <v>102.9744</v>
      </c>
      <c r="P829">
        <v>104.33580000000001</v>
      </c>
      <c r="Q829">
        <v>102.49</v>
      </c>
      <c r="R829">
        <v>101.51</v>
      </c>
      <c r="S829">
        <v>101.85</v>
      </c>
      <c r="T829">
        <v>105.70480000000001</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101.55</v>
      </c>
      <c r="O830">
        <v>101.8642</v>
      </c>
      <c r="P830">
        <v>104.7972</v>
      </c>
      <c r="Q830">
        <v>101.75</v>
      </c>
      <c r="R830">
        <v>101.21</v>
      </c>
      <c r="S830">
        <v>101.75</v>
      </c>
      <c r="T830">
        <v>106.0686</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101.77</v>
      </c>
      <c r="O831">
        <v>102.0013</v>
      </c>
      <c r="P831">
        <v>105.7714</v>
      </c>
      <c r="Q831">
        <v>101.94</v>
      </c>
      <c r="R831">
        <v>101.52</v>
      </c>
      <c r="S831">
        <v>101.72</v>
      </c>
      <c r="T831">
        <v>106.5219</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v>
      </c>
      <c r="O832">
        <v>102.1212</v>
      </c>
      <c r="P832">
        <v>105.82259999999999</v>
      </c>
      <c r="Q832">
        <v>102.88</v>
      </c>
      <c r="R832">
        <v>101.73</v>
      </c>
      <c r="S832">
        <v>102.75</v>
      </c>
      <c r="T832">
        <v>106.65730000000001</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106.97620000000001</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103.96</v>
      </c>
      <c r="O834">
        <v>103.8929</v>
      </c>
      <c r="P834">
        <v>106.54040000000001</v>
      </c>
      <c r="Q834">
        <v>103.9</v>
      </c>
      <c r="R834">
        <v>102.09</v>
      </c>
      <c r="S834">
        <v>103.36</v>
      </c>
      <c r="T834">
        <v>107.33159999999999</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104.08</v>
      </c>
      <c r="O835">
        <v>104.1648</v>
      </c>
      <c r="P835">
        <v>107.5146</v>
      </c>
      <c r="Q835">
        <v>104.03</v>
      </c>
      <c r="R835">
        <v>102.32</v>
      </c>
      <c r="S835">
        <v>103.37</v>
      </c>
      <c r="T835">
        <v>107.6849</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108.18810000000001</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v>
      </c>
      <c r="O837">
        <v>103.56529999999999</v>
      </c>
      <c r="P837">
        <v>108.1811</v>
      </c>
      <c r="Q837">
        <v>103.97</v>
      </c>
      <c r="R837">
        <v>102.38</v>
      </c>
      <c r="S837">
        <v>103.78</v>
      </c>
      <c r="T837">
        <v>108.52809999999999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104.41</v>
      </c>
      <c r="O838">
        <v>103.818</v>
      </c>
      <c r="P838">
        <v>108.1811</v>
      </c>
      <c r="Q838">
        <v>104.35</v>
      </c>
      <c r="R838">
        <v>102.6</v>
      </c>
      <c r="S838">
        <v>103.56</v>
      </c>
      <c r="T838">
        <v>109.0526</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104.67</v>
      </c>
      <c r="O839">
        <v>104.7782</v>
      </c>
      <c r="P839">
        <v>108.74509999999999</v>
      </c>
      <c r="Q839">
        <v>104.62</v>
      </c>
      <c r="R839">
        <v>102.85</v>
      </c>
      <c r="S839">
        <v>103.67</v>
      </c>
      <c r="T839">
        <v>109.4678</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104.09</v>
      </c>
      <c r="O840">
        <v>104.66370000000001</v>
      </c>
      <c r="P840">
        <v>108.1811</v>
      </c>
      <c r="Q840">
        <v>104.11</v>
      </c>
      <c r="R840">
        <v>102.83</v>
      </c>
      <c r="S840">
        <v>103.45</v>
      </c>
      <c r="T840">
        <v>109.2604</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104.04</v>
      </c>
      <c r="O841">
        <v>104.19370000000001</v>
      </c>
      <c r="P841">
        <v>107.9247</v>
      </c>
      <c r="Q841">
        <v>104.08</v>
      </c>
      <c r="R841">
        <v>102.71</v>
      </c>
      <c r="S841">
        <v>103.47</v>
      </c>
      <c r="T841">
        <v>109.2379</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102.96</v>
      </c>
      <c r="O842">
        <v>102.86199999999999</v>
      </c>
      <c r="P842">
        <v>107.66840000000001</v>
      </c>
      <c r="Q842">
        <v>103.22</v>
      </c>
      <c r="R842">
        <v>102.31</v>
      </c>
      <c r="S842">
        <v>103.01</v>
      </c>
      <c r="T842">
        <v>109.5197</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103.28</v>
      </c>
      <c r="O843">
        <v>103.1135</v>
      </c>
      <c r="P843">
        <v>107.8222</v>
      </c>
      <c r="Q843">
        <v>103.57</v>
      </c>
      <c r="R843">
        <v>102.8</v>
      </c>
      <c r="S843">
        <v>103.06</v>
      </c>
      <c r="T843">
        <v>110.0124</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104.34</v>
      </c>
      <c r="O844">
        <v>103.4872</v>
      </c>
      <c r="P844">
        <v>108.1811</v>
      </c>
      <c r="Q844">
        <v>104.5</v>
      </c>
      <c r="R844">
        <v>102.87</v>
      </c>
      <c r="S844">
        <v>103.89</v>
      </c>
      <c r="T844">
        <v>110.52760000000001</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105.09</v>
      </c>
      <c r="O845">
        <v>104.5309</v>
      </c>
      <c r="P845">
        <v>109.61669999999999</v>
      </c>
      <c r="Q845">
        <v>105.26</v>
      </c>
      <c r="R845">
        <v>103.47</v>
      </c>
      <c r="S845">
        <v>104.22</v>
      </c>
      <c r="T845">
        <v>111.1533</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105.23</v>
      </c>
      <c r="O846">
        <v>104.7343</v>
      </c>
      <c r="P846">
        <v>109.873</v>
      </c>
      <c r="Q846">
        <v>105.44</v>
      </c>
      <c r="R846">
        <v>103.29</v>
      </c>
      <c r="S846">
        <v>104.33</v>
      </c>
      <c r="T846">
        <v>111.4515</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v>
      </c>
      <c r="O847">
        <v>104.6112</v>
      </c>
      <c r="P847">
        <v>110.07810000000001</v>
      </c>
      <c r="Q847">
        <v>105.57</v>
      </c>
      <c r="R847">
        <v>103.36</v>
      </c>
      <c r="S847">
        <v>104.58</v>
      </c>
      <c r="T847">
        <v>111.5964</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111.87739999999999</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105.05</v>
      </c>
      <c r="O849">
        <v>103.90470000000001</v>
      </c>
      <c r="P849">
        <v>110.6934</v>
      </c>
      <c r="Q849">
        <v>105.31</v>
      </c>
      <c r="R849">
        <v>103.5</v>
      </c>
      <c r="S849">
        <v>104.86</v>
      </c>
      <c r="T849">
        <v>112.1799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105.28</v>
      </c>
      <c r="O850">
        <v>103.90470000000001</v>
      </c>
      <c r="P850">
        <v>110.5395</v>
      </c>
      <c r="Q850">
        <v>105.49</v>
      </c>
      <c r="R850">
        <v>103.54</v>
      </c>
      <c r="S850">
        <v>104.5</v>
      </c>
      <c r="T850">
        <v>112.5895</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105.43</v>
      </c>
      <c r="O851">
        <v>104.9131</v>
      </c>
      <c r="P851">
        <v>110.437</v>
      </c>
      <c r="Q851">
        <v>105.67</v>
      </c>
      <c r="R851">
        <v>103.62</v>
      </c>
      <c r="S851">
        <v>104.46</v>
      </c>
      <c r="T851">
        <v>113.126</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105.09</v>
      </c>
      <c r="O852">
        <v>105.0908</v>
      </c>
      <c r="P852">
        <v>110.1806</v>
      </c>
      <c r="Q852">
        <v>105.42</v>
      </c>
      <c r="R852">
        <v>103.52</v>
      </c>
      <c r="S852">
        <v>104.52</v>
      </c>
      <c r="T852">
        <v>113.39230000000001</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105.42</v>
      </c>
      <c r="O853">
        <v>105.01479999999999</v>
      </c>
      <c r="P853">
        <v>109.82170000000001</v>
      </c>
      <c r="Q853">
        <v>105.76</v>
      </c>
      <c r="R853">
        <v>103.65</v>
      </c>
      <c r="S853">
        <v>104.98</v>
      </c>
      <c r="T853">
        <v>113.699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114.04340000000001</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105.5338</v>
      </c>
      <c r="M855">
        <v>103.6</v>
      </c>
      <c r="N855">
        <v>104.55</v>
      </c>
      <c r="O855">
        <v>103.8672</v>
      </c>
      <c r="P855">
        <v>109.9243</v>
      </c>
      <c r="Q855">
        <v>105.22</v>
      </c>
      <c r="R855">
        <v>103.67</v>
      </c>
      <c r="S855">
        <v>104.53</v>
      </c>
      <c r="T855">
        <v>114.3503</v>
      </c>
      <c r="U855">
        <v>107.2773</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109.6388</v>
      </c>
      <c r="AN855">
        <v>110.5885</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105.74469999999999</v>
      </c>
      <c r="M856">
        <v>103.3</v>
      </c>
      <c r="N856">
        <v>105.12</v>
      </c>
      <c r="O856">
        <v>103.46899999999999</v>
      </c>
      <c r="P856">
        <v>109.15519999999999</v>
      </c>
      <c r="Q856">
        <v>105.7</v>
      </c>
      <c r="R856">
        <v>103.49</v>
      </c>
      <c r="S856">
        <v>104.59</v>
      </c>
      <c r="T856">
        <v>114.155</v>
      </c>
      <c r="U856">
        <v>107.1485</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109.5826</v>
      </c>
      <c r="AN856">
        <v>110.7366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105.8501</v>
      </c>
      <c r="M857">
        <v>103.2</v>
      </c>
      <c r="N857">
        <v>105.42</v>
      </c>
      <c r="O857">
        <v>103.7816</v>
      </c>
      <c r="P857">
        <v>108.74509999999999</v>
      </c>
      <c r="Q857">
        <v>105.93</v>
      </c>
      <c r="R857">
        <v>103.14</v>
      </c>
      <c r="S857">
        <v>104.56</v>
      </c>
      <c r="T857">
        <v>113.9239</v>
      </c>
      <c r="U857">
        <v>106.7145</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109.1983</v>
      </c>
      <c r="AN857">
        <v>110.84990000000001</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105.8501</v>
      </c>
      <c r="M858">
        <v>103.1</v>
      </c>
      <c r="N858">
        <v>105.32</v>
      </c>
      <c r="O858">
        <v>103.77509999999999</v>
      </c>
      <c r="P858">
        <v>108.0273</v>
      </c>
      <c r="Q858">
        <v>105.94</v>
      </c>
      <c r="R858">
        <v>103.12</v>
      </c>
      <c r="S858">
        <v>104.71</v>
      </c>
      <c r="T858">
        <v>113.8681</v>
      </c>
      <c r="U858">
        <v>106.7149</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109.24339999999999</v>
      </c>
      <c r="AN858">
        <v>110.944</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105.9555</v>
      </c>
      <c r="M859">
        <v>103.2</v>
      </c>
      <c r="N859">
        <v>105.68</v>
      </c>
      <c r="O859">
        <v>104.25369999999999</v>
      </c>
      <c r="P859">
        <v>109.0014</v>
      </c>
      <c r="Q859">
        <v>106.31</v>
      </c>
      <c r="R859">
        <v>103.32</v>
      </c>
      <c r="S859">
        <v>104.79</v>
      </c>
      <c r="T859">
        <v>114.2831</v>
      </c>
      <c r="U859">
        <v>107.0955</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109.6477</v>
      </c>
      <c r="AN859">
        <v>111.2871</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105.1121</v>
      </c>
      <c r="M860">
        <v>104</v>
      </c>
      <c r="N860">
        <v>105.31</v>
      </c>
      <c r="O860">
        <v>103.318</v>
      </c>
      <c r="P860">
        <v>109.0014</v>
      </c>
      <c r="Q860">
        <v>106.06</v>
      </c>
      <c r="R860">
        <v>103.69</v>
      </c>
      <c r="S860">
        <v>105.19</v>
      </c>
      <c r="T860">
        <v>114.6816</v>
      </c>
      <c r="U860">
        <v>107.37949999999999</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109.9209</v>
      </c>
      <c r="AN860">
        <v>111.2227</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105.1121</v>
      </c>
      <c r="M861">
        <v>103.6</v>
      </c>
      <c r="N861">
        <v>104.87</v>
      </c>
      <c r="O861">
        <v>103.3651</v>
      </c>
      <c r="P861">
        <v>109.6679</v>
      </c>
      <c r="Q861">
        <v>105.69</v>
      </c>
      <c r="R861">
        <v>103.71</v>
      </c>
      <c r="S861">
        <v>105.09</v>
      </c>
      <c r="T861">
        <v>115.1001</v>
      </c>
      <c r="U861">
        <v>107.56010000000001</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110.102</v>
      </c>
      <c r="AN861">
        <v>111.22580000000001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105.1121</v>
      </c>
      <c r="M862">
        <v>103.5</v>
      </c>
      <c r="N862">
        <v>104.95</v>
      </c>
      <c r="O862">
        <v>103.5204</v>
      </c>
      <c r="P862">
        <v>109.3603</v>
      </c>
      <c r="Q862">
        <v>105.73</v>
      </c>
      <c r="R862">
        <v>103.71</v>
      </c>
      <c r="S862">
        <v>104.55</v>
      </c>
      <c r="T862">
        <v>115.3685</v>
      </c>
      <c r="U862">
        <v>107.5732</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110.20440000000001</v>
      </c>
      <c r="AN862">
        <v>111.2837</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105.32299999999999</v>
      </c>
      <c r="M863">
        <v>103.7</v>
      </c>
      <c r="N863">
        <v>105.14</v>
      </c>
      <c r="O863">
        <v>104.0642</v>
      </c>
      <c r="P863">
        <v>108.7963</v>
      </c>
      <c r="Q863">
        <v>105.92</v>
      </c>
      <c r="R863">
        <v>103.81</v>
      </c>
      <c r="S863">
        <v>104.51</v>
      </c>
      <c r="T863">
        <v>115.70820000000001</v>
      </c>
      <c r="U863">
        <v>107.6358</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110.40219999999999</v>
      </c>
      <c r="AN863">
        <v>111.6523</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105.1121</v>
      </c>
      <c r="M864">
        <v>103.6</v>
      </c>
      <c r="N864">
        <v>104.79</v>
      </c>
      <c r="O864">
        <v>104.23439999999999</v>
      </c>
      <c r="P864">
        <v>108.95010000000001</v>
      </c>
      <c r="Q864">
        <v>105.63</v>
      </c>
      <c r="R864">
        <v>103.74</v>
      </c>
      <c r="S864">
        <v>104.73</v>
      </c>
      <c r="T864">
        <v>115.7264</v>
      </c>
      <c r="U864">
        <v>107.5527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110.4074</v>
      </c>
      <c r="AN864">
        <v>111.8027</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105.2175</v>
      </c>
      <c r="M865">
        <v>103.4</v>
      </c>
      <c r="N865">
        <v>105.13</v>
      </c>
      <c r="O865">
        <v>104.456</v>
      </c>
      <c r="P865">
        <v>108.95010000000001</v>
      </c>
      <c r="Q865">
        <v>105.97</v>
      </c>
      <c r="R865">
        <v>103.89</v>
      </c>
      <c r="S865">
        <v>104.96</v>
      </c>
      <c r="T865">
        <v>116.05500000000001</v>
      </c>
      <c r="U865">
        <v>107.6383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110.5779</v>
      </c>
      <c r="AN865">
        <v>112.12</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106.48269999999999</v>
      </c>
      <c r="M866">
        <v>103.6</v>
      </c>
      <c r="N866">
        <v>105.31</v>
      </c>
      <c r="O866">
        <v>104.46559999999999</v>
      </c>
      <c r="P866">
        <v>109.6679</v>
      </c>
      <c r="Q866">
        <v>106.27</v>
      </c>
      <c r="R866">
        <v>104.24</v>
      </c>
      <c r="S866">
        <v>105.12</v>
      </c>
      <c r="T866">
        <v>116.5847</v>
      </c>
      <c r="U866">
        <v>108.1474</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111.1341</v>
      </c>
      <c r="AN866">
        <v>112.71899999999999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107.1152</v>
      </c>
      <c r="M867">
        <v>104.2</v>
      </c>
      <c r="N867">
        <v>105.53</v>
      </c>
      <c r="O867">
        <v>103.8501</v>
      </c>
      <c r="P867">
        <v>110.5908</v>
      </c>
      <c r="Q867">
        <v>106.55</v>
      </c>
      <c r="R867">
        <v>104.62</v>
      </c>
      <c r="S867">
        <v>105.12</v>
      </c>
      <c r="T867">
        <v>117.1833</v>
      </c>
      <c r="U867">
        <v>108.5857</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111.5754</v>
      </c>
      <c r="AN867">
        <v>113.041</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107.64239999999999</v>
      </c>
      <c r="M868">
        <v>104.3</v>
      </c>
      <c r="N868">
        <v>106.52</v>
      </c>
      <c r="O868">
        <v>104.8574</v>
      </c>
      <c r="P868">
        <v>110.3857</v>
      </c>
      <c r="Q868">
        <v>107.46</v>
      </c>
      <c r="R868">
        <v>104.87</v>
      </c>
      <c r="S868">
        <v>105.75</v>
      </c>
      <c r="T868">
        <v>117.75</v>
      </c>
      <c r="U868">
        <v>109.19370000000001</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112.22020000000001</v>
      </c>
      <c r="AN868">
        <v>113.6897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107.95869999999999</v>
      </c>
      <c r="M869">
        <v>104.7</v>
      </c>
      <c r="N869">
        <v>107.12</v>
      </c>
      <c r="O869">
        <v>106.095</v>
      </c>
      <c r="P869">
        <v>110.7959</v>
      </c>
      <c r="Q869">
        <v>108.08</v>
      </c>
      <c r="R869">
        <v>105.26</v>
      </c>
      <c r="S869">
        <v>105.86</v>
      </c>
      <c r="T869">
        <v>118.27200000000001</v>
      </c>
      <c r="U869">
        <v>109.7563</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112.84529999999999</v>
      </c>
      <c r="AN869">
        <v>114.34099999999999</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108.1695</v>
      </c>
      <c r="M870">
        <v>104.9</v>
      </c>
      <c r="N870">
        <v>107.4</v>
      </c>
      <c r="O870">
        <v>106.5949</v>
      </c>
      <c r="P870">
        <v>111.87260000000001</v>
      </c>
      <c r="Q870">
        <v>108.38</v>
      </c>
      <c r="R870">
        <v>105.42</v>
      </c>
      <c r="S870">
        <v>106.2</v>
      </c>
      <c r="T870">
        <v>118.8121</v>
      </c>
      <c r="U870">
        <v>110.4083</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113.43089999999999</v>
      </c>
      <c r="AN870">
        <v>114.7136</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108.4858</v>
      </c>
      <c r="M871">
        <v>105</v>
      </c>
      <c r="N871">
        <v>107.69</v>
      </c>
      <c r="O871">
        <v>107.1023</v>
      </c>
      <c r="P871">
        <v>113.15430000000001</v>
      </c>
      <c r="Q871">
        <v>108.65</v>
      </c>
      <c r="R871">
        <v>105.36</v>
      </c>
      <c r="S871">
        <v>106.34</v>
      </c>
      <c r="T871">
        <v>119.3702</v>
      </c>
      <c r="U871">
        <v>111.10509999999999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114.0894</v>
      </c>
      <c r="AN871">
        <v>115.1932</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109.01300000000001</v>
      </c>
      <c r="M872">
        <v>105.7</v>
      </c>
      <c r="N872">
        <v>107.6</v>
      </c>
      <c r="O872">
        <v>106.29519999999999</v>
      </c>
      <c r="P872">
        <v>114.3848</v>
      </c>
      <c r="Q872">
        <v>108.68</v>
      </c>
      <c r="R872">
        <v>105.71</v>
      </c>
      <c r="S872">
        <v>106.4</v>
      </c>
      <c r="T872">
        <v>119.9097</v>
      </c>
      <c r="U872">
        <v>111.5518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114.5788</v>
      </c>
      <c r="AN872">
        <v>115.6092</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109.11839999999999</v>
      </c>
      <c r="M873">
        <v>105.5</v>
      </c>
      <c r="N873">
        <v>107.97</v>
      </c>
      <c r="O873">
        <v>106.77800000000001</v>
      </c>
      <c r="P873">
        <v>115.2052</v>
      </c>
      <c r="Q873">
        <v>109.04</v>
      </c>
      <c r="R873">
        <v>105.96</v>
      </c>
      <c r="S873">
        <v>107.05</v>
      </c>
      <c r="T873">
        <v>120.2458</v>
      </c>
      <c r="U873">
        <v>111.8171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114.9006</v>
      </c>
      <c r="AN873">
        <v>116.1116</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109.43470000000001</v>
      </c>
      <c r="M874">
        <v>105.8</v>
      </c>
      <c r="N874">
        <v>108.48</v>
      </c>
      <c r="O874">
        <v>107.6687</v>
      </c>
      <c r="P874">
        <v>116.6407</v>
      </c>
      <c r="Q874">
        <v>109.57</v>
      </c>
      <c r="R874">
        <v>106.29</v>
      </c>
      <c r="S874">
        <v>106.81</v>
      </c>
      <c r="T874">
        <v>120.6938</v>
      </c>
      <c r="U874">
        <v>112.07259999999999</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115.28360000000001</v>
      </c>
      <c r="AN874">
        <v>116.5406</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109.9618</v>
      </c>
      <c r="M875">
        <v>106.8</v>
      </c>
      <c r="N875">
        <v>109.4</v>
      </c>
      <c r="O875">
        <v>109.6491</v>
      </c>
      <c r="P875">
        <v>116.4357</v>
      </c>
      <c r="Q875">
        <v>110.54</v>
      </c>
      <c r="R875">
        <v>107.09</v>
      </c>
      <c r="S875">
        <v>107.25</v>
      </c>
      <c r="T875">
        <v>121.7602</v>
      </c>
      <c r="U875">
        <v>112.8134</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116.1814</v>
      </c>
      <c r="AN875">
        <v>117.6456</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110.17270000000001</v>
      </c>
      <c r="M876">
        <v>107.1</v>
      </c>
      <c r="N876">
        <v>109.89</v>
      </c>
      <c r="O876">
        <v>109.9842</v>
      </c>
      <c r="P876">
        <v>118.589</v>
      </c>
      <c r="Q876">
        <v>111.07</v>
      </c>
      <c r="R876">
        <v>107.57</v>
      </c>
      <c r="S876">
        <v>107.64</v>
      </c>
      <c r="T876">
        <v>122.5046</v>
      </c>
      <c r="U876">
        <v>113.2972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116.857</v>
      </c>
      <c r="AN876">
        <v>118.57129999999999</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110.3835</v>
      </c>
      <c r="M877">
        <v>106.6</v>
      </c>
      <c r="N877">
        <v>110.36</v>
      </c>
      <c r="O877">
        <v>111.2978</v>
      </c>
      <c r="P877">
        <v>122.178</v>
      </c>
      <c r="Q877">
        <v>111.59</v>
      </c>
      <c r="R877">
        <v>107.49</v>
      </c>
      <c r="S877">
        <v>107.85</v>
      </c>
      <c r="T877">
        <v>123.1845</v>
      </c>
      <c r="U877">
        <v>113.592</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117.7992</v>
      </c>
      <c r="AN877">
        <v>120.68049999999999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110.91070000000001</v>
      </c>
      <c r="M878">
        <v>108.1</v>
      </c>
      <c r="N878">
        <v>110.69</v>
      </c>
      <c r="O878">
        <v>110.8717</v>
      </c>
      <c r="P878">
        <v>122.0754</v>
      </c>
      <c r="Q878">
        <v>112.2</v>
      </c>
      <c r="R878">
        <v>108.8</v>
      </c>
      <c r="S878">
        <v>108.12</v>
      </c>
      <c r="T878">
        <v>124.1442</v>
      </c>
      <c r="U878">
        <v>114.3796</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119.0943</v>
      </c>
      <c r="AN878">
        <v>122.63379999999999</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111.75409999999999</v>
      </c>
      <c r="M879">
        <v>109.2</v>
      </c>
      <c r="N879">
        <v>111.73</v>
      </c>
      <c r="O879">
        <v>111.7667</v>
      </c>
      <c r="P879">
        <v>123.8699</v>
      </c>
      <c r="Q879">
        <v>113.18</v>
      </c>
      <c r="R879">
        <v>109.36</v>
      </c>
      <c r="S879">
        <v>108.94</v>
      </c>
      <c r="T879">
        <v>125.1491</v>
      </c>
      <c r="U879">
        <v>115.3327</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120.223</v>
      </c>
      <c r="AN879">
        <v>124.0778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113.96810000000001</v>
      </c>
      <c r="M880">
        <v>109.9</v>
      </c>
      <c r="N880">
        <v>114.45</v>
      </c>
      <c r="O880">
        <v>115.1527</v>
      </c>
      <c r="P880">
        <v>127.1512</v>
      </c>
      <c r="Q880">
        <v>115.87</v>
      </c>
      <c r="R880">
        <v>110.95</v>
      </c>
      <c r="S880">
        <v>110.49</v>
      </c>
      <c r="T880">
        <v>127.0491</v>
      </c>
      <c r="U880">
        <v>116.7948</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122.0275</v>
      </c>
      <c r="AN880">
        <v>126.7471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114.70610000000001</v>
      </c>
      <c r="M881">
        <v>111.7</v>
      </c>
      <c r="N881">
        <v>115.11</v>
      </c>
      <c r="O881">
        <v>114.9483</v>
      </c>
      <c r="P881">
        <v>131.71430000000001</v>
      </c>
      <c r="Q881">
        <v>116.83</v>
      </c>
      <c r="R881">
        <v>111.3</v>
      </c>
      <c r="S881">
        <v>110.97</v>
      </c>
      <c r="T881">
        <v>128.3372</v>
      </c>
      <c r="U881">
        <v>117.5149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123.2153</v>
      </c>
      <c r="AN881">
        <v>128.7722</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115.7604</v>
      </c>
      <c r="M882">
        <v>112.7</v>
      </c>
      <c r="N882">
        <v>116.07</v>
      </c>
      <c r="O882">
        <v>115.8978</v>
      </c>
      <c r="P882">
        <v>134.22659999999999</v>
      </c>
      <c r="Q882">
        <v>117.95</v>
      </c>
      <c r="R882">
        <v>112.76</v>
      </c>
      <c r="S882">
        <v>111.72</v>
      </c>
      <c r="T882">
        <v>129.32550000000001</v>
      </c>
      <c r="U882">
        <v>118.6288</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124.4234</v>
      </c>
      <c r="AN882">
        <v>130.19130000000001</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115.7604</v>
      </c>
      <c r="M883">
        <v>113.6</v>
      </c>
      <c r="N883">
        <v>117.02</v>
      </c>
      <c r="O883">
        <v>118.04430000000001</v>
      </c>
      <c r="P883">
        <v>137.86680000000001</v>
      </c>
      <c r="Q883">
        <v>119.03</v>
      </c>
      <c r="R883">
        <v>113.57</v>
      </c>
      <c r="S883">
        <v>112.55</v>
      </c>
      <c r="T883">
        <v>130.40209999999999</v>
      </c>
      <c r="U883">
        <v>119.8214</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125.8738</v>
      </c>
      <c r="AN883">
        <v>131.95570000000001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116.28749999999999</v>
      </c>
      <c r="M884">
        <v>114.9</v>
      </c>
      <c r="N884">
        <v>117.16</v>
      </c>
      <c r="O884">
        <v>117.74339999999999</v>
      </c>
      <c r="P884">
        <v>140.53399999999999</v>
      </c>
      <c r="Q884">
        <v>119.31</v>
      </c>
      <c r="R884">
        <v>113.94</v>
      </c>
      <c r="S884">
        <v>112.87</v>
      </c>
      <c r="T884">
        <v>130.95179999999999</v>
      </c>
      <c r="U884">
        <v>120.0142</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126.3826</v>
      </c>
      <c r="AN884">
        <v>132.90629999999999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116.7092</v>
      </c>
      <c r="M885">
        <v>114.9</v>
      </c>
      <c r="N885">
        <v>117.87</v>
      </c>
      <c r="O885">
        <v>118.0421</v>
      </c>
      <c r="P885">
        <v>143.7629</v>
      </c>
      <c r="Q885">
        <v>120.1</v>
      </c>
      <c r="R885">
        <v>114.03</v>
      </c>
      <c r="S885">
        <v>113.38</v>
      </c>
      <c r="T885">
        <v>131.29640000000001</v>
      </c>
      <c r="U885">
        <v>120.1764</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126.7508</v>
      </c>
      <c r="AN885">
        <v>133.7885</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118.81780000000001</v>
      </c>
      <c r="M886">
        <v>116.4</v>
      </c>
      <c r="N886">
        <v>119.27</v>
      </c>
      <c r="O886">
        <v>117.221</v>
      </c>
      <c r="P886">
        <v>144.2244</v>
      </c>
      <c r="Q886">
        <v>121.56</v>
      </c>
      <c r="R886">
        <v>114.92</v>
      </c>
      <c r="S886">
        <v>112.74</v>
      </c>
      <c r="T886">
        <v>132.17019999999999</v>
      </c>
      <c r="U886">
        <v>120.572</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127.4679</v>
      </c>
      <c r="AN886">
        <v>135.23939999999999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119.66119999999999</v>
      </c>
      <c r="M887">
        <v>117.6</v>
      </c>
      <c r="N887">
        <v>121.04</v>
      </c>
      <c r="O887">
        <v>117.61499999999999</v>
      </c>
      <c r="P887">
        <v>142.63499999999999</v>
      </c>
      <c r="Q887">
        <v>123.26</v>
      </c>
      <c r="R887">
        <v>115.99</v>
      </c>
      <c r="S887">
        <v>113.9</v>
      </c>
      <c r="T887">
        <v>133.2595</v>
      </c>
      <c r="U887">
        <v>121.4659</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128.60140000000001</v>
      </c>
      <c r="AN887">
        <v>137.3553</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119.8721</v>
      </c>
      <c r="M888">
        <v>116.6</v>
      </c>
      <c r="N888">
        <v>120.96</v>
      </c>
      <c r="O888">
        <v>117.47369999999999</v>
      </c>
      <c r="P888">
        <v>143.8655</v>
      </c>
      <c r="Q888">
        <v>123.4</v>
      </c>
      <c r="R888">
        <v>117.4</v>
      </c>
      <c r="S888">
        <v>114.26</v>
      </c>
      <c r="T888">
        <v>133.52979999999999</v>
      </c>
      <c r="U888">
        <v>121.52849999999999</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128.8914</v>
      </c>
      <c r="AN888">
        <v>138.14609999999999</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119.3449</v>
      </c>
      <c r="M889">
        <v>115.9</v>
      </c>
      <c r="N889">
        <v>120.53</v>
      </c>
      <c r="O889">
        <v>117.6503</v>
      </c>
      <c r="P889">
        <v>143.71170000000001</v>
      </c>
      <c r="Q889">
        <v>123.18</v>
      </c>
      <c r="R889">
        <v>117.32</v>
      </c>
      <c r="S889">
        <v>114.16</v>
      </c>
      <c r="T889">
        <v>133.6456</v>
      </c>
      <c r="U889">
        <v>121.2967</v>
      </c>
      <c r="V889">
        <v>125.3</v>
      </c>
      <c r="W889">
        <v>112.4277</v>
      </c>
      <c r="X889">
        <v>152.03550000000001</v>
      </c>
      <c r="Y889">
        <v>126.09910000000001</v>
      </c>
      <c r="Z889">
        <v>145.7628</v>
      </c>
      <c r="AA889">
        <v>115.42489999999999</v>
      </c>
      <c r="AB889">
        <v>131.90119999999999</v>
      </c>
      <c r="AC889">
        <v>108.871</v>
      </c>
      <c r="AD889">
        <v>119</v>
      </c>
      <c r="AF889">
        <v>115.2002</v>
      </c>
      <c r="AG889">
        <v>149.78790000000001</v>
      </c>
      <c r="AH889">
        <v>117.06</v>
      </c>
      <c r="AI889">
        <v>141.18219999999999</v>
      </c>
      <c r="AJ889">
        <v>144.29140000000001</v>
      </c>
      <c r="AK889">
        <v>124.94</v>
      </c>
      <c r="AL889">
        <v>125.9</v>
      </c>
      <c r="AM889">
        <v>128.8837</v>
      </c>
      <c r="AN889">
        <v>138.4649</v>
      </c>
      <c r="AO889">
        <v>139.11269999999999</v>
      </c>
      <c r="AP889">
        <v>116.37739999999999</v>
      </c>
      <c r="AR889">
        <v>112.547</v>
      </c>
      <c r="AS889">
        <v>132.20490000000001</v>
      </c>
      <c r="AT889">
        <v>120.51</v>
      </c>
      <c r="AU889">
        <v>126.3652</v>
      </c>
      <c r="AV889">
        <v>433.04489999999998</v>
      </c>
      <c r="AW889">
        <v>125.2218</v>
      </c>
      <c r="AX889">
        <v>145.1558</v>
      </c>
    </row>
    <row r="890" spans="1:50" x14ac:dyDescent="0.35">
      <c r="A890" s="75">
        <v>44927</v>
      </c>
      <c r="B890">
        <v>126.62220000000001</v>
      </c>
      <c r="C890">
        <v>126.6966</v>
      </c>
      <c r="D890">
        <v>151.00280000000001</v>
      </c>
      <c r="E890">
        <v>121.596</v>
      </c>
      <c r="F890">
        <v>105.2963</v>
      </c>
      <c r="G890">
        <v>141.69630000000001</v>
      </c>
      <c r="H890">
        <v>116.00790000000001</v>
      </c>
      <c r="I890">
        <v>149.92250000000001</v>
      </c>
      <c r="K890">
        <v>146.4</v>
      </c>
      <c r="L890">
        <v>120.5047</v>
      </c>
      <c r="M890">
        <v>116.4</v>
      </c>
      <c r="N890">
        <v>120.28</v>
      </c>
      <c r="O890">
        <v>117.40300000000001</v>
      </c>
      <c r="P890">
        <v>144.78829999999999</v>
      </c>
      <c r="Q890">
        <v>123.39</v>
      </c>
      <c r="R890">
        <v>117.99</v>
      </c>
      <c r="S890">
        <v>114.6</v>
      </c>
      <c r="T890">
        <v>134.62139999999999</v>
      </c>
      <c r="U890">
        <v>122.071</v>
      </c>
      <c r="V890">
        <v>124.8</v>
      </c>
      <c r="W890">
        <v>111.8879</v>
      </c>
      <c r="X890">
        <v>155.58850000000001</v>
      </c>
      <c r="Y890">
        <v>126.5304</v>
      </c>
      <c r="Z890">
        <v>146.31370000000001</v>
      </c>
      <c r="AA890">
        <v>114.5278</v>
      </c>
      <c r="AB890">
        <v>133.01830000000001</v>
      </c>
      <c r="AD890">
        <v>119.1</v>
      </c>
      <c r="AF890">
        <v>116.0647</v>
      </c>
      <c r="AG890">
        <v>150.88030000000001</v>
      </c>
      <c r="AH890">
        <v>116.59</v>
      </c>
      <c r="AI890">
        <v>141.93010000000001</v>
      </c>
      <c r="AJ890">
        <v>145.27019999999999</v>
      </c>
      <c r="AK890">
        <v>123.22</v>
      </c>
      <c r="AL890">
        <v>126.1</v>
      </c>
      <c r="AM890">
        <v>130.01669999999999</v>
      </c>
      <c r="AN890">
        <v>139.8553</v>
      </c>
      <c r="AP890">
        <v>115.3892</v>
      </c>
      <c r="AR890">
        <v>112.77509999999999</v>
      </c>
      <c r="AS890">
        <v>135.6309</v>
      </c>
      <c r="AT890">
        <v>120.74</v>
      </c>
      <c r="AU890">
        <v>124.9418</v>
      </c>
      <c r="AV890">
        <v>461.83780000000002</v>
      </c>
      <c r="AW890">
        <v>126.223</v>
      </c>
      <c r="AX890">
        <v>145.02080000000001</v>
      </c>
    </row>
    <row r="891" spans="1:50" x14ac:dyDescent="0.35">
      <c r="A891" s="75">
        <v>44958</v>
      </c>
      <c r="C891">
        <v>125.8145</v>
      </c>
      <c r="D891">
        <v>152.27119999999999</v>
      </c>
      <c r="F891">
        <v>106.08199999999999</v>
      </c>
      <c r="G891">
        <v>141.60910000000001</v>
      </c>
      <c r="H891">
        <v>115.4502</v>
      </c>
      <c r="I891">
        <v>152.4085</v>
      </c>
      <c r="L891">
        <v>121.45350000000001</v>
      </c>
      <c r="M891">
        <v>117.5</v>
      </c>
      <c r="P891">
        <v>145.6087</v>
      </c>
      <c r="R891">
        <v>118.98</v>
      </c>
      <c r="X891">
        <v>156.8468</v>
      </c>
      <c r="Y891">
        <v>126.72969999999999</v>
      </c>
      <c r="AB891">
        <v>134.87549999999999</v>
      </c>
      <c r="AF891">
        <v>116.35980000000001</v>
      </c>
      <c r="AG891">
        <v>151.95339999999999</v>
      </c>
      <c r="AH891">
        <v>118.54</v>
      </c>
      <c r="AI891">
        <v>142.76750000000001</v>
      </c>
      <c r="AJ891">
        <v>146.08019999999999</v>
      </c>
      <c r="AL891">
        <v>126.6</v>
      </c>
      <c r="AP891">
        <v>115.68770000000001</v>
      </c>
      <c r="AT891">
        <v>121.56</v>
      </c>
      <c r="AV891">
        <v>476.36279999999999</v>
      </c>
      <c r="AW891">
        <v>126.9276</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70" zoomScaleNormal="7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35" width="9.1796875" style="72" customWidth="1"/>
    <col min="36"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24.34656</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24.418980000000001</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24.467199999999998</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24.518820000000002</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24.523980000000002</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24.494630000000001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24.561879999999999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24.496549999999999</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24.49316</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24.562190000000001</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24.617339999999999</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24.73799</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25.082809999999998</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25.231020000000001</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25.236190000000001</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25.306830000000001</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25.25684</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25.117170000000002</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25.16039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25.13119</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25.169090000000001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25.34327</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25.374230000000001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25.586320000000001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25.694870000000002</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25.77938</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25.78454</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25.81728</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25.81035</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25.720680000000002</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25.80519</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25.82938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25.813890000000001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25.91743</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26.027750000000001</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26.257090000000002</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26.279499999999999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26.30369</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26.436430000000001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26.496600000000001</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26.556920000000002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26.73272</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26.76369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26.806909999999998</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26.808679999999999</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26.944959999999998</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27.041409999999999</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27.181080000000001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27.350100000000001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27.429449999999999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27.49493</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27.724119999999999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27.705100000000002</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27.712029999999999</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27.731059999999999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27.70363</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27.693300000000001</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27.762329999999999</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28.04683</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28.101980000000001</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28.18826</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28.20036</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28.260680000000001</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28.32779</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28.388110000000001</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28.34667</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28.339880000000001</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28.264230000000001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28.276319999999998</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28.35228</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28.419530000000002</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28.421299999999999</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28.62837</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28.744</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28.752549999999999</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28.783529999999999</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28.809339999999999</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28.767890000000001</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28.811109999999999</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28.75949</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28.780290000000001</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28.802700000000002</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28.997530000000001</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29.057849999999998</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29.081890000000001</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29.259460000000001</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29.307690000000001</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29.31447</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29.36609</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29.371259999999999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29.38335</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29.354150000000001</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29.374949999999998</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29.430260000000001</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29.492349999999998</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29.687169999999998</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30.02683</v>
      </c>
      <c r="M254">
        <v>13.817539999999999</v>
      </c>
      <c r="N254"/>
      <c r="O254"/>
      <c r="P254"/>
      <c r="Q254"/>
      <c r="R254">
        <v>12.08573</v>
      </c>
      <c r="S254">
        <v>15.017799999999999</v>
      </c>
      <c r="T254"/>
      <c r="U254">
        <v>16.4969</v>
      </c>
      <c r="V254">
        <v>8.9152149999999999</v>
      </c>
      <c r="W254">
        <v>1.417584</v>
      </c>
      <c r="X254"/>
      <c r="Y254"/>
      <c r="Z254"/>
      <c r="AA254"/>
      <c r="AB254"/>
      <c r="AC254">
        <v>1.4704729999999999E-3</v>
      </c>
      <c r="AD254">
        <v>5.4034529999999998</v>
      </c>
      <c r="AE254">
        <v>30.962949999999999</v>
      </c>
      <c r="AF254"/>
      <c r="AG254"/>
      <c r="AH254">
        <v>19.702909999999999</v>
      </c>
      <c r="AI254"/>
      <c r="AJ254"/>
      <c r="AK254">
        <v>21.00085</v>
      </c>
      <c r="AL254"/>
      <c r="AM254">
        <v>7.3040409999999998</v>
      </c>
      <c r="AN254">
        <v>5.3192839999999997</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30.075060000000001</v>
      </c>
      <c r="M255">
        <v>13.890879999999999</v>
      </c>
      <c r="N255"/>
      <c r="O255"/>
      <c r="P255"/>
      <c r="Q255"/>
      <c r="R255">
        <v>12.11753</v>
      </c>
      <c r="S255">
        <v>15.06156</v>
      </c>
      <c r="T255"/>
      <c r="U255">
        <v>16.55472</v>
      </c>
      <c r="V255">
        <v>8.9528949999999998</v>
      </c>
      <c r="W255">
        <v>1.417584</v>
      </c>
      <c r="X255"/>
      <c r="Y255"/>
      <c r="Z255"/>
      <c r="AA255"/>
      <c r="AB255"/>
      <c r="AC255">
        <v>1.4733529999999999E-3</v>
      </c>
      <c r="AD255">
        <v>5.4559990000000003</v>
      </c>
      <c r="AE255">
        <v>30.870329999999999</v>
      </c>
      <c r="AF255"/>
      <c r="AG255"/>
      <c r="AH255">
        <v>19.808810000000001</v>
      </c>
      <c r="AI255"/>
      <c r="AJ255"/>
      <c r="AK255">
        <v>21.172039999999999</v>
      </c>
      <c r="AL255"/>
      <c r="AM255">
        <v>7.3298839999999998</v>
      </c>
      <c r="AN255">
        <v>5.3439209999999999</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30.212959999999999</v>
      </c>
      <c r="M256">
        <v>13.973710000000001</v>
      </c>
      <c r="N256"/>
      <c r="O256"/>
      <c r="P256"/>
      <c r="Q256"/>
      <c r="R256">
        <v>12.14931</v>
      </c>
      <c r="S256">
        <v>15.1043</v>
      </c>
      <c r="T256"/>
      <c r="U256">
        <v>16.662769999999998</v>
      </c>
      <c r="V256">
        <v>9.0056740000000008</v>
      </c>
      <c r="W256">
        <v>1.443022</v>
      </c>
      <c r="X256"/>
      <c r="Y256"/>
      <c r="Z256"/>
      <c r="AA256"/>
      <c r="AB256"/>
      <c r="AC256">
        <v>1.481972E-3</v>
      </c>
      <c r="AD256">
        <v>5.4700439999999997</v>
      </c>
      <c r="AE256">
        <v>31.151409999999998</v>
      </c>
      <c r="AF256"/>
      <c r="AG256"/>
      <c r="AH256">
        <v>19.85444</v>
      </c>
      <c r="AI256"/>
      <c r="AJ256"/>
      <c r="AK256">
        <v>21.362220000000001</v>
      </c>
      <c r="AL256"/>
      <c r="AM256">
        <v>7.377084</v>
      </c>
      <c r="AN256">
        <v>5.3665529999999997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30.385370000000002</v>
      </c>
      <c r="M257">
        <v>14.026300000000001</v>
      </c>
      <c r="N257"/>
      <c r="O257"/>
      <c r="P257"/>
      <c r="Q257"/>
      <c r="R257">
        <v>12.155150000000001</v>
      </c>
      <c r="S257">
        <v>15.180059999999999</v>
      </c>
      <c r="T257"/>
      <c r="U257">
        <v>16.758690000000001</v>
      </c>
      <c r="V257">
        <v>9.1619489999999999</v>
      </c>
      <c r="W257">
        <v>1.4653780000000001</v>
      </c>
      <c r="X257"/>
      <c r="Y257"/>
      <c r="Z257"/>
      <c r="AA257"/>
      <c r="AB257"/>
      <c r="AC257">
        <v>1.5006609999999999E-3</v>
      </c>
      <c r="AD257">
        <v>5.4899170000000002</v>
      </c>
      <c r="AE257">
        <v>31.492149999999999</v>
      </c>
      <c r="AF257"/>
      <c r="AG257"/>
      <c r="AH257">
        <v>19.9481</v>
      </c>
      <c r="AI257"/>
      <c r="AJ257"/>
      <c r="AK257">
        <v>21.495059999999999</v>
      </c>
      <c r="AL257"/>
      <c r="AM257">
        <v>7.4189069999999999</v>
      </c>
      <c r="AN257">
        <v>5.3913669999999998</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30.378440000000001</v>
      </c>
      <c r="M258">
        <v>14.16499</v>
      </c>
      <c r="N258"/>
      <c r="O258"/>
      <c r="P258"/>
      <c r="Q258"/>
      <c r="R258">
        <v>12.163069999999999</v>
      </c>
      <c r="S258">
        <v>15.24492</v>
      </c>
      <c r="T258"/>
      <c r="U258">
        <v>16.821860000000001</v>
      </c>
      <c r="V258">
        <v>9.2076720000000005</v>
      </c>
      <c r="W258">
        <v>1.4544109999999999</v>
      </c>
      <c r="X258"/>
      <c r="Y258"/>
      <c r="Z258"/>
      <c r="AA258"/>
      <c r="AB258"/>
      <c r="AC258">
        <v>1.522219E-3</v>
      </c>
      <c r="AD258">
        <v>5.5128950000000003</v>
      </c>
      <c r="AE258">
        <v>31.590260000000001</v>
      </c>
      <c r="AF258"/>
      <c r="AG258"/>
      <c r="AH258">
        <v>20.069959999999998</v>
      </c>
      <c r="AI258"/>
      <c r="AJ258"/>
      <c r="AK258">
        <v>21.527360000000002</v>
      </c>
      <c r="AL258"/>
      <c r="AM258">
        <v>7.4471150000000002</v>
      </c>
      <c r="AN258">
        <v>5.4030100000000001</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30.428439999999998</v>
      </c>
      <c r="M259">
        <v>14.192970000000001</v>
      </c>
      <c r="N259"/>
      <c r="O259"/>
      <c r="P259"/>
      <c r="Q259"/>
      <c r="R259">
        <v>12.21387</v>
      </c>
      <c r="S259">
        <v>15.31317</v>
      </c>
      <c r="T259"/>
      <c r="U259">
        <v>16.907060000000001</v>
      </c>
      <c r="V259">
        <v>9.2352380000000007</v>
      </c>
      <c r="W259">
        <v>1.4465269999999999</v>
      </c>
      <c r="X259"/>
      <c r="Y259"/>
      <c r="Z259"/>
      <c r="AA259"/>
      <c r="AB259"/>
      <c r="AC259">
        <v>1.5294079999999999E-3</v>
      </c>
      <c r="AD259">
        <v>5.5245709999999999</v>
      </c>
      <c r="AE259">
        <v>31.68683</v>
      </c>
      <c r="AF259"/>
      <c r="AG259"/>
      <c r="AH259">
        <v>20.136230000000001</v>
      </c>
      <c r="AI259"/>
      <c r="AJ259"/>
      <c r="AK259">
        <v>21.567219999999999</v>
      </c>
      <c r="AL259"/>
      <c r="AM259">
        <v>7.4832260000000002</v>
      </c>
      <c r="AN259">
        <v>5.4132009999999999</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30.44746</v>
      </c>
      <c r="M260">
        <v>14.442600000000001</v>
      </c>
      <c r="N260"/>
      <c r="O260"/>
      <c r="P260"/>
      <c r="Q260"/>
      <c r="R260">
        <v>12.22087</v>
      </c>
      <c r="S260">
        <v>15.334479999999999</v>
      </c>
      <c r="T260"/>
      <c r="U260">
        <v>16.945959999999999</v>
      </c>
      <c r="V260">
        <v>9.3133590000000002</v>
      </c>
      <c r="W260">
        <v>1.4368570000000001</v>
      </c>
      <c r="X260"/>
      <c r="Y260"/>
      <c r="Z260"/>
      <c r="AA260"/>
      <c r="AB260"/>
      <c r="AC260">
        <v>1.530848E-3</v>
      </c>
      <c r="AD260">
        <v>5.5291480000000002</v>
      </c>
      <c r="AE260">
        <v>31.73874</v>
      </c>
      <c r="AF260"/>
      <c r="AG260"/>
      <c r="AH260">
        <v>20.20815</v>
      </c>
      <c r="AI260"/>
      <c r="AJ260"/>
      <c r="AK260">
        <v>21.6127</v>
      </c>
      <c r="AL260"/>
      <c r="AM260">
        <v>7.5010320000000004</v>
      </c>
      <c r="AN260">
        <v>5.418571</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30.43552</v>
      </c>
      <c r="M261">
        <v>14.46743</v>
      </c>
      <c r="N261"/>
      <c r="O261"/>
      <c r="P261"/>
      <c r="Q261"/>
      <c r="R261">
        <v>12.236789999999999</v>
      </c>
      <c r="S261">
        <v>15.385249999999999</v>
      </c>
      <c r="T261"/>
      <c r="U261">
        <v>16.967970000000001</v>
      </c>
      <c r="V261">
        <v>9.3406230000000008</v>
      </c>
      <c r="W261">
        <v>1.4145019999999999</v>
      </c>
      <c r="X261"/>
      <c r="Y261"/>
      <c r="Z261"/>
      <c r="AA261"/>
      <c r="AB261"/>
      <c r="AC261">
        <v>1.5294079999999999E-3</v>
      </c>
      <c r="AD261">
        <v>5.5403950000000002</v>
      </c>
      <c r="AE261">
        <v>31.692329999999998</v>
      </c>
      <c r="AF261"/>
      <c r="AG261"/>
      <c r="AH261">
        <v>20.168579999999999</v>
      </c>
      <c r="AI261"/>
      <c r="AJ261"/>
      <c r="AK261">
        <v>21.750489999999999</v>
      </c>
      <c r="AL261"/>
      <c r="AM261">
        <v>7.5122330000000002</v>
      </c>
      <c r="AN261">
        <v>5.4262490000000003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30.487439999999999</v>
      </c>
      <c r="M262">
        <v>14.55968</v>
      </c>
      <c r="N262"/>
      <c r="O262"/>
      <c r="P262"/>
      <c r="Q262"/>
      <c r="R262">
        <v>12.229139999999999</v>
      </c>
      <c r="S262">
        <v>15.43754</v>
      </c>
      <c r="T262"/>
      <c r="U262">
        <v>17.084959999999999</v>
      </c>
      <c r="V262">
        <v>9.3825749999999992</v>
      </c>
      <c r="W262">
        <v>1.443022</v>
      </c>
      <c r="X262"/>
      <c r="Y262"/>
      <c r="Z262"/>
      <c r="AA262"/>
      <c r="AB262"/>
      <c r="AC262">
        <v>1.589783E-3</v>
      </c>
      <c r="AD262">
        <v>5.5834859999999997</v>
      </c>
      <c r="AE262">
        <v>32.099789999999999</v>
      </c>
      <c r="AF262"/>
      <c r="AG262"/>
      <c r="AH262">
        <v>20.300529999999998</v>
      </c>
      <c r="AI262"/>
      <c r="AJ262"/>
      <c r="AK262">
        <v>21.968630000000001</v>
      </c>
      <c r="AL262"/>
      <c r="AM262">
        <v>7.5636169999999998</v>
      </c>
      <c r="AN262">
        <v>5.4513360000000004</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30.630649999999999</v>
      </c>
      <c r="M263">
        <v>14.602790000000001</v>
      </c>
      <c r="N263"/>
      <c r="O263"/>
      <c r="P263"/>
      <c r="Q263"/>
      <c r="R263">
        <v>12.252039999999999</v>
      </c>
      <c r="S263">
        <v>15.495430000000001</v>
      </c>
      <c r="T263"/>
      <c r="U263">
        <v>17.209689999999998</v>
      </c>
      <c r="V263">
        <v>9.4631690000000006</v>
      </c>
      <c r="W263">
        <v>1.4653780000000001</v>
      </c>
      <c r="X263"/>
      <c r="Y263"/>
      <c r="Z263"/>
      <c r="AA263"/>
      <c r="AB263"/>
      <c r="AC263">
        <v>1.62284E-3</v>
      </c>
      <c r="AD263">
        <v>5.6131279999999997</v>
      </c>
      <c r="AE263">
        <v>32.524030000000003</v>
      </c>
      <c r="AF263"/>
      <c r="AG263"/>
      <c r="AH263">
        <v>20.336490000000001</v>
      </c>
      <c r="AI263"/>
      <c r="AJ263"/>
      <c r="AK263">
        <v>22.096509999999999</v>
      </c>
      <c r="AL263"/>
      <c r="AM263">
        <v>7.6188859999999998</v>
      </c>
      <c r="AN263">
        <v>5.4772189999999998</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30.747890000000002</v>
      </c>
      <c r="M264">
        <v>14.698079999999999</v>
      </c>
      <c r="N264"/>
      <c r="O264"/>
      <c r="P264"/>
      <c r="Q264"/>
      <c r="R264">
        <v>12.26942</v>
      </c>
      <c r="S264">
        <v>15.56012</v>
      </c>
      <c r="T264"/>
      <c r="U264">
        <v>17.310939999999999</v>
      </c>
      <c r="V264">
        <v>9.5322469999999999</v>
      </c>
      <c r="W264">
        <v>1.47018</v>
      </c>
      <c r="X264"/>
      <c r="Y264"/>
      <c r="Z264"/>
      <c r="AA264"/>
      <c r="AB264"/>
      <c r="AC264">
        <v>1.644398E-3</v>
      </c>
      <c r="AD264">
        <v>5.6616790000000004</v>
      </c>
      <c r="AE264">
        <v>32.5929</v>
      </c>
      <c r="AF264"/>
      <c r="AG264"/>
      <c r="AH264">
        <v>20.378350000000001</v>
      </c>
      <c r="AI264"/>
      <c r="AJ264"/>
      <c r="AK264">
        <v>22.162500000000001</v>
      </c>
      <c r="AL264"/>
      <c r="AM264">
        <v>7.6634690000000001</v>
      </c>
      <c r="AN264">
        <v>5.5086890000000004</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30.966909999999999</v>
      </c>
      <c r="M265">
        <v>14.68256</v>
      </c>
      <c r="N265"/>
      <c r="O265"/>
      <c r="P265"/>
      <c r="Q265"/>
      <c r="R265">
        <v>12.306010000000001</v>
      </c>
      <c r="S265">
        <v>15.60388</v>
      </c>
      <c r="T265"/>
      <c r="U265">
        <v>17.394200000000001</v>
      </c>
      <c r="V265">
        <v>9.5978169999999992</v>
      </c>
      <c r="W265">
        <v>1.479849</v>
      </c>
      <c r="X265"/>
      <c r="Y265"/>
      <c r="Z265"/>
      <c r="AA265"/>
      <c r="AB265"/>
      <c r="AC265">
        <v>1.648718E-3</v>
      </c>
      <c r="AD265">
        <v>5.6774849999999999</v>
      </c>
      <c r="AE265">
        <v>32.81194</v>
      </c>
      <c r="AF265"/>
      <c r="AG265"/>
      <c r="AH265">
        <v>20.435590000000001</v>
      </c>
      <c r="AI265"/>
      <c r="AJ265"/>
      <c r="AK265">
        <v>22.21791</v>
      </c>
      <c r="AL265"/>
      <c r="AM265">
        <v>7.6993150000000004</v>
      </c>
      <c r="AN265">
        <v>5.5358939999999999</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31.291080000000001</v>
      </c>
      <c r="M266">
        <v>14.68256</v>
      </c>
      <c r="N266"/>
      <c r="O266"/>
      <c r="P266"/>
      <c r="Q266"/>
      <c r="R266">
        <v>12.43441</v>
      </c>
      <c r="S266">
        <v>15.705159999999999</v>
      </c>
      <c r="T266"/>
      <c r="U266">
        <v>17.473189999999999</v>
      </c>
      <c r="V266">
        <v>9.7106980000000007</v>
      </c>
      <c r="W266">
        <v>1.484432</v>
      </c>
      <c r="X266"/>
      <c r="Y266"/>
      <c r="Z266"/>
      <c r="AA266"/>
      <c r="AB266"/>
      <c r="AC266">
        <v>1.661647E-3</v>
      </c>
      <c r="AD266">
        <v>5.7362900000000003</v>
      </c>
      <c r="AE266">
        <v>33.047139999999999</v>
      </c>
      <c r="AF266"/>
      <c r="AG266"/>
      <c r="AH266">
        <v>20.559280000000001</v>
      </c>
      <c r="AI266"/>
      <c r="AJ266"/>
      <c r="AK266">
        <v>22.471360000000001</v>
      </c>
      <c r="AL266"/>
      <c r="AM266">
        <v>7.7440480000000003</v>
      </c>
      <c r="AN266">
        <v>5.5877749999999997</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31.542840000000002</v>
      </c>
      <c r="M267">
        <v>14.68572</v>
      </c>
      <c r="N267"/>
      <c r="O267"/>
      <c r="P267"/>
      <c r="Q267"/>
      <c r="R267">
        <v>12.526160000000001</v>
      </c>
      <c r="S267">
        <v>15.772600000000001</v>
      </c>
      <c r="T267"/>
      <c r="U267">
        <v>17.510919999999999</v>
      </c>
      <c r="V267">
        <v>9.7588039999999996</v>
      </c>
      <c r="W267">
        <v>1.4512510000000001</v>
      </c>
      <c r="X267"/>
      <c r="Y267"/>
      <c r="Z267"/>
      <c r="AA267"/>
      <c r="AB267"/>
      <c r="AC267">
        <v>1.6515880000000001E-3</v>
      </c>
      <c r="AD267">
        <v>5.7633070000000002</v>
      </c>
      <c r="AE267">
        <v>33.016080000000002</v>
      </c>
      <c r="AF267"/>
      <c r="AG267"/>
      <c r="AH267">
        <v>20.693079999999998</v>
      </c>
      <c r="AI267"/>
      <c r="AJ267"/>
      <c r="AK267">
        <v>22.842120000000001</v>
      </c>
      <c r="AL267"/>
      <c r="AM267">
        <v>7.767417</v>
      </c>
      <c r="AN267">
        <v>5.62242</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31.67558</v>
      </c>
      <c r="M268">
        <v>14.698079999999999</v>
      </c>
      <c r="N268"/>
      <c r="O268"/>
      <c r="P268"/>
      <c r="Q268"/>
      <c r="R268">
        <v>12.570270000000001</v>
      </c>
      <c r="S268">
        <v>15.82541</v>
      </c>
      <c r="T268"/>
      <c r="U268">
        <v>17.570029999999999</v>
      </c>
      <c r="V268">
        <v>9.8169450000000005</v>
      </c>
      <c r="W268">
        <v>1.479849</v>
      </c>
      <c r="X268"/>
      <c r="Y268"/>
      <c r="Z268"/>
      <c r="AA268"/>
      <c r="AB268"/>
      <c r="AC268">
        <v>1.661647E-3</v>
      </c>
      <c r="AD268">
        <v>5.788176</v>
      </c>
      <c r="AE268">
        <v>33.200920000000004</v>
      </c>
      <c r="AF268"/>
      <c r="AG268"/>
      <c r="AH268">
        <v>20.876329999999999</v>
      </c>
      <c r="AI268"/>
      <c r="AJ268"/>
      <c r="AK268">
        <v>22.995100000000001</v>
      </c>
      <c r="AL268"/>
      <c r="AM268">
        <v>7.7986149999999999</v>
      </c>
      <c r="AN268">
        <v>5.6528510000000001</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31.894449999999999</v>
      </c>
      <c r="M269">
        <v>14.846080000000001</v>
      </c>
      <c r="N269"/>
      <c r="O269"/>
      <c r="P269"/>
      <c r="Q269"/>
      <c r="R269">
        <v>12.68337</v>
      </c>
      <c r="S269">
        <v>15.918699999999999</v>
      </c>
      <c r="T269"/>
      <c r="U269">
        <v>17.683240000000001</v>
      </c>
      <c r="V269">
        <v>10.0288</v>
      </c>
      <c r="W269">
        <v>1.494513</v>
      </c>
      <c r="X269"/>
      <c r="Y269"/>
      <c r="Z269"/>
      <c r="AA269"/>
      <c r="AB269"/>
      <c r="AC269">
        <v>1.6832150000000001E-3</v>
      </c>
      <c r="AD269">
        <v>5.8022539999999996</v>
      </c>
      <c r="AE269">
        <v>33.707790000000003</v>
      </c>
      <c r="AF269"/>
      <c r="AG269"/>
      <c r="AH269">
        <v>20.904330000000002</v>
      </c>
      <c r="AI269"/>
      <c r="AJ269"/>
      <c r="AK269">
        <v>23.320419999999999</v>
      </c>
      <c r="AL269"/>
      <c r="AM269">
        <v>7.8534459999999999</v>
      </c>
      <c r="AN269">
        <v>5.7063470000000001</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31.96332</v>
      </c>
      <c r="M270">
        <v>15.083119999999999</v>
      </c>
      <c r="N270"/>
      <c r="O270"/>
      <c r="P270"/>
      <c r="Q270"/>
      <c r="R270">
        <v>12.714689999999999</v>
      </c>
      <c r="S270">
        <v>16.012560000000001</v>
      </c>
      <c r="T270"/>
      <c r="U270">
        <v>17.787749999999999</v>
      </c>
      <c r="V270">
        <v>10.0875</v>
      </c>
      <c r="W270">
        <v>1.509177</v>
      </c>
      <c r="X270"/>
      <c r="Y270"/>
      <c r="Z270"/>
      <c r="AA270"/>
      <c r="AB270"/>
      <c r="AC270">
        <v>1.690404E-3</v>
      </c>
      <c r="AD270">
        <v>5.8417880000000002</v>
      </c>
      <c r="AE270">
        <v>33.933039999999998</v>
      </c>
      <c r="AF270"/>
      <c r="AG270"/>
      <c r="AH270">
        <v>21.047160000000002</v>
      </c>
      <c r="AI270"/>
      <c r="AJ270"/>
      <c r="AK270">
        <v>23.42821</v>
      </c>
      <c r="AL270"/>
      <c r="AM270">
        <v>7.8994780000000002</v>
      </c>
      <c r="AN270">
        <v>5.7406189999999997</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32.113320000000002</v>
      </c>
      <c r="M271">
        <v>15.12612</v>
      </c>
      <c r="N271"/>
      <c r="O271"/>
      <c r="P271"/>
      <c r="Q271"/>
      <c r="R271">
        <v>13.00761</v>
      </c>
      <c r="S271">
        <v>16.0657</v>
      </c>
      <c r="T271"/>
      <c r="U271">
        <v>17.86195</v>
      </c>
      <c r="V271">
        <v>10.145250000000001</v>
      </c>
      <c r="W271">
        <v>1.4805790000000001</v>
      </c>
      <c r="X271"/>
      <c r="Y271"/>
      <c r="Z271"/>
      <c r="AA271"/>
      <c r="AB271"/>
      <c r="AC271">
        <v>1.706213E-3</v>
      </c>
      <c r="AD271">
        <v>5.8443779999999999</v>
      </c>
      <c r="AE271">
        <v>34.033149999999999</v>
      </c>
      <c r="AF271"/>
      <c r="AG271"/>
      <c r="AH271">
        <v>21.105609999999999</v>
      </c>
      <c r="AI271"/>
      <c r="AJ271"/>
      <c r="AK271">
        <v>23.458629999999999</v>
      </c>
      <c r="AL271"/>
      <c r="AM271">
        <v>7.9304540000000001</v>
      </c>
      <c r="AN271">
        <v>5.7600119999999997</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32.270240000000001</v>
      </c>
      <c r="M272">
        <v>15.148070000000001</v>
      </c>
      <c r="N272"/>
      <c r="O272"/>
      <c r="P272"/>
      <c r="Q272"/>
      <c r="R272">
        <v>13.064679999999999</v>
      </c>
      <c r="S272">
        <v>16.14367</v>
      </c>
      <c r="T272"/>
      <c r="U272">
        <v>17.92464</v>
      </c>
      <c r="V272">
        <v>10.20599</v>
      </c>
      <c r="W272">
        <v>1.481314</v>
      </c>
      <c r="X272"/>
      <c r="Y272"/>
      <c r="Z272"/>
      <c r="AA272"/>
      <c r="AB272"/>
      <c r="AC272">
        <v>1.7105219999999999E-3</v>
      </c>
      <c r="AD272">
        <v>5.8661880000000002</v>
      </c>
      <c r="AE272">
        <v>34.125929999999997</v>
      </c>
      <c r="AF272"/>
      <c r="AG272"/>
      <c r="AH272">
        <v>21.122990000000001</v>
      </c>
      <c r="AI272"/>
      <c r="AJ272"/>
      <c r="AK272">
        <v>23.475249999999999</v>
      </c>
      <c r="AL272"/>
      <c r="AM272">
        <v>7.9737679999999997</v>
      </c>
      <c r="AN272">
        <v>5.8043079999999998</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32.334110000000003</v>
      </c>
      <c r="M273">
        <v>15.18464</v>
      </c>
      <c r="N273"/>
      <c r="O273"/>
      <c r="P273"/>
      <c r="Q273"/>
      <c r="R273">
        <v>13.18867</v>
      </c>
      <c r="S273">
        <v>16.197839999999999</v>
      </c>
      <c r="T273"/>
      <c r="U273">
        <v>17.941700000000001</v>
      </c>
      <c r="V273">
        <v>10.222390000000001</v>
      </c>
      <c r="W273">
        <v>1.4512510000000001</v>
      </c>
      <c r="X273"/>
      <c r="Y273"/>
      <c r="Z273"/>
      <c r="AA273"/>
      <c r="AB273"/>
      <c r="AC273">
        <v>1.7148319999999999E-3</v>
      </c>
      <c r="AD273">
        <v>5.8734710000000003</v>
      </c>
      <c r="AE273">
        <v>34.102919999999997</v>
      </c>
      <c r="AF273"/>
      <c r="AG273"/>
      <c r="AH273">
        <v>21.150469999999999</v>
      </c>
      <c r="AI273"/>
      <c r="AJ273"/>
      <c r="AK273">
        <v>23.646439999999998</v>
      </c>
      <c r="AL273"/>
      <c r="AM273">
        <v>7.9924970000000002</v>
      </c>
      <c r="AN273">
        <v>5.8270109999999997</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32.397970000000001</v>
      </c>
      <c r="M274">
        <v>15.261039999999999</v>
      </c>
      <c r="N274"/>
      <c r="O274"/>
      <c r="P274"/>
      <c r="Q274"/>
      <c r="R274">
        <v>13.26482</v>
      </c>
      <c r="S274">
        <v>16.27224</v>
      </c>
      <c r="T274"/>
      <c r="U274">
        <v>18.028729999999999</v>
      </c>
      <c r="V274">
        <v>10.24788</v>
      </c>
      <c r="W274">
        <v>1.479849</v>
      </c>
      <c r="X274"/>
      <c r="Y274"/>
      <c r="Z274"/>
      <c r="AA274"/>
      <c r="AB274"/>
      <c r="AC274">
        <v>1.7507689999999999E-3</v>
      </c>
      <c r="AD274">
        <v>5.9083769999999998</v>
      </c>
      <c r="AE274">
        <v>34.519190000000002</v>
      </c>
      <c r="AF274"/>
      <c r="AG274"/>
      <c r="AH274">
        <v>21.25526</v>
      </c>
      <c r="AI274"/>
      <c r="AJ274"/>
      <c r="AK274">
        <v>23.863240000000001</v>
      </c>
      <c r="AL274"/>
      <c r="AM274">
        <v>8.0367329999999999</v>
      </c>
      <c r="AN274">
        <v>5.8602150000000002</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32.572150000000001</v>
      </c>
      <c r="M275">
        <v>15.34754</v>
      </c>
      <c r="N275"/>
      <c r="O275"/>
      <c r="P275"/>
      <c r="Q275"/>
      <c r="R275">
        <v>13.310040000000001</v>
      </c>
      <c r="S275">
        <v>16.358740000000001</v>
      </c>
      <c r="T275"/>
      <c r="U275">
        <v>18.09751</v>
      </c>
      <c r="V275">
        <v>10.292389999999999</v>
      </c>
      <c r="W275">
        <v>1.4767319999999999</v>
      </c>
      <c r="X275"/>
      <c r="Y275"/>
      <c r="Z275"/>
      <c r="AA275"/>
      <c r="AB275"/>
      <c r="AC275">
        <v>1.7910160000000001E-3</v>
      </c>
      <c r="AD275">
        <v>5.935276</v>
      </c>
      <c r="AE275">
        <v>34.71208</v>
      </c>
      <c r="AF275"/>
      <c r="AG275"/>
      <c r="AH275">
        <v>21.406400000000001</v>
      </c>
      <c r="AI275"/>
      <c r="AJ275"/>
      <c r="AK275">
        <v>24.051780000000001</v>
      </c>
      <c r="AL275"/>
      <c r="AM275">
        <v>8.0756630000000005</v>
      </c>
      <c r="AN275">
        <v>5.8986140000000002</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32.611820000000002</v>
      </c>
      <c r="M276">
        <v>15.477320000000001</v>
      </c>
      <c r="N276"/>
      <c r="O276"/>
      <c r="P276"/>
      <c r="Q276"/>
      <c r="R276">
        <v>13.381270000000001</v>
      </c>
      <c r="S276">
        <v>16.422409999999999</v>
      </c>
      <c r="T276"/>
      <c r="U276">
        <v>18.13796</v>
      </c>
      <c r="V276">
        <v>10.34188</v>
      </c>
      <c r="W276">
        <v>1.5099119999999999</v>
      </c>
      <c r="X276"/>
      <c r="Y276"/>
      <c r="Z276"/>
      <c r="AA276"/>
      <c r="AB276"/>
      <c r="AC276">
        <v>1.834142E-3</v>
      </c>
      <c r="AD276">
        <v>5.9656079999999996</v>
      </c>
      <c r="AE276">
        <v>34.68468</v>
      </c>
      <c r="AF276"/>
      <c r="AG276"/>
      <c r="AH276">
        <v>21.491720000000001</v>
      </c>
      <c r="AI276"/>
      <c r="AJ276"/>
      <c r="AK276">
        <v>24.138349999999999</v>
      </c>
      <c r="AL276"/>
      <c r="AM276">
        <v>8.1020649999999996</v>
      </c>
      <c r="AN276">
        <v>5.9309349999999998</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32.723909999999997</v>
      </c>
      <c r="M277">
        <v>15.507960000000001</v>
      </c>
      <c r="N277"/>
      <c r="O277"/>
      <c r="P277"/>
      <c r="Q277"/>
      <c r="R277">
        <v>13.41883</v>
      </c>
      <c r="S277">
        <v>16.494779999999999</v>
      </c>
      <c r="T277"/>
      <c r="U277">
        <v>18.186199999999999</v>
      </c>
      <c r="V277">
        <v>10.371930000000001</v>
      </c>
      <c r="W277">
        <v>1.5245759999999999</v>
      </c>
      <c r="X277"/>
      <c r="Y277"/>
      <c r="Z277"/>
      <c r="AA277"/>
      <c r="AB277"/>
      <c r="AC277">
        <v>1.85283E-3</v>
      </c>
      <c r="AD277">
        <v>5.9918079999999998</v>
      </c>
      <c r="AE277">
        <v>34.703380000000003</v>
      </c>
      <c r="AF277"/>
      <c r="AG277"/>
      <c r="AH277">
        <v>21.571159999999999</v>
      </c>
      <c r="AI277"/>
      <c r="AJ277"/>
      <c r="AK277">
        <v>24.236339999999998</v>
      </c>
      <c r="AL277"/>
      <c r="AM277">
        <v>8.1246770000000001</v>
      </c>
      <c r="AN277">
        <v>5.9509930000000004</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33.098080000000003</v>
      </c>
      <c r="M278">
        <v>15.53267</v>
      </c>
      <c r="N278"/>
      <c r="O278"/>
      <c r="P278"/>
      <c r="Q278"/>
      <c r="R278">
        <v>13.24485</v>
      </c>
      <c r="S278">
        <v>16.537520000000001</v>
      </c>
      <c r="T278"/>
      <c r="U278">
        <v>18.234259999999999</v>
      </c>
      <c r="V278">
        <v>10.43472</v>
      </c>
      <c r="W278">
        <v>1.5214620000000001</v>
      </c>
      <c r="X278"/>
      <c r="Y278"/>
      <c r="Z278"/>
      <c r="AA278"/>
      <c r="AB278"/>
      <c r="AC278">
        <v>1.8729479999999999E-3</v>
      </c>
      <c r="AD278">
        <v>6.0167229999999998</v>
      </c>
      <c r="AE278">
        <v>34.722619999999999</v>
      </c>
      <c r="AF278"/>
      <c r="AG278"/>
      <c r="AH278">
        <v>21.682829999999999</v>
      </c>
      <c r="AI278"/>
      <c r="AJ278"/>
      <c r="AK278">
        <v>24.454920000000001</v>
      </c>
      <c r="AL278"/>
      <c r="AM278">
        <v>8.1512250000000002</v>
      </c>
      <c r="AN278">
        <v>5.9859410000000004</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33.222259999999999</v>
      </c>
      <c r="M279">
        <v>15.60355</v>
      </c>
      <c r="N279"/>
      <c r="O279"/>
      <c r="P279"/>
      <c r="Q279"/>
      <c r="R279">
        <v>13.32615</v>
      </c>
      <c r="S279">
        <v>16.634709999999998</v>
      </c>
      <c r="T279"/>
      <c r="U279">
        <v>18.305820000000001</v>
      </c>
      <c r="V279">
        <v>10.484400000000001</v>
      </c>
      <c r="W279">
        <v>1.488299</v>
      </c>
      <c r="X279"/>
      <c r="Y279"/>
      <c r="Z279"/>
      <c r="AA279"/>
      <c r="AB279"/>
      <c r="AC279">
        <v>1.870079E-3</v>
      </c>
      <c r="AD279">
        <v>6.0552279999999996</v>
      </c>
      <c r="AE279">
        <v>34.972380000000001</v>
      </c>
      <c r="AF279"/>
      <c r="AG279"/>
      <c r="AH279">
        <v>21.745259999999998</v>
      </c>
      <c r="AI279"/>
      <c r="AJ279"/>
      <c r="AK279">
        <v>24.681529999999999</v>
      </c>
      <c r="AL279"/>
      <c r="AM279">
        <v>8.1840709999999994</v>
      </c>
      <c r="AN279">
        <v>6.013725</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33.456769999999999</v>
      </c>
      <c r="M280">
        <v>15.698729999999999</v>
      </c>
      <c r="N280"/>
      <c r="O280"/>
      <c r="P280"/>
      <c r="Q280"/>
      <c r="R280">
        <v>13.394539999999999</v>
      </c>
      <c r="S280">
        <v>16.711659999999998</v>
      </c>
      <c r="T280"/>
      <c r="U280">
        <v>18.3748</v>
      </c>
      <c r="V280">
        <v>10.506130000000001</v>
      </c>
      <c r="W280">
        <v>1.5168919999999999</v>
      </c>
      <c r="X280"/>
      <c r="Y280"/>
      <c r="Z280"/>
      <c r="AA280"/>
      <c r="AB280"/>
      <c r="AC280">
        <v>1.8945170000000001E-3</v>
      </c>
      <c r="AD280">
        <v>6.0693060000000001</v>
      </c>
      <c r="AE280">
        <v>35.209940000000003</v>
      </c>
      <c r="AF280"/>
      <c r="AG280"/>
      <c r="AH280">
        <v>21.787320000000001</v>
      </c>
      <c r="AI280"/>
      <c r="AJ280"/>
      <c r="AK280">
        <v>24.93807</v>
      </c>
      <c r="AL280"/>
      <c r="AM280">
        <v>8.2213069999999995</v>
      </c>
      <c r="AN280">
        <v>6.0478550000000002</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33.599829999999997</v>
      </c>
      <c r="M281">
        <v>15.81587</v>
      </c>
      <c r="N281"/>
      <c r="O281"/>
      <c r="P281"/>
      <c r="Q281"/>
      <c r="R281">
        <v>13.598369999999999</v>
      </c>
      <c r="S281">
        <v>16.777699999999999</v>
      </c>
      <c r="T281"/>
      <c r="U281">
        <v>18.459980000000002</v>
      </c>
      <c r="V281">
        <v>10.644640000000001</v>
      </c>
      <c r="W281">
        <v>1.572419</v>
      </c>
      <c r="X281"/>
      <c r="Y281"/>
      <c r="Z281"/>
      <c r="AA281"/>
      <c r="AB281"/>
      <c r="AC281">
        <v>1.9304439999999999E-3</v>
      </c>
      <c r="AD281">
        <v>6.0797660000000002</v>
      </c>
      <c r="AE281">
        <v>35.614060000000002</v>
      </c>
      <c r="AF281"/>
      <c r="AG281"/>
      <c r="AH281">
        <v>21.837620000000001</v>
      </c>
      <c r="AI281"/>
      <c r="AJ281"/>
      <c r="AK281">
        <v>25.33587</v>
      </c>
      <c r="AL281"/>
      <c r="AM281">
        <v>8.2640989999999999</v>
      </c>
      <c r="AN281">
        <v>6.0836540000000001</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33.563540000000003</v>
      </c>
      <c r="M282">
        <v>15.9948</v>
      </c>
      <c r="N282"/>
      <c r="O282"/>
      <c r="P282"/>
      <c r="Q282"/>
      <c r="R282">
        <v>13.7156</v>
      </c>
      <c r="S282">
        <v>16.865220000000001</v>
      </c>
      <c r="T282"/>
      <c r="U282">
        <v>18.537610000000001</v>
      </c>
      <c r="V282">
        <v>10.69069</v>
      </c>
      <c r="W282">
        <v>1.5585059999999999</v>
      </c>
      <c r="X282"/>
      <c r="Y282"/>
      <c r="Z282"/>
      <c r="AA282"/>
      <c r="AB282"/>
      <c r="AC282">
        <v>1.956321E-3</v>
      </c>
      <c r="AD282">
        <v>6.1319280000000003</v>
      </c>
      <c r="AE282">
        <v>35.817700000000002</v>
      </c>
      <c r="AF282"/>
      <c r="AG282"/>
      <c r="AH282">
        <v>21.921309999999998</v>
      </c>
      <c r="AI282"/>
      <c r="AJ282"/>
      <c r="AK282">
        <v>25.383769999999998</v>
      </c>
      <c r="AL282"/>
      <c r="AM282">
        <v>8.3002470000000006</v>
      </c>
      <c r="AN282">
        <v>6.1113759999999999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33.68242</v>
      </c>
      <c r="M283">
        <v>16.033619999999999</v>
      </c>
      <c r="N283"/>
      <c r="O283"/>
      <c r="P283"/>
      <c r="Q283"/>
      <c r="R283">
        <v>13.76488</v>
      </c>
      <c r="S283">
        <v>16.956299999999999</v>
      </c>
      <c r="T283"/>
      <c r="U283">
        <v>18.593620000000001</v>
      </c>
      <c r="V283">
        <v>10.7415</v>
      </c>
      <c r="W283">
        <v>1.5585059999999999</v>
      </c>
      <c r="X283"/>
      <c r="Y283"/>
      <c r="Z283"/>
      <c r="AA283"/>
      <c r="AB283"/>
      <c r="AC283">
        <v>1.9678199999999999E-3</v>
      </c>
      <c r="AD283">
        <v>6.1587079999999998</v>
      </c>
      <c r="AE283">
        <v>35.922730000000001</v>
      </c>
      <c r="AF283"/>
      <c r="AG283"/>
      <c r="AH283">
        <v>22.11572</v>
      </c>
      <c r="AI283"/>
      <c r="AJ283"/>
      <c r="AK283">
        <v>25.4373</v>
      </c>
      <c r="AL283"/>
      <c r="AM283">
        <v>8.3338249999999992</v>
      </c>
      <c r="AN283">
        <v>6.1486739999999998</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33.979010000000002</v>
      </c>
      <c r="M284">
        <v>16.06793</v>
      </c>
      <c r="N284"/>
      <c r="O284"/>
      <c r="P284"/>
      <c r="Q284"/>
      <c r="R284">
        <v>13.892200000000001</v>
      </c>
      <c r="S284">
        <v>17.107109999999999</v>
      </c>
      <c r="T284"/>
      <c r="U284">
        <v>18.671749999999999</v>
      </c>
      <c r="V284">
        <v>10.788500000000001</v>
      </c>
      <c r="W284">
        <v>1.556081</v>
      </c>
      <c r="X284"/>
      <c r="Y284"/>
      <c r="Z284"/>
      <c r="AA284"/>
      <c r="AB284"/>
      <c r="AC284">
        <v>1.989378E-3</v>
      </c>
      <c r="AD284">
        <v>6.1777360000000003</v>
      </c>
      <c r="AE284">
        <v>36.018129999999999</v>
      </c>
      <c r="AF284"/>
      <c r="AG284"/>
      <c r="AH284">
        <v>22.302340000000001</v>
      </c>
      <c r="AI284"/>
      <c r="AJ284"/>
      <c r="AK284">
        <v>25.308330000000002</v>
      </c>
      <c r="AL284"/>
      <c r="AM284">
        <v>8.3751449999999998</v>
      </c>
      <c r="AN284">
        <v>6.1895499999999997</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34.010129999999997</v>
      </c>
      <c r="M285">
        <v>16.123280000000001</v>
      </c>
      <c r="N285"/>
      <c r="O285"/>
      <c r="P285"/>
      <c r="Q285"/>
      <c r="R285">
        <v>13.91376</v>
      </c>
      <c r="S285">
        <v>17.186150000000001</v>
      </c>
      <c r="T285"/>
      <c r="U285">
        <v>18.747399999999999</v>
      </c>
      <c r="V285">
        <v>10.855449999999999</v>
      </c>
      <c r="W285">
        <v>1.533717</v>
      </c>
      <c r="X285"/>
      <c r="Y285"/>
      <c r="Z285"/>
      <c r="AA285"/>
      <c r="AB285"/>
      <c r="AC285">
        <v>1.9936979999999999E-3</v>
      </c>
      <c r="AD285">
        <v>6.209511</v>
      </c>
      <c r="AE285">
        <v>36.09299</v>
      </c>
      <c r="AF285"/>
      <c r="AG285"/>
      <c r="AH285">
        <v>22.368469999999999</v>
      </c>
      <c r="AI285"/>
      <c r="AJ285"/>
      <c r="AK285">
        <v>25.52355</v>
      </c>
      <c r="AL285"/>
      <c r="AM285">
        <v>8.4076939999999993</v>
      </c>
      <c r="AN285">
        <v>6.2092390000000002</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34.284149999999997</v>
      </c>
      <c r="M286">
        <v>16.22663</v>
      </c>
      <c r="N286"/>
      <c r="O286"/>
      <c r="P286"/>
      <c r="Q286"/>
      <c r="R286">
        <v>13.98936</v>
      </c>
      <c r="S286">
        <v>17.284739999999999</v>
      </c>
      <c r="T286"/>
      <c r="U286">
        <v>18.813929999999999</v>
      </c>
      <c r="V286">
        <v>10.930859999999999</v>
      </c>
      <c r="W286">
        <v>1.5623100000000001</v>
      </c>
      <c r="X286"/>
      <c r="Y286"/>
      <c r="Z286"/>
      <c r="AA286"/>
      <c r="AB286"/>
      <c r="AC286">
        <v>2.0138159999999999E-3</v>
      </c>
      <c r="AD286">
        <v>6.2579079999999996</v>
      </c>
      <c r="AE286">
        <v>36.309480000000001</v>
      </c>
      <c r="AF286"/>
      <c r="AG286"/>
      <c r="AH286">
        <v>22.476590000000002</v>
      </c>
      <c r="AI286"/>
      <c r="AJ286"/>
      <c r="AK286">
        <v>25.761220000000002</v>
      </c>
      <c r="AL286"/>
      <c r="AM286">
        <v>8.4430399999999999</v>
      </c>
      <c r="AN286">
        <v>6.2557349999999996</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34.404949999999999</v>
      </c>
      <c r="M287">
        <v>16.368600000000001</v>
      </c>
      <c r="N287"/>
      <c r="O287"/>
      <c r="P287"/>
      <c r="Q287"/>
      <c r="R287">
        <v>14.048690000000001</v>
      </c>
      <c r="S287">
        <v>17.435079999999999</v>
      </c>
      <c r="T287"/>
      <c r="U287">
        <v>18.93083</v>
      </c>
      <c r="V287">
        <v>11.10834</v>
      </c>
      <c r="W287">
        <v>1.5846739999999999</v>
      </c>
      <c r="X287"/>
      <c r="Y287"/>
      <c r="Z287"/>
      <c r="AA287"/>
      <c r="AB287"/>
      <c r="AC287">
        <v>2.0569429999999999E-3</v>
      </c>
      <c r="AD287">
        <v>6.3317420000000002</v>
      </c>
      <c r="AE287">
        <v>36.517719999999997</v>
      </c>
      <c r="AF287"/>
      <c r="AG287"/>
      <c r="AH287">
        <v>22.594819999999999</v>
      </c>
      <c r="AI287"/>
      <c r="AJ287"/>
      <c r="AK287">
        <v>26.106480000000001</v>
      </c>
      <c r="AL287"/>
      <c r="AM287">
        <v>8.4953430000000001</v>
      </c>
      <c r="AN287">
        <v>6.3099489999999996</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34.594610000000003</v>
      </c>
      <c r="M288">
        <v>16.519649999999999</v>
      </c>
      <c r="N288"/>
      <c r="O288"/>
      <c r="P288"/>
      <c r="Q288"/>
      <c r="R288">
        <v>14.150090000000001</v>
      </c>
      <c r="S288">
        <v>17.550650000000001</v>
      </c>
      <c r="T288"/>
      <c r="U288">
        <v>18.994499999999999</v>
      </c>
      <c r="V288">
        <v>11.139659999999999</v>
      </c>
      <c r="W288">
        <v>1.5661910000000001</v>
      </c>
      <c r="X288"/>
      <c r="Y288"/>
      <c r="Z288"/>
      <c r="AA288"/>
      <c r="AB288"/>
      <c r="AC288">
        <v>2.0842500000000002E-3</v>
      </c>
      <c r="AD288">
        <v>6.389138</v>
      </c>
      <c r="AE288">
        <v>36.558770000000003</v>
      </c>
      <c r="AF288"/>
      <c r="AG288"/>
      <c r="AH288">
        <v>22.728059999999999</v>
      </c>
      <c r="AI288"/>
      <c r="AJ288"/>
      <c r="AK288">
        <v>26.18468</v>
      </c>
      <c r="AL288"/>
      <c r="AM288">
        <v>8.5241959999999999</v>
      </c>
      <c r="AN288">
        <v>6.3453679999999997</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34.667020000000001</v>
      </c>
      <c r="M289">
        <v>16.571840000000002</v>
      </c>
      <c r="N289"/>
      <c r="O289"/>
      <c r="P289"/>
      <c r="Q289"/>
      <c r="R289">
        <v>14.17925</v>
      </c>
      <c r="S289">
        <v>17.648530000000001</v>
      </c>
      <c r="T289"/>
      <c r="U289">
        <v>19.064019999999999</v>
      </c>
      <c r="V289">
        <v>11.18078</v>
      </c>
      <c r="W289">
        <v>1.617148</v>
      </c>
      <c r="X289"/>
      <c r="Y289"/>
      <c r="Z289"/>
      <c r="AA289"/>
      <c r="AB289"/>
      <c r="AC289">
        <v>2.1086880000000001E-3</v>
      </c>
      <c r="AD289">
        <v>6.4137219999999999</v>
      </c>
      <c r="AE289">
        <v>36.904110000000003</v>
      </c>
      <c r="AF289"/>
      <c r="AG289"/>
      <c r="AH289">
        <v>22.812989999999999</v>
      </c>
      <c r="AI289"/>
      <c r="AJ289"/>
      <c r="AK289">
        <v>26.20524</v>
      </c>
      <c r="AL289"/>
      <c r="AM289">
        <v>8.5581759999999996</v>
      </c>
      <c r="AN289">
        <v>6.3746150000000004</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35.060209999999998</v>
      </c>
      <c r="M290">
        <v>16.60575</v>
      </c>
      <c r="N290"/>
      <c r="O290"/>
      <c r="P290"/>
      <c r="Q290"/>
      <c r="R290">
        <v>14.34098</v>
      </c>
      <c r="S290">
        <v>17.641739999999999</v>
      </c>
      <c r="T290"/>
      <c r="U290">
        <v>19.10923</v>
      </c>
      <c r="V290">
        <v>11.223599999999999</v>
      </c>
      <c r="W290">
        <v>1.6031569999999999</v>
      </c>
      <c r="X290"/>
      <c r="Y290"/>
      <c r="Z290"/>
      <c r="AA290"/>
      <c r="AB290"/>
      <c r="AC290">
        <v>2.1431850000000001E-3</v>
      </c>
      <c r="AD290">
        <v>6.4870419999999998</v>
      </c>
      <c r="AE290">
        <v>37.108359999999998</v>
      </c>
      <c r="AF290"/>
      <c r="AG290"/>
      <c r="AH290">
        <v>22.900950000000002</v>
      </c>
      <c r="AI290"/>
      <c r="AJ290"/>
      <c r="AK290">
        <v>26.436610000000002</v>
      </c>
      <c r="AL290"/>
      <c r="AM290">
        <v>8.5903910000000003</v>
      </c>
      <c r="AN290">
        <v>6.4182980000000001</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35.232619999999997</v>
      </c>
      <c r="M291">
        <v>16.700030000000002</v>
      </c>
      <c r="N291"/>
      <c r="O291"/>
      <c r="P291"/>
      <c r="Q291"/>
      <c r="R291">
        <v>14.42755</v>
      </c>
      <c r="S291">
        <v>17.669699999999999</v>
      </c>
      <c r="T291"/>
      <c r="U291">
        <v>19.188549999999999</v>
      </c>
      <c r="V291">
        <v>11.27182</v>
      </c>
      <c r="W291">
        <v>1.5878129999999999</v>
      </c>
      <c r="X291"/>
      <c r="Y291"/>
      <c r="Z291"/>
      <c r="AA291"/>
      <c r="AB291"/>
      <c r="AC291">
        <v>2.158994E-3</v>
      </c>
      <c r="AD291">
        <v>6.5678089999999996</v>
      </c>
      <c r="AE291">
        <v>37.338749999999997</v>
      </c>
      <c r="AF291"/>
      <c r="AG291"/>
      <c r="AH291">
        <v>22.996770000000001</v>
      </c>
      <c r="AI291"/>
      <c r="AJ291"/>
      <c r="AK291">
        <v>26.57283</v>
      </c>
      <c r="AL291"/>
      <c r="AM291">
        <v>8.6287059999999993</v>
      </c>
      <c r="AN291">
        <v>6.4560620000000002</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35.524059999999999</v>
      </c>
      <c r="M292">
        <v>16.801649999999999</v>
      </c>
      <c r="N292"/>
      <c r="O292"/>
      <c r="P292"/>
      <c r="Q292"/>
      <c r="R292">
        <v>14.467079999999999</v>
      </c>
      <c r="S292">
        <v>17.757390000000001</v>
      </c>
      <c r="T292"/>
      <c r="U292">
        <v>19.324590000000001</v>
      </c>
      <c r="V292">
        <v>11.308960000000001</v>
      </c>
      <c r="W292">
        <v>1.6465320000000001</v>
      </c>
      <c r="X292"/>
      <c r="Y292"/>
      <c r="Z292"/>
      <c r="AA292"/>
      <c r="AB292"/>
      <c r="AC292">
        <v>2.20068E-3</v>
      </c>
      <c r="AD292">
        <v>6.6386960000000004</v>
      </c>
      <c r="AE292">
        <v>38.074460000000002</v>
      </c>
      <c r="AF292"/>
      <c r="AG292"/>
      <c r="AH292">
        <v>23.102540000000001</v>
      </c>
      <c r="AI292"/>
      <c r="AJ292"/>
      <c r="AK292">
        <v>26.89659</v>
      </c>
      <c r="AL292"/>
      <c r="AM292">
        <v>8.687303</v>
      </c>
      <c r="AN292">
        <v>6.4996929999999997</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35.699710000000003</v>
      </c>
      <c r="M293">
        <v>17.007549999999998</v>
      </c>
      <c r="N293"/>
      <c r="O293"/>
      <c r="P293"/>
      <c r="Q293"/>
      <c r="R293">
        <v>14.68336</v>
      </c>
      <c r="S293">
        <v>17.875889999999998</v>
      </c>
      <c r="T293"/>
      <c r="U293">
        <v>19.494430000000001</v>
      </c>
      <c r="V293">
        <v>11.572340000000001</v>
      </c>
      <c r="W293">
        <v>1.658064</v>
      </c>
      <c r="X293"/>
      <c r="Y293"/>
      <c r="Z293"/>
      <c r="AA293"/>
      <c r="AB293"/>
      <c r="AC293">
        <v>2.2969919999999999E-3</v>
      </c>
      <c r="AD293">
        <v>6.6942380000000004</v>
      </c>
      <c r="AE293">
        <v>38.877360000000003</v>
      </c>
      <c r="AF293"/>
      <c r="AG293"/>
      <c r="AH293">
        <v>23.321380000000001</v>
      </c>
      <c r="AI293"/>
      <c r="AJ293"/>
      <c r="AK293">
        <v>27.410160000000001</v>
      </c>
      <c r="AL293"/>
      <c r="AM293">
        <v>8.7656930000000006</v>
      </c>
      <c r="AN293">
        <v>6.5548539999999997</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35.935980000000001</v>
      </c>
      <c r="M294">
        <v>17.214359999999999</v>
      </c>
      <c r="N294"/>
      <c r="O294"/>
      <c r="P294"/>
      <c r="Q294"/>
      <c r="R294">
        <v>14.85266</v>
      </c>
      <c r="S294">
        <v>18.050719999999998</v>
      </c>
      <c r="T294"/>
      <c r="U294">
        <v>19.641300000000001</v>
      </c>
      <c r="V294">
        <v>11.63625</v>
      </c>
      <c r="W294">
        <v>1.6982790000000001</v>
      </c>
      <c r="X294"/>
      <c r="Y294"/>
      <c r="Z294"/>
      <c r="AA294"/>
      <c r="AB294"/>
      <c r="AC294">
        <v>2.3372390000000001E-3</v>
      </c>
      <c r="AD294">
        <v>6.7942169999999997</v>
      </c>
      <c r="AE294">
        <v>39.53651</v>
      </c>
      <c r="AF294"/>
      <c r="AG294"/>
      <c r="AH294">
        <v>23.610479999999999</v>
      </c>
      <c r="AI294"/>
      <c r="AJ294"/>
      <c r="AK294">
        <v>27.524470000000001</v>
      </c>
      <c r="AL294"/>
      <c r="AM294">
        <v>8.8349250000000001</v>
      </c>
      <c r="AN294">
        <v>6.6184250000000002</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36.079180000000001</v>
      </c>
      <c r="M295">
        <v>17.322310000000002</v>
      </c>
      <c r="N295"/>
      <c r="O295"/>
      <c r="P295"/>
      <c r="Q295"/>
      <c r="R295">
        <v>14.975630000000001</v>
      </c>
      <c r="S295">
        <v>18.16112</v>
      </c>
      <c r="T295"/>
      <c r="U295">
        <v>19.7348</v>
      </c>
      <c r="V295">
        <v>11.704129999999999</v>
      </c>
      <c r="W295">
        <v>1.7276629999999999</v>
      </c>
      <c r="X295"/>
      <c r="Y295"/>
      <c r="Z295"/>
      <c r="AA295"/>
      <c r="AB295"/>
      <c r="AC295">
        <v>2.365986E-3</v>
      </c>
      <c r="AD295">
        <v>6.8534959999999998</v>
      </c>
      <c r="AE295">
        <v>39.960549999999998</v>
      </c>
      <c r="AF295"/>
      <c r="AG295"/>
      <c r="AH295">
        <v>23.648679999999999</v>
      </c>
      <c r="AI295"/>
      <c r="AJ295"/>
      <c r="AK295">
        <v>27.562090000000001</v>
      </c>
      <c r="AL295"/>
      <c r="AM295">
        <v>8.8855020000000007</v>
      </c>
      <c r="AN295">
        <v>6.6703520000000003</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36.232860000000002</v>
      </c>
      <c r="M296">
        <v>17.38635</v>
      </c>
      <c r="N296"/>
      <c r="O296"/>
      <c r="P296"/>
      <c r="Q296"/>
      <c r="R296">
        <v>15.42395</v>
      </c>
      <c r="S296">
        <v>18.322659999999999</v>
      </c>
      <c r="T296"/>
      <c r="U296">
        <v>19.82471</v>
      </c>
      <c r="V296">
        <v>11.773630000000001</v>
      </c>
      <c r="W296">
        <v>1.708655</v>
      </c>
      <c r="X296"/>
      <c r="Y296"/>
      <c r="Z296"/>
      <c r="AA296"/>
      <c r="AB296"/>
      <c r="AC296">
        <v>2.4105419999999999E-3</v>
      </c>
      <c r="AD296">
        <v>6.8887239999999998</v>
      </c>
      <c r="AE296">
        <v>40.270060000000001</v>
      </c>
      <c r="AF296"/>
      <c r="AG296"/>
      <c r="AH296">
        <v>23.631139999999998</v>
      </c>
      <c r="AI296"/>
      <c r="AJ296"/>
      <c r="AK296">
        <v>27.474240000000002</v>
      </c>
      <c r="AL296"/>
      <c r="AM296">
        <v>8.9303539999999995</v>
      </c>
      <c r="AN296">
        <v>6.6999680000000001</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36.310600000000001</v>
      </c>
      <c r="M297">
        <v>17.485330000000001</v>
      </c>
      <c r="N297"/>
      <c r="O297"/>
      <c r="P297"/>
      <c r="Q297"/>
      <c r="R297">
        <v>15.644019999999999</v>
      </c>
      <c r="S297">
        <v>18.423179999999999</v>
      </c>
      <c r="T297"/>
      <c r="U297">
        <v>19.91366</v>
      </c>
      <c r="V297">
        <v>11.823980000000001</v>
      </c>
      <c r="W297">
        <v>1.732826</v>
      </c>
      <c r="X297"/>
      <c r="Y297"/>
      <c r="Z297"/>
      <c r="AA297"/>
      <c r="AB297"/>
      <c r="AC297">
        <v>2.4206010000000001E-3</v>
      </c>
      <c r="AD297">
        <v>6.9306089999999996</v>
      </c>
      <c r="AE297">
        <v>40.447360000000003</v>
      </c>
      <c r="AF297"/>
      <c r="AG297"/>
      <c r="AH297">
        <v>23.661020000000001</v>
      </c>
      <c r="AI297"/>
      <c r="AJ297"/>
      <c r="AK297">
        <v>27.62837</v>
      </c>
      <c r="AL297"/>
      <c r="AM297">
        <v>8.9790120000000009</v>
      </c>
      <c r="AN297">
        <v>6.738499</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36.30735</v>
      </c>
      <c r="M298">
        <v>17.657419999999998</v>
      </c>
      <c r="N298"/>
      <c r="O298"/>
      <c r="P298"/>
      <c r="Q298"/>
      <c r="R298">
        <v>15.753550000000001</v>
      </c>
      <c r="S298">
        <v>18.58662</v>
      </c>
      <c r="T298"/>
      <c r="U298">
        <v>20.069569999999999</v>
      </c>
      <c r="V298">
        <v>11.905810000000001</v>
      </c>
      <c r="W298">
        <v>1.985193</v>
      </c>
      <c r="X298"/>
      <c r="Y298"/>
      <c r="Z298"/>
      <c r="AA298"/>
      <c r="AB298"/>
      <c r="AC298">
        <v>2.462288E-3</v>
      </c>
      <c r="AD298">
        <v>6.9709329999999996</v>
      </c>
      <c r="AE298">
        <v>41.36092</v>
      </c>
      <c r="AF298"/>
      <c r="AG298"/>
      <c r="AH298">
        <v>23.743320000000001</v>
      </c>
      <c r="AI298"/>
      <c r="AJ298"/>
      <c r="AK298">
        <v>27.922409999999999</v>
      </c>
      <c r="AL298"/>
      <c r="AM298">
        <v>9.0762479999999996</v>
      </c>
      <c r="AN298">
        <v>6.8209770000000001</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36.509250000000002</v>
      </c>
      <c r="M299">
        <v>17.84066</v>
      </c>
      <c r="N299"/>
      <c r="O299"/>
      <c r="P299"/>
      <c r="Q299"/>
      <c r="R299">
        <v>15.880319999999999</v>
      </c>
      <c r="S299">
        <v>18.772400000000001</v>
      </c>
      <c r="T299"/>
      <c r="U299">
        <v>20.239370000000001</v>
      </c>
      <c r="V299">
        <v>12.077909999999999</v>
      </c>
      <c r="W299">
        <v>2.0746470000000001</v>
      </c>
      <c r="X299"/>
      <c r="Y299"/>
      <c r="Z299"/>
      <c r="AA299"/>
      <c r="AB299"/>
      <c r="AC299">
        <v>2.4953549999999999E-3</v>
      </c>
      <c r="AD299">
        <v>7.0022060000000002</v>
      </c>
      <c r="AE299">
        <v>41.75018</v>
      </c>
      <c r="AF299"/>
      <c r="AG299"/>
      <c r="AH299">
        <v>23.91958</v>
      </c>
      <c r="AI299"/>
      <c r="AJ299"/>
      <c r="AK299">
        <v>28.240400000000001</v>
      </c>
      <c r="AL299"/>
      <c r="AM299">
        <v>9.168056</v>
      </c>
      <c r="AN299">
        <v>6.8955510000000002</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36.746099999999998</v>
      </c>
      <c r="M300">
        <v>18.130710000000001</v>
      </c>
      <c r="N300"/>
      <c r="O300"/>
      <c r="P300"/>
      <c r="Q300"/>
      <c r="R300">
        <v>16.000389999999999</v>
      </c>
      <c r="S300">
        <v>18.888179999999998</v>
      </c>
      <c r="T300"/>
      <c r="U300">
        <v>20.36834</v>
      </c>
      <c r="V300">
        <v>12.15863</v>
      </c>
      <c r="W300">
        <v>2.0131770000000002</v>
      </c>
      <c r="X300"/>
      <c r="Y300"/>
      <c r="Z300"/>
      <c r="AA300"/>
      <c r="AB300"/>
      <c r="AC300">
        <v>2.5830369999999998E-3</v>
      </c>
      <c r="AD300">
        <v>7.0921019999999997</v>
      </c>
      <c r="AE300">
        <v>42.140050000000002</v>
      </c>
      <c r="AF300"/>
      <c r="AG300"/>
      <c r="AH300">
        <v>24.062329999999999</v>
      </c>
      <c r="AI300"/>
      <c r="AJ300"/>
      <c r="AK300">
        <v>28.31174</v>
      </c>
      <c r="AL300"/>
      <c r="AM300">
        <v>9.2287999999999997</v>
      </c>
      <c r="AN300">
        <v>6.9484279999999998</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36.912010000000002</v>
      </c>
      <c r="M301">
        <v>18.365780000000001</v>
      </c>
      <c r="N301"/>
      <c r="O301"/>
      <c r="P301"/>
      <c r="Q301"/>
      <c r="R301">
        <v>16.123860000000001</v>
      </c>
      <c r="S301">
        <v>19.023499999999999</v>
      </c>
      <c r="T301"/>
      <c r="U301">
        <v>20.514859999999999</v>
      </c>
      <c r="V301">
        <v>12.212619999999999</v>
      </c>
      <c r="W301">
        <v>2.0739480000000001</v>
      </c>
      <c r="X301"/>
      <c r="Y301"/>
      <c r="Z301"/>
      <c r="AA301"/>
      <c r="AB301"/>
      <c r="AC301">
        <v>2.652031E-3</v>
      </c>
      <c r="AD301">
        <v>7.1596880000000001</v>
      </c>
      <c r="AE301">
        <v>43.056519999999999</v>
      </c>
      <c r="AF301"/>
      <c r="AG301"/>
      <c r="AH301">
        <v>24.206769999999999</v>
      </c>
      <c r="AI301"/>
      <c r="AJ301"/>
      <c r="AK301">
        <v>28.437370000000001</v>
      </c>
      <c r="AL301"/>
      <c r="AM301">
        <v>9.3193260000000002</v>
      </c>
      <c r="AN301">
        <v>7.0134939999999997</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37.304769999999998</v>
      </c>
      <c r="M302">
        <v>18.558029999999999</v>
      </c>
      <c r="N302"/>
      <c r="O302"/>
      <c r="P302"/>
      <c r="Q302"/>
      <c r="R302">
        <v>16.266919999999999</v>
      </c>
      <c r="S302">
        <v>19.184229999999999</v>
      </c>
      <c r="T302"/>
      <c r="U302">
        <v>20.684940000000001</v>
      </c>
      <c r="V302">
        <v>12.3681</v>
      </c>
      <c r="W302">
        <v>2.1225869999999998</v>
      </c>
      <c r="X302"/>
      <c r="Y302"/>
      <c r="Z302"/>
      <c r="AA302"/>
      <c r="AB302"/>
      <c r="AC302">
        <v>2.7210250000000002E-3</v>
      </c>
      <c r="AD302">
        <v>7.254416</v>
      </c>
      <c r="AE302">
        <v>44.442689999999999</v>
      </c>
      <c r="AF302"/>
      <c r="AG302"/>
      <c r="AH302">
        <v>24.410679999999999</v>
      </c>
      <c r="AI302"/>
      <c r="AJ302"/>
      <c r="AK302">
        <v>28.51211</v>
      </c>
      <c r="AL302"/>
      <c r="AM302">
        <v>9.408182</v>
      </c>
      <c r="AN302">
        <v>7.0859050000000003</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37.656669999999998</v>
      </c>
      <c r="M303">
        <v>18.604520000000001</v>
      </c>
      <c r="N303"/>
      <c r="O303"/>
      <c r="P303"/>
      <c r="Q303"/>
      <c r="R303">
        <v>16.54373</v>
      </c>
      <c r="S303">
        <v>19.377359999999999</v>
      </c>
      <c r="T303"/>
      <c r="U303">
        <v>20.918130000000001</v>
      </c>
      <c r="V303">
        <v>12.46571</v>
      </c>
      <c r="W303">
        <v>2.0768300000000002</v>
      </c>
      <c r="X303"/>
      <c r="Y303"/>
      <c r="Z303"/>
      <c r="AA303"/>
      <c r="AB303"/>
      <c r="AC303">
        <v>2.8360159999999998E-3</v>
      </c>
      <c r="AD303">
        <v>7.4033889999999998</v>
      </c>
      <c r="AE303">
        <v>45.766959999999997</v>
      </c>
      <c r="AF303"/>
      <c r="AG303"/>
      <c r="AH303">
        <v>24.845400000000001</v>
      </c>
      <c r="AI303"/>
      <c r="AJ303"/>
      <c r="AK303">
        <v>28.88448</v>
      </c>
      <c r="AL303"/>
      <c r="AM303">
        <v>9.5136120000000002</v>
      </c>
      <c r="AN303">
        <v>7.1600010000000003</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37.808140000000002</v>
      </c>
      <c r="M304">
        <v>18.799949999999999</v>
      </c>
      <c r="N304"/>
      <c r="O304"/>
      <c r="P304"/>
      <c r="Q304"/>
      <c r="R304">
        <v>16.751270000000002</v>
      </c>
      <c r="S304">
        <v>19.58549</v>
      </c>
      <c r="T304"/>
      <c r="U304">
        <v>21.102900000000002</v>
      </c>
      <c r="V304">
        <v>12.580399999999999</v>
      </c>
      <c r="W304">
        <v>2.1703969999999999</v>
      </c>
      <c r="X304"/>
      <c r="Y304"/>
      <c r="Z304"/>
      <c r="AA304"/>
      <c r="AB304"/>
      <c r="AC304">
        <v>2.9351970000000001E-3</v>
      </c>
      <c r="AD304">
        <v>7.5192490000000003</v>
      </c>
      <c r="AE304">
        <v>46.142949999999999</v>
      </c>
      <c r="AF304"/>
      <c r="AG304"/>
      <c r="AH304">
        <v>25.069769999999998</v>
      </c>
      <c r="AI304"/>
      <c r="AJ304"/>
      <c r="AK304">
        <v>29.340530000000001</v>
      </c>
      <c r="AL304"/>
      <c r="AM304">
        <v>9.6201720000000002</v>
      </c>
      <c r="AN304">
        <v>7.2642930000000003</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38.204450000000001</v>
      </c>
      <c r="M305">
        <v>19.077169999999999</v>
      </c>
      <c r="N305"/>
      <c r="O305"/>
      <c r="P305"/>
      <c r="Q305"/>
      <c r="R305">
        <v>17.033909999999999</v>
      </c>
      <c r="S305">
        <v>19.897590000000001</v>
      </c>
      <c r="T305"/>
      <c r="U305">
        <v>21.377849999999999</v>
      </c>
      <c r="V305">
        <v>13.077719999999999</v>
      </c>
      <c r="W305">
        <v>2.1865350000000001</v>
      </c>
      <c r="X305"/>
      <c r="Y305"/>
      <c r="Z305"/>
      <c r="AA305"/>
      <c r="AB305"/>
      <c r="AC305">
        <v>3.0573760000000001E-3</v>
      </c>
      <c r="AD305">
        <v>7.599558</v>
      </c>
      <c r="AE305">
        <v>46.944789999999998</v>
      </c>
      <c r="AF305"/>
      <c r="AG305"/>
      <c r="AH305">
        <v>25.40192</v>
      </c>
      <c r="AI305"/>
      <c r="AJ305"/>
      <c r="AK305">
        <v>29.831600000000002</v>
      </c>
      <c r="AL305"/>
      <c r="AM305">
        <v>9.7479519999999997</v>
      </c>
      <c r="AN305">
        <v>7.3753950000000001</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38.3596</v>
      </c>
      <c r="M306">
        <v>19.38598</v>
      </c>
      <c r="N306"/>
      <c r="O306"/>
      <c r="P306"/>
      <c r="Q306"/>
      <c r="R306">
        <v>17.200299999999999</v>
      </c>
      <c r="S306">
        <v>20.15718</v>
      </c>
      <c r="T306"/>
      <c r="U306">
        <v>21.624469999999999</v>
      </c>
      <c r="V306">
        <v>13.26248</v>
      </c>
      <c r="W306">
        <v>2.2202609999999998</v>
      </c>
      <c r="X306"/>
      <c r="Y306"/>
      <c r="Z306"/>
      <c r="AA306"/>
      <c r="AB306"/>
      <c r="AC306">
        <v>3.1436290000000002E-3</v>
      </c>
      <c r="AD306">
        <v>7.7263529999999996</v>
      </c>
      <c r="AE306">
        <v>47.685250000000003</v>
      </c>
      <c r="AF306"/>
      <c r="AG306"/>
      <c r="AH306">
        <v>25.649550000000001</v>
      </c>
      <c r="AI306"/>
      <c r="AJ306"/>
      <c r="AK306">
        <v>29.985420000000001</v>
      </c>
      <c r="AL306"/>
      <c r="AM306">
        <v>9.8550540000000009</v>
      </c>
      <c r="AN306">
        <v>7.4570350000000003</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38.504429999999999</v>
      </c>
      <c r="M307">
        <v>19.793369999999999</v>
      </c>
      <c r="N307"/>
      <c r="O307"/>
      <c r="P307"/>
      <c r="Q307"/>
      <c r="R307">
        <v>17.334610000000001</v>
      </c>
      <c r="S307">
        <v>20.40333</v>
      </c>
      <c r="T307"/>
      <c r="U307">
        <v>21.839980000000001</v>
      </c>
      <c r="V307">
        <v>13.36636</v>
      </c>
      <c r="W307">
        <v>2.239506</v>
      </c>
      <c r="X307"/>
      <c r="Y307"/>
      <c r="Z307"/>
      <c r="AA307"/>
      <c r="AB307"/>
      <c r="AC307">
        <v>3.1881850000000001E-3</v>
      </c>
      <c r="AD307">
        <v>7.8438439999999998</v>
      </c>
      <c r="AE307">
        <v>47.926540000000003</v>
      </c>
      <c r="AF307"/>
      <c r="AG307"/>
      <c r="AH307">
        <v>25.735579999999999</v>
      </c>
      <c r="AI307"/>
      <c r="AJ307"/>
      <c r="AK307">
        <v>30.060169999999999</v>
      </c>
      <c r="AL307"/>
      <c r="AM307">
        <v>9.9506010000000007</v>
      </c>
      <c r="AN307">
        <v>7.5300969999999996</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38.680529999999997</v>
      </c>
      <c r="M308">
        <v>20.026959999999999</v>
      </c>
      <c r="N308"/>
      <c r="O308"/>
      <c r="P308"/>
      <c r="Q308"/>
      <c r="R308">
        <v>17.730689999999999</v>
      </c>
      <c r="S308">
        <v>20.65212</v>
      </c>
      <c r="T308"/>
      <c r="U308">
        <v>22.071020000000001</v>
      </c>
      <c r="V308">
        <v>13.509740000000001</v>
      </c>
      <c r="W308">
        <v>2.2504840000000002</v>
      </c>
      <c r="X308"/>
      <c r="Y308"/>
      <c r="Z308"/>
      <c r="AA308"/>
      <c r="AB308"/>
      <c r="AC308">
        <v>3.2658079999999998E-3</v>
      </c>
      <c r="AD308">
        <v>7.9442870000000001</v>
      </c>
      <c r="AE308">
        <v>48.689019999999999</v>
      </c>
      <c r="AF308"/>
      <c r="AG308"/>
      <c r="AH308">
        <v>26.0197</v>
      </c>
      <c r="AI308"/>
      <c r="AJ308"/>
      <c r="AK308">
        <v>30.150130000000001</v>
      </c>
      <c r="AL308"/>
      <c r="AM308">
        <v>10.064209999999999</v>
      </c>
      <c r="AN308">
        <v>7.5958119999999996</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38.792769999999997</v>
      </c>
      <c r="M309">
        <v>20.146750000000001</v>
      </c>
      <c r="N309"/>
      <c r="O309"/>
      <c r="P309"/>
      <c r="Q309"/>
      <c r="R309">
        <v>17.722079999999998</v>
      </c>
      <c r="S309">
        <v>20.81457</v>
      </c>
      <c r="T309"/>
      <c r="U309">
        <v>22.27543</v>
      </c>
      <c r="V309">
        <v>13.494059999999999</v>
      </c>
      <c r="W309">
        <v>2.1741079999999999</v>
      </c>
      <c r="X309"/>
      <c r="Y309"/>
      <c r="Z309"/>
      <c r="AA309"/>
      <c r="AB309"/>
      <c r="AC309">
        <v>3.306055E-3</v>
      </c>
      <c r="AD309">
        <v>8.1134000000000004</v>
      </c>
      <c r="AE309">
        <v>48.879100000000001</v>
      </c>
      <c r="AF309"/>
      <c r="AG309"/>
      <c r="AH309">
        <v>26.088090000000001</v>
      </c>
      <c r="AI309"/>
      <c r="AJ309"/>
      <c r="AK309">
        <v>30.395250000000001</v>
      </c>
      <c r="AL309"/>
      <c r="AM309">
        <v>10.155010000000001</v>
      </c>
      <c r="AN309">
        <v>7.651421</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38.846310000000003</v>
      </c>
      <c r="M310">
        <v>20.475809999999999</v>
      </c>
      <c r="N310"/>
      <c r="O310"/>
      <c r="P310"/>
      <c r="Q310"/>
      <c r="R310">
        <v>17.977150000000002</v>
      </c>
      <c r="S310">
        <v>21.0731</v>
      </c>
      <c r="T310"/>
      <c r="U310">
        <v>22.536950000000001</v>
      </c>
      <c r="V310">
        <v>13.6584</v>
      </c>
      <c r="W310">
        <v>2.273889</v>
      </c>
      <c r="X310"/>
      <c r="Y310"/>
      <c r="Z310"/>
      <c r="AA310"/>
      <c r="AB310"/>
      <c r="AC310">
        <v>3.3678599999999999E-3</v>
      </c>
      <c r="AD310">
        <v>8.3397889999999997</v>
      </c>
      <c r="AE310">
        <v>49.397320000000001</v>
      </c>
      <c r="AF310"/>
      <c r="AG310"/>
      <c r="AH310">
        <v>26.293939999999999</v>
      </c>
      <c r="AI310"/>
      <c r="AJ310"/>
      <c r="AK310">
        <v>30.916540000000001</v>
      </c>
      <c r="AL310"/>
      <c r="AM310">
        <v>10.281230000000001</v>
      </c>
      <c r="AN310">
        <v>7.757682</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39.108539999999998</v>
      </c>
      <c r="M311">
        <v>20.740960000000001</v>
      </c>
      <c r="N311"/>
      <c r="O311"/>
      <c r="P311"/>
      <c r="Q311"/>
      <c r="R311">
        <v>18.28284</v>
      </c>
      <c r="S311">
        <v>21.34666</v>
      </c>
      <c r="T311"/>
      <c r="U311">
        <v>22.859770000000001</v>
      </c>
      <c r="V311">
        <v>13.947380000000001</v>
      </c>
      <c r="W311">
        <v>2.2900269999999998</v>
      </c>
      <c r="X311"/>
      <c r="Y311"/>
      <c r="Z311"/>
      <c r="AA311"/>
      <c r="AB311"/>
      <c r="AC311">
        <v>3.4311039999999999E-3</v>
      </c>
      <c r="AD311">
        <v>8.4936109999999996</v>
      </c>
      <c r="AE311">
        <v>50.638300000000001</v>
      </c>
      <c r="AF311"/>
      <c r="AG311"/>
      <c r="AH311">
        <v>26.551659999999998</v>
      </c>
      <c r="AI311"/>
      <c r="AJ311"/>
      <c r="AK311">
        <v>31.33248</v>
      </c>
      <c r="AL311"/>
      <c r="AM311">
        <v>10.43183</v>
      </c>
      <c r="AN311">
        <v>7.8597549999999998</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39.368850000000002</v>
      </c>
      <c r="M312">
        <v>21.045809999999999</v>
      </c>
      <c r="N312"/>
      <c r="O312"/>
      <c r="P312"/>
      <c r="Q312"/>
      <c r="R312">
        <v>18.472719999999999</v>
      </c>
      <c r="S312">
        <v>21.55791</v>
      </c>
      <c r="T312"/>
      <c r="U312">
        <v>23.09638</v>
      </c>
      <c r="V312">
        <v>14.14631</v>
      </c>
      <c r="W312">
        <v>2.3378369999999999</v>
      </c>
      <c r="X312"/>
      <c r="Y312"/>
      <c r="Z312"/>
      <c r="AA312"/>
      <c r="AB312"/>
      <c r="AC312">
        <v>3.6955909999999998E-3</v>
      </c>
      <c r="AD312">
        <v>8.6764709999999994</v>
      </c>
      <c r="AE312">
        <v>51.032389999999999</v>
      </c>
      <c r="AF312"/>
      <c r="AG312"/>
      <c r="AH312">
        <v>26.83501</v>
      </c>
      <c r="AI312"/>
      <c r="AJ312"/>
      <c r="AK312">
        <v>31.540400000000002</v>
      </c>
      <c r="AL312"/>
      <c r="AM312">
        <v>10.551220000000001</v>
      </c>
      <c r="AN312">
        <v>7.9602139999999997</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39.422240000000002</v>
      </c>
      <c r="M313">
        <v>21.15296</v>
      </c>
      <c r="N313"/>
      <c r="O313"/>
      <c r="P313"/>
      <c r="Q313"/>
      <c r="R313">
        <v>18.512689999999999</v>
      </c>
      <c r="S313">
        <v>21.757059999999999</v>
      </c>
      <c r="T313"/>
      <c r="U313">
        <v>23.20055</v>
      </c>
      <c r="V313">
        <v>14.24438</v>
      </c>
      <c r="W313">
        <v>2.3429980000000001</v>
      </c>
      <c r="X313"/>
      <c r="Y313"/>
      <c r="Z313"/>
      <c r="AA313"/>
      <c r="AB313"/>
      <c r="AC313">
        <v>3.94714E-3</v>
      </c>
      <c r="AD313">
        <v>8.7432250000000007</v>
      </c>
      <c r="AE313">
        <v>51.123809999999999</v>
      </c>
      <c r="AF313"/>
      <c r="AG313"/>
      <c r="AH313">
        <v>26.953029999999998</v>
      </c>
      <c r="AI313"/>
      <c r="AJ313"/>
      <c r="AK313">
        <v>31.642199999999999</v>
      </c>
      <c r="AL313"/>
      <c r="AM313">
        <v>10.61403</v>
      </c>
      <c r="AN313">
        <v>8.0258509999999994</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39.76558</v>
      </c>
      <c r="M314">
        <v>21.1494</v>
      </c>
      <c r="N314"/>
      <c r="O314"/>
      <c r="P314"/>
      <c r="Q314"/>
      <c r="R314">
        <v>19.147639999999999</v>
      </c>
      <c r="S314">
        <v>21.977460000000001</v>
      </c>
      <c r="T314"/>
      <c r="U314">
        <v>23.368780000000001</v>
      </c>
      <c r="V314">
        <v>14.43135</v>
      </c>
      <c r="W314">
        <v>2.397872</v>
      </c>
      <c r="X314"/>
      <c r="Y314"/>
      <c r="Z314"/>
      <c r="AA314"/>
      <c r="AB314"/>
      <c r="AC314">
        <v>4.0161329999999999E-3</v>
      </c>
      <c r="AD314">
        <v>8.8644820000000006</v>
      </c>
      <c r="AE314">
        <v>51.74277</v>
      </c>
      <c r="AF314"/>
      <c r="AG314"/>
      <c r="AH314">
        <v>27.147670000000002</v>
      </c>
      <c r="AI314"/>
      <c r="AJ314"/>
      <c r="AK314">
        <v>31.84188</v>
      </c>
      <c r="AL314"/>
      <c r="AM314">
        <v>10.71621</v>
      </c>
      <c r="AN314">
        <v>8.1217220000000001</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39.998309999999996</v>
      </c>
      <c r="M315">
        <v>21.226479999999999</v>
      </c>
      <c r="N315"/>
      <c r="O315"/>
      <c r="P315"/>
      <c r="Q315"/>
      <c r="R315">
        <v>19.39057</v>
      </c>
      <c r="S315">
        <v>22.145330000000001</v>
      </c>
      <c r="T315"/>
      <c r="U315">
        <v>23.557120000000001</v>
      </c>
      <c r="V315">
        <v>14.64594</v>
      </c>
      <c r="W315">
        <v>2.370406</v>
      </c>
      <c r="X315"/>
      <c r="Y315"/>
      <c r="Z315"/>
      <c r="AA315"/>
      <c r="AB315"/>
      <c r="AC315">
        <v>4.0535099999999998E-3</v>
      </c>
      <c r="AD315">
        <v>9.0211220000000001</v>
      </c>
      <c r="AE315">
        <v>51.780549999999998</v>
      </c>
      <c r="AF315"/>
      <c r="AG315"/>
      <c r="AH315">
        <v>27.469760000000001</v>
      </c>
      <c r="AI315"/>
      <c r="AJ315"/>
      <c r="AK315">
        <v>31.969609999999999</v>
      </c>
      <c r="AL315"/>
      <c r="AM315">
        <v>10.79748</v>
      </c>
      <c r="AN315">
        <v>8.1948319999999999</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40.20346</v>
      </c>
      <c r="M316">
        <v>21.416730000000001</v>
      </c>
      <c r="N316"/>
      <c r="O316"/>
      <c r="P316"/>
      <c r="Q316"/>
      <c r="R316">
        <v>19.63128</v>
      </c>
      <c r="S316">
        <v>22.327500000000001</v>
      </c>
      <c r="T316"/>
      <c r="U316">
        <v>23.691220000000001</v>
      </c>
      <c r="V316">
        <v>14.87252</v>
      </c>
      <c r="W316">
        <v>2.4862289999999998</v>
      </c>
      <c r="X316"/>
      <c r="Y316"/>
      <c r="Z316"/>
      <c r="AA316"/>
      <c r="AB316"/>
      <c r="AC316">
        <v>4.1526920000000004E-3</v>
      </c>
      <c r="AD316">
        <v>9.0134100000000004</v>
      </c>
      <c r="AE316">
        <v>51.96546</v>
      </c>
      <c r="AF316"/>
      <c r="AG316"/>
      <c r="AH316">
        <v>27.69286</v>
      </c>
      <c r="AI316"/>
      <c r="AJ316"/>
      <c r="AK316">
        <v>32.555259999999997</v>
      </c>
      <c r="AL316"/>
      <c r="AM316">
        <v>10.8759</v>
      </c>
      <c r="AN316">
        <v>8.2754449999999995</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40.496510000000001</v>
      </c>
      <c r="M317">
        <v>21.475359999999998</v>
      </c>
      <c r="N317"/>
      <c r="O317"/>
      <c r="P317"/>
      <c r="Q317"/>
      <c r="R317">
        <v>19.991150000000001</v>
      </c>
      <c r="S317">
        <v>22.540600000000001</v>
      </c>
      <c r="T317"/>
      <c r="U317">
        <v>23.993099999999998</v>
      </c>
      <c r="V317">
        <v>15.489000000000001</v>
      </c>
      <c r="W317">
        <v>2.49234</v>
      </c>
      <c r="X317"/>
      <c r="Y317"/>
      <c r="Z317"/>
      <c r="AA317"/>
      <c r="AB317"/>
      <c r="AC317">
        <v>4.2374939999999996E-3</v>
      </c>
      <c r="AD317">
        <v>9.1412510000000005</v>
      </c>
      <c r="AE317">
        <v>53.151519999999998</v>
      </c>
      <c r="AF317"/>
      <c r="AG317"/>
      <c r="AH317">
        <v>28.031130000000001</v>
      </c>
      <c r="AI317"/>
      <c r="AJ317"/>
      <c r="AK317">
        <v>32.99539</v>
      </c>
      <c r="AL317"/>
      <c r="AM317">
        <v>11.012230000000001</v>
      </c>
      <c r="AN317">
        <v>8.3863380000000003</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40.682639999999999</v>
      </c>
      <c r="M318">
        <v>21.752130000000001</v>
      </c>
      <c r="N318"/>
      <c r="O318"/>
      <c r="P318"/>
      <c r="Q318"/>
      <c r="R318">
        <v>20.217359999999999</v>
      </c>
      <c r="S318">
        <v>22.713049999999999</v>
      </c>
      <c r="T318"/>
      <c r="U318">
        <v>24.215859999999999</v>
      </c>
      <c r="V318">
        <v>16.29626</v>
      </c>
      <c r="W318">
        <v>2.489303</v>
      </c>
      <c r="X318"/>
      <c r="Y318"/>
      <c r="Z318"/>
      <c r="AA318"/>
      <c r="AB318"/>
      <c r="AC318">
        <v>4.2705620000000003E-3</v>
      </c>
      <c r="AD318">
        <v>9.2274650000000005</v>
      </c>
      <c r="AE318">
        <v>53.582790000000003</v>
      </c>
      <c r="AF318"/>
      <c r="AG318"/>
      <c r="AH318">
        <v>28.198119999999999</v>
      </c>
      <c r="AI318"/>
      <c r="AJ318"/>
      <c r="AK318">
        <v>33.139290000000003</v>
      </c>
      <c r="AL318"/>
      <c r="AM318">
        <v>11.11135</v>
      </c>
      <c r="AN318">
        <v>8.5000309999999999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40.90504</v>
      </c>
      <c r="M319">
        <v>21.88766</v>
      </c>
      <c r="N319"/>
      <c r="O319"/>
      <c r="P319"/>
      <c r="Q319"/>
      <c r="R319">
        <v>20.317270000000001</v>
      </c>
      <c r="S319">
        <v>22.889399999999998</v>
      </c>
      <c r="T319"/>
      <c r="U319">
        <v>24.353539999999999</v>
      </c>
      <c r="V319">
        <v>16.553940000000001</v>
      </c>
      <c r="W319">
        <v>2.5289540000000001</v>
      </c>
      <c r="X319"/>
      <c r="Y319"/>
      <c r="Z319"/>
      <c r="AA319"/>
      <c r="AB319"/>
      <c r="AC319">
        <v>4.3108080000000002E-3</v>
      </c>
      <c r="AD319">
        <v>9.3008310000000005</v>
      </c>
      <c r="AE319">
        <v>53.774349999999998</v>
      </c>
      <c r="AF319"/>
      <c r="AG319"/>
      <c r="AH319">
        <v>28.36178</v>
      </c>
      <c r="AI319"/>
      <c r="AJ319"/>
      <c r="AK319">
        <v>33.156019999999998</v>
      </c>
      <c r="AL319"/>
      <c r="AM319">
        <v>11.182079999999999</v>
      </c>
      <c r="AN319">
        <v>8.5742980000000006</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40.905189999999997</v>
      </c>
      <c r="M320">
        <v>21.950489999999999</v>
      </c>
      <c r="N320"/>
      <c r="O320"/>
      <c r="P320"/>
      <c r="Q320"/>
      <c r="R320">
        <v>20.666930000000001</v>
      </c>
      <c r="S320">
        <v>23.076789999999999</v>
      </c>
      <c r="T320"/>
      <c r="U320">
        <v>24.484970000000001</v>
      </c>
      <c r="V320">
        <v>16.746860000000002</v>
      </c>
      <c r="W320">
        <v>2.536178</v>
      </c>
      <c r="X320"/>
      <c r="Y320"/>
      <c r="Z320"/>
      <c r="AA320"/>
      <c r="AB320"/>
      <c r="AC320">
        <v>4.3568039999999997E-3</v>
      </c>
      <c r="AD320">
        <v>9.3374179999999996</v>
      </c>
      <c r="AE320">
        <v>53.986159999999998</v>
      </c>
      <c r="AF320"/>
      <c r="AG320"/>
      <c r="AH320">
        <v>28.557939999999999</v>
      </c>
      <c r="AI320"/>
      <c r="AJ320"/>
      <c r="AK320">
        <v>33.370780000000003</v>
      </c>
      <c r="AL320"/>
      <c r="AM320">
        <v>11.247730000000001</v>
      </c>
      <c r="AN320">
        <v>8.6234369999999991</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40.88646</v>
      </c>
      <c r="M321">
        <v>21.993310000000001</v>
      </c>
      <c r="N321"/>
      <c r="O321"/>
      <c r="P321"/>
      <c r="Q321"/>
      <c r="R321">
        <v>20.868210000000001</v>
      </c>
      <c r="S321">
        <v>23.221520000000002</v>
      </c>
      <c r="T321"/>
      <c r="U321">
        <v>24.560980000000001</v>
      </c>
      <c r="V321">
        <v>16.889810000000001</v>
      </c>
      <c r="W321">
        <v>2.4741740000000001</v>
      </c>
      <c r="X321"/>
      <c r="Y321"/>
      <c r="Z321"/>
      <c r="AA321"/>
      <c r="AB321"/>
      <c r="AC321">
        <v>4.3812419999999996E-3</v>
      </c>
      <c r="AD321">
        <v>9.3999469999999992</v>
      </c>
      <c r="AE321">
        <v>53.671469999999999</v>
      </c>
      <c r="AF321"/>
      <c r="AG321"/>
      <c r="AH321">
        <v>28.65521</v>
      </c>
      <c r="AI321"/>
      <c r="AJ321"/>
      <c r="AK321">
        <v>33.755980000000001</v>
      </c>
      <c r="AL321"/>
      <c r="AM321">
        <v>11.287050000000001</v>
      </c>
      <c r="AN321">
        <v>8.6583590000000008</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41.028190000000002</v>
      </c>
      <c r="M322">
        <v>22.184200000000001</v>
      </c>
      <c r="N322"/>
      <c r="O322"/>
      <c r="P322"/>
      <c r="Q322"/>
      <c r="R322">
        <v>21.135480000000001</v>
      </c>
      <c r="S322">
        <v>23.40493</v>
      </c>
      <c r="T322"/>
      <c r="U322">
        <v>24.769300000000001</v>
      </c>
      <c r="V322">
        <v>17.06221</v>
      </c>
      <c r="W322">
        <v>2.614331</v>
      </c>
      <c r="X322"/>
      <c r="Y322"/>
      <c r="Z322"/>
      <c r="AA322"/>
      <c r="AB322"/>
      <c r="AC322">
        <v>4.4617349999999997E-3</v>
      </c>
      <c r="AD322">
        <v>9.4678400000000007</v>
      </c>
      <c r="AE322">
        <v>54.680219999999998</v>
      </c>
      <c r="AF322"/>
      <c r="AG322"/>
      <c r="AH322">
        <v>28.809159999999999</v>
      </c>
      <c r="AI322"/>
      <c r="AJ322"/>
      <c r="AK322">
        <v>34.159730000000003</v>
      </c>
      <c r="AL322"/>
      <c r="AM322">
        <v>11.39425</v>
      </c>
      <c r="AN322">
        <v>8.7409029999999994</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41.059310000000004</v>
      </c>
      <c r="M323">
        <v>21.628019999999999</v>
      </c>
      <c r="N323"/>
      <c r="O323"/>
      <c r="P323"/>
      <c r="Q323"/>
      <c r="R323">
        <v>21.532579999999999</v>
      </c>
      <c r="S323">
        <v>23.587779999999999</v>
      </c>
      <c r="T323"/>
      <c r="U323">
        <v>24.94229</v>
      </c>
      <c r="V323">
        <v>17.339040000000001</v>
      </c>
      <c r="W323">
        <v>2.6681859999999999</v>
      </c>
      <c r="X323"/>
      <c r="Y323"/>
      <c r="Z323"/>
      <c r="AA323"/>
      <c r="AB323"/>
      <c r="AC323">
        <v>4.7161529999999998E-3</v>
      </c>
      <c r="AD323">
        <v>9.5777009999999994</v>
      </c>
      <c r="AE323">
        <v>55.148060000000001</v>
      </c>
      <c r="AF323"/>
      <c r="AG323"/>
      <c r="AH323">
        <v>29.240680000000001</v>
      </c>
      <c r="AI323"/>
      <c r="AJ323"/>
      <c r="AK323">
        <v>34.431139999999999</v>
      </c>
      <c r="AL323"/>
      <c r="AM323">
        <v>11.49039</v>
      </c>
      <c r="AN323">
        <v>8.813618</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41.233490000000003</v>
      </c>
      <c r="M324">
        <v>22.013860000000001</v>
      </c>
      <c r="N324"/>
      <c r="O324"/>
      <c r="P324"/>
      <c r="Q324"/>
      <c r="R324">
        <v>21.75141</v>
      </c>
      <c r="S324">
        <v>23.7517</v>
      </c>
      <c r="T324"/>
      <c r="U324">
        <v>25.116779999999999</v>
      </c>
      <c r="V324">
        <v>17.50001</v>
      </c>
      <c r="W324">
        <v>2.702725</v>
      </c>
      <c r="X324"/>
      <c r="Y324"/>
      <c r="Z324"/>
      <c r="AA324">
        <v>13.7499</v>
      </c>
      <c r="AB324"/>
      <c r="AC324">
        <v>4.861331E-3</v>
      </c>
      <c r="AD324">
        <v>9.6970209999999994</v>
      </c>
      <c r="AE324">
        <v>55.288049999999998</v>
      </c>
      <c r="AF324"/>
      <c r="AG324"/>
      <c r="AH324">
        <v>29.43826</v>
      </c>
      <c r="AI324"/>
      <c r="AJ324"/>
      <c r="AK324">
        <v>34.503869999999999</v>
      </c>
      <c r="AL324"/>
      <c r="AM324">
        <v>11.56842</v>
      </c>
      <c r="AN324">
        <v>8.8812270000000009</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41.34543</v>
      </c>
      <c r="M325">
        <v>22.03876</v>
      </c>
      <c r="N325"/>
      <c r="O325"/>
      <c r="P325"/>
      <c r="Q325"/>
      <c r="R325">
        <v>21.893219999999999</v>
      </c>
      <c r="S325">
        <v>23.854299999999999</v>
      </c>
      <c r="T325"/>
      <c r="U325">
        <v>25.212060000000001</v>
      </c>
      <c r="V325">
        <v>17.60718</v>
      </c>
      <c r="W325">
        <v>2.733171</v>
      </c>
      <c r="X325"/>
      <c r="Y325"/>
      <c r="Z325"/>
      <c r="AA325">
        <v>13.7499</v>
      </c>
      <c r="AB325"/>
      <c r="AC325">
        <v>5.1373169999999998E-3</v>
      </c>
      <c r="AD325">
        <v>9.7480340000000005</v>
      </c>
      <c r="AE325">
        <v>55.418750000000003</v>
      </c>
      <c r="AF325"/>
      <c r="AG325"/>
      <c r="AH325">
        <v>29.614100000000001</v>
      </c>
      <c r="AI325"/>
      <c r="AJ325"/>
      <c r="AK325">
        <v>34.56326</v>
      </c>
      <c r="AL325"/>
      <c r="AM325">
        <v>11.628970000000001</v>
      </c>
      <c r="AN325">
        <v>8.9441799999999994</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41.647179999999999</v>
      </c>
      <c r="M326">
        <v>22.12425</v>
      </c>
      <c r="N326"/>
      <c r="O326">
        <v>8.5252990000000004</v>
      </c>
      <c r="P326"/>
      <c r="Q326"/>
      <c r="R326">
        <v>22.55958</v>
      </c>
      <c r="S326">
        <v>24.155899999999999</v>
      </c>
      <c r="T326"/>
      <c r="U326">
        <v>25.419650000000001</v>
      </c>
      <c r="V326">
        <v>17.761690000000002</v>
      </c>
      <c r="W326">
        <v>2.7198020000000001</v>
      </c>
      <c r="X326"/>
      <c r="Y326"/>
      <c r="Z326"/>
      <c r="AA326">
        <v>14.8248</v>
      </c>
      <c r="AB326"/>
      <c r="AC326">
        <v>5.0079479999999999E-3</v>
      </c>
      <c r="AD326">
        <v>9.9501830000000009</v>
      </c>
      <c r="AE326">
        <v>56.391939999999998</v>
      </c>
      <c r="AF326"/>
      <c r="AG326"/>
      <c r="AH326">
        <v>30.046140000000001</v>
      </c>
      <c r="AI326"/>
      <c r="AJ326"/>
      <c r="AK326">
        <v>34.836599999999997</v>
      </c>
      <c r="AL326"/>
      <c r="AM326">
        <v>11.731579999999999</v>
      </c>
      <c r="AN326">
        <v>9.0269910000000007</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41.883299999999998</v>
      </c>
      <c r="M327">
        <v>22.23518</v>
      </c>
      <c r="N327"/>
      <c r="O327">
        <v>8.6446050000000003</v>
      </c>
      <c r="P327"/>
      <c r="Q327"/>
      <c r="R327">
        <v>22.890329999999999</v>
      </c>
      <c r="S327">
        <v>24.262799999999999</v>
      </c>
      <c r="T327"/>
      <c r="U327">
        <v>25.605869999999999</v>
      </c>
      <c r="V327">
        <v>17.9801</v>
      </c>
      <c r="W327">
        <v>2.6908940000000001</v>
      </c>
      <c r="X327"/>
      <c r="Y327"/>
      <c r="Z327"/>
      <c r="AA327">
        <v>14.8248</v>
      </c>
      <c r="AB327"/>
      <c r="AC327">
        <v>5.0410150000000003E-3</v>
      </c>
      <c r="AD327">
        <v>10.174340000000001</v>
      </c>
      <c r="AE327">
        <v>56.70111</v>
      </c>
      <c r="AF327"/>
      <c r="AG327"/>
      <c r="AH327">
        <v>30.2209</v>
      </c>
      <c r="AI327"/>
      <c r="AJ327"/>
      <c r="AK327">
        <v>35.047739999999997</v>
      </c>
      <c r="AL327"/>
      <c r="AM327">
        <v>11.818250000000001</v>
      </c>
      <c r="AN327">
        <v>9.10459</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42.04701</v>
      </c>
      <c r="M328">
        <v>23.16133</v>
      </c>
      <c r="N328"/>
      <c r="O328">
        <v>8.8544699999999992</v>
      </c>
      <c r="P328"/>
      <c r="Q328"/>
      <c r="R328">
        <v>23.004280000000001</v>
      </c>
      <c r="S328">
        <v>24.402979999999999</v>
      </c>
      <c r="T328"/>
      <c r="U328">
        <v>25.777339999999999</v>
      </c>
      <c r="V328">
        <v>18.073910000000001</v>
      </c>
      <c r="W328">
        <v>2.8142689999999999</v>
      </c>
      <c r="X328"/>
      <c r="Y328"/>
      <c r="Z328"/>
      <c r="AA328">
        <v>14.8248</v>
      </c>
      <c r="AB328"/>
      <c r="AC328">
        <v>5.1531260000000001E-3</v>
      </c>
      <c r="AD328">
        <v>10.3269</v>
      </c>
      <c r="AE328">
        <v>56.959229999999998</v>
      </c>
      <c r="AF328"/>
      <c r="AG328"/>
      <c r="AH328">
        <v>30.302160000000001</v>
      </c>
      <c r="AI328"/>
      <c r="AJ328"/>
      <c r="AK328">
        <v>35.228589999999997</v>
      </c>
      <c r="AL328"/>
      <c r="AM328">
        <v>11.91269</v>
      </c>
      <c r="AN328">
        <v>9.1915929999999992</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42.191839999999999</v>
      </c>
      <c r="M329">
        <v>23.248419999999999</v>
      </c>
      <c r="N329"/>
      <c r="O329">
        <v>9.1045429999999996</v>
      </c>
      <c r="P329"/>
      <c r="Q329"/>
      <c r="R329">
        <v>23.134689999999999</v>
      </c>
      <c r="S329">
        <v>24.62819</v>
      </c>
      <c r="T329"/>
      <c r="U329">
        <v>26.033359999999998</v>
      </c>
      <c r="V329">
        <v>18.413640000000001</v>
      </c>
      <c r="W329">
        <v>2.8201830000000001</v>
      </c>
      <c r="X329"/>
      <c r="Y329"/>
      <c r="Z329"/>
      <c r="AA329">
        <v>15.708159999999999</v>
      </c>
      <c r="AB329"/>
      <c r="AC329">
        <v>5.4909269999999996E-3</v>
      </c>
      <c r="AD329">
        <v>10.52971</v>
      </c>
      <c r="AE329">
        <v>58.330620000000003</v>
      </c>
      <c r="AF329"/>
      <c r="AG329"/>
      <c r="AH329">
        <v>30.750080000000001</v>
      </c>
      <c r="AI329"/>
      <c r="AJ329"/>
      <c r="AK329">
        <v>36.089950000000002</v>
      </c>
      <c r="AL329"/>
      <c r="AM329">
        <v>12.029960000000001</v>
      </c>
      <c r="AN329">
        <v>9.281345</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42.267650000000003</v>
      </c>
      <c r="M330">
        <v>23.511489999999998</v>
      </c>
      <c r="N330"/>
      <c r="O330">
        <v>9.6804889999999997</v>
      </c>
      <c r="P330"/>
      <c r="Q330"/>
      <c r="R330">
        <v>23.119610000000002</v>
      </c>
      <c r="S330">
        <v>24.782820000000001</v>
      </c>
      <c r="T330"/>
      <c r="U330">
        <v>26.21284</v>
      </c>
      <c r="V330">
        <v>18.59864</v>
      </c>
      <c r="W330">
        <v>2.8425349999999998</v>
      </c>
      <c r="X330"/>
      <c r="Y330"/>
      <c r="Z330"/>
      <c r="AA330">
        <v>15.708159999999999</v>
      </c>
      <c r="AB330"/>
      <c r="AC330">
        <v>5.6087860000000002E-3</v>
      </c>
      <c r="AD330">
        <v>10.758179999999999</v>
      </c>
      <c r="AE330">
        <v>58.76728</v>
      </c>
      <c r="AF330"/>
      <c r="AG330"/>
      <c r="AH330">
        <v>30.978280000000002</v>
      </c>
      <c r="AI330"/>
      <c r="AJ330"/>
      <c r="AK330">
        <v>36.238259999999997</v>
      </c>
      <c r="AL330"/>
      <c r="AM330">
        <v>12.125439999999999</v>
      </c>
      <c r="AN330">
        <v>9.382612</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42.336669999999998</v>
      </c>
      <c r="M331">
        <v>23.534680000000002</v>
      </c>
      <c r="N331"/>
      <c r="O331">
        <v>9.6146700000000003</v>
      </c>
      <c r="P331"/>
      <c r="Q331"/>
      <c r="R331">
        <v>23.184760000000001</v>
      </c>
      <c r="S331">
        <v>24.877870000000001</v>
      </c>
      <c r="T331"/>
      <c r="U331">
        <v>26.31681</v>
      </c>
      <c r="V331">
        <v>18.70852</v>
      </c>
      <c r="W331">
        <v>2.8903110000000001</v>
      </c>
      <c r="X331"/>
      <c r="Y331"/>
      <c r="Z331"/>
      <c r="AA331">
        <v>15.708159999999999</v>
      </c>
      <c r="AB331"/>
      <c r="AC331">
        <v>5.6950389999999998E-3</v>
      </c>
      <c r="AD331">
        <v>10.81775</v>
      </c>
      <c r="AE331">
        <v>59.054250000000003</v>
      </c>
      <c r="AF331"/>
      <c r="AG331"/>
      <c r="AH331">
        <v>31.055890000000002</v>
      </c>
      <c r="AI331"/>
      <c r="AJ331"/>
      <c r="AK331">
        <v>36.232570000000003</v>
      </c>
      <c r="AL331"/>
      <c r="AM331">
        <v>12.194599999999999</v>
      </c>
      <c r="AN331">
        <v>9.4581479999999996</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42.347149999999999</v>
      </c>
      <c r="M332">
        <v>23.537849999999999</v>
      </c>
      <c r="N332"/>
      <c r="O332">
        <v>9.6834849999999992</v>
      </c>
      <c r="P332"/>
      <c r="Q332"/>
      <c r="R332">
        <v>23.494779999999999</v>
      </c>
      <c r="S332">
        <v>25.155629999999999</v>
      </c>
      <c r="T332"/>
      <c r="U332">
        <v>26.477720000000001</v>
      </c>
      <c r="V332">
        <v>18.859059999999999</v>
      </c>
      <c r="W332">
        <v>2.851261</v>
      </c>
      <c r="X332"/>
      <c r="Y332"/>
      <c r="Z332"/>
      <c r="AA332">
        <v>16.04036</v>
      </c>
      <c r="AB332"/>
      <c r="AC332">
        <v>6.0141409999999998E-3</v>
      </c>
      <c r="AD332">
        <v>10.882400000000001</v>
      </c>
      <c r="AE332">
        <v>59.290950000000002</v>
      </c>
      <c r="AF332"/>
      <c r="AG332"/>
      <c r="AH332">
        <v>31.28049</v>
      </c>
      <c r="AI332"/>
      <c r="AJ332"/>
      <c r="AK332">
        <v>36.049979999999998</v>
      </c>
      <c r="AL332"/>
      <c r="AM332">
        <v>12.282500000000001</v>
      </c>
      <c r="AN332">
        <v>9.5229210000000002</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42.445369999999997</v>
      </c>
      <c r="M333">
        <v>23.644490000000001</v>
      </c>
      <c r="N333"/>
      <c r="O333">
        <v>9.7673430000000003</v>
      </c>
      <c r="P333"/>
      <c r="Q333"/>
      <c r="R333">
        <v>23.695419999999999</v>
      </c>
      <c r="S333">
        <v>25.312999999999999</v>
      </c>
      <c r="T333"/>
      <c r="U333">
        <v>26.585789999999999</v>
      </c>
      <c r="V333">
        <v>19.04148</v>
      </c>
      <c r="W333">
        <v>2.8024</v>
      </c>
      <c r="X333"/>
      <c r="Y333"/>
      <c r="Z333"/>
      <c r="AA333">
        <v>16.04036</v>
      </c>
      <c r="AB333"/>
      <c r="AC333">
        <v>6.0701970000000003E-3</v>
      </c>
      <c r="AD333">
        <v>11.00733</v>
      </c>
      <c r="AE333">
        <v>58.900410000000001</v>
      </c>
      <c r="AF333"/>
      <c r="AG333"/>
      <c r="AH333">
        <v>31.519919999999999</v>
      </c>
      <c r="AI333"/>
      <c r="AJ333"/>
      <c r="AK333">
        <v>36.284179999999999</v>
      </c>
      <c r="AL333"/>
      <c r="AM333">
        <v>12.340529999999999</v>
      </c>
      <c r="AN333">
        <v>9.5863969999999998</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42.555840000000003</v>
      </c>
      <c r="M334">
        <v>24.180319999999998</v>
      </c>
      <c r="N334"/>
      <c r="O334">
        <v>9.9573140000000002</v>
      </c>
      <c r="P334"/>
      <c r="Q334"/>
      <c r="R334">
        <v>23.888629999999999</v>
      </c>
      <c r="S334">
        <v>25.561119999999999</v>
      </c>
      <c r="T334"/>
      <c r="U334">
        <v>26.822189999999999</v>
      </c>
      <c r="V334">
        <v>19.198799999999999</v>
      </c>
      <c r="W334">
        <v>2.9319160000000002</v>
      </c>
      <c r="X334"/>
      <c r="Y334"/>
      <c r="Z334"/>
      <c r="AA334">
        <v>16.04036</v>
      </c>
      <c r="AB334"/>
      <c r="AC334">
        <v>6.1923860000000002E-3</v>
      </c>
      <c r="AD334">
        <v>11.170389999999999</v>
      </c>
      <c r="AE334">
        <v>60.024909999999998</v>
      </c>
      <c r="AF334"/>
      <c r="AG334"/>
      <c r="AH334">
        <v>31.565670000000001</v>
      </c>
      <c r="AI334"/>
      <c r="AJ334"/>
      <c r="AK334">
        <v>36.669199999999996</v>
      </c>
      <c r="AL334"/>
      <c r="AM334">
        <v>12.4716</v>
      </c>
      <c r="AN334">
        <v>9.6855840000000004</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42.640349999999998</v>
      </c>
      <c r="M335">
        <v>24.409210000000002</v>
      </c>
      <c r="N335"/>
      <c r="O335">
        <v>10.13335</v>
      </c>
      <c r="P335"/>
      <c r="Q335"/>
      <c r="R335">
        <v>24.209689999999998</v>
      </c>
      <c r="S335">
        <v>25.790489999999998</v>
      </c>
      <c r="T335"/>
      <c r="U335">
        <v>27.006360000000001</v>
      </c>
      <c r="V335">
        <v>19.492660000000001</v>
      </c>
      <c r="W335">
        <v>2.9632529999999999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12.60572</v>
      </c>
      <c r="AN335">
        <v>9.7891250000000003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42.785029999999999</v>
      </c>
      <c r="M336">
        <v>24.732520000000001</v>
      </c>
      <c r="N336"/>
      <c r="O336">
        <v>10.406330000000001</v>
      </c>
      <c r="P336"/>
      <c r="Q336"/>
      <c r="R336">
        <v>24.353860000000001</v>
      </c>
      <c r="S336">
        <v>25.90268</v>
      </c>
      <c r="T336"/>
      <c r="U336">
        <v>27.18845</v>
      </c>
      <c r="V336">
        <v>19.677700000000002</v>
      </c>
      <c r="W336">
        <v>3.000731</v>
      </c>
      <c r="X336"/>
      <c r="Y336"/>
      <c r="Z336"/>
      <c r="AA336">
        <v>16.629370000000002</v>
      </c>
      <c r="AB336"/>
      <c r="AC336">
        <v>6.6207289999999997E-3</v>
      </c>
      <c r="AD336">
        <v>11.60929</v>
      </c>
      <c r="AE336">
        <v>60.701169999999998</v>
      </c>
      <c r="AF336"/>
      <c r="AG336"/>
      <c r="AH336">
        <v>32.062539999999998</v>
      </c>
      <c r="AI336"/>
      <c r="AJ336"/>
      <c r="AK336">
        <v>37.268709999999999</v>
      </c>
      <c r="AL336"/>
      <c r="AM336">
        <v>12.719950000000001</v>
      </c>
      <c r="AN336">
        <v>9.8838150000000002</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42.855670000000003</v>
      </c>
      <c r="M337">
        <v>24.78144</v>
      </c>
      <c r="N337"/>
      <c r="O337">
        <v>10.48188</v>
      </c>
      <c r="P337"/>
      <c r="Q337"/>
      <c r="R337">
        <v>24.429459999999999</v>
      </c>
      <c r="S337">
        <v>25.986969999999999</v>
      </c>
      <c r="T337"/>
      <c r="U337">
        <v>27.274730000000002</v>
      </c>
      <c r="V337">
        <v>19.920480000000001</v>
      </c>
      <c r="W337">
        <v>3.0491790000000001</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12.78758</v>
      </c>
      <c r="AN337">
        <v>9.9447419999999997</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43.281460000000003</v>
      </c>
      <c r="M338">
        <v>24.7621</v>
      </c>
      <c r="N338"/>
      <c r="O338">
        <v>10.83334</v>
      </c>
      <c r="P338"/>
      <c r="Q338"/>
      <c r="R338">
        <v>24.849170000000001</v>
      </c>
      <c r="S338">
        <v>26.042349999999999</v>
      </c>
      <c r="T338"/>
      <c r="U338">
        <v>27.48875</v>
      </c>
      <c r="V338">
        <v>20.4331</v>
      </c>
      <c r="W338">
        <v>3.0326740000000001</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12.907170000000001</v>
      </c>
      <c r="AN338">
        <v>10.074450000000001</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43.459029999999998</v>
      </c>
      <c r="M339">
        <v>24.788060000000002</v>
      </c>
      <c r="N339"/>
      <c r="O339">
        <v>11.05988</v>
      </c>
      <c r="P339"/>
      <c r="Q339"/>
      <c r="R339">
        <v>25.036770000000001</v>
      </c>
      <c r="S339">
        <v>26.177669999999999</v>
      </c>
      <c r="T339"/>
      <c r="U339">
        <v>27.669609999999999</v>
      </c>
      <c r="V339">
        <v>20.69914</v>
      </c>
      <c r="W339">
        <v>3.0109759999999999</v>
      </c>
      <c r="X339"/>
      <c r="Y339"/>
      <c r="Z339"/>
      <c r="AA339">
        <v>17.200959999999998</v>
      </c>
      <c r="AB339"/>
      <c r="AC339">
        <v>6.8255310000000001E-3</v>
      </c>
      <c r="AD339">
        <v>12.077260000000001</v>
      </c>
      <c r="AE339">
        <v>61.90625</v>
      </c>
      <c r="AF339"/>
      <c r="AG339"/>
      <c r="AH339">
        <v>32.708950000000002</v>
      </c>
      <c r="AI339"/>
      <c r="AJ339"/>
      <c r="AK339">
        <v>37.561360000000001</v>
      </c>
      <c r="AL339"/>
      <c r="AM339">
        <v>13.010289999999999</v>
      </c>
      <c r="AN339">
        <v>10.177759999999999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43.552100000000003</v>
      </c>
      <c r="M340">
        <v>25.197469999999999</v>
      </c>
      <c r="N340"/>
      <c r="O340">
        <v>11.341480000000001</v>
      </c>
      <c r="P340"/>
      <c r="Q340"/>
      <c r="R340">
        <v>25.233239999999999</v>
      </c>
      <c r="S340">
        <v>26.402460000000001</v>
      </c>
      <c r="T340"/>
      <c r="U340">
        <v>27.8566</v>
      </c>
      <c r="V340">
        <v>20.92417</v>
      </c>
      <c r="W340">
        <v>3.0873059999999999</v>
      </c>
      <c r="X340"/>
      <c r="Y340"/>
      <c r="Z340"/>
      <c r="AA340">
        <v>17.200959999999998</v>
      </c>
      <c r="AB340"/>
      <c r="AC340">
        <v>6.901435E-3</v>
      </c>
      <c r="AD340">
        <v>12.237130000000001</v>
      </c>
      <c r="AE340">
        <v>62.063569999999999</v>
      </c>
      <c r="AF340"/>
      <c r="AG340"/>
      <c r="AH340">
        <v>32.85716</v>
      </c>
      <c r="AI340"/>
      <c r="AJ340"/>
      <c r="AK340">
        <v>37.770560000000003</v>
      </c>
      <c r="AL340"/>
      <c r="AM340">
        <v>13.11955</v>
      </c>
      <c r="AN340">
        <v>10.283390000000001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43.715800000000002</v>
      </c>
      <c r="M341">
        <v>25.453479999999999</v>
      </c>
      <c r="N341"/>
      <c r="O341">
        <v>11.61843</v>
      </c>
      <c r="P341"/>
      <c r="Q341"/>
      <c r="R341">
        <v>25.409849999999999</v>
      </c>
      <c r="S341">
        <v>26.71771</v>
      </c>
      <c r="T341"/>
      <c r="U341">
        <v>28.144469999999998</v>
      </c>
      <c r="V341">
        <v>21.478929999999998</v>
      </c>
      <c r="W341">
        <v>3.1543619999999999</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13.269690000000001</v>
      </c>
      <c r="AN341">
        <v>10.421900000000001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43.85886</v>
      </c>
      <c r="M342">
        <v>25.81157</v>
      </c>
      <c r="N342"/>
      <c r="O342">
        <v>11.766299999999999</v>
      </c>
      <c r="P342"/>
      <c r="Q342"/>
      <c r="R342">
        <v>25.766020000000001</v>
      </c>
      <c r="S342">
        <v>26.948460000000001</v>
      </c>
      <c r="T342"/>
      <c r="U342">
        <v>28.337050000000001</v>
      </c>
      <c r="V342">
        <v>21.601510000000001</v>
      </c>
      <c r="W342">
        <v>3.2032080000000001</v>
      </c>
      <c r="X342"/>
      <c r="Y342"/>
      <c r="Z342"/>
      <c r="AA342">
        <v>17.763259999999999</v>
      </c>
      <c r="AB342"/>
      <c r="AC342">
        <v>7.2867920000000003E-3</v>
      </c>
      <c r="AD342">
        <v>12.56199</v>
      </c>
      <c r="AE342">
        <v>64.048940000000002</v>
      </c>
      <c r="AF342"/>
      <c r="AG342"/>
      <c r="AH342">
        <v>33.320869999999999</v>
      </c>
      <c r="AI342"/>
      <c r="AJ342"/>
      <c r="AK342">
        <v>38.670009999999998</v>
      </c>
      <c r="AL342"/>
      <c r="AM342">
        <v>13.36177</v>
      </c>
      <c r="AN342">
        <v>10.49817</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44.05885</v>
      </c>
      <c r="M343">
        <v>25.923390000000001</v>
      </c>
      <c r="N343"/>
      <c r="O343">
        <v>12.028420000000001</v>
      </c>
      <c r="P343"/>
      <c r="Q343"/>
      <c r="R343">
        <v>25.831219999999998</v>
      </c>
      <c r="S343">
        <v>27.142600000000002</v>
      </c>
      <c r="T343"/>
      <c r="U343">
        <v>28.494009999999999</v>
      </c>
      <c r="V343">
        <v>21.75365</v>
      </c>
      <c r="W343">
        <v>3.2152370000000001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13.450989999999999</v>
      </c>
      <c r="AN343">
        <v>10.579499999999999</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44.010629999999999</v>
      </c>
      <c r="M344">
        <v>26.055689999999998</v>
      </c>
      <c r="N344"/>
      <c r="O344">
        <v>12.2325</v>
      </c>
      <c r="P344"/>
      <c r="Q344"/>
      <c r="R344">
        <v>25.993490000000001</v>
      </c>
      <c r="S344">
        <v>27.388110000000001</v>
      </c>
      <c r="T344"/>
      <c r="U344">
        <v>28.589089999999999</v>
      </c>
      <c r="V344">
        <v>21.839359999999999</v>
      </c>
      <c r="W344">
        <v>3.2228659999999998</v>
      </c>
      <c r="X344"/>
      <c r="Y344"/>
      <c r="Z344"/>
      <c r="AA344">
        <v>17.866720000000001</v>
      </c>
      <c r="AB344"/>
      <c r="AC344">
        <v>7.5086720000000001E-3</v>
      </c>
      <c r="AD344">
        <v>12.70623</v>
      </c>
      <c r="AE344">
        <v>64.14716</v>
      </c>
      <c r="AF344"/>
      <c r="AG344"/>
      <c r="AH344">
        <v>33.65616</v>
      </c>
      <c r="AI344"/>
      <c r="AJ344"/>
      <c r="AK344">
        <v>38.46199</v>
      </c>
      <c r="AL344"/>
      <c r="AM344">
        <v>13.52139</v>
      </c>
      <c r="AN344">
        <v>10.643879999999999</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44.03998</v>
      </c>
      <c r="M345">
        <v>26.241050000000001</v>
      </c>
      <c r="N345"/>
      <c r="O345">
        <v>12.366619999999999</v>
      </c>
      <c r="P345"/>
      <c r="Q345"/>
      <c r="R345">
        <v>26.467610000000001</v>
      </c>
      <c r="S345">
        <v>27.560009999999998</v>
      </c>
      <c r="T345"/>
      <c r="U345">
        <v>28.706489999999999</v>
      </c>
      <c r="V345">
        <v>22.11655</v>
      </c>
      <c r="W345">
        <v>3.1678380000000002</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13.58742</v>
      </c>
      <c r="AN345">
        <v>10.7034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44.131419999999999</v>
      </c>
      <c r="M346">
        <v>26.472650000000002</v>
      </c>
      <c r="N346"/>
      <c r="O346">
        <v>12.62293</v>
      </c>
      <c r="P346"/>
      <c r="Q346"/>
      <c r="R346">
        <v>26.585560000000001</v>
      </c>
      <c r="S346">
        <v>27.757269999999998</v>
      </c>
      <c r="T346"/>
      <c r="U346">
        <v>28.916139999999999</v>
      </c>
      <c r="V346">
        <v>22.27253</v>
      </c>
      <c r="W346">
        <v>3.2503489999999999</v>
      </c>
      <c r="X346"/>
      <c r="Y346"/>
      <c r="Z346"/>
      <c r="AA346">
        <v>17.866720000000001</v>
      </c>
      <c r="AB346"/>
      <c r="AC346">
        <v>8.0341579999999996E-3</v>
      </c>
      <c r="AD346">
        <v>12.96626</v>
      </c>
      <c r="AE346">
        <v>64.745549999999994</v>
      </c>
      <c r="AF346"/>
      <c r="AG346"/>
      <c r="AH346">
        <v>33.564810000000001</v>
      </c>
      <c r="AI346"/>
      <c r="AJ346"/>
      <c r="AK346">
        <v>39.034109999999998</v>
      </c>
      <c r="AL346"/>
      <c r="AM346">
        <v>13.704829999999999</v>
      </c>
      <c r="AN346">
        <v>10.80674</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44.150449999999999</v>
      </c>
      <c r="M347">
        <v>26.66366</v>
      </c>
      <c r="N347"/>
      <c r="O347">
        <v>12.891730000000001</v>
      </c>
      <c r="P347"/>
      <c r="Q347"/>
      <c r="R347">
        <v>26.65644</v>
      </c>
      <c r="S347">
        <v>27.998830000000002</v>
      </c>
      <c r="T347"/>
      <c r="U347">
        <v>29.06373</v>
      </c>
      <c r="V347">
        <v>22.389109999999999</v>
      </c>
      <c r="W347">
        <v>3.3428490000000002</v>
      </c>
      <c r="X347"/>
      <c r="Y347"/>
      <c r="Z347"/>
      <c r="AA347">
        <v>18.34422</v>
      </c>
      <c r="AB347"/>
      <c r="AC347">
        <v>8.3377710000000008E-3</v>
      </c>
      <c r="AD347">
        <v>13.161659999999999</v>
      </c>
      <c r="AE347">
        <v>65.206379999999996</v>
      </c>
      <c r="AF347"/>
      <c r="AG347"/>
      <c r="AH347">
        <v>33.734279999999998</v>
      </c>
      <c r="AI347"/>
      <c r="AJ347"/>
      <c r="AK347">
        <v>39.280740000000002</v>
      </c>
      <c r="AL347"/>
      <c r="AM347">
        <v>13.82273</v>
      </c>
      <c r="AN347">
        <v>10.947380000000001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44.234960000000001</v>
      </c>
      <c r="M348">
        <v>27.699120000000001</v>
      </c>
      <c r="N348"/>
      <c r="O348">
        <v>13.14382</v>
      </c>
      <c r="P348"/>
      <c r="Q348"/>
      <c r="R348">
        <v>26.756219999999999</v>
      </c>
      <c r="S348">
        <v>28.12426</v>
      </c>
      <c r="T348"/>
      <c r="U348">
        <v>29.183679999999999</v>
      </c>
      <c r="V348">
        <v>22.543569999999999</v>
      </c>
      <c r="W348">
        <v>3.3669069999999999</v>
      </c>
      <c r="X348"/>
      <c r="Y348"/>
      <c r="Z348"/>
      <c r="AA348">
        <v>18.34422</v>
      </c>
      <c r="AB348"/>
      <c r="AC348">
        <v>9.2953289999999997E-3</v>
      </c>
      <c r="AD348">
        <v>13.31049</v>
      </c>
      <c r="AE348">
        <v>64.980350000000001</v>
      </c>
      <c r="AF348"/>
      <c r="AG348"/>
      <c r="AH348">
        <v>33.942610000000002</v>
      </c>
      <c r="AI348"/>
      <c r="AJ348"/>
      <c r="AK348">
        <v>39.327910000000003</v>
      </c>
      <c r="AL348"/>
      <c r="AM348">
        <v>13.919779999999999</v>
      </c>
      <c r="AN348">
        <v>11.070320000000001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44.352209999999999</v>
      </c>
      <c r="M349">
        <v>27.72711</v>
      </c>
      <c r="N349"/>
      <c r="O349">
        <v>13.28537</v>
      </c>
      <c r="P349"/>
      <c r="Q349"/>
      <c r="R349">
        <v>26.870750000000001</v>
      </c>
      <c r="S349">
        <v>28.21021</v>
      </c>
      <c r="T349"/>
      <c r="U349">
        <v>29.299379999999999</v>
      </c>
      <c r="V349">
        <v>22.66639</v>
      </c>
      <c r="W349">
        <v>3.3899140000000001</v>
      </c>
      <c r="X349"/>
      <c r="Y349"/>
      <c r="Z349"/>
      <c r="AA349">
        <v>18.34422</v>
      </c>
      <c r="AB349"/>
      <c r="AC349">
        <v>9.5230490000000004E-3</v>
      </c>
      <c r="AD349">
        <v>13.367509999999999</v>
      </c>
      <c r="AE349">
        <v>65.066289999999995</v>
      </c>
      <c r="AF349"/>
      <c r="AG349"/>
      <c r="AH349">
        <v>33.866230000000002</v>
      </c>
      <c r="AI349"/>
      <c r="AJ349"/>
      <c r="AK349">
        <v>39.327910000000003</v>
      </c>
      <c r="AL349"/>
      <c r="AM349">
        <v>14.005850000000001</v>
      </c>
      <c r="AN349">
        <v>11.15936</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44.717829999999999</v>
      </c>
      <c r="M350">
        <v>27.865030000000001</v>
      </c>
      <c r="N350"/>
      <c r="O350">
        <v>13.505000000000001</v>
      </c>
      <c r="P350"/>
      <c r="Q350"/>
      <c r="R350">
        <v>27.034669999999998</v>
      </c>
      <c r="S350">
        <v>28.355409999999999</v>
      </c>
      <c r="T350"/>
      <c r="U350">
        <v>29.447710000000001</v>
      </c>
      <c r="V350">
        <v>22.81889</v>
      </c>
      <c r="W350">
        <v>3.4346000000000001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14.12079</v>
      </c>
      <c r="AN350">
        <v>11.27539</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44.82638</v>
      </c>
      <c r="M351">
        <v>28.02469</v>
      </c>
      <c r="N351"/>
      <c r="O351">
        <v>13.69228</v>
      </c>
      <c r="P351"/>
      <c r="Q351"/>
      <c r="R351">
        <v>27.476489999999998</v>
      </c>
      <c r="S351">
        <v>28.570789999999999</v>
      </c>
      <c r="T351"/>
      <c r="U351">
        <v>29.59029</v>
      </c>
      <c r="V351">
        <v>22.958300000000001</v>
      </c>
      <c r="W351">
        <v>3.36165</v>
      </c>
      <c r="X351"/>
      <c r="Y351"/>
      <c r="Z351"/>
      <c r="AA351">
        <v>18.615259999999999</v>
      </c>
      <c r="AB351"/>
      <c r="AC351">
        <v>9.9084050000000003E-3</v>
      </c>
      <c r="AD351">
        <v>13.63137</v>
      </c>
      <c r="AE351">
        <v>65.466059999999999</v>
      </c>
      <c r="AF351"/>
      <c r="AG351"/>
      <c r="AH351">
        <v>34.089230000000001</v>
      </c>
      <c r="AI351"/>
      <c r="AJ351"/>
      <c r="AK351">
        <v>39.445680000000003</v>
      </c>
      <c r="AL351"/>
      <c r="AM351">
        <v>14.214219999999999</v>
      </c>
      <c r="AN351">
        <v>11.371600000000001</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44.940240000000003</v>
      </c>
      <c r="M352">
        <v>28.230779999999999</v>
      </c>
      <c r="N352"/>
      <c r="O352">
        <v>13.96363</v>
      </c>
      <c r="P352"/>
      <c r="Q352"/>
      <c r="R352">
        <v>27.52778</v>
      </c>
      <c r="S352">
        <v>28.842300000000002</v>
      </c>
      <c r="T352"/>
      <c r="U352">
        <v>29.808589999999999</v>
      </c>
      <c r="V352">
        <v>23.12321</v>
      </c>
      <c r="W352">
        <v>3.479997</v>
      </c>
      <c r="X352"/>
      <c r="Y352"/>
      <c r="Z352"/>
      <c r="AA352">
        <v>18.615259999999999</v>
      </c>
      <c r="AB352"/>
      <c r="AC352">
        <v>1.020034E-2</v>
      </c>
      <c r="AD352">
        <v>13.826779999999999</v>
      </c>
      <c r="AE352">
        <v>65.820400000000006</v>
      </c>
      <c r="AF352"/>
      <c r="AG352"/>
      <c r="AH352">
        <v>34.204329999999999</v>
      </c>
      <c r="AI352"/>
      <c r="AJ352"/>
      <c r="AK352">
        <v>39.854770000000002</v>
      </c>
      <c r="AL352"/>
      <c r="AM352">
        <v>14.326370000000001</v>
      </c>
      <c r="AN352">
        <v>11.47026</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45.138449999999999</v>
      </c>
      <c r="M353">
        <v>28.324909999999999</v>
      </c>
      <c r="N353"/>
      <c r="O353">
        <v>14.32413</v>
      </c>
      <c r="P353"/>
      <c r="Q353"/>
      <c r="R353">
        <v>27.690460000000002</v>
      </c>
      <c r="S353">
        <v>29.169509999999999</v>
      </c>
      <c r="T353"/>
      <c r="U353">
        <v>30.07105</v>
      </c>
      <c r="V353">
        <v>23.506540000000001</v>
      </c>
      <c r="W353">
        <v>3.530157</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14.467599999999999</v>
      </c>
      <c r="AN353">
        <v>11.603630000000001</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45.229900000000001</v>
      </c>
      <c r="M354">
        <v>28.63279</v>
      </c>
      <c r="N354"/>
      <c r="O354">
        <v>14.46945</v>
      </c>
      <c r="P354"/>
      <c r="Q354"/>
      <c r="R354">
        <v>28.269220000000001</v>
      </c>
      <c r="S354">
        <v>29.457609999999999</v>
      </c>
      <c r="T354"/>
      <c r="U354">
        <v>30.293369999999999</v>
      </c>
      <c r="V354">
        <v>23.610890000000001</v>
      </c>
      <c r="W354">
        <v>3.5326040000000001</v>
      </c>
      <c r="X354"/>
      <c r="Y354"/>
      <c r="Z354"/>
      <c r="AA354">
        <v>18.938939999999999</v>
      </c>
      <c r="AB354"/>
      <c r="AC354">
        <v>1.122213E-2</v>
      </c>
      <c r="AD354">
        <v>14.08684</v>
      </c>
      <c r="AE354">
        <v>67.294820000000001</v>
      </c>
      <c r="AF354"/>
      <c r="AG354"/>
      <c r="AH354">
        <v>34.464289999999998</v>
      </c>
      <c r="AI354"/>
      <c r="AJ354"/>
      <c r="AK354">
        <v>40.151420000000002</v>
      </c>
      <c r="AL354"/>
      <c r="AM354">
        <v>14.58888</v>
      </c>
      <c r="AN354">
        <v>11.70693</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45.416179999999997</v>
      </c>
      <c r="M355">
        <v>28.724299999999999</v>
      </c>
      <c r="N355"/>
      <c r="O355">
        <v>14.60554</v>
      </c>
      <c r="P355"/>
      <c r="Q355"/>
      <c r="R355">
        <v>28.319430000000001</v>
      </c>
      <c r="S355">
        <v>29.67474</v>
      </c>
      <c r="T355"/>
      <c r="U355">
        <v>30.496590000000001</v>
      </c>
      <c r="V355">
        <v>23.722359999999998</v>
      </c>
      <c r="W355">
        <v>3.6264500000000002</v>
      </c>
      <c r="X355"/>
      <c r="Y355"/>
      <c r="Z355"/>
      <c r="AA355">
        <v>18.938939999999999</v>
      </c>
      <c r="AB355"/>
      <c r="AC355">
        <v>1.151991E-2</v>
      </c>
      <c r="AD355">
        <v>14.198790000000001</v>
      </c>
      <c r="AE355">
        <v>67.247470000000007</v>
      </c>
      <c r="AF355"/>
      <c r="AG355"/>
      <c r="AH355">
        <v>34.57085</v>
      </c>
      <c r="AI355"/>
      <c r="AJ355"/>
      <c r="AK355">
        <v>40.085380000000001</v>
      </c>
      <c r="AL355"/>
      <c r="AM355">
        <v>14.71381</v>
      </c>
      <c r="AN355">
        <v>11.82485</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45.343760000000003</v>
      </c>
      <c r="M356">
        <v>28.754919999999998</v>
      </c>
      <c r="N356"/>
      <c r="O356">
        <v>14.812250000000001</v>
      </c>
      <c r="P356"/>
      <c r="Q356"/>
      <c r="R356">
        <v>28.37133</v>
      </c>
      <c r="S356">
        <v>29.97073</v>
      </c>
      <c r="T356"/>
      <c r="U356">
        <v>30.652280000000001</v>
      </c>
      <c r="V356">
        <v>23.884509999999999</v>
      </c>
      <c r="W356">
        <v>3.578182</v>
      </c>
      <c r="X356"/>
      <c r="Y356"/>
      <c r="Z356"/>
      <c r="AA356">
        <v>19.340150000000001</v>
      </c>
      <c r="AB356"/>
      <c r="AC356">
        <v>1.1835200000000001E-2</v>
      </c>
      <c r="AD356">
        <v>14.26322</v>
      </c>
      <c r="AE356">
        <v>67.438050000000004</v>
      </c>
      <c r="AF356"/>
      <c r="AG356"/>
      <c r="AH356">
        <v>34.595199999999998</v>
      </c>
      <c r="AI356"/>
      <c r="AJ356"/>
      <c r="AK356">
        <v>40.471049999999998</v>
      </c>
      <c r="AL356"/>
      <c r="AM356">
        <v>14.807880000000001</v>
      </c>
      <c r="AN356">
        <v>11.893420000000001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45.316330000000001</v>
      </c>
      <c r="M357">
        <v>28.911819999999999</v>
      </c>
      <c r="N357"/>
      <c r="O357">
        <v>14.94678</v>
      </c>
      <c r="P357"/>
      <c r="Q357"/>
      <c r="R357">
        <v>28.563110000000002</v>
      </c>
      <c r="S357">
        <v>30.143560000000001</v>
      </c>
      <c r="T357"/>
      <c r="U357">
        <v>30.78837</v>
      </c>
      <c r="V357">
        <v>24.115269999999999</v>
      </c>
      <c r="W357">
        <v>3.5326279999999999</v>
      </c>
      <c r="X357"/>
      <c r="Y357"/>
      <c r="Z357"/>
      <c r="AA357">
        <v>19.340150000000001</v>
      </c>
      <c r="AB357"/>
      <c r="AC357">
        <v>1.209795E-2</v>
      </c>
      <c r="AD357">
        <v>14.34895</v>
      </c>
      <c r="AE357">
        <v>67.299359999999993</v>
      </c>
      <c r="AF357"/>
      <c r="AG357"/>
      <c r="AH357">
        <v>34.629489999999997</v>
      </c>
      <c r="AI357"/>
      <c r="AJ357"/>
      <c r="AK357">
        <v>40.657310000000003</v>
      </c>
      <c r="AL357"/>
      <c r="AM357">
        <v>14.89157</v>
      </c>
      <c r="AN357">
        <v>11.97378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45.285359999999997</v>
      </c>
      <c r="M358">
        <v>29.104849999999999</v>
      </c>
      <c r="N358"/>
      <c r="O358">
        <v>15.17534</v>
      </c>
      <c r="P358"/>
      <c r="Q358"/>
      <c r="R358">
        <v>28.70598</v>
      </c>
      <c r="S358">
        <v>30.334420000000001</v>
      </c>
      <c r="T358"/>
      <c r="U358">
        <v>31.054569999999998</v>
      </c>
      <c r="V358">
        <v>24.255880000000001</v>
      </c>
      <c r="W358">
        <v>3.6609229999999999</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15.043850000000001</v>
      </c>
      <c r="AN358">
        <v>12.09975</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45.383740000000003</v>
      </c>
      <c r="M359">
        <v>29.62246</v>
      </c>
      <c r="N359"/>
      <c r="O359">
        <v>15.440810000000001</v>
      </c>
      <c r="P359"/>
      <c r="Q359"/>
      <c r="R359">
        <v>28.849060000000001</v>
      </c>
      <c r="S359">
        <v>30.652550000000002</v>
      </c>
      <c r="T359"/>
      <c r="U359">
        <v>31.278980000000001</v>
      </c>
      <c r="V359">
        <v>24.447369999999999</v>
      </c>
      <c r="W359">
        <v>3.7318470000000001</v>
      </c>
      <c r="X359"/>
      <c r="Y359"/>
      <c r="Z359"/>
      <c r="AA359">
        <v>19.73704</v>
      </c>
      <c r="AB359"/>
      <c r="AC359">
        <v>1.323651E-2</v>
      </c>
      <c r="AD359">
        <v>14.74169</v>
      </c>
      <c r="AE359">
        <v>68.315929999999994</v>
      </c>
      <c r="AF359"/>
      <c r="AG359"/>
      <c r="AH359">
        <v>34.913040000000002</v>
      </c>
      <c r="AI359"/>
      <c r="AJ359"/>
      <c r="AK359">
        <v>41.246429999999997</v>
      </c>
      <c r="AL359"/>
      <c r="AM359">
        <v>15.190149999999999</v>
      </c>
      <c r="AN359">
        <v>12.24151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45.482109999999999</v>
      </c>
      <c r="M360">
        <v>29.881900000000002</v>
      </c>
      <c r="N360"/>
      <c r="O360">
        <v>15.68177</v>
      </c>
      <c r="P360"/>
      <c r="Q360"/>
      <c r="R360">
        <v>29.104970000000002</v>
      </c>
      <c r="S360">
        <v>30.835190000000001</v>
      </c>
      <c r="T360"/>
      <c r="U360">
        <v>31.460560000000001</v>
      </c>
      <c r="V360">
        <v>24.542649999999998</v>
      </c>
      <c r="W360">
        <v>3.7665839999999999</v>
      </c>
      <c r="X360"/>
      <c r="Y360"/>
      <c r="Z360"/>
      <c r="AA360">
        <v>19.73704</v>
      </c>
      <c r="AB360"/>
      <c r="AC360">
        <v>1.384958E-2</v>
      </c>
      <c r="AD360">
        <v>14.92019</v>
      </c>
      <c r="AE360">
        <v>68.300439999999995</v>
      </c>
      <c r="AF360"/>
      <c r="AG360"/>
      <c r="AH360">
        <v>35.057009999999998</v>
      </c>
      <c r="AI360"/>
      <c r="AJ360"/>
      <c r="AK360">
        <v>41.26999</v>
      </c>
      <c r="AL360"/>
      <c r="AM360">
        <v>15.29533</v>
      </c>
      <c r="AN360">
        <v>12.34028</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45.558059999999998</v>
      </c>
      <c r="M361">
        <v>29.902349999999998</v>
      </c>
      <c r="N361"/>
      <c r="O361">
        <v>15.90476</v>
      </c>
      <c r="P361"/>
      <c r="Q361"/>
      <c r="R361">
        <v>29.11065</v>
      </c>
      <c r="S361">
        <v>31.004719999999999</v>
      </c>
      <c r="T361"/>
      <c r="U361">
        <v>31.560880000000001</v>
      </c>
      <c r="V361">
        <v>24.758970000000001</v>
      </c>
      <c r="W361">
        <v>3.8227980000000001</v>
      </c>
      <c r="X361"/>
      <c r="Y361"/>
      <c r="Z361"/>
      <c r="AA361">
        <v>19.73704</v>
      </c>
      <c r="AB361"/>
      <c r="AC361">
        <v>1.428165E-2</v>
      </c>
      <c r="AD361">
        <v>14.98465</v>
      </c>
      <c r="AE361">
        <v>68.359179999999995</v>
      </c>
      <c r="AF361"/>
      <c r="AG361"/>
      <c r="AH361">
        <v>35.042380000000001</v>
      </c>
      <c r="AI361"/>
      <c r="AJ361"/>
      <c r="AK361">
        <v>41.200989999999997</v>
      </c>
      <c r="AL361"/>
      <c r="AM361">
        <v>15.36561</v>
      </c>
      <c r="AN361">
        <v>12.426690000000001</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45.960099999999997</v>
      </c>
      <c r="M362">
        <v>29.902349999999998</v>
      </c>
      <c r="N362"/>
      <c r="O362">
        <v>16.273099999999999</v>
      </c>
      <c r="P362"/>
      <c r="Q362"/>
      <c r="R362">
        <v>29.458359999999999</v>
      </c>
      <c r="S362">
        <v>31.276679999999999</v>
      </c>
      <c r="T362"/>
      <c r="U362">
        <v>31.772220000000001</v>
      </c>
      <c r="V362">
        <v>25.027290000000001</v>
      </c>
      <c r="W362">
        <v>3.9556260000000001</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15.49714</v>
      </c>
      <c r="AN362">
        <v>12.56589</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45.953449999999997</v>
      </c>
      <c r="M363">
        <v>29.998069999999998</v>
      </c>
      <c r="N363"/>
      <c r="O363">
        <v>16.495699999999999</v>
      </c>
      <c r="P363"/>
      <c r="Q363"/>
      <c r="R363">
        <v>29.77805</v>
      </c>
      <c r="S363">
        <v>31.46998</v>
      </c>
      <c r="T363"/>
      <c r="U363">
        <v>31.98293</v>
      </c>
      <c r="V363">
        <v>25.25855</v>
      </c>
      <c r="W363">
        <v>3.8839630000000001</v>
      </c>
      <c r="X363"/>
      <c r="Y363"/>
      <c r="Z363"/>
      <c r="AA363">
        <v>20.341629999999999</v>
      </c>
      <c r="AB363"/>
      <c r="AC363">
        <v>1.537934E-2</v>
      </c>
      <c r="AD363">
        <v>15.48654</v>
      </c>
      <c r="AE363">
        <v>68.13194</v>
      </c>
      <c r="AF363"/>
      <c r="AG363"/>
      <c r="AH363">
        <v>35.442999999999998</v>
      </c>
      <c r="AI363"/>
      <c r="AJ363"/>
      <c r="AK363">
        <v>41.182510000000001</v>
      </c>
      <c r="AL363">
        <v>26.06522</v>
      </c>
      <c r="AM363">
        <v>15.61106</v>
      </c>
      <c r="AN363">
        <v>12.65122</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46.131309999999999</v>
      </c>
      <c r="M364">
        <v>30.2303</v>
      </c>
      <c r="N364"/>
      <c r="O364">
        <v>16.708120000000001</v>
      </c>
      <c r="P364"/>
      <c r="Q364"/>
      <c r="R364">
        <v>29.955269999999999</v>
      </c>
      <c r="S364">
        <v>31.75347</v>
      </c>
      <c r="T364"/>
      <c r="U364">
        <v>32.244489999999999</v>
      </c>
      <c r="V364">
        <v>25.44116</v>
      </c>
      <c r="W364">
        <v>4.0579409999999996</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15.748710000000001</v>
      </c>
      <c r="AN364">
        <v>12.760160000000001</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46.295169999999999</v>
      </c>
      <c r="M365">
        <v>30.344180000000001</v>
      </c>
      <c r="N365"/>
      <c r="O365">
        <v>17.031269999999999</v>
      </c>
      <c r="P365"/>
      <c r="Q365"/>
      <c r="R365">
        <v>30.29055</v>
      </c>
      <c r="S365">
        <v>32.098680000000002</v>
      </c>
      <c r="T365"/>
      <c r="U365">
        <v>32.537039999999998</v>
      </c>
      <c r="V365">
        <v>25.952719999999999</v>
      </c>
      <c r="W365">
        <v>4.1157690000000002</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15.91456</v>
      </c>
      <c r="AN365">
        <v>12.918049999999999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46.396929999999998</v>
      </c>
      <c r="M366">
        <v>30.92483</v>
      </c>
      <c r="N366"/>
      <c r="O366">
        <v>17.277080000000002</v>
      </c>
      <c r="P366"/>
      <c r="Q366"/>
      <c r="R366">
        <v>30.425160000000002</v>
      </c>
      <c r="S366">
        <v>32.377450000000003</v>
      </c>
      <c r="T366"/>
      <c r="U366">
        <v>32.803179999999998</v>
      </c>
      <c r="V366">
        <v>26.131889999999999</v>
      </c>
      <c r="W366">
        <v>4.1430490000000004</v>
      </c>
      <c r="X366"/>
      <c r="Y366"/>
      <c r="Z366"/>
      <c r="AA366">
        <v>21.114139999999999</v>
      </c>
      <c r="AB366"/>
      <c r="AC366">
        <v>1.866657E-2</v>
      </c>
      <c r="AD366">
        <v>16.060130000000001</v>
      </c>
      <c r="AE366">
        <v>69.85145</v>
      </c>
      <c r="AF366"/>
      <c r="AG366"/>
      <c r="AH366">
        <v>35.725090000000002</v>
      </c>
      <c r="AI366"/>
      <c r="AJ366"/>
      <c r="AK366">
        <v>41.970219999999998</v>
      </c>
      <c r="AL366">
        <v>26.32011</v>
      </c>
      <c r="AM366">
        <v>16.062539999999998</v>
      </c>
      <c r="AN366">
        <v>13.03309</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46.552669999999999</v>
      </c>
      <c r="M367">
        <v>31.110569999999999</v>
      </c>
      <c r="N367"/>
      <c r="O367">
        <v>17.459879999999998</v>
      </c>
      <c r="P367"/>
      <c r="Q367"/>
      <c r="R367">
        <v>30.56897</v>
      </c>
      <c r="S367">
        <v>32.639029999999998</v>
      </c>
      <c r="T367"/>
      <c r="U367">
        <v>33.026000000000003</v>
      </c>
      <c r="V367">
        <v>26.388750000000002</v>
      </c>
      <c r="W367">
        <v>4.3108909999999998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16.219449999999998</v>
      </c>
      <c r="AN367">
        <v>13.20842</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46.758110000000002</v>
      </c>
      <c r="M368">
        <v>31.494610000000002</v>
      </c>
      <c r="N368"/>
      <c r="O368">
        <v>17.50338</v>
      </c>
      <c r="P368"/>
      <c r="Q368"/>
      <c r="R368">
        <v>30.696000000000002</v>
      </c>
      <c r="S368">
        <v>33.08155</v>
      </c>
      <c r="T368"/>
      <c r="U368">
        <v>33.360239999999997</v>
      </c>
      <c r="V368">
        <v>27.549710000000001</v>
      </c>
      <c r="W368">
        <v>4.3387690000000001</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16.408940000000001</v>
      </c>
      <c r="AN368">
        <v>13.42648</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46.902949999999997</v>
      </c>
      <c r="M369">
        <v>31.985880000000002</v>
      </c>
      <c r="N369"/>
      <c r="O369">
        <v>17.663209999999999</v>
      </c>
      <c r="P369"/>
      <c r="Q369"/>
      <c r="R369">
        <v>30.87576</v>
      </c>
      <c r="S369">
        <v>33.34863</v>
      </c>
      <c r="T369"/>
      <c r="U369">
        <v>33.560020000000002</v>
      </c>
      <c r="V369">
        <v>27.78051</v>
      </c>
      <c r="W369">
        <v>4.2838450000000003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16.524889999999999</v>
      </c>
      <c r="AN369">
        <v>13.54923</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47.189219999999999</v>
      </c>
      <c r="M370">
        <v>32.354750000000003</v>
      </c>
      <c r="N370"/>
      <c r="O370">
        <v>18.010090000000002</v>
      </c>
      <c r="P370"/>
      <c r="Q370"/>
      <c r="R370">
        <v>31.047419999999999</v>
      </c>
      <c r="S370">
        <v>33.613439999999997</v>
      </c>
      <c r="T370"/>
      <c r="U370">
        <v>33.931089999999998</v>
      </c>
      <c r="V370">
        <v>28.110720000000001</v>
      </c>
      <c r="W370">
        <v>4.3987959999999999</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16.717410000000001</v>
      </c>
      <c r="AN370">
        <v>13.73481</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47.283909999999999</v>
      </c>
      <c r="M371">
        <v>32.54927</v>
      </c>
      <c r="N371"/>
      <c r="O371">
        <v>18.358609999999999</v>
      </c>
      <c r="P371"/>
      <c r="Q371"/>
      <c r="R371">
        <v>31.183530000000001</v>
      </c>
      <c r="S371">
        <v>34.044130000000003</v>
      </c>
      <c r="T371"/>
      <c r="U371">
        <v>34.253680000000003</v>
      </c>
      <c r="V371">
        <v>28.427520000000001</v>
      </c>
      <c r="W371">
        <v>4.5533330000000003</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16.92529</v>
      </c>
      <c r="AN371">
        <v>13.95276</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47.551299999999998</v>
      </c>
      <c r="M372">
        <v>32.851419999999997</v>
      </c>
      <c r="N372"/>
      <c r="O372">
        <v>18.575150000000001</v>
      </c>
      <c r="P372"/>
      <c r="Q372"/>
      <c r="R372">
        <v>31.414370000000002</v>
      </c>
      <c r="S372">
        <v>34.300629999999998</v>
      </c>
      <c r="T372"/>
      <c r="U372">
        <v>34.572209999999998</v>
      </c>
      <c r="V372">
        <v>28.63109</v>
      </c>
      <c r="W372">
        <v>4.6150630000000001</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17.117989999999999</v>
      </c>
      <c r="AN372">
        <v>14.14232</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47.63241</v>
      </c>
      <c r="M373">
        <v>32.862650000000002</v>
      </c>
      <c r="N373"/>
      <c r="O373">
        <v>18.82668</v>
      </c>
      <c r="P373"/>
      <c r="Q373"/>
      <c r="R373">
        <v>31.578690000000002</v>
      </c>
      <c r="S373">
        <v>34.542679999999997</v>
      </c>
      <c r="T373"/>
      <c r="U373">
        <v>34.847569999999997</v>
      </c>
      <c r="V373">
        <v>28.787890000000001</v>
      </c>
      <c r="W373">
        <v>4.7233140000000002</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17.280190000000001</v>
      </c>
      <c r="AN373">
        <v>14.29054</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47.734169999999999</v>
      </c>
      <c r="M374">
        <v>33.07094</v>
      </c>
      <c r="N374"/>
      <c r="O374">
        <v>19.04731</v>
      </c>
      <c r="P374"/>
      <c r="Q374"/>
      <c r="R374">
        <v>31.97494</v>
      </c>
      <c r="S374">
        <v>35.060670000000002</v>
      </c>
      <c r="T374"/>
      <c r="U374">
        <v>35.279800000000002</v>
      </c>
      <c r="V374">
        <v>29.61975</v>
      </c>
      <c r="W374">
        <v>4.8382750000000003</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17.562280000000001</v>
      </c>
      <c r="AN374">
        <v>14.55588</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48.436050000000002</v>
      </c>
      <c r="M375">
        <v>33.336669999999998</v>
      </c>
      <c r="N375"/>
      <c r="O375">
        <v>19.310220000000001</v>
      </c>
      <c r="P375"/>
      <c r="Q375"/>
      <c r="R375">
        <v>32.399380000000001</v>
      </c>
      <c r="S375">
        <v>35.432180000000002</v>
      </c>
      <c r="T375"/>
      <c r="U375">
        <v>35.639919999999996</v>
      </c>
      <c r="V375">
        <v>30.11515</v>
      </c>
      <c r="W375">
        <v>4.7890579999999998</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17.790880000000001</v>
      </c>
      <c r="AN375">
        <v>14.81775</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48.660240000000002</v>
      </c>
      <c r="M376">
        <v>33.68535</v>
      </c>
      <c r="N376"/>
      <c r="O376">
        <v>19.504639999999998</v>
      </c>
      <c r="P376"/>
      <c r="Q376"/>
      <c r="R376">
        <v>32.681019999999997</v>
      </c>
      <c r="S376">
        <v>35.846800000000002</v>
      </c>
      <c r="T376"/>
      <c r="U376">
        <v>36.011760000000002</v>
      </c>
      <c r="V376">
        <v>30.485910000000001</v>
      </c>
      <c r="W376">
        <v>4.9463419999999996</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17.987269999999999</v>
      </c>
      <c r="AN376">
        <v>14.959379999999999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48.896500000000003</v>
      </c>
      <c r="M377">
        <v>33.885590000000001</v>
      </c>
      <c r="N377"/>
      <c r="O377">
        <v>19.796569999999999</v>
      </c>
      <c r="P377"/>
      <c r="Q377"/>
      <c r="R377">
        <v>33.173360000000002</v>
      </c>
      <c r="S377">
        <v>36.369680000000002</v>
      </c>
      <c r="T377"/>
      <c r="U377">
        <v>36.518270000000001</v>
      </c>
      <c r="V377">
        <v>31.674900000000001</v>
      </c>
      <c r="W377">
        <v>5.1233529999999998</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18.248390000000001</v>
      </c>
      <c r="AN377">
        <v>15.2</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49.098410000000001</v>
      </c>
      <c r="M378">
        <v>34.393749999999997</v>
      </c>
      <c r="N378"/>
      <c r="O378">
        <v>20.042210000000001</v>
      </c>
      <c r="P378"/>
      <c r="Q378"/>
      <c r="R378">
        <v>33.314610000000002</v>
      </c>
      <c r="S378">
        <v>36.637169999999998</v>
      </c>
      <c r="T378"/>
      <c r="U378">
        <v>36.895569999999999</v>
      </c>
      <c r="V378">
        <v>31.891929999999999</v>
      </c>
      <c r="W378">
        <v>5.1710909999999997</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18.42145</v>
      </c>
      <c r="AN378">
        <v>15.282730000000001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49.255180000000003</v>
      </c>
      <c r="M379">
        <v>34.470849999999999</v>
      </c>
      <c r="N379"/>
      <c r="O379">
        <v>20.156009999999998</v>
      </c>
      <c r="P379"/>
      <c r="Q379"/>
      <c r="R379">
        <v>33.463560000000001</v>
      </c>
      <c r="S379">
        <v>36.910769999999999</v>
      </c>
      <c r="T379"/>
      <c r="U379">
        <v>37.206690000000002</v>
      </c>
      <c r="V379">
        <v>32.01979</v>
      </c>
      <c r="W379">
        <v>5.3466779999999998</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18.613569999999999</v>
      </c>
      <c r="AN379">
        <v>15.446540000000001</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49.339689999999997</v>
      </c>
      <c r="M380">
        <v>34.971510000000002</v>
      </c>
      <c r="N380"/>
      <c r="O380">
        <v>20.323129999999999</v>
      </c>
      <c r="P380"/>
      <c r="Q380"/>
      <c r="R380">
        <v>33.606430000000003</v>
      </c>
      <c r="S380">
        <v>37.493490000000001</v>
      </c>
      <c r="T380"/>
      <c r="U380">
        <v>37.309109999999997</v>
      </c>
      <c r="V380">
        <v>32.266480000000001</v>
      </c>
      <c r="W380">
        <v>5.3383960000000004</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18.709399999999999</v>
      </c>
      <c r="AN380">
        <v>15.596439999999999</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49.520670000000003</v>
      </c>
      <c r="M381">
        <v>35.095140000000001</v>
      </c>
      <c r="N381"/>
      <c r="O381">
        <v>20.473870000000002</v>
      </c>
      <c r="P381"/>
      <c r="Q381"/>
      <c r="R381">
        <v>34.175690000000003</v>
      </c>
      <c r="S381">
        <v>37.86515</v>
      </c>
      <c r="T381"/>
      <c r="U381">
        <v>37.48021</v>
      </c>
      <c r="V381">
        <v>32.4056</v>
      </c>
      <c r="W381">
        <v>5.2782929999999997</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18.829329999999999</v>
      </c>
      <c r="AN381">
        <v>15.73603</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49.608730000000001</v>
      </c>
      <c r="M382">
        <v>35.28481</v>
      </c>
      <c r="N382"/>
      <c r="O382">
        <v>20.741230000000002</v>
      </c>
      <c r="P382"/>
      <c r="Q382"/>
      <c r="R382">
        <v>34.575360000000003</v>
      </c>
      <c r="S382">
        <v>38.186770000000003</v>
      </c>
      <c r="T382"/>
      <c r="U382">
        <v>37.879770000000001</v>
      </c>
      <c r="V382">
        <v>32.66357</v>
      </c>
      <c r="W382">
        <v>5.4538989999999998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19.04795</v>
      </c>
      <c r="AN382">
        <v>15.924860000000001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49.609020000000001</v>
      </c>
      <c r="M383">
        <v>35.57188</v>
      </c>
      <c r="N383"/>
      <c r="O383">
        <v>20.97129</v>
      </c>
      <c r="P383"/>
      <c r="Q383"/>
      <c r="R383">
        <v>34.742849999999997</v>
      </c>
      <c r="S383">
        <v>38.60942</v>
      </c>
      <c r="T383"/>
      <c r="U383">
        <v>38.253369999999997</v>
      </c>
      <c r="V383">
        <v>32.889389999999999</v>
      </c>
      <c r="W383">
        <v>5.6340009999999996</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19.273990000000001</v>
      </c>
      <c r="AN383">
        <v>16.115069999999999</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49.859290000000001</v>
      </c>
      <c r="M384">
        <v>35.900509999999997</v>
      </c>
      <c r="N384"/>
      <c r="O384">
        <v>21.20308</v>
      </c>
      <c r="P384"/>
      <c r="Q384"/>
      <c r="R384">
        <v>35.216090000000001</v>
      </c>
      <c r="S384">
        <v>38.837739999999997</v>
      </c>
      <c r="T384"/>
      <c r="U384">
        <v>38.6081</v>
      </c>
      <c r="V384">
        <v>33.151719999999997</v>
      </c>
      <c r="W384">
        <v>5.7722319999999998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19.461829999999999</v>
      </c>
      <c r="AN384">
        <v>16.27693</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50.187150000000003</v>
      </c>
      <c r="M385">
        <v>36.002450000000003</v>
      </c>
      <c r="N385"/>
      <c r="O385">
        <v>21.301480000000002</v>
      </c>
      <c r="P385"/>
      <c r="Q385"/>
      <c r="R385">
        <v>35.600879999999997</v>
      </c>
      <c r="S385">
        <v>39.153089999999999</v>
      </c>
      <c r="T385"/>
      <c r="U385">
        <v>38.823149999999998</v>
      </c>
      <c r="V385">
        <v>33.283369999999998</v>
      </c>
      <c r="W385">
        <v>5.8904909999999999</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19.62463</v>
      </c>
      <c r="AN385">
        <v>16.398489999999999</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50.545819999999999</v>
      </c>
      <c r="M386">
        <v>36.117530000000002</v>
      </c>
      <c r="N386"/>
      <c r="O386">
        <v>21.570049999999998</v>
      </c>
      <c r="P386"/>
      <c r="Q386"/>
      <c r="R386">
        <v>35.974530000000001</v>
      </c>
      <c r="S386">
        <v>39.590290000000003</v>
      </c>
      <c r="T386"/>
      <c r="U386">
        <v>39.103940000000001</v>
      </c>
      <c r="V386">
        <v>33.374609999999997</v>
      </c>
      <c r="W386">
        <v>5.9881120000000001</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19.81279</v>
      </c>
      <c r="AN386">
        <v>16.584689999999998</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50.89949</v>
      </c>
      <c r="M387">
        <v>36.448160000000001</v>
      </c>
      <c r="N387"/>
      <c r="O387">
        <v>21.799289999999999</v>
      </c>
      <c r="P387"/>
      <c r="Q387"/>
      <c r="R387">
        <v>36.091239999999999</v>
      </c>
      <c r="S387">
        <v>39.892040000000001</v>
      </c>
      <c r="T387"/>
      <c r="U387">
        <v>39.334499999999998</v>
      </c>
      <c r="V387">
        <v>33.663609999999998</v>
      </c>
      <c r="W387">
        <v>6.0297099999999997</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19.954440000000002</v>
      </c>
      <c r="AN387">
        <v>16.744019999999999</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51.203159999999997</v>
      </c>
      <c r="M388">
        <v>37.018889999999999</v>
      </c>
      <c r="N388"/>
      <c r="O388">
        <v>21.95918</v>
      </c>
      <c r="P388"/>
      <c r="Q388"/>
      <c r="R388">
        <v>36.243299999999998</v>
      </c>
      <c r="S388">
        <v>40.228349999999999</v>
      </c>
      <c r="T388"/>
      <c r="U388">
        <v>39.573129999999999</v>
      </c>
      <c r="V388">
        <v>34.049689999999998</v>
      </c>
      <c r="W388">
        <v>6.1858209999999998</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20.101929999999999</v>
      </c>
      <c r="AN388">
        <v>16.897290000000002</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51.47025</v>
      </c>
      <c r="M389">
        <v>37.383279999999999</v>
      </c>
      <c r="N389"/>
      <c r="O389">
        <v>22.304110000000001</v>
      </c>
      <c r="P389"/>
      <c r="Q389"/>
      <c r="R389">
        <v>36.367910000000002</v>
      </c>
      <c r="S389">
        <v>40.792160000000003</v>
      </c>
      <c r="T389"/>
      <c r="U389">
        <v>39.997480000000003</v>
      </c>
      <c r="V389">
        <v>35.289340000000003</v>
      </c>
      <c r="W389">
        <v>6.3262159999999996</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20.334070000000001</v>
      </c>
      <c r="AN389">
        <v>17.120080000000002</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51.768470000000001</v>
      </c>
      <c r="M390">
        <v>38.035420000000002</v>
      </c>
      <c r="N390"/>
      <c r="O390">
        <v>22.540179999999999</v>
      </c>
      <c r="P390"/>
      <c r="Q390"/>
      <c r="R390">
        <v>36.893230000000003</v>
      </c>
      <c r="S390">
        <v>41.138399999999997</v>
      </c>
      <c r="T390"/>
      <c r="U390">
        <v>40.41854</v>
      </c>
      <c r="V390">
        <v>35.431449999999998</v>
      </c>
      <c r="W390">
        <v>6.377421</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20.54983</v>
      </c>
      <c r="AN390">
        <v>17.268899999999999</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51.991019999999999</v>
      </c>
      <c r="M391">
        <v>38.312750000000001</v>
      </c>
      <c r="N391"/>
      <c r="O391">
        <v>22.653459999999999</v>
      </c>
      <c r="P391"/>
      <c r="Q391"/>
      <c r="R391">
        <v>37.382269999999998</v>
      </c>
      <c r="S391">
        <v>41.476320000000001</v>
      </c>
      <c r="T391"/>
      <c r="U391">
        <v>40.729469999999999</v>
      </c>
      <c r="V391">
        <v>35.448169999999998</v>
      </c>
      <c r="W391">
        <v>6.5326839999999997</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20.737410000000001</v>
      </c>
      <c r="AN391">
        <v>17.421240000000001</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52.275959999999998</v>
      </c>
      <c r="M392">
        <v>38.499809999999997</v>
      </c>
      <c r="N392"/>
      <c r="O392">
        <v>22.786069999999999</v>
      </c>
      <c r="P392"/>
      <c r="Q392"/>
      <c r="R392">
        <v>37.398319999999998</v>
      </c>
      <c r="S392">
        <v>42.03425</v>
      </c>
      <c r="T392"/>
      <c r="U392">
        <v>41.090989999999998</v>
      </c>
      <c r="V392">
        <v>35.587670000000003</v>
      </c>
      <c r="W392">
        <v>6.4941899999999997</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20.918679999999998</v>
      </c>
      <c r="AN392">
        <v>17.514220000000002</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52.354129999999998</v>
      </c>
      <c r="M393">
        <v>38.558770000000003</v>
      </c>
      <c r="N393"/>
      <c r="O393">
        <v>22.96508</v>
      </c>
      <c r="P393"/>
      <c r="Q393"/>
      <c r="R393">
        <v>37.478209999999997</v>
      </c>
      <c r="S393">
        <v>42.498640000000002</v>
      </c>
      <c r="T393"/>
      <c r="U393">
        <v>41.344140000000003</v>
      </c>
      <c r="V393">
        <v>35.80829</v>
      </c>
      <c r="W393">
        <v>6.4010590000000001</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21.063510000000001</v>
      </c>
      <c r="AN393">
        <v>17.629930000000002</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52.61636</v>
      </c>
      <c r="M394">
        <v>38.916870000000003</v>
      </c>
      <c r="N394"/>
      <c r="O394">
        <v>23.215789999999998</v>
      </c>
      <c r="P394"/>
      <c r="Q394"/>
      <c r="R394">
        <v>37.68197</v>
      </c>
      <c r="S394">
        <v>42.944830000000003</v>
      </c>
      <c r="T394"/>
      <c r="U394">
        <v>41.816229999999997</v>
      </c>
      <c r="V394">
        <v>36.036389999999997</v>
      </c>
      <c r="W394">
        <v>6.7080080000000004</v>
      </c>
      <c r="X394"/>
      <c r="Y394"/>
      <c r="Z394"/>
      <c r="AA394">
        <v>31.834779999999999</v>
      </c>
      <c r="AB394"/>
      <c r="AC394">
        <v>0.1143593</v>
      </c>
      <c r="AD394">
        <v>24.32846</v>
      </c>
      <c r="AE394">
        <v>78.24203</v>
      </c>
      <c r="AF394"/>
      <c r="AG394"/>
      <c r="AH394">
        <v>41.51643</v>
      </c>
      <c r="AI394"/>
      <c r="AJ394">
        <v>9.4272220000000004E-2</v>
      </c>
      <c r="AK394">
        <v>48.18338</v>
      </c>
      <c r="AL394">
        <v>33.547939999999997</v>
      </c>
      <c r="AM394">
        <v>21.324179999999998</v>
      </c>
      <c r="AN394">
        <v>17.832239999999999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52.904249999999998</v>
      </c>
      <c r="M395">
        <v>39.144539999999999</v>
      </c>
      <c r="N395"/>
      <c r="O395">
        <v>23.500070000000001</v>
      </c>
      <c r="P395"/>
      <c r="Q395"/>
      <c r="R395">
        <v>38.214280000000002</v>
      </c>
      <c r="S395">
        <v>43.5334</v>
      </c>
      <c r="T395"/>
      <c r="U395">
        <v>42.118429999999996</v>
      </c>
      <c r="V395">
        <v>36.377220000000001</v>
      </c>
      <c r="W395">
        <v>6.8742470000000004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21.535319999999999</v>
      </c>
      <c r="AN395">
        <v>18.0611</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53.092289999999998</v>
      </c>
      <c r="M396">
        <v>39.684049999999999</v>
      </c>
      <c r="N396"/>
      <c r="O396">
        <v>23.785240000000002</v>
      </c>
      <c r="P396"/>
      <c r="Q396"/>
      <c r="R396">
        <v>38.232480000000002</v>
      </c>
      <c r="S396">
        <v>43.923830000000002</v>
      </c>
      <c r="T396"/>
      <c r="U396">
        <v>42.381169999999997</v>
      </c>
      <c r="V396">
        <v>36.810659999999999</v>
      </c>
      <c r="W396">
        <v>6.9814749999999997</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21.697769999999998</v>
      </c>
      <c r="AN396">
        <v>18.25215</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53.157760000000003</v>
      </c>
      <c r="M397">
        <v>39.906329999999997</v>
      </c>
      <c r="N397"/>
      <c r="O397">
        <v>24.118459999999999</v>
      </c>
      <c r="P397"/>
      <c r="Q397"/>
      <c r="R397">
        <v>38.346649999999997</v>
      </c>
      <c r="S397">
        <v>44.172969999999999</v>
      </c>
      <c r="T397"/>
      <c r="U397">
        <v>42.540849999999999</v>
      </c>
      <c r="V397">
        <v>37.088329999999999</v>
      </c>
      <c r="W397">
        <v>7.0983099999999997</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21.819109999999998</v>
      </c>
      <c r="AN397">
        <v>18.373360000000002</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53.551099999999998</v>
      </c>
      <c r="M398">
        <v>40.06944</v>
      </c>
      <c r="N398"/>
      <c r="O398">
        <v>24.54608</v>
      </c>
      <c r="P398"/>
      <c r="Q398"/>
      <c r="R398">
        <v>39.094029999999997</v>
      </c>
      <c r="S398">
        <v>44.622810000000001</v>
      </c>
      <c r="T398"/>
      <c r="U398">
        <v>42.709629999999997</v>
      </c>
      <c r="V398">
        <v>37.155169999999998</v>
      </c>
      <c r="W398">
        <v>7.2533430000000001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21.99832</v>
      </c>
      <c r="AN398">
        <v>18.585450000000002</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53.664520000000003</v>
      </c>
      <c r="M399">
        <v>40.390949999999997</v>
      </c>
      <c r="N399"/>
      <c r="O399">
        <v>24.814350000000001</v>
      </c>
      <c r="P399"/>
      <c r="Q399"/>
      <c r="R399">
        <v>39.230310000000003</v>
      </c>
      <c r="S399">
        <v>45.080829999999999</v>
      </c>
      <c r="T399"/>
      <c r="U399">
        <v>42.897680000000001</v>
      </c>
      <c r="V399">
        <v>37.232089999999999</v>
      </c>
      <c r="W399">
        <v>7.2198659999999997</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22.143180000000001</v>
      </c>
      <c r="AN399">
        <v>18.71387</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53.746969999999997</v>
      </c>
      <c r="M400">
        <v>40.699210000000001</v>
      </c>
      <c r="N400"/>
      <c r="O400">
        <v>25.171469999999999</v>
      </c>
      <c r="P400"/>
      <c r="Q400"/>
      <c r="R400">
        <v>39.568930000000002</v>
      </c>
      <c r="S400">
        <v>45.593359999999997</v>
      </c>
      <c r="T400"/>
      <c r="U400">
        <v>43.07114</v>
      </c>
      <c r="V400">
        <v>37.53951</v>
      </c>
      <c r="W400">
        <v>7.4722530000000003</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22.29937</v>
      </c>
      <c r="AN400">
        <v>18.867730000000002</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53.840029999999999</v>
      </c>
      <c r="M401">
        <v>40.993690000000001</v>
      </c>
      <c r="N401"/>
      <c r="O401">
        <v>25.542149999999999</v>
      </c>
      <c r="P401"/>
      <c r="Q401"/>
      <c r="R401">
        <v>39.749339999999997</v>
      </c>
      <c r="S401">
        <v>46.102379999999997</v>
      </c>
      <c r="T401"/>
      <c r="U401">
        <v>43.448689999999999</v>
      </c>
      <c r="V401">
        <v>38.383980000000001</v>
      </c>
      <c r="W401">
        <v>7.6700980000000003</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22.566130000000001</v>
      </c>
      <c r="AN401">
        <v>19.05789</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54.174660000000003</v>
      </c>
      <c r="M402">
        <v>41.692700000000002</v>
      </c>
      <c r="N402"/>
      <c r="O402">
        <v>25.939900000000002</v>
      </c>
      <c r="P402"/>
      <c r="Q402"/>
      <c r="R402">
        <v>40.741210000000002</v>
      </c>
      <c r="S402">
        <v>46.44847</v>
      </c>
      <c r="T402"/>
      <c r="U402">
        <v>43.831949999999999</v>
      </c>
      <c r="V402">
        <v>38.540120000000002</v>
      </c>
      <c r="W402">
        <v>7.7355429999999998</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22.821480000000001</v>
      </c>
      <c r="AN402">
        <v>19.205249999999999</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54.631120000000003</v>
      </c>
      <c r="M403">
        <v>41.875630000000001</v>
      </c>
      <c r="N403"/>
      <c r="O403">
        <v>26.149480000000001</v>
      </c>
      <c r="P403"/>
      <c r="Q403"/>
      <c r="R403">
        <v>40.855800000000002</v>
      </c>
      <c r="S403">
        <v>46.767090000000003</v>
      </c>
      <c r="T403"/>
      <c r="U403">
        <v>44.15972</v>
      </c>
      <c r="V403">
        <v>38.539259999999999</v>
      </c>
      <c r="W403">
        <v>7.9672809999999998</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23.072330000000001</v>
      </c>
      <c r="AN403">
        <v>19.380749999999999</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54.75029</v>
      </c>
      <c r="M404">
        <v>42.012369999999997</v>
      </c>
      <c r="N404"/>
      <c r="O404">
        <v>26.387329999999999</v>
      </c>
      <c r="P404"/>
      <c r="Q404"/>
      <c r="R404">
        <v>40.973030000000001</v>
      </c>
      <c r="S404">
        <v>46.908099999999997</v>
      </c>
      <c r="T404"/>
      <c r="U404">
        <v>44.308050000000001</v>
      </c>
      <c r="V404">
        <v>38.642110000000002</v>
      </c>
      <c r="W404">
        <v>7.9205110000000003</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23.232379999999999</v>
      </c>
      <c r="AN404">
        <v>19.46726</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54.773009999999999</v>
      </c>
      <c r="M405">
        <v>42.267209999999999</v>
      </c>
      <c r="N405"/>
      <c r="O405">
        <v>26.521039999999999</v>
      </c>
      <c r="P405"/>
      <c r="Q405"/>
      <c r="R405">
        <v>41.052129999999998</v>
      </c>
      <c r="S405">
        <v>46.998930000000001</v>
      </c>
      <c r="T405"/>
      <c r="U405">
        <v>44.47007</v>
      </c>
      <c r="V405">
        <v>38.69847</v>
      </c>
      <c r="W405">
        <v>7.8119940000000003</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23.455639999999999</v>
      </c>
      <c r="AN405">
        <v>19.562349999999999</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54.980229999999999</v>
      </c>
      <c r="M406">
        <v>42.732550000000003</v>
      </c>
      <c r="N406"/>
      <c r="O406">
        <v>26.734000000000002</v>
      </c>
      <c r="P406"/>
      <c r="Q406"/>
      <c r="R406">
        <v>40.95834</v>
      </c>
      <c r="S406">
        <v>47.117229999999999</v>
      </c>
      <c r="T406"/>
      <c r="U406">
        <v>44.685189999999999</v>
      </c>
      <c r="V406">
        <v>38.654159999999997</v>
      </c>
      <c r="W406">
        <v>8.0631799999999991</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23.679770000000001</v>
      </c>
      <c r="AN406">
        <v>19.72289</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55.190980000000003</v>
      </c>
      <c r="M407">
        <v>43.175660000000001</v>
      </c>
      <c r="N407"/>
      <c r="O407">
        <v>27.030380000000001</v>
      </c>
      <c r="P407"/>
      <c r="Q407"/>
      <c r="R407">
        <v>41.130519999999997</v>
      </c>
      <c r="S407">
        <v>47.327739999999999</v>
      </c>
      <c r="T407"/>
      <c r="U407">
        <v>44.938769999999998</v>
      </c>
      <c r="V407">
        <v>38.84581</v>
      </c>
      <c r="W407">
        <v>8.2759900000000002</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23.918790000000001</v>
      </c>
      <c r="AN407">
        <v>19.89864</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55.313400000000001</v>
      </c>
      <c r="M408">
        <v>43.64058</v>
      </c>
      <c r="N408"/>
      <c r="O408">
        <v>27.309750000000001</v>
      </c>
      <c r="P408"/>
      <c r="Q408"/>
      <c r="R408">
        <v>41.2438</v>
      </c>
      <c r="S408">
        <v>47.749160000000003</v>
      </c>
      <c r="T408"/>
      <c r="U408">
        <v>45.027740000000001</v>
      </c>
      <c r="V408">
        <v>38.9114</v>
      </c>
      <c r="W408">
        <v>8.3890969999999996</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24.08972</v>
      </c>
      <c r="AN408">
        <v>20.05986</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55.556310000000003</v>
      </c>
      <c r="M409">
        <v>43.555669999999999</v>
      </c>
      <c r="N409"/>
      <c r="O409">
        <v>27.342459999999999</v>
      </c>
      <c r="P409"/>
      <c r="Q409"/>
      <c r="R409">
        <v>41.904499999999999</v>
      </c>
      <c r="S409">
        <v>48.115639999999999</v>
      </c>
      <c r="T409"/>
      <c r="U409">
        <v>45.02046</v>
      </c>
      <c r="V409">
        <v>38.694420000000001</v>
      </c>
      <c r="W409">
        <v>8.4981369999999998</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24.29569</v>
      </c>
      <c r="AN409">
        <v>20.190000000000001</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55.914709999999999</v>
      </c>
      <c r="M410">
        <v>43.971870000000003</v>
      </c>
      <c r="N410"/>
      <c r="O410">
        <v>27.781359999999999</v>
      </c>
      <c r="P410"/>
      <c r="Q410"/>
      <c r="R410">
        <v>42.396740000000001</v>
      </c>
      <c r="S410">
        <v>48.698639999999997</v>
      </c>
      <c r="T410"/>
      <c r="U410">
        <v>45.177869999999999</v>
      </c>
      <c r="V410">
        <v>38.734929999999999</v>
      </c>
      <c r="W410">
        <v>8.6698970000000006</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24.582170000000001</v>
      </c>
      <c r="AN410">
        <v>20.39076</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56.000549999999997</v>
      </c>
      <c r="M411">
        <v>44.139380000000003</v>
      </c>
      <c r="N411"/>
      <c r="O411">
        <v>28.138249999999999</v>
      </c>
      <c r="P411"/>
      <c r="Q411"/>
      <c r="R411">
        <v>42.528640000000003</v>
      </c>
      <c r="S411">
        <v>49.086359999999999</v>
      </c>
      <c r="T411"/>
      <c r="U411">
        <v>45.337609999999998</v>
      </c>
      <c r="V411">
        <v>38.997230000000002</v>
      </c>
      <c r="W411">
        <v>8.7845460000000006</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24.763159999999999</v>
      </c>
      <c r="AN411">
        <v>20.5518</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56.082999999999998</v>
      </c>
      <c r="M412">
        <v>44.232570000000003</v>
      </c>
      <c r="N412"/>
      <c r="O412">
        <v>28.34375</v>
      </c>
      <c r="P412"/>
      <c r="Q412"/>
      <c r="R412">
        <v>42.876550000000002</v>
      </c>
      <c r="S412">
        <v>49.682139999999997</v>
      </c>
      <c r="T412"/>
      <c r="U412">
        <v>45.512340000000002</v>
      </c>
      <c r="V412">
        <v>39.114319999999999</v>
      </c>
      <c r="W412">
        <v>9.1705900000000007</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24.94905</v>
      </c>
      <c r="AN412">
        <v>20.715389999999999</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56.13476</v>
      </c>
      <c r="M413">
        <v>44.59534</v>
      </c>
      <c r="N413"/>
      <c r="O413">
        <v>28.767230000000001</v>
      </c>
      <c r="P413"/>
      <c r="Q413"/>
      <c r="R413">
        <v>43.069450000000003</v>
      </c>
      <c r="S413">
        <v>50.269199999999998</v>
      </c>
      <c r="T413"/>
      <c r="U413">
        <v>45.822760000000002</v>
      </c>
      <c r="V413">
        <v>39.744929999999997</v>
      </c>
      <c r="W413">
        <v>9.2272049999999997</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25.206489999999999</v>
      </c>
      <c r="AN413">
        <v>20.911560000000001</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56.286529999999999</v>
      </c>
      <c r="M414">
        <v>45.271160000000002</v>
      </c>
      <c r="N414"/>
      <c r="O414">
        <v>28.994969999999999</v>
      </c>
      <c r="P414"/>
      <c r="Q414"/>
      <c r="R414">
        <v>43.999049999999997</v>
      </c>
      <c r="S414">
        <v>50.576790000000003</v>
      </c>
      <c r="T414"/>
      <c r="U414">
        <v>46.021099999999997</v>
      </c>
      <c r="V414">
        <v>39.938229999999997</v>
      </c>
      <c r="W414">
        <v>9.3988320000000005</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25.379740000000002</v>
      </c>
      <c r="AN414">
        <v>21.028459999999999</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56.486660000000001</v>
      </c>
      <c r="M415">
        <v>45.337859999999999</v>
      </c>
      <c r="N415"/>
      <c r="O415">
        <v>29.226050000000001</v>
      </c>
      <c r="P415"/>
      <c r="Q415"/>
      <c r="R415">
        <v>44.530349999999999</v>
      </c>
      <c r="S415">
        <v>50.876779999999997</v>
      </c>
      <c r="T415"/>
      <c r="U415">
        <v>46.156880000000001</v>
      </c>
      <c r="V415">
        <v>39.976790000000001</v>
      </c>
      <c r="W415">
        <v>9.504569</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25.535399999999999</v>
      </c>
      <c r="AN415">
        <v>21.155560000000001</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56.723089999999999</v>
      </c>
      <c r="M416">
        <v>45.363300000000002</v>
      </c>
      <c r="N416"/>
      <c r="O416">
        <v>29.399819999999998</v>
      </c>
      <c r="P416"/>
      <c r="Q416"/>
      <c r="R416">
        <v>44.831290000000003</v>
      </c>
      <c r="S416">
        <v>51.354509999999998</v>
      </c>
      <c r="T416"/>
      <c r="U416">
        <v>46.37256</v>
      </c>
      <c r="V416">
        <v>40.220950000000002</v>
      </c>
      <c r="W416">
        <v>9.5088919999999995</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25.729620000000001</v>
      </c>
      <c r="AN416">
        <v>21.289639999999999</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56.916739999999997</v>
      </c>
      <c r="M417">
        <v>45.52628</v>
      </c>
      <c r="N417"/>
      <c r="O417">
        <v>29.62773</v>
      </c>
      <c r="P417"/>
      <c r="Q417"/>
      <c r="R417">
        <v>44.957979999999999</v>
      </c>
      <c r="S417">
        <v>51.591679999999997</v>
      </c>
      <c r="T417"/>
      <c r="U417">
        <v>46.501170000000002</v>
      </c>
      <c r="V417">
        <v>40.4236</v>
      </c>
      <c r="W417">
        <v>9.4320579999999996</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25.884699999999999</v>
      </c>
      <c r="AN417">
        <v>21.407800000000002</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57.0685</v>
      </c>
      <c r="M418">
        <v>45.797350000000002</v>
      </c>
      <c r="N418"/>
      <c r="O418">
        <v>29.982769999999999</v>
      </c>
      <c r="P418"/>
      <c r="Q418"/>
      <c r="R418">
        <v>45.281649999999999</v>
      </c>
      <c r="S418">
        <v>51.944580000000002</v>
      </c>
      <c r="T418"/>
      <c r="U418">
        <v>46.851439999999997</v>
      </c>
      <c r="V418">
        <v>40.5533</v>
      </c>
      <c r="W418">
        <v>9.7758240000000001</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26.136430000000001</v>
      </c>
      <c r="AN418">
        <v>21.58032</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57.102870000000003</v>
      </c>
      <c r="M419">
        <v>46.125979999999998</v>
      </c>
      <c r="N419"/>
      <c r="O419">
        <v>30.337209999999999</v>
      </c>
      <c r="P419"/>
      <c r="Q419"/>
      <c r="R419">
        <v>45.403869999999998</v>
      </c>
      <c r="S419">
        <v>52.335819999999998</v>
      </c>
      <c r="T419"/>
      <c r="U419">
        <v>47.15099</v>
      </c>
      <c r="V419">
        <v>40.706290000000003</v>
      </c>
      <c r="W419">
        <v>10.050090000000001</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26.405380000000001</v>
      </c>
      <c r="AN419">
        <v>21.806339999999999</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57.180590000000002</v>
      </c>
      <c r="M420">
        <v>46.626530000000002</v>
      </c>
      <c r="N420"/>
      <c r="O420">
        <v>30.66705</v>
      </c>
      <c r="P420"/>
      <c r="Q420"/>
      <c r="R420">
        <v>45.865659999999998</v>
      </c>
      <c r="S420">
        <v>52.565379999999998</v>
      </c>
      <c r="T420"/>
      <c r="U420">
        <v>47.355580000000003</v>
      </c>
      <c r="V420">
        <v>40.837670000000003</v>
      </c>
      <c r="W420">
        <v>10.143549999999999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26.6477</v>
      </c>
      <c r="AN420">
        <v>21.991420000000002</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57.304769999999998</v>
      </c>
      <c r="M421">
        <v>46.682380000000002</v>
      </c>
      <c r="N421"/>
      <c r="O421">
        <v>30.786429999999999</v>
      </c>
      <c r="P421"/>
      <c r="Q421"/>
      <c r="R421">
        <v>45.973730000000003</v>
      </c>
      <c r="S421">
        <v>52.756720000000001</v>
      </c>
      <c r="T421"/>
      <c r="U421">
        <v>47.409480000000002</v>
      </c>
      <c r="V421">
        <v>40.91039</v>
      </c>
      <c r="W421">
        <v>10.295999999999999</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26.79674</v>
      </c>
      <c r="AN421">
        <v>22.12266</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57.472020000000001</v>
      </c>
      <c r="M422">
        <v>46.795009999999998</v>
      </c>
      <c r="N422"/>
      <c r="O422">
        <v>31.19537</v>
      </c>
      <c r="P422"/>
      <c r="Q422"/>
      <c r="R422">
        <v>46.413319999999999</v>
      </c>
      <c r="S422">
        <v>53.151899999999998</v>
      </c>
      <c r="T422"/>
      <c r="U422">
        <v>47.568150000000003</v>
      </c>
      <c r="V422">
        <v>40.823360000000001</v>
      </c>
      <c r="W422">
        <v>10.44252</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26.977309999999999</v>
      </c>
      <c r="AN422">
        <v>22.288</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57.630560000000003</v>
      </c>
      <c r="M423">
        <v>47.196750000000002</v>
      </c>
      <c r="N423"/>
      <c r="O423">
        <v>31.422360000000001</v>
      </c>
      <c r="P423"/>
      <c r="Q423"/>
      <c r="R423">
        <v>46.568989999999999</v>
      </c>
      <c r="S423">
        <v>53.420200000000001</v>
      </c>
      <c r="T423"/>
      <c r="U423">
        <v>47.734870000000001</v>
      </c>
      <c r="V423">
        <v>41.03443</v>
      </c>
      <c r="W423">
        <v>10.48429</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27.138269999999999</v>
      </c>
      <c r="AN423">
        <v>22.417310000000001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57.751060000000003</v>
      </c>
      <c r="M424">
        <v>47.295630000000003</v>
      </c>
      <c r="N424"/>
      <c r="O424">
        <v>31.749590000000001</v>
      </c>
      <c r="P424"/>
      <c r="Q424"/>
      <c r="R424">
        <v>46.84919</v>
      </c>
      <c r="S424">
        <v>53.78492</v>
      </c>
      <c r="T424"/>
      <c r="U424">
        <v>47.904020000000003</v>
      </c>
      <c r="V424">
        <v>41.12135</v>
      </c>
      <c r="W424">
        <v>10.84911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27.308859999999999</v>
      </c>
      <c r="AN424">
        <v>22.558959999999999</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57.802819999999997</v>
      </c>
      <c r="M425">
        <v>47.458480000000002</v>
      </c>
      <c r="N425"/>
      <c r="O425">
        <v>31.931249999999999</v>
      </c>
      <c r="P425"/>
      <c r="Q425"/>
      <c r="R425">
        <v>47.107810000000001</v>
      </c>
      <c r="S425">
        <v>54.16066</v>
      </c>
      <c r="T425"/>
      <c r="U425">
        <v>48.175040000000003</v>
      </c>
      <c r="V425">
        <v>41.756900000000002</v>
      </c>
      <c r="W425">
        <v>10.99541</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27.52309</v>
      </c>
      <c r="AN425">
        <v>22.7437</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57.890729999999998</v>
      </c>
      <c r="M426">
        <v>48.101489999999998</v>
      </c>
      <c r="N426"/>
      <c r="O426">
        <v>32.168680000000002</v>
      </c>
      <c r="P426"/>
      <c r="Q426"/>
      <c r="R426">
        <v>47.66169</v>
      </c>
      <c r="S426">
        <v>54.481459999999998</v>
      </c>
      <c r="T426"/>
      <c r="U426">
        <v>48.430059999999997</v>
      </c>
      <c r="V426">
        <v>41.890749999999997</v>
      </c>
      <c r="W426">
        <v>11.092980000000001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27.706340000000001</v>
      </c>
      <c r="AN426">
        <v>22.8659</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58.082160000000002</v>
      </c>
      <c r="M427">
        <v>48.406930000000003</v>
      </c>
      <c r="N427"/>
      <c r="O427">
        <v>32.349559999999997</v>
      </c>
      <c r="P427"/>
      <c r="Q427"/>
      <c r="R427">
        <v>47.774979999999999</v>
      </c>
      <c r="S427">
        <v>54.727600000000002</v>
      </c>
      <c r="T427"/>
      <c r="U427">
        <v>48.550049999999999</v>
      </c>
      <c r="V427">
        <v>41.972639999999998</v>
      </c>
      <c r="W427">
        <v>11.26586</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27.883099999999999</v>
      </c>
      <c r="AN427">
        <v>23.072939999999999</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58.056350000000002</v>
      </c>
      <c r="M428">
        <v>48.307569999999998</v>
      </c>
      <c r="N428"/>
      <c r="O428">
        <v>32.593600000000002</v>
      </c>
      <c r="P428"/>
      <c r="Q428"/>
      <c r="R428">
        <v>47.89087</v>
      </c>
      <c r="S428">
        <v>55.028269999999999</v>
      </c>
      <c r="T428"/>
      <c r="U428">
        <v>48.669919999999998</v>
      </c>
      <c r="V428">
        <v>41.976430000000001</v>
      </c>
      <c r="W428">
        <v>11.279109999999999</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28.005379999999999</v>
      </c>
      <c r="AN428">
        <v>23.124220000000001</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57.972000000000001</v>
      </c>
      <c r="M429">
        <v>48.508980000000001</v>
      </c>
      <c r="N429"/>
      <c r="O429">
        <v>32.739220000000003</v>
      </c>
      <c r="P429"/>
      <c r="Q429"/>
      <c r="R429">
        <v>48.056480000000001</v>
      </c>
      <c r="S429">
        <v>55.263249999999999</v>
      </c>
      <c r="T429"/>
      <c r="U429">
        <v>48.808070000000001</v>
      </c>
      <c r="V429">
        <v>42.594169999999998</v>
      </c>
      <c r="W429">
        <v>11.143980000000001</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28.13926</v>
      </c>
      <c r="AN429">
        <v>23.247499999999999</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58.067129999999999</v>
      </c>
      <c r="M430">
        <v>48.829039999999999</v>
      </c>
      <c r="N430"/>
      <c r="O430">
        <v>33.012920000000001</v>
      </c>
      <c r="P430"/>
      <c r="Q430"/>
      <c r="R430">
        <v>48.315489999999997</v>
      </c>
      <c r="S430">
        <v>55.511290000000002</v>
      </c>
      <c r="T430"/>
      <c r="U430">
        <v>49.142740000000003</v>
      </c>
      <c r="V430">
        <v>42.796509999999998</v>
      </c>
      <c r="W430">
        <v>11.54388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28.401039999999998</v>
      </c>
      <c r="AN430">
        <v>23.42897</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58.365789999999997</v>
      </c>
      <c r="M431">
        <v>49.110239999999997</v>
      </c>
      <c r="N431"/>
      <c r="O431">
        <v>33.324489999999997</v>
      </c>
      <c r="P431"/>
      <c r="Q431"/>
      <c r="R431">
        <v>48.512230000000002</v>
      </c>
      <c r="S431">
        <v>55.826639999999998</v>
      </c>
      <c r="T431"/>
      <c r="U431">
        <v>49.416620000000002</v>
      </c>
      <c r="V431">
        <v>43.032490000000003</v>
      </c>
      <c r="W431">
        <v>11.853429999999999</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28.654589999999999</v>
      </c>
      <c r="AN431">
        <v>23.65682</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58.484659999999998</v>
      </c>
      <c r="M432">
        <v>49.472180000000002</v>
      </c>
      <c r="N432"/>
      <c r="O432">
        <v>33.570720000000001</v>
      </c>
      <c r="P432"/>
      <c r="Q432"/>
      <c r="R432">
        <v>48.59308</v>
      </c>
      <c r="S432">
        <v>55.98818</v>
      </c>
      <c r="T432"/>
      <c r="U432">
        <v>49.54148</v>
      </c>
      <c r="V432">
        <v>43.170229999999997</v>
      </c>
      <c r="W432">
        <v>11.95213</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28.81345</v>
      </c>
      <c r="AN432">
        <v>23.816870000000002</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58.551920000000003</v>
      </c>
      <c r="M433">
        <v>49.408180000000002</v>
      </c>
      <c r="N433"/>
      <c r="O433">
        <v>33.77787</v>
      </c>
      <c r="P433"/>
      <c r="Q433"/>
      <c r="R433">
        <v>48.723640000000003</v>
      </c>
      <c r="S433">
        <v>56.147150000000003</v>
      </c>
      <c r="T433"/>
      <c r="U433">
        <v>49.633540000000004</v>
      </c>
      <c r="V433">
        <v>43.063189999999999</v>
      </c>
      <c r="W433">
        <v>12.13814</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28.962599999999998</v>
      </c>
      <c r="AN433">
        <v>23.947500000000002</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58.776229999999998</v>
      </c>
      <c r="M434">
        <v>49.61401</v>
      </c>
      <c r="N434"/>
      <c r="O434">
        <v>34.208919999999999</v>
      </c>
      <c r="P434"/>
      <c r="Q434"/>
      <c r="R434">
        <v>49.25488</v>
      </c>
      <c r="S434">
        <v>56.404699999999998</v>
      </c>
      <c r="T434"/>
      <c r="U434">
        <v>49.759799999999998</v>
      </c>
      <c r="V434">
        <v>43.193809999999999</v>
      </c>
      <c r="W434">
        <v>12.443479999999999</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29.180610000000001</v>
      </c>
      <c r="AN434">
        <v>24.17475</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58.948639999999997</v>
      </c>
      <c r="M435">
        <v>49.775530000000003</v>
      </c>
      <c r="N435"/>
      <c r="O435">
        <v>34.479599999999998</v>
      </c>
      <c r="P435"/>
      <c r="Q435"/>
      <c r="R435">
        <v>49.349490000000003</v>
      </c>
      <c r="S435">
        <v>56.676130000000001</v>
      </c>
      <c r="T435"/>
      <c r="U435">
        <v>49.98001</v>
      </c>
      <c r="V435">
        <v>43.575670000000002</v>
      </c>
      <c r="W435">
        <v>12.365360000000001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29.370049999999999</v>
      </c>
      <c r="AN435">
        <v>24.346609999999998</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59.109099999999998</v>
      </c>
      <c r="M436">
        <v>50.100380000000001</v>
      </c>
      <c r="N436"/>
      <c r="O436">
        <v>34.693069999999999</v>
      </c>
      <c r="P436"/>
      <c r="Q436"/>
      <c r="R436">
        <v>49.634979999999999</v>
      </c>
      <c r="S436">
        <v>56.976509999999998</v>
      </c>
      <c r="T436"/>
      <c r="U436">
        <v>50.210619999999999</v>
      </c>
      <c r="V436">
        <v>43.932659999999998</v>
      </c>
      <c r="W436">
        <v>12.750439999999999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29.589310000000001</v>
      </c>
      <c r="AN436">
        <v>24.544080000000001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59.248469999999998</v>
      </c>
      <c r="M437">
        <v>50.258940000000003</v>
      </c>
      <c r="N437"/>
      <c r="O437">
        <v>35.04683</v>
      </c>
      <c r="P437"/>
      <c r="Q437"/>
      <c r="R437">
        <v>49.893549999999998</v>
      </c>
      <c r="S437">
        <v>57.381340000000002</v>
      </c>
      <c r="T437"/>
      <c r="U437">
        <v>50.491259999999997</v>
      </c>
      <c r="V437">
        <v>44.999400000000001</v>
      </c>
      <c r="W437">
        <v>12.87871</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29.801159999999999</v>
      </c>
      <c r="AN437">
        <v>24.72964</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59.29833</v>
      </c>
      <c r="M438">
        <v>50.789470000000001</v>
      </c>
      <c r="N438"/>
      <c r="O438">
        <v>35.226059999999997</v>
      </c>
      <c r="P438"/>
      <c r="Q438"/>
      <c r="R438">
        <v>49.9392</v>
      </c>
      <c r="S438">
        <v>57.670729999999999</v>
      </c>
      <c r="T438"/>
      <c r="U438">
        <v>50.687289999999997</v>
      </c>
      <c r="V438">
        <v>45.209890000000001</v>
      </c>
      <c r="W438">
        <v>13.013809999999999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29.970649999999999</v>
      </c>
      <c r="AN438">
        <v>24.870509999999999</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59.363819999999997</v>
      </c>
      <c r="M439">
        <v>50.860329999999998</v>
      </c>
      <c r="N439"/>
      <c r="O439">
        <v>35.350029999999997</v>
      </c>
      <c r="P439"/>
      <c r="Q439"/>
      <c r="R439">
        <v>50.074559999999998</v>
      </c>
      <c r="S439">
        <v>57.923000000000002</v>
      </c>
      <c r="T439"/>
      <c r="U439">
        <v>50.80021</v>
      </c>
      <c r="V439">
        <v>45.305320000000002</v>
      </c>
      <c r="W439">
        <v>13.26235</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30.10735</v>
      </c>
      <c r="AN439">
        <v>25.005330000000001</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59.398479999999999</v>
      </c>
      <c r="M440">
        <v>50.682490000000001</v>
      </c>
      <c r="N440"/>
      <c r="O440">
        <v>35.518509999999999</v>
      </c>
      <c r="P440"/>
      <c r="Q440"/>
      <c r="R440">
        <v>50.043210000000002</v>
      </c>
      <c r="S440">
        <v>58.217570000000002</v>
      </c>
      <c r="T440"/>
      <c r="U440">
        <v>50.90128</v>
      </c>
      <c r="V440">
        <v>45.342210000000001</v>
      </c>
      <c r="W440">
        <v>13.19726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30.24757</v>
      </c>
      <c r="AN440">
        <v>25.07714</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59.262500000000003</v>
      </c>
      <c r="M441">
        <v>50.676200000000001</v>
      </c>
      <c r="N441"/>
      <c r="O441">
        <v>35.62209</v>
      </c>
      <c r="P441"/>
      <c r="Q441"/>
      <c r="R441">
        <v>50.14555</v>
      </c>
      <c r="S441">
        <v>58.336570000000002</v>
      </c>
      <c r="T441"/>
      <c r="U441">
        <v>50.998690000000003</v>
      </c>
      <c r="V441">
        <v>45.536610000000003</v>
      </c>
      <c r="W441">
        <v>13.142110000000001</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30.385449999999999</v>
      </c>
      <c r="AN441">
        <v>25.132860000000001</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59.259250000000002</v>
      </c>
      <c r="M442">
        <v>50.989960000000004</v>
      </c>
      <c r="N442"/>
      <c r="O442">
        <v>35.991849999999999</v>
      </c>
      <c r="P442"/>
      <c r="Q442"/>
      <c r="R442">
        <v>50.51482</v>
      </c>
      <c r="S442">
        <v>58.498010000000001</v>
      </c>
      <c r="T442"/>
      <c r="U442">
        <v>51.202240000000003</v>
      </c>
      <c r="V442">
        <v>45.486469999999997</v>
      </c>
      <c r="W442">
        <v>13.84726</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30.612300000000001</v>
      </c>
      <c r="AN442">
        <v>25.27515</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59.393770000000004</v>
      </c>
      <c r="M443">
        <v>51.179690000000001</v>
      </c>
      <c r="N443"/>
      <c r="O443">
        <v>36.235860000000002</v>
      </c>
      <c r="P443"/>
      <c r="Q443"/>
      <c r="R443">
        <v>50.577539999999999</v>
      </c>
      <c r="S443">
        <v>58.732599999999998</v>
      </c>
      <c r="T443"/>
      <c r="U443">
        <v>51.496920000000003</v>
      </c>
      <c r="V443">
        <v>45.664659999999998</v>
      </c>
      <c r="W443">
        <v>14.34013</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30.925640000000001</v>
      </c>
      <c r="AN443">
        <v>25.541730000000001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59.412790000000001</v>
      </c>
      <c r="M444">
        <v>51.455269999999999</v>
      </c>
      <c r="N444"/>
      <c r="O444">
        <v>36.530880000000003</v>
      </c>
      <c r="P444"/>
      <c r="Q444"/>
      <c r="R444">
        <v>50.618819999999999</v>
      </c>
      <c r="S444">
        <v>58.873890000000003</v>
      </c>
      <c r="T444"/>
      <c r="U444">
        <v>51.671779999999998</v>
      </c>
      <c r="V444">
        <v>45.810470000000002</v>
      </c>
      <c r="W444">
        <v>14.70632</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31.17802</v>
      </c>
      <c r="AN444">
        <v>25.769739999999999</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59.543610000000001</v>
      </c>
      <c r="M445">
        <v>51.432899999999997</v>
      </c>
      <c r="N445"/>
      <c r="O445">
        <v>36.743279999999999</v>
      </c>
      <c r="P445"/>
      <c r="Q445"/>
      <c r="R445">
        <v>50.72777</v>
      </c>
      <c r="S445">
        <v>58.997790000000002</v>
      </c>
      <c r="T445"/>
      <c r="U445">
        <v>51.743009999999998</v>
      </c>
      <c r="V445">
        <v>45.823779999999999</v>
      </c>
      <c r="W445">
        <v>15.22101</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31.370909999999999</v>
      </c>
      <c r="AN445">
        <v>25.904699999999998</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59.831209999999999</v>
      </c>
      <c r="M446">
        <v>51.22831</v>
      </c>
      <c r="N446"/>
      <c r="O446">
        <v>37.723460000000003</v>
      </c>
      <c r="P446"/>
      <c r="Q446"/>
      <c r="R446">
        <v>51.024839999999998</v>
      </c>
      <c r="S446">
        <v>59.232259999999997</v>
      </c>
      <c r="T446"/>
      <c r="U446">
        <v>51.868690000000001</v>
      </c>
      <c r="V446">
        <v>45.89873</v>
      </c>
      <c r="W446">
        <v>15.634589999999999</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31.62039</v>
      </c>
      <c r="AN446">
        <v>26.109500000000001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59.80836</v>
      </c>
      <c r="M447">
        <v>51.448329999999999</v>
      </c>
      <c r="N447"/>
      <c r="O447">
        <v>38.02093</v>
      </c>
      <c r="P447"/>
      <c r="Q447"/>
      <c r="R447">
        <v>51.256480000000003</v>
      </c>
      <c r="S447">
        <v>59.304389999999998</v>
      </c>
      <c r="T447"/>
      <c r="U447">
        <v>52.003329999999998</v>
      </c>
      <c r="V447">
        <v>46.154769999999999</v>
      </c>
      <c r="W447">
        <v>15.4217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31.78491</v>
      </c>
      <c r="AN447">
        <v>26.21245</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59.618549999999999</v>
      </c>
      <c r="M448">
        <v>51.652819999999998</v>
      </c>
      <c r="N448"/>
      <c r="O448">
        <v>38.460619999999999</v>
      </c>
      <c r="P448"/>
      <c r="Q448"/>
      <c r="R448">
        <v>51.33952</v>
      </c>
      <c r="S448">
        <v>59.536259999999999</v>
      </c>
      <c r="T448"/>
      <c r="U448">
        <v>52.150939999999999</v>
      </c>
      <c r="V448">
        <v>46.29674</v>
      </c>
      <c r="W448">
        <v>16.044630000000002</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31.972270000000002</v>
      </c>
      <c r="AN448">
        <v>26.332699999999999</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59.670020000000001</v>
      </c>
      <c r="M449">
        <v>52.472700000000003</v>
      </c>
      <c r="N449"/>
      <c r="O449">
        <v>38.701949999999997</v>
      </c>
      <c r="P449"/>
      <c r="Q449"/>
      <c r="R449">
        <v>51.497959999999999</v>
      </c>
      <c r="S449">
        <v>59.862229999999997</v>
      </c>
      <c r="T449"/>
      <c r="U449">
        <v>52.39123</v>
      </c>
      <c r="V449">
        <v>46.949809999999999</v>
      </c>
      <c r="W449">
        <v>16.176960000000001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32.20337</v>
      </c>
      <c r="AN449">
        <v>26.473780000000001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59.771349999999998</v>
      </c>
      <c r="M450">
        <v>52.880189999999999</v>
      </c>
      <c r="N450"/>
      <c r="O450">
        <v>38.84422</v>
      </c>
      <c r="P450"/>
      <c r="Q450"/>
      <c r="R450">
        <v>51.522750000000002</v>
      </c>
      <c r="S450">
        <v>60.031950000000002</v>
      </c>
      <c r="T450"/>
      <c r="U450">
        <v>52.534999999999997</v>
      </c>
      <c r="V450">
        <v>47.088500000000003</v>
      </c>
      <c r="W450">
        <v>16.284389999999998</v>
      </c>
      <c r="X450"/>
      <c r="Y450"/>
      <c r="Z450"/>
      <c r="AA450">
        <v>49.5779</v>
      </c>
      <c r="AB450"/>
      <c r="AC450">
        <v>15.08352</v>
      </c>
      <c r="AD450">
        <v>41.43441</v>
      </c>
      <c r="AE450">
        <v>87.433430000000001</v>
      </c>
      <c r="AF450"/>
      <c r="AG450"/>
      <c r="AH450">
        <v>54.212009999999999</v>
      </c>
      <c r="AI450"/>
      <c r="AJ450">
        <v>1.217063</v>
      </c>
      <c r="AK450">
        <v>55.622900000000001</v>
      </c>
      <c r="AL450">
        <v>46.98986</v>
      </c>
      <c r="AM450">
        <v>32.366819999999997</v>
      </c>
      <c r="AN450">
        <v>26.55208</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59.84525</v>
      </c>
      <c r="M451">
        <v>53.013289999999998</v>
      </c>
      <c r="N451"/>
      <c r="O451">
        <v>39.077759999999998</v>
      </c>
      <c r="P451"/>
      <c r="Q451"/>
      <c r="R451">
        <v>51.85398</v>
      </c>
      <c r="S451">
        <v>60.24192</v>
      </c>
      <c r="T451"/>
      <c r="U451">
        <v>52.60848</v>
      </c>
      <c r="V451">
        <v>46.988300000000002</v>
      </c>
      <c r="W451">
        <v>16.631589999999999</v>
      </c>
      <c r="X451"/>
      <c r="Y451"/>
      <c r="Z451"/>
      <c r="AA451">
        <v>49.5779</v>
      </c>
      <c r="AB451"/>
      <c r="AC451">
        <v>15.38721</v>
      </c>
      <c r="AD451">
        <v>41.512529999999998</v>
      </c>
      <c r="AE451">
        <v>87.463070000000002</v>
      </c>
      <c r="AF451"/>
      <c r="AG451"/>
      <c r="AH451">
        <v>54.35472</v>
      </c>
      <c r="AI451"/>
      <c r="AJ451">
        <v>1.291582</v>
      </c>
      <c r="AK451">
        <v>55.410679999999999</v>
      </c>
      <c r="AL451">
        <v>47.77178</v>
      </c>
      <c r="AM451">
        <v>32.556820000000002</v>
      </c>
      <c r="AN451">
        <v>26.669650000000001</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59.793190000000003</v>
      </c>
      <c r="M452">
        <v>52.74924</v>
      </c>
      <c r="N452"/>
      <c r="O452">
        <v>39.278950000000002</v>
      </c>
      <c r="P452"/>
      <c r="Q452"/>
      <c r="R452">
        <v>51.844619999999999</v>
      </c>
      <c r="S452">
        <v>60.469459999999998</v>
      </c>
      <c r="T452"/>
      <c r="U452">
        <v>52.726170000000003</v>
      </c>
      <c r="V452">
        <v>46.948880000000003</v>
      </c>
      <c r="W452">
        <v>16.478940000000001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32.753950000000003</v>
      </c>
      <c r="AN452">
        <v>26.719239999999999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59.643500000000003</v>
      </c>
      <c r="M453">
        <v>52.924129999999998</v>
      </c>
      <c r="N453"/>
      <c r="O453">
        <v>39.375100000000003</v>
      </c>
      <c r="P453"/>
      <c r="Q453"/>
      <c r="R453">
        <v>52.029539999999997</v>
      </c>
      <c r="S453">
        <v>60.618119999999998</v>
      </c>
      <c r="T453"/>
      <c r="U453">
        <v>52.798319999999997</v>
      </c>
      <c r="V453">
        <v>47.128860000000003</v>
      </c>
      <c r="W453">
        <v>16.432870000000001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32.969009999999997</v>
      </c>
      <c r="AN453">
        <v>26.769649999999999</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59.778019999999998</v>
      </c>
      <c r="M454">
        <v>53.389719999999997</v>
      </c>
      <c r="N454"/>
      <c r="O454">
        <v>39.607979999999998</v>
      </c>
      <c r="P454"/>
      <c r="Q454"/>
      <c r="R454">
        <v>52.238610000000001</v>
      </c>
      <c r="S454">
        <v>60.801290000000002</v>
      </c>
      <c r="T454"/>
      <c r="U454">
        <v>53.044910000000002</v>
      </c>
      <c r="V454">
        <v>47.32685</v>
      </c>
      <c r="W454">
        <v>17.111450000000001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33.261299999999999</v>
      </c>
      <c r="AN454">
        <v>26.911100000000001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59.746609999999997</v>
      </c>
      <c r="M455">
        <v>53.521349999999998</v>
      </c>
      <c r="N455"/>
      <c r="O455">
        <v>39.824330000000003</v>
      </c>
      <c r="P455"/>
      <c r="Q455"/>
      <c r="R455">
        <v>52.307369999999999</v>
      </c>
      <c r="S455">
        <v>61.030169999999998</v>
      </c>
      <c r="T455"/>
      <c r="U455">
        <v>53.26793</v>
      </c>
      <c r="V455">
        <v>47.467829999999999</v>
      </c>
      <c r="W455">
        <v>17.643709999999999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33.60895</v>
      </c>
      <c r="AN455">
        <v>27.135390000000001</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59.698239999999998</v>
      </c>
      <c r="M456">
        <v>53.711080000000003</v>
      </c>
      <c r="N456"/>
      <c r="O456">
        <v>40.1526</v>
      </c>
      <c r="P456"/>
      <c r="Q456"/>
      <c r="R456">
        <v>52.307949999999998</v>
      </c>
      <c r="S456">
        <v>61.16386</v>
      </c>
      <c r="T456"/>
      <c r="U456">
        <v>53.411909999999999</v>
      </c>
      <c r="V456">
        <v>47.965739999999997</v>
      </c>
      <c r="W456">
        <v>17.74484</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33.878529999999998</v>
      </c>
      <c r="AN456">
        <v>27.28481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59.794699999999999</v>
      </c>
      <c r="M457">
        <v>53.665149999999997</v>
      </c>
      <c r="N457"/>
      <c r="O457">
        <v>40.289250000000003</v>
      </c>
      <c r="P457"/>
      <c r="Q457"/>
      <c r="R457">
        <v>52.458179999999999</v>
      </c>
      <c r="S457">
        <v>61.257150000000003</v>
      </c>
      <c r="T457"/>
      <c r="U457">
        <v>53.47531</v>
      </c>
      <c r="V457">
        <v>48.096760000000003</v>
      </c>
      <c r="W457">
        <v>17.908429999999999</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34.132820000000002</v>
      </c>
      <c r="AN457">
        <v>27.391690000000001</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60.120780000000003</v>
      </c>
      <c r="M458">
        <v>53.577970000000001</v>
      </c>
      <c r="N458"/>
      <c r="O458">
        <v>40.548229999999997</v>
      </c>
      <c r="P458"/>
      <c r="Q458"/>
      <c r="R458">
        <v>53.112990000000003</v>
      </c>
      <c r="S458">
        <v>61.716360000000002</v>
      </c>
      <c r="T458"/>
      <c r="U458">
        <v>53.61298</v>
      </c>
      <c r="V458">
        <v>48.212620000000001</v>
      </c>
      <c r="W458">
        <v>18.11403</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34.377040000000001</v>
      </c>
      <c r="AN458">
        <v>27.552119999999999</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60.223880000000001</v>
      </c>
      <c r="M459">
        <v>53.748150000000003</v>
      </c>
      <c r="N459"/>
      <c r="O459">
        <v>40.883540000000004</v>
      </c>
      <c r="P459"/>
      <c r="Q459"/>
      <c r="R459">
        <v>53.344639999999998</v>
      </c>
      <c r="S459">
        <v>61.916960000000003</v>
      </c>
      <c r="T459"/>
      <c r="U459">
        <v>53.747079999999997</v>
      </c>
      <c r="V459">
        <v>48.35416</v>
      </c>
      <c r="W459">
        <v>18.17839</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34.58867</v>
      </c>
      <c r="AN459">
        <v>27.691369999999999</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60.291139999999999</v>
      </c>
      <c r="M460">
        <v>54.406030000000001</v>
      </c>
      <c r="N460"/>
      <c r="O460">
        <v>41.082540000000002</v>
      </c>
      <c r="P460"/>
      <c r="Q460"/>
      <c r="R460">
        <v>53.63955</v>
      </c>
      <c r="S460">
        <v>62.069420000000001</v>
      </c>
      <c r="T460"/>
      <c r="U460">
        <v>53.967320000000001</v>
      </c>
      <c r="V460">
        <v>48.48809</v>
      </c>
      <c r="W460">
        <v>18.756239999999998</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34.849820000000001</v>
      </c>
      <c r="AN460">
        <v>27.807220000000001</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60.47034</v>
      </c>
      <c r="M461">
        <v>54.583869999999997</v>
      </c>
      <c r="N461"/>
      <c r="O461">
        <v>41.353299999999997</v>
      </c>
      <c r="P461"/>
      <c r="Q461"/>
      <c r="R461">
        <v>53.875579999999999</v>
      </c>
      <c r="S461">
        <v>62.437130000000003</v>
      </c>
      <c r="T461"/>
      <c r="U461">
        <v>54.287379999999999</v>
      </c>
      <c r="V461">
        <v>49.162019999999998</v>
      </c>
      <c r="W461">
        <v>19.16103</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35.205249999999999</v>
      </c>
      <c r="AN461">
        <v>27.998760000000001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60.444380000000002</v>
      </c>
      <c r="M462">
        <v>55.225299999999997</v>
      </c>
      <c r="N462"/>
      <c r="O462">
        <v>41.493980000000001</v>
      </c>
      <c r="P462"/>
      <c r="Q462"/>
      <c r="R462">
        <v>54.048949999999998</v>
      </c>
      <c r="S462">
        <v>62.564689999999999</v>
      </c>
      <c r="T462"/>
      <c r="U462">
        <v>54.381880000000002</v>
      </c>
      <c r="V462">
        <v>49.190800000000003</v>
      </c>
      <c r="W462">
        <v>19.292940000000002</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35.420520000000003</v>
      </c>
      <c r="AN462">
        <v>28.065259999999999</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60.506610000000002</v>
      </c>
      <c r="M463">
        <v>55.253540000000001</v>
      </c>
      <c r="N463"/>
      <c r="O463">
        <v>41.581719999999997</v>
      </c>
      <c r="P463"/>
      <c r="Q463"/>
      <c r="R463">
        <v>54.294359999999998</v>
      </c>
      <c r="S463">
        <v>62.70299</v>
      </c>
      <c r="T463"/>
      <c r="U463">
        <v>54.447209999999998</v>
      </c>
      <c r="V463">
        <v>49.251579999999997</v>
      </c>
      <c r="W463">
        <v>19.738209999999999</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35.644820000000003</v>
      </c>
      <c r="AN463">
        <v>28.183070000000001</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60.510159999999999</v>
      </c>
      <c r="M464">
        <v>55.114289999999997</v>
      </c>
      <c r="N464"/>
      <c r="O464">
        <v>41.816789999999997</v>
      </c>
      <c r="P464"/>
      <c r="Q464"/>
      <c r="R464">
        <v>54.263019999999997</v>
      </c>
      <c r="S464">
        <v>62.860869999999998</v>
      </c>
      <c r="T464"/>
      <c r="U464">
        <v>54.550269999999998</v>
      </c>
      <c r="V464">
        <v>49.292110000000001</v>
      </c>
      <c r="W464">
        <v>19.56767</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35.916080000000001</v>
      </c>
      <c r="AN464">
        <v>28.25705</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60.515619999999998</v>
      </c>
      <c r="M465">
        <v>55.281559999999999</v>
      </c>
      <c r="N465"/>
      <c r="O465">
        <v>41.880029999999998</v>
      </c>
      <c r="P465"/>
      <c r="Q465"/>
      <c r="R465">
        <v>54.38514</v>
      </c>
      <c r="S465">
        <v>62.989100000000001</v>
      </c>
      <c r="T465"/>
      <c r="U465">
        <v>54.713389999999997</v>
      </c>
      <c r="V465">
        <v>49.45476</v>
      </c>
      <c r="W465">
        <v>19.433769999999999</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36.198950000000004</v>
      </c>
      <c r="AN465">
        <v>28.317360000000001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60.536279999999998</v>
      </c>
      <c r="M466">
        <v>55.733350000000002</v>
      </c>
      <c r="N466"/>
      <c r="O466">
        <v>42.103119999999997</v>
      </c>
      <c r="P466"/>
      <c r="Q466"/>
      <c r="R466">
        <v>54.780790000000003</v>
      </c>
      <c r="S466">
        <v>63.06879</v>
      </c>
      <c r="T466"/>
      <c r="U466">
        <v>54.98104</v>
      </c>
      <c r="V466">
        <v>49.682450000000003</v>
      </c>
      <c r="W466">
        <v>19.887969999999999</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36.569020000000002</v>
      </c>
      <c r="AN466">
        <v>28.482530000000001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60.641579999999998</v>
      </c>
      <c r="M467">
        <v>55.927399999999999</v>
      </c>
      <c r="N467"/>
      <c r="O467">
        <v>42.361989999999999</v>
      </c>
      <c r="P467"/>
      <c r="Q467"/>
      <c r="R467">
        <v>54.84404</v>
      </c>
      <c r="S467">
        <v>63.244500000000002</v>
      </c>
      <c r="T467"/>
      <c r="U467">
        <v>55.242139999999999</v>
      </c>
      <c r="V467">
        <v>49.959350000000001</v>
      </c>
      <c r="W467">
        <v>20.705719999999999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37.00629</v>
      </c>
      <c r="AN467">
        <v>28.69229</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60.672559999999997</v>
      </c>
      <c r="M468">
        <v>56.275419999999997</v>
      </c>
      <c r="N468"/>
      <c r="O468">
        <v>42.532470000000004</v>
      </c>
      <c r="P468"/>
      <c r="Q468"/>
      <c r="R468">
        <v>54.78848</v>
      </c>
      <c r="S468">
        <v>63.322009999999999</v>
      </c>
      <c r="T468"/>
      <c r="U468">
        <v>55.396889999999999</v>
      </c>
      <c r="V468">
        <v>50.222020000000001</v>
      </c>
      <c r="W468">
        <v>20.78989</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37.43956</v>
      </c>
      <c r="AN468">
        <v>28.932659999999998</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60.719009999999997</v>
      </c>
      <c r="M469">
        <v>56.321350000000002</v>
      </c>
      <c r="N469"/>
      <c r="O469">
        <v>42.673020000000001</v>
      </c>
      <c r="P469"/>
      <c r="Q469"/>
      <c r="R469">
        <v>55.020710000000001</v>
      </c>
      <c r="S469">
        <v>63.392879999999998</v>
      </c>
      <c r="T469"/>
      <c r="U469">
        <v>55.380229999999997</v>
      </c>
      <c r="V469">
        <v>50.105539999999998</v>
      </c>
      <c r="W469">
        <v>21.01098</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38.031590000000001</v>
      </c>
      <c r="AN469">
        <v>29.207820000000002</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61.062069999999999</v>
      </c>
      <c r="M470">
        <v>56.473889999999997</v>
      </c>
      <c r="N470"/>
      <c r="O470">
        <v>42.973320000000001</v>
      </c>
      <c r="P470"/>
      <c r="Q470"/>
      <c r="R470">
        <v>55.807020000000001</v>
      </c>
      <c r="S470">
        <v>63.578650000000003</v>
      </c>
      <c r="T470"/>
      <c r="U470">
        <v>55.506729999999997</v>
      </c>
      <c r="V470">
        <v>50.078060000000001</v>
      </c>
      <c r="W470">
        <v>20.942789999999999</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38.363900000000001</v>
      </c>
      <c r="AN470">
        <v>29.365459999999999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61.184330000000003</v>
      </c>
      <c r="M471">
        <v>57.011670000000002</v>
      </c>
      <c r="N471"/>
      <c r="O471">
        <v>43.207180000000001</v>
      </c>
      <c r="P471"/>
      <c r="Q471"/>
      <c r="R471">
        <v>55.942909999999998</v>
      </c>
      <c r="S471">
        <v>63.721040000000002</v>
      </c>
      <c r="T471"/>
      <c r="U471">
        <v>55.644129999999997</v>
      </c>
      <c r="V471">
        <v>50.294359999999998</v>
      </c>
      <c r="W471">
        <v>20.790430000000001</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38.647010000000002</v>
      </c>
      <c r="AN471">
        <v>29.505549999999999</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61.2395</v>
      </c>
      <c r="M472">
        <v>57.266379999999998</v>
      </c>
      <c r="N472"/>
      <c r="O472">
        <v>43.514490000000002</v>
      </c>
      <c r="P472"/>
      <c r="Q472"/>
      <c r="R472">
        <v>56.306069999999998</v>
      </c>
      <c r="S472">
        <v>63.908290000000001</v>
      </c>
      <c r="T472"/>
      <c r="U472">
        <v>55.926270000000002</v>
      </c>
      <c r="V472">
        <v>50.52169</v>
      </c>
      <c r="W472">
        <v>21.581949999999999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38.98274</v>
      </c>
      <c r="AN472">
        <v>29.692889999999998</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61.318840000000002</v>
      </c>
      <c r="M473">
        <v>57.465089999999996</v>
      </c>
      <c r="N473"/>
      <c r="O473">
        <v>43.632919999999999</v>
      </c>
      <c r="P473"/>
      <c r="Q473"/>
      <c r="R473">
        <v>56.841479999999997</v>
      </c>
      <c r="S473">
        <v>64.262410000000003</v>
      </c>
      <c r="T473"/>
      <c r="U473">
        <v>56.199979999999996</v>
      </c>
      <c r="V473">
        <v>51.451099999999997</v>
      </c>
      <c r="W473">
        <v>21.913350000000001</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39.275390000000002</v>
      </c>
      <c r="AN473">
        <v>29.946529999999999</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61.473999999999997</v>
      </c>
      <c r="M474">
        <v>58.158700000000003</v>
      </c>
      <c r="N474"/>
      <c r="O474">
        <v>43.912909999999997</v>
      </c>
      <c r="P474"/>
      <c r="Q474"/>
      <c r="R474">
        <v>57.44182</v>
      </c>
      <c r="S474">
        <v>64.417289999999994</v>
      </c>
      <c r="T474"/>
      <c r="U474">
        <v>56.358319999999999</v>
      </c>
      <c r="V474">
        <v>51.632869999999997</v>
      </c>
      <c r="W474">
        <v>22.003430000000002</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39.458080000000002</v>
      </c>
      <c r="AN474">
        <v>30.105090000000001</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61.532550000000001</v>
      </c>
      <c r="M475">
        <v>58.112769999999998</v>
      </c>
      <c r="N475"/>
      <c r="O475">
        <v>44.14096</v>
      </c>
      <c r="P475"/>
      <c r="Q475"/>
      <c r="R475">
        <v>57.837470000000003</v>
      </c>
      <c r="S475">
        <v>64.579930000000004</v>
      </c>
      <c r="T475"/>
      <c r="U475">
        <v>56.46125</v>
      </c>
      <c r="V475">
        <v>51.801580000000001</v>
      </c>
      <c r="W475">
        <v>22.49757</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39.593020000000003</v>
      </c>
      <c r="AN475">
        <v>30.226769999999998</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61.603349999999999</v>
      </c>
      <c r="M476">
        <v>57.743749999999999</v>
      </c>
      <c r="N476"/>
      <c r="O476">
        <v>44.392940000000003</v>
      </c>
      <c r="P476"/>
      <c r="Q476"/>
      <c r="R476">
        <v>57.933799999999998</v>
      </c>
      <c r="S476">
        <v>64.85463</v>
      </c>
      <c r="T476"/>
      <c r="U476">
        <v>56.57837</v>
      </c>
      <c r="V476">
        <v>51.894289999999998</v>
      </c>
      <c r="W476">
        <v>22.343589999999999</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39.737870000000001</v>
      </c>
      <c r="AN476">
        <v>30.35248</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61.58108</v>
      </c>
      <c r="M477">
        <v>58.148159999999997</v>
      </c>
      <c r="N477"/>
      <c r="O477">
        <v>44.541589999999999</v>
      </c>
      <c r="P477"/>
      <c r="Q477"/>
      <c r="R477">
        <v>58.093389999999999</v>
      </c>
      <c r="S477">
        <v>65.002440000000007</v>
      </c>
      <c r="T477"/>
      <c r="U477">
        <v>56.760689999999997</v>
      </c>
      <c r="V477">
        <v>52.610419999999998</v>
      </c>
      <c r="W477">
        <v>22.119430000000001</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39.898850000000003</v>
      </c>
      <c r="AN477">
        <v>30.50037</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61.720759999999999</v>
      </c>
      <c r="M478">
        <v>58.502220000000001</v>
      </c>
      <c r="N478"/>
      <c r="O478">
        <v>44.792720000000003</v>
      </c>
      <c r="P478"/>
      <c r="Q478"/>
      <c r="R478">
        <v>58.912779999999998</v>
      </c>
      <c r="S478">
        <v>65.153530000000003</v>
      </c>
      <c r="T478"/>
      <c r="U478">
        <v>57.07647</v>
      </c>
      <c r="V478">
        <v>52.886760000000002</v>
      </c>
      <c r="W478">
        <v>22.833559999999999</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40.179259999999999</v>
      </c>
      <c r="AN478">
        <v>30.747710000000001</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61.84657</v>
      </c>
      <c r="M479">
        <v>58.604280000000003</v>
      </c>
      <c r="N479"/>
      <c r="O479">
        <v>45.003129999999999</v>
      </c>
      <c r="P479"/>
      <c r="Q479"/>
      <c r="R479">
        <v>58.912199999999999</v>
      </c>
      <c r="S479">
        <v>65.370720000000006</v>
      </c>
      <c r="T479"/>
      <c r="U479">
        <v>57.412309999999998</v>
      </c>
      <c r="V479">
        <v>53.560749999999999</v>
      </c>
      <c r="W479">
        <v>23.550529999999998</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40.473669999999998</v>
      </c>
      <c r="AN479">
        <v>31.021070000000002</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62.005110000000002</v>
      </c>
      <c r="M480">
        <v>59.116999999999997</v>
      </c>
      <c r="N480"/>
      <c r="O480">
        <v>45.208620000000003</v>
      </c>
      <c r="P480"/>
      <c r="Q480"/>
      <c r="R480">
        <v>59.04316</v>
      </c>
      <c r="S480">
        <v>65.450280000000006</v>
      </c>
      <c r="T480"/>
      <c r="U480">
        <v>57.583689999999997</v>
      </c>
      <c r="V480">
        <v>53.802680000000002</v>
      </c>
      <c r="W480">
        <v>23.648810000000001</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40.660409999999999</v>
      </c>
      <c r="AN480">
        <v>31.234739999999999</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62.091380000000001</v>
      </c>
      <c r="M481">
        <v>59.048839999999998</v>
      </c>
      <c r="N481"/>
      <c r="O481">
        <v>45.432380000000002</v>
      </c>
      <c r="P481"/>
      <c r="Q481"/>
      <c r="R481">
        <v>59.588459999999998</v>
      </c>
      <c r="S481">
        <v>65.517719999999997</v>
      </c>
      <c r="T481"/>
      <c r="U481">
        <v>57.663060000000002</v>
      </c>
      <c r="V481">
        <v>53.91854</v>
      </c>
      <c r="W481">
        <v>23.882660000000001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40.794939999999997</v>
      </c>
      <c r="AN481">
        <v>31.377579999999998</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62.557290000000002</v>
      </c>
      <c r="M482">
        <v>59.15558</v>
      </c>
      <c r="N482"/>
      <c r="O482">
        <v>46.026310000000002</v>
      </c>
      <c r="P482"/>
      <c r="Q482"/>
      <c r="R482">
        <v>59.883459999999999</v>
      </c>
      <c r="S482">
        <v>65.738159999999993</v>
      </c>
      <c r="T482"/>
      <c r="U482">
        <v>57.860999999999997</v>
      </c>
      <c r="V482">
        <v>54.273850000000003</v>
      </c>
      <c r="W482">
        <v>23.632860000000001</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41.029089999999997</v>
      </c>
      <c r="AN482">
        <v>31.648440000000001</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62.738250000000001</v>
      </c>
      <c r="M483">
        <v>59.678750000000001</v>
      </c>
      <c r="N483"/>
      <c r="O483">
        <v>46.228079999999999</v>
      </c>
      <c r="P483"/>
      <c r="Q483"/>
      <c r="R483">
        <v>60.174190000000003</v>
      </c>
      <c r="S483">
        <v>65.898899999999998</v>
      </c>
      <c r="T483"/>
      <c r="U483">
        <v>58.069420000000001</v>
      </c>
      <c r="V483">
        <v>54.699660000000002</v>
      </c>
      <c r="W483">
        <v>23.408550000000002</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41.223750000000003</v>
      </c>
      <c r="AN483">
        <v>31.845099999999999</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62.834850000000003</v>
      </c>
      <c r="M484">
        <v>60.013660000000002</v>
      </c>
      <c r="N484"/>
      <c r="O484">
        <v>46.515680000000003</v>
      </c>
      <c r="P484"/>
      <c r="Q484"/>
      <c r="R484">
        <v>60.902360000000002</v>
      </c>
      <c r="S484">
        <v>66.054739999999995</v>
      </c>
      <c r="T484"/>
      <c r="U484">
        <v>58.336709999999997</v>
      </c>
      <c r="V484">
        <v>54.931809999999999</v>
      </c>
      <c r="W484">
        <v>24.308910000000001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41.457889999999999</v>
      </c>
      <c r="AN484">
        <v>32.023829999999997</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63.21949</v>
      </c>
      <c r="M485">
        <v>60.246929999999999</v>
      </c>
      <c r="N485"/>
      <c r="O485">
        <v>46.792929999999998</v>
      </c>
      <c r="P485"/>
      <c r="Q485"/>
      <c r="R485">
        <v>61.338659999999997</v>
      </c>
      <c r="S485">
        <v>66.349140000000006</v>
      </c>
      <c r="T485"/>
      <c r="U485">
        <v>58.724939999999997</v>
      </c>
      <c r="V485">
        <v>55.887459999999997</v>
      </c>
      <c r="W485">
        <v>24.771879999999999</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41.79157</v>
      </c>
      <c r="AN485">
        <v>32.33708</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63.274509999999999</v>
      </c>
      <c r="M486">
        <v>60.80988</v>
      </c>
      <c r="N486"/>
      <c r="O486">
        <v>46.95722</v>
      </c>
      <c r="P486"/>
      <c r="Q486"/>
      <c r="R486">
        <v>61.695050000000002</v>
      </c>
      <c r="S486">
        <v>66.53013</v>
      </c>
      <c r="T486"/>
      <c r="U486">
        <v>58.923900000000003</v>
      </c>
      <c r="V486">
        <v>56.175370000000001</v>
      </c>
      <c r="W486">
        <v>24.875309999999999</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41.975700000000003</v>
      </c>
      <c r="AN486">
        <v>32.491480000000003</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63.32273</v>
      </c>
      <c r="M487">
        <v>60.760449999999999</v>
      </c>
      <c r="N487"/>
      <c r="O487">
        <v>47.130740000000003</v>
      </c>
      <c r="P487"/>
      <c r="Q487"/>
      <c r="R487">
        <v>62.363889999999998</v>
      </c>
      <c r="S487">
        <v>66.632400000000004</v>
      </c>
      <c r="T487"/>
      <c r="U487">
        <v>59.023960000000002</v>
      </c>
      <c r="V487">
        <v>56.348230000000001</v>
      </c>
      <c r="W487">
        <v>25.183489999999999</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42.09939</v>
      </c>
      <c r="AN487">
        <v>32.626449999999998</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63.284829999999999</v>
      </c>
      <c r="M488">
        <v>60.585470000000001</v>
      </c>
      <c r="N488"/>
      <c r="O488">
        <v>47.342689999999997</v>
      </c>
      <c r="P488"/>
      <c r="Q488"/>
      <c r="R488">
        <v>62.349170000000001</v>
      </c>
      <c r="S488">
        <v>66.902630000000002</v>
      </c>
      <c r="T488"/>
      <c r="U488">
        <v>59.163809999999998</v>
      </c>
      <c r="V488">
        <v>56.47381</v>
      </c>
      <c r="W488">
        <v>25.128889999999998</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42.26831</v>
      </c>
      <c r="AN488">
        <v>32.763100000000001</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63.316099999999999</v>
      </c>
      <c r="M489">
        <v>60.905140000000003</v>
      </c>
      <c r="N489"/>
      <c r="O489">
        <v>47.511400000000002</v>
      </c>
      <c r="P489"/>
      <c r="Q489"/>
      <c r="R489">
        <v>62.390709999999999</v>
      </c>
      <c r="S489">
        <v>67.01361</v>
      </c>
      <c r="T489"/>
      <c r="U489">
        <v>59.265540000000001</v>
      </c>
      <c r="V489">
        <v>56.679099999999998</v>
      </c>
      <c r="W489">
        <v>24.797499999999999</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42.391570000000002</v>
      </c>
      <c r="AN489">
        <v>32.888190000000002</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63.326569999999997</v>
      </c>
      <c r="M490">
        <v>61.17163</v>
      </c>
      <c r="N490"/>
      <c r="O490">
        <v>47.773609999999998</v>
      </c>
      <c r="P490"/>
      <c r="Q490"/>
      <c r="R490">
        <v>63.280470000000001</v>
      </c>
      <c r="S490">
        <v>67.105680000000007</v>
      </c>
      <c r="T490"/>
      <c r="U490">
        <v>59.545059999999999</v>
      </c>
      <c r="V490">
        <v>57.089619999999996</v>
      </c>
      <c r="W490">
        <v>25.844090000000001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42.665649999999999</v>
      </c>
      <c r="AN490">
        <v>33.119309999999999</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63.480089999999997</v>
      </c>
      <c r="M491">
        <v>61.462339999999998</v>
      </c>
      <c r="N491"/>
      <c r="O491">
        <v>48.034570000000002</v>
      </c>
      <c r="P491"/>
      <c r="Q491"/>
      <c r="R491">
        <v>63.449590000000001</v>
      </c>
      <c r="S491">
        <v>67.375209999999996</v>
      </c>
      <c r="T491"/>
      <c r="U491">
        <v>59.876809999999999</v>
      </c>
      <c r="V491">
        <v>57.524830000000001</v>
      </c>
      <c r="W491">
        <v>26.461459999999999</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42.991790000000002</v>
      </c>
      <c r="AN491">
        <v>33.4069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63.597349999999999</v>
      </c>
      <c r="M492">
        <v>61.838479999999997</v>
      </c>
      <c r="N492"/>
      <c r="O492">
        <v>48.272219999999997</v>
      </c>
      <c r="P492"/>
      <c r="Q492"/>
      <c r="R492">
        <v>63.375810000000001</v>
      </c>
      <c r="S492">
        <v>67.459530000000001</v>
      </c>
      <c r="T492"/>
      <c r="U492">
        <v>60.04898</v>
      </c>
      <c r="V492">
        <v>58.049909999999997</v>
      </c>
      <c r="W492">
        <v>26.650980000000001</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43.184980000000003</v>
      </c>
      <c r="AN492">
        <v>33.631030000000003</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63.688929999999999</v>
      </c>
      <c r="M493">
        <v>61.785179999999997</v>
      </c>
      <c r="N493"/>
      <c r="O493">
        <v>48.454239999999999</v>
      </c>
      <c r="P493"/>
      <c r="Q493"/>
      <c r="R493">
        <v>63.688400000000001</v>
      </c>
      <c r="S493">
        <v>67.492710000000002</v>
      </c>
      <c r="T493"/>
      <c r="U493">
        <v>60.141170000000002</v>
      </c>
      <c r="V493">
        <v>58.161810000000003</v>
      </c>
      <c r="W493">
        <v>27.344580000000001</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43.347540000000002</v>
      </c>
      <c r="AN493">
        <v>33.775840000000002</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64.019880000000001</v>
      </c>
      <c r="M494">
        <v>61.614289999999997</v>
      </c>
      <c r="N494"/>
      <c r="O494">
        <v>48.808439999999997</v>
      </c>
      <c r="P494"/>
      <c r="Q494"/>
      <c r="R494">
        <v>64.791340000000005</v>
      </c>
      <c r="S494">
        <v>67.642560000000003</v>
      </c>
      <c r="T494"/>
      <c r="U494">
        <v>60.361930000000001</v>
      </c>
      <c r="V494">
        <v>58.403489999999998</v>
      </c>
      <c r="W494">
        <v>27.1937</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43.666620000000002</v>
      </c>
      <c r="AN494">
        <v>34.020319999999998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64.390230000000003</v>
      </c>
      <c r="M495">
        <v>61.851309999999998</v>
      </c>
      <c r="N495"/>
      <c r="O495">
        <v>49.322690000000001</v>
      </c>
      <c r="P495"/>
      <c r="Q495"/>
      <c r="R495">
        <v>65.00224</v>
      </c>
      <c r="S495">
        <v>67.82799</v>
      </c>
      <c r="T495"/>
      <c r="U495">
        <v>60.651150000000001</v>
      </c>
      <c r="V495">
        <v>58.774769999999997</v>
      </c>
      <c r="W495">
        <v>27.154669999999999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43.929819999999999</v>
      </c>
      <c r="AN495">
        <v>34.259680000000003</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64.390230000000003</v>
      </c>
      <c r="M496">
        <v>62.165320000000001</v>
      </c>
      <c r="N496"/>
      <c r="O496">
        <v>49.622590000000002</v>
      </c>
      <c r="P496"/>
      <c r="Q496"/>
      <c r="R496">
        <v>65.296559999999999</v>
      </c>
      <c r="S496">
        <v>68.080709999999996</v>
      </c>
      <c r="T496"/>
      <c r="U496">
        <v>61.029429999999998</v>
      </c>
      <c r="V496">
        <v>59.453960000000002</v>
      </c>
      <c r="W496">
        <v>28.338239999999999</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44.259549999999997</v>
      </c>
      <c r="AN496">
        <v>34.512830000000001</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64.491839999999996</v>
      </c>
      <c r="M497">
        <v>62.237900000000003</v>
      </c>
      <c r="N497"/>
      <c r="O497">
        <v>49.946190000000001</v>
      </c>
      <c r="P497"/>
      <c r="Q497"/>
      <c r="R497">
        <v>65.579610000000002</v>
      </c>
      <c r="S497">
        <v>68.381839999999997</v>
      </c>
      <c r="T497"/>
      <c r="U497">
        <v>61.385350000000003</v>
      </c>
      <c r="V497">
        <v>61.426090000000002</v>
      </c>
      <c r="W497">
        <v>28.879259999999999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44.592559999999999</v>
      </c>
      <c r="AN497">
        <v>34.883389999999999</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64.645229999999998</v>
      </c>
      <c r="M498">
        <v>62.861629999999998</v>
      </c>
      <c r="N498"/>
      <c r="O498">
        <v>50.168700000000001</v>
      </c>
      <c r="P498"/>
      <c r="Q498"/>
      <c r="R498">
        <v>65.848969999999994</v>
      </c>
      <c r="S498">
        <v>68.53904</v>
      </c>
      <c r="T498"/>
      <c r="U498">
        <v>61.549079999999996</v>
      </c>
      <c r="V498">
        <v>61.927219999999998</v>
      </c>
      <c r="W498">
        <v>29.403649999999999</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44.785649999999997</v>
      </c>
      <c r="AN498">
        <v>35.077959999999997</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64.762479999999996</v>
      </c>
      <c r="M499">
        <v>62.817149999999998</v>
      </c>
      <c r="N499"/>
      <c r="O499">
        <v>50.381979999999999</v>
      </c>
      <c r="P499"/>
      <c r="Q499"/>
      <c r="R499">
        <v>66.271000000000001</v>
      </c>
      <c r="S499">
        <v>68.693989999999999</v>
      </c>
      <c r="T499"/>
      <c r="U499">
        <v>61.711779999999997</v>
      </c>
      <c r="V499">
        <v>62.211669999999998</v>
      </c>
      <c r="W499">
        <v>30.06664</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44.970300000000002</v>
      </c>
      <c r="AN499">
        <v>35.234760000000001</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64.791830000000004</v>
      </c>
      <c r="M500">
        <v>62.446390000000001</v>
      </c>
      <c r="N500"/>
      <c r="O500">
        <v>50.646180000000001</v>
      </c>
      <c r="P500"/>
      <c r="Q500"/>
      <c r="R500">
        <v>66.239729999999994</v>
      </c>
      <c r="S500">
        <v>68.849130000000002</v>
      </c>
      <c r="T500"/>
      <c r="U500">
        <v>61.902970000000003</v>
      </c>
      <c r="V500">
        <v>62.377899999999997</v>
      </c>
      <c r="W500">
        <v>29.836739999999999</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45.158149999999999</v>
      </c>
      <c r="AN500">
        <v>35.344360000000002</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64.890640000000005</v>
      </c>
      <c r="M501">
        <v>62.939019999999999</v>
      </c>
      <c r="N501"/>
      <c r="O501">
        <v>50.700530000000001</v>
      </c>
      <c r="P501"/>
      <c r="Q501"/>
      <c r="R501">
        <v>66.540539999999993</v>
      </c>
      <c r="S501">
        <v>69.054450000000003</v>
      </c>
      <c r="T501"/>
      <c r="U501">
        <v>62.18412</v>
      </c>
      <c r="V501">
        <v>62.827100000000002</v>
      </c>
      <c r="W501">
        <v>29.579499999999999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45.39725</v>
      </c>
      <c r="AN501">
        <v>35.52037</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65.118510000000001</v>
      </c>
      <c r="M502">
        <v>63.412619999999997</v>
      </c>
      <c r="N502"/>
      <c r="O502">
        <v>50.947299999999998</v>
      </c>
      <c r="P502"/>
      <c r="Q502"/>
      <c r="R502">
        <v>66.938500000000005</v>
      </c>
      <c r="S502">
        <v>69.265379999999993</v>
      </c>
      <c r="T502"/>
      <c r="U502">
        <v>62.513739999999999</v>
      </c>
      <c r="V502">
        <v>63.285339999999998</v>
      </c>
      <c r="W502">
        <v>30.8414</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45.755560000000003</v>
      </c>
      <c r="AN502">
        <v>35.889949999999999</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65.463909999999998</v>
      </c>
      <c r="M503">
        <v>63.449440000000003</v>
      </c>
      <c r="N503"/>
      <c r="O503">
        <v>51.19876</v>
      </c>
      <c r="P503"/>
      <c r="Q503"/>
      <c r="R503">
        <v>66.987009999999998</v>
      </c>
      <c r="S503">
        <v>69.526539999999997</v>
      </c>
      <c r="T503"/>
      <c r="U503">
        <v>62.816479999999999</v>
      </c>
      <c r="V503">
        <v>63.766970000000001</v>
      </c>
      <c r="W503">
        <v>31.763310000000001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46.090539999999997</v>
      </c>
      <c r="AN503">
        <v>36.236899999999999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65.391199999999998</v>
      </c>
      <c r="M504">
        <v>63.666379999999997</v>
      </c>
      <c r="N504"/>
      <c r="O504">
        <v>51.442869999999999</v>
      </c>
      <c r="P504"/>
      <c r="Q504"/>
      <c r="R504">
        <v>66.976219999999998</v>
      </c>
      <c r="S504">
        <v>69.607770000000002</v>
      </c>
      <c r="T504"/>
      <c r="U504">
        <v>62.96799</v>
      </c>
      <c r="V504">
        <v>63.708550000000002</v>
      </c>
      <c r="W504">
        <v>32.280140000000003</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46.31953</v>
      </c>
      <c r="AN504">
        <v>36.444330000000001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65.447980000000001</v>
      </c>
      <c r="M505">
        <v>63.548949999999998</v>
      </c>
      <c r="N505"/>
      <c r="O505">
        <v>51.676189999999998</v>
      </c>
      <c r="P505"/>
      <c r="Q505"/>
      <c r="R505">
        <v>66.980369999999994</v>
      </c>
      <c r="S505">
        <v>69.696190000000001</v>
      </c>
      <c r="T505"/>
      <c r="U505">
        <v>63.02787</v>
      </c>
      <c r="V505">
        <v>63.746490000000001</v>
      </c>
      <c r="W505">
        <v>32.97372</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46.460859999999997</v>
      </c>
      <c r="AN505">
        <v>36.557789999999997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65.737930000000006</v>
      </c>
      <c r="M506">
        <v>63.561109999999999</v>
      </c>
      <c r="N506"/>
      <c r="O506">
        <v>52.481900000000003</v>
      </c>
      <c r="P506"/>
      <c r="Q506"/>
      <c r="R506">
        <v>68.137540000000001</v>
      </c>
      <c r="S506">
        <v>70.031419999999997</v>
      </c>
      <c r="T506"/>
      <c r="U506">
        <v>63.387720000000002</v>
      </c>
      <c r="V506">
        <v>63.871630000000003</v>
      </c>
      <c r="W506">
        <v>32.730930000000001</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46.83887</v>
      </c>
      <c r="AN506">
        <v>36.8307</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66.044690000000003</v>
      </c>
      <c r="M507">
        <v>63.864550000000001</v>
      </c>
      <c r="N507"/>
      <c r="O507">
        <v>52.797080000000001</v>
      </c>
      <c r="P507"/>
      <c r="Q507"/>
      <c r="R507">
        <v>68.571150000000003</v>
      </c>
      <c r="S507">
        <v>70.268590000000003</v>
      </c>
      <c r="T507"/>
      <c r="U507">
        <v>63.700539999999997</v>
      </c>
      <c r="V507">
        <v>64.260549999999995</v>
      </c>
      <c r="W507">
        <v>32.437890000000003</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47.143360000000001</v>
      </c>
      <c r="AN507">
        <v>37.112679999999997</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66.174049999999994</v>
      </c>
      <c r="M508">
        <v>64.180160000000001</v>
      </c>
      <c r="N508"/>
      <c r="O508">
        <v>53.097090000000001</v>
      </c>
      <c r="P508"/>
      <c r="Q508"/>
      <c r="R508">
        <v>68.822270000000003</v>
      </c>
      <c r="S508">
        <v>70.454629999999995</v>
      </c>
      <c r="T508"/>
      <c r="U508">
        <v>63.983049999999999</v>
      </c>
      <c r="V508">
        <v>64.586089999999999</v>
      </c>
      <c r="W508">
        <v>33.236919999999998</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47.420349999999999</v>
      </c>
      <c r="AN508">
        <v>37.339779999999998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66.417689999999993</v>
      </c>
      <c r="M509">
        <v>64.251279999999994</v>
      </c>
      <c r="N509"/>
      <c r="O509">
        <v>53.386969999999998</v>
      </c>
      <c r="P509"/>
      <c r="Q509"/>
      <c r="R509">
        <v>69.098619999999997</v>
      </c>
      <c r="S509">
        <v>70.648070000000004</v>
      </c>
      <c r="T509"/>
      <c r="U509">
        <v>64.192970000000003</v>
      </c>
      <c r="V509">
        <v>65.192310000000006</v>
      </c>
      <c r="W509">
        <v>34.413170000000001</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47.667369999999998</v>
      </c>
      <c r="AN509">
        <v>37.640540000000001</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66.571520000000007</v>
      </c>
      <c r="M510">
        <v>64.716489999999993</v>
      </c>
      <c r="N510"/>
      <c r="O510">
        <v>53.58549</v>
      </c>
      <c r="P510"/>
      <c r="Q510"/>
      <c r="R510">
        <v>69.51473</v>
      </c>
      <c r="S510">
        <v>70.839160000000007</v>
      </c>
      <c r="T510"/>
      <c r="U510">
        <v>64.380840000000006</v>
      </c>
      <c r="V510">
        <v>65.331130000000002</v>
      </c>
      <c r="W510">
        <v>34.595309999999998</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47.871609999999997</v>
      </c>
      <c r="AN510">
        <v>37.870869999999996</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66.979020000000006</v>
      </c>
      <c r="M511">
        <v>64.764039999999994</v>
      </c>
      <c r="N511"/>
      <c r="O511">
        <v>53.767359999999996</v>
      </c>
      <c r="P511"/>
      <c r="Q511"/>
      <c r="R511">
        <v>69.488230000000001</v>
      </c>
      <c r="S511">
        <v>71.014719999999997</v>
      </c>
      <c r="T511"/>
      <c r="U511">
        <v>64.512749999999997</v>
      </c>
      <c r="V511">
        <v>65.549970000000002</v>
      </c>
      <c r="W511">
        <v>35.148539999999997</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48.041240000000002</v>
      </c>
      <c r="AN511">
        <v>38.107959999999999</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67.515370000000004</v>
      </c>
      <c r="M512">
        <v>64.399429999999995</v>
      </c>
      <c r="N512"/>
      <c r="O512">
        <v>53.998179999999998</v>
      </c>
      <c r="P512"/>
      <c r="Q512"/>
      <c r="R512">
        <v>69.185419999999993</v>
      </c>
      <c r="S512">
        <v>71.196070000000006</v>
      </c>
      <c r="T512"/>
      <c r="U512">
        <v>64.695149999999998</v>
      </c>
      <c r="V512">
        <v>65.425820000000002</v>
      </c>
      <c r="W512">
        <v>35.162010000000002</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48.229959999999998</v>
      </c>
      <c r="AN512">
        <v>38.3063</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67.632230000000007</v>
      </c>
      <c r="M513">
        <v>64.549000000000007</v>
      </c>
      <c r="N513"/>
      <c r="O513">
        <v>54.153390000000002</v>
      </c>
      <c r="P513"/>
      <c r="Q513"/>
      <c r="R513">
        <v>69.305599999999998</v>
      </c>
      <c r="S513">
        <v>71.347499999999997</v>
      </c>
      <c r="T513"/>
      <c r="U513">
        <v>64.895430000000005</v>
      </c>
      <c r="V513">
        <v>65.519459999999995</v>
      </c>
      <c r="W513">
        <v>35.095500000000001</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48.422739999999997</v>
      </c>
      <c r="AN513">
        <v>38.466149999999999</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67.647999999999996</v>
      </c>
      <c r="M514">
        <v>65.020089999999996</v>
      </c>
      <c r="N514"/>
      <c r="O514">
        <v>54.456829999999997</v>
      </c>
      <c r="P514"/>
      <c r="Q514"/>
      <c r="R514">
        <v>69.566909999999993</v>
      </c>
      <c r="S514">
        <v>71.532539999999997</v>
      </c>
      <c r="T514"/>
      <c r="U514">
        <v>65.172330000000002</v>
      </c>
      <c r="V514">
        <v>65.951890000000006</v>
      </c>
      <c r="W514">
        <v>36.582070000000002</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48.737299999999998</v>
      </c>
      <c r="AN514">
        <v>38.790120000000002</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68.807370000000006</v>
      </c>
      <c r="M515">
        <v>65.135639999999995</v>
      </c>
      <c r="N515"/>
      <c r="O515">
        <v>54.801940000000002</v>
      </c>
      <c r="P515"/>
      <c r="Q515"/>
      <c r="R515">
        <v>69.684970000000007</v>
      </c>
      <c r="S515">
        <v>71.816090000000003</v>
      </c>
      <c r="T515"/>
      <c r="U515">
        <v>65.521249999999995</v>
      </c>
      <c r="V515">
        <v>66.216650000000001</v>
      </c>
      <c r="W515">
        <v>37.433839999999996</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49.099730000000001</v>
      </c>
      <c r="AN515">
        <v>39.237259999999999</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69.033479999999997</v>
      </c>
      <c r="M516">
        <v>65.455569999999994</v>
      </c>
      <c r="N516"/>
      <c r="O516">
        <v>55.122669999999999</v>
      </c>
      <c r="P516"/>
      <c r="Q516"/>
      <c r="R516">
        <v>69.716470000000001</v>
      </c>
      <c r="S516">
        <v>72.017650000000003</v>
      </c>
      <c r="T516"/>
      <c r="U516">
        <v>65.730590000000007</v>
      </c>
      <c r="V516">
        <v>66.428259999999995</v>
      </c>
      <c r="W516">
        <v>38.030589999999997</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49.36215</v>
      </c>
      <c r="AN516">
        <v>39.518749999999997</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69.233850000000004</v>
      </c>
      <c r="M517">
        <v>65.364779999999996</v>
      </c>
      <c r="N517"/>
      <c r="O517">
        <v>55.334299999999999</v>
      </c>
      <c r="P517"/>
      <c r="Q517"/>
      <c r="R517">
        <v>70.203190000000006</v>
      </c>
      <c r="S517">
        <v>72.116640000000004</v>
      </c>
      <c r="T517"/>
      <c r="U517">
        <v>65.776830000000004</v>
      </c>
      <c r="V517">
        <v>66.503020000000006</v>
      </c>
      <c r="W517">
        <v>38.65493</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49.508209999999998</v>
      </c>
      <c r="AN517">
        <v>39.719639999999998</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69.673739999999995</v>
      </c>
      <c r="M518">
        <v>65.15849</v>
      </c>
      <c r="N518"/>
      <c r="O518">
        <v>55.945410000000003</v>
      </c>
      <c r="P518"/>
      <c r="Q518"/>
      <c r="R518">
        <v>70.598680000000002</v>
      </c>
      <c r="S518">
        <v>72.230199999999996</v>
      </c>
      <c r="T518"/>
      <c r="U518">
        <v>65.935000000000002</v>
      </c>
      <c r="V518">
        <v>66.467619999999997</v>
      </c>
      <c r="W518">
        <v>38.438409999999998</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49.768470000000001</v>
      </c>
      <c r="AN518">
        <v>40.063510000000001</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70.014399999999995</v>
      </c>
      <c r="M519">
        <v>65.568839999999994</v>
      </c>
      <c r="N519"/>
      <c r="O519">
        <v>56.517110000000002</v>
      </c>
      <c r="P519"/>
      <c r="Q519"/>
      <c r="R519">
        <v>70.834789999999998</v>
      </c>
      <c r="S519">
        <v>72.582400000000007</v>
      </c>
      <c r="T519"/>
      <c r="U519">
        <v>66.212869999999995</v>
      </c>
      <c r="V519">
        <v>66.805790000000002</v>
      </c>
      <c r="W519">
        <v>38.524479999999997</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50.040959999999998</v>
      </c>
      <c r="AN519">
        <v>40.347920000000002</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70.426670000000001</v>
      </c>
      <c r="M520">
        <v>65.883889999999994</v>
      </c>
      <c r="N520"/>
      <c r="O520">
        <v>56.842100000000002</v>
      </c>
      <c r="P520"/>
      <c r="Q520"/>
      <c r="R520">
        <v>71.134309999999999</v>
      </c>
      <c r="S520">
        <v>72.84281</v>
      </c>
      <c r="T520"/>
      <c r="U520">
        <v>66.56326</v>
      </c>
      <c r="V520">
        <v>66.987309999999994</v>
      </c>
      <c r="W520">
        <v>39.618209999999998</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50.36692</v>
      </c>
      <c r="AN520">
        <v>40.636159999999997</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70.689710000000005</v>
      </c>
      <c r="M521">
        <v>66.052279999999996</v>
      </c>
      <c r="N521"/>
      <c r="O521">
        <v>57.105379999999997</v>
      </c>
      <c r="P521"/>
      <c r="Q521"/>
      <c r="R521">
        <v>71.379570000000001</v>
      </c>
      <c r="S521">
        <v>72.995949999999993</v>
      </c>
      <c r="T521"/>
      <c r="U521">
        <v>66.85324</v>
      </c>
      <c r="V521">
        <v>68.223699999999994</v>
      </c>
      <c r="W521">
        <v>40.338050000000003</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50.641129999999997</v>
      </c>
      <c r="AN521">
        <v>40.970280000000002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70.864379999999997</v>
      </c>
      <c r="M522">
        <v>66.488029999999995</v>
      </c>
      <c r="N522"/>
      <c r="O522">
        <v>57.289389999999997</v>
      </c>
      <c r="P522"/>
      <c r="Q522"/>
      <c r="R522">
        <v>71.485900000000001</v>
      </c>
      <c r="S522">
        <v>73.225059999999999</v>
      </c>
      <c r="T522"/>
      <c r="U522">
        <v>66.977590000000006</v>
      </c>
      <c r="V522">
        <v>68.431470000000004</v>
      </c>
      <c r="W522">
        <v>40.442410000000002</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50.797060000000002</v>
      </c>
      <c r="AN522">
        <v>41.173900000000003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71.073490000000007</v>
      </c>
      <c r="M523">
        <v>66.495249999999999</v>
      </c>
      <c r="N523"/>
      <c r="O523">
        <v>57.449489999999997</v>
      </c>
      <c r="P523"/>
      <c r="Q523"/>
      <c r="R523">
        <v>71.912710000000004</v>
      </c>
      <c r="S523">
        <v>73.348290000000006</v>
      </c>
      <c r="T523"/>
      <c r="U523">
        <v>67.091290000000001</v>
      </c>
      <c r="V523">
        <v>68.478560000000002</v>
      </c>
      <c r="W523">
        <v>41.116520000000001</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50.934150000000002</v>
      </c>
      <c r="AN523">
        <v>41.331020000000002</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71.447209999999998</v>
      </c>
      <c r="M524">
        <v>66.209209999999999</v>
      </c>
      <c r="N524"/>
      <c r="O524">
        <v>57.645449999999997</v>
      </c>
      <c r="P524"/>
      <c r="Q524"/>
      <c r="R524">
        <v>71.835530000000006</v>
      </c>
      <c r="S524">
        <v>73.486400000000003</v>
      </c>
      <c r="T524"/>
      <c r="U524">
        <v>67.180490000000006</v>
      </c>
      <c r="V524">
        <v>68.325749999999999</v>
      </c>
      <c r="W524">
        <v>40.893230000000003</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51.06326</v>
      </c>
      <c r="AN524">
        <v>41.51155</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71.609650000000002</v>
      </c>
      <c r="M525">
        <v>66.37867</v>
      </c>
      <c r="N525"/>
      <c r="O525">
        <v>57.904829999999997</v>
      </c>
      <c r="P525"/>
      <c r="Q525"/>
      <c r="R525">
        <v>71.80744</v>
      </c>
      <c r="S525">
        <v>73.631389999999996</v>
      </c>
      <c r="T525"/>
      <c r="U525">
        <v>67.332260000000005</v>
      </c>
      <c r="V525">
        <v>68.41977</v>
      </c>
      <c r="W525">
        <v>40.690800000000003</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51.237110000000001</v>
      </c>
      <c r="AN525">
        <v>41.709240000000001</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71.672560000000004</v>
      </c>
      <c r="M526">
        <v>66.685699999999997</v>
      </c>
      <c r="N526"/>
      <c r="O526">
        <v>58.373249999999999</v>
      </c>
      <c r="P526"/>
      <c r="Q526"/>
      <c r="R526">
        <v>72.279150000000001</v>
      </c>
      <c r="S526">
        <v>73.832239999999999</v>
      </c>
      <c r="T526"/>
      <c r="U526">
        <v>67.530429999999996</v>
      </c>
      <c r="V526">
        <v>68.797169999999994</v>
      </c>
      <c r="W526">
        <v>42.086170000000003</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51.532229999999998</v>
      </c>
      <c r="AN526">
        <v>42.079639999999998</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71.668530000000004</v>
      </c>
      <c r="M527">
        <v>66.560360000000003</v>
      </c>
      <c r="N527"/>
      <c r="O527">
        <v>58.636290000000002</v>
      </c>
      <c r="P527"/>
      <c r="Q527"/>
      <c r="R527">
        <v>72.626170000000002</v>
      </c>
      <c r="S527">
        <v>73.971530000000001</v>
      </c>
      <c r="T527"/>
      <c r="U527">
        <v>67.786500000000004</v>
      </c>
      <c r="V527">
        <v>68.990520000000004</v>
      </c>
      <c r="W527">
        <v>43.532510000000002</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51.845359999999999</v>
      </c>
      <c r="AN527">
        <v>42.411790000000003</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71.996440000000007</v>
      </c>
      <c r="M528">
        <v>66.788960000000003</v>
      </c>
      <c r="N528"/>
      <c r="O528">
        <v>58.948529999999998</v>
      </c>
      <c r="P528"/>
      <c r="Q528"/>
      <c r="R528">
        <v>72.715190000000007</v>
      </c>
      <c r="S528">
        <v>74.031949999999995</v>
      </c>
      <c r="T528"/>
      <c r="U528">
        <v>67.967879999999994</v>
      </c>
      <c r="V528">
        <v>68.810730000000007</v>
      </c>
      <c r="W528">
        <v>44.126170000000002</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52.068800000000003</v>
      </c>
      <c r="AN528">
        <v>42.695140000000002</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72.138649999999998</v>
      </c>
      <c r="M529">
        <v>66.724289999999996</v>
      </c>
      <c r="N529"/>
      <c r="O529">
        <v>59.087229999999998</v>
      </c>
      <c r="P529"/>
      <c r="Q529"/>
      <c r="R529">
        <v>72.477969999999999</v>
      </c>
      <c r="S529">
        <v>74.092460000000003</v>
      </c>
      <c r="T529"/>
      <c r="U529">
        <v>67.96275</v>
      </c>
      <c r="V529">
        <v>68.388019999999997</v>
      </c>
      <c r="W529">
        <v>44.839500000000001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52.155859999999997</v>
      </c>
      <c r="AN529">
        <v>42.830219999999997</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73.530779999999993</v>
      </c>
      <c r="M530">
        <v>66.535960000000003</v>
      </c>
      <c r="N530"/>
      <c r="O530">
        <v>59.501860000000001</v>
      </c>
      <c r="P530"/>
      <c r="Q530"/>
      <c r="R530">
        <v>72.838489999999993</v>
      </c>
      <c r="S530">
        <v>74.298670000000001</v>
      </c>
      <c r="T530"/>
      <c r="U530">
        <v>68.197730000000007</v>
      </c>
      <c r="V530">
        <v>67.644400000000005</v>
      </c>
      <c r="W530">
        <v>44.373919999999998</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52.437260000000002</v>
      </c>
      <c r="AN530">
        <v>43.217129999999997</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74.199910000000003</v>
      </c>
      <c r="M531">
        <v>66.796239999999997</v>
      </c>
      <c r="N531"/>
      <c r="O531">
        <v>59.871220000000001</v>
      </c>
      <c r="P531"/>
      <c r="Q531"/>
      <c r="R531">
        <v>73.072559999999996</v>
      </c>
      <c r="S531">
        <v>74.693449999999999</v>
      </c>
      <c r="T531"/>
      <c r="U531">
        <v>68.551779999999994</v>
      </c>
      <c r="V531">
        <v>68.023740000000004</v>
      </c>
      <c r="W531">
        <v>44.525260000000003</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52.754510000000003</v>
      </c>
      <c r="AN531">
        <v>43.548969999999997</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74.417119999999997</v>
      </c>
      <c r="M532">
        <v>66.999129999999994</v>
      </c>
      <c r="N532"/>
      <c r="O532">
        <v>60.202559999999998</v>
      </c>
      <c r="P532"/>
      <c r="Q532"/>
      <c r="R532">
        <v>73.169169999999994</v>
      </c>
      <c r="S532">
        <v>74.98751</v>
      </c>
      <c r="T532"/>
      <c r="U532">
        <v>68.785659999999993</v>
      </c>
      <c r="V532">
        <v>68.20093</v>
      </c>
      <c r="W532">
        <v>46.755479999999999</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53.01867</v>
      </c>
      <c r="AN532">
        <v>43.821800000000003</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74.574550000000002</v>
      </c>
      <c r="M533">
        <v>67.063609999999997</v>
      </c>
      <c r="N533"/>
      <c r="O533">
        <v>60.610010000000003</v>
      </c>
      <c r="P533"/>
      <c r="Q533"/>
      <c r="R533">
        <v>73.446399999999997</v>
      </c>
      <c r="S533">
        <v>75.119919999999993</v>
      </c>
      <c r="T533"/>
      <c r="U533">
        <v>69.049449999999993</v>
      </c>
      <c r="V533">
        <v>68.91489</v>
      </c>
      <c r="W533">
        <v>47.350360000000002</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53.288249999999998</v>
      </c>
      <c r="AN533">
        <v>44.112029999999997</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74.696190000000001</v>
      </c>
      <c r="M534">
        <v>67.495620000000002</v>
      </c>
      <c r="N534"/>
      <c r="O534">
        <v>60.839469999999999</v>
      </c>
      <c r="P534"/>
      <c r="Q534"/>
      <c r="R534">
        <v>73.650440000000003</v>
      </c>
      <c r="S534">
        <v>75.219809999999995</v>
      </c>
      <c r="T534"/>
      <c r="U534">
        <v>69.111500000000007</v>
      </c>
      <c r="V534">
        <v>69.13306</v>
      </c>
      <c r="W534">
        <v>47.685490000000001</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53.41377</v>
      </c>
      <c r="AN534">
        <v>44.332880000000003</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74.93289</v>
      </c>
      <c r="M535">
        <v>67.583969999999994</v>
      </c>
      <c r="N535"/>
      <c r="O535">
        <v>61.117690000000003</v>
      </c>
      <c r="P535"/>
      <c r="Q535"/>
      <c r="R535">
        <v>73.523780000000002</v>
      </c>
      <c r="S535">
        <v>75.313580000000002</v>
      </c>
      <c r="T535"/>
      <c r="U535">
        <v>69.206779999999995</v>
      </c>
      <c r="V535">
        <v>69.112690000000001</v>
      </c>
      <c r="W535">
        <v>48.355910000000002</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53.543750000000003</v>
      </c>
      <c r="AN535">
        <v>44.525230000000001</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75.501009999999994</v>
      </c>
      <c r="M536">
        <v>67.376180000000005</v>
      </c>
      <c r="N536"/>
      <c r="O536">
        <v>61.298839999999998</v>
      </c>
      <c r="P536"/>
      <c r="Q536"/>
      <c r="R536">
        <v>73.260990000000007</v>
      </c>
      <c r="S536">
        <v>75.327160000000006</v>
      </c>
      <c r="T536"/>
      <c r="U536">
        <v>69.313869999999994</v>
      </c>
      <c r="V536">
        <v>68.982910000000004</v>
      </c>
      <c r="W536">
        <v>47.619480000000003</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53.694749999999999</v>
      </c>
      <c r="AN536">
        <v>44.76905</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75.600610000000003</v>
      </c>
      <c r="M537">
        <v>67.458240000000004</v>
      </c>
      <c r="N537"/>
      <c r="O537">
        <v>61.415840000000003</v>
      </c>
      <c r="P537"/>
      <c r="Q537"/>
      <c r="R537">
        <v>73.174629999999993</v>
      </c>
      <c r="S537">
        <v>75.4512</v>
      </c>
      <c r="T537"/>
      <c r="U537">
        <v>69.506270000000001</v>
      </c>
      <c r="V537">
        <v>69.359949999999998</v>
      </c>
      <c r="W537">
        <v>47.556759999999997</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53.910789999999999</v>
      </c>
      <c r="AN537">
        <v>45.016129999999997</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75.579859999999996</v>
      </c>
      <c r="M538">
        <v>67.721450000000004</v>
      </c>
      <c r="N538"/>
      <c r="O538">
        <v>61.594110000000001</v>
      </c>
      <c r="P538"/>
      <c r="Q538"/>
      <c r="R538">
        <v>73.381360000000001</v>
      </c>
      <c r="S538">
        <v>75.679739999999995</v>
      </c>
      <c r="T538"/>
      <c r="U538">
        <v>69.664829999999995</v>
      </c>
      <c r="V538">
        <v>69.758510000000001</v>
      </c>
      <c r="W538">
        <v>48.969119999999997</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54.143430000000002</v>
      </c>
      <c r="AN538">
        <v>45.325789999999998</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75.527429999999995</v>
      </c>
      <c r="M539">
        <v>67.854839999999996</v>
      </c>
      <c r="N539"/>
      <c r="O539">
        <v>61.829140000000002</v>
      </c>
      <c r="P539"/>
      <c r="Q539"/>
      <c r="R539">
        <v>73.461920000000006</v>
      </c>
      <c r="S539">
        <v>75.782259999999994</v>
      </c>
      <c r="T539"/>
      <c r="U539">
        <v>69.864170000000001</v>
      </c>
      <c r="V539">
        <v>69.800539999999998</v>
      </c>
      <c r="W539">
        <v>49.832470000000001</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54.409660000000002</v>
      </c>
      <c r="AN539">
        <v>45.633969999999998</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75.627449999999996</v>
      </c>
      <c r="M540">
        <v>68.066220000000001</v>
      </c>
      <c r="N540"/>
      <c r="O540">
        <v>61.942219999999999</v>
      </c>
      <c r="P540"/>
      <c r="Q540"/>
      <c r="R540">
        <v>73.4619</v>
      </c>
      <c r="S540">
        <v>75.790390000000002</v>
      </c>
      <c r="T540"/>
      <c r="U540">
        <v>69.990549999999999</v>
      </c>
      <c r="V540">
        <v>69.770709999999994</v>
      </c>
      <c r="W540">
        <v>50.062910000000002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54.597450000000002</v>
      </c>
      <c r="AN540">
        <v>45.882199999999997</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75.915970000000002</v>
      </c>
      <c r="M541">
        <v>68.017359999999996</v>
      </c>
      <c r="N541"/>
      <c r="O541">
        <v>62.044269999999997</v>
      </c>
      <c r="P541"/>
      <c r="Q541"/>
      <c r="R541">
        <v>73.559939999999997</v>
      </c>
      <c r="S541">
        <v>75.827259999999995</v>
      </c>
      <c r="T541"/>
      <c r="U541">
        <v>70.007180000000005</v>
      </c>
      <c r="V541">
        <v>69.803330000000003</v>
      </c>
      <c r="W541">
        <v>50.74174</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54.686320000000002</v>
      </c>
      <c r="AN541">
        <v>46.06897</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76.007189999999994</v>
      </c>
      <c r="M542">
        <v>67.929119999999998</v>
      </c>
      <c r="N542"/>
      <c r="O542">
        <v>62.516359999999999</v>
      </c>
      <c r="P542"/>
      <c r="Q542"/>
      <c r="R542">
        <v>73.267049999999998</v>
      </c>
      <c r="S542">
        <v>75.96987</v>
      </c>
      <c r="T542"/>
      <c r="U542">
        <v>70.053169999999994</v>
      </c>
      <c r="V542">
        <v>69.404259999999994</v>
      </c>
      <c r="W542">
        <v>50.45675</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54.846359999999997</v>
      </c>
      <c r="AN542">
        <v>46.294510000000002</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76.632409999999993</v>
      </c>
      <c r="M543">
        <v>68.21651</v>
      </c>
      <c r="N543"/>
      <c r="O543">
        <v>62.734850000000002</v>
      </c>
      <c r="P543"/>
      <c r="Q543"/>
      <c r="R543">
        <v>73.5732</v>
      </c>
      <c r="S543">
        <v>76.203320000000005</v>
      </c>
      <c r="T543"/>
      <c r="U543">
        <v>70.304959999999994</v>
      </c>
      <c r="V543">
        <v>69.85136</v>
      </c>
      <c r="W543">
        <v>50.298549999999999</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55.117910000000002</v>
      </c>
      <c r="AN543">
        <v>46.666069999999998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76.761709999999994</v>
      </c>
      <c r="M544">
        <v>68.308760000000007</v>
      </c>
      <c r="N544"/>
      <c r="O544">
        <v>63.063600000000001</v>
      </c>
      <c r="P544"/>
      <c r="Q544"/>
      <c r="R544">
        <v>73.680080000000004</v>
      </c>
      <c r="S544">
        <v>76.428470000000004</v>
      </c>
      <c r="T544"/>
      <c r="U544">
        <v>70.59196</v>
      </c>
      <c r="V544">
        <v>70.057270000000003</v>
      </c>
      <c r="W544">
        <v>51.908140000000003</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55.42183</v>
      </c>
      <c r="AN544">
        <v>46.961120000000001</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76.789119999999997</v>
      </c>
      <c r="M545">
        <v>68.500470000000007</v>
      </c>
      <c r="N545"/>
      <c r="O545">
        <v>63.243180000000002</v>
      </c>
      <c r="P545"/>
      <c r="Q545"/>
      <c r="R545">
        <v>73.698539999999994</v>
      </c>
      <c r="S545">
        <v>76.553759999999997</v>
      </c>
      <c r="T545"/>
      <c r="U545">
        <v>70.762910000000005</v>
      </c>
      <c r="V545">
        <v>70.783169999999998</v>
      </c>
      <c r="W545">
        <v>52.585889999999999</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55.8324</v>
      </c>
      <c r="AN545">
        <v>47.671149999999997</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76.928569999999993</v>
      </c>
      <c r="M546">
        <v>68.841220000000007</v>
      </c>
      <c r="N546"/>
      <c r="O546">
        <v>63.469180000000001</v>
      </c>
      <c r="P546"/>
      <c r="Q546"/>
      <c r="R546">
        <v>73.664550000000006</v>
      </c>
      <c r="S546">
        <v>76.622100000000003</v>
      </c>
      <c r="T546"/>
      <c r="U546">
        <v>70.880610000000004</v>
      </c>
      <c r="V546">
        <v>70.974109999999996</v>
      </c>
      <c r="W546">
        <v>52.491619999999998</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56.067450000000001</v>
      </c>
      <c r="AN546">
        <v>48.083629999999999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77.013509999999997</v>
      </c>
      <c r="M547">
        <v>68.893910000000005</v>
      </c>
      <c r="N547"/>
      <c r="O547">
        <v>63.615780000000001</v>
      </c>
      <c r="P547"/>
      <c r="Q547"/>
      <c r="R547">
        <v>74.652209999999997</v>
      </c>
      <c r="S547">
        <v>76.645390000000006</v>
      </c>
      <c r="T547"/>
      <c r="U547">
        <v>70.931399999999996</v>
      </c>
      <c r="V547">
        <v>70.960300000000004</v>
      </c>
      <c r="W547">
        <v>53.050669999999997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56.201149999999998</v>
      </c>
      <c r="AN547">
        <v>48.280540000000002</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77.317909999999998</v>
      </c>
      <c r="M548">
        <v>68.664370000000005</v>
      </c>
      <c r="N548"/>
      <c r="O548">
        <v>63.725540000000002</v>
      </c>
      <c r="P548"/>
      <c r="Q548"/>
      <c r="R548">
        <v>74.649320000000003</v>
      </c>
      <c r="S548">
        <v>76.68544</v>
      </c>
      <c r="T548"/>
      <c r="U548">
        <v>70.957099999999997</v>
      </c>
      <c r="V548">
        <v>70.604060000000004</v>
      </c>
      <c r="W548">
        <v>52.546550000000003</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56.331040000000002</v>
      </c>
      <c r="AN548">
        <v>48.518889999999999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77.514809999999997</v>
      </c>
      <c r="M549">
        <v>68.862110000000001</v>
      </c>
      <c r="N549"/>
      <c r="O549">
        <v>64.038510000000002</v>
      </c>
      <c r="P549"/>
      <c r="Q549"/>
      <c r="R549">
        <v>74.930940000000007</v>
      </c>
      <c r="S549">
        <v>76.754829999999998</v>
      </c>
      <c r="T549"/>
      <c r="U549">
        <v>71.154309999999995</v>
      </c>
      <c r="V549">
        <v>70.90522</v>
      </c>
      <c r="W549">
        <v>52.760240000000003</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56.56785</v>
      </c>
      <c r="AN549">
        <v>48.815060000000003</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77.433350000000004</v>
      </c>
      <c r="M550">
        <v>68.981129999999993</v>
      </c>
      <c r="N550"/>
      <c r="O550">
        <v>64.256609999999995</v>
      </c>
      <c r="P550"/>
      <c r="Q550"/>
      <c r="R550">
        <v>75.205960000000005</v>
      </c>
      <c r="S550">
        <v>76.959760000000003</v>
      </c>
      <c r="T550"/>
      <c r="U550">
        <v>71.362390000000005</v>
      </c>
      <c r="V550">
        <v>71.206130000000002</v>
      </c>
      <c r="W550">
        <v>54.417960000000001</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56.863669999999999</v>
      </c>
      <c r="AN550">
        <v>49.200949999999999</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77.282889999999995</v>
      </c>
      <c r="M551">
        <v>69.178749999999994</v>
      </c>
      <c r="N551"/>
      <c r="O551">
        <v>64.542559999999995</v>
      </c>
      <c r="P551"/>
      <c r="Q551"/>
      <c r="R551">
        <v>75.422659999999993</v>
      </c>
      <c r="S551">
        <v>77.041020000000003</v>
      </c>
      <c r="T551"/>
      <c r="U551">
        <v>71.520970000000005</v>
      </c>
      <c r="V551">
        <v>71.40307</v>
      </c>
      <c r="W551">
        <v>55.212350000000001</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57.124299999999998</v>
      </c>
      <c r="AN551">
        <v>49.545090000000002</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77.435169999999999</v>
      </c>
      <c r="M552">
        <v>69.370540000000005</v>
      </c>
      <c r="N552"/>
      <c r="O552">
        <v>64.612639999999999</v>
      </c>
      <c r="P552"/>
      <c r="Q552"/>
      <c r="R552">
        <v>75.389449999999997</v>
      </c>
      <c r="S552">
        <v>77.165009999999995</v>
      </c>
      <c r="T552"/>
      <c r="U552">
        <v>71.62997</v>
      </c>
      <c r="V552">
        <v>71.47963</v>
      </c>
      <c r="W552">
        <v>55.463290000000001</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57.328780000000002</v>
      </c>
      <c r="AN552">
        <v>49.879640000000002</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77.683719999999994</v>
      </c>
      <c r="M553">
        <v>69.423419999999993</v>
      </c>
      <c r="N553"/>
      <c r="O553">
        <v>64.770120000000006</v>
      </c>
      <c r="P553"/>
      <c r="Q553"/>
      <c r="R553">
        <v>75.3857</v>
      </c>
      <c r="S553">
        <v>77.238780000000006</v>
      </c>
      <c r="T553"/>
      <c r="U553">
        <v>71.623440000000002</v>
      </c>
      <c r="V553">
        <v>71.709490000000002</v>
      </c>
      <c r="W553">
        <v>56.084180000000003</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57.493400000000001</v>
      </c>
      <c r="AN553">
        <v>50.280160000000002</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77.937089999999998</v>
      </c>
      <c r="M554">
        <v>69.283029999999997</v>
      </c>
      <c r="N554"/>
      <c r="O554">
        <v>65.196209999999994</v>
      </c>
      <c r="P554"/>
      <c r="Q554"/>
      <c r="R554">
        <v>75.860209999999995</v>
      </c>
      <c r="S554">
        <v>77.209320000000005</v>
      </c>
      <c r="T554"/>
      <c r="U554">
        <v>71.790319999999994</v>
      </c>
      <c r="V554">
        <v>71.525729999999996</v>
      </c>
      <c r="W554">
        <v>55.881630000000001</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57.81071</v>
      </c>
      <c r="AN554">
        <v>50.557980000000001</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78.345269999999999</v>
      </c>
      <c r="M555">
        <v>69.525509999999997</v>
      </c>
      <c r="N555"/>
      <c r="O555">
        <v>65.498419999999996</v>
      </c>
      <c r="P555"/>
      <c r="Q555"/>
      <c r="R555">
        <v>76.166719999999998</v>
      </c>
      <c r="S555">
        <v>77.488659999999996</v>
      </c>
      <c r="T555"/>
      <c r="U555">
        <v>72.117800000000003</v>
      </c>
      <c r="V555">
        <v>72.031809999999993</v>
      </c>
      <c r="W555">
        <v>55.526380000000003</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58.187820000000002</v>
      </c>
      <c r="AN555">
        <v>50.910620000000002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78.400499999999994</v>
      </c>
      <c r="M556">
        <v>69.813839999999999</v>
      </c>
      <c r="N556"/>
      <c r="O556">
        <v>65.831069999999997</v>
      </c>
      <c r="P556"/>
      <c r="Q556"/>
      <c r="R556">
        <v>76.243350000000007</v>
      </c>
      <c r="S556">
        <v>77.768230000000003</v>
      </c>
      <c r="T556"/>
      <c r="U556">
        <v>72.408839999999998</v>
      </c>
      <c r="V556">
        <v>72.285809999999998</v>
      </c>
      <c r="W556">
        <v>57.36927</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58.631270000000001</v>
      </c>
      <c r="AN556">
        <v>51.260449999999999</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78.478440000000006</v>
      </c>
      <c r="M557">
        <v>69.959919999999997</v>
      </c>
      <c r="N557"/>
      <c r="O557">
        <v>66.250799999999998</v>
      </c>
      <c r="P557"/>
      <c r="Q557"/>
      <c r="R557">
        <v>76.319969999999998</v>
      </c>
      <c r="S557">
        <v>77.854510000000005</v>
      </c>
      <c r="T557"/>
      <c r="U557">
        <v>72.62294</v>
      </c>
      <c r="V557">
        <v>73.171400000000006</v>
      </c>
      <c r="W557">
        <v>57.91263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59.117699999999999</v>
      </c>
      <c r="AN557">
        <v>51.662300000000002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78.403999999999996</v>
      </c>
      <c r="M558">
        <v>70.287450000000007</v>
      </c>
      <c r="N558"/>
      <c r="O558">
        <v>66.463579999999993</v>
      </c>
      <c r="P558"/>
      <c r="Q558"/>
      <c r="R558">
        <v>76.473219999999998</v>
      </c>
      <c r="S558">
        <v>77.897989999999993</v>
      </c>
      <c r="T558"/>
      <c r="U558">
        <v>72.702029999999993</v>
      </c>
      <c r="V558">
        <v>73.339500000000001</v>
      </c>
      <c r="W558">
        <v>57.631390000000003</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59.358559999999997</v>
      </c>
      <c r="AN558">
        <v>51.8735</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78.509280000000004</v>
      </c>
      <c r="M559">
        <v>70.266589999999994</v>
      </c>
      <c r="N559"/>
      <c r="O559">
        <v>66.664760000000001</v>
      </c>
      <c r="P559"/>
      <c r="Q559"/>
      <c r="R559">
        <v>76.932980000000001</v>
      </c>
      <c r="S559">
        <v>77.945239999999998</v>
      </c>
      <c r="T559"/>
      <c r="U559">
        <v>72.783969999999997</v>
      </c>
      <c r="V559">
        <v>73.558400000000006</v>
      </c>
      <c r="W559">
        <v>58.32246</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59.566690000000001</v>
      </c>
      <c r="AN559">
        <v>52.127380000000002</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78.985839999999996</v>
      </c>
      <c r="M560">
        <v>69.835530000000006</v>
      </c>
      <c r="N560"/>
      <c r="O560">
        <v>66.823729999999998</v>
      </c>
      <c r="P560"/>
      <c r="Q560"/>
      <c r="R560">
        <v>76.856350000000006</v>
      </c>
      <c r="S560">
        <v>77.887280000000004</v>
      </c>
      <c r="T560"/>
      <c r="U560">
        <v>72.838499999999996</v>
      </c>
      <c r="V560">
        <v>73.210139999999996</v>
      </c>
      <c r="W560">
        <v>57.486809999999998</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59.735950000000003</v>
      </c>
      <c r="AN560">
        <v>52.313749999999999</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79.125129999999999</v>
      </c>
      <c r="M561">
        <v>69.947090000000003</v>
      </c>
      <c r="N561"/>
      <c r="O561">
        <v>66.903030000000001</v>
      </c>
      <c r="P561"/>
      <c r="Q561"/>
      <c r="R561">
        <v>76.856350000000006</v>
      </c>
      <c r="S561">
        <v>78.407970000000006</v>
      </c>
      <c r="T561"/>
      <c r="U561">
        <v>73.02843</v>
      </c>
      <c r="V561">
        <v>73.480419999999995</v>
      </c>
      <c r="W561">
        <v>57.678049999999999</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60.010449999999999</v>
      </c>
      <c r="AN561">
        <v>52.644530000000003</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79.116820000000004</v>
      </c>
      <c r="M562">
        <v>70.38955</v>
      </c>
      <c r="N562"/>
      <c r="O562">
        <v>67.118120000000005</v>
      </c>
      <c r="P562"/>
      <c r="Q562"/>
      <c r="R562">
        <v>77.009609999999995</v>
      </c>
      <c r="S562">
        <v>78.750050000000002</v>
      </c>
      <c r="T562"/>
      <c r="U562">
        <v>73.283940000000001</v>
      </c>
      <c r="V562">
        <v>73.914400000000001</v>
      </c>
      <c r="W562">
        <v>59.24004</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60.411810000000003</v>
      </c>
      <c r="AN562">
        <v>53.12135</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78.943579999999997</v>
      </c>
      <c r="M563">
        <v>70.492530000000002</v>
      </c>
      <c r="N563"/>
      <c r="O563">
        <v>67.372900000000001</v>
      </c>
      <c r="P563"/>
      <c r="Q563"/>
      <c r="R563">
        <v>77.009609999999995</v>
      </c>
      <c r="S563">
        <v>78.852800000000002</v>
      </c>
      <c r="T563"/>
      <c r="U563">
        <v>73.42456</v>
      </c>
      <c r="V563">
        <v>73.610079999999996</v>
      </c>
      <c r="W563">
        <v>60.100430000000003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60.704279999999997</v>
      </c>
      <c r="AN563">
        <v>53.418559999999999</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78.927700000000002</v>
      </c>
      <c r="M564">
        <v>70.646770000000004</v>
      </c>
      <c r="N564"/>
      <c r="O564">
        <v>67.433850000000007</v>
      </c>
      <c r="P564"/>
      <c r="Q564"/>
      <c r="R564">
        <v>76.856350000000006</v>
      </c>
      <c r="S564">
        <v>78.855189999999993</v>
      </c>
      <c r="T564"/>
      <c r="U564">
        <v>73.526830000000004</v>
      </c>
      <c r="V564">
        <v>73.649569999999997</v>
      </c>
      <c r="W564">
        <v>60.355080000000001</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60.927480000000003</v>
      </c>
      <c r="AN564">
        <v>53.688369999999999</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79.22578</v>
      </c>
      <c r="M565">
        <v>70.615229999999997</v>
      </c>
      <c r="N565"/>
      <c r="O565">
        <v>67.604050000000001</v>
      </c>
      <c r="P565"/>
      <c r="Q565"/>
      <c r="R565">
        <v>76.856350000000006</v>
      </c>
      <c r="S565">
        <v>78.884349999999998</v>
      </c>
      <c r="T565"/>
      <c r="U565">
        <v>73.490700000000004</v>
      </c>
      <c r="V565">
        <v>73.845889999999997</v>
      </c>
      <c r="W565">
        <v>61.119959999999999</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61.091439999999999</v>
      </c>
      <c r="AN565">
        <v>53.951749999999997</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79.423680000000004</v>
      </c>
      <c r="M566">
        <v>70.501779999999997</v>
      </c>
      <c r="N566">
        <v>75.090689999999995</v>
      </c>
      <c r="O566">
        <v>67.778660000000002</v>
      </c>
      <c r="P566"/>
      <c r="Q566"/>
      <c r="R566">
        <v>76.473219999999998</v>
      </c>
      <c r="S566">
        <v>78.982320000000001</v>
      </c>
      <c r="T566"/>
      <c r="U566">
        <v>73.624300000000005</v>
      </c>
      <c r="V566">
        <v>73.437349999999995</v>
      </c>
      <c r="W566">
        <v>61.035910000000001</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61.450200000000002</v>
      </c>
      <c r="AN566">
        <v>54.36009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79.902690000000007</v>
      </c>
      <c r="M567">
        <v>70.876959999999997</v>
      </c>
      <c r="N567">
        <v>75.410640000000001</v>
      </c>
      <c r="O567">
        <v>68.116829999999993</v>
      </c>
      <c r="P567"/>
      <c r="Q567"/>
      <c r="R567">
        <v>76.779730000000001</v>
      </c>
      <c r="S567">
        <v>79.281829999999999</v>
      </c>
      <c r="T567"/>
      <c r="U567">
        <v>73.897469999999998</v>
      </c>
      <c r="V567">
        <v>73.840289999999996</v>
      </c>
      <c r="W567">
        <v>60.66601</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61.785449999999997</v>
      </c>
      <c r="AN567">
        <v>54.738799999999998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79.786510000000007</v>
      </c>
      <c r="M568">
        <v>71.292320000000004</v>
      </c>
      <c r="N568">
        <v>75.680610000000001</v>
      </c>
      <c r="O568">
        <v>68.446449999999999</v>
      </c>
      <c r="P568"/>
      <c r="Q568"/>
      <c r="R568">
        <v>76.703100000000006</v>
      </c>
      <c r="S568">
        <v>79.725859999999997</v>
      </c>
      <c r="T568"/>
      <c r="U568">
        <v>74.164389999999997</v>
      </c>
      <c r="V568">
        <v>74.142510000000001</v>
      </c>
      <c r="W568">
        <v>62.386569999999999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62.158560000000001</v>
      </c>
      <c r="AN568">
        <v>55.067549999999997</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79.653210000000001</v>
      </c>
      <c r="M569">
        <v>71.391630000000006</v>
      </c>
      <c r="N569">
        <v>75.710610000000003</v>
      </c>
      <c r="O569">
        <v>68.699700000000007</v>
      </c>
      <c r="P569"/>
      <c r="Q569"/>
      <c r="R569">
        <v>76.779730000000001</v>
      </c>
      <c r="S569">
        <v>79.788570000000007</v>
      </c>
      <c r="T569"/>
      <c r="U569">
        <v>74.272419999999997</v>
      </c>
      <c r="V569">
        <v>74.545460000000006</v>
      </c>
      <c r="W569">
        <v>62.934179999999998</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62.427109999999999</v>
      </c>
      <c r="AN569">
        <v>55.36739</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79.837810000000005</v>
      </c>
      <c r="M570">
        <v>71.682289999999995</v>
      </c>
      <c r="N570">
        <v>75.870590000000007</v>
      </c>
      <c r="O570">
        <v>68.827240000000003</v>
      </c>
      <c r="P570"/>
      <c r="Q570"/>
      <c r="R570">
        <v>76.856350000000006</v>
      </c>
      <c r="S570">
        <v>79.863050000000001</v>
      </c>
      <c r="T570"/>
      <c r="U570">
        <v>74.379519999999999</v>
      </c>
      <c r="V570">
        <v>74.746930000000006</v>
      </c>
      <c r="W570">
        <v>62.667180000000002</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62.647829999999999</v>
      </c>
      <c r="AN570">
        <v>55.64658</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80.040080000000003</v>
      </c>
      <c r="M571">
        <v>71.684489999999997</v>
      </c>
      <c r="N571">
        <v>75.990579999999994</v>
      </c>
      <c r="O571">
        <v>68.974590000000006</v>
      </c>
      <c r="P571"/>
      <c r="Q571"/>
      <c r="R571">
        <v>76.856350000000006</v>
      </c>
      <c r="S571">
        <v>79.916939999999997</v>
      </c>
      <c r="T571"/>
      <c r="U571">
        <v>74.441760000000002</v>
      </c>
      <c r="V571">
        <v>74.847660000000005</v>
      </c>
      <c r="W571">
        <v>63.2697</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62.835479999999997</v>
      </c>
      <c r="AN571">
        <v>55.909849999999999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80.151330000000002</v>
      </c>
      <c r="M572">
        <v>71.328310000000002</v>
      </c>
      <c r="N572">
        <v>76.030569999999997</v>
      </c>
      <c r="O572">
        <v>69.084919999999997</v>
      </c>
      <c r="P572"/>
      <c r="Q572"/>
      <c r="R572">
        <v>76.856350000000006</v>
      </c>
      <c r="S572">
        <v>79.770690000000002</v>
      </c>
      <c r="T572"/>
      <c r="U572">
        <v>74.462360000000004</v>
      </c>
      <c r="V572">
        <v>74.444720000000004</v>
      </c>
      <c r="W572">
        <v>62.391170000000002</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62.97683</v>
      </c>
      <c r="AN572">
        <v>56.057670000000002</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80.255229999999997</v>
      </c>
      <c r="M573">
        <v>71.549880000000002</v>
      </c>
      <c r="N573">
        <v>76.110560000000007</v>
      </c>
      <c r="O573">
        <v>69.154560000000004</v>
      </c>
      <c r="P573"/>
      <c r="Q573"/>
      <c r="R573">
        <v>76.856350000000006</v>
      </c>
      <c r="S573">
        <v>79.828379999999996</v>
      </c>
      <c r="T573"/>
      <c r="U573">
        <v>74.554869999999994</v>
      </c>
      <c r="V573">
        <v>74.746930000000006</v>
      </c>
      <c r="W573">
        <v>62.428669999999997</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63.185470000000002</v>
      </c>
      <c r="AN573">
        <v>56.344439999999999</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80.233270000000005</v>
      </c>
      <c r="M574">
        <v>71.889759999999995</v>
      </c>
      <c r="N574">
        <v>76.240549999999999</v>
      </c>
      <c r="O574">
        <v>69.288799999999995</v>
      </c>
      <c r="P574"/>
      <c r="Q574"/>
      <c r="R574">
        <v>77.009609999999995</v>
      </c>
      <c r="S574">
        <v>79.973619999999997</v>
      </c>
      <c r="T574"/>
      <c r="U574">
        <v>74.804580000000001</v>
      </c>
      <c r="V574">
        <v>75.250619999999998</v>
      </c>
      <c r="W574">
        <v>64.035769999999999</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63.565750000000001</v>
      </c>
      <c r="AN574">
        <v>56.789389999999997</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80.163430000000005</v>
      </c>
      <c r="M575">
        <v>71.896360000000001</v>
      </c>
      <c r="N575">
        <v>76.300539999999998</v>
      </c>
      <c r="O575">
        <v>69.425330000000002</v>
      </c>
      <c r="P575"/>
      <c r="Q575"/>
      <c r="R575">
        <v>77.086240000000004</v>
      </c>
      <c r="S575">
        <v>80.078419999999994</v>
      </c>
      <c r="T575"/>
      <c r="U575">
        <v>74.973029999999994</v>
      </c>
      <c r="V575">
        <v>75.351349999999996</v>
      </c>
      <c r="W575">
        <v>65.110280000000003</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63.87424</v>
      </c>
      <c r="AN575">
        <v>57.16113</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80.082610000000003</v>
      </c>
      <c r="M576">
        <v>72.144840000000002</v>
      </c>
      <c r="N576">
        <v>76.250540000000001</v>
      </c>
      <c r="O576">
        <v>69.461439999999996</v>
      </c>
      <c r="P576"/>
      <c r="Q576"/>
      <c r="R576">
        <v>76.856350000000006</v>
      </c>
      <c r="S576">
        <v>79.849879999999999</v>
      </c>
      <c r="T576"/>
      <c r="U576">
        <v>75.03389</v>
      </c>
      <c r="V576">
        <v>75.452089999999998</v>
      </c>
      <c r="W576">
        <v>65.316590000000005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64.056780000000003</v>
      </c>
      <c r="AN576">
        <v>57.400179999999999</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80.378889999999998</v>
      </c>
      <c r="M577">
        <v>72.175250000000005</v>
      </c>
      <c r="N577">
        <v>76.410520000000005</v>
      </c>
      <c r="O577">
        <v>69.624610000000004</v>
      </c>
      <c r="P577"/>
      <c r="Q577"/>
      <c r="R577">
        <v>76.932980000000001</v>
      </c>
      <c r="S577">
        <v>79.965829999999997</v>
      </c>
      <c r="T577"/>
      <c r="U577">
        <v>75.023740000000004</v>
      </c>
      <c r="V577">
        <v>75.653559999999999</v>
      </c>
      <c r="W577">
        <v>66.129959999999997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64.257850000000005</v>
      </c>
      <c r="AN577">
        <v>57.726260000000003</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80.891009999999994</v>
      </c>
      <c r="M578">
        <v>72.150459999999995</v>
      </c>
      <c r="N578">
        <v>76.380520000000004</v>
      </c>
      <c r="O578">
        <v>69.895099999999999</v>
      </c>
      <c r="P578"/>
      <c r="Q578"/>
      <c r="R578">
        <v>76.779730000000001</v>
      </c>
      <c r="S578">
        <v>79.814440000000005</v>
      </c>
      <c r="T578"/>
      <c r="U578">
        <v>75.112979999999993</v>
      </c>
      <c r="V578">
        <v>74.948400000000007</v>
      </c>
      <c r="W578">
        <v>65.583879999999994</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64.510779999999997</v>
      </c>
      <c r="AN578">
        <v>58.044199999999996</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81.05189</v>
      </c>
      <c r="M579">
        <v>72.17362</v>
      </c>
      <c r="N579">
        <v>76.680490000000006</v>
      </c>
      <c r="O579">
        <v>70.062830000000005</v>
      </c>
      <c r="P579"/>
      <c r="Q579"/>
      <c r="R579">
        <v>76.932980000000001</v>
      </c>
      <c r="S579">
        <v>80.239750000000001</v>
      </c>
      <c r="T579"/>
      <c r="U579">
        <v>75.34357</v>
      </c>
      <c r="V579">
        <v>75.250619999999998</v>
      </c>
      <c r="W579">
        <v>65.317970000000003</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64.814329999999998</v>
      </c>
      <c r="AN579">
        <v>58.357619999999997</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81.160960000000003</v>
      </c>
      <c r="M580">
        <v>72.297359999999998</v>
      </c>
      <c r="N580">
        <v>76.930459999999997</v>
      </c>
      <c r="O580">
        <v>70.258799999999994</v>
      </c>
      <c r="P580"/>
      <c r="Q580"/>
      <c r="R580">
        <v>77.162859999999995</v>
      </c>
      <c r="S580">
        <v>80.498180000000005</v>
      </c>
      <c r="T580"/>
      <c r="U580">
        <v>75.621129999999994</v>
      </c>
      <c r="V580">
        <v>75.653559999999999</v>
      </c>
      <c r="W580">
        <v>67.377529999999993</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65.173919999999995</v>
      </c>
      <c r="AN580">
        <v>58.712240000000001</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80.961470000000006</v>
      </c>
      <c r="M581">
        <v>72.494309999999999</v>
      </c>
      <c r="N581">
        <v>76.880459999999999</v>
      </c>
      <c r="O581">
        <v>70.406450000000007</v>
      </c>
      <c r="P581"/>
      <c r="Q581"/>
      <c r="R581">
        <v>77.546000000000006</v>
      </c>
      <c r="S581">
        <v>80.559929999999994</v>
      </c>
      <c r="T581"/>
      <c r="U581">
        <v>75.913409999999999</v>
      </c>
      <c r="V581">
        <v>75.955770000000001</v>
      </c>
      <c r="W581">
        <v>67.932879999999997</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65.522800000000004</v>
      </c>
      <c r="AN581">
        <v>58.995570000000001</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81.112319999999997</v>
      </c>
      <c r="M582">
        <v>72.897710000000004</v>
      </c>
      <c r="N582">
        <v>77.06044</v>
      </c>
      <c r="O582">
        <v>70.532060000000001</v>
      </c>
      <c r="P582"/>
      <c r="Q582"/>
      <c r="R582">
        <v>77.622619999999998</v>
      </c>
      <c r="S582">
        <v>80.589860000000002</v>
      </c>
      <c r="T582"/>
      <c r="U582">
        <v>75.971360000000004</v>
      </c>
      <c r="V582">
        <v>76.157250000000005</v>
      </c>
      <c r="W582">
        <v>67.882559999999998</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65.716160000000002</v>
      </c>
      <c r="AN582">
        <v>59.324019999999997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81.207809999999995</v>
      </c>
      <c r="M583">
        <v>73.036379999999994</v>
      </c>
      <c r="N583">
        <v>77.090440000000001</v>
      </c>
      <c r="O583">
        <v>70.647670000000005</v>
      </c>
      <c r="P583"/>
      <c r="Q583"/>
      <c r="R583">
        <v>77.775869999999998</v>
      </c>
      <c r="S583">
        <v>80.590100000000007</v>
      </c>
      <c r="T583"/>
      <c r="U583">
        <v>75.963909999999998</v>
      </c>
      <c r="V583">
        <v>76.157250000000005</v>
      </c>
      <c r="W583">
        <v>68.09836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65.829409999999996</v>
      </c>
      <c r="AN583">
        <v>59.512830000000001</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82.129779999999997</v>
      </c>
      <c r="M584">
        <v>72.70993</v>
      </c>
      <c r="N584">
        <v>77.180430000000001</v>
      </c>
      <c r="O584">
        <v>70.874070000000003</v>
      </c>
      <c r="P584"/>
      <c r="Q584"/>
      <c r="R584">
        <v>77.775869999999998</v>
      </c>
      <c r="S584">
        <v>80.423000000000002</v>
      </c>
      <c r="T584"/>
      <c r="U584">
        <v>76.059629999999999</v>
      </c>
      <c r="V584">
        <v>75.754300000000001</v>
      </c>
      <c r="W584">
        <v>66.938270000000003</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66.059749999999994</v>
      </c>
      <c r="AN584">
        <v>59.913670000000003</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82.17886</v>
      </c>
      <c r="M585">
        <v>72.861140000000006</v>
      </c>
      <c r="N585">
        <v>77.300420000000003</v>
      </c>
      <c r="O585">
        <v>71.034649999999999</v>
      </c>
      <c r="P585"/>
      <c r="Q585"/>
      <c r="R585">
        <v>77.775869999999998</v>
      </c>
      <c r="S585">
        <v>80.640010000000004</v>
      </c>
      <c r="T585"/>
      <c r="U585">
        <v>76.119219999999999</v>
      </c>
      <c r="V585">
        <v>76.157250000000005</v>
      </c>
      <c r="W585">
        <v>66.985389999999995</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66.279750000000007</v>
      </c>
      <c r="AN585">
        <v>60.335129999999999</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81.992059999999995</v>
      </c>
      <c r="M586">
        <v>73.233490000000003</v>
      </c>
      <c r="N586">
        <v>77.3904</v>
      </c>
      <c r="O586">
        <v>71.047300000000007</v>
      </c>
      <c r="P586"/>
      <c r="Q586"/>
      <c r="R586">
        <v>77.929130000000001</v>
      </c>
      <c r="S586">
        <v>80.772769999999994</v>
      </c>
      <c r="T586"/>
      <c r="U586">
        <v>76.356380000000001</v>
      </c>
      <c r="V586">
        <v>76.560199999999995</v>
      </c>
      <c r="W586">
        <v>68.771450000000002</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66.69126</v>
      </c>
      <c r="AN586">
        <v>60.863860000000003</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81.854179999999999</v>
      </c>
      <c r="M587">
        <v>73.255549999999999</v>
      </c>
      <c r="N587">
        <v>77.3904</v>
      </c>
      <c r="O587">
        <v>71.095330000000004</v>
      </c>
      <c r="P587"/>
      <c r="Q587"/>
      <c r="R587">
        <v>78.23563</v>
      </c>
      <c r="S587">
        <v>80.646630000000002</v>
      </c>
      <c r="T587"/>
      <c r="U587">
        <v>76.574020000000004</v>
      </c>
      <c r="V587">
        <v>76.660929999999993</v>
      </c>
      <c r="W587">
        <v>69.332070000000002</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67.061549999999997</v>
      </c>
      <c r="AN587">
        <v>61.295490000000001</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81.866550000000004</v>
      </c>
      <c r="M588">
        <v>73.421440000000004</v>
      </c>
      <c r="N588">
        <v>77.460400000000007</v>
      </c>
      <c r="O588">
        <v>71.199910000000003</v>
      </c>
      <c r="P588"/>
      <c r="Q588"/>
      <c r="R588">
        <v>78.23563</v>
      </c>
      <c r="S588">
        <v>80.625730000000004</v>
      </c>
      <c r="T588"/>
      <c r="U588">
        <v>76.599980000000002</v>
      </c>
      <c r="V588">
        <v>76.963139999999996</v>
      </c>
      <c r="W588">
        <v>69.40634</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67.252520000000004</v>
      </c>
      <c r="AN588">
        <v>61.6858</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82.058779999999999</v>
      </c>
      <c r="M589">
        <v>73.432559999999995</v>
      </c>
      <c r="N589">
        <v>77.580380000000005</v>
      </c>
      <c r="O589">
        <v>71.3065</v>
      </c>
      <c r="P589"/>
      <c r="Q589"/>
      <c r="R589">
        <v>78.312259999999995</v>
      </c>
      <c r="S589">
        <v>80.741039999999998</v>
      </c>
      <c r="T589"/>
      <c r="U589">
        <v>76.596630000000005</v>
      </c>
      <c r="V589">
        <v>77.063879999999997</v>
      </c>
      <c r="W589">
        <v>70.123949999999994</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67.433170000000004</v>
      </c>
      <c r="AN589">
        <v>62.04419</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82.076939999999993</v>
      </c>
      <c r="M590">
        <v>73.080290000000005</v>
      </c>
      <c r="N590">
        <v>77.420389999999998</v>
      </c>
      <c r="O590">
        <v>71.599969999999999</v>
      </c>
      <c r="P590">
        <v>59.990630000000003</v>
      </c>
      <c r="Q590"/>
      <c r="R590">
        <v>78.23563</v>
      </c>
      <c r="S590">
        <v>80.449110000000005</v>
      </c>
      <c r="T590"/>
      <c r="U590">
        <v>76.583410000000001</v>
      </c>
      <c r="V590">
        <v>76.257990000000007</v>
      </c>
      <c r="W590">
        <v>69.009919999999994</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67.662379999999999</v>
      </c>
      <c r="AN590">
        <v>62.269950000000001</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82.394350000000003</v>
      </c>
      <c r="M591">
        <v>73.540229999999994</v>
      </c>
      <c r="N591">
        <v>77.770359999999997</v>
      </c>
      <c r="O591">
        <v>71.743799999999993</v>
      </c>
      <c r="P591">
        <v>60.671700000000001</v>
      </c>
      <c r="Q591"/>
      <c r="R591">
        <v>78.159000000000006</v>
      </c>
      <c r="S591">
        <v>80.867270000000005</v>
      </c>
      <c r="T591"/>
      <c r="U591">
        <v>76.884829999999994</v>
      </c>
      <c r="V591">
        <v>76.560199999999995</v>
      </c>
      <c r="W591">
        <v>68.630949999999999</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68.042850000000001</v>
      </c>
      <c r="AN591">
        <v>62.679929999999999</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82.359729999999999</v>
      </c>
      <c r="M592">
        <v>73.809600000000003</v>
      </c>
      <c r="N592">
        <v>77.970330000000004</v>
      </c>
      <c r="O592">
        <v>71.868740000000003</v>
      </c>
      <c r="P592">
        <v>61.409520000000001</v>
      </c>
      <c r="Q592"/>
      <c r="R592">
        <v>78.465519999999998</v>
      </c>
      <c r="S592">
        <v>81.092089999999999</v>
      </c>
      <c r="T592"/>
      <c r="U592">
        <v>77.101259999999996</v>
      </c>
      <c r="V592">
        <v>76.862409999999997</v>
      </c>
      <c r="W592">
        <v>70.970060000000004</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68.378900000000002</v>
      </c>
      <c r="AN592">
        <v>63.053359999999998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82.367930000000001</v>
      </c>
      <c r="M593">
        <v>73.908010000000004</v>
      </c>
      <c r="N593">
        <v>78.090320000000006</v>
      </c>
      <c r="O593">
        <v>72.119690000000006</v>
      </c>
      <c r="P593">
        <v>61.693300000000001</v>
      </c>
      <c r="Q593"/>
      <c r="R593">
        <v>78.925269999999998</v>
      </c>
      <c r="S593">
        <v>81.210440000000006</v>
      </c>
      <c r="T593"/>
      <c r="U593">
        <v>77.269109999999998</v>
      </c>
      <c r="V593">
        <v>77.164619999999999</v>
      </c>
      <c r="W593">
        <v>72.147199999999998</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68.677840000000003</v>
      </c>
      <c r="AN593">
        <v>63.424900000000001</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82.443119999999993</v>
      </c>
      <c r="M594">
        <v>74.281419999999997</v>
      </c>
      <c r="N594">
        <v>78.2303</v>
      </c>
      <c r="O594">
        <v>72.281620000000004</v>
      </c>
      <c r="P594">
        <v>61.92033</v>
      </c>
      <c r="Q594"/>
      <c r="R594">
        <v>78.772019999999998</v>
      </c>
      <c r="S594">
        <v>81.252700000000004</v>
      </c>
      <c r="T594"/>
      <c r="U594">
        <v>77.345759999999999</v>
      </c>
      <c r="V594">
        <v>77.466830000000002</v>
      </c>
      <c r="W594">
        <v>72.013779999999997</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68.863219999999998</v>
      </c>
      <c r="AN594">
        <v>63.740769999999998</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82.584209999999999</v>
      </c>
      <c r="M595">
        <v>74.336399999999998</v>
      </c>
      <c r="N595">
        <v>78.330280000000002</v>
      </c>
      <c r="O595">
        <v>72.428349999999995</v>
      </c>
      <c r="P595">
        <v>62.204099999999997</v>
      </c>
      <c r="Q595"/>
      <c r="R595">
        <v>78.925269999999998</v>
      </c>
      <c r="S595">
        <v>81.324070000000006</v>
      </c>
      <c r="T595"/>
      <c r="U595">
        <v>77.331370000000007</v>
      </c>
      <c r="V595">
        <v>77.366100000000003</v>
      </c>
      <c r="W595">
        <v>72.539590000000004</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68.98151</v>
      </c>
      <c r="AN595">
        <v>63.991520000000001</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83.064319999999995</v>
      </c>
      <c r="M596">
        <v>74.059529999999995</v>
      </c>
      <c r="N596">
        <v>78.380279999999999</v>
      </c>
      <c r="O596">
        <v>72.70814</v>
      </c>
      <c r="P596">
        <v>62.374369999999999</v>
      </c>
      <c r="Q596"/>
      <c r="R596">
        <v>78.772019999999998</v>
      </c>
      <c r="S596">
        <v>81.108549999999994</v>
      </c>
      <c r="T596"/>
      <c r="U596">
        <v>77.360370000000003</v>
      </c>
      <c r="V596">
        <v>76.761669999999995</v>
      </c>
      <c r="W596">
        <v>71.286799999999999</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69.116550000000004</v>
      </c>
      <c r="AN596">
        <v>64.181479999999993</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82.99588</v>
      </c>
      <c r="M597">
        <v>74.319609999999997</v>
      </c>
      <c r="N597">
        <v>78.540260000000004</v>
      </c>
      <c r="O597">
        <v>72.954700000000003</v>
      </c>
      <c r="P597">
        <v>62.487879999999997</v>
      </c>
      <c r="Q597"/>
      <c r="R597">
        <v>78.925269999999998</v>
      </c>
      <c r="S597">
        <v>81.331199999999995</v>
      </c>
      <c r="T597"/>
      <c r="U597">
        <v>77.507390000000001</v>
      </c>
      <c r="V597">
        <v>77.063879999999997</v>
      </c>
      <c r="W597">
        <v>71.369420000000005</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69.360919999999993</v>
      </c>
      <c r="AN597">
        <v>64.511179999999996</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82.832179999999994</v>
      </c>
      <c r="M598">
        <v>74.648219999999995</v>
      </c>
      <c r="N598">
        <v>78.620249999999999</v>
      </c>
      <c r="O598">
        <v>72.973339999999993</v>
      </c>
      <c r="P598">
        <v>62.99868</v>
      </c>
      <c r="Q598"/>
      <c r="R598">
        <v>79.308400000000006</v>
      </c>
      <c r="S598">
        <v>81.315690000000004</v>
      </c>
      <c r="T598"/>
      <c r="U598">
        <v>77.684299999999993</v>
      </c>
      <c r="V598">
        <v>77.668300000000002</v>
      </c>
      <c r="W598">
        <v>73.06953</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69.725629999999995</v>
      </c>
      <c r="AN598">
        <v>65.015209999999996</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82.807429999999997</v>
      </c>
      <c r="M599">
        <v>74.689940000000007</v>
      </c>
      <c r="N599">
        <v>78.630250000000004</v>
      </c>
      <c r="O599">
        <v>73.040940000000006</v>
      </c>
      <c r="P599">
        <v>63.395969999999998</v>
      </c>
      <c r="Q599"/>
      <c r="R599">
        <v>79.53828</v>
      </c>
      <c r="S599">
        <v>81.295100000000005</v>
      </c>
      <c r="T599"/>
      <c r="U599">
        <v>77.814880000000002</v>
      </c>
      <c r="V599">
        <v>77.567570000000003</v>
      </c>
      <c r="W599">
        <v>73.632000000000005</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70.019000000000005</v>
      </c>
      <c r="AN599">
        <v>65.383809999999997</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82.808239999999998</v>
      </c>
      <c r="M600">
        <v>74.966380000000001</v>
      </c>
      <c r="N600">
        <v>78.640240000000006</v>
      </c>
      <c r="O600">
        <v>73.057389999999998</v>
      </c>
      <c r="P600">
        <v>63.622990000000001</v>
      </c>
      <c r="Q600"/>
      <c r="R600">
        <v>79.461650000000006</v>
      </c>
      <c r="S600">
        <v>81.220029999999994</v>
      </c>
      <c r="T600"/>
      <c r="U600">
        <v>77.848470000000006</v>
      </c>
      <c r="V600">
        <v>77.769040000000004</v>
      </c>
      <c r="W600">
        <v>73.626729999999995</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70.194429999999997</v>
      </c>
      <c r="AN600">
        <v>65.661950000000004</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82.980029999999999</v>
      </c>
      <c r="M601">
        <v>74.978059999999999</v>
      </c>
      <c r="N601">
        <v>78.720240000000004</v>
      </c>
      <c r="O601">
        <v>73.219359999999995</v>
      </c>
      <c r="P601">
        <v>63.793259999999997</v>
      </c>
      <c r="Q601"/>
      <c r="R601">
        <v>79.461650000000006</v>
      </c>
      <c r="S601">
        <v>81.3065</v>
      </c>
      <c r="T601"/>
      <c r="U601">
        <v>77.875489999999999</v>
      </c>
      <c r="V601">
        <v>77.970510000000004</v>
      </c>
      <c r="W601">
        <v>74.094729999999998</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70.379570000000001</v>
      </c>
      <c r="AN601">
        <v>65.968990000000005</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82.768119999999996</v>
      </c>
      <c r="M602">
        <v>74.584339999999997</v>
      </c>
      <c r="N602">
        <v>78.480270000000004</v>
      </c>
      <c r="O602">
        <v>73.440470000000005</v>
      </c>
      <c r="P602">
        <v>64.531080000000003</v>
      </c>
      <c r="Q602"/>
      <c r="R602">
        <v>79.078519999999997</v>
      </c>
      <c r="S602">
        <v>80.971069999999997</v>
      </c>
      <c r="T602"/>
      <c r="U602">
        <v>77.8352</v>
      </c>
      <c r="V602">
        <v>77.164619999999999</v>
      </c>
      <c r="W602">
        <v>72.921490000000006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70.52122</v>
      </c>
      <c r="AN602">
        <v>66.055440000000004</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82.948650000000001</v>
      </c>
      <c r="M603">
        <v>75.335269999999994</v>
      </c>
      <c r="N603">
        <v>78.770229999999998</v>
      </c>
      <c r="O603">
        <v>73.592399999999998</v>
      </c>
      <c r="P603">
        <v>64.928370000000001</v>
      </c>
      <c r="Q603"/>
      <c r="R603">
        <v>79.231769999999997</v>
      </c>
      <c r="S603">
        <v>81.333680000000001</v>
      </c>
      <c r="T603"/>
      <c r="U603">
        <v>77.969300000000004</v>
      </c>
      <c r="V603">
        <v>77.366100000000003</v>
      </c>
      <c r="W603">
        <v>72.420109999999994</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70.755380000000002</v>
      </c>
      <c r="AN603">
        <v>66.360410000000002</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82.855959999999996</v>
      </c>
      <c r="M604">
        <v>75.726039999999998</v>
      </c>
      <c r="N604">
        <v>79.000200000000007</v>
      </c>
      <c r="O604">
        <v>73.817310000000006</v>
      </c>
      <c r="P604">
        <v>65.1554</v>
      </c>
      <c r="Q604"/>
      <c r="R604">
        <v>79.53828</v>
      </c>
      <c r="S604">
        <v>81.610309999999998</v>
      </c>
      <c r="T604"/>
      <c r="U604">
        <v>78.166359999999997</v>
      </c>
      <c r="V604">
        <v>77.567570000000003</v>
      </c>
      <c r="W604">
        <v>74.396940000000001</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71.055729999999997</v>
      </c>
      <c r="AN604">
        <v>66.678740000000005</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82.750820000000004</v>
      </c>
      <c r="M605">
        <v>75.847369999999998</v>
      </c>
      <c r="N605">
        <v>79.030199999999994</v>
      </c>
      <c r="O605">
        <v>74.001800000000003</v>
      </c>
      <c r="P605">
        <v>65.382419999999996</v>
      </c>
      <c r="Q605"/>
      <c r="R605">
        <v>79.844790000000003</v>
      </c>
      <c r="S605">
        <v>81.752219999999994</v>
      </c>
      <c r="T605"/>
      <c r="U605">
        <v>78.403419999999997</v>
      </c>
      <c r="V605">
        <v>77.869780000000006</v>
      </c>
      <c r="W605">
        <v>75.107219999999998</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71.371390000000005</v>
      </c>
      <c r="AN605">
        <v>66.998810000000006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82.853139999999996</v>
      </c>
      <c r="M606">
        <v>75.943550000000002</v>
      </c>
      <c r="N606">
        <v>79.130189999999999</v>
      </c>
      <c r="O606">
        <v>74.082790000000003</v>
      </c>
      <c r="P606">
        <v>65.893209999999996</v>
      </c>
      <c r="Q606"/>
      <c r="R606">
        <v>79.921419999999998</v>
      </c>
      <c r="S606">
        <v>81.761420000000001</v>
      </c>
      <c r="T606"/>
      <c r="U606">
        <v>78.397300000000001</v>
      </c>
      <c r="V606">
        <v>78.071250000000006</v>
      </c>
      <c r="W606">
        <v>74.882919999999999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71.492670000000004</v>
      </c>
      <c r="AN606">
        <v>67.293319999999994</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82.95044</v>
      </c>
      <c r="M607">
        <v>76.127549999999999</v>
      </c>
      <c r="N607">
        <v>79.190179999999998</v>
      </c>
      <c r="O607">
        <v>74.254360000000005</v>
      </c>
      <c r="P607">
        <v>65.893209999999996</v>
      </c>
      <c r="Q607"/>
      <c r="R607">
        <v>79.921419999999998</v>
      </c>
      <c r="S607">
        <v>81.800550000000001</v>
      </c>
      <c r="T607"/>
      <c r="U607">
        <v>78.41525</v>
      </c>
      <c r="V607">
        <v>78.071250000000006</v>
      </c>
      <c r="W607">
        <v>75.088880000000003</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71.636380000000003</v>
      </c>
      <c r="AN607">
        <v>67.573390000000003</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83.418400000000005</v>
      </c>
      <c r="M608">
        <v>75.739469999999997</v>
      </c>
      <c r="N608">
        <v>79.290170000000003</v>
      </c>
      <c r="O608">
        <v>74.523169999999993</v>
      </c>
      <c r="P608">
        <v>66.006730000000005</v>
      </c>
      <c r="Q608"/>
      <c r="R608">
        <v>79.691540000000003</v>
      </c>
      <c r="S608">
        <v>81.548190000000005</v>
      </c>
      <c r="T608"/>
      <c r="U608">
        <v>78.444789999999998</v>
      </c>
      <c r="V608">
        <v>77.366100000000003</v>
      </c>
      <c r="W608">
        <v>73.685249999999996</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71.773989999999998</v>
      </c>
      <c r="AN608">
        <v>67.776049999999998</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83.309139999999999</v>
      </c>
      <c r="M609">
        <v>76.019189999999995</v>
      </c>
      <c r="N609">
        <v>79.410150000000002</v>
      </c>
      <c r="O609">
        <v>74.685169999999999</v>
      </c>
      <c r="P609">
        <v>66.176990000000004</v>
      </c>
      <c r="Q609"/>
      <c r="R609">
        <v>79.844790000000003</v>
      </c>
      <c r="S609">
        <v>81.755880000000005</v>
      </c>
      <c r="T609"/>
      <c r="U609">
        <v>78.506</v>
      </c>
      <c r="V609">
        <v>77.567570000000003</v>
      </c>
      <c r="W609">
        <v>73.71651</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71.957279999999997</v>
      </c>
      <c r="AN609">
        <v>68.095550000000003</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83.036180000000002</v>
      </c>
      <c r="M610">
        <v>76.423820000000006</v>
      </c>
      <c r="N610">
        <v>79.390150000000006</v>
      </c>
      <c r="O610">
        <v>74.698080000000004</v>
      </c>
      <c r="P610">
        <v>66.460769999999997</v>
      </c>
      <c r="Q610"/>
      <c r="R610">
        <v>80.151290000000003</v>
      </c>
      <c r="S610">
        <v>81.802279999999996</v>
      </c>
      <c r="T610"/>
      <c r="U610">
        <v>78.712370000000007</v>
      </c>
      <c r="V610">
        <v>78.071250000000006</v>
      </c>
      <c r="W610">
        <v>75.067589999999996</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72.313299999999998</v>
      </c>
      <c r="AN610">
        <v>68.546300000000002</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82.979560000000006</v>
      </c>
      <c r="M611">
        <v>76.574259999999995</v>
      </c>
      <c r="N611">
        <v>79.390150000000006</v>
      </c>
      <c r="O611">
        <v>74.689170000000004</v>
      </c>
      <c r="P611">
        <v>66.460769999999997</v>
      </c>
      <c r="Q611"/>
      <c r="R611">
        <v>80.381169999999997</v>
      </c>
      <c r="S611">
        <v>81.708780000000004</v>
      </c>
      <c r="T611"/>
      <c r="U611">
        <v>78.871719999999996</v>
      </c>
      <c r="V611">
        <v>77.970510000000004</v>
      </c>
      <c r="W611">
        <v>75.228179999999995</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72.613969999999995</v>
      </c>
      <c r="AN611">
        <v>68.927059999999997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83.211849999999998</v>
      </c>
      <c r="M612">
        <v>76.627489999999995</v>
      </c>
      <c r="N612">
        <v>79.460139999999996</v>
      </c>
      <c r="O612">
        <v>74.705439999999996</v>
      </c>
      <c r="P612">
        <v>66.517520000000005</v>
      </c>
      <c r="Q612"/>
      <c r="R612">
        <v>80.381169999999997</v>
      </c>
      <c r="S612">
        <v>81.612570000000005</v>
      </c>
      <c r="T612"/>
      <c r="U612">
        <v>78.908270000000002</v>
      </c>
      <c r="V612">
        <v>78.071250000000006</v>
      </c>
      <c r="W612">
        <v>75.247870000000006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72.766570000000002</v>
      </c>
      <c r="AN612">
        <v>69.218729999999994</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83.390780000000007</v>
      </c>
      <c r="M613">
        <v>76.649090000000001</v>
      </c>
      <c r="N613">
        <v>79.580129999999997</v>
      </c>
      <c r="O613">
        <v>74.887020000000007</v>
      </c>
      <c r="P613">
        <v>66.631029999999996</v>
      </c>
      <c r="Q613"/>
      <c r="R613">
        <v>80.611050000000006</v>
      </c>
      <c r="S613">
        <v>81.740639999999999</v>
      </c>
      <c r="T613"/>
      <c r="U613">
        <v>78.880650000000003</v>
      </c>
      <c r="V613">
        <v>78.171989999999994</v>
      </c>
      <c r="W613">
        <v>75.735579999999999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72.938469999999995</v>
      </c>
      <c r="AN613">
        <v>69.658619999999999</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83.383210000000005</v>
      </c>
      <c r="M614">
        <v>76.308869999999999</v>
      </c>
      <c r="N614">
        <v>79.340159999999997</v>
      </c>
      <c r="O614">
        <v>75.168719999999993</v>
      </c>
      <c r="P614">
        <v>67.085080000000005</v>
      </c>
      <c r="Q614"/>
      <c r="R614">
        <v>80.534419999999997</v>
      </c>
      <c r="S614">
        <v>81.607889999999998</v>
      </c>
      <c r="T614"/>
      <c r="U614">
        <v>78.880449999999996</v>
      </c>
      <c r="V614">
        <v>77.164619999999999</v>
      </c>
      <c r="W614">
        <v>74.413640000000001</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73.09881</v>
      </c>
      <c r="AN614">
        <v>69.757339999999999</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83.396000000000001</v>
      </c>
      <c r="M615">
        <v>76.668940000000006</v>
      </c>
      <c r="N615">
        <v>79.540139999999994</v>
      </c>
      <c r="O615">
        <v>75.350669999999994</v>
      </c>
      <c r="P615">
        <v>67.255350000000007</v>
      </c>
      <c r="Q615"/>
      <c r="R615">
        <v>80.985069999999993</v>
      </c>
      <c r="S615">
        <v>81.610789999999994</v>
      </c>
      <c r="T615"/>
      <c r="U615">
        <v>79.068569999999994</v>
      </c>
      <c r="V615">
        <v>77.466830000000002</v>
      </c>
      <c r="W615">
        <v>73.661540000000002</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73.353610000000003</v>
      </c>
      <c r="AN615">
        <v>70.013199999999998</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83.241870000000006</v>
      </c>
      <c r="M616">
        <v>77.204120000000003</v>
      </c>
      <c r="N616">
        <v>79.71011</v>
      </c>
      <c r="O616">
        <v>75.617469999999997</v>
      </c>
      <c r="P616">
        <v>67.766149999999996</v>
      </c>
      <c r="Q616"/>
      <c r="R616">
        <v>81.345590000000001</v>
      </c>
      <c r="S616">
        <v>81.969430000000003</v>
      </c>
      <c r="T616"/>
      <c r="U616">
        <v>79.35463</v>
      </c>
      <c r="V616">
        <v>77.668300000000002</v>
      </c>
      <c r="W616">
        <v>75.63297</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73.678250000000006</v>
      </c>
      <c r="AN616">
        <v>70.263180000000006</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83.327939999999998</v>
      </c>
      <c r="M617">
        <v>77.323239999999998</v>
      </c>
      <c r="N617">
        <v>79.850099999999998</v>
      </c>
      <c r="O617">
        <v>75.9512</v>
      </c>
      <c r="P617">
        <v>67.936419999999998</v>
      </c>
      <c r="Q617"/>
      <c r="R617">
        <v>81.681529999999995</v>
      </c>
      <c r="S617">
        <v>81.927210000000002</v>
      </c>
      <c r="T617"/>
      <c r="U617">
        <v>79.502560000000003</v>
      </c>
      <c r="V617">
        <v>77.869780000000006</v>
      </c>
      <c r="W617">
        <v>76.196420000000003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73.898799999999994</v>
      </c>
      <c r="AN617">
        <v>70.518140000000002</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83.100120000000004</v>
      </c>
      <c r="M618">
        <v>77.549289999999999</v>
      </c>
      <c r="N618">
        <v>79.820099999999996</v>
      </c>
      <c r="O618">
        <v>76.099940000000004</v>
      </c>
      <c r="P618">
        <v>68.049930000000003</v>
      </c>
      <c r="Q618"/>
      <c r="R618">
        <v>81.820819999999998</v>
      </c>
      <c r="S618">
        <v>81.983220000000003</v>
      </c>
      <c r="T618"/>
      <c r="U618">
        <v>79.542500000000004</v>
      </c>
      <c r="V618">
        <v>78.071250000000006</v>
      </c>
      <c r="W618">
        <v>76.39188</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74.009190000000004</v>
      </c>
      <c r="AN618">
        <v>70.710319999999996</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83.248930000000001</v>
      </c>
      <c r="M619">
        <v>77.696849999999998</v>
      </c>
      <c r="N619">
        <v>79.95008</v>
      </c>
      <c r="O619">
        <v>76.330520000000007</v>
      </c>
      <c r="P619">
        <v>68.163439999999994</v>
      </c>
      <c r="Q619"/>
      <c r="R619">
        <v>81.788039999999995</v>
      </c>
      <c r="S619">
        <v>82.099909999999994</v>
      </c>
      <c r="T619"/>
      <c r="U619">
        <v>79.575230000000005</v>
      </c>
      <c r="V619">
        <v>77.970510000000004</v>
      </c>
      <c r="W619">
        <v>76.392799999999994</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74.108630000000005</v>
      </c>
      <c r="AN619">
        <v>70.896870000000007</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83.735889999999998</v>
      </c>
      <c r="M620">
        <v>77.315169999999995</v>
      </c>
      <c r="N620">
        <v>80.010080000000002</v>
      </c>
      <c r="O620">
        <v>76.861680000000007</v>
      </c>
      <c r="P620">
        <v>68.390460000000004</v>
      </c>
      <c r="Q620"/>
      <c r="R620">
        <v>81.525850000000005</v>
      </c>
      <c r="S620">
        <v>81.912120000000002</v>
      </c>
      <c r="T620"/>
      <c r="U620">
        <v>79.620099999999994</v>
      </c>
      <c r="V620">
        <v>77.265360000000001</v>
      </c>
      <c r="W620">
        <v>74.917519999999996</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74.26585</v>
      </c>
      <c r="AN620">
        <v>71.004069999999999</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83.58972</v>
      </c>
      <c r="M621">
        <v>77.356499999999997</v>
      </c>
      <c r="N621">
        <v>80.160060000000001</v>
      </c>
      <c r="O621">
        <v>77.147970000000001</v>
      </c>
      <c r="P621">
        <v>68.447209999999998</v>
      </c>
      <c r="Q621"/>
      <c r="R621">
        <v>82.058430000000001</v>
      </c>
      <c r="S621">
        <v>82.145809999999997</v>
      </c>
      <c r="T621"/>
      <c r="U621">
        <v>79.768420000000006</v>
      </c>
      <c r="V621">
        <v>77.567570000000003</v>
      </c>
      <c r="W621">
        <v>75.072890000000001</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74.466840000000005</v>
      </c>
      <c r="AN621">
        <v>71.249139999999997</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83.374020000000002</v>
      </c>
      <c r="M622">
        <v>77.851110000000006</v>
      </c>
      <c r="N622">
        <v>80.200050000000005</v>
      </c>
      <c r="O622">
        <v>77.093069999999997</v>
      </c>
      <c r="P622">
        <v>68.787750000000003</v>
      </c>
      <c r="Q622"/>
      <c r="R622">
        <v>82.574619999999996</v>
      </c>
      <c r="S622">
        <v>82.252369999999999</v>
      </c>
      <c r="T622"/>
      <c r="U622">
        <v>79.919790000000006</v>
      </c>
      <c r="V622">
        <v>78.171989999999994</v>
      </c>
      <c r="W622">
        <v>76.945049999999995</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74.721720000000005</v>
      </c>
      <c r="AN622">
        <v>71.575980000000001</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83.381389999999996</v>
      </c>
      <c r="M623">
        <v>78.045670000000001</v>
      </c>
      <c r="N623">
        <v>80.290040000000005</v>
      </c>
      <c r="O623">
        <v>77.166629999999998</v>
      </c>
      <c r="P623">
        <v>69.3553</v>
      </c>
      <c r="Q623"/>
      <c r="R623">
        <v>82.943330000000003</v>
      </c>
      <c r="S623">
        <v>82.2654</v>
      </c>
      <c r="T623"/>
      <c r="U623">
        <v>80.059839999999994</v>
      </c>
      <c r="V623">
        <v>78.171989999999994</v>
      </c>
      <c r="W623">
        <v>77.439869999999999</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74.925820000000002</v>
      </c>
      <c r="AN623">
        <v>71.81438</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83.378410000000002</v>
      </c>
      <c r="M624">
        <v>78.201970000000003</v>
      </c>
      <c r="N624">
        <v>80.320040000000006</v>
      </c>
      <c r="O624">
        <v>77.270030000000006</v>
      </c>
      <c r="P624">
        <v>69.752589999999998</v>
      </c>
      <c r="Q624"/>
      <c r="R624">
        <v>82.926940000000002</v>
      </c>
      <c r="S624">
        <v>82.251480000000001</v>
      </c>
      <c r="T624"/>
      <c r="U624">
        <v>80.106639999999999</v>
      </c>
      <c r="V624">
        <v>78.272729999999996</v>
      </c>
      <c r="W624">
        <v>77.528239999999997</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75.075729999999993</v>
      </c>
      <c r="AN624">
        <v>72.067949999999996</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84.287800000000004</v>
      </c>
      <c r="M625">
        <v>78.193799999999996</v>
      </c>
      <c r="N625">
        <v>80.63</v>
      </c>
      <c r="O625">
        <v>77.490949999999998</v>
      </c>
      <c r="P625">
        <v>69.752589999999998</v>
      </c>
      <c r="Q625"/>
      <c r="R625">
        <v>82.943330000000003</v>
      </c>
      <c r="S625">
        <v>82.339269999999999</v>
      </c>
      <c r="T625"/>
      <c r="U625">
        <v>80.162279999999996</v>
      </c>
      <c r="V625">
        <v>78.373469999999998</v>
      </c>
      <c r="W625">
        <v>78.2226</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75.209509999999995</v>
      </c>
      <c r="AN625">
        <v>72.402550000000005</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83.8489</v>
      </c>
      <c r="M626">
        <v>77.733990000000006</v>
      </c>
      <c r="N626">
        <v>80.16</v>
      </c>
      <c r="O626">
        <v>77.847530000000006</v>
      </c>
      <c r="P626">
        <v>70.320149999999998</v>
      </c>
      <c r="Q626"/>
      <c r="R626">
        <v>82.828620000000001</v>
      </c>
      <c r="S626">
        <v>82.185860000000005</v>
      </c>
      <c r="T626"/>
      <c r="U626">
        <v>80.17877</v>
      </c>
      <c r="V626">
        <v>77.567570000000003</v>
      </c>
      <c r="W626">
        <v>76.962109999999996</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75.321060000000003</v>
      </c>
      <c r="AN626">
        <v>72.385329999999996</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84.155690000000007</v>
      </c>
      <c r="M627">
        <v>78.363820000000004</v>
      </c>
      <c r="N627">
        <v>80.28</v>
      </c>
      <c r="O627">
        <v>78.113609999999994</v>
      </c>
      <c r="P627">
        <v>70.547169999999994</v>
      </c>
      <c r="Q627"/>
      <c r="R627">
        <v>83.279269999999997</v>
      </c>
      <c r="S627">
        <v>82.352050000000006</v>
      </c>
      <c r="T627"/>
      <c r="U627">
        <v>80.443920000000006</v>
      </c>
      <c r="V627">
        <v>77.769040000000004</v>
      </c>
      <c r="W627">
        <v>76.344920000000002</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75.608109999999996</v>
      </c>
      <c r="AN627">
        <v>72.679180000000002</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84.059939999999997</v>
      </c>
      <c r="M628">
        <v>78.898719999999997</v>
      </c>
      <c r="N628">
        <v>80.709999999999994</v>
      </c>
      <c r="O628">
        <v>78.427499999999995</v>
      </c>
      <c r="P628">
        <v>70.660679999999999</v>
      </c>
      <c r="Q628"/>
      <c r="R628">
        <v>83.820040000000006</v>
      </c>
      <c r="S628">
        <v>82.646320000000003</v>
      </c>
      <c r="T628"/>
      <c r="U628">
        <v>80.711740000000006</v>
      </c>
      <c r="V628">
        <v>78.071250000000006</v>
      </c>
      <c r="W628">
        <v>78.219279999999998</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75.959010000000006</v>
      </c>
      <c r="AN628">
        <v>73.045320000000004</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84.265320000000003</v>
      </c>
      <c r="M629">
        <v>78.979759999999999</v>
      </c>
      <c r="N629">
        <v>81.099999999999994</v>
      </c>
      <c r="O629">
        <v>78.794939999999997</v>
      </c>
      <c r="P629">
        <v>71.057969999999997</v>
      </c>
      <c r="Q629"/>
      <c r="R629">
        <v>84.172359999999998</v>
      </c>
      <c r="S629">
        <v>82.895960000000002</v>
      </c>
      <c r="T629"/>
      <c r="U629">
        <v>80.913560000000004</v>
      </c>
      <c r="V629">
        <v>78.474209999999999</v>
      </c>
      <c r="W629">
        <v>78.812539999999998</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76.315830000000005</v>
      </c>
      <c r="AN629">
        <v>73.648740000000004</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84.207509999999999</v>
      </c>
      <c r="M630">
        <v>79.228489999999994</v>
      </c>
      <c r="N630">
        <v>81.2</v>
      </c>
      <c r="O630">
        <v>78.869820000000004</v>
      </c>
      <c r="P630">
        <v>71.22824</v>
      </c>
      <c r="Q630"/>
      <c r="R630">
        <v>84.270679999999999</v>
      </c>
      <c r="S630">
        <v>82.978359999999995</v>
      </c>
      <c r="T630"/>
      <c r="U630">
        <v>80.953760000000003</v>
      </c>
      <c r="V630">
        <v>78.87715</v>
      </c>
      <c r="W630">
        <v>78.718329999999995</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76.478520000000003</v>
      </c>
      <c r="AN630">
        <v>74.020809999999997</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84.375900000000001</v>
      </c>
      <c r="M631">
        <v>79.1858</v>
      </c>
      <c r="N631">
        <v>81.349999999999994</v>
      </c>
      <c r="O631">
        <v>79.080609999999993</v>
      </c>
      <c r="P631">
        <v>71.00121</v>
      </c>
      <c r="Q631"/>
      <c r="R631">
        <v>84.237920000000003</v>
      </c>
      <c r="S631">
        <v>83.03819</v>
      </c>
      <c r="T631"/>
      <c r="U631">
        <v>81.090350000000001</v>
      </c>
      <c r="V631">
        <v>78.977890000000002</v>
      </c>
      <c r="W631">
        <v>79.048640000000006</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76.681240000000003</v>
      </c>
      <c r="AN631">
        <v>74.318539999999999</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84.752840000000006</v>
      </c>
      <c r="M632">
        <v>79.048320000000004</v>
      </c>
      <c r="N632">
        <v>81.319999999999993</v>
      </c>
      <c r="O632">
        <v>79.475129999999993</v>
      </c>
      <c r="P632">
        <v>71.00121</v>
      </c>
      <c r="Q632"/>
      <c r="R632">
        <v>83.656170000000003</v>
      </c>
      <c r="S632">
        <v>82.954089999999994</v>
      </c>
      <c r="T632"/>
      <c r="U632">
        <v>81.158019999999993</v>
      </c>
      <c r="V632">
        <v>78.474209999999999</v>
      </c>
      <c r="W632">
        <v>77.690290000000005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76.807400000000001</v>
      </c>
      <c r="AN632">
        <v>74.496489999999994</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84.724879999999999</v>
      </c>
      <c r="M633">
        <v>79.075010000000006</v>
      </c>
      <c r="N633">
        <v>81.41</v>
      </c>
      <c r="O633">
        <v>79.808019999999999</v>
      </c>
      <c r="P633">
        <v>71.22824</v>
      </c>
      <c r="Q633"/>
      <c r="R633">
        <v>84.106819999999999</v>
      </c>
      <c r="S633">
        <v>83.252049999999997</v>
      </c>
      <c r="T633"/>
      <c r="U633">
        <v>81.315399999999997</v>
      </c>
      <c r="V633">
        <v>78.977890000000002</v>
      </c>
      <c r="W633">
        <v>77.719920000000002</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77.030969999999996</v>
      </c>
      <c r="AN633">
        <v>74.847200000000001</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84.636899999999997</v>
      </c>
      <c r="M634">
        <v>79.563770000000005</v>
      </c>
      <c r="N634">
        <v>81.61</v>
      </c>
      <c r="O634">
        <v>79.662890000000004</v>
      </c>
      <c r="P634">
        <v>71.568770000000001</v>
      </c>
      <c r="Q634"/>
      <c r="R634">
        <v>84.704949999999997</v>
      </c>
      <c r="S634">
        <v>83.358630000000005</v>
      </c>
      <c r="T634"/>
      <c r="U634">
        <v>81.450199999999995</v>
      </c>
      <c r="V634">
        <v>79.179360000000003</v>
      </c>
      <c r="W634">
        <v>79.478679999999997</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77.309200000000004</v>
      </c>
      <c r="AN634">
        <v>75.247339999999994</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84.793149999999997</v>
      </c>
      <c r="M635">
        <v>79.836169999999996</v>
      </c>
      <c r="N635">
        <v>81.87</v>
      </c>
      <c r="O635">
        <v>79.725669999999994</v>
      </c>
      <c r="P635">
        <v>71.795789999999997</v>
      </c>
      <c r="Q635"/>
      <c r="R635">
        <v>84.803269999999998</v>
      </c>
      <c r="S635">
        <v>83.462299999999999</v>
      </c>
      <c r="T635"/>
      <c r="U635">
        <v>81.586399999999998</v>
      </c>
      <c r="V635">
        <v>79.078620000000001</v>
      </c>
      <c r="W635">
        <v>79.911370000000005</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77.551550000000006</v>
      </c>
      <c r="AN635">
        <v>75.60472</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84.745400000000004</v>
      </c>
      <c r="M636">
        <v>79.84263</v>
      </c>
      <c r="N636">
        <v>81.96</v>
      </c>
      <c r="O636">
        <v>79.818389999999994</v>
      </c>
      <c r="P636">
        <v>71.909300000000002</v>
      </c>
      <c r="Q636"/>
      <c r="R636">
        <v>84.516490000000005</v>
      </c>
      <c r="S636">
        <v>83.348309999999998</v>
      </c>
      <c r="T636"/>
      <c r="U636">
        <v>81.691569999999999</v>
      </c>
      <c r="V636">
        <v>79.179360000000003</v>
      </c>
      <c r="W636">
        <v>80.072109999999995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77.731430000000003</v>
      </c>
      <c r="AN636">
        <v>75.852410000000006</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85.714789999999994</v>
      </c>
      <c r="M637">
        <v>79.912930000000003</v>
      </c>
      <c r="N637">
        <v>82.46</v>
      </c>
      <c r="O637">
        <v>80.142070000000004</v>
      </c>
      <c r="P637">
        <v>71.966059999999999</v>
      </c>
      <c r="Q637"/>
      <c r="R637">
        <v>84.500110000000006</v>
      </c>
      <c r="S637">
        <v>83.555430000000001</v>
      </c>
      <c r="T637"/>
      <c r="U637">
        <v>81.74494</v>
      </c>
      <c r="V637">
        <v>79.380840000000006</v>
      </c>
      <c r="W637">
        <v>80.39716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77.850740000000002</v>
      </c>
      <c r="AN637">
        <v>76.238110000000006</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85.327190000000002</v>
      </c>
      <c r="M638">
        <v>79.673680000000004</v>
      </c>
      <c r="N638">
        <v>82.09</v>
      </c>
      <c r="O638">
        <v>79.685829999999996</v>
      </c>
      <c r="P638">
        <v>72.476860000000002</v>
      </c>
      <c r="Q638"/>
      <c r="R638">
        <v>84.385400000000004</v>
      </c>
      <c r="S638">
        <v>83.725070000000002</v>
      </c>
      <c r="T638"/>
      <c r="U638">
        <v>81.716309999999993</v>
      </c>
      <c r="V638">
        <v>78.87715</v>
      </c>
      <c r="W638">
        <v>79.312139999999999</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77.906180000000006</v>
      </c>
      <c r="AN638">
        <v>76.318460000000002</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85.669359999999998</v>
      </c>
      <c r="M639">
        <v>80.376159999999999</v>
      </c>
      <c r="N639">
        <v>82.29</v>
      </c>
      <c r="O639">
        <v>79.776210000000006</v>
      </c>
      <c r="P639">
        <v>72.760639999999995</v>
      </c>
      <c r="Q639"/>
      <c r="R639">
        <v>84.631200000000007</v>
      </c>
      <c r="S639">
        <v>83.905910000000006</v>
      </c>
      <c r="T639"/>
      <c r="U639">
        <v>82.003690000000006</v>
      </c>
      <c r="V639">
        <v>78.977890000000002</v>
      </c>
      <c r="W639">
        <v>78.63588</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78.184560000000005</v>
      </c>
      <c r="AN639">
        <v>76.565650000000005</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85.773349999999994</v>
      </c>
      <c r="M640">
        <v>80.863550000000004</v>
      </c>
      <c r="N640">
        <v>82.78</v>
      </c>
      <c r="O640">
        <v>80.423609999999996</v>
      </c>
      <c r="P640">
        <v>72.987660000000005</v>
      </c>
      <c r="Q640"/>
      <c r="R640">
        <v>84.983530000000002</v>
      </c>
      <c r="S640">
        <v>84.312060000000002</v>
      </c>
      <c r="T640"/>
      <c r="U640">
        <v>82.266469999999998</v>
      </c>
      <c r="V640">
        <v>79.280100000000004</v>
      </c>
      <c r="W640">
        <v>80.983220000000003</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78.509140000000002</v>
      </c>
      <c r="AN640">
        <v>76.952929999999995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85.470269999999999</v>
      </c>
      <c r="M641">
        <v>81.025059999999996</v>
      </c>
      <c r="N641">
        <v>83.04</v>
      </c>
      <c r="O641">
        <v>81.473529999999997</v>
      </c>
      <c r="P641">
        <v>72.930909999999997</v>
      </c>
      <c r="Q641"/>
      <c r="R641">
        <v>85.344040000000007</v>
      </c>
      <c r="S641">
        <v>84.521069999999995</v>
      </c>
      <c r="T641"/>
      <c r="U641">
        <v>82.446389999999994</v>
      </c>
      <c r="V641">
        <v>79.582310000000007</v>
      </c>
      <c r="W641">
        <v>81.424180000000007</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78.78689</v>
      </c>
      <c r="AN641">
        <v>77.255170000000007</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85.715720000000005</v>
      </c>
      <c r="M642">
        <v>81.095330000000004</v>
      </c>
      <c r="N642">
        <v>83.27</v>
      </c>
      <c r="O642">
        <v>81.765699999999995</v>
      </c>
      <c r="P642">
        <v>72.987660000000005</v>
      </c>
      <c r="Q642"/>
      <c r="R642">
        <v>85.450559999999996</v>
      </c>
      <c r="S642">
        <v>84.648219999999995</v>
      </c>
      <c r="T642"/>
      <c r="U642">
        <v>82.507949999999994</v>
      </c>
      <c r="V642">
        <v>79.884519999999995</v>
      </c>
      <c r="W642">
        <v>81.919820000000001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78.913839999999993</v>
      </c>
      <c r="AN642">
        <v>77.547730000000001</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85.883709999999994</v>
      </c>
      <c r="M643">
        <v>81.144599999999997</v>
      </c>
      <c r="N643">
        <v>83.36</v>
      </c>
      <c r="O643">
        <v>81.918099999999995</v>
      </c>
      <c r="P643">
        <v>73.157929999999993</v>
      </c>
      <c r="Q643"/>
      <c r="R643">
        <v>85.434169999999995</v>
      </c>
      <c r="S643">
        <v>84.733549999999994</v>
      </c>
      <c r="T643"/>
      <c r="U643">
        <v>82.530270000000002</v>
      </c>
      <c r="V643">
        <v>79.985259999999997</v>
      </c>
      <c r="W643">
        <v>81.867689999999996</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78.992360000000005</v>
      </c>
      <c r="AN643">
        <v>77.736080000000001</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86.074349999999995</v>
      </c>
      <c r="M644">
        <v>80.948170000000005</v>
      </c>
      <c r="N644">
        <v>83.3</v>
      </c>
      <c r="O644">
        <v>80.906009999999995</v>
      </c>
      <c r="P644">
        <v>73.101169999999996</v>
      </c>
      <c r="Q644"/>
      <c r="R644">
        <v>85.122820000000004</v>
      </c>
      <c r="S644">
        <v>84.888630000000006</v>
      </c>
      <c r="T644"/>
      <c r="U644">
        <v>82.582210000000003</v>
      </c>
      <c r="V644">
        <v>79.683040000000005</v>
      </c>
      <c r="W644">
        <v>80.288380000000004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79.040459999999996</v>
      </c>
      <c r="AN644">
        <v>77.739850000000004</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86.043589999999995</v>
      </c>
      <c r="M645">
        <v>81.091970000000003</v>
      </c>
      <c r="N645">
        <v>83.38</v>
      </c>
      <c r="O645">
        <v>81.08887</v>
      </c>
      <c r="P645">
        <v>73.271439999999998</v>
      </c>
      <c r="Q645"/>
      <c r="R645">
        <v>85.434169999999995</v>
      </c>
      <c r="S645">
        <v>85.136250000000004</v>
      </c>
      <c r="T645"/>
      <c r="U645">
        <v>82.817160000000001</v>
      </c>
      <c r="V645">
        <v>79.985259999999997</v>
      </c>
      <c r="W645">
        <v>80.356290000000001</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79.285510000000002</v>
      </c>
      <c r="AN645">
        <v>77.998829999999998</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85.979020000000006</v>
      </c>
      <c r="M646">
        <v>81.56541</v>
      </c>
      <c r="N646">
        <v>83.56</v>
      </c>
      <c r="O646">
        <v>81.313789999999997</v>
      </c>
      <c r="P646">
        <v>73.611969999999999</v>
      </c>
      <c r="Q646"/>
      <c r="R646">
        <v>85.802880000000002</v>
      </c>
      <c r="S646">
        <v>85.200329999999994</v>
      </c>
      <c r="T646"/>
      <c r="U646">
        <v>82.917119999999997</v>
      </c>
      <c r="V646">
        <v>80.186729999999997</v>
      </c>
      <c r="W646">
        <v>82.276820000000001</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79.481880000000004</v>
      </c>
      <c r="AN646">
        <v>78.276390000000006</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85.859989999999996</v>
      </c>
      <c r="M647">
        <v>81.75949</v>
      </c>
      <c r="N647">
        <v>83.76</v>
      </c>
      <c r="O647">
        <v>82.435169999999999</v>
      </c>
      <c r="P647">
        <v>74.066019999999995</v>
      </c>
      <c r="Q647"/>
      <c r="R647">
        <v>86.114230000000006</v>
      </c>
      <c r="S647">
        <v>85.257549999999995</v>
      </c>
      <c r="T647"/>
      <c r="U647">
        <v>83.037220000000005</v>
      </c>
      <c r="V647">
        <v>80.388210000000001</v>
      </c>
      <c r="W647">
        <v>82.634829999999994</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79.696179999999998</v>
      </c>
      <c r="AN647">
        <v>78.575270000000003</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85.769450000000006</v>
      </c>
      <c r="M648">
        <v>81.913570000000007</v>
      </c>
      <c r="N648">
        <v>83.85</v>
      </c>
      <c r="O648">
        <v>82.889200000000002</v>
      </c>
      <c r="P648">
        <v>74.009259999999998</v>
      </c>
      <c r="Q648"/>
      <c r="R648">
        <v>85.909400000000005</v>
      </c>
      <c r="S648">
        <v>85.331530000000001</v>
      </c>
      <c r="T648"/>
      <c r="U648">
        <v>83.057119999999998</v>
      </c>
      <c r="V648">
        <v>80.388210000000001</v>
      </c>
      <c r="W648">
        <v>82.79759</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79.786159999999995</v>
      </c>
      <c r="AN648">
        <v>78.767129999999995</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86.633769999999998</v>
      </c>
      <c r="M649">
        <v>81.93244</v>
      </c>
      <c r="N649">
        <v>84.28</v>
      </c>
      <c r="O649">
        <v>83.03107</v>
      </c>
      <c r="P649">
        <v>73.838999999999999</v>
      </c>
      <c r="Q649"/>
      <c r="R649">
        <v>85.860240000000005</v>
      </c>
      <c r="S649">
        <v>85.484409999999997</v>
      </c>
      <c r="T649"/>
      <c r="U649">
        <v>83.100139999999996</v>
      </c>
      <c r="V649">
        <v>80.791150000000002</v>
      </c>
      <c r="W649">
        <v>83.139179999999996</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79.866659999999996</v>
      </c>
      <c r="AN649">
        <v>79.083160000000007</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86.108639999999994</v>
      </c>
      <c r="M650">
        <v>81.736419999999995</v>
      </c>
      <c r="N650">
        <v>83.64</v>
      </c>
      <c r="O650">
        <v>82.092560000000006</v>
      </c>
      <c r="P650">
        <v>74.803839999999994</v>
      </c>
      <c r="Q650"/>
      <c r="R650">
        <v>85.401399999999995</v>
      </c>
      <c r="S650">
        <v>85.353539999999995</v>
      </c>
      <c r="T650"/>
      <c r="U650">
        <v>83.028790000000001</v>
      </c>
      <c r="V650">
        <v>80.085999999999999</v>
      </c>
      <c r="W650">
        <v>82.139830000000003</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79.856830000000002</v>
      </c>
      <c r="AN650">
        <v>78.909319999999994</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86.450860000000006</v>
      </c>
      <c r="M651">
        <v>82.433549999999997</v>
      </c>
      <c r="N651">
        <v>83.85</v>
      </c>
      <c r="O651">
        <v>82.230230000000006</v>
      </c>
      <c r="P651">
        <v>74.803839999999994</v>
      </c>
      <c r="Q651"/>
      <c r="R651">
        <v>85.729140000000001</v>
      </c>
      <c r="S651">
        <v>85.876779999999997</v>
      </c>
      <c r="T651"/>
      <c r="U651">
        <v>83.260419999999996</v>
      </c>
      <c r="V651">
        <v>80.287469999999999</v>
      </c>
      <c r="W651">
        <v>81.403919999999999</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80.087999999999994</v>
      </c>
      <c r="AN651">
        <v>79.160160000000005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86.475459999999998</v>
      </c>
      <c r="M652">
        <v>83.027649999999994</v>
      </c>
      <c r="N652">
        <v>84.33</v>
      </c>
      <c r="O652">
        <v>82.830340000000007</v>
      </c>
      <c r="P652">
        <v>74.860600000000005</v>
      </c>
      <c r="Q652"/>
      <c r="R652">
        <v>85.950360000000003</v>
      </c>
      <c r="S652">
        <v>86.114990000000006</v>
      </c>
      <c r="T652"/>
      <c r="U652">
        <v>83.470140000000001</v>
      </c>
      <c r="V652">
        <v>80.488950000000003</v>
      </c>
      <c r="W652">
        <v>83.511870000000002</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80.357069999999993</v>
      </c>
      <c r="AN652">
        <v>79.448149999999998</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86.383679999999998</v>
      </c>
      <c r="M653">
        <v>83.18777</v>
      </c>
      <c r="N653">
        <v>84.7</v>
      </c>
      <c r="O653">
        <v>84.170330000000007</v>
      </c>
      <c r="P653">
        <v>74.633579999999995</v>
      </c>
      <c r="Q653"/>
      <c r="R653">
        <v>86.122429999999994</v>
      </c>
      <c r="S653">
        <v>86.237049999999996</v>
      </c>
      <c r="T653"/>
      <c r="U653">
        <v>83.563810000000004</v>
      </c>
      <c r="V653">
        <v>80.791150000000002</v>
      </c>
      <c r="W653">
        <v>83.954149999999998</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80.539150000000006</v>
      </c>
      <c r="AN653">
        <v>79.734740000000002</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86.296859999999995</v>
      </c>
      <c r="M654">
        <v>83.361360000000005</v>
      </c>
      <c r="N654">
        <v>84.79</v>
      </c>
      <c r="O654">
        <v>84.268069999999994</v>
      </c>
      <c r="P654">
        <v>74.690330000000003</v>
      </c>
      <c r="Q654"/>
      <c r="R654">
        <v>86.228939999999994</v>
      </c>
      <c r="S654">
        <v>86.336439999999996</v>
      </c>
      <c r="T654"/>
      <c r="U654">
        <v>83.650580000000005</v>
      </c>
      <c r="V654">
        <v>80.891890000000004</v>
      </c>
      <c r="W654">
        <v>84.179479999999998</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80.63879</v>
      </c>
      <c r="AN654">
        <v>79.866129999999998</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86.574839999999995</v>
      </c>
      <c r="M655">
        <v>83.364429999999999</v>
      </c>
      <c r="N655">
        <v>84.88</v>
      </c>
      <c r="O655">
        <v>84.374219999999994</v>
      </c>
      <c r="P655">
        <v>74.74709</v>
      </c>
      <c r="Q655"/>
      <c r="R655">
        <v>86.073269999999994</v>
      </c>
      <c r="S655">
        <v>86.436400000000006</v>
      </c>
      <c r="T655"/>
      <c r="U655">
        <v>83.606930000000006</v>
      </c>
      <c r="V655">
        <v>80.791150000000002</v>
      </c>
      <c r="W655">
        <v>84.275909999999996</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80.637699999999995</v>
      </c>
      <c r="AN655">
        <v>79.98527</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86.840950000000007</v>
      </c>
      <c r="M656">
        <v>82.829220000000007</v>
      </c>
      <c r="N656">
        <v>84.68</v>
      </c>
      <c r="O656">
        <v>83.286460000000005</v>
      </c>
      <c r="P656">
        <v>74.974109999999996</v>
      </c>
      <c r="Q656"/>
      <c r="R656">
        <v>85.417789999999997</v>
      </c>
      <c r="S656">
        <v>86.308940000000007</v>
      </c>
      <c r="T656"/>
      <c r="U656">
        <v>83.67501</v>
      </c>
      <c r="V656">
        <v>80.69041</v>
      </c>
      <c r="W656">
        <v>82.607159999999993</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80.651359999999997</v>
      </c>
      <c r="AN656">
        <v>79.896060000000006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86.863829999999993</v>
      </c>
      <c r="M657">
        <v>82.784580000000005</v>
      </c>
      <c r="N657">
        <v>84.79</v>
      </c>
      <c r="O657">
        <v>83.463030000000003</v>
      </c>
      <c r="P657">
        <v>75.314639999999997</v>
      </c>
      <c r="Q657"/>
      <c r="R657">
        <v>85.663589999999999</v>
      </c>
      <c r="S657">
        <v>86.545050000000003</v>
      </c>
      <c r="T657"/>
      <c r="U657">
        <v>83.817040000000006</v>
      </c>
      <c r="V657">
        <v>80.992630000000005</v>
      </c>
      <c r="W657">
        <v>82.726969999999994</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80.802700000000002</v>
      </c>
      <c r="AN657">
        <v>80.080359999999999</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86.741910000000004</v>
      </c>
      <c r="M658">
        <v>83.40119</v>
      </c>
      <c r="N658">
        <v>85.06</v>
      </c>
      <c r="O658">
        <v>83.645899999999997</v>
      </c>
      <c r="P658">
        <v>75.25788</v>
      </c>
      <c r="Q658"/>
      <c r="R658">
        <v>86.065070000000006</v>
      </c>
      <c r="S658">
        <v>86.799170000000004</v>
      </c>
      <c r="T658"/>
      <c r="U658">
        <v>83.875609999999995</v>
      </c>
      <c r="V658">
        <v>81.194100000000006</v>
      </c>
      <c r="W658">
        <v>84.831469999999996</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80.944860000000006</v>
      </c>
      <c r="AN658">
        <v>80.321280000000002</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86.724530000000001</v>
      </c>
      <c r="M659">
        <v>83.299809999999994</v>
      </c>
      <c r="N659">
        <v>85.24</v>
      </c>
      <c r="O659">
        <v>84.620149999999995</v>
      </c>
      <c r="P659">
        <v>75.598420000000004</v>
      </c>
      <c r="Q659"/>
      <c r="R659">
        <v>86.122429999999994</v>
      </c>
      <c r="S659">
        <v>87.113820000000004</v>
      </c>
      <c r="T659"/>
      <c r="U659">
        <v>84.076229999999995</v>
      </c>
      <c r="V659">
        <v>81.294839999999994</v>
      </c>
      <c r="W659">
        <v>85.295810000000003</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81.165779999999998</v>
      </c>
      <c r="AN659">
        <v>80.539990000000003</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86.528419999999997</v>
      </c>
      <c r="M660">
        <v>83.487179999999995</v>
      </c>
      <c r="N660">
        <v>85.26</v>
      </c>
      <c r="O660">
        <v>84.965919999999997</v>
      </c>
      <c r="P660">
        <v>75.484909999999999</v>
      </c>
      <c r="Q660"/>
      <c r="R660">
        <v>85.991330000000005</v>
      </c>
      <c r="S660">
        <v>87.307879999999997</v>
      </c>
      <c r="T660"/>
      <c r="U660">
        <v>83.969639999999998</v>
      </c>
      <c r="V660">
        <v>81.294839999999994</v>
      </c>
      <c r="W660">
        <v>85.426599999999993</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81.130510000000001</v>
      </c>
      <c r="AN660">
        <v>80.639200000000002</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87.377840000000006</v>
      </c>
      <c r="M661">
        <v>83.313090000000003</v>
      </c>
      <c r="N661">
        <v>85.64</v>
      </c>
      <c r="O661">
        <v>85.096239999999995</v>
      </c>
      <c r="P661">
        <v>75.201130000000006</v>
      </c>
      <c r="Q661"/>
      <c r="R661">
        <v>85.999529999999993</v>
      </c>
      <c r="S661">
        <v>87.497780000000006</v>
      </c>
      <c r="T661"/>
      <c r="U661">
        <v>84.002210000000005</v>
      </c>
      <c r="V661">
        <v>81.496319999999997</v>
      </c>
      <c r="W661">
        <v>85.970640000000003</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81.185050000000004</v>
      </c>
      <c r="AN661">
        <v>80.868669999999995</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87.186530000000005</v>
      </c>
      <c r="M662">
        <v>83.185299999999998</v>
      </c>
      <c r="N662">
        <v>85.08</v>
      </c>
      <c r="O662">
        <v>83.951729999999998</v>
      </c>
      <c r="P662">
        <v>75.428150000000002</v>
      </c>
      <c r="Q662"/>
      <c r="R662">
        <v>85.417789999999997</v>
      </c>
      <c r="S662">
        <v>87.305080000000004</v>
      </c>
      <c r="T662"/>
      <c r="U662">
        <v>83.952640000000002</v>
      </c>
      <c r="V662">
        <v>80.992630000000005</v>
      </c>
      <c r="W662">
        <v>84.764610000000005</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81.149799999999999</v>
      </c>
      <c r="AN662">
        <v>80.661159999999995</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87.485569999999996</v>
      </c>
      <c r="M663">
        <v>84.03304</v>
      </c>
      <c r="N663">
        <v>85.39</v>
      </c>
      <c r="O663">
        <v>84.068389999999994</v>
      </c>
      <c r="P663">
        <v>75.484909999999999</v>
      </c>
      <c r="Q663"/>
      <c r="R663">
        <v>86.056880000000007</v>
      </c>
      <c r="S663">
        <v>87.894109999999998</v>
      </c>
      <c r="T663"/>
      <c r="U663">
        <v>84.237300000000005</v>
      </c>
      <c r="V663">
        <v>81.194100000000006</v>
      </c>
      <c r="W663">
        <v>83.859710000000007</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81.409930000000003</v>
      </c>
      <c r="AN663">
        <v>80.914320000000004</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87.760180000000005</v>
      </c>
      <c r="M664">
        <v>84.171880000000002</v>
      </c>
      <c r="N664">
        <v>85.83</v>
      </c>
      <c r="O664">
        <v>84.644319999999993</v>
      </c>
      <c r="P664">
        <v>75.484909999999999</v>
      </c>
      <c r="Q664"/>
      <c r="R664">
        <v>85.548879999999997</v>
      </c>
      <c r="S664">
        <v>88.086860000000001</v>
      </c>
      <c r="T664"/>
      <c r="U664">
        <v>84.632480000000001</v>
      </c>
      <c r="V664">
        <v>81.294839999999994</v>
      </c>
      <c r="W664">
        <v>86.248819999999995</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81.803120000000007</v>
      </c>
      <c r="AN664">
        <v>81.225319999999996</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87.975650000000002</v>
      </c>
      <c r="M665">
        <v>84.408000000000001</v>
      </c>
      <c r="N665">
        <v>86.26</v>
      </c>
      <c r="O665">
        <v>86.128299999999996</v>
      </c>
      <c r="P665">
        <v>75.768680000000003</v>
      </c>
      <c r="Q665"/>
      <c r="R665">
        <v>85.524299999999997</v>
      </c>
      <c r="S665">
        <v>88.242990000000006</v>
      </c>
      <c r="T665"/>
      <c r="U665">
        <v>84.818569999999994</v>
      </c>
      <c r="V665">
        <v>81.597049999999996</v>
      </c>
      <c r="W665">
        <v>86.639870000000002</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82.052959999999999</v>
      </c>
      <c r="AN665">
        <v>81.577460000000002</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87.942899999999995</v>
      </c>
      <c r="M666">
        <v>84.398380000000003</v>
      </c>
      <c r="N666">
        <v>86.36</v>
      </c>
      <c r="O666">
        <v>86.300650000000005</v>
      </c>
      <c r="P666">
        <v>75.882189999999994</v>
      </c>
      <c r="Q666"/>
      <c r="R666">
        <v>85.507909999999995</v>
      </c>
      <c r="S666">
        <v>88.383039999999994</v>
      </c>
      <c r="T666"/>
      <c r="U666">
        <v>84.864040000000003</v>
      </c>
      <c r="V666">
        <v>81.798519999999996</v>
      </c>
      <c r="W666">
        <v>86.835759999999993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82.146429999999995</v>
      </c>
      <c r="AN666">
        <v>81.777199999999993</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88.076300000000003</v>
      </c>
      <c r="M667">
        <v>84.367559999999997</v>
      </c>
      <c r="N667">
        <v>86.49</v>
      </c>
      <c r="O667">
        <v>86.480369999999994</v>
      </c>
      <c r="P667">
        <v>75.882189999999994</v>
      </c>
      <c r="Q667"/>
      <c r="R667">
        <v>85.598050000000001</v>
      </c>
      <c r="S667">
        <v>88.415469999999999</v>
      </c>
      <c r="T667"/>
      <c r="U667">
        <v>84.907520000000005</v>
      </c>
      <c r="V667">
        <v>81.798519999999996</v>
      </c>
      <c r="W667">
        <v>87.096639999999994</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82.214240000000004</v>
      </c>
      <c r="AN667">
        <v>81.876490000000004</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88.264560000000003</v>
      </c>
      <c r="M668">
        <v>83.934290000000004</v>
      </c>
      <c r="N668">
        <v>86.25</v>
      </c>
      <c r="O668">
        <v>85.291719999999998</v>
      </c>
      <c r="P668">
        <v>75.82544</v>
      </c>
      <c r="Q668"/>
      <c r="R668">
        <v>85.196560000000005</v>
      </c>
      <c r="S668">
        <v>88.416899999999998</v>
      </c>
      <c r="T668"/>
      <c r="U668">
        <v>84.910659999999993</v>
      </c>
      <c r="V668">
        <v>81.597049999999996</v>
      </c>
      <c r="W668">
        <v>85.783000000000001</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82.188479999999998</v>
      </c>
      <c r="AN668">
        <v>81.757599999999996</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88.349800000000002</v>
      </c>
      <c r="M669">
        <v>83.624790000000004</v>
      </c>
      <c r="N669">
        <v>86.44</v>
      </c>
      <c r="O669">
        <v>85.560770000000005</v>
      </c>
      <c r="P669">
        <v>75.938950000000006</v>
      </c>
      <c r="Q669"/>
      <c r="R669">
        <v>85.598050000000001</v>
      </c>
      <c r="S669">
        <v>88.779210000000006</v>
      </c>
      <c r="T669"/>
      <c r="U669">
        <v>85.027259999999998</v>
      </c>
      <c r="V669">
        <v>81.798519999999996</v>
      </c>
      <c r="W669">
        <v>85.297650000000004</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82.305689999999998</v>
      </c>
      <c r="AN669">
        <v>81.932389999999998</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88.245050000000006</v>
      </c>
      <c r="M670">
        <v>84.332729999999998</v>
      </c>
      <c r="N670">
        <v>86.64</v>
      </c>
      <c r="O670">
        <v>85.777270000000001</v>
      </c>
      <c r="P670">
        <v>76.279480000000007</v>
      </c>
      <c r="Q670"/>
      <c r="R670">
        <v>85.983140000000006</v>
      </c>
      <c r="S670">
        <v>88.835440000000006</v>
      </c>
      <c r="T670"/>
      <c r="U670">
        <v>85.192880000000002</v>
      </c>
      <c r="V670">
        <v>81.899259999999998</v>
      </c>
      <c r="W670">
        <v>87.60454</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82.513599999999997</v>
      </c>
      <c r="AN670">
        <v>82.122540000000001</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88.080609999999993</v>
      </c>
      <c r="M671">
        <v>84.495450000000005</v>
      </c>
      <c r="N671">
        <v>86.83</v>
      </c>
      <c r="O671">
        <v>86.796710000000004</v>
      </c>
      <c r="P671">
        <v>76.449749999999995</v>
      </c>
      <c r="Q671"/>
      <c r="R671">
        <v>86.171589999999995</v>
      </c>
      <c r="S671">
        <v>88.856499999999997</v>
      </c>
      <c r="T671"/>
      <c r="U671">
        <v>85.374669999999995</v>
      </c>
      <c r="V671">
        <v>82</v>
      </c>
      <c r="W671">
        <v>87.873130000000003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82.746420000000001</v>
      </c>
      <c r="AN671">
        <v>82.326449999999994</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88.090559999999996</v>
      </c>
      <c r="M672">
        <v>84.452349999999996</v>
      </c>
      <c r="N672">
        <v>86.87</v>
      </c>
      <c r="O672">
        <v>87.178219999999996</v>
      </c>
      <c r="P672">
        <v>76.449749999999995</v>
      </c>
      <c r="Q672"/>
      <c r="R672">
        <v>85.958560000000006</v>
      </c>
      <c r="S672">
        <v>88.860420000000005</v>
      </c>
      <c r="T672"/>
      <c r="U672">
        <v>85.342699999999994</v>
      </c>
      <c r="V672">
        <v>82.100740000000002</v>
      </c>
      <c r="W672">
        <v>87.920789999999997</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82.772450000000006</v>
      </c>
      <c r="AN672">
        <v>82.456370000000007</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89.404290000000003</v>
      </c>
      <c r="M673">
        <v>84.369929999999997</v>
      </c>
      <c r="N673">
        <v>87.27</v>
      </c>
      <c r="O673">
        <v>87.286469999999994</v>
      </c>
      <c r="P673">
        <v>76.449749999999995</v>
      </c>
      <c r="Q673"/>
      <c r="R673">
        <v>86.015910000000005</v>
      </c>
      <c r="S673">
        <v>89.048320000000004</v>
      </c>
      <c r="T673"/>
      <c r="U673">
        <v>85.45478</v>
      </c>
      <c r="V673">
        <v>82.604420000000005</v>
      </c>
      <c r="W673">
        <v>88.382670000000005</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82.873379999999997</v>
      </c>
      <c r="AN673">
        <v>82.815070000000006</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88.344449999999995</v>
      </c>
      <c r="M674">
        <v>84.006389999999996</v>
      </c>
      <c r="N674">
        <v>86.44</v>
      </c>
      <c r="O674">
        <v>86.037909999999997</v>
      </c>
      <c r="P674">
        <v>76.506510000000006</v>
      </c>
      <c r="Q674"/>
      <c r="R674">
        <v>85.393199999999993</v>
      </c>
      <c r="S674">
        <v>88.56953</v>
      </c>
      <c r="T674"/>
      <c r="U674">
        <v>85.379649999999998</v>
      </c>
      <c r="V674">
        <v>82</v>
      </c>
      <c r="W674">
        <v>88.579229999999995</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82.826710000000006</v>
      </c>
      <c r="AN674">
        <v>82.380610000000004</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88.630319999999998</v>
      </c>
      <c r="M675">
        <v>84.887860000000003</v>
      </c>
      <c r="N675">
        <v>86.63</v>
      </c>
      <c r="O675">
        <v>86.19556</v>
      </c>
      <c r="P675">
        <v>76.847040000000007</v>
      </c>
      <c r="Q675"/>
      <c r="R675">
        <v>85.831209999999999</v>
      </c>
      <c r="S675">
        <v>89.027829999999994</v>
      </c>
      <c r="T675"/>
      <c r="U675">
        <v>85.684070000000006</v>
      </c>
      <c r="V675">
        <v>82.1</v>
      </c>
      <c r="W675">
        <v>86.559539999999998</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83.071420000000003</v>
      </c>
      <c r="AN675">
        <v>82.533580000000001</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88.761889999999994</v>
      </c>
      <c r="M676">
        <v>85.178210000000007</v>
      </c>
      <c r="N676">
        <v>87.19</v>
      </c>
      <c r="O676">
        <v>86.884990000000002</v>
      </c>
      <c r="P676">
        <v>76.790279999999996</v>
      </c>
      <c r="Q676"/>
      <c r="R676">
        <v>86.002970000000005</v>
      </c>
      <c r="S676">
        <v>89.357640000000004</v>
      </c>
      <c r="T676"/>
      <c r="U676">
        <v>86.082999999999998</v>
      </c>
      <c r="V676">
        <v>82.4</v>
      </c>
      <c r="W676">
        <v>88.741259999999997</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83.454729999999998</v>
      </c>
      <c r="AN676">
        <v>82.850189999999998</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88.360839999999996</v>
      </c>
      <c r="M677">
        <v>85.539900000000003</v>
      </c>
      <c r="N677">
        <v>87.46</v>
      </c>
      <c r="O677">
        <v>88.151420000000002</v>
      </c>
      <c r="P677">
        <v>77.017300000000006</v>
      </c>
      <c r="Q677"/>
      <c r="R677">
        <v>86.011560000000003</v>
      </c>
      <c r="S677">
        <v>89.500889999999998</v>
      </c>
      <c r="T677"/>
      <c r="U677">
        <v>86.146929999999998</v>
      </c>
      <c r="V677">
        <v>82.7</v>
      </c>
      <c r="W677">
        <v>89.28416</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83.592349999999996</v>
      </c>
      <c r="AN677">
        <v>83.021839999999997</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88.605760000000004</v>
      </c>
      <c r="M678">
        <v>85.609629999999996</v>
      </c>
      <c r="N678">
        <v>87.71</v>
      </c>
      <c r="O678">
        <v>88.404700000000005</v>
      </c>
      <c r="P678">
        <v>77.074060000000003</v>
      </c>
      <c r="Q678"/>
      <c r="R678">
        <v>85.977199999999996</v>
      </c>
      <c r="S678">
        <v>89.626630000000006</v>
      </c>
      <c r="T678"/>
      <c r="U678">
        <v>86.204610000000002</v>
      </c>
      <c r="V678">
        <v>82.9</v>
      </c>
      <c r="W678">
        <v>89.662379999999999</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83.695589999999996</v>
      </c>
      <c r="AN678">
        <v>83.297070000000005</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88.497540000000001</v>
      </c>
      <c r="M679">
        <v>85.489400000000003</v>
      </c>
      <c r="N679">
        <v>87.7</v>
      </c>
      <c r="O679">
        <v>88.532920000000004</v>
      </c>
      <c r="P679">
        <v>77.301090000000002</v>
      </c>
      <c r="Q679"/>
      <c r="R679">
        <v>85.994380000000007</v>
      </c>
      <c r="S679">
        <v>89.635480000000001</v>
      </c>
      <c r="T679"/>
      <c r="U679">
        <v>86.148179999999996</v>
      </c>
      <c r="V679">
        <v>83</v>
      </c>
      <c r="W679">
        <v>89.693470000000005</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83.689130000000006</v>
      </c>
      <c r="AN679">
        <v>83.352369999999993</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88.813900000000004</v>
      </c>
      <c r="M680">
        <v>85.074860000000001</v>
      </c>
      <c r="N680">
        <v>87.37</v>
      </c>
      <c r="O680">
        <v>87.331659999999999</v>
      </c>
      <c r="P680">
        <v>77.244330000000005</v>
      </c>
      <c r="Q680"/>
      <c r="R680">
        <v>85.333079999999995</v>
      </c>
      <c r="S680">
        <v>89.345100000000002</v>
      </c>
      <c r="T680"/>
      <c r="U680">
        <v>86.208579999999998</v>
      </c>
      <c r="V680">
        <v>83.1</v>
      </c>
      <c r="W680">
        <v>88.740650000000002</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83.685820000000007</v>
      </c>
      <c r="AN680">
        <v>83.243359999999996</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88.875910000000005</v>
      </c>
      <c r="M681">
        <v>84.974860000000007</v>
      </c>
      <c r="N681">
        <v>87.54</v>
      </c>
      <c r="O681">
        <v>87.55341</v>
      </c>
      <c r="P681">
        <v>77.528109999999998</v>
      </c>
      <c r="Q681"/>
      <c r="R681">
        <v>85.762500000000003</v>
      </c>
      <c r="S681">
        <v>89.809010000000001</v>
      </c>
      <c r="T681"/>
      <c r="U681">
        <v>86.327610000000007</v>
      </c>
      <c r="V681">
        <v>83.3</v>
      </c>
      <c r="W681">
        <v>87.771119999999996</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83.811940000000007</v>
      </c>
      <c r="AN681">
        <v>83.436189999999996</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88.665710000000004</v>
      </c>
      <c r="M682">
        <v>85.510779999999997</v>
      </c>
      <c r="N682">
        <v>87.78</v>
      </c>
      <c r="O682">
        <v>87.861350000000002</v>
      </c>
      <c r="P682">
        <v>77.811880000000002</v>
      </c>
      <c r="Q682"/>
      <c r="R682">
        <v>86.011560000000003</v>
      </c>
      <c r="S682">
        <v>89.908529999999999</v>
      </c>
      <c r="T682"/>
      <c r="U682">
        <v>86.40634</v>
      </c>
      <c r="V682">
        <v>83.3</v>
      </c>
      <c r="W682">
        <v>89.991510000000005</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83.947940000000003</v>
      </c>
      <c r="AN682">
        <v>83.559780000000003</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88.752859999999998</v>
      </c>
      <c r="M683">
        <v>85.617320000000007</v>
      </c>
      <c r="N683">
        <v>88.03</v>
      </c>
      <c r="O683">
        <v>89.016369999999995</v>
      </c>
      <c r="P683">
        <v>78.038899999999998</v>
      </c>
      <c r="Q683"/>
      <c r="R683">
        <v>86.011560000000003</v>
      </c>
      <c r="S683">
        <v>89.831389999999999</v>
      </c>
      <c r="T683"/>
      <c r="U683">
        <v>86.649649999999994</v>
      </c>
      <c r="V683">
        <v>83.4</v>
      </c>
      <c r="W683">
        <v>90.45702</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84.226740000000007</v>
      </c>
      <c r="AN683">
        <v>83.822329999999994</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88.728710000000007</v>
      </c>
      <c r="M684">
        <v>85.563100000000006</v>
      </c>
      <c r="N684">
        <v>88.06</v>
      </c>
      <c r="O684">
        <v>89.447270000000003</v>
      </c>
      <c r="P684">
        <v>78.095659999999995</v>
      </c>
      <c r="Q684"/>
      <c r="R684">
        <v>86.097440000000006</v>
      </c>
      <c r="S684">
        <v>89.809780000000003</v>
      </c>
      <c r="T684"/>
      <c r="U684">
        <v>86.649910000000006</v>
      </c>
      <c r="V684">
        <v>83.5</v>
      </c>
      <c r="W684">
        <v>90.611930000000001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84.278890000000004</v>
      </c>
      <c r="AN684">
        <v>83.945160000000001</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89.470600000000005</v>
      </c>
      <c r="M685">
        <v>85.674250000000001</v>
      </c>
      <c r="N685">
        <v>88.45</v>
      </c>
      <c r="O685">
        <v>89.598609999999994</v>
      </c>
      <c r="P685">
        <v>78.152420000000006</v>
      </c>
      <c r="Q685"/>
      <c r="R685">
        <v>86.063090000000003</v>
      </c>
      <c r="S685">
        <v>90.021230000000003</v>
      </c>
      <c r="T685"/>
      <c r="U685">
        <v>86.714230000000001</v>
      </c>
      <c r="V685">
        <v>83.8</v>
      </c>
      <c r="W685">
        <v>90.977630000000005</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84.360439999999997</v>
      </c>
      <c r="AN685">
        <v>84.184020000000004</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88.700119999999998</v>
      </c>
      <c r="M686">
        <v>85.146839999999997</v>
      </c>
      <c r="N686">
        <v>87.5</v>
      </c>
      <c r="O686">
        <v>88.391040000000004</v>
      </c>
      <c r="P686">
        <v>78.549710000000005</v>
      </c>
      <c r="Q686"/>
      <c r="R686">
        <v>85.539209999999997</v>
      </c>
      <c r="S686">
        <v>89.655169999999998</v>
      </c>
      <c r="T686"/>
      <c r="U686">
        <v>86.626519999999999</v>
      </c>
      <c r="V686">
        <v>83.4</v>
      </c>
      <c r="W686">
        <v>90.438450000000003</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84.256659999999997</v>
      </c>
      <c r="AN686">
        <v>83.777630000000002</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89.080910000000003</v>
      </c>
      <c r="M687">
        <v>86.108509999999995</v>
      </c>
      <c r="N687">
        <v>87.72</v>
      </c>
      <c r="O687">
        <v>88.572860000000006</v>
      </c>
      <c r="P687">
        <v>78.663219999999995</v>
      </c>
      <c r="Q687"/>
      <c r="R687">
        <v>86.080269999999999</v>
      </c>
      <c r="S687">
        <v>89.977490000000003</v>
      </c>
      <c r="T687"/>
      <c r="U687">
        <v>86.938040000000001</v>
      </c>
      <c r="V687">
        <v>83.6</v>
      </c>
      <c r="W687">
        <v>88.601939999999999</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84.507930000000002</v>
      </c>
      <c r="AN687">
        <v>83.939880000000002</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89.091449999999995</v>
      </c>
      <c r="M688">
        <v>86.402209999999997</v>
      </c>
      <c r="N688">
        <v>88.34</v>
      </c>
      <c r="O688">
        <v>89.228669999999994</v>
      </c>
      <c r="P688">
        <v>78.776730000000001</v>
      </c>
      <c r="Q688"/>
      <c r="R688">
        <v>86.501090000000005</v>
      </c>
      <c r="S688">
        <v>90.238560000000007</v>
      </c>
      <c r="T688"/>
      <c r="U688">
        <v>87.347279999999998</v>
      </c>
      <c r="V688">
        <v>83.8</v>
      </c>
      <c r="W688">
        <v>91.126800000000003</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84.904709999999994</v>
      </c>
      <c r="AN688">
        <v>84.203829999999996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89.084630000000004</v>
      </c>
      <c r="M689">
        <v>86.575940000000003</v>
      </c>
      <c r="N689">
        <v>88.78</v>
      </c>
      <c r="O689">
        <v>90.688469999999995</v>
      </c>
      <c r="P689">
        <v>79.117260000000002</v>
      </c>
      <c r="Q689"/>
      <c r="R689">
        <v>86.732969999999995</v>
      </c>
      <c r="S689">
        <v>90.435109999999995</v>
      </c>
      <c r="T689"/>
      <c r="U689">
        <v>87.551389999999998</v>
      </c>
      <c r="V689">
        <v>84.1</v>
      </c>
      <c r="W689">
        <v>91.318179999999998</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85.178089999999997</v>
      </c>
      <c r="AN689">
        <v>84.559280000000001</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88.973579999999998</v>
      </c>
      <c r="M690">
        <v>86.541839999999993</v>
      </c>
      <c r="N690">
        <v>88.9</v>
      </c>
      <c r="O690">
        <v>90.879750000000001</v>
      </c>
      <c r="P690">
        <v>79.287530000000004</v>
      </c>
      <c r="Q690"/>
      <c r="R690">
        <v>86.793090000000007</v>
      </c>
      <c r="S690">
        <v>90.637789999999995</v>
      </c>
      <c r="T690"/>
      <c r="U690">
        <v>87.641090000000005</v>
      </c>
      <c r="V690">
        <v>84.2</v>
      </c>
      <c r="W690">
        <v>91.54392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85.311409999999995</v>
      </c>
      <c r="AN690">
        <v>84.775040000000004</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89.137249999999995</v>
      </c>
      <c r="M691">
        <v>86.584010000000006</v>
      </c>
      <c r="N691">
        <v>88.98</v>
      </c>
      <c r="O691">
        <v>91.024780000000007</v>
      </c>
      <c r="P691">
        <v>79.741569999999996</v>
      </c>
      <c r="Q691"/>
      <c r="R691">
        <v>86.999210000000005</v>
      </c>
      <c r="S691">
        <v>90.706890000000001</v>
      </c>
      <c r="T691"/>
      <c r="U691">
        <v>87.715310000000002</v>
      </c>
      <c r="V691">
        <v>84.4</v>
      </c>
      <c r="W691">
        <v>91.800690000000003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85.401409999999998</v>
      </c>
      <c r="AN691">
        <v>84.914259999999999</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89.549490000000006</v>
      </c>
      <c r="M692">
        <v>86.176829999999995</v>
      </c>
      <c r="N692">
        <v>88.65</v>
      </c>
      <c r="O692">
        <v>89.855040000000002</v>
      </c>
      <c r="P692">
        <v>79.911839999999998</v>
      </c>
      <c r="Q692"/>
      <c r="R692">
        <v>86.535449999999997</v>
      </c>
      <c r="S692">
        <v>90.479479999999995</v>
      </c>
      <c r="T692"/>
      <c r="U692">
        <v>87.776700000000005</v>
      </c>
      <c r="V692">
        <v>84.3</v>
      </c>
      <c r="W692">
        <v>90.820880000000002</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85.432659999999998</v>
      </c>
      <c r="AN692">
        <v>84.839079999999996</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89.367769999999993</v>
      </c>
      <c r="M693">
        <v>86.113910000000004</v>
      </c>
      <c r="N693">
        <v>88.75</v>
      </c>
      <c r="O693">
        <v>90.076800000000006</v>
      </c>
      <c r="P693">
        <v>80.309129999999996</v>
      </c>
      <c r="Q693"/>
      <c r="R693">
        <v>86.964860000000002</v>
      </c>
      <c r="S693">
        <v>90.909149999999997</v>
      </c>
      <c r="T693"/>
      <c r="U693">
        <v>87.960189999999997</v>
      </c>
      <c r="V693">
        <v>84.6</v>
      </c>
      <c r="W693">
        <v>89.845029999999994</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85.585750000000004</v>
      </c>
      <c r="AN693">
        <v>84.942409999999995</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89.31635</v>
      </c>
      <c r="M694">
        <v>86.905860000000004</v>
      </c>
      <c r="N694">
        <v>89.09</v>
      </c>
      <c r="O694">
        <v>90.299610000000001</v>
      </c>
      <c r="P694">
        <v>80.763180000000006</v>
      </c>
      <c r="Q694"/>
      <c r="R694">
        <v>87.505920000000003</v>
      </c>
      <c r="S694">
        <v>90.833879999999994</v>
      </c>
      <c r="T694"/>
      <c r="U694">
        <v>88.124889999999994</v>
      </c>
      <c r="V694">
        <v>84.8</v>
      </c>
      <c r="W694">
        <v>92.262910000000005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85.807209999999998</v>
      </c>
      <c r="AN694">
        <v>85.176699999999997</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89.548419999999993</v>
      </c>
      <c r="M695">
        <v>86.994960000000006</v>
      </c>
      <c r="N695">
        <v>89.38</v>
      </c>
      <c r="O695">
        <v>91.366339999999994</v>
      </c>
      <c r="P695">
        <v>80.933440000000004</v>
      </c>
      <c r="Q695"/>
      <c r="R695">
        <v>87.961100000000002</v>
      </c>
      <c r="S695">
        <v>90.879469999999998</v>
      </c>
      <c r="T695"/>
      <c r="U695">
        <v>88.306579999999997</v>
      </c>
      <c r="V695">
        <v>84.9</v>
      </c>
      <c r="W695">
        <v>92.948890000000006</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86.038870000000003</v>
      </c>
      <c r="AN695">
        <v>85.470389999999995</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89.546620000000004</v>
      </c>
      <c r="M696">
        <v>86.777339999999995</v>
      </c>
      <c r="N696">
        <v>89.42</v>
      </c>
      <c r="O696">
        <v>91.752049999999997</v>
      </c>
      <c r="P696">
        <v>81.444239999999994</v>
      </c>
      <c r="Q696"/>
      <c r="R696">
        <v>87.952510000000004</v>
      </c>
      <c r="S696">
        <v>90.942980000000006</v>
      </c>
      <c r="T696"/>
      <c r="U696">
        <v>88.271050000000002</v>
      </c>
      <c r="V696">
        <v>85.1</v>
      </c>
      <c r="W696">
        <v>93.100750000000005</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86.061210000000003</v>
      </c>
      <c r="AN696">
        <v>85.598669999999998</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90.33878</v>
      </c>
      <c r="M697">
        <v>86.829899999999995</v>
      </c>
      <c r="N697">
        <v>89.83</v>
      </c>
      <c r="O697">
        <v>91.894980000000004</v>
      </c>
      <c r="P697">
        <v>81.671260000000004</v>
      </c>
      <c r="Q697"/>
      <c r="R697">
        <v>88.02122</v>
      </c>
      <c r="S697">
        <v>91.250479999999996</v>
      </c>
      <c r="T697"/>
      <c r="U697">
        <v>88.328180000000003</v>
      </c>
      <c r="V697">
        <v>85.5</v>
      </c>
      <c r="W697">
        <v>93.501000000000005</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86.129050000000007</v>
      </c>
      <c r="AN697">
        <v>85.858509999999995</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90.056950000000001</v>
      </c>
      <c r="M698">
        <v>86.354990000000001</v>
      </c>
      <c r="N698">
        <v>89.02</v>
      </c>
      <c r="O698">
        <v>90.747320000000002</v>
      </c>
      <c r="P698">
        <v>82.125309999999999</v>
      </c>
      <c r="Q698"/>
      <c r="R698">
        <v>87.72063</v>
      </c>
      <c r="S698">
        <v>90.844830000000002</v>
      </c>
      <c r="T698"/>
      <c r="U698">
        <v>88.326880000000003</v>
      </c>
      <c r="V698">
        <v>84.9</v>
      </c>
      <c r="W698">
        <v>93.171620000000004</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86.109920000000002</v>
      </c>
      <c r="AN698">
        <v>85.523719999999997</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90.450379999999996</v>
      </c>
      <c r="M699">
        <v>87.387960000000007</v>
      </c>
      <c r="N699">
        <v>89.37</v>
      </c>
      <c r="O699">
        <v>90.861879999999999</v>
      </c>
      <c r="P699">
        <v>82.352329999999995</v>
      </c>
      <c r="Q699"/>
      <c r="R699">
        <v>88.296040000000005</v>
      </c>
      <c r="S699">
        <v>91.127600000000001</v>
      </c>
      <c r="T699"/>
      <c r="U699">
        <v>88.662530000000004</v>
      </c>
      <c r="V699">
        <v>85.2</v>
      </c>
      <c r="W699">
        <v>91.538669999999996</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86.406940000000006</v>
      </c>
      <c r="AN699">
        <v>85.784440000000004</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90.551789999999997</v>
      </c>
      <c r="M700">
        <v>87.783640000000005</v>
      </c>
      <c r="N700">
        <v>90</v>
      </c>
      <c r="O700">
        <v>91.520840000000007</v>
      </c>
      <c r="P700">
        <v>82.863129999999998</v>
      </c>
      <c r="Q700"/>
      <c r="R700">
        <v>88.940160000000006</v>
      </c>
      <c r="S700">
        <v>91.498940000000005</v>
      </c>
      <c r="T700"/>
      <c r="U700">
        <v>88.956739999999996</v>
      </c>
      <c r="V700">
        <v>85.5</v>
      </c>
      <c r="W700">
        <v>93.903220000000005</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86.75309</v>
      </c>
      <c r="AN700">
        <v>86.176950000000005</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90.853909999999999</v>
      </c>
      <c r="M701">
        <v>87.905119999999997</v>
      </c>
      <c r="N701">
        <v>90.48</v>
      </c>
      <c r="O701">
        <v>93.021630000000002</v>
      </c>
      <c r="P701">
        <v>83.146900000000002</v>
      </c>
      <c r="Q701"/>
      <c r="R701">
        <v>89.189220000000006</v>
      </c>
      <c r="S701">
        <v>91.769829999999999</v>
      </c>
      <c r="T701"/>
      <c r="U701">
        <v>89.167789999999997</v>
      </c>
      <c r="V701">
        <v>85.8</v>
      </c>
      <c r="W701">
        <v>94.183980000000005</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87.035839999999993</v>
      </c>
      <c r="AN701">
        <v>86.597040000000007</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90.840350000000001</v>
      </c>
      <c r="M702">
        <v>87.989949999999993</v>
      </c>
      <c r="N702">
        <v>90.64</v>
      </c>
      <c r="O702">
        <v>93.161410000000004</v>
      </c>
      <c r="P702">
        <v>83.657709999999994</v>
      </c>
      <c r="Q702"/>
      <c r="R702">
        <v>89.180629999999994</v>
      </c>
      <c r="S702">
        <v>91.906419999999997</v>
      </c>
      <c r="T702"/>
      <c r="U702">
        <v>89.228729999999999</v>
      </c>
      <c r="V702">
        <v>86</v>
      </c>
      <c r="W702">
        <v>94.334729999999993</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87.132750000000001</v>
      </c>
      <c r="AN702">
        <v>86.797700000000006</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90.76482</v>
      </c>
      <c r="M703">
        <v>87.949950000000001</v>
      </c>
      <c r="N703">
        <v>90.68</v>
      </c>
      <c r="O703">
        <v>93.260199999999998</v>
      </c>
      <c r="P703">
        <v>84.111760000000004</v>
      </c>
      <c r="Q703"/>
      <c r="R703">
        <v>89.395340000000004</v>
      </c>
      <c r="S703">
        <v>91.931030000000007</v>
      </c>
      <c r="T703"/>
      <c r="U703">
        <v>89.258809999999997</v>
      </c>
      <c r="V703">
        <v>86.2</v>
      </c>
      <c r="W703">
        <v>94.507090000000005</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87.186459999999997</v>
      </c>
      <c r="AN703">
        <v>86.879040000000003</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91.258629999999997</v>
      </c>
      <c r="M704">
        <v>87.372659999999996</v>
      </c>
      <c r="N704">
        <v>90.33</v>
      </c>
      <c r="O704">
        <v>92.067340000000002</v>
      </c>
      <c r="P704">
        <v>84.395529999999994</v>
      </c>
      <c r="Q704"/>
      <c r="R704">
        <v>89.034630000000007</v>
      </c>
      <c r="S704">
        <v>91.728999999999999</v>
      </c>
      <c r="T704"/>
      <c r="U704">
        <v>89.338290000000001</v>
      </c>
      <c r="V704">
        <v>85.9</v>
      </c>
      <c r="W704">
        <v>93.645859999999999</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87.209339999999997</v>
      </c>
      <c r="AN704">
        <v>86.735470000000007</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91.253360000000001</v>
      </c>
      <c r="M705">
        <v>87.300210000000007</v>
      </c>
      <c r="N705">
        <v>90.47</v>
      </c>
      <c r="O705">
        <v>92.276489999999995</v>
      </c>
      <c r="P705">
        <v>84.84957</v>
      </c>
      <c r="Q705"/>
      <c r="R705">
        <v>89.472629999999995</v>
      </c>
      <c r="S705">
        <v>92.297020000000003</v>
      </c>
      <c r="T705"/>
      <c r="U705">
        <v>89.532790000000006</v>
      </c>
      <c r="V705">
        <v>86.3</v>
      </c>
      <c r="W705">
        <v>92.621399999999994</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87.355549999999994</v>
      </c>
      <c r="AN705">
        <v>86.857100000000003</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91.286280000000005</v>
      </c>
      <c r="M706">
        <v>87.814869999999999</v>
      </c>
      <c r="N706">
        <v>90.75</v>
      </c>
      <c r="O706">
        <v>92.379480000000001</v>
      </c>
      <c r="P706">
        <v>85.473879999999994</v>
      </c>
      <c r="Q706"/>
      <c r="R706">
        <v>89.859110000000001</v>
      </c>
      <c r="S706">
        <v>92.260660000000001</v>
      </c>
      <c r="T706"/>
      <c r="U706">
        <v>89.656149999999997</v>
      </c>
      <c r="V706">
        <v>86.3</v>
      </c>
      <c r="W706">
        <v>94.790030000000002</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87.521000000000001</v>
      </c>
      <c r="AN706">
        <v>87.002619999999993</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91.309489999999997</v>
      </c>
      <c r="M707">
        <v>88.069599999999994</v>
      </c>
      <c r="N707">
        <v>91.07</v>
      </c>
      <c r="O707">
        <v>93.465130000000002</v>
      </c>
      <c r="P707">
        <v>85.814409999999995</v>
      </c>
      <c r="Q707"/>
      <c r="R707">
        <v>90.236990000000006</v>
      </c>
      <c r="S707">
        <v>92.342849999999999</v>
      </c>
      <c r="T707"/>
      <c r="U707">
        <v>89.854870000000005</v>
      </c>
      <c r="V707">
        <v>86.5</v>
      </c>
      <c r="W707">
        <v>95.187250000000006</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87.776820000000001</v>
      </c>
      <c r="AN707">
        <v>87.28998</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91.277420000000006</v>
      </c>
      <c r="M708">
        <v>87.979119999999995</v>
      </c>
      <c r="N708">
        <v>91.14</v>
      </c>
      <c r="O708">
        <v>93.819310000000002</v>
      </c>
      <c r="P708">
        <v>86.154949999999999</v>
      </c>
      <c r="Q708"/>
      <c r="R708">
        <v>89.96217</v>
      </c>
      <c r="S708">
        <v>92.468680000000006</v>
      </c>
      <c r="T708"/>
      <c r="U708">
        <v>89.913650000000004</v>
      </c>
      <c r="V708">
        <v>86.6</v>
      </c>
      <c r="W708">
        <v>95.357370000000003</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87.895970000000005</v>
      </c>
      <c r="AN708">
        <v>87.491829999999993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92.17192</v>
      </c>
      <c r="M709">
        <v>88.063999999999993</v>
      </c>
      <c r="N709">
        <v>91.56</v>
      </c>
      <c r="O709">
        <v>93.984309999999994</v>
      </c>
      <c r="P709">
        <v>86.325220000000002</v>
      </c>
      <c r="Q709"/>
      <c r="R709">
        <v>89.859110000000001</v>
      </c>
      <c r="S709">
        <v>92.739810000000006</v>
      </c>
      <c r="T709"/>
      <c r="U709">
        <v>90.000590000000003</v>
      </c>
      <c r="V709">
        <v>87</v>
      </c>
      <c r="W709">
        <v>95.748599999999996</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87.997569999999996</v>
      </c>
      <c r="AN709">
        <v>87.789249999999996</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91.414339999999996</v>
      </c>
      <c r="M710">
        <v>87.741079999999997</v>
      </c>
      <c r="N710">
        <v>90.6</v>
      </c>
      <c r="O710">
        <v>92.697929999999999</v>
      </c>
      <c r="P710">
        <v>87.346819999999994</v>
      </c>
      <c r="Q710"/>
      <c r="R710">
        <v>89.807580000000002</v>
      </c>
      <c r="S710">
        <v>92.24982</v>
      </c>
      <c r="T710"/>
      <c r="U710">
        <v>90.000739999999993</v>
      </c>
      <c r="V710">
        <v>86.4</v>
      </c>
      <c r="W710">
        <v>94.923910000000006</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87.987470000000002</v>
      </c>
      <c r="AN710">
        <v>87.388919999999999</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91.815830000000005</v>
      </c>
      <c r="M711">
        <v>89.141069999999999</v>
      </c>
      <c r="N711">
        <v>90.98</v>
      </c>
      <c r="O711">
        <v>92.911280000000005</v>
      </c>
      <c r="P711">
        <v>87.800870000000003</v>
      </c>
      <c r="Q711"/>
      <c r="R711">
        <v>90.382990000000007</v>
      </c>
      <c r="S711">
        <v>92.535499999999999</v>
      </c>
      <c r="T711"/>
      <c r="U711">
        <v>90.239810000000006</v>
      </c>
      <c r="V711">
        <v>86.6</v>
      </c>
      <c r="W711">
        <v>93.658959999999993</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88.225449999999995</v>
      </c>
      <c r="AN711">
        <v>87.632159999999999</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92.089129999999997</v>
      </c>
      <c r="M712">
        <v>89.483360000000005</v>
      </c>
      <c r="N712">
        <v>91.84</v>
      </c>
      <c r="O712">
        <v>93.677440000000004</v>
      </c>
      <c r="P712">
        <v>88.198149999999998</v>
      </c>
      <c r="Q712"/>
      <c r="R712">
        <v>91.070049999999995</v>
      </c>
      <c r="S712">
        <v>93.104500000000002</v>
      </c>
      <c r="T712"/>
      <c r="U712">
        <v>90.617869999999996</v>
      </c>
      <c r="V712">
        <v>86.9</v>
      </c>
      <c r="W712">
        <v>96.250569999999996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88.666240000000002</v>
      </c>
      <c r="AN712">
        <v>88.137870000000007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91.718040000000002</v>
      </c>
      <c r="M713">
        <v>89.633619999999993</v>
      </c>
      <c r="N713">
        <v>92.01</v>
      </c>
      <c r="O713">
        <v>94.920739999999995</v>
      </c>
      <c r="P713">
        <v>88.538690000000003</v>
      </c>
      <c r="Q713"/>
      <c r="R713">
        <v>91.181700000000006</v>
      </c>
      <c r="S713">
        <v>93.281850000000006</v>
      </c>
      <c r="T713"/>
      <c r="U713">
        <v>90.693209999999993</v>
      </c>
      <c r="V713">
        <v>87.3</v>
      </c>
      <c r="W713">
        <v>96.658640000000005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88.869720000000001</v>
      </c>
      <c r="AN713">
        <v>88.447209999999998</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92.009410000000003</v>
      </c>
      <c r="M714">
        <v>89.795000000000002</v>
      </c>
      <c r="N714">
        <v>92.25</v>
      </c>
      <c r="O714">
        <v>95.195040000000006</v>
      </c>
      <c r="P714">
        <v>88.652199999999993</v>
      </c>
      <c r="Q714"/>
      <c r="R714">
        <v>91.241820000000004</v>
      </c>
      <c r="S714">
        <v>93.38212</v>
      </c>
      <c r="T714"/>
      <c r="U714">
        <v>90.827250000000006</v>
      </c>
      <c r="V714">
        <v>87.6</v>
      </c>
      <c r="W714">
        <v>97.328249999999997</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89.066749999999999</v>
      </c>
      <c r="AN714">
        <v>88.785889999999995</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92.007189999999994</v>
      </c>
      <c r="M715">
        <v>89.726330000000004</v>
      </c>
      <c r="N715">
        <v>92.34</v>
      </c>
      <c r="O715">
        <v>95.368449999999996</v>
      </c>
      <c r="P715">
        <v>88.935969999999998</v>
      </c>
      <c r="Q715"/>
      <c r="R715">
        <v>91.430760000000006</v>
      </c>
      <c r="S715">
        <v>93.428250000000006</v>
      </c>
      <c r="T715"/>
      <c r="U715">
        <v>90.960620000000006</v>
      </c>
      <c r="V715">
        <v>87.9</v>
      </c>
      <c r="W715">
        <v>97.45026</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89.212149999999994</v>
      </c>
      <c r="AN715">
        <v>88.918620000000004</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92.540220000000005</v>
      </c>
      <c r="M716">
        <v>89.308689999999999</v>
      </c>
      <c r="N716">
        <v>91.91</v>
      </c>
      <c r="O716">
        <v>94.291200000000003</v>
      </c>
      <c r="P716">
        <v>89.617040000000003</v>
      </c>
      <c r="Q716"/>
      <c r="R716">
        <v>91.078639999999993</v>
      </c>
      <c r="S716">
        <v>93.135679999999994</v>
      </c>
      <c r="T716"/>
      <c r="U716">
        <v>91.108860000000007</v>
      </c>
      <c r="V716">
        <v>87.8</v>
      </c>
      <c r="W716">
        <v>96.544300000000007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89.312349999999995</v>
      </c>
      <c r="AN716">
        <v>88.828739999999996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92.603750000000005</v>
      </c>
      <c r="M717">
        <v>89.699619999999996</v>
      </c>
      <c r="N717">
        <v>92.22</v>
      </c>
      <c r="O717">
        <v>94.564449999999994</v>
      </c>
      <c r="P717">
        <v>90.638639999999995</v>
      </c>
      <c r="Q717"/>
      <c r="R717">
        <v>91.963229999999996</v>
      </c>
      <c r="S717">
        <v>93.693049999999999</v>
      </c>
      <c r="T717"/>
      <c r="U717">
        <v>91.333849999999998</v>
      </c>
      <c r="V717">
        <v>88.2</v>
      </c>
      <c r="W717">
        <v>95.519670000000005</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89.51688</v>
      </c>
      <c r="AN717">
        <v>89.052509999999998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92.447029999999998</v>
      </c>
      <c r="M718">
        <v>90.242180000000005</v>
      </c>
      <c r="N718">
        <v>92.5</v>
      </c>
      <c r="O718">
        <v>94.738910000000004</v>
      </c>
      <c r="P718">
        <v>91.660240000000002</v>
      </c>
      <c r="Q718"/>
      <c r="R718">
        <v>92.375470000000007</v>
      </c>
      <c r="S718">
        <v>93.634479999999996</v>
      </c>
      <c r="T718"/>
      <c r="U718">
        <v>91.432190000000006</v>
      </c>
      <c r="V718">
        <v>88.3</v>
      </c>
      <c r="W718">
        <v>97.943160000000006</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89.698070000000001</v>
      </c>
      <c r="AN718">
        <v>89.195419999999999</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92.468220000000002</v>
      </c>
      <c r="M719">
        <v>90.33032</v>
      </c>
      <c r="N719">
        <v>92.87</v>
      </c>
      <c r="O719">
        <v>95.834029999999998</v>
      </c>
      <c r="P719">
        <v>91.603489999999994</v>
      </c>
      <c r="Q719"/>
      <c r="R719">
        <v>92.753360000000001</v>
      </c>
      <c r="S719">
        <v>93.764619999999994</v>
      </c>
      <c r="T719"/>
      <c r="U719">
        <v>91.494309999999999</v>
      </c>
      <c r="V719">
        <v>88.3</v>
      </c>
      <c r="W719">
        <v>98.266900000000007</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89.872200000000007</v>
      </c>
      <c r="AN719">
        <v>89.485410000000002</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92.45675</v>
      </c>
      <c r="M720">
        <v>90.284480000000002</v>
      </c>
      <c r="N720">
        <v>92.9</v>
      </c>
      <c r="O720">
        <v>96.154579999999996</v>
      </c>
      <c r="P720">
        <v>91.773750000000007</v>
      </c>
      <c r="Q720"/>
      <c r="R720">
        <v>92.564409999999995</v>
      </c>
      <c r="S720">
        <v>93.771069999999995</v>
      </c>
      <c r="T720"/>
      <c r="U720">
        <v>91.4315</v>
      </c>
      <c r="V720">
        <v>88.5</v>
      </c>
      <c r="W720">
        <v>98.448809999999995</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89.888390000000001</v>
      </c>
      <c r="AN720">
        <v>89.572779999999995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93.363759999999999</v>
      </c>
      <c r="M721">
        <v>90.229860000000002</v>
      </c>
      <c r="N721">
        <v>93.28</v>
      </c>
      <c r="O721">
        <v>96.148269999999997</v>
      </c>
      <c r="P721">
        <v>91.830510000000004</v>
      </c>
      <c r="Q721"/>
      <c r="R721">
        <v>92.607349999999997</v>
      </c>
      <c r="S721">
        <v>93.972520000000003</v>
      </c>
      <c r="T721"/>
      <c r="U721">
        <v>91.354510000000005</v>
      </c>
      <c r="V721">
        <v>88.3</v>
      </c>
      <c r="W721">
        <v>98.843990000000005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89.855149999999995</v>
      </c>
      <c r="AN721">
        <v>89.687709999999996</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92.451560000000001</v>
      </c>
      <c r="M722">
        <v>89.921360000000007</v>
      </c>
      <c r="N722">
        <v>92.08</v>
      </c>
      <c r="O722">
        <v>94.471969999999999</v>
      </c>
      <c r="P722">
        <v>91.830510000000004</v>
      </c>
      <c r="Q722"/>
      <c r="R722">
        <v>92.100650000000002</v>
      </c>
      <c r="S722">
        <v>93.555819999999997</v>
      </c>
      <c r="T722"/>
      <c r="U722">
        <v>91.260189999999994</v>
      </c>
      <c r="V722">
        <v>87.8</v>
      </c>
      <c r="W722">
        <v>97.87621</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89.727419999999995</v>
      </c>
      <c r="AN722">
        <v>89.203770000000006</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93.133629999999997</v>
      </c>
      <c r="M723">
        <v>91.079520000000002</v>
      </c>
      <c r="N723">
        <v>92.54</v>
      </c>
      <c r="O723">
        <v>94.371080000000006</v>
      </c>
      <c r="P723">
        <v>91.660240000000002</v>
      </c>
      <c r="Q723"/>
      <c r="R723">
        <v>91.971819999999994</v>
      </c>
      <c r="S723">
        <v>93.965310000000002</v>
      </c>
      <c r="T723"/>
      <c r="U723">
        <v>91.603579999999994</v>
      </c>
      <c r="V723">
        <v>88.2</v>
      </c>
      <c r="W723">
        <v>96.406819999999996</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90.008269999999996</v>
      </c>
      <c r="AN723">
        <v>89.463200000000001</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93.104349999999997</v>
      </c>
      <c r="M724">
        <v>91.554050000000004</v>
      </c>
      <c r="N724">
        <v>93.2</v>
      </c>
      <c r="O724">
        <v>94.916529999999995</v>
      </c>
      <c r="P724">
        <v>91.376459999999994</v>
      </c>
      <c r="Q724"/>
      <c r="R724">
        <v>92.083470000000005</v>
      </c>
      <c r="S724">
        <v>94.394030000000001</v>
      </c>
      <c r="T724"/>
      <c r="U724">
        <v>91.918180000000007</v>
      </c>
      <c r="V724">
        <v>88.5</v>
      </c>
      <c r="W724">
        <v>99.00676</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90.346950000000007</v>
      </c>
      <c r="AN724">
        <v>89.77234</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93.195009999999996</v>
      </c>
      <c r="M725">
        <v>91.542810000000003</v>
      </c>
      <c r="N725">
        <v>93.65</v>
      </c>
      <c r="O725">
        <v>96.298559999999995</v>
      </c>
      <c r="P725">
        <v>91.035929999999993</v>
      </c>
      <c r="Q725"/>
      <c r="R725">
        <v>91.937470000000005</v>
      </c>
      <c r="S725">
        <v>94.576700000000002</v>
      </c>
      <c r="T725"/>
      <c r="U725">
        <v>92.120450000000005</v>
      </c>
      <c r="V725">
        <v>88.8</v>
      </c>
      <c r="W725">
        <v>99.050060000000002</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90.593890000000002</v>
      </c>
      <c r="AN725">
        <v>90.094610000000003</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93.071910000000003</v>
      </c>
      <c r="M726">
        <v>91.793660000000003</v>
      </c>
      <c r="N726">
        <v>93.69</v>
      </c>
      <c r="O726">
        <v>96.256519999999995</v>
      </c>
      <c r="P726">
        <v>91.092690000000005</v>
      </c>
      <c r="Q726"/>
      <c r="R726">
        <v>91.774289999999993</v>
      </c>
      <c r="S726">
        <v>94.754540000000006</v>
      </c>
      <c r="T726"/>
      <c r="U726">
        <v>92.151380000000003</v>
      </c>
      <c r="V726">
        <v>89.1</v>
      </c>
      <c r="W726">
        <v>99.191220000000001</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90.666899999999998</v>
      </c>
      <c r="AN726">
        <v>90.269360000000006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93.128590000000003</v>
      </c>
      <c r="M727">
        <v>91.768619999999999</v>
      </c>
      <c r="N727">
        <v>93.65</v>
      </c>
      <c r="O727">
        <v>96.172449999999998</v>
      </c>
      <c r="P727">
        <v>90.979169999999996</v>
      </c>
      <c r="Q727"/>
      <c r="R727">
        <v>91.757109999999997</v>
      </c>
      <c r="S727">
        <v>94.758560000000003</v>
      </c>
      <c r="T727"/>
      <c r="U727">
        <v>92.177139999999994</v>
      </c>
      <c r="V727">
        <v>89.2</v>
      </c>
      <c r="W727">
        <v>99.167990000000003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90.711330000000004</v>
      </c>
      <c r="AN727">
        <v>90.301990000000004</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93.584990000000005</v>
      </c>
      <c r="M728">
        <v>91.480350000000001</v>
      </c>
      <c r="N728">
        <v>93.12</v>
      </c>
      <c r="O728">
        <v>94.827200000000005</v>
      </c>
      <c r="P728">
        <v>91.319710000000001</v>
      </c>
      <c r="Q728"/>
      <c r="R728">
        <v>91.233230000000006</v>
      </c>
      <c r="S728">
        <v>94.44359</v>
      </c>
      <c r="T728"/>
      <c r="U728">
        <v>92.19744</v>
      </c>
      <c r="V728">
        <v>89.2</v>
      </c>
      <c r="W728">
        <v>98.222710000000006</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90.72681</v>
      </c>
      <c r="AN728">
        <v>90.269170000000003</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93.670379999999994</v>
      </c>
      <c r="M729">
        <v>91.619619999999998</v>
      </c>
      <c r="N729">
        <v>93.43</v>
      </c>
      <c r="O729">
        <v>94.888149999999996</v>
      </c>
      <c r="P729">
        <v>91.546729999999997</v>
      </c>
      <c r="Q729"/>
      <c r="R729">
        <v>91.619709999999998</v>
      </c>
      <c r="S729">
        <v>95.053669999999997</v>
      </c>
      <c r="T729"/>
      <c r="U729">
        <v>92.358350000000002</v>
      </c>
      <c r="V729">
        <v>89.6</v>
      </c>
      <c r="W729">
        <v>97.265110000000007</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90.855159999999998</v>
      </c>
      <c r="AN729">
        <v>90.458160000000007</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93.558449999999993</v>
      </c>
      <c r="M730">
        <v>92.069010000000006</v>
      </c>
      <c r="N730">
        <v>93.62</v>
      </c>
      <c r="O730">
        <v>94.83981</v>
      </c>
      <c r="P730">
        <v>91.716999999999999</v>
      </c>
      <c r="Q730"/>
      <c r="R730">
        <v>91.971819999999994</v>
      </c>
      <c r="S730">
        <v>94.726479999999995</v>
      </c>
      <c r="T730"/>
      <c r="U730">
        <v>92.457660000000004</v>
      </c>
      <c r="V730">
        <v>89.6</v>
      </c>
      <c r="W730">
        <v>99.776020000000003</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91.004930000000002</v>
      </c>
      <c r="AN730">
        <v>90.531360000000006</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93.570779999999999</v>
      </c>
      <c r="M731">
        <v>92.156139999999994</v>
      </c>
      <c r="N731">
        <v>93.94</v>
      </c>
      <c r="O731">
        <v>95.865560000000002</v>
      </c>
      <c r="P731">
        <v>91.660240000000002</v>
      </c>
      <c r="Q731"/>
      <c r="R731">
        <v>92.298169999999999</v>
      </c>
      <c r="S731">
        <v>94.713890000000006</v>
      </c>
      <c r="T731"/>
      <c r="U731">
        <v>92.597719999999995</v>
      </c>
      <c r="V731">
        <v>89.6</v>
      </c>
      <c r="W731">
        <v>100.1733</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91.221279999999993</v>
      </c>
      <c r="AN731">
        <v>90.812219999999996</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93.330709999999996</v>
      </c>
      <c r="M732">
        <v>91.996690000000001</v>
      </c>
      <c r="N732">
        <v>93.86</v>
      </c>
      <c r="O732">
        <v>96.314319999999995</v>
      </c>
      <c r="P732">
        <v>91.262950000000004</v>
      </c>
      <c r="Q732"/>
      <c r="R732">
        <v>91.989000000000004</v>
      </c>
      <c r="S732">
        <v>94.703069999999997</v>
      </c>
      <c r="T732"/>
      <c r="U732">
        <v>92.498419999999996</v>
      </c>
      <c r="V732">
        <v>89.7</v>
      </c>
      <c r="W732">
        <v>100.5659</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91.193430000000006</v>
      </c>
      <c r="AN732">
        <v>90.843789999999998</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94.310040000000001</v>
      </c>
      <c r="M733">
        <v>91.885000000000005</v>
      </c>
      <c r="N733">
        <v>94.3</v>
      </c>
      <c r="O733">
        <v>96.330089999999998</v>
      </c>
      <c r="P733">
        <v>91.206199999999995</v>
      </c>
      <c r="Q733"/>
      <c r="R733">
        <v>92.100650000000002</v>
      </c>
      <c r="S733">
        <v>95.082729999999998</v>
      </c>
      <c r="T733"/>
      <c r="U733">
        <v>92.525080000000003</v>
      </c>
      <c r="V733">
        <v>90</v>
      </c>
      <c r="W733">
        <v>101.05929999999999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91.223439999999997</v>
      </c>
      <c r="AN733">
        <v>91.094250000000002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93.147220000000004</v>
      </c>
      <c r="M734">
        <v>91.679079999999999</v>
      </c>
      <c r="N734">
        <v>92.81</v>
      </c>
      <c r="O734">
        <v>94.496139999999997</v>
      </c>
      <c r="P734">
        <v>90.808909999999997</v>
      </c>
      <c r="Q734"/>
      <c r="R734">
        <v>92.066289999999995</v>
      </c>
      <c r="S734">
        <v>94.400599999999997</v>
      </c>
      <c r="T734"/>
      <c r="U734">
        <v>92.32423</v>
      </c>
      <c r="V734">
        <v>89.6</v>
      </c>
      <c r="W734">
        <v>99.597170000000006</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91.080950000000001</v>
      </c>
      <c r="AN734">
        <v>90.615409999999997</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93.701930000000004</v>
      </c>
      <c r="M735">
        <v>92.854129999999998</v>
      </c>
      <c r="N735">
        <v>93.21</v>
      </c>
      <c r="O735">
        <v>94.380529999999993</v>
      </c>
      <c r="P735">
        <v>90.922420000000002</v>
      </c>
      <c r="Q735"/>
      <c r="R735">
        <v>92.438280000000006</v>
      </c>
      <c r="S735">
        <v>95.064689999999999</v>
      </c>
      <c r="T735"/>
      <c r="U735">
        <v>92.573350000000005</v>
      </c>
      <c r="V735">
        <v>89.9</v>
      </c>
      <c r="W735">
        <v>98.126509999999996</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91.30753</v>
      </c>
      <c r="AN735">
        <v>90.882480000000001</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93.858869999999996</v>
      </c>
      <c r="M736">
        <v>93.310569999999998</v>
      </c>
      <c r="N736">
        <v>94.25</v>
      </c>
      <c r="O736">
        <v>95.038439999999994</v>
      </c>
      <c r="P736">
        <v>91.433220000000006</v>
      </c>
      <c r="Q736"/>
      <c r="R736">
        <v>92.717259999999996</v>
      </c>
      <c r="S736">
        <v>95.401399999999995</v>
      </c>
      <c r="T736"/>
      <c r="U736">
        <v>92.760729999999995</v>
      </c>
      <c r="V736">
        <v>90.2</v>
      </c>
      <c r="W736">
        <v>101.3839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91.556849999999997</v>
      </c>
      <c r="AN736">
        <v>91.276820000000001</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93.742779999999996</v>
      </c>
      <c r="M737">
        <v>93.31062</v>
      </c>
      <c r="N737">
        <v>94.44</v>
      </c>
      <c r="O737">
        <v>96.146169999999998</v>
      </c>
      <c r="P737">
        <v>91.376459999999994</v>
      </c>
      <c r="Q737"/>
      <c r="R737">
        <v>92.903260000000003</v>
      </c>
      <c r="S737">
        <v>95.383369999999999</v>
      </c>
      <c r="T737"/>
      <c r="U737">
        <v>92.798389999999998</v>
      </c>
      <c r="V737">
        <v>90.6</v>
      </c>
      <c r="W737">
        <v>102.3737</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91.688130000000001</v>
      </c>
      <c r="AN737">
        <v>91.568439999999995</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93.676900000000003</v>
      </c>
      <c r="M738">
        <v>93.320139999999995</v>
      </c>
      <c r="N738">
        <v>94.54</v>
      </c>
      <c r="O738">
        <v>96.364769999999993</v>
      </c>
      <c r="P738">
        <v>91.433220000000006</v>
      </c>
      <c r="Q738"/>
      <c r="R738">
        <v>92.996250000000003</v>
      </c>
      <c r="S738">
        <v>95.457409999999996</v>
      </c>
      <c r="T738"/>
      <c r="U738">
        <v>92.817430000000002</v>
      </c>
      <c r="V738">
        <v>90.8</v>
      </c>
      <c r="W738">
        <v>103.1362</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91.767740000000003</v>
      </c>
      <c r="AN738">
        <v>91.744219999999999</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93.725849999999994</v>
      </c>
      <c r="M739">
        <v>93.237250000000003</v>
      </c>
      <c r="N739">
        <v>94.57</v>
      </c>
      <c r="O739">
        <v>96.445689999999999</v>
      </c>
      <c r="P739">
        <v>92.114289999999997</v>
      </c>
      <c r="Q739"/>
      <c r="R739">
        <v>93.182249999999996</v>
      </c>
      <c r="S739">
        <v>95.537220000000005</v>
      </c>
      <c r="T739"/>
      <c r="U739">
        <v>92.840519999999998</v>
      </c>
      <c r="V739">
        <v>91</v>
      </c>
      <c r="W739">
        <v>103.17659999999999</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91.804720000000003</v>
      </c>
      <c r="AN739">
        <v>91.808980000000005</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94.086879999999994</v>
      </c>
      <c r="M740">
        <v>92.966930000000005</v>
      </c>
      <c r="N740">
        <v>94.01</v>
      </c>
      <c r="O740">
        <v>95.574439999999996</v>
      </c>
      <c r="P740">
        <v>92.171040000000005</v>
      </c>
      <c r="Q740"/>
      <c r="R740">
        <v>92.345280000000002</v>
      </c>
      <c r="S740">
        <v>95.296660000000003</v>
      </c>
      <c r="T740"/>
      <c r="U740">
        <v>92.829030000000003</v>
      </c>
      <c r="V740">
        <v>90.8</v>
      </c>
      <c r="W740">
        <v>102.4404</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91.775850000000005</v>
      </c>
      <c r="AN740">
        <v>91.692499999999995</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94.297049999999999</v>
      </c>
      <c r="M741">
        <v>93.426990000000004</v>
      </c>
      <c r="N741">
        <v>94.32</v>
      </c>
      <c r="O741">
        <v>95.843490000000003</v>
      </c>
      <c r="P741">
        <v>92.511570000000006</v>
      </c>
      <c r="Q741"/>
      <c r="R741">
        <v>92.903260000000003</v>
      </c>
      <c r="S741">
        <v>95.762439999999998</v>
      </c>
      <c r="T741"/>
      <c r="U741">
        <v>92.995429999999999</v>
      </c>
      <c r="V741">
        <v>91.3</v>
      </c>
      <c r="W741">
        <v>101.2899</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91.898830000000004</v>
      </c>
      <c r="AN741">
        <v>91.873729999999995</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94.102869999999996</v>
      </c>
      <c r="M742">
        <v>93.805430000000001</v>
      </c>
      <c r="N742">
        <v>94.71</v>
      </c>
      <c r="O742">
        <v>95.878169999999997</v>
      </c>
      <c r="P742">
        <v>93.192639999999997</v>
      </c>
      <c r="Q742"/>
      <c r="R742">
        <v>93.27525</v>
      </c>
      <c r="S742">
        <v>95.614559999999997</v>
      </c>
      <c r="T742"/>
      <c r="U742">
        <v>93.044439999999994</v>
      </c>
      <c r="V742">
        <v>91.3</v>
      </c>
      <c r="W742">
        <v>103.8006</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91.997990000000001</v>
      </c>
      <c r="AN742">
        <v>91.906689999999998</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94.179119999999998</v>
      </c>
      <c r="M743">
        <v>93.734560000000002</v>
      </c>
      <c r="N743">
        <v>94.99</v>
      </c>
      <c r="O743">
        <v>96.92389</v>
      </c>
      <c r="P743">
        <v>93.306150000000002</v>
      </c>
      <c r="Q743"/>
      <c r="R743">
        <v>93.647229999999993</v>
      </c>
      <c r="S743">
        <v>95.598439999999997</v>
      </c>
      <c r="T743"/>
      <c r="U743">
        <v>93.17371</v>
      </c>
      <c r="V743">
        <v>91.4</v>
      </c>
      <c r="W743">
        <v>104.1217</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92.175970000000007</v>
      </c>
      <c r="AN743">
        <v>92.152730000000005</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94.124709999999993</v>
      </c>
      <c r="M744">
        <v>93.738669999999999</v>
      </c>
      <c r="N744">
        <v>94.9</v>
      </c>
      <c r="O744">
        <v>97.454629999999995</v>
      </c>
      <c r="P744">
        <v>92.795360000000002</v>
      </c>
      <c r="Q744"/>
      <c r="R744">
        <v>93.740229999999997</v>
      </c>
      <c r="S744">
        <v>95.558400000000006</v>
      </c>
      <c r="T744"/>
      <c r="U744">
        <v>93.145009999999999</v>
      </c>
      <c r="V744">
        <v>91.6</v>
      </c>
      <c r="W744">
        <v>104.249</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92.198890000000006</v>
      </c>
      <c r="AN744">
        <v>92.240409999999997</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94.405140000000003</v>
      </c>
      <c r="M745">
        <v>93.64143</v>
      </c>
      <c r="N745">
        <v>95.27</v>
      </c>
      <c r="O745">
        <v>97.543959999999998</v>
      </c>
      <c r="P745">
        <v>92.852109999999996</v>
      </c>
      <c r="Q745"/>
      <c r="R745">
        <v>93.740229999999997</v>
      </c>
      <c r="S745">
        <v>95.890299999999996</v>
      </c>
      <c r="T745"/>
      <c r="U745">
        <v>93.163939999999997</v>
      </c>
      <c r="V745">
        <v>92.1</v>
      </c>
      <c r="W745">
        <v>104.34820000000001</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92.245570000000001</v>
      </c>
      <c r="AN745">
        <v>92.444689999999994</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93.807019999999994</v>
      </c>
      <c r="M746">
        <v>93.440579999999997</v>
      </c>
      <c r="N746">
        <v>93.78</v>
      </c>
      <c r="O746">
        <v>95.684790000000007</v>
      </c>
      <c r="P746">
        <v>92.738600000000005</v>
      </c>
      <c r="Q746"/>
      <c r="R746">
        <v>93.554230000000004</v>
      </c>
      <c r="S746">
        <v>95.253789999999995</v>
      </c>
      <c r="T746"/>
      <c r="U746">
        <v>93.089640000000003</v>
      </c>
      <c r="V746">
        <v>91.9</v>
      </c>
      <c r="W746">
        <v>102.762</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92.161619999999999</v>
      </c>
      <c r="AN746">
        <v>92.040229999999994</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94.333020000000005</v>
      </c>
      <c r="M747">
        <v>94.644000000000005</v>
      </c>
      <c r="N747">
        <v>94.11</v>
      </c>
      <c r="O747">
        <v>95.715270000000004</v>
      </c>
      <c r="P747">
        <v>92.908869999999993</v>
      </c>
      <c r="Q747"/>
      <c r="R747">
        <v>93.926220000000001</v>
      </c>
      <c r="S747">
        <v>95.664019999999994</v>
      </c>
      <c r="T747"/>
      <c r="U747">
        <v>93.401920000000004</v>
      </c>
      <c r="V747">
        <v>92.4</v>
      </c>
      <c r="W747">
        <v>100.62730000000001</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92.43974</v>
      </c>
      <c r="AN747">
        <v>92.330060000000003</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94.645910000000001</v>
      </c>
      <c r="M748">
        <v>95.121269999999996</v>
      </c>
      <c r="N748">
        <v>95.45</v>
      </c>
      <c r="O748">
        <v>96.299610000000001</v>
      </c>
      <c r="P748">
        <v>93.476420000000005</v>
      </c>
      <c r="Q748"/>
      <c r="R748">
        <v>94.298199999999994</v>
      </c>
      <c r="S748">
        <v>96.254810000000006</v>
      </c>
      <c r="T748"/>
      <c r="U748">
        <v>93.690860000000001</v>
      </c>
      <c r="V748">
        <v>92.7</v>
      </c>
      <c r="W748">
        <v>104.62130000000001</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92.785309999999996</v>
      </c>
      <c r="AN748">
        <v>92.845699999999994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94.450230000000005</v>
      </c>
      <c r="M749">
        <v>95.340969999999999</v>
      </c>
      <c r="N749">
        <v>95.94</v>
      </c>
      <c r="O749">
        <v>97.733140000000006</v>
      </c>
      <c r="P749">
        <v>93.703450000000004</v>
      </c>
      <c r="Q749"/>
      <c r="R749">
        <v>94.484189999999998</v>
      </c>
      <c r="S749">
        <v>96.521379999999994</v>
      </c>
      <c r="T749"/>
      <c r="U749">
        <v>93.853899999999996</v>
      </c>
      <c r="V749">
        <v>93.4</v>
      </c>
      <c r="W749">
        <v>105.0496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93.036869999999993</v>
      </c>
      <c r="AN749">
        <v>93.29486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94.492130000000003</v>
      </c>
      <c r="M750">
        <v>95.384299999999996</v>
      </c>
      <c r="N750">
        <v>95.92</v>
      </c>
      <c r="O750">
        <v>97.839290000000005</v>
      </c>
      <c r="P750">
        <v>93.987219999999994</v>
      </c>
      <c r="Q750"/>
      <c r="R750">
        <v>94.670190000000005</v>
      </c>
      <c r="S750">
        <v>96.577740000000006</v>
      </c>
      <c r="T750"/>
      <c r="U750">
        <v>93.999420000000001</v>
      </c>
      <c r="V750">
        <v>93.4</v>
      </c>
      <c r="W750">
        <v>105.21129999999999</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93.220359999999999</v>
      </c>
      <c r="AN750">
        <v>93.465019999999996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94.727699999999999</v>
      </c>
      <c r="M751">
        <v>95.133669999999995</v>
      </c>
      <c r="N751">
        <v>96.01</v>
      </c>
      <c r="O751">
        <v>97.896039999999999</v>
      </c>
      <c r="P751">
        <v>94.100729999999999</v>
      </c>
      <c r="Q751"/>
      <c r="R751">
        <v>94.949169999999995</v>
      </c>
      <c r="S751">
        <v>96.679959999999994</v>
      </c>
      <c r="T751"/>
      <c r="U751">
        <v>94.07011</v>
      </c>
      <c r="V751">
        <v>93.3</v>
      </c>
      <c r="W751">
        <v>105.2012</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93.298990000000003</v>
      </c>
      <c r="AN751">
        <v>93.559780000000003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94.894419999999997</v>
      </c>
      <c r="M752">
        <v>94.927629999999994</v>
      </c>
      <c r="N752">
        <v>95.13</v>
      </c>
      <c r="O752">
        <v>96.724209999999999</v>
      </c>
      <c r="P752">
        <v>94.44126</v>
      </c>
      <c r="Q752"/>
      <c r="R752">
        <v>94.763180000000006</v>
      </c>
      <c r="S752">
        <v>96.158829999999995</v>
      </c>
      <c r="T752"/>
      <c r="U752">
        <v>94.119609999999994</v>
      </c>
      <c r="V752">
        <v>93.3</v>
      </c>
      <c r="W752">
        <v>103.26260000000001</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93.304119999999998</v>
      </c>
      <c r="AN752">
        <v>93.403300000000002</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95.14134</v>
      </c>
      <c r="M753">
        <v>95.041420000000002</v>
      </c>
      <c r="N753">
        <v>95.44</v>
      </c>
      <c r="O753">
        <v>96.973280000000003</v>
      </c>
      <c r="P753">
        <v>94.498019999999997</v>
      </c>
      <c r="Q753"/>
      <c r="R753">
        <v>95.228160000000003</v>
      </c>
      <c r="S753">
        <v>96.803610000000006</v>
      </c>
      <c r="T753"/>
      <c r="U753">
        <v>94.423910000000006</v>
      </c>
      <c r="V753">
        <v>93.8</v>
      </c>
      <c r="W753">
        <v>101.3747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93.544449999999998</v>
      </c>
      <c r="AN753">
        <v>93.657799999999995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95.109629999999996</v>
      </c>
      <c r="M754">
        <v>95.421350000000004</v>
      </c>
      <c r="N754">
        <v>96.23</v>
      </c>
      <c r="O754">
        <v>96.997460000000004</v>
      </c>
      <c r="P754">
        <v>95.065569999999994</v>
      </c>
      <c r="Q754"/>
      <c r="R754">
        <v>95.600149999999999</v>
      </c>
      <c r="S754">
        <v>96.589089999999999</v>
      </c>
      <c r="T754"/>
      <c r="U754">
        <v>94.538780000000003</v>
      </c>
      <c r="V754">
        <v>94</v>
      </c>
      <c r="W754">
        <v>105.8275</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93.719089999999994</v>
      </c>
      <c r="AN754">
        <v>93.867710000000002</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95.050150000000002</v>
      </c>
      <c r="M755">
        <v>95.335210000000004</v>
      </c>
      <c r="N755">
        <v>96.49</v>
      </c>
      <c r="O755">
        <v>98.053690000000003</v>
      </c>
      <c r="P755">
        <v>95.179079999999999</v>
      </c>
      <c r="Q755"/>
      <c r="R755">
        <v>95.879140000000007</v>
      </c>
      <c r="S755">
        <v>96.748689999999996</v>
      </c>
      <c r="T755"/>
      <c r="U755">
        <v>94.680279999999996</v>
      </c>
      <c r="V755">
        <v>94.1</v>
      </c>
      <c r="W755">
        <v>105.7948</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93.948549999999997</v>
      </c>
      <c r="AN755">
        <v>94.252480000000006</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95.148420000000002</v>
      </c>
      <c r="M756">
        <v>95.197969999999998</v>
      </c>
      <c r="N756">
        <v>96.4</v>
      </c>
      <c r="O756">
        <v>98.49615</v>
      </c>
      <c r="P756">
        <v>95.122330000000005</v>
      </c>
      <c r="Q756"/>
      <c r="R756">
        <v>95.693150000000003</v>
      </c>
      <c r="S756">
        <v>96.919880000000006</v>
      </c>
      <c r="T756"/>
      <c r="U756">
        <v>94.669309999999996</v>
      </c>
      <c r="V756">
        <v>94.2</v>
      </c>
      <c r="W756">
        <v>105.8036</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94.006780000000006</v>
      </c>
      <c r="AN756">
        <v>94.398769999999999</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95.435990000000004</v>
      </c>
      <c r="M757">
        <v>95.115340000000003</v>
      </c>
      <c r="N757">
        <v>96.81</v>
      </c>
      <c r="O757">
        <v>98.651690000000002</v>
      </c>
      <c r="P757">
        <v>95.065569999999994</v>
      </c>
      <c r="Q757"/>
      <c r="R757">
        <v>95.693150000000003</v>
      </c>
      <c r="S757">
        <v>97.377430000000004</v>
      </c>
      <c r="T757"/>
      <c r="U757">
        <v>94.725080000000005</v>
      </c>
      <c r="V757">
        <v>94.6</v>
      </c>
      <c r="W757">
        <v>105.557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94.079149999999998</v>
      </c>
      <c r="AN757">
        <v>94.608850000000004</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94.955740000000006</v>
      </c>
      <c r="M758">
        <v>95.367609999999999</v>
      </c>
      <c r="N758">
        <v>95.2</v>
      </c>
      <c r="O758">
        <v>96.580219999999997</v>
      </c>
      <c r="P758">
        <v>95.00882</v>
      </c>
      <c r="Q758"/>
      <c r="R758">
        <v>95.972139999999996</v>
      </c>
      <c r="S758">
        <v>96.678169999999994</v>
      </c>
      <c r="T758"/>
      <c r="U758">
        <v>94.676490000000001</v>
      </c>
      <c r="V758">
        <v>94.1</v>
      </c>
      <c r="W758">
        <v>103.762</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93.994190000000003</v>
      </c>
      <c r="AN758">
        <v>94.122029999999995</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95.442890000000006</v>
      </c>
      <c r="M759">
        <v>96.508870000000002</v>
      </c>
      <c r="N759">
        <v>95.53</v>
      </c>
      <c r="O759">
        <v>96.501400000000004</v>
      </c>
      <c r="P759">
        <v>95.122330000000005</v>
      </c>
      <c r="Q759"/>
      <c r="R759">
        <v>96.344120000000004</v>
      </c>
      <c r="S759">
        <v>96.972920000000002</v>
      </c>
      <c r="T759"/>
      <c r="U759">
        <v>94.961370000000002</v>
      </c>
      <c r="V759">
        <v>94.5</v>
      </c>
      <c r="W759">
        <v>101.3468</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94.246750000000006</v>
      </c>
      <c r="AN759">
        <v>94.364800000000002</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95.878829999999994</v>
      </c>
      <c r="M760">
        <v>96.854429999999994</v>
      </c>
      <c r="N760">
        <v>96.98</v>
      </c>
      <c r="O760">
        <v>97.086789999999993</v>
      </c>
      <c r="P760">
        <v>95.973659999999995</v>
      </c>
      <c r="Q760"/>
      <c r="R760">
        <v>96.623109999999997</v>
      </c>
      <c r="S760">
        <v>97.756950000000003</v>
      </c>
      <c r="T760"/>
      <c r="U760">
        <v>95.333789999999993</v>
      </c>
      <c r="V760">
        <v>94.8</v>
      </c>
      <c r="W760">
        <v>104.8877</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94.615170000000006</v>
      </c>
      <c r="AN760">
        <v>94.893789999999996</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95.627830000000003</v>
      </c>
      <c r="M761">
        <v>97.014719999999997</v>
      </c>
      <c r="N761">
        <v>97.44</v>
      </c>
      <c r="O761">
        <v>98.429929999999999</v>
      </c>
      <c r="P761">
        <v>96.143929999999997</v>
      </c>
      <c r="Q761"/>
      <c r="R761">
        <v>96.995090000000005</v>
      </c>
      <c r="S761">
        <v>97.916480000000007</v>
      </c>
      <c r="T761"/>
      <c r="U761">
        <v>95.550669999999997</v>
      </c>
      <c r="V761">
        <v>95.2</v>
      </c>
      <c r="W761">
        <v>105.8783</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94.914079999999998</v>
      </c>
      <c r="AN761">
        <v>95.300399999999996</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95.853960000000001</v>
      </c>
      <c r="M762">
        <v>97.281700000000001</v>
      </c>
      <c r="N762">
        <v>97.43</v>
      </c>
      <c r="O762">
        <v>98.558149999999998</v>
      </c>
      <c r="P762">
        <v>96.370959999999997</v>
      </c>
      <c r="Q762"/>
      <c r="R762">
        <v>97.274090000000001</v>
      </c>
      <c r="S762">
        <v>97.977069999999998</v>
      </c>
      <c r="T762"/>
      <c r="U762">
        <v>95.627210000000005</v>
      </c>
      <c r="V762">
        <v>95.3</v>
      </c>
      <c r="W762">
        <v>105.63200000000001</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95.030550000000005</v>
      </c>
      <c r="AN762">
        <v>95.469260000000006</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95.767200000000003</v>
      </c>
      <c r="M763">
        <v>97.06071</v>
      </c>
      <c r="N763">
        <v>97.5</v>
      </c>
      <c r="O763">
        <v>98.594939999999994</v>
      </c>
      <c r="P763">
        <v>96.370959999999997</v>
      </c>
      <c r="Q763"/>
      <c r="R763">
        <v>97.460080000000005</v>
      </c>
      <c r="S763">
        <v>98.171999999999997</v>
      </c>
      <c r="T763"/>
      <c r="U763">
        <v>95.656689999999998</v>
      </c>
      <c r="V763">
        <v>95.1</v>
      </c>
      <c r="W763">
        <v>105.5401</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95.071929999999995</v>
      </c>
      <c r="AN763">
        <v>95.508449999999996</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96.168120000000002</v>
      </c>
      <c r="M764">
        <v>96.882440000000003</v>
      </c>
      <c r="N764">
        <v>96.74</v>
      </c>
      <c r="O764">
        <v>97.732089999999999</v>
      </c>
      <c r="P764">
        <v>96.257450000000006</v>
      </c>
      <c r="Q764"/>
      <c r="R764">
        <v>97.088089999999994</v>
      </c>
      <c r="S764">
        <v>97.718999999999994</v>
      </c>
      <c r="T764"/>
      <c r="U764">
        <v>95.657169999999994</v>
      </c>
      <c r="V764">
        <v>95.2</v>
      </c>
      <c r="W764">
        <v>103.7439</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95.05444</v>
      </c>
      <c r="AN764">
        <v>95.442899999999995</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96.35033</v>
      </c>
      <c r="M765">
        <v>96.987620000000007</v>
      </c>
      <c r="N765">
        <v>96.9</v>
      </c>
      <c r="O765">
        <v>97.898139999999998</v>
      </c>
      <c r="P765">
        <v>96.427710000000005</v>
      </c>
      <c r="Q765"/>
      <c r="R765">
        <v>97.181079999999994</v>
      </c>
      <c r="S765">
        <v>98.273949999999999</v>
      </c>
      <c r="T765"/>
      <c r="U765">
        <v>95.852500000000006</v>
      </c>
      <c r="V765">
        <v>95.6</v>
      </c>
      <c r="W765">
        <v>101.8364</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95.192670000000007</v>
      </c>
      <c r="AN765">
        <v>95.586010000000002</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96.319460000000007</v>
      </c>
      <c r="M766">
        <v>97.345050000000001</v>
      </c>
      <c r="N766">
        <v>97.68</v>
      </c>
      <c r="O766">
        <v>98.817740000000001</v>
      </c>
      <c r="P766">
        <v>96.768240000000006</v>
      </c>
      <c r="Q766"/>
      <c r="R766">
        <v>97.460080000000005</v>
      </c>
      <c r="S766">
        <v>97.948830000000001</v>
      </c>
      <c r="T766"/>
      <c r="U766">
        <v>95.953869999999995</v>
      </c>
      <c r="V766">
        <v>95.8</v>
      </c>
      <c r="W766">
        <v>105.2948</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95.35624</v>
      </c>
      <c r="AN766">
        <v>95.740359999999995</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96.400679999999994</v>
      </c>
      <c r="M767">
        <v>97.44408</v>
      </c>
      <c r="N767">
        <v>97.91</v>
      </c>
      <c r="O767">
        <v>100.34059999999999</v>
      </c>
      <c r="P767">
        <v>97.052019999999999</v>
      </c>
      <c r="Q767"/>
      <c r="R767">
        <v>97.553070000000005</v>
      </c>
      <c r="S767">
        <v>98.004930000000002</v>
      </c>
      <c r="T767"/>
      <c r="U767">
        <v>96.118769999999998</v>
      </c>
      <c r="V767">
        <v>96.3</v>
      </c>
      <c r="W767">
        <v>105.55370000000001</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95.587000000000003</v>
      </c>
      <c r="AN767">
        <v>96.088679999999997</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96.531490000000005</v>
      </c>
      <c r="M768">
        <v>97.261250000000004</v>
      </c>
      <c r="N768">
        <v>97.76</v>
      </c>
      <c r="O768">
        <v>100.5382</v>
      </c>
      <c r="P768">
        <v>96.825000000000003</v>
      </c>
      <c r="Q768"/>
      <c r="R768">
        <v>97.274090000000001</v>
      </c>
      <c r="S768">
        <v>97.938180000000003</v>
      </c>
      <c r="T768"/>
      <c r="U768">
        <v>96.096209999999999</v>
      </c>
      <c r="V768">
        <v>96.4</v>
      </c>
      <c r="W768">
        <v>105.22669999999999</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95.595759999999999</v>
      </c>
      <c r="AN768">
        <v>96.148600000000002</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96.924700000000001</v>
      </c>
      <c r="M769">
        <v>97.157200000000003</v>
      </c>
      <c r="N769">
        <v>98.26</v>
      </c>
      <c r="O769">
        <v>100.5487</v>
      </c>
      <c r="P769">
        <v>96.881749999999997</v>
      </c>
      <c r="Q769"/>
      <c r="R769">
        <v>97.367080000000001</v>
      </c>
      <c r="S769">
        <v>98.361170000000001</v>
      </c>
      <c r="T769"/>
      <c r="U769">
        <v>96.090320000000006</v>
      </c>
      <c r="V769">
        <v>96.6</v>
      </c>
      <c r="W769">
        <v>104.9509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95.599540000000005</v>
      </c>
      <c r="AN769">
        <v>96.312690000000003</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95.950999999999993</v>
      </c>
      <c r="M770">
        <v>96.496809999999996</v>
      </c>
      <c r="N770">
        <v>96.47</v>
      </c>
      <c r="O770">
        <v>98.380539999999996</v>
      </c>
      <c r="P770">
        <v>96.370959999999997</v>
      </c>
      <c r="Q770"/>
      <c r="R770">
        <v>97.088089999999994</v>
      </c>
      <c r="S770">
        <v>97.565659999999994</v>
      </c>
      <c r="T770"/>
      <c r="U770">
        <v>95.998469999999998</v>
      </c>
      <c r="V770">
        <v>95.9</v>
      </c>
      <c r="W770">
        <v>102.55029999999999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95.50009</v>
      </c>
      <c r="AN770">
        <v>95.741460000000004</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96.49297</v>
      </c>
      <c r="M771">
        <v>97.709239999999994</v>
      </c>
      <c r="N771">
        <v>96.77</v>
      </c>
      <c r="O771">
        <v>98.374229999999997</v>
      </c>
      <c r="P771">
        <v>96.484470000000002</v>
      </c>
      <c r="Q771"/>
      <c r="R771">
        <v>97.274090000000001</v>
      </c>
      <c r="S771">
        <v>97.763109999999998</v>
      </c>
      <c r="T771"/>
      <c r="U771">
        <v>96.296490000000006</v>
      </c>
      <c r="V771">
        <v>96.4</v>
      </c>
      <c r="W771">
        <v>100.0209</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95.768230000000003</v>
      </c>
      <c r="AN771">
        <v>95.97775</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97.175380000000004</v>
      </c>
      <c r="M772">
        <v>98.089560000000006</v>
      </c>
      <c r="N772">
        <v>98.42</v>
      </c>
      <c r="O772">
        <v>99.037400000000005</v>
      </c>
      <c r="P772">
        <v>97.449309999999997</v>
      </c>
      <c r="Q772"/>
      <c r="R772">
        <v>97.739069999999998</v>
      </c>
      <c r="S772">
        <v>98.654839999999993</v>
      </c>
      <c r="T772"/>
      <c r="U772">
        <v>96.659509999999997</v>
      </c>
      <c r="V772">
        <v>96.8</v>
      </c>
      <c r="W772">
        <v>103.44929999999999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96.149039999999999</v>
      </c>
      <c r="AN772">
        <v>96.575479999999999</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96.516469999999998</v>
      </c>
      <c r="M773">
        <v>98.124390000000005</v>
      </c>
      <c r="N773">
        <v>98.4</v>
      </c>
      <c r="O773">
        <v>100.01900000000001</v>
      </c>
      <c r="P773">
        <v>97.506069999999994</v>
      </c>
      <c r="Q773"/>
      <c r="R773">
        <v>98.018050000000002</v>
      </c>
      <c r="S773">
        <v>98.519630000000006</v>
      </c>
      <c r="T773"/>
      <c r="U773">
        <v>96.701740000000001</v>
      </c>
      <c r="V773">
        <v>96.9</v>
      </c>
      <c r="W773">
        <v>104.2039</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96.295559999999995</v>
      </c>
      <c r="AN773">
        <v>96.73433</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96.946449999999999</v>
      </c>
      <c r="M774">
        <v>98.217910000000003</v>
      </c>
      <c r="N774">
        <v>98.59</v>
      </c>
      <c r="O774">
        <v>100.32689999999999</v>
      </c>
      <c r="P774">
        <v>97.846599999999995</v>
      </c>
      <c r="Q774"/>
      <c r="R774">
        <v>98.018050000000002</v>
      </c>
      <c r="S774">
        <v>98.723309999999998</v>
      </c>
      <c r="T774"/>
      <c r="U774">
        <v>96.842860000000002</v>
      </c>
      <c r="V774">
        <v>97.2</v>
      </c>
      <c r="W774">
        <v>103.8974</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96.470510000000004</v>
      </c>
      <c r="AN774">
        <v>97.020359999999997</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97.023910000000001</v>
      </c>
      <c r="M775">
        <v>98.066490000000002</v>
      </c>
      <c r="N775">
        <v>98.63</v>
      </c>
      <c r="O775">
        <v>100.3122</v>
      </c>
      <c r="P775">
        <v>98.130380000000002</v>
      </c>
      <c r="Q775"/>
      <c r="R775">
        <v>98.018050000000002</v>
      </c>
      <c r="S775">
        <v>98.837720000000004</v>
      </c>
      <c r="T775"/>
      <c r="U775">
        <v>96.886619999999994</v>
      </c>
      <c r="V775">
        <v>97.1</v>
      </c>
      <c r="W775">
        <v>103.5856</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96.519289999999998</v>
      </c>
      <c r="AN775">
        <v>97.064099999999996</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97.486009999999993</v>
      </c>
      <c r="M776">
        <v>97.718969999999999</v>
      </c>
      <c r="N776">
        <v>97.79</v>
      </c>
      <c r="O776">
        <v>98.980639999999994</v>
      </c>
      <c r="P776">
        <v>98.016869999999997</v>
      </c>
      <c r="Q776"/>
      <c r="R776">
        <v>97.925060000000002</v>
      </c>
      <c r="S776">
        <v>98.56277</v>
      </c>
      <c r="T776"/>
      <c r="U776">
        <v>96.944860000000006</v>
      </c>
      <c r="V776">
        <v>97</v>
      </c>
      <c r="W776">
        <v>101.49850000000001</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96.551509999999993</v>
      </c>
      <c r="AN776">
        <v>97.026219999999995</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97.621750000000006</v>
      </c>
      <c r="M777">
        <v>97.87379</v>
      </c>
      <c r="N777">
        <v>97.96</v>
      </c>
      <c r="O777">
        <v>99.095200000000006</v>
      </c>
      <c r="P777">
        <v>98.187129999999996</v>
      </c>
      <c r="Q777"/>
      <c r="R777">
        <v>97.925060000000002</v>
      </c>
      <c r="S777">
        <v>99.10745</v>
      </c>
      <c r="T777"/>
      <c r="U777">
        <v>97.177139999999994</v>
      </c>
      <c r="V777">
        <v>97.3</v>
      </c>
      <c r="W777">
        <v>99.234909999999999</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96.71302</v>
      </c>
      <c r="AN777">
        <v>97.190190000000001</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97.602140000000006</v>
      </c>
      <c r="M778">
        <v>98.153059999999996</v>
      </c>
      <c r="N778">
        <v>98.67</v>
      </c>
      <c r="O778">
        <v>99.097309999999993</v>
      </c>
      <c r="P778">
        <v>97.903360000000006</v>
      </c>
      <c r="Q778"/>
      <c r="R778">
        <v>98.390039999999999</v>
      </c>
      <c r="S778">
        <v>98.820430000000002</v>
      </c>
      <c r="T778"/>
      <c r="U778">
        <v>97.294240000000002</v>
      </c>
      <c r="V778">
        <v>97.7</v>
      </c>
      <c r="W778">
        <v>102.9496</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96.884860000000003</v>
      </c>
      <c r="AN778">
        <v>97.330600000000004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97.541920000000005</v>
      </c>
      <c r="M779">
        <v>98.431370000000001</v>
      </c>
      <c r="N779">
        <v>98.72</v>
      </c>
      <c r="O779">
        <v>100.0137</v>
      </c>
      <c r="P779">
        <v>97.96011</v>
      </c>
      <c r="Q779"/>
      <c r="R779">
        <v>98.576030000000003</v>
      </c>
      <c r="S779">
        <v>98.794510000000002</v>
      </c>
      <c r="T779"/>
      <c r="U779">
        <v>97.418949999999995</v>
      </c>
      <c r="V779">
        <v>97.8</v>
      </c>
      <c r="W779">
        <v>102.9915</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97.087239999999994</v>
      </c>
      <c r="AN779">
        <v>97.552260000000004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97.867199999999997</v>
      </c>
      <c r="M780">
        <v>98.227779999999996</v>
      </c>
      <c r="N780">
        <v>98.69</v>
      </c>
      <c r="O780">
        <v>100.4299</v>
      </c>
      <c r="P780">
        <v>97.789839999999998</v>
      </c>
      <c r="Q780"/>
      <c r="R780">
        <v>98.390039999999999</v>
      </c>
      <c r="S780">
        <v>98.797510000000003</v>
      </c>
      <c r="T780"/>
      <c r="U780">
        <v>97.448070000000001</v>
      </c>
      <c r="V780">
        <v>98</v>
      </c>
      <c r="W780">
        <v>101.3934</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97.131739999999994</v>
      </c>
      <c r="AN780">
        <v>97.620649999999998</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98.1143</v>
      </c>
      <c r="M781">
        <v>98.107590000000002</v>
      </c>
      <c r="N781">
        <v>98.96</v>
      </c>
      <c r="O781">
        <v>100.32380000000001</v>
      </c>
      <c r="P781">
        <v>97.846599999999995</v>
      </c>
      <c r="Q781"/>
      <c r="R781">
        <v>98.669030000000006</v>
      </c>
      <c r="S781">
        <v>99.131450000000001</v>
      </c>
      <c r="T781"/>
      <c r="U781">
        <v>97.424790000000002</v>
      </c>
      <c r="V781">
        <v>98.1</v>
      </c>
      <c r="W781">
        <v>102.5346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97.139449999999997</v>
      </c>
      <c r="AN781">
        <v>97.716719999999995</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97.423450000000003</v>
      </c>
      <c r="M782">
        <v>97.869169999999997</v>
      </c>
      <c r="N782">
        <v>97.25</v>
      </c>
      <c r="O782">
        <v>98.20608</v>
      </c>
      <c r="P782">
        <v>97.789839999999998</v>
      </c>
      <c r="Q782"/>
      <c r="R782">
        <v>98.390039999999999</v>
      </c>
      <c r="S782">
        <v>98.343029999999999</v>
      </c>
      <c r="T782"/>
      <c r="U782">
        <v>97.319090000000003</v>
      </c>
      <c r="V782">
        <v>97.4</v>
      </c>
      <c r="W782">
        <v>100.5142</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97.027429999999995</v>
      </c>
      <c r="AN782">
        <v>97.177729999999997</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97.981899999999996</v>
      </c>
      <c r="M783">
        <v>98.640630000000002</v>
      </c>
      <c r="N783">
        <v>97.71</v>
      </c>
      <c r="O783">
        <v>98.239710000000002</v>
      </c>
      <c r="P783">
        <v>98.016869999999997</v>
      </c>
      <c r="Q783"/>
      <c r="R783">
        <v>98.669030000000006</v>
      </c>
      <c r="S783">
        <v>99.076179999999994</v>
      </c>
      <c r="T783"/>
      <c r="U783">
        <v>97.646699999999996</v>
      </c>
      <c r="V783">
        <v>97.9</v>
      </c>
      <c r="W783">
        <v>98.606470000000002</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97.326250000000002</v>
      </c>
      <c r="AN783">
        <v>97.530709999999999</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98.425430000000006</v>
      </c>
      <c r="M784">
        <v>98.881010000000003</v>
      </c>
      <c r="N784">
        <v>99.12</v>
      </c>
      <c r="O784">
        <v>98.825100000000006</v>
      </c>
      <c r="P784">
        <v>98.641170000000002</v>
      </c>
      <c r="Q784"/>
      <c r="R784">
        <v>99.227010000000007</v>
      </c>
      <c r="S784">
        <v>99.698130000000006</v>
      </c>
      <c r="T784"/>
      <c r="U784">
        <v>97.992339999999999</v>
      </c>
      <c r="V784">
        <v>98.2</v>
      </c>
      <c r="W784">
        <v>101.9472</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97.718509999999995</v>
      </c>
      <c r="AN784">
        <v>98.080110000000005</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98.145759999999996</v>
      </c>
      <c r="M785">
        <v>99.045590000000004</v>
      </c>
      <c r="N785">
        <v>99.37</v>
      </c>
      <c r="O785">
        <v>100.14619999999999</v>
      </c>
      <c r="P785">
        <v>98.754679999999993</v>
      </c>
      <c r="Q785"/>
      <c r="R785">
        <v>99.505989999999997</v>
      </c>
      <c r="S785">
        <v>99.69659</v>
      </c>
      <c r="T785"/>
      <c r="U785">
        <v>98.417900000000003</v>
      </c>
      <c r="V785">
        <v>98.7</v>
      </c>
      <c r="W785">
        <v>102.4131</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98.183790000000002</v>
      </c>
      <c r="AN785">
        <v>98.475579999999994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98.050370000000001</v>
      </c>
      <c r="M786">
        <v>98.888800000000003</v>
      </c>
      <c r="N786">
        <v>99.25</v>
      </c>
      <c r="O786">
        <v>100.245</v>
      </c>
      <c r="P786">
        <v>99.038470000000004</v>
      </c>
      <c r="Q786"/>
      <c r="R786">
        <v>99.32</v>
      </c>
      <c r="S786">
        <v>99.721689999999995</v>
      </c>
      <c r="T786"/>
      <c r="U786">
        <v>98.553790000000006</v>
      </c>
      <c r="V786">
        <v>98.7</v>
      </c>
      <c r="W786">
        <v>101.4689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98.334190000000007</v>
      </c>
      <c r="AN786">
        <v>98.548280000000005</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98.348039999999997</v>
      </c>
      <c r="M787">
        <v>98.740930000000006</v>
      </c>
      <c r="N787">
        <v>99.38</v>
      </c>
      <c r="O787">
        <v>100.30070000000001</v>
      </c>
      <c r="P787">
        <v>99.038470000000004</v>
      </c>
      <c r="Q787"/>
      <c r="R787">
        <v>99.32</v>
      </c>
      <c r="S787">
        <v>99.719399999999993</v>
      </c>
      <c r="T787"/>
      <c r="U787">
        <v>98.612219999999994</v>
      </c>
      <c r="V787">
        <v>98.9</v>
      </c>
      <c r="W787">
        <v>102.4709</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98.405850000000001</v>
      </c>
      <c r="AN787">
        <v>98.688450000000003</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98.720489999999998</v>
      </c>
      <c r="M788">
        <v>98.532089999999997</v>
      </c>
      <c r="N788">
        <v>98.56</v>
      </c>
      <c r="O788">
        <v>98.952269999999999</v>
      </c>
      <c r="P788">
        <v>98.697929999999999</v>
      </c>
      <c r="Q788"/>
      <c r="R788">
        <v>99.134010000000004</v>
      </c>
      <c r="S788">
        <v>99.404390000000006</v>
      </c>
      <c r="T788"/>
      <c r="U788">
        <v>98.62012</v>
      </c>
      <c r="V788">
        <v>98.6</v>
      </c>
      <c r="W788">
        <v>100.69710000000001</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98.403400000000005</v>
      </c>
      <c r="AN788">
        <v>98.595410000000001</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98.852879999999999</v>
      </c>
      <c r="M789">
        <v>98.514309999999995</v>
      </c>
      <c r="N789">
        <v>98.88</v>
      </c>
      <c r="O789">
        <v>99.117270000000005</v>
      </c>
      <c r="P789">
        <v>99.038470000000004</v>
      </c>
      <c r="Q789"/>
      <c r="R789">
        <v>99.505989999999997</v>
      </c>
      <c r="S789">
        <v>100.18380000000001</v>
      </c>
      <c r="T789"/>
      <c r="U789">
        <v>98.802989999999994</v>
      </c>
      <c r="V789">
        <v>99.1</v>
      </c>
      <c r="W789">
        <v>99.060069999999996</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98.545429999999996</v>
      </c>
      <c r="AN789">
        <v>98.807559999999995</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98.812719999999999</v>
      </c>
      <c r="M790">
        <v>99.007840000000002</v>
      </c>
      <c r="N790">
        <v>99.42</v>
      </c>
      <c r="O790">
        <v>99.069980000000001</v>
      </c>
      <c r="P790">
        <v>98.584419999999994</v>
      </c>
      <c r="Q790"/>
      <c r="R790">
        <v>100.06399999999999</v>
      </c>
      <c r="S790">
        <v>99.618970000000004</v>
      </c>
      <c r="T790"/>
      <c r="U790">
        <v>98.869219999999999</v>
      </c>
      <c r="V790">
        <v>99.2</v>
      </c>
      <c r="W790">
        <v>102.1298</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98.645679999999999</v>
      </c>
      <c r="AN790">
        <v>98.792659999999998</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98.65598</v>
      </c>
      <c r="M791">
        <v>99.148169999999993</v>
      </c>
      <c r="N791">
        <v>99.43</v>
      </c>
      <c r="O791">
        <v>99.964359999999999</v>
      </c>
      <c r="P791">
        <v>98.868200000000002</v>
      </c>
      <c r="Q791"/>
      <c r="R791">
        <v>100.06399999999999</v>
      </c>
      <c r="S791">
        <v>99.556640000000002</v>
      </c>
      <c r="T791"/>
      <c r="U791">
        <v>99.035780000000003</v>
      </c>
      <c r="V791">
        <v>99.4</v>
      </c>
      <c r="W791">
        <v>101.8231</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98.875780000000006</v>
      </c>
      <c r="AN791">
        <v>99.011719999999997</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98.859899999999996</v>
      </c>
      <c r="M792">
        <v>99.001000000000005</v>
      </c>
      <c r="N792">
        <v>99.35</v>
      </c>
      <c r="O792">
        <v>100.39319999999999</v>
      </c>
      <c r="P792">
        <v>98.130380000000002</v>
      </c>
      <c r="Q792"/>
      <c r="R792">
        <v>99.970969999999994</v>
      </c>
      <c r="S792">
        <v>99.404430000000005</v>
      </c>
      <c r="T792"/>
      <c r="U792">
        <v>98.97636</v>
      </c>
      <c r="V792">
        <v>99.3</v>
      </c>
      <c r="W792">
        <v>100.73779999999999</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98.856920000000002</v>
      </c>
      <c r="AN792">
        <v>99.021730000000005</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99.323779999999999</v>
      </c>
      <c r="M793">
        <v>99.112449999999995</v>
      </c>
      <c r="N793">
        <v>99.7</v>
      </c>
      <c r="O793">
        <v>100.37949999999999</v>
      </c>
      <c r="P793">
        <v>98.584419999999994</v>
      </c>
      <c r="Q793"/>
      <c r="R793">
        <v>100.06399999999999</v>
      </c>
      <c r="S793">
        <v>99.801320000000004</v>
      </c>
      <c r="T793"/>
      <c r="U793">
        <v>98.93047</v>
      </c>
      <c r="V793">
        <v>99.5</v>
      </c>
      <c r="W793">
        <v>101.12909999999999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98.844859999999997</v>
      </c>
      <c r="AN793">
        <v>99.202330000000003</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98.420360000000002</v>
      </c>
      <c r="M794">
        <v>98.660629999999998</v>
      </c>
      <c r="N794">
        <v>97.87</v>
      </c>
      <c r="O794">
        <v>98.446749999999994</v>
      </c>
      <c r="P794">
        <v>98.754679999999993</v>
      </c>
      <c r="Q794"/>
      <c r="R794">
        <v>99.32</v>
      </c>
      <c r="S794">
        <v>98.703379999999996</v>
      </c>
      <c r="T794"/>
      <c r="U794">
        <v>98.815299999999993</v>
      </c>
      <c r="V794">
        <v>98.9</v>
      </c>
      <c r="W794">
        <v>99.308400000000006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98.735020000000006</v>
      </c>
      <c r="AN794">
        <v>98.561930000000004</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98.964849999999998</v>
      </c>
      <c r="M795">
        <v>99.748019999999997</v>
      </c>
      <c r="N795">
        <v>98.38</v>
      </c>
      <c r="O795">
        <v>98.394199999999998</v>
      </c>
      <c r="P795">
        <v>99.095219999999998</v>
      </c>
      <c r="Q795"/>
      <c r="R795">
        <v>99.69</v>
      </c>
      <c r="S795">
        <v>99.306060000000002</v>
      </c>
      <c r="T795"/>
      <c r="U795">
        <v>99.173540000000003</v>
      </c>
      <c r="V795">
        <v>99.3</v>
      </c>
      <c r="W795">
        <v>97.619110000000006</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99.03716</v>
      </c>
      <c r="AN795">
        <v>98.855090000000004</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99.40934</v>
      </c>
      <c r="M796">
        <v>100.0979</v>
      </c>
      <c r="N796">
        <v>99.77</v>
      </c>
      <c r="O796">
        <v>98.997460000000004</v>
      </c>
      <c r="P796">
        <v>99.719539999999995</v>
      </c>
      <c r="Q796"/>
      <c r="R796">
        <v>99.89</v>
      </c>
      <c r="S796">
        <v>100.00149999999999</v>
      </c>
      <c r="T796"/>
      <c r="U796">
        <v>99.547340000000005</v>
      </c>
      <c r="V796">
        <v>99.4</v>
      </c>
      <c r="W796">
        <v>100.5057</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99.433109999999999</v>
      </c>
      <c r="AN796">
        <v>99.297629999999998</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99.885440000000003</v>
      </c>
      <c r="M797">
        <v>100.1829</v>
      </c>
      <c r="N797">
        <v>100.29</v>
      </c>
      <c r="O797">
        <v>100.30589999999999</v>
      </c>
      <c r="P797">
        <v>99.946560000000005</v>
      </c>
      <c r="Q797"/>
      <c r="R797">
        <v>99.88</v>
      </c>
      <c r="S797">
        <v>100.1202</v>
      </c>
      <c r="T797"/>
      <c r="U797">
        <v>99.875330000000005</v>
      </c>
      <c r="V797">
        <v>99.7</v>
      </c>
      <c r="W797">
        <v>100.98699999999999</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99.812070000000006</v>
      </c>
      <c r="AN797">
        <v>99.817989999999995</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100.0254</v>
      </c>
      <c r="M798">
        <v>100.2627</v>
      </c>
      <c r="N798">
        <v>100.51</v>
      </c>
      <c r="O798">
        <v>100.6874</v>
      </c>
      <c r="P798">
        <v>100.17359999999999</v>
      </c>
      <c r="Q798"/>
      <c r="R798">
        <v>99.73</v>
      </c>
      <c r="S798">
        <v>100.29689999999999</v>
      </c>
      <c r="T798"/>
      <c r="U798">
        <v>99.994799999999998</v>
      </c>
      <c r="V798">
        <v>99.9</v>
      </c>
      <c r="W798">
        <v>100.0526</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99.985789999999994</v>
      </c>
      <c r="AN798">
        <v>100.0917</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100.15309999999999</v>
      </c>
      <c r="M799">
        <v>99.969629999999995</v>
      </c>
      <c r="N799">
        <v>100.57</v>
      </c>
      <c r="O799">
        <v>100.8146</v>
      </c>
      <c r="P799">
        <v>100.3438</v>
      </c>
      <c r="Q799"/>
      <c r="R799">
        <v>99.7</v>
      </c>
      <c r="S799">
        <v>100.2992</v>
      </c>
      <c r="T799"/>
      <c r="U799">
        <v>100.0583</v>
      </c>
      <c r="V799">
        <v>99.9</v>
      </c>
      <c r="W799">
        <v>100.8815</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100.066</v>
      </c>
      <c r="AN799">
        <v>100.18559999999999</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100.5453</v>
      </c>
      <c r="M800">
        <v>99.927030000000002</v>
      </c>
      <c r="N800">
        <v>99.94</v>
      </c>
      <c r="O800">
        <v>99.612279999999998</v>
      </c>
      <c r="P800">
        <v>100.17359999999999</v>
      </c>
      <c r="Q800"/>
      <c r="R800">
        <v>99.73</v>
      </c>
      <c r="S800">
        <v>100.0093</v>
      </c>
      <c r="T800"/>
      <c r="U800">
        <v>100.11109999999999</v>
      </c>
      <c r="V800">
        <v>100</v>
      </c>
      <c r="W800">
        <v>99.223500000000001</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100.10299999999999</v>
      </c>
      <c r="AN800">
        <v>100.15479999999999</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100.8415</v>
      </c>
      <c r="M801">
        <v>99.985659999999996</v>
      </c>
      <c r="N801">
        <v>100.25</v>
      </c>
      <c r="O801">
        <v>99.707920000000001</v>
      </c>
      <c r="P801">
        <v>100.4006</v>
      </c>
      <c r="Q801"/>
      <c r="R801">
        <v>100.09</v>
      </c>
      <c r="S801">
        <v>100.6525</v>
      </c>
      <c r="T801"/>
      <c r="U801">
        <v>100.30629999999999</v>
      </c>
      <c r="V801">
        <v>100.3</v>
      </c>
      <c r="W801">
        <v>97.948589999999996</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100.3854</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100.7491</v>
      </c>
      <c r="M802">
        <v>100.3471</v>
      </c>
      <c r="N802">
        <v>100.72</v>
      </c>
      <c r="O802">
        <v>99.764669999999995</v>
      </c>
      <c r="P802">
        <v>100.2303</v>
      </c>
      <c r="Q802"/>
      <c r="R802">
        <v>100.52</v>
      </c>
      <c r="S802">
        <v>100.1264</v>
      </c>
      <c r="T802"/>
      <c r="U802">
        <v>100.44799999999999</v>
      </c>
      <c r="V802">
        <v>100.4</v>
      </c>
      <c r="W802">
        <v>100.95099999999999</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100.4511</v>
      </c>
      <c r="AN802">
        <v>100.4426</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100.8245</v>
      </c>
      <c r="M803">
        <v>100.33199999999999</v>
      </c>
      <c r="N803">
        <v>100.87</v>
      </c>
      <c r="O803">
        <v>100.7841</v>
      </c>
      <c r="P803">
        <v>100.6844</v>
      </c>
      <c r="Q803"/>
      <c r="R803">
        <v>100.66</v>
      </c>
      <c r="S803">
        <v>100.1009</v>
      </c>
      <c r="T803"/>
      <c r="U803">
        <v>100.6225</v>
      </c>
      <c r="V803">
        <v>100.6</v>
      </c>
      <c r="W803">
        <v>101.3173</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100.7223</v>
      </c>
      <c r="AN803">
        <v>100.78749999999999</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99.911320000000003</v>
      </c>
      <c r="M804">
        <v>100.2413</v>
      </c>
      <c r="N804">
        <v>100.24</v>
      </c>
      <c r="O804">
        <v>101.28019999999999</v>
      </c>
      <c r="P804">
        <v>100.3609</v>
      </c>
      <c r="Q804"/>
      <c r="R804">
        <v>100.34</v>
      </c>
      <c r="S804">
        <v>99.952330000000003</v>
      </c>
      <c r="T804"/>
      <c r="U804">
        <v>100.52290000000001</v>
      </c>
      <c r="V804">
        <v>100.7</v>
      </c>
      <c r="W804">
        <v>100.2694</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v>
      </c>
      <c r="AN804">
        <v>100.6116</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100.2697</v>
      </c>
      <c r="M805">
        <v>100.245</v>
      </c>
      <c r="N805">
        <v>100.6</v>
      </c>
      <c r="O805">
        <v>101.2045</v>
      </c>
      <c r="P805">
        <v>100.1168</v>
      </c>
      <c r="Q805"/>
      <c r="R805">
        <v>100.39</v>
      </c>
      <c r="S805">
        <v>100.4314</v>
      </c>
      <c r="T805"/>
      <c r="U805">
        <v>100.52460000000001</v>
      </c>
      <c r="V805">
        <v>101</v>
      </c>
      <c r="W805">
        <v>100.93600000000001</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100.7102</v>
      </c>
      <c r="AN805">
        <v>100.8082</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99.666380000000004</v>
      </c>
      <c r="M806">
        <v>99.829139999999995</v>
      </c>
      <c r="N806">
        <v>98.84</v>
      </c>
      <c r="O806">
        <v>99.244439999999997</v>
      </c>
      <c r="P806">
        <v>99.83305</v>
      </c>
      <c r="Q806"/>
      <c r="R806">
        <v>99.99</v>
      </c>
      <c r="S806">
        <v>99.335049999999995</v>
      </c>
      <c r="T806"/>
      <c r="U806">
        <v>100.47790000000001</v>
      </c>
      <c r="V806">
        <v>100.3</v>
      </c>
      <c r="W806">
        <v>98.392579999999995</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100.6407</v>
      </c>
      <c r="AN806">
        <v>100.2496</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100.07640000000001</v>
      </c>
      <c r="M807">
        <v>100.72329999999999</v>
      </c>
      <c r="N807">
        <v>99.24</v>
      </c>
      <c r="O807">
        <v>99.333770000000001</v>
      </c>
      <c r="P807">
        <v>100.6276</v>
      </c>
      <c r="Q807"/>
      <c r="R807">
        <v>100.34</v>
      </c>
      <c r="S807">
        <v>99.766090000000005</v>
      </c>
      <c r="T807"/>
      <c r="U807">
        <v>100.85599999999999</v>
      </c>
      <c r="V807">
        <v>100.6</v>
      </c>
      <c r="W807">
        <v>98.151579999999996</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100.9877</v>
      </c>
      <c r="AN807">
        <v>100.4997</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100.8026</v>
      </c>
      <c r="M808">
        <v>100.9011</v>
      </c>
      <c r="N808">
        <v>100.8</v>
      </c>
      <c r="O808">
        <v>99.996930000000006</v>
      </c>
      <c r="P808">
        <v>101.3087</v>
      </c>
      <c r="Q808"/>
      <c r="R808">
        <v>100.7</v>
      </c>
      <c r="S808">
        <v>100.4753</v>
      </c>
      <c r="T808"/>
      <c r="U808">
        <v>101.233</v>
      </c>
      <c r="V808">
        <v>101.1</v>
      </c>
      <c r="W808">
        <v>100.05710000000001</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101.384</v>
      </c>
      <c r="AN808">
        <v>101.07859999999999</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100.78530000000001</v>
      </c>
      <c r="M809">
        <v>100.87520000000001</v>
      </c>
      <c r="N809">
        <v>101.02</v>
      </c>
      <c r="O809">
        <v>100.95959999999999</v>
      </c>
      <c r="P809">
        <v>101.3087</v>
      </c>
      <c r="Q809"/>
      <c r="R809">
        <v>100.97</v>
      </c>
      <c r="S809">
        <v>100.5432</v>
      </c>
      <c r="T809"/>
      <c r="U809">
        <v>101.4395</v>
      </c>
      <c r="V809">
        <v>101.2</v>
      </c>
      <c r="W809">
        <v>101.0219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101.6606</v>
      </c>
      <c r="AN809">
        <v>101.3952</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101.3116</v>
      </c>
      <c r="M810">
        <v>100.9391</v>
      </c>
      <c r="N810">
        <v>101.31</v>
      </c>
      <c r="O810">
        <v>101.3201</v>
      </c>
      <c r="P810">
        <v>101.53570000000001</v>
      </c>
      <c r="Q810"/>
      <c r="R810">
        <v>100.98</v>
      </c>
      <c r="S810">
        <v>100.6456</v>
      </c>
      <c r="T810"/>
      <c r="U810">
        <v>101.6604</v>
      </c>
      <c r="V810">
        <v>101.4</v>
      </c>
      <c r="W810">
        <v>100.09690000000001</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101.8948</v>
      </c>
      <c r="AN810">
        <v>101.7167</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101.3349</v>
      </c>
      <c r="M811">
        <v>100.9183</v>
      </c>
      <c r="N811">
        <v>101.36</v>
      </c>
      <c r="O811">
        <v>101.3706</v>
      </c>
      <c r="P811">
        <v>101.53570000000001</v>
      </c>
      <c r="Q811"/>
      <c r="R811">
        <v>100.94</v>
      </c>
      <c r="S811">
        <v>100.7328</v>
      </c>
      <c r="T811"/>
      <c r="U811">
        <v>101.72410000000001</v>
      </c>
      <c r="V811">
        <v>101.5</v>
      </c>
      <c r="W811">
        <v>101.15940000000001</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101.9769</v>
      </c>
      <c r="AN811">
        <v>101.7863</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101.9383</v>
      </c>
      <c r="M812">
        <v>101.0428</v>
      </c>
      <c r="N812">
        <v>100.8</v>
      </c>
      <c r="O812">
        <v>100.2576</v>
      </c>
      <c r="P812">
        <v>101.1952</v>
      </c>
      <c r="Q812"/>
      <c r="R812">
        <v>100.9</v>
      </c>
      <c r="S812">
        <v>100.35590000000001</v>
      </c>
      <c r="T812"/>
      <c r="U812">
        <v>101.7533</v>
      </c>
      <c r="V812">
        <v>101.5</v>
      </c>
      <c r="W812">
        <v>98.509590000000003</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102.0193</v>
      </c>
      <c r="AN812">
        <v>101.84529999999999</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101.98560000000001</v>
      </c>
      <c r="M813">
        <v>100.7165</v>
      </c>
      <c r="N813">
        <v>101.04</v>
      </c>
      <c r="O813">
        <v>100.6349</v>
      </c>
      <c r="P813">
        <v>101.7627</v>
      </c>
      <c r="Q813"/>
      <c r="R813">
        <v>101.19</v>
      </c>
      <c r="S813">
        <v>100.9122</v>
      </c>
      <c r="T813"/>
      <c r="U813">
        <v>101.9637</v>
      </c>
      <c r="V813">
        <v>101.8</v>
      </c>
      <c r="W813">
        <v>97.984700000000004</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102.2004</v>
      </c>
      <c r="AN813">
        <v>102.0365</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101.8853</v>
      </c>
      <c r="M814">
        <v>100.6799</v>
      </c>
      <c r="N814">
        <v>101.51</v>
      </c>
      <c r="O814">
        <v>100.65170000000001</v>
      </c>
      <c r="P814">
        <v>102.21680000000001</v>
      </c>
      <c r="Q814"/>
      <c r="R814">
        <v>101.33</v>
      </c>
      <c r="S814">
        <v>100.62130000000001</v>
      </c>
      <c r="T814"/>
      <c r="U814">
        <v>102.0395</v>
      </c>
      <c r="V814">
        <v>102.1</v>
      </c>
      <c r="W814">
        <v>100.8565</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102.3</v>
      </c>
      <c r="AN814">
        <v>102.0475</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101.9555</v>
      </c>
      <c r="M815">
        <v>100.8597</v>
      </c>
      <c r="N815">
        <v>101.62</v>
      </c>
      <c r="O815">
        <v>101.69110000000001</v>
      </c>
      <c r="P815">
        <v>101.81950000000001</v>
      </c>
      <c r="Q815"/>
      <c r="R815">
        <v>101.39</v>
      </c>
      <c r="S815">
        <v>100.5487</v>
      </c>
      <c r="T815"/>
      <c r="U815">
        <v>102.1812</v>
      </c>
      <c r="V815">
        <v>102.2</v>
      </c>
      <c r="W815">
        <v>100.8837</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102.5222</v>
      </c>
      <c r="AN815">
        <v>102.3109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101.08029999999999</v>
      </c>
      <c r="M816">
        <v>100.6246</v>
      </c>
      <c r="N816">
        <v>101.04</v>
      </c>
      <c r="O816">
        <v>102.26600000000001</v>
      </c>
      <c r="P816">
        <v>101.4222</v>
      </c>
      <c r="Q816"/>
      <c r="R816">
        <v>101.32</v>
      </c>
      <c r="S816">
        <v>100.39579999999999</v>
      </c>
      <c r="T816"/>
      <c r="U816">
        <v>102.06789999999999</v>
      </c>
      <c r="V816">
        <v>102.4</v>
      </c>
      <c r="W816">
        <v>99.398250000000004</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102.4734</v>
      </c>
      <c r="AN816">
        <v>102.2072</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101.61190000000001</v>
      </c>
      <c r="M817">
        <v>100.3437</v>
      </c>
      <c r="N817">
        <v>101.46</v>
      </c>
      <c r="O817">
        <v>102.3879</v>
      </c>
      <c r="P817">
        <v>101.4222</v>
      </c>
      <c r="Q817"/>
      <c r="R817">
        <v>101.45</v>
      </c>
      <c r="S817">
        <v>100.6585</v>
      </c>
      <c r="T817"/>
      <c r="U817">
        <v>102.1315</v>
      </c>
      <c r="V817">
        <v>102.8</v>
      </c>
      <c r="W817">
        <v>100.4777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102.59569999999999</v>
      </c>
      <c r="AN817">
        <v>102.5651</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100.6491</v>
      </c>
      <c r="M818">
        <v>100.2749</v>
      </c>
      <c r="N818">
        <v>99.69</v>
      </c>
      <c r="O818">
        <v>100.4751</v>
      </c>
      <c r="P818">
        <v>101.36539999999999</v>
      </c>
      <c r="Q818"/>
      <c r="R818">
        <v>100.8</v>
      </c>
      <c r="S818">
        <v>99.825220000000002</v>
      </c>
      <c r="T818"/>
      <c r="U818">
        <v>102.12560000000001</v>
      </c>
      <c r="V818">
        <v>102.1</v>
      </c>
      <c r="W818">
        <v>97.948880000000003</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102.5826</v>
      </c>
      <c r="AN818">
        <v>101.9739</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101.12130000000001</v>
      </c>
      <c r="M819">
        <v>101.089</v>
      </c>
      <c r="N819">
        <v>100.06</v>
      </c>
      <c r="O819">
        <v>100.4898</v>
      </c>
      <c r="P819">
        <v>102.4438</v>
      </c>
      <c r="Q819"/>
      <c r="R819">
        <v>101.14</v>
      </c>
      <c r="S819">
        <v>99.925030000000007</v>
      </c>
      <c r="T819"/>
      <c r="U819">
        <v>102.48860000000001</v>
      </c>
      <c r="V819">
        <v>102.7</v>
      </c>
      <c r="W819">
        <v>97.481899999999996</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102.9564</v>
      </c>
      <c r="AN819">
        <v>102.3203</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101.7034</v>
      </c>
      <c r="M820">
        <v>101.4015</v>
      </c>
      <c r="N820">
        <v>101.5</v>
      </c>
      <c r="O820">
        <v>101.01739999999999</v>
      </c>
      <c r="P820">
        <v>102.8978</v>
      </c>
      <c r="Q820"/>
      <c r="R820">
        <v>101.37</v>
      </c>
      <c r="S820">
        <v>100.85339999999999</v>
      </c>
      <c r="T820"/>
      <c r="U820">
        <v>102.6811</v>
      </c>
      <c r="V820">
        <v>103</v>
      </c>
      <c r="W820">
        <v>100.3095</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103.2471</v>
      </c>
      <c r="AN820">
        <v>102.9263</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102.1703</v>
      </c>
      <c r="M821">
        <v>101.67870000000001</v>
      </c>
      <c r="N821">
        <v>102.28</v>
      </c>
      <c r="O821">
        <v>102.4426</v>
      </c>
      <c r="P821">
        <v>103.29510000000001</v>
      </c>
      <c r="Q821"/>
      <c r="R821">
        <v>101.71</v>
      </c>
      <c r="S821">
        <v>101.0094</v>
      </c>
      <c r="T821"/>
      <c r="U821">
        <v>102.9413</v>
      </c>
      <c r="V821">
        <v>103.6</v>
      </c>
      <c r="W821">
        <v>101.22069999999999</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103.6301</v>
      </c>
      <c r="AN821">
        <v>103.6084</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102.3391</v>
      </c>
      <c r="M822">
        <v>101.6554</v>
      </c>
      <c r="N822">
        <v>102.24</v>
      </c>
      <c r="O822">
        <v>102.4436</v>
      </c>
      <c r="P822">
        <v>103.40860000000001</v>
      </c>
      <c r="Q822"/>
      <c r="R822">
        <v>101.66</v>
      </c>
      <c r="S822">
        <v>101.0856</v>
      </c>
      <c r="T822"/>
      <c r="U822">
        <v>103.03700000000001</v>
      </c>
      <c r="V822">
        <v>103.9</v>
      </c>
      <c r="W822">
        <v>100.5577</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103.7593</v>
      </c>
      <c r="AN822">
        <v>103.7448</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102.8404</v>
      </c>
      <c r="M823">
        <v>101.54940000000001</v>
      </c>
      <c r="N823">
        <v>102.57</v>
      </c>
      <c r="O823">
        <v>102.6738</v>
      </c>
      <c r="P823">
        <v>103.1816</v>
      </c>
      <c r="Q823"/>
      <c r="R823">
        <v>101.85</v>
      </c>
      <c r="S823">
        <v>101.2749</v>
      </c>
      <c r="T823"/>
      <c r="U823">
        <v>103.1404</v>
      </c>
      <c r="V823">
        <v>104</v>
      </c>
      <c r="W823">
        <v>101.9551</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103.8633</v>
      </c>
      <c r="AN823">
        <v>103.9417</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103.3389</v>
      </c>
      <c r="M824">
        <v>102.3601</v>
      </c>
      <c r="N824">
        <v>102.02</v>
      </c>
      <c r="O824">
        <v>101.7079</v>
      </c>
      <c r="P824">
        <v>103.97620000000001</v>
      </c>
      <c r="Q824"/>
      <c r="R824">
        <v>101.51</v>
      </c>
      <c r="S824">
        <v>100.9439</v>
      </c>
      <c r="T824"/>
      <c r="U824">
        <v>103.1524</v>
      </c>
      <c r="V824">
        <v>103.9</v>
      </c>
      <c r="W824">
        <v>99.508189999999999</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103.8918</v>
      </c>
      <c r="AN824">
        <v>103.9679</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103.431</v>
      </c>
      <c r="M825">
        <v>102.0716</v>
      </c>
      <c r="N825">
        <v>102.28</v>
      </c>
      <c r="O825">
        <v>101.8887</v>
      </c>
      <c r="P825">
        <v>104.4302</v>
      </c>
      <c r="Q825"/>
      <c r="R825">
        <v>101.71</v>
      </c>
      <c r="S825">
        <v>101.48690000000001</v>
      </c>
      <c r="T825"/>
      <c r="U825">
        <v>103.40309999999999</v>
      </c>
      <c r="V825">
        <v>104.5</v>
      </c>
      <c r="W825">
        <v>98.576480000000004</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104.10120000000001</v>
      </c>
      <c r="AN825">
        <v>104.20529999999999</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103.3505</v>
      </c>
      <c r="M826">
        <v>102.0018</v>
      </c>
      <c r="N826">
        <v>102.68</v>
      </c>
      <c r="O826">
        <v>101.9097</v>
      </c>
      <c r="P826">
        <v>104.6005</v>
      </c>
      <c r="Q826"/>
      <c r="R826">
        <v>101.93</v>
      </c>
      <c r="S826">
        <v>101.19370000000001</v>
      </c>
      <c r="T826"/>
      <c r="U826">
        <v>103.46680000000001</v>
      </c>
      <c r="V826">
        <v>104.7</v>
      </c>
      <c r="W826">
        <v>101.1857</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104.2118</v>
      </c>
      <c r="AN826">
        <v>104.2762</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103.0077</v>
      </c>
      <c r="M827">
        <v>102.0534</v>
      </c>
      <c r="N827">
        <v>102.51</v>
      </c>
      <c r="O827">
        <v>102.6181</v>
      </c>
      <c r="P827">
        <v>104.3167</v>
      </c>
      <c r="Q827"/>
      <c r="R827">
        <v>101.91</v>
      </c>
      <c r="S827">
        <v>101.1388</v>
      </c>
      <c r="T827"/>
      <c r="U827">
        <v>103.5988</v>
      </c>
      <c r="V827">
        <v>104.7</v>
      </c>
      <c r="W827">
        <v>101.5039</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104.4516</v>
      </c>
      <c r="AN827">
        <v>104.4461</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102.3334</v>
      </c>
      <c r="M828">
        <v>101.60169999999999</v>
      </c>
      <c r="N828">
        <v>101.97</v>
      </c>
      <c r="O828">
        <v>103.0458</v>
      </c>
      <c r="P828">
        <v>104.1465</v>
      </c>
      <c r="Q828"/>
      <c r="R828">
        <v>101.91</v>
      </c>
      <c r="S828">
        <v>101.0898</v>
      </c>
      <c r="T828"/>
      <c r="U828">
        <v>103.4971</v>
      </c>
      <c r="V828">
        <v>104.9</v>
      </c>
      <c r="W828">
        <v>100.0637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104.41379999999999</v>
      </c>
      <c r="AN828">
        <v>104.3792</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102.89579999999999</v>
      </c>
      <c r="M829">
        <v>101.4357</v>
      </c>
      <c r="N829">
        <v>102.39</v>
      </c>
      <c r="O829">
        <v>103.07</v>
      </c>
      <c r="P829">
        <v>103.7492</v>
      </c>
      <c r="Q829"/>
      <c r="R829">
        <v>101.98</v>
      </c>
      <c r="S829">
        <v>101.4461</v>
      </c>
      <c r="T829"/>
      <c r="U829">
        <v>103.60720000000001</v>
      </c>
      <c r="V829">
        <v>105.2</v>
      </c>
      <c r="W829">
        <v>100.76</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104.5553</v>
      </c>
      <c r="AN829">
        <v>104.7034</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101.9768</v>
      </c>
      <c r="M830">
        <v>100.9462</v>
      </c>
      <c r="N830">
        <v>100.67</v>
      </c>
      <c r="O830">
        <v>101.2308</v>
      </c>
      <c r="P830">
        <v>103.5222</v>
      </c>
      <c r="Q830"/>
      <c r="R830">
        <v>101.51</v>
      </c>
      <c r="S830">
        <v>100.77809999999999</v>
      </c>
      <c r="T830"/>
      <c r="U830">
        <v>103.64570000000001</v>
      </c>
      <c r="V830">
        <v>104.5</v>
      </c>
      <c r="W830">
        <v>98.015069999999994</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104.51900000000001</v>
      </c>
      <c r="AN830">
        <v>104.0793</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102.4151</v>
      </c>
      <c r="M831">
        <v>101.86199999999999</v>
      </c>
      <c r="N831">
        <v>101.06</v>
      </c>
      <c r="O831">
        <v>101.55549999999999</v>
      </c>
      <c r="P831">
        <v>104.6005</v>
      </c>
      <c r="Q831"/>
      <c r="R831">
        <v>101.77</v>
      </c>
      <c r="S831">
        <v>100.7663</v>
      </c>
      <c r="T831"/>
      <c r="U831">
        <v>104.0391</v>
      </c>
      <c r="V831">
        <v>105</v>
      </c>
      <c r="W831">
        <v>97.97054</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104.9089</v>
      </c>
      <c r="AN831">
        <v>104.40179999999999</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103.2239</v>
      </c>
      <c r="M832">
        <v>101.95529999999999</v>
      </c>
      <c r="N832">
        <v>102.62</v>
      </c>
      <c r="O832">
        <v>102.1609</v>
      </c>
      <c r="P832">
        <v>104.6005</v>
      </c>
      <c r="Q832"/>
      <c r="R832">
        <v>102.03</v>
      </c>
      <c r="S832">
        <v>102.09</v>
      </c>
      <c r="T832"/>
      <c r="U832">
        <v>104.45489999999999</v>
      </c>
      <c r="V832">
        <v>105.2</v>
      </c>
      <c r="W832">
        <v>100.31399999999999</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105.33750000000001</v>
      </c>
      <c r="AN832">
        <v>105.05719999999999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103.2559</v>
      </c>
      <c r="M833">
        <v>102.35720000000001</v>
      </c>
      <c r="N833">
        <v>103.03</v>
      </c>
      <c r="O833">
        <v>103.1414</v>
      </c>
      <c r="P833">
        <v>105.45180000000001</v>
      </c>
      <c r="Q833"/>
      <c r="R833">
        <v>102.3</v>
      </c>
      <c r="S833">
        <v>102.19929999999999</v>
      </c>
      <c r="T833"/>
      <c r="U833">
        <v>104.631</v>
      </c>
      <c r="V833">
        <v>105.6</v>
      </c>
      <c r="W833">
        <v>101.50620000000001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105.65170000000001</v>
      </c>
      <c r="AN833">
        <v>105.61320000000001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103.9606</v>
      </c>
      <c r="M834">
        <v>102.41719999999999</v>
      </c>
      <c r="N834">
        <v>103.5</v>
      </c>
      <c r="O834">
        <v>103.5839</v>
      </c>
      <c r="P834">
        <v>105.5654</v>
      </c>
      <c r="Q834"/>
      <c r="R834">
        <v>102.24</v>
      </c>
      <c r="S834">
        <v>102.3689</v>
      </c>
      <c r="T834"/>
      <c r="U834">
        <v>104.8369</v>
      </c>
      <c r="V834">
        <v>105.9</v>
      </c>
      <c r="W834">
        <v>100.702</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105.9003</v>
      </c>
      <c r="AN834">
        <v>106.0249</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104.0385</v>
      </c>
      <c r="M835">
        <v>102.25749999999999</v>
      </c>
      <c r="N835">
        <v>103.55</v>
      </c>
      <c r="O835">
        <v>103.6711</v>
      </c>
      <c r="P835">
        <v>106.0762</v>
      </c>
      <c r="Q835"/>
      <c r="R835">
        <v>102.44</v>
      </c>
      <c r="S835">
        <v>102.3291</v>
      </c>
      <c r="T835"/>
      <c r="U835">
        <v>104.8937</v>
      </c>
      <c r="V835">
        <v>105.8</v>
      </c>
      <c r="W835">
        <v>102.0112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106.0239</v>
      </c>
      <c r="AN835">
        <v>106.2437</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104.6044</v>
      </c>
      <c r="M836">
        <v>103.3092</v>
      </c>
      <c r="N836">
        <v>103.18</v>
      </c>
      <c r="O836">
        <v>102.6349</v>
      </c>
      <c r="P836">
        <v>106.0762</v>
      </c>
      <c r="Q836"/>
      <c r="R836">
        <v>102.39</v>
      </c>
      <c r="S836">
        <v>102.1396</v>
      </c>
      <c r="T836"/>
      <c r="U836">
        <v>104.998</v>
      </c>
      <c r="V836">
        <v>105.8</v>
      </c>
      <c r="W836">
        <v>99.14434</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106.1262</v>
      </c>
      <c r="AN836">
        <v>106.3604</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104.6653</v>
      </c>
      <c r="M837">
        <v>102.8877</v>
      </c>
      <c r="N837">
        <v>103.34</v>
      </c>
      <c r="O837">
        <v>102.6801</v>
      </c>
      <c r="P837">
        <v>106.9842</v>
      </c>
      <c r="Q837"/>
      <c r="R837">
        <v>102.42</v>
      </c>
      <c r="S837">
        <v>102.72450000000001</v>
      </c>
      <c r="T837"/>
      <c r="U837">
        <v>105.1931</v>
      </c>
      <c r="V837">
        <v>106.5</v>
      </c>
      <c r="W837">
        <v>98.604179999999999</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106.3733</v>
      </c>
      <c r="AN837">
        <v>106.84990000000001</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104.5468</v>
      </c>
      <c r="M838">
        <v>102.38890000000001</v>
      </c>
      <c r="N838">
        <v>103.65</v>
      </c>
      <c r="O838">
        <v>102.7274</v>
      </c>
      <c r="P838">
        <v>106.9842</v>
      </c>
      <c r="Q838"/>
      <c r="R838">
        <v>102.52</v>
      </c>
      <c r="S838">
        <v>102.2176</v>
      </c>
      <c r="T838"/>
      <c r="U838">
        <v>105.1828</v>
      </c>
      <c r="V838">
        <v>106.5</v>
      </c>
      <c r="W838">
        <v>101.3807</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106.6391</v>
      </c>
      <c r="AN838">
        <v>107.3925</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104.6895</v>
      </c>
      <c r="M839">
        <v>102.6618</v>
      </c>
      <c r="N839">
        <v>103.72</v>
      </c>
      <c r="O839">
        <v>103.64700000000001</v>
      </c>
      <c r="P839">
        <v>107.4383</v>
      </c>
      <c r="Q839"/>
      <c r="R839">
        <v>102.65</v>
      </c>
      <c r="S839">
        <v>102.19410000000001</v>
      </c>
      <c r="T839"/>
      <c r="U839">
        <v>105.38120000000001</v>
      </c>
      <c r="V839">
        <v>106.6</v>
      </c>
      <c r="W839">
        <v>101.8229</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106.9374</v>
      </c>
      <c r="AN839">
        <v>107.7581</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103.5976</v>
      </c>
      <c r="M840">
        <v>102.3612</v>
      </c>
      <c r="N840">
        <v>102.92</v>
      </c>
      <c r="O840">
        <v>104.0064</v>
      </c>
      <c r="P840">
        <v>106.4734</v>
      </c>
      <c r="Q840"/>
      <c r="R840">
        <v>102.67</v>
      </c>
      <c r="S840">
        <v>102.039</v>
      </c>
      <c r="T840"/>
      <c r="U840">
        <v>105.24930000000001</v>
      </c>
      <c r="V840">
        <v>106.8</v>
      </c>
      <c r="W840">
        <v>100.26730000000001</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106.76730000000001</v>
      </c>
      <c r="AN840">
        <v>107.3052</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104.1211</v>
      </c>
      <c r="M841">
        <v>102.2413</v>
      </c>
      <c r="N841">
        <v>103.34</v>
      </c>
      <c r="O841">
        <v>104.0758</v>
      </c>
      <c r="P841">
        <v>106.6437</v>
      </c>
      <c r="Q841"/>
      <c r="R841">
        <v>102.85</v>
      </c>
      <c r="S841">
        <v>102.2076</v>
      </c>
      <c r="T841"/>
      <c r="U841">
        <v>105.3344</v>
      </c>
      <c r="V841">
        <v>107.1</v>
      </c>
      <c r="W841">
        <v>101.40470000000001</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106.86069999999999</v>
      </c>
      <c r="AN841">
        <v>107.4962</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103.3222</v>
      </c>
      <c r="M842">
        <v>102.2906</v>
      </c>
      <c r="N842">
        <v>101.79</v>
      </c>
      <c r="O842">
        <v>102.13249999999999</v>
      </c>
      <c r="P842">
        <v>106.13290000000001</v>
      </c>
      <c r="Q842"/>
      <c r="R842">
        <v>102.34</v>
      </c>
      <c r="S842">
        <v>101.64660000000001</v>
      </c>
      <c r="T842"/>
      <c r="U842">
        <v>105.3813</v>
      </c>
      <c r="V842">
        <v>106.4</v>
      </c>
      <c r="W842">
        <v>98.298770000000005</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106.81319999999999</v>
      </c>
      <c r="AN842">
        <v>106.8639</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103.7281</v>
      </c>
      <c r="M843">
        <v>102.7381</v>
      </c>
      <c r="N843">
        <v>102.06</v>
      </c>
      <c r="O843">
        <v>102.29859999999999</v>
      </c>
      <c r="P843">
        <v>106.3032</v>
      </c>
      <c r="Q843"/>
      <c r="R843">
        <v>102.71</v>
      </c>
      <c r="S843">
        <v>101.5565</v>
      </c>
      <c r="T843"/>
      <c r="U843">
        <v>105.7286</v>
      </c>
      <c r="V843">
        <v>106.9</v>
      </c>
      <c r="W843">
        <v>98.209450000000004</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107.1452</v>
      </c>
      <c r="AN843">
        <v>107.09220000000001</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104.2089</v>
      </c>
      <c r="M844">
        <v>102.94540000000001</v>
      </c>
      <c r="N844">
        <v>103.41</v>
      </c>
      <c r="O844">
        <v>102.9207</v>
      </c>
      <c r="P844">
        <v>106.70050000000001</v>
      </c>
      <c r="Q844"/>
      <c r="R844">
        <v>102.76</v>
      </c>
      <c r="S844">
        <v>102.5536</v>
      </c>
      <c r="T844"/>
      <c r="U844">
        <v>106.0493</v>
      </c>
      <c r="V844">
        <v>107</v>
      </c>
      <c r="W844">
        <v>100.7735</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107.4978</v>
      </c>
      <c r="AN844">
        <v>107.6426</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105.2017</v>
      </c>
      <c r="M845">
        <v>103.22620000000001</v>
      </c>
      <c r="N845">
        <v>104.36</v>
      </c>
      <c r="O845">
        <v>104.26390000000001</v>
      </c>
      <c r="P845">
        <v>108.0626</v>
      </c>
      <c r="Q845"/>
      <c r="R845">
        <v>103.23</v>
      </c>
      <c r="S845">
        <v>102.89619999999999</v>
      </c>
      <c r="T845"/>
      <c r="U845">
        <v>106.4046</v>
      </c>
      <c r="V845">
        <v>107.5</v>
      </c>
      <c r="W845">
        <v>102.0184</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107.9697</v>
      </c>
      <c r="AN845">
        <v>108.4821</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105.1776</v>
      </c>
      <c r="M846">
        <v>103.068</v>
      </c>
      <c r="N846">
        <v>104.31</v>
      </c>
      <c r="O846">
        <v>104.42149999999999</v>
      </c>
      <c r="P846">
        <v>108.00579999999999</v>
      </c>
      <c r="Q846"/>
      <c r="R846">
        <v>103.16</v>
      </c>
      <c r="S846">
        <v>102.8306</v>
      </c>
      <c r="T846"/>
      <c r="U846">
        <v>106.4639</v>
      </c>
      <c r="V846">
        <v>107.7</v>
      </c>
      <c r="W846">
        <v>100.9357</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108.0835</v>
      </c>
      <c r="AN846">
        <v>108.6251</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105.69759999999999</v>
      </c>
      <c r="M847">
        <v>102.8933</v>
      </c>
      <c r="N847">
        <v>104.71</v>
      </c>
      <c r="O847">
        <v>104.6622</v>
      </c>
      <c r="P847">
        <v>108.6302</v>
      </c>
      <c r="Q847"/>
      <c r="R847">
        <v>103.27</v>
      </c>
      <c r="S847">
        <v>103.1524</v>
      </c>
      <c r="T847"/>
      <c r="U847">
        <v>106.66589999999999</v>
      </c>
      <c r="V847">
        <v>107.7</v>
      </c>
      <c r="W847">
        <v>102.3677</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108.3092</v>
      </c>
      <c r="AN847">
        <v>108.97450000000001</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106.30249999999999</v>
      </c>
      <c r="M848">
        <v>103.6263</v>
      </c>
      <c r="N848">
        <v>104.08</v>
      </c>
      <c r="O848">
        <v>103.607</v>
      </c>
      <c r="P848">
        <v>108.17610000000001</v>
      </c>
      <c r="Q848"/>
      <c r="R848">
        <v>103.08</v>
      </c>
      <c r="S848">
        <v>102.9051</v>
      </c>
      <c r="T848"/>
      <c r="U848">
        <v>106.83620000000001</v>
      </c>
      <c r="V848">
        <v>107.8</v>
      </c>
      <c r="W848">
        <v>100.07210000000001</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108.4999</v>
      </c>
      <c r="AN848">
        <v>109.1801</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106.15730000000001</v>
      </c>
      <c r="M849">
        <v>103.3445</v>
      </c>
      <c r="N849">
        <v>104.32</v>
      </c>
      <c r="O849">
        <v>103.72790000000001</v>
      </c>
      <c r="P849">
        <v>109.1977</v>
      </c>
      <c r="Q849"/>
      <c r="R849">
        <v>103.43</v>
      </c>
      <c r="S849">
        <v>103.42270000000001</v>
      </c>
      <c r="T849"/>
      <c r="U849">
        <v>107.0878</v>
      </c>
      <c r="V849">
        <v>108.1</v>
      </c>
      <c r="W849">
        <v>99.320419999999999</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108.7687</v>
      </c>
      <c r="AN849">
        <v>109.5093</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106.1705</v>
      </c>
      <c r="M850">
        <v>103.1579</v>
      </c>
      <c r="N850">
        <v>104.71</v>
      </c>
      <c r="O850">
        <v>103.833</v>
      </c>
      <c r="P850">
        <v>109.36799999999999</v>
      </c>
      <c r="Q850"/>
      <c r="R850">
        <v>103.55</v>
      </c>
      <c r="S850">
        <v>103.0386</v>
      </c>
      <c r="T850"/>
      <c r="U850">
        <v>107.0925</v>
      </c>
      <c r="V850">
        <v>108.3</v>
      </c>
      <c r="W850">
        <v>102.0968</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108.8486</v>
      </c>
      <c r="AN850">
        <v>109.6165</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106.35169999999999</v>
      </c>
      <c r="M851">
        <v>103.54649999999999</v>
      </c>
      <c r="N851">
        <v>104.83</v>
      </c>
      <c r="O851">
        <v>104.741</v>
      </c>
      <c r="P851">
        <v>109.595</v>
      </c>
      <c r="Q851"/>
      <c r="R851">
        <v>103.61</v>
      </c>
      <c r="S851">
        <v>103.0819</v>
      </c>
      <c r="T851"/>
      <c r="U851">
        <v>107.2873</v>
      </c>
      <c r="V851">
        <v>108.4</v>
      </c>
      <c r="W851">
        <v>102.1827</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109.1189</v>
      </c>
      <c r="AN851">
        <v>109.9329</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105.2961</v>
      </c>
      <c r="M852">
        <v>103.2269</v>
      </c>
      <c r="N852">
        <v>104.26</v>
      </c>
      <c r="O852">
        <v>105.1183</v>
      </c>
      <c r="P852">
        <v>108.9139</v>
      </c>
      <c r="Q852"/>
      <c r="R852">
        <v>103.43</v>
      </c>
      <c r="S852">
        <v>103.09739999999999</v>
      </c>
      <c r="T852"/>
      <c r="U852">
        <v>107.1931</v>
      </c>
      <c r="V852">
        <v>108.6</v>
      </c>
      <c r="W852">
        <v>101.23090000000001</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109.0647</v>
      </c>
      <c r="AN852">
        <v>109.75700000000001</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105.8785</v>
      </c>
      <c r="M853">
        <v>103.0149</v>
      </c>
      <c r="N853">
        <v>104.68</v>
      </c>
      <c r="O853">
        <v>105.1982</v>
      </c>
      <c r="P853">
        <v>108.28959999999999</v>
      </c>
      <c r="Q853"/>
      <c r="R853">
        <v>103.4</v>
      </c>
      <c r="S853">
        <v>103.4781</v>
      </c>
      <c r="T853"/>
      <c r="U853">
        <v>107.2398</v>
      </c>
      <c r="V853">
        <v>108.6</v>
      </c>
      <c r="W853">
        <v>102.054</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109.16249999999999</v>
      </c>
      <c r="AN853">
        <v>110.0365</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104.83920000000001</v>
      </c>
      <c r="M854">
        <v>103.038</v>
      </c>
      <c r="N854">
        <v>102.9</v>
      </c>
      <c r="O854">
        <v>103.1845</v>
      </c>
      <c r="P854">
        <v>107.6653</v>
      </c>
      <c r="Q854"/>
      <c r="R854">
        <v>102.89</v>
      </c>
      <c r="S854">
        <v>102.7826</v>
      </c>
      <c r="T854"/>
      <c r="U854">
        <v>107.2953</v>
      </c>
      <c r="V854">
        <v>108.2</v>
      </c>
      <c r="W854">
        <v>98.914850000000001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109.1461</v>
      </c>
      <c r="AN854">
        <v>109.4414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105.1086</v>
      </c>
      <c r="M855">
        <v>103.92230000000001</v>
      </c>
      <c r="N855">
        <v>103.3</v>
      </c>
      <c r="O855">
        <v>103.4221</v>
      </c>
      <c r="P855">
        <v>108.2329</v>
      </c>
      <c r="Q855"/>
      <c r="R855">
        <v>103.34</v>
      </c>
      <c r="S855">
        <v>102.99469999999999</v>
      </c>
      <c r="T855"/>
      <c r="U855">
        <v>107.6726</v>
      </c>
      <c r="V855">
        <v>108.6</v>
      </c>
      <c r="W855">
        <v>98.471980000000002</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109.4987</v>
      </c>
      <c r="AN855">
        <v>109.6878</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105.59650000000001</v>
      </c>
      <c r="M856">
        <v>103.8233</v>
      </c>
      <c r="N856">
        <v>104.48</v>
      </c>
      <c r="O856">
        <v>103.9717</v>
      </c>
      <c r="P856">
        <v>108.17610000000001</v>
      </c>
      <c r="Q856"/>
      <c r="R856">
        <v>103.51</v>
      </c>
      <c r="S856">
        <v>103.5013</v>
      </c>
      <c r="T856"/>
      <c r="U856">
        <v>107.82</v>
      </c>
      <c r="V856">
        <v>108.8</v>
      </c>
      <c r="W856">
        <v>101.81950000000001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109.7264</v>
      </c>
      <c r="AN856">
        <v>110.1969</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105.9012</v>
      </c>
      <c r="M857">
        <v>104.1113</v>
      </c>
      <c r="N857">
        <v>105.25</v>
      </c>
      <c r="O857">
        <v>105.2486</v>
      </c>
      <c r="P857">
        <v>107.6653</v>
      </c>
      <c r="Q857"/>
      <c r="R857">
        <v>103.42</v>
      </c>
      <c r="S857">
        <v>103.4849</v>
      </c>
      <c r="T857"/>
      <c r="U857">
        <v>107.58459999999999</v>
      </c>
      <c r="V857">
        <v>109</v>
      </c>
      <c r="W857">
        <v>101.95699999999999</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109.6478</v>
      </c>
      <c r="AN857">
        <v>110.6782</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106.02070000000001</v>
      </c>
      <c r="M858">
        <v>103.94929999999999</v>
      </c>
      <c r="N858">
        <v>105.25</v>
      </c>
      <c r="O858">
        <v>105.34529999999999</v>
      </c>
      <c r="P858">
        <v>107.6653</v>
      </c>
      <c r="Q858"/>
      <c r="R858">
        <v>103.58</v>
      </c>
      <c r="S858">
        <v>103.7757</v>
      </c>
      <c r="T858"/>
      <c r="U858">
        <v>107.5561</v>
      </c>
      <c r="V858">
        <v>109.1</v>
      </c>
      <c r="W858">
        <v>101.28749999999999</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109.68819999999999</v>
      </c>
      <c r="AN858">
        <v>110.89360000000001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106.02670000000001</v>
      </c>
      <c r="M859">
        <v>103.85339999999999</v>
      </c>
      <c r="N859">
        <v>105.58</v>
      </c>
      <c r="O859">
        <v>105.52719999999999</v>
      </c>
      <c r="P859">
        <v>108.17610000000001</v>
      </c>
      <c r="Q859"/>
      <c r="R859">
        <v>103.55</v>
      </c>
      <c r="S859">
        <v>103.9042</v>
      </c>
      <c r="T859"/>
      <c r="U859">
        <v>107.7072</v>
      </c>
      <c r="V859">
        <v>109.3</v>
      </c>
      <c r="W859">
        <v>101.01439999999999</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109.9256</v>
      </c>
      <c r="AN859">
        <v>111.2851</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105.45050000000001</v>
      </c>
      <c r="M860">
        <v>104.621</v>
      </c>
      <c r="N860">
        <v>105.3</v>
      </c>
      <c r="O860">
        <v>103.99590000000001</v>
      </c>
      <c r="P860">
        <v>108.17610000000001</v>
      </c>
      <c r="Q860"/>
      <c r="R860">
        <v>103.9</v>
      </c>
      <c r="S860">
        <v>104.5294</v>
      </c>
      <c r="T860"/>
      <c r="U860">
        <v>108.03789999999999</v>
      </c>
      <c r="V860">
        <v>109.7</v>
      </c>
      <c r="W860">
        <v>98.852099999999993</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110.2312</v>
      </c>
      <c r="AN860">
        <v>111.3304</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105.5193</v>
      </c>
      <c r="M861">
        <v>104.25320000000001</v>
      </c>
      <c r="N861">
        <v>104.71</v>
      </c>
      <c r="O861">
        <v>103.9791</v>
      </c>
      <c r="P861">
        <v>108.57340000000001</v>
      </c>
      <c r="Q861"/>
      <c r="R861">
        <v>103.9</v>
      </c>
      <c r="S861">
        <v>104.32640000000001</v>
      </c>
      <c r="T861"/>
      <c r="U861">
        <v>108.244</v>
      </c>
      <c r="V861">
        <v>109.2</v>
      </c>
      <c r="W861">
        <v>97.971040000000002</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110.4254</v>
      </c>
      <c r="AN861">
        <v>111.35890000000001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105.6086</v>
      </c>
      <c r="M862">
        <v>104.2843</v>
      </c>
      <c r="N862">
        <v>104.93</v>
      </c>
      <c r="O862">
        <v>104.12309999999999</v>
      </c>
      <c r="P862">
        <v>109.0842</v>
      </c>
      <c r="Q862"/>
      <c r="R862">
        <v>103.88</v>
      </c>
      <c r="S862">
        <v>103.8028</v>
      </c>
      <c r="T862"/>
      <c r="U862">
        <v>108.28189999999999</v>
      </c>
      <c r="V862">
        <v>109.8</v>
      </c>
      <c r="W862">
        <v>100.6037</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110.5489</v>
      </c>
      <c r="AN862">
        <v>111.5147</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105.8061</v>
      </c>
      <c r="M863">
        <v>104.42449999999999</v>
      </c>
      <c r="N863">
        <v>105.06</v>
      </c>
      <c r="O863">
        <v>104.84820000000001</v>
      </c>
      <c r="P863">
        <v>108.5166</v>
      </c>
      <c r="Q863"/>
      <c r="R863">
        <v>104</v>
      </c>
      <c r="S863">
        <v>103.6846</v>
      </c>
      <c r="T863"/>
      <c r="U863">
        <v>108.39570000000001</v>
      </c>
      <c r="V863">
        <v>110</v>
      </c>
      <c r="W863">
        <v>100.88639999999999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110.7458</v>
      </c>
      <c r="AN863">
        <v>111.8711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105.58369999999999</v>
      </c>
      <c r="M864">
        <v>104.4524</v>
      </c>
      <c r="N864">
        <v>104.53</v>
      </c>
      <c r="O864">
        <v>105.1972</v>
      </c>
      <c r="P864">
        <v>108.68689999999999</v>
      </c>
      <c r="Q864"/>
      <c r="R864">
        <v>104.07</v>
      </c>
      <c r="S864">
        <v>103.7921</v>
      </c>
      <c r="T864"/>
      <c r="U864">
        <v>108.3984</v>
      </c>
      <c r="V864">
        <v>109.9</v>
      </c>
      <c r="W864">
        <v>99.491590000000002</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110.8175</v>
      </c>
      <c r="AN864">
        <v>111.96850000000001</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105.6611</v>
      </c>
      <c r="M865">
        <v>104.17140000000001</v>
      </c>
      <c r="N865">
        <v>104.92</v>
      </c>
      <c r="O865">
        <v>105.1677</v>
      </c>
      <c r="P865">
        <v>108.68689999999999</v>
      </c>
      <c r="Q865"/>
      <c r="R865">
        <v>104.17</v>
      </c>
      <c r="S865">
        <v>104.0003</v>
      </c>
      <c r="T865"/>
      <c r="U865">
        <v>108.3841</v>
      </c>
      <c r="V865">
        <v>110.2</v>
      </c>
      <c r="W865">
        <v>100.1326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110.88890000000001</v>
      </c>
      <c r="AN865">
        <v>112.2119</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106.2766</v>
      </c>
      <c r="M866">
        <v>104.26349999999999</v>
      </c>
      <c r="N866">
        <v>104.36</v>
      </c>
      <c r="O866">
        <v>103.6217</v>
      </c>
      <c r="P866">
        <v>108.5166</v>
      </c>
      <c r="Q866"/>
      <c r="R866">
        <v>104.24</v>
      </c>
      <c r="S866">
        <v>103.9606</v>
      </c>
      <c r="T866"/>
      <c r="U866">
        <v>108.6131</v>
      </c>
      <c r="V866">
        <v>109.8</v>
      </c>
      <c r="W866">
        <v>97.699740000000006</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111.0806</v>
      </c>
      <c r="AN866">
        <v>112.2753</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106.76949999999999</v>
      </c>
      <c r="M867">
        <v>104.6949</v>
      </c>
      <c r="N867">
        <v>104.45</v>
      </c>
      <c r="O867">
        <v>103.5671</v>
      </c>
      <c r="P867">
        <v>108.97069999999999</v>
      </c>
      <c r="Q867"/>
      <c r="R867">
        <v>104.43</v>
      </c>
      <c r="S867">
        <v>103.75279999999999</v>
      </c>
      <c r="T867"/>
      <c r="U867">
        <v>108.8867</v>
      </c>
      <c r="V867">
        <v>109.9</v>
      </c>
      <c r="W867">
        <v>97.577029999999993</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111.35080000000001</v>
      </c>
      <c r="AN867">
        <v>112.46559999999999</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107.167</v>
      </c>
      <c r="M868">
        <v>104.82299999999999</v>
      </c>
      <c r="N868">
        <v>105.46</v>
      </c>
      <c r="O868">
        <v>104.0821</v>
      </c>
      <c r="P868">
        <v>108.85720000000001</v>
      </c>
      <c r="Q868"/>
      <c r="R868">
        <v>104.52</v>
      </c>
      <c r="S868">
        <v>104.3172</v>
      </c>
      <c r="T868"/>
      <c r="U868">
        <v>109.25</v>
      </c>
      <c r="V868">
        <v>110.2</v>
      </c>
      <c r="W868">
        <v>99.057609999999997</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111.77290000000001</v>
      </c>
      <c r="AN868">
        <v>113.0123</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107.3509</v>
      </c>
      <c r="M869">
        <v>105.1515</v>
      </c>
      <c r="N869">
        <v>106.03</v>
      </c>
      <c r="O869">
        <v>105.1688</v>
      </c>
      <c r="P869">
        <v>108.9139</v>
      </c>
      <c r="Q869"/>
      <c r="R869">
        <v>104.97</v>
      </c>
      <c r="S869">
        <v>104.377</v>
      </c>
      <c r="T869"/>
      <c r="U869">
        <v>109.7115</v>
      </c>
      <c r="V869">
        <v>110.6</v>
      </c>
      <c r="W869">
        <v>100.44110000000001</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112.2966</v>
      </c>
      <c r="AN869">
        <v>113.54219999999999</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107.65130000000001</v>
      </c>
      <c r="M870">
        <v>105.3152</v>
      </c>
      <c r="N870">
        <v>106.25</v>
      </c>
      <c r="O870">
        <v>105.49979999999999</v>
      </c>
      <c r="P870">
        <v>110.2761</v>
      </c>
      <c r="Q870"/>
      <c r="R870">
        <v>105.17</v>
      </c>
      <c r="S870">
        <v>104.6302</v>
      </c>
      <c r="T870"/>
      <c r="U870">
        <v>110.2688</v>
      </c>
      <c r="V870">
        <v>111.3</v>
      </c>
      <c r="W870">
        <v>99.591419999999999</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112.7979</v>
      </c>
      <c r="AN870">
        <v>113.8904</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108.0286</v>
      </c>
      <c r="M871">
        <v>105.2837</v>
      </c>
      <c r="N871">
        <v>106.52</v>
      </c>
      <c r="O871">
        <v>105.60599999999999</v>
      </c>
      <c r="P871">
        <v>111.01390000000001</v>
      </c>
      <c r="Q871"/>
      <c r="R871">
        <v>105.23</v>
      </c>
      <c r="S871">
        <v>104.8494</v>
      </c>
      <c r="T871"/>
      <c r="U871">
        <v>110.91200000000001</v>
      </c>
      <c r="V871">
        <v>111.8</v>
      </c>
      <c r="W871">
        <v>100.53870000000001</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113.4134</v>
      </c>
      <c r="AN871">
        <v>114.41589999999999</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108.4772</v>
      </c>
      <c r="M872">
        <v>105.54940000000001</v>
      </c>
      <c r="N872">
        <v>106.05</v>
      </c>
      <c r="O872">
        <v>104.41840000000001</v>
      </c>
      <c r="P872">
        <v>111.41119999999999</v>
      </c>
      <c r="Q872"/>
      <c r="R872">
        <v>105.49</v>
      </c>
      <c r="S872">
        <v>104.65940000000001</v>
      </c>
      <c r="T872"/>
      <c r="U872">
        <v>111.22239999999999</v>
      </c>
      <c r="V872">
        <v>111.8</v>
      </c>
      <c r="W872">
        <v>98.347489999999993</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113.69580000000001</v>
      </c>
      <c r="AN872">
        <v>114.5085</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108.5436</v>
      </c>
      <c r="M873">
        <v>105.3532</v>
      </c>
      <c r="N873">
        <v>106.34</v>
      </c>
      <c r="O873">
        <v>104.52030000000001</v>
      </c>
      <c r="P873">
        <v>112.3193</v>
      </c>
      <c r="Q873"/>
      <c r="R873">
        <v>105.68</v>
      </c>
      <c r="S873">
        <v>105.2722</v>
      </c>
      <c r="T873"/>
      <c r="U873">
        <v>111.4068</v>
      </c>
      <c r="V873">
        <v>112.4</v>
      </c>
      <c r="W873">
        <v>97.649609999999996</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113.8999</v>
      </c>
      <c r="AN873">
        <v>114.8246</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108.88209999999999</v>
      </c>
      <c r="M874">
        <v>105.6138</v>
      </c>
      <c r="N874">
        <v>106.89</v>
      </c>
      <c r="O874">
        <v>104.93129999999999</v>
      </c>
      <c r="P874">
        <v>112.8301</v>
      </c>
      <c r="Q874"/>
      <c r="R874">
        <v>106.04</v>
      </c>
      <c r="S874">
        <v>104.9806</v>
      </c>
      <c r="T874"/>
      <c r="U874">
        <v>111.51439999999999</v>
      </c>
      <c r="V874">
        <v>112.8</v>
      </c>
      <c r="W874">
        <v>100.70699999999999</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114.1375</v>
      </c>
      <c r="AN874">
        <v>115.2415</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109.1357</v>
      </c>
      <c r="M875">
        <v>106.05459999999999</v>
      </c>
      <c r="N875">
        <v>107.22</v>
      </c>
      <c r="O875">
        <v>106.1104</v>
      </c>
      <c r="P875">
        <v>113.56789999999999</v>
      </c>
      <c r="Q875"/>
      <c r="R875">
        <v>106.41</v>
      </c>
      <c r="S875">
        <v>105.02760000000001</v>
      </c>
      <c r="T875"/>
      <c r="U875">
        <v>111.98099999999999</v>
      </c>
      <c r="V875">
        <v>113.4</v>
      </c>
      <c r="W875">
        <v>101.08329999999999</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114.7286</v>
      </c>
      <c r="AN875">
        <v>115.87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109.0545</v>
      </c>
      <c r="M876">
        <v>105.99250000000001</v>
      </c>
      <c r="N876">
        <v>107.26</v>
      </c>
      <c r="O876">
        <v>106.75360000000001</v>
      </c>
      <c r="P876">
        <v>114.249</v>
      </c>
      <c r="Q876"/>
      <c r="R876">
        <v>106.66</v>
      </c>
      <c r="S876">
        <v>105.22320000000001</v>
      </c>
      <c r="T876"/>
      <c r="U876">
        <v>112.2831</v>
      </c>
      <c r="V876">
        <v>113.9</v>
      </c>
      <c r="W876">
        <v>100.0984</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115.1271</v>
      </c>
      <c r="AN876">
        <v>116.3516</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109.3683</v>
      </c>
      <c r="M877">
        <v>105.7932</v>
      </c>
      <c r="N877">
        <v>107.67</v>
      </c>
      <c r="O877">
        <v>106.8882</v>
      </c>
      <c r="P877">
        <v>114.53270000000001</v>
      </c>
      <c r="Q877"/>
      <c r="R877">
        <v>106.84</v>
      </c>
      <c r="S877">
        <v>105.4303</v>
      </c>
      <c r="T877"/>
      <c r="U877">
        <v>112.63509999999999</v>
      </c>
      <c r="V877">
        <v>114.4</v>
      </c>
      <c r="W877">
        <v>101.10939999999999</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116.0326</v>
      </c>
      <c r="AN877">
        <v>118.18219999999999</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109.1354</v>
      </c>
      <c r="M878">
        <v>105.9992</v>
      </c>
      <c r="N878">
        <v>106.72</v>
      </c>
      <c r="O878">
        <v>105.70059999999999</v>
      </c>
      <c r="P878">
        <v>114.53270000000001</v>
      </c>
      <c r="Q878"/>
      <c r="R878">
        <v>107.01</v>
      </c>
      <c r="S878">
        <v>105.30670000000001</v>
      </c>
      <c r="T878"/>
      <c r="U878">
        <v>113.1245</v>
      </c>
      <c r="V878">
        <v>114.2</v>
      </c>
      <c r="W878">
        <v>98.875649999999993</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116.8193</v>
      </c>
      <c r="AN878">
        <v>119.0574</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109.64879999999999</v>
      </c>
      <c r="M879">
        <v>107.251</v>
      </c>
      <c r="N879">
        <v>107.3</v>
      </c>
      <c r="O879">
        <v>106.0779</v>
      </c>
      <c r="P879">
        <v>115.61109999999999</v>
      </c>
      <c r="Q879"/>
      <c r="R879">
        <v>107.17</v>
      </c>
      <c r="S879">
        <v>105.8056</v>
      </c>
      <c r="T879"/>
      <c r="U879">
        <v>113.7891</v>
      </c>
      <c r="V879">
        <v>114.9</v>
      </c>
      <c r="W879">
        <v>98.720039999999997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117.61879999999999</v>
      </c>
      <c r="AN879">
        <v>120.0333</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110.6494</v>
      </c>
      <c r="M880">
        <v>107.6658</v>
      </c>
      <c r="N880">
        <v>108.59</v>
      </c>
      <c r="O880">
        <v>106.89239999999999</v>
      </c>
      <c r="P880">
        <v>116.97320000000001</v>
      </c>
      <c r="Q880"/>
      <c r="R880">
        <v>107.78</v>
      </c>
      <c r="S880">
        <v>106.42449999999999</v>
      </c>
      <c r="T880"/>
      <c r="U880">
        <v>114.36069999999999</v>
      </c>
      <c r="V880">
        <v>115.8</v>
      </c>
      <c r="W880">
        <v>100.78449999999999</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118.4192</v>
      </c>
      <c r="AN880">
        <v>121.4042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111.28789999999999</v>
      </c>
      <c r="M881">
        <v>108.57689999999999</v>
      </c>
      <c r="N881">
        <v>109.74</v>
      </c>
      <c r="O881">
        <v>108.62439999999999</v>
      </c>
      <c r="P881">
        <v>119.1867</v>
      </c>
      <c r="Q881"/>
      <c r="R881">
        <v>108.46</v>
      </c>
      <c r="S881">
        <v>107.0883</v>
      </c>
      <c r="T881"/>
      <c r="U881">
        <v>114.9781</v>
      </c>
      <c r="V881">
        <v>116.6</v>
      </c>
      <c r="W881">
        <v>102.1987</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119.3836</v>
      </c>
      <c r="AN881">
        <v>122.9229</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111.9431</v>
      </c>
      <c r="M882">
        <v>109.3394</v>
      </c>
      <c r="N882">
        <v>110.26</v>
      </c>
      <c r="O882">
        <v>109.1782</v>
      </c>
      <c r="P882">
        <v>119.7542</v>
      </c>
      <c r="Q882"/>
      <c r="R882">
        <v>109.45</v>
      </c>
      <c r="S882">
        <v>107.5647</v>
      </c>
      <c r="T882"/>
      <c r="U882">
        <v>115.5641</v>
      </c>
      <c r="V882">
        <v>117.1</v>
      </c>
      <c r="W882">
        <v>102.0275</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120.15860000000001</v>
      </c>
      <c r="AN882">
        <v>124.04730000000001</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111.82550000000001</v>
      </c>
      <c r="M883">
        <v>109.56</v>
      </c>
      <c r="N883">
        <v>110.52</v>
      </c>
      <c r="O883">
        <v>109.791</v>
      </c>
      <c r="P883">
        <v>121.68389999999999</v>
      </c>
      <c r="Q883"/>
      <c r="R883">
        <v>109.47</v>
      </c>
      <c r="S883">
        <v>107.7205</v>
      </c>
      <c r="T883"/>
      <c r="U883">
        <v>116.1606</v>
      </c>
      <c r="V883">
        <v>117.6</v>
      </c>
      <c r="W883">
        <v>104.0458</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120.9239</v>
      </c>
      <c r="AN883">
        <v>124.9569</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112.41160000000001</v>
      </c>
      <c r="M884">
        <v>110.43989999999999</v>
      </c>
      <c r="N884">
        <v>110.35</v>
      </c>
      <c r="O884">
        <v>109.11620000000001</v>
      </c>
      <c r="P884">
        <v>123.532</v>
      </c>
      <c r="Q884"/>
      <c r="R884">
        <v>110.02</v>
      </c>
      <c r="S884">
        <v>108.15</v>
      </c>
      <c r="T884"/>
      <c r="U884">
        <v>116.6083</v>
      </c>
      <c r="V884">
        <v>117.9</v>
      </c>
      <c r="W884">
        <v>101.8218</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121.60299999999999</v>
      </c>
      <c r="AN884">
        <v>125.91630000000001</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112.67829999999999</v>
      </c>
      <c r="M885">
        <v>110.505</v>
      </c>
      <c r="N885">
        <v>110.95</v>
      </c>
      <c r="O885">
        <v>109.4242</v>
      </c>
      <c r="P885">
        <v>124.919</v>
      </c>
      <c r="Q885"/>
      <c r="R885">
        <v>110.46</v>
      </c>
      <c r="S885">
        <v>108.9795</v>
      </c>
      <c r="T885"/>
      <c r="U885">
        <v>117.1645</v>
      </c>
      <c r="V885">
        <v>118.7</v>
      </c>
      <c r="W885">
        <v>101.65179999999999</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122.304</v>
      </c>
      <c r="AN885">
        <v>126.9196</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113.99939999999999</v>
      </c>
      <c r="M886">
        <v>110.8079</v>
      </c>
      <c r="N886">
        <v>112.01</v>
      </c>
      <c r="O886">
        <v>109.5681</v>
      </c>
      <c r="P886">
        <v>126.16759999999999</v>
      </c>
      <c r="Q886"/>
      <c r="R886">
        <v>110.97</v>
      </c>
      <c r="S886">
        <v>108.2338</v>
      </c>
      <c r="T886"/>
      <c r="U886">
        <v>117.6066</v>
      </c>
      <c r="V886">
        <v>119.3</v>
      </c>
      <c r="W886">
        <v>105.45740000000001</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122.9389</v>
      </c>
      <c r="AN886">
        <v>127.9247</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114.42149999999999</v>
      </c>
      <c r="M887">
        <v>111.434</v>
      </c>
      <c r="N887">
        <v>112.62</v>
      </c>
      <c r="O887">
        <v>110.58969999999999</v>
      </c>
      <c r="P887">
        <v>127.41630000000001</v>
      </c>
      <c r="Q887"/>
      <c r="R887">
        <v>111.79</v>
      </c>
      <c r="S887">
        <v>108.47450000000001</v>
      </c>
      <c r="T887"/>
      <c r="U887">
        <v>117.9764</v>
      </c>
      <c r="V887">
        <v>120</v>
      </c>
      <c r="W887">
        <v>106.1489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123.6356</v>
      </c>
      <c r="AN887">
        <v>129.06180000000001</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114.5428</v>
      </c>
      <c r="M888">
        <v>111.4088</v>
      </c>
      <c r="N888">
        <v>112.63</v>
      </c>
      <c r="O888">
        <v>111.1152</v>
      </c>
      <c r="P888">
        <v>127.52979999999999</v>
      </c>
      <c r="Q888"/>
      <c r="R888">
        <v>112.34</v>
      </c>
      <c r="S888">
        <v>108.6768</v>
      </c>
      <c r="T888"/>
      <c r="U888">
        <v>118.099</v>
      </c>
      <c r="V888">
        <v>120.4</v>
      </c>
      <c r="W888">
        <v>105.8073</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123.95140000000001</v>
      </c>
      <c r="AN888">
        <v>129.68430000000001</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115.093</v>
      </c>
      <c r="M889">
        <v>111.78230000000001</v>
      </c>
      <c r="N889">
        <v>113.28</v>
      </c>
      <c r="O889">
        <v>111.6365</v>
      </c>
      <c r="P889">
        <v>128.04060000000001</v>
      </c>
      <c r="Q889"/>
      <c r="R889">
        <v>113.24</v>
      </c>
      <c r="S889">
        <v>108.9766</v>
      </c>
      <c r="T889"/>
      <c r="U889">
        <v>118.3699</v>
      </c>
      <c r="V889">
        <v>121</v>
      </c>
      <c r="W889">
        <v>106.2195</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v>124.4224</v>
      </c>
      <c r="AN889">
        <v>130.62100000000001</v>
      </c>
      <c r="AO889">
        <v>127.27670000000001</v>
      </c>
      <c r="AP889">
        <v>112.6523</v>
      </c>
      <c r="AQ889"/>
      <c r="AR889"/>
      <c r="AS889">
        <v>128.98169999999999</v>
      </c>
      <c r="AT889">
        <v>115.42189999999999</v>
      </c>
      <c r="AU889">
        <v>119.2145</v>
      </c>
      <c r="AV889">
        <v>387.91910000000001</v>
      </c>
      <c r="AW889">
        <v>123.8874</v>
      </c>
      <c r="AX889">
        <v>136.28790000000001</v>
      </c>
    </row>
    <row r="890" spans="1:50" x14ac:dyDescent="0.35">
      <c r="A890" s="75">
        <v>44927</v>
      </c>
      <c r="B890">
        <v>122.6387</v>
      </c>
      <c r="C890">
        <v>119.74169999999999</v>
      </c>
      <c r="D890"/>
      <c r="E890">
        <v>119.8335</v>
      </c>
      <c r="F890">
        <v>103.149</v>
      </c>
      <c r="G890">
        <v>134.1532</v>
      </c>
      <c r="H890"/>
      <c r="I890">
        <v>139.5951</v>
      </c>
      <c r="J890"/>
      <c r="K890">
        <v>140.30000000000001</v>
      </c>
      <c r="L890">
        <v>115.3309</v>
      </c>
      <c r="M890">
        <v>112.02630000000001</v>
      </c>
      <c r="N890">
        <v>112.4</v>
      </c>
      <c r="O890">
        <v>111.11409999999999</v>
      </c>
      <c r="P890">
        <v>128.49459999999999</v>
      </c>
      <c r="Q890"/>
      <c r="R890">
        <v>113.28</v>
      </c>
      <c r="S890">
        <v>108.6978</v>
      </c>
      <c r="T890"/>
      <c r="U890">
        <v>118.81619999999999</v>
      </c>
      <c r="V890">
        <v>120.3</v>
      </c>
      <c r="W890">
        <v>104.6425</v>
      </c>
      <c r="X890">
        <v>140.8715</v>
      </c>
      <c r="Y890"/>
      <c r="Z890"/>
      <c r="AA890">
        <v>110.7731</v>
      </c>
      <c r="AB890">
        <v>132.92099999999999</v>
      </c>
      <c r="AC890"/>
      <c r="AD890">
        <v>109.3113</v>
      </c>
      <c r="AE890"/>
      <c r="AF890">
        <v>113.55759999999999</v>
      </c>
      <c r="AG890">
        <v>138.9228</v>
      </c>
      <c r="AH890">
        <v>112.79</v>
      </c>
      <c r="AI890">
        <v>125.5795</v>
      </c>
      <c r="AJ890">
        <v>135.41810000000001</v>
      </c>
      <c r="AK890">
        <v>117.14449999999999</v>
      </c>
      <c r="AL890">
        <v>121.5835</v>
      </c>
      <c r="AM890">
        <v>125.2783</v>
      </c>
      <c r="AN890">
        <v>131.7079</v>
      </c>
      <c r="AO890"/>
      <c r="AP890">
        <v>112.3254</v>
      </c>
      <c r="AQ890"/>
      <c r="AR890"/>
      <c r="AS890">
        <v>131.18279999999999</v>
      </c>
      <c r="AT890">
        <v>115.8019</v>
      </c>
      <c r="AU890">
        <v>119.6904</v>
      </c>
      <c r="AV890">
        <v>418.75729999999999</v>
      </c>
      <c r="AW890">
        <v>124.6507</v>
      </c>
      <c r="AX890">
        <v>136.56970000000001</v>
      </c>
    </row>
    <row r="891" spans="1:50" x14ac:dyDescent="0.35">
      <c r="A891" s="75">
        <v>44958</v>
      </c>
      <c r="B891"/>
      <c r="C891">
        <v>120.2564</v>
      </c>
      <c r="D891"/>
      <c r="E891"/>
      <c r="F891">
        <v>103.931</v>
      </c>
      <c r="G891">
        <v>134.3811</v>
      </c>
      <c r="H891"/>
      <c r="I891">
        <v>141.90809999999999</v>
      </c>
      <c r="J891"/>
      <c r="K891"/>
      <c r="L891">
        <v>116.07859999999999</v>
      </c>
      <c r="M891">
        <v>113.4734</v>
      </c>
      <c r="N891"/>
      <c r="O891"/>
      <c r="P891">
        <v>129.62970000000001</v>
      </c>
      <c r="Q891"/>
      <c r="R891">
        <v>114.24</v>
      </c>
      <c r="S891"/>
      <c r="T891"/>
      <c r="U891"/>
      <c r="V891"/>
      <c r="W891"/>
      <c r="X891">
        <v>142.74979999999999</v>
      </c>
      <c r="Y891"/>
      <c r="Z891"/>
      <c r="AA891"/>
      <c r="AB891">
        <v>134.83600000000001</v>
      </c>
      <c r="AC891"/>
      <c r="AD891"/>
      <c r="AE891"/>
      <c r="AF891">
        <v>113.9278</v>
      </c>
      <c r="AG891">
        <v>140.0703</v>
      </c>
      <c r="AH891">
        <v>114.92</v>
      </c>
      <c r="AI891">
        <v>126.2539</v>
      </c>
      <c r="AJ891">
        <v>136.2424</v>
      </c>
      <c r="AK891"/>
      <c r="AL891">
        <v>122.3065</v>
      </c>
      <c r="AM891"/>
      <c r="AN891"/>
      <c r="AO891"/>
      <c r="AP891">
        <v>112.70189999999999</v>
      </c>
      <c r="AQ891"/>
      <c r="AR891"/>
      <c r="AS891"/>
      <c r="AT891">
        <v>116.5119</v>
      </c>
      <c r="AU891"/>
      <c r="AV891">
        <v>426.71100000000001</v>
      </c>
      <c r="AW891">
        <v>125.4966</v>
      </c>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90" zoomScaleNormal="90" workbookViewId="0">
      <pane xSplit="1" ySplit="9" topLeftCell="B136" activePane="bottomRight" state="frozen"/>
      <selection activeCell="T26" sqref="T26"/>
      <selection pane="topRight" activeCell="T26" sqref="T26"/>
      <selection pane="bottomLeft" activeCell="T26" sqref="T26"/>
      <selection pane="bottomRight" activeCell="AD149" sqref="AD149"/>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44958</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t="e">
        <f t="shared" ca="1" si="0"/>
        <v>#N/A</v>
      </c>
      <c r="F4" s="22" t="e">
        <f t="shared" ca="1" si="0"/>
        <v>#N/A</v>
      </c>
      <c r="G4" s="22">
        <f t="shared" ca="1" si="0"/>
        <v>8.8206995520262468E-2</v>
      </c>
      <c r="H4" s="22" t="e">
        <f t="shared" ca="1" si="0"/>
        <v>#N/A</v>
      </c>
      <c r="I4" s="22" t="e">
        <f t="shared" ca="1" si="0"/>
        <v>#N/A</v>
      </c>
      <c r="J4" s="22" t="e">
        <f t="shared" ca="1" si="0"/>
        <v>#N/A</v>
      </c>
      <c r="K4" s="22" t="e">
        <f t="shared" ca="1" si="0"/>
        <v>#N/A</v>
      </c>
      <c r="L4" s="22" t="e">
        <f t="shared" ca="1" si="0"/>
        <v>#N/A</v>
      </c>
      <c r="M4" s="22">
        <f t="shared" ca="1" si="0"/>
        <v>8.6997558542958028E-2</v>
      </c>
      <c r="N4" s="22">
        <f t="shared" ca="1" si="0"/>
        <v>0.16698412994105594</v>
      </c>
      <c r="O4" s="22" t="e">
        <f t="shared" ca="1" si="0"/>
        <v>#N/A</v>
      </c>
      <c r="P4" s="22" t="e">
        <f t="shared" ca="1" si="0"/>
        <v>#N/A</v>
      </c>
      <c r="Q4" s="22" t="e">
        <f t="shared" ca="1" si="0"/>
        <v>#N/A</v>
      </c>
      <c r="R4" s="22">
        <f t="shared" ca="1" si="0"/>
        <v>3.4521040753623403E-2</v>
      </c>
      <c r="S4" s="22">
        <f t="shared" ca="1" si="0"/>
        <v>6.3368333365800958E-2</v>
      </c>
      <c r="T4" s="22">
        <f t="shared" ca="1" si="0"/>
        <v>0.12131658949711699</v>
      </c>
      <c r="U4" s="22" t="e">
        <f t="shared" ca="1" si="0"/>
        <v>#N/A</v>
      </c>
      <c r="V4" s="22">
        <f t="shared" ca="1" si="0"/>
        <v>9.159609651287598E-2</v>
      </c>
      <c r="W4" s="22">
        <f t="shared" ca="1" si="0"/>
        <v>0.85514812880657198</v>
      </c>
      <c r="X4" s="22" t="e">
        <f t="shared" ca="1" si="0"/>
        <v>#N/A</v>
      </c>
      <c r="Y4" s="62" t="e">
        <f t="shared" ca="1" si="0"/>
        <v>#N/A</v>
      </c>
      <c r="Z4" s="49" t="e">
        <f>MAX(Z94:Z106)</f>
        <v>#N/A</v>
      </c>
      <c r="AA4" s="22" t="e">
        <f>MAX(AA94:AA106)</f>
        <v>#N/A</v>
      </c>
      <c r="AB4" s="71"/>
    </row>
    <row r="5" spans="2:31" x14ac:dyDescent="0.35">
      <c r="B5" s="61" t="s">
        <v>514</v>
      </c>
      <c r="C5" s="22">
        <f t="shared" ref="C5:Y5" ca="1" si="1">MIN(OFFSET(C$59,COUNT(C$59:C$250),0,-13,1))</f>
        <v>6.0356148728350566E-2</v>
      </c>
      <c r="D5" s="22">
        <f t="shared" ca="1" si="1"/>
        <v>9.7564431445571406E-3</v>
      </c>
      <c r="E5" s="22" t="e">
        <f t="shared" ca="1" si="1"/>
        <v>#N/A</v>
      </c>
      <c r="F5" s="22" t="e">
        <f t="shared" ca="1" si="1"/>
        <v>#N/A</v>
      </c>
      <c r="G5" s="22">
        <f t="shared" ca="1" si="1"/>
        <v>5.8765876643404567E-2</v>
      </c>
      <c r="H5" s="22" t="e">
        <f t="shared" ca="1" si="1"/>
        <v>#N/A</v>
      </c>
      <c r="I5" s="22" t="e">
        <f t="shared" ca="1" si="1"/>
        <v>#N/A</v>
      </c>
      <c r="J5" s="22" t="e">
        <f t="shared" ca="1" si="1"/>
        <v>#N/A</v>
      </c>
      <c r="K5" s="22" t="e">
        <f t="shared" ca="1" si="1"/>
        <v>#N/A</v>
      </c>
      <c r="L5" s="22" t="e">
        <f t="shared" ca="1" si="1"/>
        <v>#N/A</v>
      </c>
      <c r="M5" s="22">
        <f t="shared" ca="1" si="1"/>
        <v>7.4536639662625956E-2</v>
      </c>
      <c r="N5" s="22">
        <f t="shared" ca="1" si="1"/>
        <v>-1</v>
      </c>
      <c r="O5" s="22" t="e">
        <f t="shared" ca="1" si="1"/>
        <v>#N/A</v>
      </c>
      <c r="P5" s="22" t="e">
        <f t="shared" ca="1" si="1"/>
        <v>#N/A</v>
      </c>
      <c r="Q5" s="22" t="e">
        <f t="shared" ca="1" si="1"/>
        <v>#N/A</v>
      </c>
      <c r="R5" s="22">
        <f t="shared" ca="1" si="1"/>
        <v>2.3861158454679409E-2</v>
      </c>
      <c r="S5" s="22">
        <f t="shared" ca="1" si="1"/>
        <v>4.1437369827081919E-2</v>
      </c>
      <c r="T5" s="22">
        <f t="shared" ca="1" si="1"/>
        <v>5.5964205543508311E-2</v>
      </c>
      <c r="U5" s="22" t="e">
        <f t="shared" ca="1" si="1"/>
        <v>#N/A</v>
      </c>
      <c r="V5" s="22">
        <f t="shared" ca="1" si="1"/>
        <v>-1</v>
      </c>
      <c r="W5" s="22">
        <f t="shared" ca="1" si="1"/>
        <v>0.55179824265647959</v>
      </c>
      <c r="X5" s="22" t="e">
        <f t="shared" ca="1" si="1"/>
        <v>#N/A</v>
      </c>
      <c r="Y5" s="62" t="e">
        <f t="shared" ca="1" si="1"/>
        <v>#N/A</v>
      </c>
      <c r="Z5" s="49" t="e">
        <f>MIN(Z94:Z106)</f>
        <v>#N/A</v>
      </c>
      <c r="AA5" s="22" t="e">
        <f>MIN(AA94:AA106)</f>
        <v>#N/A</v>
      </c>
      <c r="AB5" s="71"/>
    </row>
    <row r="6" spans="2:31" x14ac:dyDescent="0.35">
      <c r="B6" s="61" t="s">
        <v>515</v>
      </c>
      <c r="C6" s="22">
        <f t="shared" ref="C6:Y6" ca="1" si="2">AVERAGE(OFFSET(C$59,COUNT(C$59:C$250),0,-13,1))</f>
        <v>7.7656431421489383E-2</v>
      </c>
      <c r="D6" s="22">
        <f t="shared" ca="1" si="2"/>
        <v>2.0636508467262473E-2</v>
      </c>
      <c r="E6" s="22" t="e">
        <f t="shared" ca="1" si="2"/>
        <v>#N/A</v>
      </c>
      <c r="F6" s="22" t="e">
        <f t="shared" ca="1" si="2"/>
        <v>#N/A</v>
      </c>
      <c r="G6" s="22">
        <f t="shared" ca="1" si="2"/>
        <v>7.593817631537185E-2</v>
      </c>
      <c r="H6" s="22" t="e">
        <f t="shared" ca="1" si="2"/>
        <v>#N/A</v>
      </c>
      <c r="I6" s="22" t="e">
        <f t="shared" ca="1" si="2"/>
        <v>#N/A</v>
      </c>
      <c r="J6" s="22" t="e">
        <f t="shared" ca="1" si="2"/>
        <v>#N/A</v>
      </c>
      <c r="K6" s="22" t="e">
        <f t="shared" ca="1" si="2"/>
        <v>#N/A</v>
      </c>
      <c r="L6" s="22" t="e">
        <f t="shared" ca="1" si="2"/>
        <v>#N/A</v>
      </c>
      <c r="M6" s="22">
        <f t="shared" ca="1" si="2"/>
        <v>7.9891936610243977E-2</v>
      </c>
      <c r="N6" s="22">
        <f t="shared" ca="1" si="2"/>
        <v>-0.90275132250491197</v>
      </c>
      <c r="O6" s="22" t="e">
        <f t="shared" ca="1" si="2"/>
        <v>#N/A</v>
      </c>
      <c r="P6" s="22" t="e">
        <f t="shared" ca="1" si="2"/>
        <v>#N/A</v>
      </c>
      <c r="Q6" s="22" t="e">
        <f t="shared" ca="1" si="2"/>
        <v>#N/A</v>
      </c>
      <c r="R6" s="22">
        <f t="shared" ca="1" si="2"/>
        <v>3.0708608435541022E-2</v>
      </c>
      <c r="S6" s="22">
        <f t="shared" ca="1" si="2"/>
        <v>5.3109039195782866E-2</v>
      </c>
      <c r="T6" s="22">
        <f t="shared" ca="1" si="2"/>
        <v>8.5451446134100537E-2</v>
      </c>
      <c r="U6" s="22" t="e">
        <f t="shared" ca="1" si="2"/>
        <v>#N/A</v>
      </c>
      <c r="V6" s="22">
        <f t="shared" ca="1" si="2"/>
        <v>-7.7873792562833761E-3</v>
      </c>
      <c r="W6" s="22">
        <f t="shared" ca="1" si="2"/>
        <v>0.72794005306044918</v>
      </c>
      <c r="X6" s="22" t="e">
        <f t="shared" ca="1" si="2"/>
        <v>#N/A</v>
      </c>
      <c r="Y6" s="62" t="e">
        <f t="shared" ca="1" si="2"/>
        <v>#N/A</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e">
        <f t="shared" ca="1" si="3"/>
        <v>#N/A</v>
      </c>
      <c r="F7" s="64" t="e">
        <f t="shared" ca="1" si="3"/>
        <v>#N/A</v>
      </c>
      <c r="G7" s="64" t="str">
        <f t="shared" ca="1" si="3"/>
        <v>above</v>
      </c>
      <c r="H7" s="64" t="e">
        <f t="shared" ca="1" si="3"/>
        <v>#N/A</v>
      </c>
      <c r="I7" s="64" t="e">
        <f t="shared" ca="1" si="3"/>
        <v>#N/A</v>
      </c>
      <c r="J7" s="64" t="e">
        <f t="shared" ca="1" si="3"/>
        <v>#N/A</v>
      </c>
      <c r="K7" s="64" t="e">
        <f t="shared" ca="1" si="3"/>
        <v>#N/A</v>
      </c>
      <c r="L7" s="64" t="e">
        <f t="shared" ca="1" si="3"/>
        <v>#N/A</v>
      </c>
      <c r="M7" s="64" t="str">
        <f t="shared" ca="1" si="3"/>
        <v>below</v>
      </c>
      <c r="N7" s="64" t="str">
        <f t="shared" ca="1" si="3"/>
        <v>below</v>
      </c>
      <c r="O7" s="64" t="e">
        <f t="shared" ca="1" si="3"/>
        <v>#N/A</v>
      </c>
      <c r="P7" s="64" t="e">
        <f t="shared" ca="1" si="3"/>
        <v>#N/A</v>
      </c>
      <c r="Q7" s="64" t="e">
        <f t="shared" ca="1" si="3"/>
        <v>#N/A</v>
      </c>
      <c r="R7" s="64" t="str">
        <f t="shared" ca="1" si="3"/>
        <v>above</v>
      </c>
      <c r="S7" s="64" t="str">
        <f t="shared" ca="1" si="3"/>
        <v>below</v>
      </c>
      <c r="T7" s="64" t="str">
        <f t="shared" ca="1" si="3"/>
        <v>below</v>
      </c>
      <c r="U7" s="64" t="e">
        <f t="shared" ca="1" si="3"/>
        <v>#N/A</v>
      </c>
      <c r="V7" s="64" t="str">
        <f t="shared" ca="1" si="3"/>
        <v>below</v>
      </c>
      <c r="W7" s="64" t="str">
        <f t="shared" ca="1" si="3"/>
        <v>below</v>
      </c>
      <c r="X7" s="64" t="e">
        <f t="shared" ca="1" si="3"/>
        <v>#N/A</v>
      </c>
      <c r="Y7" s="65" t="e">
        <f t="shared" ca="1" si="3"/>
        <v>#N/A</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5.8929284858169114E-3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4.8887558615184562E-3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5.4227756577626659E-3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4.3133714514997177E-3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1.897533206831097E-3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-1.3151239251390538E-3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-4.999999999999716E-4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-1.2908350709958838E-3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3.97140587768132E-4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1.5980823012384797E-3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3.8875598086124462E-3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4.9776007964161271E-3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5.7994200579941828E-3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1.0896730980705822E-2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1.9550243111831511E-2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1.5307653826913467E-2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1.8867924528301893E-2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1.3819844899582427E-2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1.3001190948789083E-2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1.5347817420769305E-2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1.5688610862873723E-2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1.376919266963844E-2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1.5309672929714604E-2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1.3449367088607589E-2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1.2866546977857491E-2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1.112767014406349E-2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1.3992905005912512E-2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1.234567901234559E-2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1.9515543787388397E-2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1.9692367982756982E-2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2.0808794660384811E-2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2.0725388601036173E-2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2.2767246433457088E-2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1.9191226867717695E-2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1.5222482435597212E-2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1.3884785819793173E-2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1.4837378402279701E-2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1.399416909620989E-2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1.7131242740998937E-2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1.2216237014236344E-2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1.2682551883166866E-2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1.0096153846153819E-2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8.3325351977780338E-3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7.2609152574759257E-3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9.6070708041118263E-3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1.3264129181084154E-2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1.36946386946388E-2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1.2296669248644422E-2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1.6533853220994925E-2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7.4755606670500394E-3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1.4654942456825797E-2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3.1401655723665265E-3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6.0123078385249272E-3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8.5526940986400458E-4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4.1027304738488124E-3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2.6565464895635781E-3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2.2503348543666921E-3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3.8127919168811906E-3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-1.0408811337470078E-2</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-1.7134697762969311E-3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-8.5419698786146723E-3</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-3.134498480243145E-3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-8.5419698786146723E-3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-2.7506402352272239E-3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-7.4888543570017629E-3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-2.8546959748786483E-3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-1.9512408182488083E-3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-2.7509011572757185E-3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-5.6710792911575927E-3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9.0064194691961072E-3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1.2024615677049854E-2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9.3735054997609191E-3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1.498477265103694E-2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1.3318112633181044E-2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1.7946053088239888E-2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1.6125972301271132E-2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1.9920623598843983E-2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1.9749335358906311E-2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2.1912119119396219E-2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1.901968205904609E-2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2.3880780138831839E-2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2.1745323331117578E-2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3.7111807299064589E-2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2.9560408124344371E-2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3.8114546279638555E-2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3.3635064316341126E-2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4.1123714586617607E-2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4.0517405364276254E-2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4.4043561235437685E-2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4.8668766103635783E-2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4.8144790181149533E-2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4.9747931132883137E-2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4.9098296386057422E-2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5.1087266166555838E-2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4.1584219784058928E-2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5.8751066047569439E-2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4.3307579129759292E-2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7.4446113405933226E-2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5.8765876643404567E-2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7.4589245705750512E-2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6.2499826322473445E-2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8.0726256983240097E-2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7.0175973818867657E-2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8.6637570805088673E-2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6.7055780572203988E-2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8.8847583643122702E-2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6.6730573417849146E-2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9.1692136704640229E-2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6.95648030029766E-2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9.9465339233038269E-2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8.5741542673393345E-2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0.10639853747714809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8.8206995520262468E-2</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0.10073710073710067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8.8038143750675049E-2</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9.2152953968829304E-2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8.118423496265291E-2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f>IF(VLOOKUP(B154,Data!$A:$AX,MATCH($O$1,Data!$A$1:$AX$1,))=0,#N/A,(VLOOKUP(B154,Data!$A:$AX,MATCH($O$1,Data!$A$1:$AX$1,),)-VLOOKUP(EDATE(B154,-12),Data!$A:$AX,MATCH($O$1,Data!$A$1:$AX$1,),))/VLOOKUP(EDATE(B154,-12),Data!$A:$AX,MATCH($O$1,Data!$A$1:$AX$1,),))</f>
        <v>5.5023606568293353E-2</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c r="B155" s="15">
        <v>44927</v>
      </c>
      <c r="C155" s="20">
        <f>IF(VLOOKUP(B155,Data!$A:$AX,MATCH($C$1,Data!$A$1:$AX$1,))=0,#N/A,(VLOOKUP(B155,Data!$A:$AX,MATCH($C$1,Data!$A$1:$AX$1,),)-VLOOKUP(EDATE(B155,-12),Data!$A:$AX,MATCH($C$1,Data!$A$1:$AX$1,),))/VLOOKUP(EDATE(B155,-12),Data!$A:$AX,MATCH($C$1,Data!$A$1:$AX$1,),))</f>
        <v>6.4101710261315017E-2</v>
      </c>
      <c r="D155" s="20">
        <f>IF(VLOOKUP(B155,Data!$A:$AX,MATCH($D$1,Data!$A$1:$AX$1,))=0,#N/A,(VLOOKUP(B155,Data!$A:$AX,MATCH($D$1,Data!$A$1:$AX$1,),)-VLOOKUP(EDATE(B155,-12),Data!$A:$AX,MATCH($D$1,Data!$A$1:$AX$1,),))/VLOOKUP(EDATE(B155,-12),Data!$A:$AX,MATCH($D$1,Data!$A$1:$AX$1,),))</f>
        <v>2.0607836150811038E-2</v>
      </c>
      <c r="E155" s="20">
        <f>IF(VLOOKUP(B155,Data!$A:$AX,MATCH($E$1,Data!$A$1:$AX$1,))=0,#N/A,(VLOOKUP(B155,Data!$A:$AX,MATCH($E$1,Data!$A$1:$AX$1,),)-VLOOKUP(EDATE(B155,-12),Data!$A:$AX,MATCH($E$1,Data!$A$1:$AX$1,),))/VLOOKUP(EDATE(B155,-12),Data!$A:$AX,MATCH($E$1,Data!$A$1:$AX$1,),))</f>
        <v>8.6638359382058036E-2</v>
      </c>
      <c r="F155" s="20" t="e">
        <f>IF(VLOOKUP(B155,Data!$A:$AX,MATCH($F$1,Data!$A$1:$AX$1,))=0,#N/A,(VLOOKUP(B155,Data!$A:$AX,MATCH($F$1,Data!$A$1:$AX$1,),)-VLOOKUP(EDATE(B155,-12),Data!$A:$AX,MATCH($F$1,Data!$A$1:$AX$1,),))/VLOOKUP(EDATE(B155,-12),Data!$A:$AX,MATCH($F$1,Data!$A$1:$AX$1,),))</f>
        <v>#N/A</v>
      </c>
      <c r="G155" s="20">
        <f>IF(VLOOKUP(B155,Data!$A:$AX,MATCH($G$1,Data!$A$1:$AX$1,))=0,#N/A,(VLOOKUP(B155,Data!$A:$AX,MATCH($G$1,Data!$A$1:$AX$1,),)-VLOOKUP(EDATE(B155,-12),Data!$A:$AX,MATCH($G$1,Data!$A$1:$AX$1,),))/VLOOKUP(EDATE(B155,-12),Data!$A:$AX,MATCH($G$1,Data!$A$1:$AX$1,),))</f>
        <v>8.6502023700147895E-2</v>
      </c>
      <c r="H155" s="20">
        <f>IF(VLOOKUP(B155,Data!$A:$AX,MATCH($H$1,Data!$A$1:$AX$1,))=0,#N/A,(VLOOKUP(B155,Data!$A:$AX,MATCH($H$1,Data!$A$1:$AX$1,),)-VLOOKUP(EDATE(B155,-12),Data!$A:$AX,MATCH($H$1,Data!$A$1:$AX$1,),))/VLOOKUP(EDATE(B155,-12),Data!$A:$AX,MATCH($H$1,Data!$A$1:$AX$1,),))</f>
        <v>5.993340732519413E-2</v>
      </c>
      <c r="I155" s="20">
        <f>IF(VLOOKUP(B155,Data!$A:$AX,MATCH($I$1,Data!$A$1:$AX$1,))=0,#N/A,(VLOOKUP(B155,Data!$A:$AX,MATCH($I$1,Data!$A$1:$AX$1,),)-VLOOKUP(EDATE(B155,-12),Data!$A:$AX,MATCH($I$1,Data!$A$1:$AX$1,),))/VLOOKUP(EDATE(B155,-12),Data!$A:$AX,MATCH($I$1,Data!$A$1:$AX$1,),))</f>
        <v>8.9005235602094265E-2</v>
      </c>
      <c r="J155" s="20">
        <f>IF(VLOOKUP(B155,Data!$A:$AX,MATCH($J$1,Data!$A$1:$AX$1,))=0,#N/A,(VLOOKUP(B155,Data!$A:$AX,MATCH($J$1,Data!$A$1:$AX$1,),)-VLOOKUP(EDATE(B155,-12),Data!$A:$AX,MATCH($J$1,Data!$A$1:$AX$1,),))/VLOOKUP(EDATE(B155,-12),Data!$A:$AX,MATCH($J$1,Data!$A$1:$AX$1,),))</f>
        <v>9.972299168975067E-2</v>
      </c>
      <c r="K155" s="20">
        <f>IF(VLOOKUP(B155,Data!$A:$AX,MATCH($K$1,Data!$A$1:$AX$1,))=0,#N/A,(VLOOKUP(B155,Data!$A:$AX,MATCH($K$1,Data!$A$1:$AX$1,),)-VLOOKUP(EDATE(B155,-12),Data!$A:$AX,MATCH($K$1,Data!$A$1:$AX$1,),))/VLOOKUP(EDATE(B155,-12),Data!$A:$AX,MATCH($K$1,Data!$A$1:$AX$1,),))</f>
        <v>5.8908630425978867E-2</v>
      </c>
      <c r="L155" s="20">
        <f>IF(VLOOKUP(B155,Data!$A:$AX,MATCH($L$1,Data!$A$1:$AX$1,))=0,#N/A,(VLOOKUP(B155,Data!$A:$AX,MATCH($L$1,Data!$A$1:$AX$1,),)-VLOOKUP(EDATE(B155,-12),Data!$A:$AX,MATCH($L$1,Data!$A$1:$AX$1,),))/VLOOKUP(EDATE(B155,-12),Data!$A:$AX,MATCH($L$1,Data!$A$1:$AX$1,),))</f>
        <v>0.11678423688999642</v>
      </c>
      <c r="M155" s="20">
        <f>IF(VLOOKUP(B155,Data!$A:$AX,MATCH($M$1,Data!$A$1:$AX$1,))=0,#N/A,(VLOOKUP(B155,Data!$A:$AX,MATCH($M$1,Data!$A$1:$AX$1,),)-VLOOKUP(EDATE(B155,-12),Data!$A:$AX,MATCH($M$1,Data!$A$1:$AX$1,),))/VLOOKUP(EDATE(B155,-12),Data!$A:$AX,MATCH($M$1,Data!$A$1:$AX$1,),))</f>
        <v>7.9100233543502582E-2</v>
      </c>
      <c r="N155" s="20">
        <f>(VLOOKUP(B155,Data!$A:$AX,MATCH($N$1,Data!$A$1:$AX$1,),)-VLOOKUP(EDATE(B155,-12),Data!$A:$AX,MATCH($N$1,Data!$A$1:$AX$1,),))/VLOOKUP(EDATE(B155,-12),Data!$A:$AX,MATCH($N$1,Data!$A$1:$AX$1,),)</f>
        <v>-1</v>
      </c>
      <c r="O155" s="20">
        <f>IF(VLOOKUP(B155,Data!$A:$AX,MATCH($O$1,Data!$A$1:$AX$1,))=0,#N/A,(VLOOKUP(B155,Data!$A:$AX,MATCH($O$1,Data!$A$1:$AX$1,),)-VLOOKUP(EDATE(B155,-12),Data!$A:$AX,MATCH($O$1,Data!$A$1:$AX$1,),))/VLOOKUP(EDATE(B155,-12),Data!$A:$AX,MATCH($O$1,Data!$A$1:$AX$1,),))</f>
        <v>6.15503713990114E-2</v>
      </c>
      <c r="P155" s="20">
        <f>IF(VLOOKUP(B155,Data!$A:$AX,MATCH($P$1,Data!$A$1:$AX$1,))=0,#N/A,(VLOOKUP(B155,Data!$A:$AX,MATCH($P$1,Data!$A$1:$AX$1,),)-VLOOKUP(EDATE(B155,-12),Data!$A:$AX,MATCH($P$1,Data!$A$1:$AX$1,),))/VLOOKUP(EDATE(B155,-12),Data!$A:$AX,MATCH($P$1,Data!$A$1:$AX$1,),))</f>
        <v>5.9187534625073687E-2</v>
      </c>
      <c r="Q155" s="20" t="e">
        <f>(VLOOKUP(B155,Data!$A:$AX,MATCH($Q$1,Data!$A$1:$AX$1,),)-VLOOKUP(EDATE(B155,-12),Data!$A:$AX,MATCH($Q$1,Data!$A$1:$AX$1,),))/VLOOKUP(EDATE(B155,-12),Data!$A:$AX,MATCH($Q$1,Data!$A$1:$AX$1,),)</f>
        <v>#N/A</v>
      </c>
      <c r="R155" s="20">
        <f>IF(VLOOKUP(B155,Data!$A:$AX,MATCH($R$1,Data!$A$1:$AX$1,))=0,#N/A,(VLOOKUP(B155,Data!$A:$AX,MATCH($R$1,Data!$A$1:$AX$1,),)-VLOOKUP(EDATE(B155,-12),Data!$A:$AX,MATCH($R$1,Data!$A$1:$AX$1,),))/VLOOKUP(EDATE(B155,-12),Data!$A:$AX,MATCH($R$1,Data!$A$1:$AX$1,),))</f>
        <v>3.2824978567883467E-2</v>
      </c>
      <c r="S155" s="20">
        <f>IF(VLOOKUP(B155,Data!$A:$AX,MATCH($S$1,Data!$A$1:$AX$1,))=0,#N/A,(VLOOKUP(B155,Data!$A:$AX,MATCH($S$1,Data!$A$1:$AX$1,),)-VLOOKUP(EDATE(B155,-12),Data!$A:$AX,MATCH($S$1,Data!$A$1:$AX$1,),))/VLOOKUP(EDATE(B155,-12),Data!$A:$AX,MATCH($S$1,Data!$A$1:$AX$1,),))</f>
        <v>5.1676488923683657E-2</v>
      </c>
      <c r="T155" s="20">
        <f>IF(VLOOKUP(B155,Data!$A:$AX,MATCH($T$1,Data!$A$1:$AX$1,))=0,#N/A,(VLOOKUP(B155,Data!$A:$AX,MATCH($T$1,Data!$A$1:$AX$1,),)-VLOOKUP(EDATE(B155,-12),Data!$A:$AX,MATCH($T$1,Data!$A$1:$AX$1,),))/VLOOKUP(EDATE(B155,-12),Data!$A:$AX,MATCH($T$1,Data!$A$1:$AX$1,),))</f>
        <v>5.7744789827906116E-2</v>
      </c>
      <c r="U155" s="20">
        <f>IF(VLOOKUP(B155,Data!$A:$AX,MATCH($U$1,Data!$A$1:$AX$1,))=0,#N/A,(VLOOKUP(B155,Data!$A:$AX,MATCH($U$1,Data!$A$1:$AX$1,),)-VLOOKUP(EDATE(B155,-12),Data!$A:$AX,MATCH($U$1,Data!$A$1:$AX$1,),))/VLOOKUP(EDATE(B155,-12),Data!$A:$AX,MATCH($U$1,Data!$A$1:$AX$1,),))</f>
        <v>6.9891861344614198E-2</v>
      </c>
      <c r="V155" s="20">
        <f>(VLOOKUP(B155,Data!$A:$AX,MATCH($V$1,Data!$A$1:$AX$1,),)-VLOOKUP(EDATE(B155,-12),Data!$A:$AX,MATCH($V$1,Data!$A$1:$AX$1,),))/VLOOKUP(EDATE(B155,-12),Data!$A:$AX,MATCH($V$1,Data!$A$1:$AX$1,),)</f>
        <v>7.7861026382832946E-2</v>
      </c>
      <c r="W155" s="20">
        <f>IF(VLOOKUP(B155,Data!$A:$AX,MATCH($W$1,Data!$A$1:$AX$1,))=0,#N/A,(VLOOKUP(B155,Data!$A:$AX,MATCH($W$1,Data!$A$1:$AX$1,),)-VLOOKUP(EDATE(B155,-12),Data!$A:$AX,MATCH($W$1,Data!$A$1:$AX$1,),))/VLOOKUP(EDATE(B155,-12),Data!$A:$AX,MATCH($W$1,Data!$A$1:$AX$1,),))</f>
        <v>0.57682482561772119</v>
      </c>
      <c r="X155" s="20">
        <f>IF(VLOOKUP(B155,Data!$A:$AX,MATCH($X$1,Data!$A$1:$AX$1,))=0,#N/A,(VLOOKUP(B155,Data!$A:$AX,MATCH($X$1,Data!$A$1:$AX$1,),)-VLOOKUP(EDATE(B155,-12),Data!$A:$AX,MATCH($X$1,Data!$A$1:$AX$1,),))/VLOOKUP(EDATE(B155,-12),Data!$A:$AX,MATCH($X$1,Data!$A$1:$AX$1,),))</f>
        <v>0.17495987158908516</v>
      </c>
      <c r="Y155" s="20" t="e">
        <f>IF(VLOOKUP(B155,Data!$A:$AX,MATCH($Y$1,Data!$A$1:$AX$1,))=0,#N/A,(VLOOKUP(B155,Data!$A:$AX,MATCH($Y$1,Data!$A$1:$AX$1,),)-VLOOKUP(EDATE(B155,-12),Data!$A:$AX,MATCH($Y$1,Data!$A$1:$AX$1,),))/VLOOKUP(EDATE(B155,-12),Data!$A:$AX,MATCH($Y$1,Data!$A$1:$AX$1,),))</f>
        <v>#N/A</v>
      </c>
    </row>
    <row r="156" spans="2:25" s="72" customFormat="1" x14ac:dyDescent="0.35">
      <c r="B156" s="15">
        <v>44958</v>
      </c>
      <c r="C156" s="20">
        <f>IF(VLOOKUP(B156,Data!$A:$AX,MATCH($C$1,Data!$A$1:$AX$1,))=0,#N/A,(VLOOKUP(B156,Data!$A:$AX,MATCH($C$1,Data!$A$1:$AX$1,),)-VLOOKUP(EDATE(B156,-12),Data!$A:$AX,MATCH($C$1,Data!$A$1:$AX$1,),))/VLOOKUP(EDATE(B156,-12),Data!$A:$AX,MATCH($C$1,Data!$A$1:$AX$1,),))</f>
        <v>6.0356148728350566E-2</v>
      </c>
      <c r="D156" s="20">
        <f>IF(VLOOKUP(B156,Data!$A:$AX,MATCH($D$1,Data!$A$1:$AX$1,))=0,#N/A,(VLOOKUP(B156,Data!$A:$AX,MATCH($D$1,Data!$A$1:$AX$1,),)-VLOOKUP(EDATE(B156,-12),Data!$A:$AX,MATCH($D$1,Data!$A$1:$AX$1,),))/VLOOKUP(EDATE(B156,-12),Data!$A:$AX,MATCH($D$1,Data!$A$1:$AX$1,),))</f>
        <v>9.7564431445571406E-3</v>
      </c>
      <c r="E156" s="20" t="e">
        <f>IF(VLOOKUP(B156,Data!$A:$AX,MATCH($E$1,Data!$A$1:$AX$1,))=0,#N/A,(VLOOKUP(B156,Data!$A:$AX,MATCH($E$1,Data!$A$1:$AX$1,),)-VLOOKUP(EDATE(B156,-12),Data!$A:$AX,MATCH($E$1,Data!$A$1:$AX$1,),))/VLOOKUP(EDATE(B156,-12),Data!$A:$AX,MATCH($E$1,Data!$A$1:$AX$1,),))</f>
        <v>#N/A</v>
      </c>
      <c r="F156" s="20" t="e">
        <f>IF(VLOOKUP(B156,Data!$A:$AX,MATCH($F$1,Data!$A$1:$AX$1,))=0,#N/A,(VLOOKUP(B156,Data!$A:$AX,MATCH($F$1,Data!$A$1:$AX$1,),)-VLOOKUP(EDATE(B156,-12),Data!$A:$AX,MATCH($F$1,Data!$A$1:$AX$1,),))/VLOOKUP(EDATE(B156,-12),Data!$A:$AX,MATCH($F$1,Data!$A$1:$AX$1,),))</f>
        <v>#N/A</v>
      </c>
      <c r="G156" s="20">
        <f>IF(VLOOKUP(B156,Data!$A:$AX,MATCH($G$1,Data!$A$1:$AX$1,))=0,#N/A,(VLOOKUP(B156,Data!$A:$AX,MATCH($G$1,Data!$A$1:$AX$1,),)-VLOOKUP(EDATE(B156,-12),Data!$A:$AX,MATCH($G$1,Data!$A$1:$AX$1,),))/VLOOKUP(EDATE(B156,-12),Data!$A:$AX,MATCH($G$1,Data!$A$1:$AX$1,),))</f>
        <v>8.6792341399555023E-2</v>
      </c>
      <c r="H156" s="20" t="e">
        <f>IF(VLOOKUP(B156,Data!$A:$AX,MATCH($H$1,Data!$A$1:$AX$1,))=0,#N/A,(VLOOKUP(B156,Data!$A:$AX,MATCH($H$1,Data!$A$1:$AX$1,),)-VLOOKUP(EDATE(B156,-12),Data!$A:$AX,MATCH($H$1,Data!$A$1:$AX$1,),))/VLOOKUP(EDATE(B156,-12),Data!$A:$AX,MATCH($H$1,Data!$A$1:$AX$1,),))</f>
        <v>#N/A</v>
      </c>
      <c r="I156" s="20" t="e">
        <f>IF(VLOOKUP(B156,Data!$A:$AX,MATCH($I$1,Data!$A$1:$AX$1,))=0,#N/A,(VLOOKUP(B156,Data!$A:$AX,MATCH($I$1,Data!$A$1:$AX$1,),)-VLOOKUP(EDATE(B156,-12),Data!$A:$AX,MATCH($I$1,Data!$A$1:$AX$1,),))/VLOOKUP(EDATE(B156,-12),Data!$A:$AX,MATCH($I$1,Data!$A$1:$AX$1,),))</f>
        <v>#N/A</v>
      </c>
      <c r="J156" s="20" t="e">
        <f>IF(VLOOKUP(B156,Data!$A:$AX,MATCH($J$1,Data!$A$1:$AX$1,))=0,#N/A,(VLOOKUP(B156,Data!$A:$AX,MATCH($J$1,Data!$A$1:$AX$1,),)-VLOOKUP(EDATE(B156,-12),Data!$A:$AX,MATCH($J$1,Data!$A$1:$AX$1,),))/VLOOKUP(EDATE(B156,-12),Data!$A:$AX,MATCH($J$1,Data!$A$1:$AX$1,),))</f>
        <v>#N/A</v>
      </c>
      <c r="K156" s="20" t="e">
        <f>IF(VLOOKUP(B156,Data!$A:$AX,MATCH($K$1,Data!$A$1:$AX$1,))=0,#N/A,(VLOOKUP(B156,Data!$A:$AX,MATCH($K$1,Data!$A$1:$AX$1,),)-VLOOKUP(EDATE(B156,-12),Data!$A:$AX,MATCH($K$1,Data!$A$1:$AX$1,),))/VLOOKUP(EDATE(B156,-12),Data!$A:$AX,MATCH($K$1,Data!$A$1:$AX$1,),))</f>
        <v>#N/A</v>
      </c>
      <c r="L156" s="20" t="e">
        <f>IF(VLOOKUP(B156,Data!$A:$AX,MATCH($L$1,Data!$A$1:$AX$1,))=0,#N/A,(VLOOKUP(B156,Data!$A:$AX,MATCH($L$1,Data!$A$1:$AX$1,),)-VLOOKUP(EDATE(B156,-12),Data!$A:$AX,MATCH($L$1,Data!$A$1:$AX$1,),))/VLOOKUP(EDATE(B156,-12),Data!$A:$AX,MATCH($L$1,Data!$A$1:$AX$1,),))</f>
        <v>#N/A</v>
      </c>
      <c r="M156" s="20">
        <f>IF(VLOOKUP(B156,Data!$A:$AX,MATCH($M$1,Data!$A$1:$AX$1,))=0,#N/A,(VLOOKUP(B156,Data!$A:$AX,MATCH($M$1,Data!$A$1:$AX$1,),)-VLOOKUP(EDATE(B156,-12),Data!$A:$AX,MATCH($M$1,Data!$A$1:$AX$1,),))/VLOOKUP(EDATE(B156,-12),Data!$A:$AX,MATCH($M$1,Data!$A$1:$AX$1,),))</f>
        <v>7.618840638433462E-2</v>
      </c>
      <c r="N156" s="20">
        <f>(VLOOKUP(B156,Data!$A:$AX,MATCH($N$1,Data!$A$1:$AX$1,),)-VLOOKUP(EDATE(B156,-12),Data!$A:$AX,MATCH($N$1,Data!$A$1:$AX$1,),))/VLOOKUP(EDATE(B156,-12),Data!$A:$AX,MATCH($N$1,Data!$A$1:$AX$1,),)</f>
        <v>-1</v>
      </c>
      <c r="O156" s="20" t="e">
        <f>IF(VLOOKUP(B156,Data!$A:$AX,MATCH($O$1,Data!$A$1:$AX$1,))=0,#N/A,(VLOOKUP(B156,Data!$A:$AX,MATCH($O$1,Data!$A$1:$AX$1,),)-VLOOKUP(EDATE(B156,-12),Data!$A:$AX,MATCH($O$1,Data!$A$1:$AX$1,),))/VLOOKUP(EDATE(B156,-12),Data!$A:$AX,MATCH($O$1,Data!$A$1:$AX$1,),))</f>
        <v>#N/A</v>
      </c>
      <c r="P156" s="20" t="e">
        <f>IF(VLOOKUP(B156,Data!$A:$AX,MATCH($P$1,Data!$A$1:$AX$1,))=0,#N/A,(VLOOKUP(B156,Data!$A:$AX,MATCH($P$1,Data!$A$1:$AX$1,),)-VLOOKUP(EDATE(B156,-12),Data!$A:$AX,MATCH($P$1,Data!$A$1:$AX$1,),))/VLOOKUP(EDATE(B156,-12),Data!$A:$AX,MATCH($P$1,Data!$A$1:$AX$1,),))</f>
        <v>#N/A</v>
      </c>
      <c r="Q156" s="20" t="e">
        <f>(VLOOKUP(B156,Data!$A:$AX,MATCH($Q$1,Data!$A$1:$AX$1,),)-VLOOKUP(EDATE(B156,-12),Data!$A:$AX,MATCH($Q$1,Data!$A$1:$AX$1,),))/VLOOKUP(EDATE(B156,-12),Data!$A:$AX,MATCH($Q$1,Data!$A$1:$AX$1,),)</f>
        <v>#N/A</v>
      </c>
      <c r="R156" s="20">
        <f>IF(VLOOKUP(B156,Data!$A:$AX,MATCH($R$1,Data!$A$1:$AX$1,))=0,#N/A,(VLOOKUP(B156,Data!$A:$AX,MATCH($R$1,Data!$A$1:$AX$1,),)-VLOOKUP(EDATE(B156,-12),Data!$A:$AX,MATCH($R$1,Data!$A$1:$AX$1,),))/VLOOKUP(EDATE(B156,-12),Data!$A:$AX,MATCH($R$1,Data!$A$1:$AX$1,),))</f>
        <v>3.3717981949254454E-2</v>
      </c>
      <c r="S156" s="20">
        <f>IF(VLOOKUP(B156,Data!$A:$AX,MATCH($S$1,Data!$A$1:$AX$1,))=0,#N/A,(VLOOKUP(B156,Data!$A:$AX,MATCH($S$1,Data!$A$1:$AX$1,),)-VLOOKUP(EDATE(B156,-12),Data!$A:$AX,MATCH($S$1,Data!$A$1:$AX$1,),))/VLOOKUP(EDATE(B156,-12),Data!$A:$AX,MATCH($S$1,Data!$A$1:$AX$1,),))</f>
        <v>4.8243045783688342E-2</v>
      </c>
      <c r="T156" s="20">
        <f>IF(VLOOKUP(B156,Data!$A:$AX,MATCH($T$1,Data!$A$1:$AX$1,))=0,#N/A,(VLOOKUP(B156,Data!$A:$AX,MATCH($T$1,Data!$A$1:$AX$1,),)-VLOOKUP(EDATE(B156,-12),Data!$A:$AX,MATCH($T$1,Data!$A$1:$AX$1,),))/VLOOKUP(EDATE(B156,-12),Data!$A:$AX,MATCH($T$1,Data!$A$1:$AX$1,),))</f>
        <v>5.5964205543508311E-2</v>
      </c>
      <c r="U156" s="20" t="e">
        <f>IF(VLOOKUP(B156,Data!$A:$AX,MATCH($U$1,Data!$A$1:$AX$1,))=0,#N/A,(VLOOKUP(B156,Data!$A:$AX,MATCH($U$1,Data!$A$1:$AX$1,),)-VLOOKUP(EDATE(B156,-12),Data!$A:$AX,MATCH($U$1,Data!$A$1:$AX$1,),))/VLOOKUP(EDATE(B156,-12),Data!$A:$AX,MATCH($U$1,Data!$A$1:$AX$1,),))</f>
        <v>#N/A</v>
      </c>
      <c r="V156" s="20">
        <f>(VLOOKUP(B156,Data!$A:$AX,MATCH($V$1,Data!$A$1:$AX$1,),)-VLOOKUP(EDATE(B156,-12),Data!$A:$AX,MATCH($V$1,Data!$A$1:$AX$1,),))/VLOOKUP(EDATE(B156,-12),Data!$A:$AX,MATCH($V$1,Data!$A$1:$AX$1,),)</f>
        <v>-1</v>
      </c>
      <c r="W156" s="20">
        <f>IF(VLOOKUP(B156,Data!$A:$AX,MATCH($W$1,Data!$A$1:$AX$1,))=0,#N/A,(VLOOKUP(B156,Data!$A:$AX,MATCH($W$1,Data!$A$1:$AX$1,),)-VLOOKUP(EDATE(B156,-12),Data!$A:$AX,MATCH($W$1,Data!$A$1:$AX$1,),))/VLOOKUP(EDATE(B156,-12),Data!$A:$AX,MATCH($W$1,Data!$A$1:$AX$1,),))</f>
        <v>0.55179824265647959</v>
      </c>
      <c r="X156" s="20" t="e">
        <f>IF(VLOOKUP(B156,Data!$A:$AX,MATCH($X$1,Data!$A$1:$AX$1,))=0,#N/A,(VLOOKUP(B156,Data!$A:$AX,MATCH($X$1,Data!$A$1:$AX$1,),)-VLOOKUP(EDATE(B156,-12),Data!$A:$AX,MATCH($X$1,Data!$A$1:$AX$1,),))/VLOOKUP(EDATE(B156,-12),Data!$A:$AX,MATCH($X$1,Data!$A$1:$AX$1,),))</f>
        <v>#N/A</v>
      </c>
      <c r="Y156" s="20" t="e">
        <f>IF(VLOOKUP(B156,Data!$A:$AX,MATCH($Y$1,Data!$A$1:$AX$1,))=0,#N/A,(VLOOKUP(B156,Data!$A:$AX,MATCH($Y$1,Data!$A$1:$AX$1,),)-VLOOKUP(EDATE(B156,-12),Data!$A:$AX,MATCH($Y$1,Data!$A$1:$AX$1,),))/VLOOKUP(EDATE(B156,-12),Data!$A:$AX,MATCH($Y$1,Data!$A$1:$AX$1,),))</f>
        <v>#N/A</v>
      </c>
    </row>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6">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6">
    <cfRule type="colorScale" priority="1">
      <colorScale>
        <cfvo type="min"/>
        <cfvo type="percentile" val="50"/>
        <cfvo type="max"/>
        <color rgb="FFF8696B"/>
        <color rgb="FFFFEB84"/>
        <color rgb="FF63BE7B"/>
      </colorScale>
    </cfRule>
  </conditionalFormatting>
  <conditionalFormatting sqref="E59:AA59 Z60:AA106 E60:Y156">
    <cfRule type="colorScale" priority="24">
      <colorScale>
        <cfvo type="min"/>
        <cfvo type="percentile" val="50"/>
        <cfvo type="max"/>
        <color rgb="FFF8696B"/>
        <color rgb="FFFFEB84"/>
        <color rgb="FF63BE7B"/>
      </colorScale>
    </cfRule>
  </conditionalFormatting>
  <conditionalFormatting sqref="O15:O156">
    <cfRule type="colorScale" priority="23">
      <colorScale>
        <cfvo type="min"/>
        <cfvo type="percentile" val="50"/>
        <cfvo type="max"/>
        <color rgb="FFF8696B"/>
        <color rgb="FFFFEB84"/>
        <color rgb="FF63BE7B"/>
      </colorScale>
    </cfRule>
  </conditionalFormatting>
  <conditionalFormatting sqref="O59:O156">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6">
    <cfRule type="colorScale" priority="21">
      <colorScale>
        <cfvo type="min"/>
        <cfvo type="percentile" val="50"/>
        <cfvo type="max"/>
        <color rgb="FFF8696B"/>
        <color rgb="FFFFEB84"/>
        <color rgb="FF63BE7B"/>
      </colorScale>
    </cfRule>
  </conditionalFormatting>
  <conditionalFormatting sqref="F59:F156">
    <cfRule type="colorScale" priority="19">
      <colorScale>
        <cfvo type="min"/>
        <cfvo type="percentile" val="50"/>
        <cfvo type="max"/>
        <color rgb="FFF8696B"/>
        <color rgb="FFFFEB84"/>
        <color rgb="FF63BE7B"/>
      </colorScale>
    </cfRule>
  </conditionalFormatting>
  <conditionalFormatting sqref="G59:G156">
    <cfRule type="colorScale" priority="18">
      <colorScale>
        <cfvo type="min"/>
        <cfvo type="percentile" val="50"/>
        <cfvo type="max"/>
        <color rgb="FFF8696B"/>
        <color rgb="FFFFEB84"/>
        <color rgb="FF63BE7B"/>
      </colorScale>
    </cfRule>
  </conditionalFormatting>
  <conditionalFormatting sqref="H59:H156">
    <cfRule type="colorScale" priority="17">
      <colorScale>
        <cfvo type="min"/>
        <cfvo type="percentile" val="50"/>
        <cfvo type="max"/>
        <color rgb="FFF8696B"/>
        <color rgb="FFFFEB84"/>
        <color rgb="FF63BE7B"/>
      </colorScale>
    </cfRule>
  </conditionalFormatting>
  <conditionalFormatting sqref="I59:I156">
    <cfRule type="colorScale" priority="16">
      <colorScale>
        <cfvo type="min"/>
        <cfvo type="percentile" val="50"/>
        <cfvo type="max"/>
        <color rgb="FFF8696B"/>
        <color rgb="FFFFEB84"/>
        <color rgb="FF63BE7B"/>
      </colorScale>
    </cfRule>
  </conditionalFormatting>
  <conditionalFormatting sqref="J59:J156">
    <cfRule type="colorScale" priority="15">
      <colorScale>
        <cfvo type="min"/>
        <cfvo type="percentile" val="50"/>
        <cfvo type="max"/>
        <color rgb="FFF8696B"/>
        <color rgb="FFFFEB84"/>
        <color rgb="FF63BE7B"/>
      </colorScale>
    </cfRule>
  </conditionalFormatting>
  <conditionalFormatting sqref="K59:K156">
    <cfRule type="colorScale" priority="14">
      <colorScale>
        <cfvo type="min"/>
        <cfvo type="percentile" val="50"/>
        <cfvo type="max"/>
        <color rgb="FFF8696B"/>
        <color rgb="FFFFEB84"/>
        <color rgb="FF63BE7B"/>
      </colorScale>
    </cfRule>
  </conditionalFormatting>
  <conditionalFormatting sqref="L59:L156">
    <cfRule type="colorScale" priority="13">
      <colorScale>
        <cfvo type="min"/>
        <cfvo type="percentile" val="50"/>
        <cfvo type="max"/>
        <color rgb="FFF8696B"/>
        <color rgb="FFFFEB84"/>
        <color rgb="FF63BE7B"/>
      </colorScale>
    </cfRule>
  </conditionalFormatting>
  <conditionalFormatting sqref="M59:M156">
    <cfRule type="colorScale" priority="12">
      <colorScale>
        <cfvo type="min"/>
        <cfvo type="percentile" val="50"/>
        <cfvo type="max"/>
        <color rgb="FFF8696B"/>
        <color rgb="FFFFEB84"/>
        <color rgb="FF63BE7B"/>
      </colorScale>
    </cfRule>
  </conditionalFormatting>
  <conditionalFormatting sqref="P59:P156">
    <cfRule type="colorScale" priority="11">
      <colorScale>
        <cfvo type="min"/>
        <cfvo type="percentile" val="50"/>
        <cfvo type="max"/>
        <color rgb="FFF8696B"/>
        <color rgb="FFFFEB84"/>
        <color rgb="FF63BE7B"/>
      </colorScale>
    </cfRule>
  </conditionalFormatting>
  <conditionalFormatting sqref="R59:R156">
    <cfRule type="colorScale" priority="10">
      <colorScale>
        <cfvo type="min"/>
        <cfvo type="percentile" val="50"/>
        <cfvo type="max"/>
        <color rgb="FFF8696B"/>
        <color rgb="FFFFEB84"/>
        <color rgb="FF63BE7B"/>
      </colorScale>
    </cfRule>
  </conditionalFormatting>
  <conditionalFormatting sqref="S59:S156">
    <cfRule type="colorScale" priority="9">
      <colorScale>
        <cfvo type="min"/>
        <cfvo type="percentile" val="50"/>
        <cfvo type="max"/>
        <color rgb="FFF8696B"/>
        <color rgb="FFFFEB84"/>
        <color rgb="FF63BE7B"/>
      </colorScale>
    </cfRule>
  </conditionalFormatting>
  <conditionalFormatting sqref="T59:T156">
    <cfRule type="colorScale" priority="8">
      <colorScale>
        <cfvo type="min"/>
        <cfvo type="percentile" val="50"/>
        <cfvo type="max"/>
        <color rgb="FFF8696B"/>
        <color rgb="FFFFEB84"/>
        <color rgb="FF63BE7B"/>
      </colorScale>
    </cfRule>
  </conditionalFormatting>
  <conditionalFormatting sqref="U59:U156">
    <cfRule type="colorScale" priority="7">
      <colorScale>
        <cfvo type="min"/>
        <cfvo type="percentile" val="50"/>
        <cfvo type="max"/>
        <color rgb="FFF8696B"/>
        <color rgb="FFFFEB84"/>
        <color rgb="FF63BE7B"/>
      </colorScale>
    </cfRule>
  </conditionalFormatting>
  <conditionalFormatting sqref="W59:W156">
    <cfRule type="colorScale" priority="6">
      <colorScale>
        <cfvo type="min"/>
        <cfvo type="percentile" val="50"/>
        <cfvo type="max"/>
        <color rgb="FFF8696B"/>
        <color rgb="FFFFEB84"/>
        <color rgb="FF63BE7B"/>
      </colorScale>
    </cfRule>
  </conditionalFormatting>
  <conditionalFormatting sqref="X59:X156">
    <cfRule type="colorScale" priority="5">
      <colorScale>
        <cfvo type="min"/>
        <cfvo type="percentile" val="50"/>
        <cfvo type="max"/>
        <color rgb="FFF8696B"/>
        <color rgb="FFFFEB84"/>
        <color rgb="FF63BE7B"/>
      </colorScale>
    </cfRule>
  </conditionalFormatting>
  <conditionalFormatting sqref="Y59:Y156">
    <cfRule type="colorScale" priority="4">
      <colorScale>
        <cfvo type="min"/>
        <cfvo type="percentile" val="50"/>
        <cfvo type="max"/>
        <color rgb="FFF8696B"/>
        <color rgb="FFFFEB84"/>
        <color rgb="FF63BE7B"/>
      </colorScale>
    </cfRule>
  </conditionalFormatting>
  <conditionalFormatting sqref="C59:C156">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Normal="100" workbookViewId="0">
      <pane xSplit="2" ySplit="9" topLeftCell="C144" activePane="bottomRight" state="frozen"/>
      <selection activeCell="M12" sqref="M12"/>
      <selection pane="topRight" activeCell="M12" sqref="M12"/>
      <selection pane="bottomLeft" activeCell="M12" sqref="M12"/>
      <selection pane="bottomRight" activeCell="AC151" sqref="AC151"/>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44958</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t="e">
        <f t="shared" ca="1" si="0"/>
        <v>#N/A</v>
      </c>
      <c r="F4" s="22" t="e">
        <f t="shared" ca="1" si="0"/>
        <v>#N/A</v>
      </c>
      <c r="G4" s="22">
        <f t="shared" ca="1" si="0"/>
        <v>5.8639948636008792E-2</v>
      </c>
      <c r="H4" s="22" t="e">
        <f t="shared" ca="1" si="0"/>
        <v>#N/A</v>
      </c>
      <c r="I4" s="22" t="e">
        <f t="shared" ca="1" si="0"/>
        <v>#N/A</v>
      </c>
      <c r="J4" s="22" t="e">
        <f t="shared" ca="1" si="0"/>
        <v>#N/A</v>
      </c>
      <c r="K4" s="22" t="e">
        <f t="shared" ca="1" si="0"/>
        <v>#N/A</v>
      </c>
      <c r="L4" s="22" t="e">
        <f t="shared" ca="1" si="0"/>
        <v>#N/A</v>
      </c>
      <c r="M4" s="22">
        <f t="shared" ca="1" si="0"/>
        <v>6.6332856309621296E-2</v>
      </c>
      <c r="N4" s="22" t="e">
        <f t="shared" ca="1" si="0"/>
        <v>#DIV/0!</v>
      </c>
      <c r="O4" s="22" t="e">
        <f t="shared" ca="1" si="0"/>
        <v>#DIV/0!</v>
      </c>
      <c r="P4" s="22" t="e">
        <f t="shared" ca="1" si="0"/>
        <v>#N/A</v>
      </c>
      <c r="Q4" s="22" t="e">
        <f t="shared" ca="1" si="0"/>
        <v>#N/A</v>
      </c>
      <c r="R4" s="22">
        <f t="shared" ca="1" si="0"/>
        <v>2.0456025799891919E-2</v>
      </c>
      <c r="S4" s="22">
        <f t="shared" ca="1" si="0"/>
        <v>4.2524105853663577E-2</v>
      </c>
      <c r="T4" s="22" t="e">
        <f t="shared" ca="1" si="0"/>
        <v>#DIV/0!</v>
      </c>
      <c r="U4" s="22" t="e">
        <f t="shared" ca="1" si="0"/>
        <v>#N/A</v>
      </c>
      <c r="V4" s="22">
        <f t="shared" ca="1" si="0"/>
        <v>5.6115717427105374E-2</v>
      </c>
      <c r="W4" s="22">
        <f t="shared" ca="1" si="0"/>
        <v>0.71718986218556846</v>
      </c>
      <c r="X4" s="22" t="e">
        <f t="shared" ca="1" si="0"/>
        <v>#N/A</v>
      </c>
      <c r="Y4" s="22" t="e">
        <f t="shared" ca="1" si="0"/>
        <v>#N/A</v>
      </c>
      <c r="Z4" s="22" t="e">
        <f>MAX(Z94:Z106)</f>
        <v>#N/A</v>
      </c>
      <c r="AA4" s="22" t="e">
        <f>MAX(AA94:AA106)</f>
        <v>#N/A</v>
      </c>
      <c r="AB4" s="12"/>
    </row>
    <row r="5" spans="2:34" x14ac:dyDescent="0.35">
      <c r="B5" s="3" t="s">
        <v>514</v>
      </c>
      <c r="C5" s="22">
        <f t="shared" ref="C5:Y5" ca="1" si="1">MIN(OFFSET(C$59,COUNT(C$59:C$250),0,-13,1))</f>
        <v>5.5378159387443573E-2</v>
      </c>
      <c r="D5" s="22" t="e">
        <f t="shared" ca="1" si="1"/>
        <v>#DIV/0!</v>
      </c>
      <c r="E5" s="22" t="e">
        <f t="shared" ca="1" si="1"/>
        <v>#N/A</v>
      </c>
      <c r="F5" s="22" t="e">
        <f t="shared" ca="1" si="1"/>
        <v>#N/A</v>
      </c>
      <c r="G5" s="22">
        <f t="shared" ca="1" si="1"/>
        <v>3.2495077775807839E-2</v>
      </c>
      <c r="H5" s="22" t="e">
        <f t="shared" ca="1" si="1"/>
        <v>#N/A</v>
      </c>
      <c r="I5" s="22" t="e">
        <f t="shared" ca="1" si="1"/>
        <v>#N/A</v>
      </c>
      <c r="J5" s="22" t="e">
        <f t="shared" ca="1" si="1"/>
        <v>#N/A</v>
      </c>
      <c r="K5" s="22" t="e">
        <f t="shared" ca="1" si="1"/>
        <v>#N/A</v>
      </c>
      <c r="L5" s="22" t="e">
        <f t="shared" ca="1" si="1"/>
        <v>#N/A</v>
      </c>
      <c r="M5" s="22">
        <f t="shared" ca="1" si="1"/>
        <v>5.4704444464488709E-2</v>
      </c>
      <c r="N5" s="22" t="e">
        <f t="shared" ca="1" si="1"/>
        <v>#DIV/0!</v>
      </c>
      <c r="O5" s="22" t="e">
        <f t="shared" ca="1" si="1"/>
        <v>#DIV/0!</v>
      </c>
      <c r="P5" s="22" t="e">
        <f t="shared" ca="1" si="1"/>
        <v>#N/A</v>
      </c>
      <c r="Q5" s="22" t="e">
        <f t="shared" ca="1" si="1"/>
        <v>#N/A</v>
      </c>
      <c r="R5" s="22">
        <f t="shared" ca="1" si="1"/>
        <v>1.5425409704809623E-2</v>
      </c>
      <c r="S5" s="22">
        <f t="shared" ca="1" si="1"/>
        <v>2.8764324736850609E-2</v>
      </c>
      <c r="T5" s="22" t="e">
        <f t="shared" ca="1" si="1"/>
        <v>#DIV/0!</v>
      </c>
      <c r="U5" s="22" t="e">
        <f t="shared" ca="1" si="1"/>
        <v>#N/A</v>
      </c>
      <c r="V5" s="22">
        <f t="shared" ca="1" si="1"/>
        <v>-1</v>
      </c>
      <c r="W5" s="22">
        <f t="shared" ca="1" si="1"/>
        <v>0.48652055572169312</v>
      </c>
      <c r="X5" s="22" t="e">
        <f t="shared" ca="1" si="1"/>
        <v>#N/A</v>
      </c>
      <c r="Y5" s="22" t="e">
        <f t="shared" ca="1" si="1"/>
        <v>#N/A</v>
      </c>
      <c r="Z5" s="22" t="e">
        <f>MIN(Z94:Z106)</f>
        <v>#N/A</v>
      </c>
      <c r="AA5" s="22" t="e">
        <f>MIN(AA94:AA106)</f>
        <v>#N/A</v>
      </c>
      <c r="AB5" s="12"/>
    </row>
    <row r="6" spans="2:34" x14ac:dyDescent="0.35">
      <c r="B6" s="3" t="s">
        <v>515</v>
      </c>
      <c r="C6" s="22">
        <f t="shared" ref="C6:Y6" ca="1" si="2">AVERAGE(OFFSET(C$59,COUNT(C$59:C$250),0,-13,1))</f>
        <v>6.0423208638594211E-2</v>
      </c>
      <c r="D6" s="22" t="e">
        <f t="shared" ca="1" si="2"/>
        <v>#DIV/0!</v>
      </c>
      <c r="E6" s="22" t="e">
        <f t="shared" ca="1" si="2"/>
        <v>#N/A</v>
      </c>
      <c r="F6" s="22" t="e">
        <f t="shared" ca="1" si="2"/>
        <v>#N/A</v>
      </c>
      <c r="G6" s="22">
        <f t="shared" ca="1" si="2"/>
        <v>4.4338009966123249E-2</v>
      </c>
      <c r="H6" s="22" t="e">
        <f t="shared" ca="1" si="2"/>
        <v>#N/A</v>
      </c>
      <c r="I6" s="22" t="e">
        <f t="shared" ca="1" si="2"/>
        <v>#N/A</v>
      </c>
      <c r="J6" s="22" t="e">
        <f t="shared" ca="1" si="2"/>
        <v>#N/A</v>
      </c>
      <c r="K6" s="22" t="e">
        <f t="shared" ca="1" si="2"/>
        <v>#N/A</v>
      </c>
      <c r="L6" s="22" t="e">
        <f t="shared" ca="1" si="2"/>
        <v>#N/A</v>
      </c>
      <c r="M6" s="22">
        <f t="shared" ca="1" si="2"/>
        <v>6.2123682661242109E-2</v>
      </c>
      <c r="N6" s="22" t="e">
        <f t="shared" ca="1" si="2"/>
        <v>#DIV/0!</v>
      </c>
      <c r="O6" s="22" t="e">
        <f t="shared" ca="1" si="2"/>
        <v>#DIV/0!</v>
      </c>
      <c r="P6" s="22" t="e">
        <f t="shared" ca="1" si="2"/>
        <v>#N/A</v>
      </c>
      <c r="Q6" s="22" t="e">
        <f t="shared" ca="1" si="2"/>
        <v>#N/A</v>
      </c>
      <c r="R6" s="22">
        <f t="shared" ca="1" si="2"/>
        <v>1.8123214049305381E-2</v>
      </c>
      <c r="S6" s="22">
        <f t="shared" ca="1" si="2"/>
        <v>3.8122789279119246E-2</v>
      </c>
      <c r="T6" s="22" t="e">
        <f t="shared" ca="1" si="2"/>
        <v>#DIV/0!</v>
      </c>
      <c r="U6" s="22" t="e">
        <f t="shared" ca="1" si="2"/>
        <v>#N/A</v>
      </c>
      <c r="V6" s="22">
        <f t="shared" ca="1" si="2"/>
        <v>-3.8519194081080087E-2</v>
      </c>
      <c r="W6" s="22">
        <f t="shared" ca="1" si="2"/>
        <v>0.60151059489151504</v>
      </c>
      <c r="X6" s="22" t="e">
        <f t="shared" ca="1" si="2"/>
        <v>#N/A</v>
      </c>
      <c r="Y6" s="22" t="e">
        <f t="shared" ca="1" si="2"/>
        <v>#N/A</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e">
        <f t="shared" ca="1" si="3"/>
        <v>#N/A</v>
      </c>
      <c r="F7" s="23" t="e">
        <f t="shared" ca="1" si="3"/>
        <v>#N/A</v>
      </c>
      <c r="G7" s="23" t="str">
        <f t="shared" ca="1" si="3"/>
        <v>above</v>
      </c>
      <c r="H7" s="23" t="e">
        <f t="shared" ca="1" si="3"/>
        <v>#N/A</v>
      </c>
      <c r="I7" s="23" t="e">
        <f t="shared" ca="1" si="3"/>
        <v>#N/A</v>
      </c>
      <c r="J7" s="23" t="e">
        <f t="shared" ca="1" si="3"/>
        <v>#N/A</v>
      </c>
      <c r="K7" s="23" t="e">
        <f t="shared" ca="1" si="3"/>
        <v>#N/A</v>
      </c>
      <c r="L7" s="23" t="e">
        <f t="shared" ca="1" si="3"/>
        <v>#N/A</v>
      </c>
      <c r="M7" s="23" t="str">
        <f t="shared" ca="1" si="3"/>
        <v>above</v>
      </c>
      <c r="N7" s="23" t="e">
        <f t="shared" ca="1" si="3"/>
        <v>#DIV/0!</v>
      </c>
      <c r="O7" s="23" t="e">
        <f t="shared" ca="1" si="3"/>
        <v>#DIV/0!</v>
      </c>
      <c r="P7" s="23" t="e">
        <f t="shared" ca="1" si="3"/>
        <v>#N/A</v>
      </c>
      <c r="Q7" s="23" t="e">
        <f t="shared" ca="1" si="3"/>
        <v>#N/A</v>
      </c>
      <c r="R7" s="23" t="str">
        <f t="shared" ca="1" si="3"/>
        <v>above</v>
      </c>
      <c r="S7" s="23" t="str">
        <f t="shared" ca="1" si="3"/>
        <v>above</v>
      </c>
      <c r="T7" s="23" t="e">
        <f t="shared" ca="1" si="3"/>
        <v>#DIV/0!</v>
      </c>
      <c r="U7" s="23" t="e">
        <f t="shared" ca="1" si="3"/>
        <v>#N/A</v>
      </c>
      <c r="V7" s="23" t="str">
        <f t="shared" ca="1" si="3"/>
        <v>below</v>
      </c>
      <c r="W7" s="23" t="str">
        <f t="shared" ca="1" si="3"/>
        <v>below</v>
      </c>
      <c r="X7" s="23" t="e">
        <f t="shared" ca="1" si="3"/>
        <v>#N/A</v>
      </c>
      <c r="Y7" s="23" t="e">
        <f t="shared" ca="1" si="3"/>
        <v>#N/A</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1.0232751970906385E-2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-1.1996314948534599E-2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1.0031954881462826E-2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-1.0013136054865318E-2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6.5577078288941836E-3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9.9965019202861941E-3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-1.4139672300955699E-2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9.2583274630170243E-3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1.7725472806976145E-2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-1.3924976394621442E-2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1.2695214105793502E-2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2.0143014248696908E-2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-1.3957971358711947E-2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1.8353797391386727E-2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-1.5510745001751694E-2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1.4001623376623331E-2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1.8484612464950281E-2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-1.4633986480246249E-2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1.3855177993527555E-2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2.0116965737366453E-2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-1.1220262614391453E-2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1.307583987125324E-2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1.9596464908566424E-2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-1.1542174761920709E-2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1.4482550538066958E-2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2.1980623982448919E-2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-4.9674386264020008E-3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8.9582284851535045E-3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1.063545482040754E-2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-4.6496945535835447E-3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9.0270812437311075E-3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9.5236004912418858E-3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-1.9094405072327052E-3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1.2660185351892651E-2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-9.221979208204046E-3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1.1231765621834502E-2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5.4545672461056988E-3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1.4015383262779915E-2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-4.4634284423669401E-3</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7.2788912154750198E-3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9.0089206194616939E-3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3.4558903621265591E-4</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7.9594070241766693E-3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1.2858733881594012E-2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4.4276710450310029E-4</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7.8552252162673395E-3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1.1799934300585901E-2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2.7547171681626707E-3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8.6051630978587097E-3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1.3854451675016144E-2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-7.1949689337707148E-3</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7.880299251870386E-3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1.1345527387038161E-2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3.6866278524282851E-4</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7.8435266084194433E-3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1.1277520096953743E-2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-9.3609771077053704E-4</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1.1217511616720145E-2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-4.2796245063774739E-3</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7.9808459696728996E-3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1.1700175715824698E-2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-8.6880942740257747E-3</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8.5487077534791202E-3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1.3385898232467091E-2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-4.5405009114687358E-3</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8.5997571833265306E-3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9.8600952497722941E-3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-4.5094863860668426E-3</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8.2627972591697643E-3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1.0441023058383379E-2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-6.8229161466376769E-3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8.9362774372883612E-3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2.5225596184578047E-3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1.2472777667788608E-2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1.3742083418911198E-2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1.967890130753742E-3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9.1797453360970543E-3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1.0141977818926989E-2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4.6035391705436619E-3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1.1937647987371682E-2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1.4856678202672502E-2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7.865803869931973E-3</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1.3739683710636701E-2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1.0137084115363754E-2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1.4172589071398239E-2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6.0395143323396403E-3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1.4380877319888108E-2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3.2640434676991584E-3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1.0320188709780239E-2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6.1476730135789723E-3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1.2397074405200652E-2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6.6947858739967022E-3</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9.1661738616204101E-3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1.2635331098030727E-2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2.8095786428232977E-3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9.8304744708597059E-3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1.3191374786262301E-2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6.7576066209222357E-4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9.9940035978412951E-3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1.2794534880386132E-2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5.0126228561405122E-3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1.1034482758620734E-2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1.4950335976968305E-2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4.4861154726053512E-5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7.3328118889323425E-3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1.0625397008719751E-2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2.8205693104277406E-3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1.2323943661971882E-2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1.5844384013539277E-2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1.4349970216104904E-3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9.554450619089442E-3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1.1650090820339055E-2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5.502422144650018E-4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1.2246114483510111E-2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-3.6564829487904398E-3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1.1933559571115087E-2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2.8100009251695574E-4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9.4468250876509428E-3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1.1575173801771718E-2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1.9271497849993368E-3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1.6326934782545339E-2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3.1427363874688818E-3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1.2353737880301079E-2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2.034703893619851E-3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9.2782498290848985E-3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1.1908163404142875E-2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6.3983723699880925E-3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1.1125459421873493E-2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1.3193196883997125E-2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2.8944528632179754E-3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9.8951118147635065E-3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1.2820375120465658E-2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2.4385902129354822E-3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7.698304424088794E-3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9.5423637355302356E-3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4.5806168630500785E-3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1.2908861496651445E-2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1.8844443755756383E-2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5.0459971903193384E-3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7.8260869565217606E-3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1.1706357985621463E-2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2.320708625449335E-3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1.1202317720907741E-2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1.594698116562614E-2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3.4947143058801085E-3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1.6233542757283601E-2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9.3576698377336159E-3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1.4254963201748854E-2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7.2637894255598405E-3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1.0226724553786667E-2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1.5530843603056232E-2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7.0634746061133654E-3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1.5877428013315553E-2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3.5335862561368097E-3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1.3019821220365366E-2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1.6395167455616692E-2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9.6103116369943096E-3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1.2966905360944489E-2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1.6878423297487292E-2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6.4030562685950124E-3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1.0904804008252278E-2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1.4682227052850308E-2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6.267423285153991E-3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1.2149715853419507E-2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1.3308833382660994E-2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2.6731643441644175E-3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1.0347161783193186E-2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1.3315561338810851E-2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1.0379712920559538E-2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8.5281717133001197E-3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6.6491320957741216E-3</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-6.0185221489462797E-4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9.0116000383472124E-3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8.0159653766582132E-3</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3.4853872316732062E-3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8.3086620189094119E-3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3.1135995519293823E-3</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-1.321999028990594E-2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1.1721752498078391E-2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-8.0148632440440216E-3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-1.2191210137490999E-2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-6.0099493864294324E-3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-1.3586128612827014E-2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-5.2924305715806976E-3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-1.4624356493053634E-2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2.1940284269770485E-3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-5.1301483662225733E-3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-1.2686100484720039E-2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2.5896796470362173E-3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2.7313452255116537E-3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-1.7181611543510954E-2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2.2927015666793548E-3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-2.0532969394163859E-3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-1.8827287514453186E-2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1.4188532555879433E-2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1.3710520492334895E-2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-1.2284404212309837E-2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1.1132623426911962E-2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1.5801751712038768E-2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-9.0883721440353747E-3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9.3797856049003606E-3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1.487265202918653E-2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-2.712535418068256E-2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7.4109263657957357E-3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1.3689174438061068E-2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-1.4868032601979147E-2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9.5011876484560574E-3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1.5380015412084631E-2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-1.6745205479452005E-2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8.9032013638946552E-3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1.888109315860997E-2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-4.7092295751891729E-3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7.1225071225071226E-3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2.8702566607080961E-2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-5.1046968147363545E-3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1.5566803552669371E-2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2.8661107494079251E-2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-3.2808674890049809E-3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1.86791194129419E-2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3.0996528691792133E-2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1.0268012011485678E-3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2.0559680182752681E-2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3.1468885064282678E-2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1.9517001300472553E-3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3.2872498311766037E-2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6.0991084774099586E-3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2.6210446054136485E-2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3.5085760038462595E-2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9.7550647840962609E-3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2.2614028363357602E-2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2.6899618542557836E-2</v>
      </c>
      <c r="H143" s="20">
        <f>IF(VLOOKUP(B143,'Data Core CPI'!$A:$AX,MATCH($H$1,'Data Core CPI'!$A$1:$AX$1,),)=0,#N/A,(VLOOKUP(B143,'Data Core CPI'!$A:$AX,MATCH($H$1,'Data Core CPI'!$A$1:$AX$1,),)-VLOOKUP(EDATE(B143,-12),'Data Core CPI'!$A:$AX,MATCH($H$1,'Data Core CPI'!$A$1:$AX$1,),))/VLOOKUP(EDATE(B143,-12),'Data Core CPI'!$A:$AX,MATCH($H$1,'Data Core CPI'!$A$1:$AX$1,),))</f>
        <v>1.2948174596914667E-2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1.2035958335201173E-2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2.7285782671134459E-2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2.6967439203143227E-2</v>
      </c>
      <c r="H144" s="20">
        <f>IF(VLOOKUP(B144,'Data Core CPI'!$A:$AX,MATCH($H$1,'Data Core CPI'!$A$1:$AX$1,),)=0,#N/A,(VLOOKUP(B144,'Data Core CPI'!$A:$AX,MATCH($H$1,'Data Core CPI'!$A$1:$AX$1,),)-VLOOKUP(EDATE(B144,-12),'Data Core CPI'!$A:$AX,MATCH($H$1,'Data Core CPI'!$A$1:$AX$1,),))/VLOOKUP(EDATE(B144,-12),'Data Core CPI'!$A:$AX,MATCH($H$1,'Data Core CPI'!$A$1:$AX$1,),))</f>
        <v>1.9785490126531573E-2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1.1713924885805645E-2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2.9679499336241321E-2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3.2495077775807839E-2</v>
      </c>
      <c r="H145" s="20">
        <f>IF(VLOOKUP(B145,'Data Core CPI'!$A:$AX,MATCH($H$1,'Data Core CPI'!$A$1:$AX$1,),)=0,#N/A,(VLOOKUP(B145,'Data Core CPI'!$A:$AX,MATCH($H$1,'Data Core CPI'!$A$1:$AX$1,),)-VLOOKUP(EDATE(B145,-12),'Data Core CPI'!$A:$AX,MATCH($H$1,'Data Core CPI'!$A$1:$AX$1,),))/VLOOKUP(EDATE(B145,-12),'Data Core CPI'!$A:$AX,MATCH($H$1,'Data Core CPI'!$A$1:$AX$1,),))</f>
        <v>2.0200887293754004E-2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1.743318862629532E-2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3.4990097142318155E-2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3.6674121968236856E-2</v>
      </c>
      <c r="H146" s="20">
        <f>IF(VLOOKUP(B146,'Data Core CPI'!$A:$AX,MATCH($H$1,'Data Core CPI'!$A$1:$AX$1,),)=0,#N/A,(VLOOKUP(B146,'Data Core CPI'!$A:$AX,MATCH($H$1,'Data Core CPI'!$A$1:$AX$1,),)-VLOOKUP(EDATE(B146,-12),'Data Core CPI'!$A:$AX,MATCH($H$1,'Data Core CPI'!$A$1:$AX$1,),))/VLOOKUP(EDATE(B146,-12),'Data Core CPI'!$A:$AX,MATCH($H$1,'Data Core CPI'!$A$1:$AX$1,),))</f>
        <v>2.5976029201835737E-2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1.7498812737016981E-2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3.7741176470588285E-2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3.9867609587622206E-2</v>
      </c>
      <c r="H147" s="20">
        <f>IF(VLOOKUP(B147,'Data Core CPI'!$A:$AX,MATCH($H$1,'Data Core CPI'!$A$1:$AX$1,),)=0,#N/A,(VLOOKUP(B147,'Data Core CPI'!$A:$AX,MATCH($H$1,'Data Core CPI'!$A$1:$AX$1,),)-VLOOKUP(EDATE(B147,-12),'Data Core CPI'!$A:$AX,MATCH($H$1,'Data Core CPI'!$A$1:$AX$1,),))/VLOOKUP(EDATE(B147,-12),'Data Core CPI'!$A:$AX,MATCH($H$1,'Data Core CPI'!$A$1:$AX$1,),))</f>
        <v>2.8046395782479628E-2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2.4460741698431491E-2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3.7551633496057078E-2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3.5147173989110367E-2</v>
      </c>
      <c r="H148" s="20">
        <f>IF(VLOOKUP(B148,'Data Core CPI'!$A:$AX,MATCH($H$1,'Data Core CPI'!$A$1:$AX$1,),)=0,#N/A,(VLOOKUP(B148,'Data Core CPI'!$A:$AX,MATCH($H$1,'Data Core CPI'!$A$1:$AX$1,),)-VLOOKUP(EDATE(B148,-12),'Data Core CPI'!$A:$AX,MATCH($H$1,'Data Core CPI'!$A$1:$AX$1,),))/VLOOKUP(EDATE(B148,-12),'Data Core CPI'!$A:$AX,MATCH($H$1,'Data Core CPI'!$A$1:$AX$1,),))</f>
        <v>2.7383084690994878E-2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3.4883084822063481E-2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4.0546911834040522E-2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3.6269372734547084E-2</v>
      </c>
      <c r="H149" s="20">
        <f>IF(VLOOKUP(B149,'Data Core CPI'!$A:$AX,MATCH($H$1,'Data Core CPI'!$A$1:$AX$1,),)=0,#N/A,(VLOOKUP(B149,'Data Core CPI'!$A:$AX,MATCH($H$1,'Data Core CPI'!$A$1:$AX$1,),)-VLOOKUP(EDATE(B149,-12),'Data Core CPI'!$A:$AX,MATCH($H$1,'Data Core CPI'!$A$1:$AX$1,),))/VLOOKUP(EDATE(B149,-12),'Data Core CPI'!$A:$AX,MATCH($H$1,'Data Core CPI'!$A$1:$AX$1,),))</f>
        <v>3.3351997049476688E-2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3.5326880228463413E-2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4.3351514011660701E-2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3.8092526873993449E-2</v>
      </c>
      <c r="H150" s="20">
        <f>IF(VLOOKUP(B150,'Data Core CPI'!$A:$AX,MATCH($H$1,'Data Core CPI'!$A$1:$AX$1,),)=0,#N/A,(VLOOKUP(B150,'Data Core CPI'!$A:$AX,MATCH($H$1,'Data Core CPI'!$A$1:$AX$1,),)-VLOOKUP(EDATE(B150,-12),'Data Core CPI'!$A:$AX,MATCH($H$1,'Data Core CPI'!$A$1:$AX$1,),))/VLOOKUP(EDATE(B150,-12),'Data Core CPI'!$A:$AX,MATCH($H$1,'Data Core CPI'!$A$1:$AX$1,),))</f>
        <v>3.5216324917689605E-2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4.0985212332133217E-2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4.7899709982224759E-2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4.6998542460147265E-2</v>
      </c>
      <c r="H151" s="20">
        <f>IF(VLOOKUP(B151,'Data Core CPI'!$A:$AX,MATCH($H$1,'Data Core CPI'!$A$1:$AX$1,),)=0,#N/A,(VLOOKUP(B151,'Data Core CPI'!$A:$AX,MATCH($H$1,'Data Core CPI'!$A$1:$AX$1,),)-VLOOKUP(EDATE(B151,-12),'Data Core CPI'!$A:$AX,MATCH($H$1,'Data Core CPI'!$A$1:$AX$1,),))/VLOOKUP(EDATE(B151,-12),'Data Core CPI'!$A:$AX,MATCH($H$1,'Data Core CPI'!$A$1:$AX$1,),))</f>
        <v>3.0988582652413939E-2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4.7170504532952164E-2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5.0363738108561887E-2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4.8433280768804293E-2</v>
      </c>
      <c r="H152" s="20">
        <f>IF(VLOOKUP(B152,'Data Core CPI'!$A:$AX,MATCH($H$1,'Data Core CPI'!$A$1:$AX$1,),)=0,#N/A,(VLOOKUP(B152,'Data Core CPI'!$A:$AX,MATCH($H$1,'Data Core CPI'!$A$1:$AX$1,),)-VLOOKUP(EDATE(B152,-12),'Data Core CPI'!$A:$AX,MATCH($H$1,'Data Core CPI'!$A$1:$AX$1,),))/VLOOKUP(EDATE(B152,-12),'Data Core CPI'!$A:$AX,MATCH($H$1,'Data Core CPI'!$A$1:$AX$1,),))</f>
        <v>3.2818992341060817E-2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5.0113124522052639E-2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5.0065261980234851E-2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5.0326213040268811E-2</v>
      </c>
      <c r="H153" s="20">
        <f>IF(VLOOKUP(B153,'Data Core CPI'!$A:$AX,MATCH($H$1,'Data Core CPI'!$A$1:$AX$1,),)=0,#N/A,(VLOOKUP(B153,'Data Core CPI'!$A:$AX,MATCH($H$1,'Data Core CPI'!$A$1:$AX$1,),)-VLOOKUP(EDATE(B153,-12),'Data Core CPI'!$A:$AX,MATCH($H$1,'Data Core CPI'!$A$1:$AX$1,),))/VLOOKUP(EDATE(B153,-12),'Data Core CPI'!$A:$AX,MATCH($H$1,'Data Core CPI'!$A$1:$AX$1,),))</f>
        <v>3.2821659101794985E-2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5.7032879646427913E-2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5.2103650041794368E-2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5.234332068798727E-2</v>
      </c>
      <c r="H154" s="20">
        <f>IF(VLOOKUP(B154,'Data Core CPI'!$A:$AX,MATCH($H$1,'Data Core CPI'!$A$1:$AX$1,),)=0,#N/A,(VLOOKUP(B154,'Data Core CPI'!$A:$AX,MATCH($H$1,'Data Core CPI'!$A$1:$AX$1,),)-VLOOKUP(EDATE(B154,-12),'Data Core CPI'!$A:$AX,MATCH($H$1,'Data Core CPI'!$A$1:$AX$1,),))/VLOOKUP(EDATE(B154,-12),'Data Core CPI'!$A:$AX,MATCH($H$1,'Data Core CPI'!$A$1:$AX$1,),))</f>
        <v>3.3636440378145581E-2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5.0540305846934142E-2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c r="B155" s="15">
        <v>44927</v>
      </c>
      <c r="C155" s="20">
        <f>IF(VLOOKUP(B155,'Data Core CPI'!$A:$AX,MATCH($C$1,'Data Core CPI'!$A$1:$AX$1,),)=0,#N/A,(VLOOKUP(B155,'Data Core CPI'!$A:$AX,MATCH($C$1,'Data Core CPI'!$A$1:$AX$1,),)-VLOOKUP(EDATE(B155,-12),'Data Core CPI'!$A:$AX,MATCH($C$1,'Data Core CPI'!$A$1:$AX$1,),))/VLOOKUP(EDATE(B155,-12),'Data Core CPI'!$A:$AX,MATCH($C$1,'Data Core CPI'!$A$1:$AX$1,),))</f>
        <v>5.582589854810991E-2</v>
      </c>
      <c r="D155" s="20" t="e">
        <f>(VLOOKUP(B155,'Data Core CPI'!$A:$AX,MATCH($D$1,'Data Core CPI'!$A$1:$AX$1,),)-VLOOKUP(EDATE(B155,-12),'Data Core CPI'!$A:$AX,MATCH($D$1,'Data Core CPI'!$A$1:$AX$1,),))/VLOOKUP(EDATE(B155,-12),'Data Core CPI'!$A:$AX,MATCH($D$1,'Data Core CPI'!$A$1:$AX$1,),)</f>
        <v>#DIV/0!</v>
      </c>
      <c r="E155" s="20">
        <f>IF(VLOOKUP(B155,'Data Core CPI'!$A:$AX,MATCH($E$1,'Data Core CPI'!$A$1:$AX$1,),)=0,#N/A,(VLOOKUP(B155,'Data Core CPI'!$A:$AX,MATCH($E$1,'Data Core CPI'!$A$1:$AX$1,),)-VLOOKUP(EDATE(B155,-12),'Data Core CPI'!$A:$AX,MATCH($E$1,'Data Core CPI'!$A$1:$AX$1,),))/VLOOKUP(EDATE(B155,-12),'Data Core CPI'!$A:$AX,MATCH($E$1,'Data Core CPI'!$A$1:$AX$1,),))</f>
        <v>5.3223388305847143E-2</v>
      </c>
      <c r="F155" s="20" t="e">
        <f>IF(VLOOKUP(B155,'Data Core CPI'!$A:$AX,MATCH($F$1,'Data Core CPI'!$A$1:$AX$1,),)=0,#N/A,(VLOOKUP(B155,'Data Core CPI'!$A:$AX,MATCH($F$1,'Data Core CPI'!$A$1:$AX$1,),)-VLOOKUP(EDATE(B155,-12),'Data Core CPI'!$A:$AX,MATCH($F$1,'Data Core CPI'!$A$1:$AX$1,),))/VLOOKUP(EDATE(B155,-12),'Data Core CPI'!$A:$AX,MATCH($F$1,'Data Core CPI'!$A$1:$AX$1,),))</f>
        <v>#N/A</v>
      </c>
      <c r="G155" s="20">
        <f>IF(VLOOKUP(B155,'Data Core CPI'!$A:$AX,MATCH($G$1,'Data Core CPI'!$A$1:$AX$1,),)=0,#N/A,(VLOOKUP(B155,'Data Core CPI'!$A:$AX,MATCH($G$1,'Data Core CPI'!$A$1:$AX$1,),)-VLOOKUP(EDATE(B155,-12),'Data Core CPI'!$A:$AX,MATCH($G$1,'Data Core CPI'!$A$1:$AX$1,),))/VLOOKUP(EDATE(B155,-12),'Data Core CPI'!$A:$AX,MATCH($G$1,'Data Core CPI'!$A$1:$AX$1,),))</f>
        <v>5.6768931070944856E-2</v>
      </c>
      <c r="H155" s="20">
        <f>IF(VLOOKUP(B155,'Data Core CPI'!$A:$AX,MATCH($H$1,'Data Core CPI'!$A$1:$AX$1,),)=0,#N/A,(VLOOKUP(B155,'Data Core CPI'!$A:$AX,MATCH($H$1,'Data Core CPI'!$A$1:$AX$1,),)-VLOOKUP(EDATE(B155,-12),'Data Core CPI'!$A:$AX,MATCH($H$1,'Data Core CPI'!$A$1:$AX$1,),))/VLOOKUP(EDATE(B155,-12),'Data Core CPI'!$A:$AX,MATCH($H$1,'Data Core CPI'!$A$1:$AX$1,),))</f>
        <v>3.2202129589095414E-2</v>
      </c>
      <c r="I155" s="20">
        <f>IF(VLOOKUP(B155,'Data Core CPI'!$A:$AX,MATCH($I$1,'Data Core CPI'!$A$1:$AX$1,),)=0,#N/A,(VLOOKUP(B155,'Data Core CPI'!$A:$AX,MATCH($I$1,'Data Core CPI'!$A$1:$AX$1,),)-VLOOKUP(EDATE(B155,-12),'Data Core CPI'!$A:$AX,MATCH($I$1,'Data Core CPI'!$A$1:$AX$1,),))/VLOOKUP(EDATE(B155,-12),'Data Core CPI'!$A:$AX,MATCH($I$1,'Data Core CPI'!$A$1:$AX$1,),))</f>
        <v>5.3415061295971927E-2</v>
      </c>
      <c r="J155" s="20">
        <f>IF(VLOOKUP(B155,'Data Core CPI'!$A:$AX,MATCH($J$1,'Data Core CPI'!$A$1:$AX$1,),)=0,#N/A,(VLOOKUP(B155,'Data Core CPI'!$A:$AX,MATCH($J$1,'Data Core CPI'!$A$1:$AX$1,),)-VLOOKUP(EDATE(B155,-12),'Data Core CPI'!$A:$AX,MATCH($J$1,'Data Core CPI'!$A$1:$AX$1,),))/VLOOKUP(EDATE(B155,-12),'Data Core CPI'!$A:$AX,MATCH($J$1,'Data Core CPI'!$A$1:$AX$1,),))</f>
        <v>4.4743466966390068E-2</v>
      </c>
      <c r="K155" s="20">
        <f>IF(VLOOKUP(B155,'Data Core CPI'!$A:$AX,MATCH($K$1,'Data Core CPI'!$A$1:$AX$1,),)=0,#N/A,(VLOOKUP(B155,'Data Core CPI'!$A:$AX,MATCH($K$1,'Data Core CPI'!$A$1:$AX$1,),)-VLOOKUP(EDATE(B155,-12),'Data Core CPI'!$A:$AX,MATCH($K$1,'Data Core CPI'!$A$1:$AX$1,),))/VLOOKUP(EDATE(B155,-12),'Data Core CPI'!$A:$AX,MATCH($K$1,'Data Core CPI'!$A$1:$AX$1,),))</f>
        <v>5.1215414103609622E-2</v>
      </c>
      <c r="L155" s="20">
        <f>IF(VLOOKUP(B155,'Data Core CPI'!$A:$AX,MATCH($L$1,'Data Core CPI'!$A$1:$AX$1,),)=0,#N/A,(VLOOKUP(B155,'Data Core CPI'!$A:$AX,MATCH($L$1,'Data Core CPI'!$A$1:$AX$1,),)-VLOOKUP(EDATE(B155,-12),'Data Core CPI'!$A:$AX,MATCH($L$1,'Data Core CPI'!$A$1:$AX$1,),))/VLOOKUP(EDATE(B155,-12),'Data Core CPI'!$A:$AX,MATCH($L$1,'Data Core CPI'!$A$1:$AX$1,),))</f>
        <v>9.8984482600312187E-2</v>
      </c>
      <c r="M155" s="20">
        <f>IF(VLOOKUP(B155,'Data Core CPI'!$A:$AX,MATCH($M$1,'Data Core CPI'!$A$1:$AX$1,),)=0,#N/A,(VLOOKUP(B155,'Data Core CPI'!$A:$AX,MATCH($M$1,'Data Core CPI'!$A$1:$AX$1,),)-VLOOKUP(EDATE(B155,-12),'Data Core CPI'!$A:$AX,MATCH($M$1,'Data Core CPI'!$A$1:$AX$1,),))/VLOOKUP(EDATE(B155,-12),'Data Core CPI'!$A:$AX,MATCH($M$1,'Data Core CPI'!$A$1:$AX$1,),))</f>
        <v>6.5904890542893516E-2</v>
      </c>
      <c r="N155" s="20" t="e">
        <f>(VLOOKUP(B155,'Data Core CPI'!$A:$AX,MATCH($N$1,'Data Core CPI'!$A$1:$AX$1,),)-VLOOKUP(EDATE(B155,-12),'Data Core CPI'!$A:$AX,MATCH($N$1,'Data Core CPI'!$A$1:$AX$1,),))/VLOOKUP(EDATE(B155,-12),'Data Core CPI'!$A:$AX,MATCH($N$1,'Data Core CPI'!$A$1:$AX$1,),)</f>
        <v>#DIV/0!</v>
      </c>
      <c r="O155" s="20" t="e">
        <f>(VLOOKUP(B155,'Data Core CPI'!$A:$AX,MATCH($O$1,'Data Core CPI'!$A$1:$AX$1,),)-VLOOKUP(EDATE(B155,-12),'Data Core CPI'!$A:$AX,MATCH($O$1,'Data Core CPI'!$A$1:$AX$1,),))/VLOOKUP(EDATE(B155,-12),'Data Core CPI'!$A:$AX,MATCH($O$1,'Data Core CPI'!$A$1:$AX$1,),)</f>
        <v>#DIV/0!</v>
      </c>
      <c r="P155" s="20">
        <f>IF(VLOOKUP(B155,'Data Core CPI'!$A:$AX,MATCH($P$1,'Data Core CPI'!$A$1:$AX$1,),)=0,#N/A,(VLOOKUP(B155,'Data Core CPI'!$A:$AX,MATCH($P$1,'Data Core CPI'!$A$1:$AX$1,),)-VLOOKUP(EDATE(B155,-12),'Data Core CPI'!$A:$AX,MATCH($P$1,'Data Core CPI'!$A$1:$AX$1,),))/VLOOKUP(EDATE(B155,-12),'Data Core CPI'!$A:$AX,MATCH($P$1,'Data Core CPI'!$A$1:$AX$1,),))</f>
        <v>5.1877840724557027E-2</v>
      </c>
      <c r="Q155" s="20" t="e">
        <f>(VLOOKUP(B155,'Data Core CPI'!$A:$AX,MATCH($Q$1,'Data Core CPI'!$A$1:$AX$1,),)-VLOOKUP(EDATE(B155,-12),'Data Core CPI'!$A:$AX,MATCH($Q$1,'Data Core CPI'!$A$1:$AX$1,),))/VLOOKUP(EDATE(B155,-12),'Data Core CPI'!$A:$AX,MATCH($Q$1,'Data Core CPI'!$A$1:$AX$1,),)</f>
        <v>#N/A</v>
      </c>
      <c r="R155" s="20">
        <f>IF(VLOOKUP(B155,'Data Core CPI'!$A:$AX,MATCH($R$1,'Data Core CPI'!$A$1:$AX$1,),)=0,#N/A,(VLOOKUP(B155,'Data Core CPI'!$A:$AX,MATCH($R$1,'Data Core CPI'!$A$1:$AX$1,),)-VLOOKUP(EDATE(B155,-12),'Data Core CPI'!$A:$AX,MATCH($R$1,'Data Core CPI'!$A$1:$AX$1,),))/VLOOKUP(EDATE(B155,-12),'Data Core CPI'!$A:$AX,MATCH($R$1,'Data Core CPI'!$A$1:$AX$1,),))</f>
        <v>1.837335123607934E-2</v>
      </c>
      <c r="S155" s="20">
        <f>(VLOOKUP(B155,'Data Core CPI'!$A:$AX,MATCH($S$1,'Data Core CPI'!$A$1:$AX$1,),)-VLOOKUP(EDATE(B155,-12),'Data Core CPI'!$A:$AX,MATCH($S$1,'Data Core CPI'!$A$1:$AX$1,),))/VLOOKUP(EDATE(B155,-12),'Data Core CPI'!$A:$AX,MATCH($S$1,'Data Core CPI'!$A$1:$AX$1,),)</f>
        <v>4.0520307801135004E-2</v>
      </c>
      <c r="T155" s="20" t="e">
        <f>(VLOOKUP(B155,'Data Core CPI'!$A:$AX,MATCH($T$1,'Data Core CPI'!$A$1:$AX$1,),)-VLOOKUP(EDATE(B155,-12),'Data Core CPI'!$A:$AX,MATCH($T$1,'Data Core CPI'!$A$1:$AX$1,),))/VLOOKUP(EDATE(B155,-12),'Data Core CPI'!$A:$AX,MATCH($T$1,'Data Core CPI'!$A$1:$AX$1,),)</f>
        <v>#DIV/0!</v>
      </c>
      <c r="U155" s="20">
        <f>IF(VLOOKUP(B155,'Data Core CPI'!$A:$AX,MATCH($U$1,'Data Core CPI'!$A$1:$AX$1,),)=0,#N/A,(VLOOKUP(B155,'Data Core CPI'!$A:$AX,MATCH($U$1,'Data Core CPI'!$A$1:$AX$1,),)-VLOOKUP(EDATE(B155,-12),'Data Core CPI'!$A:$AX,MATCH($U$1,'Data Core CPI'!$A$1:$AX$1,),))/VLOOKUP(EDATE(B155,-12),'Data Core CPI'!$A:$AX,MATCH($U$1,'Data Core CPI'!$A$1:$AX$1,),))</f>
        <v>5.8324268917574806E-2</v>
      </c>
      <c r="V155" s="20">
        <f>(VLOOKUP(B155,'Data Core CPI'!$A:$AX,MATCH($V$1,'Data Core CPI'!$A$1:$AX$1,),)-VLOOKUP(EDATE(B155,-12),'Data Core CPI'!$A:$AX,MATCH($V$1,'Data Core CPI'!$A$1:$AX$1,),))/VLOOKUP(EDATE(B155,-12),'Data Core CPI'!$A:$AX,MATCH($V$1,'Data Core CPI'!$A$1:$AX$1,),)</f>
        <v>4.4281500321939241E-2</v>
      </c>
      <c r="W155" s="20">
        <f>IF(VLOOKUP(B155,'Data Core CPI'!$A:$AX,MATCH($W$1,'Data Core CPI'!$A$1:$AX$1,),)=0,#N/A,(VLOOKUP(B155,'Data Core CPI'!$A:$AX,MATCH($W$1,'Data Core CPI'!$A$1:$AX$1,),)-VLOOKUP(EDATE(B155,-12),'Data Core CPI'!$A:$AX,MATCH($W$1,'Data Core CPI'!$A$1:$AX$1,),))/VLOOKUP(EDATE(B155,-12),'Data Core CPI'!$A:$AX,MATCH($W$1,'Data Core CPI'!$A$1:$AX$1,),))</f>
        <v>0.54246313162994331</v>
      </c>
      <c r="X155" s="20">
        <f>IF(VLOOKUP(B155,'Data Core CPI'!$A:$AX,MATCH($X$1,'Data Core CPI'!$A$1:$AX$1,),)=0,#N/A,(VLOOKUP(B155,'Data Core CPI'!$A:$AX,MATCH($X$1,'Data Core CPI'!$A$1:$AX$1,),)-VLOOKUP(EDATE(B155,-12),'Data Core CPI'!$A:$AX,MATCH($X$1,'Data Core CPI'!$A$1:$AX$1,),))/VLOOKUP(EDATE(B155,-12),'Data Core CPI'!$A:$AX,MATCH($X$1,'Data Core CPI'!$A$1:$AX$1,),))</f>
        <v>0.11614956245027851</v>
      </c>
      <c r="Y155" s="20" t="e">
        <f>IF(VLOOKUP(B155,'Data Core CPI'!$A:$AX,MATCH($Y$1,'Data Core CPI'!$A$1:$AX$1,),)=0,#N/A,(VLOOKUP(B155,'Data Core CPI'!$A:$AX,MATCH($Y$1,'Data Core CPI'!$A$1:$AX$1,),)-VLOOKUP(EDATE(B155,-12),'Data Core CPI'!$A:$AX,MATCH($Y$1,'Data Core CPI'!$A$1:$AX$1,),))/VLOOKUP(EDATE(B155,-12),'Data Core CPI'!$A:$AX,MATCH($Y$1,'Data Core CPI'!$A$1:$AX$1,),))</f>
        <v>#N/A</v>
      </c>
    </row>
    <row r="156" spans="2:25" s="72" customFormat="1" x14ac:dyDescent="0.35">
      <c r="B156" s="15">
        <v>44958</v>
      </c>
      <c r="C156" s="20">
        <f>IF(VLOOKUP(B156,'Data Core CPI'!$A:$AX,MATCH($C$1,'Data Core CPI'!$A$1:$AX$1,),)=0,#N/A,(VLOOKUP(B156,'Data Core CPI'!$A:$AX,MATCH($C$1,'Data Core CPI'!$A$1:$AX$1,),)-VLOOKUP(EDATE(B156,-12),'Data Core CPI'!$A:$AX,MATCH($C$1,'Data Core CPI'!$A$1:$AX$1,),))/VLOOKUP(EDATE(B156,-12),'Data Core CPI'!$A:$AX,MATCH($C$1,'Data Core CPI'!$A$1:$AX$1,),))</f>
        <v>5.5378159387443573E-2</v>
      </c>
      <c r="D156" s="20" t="e">
        <f>(VLOOKUP(B156,'Data Core CPI'!$A:$AX,MATCH($D$1,'Data Core CPI'!$A$1:$AX$1,),)-VLOOKUP(EDATE(B156,-12),'Data Core CPI'!$A:$AX,MATCH($D$1,'Data Core CPI'!$A$1:$AX$1,),))/VLOOKUP(EDATE(B156,-12),'Data Core CPI'!$A:$AX,MATCH($D$1,'Data Core CPI'!$A$1:$AX$1,),)</f>
        <v>#DIV/0!</v>
      </c>
      <c r="E156" s="20" t="e">
        <f>IF(VLOOKUP(B156,'Data Core CPI'!$A:$AX,MATCH($E$1,'Data Core CPI'!$A$1:$AX$1,),)=0,#N/A,(VLOOKUP(B156,'Data Core CPI'!$A:$AX,MATCH($E$1,'Data Core CPI'!$A$1:$AX$1,),)-VLOOKUP(EDATE(B156,-12),'Data Core CPI'!$A:$AX,MATCH($E$1,'Data Core CPI'!$A$1:$AX$1,),))/VLOOKUP(EDATE(B156,-12),'Data Core CPI'!$A:$AX,MATCH($E$1,'Data Core CPI'!$A$1:$AX$1,),))</f>
        <v>#N/A</v>
      </c>
      <c r="F156" s="20" t="e">
        <f>IF(VLOOKUP(B156,'Data Core CPI'!$A:$AX,MATCH($F$1,'Data Core CPI'!$A$1:$AX$1,),)=0,#N/A,(VLOOKUP(B156,'Data Core CPI'!$A:$AX,MATCH($F$1,'Data Core CPI'!$A$1:$AX$1,),)-VLOOKUP(EDATE(B156,-12),'Data Core CPI'!$A:$AX,MATCH($F$1,'Data Core CPI'!$A$1:$AX$1,),))/VLOOKUP(EDATE(B156,-12),'Data Core CPI'!$A:$AX,MATCH($F$1,'Data Core CPI'!$A$1:$AX$1,),))</f>
        <v>#N/A</v>
      </c>
      <c r="G156" s="20">
        <f>IF(VLOOKUP(B156,'Data Core CPI'!$A:$AX,MATCH($G$1,'Data Core CPI'!$A$1:$AX$1,),)=0,#N/A,(VLOOKUP(B156,'Data Core CPI'!$A:$AX,MATCH($G$1,'Data Core CPI'!$A$1:$AX$1,),)-VLOOKUP(EDATE(B156,-12),'Data Core CPI'!$A:$AX,MATCH($G$1,'Data Core CPI'!$A$1:$AX$1,),))/VLOOKUP(EDATE(B156,-12),'Data Core CPI'!$A:$AX,MATCH($G$1,'Data Core CPI'!$A$1:$AX$1,),))</f>
        <v>5.8639948636008792E-2</v>
      </c>
      <c r="H156" s="20" t="e">
        <f>IF(VLOOKUP(B156,'Data Core CPI'!$A:$AX,MATCH($H$1,'Data Core CPI'!$A$1:$AX$1,),)=0,#N/A,(VLOOKUP(B156,'Data Core CPI'!$A:$AX,MATCH($H$1,'Data Core CPI'!$A$1:$AX$1,),)-VLOOKUP(EDATE(B156,-12),'Data Core CPI'!$A:$AX,MATCH($H$1,'Data Core CPI'!$A$1:$AX$1,),))/VLOOKUP(EDATE(B156,-12),'Data Core CPI'!$A:$AX,MATCH($H$1,'Data Core CPI'!$A$1:$AX$1,),))</f>
        <v>#N/A</v>
      </c>
      <c r="I156" s="20" t="e">
        <f>IF(VLOOKUP(B156,'Data Core CPI'!$A:$AX,MATCH($I$1,'Data Core CPI'!$A$1:$AX$1,),)=0,#N/A,(VLOOKUP(B156,'Data Core CPI'!$A:$AX,MATCH($I$1,'Data Core CPI'!$A$1:$AX$1,),)-VLOOKUP(EDATE(B156,-12),'Data Core CPI'!$A:$AX,MATCH($I$1,'Data Core CPI'!$A$1:$AX$1,),))/VLOOKUP(EDATE(B156,-12),'Data Core CPI'!$A:$AX,MATCH($I$1,'Data Core CPI'!$A$1:$AX$1,),))</f>
        <v>#N/A</v>
      </c>
      <c r="J156" s="20" t="e">
        <f>IF(VLOOKUP(B156,'Data Core CPI'!$A:$AX,MATCH($J$1,'Data Core CPI'!$A$1:$AX$1,),)=0,#N/A,(VLOOKUP(B156,'Data Core CPI'!$A:$AX,MATCH($J$1,'Data Core CPI'!$A$1:$AX$1,),)-VLOOKUP(EDATE(B156,-12),'Data Core CPI'!$A:$AX,MATCH($J$1,'Data Core CPI'!$A$1:$AX$1,),))/VLOOKUP(EDATE(B156,-12),'Data Core CPI'!$A:$AX,MATCH($J$1,'Data Core CPI'!$A$1:$AX$1,),))</f>
        <v>#N/A</v>
      </c>
      <c r="K156" s="20" t="e">
        <f>IF(VLOOKUP(B156,'Data Core CPI'!$A:$AX,MATCH($K$1,'Data Core CPI'!$A$1:$AX$1,),)=0,#N/A,(VLOOKUP(B156,'Data Core CPI'!$A:$AX,MATCH($K$1,'Data Core CPI'!$A$1:$AX$1,),)-VLOOKUP(EDATE(B156,-12),'Data Core CPI'!$A:$AX,MATCH($K$1,'Data Core CPI'!$A$1:$AX$1,),))/VLOOKUP(EDATE(B156,-12),'Data Core CPI'!$A:$AX,MATCH($K$1,'Data Core CPI'!$A$1:$AX$1,),))</f>
        <v>#N/A</v>
      </c>
      <c r="L156" s="20" t="e">
        <f>IF(VLOOKUP(B156,'Data Core CPI'!$A:$AX,MATCH($L$1,'Data Core CPI'!$A$1:$AX$1,),)=0,#N/A,(VLOOKUP(B156,'Data Core CPI'!$A:$AX,MATCH($L$1,'Data Core CPI'!$A$1:$AX$1,),)-VLOOKUP(EDATE(B156,-12),'Data Core CPI'!$A:$AX,MATCH($L$1,'Data Core CPI'!$A$1:$AX$1,),))/VLOOKUP(EDATE(B156,-12),'Data Core CPI'!$A:$AX,MATCH($L$1,'Data Core CPI'!$A$1:$AX$1,),))</f>
        <v>#N/A</v>
      </c>
      <c r="M156" s="20">
        <f>IF(VLOOKUP(B156,'Data Core CPI'!$A:$AX,MATCH($M$1,'Data Core CPI'!$A$1:$AX$1,),)=0,#N/A,(VLOOKUP(B156,'Data Core CPI'!$A:$AX,MATCH($M$1,'Data Core CPI'!$A$1:$AX$1,),)-VLOOKUP(EDATE(B156,-12),'Data Core CPI'!$A:$AX,MATCH($M$1,'Data Core CPI'!$A$1:$AX$1,),))/VLOOKUP(EDATE(B156,-12),'Data Core CPI'!$A:$AX,MATCH($M$1,'Data Core CPI'!$A$1:$AX$1,),))</f>
        <v>6.5116031809070524E-2</v>
      </c>
      <c r="N156" s="20" t="e">
        <f>(VLOOKUP(B156,'Data Core CPI'!$A:$AX,MATCH($N$1,'Data Core CPI'!$A$1:$AX$1,),)-VLOOKUP(EDATE(B156,-12),'Data Core CPI'!$A:$AX,MATCH($N$1,'Data Core CPI'!$A$1:$AX$1,),))/VLOOKUP(EDATE(B156,-12),'Data Core CPI'!$A:$AX,MATCH($N$1,'Data Core CPI'!$A$1:$AX$1,),)</f>
        <v>#DIV/0!</v>
      </c>
      <c r="O156" s="20" t="e">
        <f>(VLOOKUP(B156,'Data Core CPI'!$A:$AX,MATCH($O$1,'Data Core CPI'!$A$1:$AX$1,),)-VLOOKUP(EDATE(B156,-12),'Data Core CPI'!$A:$AX,MATCH($O$1,'Data Core CPI'!$A$1:$AX$1,),))/VLOOKUP(EDATE(B156,-12),'Data Core CPI'!$A:$AX,MATCH($O$1,'Data Core CPI'!$A$1:$AX$1,),)</f>
        <v>#DIV/0!</v>
      </c>
      <c r="P156" s="20" t="e">
        <f>IF(VLOOKUP(B156,'Data Core CPI'!$A:$AX,MATCH($P$1,'Data Core CPI'!$A$1:$AX$1,),)=0,#N/A,(VLOOKUP(B156,'Data Core CPI'!$A:$AX,MATCH($P$1,'Data Core CPI'!$A$1:$AX$1,),)-VLOOKUP(EDATE(B156,-12),'Data Core CPI'!$A:$AX,MATCH($P$1,'Data Core CPI'!$A$1:$AX$1,),))/VLOOKUP(EDATE(B156,-12),'Data Core CPI'!$A:$AX,MATCH($P$1,'Data Core CPI'!$A$1:$AX$1,),))</f>
        <v>#N/A</v>
      </c>
      <c r="Q156" s="20" t="e">
        <f>(VLOOKUP(B156,'Data Core CPI'!$A:$AX,MATCH($Q$1,'Data Core CPI'!$A$1:$AX$1,),)-VLOOKUP(EDATE(B156,-12),'Data Core CPI'!$A:$AX,MATCH($Q$1,'Data Core CPI'!$A$1:$AX$1,),))/VLOOKUP(EDATE(B156,-12),'Data Core CPI'!$A:$AX,MATCH($Q$1,'Data Core CPI'!$A$1:$AX$1,),)</f>
        <v>#N/A</v>
      </c>
      <c r="R156" s="20">
        <f>IF(VLOOKUP(B156,'Data Core CPI'!$A:$AX,MATCH($R$1,'Data Core CPI'!$A$1:$AX$1,),)=0,#N/A,(VLOOKUP(B156,'Data Core CPI'!$A:$AX,MATCH($R$1,'Data Core CPI'!$A$1:$AX$1,),)-VLOOKUP(EDATE(B156,-12),'Data Core CPI'!$A:$AX,MATCH($R$1,'Data Core CPI'!$A$1:$AX$1,),))/VLOOKUP(EDATE(B156,-12),'Data Core CPI'!$A:$AX,MATCH($R$1,'Data Core CPI'!$A$1:$AX$1,),))</f>
        <v>2.0302779520316044E-2</v>
      </c>
      <c r="S156" s="20">
        <f>(VLOOKUP(B156,'Data Core CPI'!$A:$AX,MATCH($S$1,'Data Core CPI'!$A$1:$AX$1,),)-VLOOKUP(EDATE(B156,-12),'Data Core CPI'!$A:$AX,MATCH($S$1,'Data Core CPI'!$A$1:$AX$1,),))/VLOOKUP(EDATE(B156,-12),'Data Core CPI'!$A:$AX,MATCH($S$1,'Data Core CPI'!$A$1:$AX$1,),)</f>
        <v>3.9579232833562877E-2</v>
      </c>
      <c r="T156" s="20" t="e">
        <f>(VLOOKUP(B156,'Data Core CPI'!$A:$AX,MATCH($T$1,'Data Core CPI'!$A$1:$AX$1,),)-VLOOKUP(EDATE(B156,-12),'Data Core CPI'!$A:$AX,MATCH($T$1,'Data Core CPI'!$A$1:$AX$1,),))/VLOOKUP(EDATE(B156,-12),'Data Core CPI'!$A:$AX,MATCH($T$1,'Data Core CPI'!$A$1:$AX$1,),)</f>
        <v>#DIV/0!</v>
      </c>
      <c r="U156" s="20" t="e">
        <f>IF(VLOOKUP(B156,'Data Core CPI'!$A:$AX,MATCH($U$1,'Data Core CPI'!$A$1:$AX$1,),)=0,#N/A,(VLOOKUP(B156,'Data Core CPI'!$A:$AX,MATCH($U$1,'Data Core CPI'!$A$1:$AX$1,),)-VLOOKUP(EDATE(B156,-12),'Data Core CPI'!$A:$AX,MATCH($U$1,'Data Core CPI'!$A$1:$AX$1,),))/VLOOKUP(EDATE(B156,-12),'Data Core CPI'!$A:$AX,MATCH($U$1,'Data Core CPI'!$A$1:$AX$1,),))</f>
        <v>#N/A</v>
      </c>
      <c r="V156" s="20">
        <f>(VLOOKUP(B156,'Data Core CPI'!$A:$AX,MATCH($V$1,'Data Core CPI'!$A$1:$AX$1,),)-VLOOKUP(EDATE(B156,-12),'Data Core CPI'!$A:$AX,MATCH($V$1,'Data Core CPI'!$A$1:$AX$1,),))/VLOOKUP(EDATE(B156,-12),'Data Core CPI'!$A:$AX,MATCH($V$1,'Data Core CPI'!$A$1:$AX$1,),)</f>
        <v>-1</v>
      </c>
      <c r="W156" s="20">
        <f>IF(VLOOKUP(B156,'Data Core CPI'!$A:$AX,MATCH($W$1,'Data Core CPI'!$A$1:$AX$1,),)=0,#N/A,(VLOOKUP(B156,'Data Core CPI'!$A:$AX,MATCH($W$1,'Data Core CPI'!$A$1:$AX$1,),)-VLOOKUP(EDATE(B156,-12),'Data Core CPI'!$A:$AX,MATCH($W$1,'Data Core CPI'!$A$1:$AX$1,),))/VLOOKUP(EDATE(B156,-12),'Data Core CPI'!$A:$AX,MATCH($W$1,'Data Core CPI'!$A$1:$AX$1,),))</f>
        <v>0.51902884336073007</v>
      </c>
      <c r="X156" s="20" t="e">
        <f>IF(VLOOKUP(B156,'Data Core CPI'!$A:$AX,MATCH($X$1,'Data Core CPI'!$A$1:$AX$1,),)=0,#N/A,(VLOOKUP(B156,'Data Core CPI'!$A:$AX,MATCH($X$1,'Data Core CPI'!$A$1:$AX$1,),)-VLOOKUP(EDATE(B156,-12),'Data Core CPI'!$A:$AX,MATCH($X$1,'Data Core CPI'!$A$1:$AX$1,),))/VLOOKUP(EDATE(B156,-12),'Data Core CPI'!$A:$AX,MATCH($X$1,'Data Core CPI'!$A$1:$AX$1,),))</f>
        <v>#N/A</v>
      </c>
      <c r="Y156" s="20" t="e">
        <f>IF(VLOOKUP(B156,'Data Core CPI'!$A:$AX,MATCH($Y$1,'Data Core CPI'!$A$1:$AX$1,),)=0,#N/A,(VLOOKUP(B156,'Data Core CPI'!$A:$AX,MATCH($Y$1,'Data Core CPI'!$A$1:$AX$1,),)-VLOOKUP(EDATE(B156,-12),'Data Core CPI'!$A:$AX,MATCH($Y$1,'Data Core CPI'!$A$1:$AX$1,),))/VLOOKUP(EDATE(B156,-12),'Data Core CPI'!$A:$AX,MATCH($Y$1,'Data Core CPI'!$A$1:$AX$1,),))</f>
        <v>#N/A</v>
      </c>
    </row>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6">
    <cfRule type="colorScale" priority="44">
      <colorScale>
        <cfvo type="min"/>
        <cfvo type="percentile" val="50"/>
        <cfvo type="max"/>
        <color rgb="FFF8696B"/>
        <color rgb="FFFFEB84"/>
        <color rgb="FF63BE7B"/>
      </colorScale>
    </cfRule>
  </conditionalFormatting>
  <conditionalFormatting sqref="D59:D156">
    <cfRule type="colorScale" priority="45">
      <colorScale>
        <cfvo type="min"/>
        <cfvo type="percentile" val="50"/>
        <cfvo type="max"/>
        <color rgb="FFF8696B"/>
        <color rgb="FFFFEB84"/>
        <color rgb="FF63BE7B"/>
      </colorScale>
    </cfRule>
  </conditionalFormatting>
  <conditionalFormatting sqref="E59:AA59 Z60:AA106 E60:Y156">
    <cfRule type="colorScale" priority="46">
      <colorScale>
        <cfvo type="min"/>
        <cfvo type="percentile" val="50"/>
        <cfvo type="max"/>
        <color rgb="FFF8696B"/>
        <color rgb="FFFFEB84"/>
        <color rgb="FF63BE7B"/>
      </colorScale>
    </cfRule>
  </conditionalFormatting>
  <conditionalFormatting sqref="C59:C156">
    <cfRule type="colorScale" priority="16">
      <colorScale>
        <cfvo type="min"/>
        <cfvo type="percentile" val="50"/>
        <cfvo type="max"/>
        <color rgb="FFF8696B"/>
        <color rgb="FFFFEB84"/>
        <color rgb="FF63BE7B"/>
      </colorScale>
    </cfRule>
  </conditionalFormatting>
  <conditionalFormatting sqref="E59:E156">
    <cfRule type="colorScale" priority="15">
      <colorScale>
        <cfvo type="min"/>
        <cfvo type="percentile" val="50"/>
        <cfvo type="max"/>
        <color rgb="FFF8696B"/>
        <color rgb="FFFFEB84"/>
        <color rgb="FF63BE7B"/>
      </colorScale>
    </cfRule>
  </conditionalFormatting>
  <conditionalFormatting sqref="F59:F156">
    <cfRule type="colorScale" priority="14">
      <colorScale>
        <cfvo type="min"/>
        <cfvo type="percentile" val="50"/>
        <cfvo type="max"/>
        <color rgb="FFF8696B"/>
        <color rgb="FFFFEB84"/>
        <color rgb="FF63BE7B"/>
      </colorScale>
    </cfRule>
  </conditionalFormatting>
  <conditionalFormatting sqref="G59:G156">
    <cfRule type="colorScale" priority="13">
      <colorScale>
        <cfvo type="min"/>
        <cfvo type="percentile" val="50"/>
        <cfvo type="max"/>
        <color rgb="FFF8696B"/>
        <color rgb="FFFFEB84"/>
        <color rgb="FF63BE7B"/>
      </colorScale>
    </cfRule>
  </conditionalFormatting>
  <conditionalFormatting sqref="H59:H156">
    <cfRule type="colorScale" priority="12">
      <colorScale>
        <cfvo type="min"/>
        <cfvo type="percentile" val="50"/>
        <cfvo type="max"/>
        <color rgb="FFF8696B"/>
        <color rgb="FFFFEB84"/>
        <color rgb="FF63BE7B"/>
      </colorScale>
    </cfRule>
  </conditionalFormatting>
  <conditionalFormatting sqref="I59:I156">
    <cfRule type="colorScale" priority="11">
      <colorScale>
        <cfvo type="min"/>
        <cfvo type="percentile" val="50"/>
        <cfvo type="max"/>
        <color rgb="FFF8696B"/>
        <color rgb="FFFFEB84"/>
        <color rgb="FF63BE7B"/>
      </colorScale>
    </cfRule>
  </conditionalFormatting>
  <conditionalFormatting sqref="J59:J156">
    <cfRule type="colorScale" priority="10">
      <colorScale>
        <cfvo type="min"/>
        <cfvo type="percentile" val="50"/>
        <cfvo type="max"/>
        <color rgb="FFF8696B"/>
        <color rgb="FFFFEB84"/>
        <color rgb="FF63BE7B"/>
      </colorScale>
    </cfRule>
  </conditionalFormatting>
  <conditionalFormatting sqref="K59:K156">
    <cfRule type="colorScale" priority="9">
      <colorScale>
        <cfvo type="min"/>
        <cfvo type="percentile" val="50"/>
        <cfvo type="max"/>
        <color rgb="FFF8696B"/>
        <color rgb="FFFFEB84"/>
        <color rgb="FF63BE7B"/>
      </colorScale>
    </cfRule>
  </conditionalFormatting>
  <conditionalFormatting sqref="L59:L156">
    <cfRule type="colorScale" priority="8">
      <colorScale>
        <cfvo type="min"/>
        <cfvo type="percentile" val="50"/>
        <cfvo type="max"/>
        <color rgb="FFF8696B"/>
        <color rgb="FFFFEB84"/>
        <color rgb="FF63BE7B"/>
      </colorScale>
    </cfRule>
  </conditionalFormatting>
  <conditionalFormatting sqref="M59:M156">
    <cfRule type="colorScale" priority="7">
      <colorScale>
        <cfvo type="min"/>
        <cfvo type="percentile" val="50"/>
        <cfvo type="max"/>
        <color rgb="FFF8696B"/>
        <color rgb="FFFFEB84"/>
        <color rgb="FF63BE7B"/>
      </colorScale>
    </cfRule>
  </conditionalFormatting>
  <conditionalFormatting sqref="P59:P156">
    <cfRule type="colorScale" priority="6">
      <colorScale>
        <cfvo type="min"/>
        <cfvo type="percentile" val="50"/>
        <cfvo type="max"/>
        <color rgb="FFF8696B"/>
        <color rgb="FFFFEB84"/>
        <color rgb="FF63BE7B"/>
      </colorScale>
    </cfRule>
  </conditionalFormatting>
  <conditionalFormatting sqref="R59:R156">
    <cfRule type="colorScale" priority="5">
      <colorScale>
        <cfvo type="min"/>
        <cfvo type="percentile" val="50"/>
        <cfvo type="max"/>
        <color rgb="FFF8696B"/>
        <color rgb="FFFFEB84"/>
        <color rgb="FF63BE7B"/>
      </colorScale>
    </cfRule>
  </conditionalFormatting>
  <conditionalFormatting sqref="U59:U156">
    <cfRule type="colorScale" priority="4">
      <colorScale>
        <cfvo type="min"/>
        <cfvo type="percentile" val="50"/>
        <cfvo type="max"/>
        <color rgb="FFF8696B"/>
        <color rgb="FFFFEB84"/>
        <color rgb="FF63BE7B"/>
      </colorScale>
    </cfRule>
  </conditionalFormatting>
  <conditionalFormatting sqref="W59:W156">
    <cfRule type="colorScale" priority="3">
      <colorScale>
        <cfvo type="min"/>
        <cfvo type="percentile" val="50"/>
        <cfvo type="max"/>
        <color rgb="FFF8696B"/>
        <color rgb="FFFFEB84"/>
        <color rgb="FF63BE7B"/>
      </colorScale>
    </cfRule>
  </conditionalFormatting>
  <conditionalFormatting sqref="X59:X156">
    <cfRule type="colorScale" priority="2">
      <colorScale>
        <cfvo type="min"/>
        <cfvo type="percentile" val="50"/>
        <cfvo type="max"/>
        <color rgb="FFF8696B"/>
        <color rgb="FFFFEB84"/>
        <color rgb="FF63BE7B"/>
      </colorScale>
    </cfRule>
  </conditionalFormatting>
  <conditionalFormatting sqref="Y59:Y15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35" activePane="bottomLeft" state="frozen"/>
      <selection activeCell="T26" sqref="T26"/>
      <selection pane="bottomLeft" activeCell="A856" sqref="A856:I863"/>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3">
        <f>IF(Data!A890="",#N/A,Data!A890)</f>
        <v>44927</v>
      </c>
      <c r="B863" s="34">
        <f>VLOOKUP(A863,Data!A:AX,MATCH($B$2,Data!$B$1:$AX$1,0),FALSE)</f>
        <v>119.1</v>
      </c>
      <c r="C863" s="35">
        <f t="shared" si="54"/>
        <v>8.4033613445377853E-4</v>
      </c>
      <c r="D863" s="35">
        <f t="shared" si="51"/>
        <v>1.0130771290142837E-2</v>
      </c>
      <c r="E863" s="35">
        <f>(Table143454[[#This Row],[JPN]]-B851)/B851</f>
        <v>9.972299168975067E-2</v>
      </c>
      <c r="F863" s="34">
        <f>VLOOKUP(Table143454[[#This Row],[Date]],'Data Core CPI'!$A:$AX,MATCH($B$2,'Data Core CPI'!$B$1:$AX$1,0),FALSE)</f>
        <v>109.3113</v>
      </c>
      <c r="G863" s="35">
        <f t="shared" si="52"/>
        <v>4.793647933905687E-3</v>
      </c>
      <c r="H863" s="35">
        <f t="shared" si="53"/>
        <v>5.9064890370930767E-2</v>
      </c>
      <c r="I863" s="35">
        <f>(Table143454[[#This Row],[Core CPI]]-F851)/F851</f>
        <v>4.4743466966390068E-2</v>
      </c>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3">
    <cfRule type="colorScale" priority="2">
      <colorScale>
        <cfvo type="min"/>
        <cfvo type="percentile" val="50"/>
        <cfvo type="max"/>
        <color rgb="FFF8696B"/>
        <color rgb="FFFFEB84"/>
        <color rgb="FF63BE7B"/>
      </colorScale>
    </cfRule>
  </conditionalFormatting>
  <conditionalFormatting sqref="I707:I86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2023-03-16T08:09:16Z</dcterms:modified>
</cp:coreProperties>
</file>