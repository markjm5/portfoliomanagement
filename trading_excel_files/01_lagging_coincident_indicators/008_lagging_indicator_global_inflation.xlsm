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92017B97-88A4-451C-8557-CCF76C2113F3}" xr6:coauthVersionLast="47" xr6:coauthVersionMax="47" xr10:uidLastSave="{00000000-0000-0000-0000-000000000000}"/>
  <bookViews>
    <workbookView xWindow="-250" yWindow="-14260" windowWidth="19490" windowHeight="13780"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5" i="5" l="1"/>
  <c r="D155" i="5"/>
  <c r="E155" i="5"/>
  <c r="F155" i="5"/>
  <c r="G155" i="5"/>
  <c r="H155" i="5"/>
  <c r="I155" i="5"/>
  <c r="I6" i="5" s="1"/>
  <c r="I7" i="5" s="1"/>
  <c r="J155" i="5"/>
  <c r="K155" i="5"/>
  <c r="L155" i="5"/>
  <c r="M155" i="5"/>
  <c r="N155" i="5"/>
  <c r="O155" i="5"/>
  <c r="P155" i="5"/>
  <c r="Q155" i="5"/>
  <c r="R155" i="5"/>
  <c r="S155" i="5"/>
  <c r="T155" i="5"/>
  <c r="U155" i="5"/>
  <c r="U6" i="5" s="1"/>
  <c r="U7" i="5" s="1"/>
  <c r="V155" i="5"/>
  <c r="V5" i="5" s="1"/>
  <c r="W155" i="5"/>
  <c r="X155" i="5"/>
  <c r="Y155" i="5"/>
  <c r="C155" i="4"/>
  <c r="D155" i="4"/>
  <c r="E155" i="4"/>
  <c r="F155" i="4"/>
  <c r="G155" i="4"/>
  <c r="H155" i="4"/>
  <c r="I155" i="4"/>
  <c r="J155" i="4"/>
  <c r="K155" i="4"/>
  <c r="L155" i="4"/>
  <c r="M155" i="4"/>
  <c r="N155" i="4"/>
  <c r="O155" i="4"/>
  <c r="P155" i="4"/>
  <c r="Q155" i="4"/>
  <c r="R155" i="4"/>
  <c r="S155" i="4"/>
  <c r="T155" i="4"/>
  <c r="U155" i="4"/>
  <c r="V155" i="4"/>
  <c r="W155" i="4"/>
  <c r="X155" i="4"/>
  <c r="Y155" i="4"/>
  <c r="A862" i="6"/>
  <c r="F862" i="6" s="1"/>
  <c r="A861" i="6"/>
  <c r="F861" i="6" s="1"/>
  <c r="F860" i="6"/>
  <c r="G860" i="6" s="1"/>
  <c r="H860" i="6" s="1"/>
  <c r="A860" i="6"/>
  <c r="B860" i="6" s="1"/>
  <c r="C860" i="6" s="1"/>
  <c r="D860" i="6" s="1"/>
  <c r="F859" i="6"/>
  <c r="A859" i="6"/>
  <c r="B859" i="6" s="1"/>
  <c r="B858" i="6"/>
  <c r="A858" i="6"/>
  <c r="F858" i="6" s="1"/>
  <c r="G858" i="6" s="1"/>
  <c r="H858" i="6" s="1"/>
  <c r="I857" i="6"/>
  <c r="A857" i="6"/>
  <c r="F857" i="6" s="1"/>
  <c r="A856" i="6"/>
  <c r="B856" i="6" s="1"/>
  <c r="F855" i="6"/>
  <c r="A855" i="6"/>
  <c r="B855" i="6" s="1"/>
  <c r="C855" i="6" s="1"/>
  <c r="D855" i="6" s="1"/>
  <c r="G854" i="6"/>
  <c r="H854" i="6" s="1"/>
  <c r="B854" i="6"/>
  <c r="A854" i="6"/>
  <c r="F854" i="6" s="1"/>
  <c r="A853" i="6"/>
  <c r="F853" i="6" s="1"/>
  <c r="F852" i="6"/>
  <c r="A852" i="6"/>
  <c r="B852" i="6" s="1"/>
  <c r="C852" i="6" s="1"/>
  <c r="D852" i="6" s="1"/>
  <c r="F851" i="6"/>
  <c r="G851" i="6" s="1"/>
  <c r="H851" i="6" s="1"/>
  <c r="E851" i="6"/>
  <c r="A851" i="6"/>
  <c r="B851" i="6" s="1"/>
  <c r="C851" i="6" s="1"/>
  <c r="D851" i="6" s="1"/>
  <c r="B850" i="6"/>
  <c r="A850" i="6"/>
  <c r="F850" i="6" s="1"/>
  <c r="I862" i="6" s="1"/>
  <c r="A849" i="6"/>
  <c r="F849" i="6" s="1"/>
  <c r="A848" i="6"/>
  <c r="B848" i="6" s="1"/>
  <c r="F847" i="6"/>
  <c r="A847" i="6"/>
  <c r="B847" i="6" s="1"/>
  <c r="A846" i="6"/>
  <c r="A845" i="6"/>
  <c r="F845" i="6" s="1"/>
  <c r="A844" i="6"/>
  <c r="F843" i="6"/>
  <c r="E843" i="6"/>
  <c r="A843" i="6"/>
  <c r="B843" i="6" s="1"/>
  <c r="A842" i="6"/>
  <c r="F842" i="6" s="1"/>
  <c r="A841" i="6"/>
  <c r="F841" i="6" s="1"/>
  <c r="F840" i="6"/>
  <c r="A840" i="6"/>
  <c r="B840" i="6" s="1"/>
  <c r="F839" i="6"/>
  <c r="A839" i="6"/>
  <c r="B839" i="6" s="1"/>
  <c r="A838" i="6"/>
  <c r="F838" i="6" s="1"/>
  <c r="A837" i="6"/>
  <c r="F837" i="6" s="1"/>
  <c r="F836" i="6"/>
  <c r="A836" i="6"/>
  <c r="B836" i="6" s="1"/>
  <c r="F835" i="6"/>
  <c r="E835" i="6"/>
  <c r="A835" i="6"/>
  <c r="B835" i="6" s="1"/>
  <c r="E847" i="6" s="1"/>
  <c r="A834" i="6"/>
  <c r="F834" i="6" s="1"/>
  <c r="G834" i="6" s="1"/>
  <c r="H834" i="6" s="1"/>
  <c r="A833" i="6"/>
  <c r="F833" i="6" s="1"/>
  <c r="A832" i="6"/>
  <c r="B832" i="6" s="1"/>
  <c r="F831" i="6"/>
  <c r="E831" i="6"/>
  <c r="A831" i="6"/>
  <c r="B831" i="6" s="1"/>
  <c r="A830" i="6"/>
  <c r="A829" i="6"/>
  <c r="F829" i="6" s="1"/>
  <c r="I829" i="6" s="1"/>
  <c r="F828" i="6"/>
  <c r="G828" i="6" s="1"/>
  <c r="H828" i="6" s="1"/>
  <c r="A828" i="6"/>
  <c r="B828" i="6" s="1"/>
  <c r="F827" i="6"/>
  <c r="A827" i="6"/>
  <c r="B827" i="6" s="1"/>
  <c r="E839" i="6" s="1"/>
  <c r="B826" i="6"/>
  <c r="A826" i="6"/>
  <c r="F826" i="6" s="1"/>
  <c r="G826" i="6" s="1"/>
  <c r="H826" i="6" s="1"/>
  <c r="A825" i="6"/>
  <c r="F825" i="6" s="1"/>
  <c r="F824" i="6"/>
  <c r="A824" i="6"/>
  <c r="B824" i="6" s="1"/>
  <c r="F823" i="6"/>
  <c r="E823" i="6"/>
  <c r="D823" i="6"/>
  <c r="A823" i="6"/>
  <c r="B823" i="6" s="1"/>
  <c r="B822" i="6"/>
  <c r="C823" i="6" s="1"/>
  <c r="A822" i="6"/>
  <c r="F822" i="6" s="1"/>
  <c r="A821" i="6"/>
  <c r="F821" i="6" s="1"/>
  <c r="F820" i="6"/>
  <c r="A820" i="6"/>
  <c r="B820" i="6" s="1"/>
  <c r="F819" i="6"/>
  <c r="A819" i="6"/>
  <c r="B819" i="6" s="1"/>
  <c r="B818" i="6"/>
  <c r="A818" i="6"/>
  <c r="F818" i="6" s="1"/>
  <c r="G818" i="6" s="1"/>
  <c r="H818" i="6" s="1"/>
  <c r="A817" i="6"/>
  <c r="F817" i="6" s="1"/>
  <c r="F816" i="6"/>
  <c r="A816" i="6"/>
  <c r="B816" i="6" s="1"/>
  <c r="F815" i="6"/>
  <c r="A815" i="6"/>
  <c r="B815" i="6" s="1"/>
  <c r="B814" i="6"/>
  <c r="A814" i="6"/>
  <c r="F814" i="6" s="1"/>
  <c r="G814" i="6" s="1"/>
  <c r="H814" i="6" s="1"/>
  <c r="A813" i="6"/>
  <c r="F813" i="6" s="1"/>
  <c r="F812" i="6"/>
  <c r="I824" i="6" s="1"/>
  <c r="A812" i="6"/>
  <c r="B812" i="6" s="1"/>
  <c r="F811" i="6"/>
  <c r="A811" i="6"/>
  <c r="B811" i="6" s="1"/>
  <c r="B810" i="6"/>
  <c r="A810" i="6"/>
  <c r="F810" i="6" s="1"/>
  <c r="A809" i="6"/>
  <c r="F809" i="6" s="1"/>
  <c r="A808" i="6"/>
  <c r="B808" i="6" s="1"/>
  <c r="F807" i="6"/>
  <c r="C807" i="6"/>
  <c r="D807" i="6" s="1"/>
  <c r="A807" i="6"/>
  <c r="B807" i="6" s="1"/>
  <c r="E819" i="6" s="1"/>
  <c r="B806" i="6"/>
  <c r="A806" i="6"/>
  <c r="F806" i="6" s="1"/>
  <c r="G806" i="6" s="1"/>
  <c r="H806" i="6" s="1"/>
  <c r="A805" i="6"/>
  <c r="F805" i="6" s="1"/>
  <c r="A804" i="6"/>
  <c r="B804" i="6" s="1"/>
  <c r="F803" i="6"/>
  <c r="E803" i="6"/>
  <c r="A803" i="6"/>
  <c r="B803" i="6" s="1"/>
  <c r="C803" i="6" s="1"/>
  <c r="D803" i="6" s="1"/>
  <c r="B802" i="6"/>
  <c r="E814" i="6" s="1"/>
  <c r="A802" i="6"/>
  <c r="F802" i="6" s="1"/>
  <c r="A801" i="6"/>
  <c r="F801" i="6" s="1"/>
  <c r="A800" i="6"/>
  <c r="B800" i="6" s="1"/>
  <c r="A799" i="6"/>
  <c r="B798" i="6"/>
  <c r="A798" i="6"/>
  <c r="F798" i="6" s="1"/>
  <c r="A797" i="6"/>
  <c r="F796" i="6"/>
  <c r="A796" i="6"/>
  <c r="B796" i="6" s="1"/>
  <c r="A795" i="6"/>
  <c r="B794" i="6"/>
  <c r="E806" i="6" s="1"/>
  <c r="A794" i="6"/>
  <c r="F794" i="6" s="1"/>
  <c r="A793" i="6"/>
  <c r="F792" i="6"/>
  <c r="A792" i="6"/>
  <c r="B792" i="6" s="1"/>
  <c r="F791" i="6"/>
  <c r="B791" i="6"/>
  <c r="A791" i="6"/>
  <c r="B790" i="6"/>
  <c r="A790" i="6"/>
  <c r="F790" i="6" s="1"/>
  <c r="A789" i="6"/>
  <c r="F788" i="6"/>
  <c r="G788" i="6" s="1"/>
  <c r="H788" i="6" s="1"/>
  <c r="A788" i="6"/>
  <c r="B788" i="6" s="1"/>
  <c r="F787" i="6"/>
  <c r="B787" i="6"/>
  <c r="A787" i="6"/>
  <c r="B786" i="6"/>
  <c r="E798" i="6" s="1"/>
  <c r="A786" i="6"/>
  <c r="F786" i="6" s="1"/>
  <c r="A785" i="6"/>
  <c r="F784" i="6"/>
  <c r="A784" i="6"/>
  <c r="B784" i="6" s="1"/>
  <c r="F783" i="6"/>
  <c r="B783" i="6"/>
  <c r="A783" i="6"/>
  <c r="A782" i="6"/>
  <c r="F782" i="6" s="1"/>
  <c r="A781" i="6"/>
  <c r="F780" i="6"/>
  <c r="A780" i="6"/>
  <c r="B780" i="6" s="1"/>
  <c r="F779" i="6"/>
  <c r="B779" i="6"/>
  <c r="C779" i="6" s="1"/>
  <c r="D779" i="6" s="1"/>
  <c r="A779" i="6"/>
  <c r="B778" i="6"/>
  <c r="A778" i="6"/>
  <c r="F778" i="6" s="1"/>
  <c r="A777" i="6"/>
  <c r="A776" i="6"/>
  <c r="F775" i="6"/>
  <c r="I787" i="6" s="1"/>
  <c r="B775" i="6"/>
  <c r="C775" i="6" s="1"/>
  <c r="D775" i="6" s="1"/>
  <c r="A775" i="6"/>
  <c r="B774" i="6"/>
  <c r="A774" i="6"/>
  <c r="F774" i="6" s="1"/>
  <c r="A773" i="6"/>
  <c r="F772" i="6"/>
  <c r="E772" i="6"/>
  <c r="D772" i="6"/>
  <c r="A772" i="6"/>
  <c r="B772" i="6" s="1"/>
  <c r="C772" i="6" s="1"/>
  <c r="F771" i="6"/>
  <c r="B771" i="6"/>
  <c r="A771" i="6"/>
  <c r="B770" i="6"/>
  <c r="A770" i="6"/>
  <c r="F770" i="6" s="1"/>
  <c r="A769" i="6"/>
  <c r="F768" i="6"/>
  <c r="A768" i="6"/>
  <c r="B768" i="6" s="1"/>
  <c r="F767" i="6"/>
  <c r="B767" i="6"/>
  <c r="A767" i="6"/>
  <c r="B766" i="6"/>
  <c r="E778" i="6" s="1"/>
  <c r="A766" i="6"/>
  <c r="F766" i="6" s="1"/>
  <c r="A765" i="6"/>
  <c r="A764" i="6"/>
  <c r="F763" i="6"/>
  <c r="B763" i="6"/>
  <c r="A763" i="6"/>
  <c r="A762" i="6"/>
  <c r="F762" i="6" s="1"/>
  <c r="I774" i="6" s="1"/>
  <c r="F761" i="6"/>
  <c r="A761" i="6"/>
  <c r="B761" i="6" s="1"/>
  <c r="F760" i="6"/>
  <c r="A760" i="6"/>
  <c r="B760" i="6" s="1"/>
  <c r="A759" i="6"/>
  <c r="C758" i="6"/>
  <c r="D758" i="6" s="1"/>
  <c r="B758" i="6"/>
  <c r="A758" i="6"/>
  <c r="F758" i="6" s="1"/>
  <c r="F757" i="6"/>
  <c r="E757" i="6"/>
  <c r="A757" i="6"/>
  <c r="B757" i="6" s="1"/>
  <c r="A756" i="6"/>
  <c r="F755" i="6"/>
  <c r="B755" i="6"/>
  <c r="A755" i="6"/>
  <c r="B754" i="6"/>
  <c r="A754" i="6"/>
  <c r="F754" i="6" s="1"/>
  <c r="A753" i="6"/>
  <c r="B753" i="6" s="1"/>
  <c r="F752" i="6"/>
  <c r="A752" i="6"/>
  <c r="B752" i="6" s="1"/>
  <c r="A751" i="6"/>
  <c r="F751" i="6" s="1"/>
  <c r="C750" i="6"/>
  <c r="D750" i="6" s="1"/>
  <c r="B750" i="6"/>
  <c r="A750" i="6"/>
  <c r="F750" i="6" s="1"/>
  <c r="I750" i="6" s="1"/>
  <c r="F749" i="6"/>
  <c r="E749" i="6"/>
  <c r="B749" i="6"/>
  <c r="E761" i="6" s="1"/>
  <c r="A749" i="6"/>
  <c r="F748" i="6"/>
  <c r="I748" i="6" s="1"/>
  <c r="B748" i="6"/>
  <c r="A748" i="6"/>
  <c r="B747" i="6"/>
  <c r="A747" i="6"/>
  <c r="F747" i="6" s="1"/>
  <c r="C746" i="6"/>
  <c r="D746" i="6" s="1"/>
  <c r="B746" i="6"/>
  <c r="E758" i="6" s="1"/>
  <c r="A746" i="6"/>
  <c r="F746" i="6" s="1"/>
  <c r="I758" i="6" s="1"/>
  <c r="F745" i="6"/>
  <c r="E745" i="6"/>
  <c r="D745" i="6"/>
  <c r="B745" i="6"/>
  <c r="C745" i="6" s="1"/>
  <c r="A745" i="6"/>
  <c r="F744" i="6"/>
  <c r="A744" i="6"/>
  <c r="B744" i="6" s="1"/>
  <c r="A743" i="6"/>
  <c r="C742" i="6"/>
  <c r="D742" i="6" s="1"/>
  <c r="B742" i="6"/>
  <c r="A742" i="6"/>
  <c r="F742" i="6" s="1"/>
  <c r="F741" i="6"/>
  <c r="E741" i="6"/>
  <c r="B741" i="6"/>
  <c r="A741" i="6"/>
  <c r="A740" i="6"/>
  <c r="F739" i="6"/>
  <c r="B739" i="6"/>
  <c r="A739" i="6"/>
  <c r="C738" i="6"/>
  <c r="D738" i="6" s="1"/>
  <c r="B738" i="6"/>
  <c r="E750" i="6" s="1"/>
  <c r="A738" i="6"/>
  <c r="F738" i="6" s="1"/>
  <c r="F737" i="6"/>
  <c r="B737" i="6"/>
  <c r="A737" i="6"/>
  <c r="A736" i="6"/>
  <c r="F736" i="6" s="1"/>
  <c r="A735" i="6"/>
  <c r="B735" i="6" s="1"/>
  <c r="E747" i="6" s="1"/>
  <c r="B734" i="6"/>
  <c r="E746" i="6" s="1"/>
  <c r="A734" i="6"/>
  <c r="F734" i="6" s="1"/>
  <c r="F733" i="6"/>
  <c r="B733" i="6"/>
  <c r="C734" i="6" s="1"/>
  <c r="D734" i="6" s="1"/>
  <c r="A733" i="6"/>
  <c r="A732" i="6"/>
  <c r="F731" i="6"/>
  <c r="A731" i="6"/>
  <c r="B731" i="6" s="1"/>
  <c r="C730" i="6"/>
  <c r="D730" i="6" s="1"/>
  <c r="B730" i="6"/>
  <c r="E742" i="6" s="1"/>
  <c r="A730" i="6"/>
  <c r="F730" i="6" s="1"/>
  <c r="F729" i="6"/>
  <c r="B729" i="6"/>
  <c r="A729" i="6"/>
  <c r="F728" i="6"/>
  <c r="A728" i="6"/>
  <c r="B728" i="6" s="1"/>
  <c r="B727" i="6"/>
  <c r="A727" i="6"/>
  <c r="F727" i="6" s="1"/>
  <c r="E726" i="6"/>
  <c r="B726" i="6"/>
  <c r="E738" i="6" s="1"/>
  <c r="A726" i="6"/>
  <c r="F726" i="6" s="1"/>
  <c r="F725" i="6"/>
  <c r="B725" i="6"/>
  <c r="A725" i="6"/>
  <c r="A724" i="6"/>
  <c r="F723" i="6"/>
  <c r="B723" i="6"/>
  <c r="A723" i="6"/>
  <c r="B722" i="6"/>
  <c r="A722" i="6"/>
  <c r="F722" i="6" s="1"/>
  <c r="F721" i="6"/>
  <c r="G721" i="6" s="1"/>
  <c r="H721" i="6" s="1"/>
  <c r="B721" i="6"/>
  <c r="A721" i="6"/>
  <c r="F720" i="6"/>
  <c r="B720" i="6"/>
  <c r="A720" i="6"/>
  <c r="A719" i="6"/>
  <c r="B718" i="6"/>
  <c r="A718" i="6"/>
  <c r="F718" i="6" s="1"/>
  <c r="G718" i="6" s="1"/>
  <c r="H718" i="6" s="1"/>
  <c r="F717" i="6"/>
  <c r="B717" i="6"/>
  <c r="A717" i="6"/>
  <c r="F716" i="6"/>
  <c r="I728" i="6" s="1"/>
  <c r="A716" i="6"/>
  <c r="B716" i="6" s="1"/>
  <c r="B715" i="6"/>
  <c r="A715" i="6"/>
  <c r="F715" i="6" s="1"/>
  <c r="B714" i="6"/>
  <c r="C714" i="6" s="1"/>
  <c r="D714" i="6" s="1"/>
  <c r="A714" i="6"/>
  <c r="F714" i="6" s="1"/>
  <c r="F713" i="6"/>
  <c r="B713" i="6"/>
  <c r="A713" i="6"/>
  <c r="A712" i="6"/>
  <c r="F711" i="6"/>
  <c r="B711" i="6"/>
  <c r="A711" i="6"/>
  <c r="F710" i="6"/>
  <c r="B710" i="6"/>
  <c r="A710" i="6"/>
  <c r="F709" i="6"/>
  <c r="B709" i="6"/>
  <c r="A709" i="6"/>
  <c r="F708" i="6"/>
  <c r="B708" i="6"/>
  <c r="E720" i="6" s="1"/>
  <c r="A708" i="6"/>
  <c r="A707" i="6"/>
  <c r="F707" i="6" s="1"/>
  <c r="F706" i="6"/>
  <c r="I718" i="6" s="1"/>
  <c r="E706" i="6"/>
  <c r="B706" i="6"/>
  <c r="C706" i="6" s="1"/>
  <c r="D706" i="6" s="1"/>
  <c r="A706" i="6"/>
  <c r="F705" i="6"/>
  <c r="B705" i="6"/>
  <c r="A705" i="6"/>
  <c r="E704" i="6"/>
  <c r="D704" i="6"/>
  <c r="C704" i="6"/>
  <c r="B704" i="6"/>
  <c r="A704" i="6"/>
  <c r="F704" i="6" s="1"/>
  <c r="G705" i="6" s="1"/>
  <c r="H705" i="6" s="1"/>
  <c r="F703" i="6"/>
  <c r="B703" i="6"/>
  <c r="A703" i="6"/>
  <c r="F702" i="6"/>
  <c r="B702" i="6"/>
  <c r="A702" i="6"/>
  <c r="F701" i="6"/>
  <c r="B701" i="6"/>
  <c r="E713" i="6" s="1"/>
  <c r="A701" i="6"/>
  <c r="F700" i="6"/>
  <c r="B700" i="6"/>
  <c r="A700" i="6"/>
  <c r="A699" i="6"/>
  <c r="F699" i="6" s="1"/>
  <c r="F698" i="6"/>
  <c r="B698" i="6"/>
  <c r="A698" i="6"/>
  <c r="F697" i="6"/>
  <c r="B697" i="6"/>
  <c r="A697" i="6"/>
  <c r="C696" i="6"/>
  <c r="D696" i="6" s="1"/>
  <c r="B696" i="6"/>
  <c r="E708" i="6" s="1"/>
  <c r="A696" i="6"/>
  <c r="F696" i="6" s="1"/>
  <c r="G697" i="6" s="1"/>
  <c r="H697" i="6" s="1"/>
  <c r="A695" i="6"/>
  <c r="B695" i="6" s="1"/>
  <c r="C695" i="6" s="1"/>
  <c r="D695" i="6" s="1"/>
  <c r="F694" i="6"/>
  <c r="B694" i="6"/>
  <c r="A694" i="6"/>
  <c r="F693" i="6"/>
  <c r="I705" i="6" s="1"/>
  <c r="B693" i="6"/>
  <c r="E705" i="6" s="1"/>
  <c r="A693" i="6"/>
  <c r="C692" i="6"/>
  <c r="D692" i="6" s="1"/>
  <c r="B692" i="6"/>
  <c r="A692" i="6"/>
  <c r="F692" i="6" s="1"/>
  <c r="F691" i="6"/>
  <c r="B691" i="6"/>
  <c r="A691" i="6"/>
  <c r="F690" i="6"/>
  <c r="I702" i="6" s="1"/>
  <c r="B690" i="6"/>
  <c r="C690" i="6" s="1"/>
  <c r="D690" i="6" s="1"/>
  <c r="A690" i="6"/>
  <c r="F689" i="6"/>
  <c r="I701" i="6" s="1"/>
  <c r="B689" i="6"/>
  <c r="A689" i="6"/>
  <c r="F688" i="6"/>
  <c r="B688" i="6"/>
  <c r="A688" i="6"/>
  <c r="A687" i="6"/>
  <c r="B687" i="6" s="1"/>
  <c r="C687" i="6" s="1"/>
  <c r="D687" i="6" s="1"/>
  <c r="F686" i="6"/>
  <c r="B686" i="6"/>
  <c r="A686" i="6"/>
  <c r="F685" i="6"/>
  <c r="I697" i="6" s="1"/>
  <c r="B685" i="6"/>
  <c r="E685" i="6" s="1"/>
  <c r="A685" i="6"/>
  <c r="A684" i="6"/>
  <c r="F683" i="6"/>
  <c r="A683" i="6"/>
  <c r="B683" i="6" s="1"/>
  <c r="F682" i="6"/>
  <c r="E682" i="6"/>
  <c r="B682" i="6"/>
  <c r="E694" i="6" s="1"/>
  <c r="A682" i="6"/>
  <c r="F681" i="6"/>
  <c r="G681" i="6" s="1"/>
  <c r="H681" i="6" s="1"/>
  <c r="B681" i="6"/>
  <c r="A681" i="6"/>
  <c r="F680" i="6"/>
  <c r="C680" i="6"/>
  <c r="D680" i="6" s="1"/>
  <c r="A680" i="6"/>
  <c r="B680" i="6" s="1"/>
  <c r="F679" i="6"/>
  <c r="B679" i="6"/>
  <c r="A679" i="6"/>
  <c r="F678" i="6"/>
  <c r="B678" i="6"/>
  <c r="A678" i="6"/>
  <c r="F677" i="6"/>
  <c r="G677" i="6" s="1"/>
  <c r="H677" i="6" s="1"/>
  <c r="C677" i="6"/>
  <c r="D677" i="6" s="1"/>
  <c r="B677" i="6"/>
  <c r="E689" i="6" s="1"/>
  <c r="A677" i="6"/>
  <c r="F676" i="6"/>
  <c r="B676" i="6"/>
  <c r="A676" i="6"/>
  <c r="F675" i="6"/>
  <c r="A675" i="6"/>
  <c r="B675" i="6" s="1"/>
  <c r="F674" i="6"/>
  <c r="I686" i="6" s="1"/>
  <c r="B674" i="6"/>
  <c r="A674" i="6"/>
  <c r="F673" i="6"/>
  <c r="B673" i="6"/>
  <c r="A673" i="6"/>
  <c r="F672" i="6"/>
  <c r="B672" i="6"/>
  <c r="A672" i="6"/>
  <c r="F671" i="6"/>
  <c r="A671" i="6"/>
  <c r="B671" i="6" s="1"/>
  <c r="F670" i="6"/>
  <c r="E670" i="6"/>
  <c r="B670" i="6"/>
  <c r="A670" i="6"/>
  <c r="F669" i="6"/>
  <c r="B669" i="6"/>
  <c r="A669" i="6"/>
  <c r="F668" i="6"/>
  <c r="A668" i="6"/>
  <c r="B668" i="6" s="1"/>
  <c r="F667" i="6"/>
  <c r="B667" i="6"/>
  <c r="A667" i="6"/>
  <c r="F666" i="6"/>
  <c r="B666" i="6"/>
  <c r="A666" i="6"/>
  <c r="F665" i="6"/>
  <c r="B665" i="6"/>
  <c r="A665" i="6"/>
  <c r="F664" i="6"/>
  <c r="B664" i="6"/>
  <c r="A664" i="6"/>
  <c r="B663" i="6"/>
  <c r="C663" i="6" s="1"/>
  <c r="D663" i="6" s="1"/>
  <c r="A663" i="6"/>
  <c r="F663" i="6" s="1"/>
  <c r="F662" i="6"/>
  <c r="B662" i="6"/>
  <c r="A662" i="6"/>
  <c r="A661" i="6"/>
  <c r="A660" i="6"/>
  <c r="F660" i="6" s="1"/>
  <c r="G660" i="6" s="1"/>
  <c r="H660" i="6" s="1"/>
  <c r="F659" i="6"/>
  <c r="A659" i="6"/>
  <c r="B659" i="6" s="1"/>
  <c r="F658" i="6"/>
  <c r="I670" i="6" s="1"/>
  <c r="A658" i="6"/>
  <c r="B658" i="6" s="1"/>
  <c r="C658" i="6" s="1"/>
  <c r="D658" i="6" s="1"/>
  <c r="F657" i="6"/>
  <c r="A657" i="6"/>
  <c r="B657" i="6" s="1"/>
  <c r="B656" i="6"/>
  <c r="A656" i="6"/>
  <c r="F656" i="6" s="1"/>
  <c r="B655" i="6"/>
  <c r="A655" i="6"/>
  <c r="F655" i="6" s="1"/>
  <c r="G656" i="6" s="1"/>
  <c r="H656" i="6" s="1"/>
  <c r="F654" i="6"/>
  <c r="B654" i="6"/>
  <c r="A654" i="6"/>
  <c r="F653" i="6"/>
  <c r="E653" i="6"/>
  <c r="A653" i="6"/>
  <c r="B653" i="6" s="1"/>
  <c r="A652" i="6"/>
  <c r="F651" i="6"/>
  <c r="B651" i="6"/>
  <c r="A651" i="6"/>
  <c r="B650" i="6"/>
  <c r="E662" i="6" s="1"/>
  <c r="A650" i="6"/>
  <c r="F650" i="6" s="1"/>
  <c r="A649" i="6"/>
  <c r="F648" i="6"/>
  <c r="E648" i="6"/>
  <c r="C648" i="6"/>
  <c r="D648" i="6" s="1"/>
  <c r="A648" i="6"/>
  <c r="B648" i="6" s="1"/>
  <c r="F647" i="6"/>
  <c r="I659" i="6" s="1"/>
  <c r="A647" i="6"/>
  <c r="B647" i="6" s="1"/>
  <c r="F646" i="6"/>
  <c r="B646" i="6"/>
  <c r="A646" i="6"/>
  <c r="A645" i="6"/>
  <c r="A644" i="6"/>
  <c r="A643" i="6"/>
  <c r="F642" i="6"/>
  <c r="B642" i="6"/>
  <c r="A642" i="6"/>
  <c r="F641" i="6"/>
  <c r="E641" i="6"/>
  <c r="A641" i="6"/>
  <c r="B641" i="6" s="1"/>
  <c r="A640" i="6"/>
  <c r="B639" i="6"/>
  <c r="A639" i="6"/>
  <c r="F639" i="6" s="1"/>
  <c r="A638" i="6"/>
  <c r="C637" i="6"/>
  <c r="D637" i="6" s="1"/>
  <c r="A637" i="6"/>
  <c r="B637" i="6" s="1"/>
  <c r="F636" i="6"/>
  <c r="D636" i="6"/>
  <c r="C636" i="6"/>
  <c r="B636" i="6"/>
  <c r="A636" i="6"/>
  <c r="F635" i="6"/>
  <c r="E635" i="6"/>
  <c r="C635" i="6"/>
  <c r="D635" i="6" s="1"/>
  <c r="B635" i="6"/>
  <c r="A635" i="6"/>
  <c r="F634" i="6"/>
  <c r="A634" i="6"/>
  <c r="B634" i="6" s="1"/>
  <c r="A633" i="6"/>
  <c r="C632" i="6"/>
  <c r="D632" i="6" s="1"/>
  <c r="A632" i="6"/>
  <c r="B632" i="6" s="1"/>
  <c r="I631" i="6"/>
  <c r="B631" i="6"/>
  <c r="A631" i="6"/>
  <c r="F631" i="6" s="1"/>
  <c r="F630" i="6"/>
  <c r="B630" i="6"/>
  <c r="A630" i="6"/>
  <c r="F629" i="6"/>
  <c r="A629" i="6"/>
  <c r="B629" i="6" s="1"/>
  <c r="A628" i="6"/>
  <c r="F627" i="6"/>
  <c r="A627" i="6"/>
  <c r="B627" i="6" s="1"/>
  <c r="C627" i="6" s="1"/>
  <c r="D627" i="6" s="1"/>
  <c r="B626" i="6"/>
  <c r="A626" i="6"/>
  <c r="F626" i="6" s="1"/>
  <c r="A625" i="6"/>
  <c r="F624" i="6"/>
  <c r="B624" i="6"/>
  <c r="A624" i="6"/>
  <c r="F623" i="6"/>
  <c r="A623" i="6"/>
  <c r="B623" i="6" s="1"/>
  <c r="C623" i="6" s="1"/>
  <c r="D623" i="6" s="1"/>
  <c r="F622" i="6"/>
  <c r="B622" i="6"/>
  <c r="A622" i="6"/>
  <c r="F621" i="6"/>
  <c r="A621" i="6"/>
  <c r="B621" i="6" s="1"/>
  <c r="B620" i="6"/>
  <c r="E632" i="6" s="1"/>
  <c r="A620" i="6"/>
  <c r="F620" i="6" s="1"/>
  <c r="F619" i="6"/>
  <c r="B619" i="6"/>
  <c r="E631" i="6" s="1"/>
  <c r="A619" i="6"/>
  <c r="F618" i="6"/>
  <c r="I630" i="6" s="1"/>
  <c r="B618" i="6"/>
  <c r="A618" i="6"/>
  <c r="A617" i="6"/>
  <c r="A616" i="6"/>
  <c r="F615" i="6"/>
  <c r="B615" i="6"/>
  <c r="A615" i="6"/>
  <c r="F614" i="6"/>
  <c r="B614" i="6"/>
  <c r="A614" i="6"/>
  <c r="A613" i="6"/>
  <c r="B613" i="6" s="1"/>
  <c r="A612" i="6"/>
  <c r="F611" i="6"/>
  <c r="A611" i="6"/>
  <c r="B611" i="6" s="1"/>
  <c r="A610" i="6"/>
  <c r="B610" i="6" s="1"/>
  <c r="F609" i="6"/>
  <c r="A609" i="6"/>
  <c r="B609" i="6" s="1"/>
  <c r="E621" i="6" s="1"/>
  <c r="B608" i="6"/>
  <c r="E608" i="6" s="1"/>
  <c r="A608" i="6"/>
  <c r="F608" i="6" s="1"/>
  <c r="I608" i="6" s="1"/>
  <c r="B607" i="6"/>
  <c r="E619" i="6" s="1"/>
  <c r="A607" i="6"/>
  <c r="F607" i="6" s="1"/>
  <c r="F606" i="6"/>
  <c r="B606" i="6"/>
  <c r="A606" i="6"/>
  <c r="F605" i="6"/>
  <c r="E605" i="6"/>
  <c r="A605" i="6"/>
  <c r="B605" i="6" s="1"/>
  <c r="A604" i="6"/>
  <c r="F603" i="6"/>
  <c r="E603" i="6"/>
  <c r="B603" i="6"/>
  <c r="A603" i="6"/>
  <c r="A602" i="6"/>
  <c r="F602" i="6" s="1"/>
  <c r="A601" i="6"/>
  <c r="F600" i="6"/>
  <c r="C600" i="6"/>
  <c r="D600" i="6" s="1"/>
  <c r="A600" i="6"/>
  <c r="B600" i="6" s="1"/>
  <c r="F599" i="6"/>
  <c r="A599" i="6"/>
  <c r="B599" i="6" s="1"/>
  <c r="F598" i="6"/>
  <c r="B598" i="6"/>
  <c r="A598" i="6"/>
  <c r="A597" i="6"/>
  <c r="E596" i="6"/>
  <c r="B596" i="6"/>
  <c r="A596" i="6"/>
  <c r="F596" i="6" s="1"/>
  <c r="A595" i="6"/>
  <c r="F594" i="6"/>
  <c r="A594" i="6"/>
  <c r="B594" i="6" s="1"/>
  <c r="E593" i="6"/>
  <c r="A593" i="6"/>
  <c r="B593" i="6" s="1"/>
  <c r="F592" i="6"/>
  <c r="B592" i="6"/>
  <c r="A592" i="6"/>
  <c r="F591" i="6"/>
  <c r="A591" i="6"/>
  <c r="B591" i="6" s="1"/>
  <c r="F590" i="6"/>
  <c r="B590" i="6"/>
  <c r="A590" i="6"/>
  <c r="A589" i="6"/>
  <c r="F588" i="6"/>
  <c r="A588" i="6"/>
  <c r="B588" i="6" s="1"/>
  <c r="E600" i="6" s="1"/>
  <c r="A587" i="6"/>
  <c r="A586" i="6"/>
  <c r="F585" i="6"/>
  <c r="E585" i="6"/>
  <c r="A585" i="6"/>
  <c r="B585" i="6" s="1"/>
  <c r="F584" i="6"/>
  <c r="A584" i="6"/>
  <c r="B584" i="6" s="1"/>
  <c r="A583" i="6"/>
  <c r="F582" i="6"/>
  <c r="D582" i="6"/>
  <c r="C582" i="6"/>
  <c r="B582" i="6"/>
  <c r="A582" i="6"/>
  <c r="F581" i="6"/>
  <c r="I581" i="6" s="1"/>
  <c r="E581" i="6"/>
  <c r="A581" i="6"/>
  <c r="B581" i="6" s="1"/>
  <c r="A580" i="6"/>
  <c r="A579" i="6"/>
  <c r="C578" i="6"/>
  <c r="D578" i="6" s="1"/>
  <c r="B578" i="6"/>
  <c r="A578" i="6"/>
  <c r="F578" i="6" s="1"/>
  <c r="F577" i="6"/>
  <c r="A577" i="6"/>
  <c r="B577" i="6" s="1"/>
  <c r="B576" i="6"/>
  <c r="A576" i="6"/>
  <c r="F576" i="6" s="1"/>
  <c r="B575" i="6"/>
  <c r="C575" i="6" s="1"/>
  <c r="D575" i="6" s="1"/>
  <c r="A575" i="6"/>
  <c r="F575" i="6" s="1"/>
  <c r="F574" i="6"/>
  <c r="D574" i="6"/>
  <c r="C574" i="6"/>
  <c r="A574" i="6"/>
  <c r="B574" i="6" s="1"/>
  <c r="F573" i="6"/>
  <c r="A573" i="6"/>
  <c r="B573" i="6" s="1"/>
  <c r="A572" i="6"/>
  <c r="F572" i="6" s="1"/>
  <c r="I584" i="6" s="1"/>
  <c r="F571" i="6"/>
  <c r="B571" i="6"/>
  <c r="A571" i="6"/>
  <c r="F570" i="6"/>
  <c r="C570" i="6"/>
  <c r="D570" i="6" s="1"/>
  <c r="B570" i="6"/>
  <c r="A570" i="6"/>
  <c r="F569" i="6"/>
  <c r="A569" i="6"/>
  <c r="B569" i="6" s="1"/>
  <c r="A568" i="6"/>
  <c r="B567" i="6"/>
  <c r="A567" i="6"/>
  <c r="F567" i="6" s="1"/>
  <c r="G567" i="6" s="1"/>
  <c r="H567" i="6" s="1"/>
  <c r="F566" i="6"/>
  <c r="I578" i="6" s="1"/>
  <c r="B566" i="6"/>
  <c r="A566" i="6"/>
  <c r="A565" i="6"/>
  <c r="B564" i="6"/>
  <c r="A564" i="6"/>
  <c r="F564" i="6" s="1"/>
  <c r="F563" i="6"/>
  <c r="A563" i="6"/>
  <c r="B563" i="6" s="1"/>
  <c r="F562" i="6"/>
  <c r="A562" i="6"/>
  <c r="B562" i="6" s="1"/>
  <c r="A561" i="6"/>
  <c r="F560" i="6"/>
  <c r="I572" i="6" s="1"/>
  <c r="B560" i="6"/>
  <c r="A560" i="6"/>
  <c r="C559" i="6"/>
  <c r="D559" i="6" s="1"/>
  <c r="B559" i="6"/>
  <c r="E571" i="6" s="1"/>
  <c r="A559" i="6"/>
  <c r="F559" i="6" s="1"/>
  <c r="F558" i="6"/>
  <c r="A558" i="6"/>
  <c r="B558" i="6" s="1"/>
  <c r="A557" i="6"/>
  <c r="B557" i="6" s="1"/>
  <c r="D556" i="6"/>
  <c r="C556" i="6"/>
  <c r="B556" i="6"/>
  <c r="A556" i="6"/>
  <c r="F556" i="6" s="1"/>
  <c r="I556" i="6" s="1"/>
  <c r="F555" i="6"/>
  <c r="B555" i="6"/>
  <c r="A555" i="6"/>
  <c r="A554" i="6"/>
  <c r="A553" i="6"/>
  <c r="F552" i="6"/>
  <c r="G552" i="6" s="1"/>
  <c r="H552" i="6" s="1"/>
  <c r="E552" i="6"/>
  <c r="A552" i="6"/>
  <c r="B552" i="6" s="1"/>
  <c r="A551" i="6"/>
  <c r="F551" i="6" s="1"/>
  <c r="F550" i="6"/>
  <c r="B550" i="6"/>
  <c r="E562" i="6" s="1"/>
  <c r="A550" i="6"/>
  <c r="F549" i="6"/>
  <c r="E549" i="6"/>
  <c r="A549" i="6"/>
  <c r="B549" i="6" s="1"/>
  <c r="A548" i="6"/>
  <c r="F548" i="6" s="1"/>
  <c r="A547" i="6"/>
  <c r="B547" i="6" s="1"/>
  <c r="C547" i="6" s="1"/>
  <c r="D547" i="6" s="1"/>
  <c r="A546" i="6"/>
  <c r="B546" i="6" s="1"/>
  <c r="A545" i="6"/>
  <c r="F544" i="6"/>
  <c r="B544" i="6"/>
  <c r="A544" i="6"/>
  <c r="F543" i="6"/>
  <c r="B543" i="6"/>
  <c r="A543" i="6"/>
  <c r="A542" i="6"/>
  <c r="F542" i="6" s="1"/>
  <c r="F541" i="6"/>
  <c r="C541" i="6"/>
  <c r="D541" i="6" s="1"/>
  <c r="A541" i="6"/>
  <c r="B541" i="6" s="1"/>
  <c r="D540" i="6"/>
  <c r="C540" i="6"/>
  <c r="B540" i="6"/>
  <c r="A540" i="6"/>
  <c r="F540" i="6" s="1"/>
  <c r="F539" i="6"/>
  <c r="B539" i="6"/>
  <c r="A539" i="6"/>
  <c r="F538" i="6"/>
  <c r="A538" i="6"/>
  <c r="B538" i="6" s="1"/>
  <c r="F537" i="6"/>
  <c r="A537" i="6"/>
  <c r="B537" i="6" s="1"/>
  <c r="A536" i="6"/>
  <c r="A535" i="6"/>
  <c r="F535" i="6" s="1"/>
  <c r="F534" i="6"/>
  <c r="C534" i="6"/>
  <c r="D534" i="6" s="1"/>
  <c r="B534" i="6"/>
  <c r="A534" i="6"/>
  <c r="F533" i="6"/>
  <c r="A533" i="6"/>
  <c r="B533" i="6" s="1"/>
  <c r="C532" i="6"/>
  <c r="D532" i="6" s="1"/>
  <c r="B532" i="6"/>
  <c r="A532" i="6"/>
  <c r="F532" i="6" s="1"/>
  <c r="F531" i="6"/>
  <c r="I531" i="6" s="1"/>
  <c r="A531" i="6"/>
  <c r="B531" i="6" s="1"/>
  <c r="A530" i="6"/>
  <c r="F530" i="6" s="1"/>
  <c r="A529" i="6"/>
  <c r="B529" i="6" s="1"/>
  <c r="A528" i="6"/>
  <c r="A527" i="6"/>
  <c r="F527" i="6" s="1"/>
  <c r="F526" i="6"/>
  <c r="A526" i="6"/>
  <c r="B526" i="6" s="1"/>
  <c r="F525" i="6"/>
  <c r="A525" i="6"/>
  <c r="B525" i="6" s="1"/>
  <c r="A524" i="6"/>
  <c r="F524" i="6" s="1"/>
  <c r="F523" i="6"/>
  <c r="B523" i="6"/>
  <c r="A523" i="6"/>
  <c r="F522" i="6"/>
  <c r="A522" i="6"/>
  <c r="B522" i="6" s="1"/>
  <c r="A521" i="6"/>
  <c r="F520" i="6"/>
  <c r="B520" i="6"/>
  <c r="A520" i="6"/>
  <c r="A519" i="6"/>
  <c r="F519" i="6" s="1"/>
  <c r="F518" i="6"/>
  <c r="I518" i="6" s="1"/>
  <c r="B518" i="6"/>
  <c r="A518" i="6"/>
  <c r="A517" i="6"/>
  <c r="A516" i="6"/>
  <c r="A515" i="6"/>
  <c r="B515" i="6" s="1"/>
  <c r="F514" i="6"/>
  <c r="B514" i="6"/>
  <c r="E526" i="6" s="1"/>
  <c r="A514" i="6"/>
  <c r="B513" i="6"/>
  <c r="A513" i="6"/>
  <c r="F513" i="6" s="1"/>
  <c r="G512" i="6"/>
  <c r="H512" i="6" s="1"/>
  <c r="A512" i="6"/>
  <c r="F512" i="6" s="1"/>
  <c r="F511" i="6"/>
  <c r="B511" i="6"/>
  <c r="A511" i="6"/>
  <c r="F510" i="6"/>
  <c r="E510" i="6"/>
  <c r="B510" i="6"/>
  <c r="A510" i="6"/>
  <c r="A509" i="6"/>
  <c r="B508" i="6"/>
  <c r="A508" i="6"/>
  <c r="F508" i="6" s="1"/>
  <c r="F507" i="6"/>
  <c r="B507" i="6"/>
  <c r="A507" i="6"/>
  <c r="B506" i="6"/>
  <c r="A506" i="6"/>
  <c r="F506" i="6" s="1"/>
  <c r="A505" i="6"/>
  <c r="B505" i="6" s="1"/>
  <c r="A504" i="6"/>
  <c r="B503" i="6"/>
  <c r="A503" i="6"/>
  <c r="F503" i="6" s="1"/>
  <c r="A502" i="6"/>
  <c r="B502" i="6" s="1"/>
  <c r="E514" i="6" s="1"/>
  <c r="B501" i="6"/>
  <c r="A501" i="6"/>
  <c r="F501" i="6" s="1"/>
  <c r="A500" i="6"/>
  <c r="F500" i="6" s="1"/>
  <c r="A499" i="6"/>
  <c r="B499" i="6" s="1"/>
  <c r="F498" i="6"/>
  <c r="I510" i="6" s="1"/>
  <c r="E498" i="6"/>
  <c r="B498" i="6"/>
  <c r="A498" i="6"/>
  <c r="A497" i="6"/>
  <c r="B496" i="6"/>
  <c r="A496" i="6"/>
  <c r="F496" i="6" s="1"/>
  <c r="G496" i="6" s="1"/>
  <c r="H496" i="6" s="1"/>
  <c r="F495" i="6"/>
  <c r="I507" i="6" s="1"/>
  <c r="B495" i="6"/>
  <c r="A495" i="6"/>
  <c r="F494" i="6"/>
  <c r="E494" i="6"/>
  <c r="B494" i="6"/>
  <c r="A494" i="6"/>
  <c r="A493" i="6"/>
  <c r="F493" i="6" s="1"/>
  <c r="B492" i="6"/>
  <c r="A492" i="6"/>
  <c r="F492" i="6" s="1"/>
  <c r="G493" i="6" s="1"/>
  <c r="H493" i="6" s="1"/>
  <c r="F491" i="6"/>
  <c r="G492" i="6" s="1"/>
  <c r="H492" i="6" s="1"/>
  <c r="B491" i="6"/>
  <c r="A491" i="6"/>
  <c r="A490" i="6"/>
  <c r="A489" i="6"/>
  <c r="B489" i="6" s="1"/>
  <c r="A488" i="6"/>
  <c r="A487" i="6"/>
  <c r="F486" i="6"/>
  <c r="A486" i="6"/>
  <c r="B486" i="6" s="1"/>
  <c r="A485" i="6"/>
  <c r="A484" i="6"/>
  <c r="F484" i="6" s="1"/>
  <c r="F483" i="6"/>
  <c r="A483" i="6"/>
  <c r="B483" i="6" s="1"/>
  <c r="F482" i="6"/>
  <c r="I494" i="6" s="1"/>
  <c r="E482" i="6"/>
  <c r="C482" i="6"/>
  <c r="D482" i="6" s="1"/>
  <c r="B482" i="6"/>
  <c r="A482" i="6"/>
  <c r="F481" i="6"/>
  <c r="A481" i="6"/>
  <c r="B481" i="6" s="1"/>
  <c r="A480" i="6"/>
  <c r="F480" i="6" s="1"/>
  <c r="F479" i="6"/>
  <c r="B479" i="6"/>
  <c r="E491" i="6" s="1"/>
  <c r="A479" i="6"/>
  <c r="F478" i="6"/>
  <c r="B478" i="6"/>
  <c r="A478" i="6"/>
  <c r="A477" i="6"/>
  <c r="F477" i="6" s="1"/>
  <c r="C476" i="6"/>
  <c r="D476" i="6" s="1"/>
  <c r="B476" i="6"/>
  <c r="A476" i="6"/>
  <c r="F476" i="6" s="1"/>
  <c r="F475" i="6"/>
  <c r="B475" i="6"/>
  <c r="A475" i="6"/>
  <c r="A474" i="6"/>
  <c r="C473" i="6"/>
  <c r="D473" i="6" s="1"/>
  <c r="A473" i="6"/>
  <c r="B473" i="6" s="1"/>
  <c r="C472" i="6"/>
  <c r="D472" i="6" s="1"/>
  <c r="B472" i="6"/>
  <c r="A472" i="6"/>
  <c r="F472" i="6" s="1"/>
  <c r="B471" i="6"/>
  <c r="A471" i="6"/>
  <c r="F471" i="6" s="1"/>
  <c r="F470" i="6"/>
  <c r="E470" i="6"/>
  <c r="A470" i="6"/>
  <c r="B470" i="6" s="1"/>
  <c r="C470" i="6" s="1"/>
  <c r="D470" i="6" s="1"/>
  <c r="F469" i="6"/>
  <c r="A469" i="6"/>
  <c r="B469" i="6" s="1"/>
  <c r="E481" i="6" s="1"/>
  <c r="B468" i="6"/>
  <c r="A468" i="6"/>
  <c r="F468" i="6" s="1"/>
  <c r="F467" i="6"/>
  <c r="I467" i="6" s="1"/>
  <c r="B467" i="6"/>
  <c r="A467" i="6"/>
  <c r="F466" i="6"/>
  <c r="A466" i="6"/>
  <c r="B466" i="6" s="1"/>
  <c r="A465" i="6"/>
  <c r="A464" i="6"/>
  <c r="F463" i="6"/>
  <c r="E463" i="6"/>
  <c r="C463" i="6"/>
  <c r="D463" i="6" s="1"/>
  <c r="B463" i="6"/>
  <c r="E475" i="6" s="1"/>
  <c r="A463" i="6"/>
  <c r="B462" i="6"/>
  <c r="A462" i="6"/>
  <c r="F462" i="6" s="1"/>
  <c r="I461" i="6"/>
  <c r="F461" i="6"/>
  <c r="A461" i="6"/>
  <c r="B461" i="6" s="1"/>
  <c r="F460" i="6"/>
  <c r="A460" i="6"/>
  <c r="B460" i="6" s="1"/>
  <c r="F459" i="6"/>
  <c r="B459" i="6"/>
  <c r="A459" i="6"/>
  <c r="E458" i="6"/>
  <c r="A458" i="6"/>
  <c r="B458" i="6" s="1"/>
  <c r="A457" i="6"/>
  <c r="F456" i="6"/>
  <c r="B456" i="6"/>
  <c r="A456" i="6"/>
  <c r="F455" i="6"/>
  <c r="G455" i="6" s="1"/>
  <c r="H455" i="6" s="1"/>
  <c r="B455" i="6"/>
  <c r="A455" i="6"/>
  <c r="F454" i="6"/>
  <c r="A454" i="6"/>
  <c r="B454" i="6" s="1"/>
  <c r="F453" i="6"/>
  <c r="A453" i="6"/>
  <c r="B453" i="6" s="1"/>
  <c r="B452" i="6"/>
  <c r="A452" i="6"/>
  <c r="F452" i="6" s="1"/>
  <c r="F451" i="6"/>
  <c r="E451" i="6"/>
  <c r="B451" i="6"/>
  <c r="A451" i="6"/>
  <c r="I450" i="6"/>
  <c r="A450" i="6"/>
  <c r="F450" i="6" s="1"/>
  <c r="F449" i="6"/>
  <c r="B449" i="6"/>
  <c r="A449" i="6"/>
  <c r="A448" i="6"/>
  <c r="F447" i="6"/>
  <c r="C447" i="6"/>
  <c r="D447" i="6" s="1"/>
  <c r="B447" i="6"/>
  <c r="E459" i="6" s="1"/>
  <c r="A447" i="6"/>
  <c r="F446" i="6"/>
  <c r="A446" i="6"/>
  <c r="B446" i="6" s="1"/>
  <c r="A445" i="6"/>
  <c r="F444" i="6"/>
  <c r="A444" i="6"/>
  <c r="B444" i="6" s="1"/>
  <c r="F443" i="6"/>
  <c r="B443" i="6"/>
  <c r="A443" i="6"/>
  <c r="F442" i="6"/>
  <c r="B442" i="6"/>
  <c r="A442" i="6"/>
  <c r="A441" i="6"/>
  <c r="A440" i="6"/>
  <c r="F440" i="6" s="1"/>
  <c r="F439" i="6"/>
  <c r="G440" i="6" s="1"/>
  <c r="H440" i="6" s="1"/>
  <c r="E439" i="6"/>
  <c r="B439" i="6"/>
  <c r="A439" i="6"/>
  <c r="A438" i="6"/>
  <c r="F438" i="6" s="1"/>
  <c r="F437" i="6"/>
  <c r="A437" i="6"/>
  <c r="B437" i="6" s="1"/>
  <c r="C437" i="6" s="1"/>
  <c r="D437" i="6" s="1"/>
  <c r="F436" i="6"/>
  <c r="G436" i="6" s="1"/>
  <c r="H436" i="6" s="1"/>
  <c r="A436" i="6"/>
  <c r="B436" i="6" s="1"/>
  <c r="F435" i="6"/>
  <c r="G435" i="6" s="1"/>
  <c r="H435" i="6" s="1"/>
  <c r="B435" i="6"/>
  <c r="A435" i="6"/>
  <c r="F434" i="6"/>
  <c r="A434" i="6"/>
  <c r="B434" i="6" s="1"/>
  <c r="A433" i="6"/>
  <c r="F433" i="6" s="1"/>
  <c r="F432" i="6"/>
  <c r="B432" i="6"/>
  <c r="A432" i="6"/>
  <c r="F431" i="6"/>
  <c r="B431" i="6"/>
  <c r="A431" i="6"/>
  <c r="F430" i="6"/>
  <c r="E430" i="6"/>
  <c r="D430" i="6"/>
  <c r="A430" i="6"/>
  <c r="B430" i="6" s="1"/>
  <c r="C430" i="6" s="1"/>
  <c r="A429" i="6"/>
  <c r="B429" i="6" s="1"/>
  <c r="C428" i="6"/>
  <c r="D428" i="6" s="1"/>
  <c r="B428" i="6"/>
  <c r="A428" i="6"/>
  <c r="F428" i="6" s="1"/>
  <c r="F427" i="6"/>
  <c r="E427" i="6"/>
  <c r="B427" i="6"/>
  <c r="A427" i="6"/>
  <c r="F426" i="6"/>
  <c r="B426" i="6"/>
  <c r="A426" i="6"/>
  <c r="F425" i="6"/>
  <c r="B425" i="6"/>
  <c r="A425" i="6"/>
  <c r="F424" i="6"/>
  <c r="A424" i="6"/>
  <c r="B424" i="6" s="1"/>
  <c r="F423" i="6"/>
  <c r="B423" i="6"/>
  <c r="E435" i="6" s="1"/>
  <c r="A423" i="6"/>
  <c r="E422" i="6"/>
  <c r="A422" i="6"/>
  <c r="B422" i="6" s="1"/>
  <c r="E434" i="6" s="1"/>
  <c r="B421" i="6"/>
  <c r="A421" i="6"/>
  <c r="F421" i="6" s="1"/>
  <c r="F420" i="6"/>
  <c r="E420" i="6"/>
  <c r="A420" i="6"/>
  <c r="B420" i="6" s="1"/>
  <c r="F419" i="6"/>
  <c r="E419" i="6"/>
  <c r="B419" i="6"/>
  <c r="A419" i="6"/>
  <c r="F418" i="6"/>
  <c r="G419" i="6" s="1"/>
  <c r="H419" i="6" s="1"/>
  <c r="B418" i="6"/>
  <c r="C418" i="6" s="1"/>
  <c r="D418" i="6" s="1"/>
  <c r="A418" i="6"/>
  <c r="B417" i="6"/>
  <c r="C417" i="6" s="1"/>
  <c r="D417" i="6" s="1"/>
  <c r="A417" i="6"/>
  <c r="F417" i="6" s="1"/>
  <c r="G416" i="6"/>
  <c r="H416" i="6" s="1"/>
  <c r="B416" i="6"/>
  <c r="E428" i="6" s="1"/>
  <c r="A416" i="6"/>
  <c r="F416" i="6" s="1"/>
  <c r="F415" i="6"/>
  <c r="E415" i="6"/>
  <c r="B415" i="6"/>
  <c r="A415" i="6"/>
  <c r="A414" i="6"/>
  <c r="F413" i="6"/>
  <c r="A413" i="6"/>
  <c r="B413" i="6" s="1"/>
  <c r="A412" i="6"/>
  <c r="F411" i="6"/>
  <c r="I411" i="6" s="1"/>
  <c r="B411" i="6"/>
  <c r="A411" i="6"/>
  <c r="F410" i="6"/>
  <c r="B410" i="6"/>
  <c r="A410" i="6"/>
  <c r="A409" i="6"/>
  <c r="F408" i="6"/>
  <c r="I420" i="6" s="1"/>
  <c r="B408" i="6"/>
  <c r="A408" i="6"/>
  <c r="F407" i="6"/>
  <c r="B407" i="6"/>
  <c r="C408" i="6" s="1"/>
  <c r="D408" i="6" s="1"/>
  <c r="A407" i="6"/>
  <c r="F406" i="6"/>
  <c r="A406" i="6"/>
  <c r="B406" i="6" s="1"/>
  <c r="C406" i="6" s="1"/>
  <c r="D406" i="6" s="1"/>
  <c r="F405" i="6"/>
  <c r="B405" i="6"/>
  <c r="A405" i="6"/>
  <c r="A404" i="6"/>
  <c r="F403" i="6"/>
  <c r="E403" i="6"/>
  <c r="B403" i="6"/>
  <c r="A403" i="6"/>
  <c r="F402" i="6"/>
  <c r="G402" i="6" s="1"/>
  <c r="H402" i="6" s="1"/>
  <c r="C402" i="6"/>
  <c r="D402" i="6" s="1"/>
  <c r="B402" i="6"/>
  <c r="A402" i="6"/>
  <c r="F401" i="6"/>
  <c r="B401" i="6"/>
  <c r="A401" i="6"/>
  <c r="A400" i="6"/>
  <c r="F400" i="6" s="1"/>
  <c r="G400" i="6" s="1"/>
  <c r="H400" i="6" s="1"/>
  <c r="F399" i="6"/>
  <c r="I399" i="6" s="1"/>
  <c r="C399" i="6"/>
  <c r="D399" i="6" s="1"/>
  <c r="B399" i="6"/>
  <c r="A399" i="6"/>
  <c r="F398" i="6"/>
  <c r="E398" i="6"/>
  <c r="A398" i="6"/>
  <c r="B398" i="6" s="1"/>
  <c r="A397" i="6"/>
  <c r="F397" i="6" s="1"/>
  <c r="F396" i="6"/>
  <c r="G396" i="6" s="1"/>
  <c r="H396" i="6" s="1"/>
  <c r="A396" i="6"/>
  <c r="B396" i="6" s="1"/>
  <c r="F395" i="6"/>
  <c r="B395" i="6"/>
  <c r="E407" i="6" s="1"/>
  <c r="A395" i="6"/>
  <c r="F394" i="6"/>
  <c r="I394" i="6" s="1"/>
  <c r="B394" i="6"/>
  <c r="A394" i="6"/>
  <c r="A393" i="6"/>
  <c r="F393" i="6" s="1"/>
  <c r="G393" i="6" s="1"/>
  <c r="H393" i="6" s="1"/>
  <c r="C392" i="6"/>
  <c r="D392" i="6" s="1"/>
  <c r="B392" i="6"/>
  <c r="A392" i="6"/>
  <c r="F392" i="6" s="1"/>
  <c r="F391" i="6"/>
  <c r="E391" i="6"/>
  <c r="B391" i="6"/>
  <c r="A391" i="6"/>
  <c r="A390" i="6"/>
  <c r="F389" i="6"/>
  <c r="A389" i="6"/>
  <c r="B389" i="6" s="1"/>
  <c r="F388" i="6"/>
  <c r="G388" i="6" s="1"/>
  <c r="H388" i="6" s="1"/>
  <c r="B388" i="6"/>
  <c r="A388" i="6"/>
  <c r="F387" i="6"/>
  <c r="I387" i="6" s="1"/>
  <c r="B387" i="6"/>
  <c r="A387" i="6"/>
  <c r="F386" i="6"/>
  <c r="I398" i="6" s="1"/>
  <c r="B386" i="6"/>
  <c r="C386" i="6" s="1"/>
  <c r="D386" i="6" s="1"/>
  <c r="A386" i="6"/>
  <c r="F385" i="6"/>
  <c r="B385" i="6"/>
  <c r="A385" i="6"/>
  <c r="F384" i="6"/>
  <c r="C384" i="6"/>
  <c r="D384" i="6" s="1"/>
  <c r="B384" i="6"/>
  <c r="A384" i="6"/>
  <c r="F383" i="6"/>
  <c r="C383" i="6"/>
  <c r="D383" i="6" s="1"/>
  <c r="B383" i="6"/>
  <c r="A383" i="6"/>
  <c r="F382" i="6"/>
  <c r="A382" i="6"/>
  <c r="B382" i="6" s="1"/>
  <c r="F381" i="6"/>
  <c r="A381" i="6"/>
  <c r="B381" i="6" s="1"/>
  <c r="B380" i="6"/>
  <c r="A380" i="6"/>
  <c r="F380" i="6" s="1"/>
  <c r="I392" i="6" s="1"/>
  <c r="F379" i="6"/>
  <c r="E379" i="6"/>
  <c r="B379" i="6"/>
  <c r="A379" i="6"/>
  <c r="B378" i="6"/>
  <c r="A378" i="6"/>
  <c r="F378" i="6" s="1"/>
  <c r="F377" i="6"/>
  <c r="E377" i="6"/>
  <c r="C377" i="6"/>
  <c r="D377" i="6" s="1"/>
  <c r="B377" i="6"/>
  <c r="A377" i="6"/>
  <c r="B376" i="6"/>
  <c r="C376" i="6" s="1"/>
  <c r="D376" i="6" s="1"/>
  <c r="A376" i="6"/>
  <c r="F376" i="6" s="1"/>
  <c r="F375" i="6"/>
  <c r="E375" i="6"/>
  <c r="B375" i="6"/>
  <c r="A375" i="6"/>
  <c r="F374" i="6"/>
  <c r="B374" i="6"/>
  <c r="A374" i="6"/>
  <c r="A373" i="6"/>
  <c r="F373" i="6" s="1"/>
  <c r="G374" i="6" s="1"/>
  <c r="H374" i="6" s="1"/>
  <c r="F372" i="6"/>
  <c r="C372" i="6"/>
  <c r="D372" i="6" s="1"/>
  <c r="A372" i="6"/>
  <c r="B372" i="6" s="1"/>
  <c r="E384" i="6" s="1"/>
  <c r="F371" i="6"/>
  <c r="E371" i="6"/>
  <c r="B371" i="6"/>
  <c r="A371" i="6"/>
  <c r="E370" i="6"/>
  <c r="A370" i="6"/>
  <c r="B370" i="6" s="1"/>
  <c r="C371" i="6" s="1"/>
  <c r="D371" i="6" s="1"/>
  <c r="F369" i="6"/>
  <c r="B369" i="6"/>
  <c r="A369" i="6"/>
  <c r="A368" i="6"/>
  <c r="B368" i="6" s="1"/>
  <c r="F367" i="6"/>
  <c r="G367" i="6" s="1"/>
  <c r="H367" i="6" s="1"/>
  <c r="E367" i="6"/>
  <c r="B367" i="6"/>
  <c r="A367" i="6"/>
  <c r="D366" i="6"/>
  <c r="C366" i="6"/>
  <c r="B366" i="6"/>
  <c r="A366" i="6"/>
  <c r="F366" i="6" s="1"/>
  <c r="F365" i="6"/>
  <c r="G366" i="6" s="1"/>
  <c r="H366" i="6" s="1"/>
  <c r="A365" i="6"/>
  <c r="B365" i="6" s="1"/>
  <c r="F364" i="6"/>
  <c r="A364" i="6"/>
  <c r="B364" i="6" s="1"/>
  <c r="F363" i="6"/>
  <c r="I375" i="6" s="1"/>
  <c r="C363" i="6"/>
  <c r="D363" i="6" s="1"/>
  <c r="B363" i="6"/>
  <c r="A363" i="6"/>
  <c r="F362" i="6"/>
  <c r="I374" i="6" s="1"/>
  <c r="A362" i="6"/>
  <c r="B362" i="6" s="1"/>
  <c r="B361" i="6"/>
  <c r="A361" i="6"/>
  <c r="F361" i="6" s="1"/>
  <c r="A360" i="6"/>
  <c r="F360" i="6" s="1"/>
  <c r="F359" i="6"/>
  <c r="B359" i="6"/>
  <c r="C359" i="6" s="1"/>
  <c r="D359" i="6" s="1"/>
  <c r="A359" i="6"/>
  <c r="F358" i="6"/>
  <c r="I358" i="6" s="1"/>
  <c r="A358" i="6"/>
  <c r="B358" i="6" s="1"/>
  <c r="F357" i="6"/>
  <c r="B357" i="6"/>
  <c r="A357" i="6"/>
  <c r="B356" i="6"/>
  <c r="A356" i="6"/>
  <c r="F356" i="6" s="1"/>
  <c r="F355" i="6"/>
  <c r="B355" i="6"/>
  <c r="A355" i="6"/>
  <c r="A354" i="6"/>
  <c r="F353" i="6"/>
  <c r="B353" i="6"/>
  <c r="E365" i="6" s="1"/>
  <c r="A353" i="6"/>
  <c r="A352" i="6"/>
  <c r="B352" i="6" s="1"/>
  <c r="C352" i="6" s="1"/>
  <c r="D352" i="6" s="1"/>
  <c r="F351" i="6"/>
  <c r="B351" i="6"/>
  <c r="A351" i="6"/>
  <c r="A350" i="6"/>
  <c r="B349" i="6"/>
  <c r="A349" i="6"/>
  <c r="F349" i="6" s="1"/>
  <c r="F348" i="6"/>
  <c r="A348" i="6"/>
  <c r="B348" i="6" s="1"/>
  <c r="F347" i="6"/>
  <c r="C347" i="6"/>
  <c r="D347" i="6" s="1"/>
  <c r="B347" i="6"/>
  <c r="A347" i="6"/>
  <c r="F346" i="6"/>
  <c r="A346" i="6"/>
  <c r="B346" i="6" s="1"/>
  <c r="E358" i="6" s="1"/>
  <c r="A345" i="6"/>
  <c r="B345" i="6" s="1"/>
  <c r="A344" i="6"/>
  <c r="B344" i="6" s="1"/>
  <c r="C344" i="6" s="1"/>
  <c r="D344" i="6" s="1"/>
  <c r="F343" i="6"/>
  <c r="E343" i="6"/>
  <c r="B343" i="6"/>
  <c r="E355" i="6" s="1"/>
  <c r="A343" i="6"/>
  <c r="B342" i="6"/>
  <c r="C342" i="6" s="1"/>
  <c r="D342" i="6" s="1"/>
  <c r="A342" i="6"/>
  <c r="F342" i="6" s="1"/>
  <c r="F341" i="6"/>
  <c r="A341" i="6"/>
  <c r="B341" i="6" s="1"/>
  <c r="B340" i="6"/>
  <c r="A340" i="6"/>
  <c r="F340" i="6" s="1"/>
  <c r="F339" i="6"/>
  <c r="I339" i="6" s="1"/>
  <c r="B339" i="6"/>
  <c r="E351" i="6" s="1"/>
  <c r="A339" i="6"/>
  <c r="B338" i="6"/>
  <c r="A338" i="6"/>
  <c r="F338" i="6" s="1"/>
  <c r="A337" i="6"/>
  <c r="A336" i="6"/>
  <c r="G335" i="6"/>
  <c r="H335" i="6" s="1"/>
  <c r="F335" i="6"/>
  <c r="B335" i="6"/>
  <c r="A335" i="6"/>
  <c r="F334" i="6"/>
  <c r="A334" i="6"/>
  <c r="B334" i="6" s="1"/>
  <c r="E346" i="6" s="1"/>
  <c r="A333" i="6"/>
  <c r="B333" i="6" s="1"/>
  <c r="C332" i="6"/>
  <c r="D332" i="6" s="1"/>
  <c r="B332" i="6"/>
  <c r="E344" i="6" s="1"/>
  <c r="A332" i="6"/>
  <c r="F332" i="6" s="1"/>
  <c r="F331" i="6"/>
  <c r="I331" i="6" s="1"/>
  <c r="B331" i="6"/>
  <c r="A331" i="6"/>
  <c r="B330" i="6"/>
  <c r="A330" i="6"/>
  <c r="F330" i="6" s="1"/>
  <c r="A329" i="6"/>
  <c r="B329" i="6" s="1"/>
  <c r="F328" i="6"/>
  <c r="A328" i="6"/>
  <c r="B328" i="6" s="1"/>
  <c r="F327" i="6"/>
  <c r="I327" i="6" s="1"/>
  <c r="B327" i="6"/>
  <c r="E339" i="6" s="1"/>
  <c r="A327" i="6"/>
  <c r="G326" i="6"/>
  <c r="H326" i="6" s="1"/>
  <c r="A326" i="6"/>
  <c r="F326" i="6" s="1"/>
  <c r="I338" i="6" s="1"/>
  <c r="B325" i="6"/>
  <c r="C325" i="6" s="1"/>
  <c r="D325" i="6" s="1"/>
  <c r="A325" i="6"/>
  <c r="F325" i="6" s="1"/>
  <c r="F324" i="6"/>
  <c r="B324" i="6"/>
  <c r="A324" i="6"/>
  <c r="F323" i="6"/>
  <c r="B323" i="6"/>
  <c r="E335" i="6" s="1"/>
  <c r="A323" i="6"/>
  <c r="A322" i="6"/>
  <c r="F322" i="6" s="1"/>
  <c r="I334" i="6" s="1"/>
  <c r="B321" i="6"/>
  <c r="E333" i="6" s="1"/>
  <c r="A321" i="6"/>
  <c r="F321" i="6" s="1"/>
  <c r="F320" i="6"/>
  <c r="I332" i="6" s="1"/>
  <c r="B320" i="6"/>
  <c r="E332" i="6" s="1"/>
  <c r="A320" i="6"/>
  <c r="F319" i="6"/>
  <c r="B319" i="6"/>
  <c r="A319" i="6"/>
  <c r="F318" i="6"/>
  <c r="B318" i="6"/>
  <c r="A318" i="6"/>
  <c r="A317" i="6"/>
  <c r="F317" i="6" s="1"/>
  <c r="F316" i="6"/>
  <c r="B316" i="6"/>
  <c r="A316" i="6"/>
  <c r="F315" i="6"/>
  <c r="G316" i="6" s="1"/>
  <c r="H316" i="6" s="1"/>
  <c r="B315" i="6"/>
  <c r="E327" i="6" s="1"/>
  <c r="A315" i="6"/>
  <c r="A314" i="6"/>
  <c r="F314" i="6" s="1"/>
  <c r="B313" i="6"/>
  <c r="A313" i="6"/>
  <c r="F313" i="6" s="1"/>
  <c r="I325" i="6" s="1"/>
  <c r="B312" i="6"/>
  <c r="A312" i="6"/>
  <c r="F312" i="6" s="1"/>
  <c r="F311" i="6"/>
  <c r="B311" i="6"/>
  <c r="C311" i="6" s="1"/>
  <c r="D311" i="6" s="1"/>
  <c r="A311" i="6"/>
  <c r="F310" i="6"/>
  <c r="B310" i="6"/>
  <c r="A310" i="6"/>
  <c r="B309" i="6"/>
  <c r="A309" i="6"/>
  <c r="F309" i="6" s="1"/>
  <c r="F308" i="6"/>
  <c r="A308" i="6"/>
  <c r="B308" i="6" s="1"/>
  <c r="F307" i="6"/>
  <c r="B307" i="6"/>
  <c r="A307" i="6"/>
  <c r="A306" i="6"/>
  <c r="B306" i="6" s="1"/>
  <c r="A305" i="6"/>
  <c r="F305" i="6" s="1"/>
  <c r="A304" i="6"/>
  <c r="F304" i="6" s="1"/>
  <c r="F303" i="6"/>
  <c r="D303" i="6"/>
  <c r="C303" i="6"/>
  <c r="B303" i="6"/>
  <c r="E303" i="6" s="1"/>
  <c r="A303" i="6"/>
  <c r="F302" i="6"/>
  <c r="B302" i="6"/>
  <c r="A302" i="6"/>
  <c r="A301" i="6"/>
  <c r="F301" i="6" s="1"/>
  <c r="F300" i="6"/>
  <c r="B300" i="6"/>
  <c r="C300" i="6" s="1"/>
  <c r="D300" i="6" s="1"/>
  <c r="A300" i="6"/>
  <c r="F299" i="6"/>
  <c r="B299" i="6"/>
  <c r="E311" i="6" s="1"/>
  <c r="A299" i="6"/>
  <c r="B298" i="6"/>
  <c r="E310" i="6" s="1"/>
  <c r="A298" i="6"/>
  <c r="F298" i="6" s="1"/>
  <c r="A297" i="6"/>
  <c r="F296" i="6"/>
  <c r="A296" i="6"/>
  <c r="B296" i="6" s="1"/>
  <c r="F295" i="6"/>
  <c r="E295" i="6"/>
  <c r="C295" i="6"/>
  <c r="D295" i="6" s="1"/>
  <c r="B295" i="6"/>
  <c r="E307" i="6" s="1"/>
  <c r="A295" i="6"/>
  <c r="F294" i="6"/>
  <c r="B294" i="6"/>
  <c r="A294" i="6"/>
  <c r="A293" i="6"/>
  <c r="B292" i="6"/>
  <c r="C292" i="6" s="1"/>
  <c r="D292" i="6" s="1"/>
  <c r="A292" i="6"/>
  <c r="F292" i="6" s="1"/>
  <c r="F291" i="6"/>
  <c r="C291" i="6"/>
  <c r="D291" i="6" s="1"/>
  <c r="B291" i="6"/>
  <c r="A291" i="6"/>
  <c r="F290" i="6"/>
  <c r="G290" i="6" s="1"/>
  <c r="H290" i="6" s="1"/>
  <c r="A290" i="6"/>
  <c r="B290" i="6" s="1"/>
  <c r="B289" i="6"/>
  <c r="A289" i="6"/>
  <c r="F289" i="6" s="1"/>
  <c r="A288" i="6"/>
  <c r="F287" i="6"/>
  <c r="B287" i="6"/>
  <c r="A287" i="6"/>
  <c r="A286" i="6"/>
  <c r="B286" i="6" s="1"/>
  <c r="A285" i="6"/>
  <c r="A284" i="6"/>
  <c r="F284" i="6" s="1"/>
  <c r="F283" i="6"/>
  <c r="E283" i="6"/>
  <c r="B283" i="6"/>
  <c r="A283" i="6"/>
  <c r="A282" i="6"/>
  <c r="E281" i="6"/>
  <c r="B281" i="6"/>
  <c r="A281" i="6"/>
  <c r="F281" i="6" s="1"/>
  <c r="I281" i="6" s="1"/>
  <c r="A280" i="6"/>
  <c r="F279" i="6"/>
  <c r="I291" i="6" s="1"/>
  <c r="B279" i="6"/>
  <c r="E291" i="6" s="1"/>
  <c r="A279" i="6"/>
  <c r="B278" i="6"/>
  <c r="A278" i="6"/>
  <c r="F278" i="6" s="1"/>
  <c r="B277" i="6"/>
  <c r="A277" i="6"/>
  <c r="F277" i="6" s="1"/>
  <c r="I277" i="6" s="1"/>
  <c r="F276" i="6"/>
  <c r="G276" i="6" s="1"/>
  <c r="H276" i="6" s="1"/>
  <c r="B276" i="6"/>
  <c r="A276" i="6"/>
  <c r="F275" i="6"/>
  <c r="B275" i="6"/>
  <c r="E287" i="6" s="1"/>
  <c r="A275" i="6"/>
  <c r="A274" i="6"/>
  <c r="F274" i="6" s="1"/>
  <c r="A273" i="6"/>
  <c r="F273" i="6" s="1"/>
  <c r="G272" i="6"/>
  <c r="H272" i="6" s="1"/>
  <c r="F272" i="6"/>
  <c r="B272" i="6"/>
  <c r="A272" i="6"/>
  <c r="F271" i="6"/>
  <c r="D271" i="6"/>
  <c r="B271" i="6"/>
  <c r="C271" i="6" s="1"/>
  <c r="A271" i="6"/>
  <c r="F270" i="6"/>
  <c r="B270" i="6"/>
  <c r="A270" i="6"/>
  <c r="I269" i="6"/>
  <c r="E269" i="6"/>
  <c r="B269" i="6"/>
  <c r="C269" i="6" s="1"/>
  <c r="D269" i="6" s="1"/>
  <c r="A269" i="6"/>
  <c r="F269" i="6" s="1"/>
  <c r="F268" i="6"/>
  <c r="B268" i="6"/>
  <c r="A268" i="6"/>
  <c r="F267" i="6"/>
  <c r="I267" i="6" s="1"/>
  <c r="B267" i="6"/>
  <c r="A267" i="6"/>
  <c r="B266" i="6"/>
  <c r="C266" i="6" s="1"/>
  <c r="D266" i="6" s="1"/>
  <c r="A266" i="6"/>
  <c r="F266" i="6" s="1"/>
  <c r="D265" i="6"/>
  <c r="B265" i="6"/>
  <c r="C265" i="6" s="1"/>
  <c r="A265" i="6"/>
  <c r="F265" i="6" s="1"/>
  <c r="F264" i="6"/>
  <c r="G264" i="6" s="1"/>
  <c r="H264" i="6" s="1"/>
  <c r="A264" i="6"/>
  <c r="B264" i="6" s="1"/>
  <c r="F263" i="6"/>
  <c r="B263" i="6"/>
  <c r="A263" i="6"/>
  <c r="F262" i="6"/>
  <c r="E262" i="6"/>
  <c r="B262" i="6"/>
  <c r="A262" i="6"/>
  <c r="B261" i="6"/>
  <c r="A261" i="6"/>
  <c r="F261" i="6" s="1"/>
  <c r="F260" i="6"/>
  <c r="G260" i="6" s="1"/>
  <c r="H260" i="6" s="1"/>
  <c r="B260" i="6"/>
  <c r="C260" i="6" s="1"/>
  <c r="D260" i="6" s="1"/>
  <c r="A260" i="6"/>
  <c r="F259" i="6"/>
  <c r="I259" i="6" s="1"/>
  <c r="E259" i="6"/>
  <c r="B259" i="6"/>
  <c r="A259" i="6"/>
  <c r="A258" i="6"/>
  <c r="F258" i="6" s="1"/>
  <c r="B257" i="6"/>
  <c r="A257" i="6"/>
  <c r="F257" i="6" s="1"/>
  <c r="F256" i="6"/>
  <c r="I268" i="6" s="1"/>
  <c r="A256" i="6"/>
  <c r="B256" i="6" s="1"/>
  <c r="F255" i="6"/>
  <c r="G256" i="6" s="1"/>
  <c r="H256" i="6" s="1"/>
  <c r="E255" i="6"/>
  <c r="B255" i="6"/>
  <c r="A255" i="6"/>
  <c r="F254" i="6"/>
  <c r="B254" i="6"/>
  <c r="A254" i="6"/>
  <c r="A253" i="6"/>
  <c r="F253" i="6" s="1"/>
  <c r="A252" i="6"/>
  <c r="F251" i="6"/>
  <c r="E251" i="6"/>
  <c r="D251" i="6"/>
  <c r="C251" i="6"/>
  <c r="B251" i="6"/>
  <c r="A251" i="6"/>
  <c r="F250" i="6"/>
  <c r="B250" i="6"/>
  <c r="A250" i="6"/>
  <c r="A249" i="6"/>
  <c r="F248" i="6"/>
  <c r="B248" i="6"/>
  <c r="A248" i="6"/>
  <c r="F247" i="6"/>
  <c r="E247" i="6"/>
  <c r="B247" i="6"/>
  <c r="A247" i="6"/>
  <c r="F246" i="6"/>
  <c r="A246" i="6"/>
  <c r="B246" i="6" s="1"/>
  <c r="A245" i="6"/>
  <c r="F245" i="6" s="1"/>
  <c r="A244" i="6"/>
  <c r="F244" i="6" s="1"/>
  <c r="I244" i="6" s="1"/>
  <c r="F243" i="6"/>
  <c r="E243" i="6"/>
  <c r="B243" i="6"/>
  <c r="A243" i="6"/>
  <c r="B242" i="6"/>
  <c r="E254" i="6" s="1"/>
  <c r="A242" i="6"/>
  <c r="F242" i="6" s="1"/>
  <c r="G243" i="6" s="1"/>
  <c r="H243" i="6" s="1"/>
  <c r="A241" i="6"/>
  <c r="F241" i="6" s="1"/>
  <c r="F240" i="6"/>
  <c r="B240" i="6"/>
  <c r="C240" i="6" s="1"/>
  <c r="D240" i="6" s="1"/>
  <c r="A240" i="6"/>
  <c r="F239" i="6"/>
  <c r="C239" i="6"/>
  <c r="D239" i="6" s="1"/>
  <c r="B239" i="6"/>
  <c r="E239" i="6" s="1"/>
  <c r="A239" i="6"/>
  <c r="A238" i="6"/>
  <c r="B238" i="6" s="1"/>
  <c r="E250" i="6" s="1"/>
  <c r="E237" i="6"/>
  <c r="B237" i="6"/>
  <c r="A237" i="6"/>
  <c r="F237" i="6" s="1"/>
  <c r="A236" i="6"/>
  <c r="F236" i="6" s="1"/>
  <c r="F235" i="6"/>
  <c r="I235" i="6" s="1"/>
  <c r="B235" i="6"/>
  <c r="A235" i="6"/>
  <c r="F234" i="6"/>
  <c r="B234" i="6"/>
  <c r="A234" i="6"/>
  <c r="A233" i="6"/>
  <c r="B233" i="6" s="1"/>
  <c r="F232" i="6"/>
  <c r="B232" i="6"/>
  <c r="C232" i="6" s="1"/>
  <c r="D232" i="6" s="1"/>
  <c r="A232" i="6"/>
  <c r="F231" i="6"/>
  <c r="I243" i="6" s="1"/>
  <c r="C231" i="6"/>
  <c r="D231" i="6" s="1"/>
  <c r="B231" i="6"/>
  <c r="A231" i="6"/>
  <c r="F230" i="6"/>
  <c r="E230" i="6"/>
  <c r="B230" i="6"/>
  <c r="A230" i="6"/>
  <c r="A229" i="6"/>
  <c r="A228" i="6"/>
  <c r="F228" i="6" s="1"/>
  <c r="F227" i="6"/>
  <c r="G228" i="6" s="1"/>
  <c r="H228" i="6" s="1"/>
  <c r="E227" i="6"/>
  <c r="B227" i="6"/>
  <c r="A227" i="6"/>
  <c r="A226" i="6"/>
  <c r="F225" i="6"/>
  <c r="B225" i="6"/>
  <c r="A225" i="6"/>
  <c r="G224" i="6"/>
  <c r="H224" i="6" s="1"/>
  <c r="F224" i="6"/>
  <c r="B224" i="6"/>
  <c r="A224" i="6"/>
  <c r="F223" i="6"/>
  <c r="I223" i="6" s="1"/>
  <c r="E223" i="6"/>
  <c r="B223" i="6"/>
  <c r="E235" i="6" s="1"/>
  <c r="A223" i="6"/>
  <c r="F222" i="6"/>
  <c r="B222" i="6"/>
  <c r="A222" i="6"/>
  <c r="B221" i="6"/>
  <c r="A221" i="6"/>
  <c r="F221" i="6" s="1"/>
  <c r="F220" i="6"/>
  <c r="C220" i="6"/>
  <c r="D220" i="6" s="1"/>
  <c r="B220" i="6"/>
  <c r="E232" i="6" s="1"/>
  <c r="A220" i="6"/>
  <c r="F219" i="6"/>
  <c r="G220" i="6" s="1"/>
  <c r="H220" i="6" s="1"/>
  <c r="B219" i="6"/>
  <c r="E231" i="6" s="1"/>
  <c r="A219" i="6"/>
  <c r="F218" i="6"/>
  <c r="B218" i="6"/>
  <c r="A218" i="6"/>
  <c r="F217" i="6"/>
  <c r="B217" i="6"/>
  <c r="A217" i="6"/>
  <c r="A216" i="6"/>
  <c r="F216" i="6" s="1"/>
  <c r="I228" i="6" s="1"/>
  <c r="F215" i="6"/>
  <c r="B215" i="6"/>
  <c r="A215" i="6"/>
  <c r="F214" i="6"/>
  <c r="G215" i="6" s="1"/>
  <c r="H215" i="6" s="1"/>
  <c r="B214" i="6"/>
  <c r="A214" i="6"/>
  <c r="F213" i="6"/>
  <c r="B213" i="6"/>
  <c r="A213" i="6"/>
  <c r="A212" i="6"/>
  <c r="F211" i="6"/>
  <c r="E211" i="6"/>
  <c r="B211" i="6"/>
  <c r="A211" i="6"/>
  <c r="F210" i="6"/>
  <c r="A210" i="6"/>
  <c r="B210" i="6" s="1"/>
  <c r="A209" i="6"/>
  <c r="E208" i="6"/>
  <c r="A208" i="6"/>
  <c r="B208" i="6" s="1"/>
  <c r="E220" i="6" s="1"/>
  <c r="F207" i="6"/>
  <c r="C207" i="6"/>
  <c r="D207" i="6" s="1"/>
  <c r="A207" i="6"/>
  <c r="B207" i="6" s="1"/>
  <c r="B206" i="6"/>
  <c r="A206" i="6"/>
  <c r="F206" i="6" s="1"/>
  <c r="A205" i="6"/>
  <c r="F204" i="6"/>
  <c r="G204" i="6" s="1"/>
  <c r="H204" i="6" s="1"/>
  <c r="E204" i="6"/>
  <c r="D204" i="6"/>
  <c r="A204" i="6"/>
  <c r="B204" i="6" s="1"/>
  <c r="C204" i="6" s="1"/>
  <c r="F203" i="6"/>
  <c r="A203" i="6"/>
  <c r="B203" i="6" s="1"/>
  <c r="E215" i="6" s="1"/>
  <c r="F202" i="6"/>
  <c r="G202" i="6" s="1"/>
  <c r="H202" i="6" s="1"/>
  <c r="B202" i="6"/>
  <c r="A202" i="6"/>
  <c r="F201" i="6"/>
  <c r="A201" i="6"/>
  <c r="B201" i="6" s="1"/>
  <c r="A200" i="6"/>
  <c r="F199" i="6"/>
  <c r="C199" i="6"/>
  <c r="D199" i="6" s="1"/>
  <c r="B199" i="6"/>
  <c r="A199" i="6"/>
  <c r="F198" i="6"/>
  <c r="B198" i="6"/>
  <c r="E210" i="6" s="1"/>
  <c r="A198" i="6"/>
  <c r="A197" i="6"/>
  <c r="F196" i="6"/>
  <c r="A196" i="6"/>
  <c r="B196" i="6" s="1"/>
  <c r="F195" i="6"/>
  <c r="G196" i="6" s="1"/>
  <c r="H196" i="6" s="1"/>
  <c r="B195" i="6"/>
  <c r="C196" i="6" s="1"/>
  <c r="D196" i="6" s="1"/>
  <c r="A195" i="6"/>
  <c r="B194" i="6"/>
  <c r="A194" i="6"/>
  <c r="F194" i="6" s="1"/>
  <c r="A193" i="6"/>
  <c r="E192" i="6"/>
  <c r="A192" i="6"/>
  <c r="B192" i="6" s="1"/>
  <c r="F191" i="6"/>
  <c r="I191" i="6" s="1"/>
  <c r="A191" i="6"/>
  <c r="B191" i="6" s="1"/>
  <c r="B190" i="6"/>
  <c r="E190" i="6" s="1"/>
  <c r="A190" i="6"/>
  <c r="F190" i="6" s="1"/>
  <c r="A189" i="6"/>
  <c r="F188" i="6"/>
  <c r="E188" i="6"/>
  <c r="A188" i="6"/>
  <c r="B188" i="6" s="1"/>
  <c r="A187" i="6"/>
  <c r="B187" i="6" s="1"/>
  <c r="E199" i="6" s="1"/>
  <c r="F186" i="6"/>
  <c r="I186" i="6" s="1"/>
  <c r="B186" i="6"/>
  <c r="E198" i="6" s="1"/>
  <c r="A186" i="6"/>
  <c r="F185" i="6"/>
  <c r="A185" i="6"/>
  <c r="B185" i="6" s="1"/>
  <c r="A184" i="6"/>
  <c r="F183" i="6"/>
  <c r="C183" i="6"/>
  <c r="D183" i="6" s="1"/>
  <c r="B183" i="6"/>
  <c r="A183" i="6"/>
  <c r="F182" i="6"/>
  <c r="I182" i="6" s="1"/>
  <c r="B182" i="6"/>
  <c r="A182" i="6"/>
  <c r="B181" i="6"/>
  <c r="A181" i="6"/>
  <c r="F181" i="6" s="1"/>
  <c r="F180" i="6"/>
  <c r="G180" i="6" s="1"/>
  <c r="H180" i="6" s="1"/>
  <c r="A180" i="6"/>
  <c r="B180" i="6" s="1"/>
  <c r="F179" i="6"/>
  <c r="I179" i="6" s="1"/>
  <c r="B179" i="6"/>
  <c r="C180" i="6" s="1"/>
  <c r="D180" i="6" s="1"/>
  <c r="A179" i="6"/>
  <c r="B178" i="6"/>
  <c r="C179" i="6" s="1"/>
  <c r="D179" i="6" s="1"/>
  <c r="A178" i="6"/>
  <c r="F178" i="6" s="1"/>
  <c r="A177" i="6"/>
  <c r="E176" i="6"/>
  <c r="A176" i="6"/>
  <c r="B176" i="6" s="1"/>
  <c r="F175" i="6"/>
  <c r="A175" i="6"/>
  <c r="B175" i="6" s="1"/>
  <c r="B174" i="6"/>
  <c r="A174" i="6"/>
  <c r="F174" i="6" s="1"/>
  <c r="A173" i="6"/>
  <c r="F172" i="6"/>
  <c r="E172" i="6"/>
  <c r="A172" i="6"/>
  <c r="B172" i="6" s="1"/>
  <c r="A171" i="6"/>
  <c r="F171" i="6" s="1"/>
  <c r="F170" i="6"/>
  <c r="B170" i="6"/>
  <c r="C170" i="6" s="1"/>
  <c r="D170" i="6" s="1"/>
  <c r="A170" i="6"/>
  <c r="A169" i="6"/>
  <c r="B169" i="6" s="1"/>
  <c r="A168" i="6"/>
  <c r="F167" i="6"/>
  <c r="B167" i="6"/>
  <c r="A167" i="6"/>
  <c r="F166" i="6"/>
  <c r="B166" i="6"/>
  <c r="A166" i="6"/>
  <c r="A165" i="6"/>
  <c r="F164" i="6"/>
  <c r="D164" i="6"/>
  <c r="A164" i="6"/>
  <c r="B164" i="6" s="1"/>
  <c r="C164" i="6" s="1"/>
  <c r="F163" i="6"/>
  <c r="C163" i="6"/>
  <c r="D163" i="6" s="1"/>
  <c r="B163" i="6"/>
  <c r="E163" i="6" s="1"/>
  <c r="A163" i="6"/>
  <c r="E162" i="6"/>
  <c r="B162" i="6"/>
  <c r="E174" i="6" s="1"/>
  <c r="A162" i="6"/>
  <c r="F162" i="6" s="1"/>
  <c r="A161" i="6"/>
  <c r="E160" i="6"/>
  <c r="A160" i="6"/>
  <c r="B160" i="6" s="1"/>
  <c r="F159" i="6"/>
  <c r="I159" i="6" s="1"/>
  <c r="E159" i="6"/>
  <c r="A159" i="6"/>
  <c r="B159" i="6" s="1"/>
  <c r="A158" i="6"/>
  <c r="A157" i="6"/>
  <c r="F156" i="6"/>
  <c r="E156" i="6"/>
  <c r="A156" i="6"/>
  <c r="B156" i="6" s="1"/>
  <c r="F155" i="6"/>
  <c r="G155" i="6" s="1"/>
  <c r="H155" i="6" s="1"/>
  <c r="B155" i="6"/>
  <c r="E167" i="6" s="1"/>
  <c r="A155" i="6"/>
  <c r="F154" i="6"/>
  <c r="B154" i="6"/>
  <c r="E166" i="6" s="1"/>
  <c r="A154" i="6"/>
  <c r="A153" i="6"/>
  <c r="A152" i="6"/>
  <c r="F151" i="6"/>
  <c r="C151" i="6"/>
  <c r="D151" i="6" s="1"/>
  <c r="B151" i="6"/>
  <c r="A151" i="6"/>
  <c r="F150" i="6"/>
  <c r="E150" i="6"/>
  <c r="B150" i="6"/>
  <c r="A150" i="6"/>
  <c r="C149" i="6"/>
  <c r="D149" i="6" s="1"/>
  <c r="B149" i="6"/>
  <c r="A149" i="6"/>
  <c r="F149" i="6" s="1"/>
  <c r="F148" i="6"/>
  <c r="A148" i="6"/>
  <c r="B148" i="6" s="1"/>
  <c r="C148" i="6" s="1"/>
  <c r="D148" i="6" s="1"/>
  <c r="F147" i="6"/>
  <c r="B147" i="6"/>
  <c r="A147" i="6"/>
  <c r="B146" i="6"/>
  <c r="A146" i="6"/>
  <c r="F146" i="6" s="1"/>
  <c r="A145" i="6"/>
  <c r="E144" i="6"/>
  <c r="A144" i="6"/>
  <c r="B144" i="6" s="1"/>
  <c r="F143" i="6"/>
  <c r="E143" i="6"/>
  <c r="A143" i="6"/>
  <c r="B143" i="6" s="1"/>
  <c r="B142" i="6"/>
  <c r="A142" i="6"/>
  <c r="F142" i="6" s="1"/>
  <c r="A141" i="6"/>
  <c r="F140" i="6"/>
  <c r="E140" i="6"/>
  <c r="A140" i="6"/>
  <c r="B140" i="6" s="1"/>
  <c r="F139" i="6"/>
  <c r="C139" i="6"/>
  <c r="D139" i="6" s="1"/>
  <c r="B139" i="6"/>
  <c r="E151" i="6" s="1"/>
  <c r="A139" i="6"/>
  <c r="F138" i="6"/>
  <c r="B138" i="6"/>
  <c r="A138" i="6"/>
  <c r="F137" i="6"/>
  <c r="A137" i="6"/>
  <c r="B137" i="6" s="1"/>
  <c r="A136" i="6"/>
  <c r="F135" i="6"/>
  <c r="A135" i="6"/>
  <c r="B135" i="6" s="1"/>
  <c r="E147" i="6" s="1"/>
  <c r="F134" i="6"/>
  <c r="B134" i="6"/>
  <c r="E134" i="6" s="1"/>
  <c r="A134" i="6"/>
  <c r="A133" i="6"/>
  <c r="F133" i="6" s="1"/>
  <c r="F132" i="6"/>
  <c r="D132" i="6"/>
  <c r="A132" i="6"/>
  <c r="B132" i="6" s="1"/>
  <c r="C132" i="6" s="1"/>
  <c r="F131" i="6"/>
  <c r="B131" i="6"/>
  <c r="A131" i="6"/>
  <c r="B130" i="6"/>
  <c r="A130" i="6"/>
  <c r="F130" i="6" s="1"/>
  <c r="A129" i="6"/>
  <c r="E128" i="6"/>
  <c r="A128" i="6"/>
  <c r="B128" i="6" s="1"/>
  <c r="I127" i="6"/>
  <c r="F127" i="6"/>
  <c r="G127" i="6" s="1"/>
  <c r="H127" i="6" s="1"/>
  <c r="E127" i="6"/>
  <c r="A127" i="6"/>
  <c r="B127" i="6" s="1"/>
  <c r="A126" i="6"/>
  <c r="F126" i="6" s="1"/>
  <c r="A125" i="6"/>
  <c r="F124" i="6"/>
  <c r="E124" i="6"/>
  <c r="A124" i="6"/>
  <c r="B124" i="6" s="1"/>
  <c r="A123" i="6"/>
  <c r="F122" i="6"/>
  <c r="B122" i="6"/>
  <c r="C122" i="6" s="1"/>
  <c r="D122" i="6" s="1"/>
  <c r="A122" i="6"/>
  <c r="F121" i="6"/>
  <c r="I133" i="6" s="1"/>
  <c r="B121" i="6"/>
  <c r="A121" i="6"/>
  <c r="A120" i="6"/>
  <c r="F119" i="6"/>
  <c r="I131" i="6" s="1"/>
  <c r="A119" i="6"/>
  <c r="B119" i="6" s="1"/>
  <c r="E131" i="6" s="1"/>
  <c r="F118" i="6"/>
  <c r="I130" i="6" s="1"/>
  <c r="C118" i="6"/>
  <c r="D118" i="6" s="1"/>
  <c r="B118" i="6"/>
  <c r="A118" i="6"/>
  <c r="B117" i="6"/>
  <c r="A117" i="6"/>
  <c r="F117" i="6" s="1"/>
  <c r="G116" i="6"/>
  <c r="H116" i="6" s="1"/>
  <c r="F116" i="6"/>
  <c r="A116" i="6"/>
  <c r="B116" i="6" s="1"/>
  <c r="C116" i="6" s="1"/>
  <c r="D116" i="6" s="1"/>
  <c r="F115" i="6"/>
  <c r="C115" i="6"/>
  <c r="D115" i="6" s="1"/>
  <c r="B115" i="6"/>
  <c r="A115" i="6"/>
  <c r="B114" i="6"/>
  <c r="A114" i="6"/>
  <c r="F114" i="6" s="1"/>
  <c r="A113" i="6"/>
  <c r="C112" i="6"/>
  <c r="D112" i="6" s="1"/>
  <c r="A112" i="6"/>
  <c r="B112" i="6" s="1"/>
  <c r="F111" i="6"/>
  <c r="A111" i="6"/>
  <c r="B111" i="6" s="1"/>
  <c r="B110" i="6"/>
  <c r="A110" i="6"/>
  <c r="F110" i="6" s="1"/>
  <c r="A109" i="6"/>
  <c r="A108" i="6"/>
  <c r="F107" i="6"/>
  <c r="A107" i="6"/>
  <c r="B107" i="6" s="1"/>
  <c r="F106" i="6"/>
  <c r="B106" i="6"/>
  <c r="C106" i="6" s="1"/>
  <c r="D106" i="6" s="1"/>
  <c r="A106" i="6"/>
  <c r="F105" i="6"/>
  <c r="A105" i="6"/>
  <c r="B105" i="6" s="1"/>
  <c r="A104" i="6"/>
  <c r="F104" i="6" s="1"/>
  <c r="F103" i="6"/>
  <c r="A103" i="6"/>
  <c r="B103" i="6" s="1"/>
  <c r="A102" i="6"/>
  <c r="F101" i="6"/>
  <c r="B101" i="6"/>
  <c r="A101" i="6"/>
  <c r="A100" i="6"/>
  <c r="F100" i="6" s="1"/>
  <c r="F99" i="6"/>
  <c r="A99" i="6"/>
  <c r="B99" i="6" s="1"/>
  <c r="A98" i="6"/>
  <c r="A97" i="6"/>
  <c r="B97" i="6" s="1"/>
  <c r="A96" i="6"/>
  <c r="F96" i="6" s="1"/>
  <c r="F95" i="6"/>
  <c r="A95" i="6"/>
  <c r="B95" i="6" s="1"/>
  <c r="A94" i="6"/>
  <c r="B93" i="6"/>
  <c r="A93" i="6"/>
  <c r="F93" i="6" s="1"/>
  <c r="A92" i="6"/>
  <c r="F92" i="6" s="1"/>
  <c r="F91" i="6"/>
  <c r="I103" i="6" s="1"/>
  <c r="A91" i="6"/>
  <c r="B91" i="6" s="1"/>
  <c r="A90" i="6"/>
  <c r="A89" i="6"/>
  <c r="B89" i="6" s="1"/>
  <c r="A88" i="6"/>
  <c r="F88" i="6" s="1"/>
  <c r="F87" i="6"/>
  <c r="A87" i="6"/>
  <c r="B87" i="6" s="1"/>
  <c r="A86" i="6"/>
  <c r="B85" i="6"/>
  <c r="A85" i="6"/>
  <c r="F85" i="6" s="1"/>
  <c r="A84" i="6"/>
  <c r="F84" i="6" s="1"/>
  <c r="G84" i="6" s="1"/>
  <c r="H84" i="6" s="1"/>
  <c r="F83" i="6"/>
  <c r="A83" i="6"/>
  <c r="B83" i="6" s="1"/>
  <c r="A82" i="6"/>
  <c r="A81" i="6"/>
  <c r="B81" i="6" s="1"/>
  <c r="B80" i="6"/>
  <c r="A80" i="6"/>
  <c r="F80" i="6" s="1"/>
  <c r="A79" i="6"/>
  <c r="B79" i="6" s="1"/>
  <c r="A78" i="6"/>
  <c r="E77" i="6"/>
  <c r="B77" i="6"/>
  <c r="A77" i="6"/>
  <c r="F77" i="6" s="1"/>
  <c r="A76" i="6"/>
  <c r="F76" i="6" s="1"/>
  <c r="I76" i="6" s="1"/>
  <c r="A75" i="6"/>
  <c r="B75" i="6" s="1"/>
  <c r="A74" i="6"/>
  <c r="F73" i="6"/>
  <c r="B73" i="6"/>
  <c r="C73" i="6" s="1"/>
  <c r="D73" i="6" s="1"/>
  <c r="A73" i="6"/>
  <c r="I72" i="6"/>
  <c r="B72" i="6"/>
  <c r="A72" i="6"/>
  <c r="F72" i="6" s="1"/>
  <c r="A71" i="6"/>
  <c r="B71" i="6" s="1"/>
  <c r="A70" i="6"/>
  <c r="A69" i="6"/>
  <c r="B69" i="6" s="1"/>
  <c r="B68" i="6"/>
  <c r="A68" i="6"/>
  <c r="F68" i="6" s="1"/>
  <c r="I68" i="6" s="1"/>
  <c r="A67" i="6"/>
  <c r="B67" i="6" s="1"/>
  <c r="A66" i="6"/>
  <c r="E65" i="6"/>
  <c r="B65" i="6"/>
  <c r="A65" i="6"/>
  <c r="F65" i="6" s="1"/>
  <c r="A64" i="6"/>
  <c r="F64" i="6" s="1"/>
  <c r="A63" i="6"/>
  <c r="B63" i="6" s="1"/>
  <c r="A62" i="6"/>
  <c r="F61" i="6"/>
  <c r="I73" i="6" s="1"/>
  <c r="B61" i="6"/>
  <c r="C61" i="6" s="1"/>
  <c r="D61" i="6" s="1"/>
  <c r="A61" i="6"/>
  <c r="B60" i="6"/>
  <c r="A60" i="6"/>
  <c r="F60" i="6" s="1"/>
  <c r="A59" i="6"/>
  <c r="B59" i="6" s="1"/>
  <c r="A58" i="6"/>
  <c r="A57" i="6"/>
  <c r="B57" i="6" s="1"/>
  <c r="B56" i="6"/>
  <c r="A56" i="6"/>
  <c r="F56" i="6" s="1"/>
  <c r="I56" i="6" s="1"/>
  <c r="A55" i="6"/>
  <c r="B55" i="6" s="1"/>
  <c r="A54" i="6"/>
  <c r="E53" i="6"/>
  <c r="B53" i="6"/>
  <c r="A53" i="6"/>
  <c r="F53" i="6" s="1"/>
  <c r="A52" i="6"/>
  <c r="F52" i="6" s="1"/>
  <c r="A51" i="6"/>
  <c r="B51" i="6" s="1"/>
  <c r="A50" i="6"/>
  <c r="F49" i="6"/>
  <c r="B49" i="6"/>
  <c r="C49" i="6" s="1"/>
  <c r="A49" i="6"/>
  <c r="B48" i="6"/>
  <c r="A48" i="6"/>
  <c r="F48" i="6" s="1"/>
  <c r="I48" i="6" s="1"/>
  <c r="A47" i="6"/>
  <c r="B47" i="6" s="1"/>
  <c r="A46" i="6"/>
  <c r="A45" i="6"/>
  <c r="B45" i="6" s="1"/>
  <c r="B44" i="6"/>
  <c r="A44" i="6"/>
  <c r="F44" i="6" s="1"/>
  <c r="I44" i="6" s="1"/>
  <c r="A43" i="6"/>
  <c r="B43" i="6" s="1"/>
  <c r="D55" i="6" s="1"/>
  <c r="A42" i="6"/>
  <c r="E41" i="6"/>
  <c r="B41" i="6"/>
  <c r="A41" i="6"/>
  <c r="F41" i="6" s="1"/>
  <c r="A40" i="6"/>
  <c r="F40" i="6" s="1"/>
  <c r="A39" i="6"/>
  <c r="B39" i="6" s="1"/>
  <c r="A38" i="6"/>
  <c r="F37" i="6"/>
  <c r="B37" i="6"/>
  <c r="C37" i="6" s="1"/>
  <c r="A37" i="6"/>
  <c r="B36" i="6"/>
  <c r="A36" i="6"/>
  <c r="F36" i="6" s="1"/>
  <c r="A35" i="6"/>
  <c r="B35" i="6" s="1"/>
  <c r="A34" i="6"/>
  <c r="A33" i="6"/>
  <c r="B33" i="6" s="1"/>
  <c r="B32" i="6"/>
  <c r="A32" i="6"/>
  <c r="F32" i="6" s="1"/>
  <c r="I32" i="6" s="1"/>
  <c r="A31" i="6"/>
  <c r="B31" i="6" s="1"/>
  <c r="D43" i="6" s="1"/>
  <c r="A30" i="6"/>
  <c r="E29" i="6"/>
  <c r="B29" i="6"/>
  <c r="A29" i="6"/>
  <c r="F29" i="6" s="1"/>
  <c r="A28" i="6"/>
  <c r="F28" i="6" s="1"/>
  <c r="I28" i="6" s="1"/>
  <c r="A27" i="6"/>
  <c r="B27" i="6" s="1"/>
  <c r="A26" i="6"/>
  <c r="F25" i="6"/>
  <c r="B25" i="6"/>
  <c r="C25" i="6" s="1"/>
  <c r="A25" i="6"/>
  <c r="B24" i="6"/>
  <c r="A24" i="6"/>
  <c r="F24" i="6" s="1"/>
  <c r="I24" i="6" s="1"/>
  <c r="A23" i="6"/>
  <c r="B23" i="6" s="1"/>
  <c r="A22" i="6"/>
  <c r="A21" i="6"/>
  <c r="B21" i="6" s="1"/>
  <c r="B20" i="6"/>
  <c r="A20" i="6"/>
  <c r="F20" i="6" s="1"/>
  <c r="A19" i="6"/>
  <c r="B19" i="6" s="1"/>
  <c r="D31" i="6" s="1"/>
  <c r="A18" i="6"/>
  <c r="B17" i="6"/>
  <c r="A17" i="6"/>
  <c r="F17" i="6" s="1"/>
  <c r="I16" i="6"/>
  <c r="A16" i="6"/>
  <c r="F16" i="6" s="1"/>
  <c r="F15" i="6"/>
  <c r="D15" i="6"/>
  <c r="A15" i="6"/>
  <c r="B15" i="6" s="1"/>
  <c r="A14" i="6"/>
  <c r="F14" i="6" s="1"/>
  <c r="F13" i="6"/>
  <c r="B13" i="6"/>
  <c r="A13" i="6"/>
  <c r="A12" i="6"/>
  <c r="F12" i="6" s="1"/>
  <c r="A11" i="6"/>
  <c r="B11" i="6" s="1"/>
  <c r="A10" i="6"/>
  <c r="F10" i="6" s="1"/>
  <c r="I10" i="6" s="1"/>
  <c r="G9" i="6"/>
  <c r="H9" i="6" s="1"/>
  <c r="F9" i="6"/>
  <c r="D9" i="6"/>
  <c r="A9" i="6"/>
  <c r="B9" i="6" s="1"/>
  <c r="A8" i="6"/>
  <c r="F8" i="6" s="1"/>
  <c r="I8" i="6" s="1"/>
  <c r="A7" i="6"/>
  <c r="B7" i="6" s="1"/>
  <c r="D19" i="6" s="1"/>
  <c r="D6" i="6"/>
  <c r="A6" i="6"/>
  <c r="B6" i="6" s="1"/>
  <c r="E6" i="6" s="1"/>
  <c r="F5" i="6"/>
  <c r="B5" i="6"/>
  <c r="E5" i="6" s="1"/>
  <c r="A5" i="6"/>
  <c r="G4" i="6"/>
  <c r="H4" i="6" s="1"/>
  <c r="B4" i="6"/>
  <c r="A4" i="6"/>
  <c r="F4" i="6" s="1"/>
  <c r="G5" i="6" s="1"/>
  <c r="H5" i="6" s="1"/>
  <c r="F3" i="6"/>
  <c r="B3" i="6"/>
  <c r="E15" i="6" s="1"/>
  <c r="A3" i="6"/>
  <c r="K2" i="6"/>
  <c r="L2" i="6" s="1"/>
  <c r="Y154" i="5"/>
  <c r="X154" i="5"/>
  <c r="W154" i="5"/>
  <c r="V154" i="5"/>
  <c r="U154" i="5"/>
  <c r="T154" i="5"/>
  <c r="S154" i="5"/>
  <c r="R154" i="5"/>
  <c r="Q154" i="5"/>
  <c r="P154" i="5"/>
  <c r="O154" i="5"/>
  <c r="N154" i="5"/>
  <c r="M154" i="5"/>
  <c r="L154" i="5"/>
  <c r="K154" i="5"/>
  <c r="J154" i="5"/>
  <c r="I154" i="5"/>
  <c r="H154" i="5"/>
  <c r="G154" i="5"/>
  <c r="F154" i="5"/>
  <c r="E154" i="5"/>
  <c r="D154" i="5"/>
  <c r="C154" i="5"/>
  <c r="Y153" i="5"/>
  <c r="X153" i="5"/>
  <c r="W153" i="5"/>
  <c r="V153" i="5"/>
  <c r="U153" i="5"/>
  <c r="T153" i="5"/>
  <c r="S153" i="5"/>
  <c r="R153" i="5"/>
  <c r="Q153" i="5"/>
  <c r="P153" i="5"/>
  <c r="O153" i="5"/>
  <c r="O9" i="5" s="1"/>
  <c r="N153" i="5"/>
  <c r="M153" i="5"/>
  <c r="L153" i="5"/>
  <c r="K153" i="5"/>
  <c r="J153" i="5"/>
  <c r="I153" i="5"/>
  <c r="H153" i="5"/>
  <c r="G153" i="5"/>
  <c r="F153" i="5"/>
  <c r="E153" i="5"/>
  <c r="D153" i="5"/>
  <c r="C153" i="5"/>
  <c r="C9" i="5" s="1"/>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T6" i="5" s="1"/>
  <c r="T7" i="5" s="1"/>
  <c r="S68" i="5"/>
  <c r="R68" i="5"/>
  <c r="Q68" i="5"/>
  <c r="P68" i="5"/>
  <c r="O68" i="5"/>
  <c r="N68" i="5"/>
  <c r="M68" i="5"/>
  <c r="L68" i="5"/>
  <c r="K68" i="5"/>
  <c r="J68" i="5"/>
  <c r="I68" i="5"/>
  <c r="H68" i="5"/>
  <c r="H6" i="5" s="1"/>
  <c r="H7" i="5" s="1"/>
  <c r="G68" i="5"/>
  <c r="F68" i="5"/>
  <c r="E68" i="5"/>
  <c r="D68" i="5"/>
  <c r="C68" i="5"/>
  <c r="AA67" i="5"/>
  <c r="Z67" i="5"/>
  <c r="Y67" i="5"/>
  <c r="X67" i="5"/>
  <c r="W67" i="5"/>
  <c r="V67" i="5"/>
  <c r="U67" i="5"/>
  <c r="U5" i="5" s="1"/>
  <c r="T67" i="5"/>
  <c r="S67" i="5"/>
  <c r="R67" i="5"/>
  <c r="Q67" i="5"/>
  <c r="P67" i="5"/>
  <c r="O67" i="5"/>
  <c r="N67" i="5"/>
  <c r="M67" i="5"/>
  <c r="L67" i="5"/>
  <c r="K67" i="5"/>
  <c r="J67" i="5"/>
  <c r="I67" i="5"/>
  <c r="I5" i="5" s="1"/>
  <c r="H67" i="5"/>
  <c r="G67" i="5"/>
  <c r="F67" i="5"/>
  <c r="E67" i="5"/>
  <c r="D67" i="5"/>
  <c r="C67" i="5"/>
  <c r="AA66" i="5"/>
  <c r="Z66" i="5"/>
  <c r="Y66" i="5"/>
  <c r="X66" i="5"/>
  <c r="W66" i="5"/>
  <c r="V66" i="5"/>
  <c r="V4" i="5" s="1"/>
  <c r="U66" i="5"/>
  <c r="T66" i="5"/>
  <c r="S66" i="5"/>
  <c r="R66" i="5"/>
  <c r="Q66" i="5"/>
  <c r="P66" i="5"/>
  <c r="O66" i="5"/>
  <c r="N66" i="5"/>
  <c r="M66" i="5"/>
  <c r="L66" i="5"/>
  <c r="K66" i="5"/>
  <c r="J66" i="5"/>
  <c r="J4" i="5" s="1"/>
  <c r="I66" i="5"/>
  <c r="H66" i="5"/>
  <c r="G66" i="5"/>
  <c r="F66" i="5"/>
  <c r="E66" i="5"/>
  <c r="D66" i="5"/>
  <c r="C66" i="5"/>
  <c r="AA65" i="5"/>
  <c r="Z65" i="5"/>
  <c r="Y65" i="5"/>
  <c r="X65" i="5"/>
  <c r="W65" i="5"/>
  <c r="W6" i="5" s="1"/>
  <c r="W7" i="5" s="1"/>
  <c r="V65" i="5"/>
  <c r="U65" i="5"/>
  <c r="T65" i="5"/>
  <c r="S65" i="5"/>
  <c r="R65" i="5"/>
  <c r="Q65" i="5"/>
  <c r="P65" i="5"/>
  <c r="O65" i="5"/>
  <c r="N65" i="5"/>
  <c r="M65" i="5"/>
  <c r="L65" i="5"/>
  <c r="K65" i="5"/>
  <c r="K6" i="5" s="1"/>
  <c r="K7" i="5" s="1"/>
  <c r="J65" i="5"/>
  <c r="I65" i="5"/>
  <c r="H65" i="5"/>
  <c r="G65" i="5"/>
  <c r="F65" i="5"/>
  <c r="E65" i="5"/>
  <c r="D65" i="5"/>
  <c r="C65" i="5"/>
  <c r="AA64" i="5"/>
  <c r="Z64" i="5"/>
  <c r="Y64" i="5"/>
  <c r="X64" i="5"/>
  <c r="X5" i="5" s="1"/>
  <c r="W64" i="5"/>
  <c r="V64" i="5"/>
  <c r="U64" i="5"/>
  <c r="T64" i="5"/>
  <c r="S64" i="5"/>
  <c r="R64" i="5"/>
  <c r="Q64" i="5"/>
  <c r="P64" i="5"/>
  <c r="O64" i="5"/>
  <c r="N64" i="5"/>
  <c r="M64" i="5"/>
  <c r="L64" i="5"/>
  <c r="L5" i="5" s="1"/>
  <c r="K64" i="5"/>
  <c r="J64" i="5"/>
  <c r="I64" i="5"/>
  <c r="H64" i="5"/>
  <c r="G64" i="5"/>
  <c r="F64" i="5"/>
  <c r="E64" i="5"/>
  <c r="D64" i="5"/>
  <c r="C64" i="5"/>
  <c r="AA63" i="5"/>
  <c r="Z63" i="5"/>
  <c r="Y63" i="5"/>
  <c r="Y4" i="5" s="1"/>
  <c r="X63" i="5"/>
  <c r="W63" i="5"/>
  <c r="V63" i="5"/>
  <c r="U63" i="5"/>
  <c r="T63" i="5"/>
  <c r="S63" i="5"/>
  <c r="R63" i="5"/>
  <c r="Q63" i="5"/>
  <c r="P63" i="5"/>
  <c r="O63" i="5"/>
  <c r="N63" i="5"/>
  <c r="M63" i="5"/>
  <c r="M4" i="5" s="1"/>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O6" i="5" s="1"/>
  <c r="O7" i="5" s="1"/>
  <c r="N61" i="5"/>
  <c r="M61" i="5"/>
  <c r="L61" i="5"/>
  <c r="K61" i="5"/>
  <c r="J61" i="5"/>
  <c r="I61" i="5"/>
  <c r="H61" i="5"/>
  <c r="G61" i="5"/>
  <c r="F61" i="5"/>
  <c r="E61" i="5"/>
  <c r="D61" i="5"/>
  <c r="C61" i="5"/>
  <c r="C6" i="5" s="1"/>
  <c r="C7" i="5" s="1"/>
  <c r="AA60" i="5"/>
  <c r="Z60" i="5"/>
  <c r="Y60" i="5"/>
  <c r="X60" i="5"/>
  <c r="W60" i="5"/>
  <c r="V60" i="5"/>
  <c r="U60" i="5"/>
  <c r="T60" i="5"/>
  <c r="S60" i="5"/>
  <c r="R60" i="5"/>
  <c r="R6" i="5" s="1"/>
  <c r="R7" i="5" s="1"/>
  <c r="Q60" i="5"/>
  <c r="P60" i="5"/>
  <c r="P5" i="5" s="1"/>
  <c r="O60" i="5"/>
  <c r="O4" i="5" s="1"/>
  <c r="N60" i="5"/>
  <c r="M60" i="5"/>
  <c r="L60" i="5"/>
  <c r="K60" i="5"/>
  <c r="J60" i="5"/>
  <c r="I60" i="5"/>
  <c r="H60" i="5"/>
  <c r="G60" i="5"/>
  <c r="F60" i="5"/>
  <c r="F6" i="5" s="1"/>
  <c r="F7" i="5" s="1"/>
  <c r="E60" i="5"/>
  <c r="D60" i="5"/>
  <c r="D5" i="5" s="1"/>
  <c r="C60" i="5"/>
  <c r="C4" i="5" s="1"/>
  <c r="AA59" i="5"/>
  <c r="Z59" i="5"/>
  <c r="Y59" i="5"/>
  <c r="X59" i="5"/>
  <c r="W59" i="5"/>
  <c r="V59" i="5"/>
  <c r="U59" i="5"/>
  <c r="T59" i="5"/>
  <c r="S59" i="5"/>
  <c r="S6" i="5" s="1"/>
  <c r="S7" i="5" s="1"/>
  <c r="R59" i="5"/>
  <c r="Q59" i="5"/>
  <c r="Q6" i="5" s="1"/>
  <c r="Q7" i="5" s="1"/>
  <c r="P59" i="5"/>
  <c r="P6" i="5" s="1"/>
  <c r="P7" i="5" s="1"/>
  <c r="O59" i="5"/>
  <c r="O5" i="5" s="1"/>
  <c r="N59" i="5"/>
  <c r="M59" i="5"/>
  <c r="L59" i="5"/>
  <c r="K59" i="5"/>
  <c r="J59" i="5"/>
  <c r="I59" i="5"/>
  <c r="H59" i="5"/>
  <c r="G59" i="5"/>
  <c r="G6" i="5" s="1"/>
  <c r="G7" i="5" s="1"/>
  <c r="F59" i="5"/>
  <c r="E59" i="5"/>
  <c r="E6" i="5" s="1"/>
  <c r="E7" i="5" s="1"/>
  <c r="D59" i="5"/>
  <c r="D6" i="5" s="1"/>
  <c r="D7" i="5" s="1"/>
  <c r="C59" i="5"/>
  <c r="C5" i="5" s="1"/>
  <c r="AA9" i="5"/>
  <c r="Z9" i="5"/>
  <c r="Y9" i="5"/>
  <c r="X9" i="5"/>
  <c r="W9" i="5"/>
  <c r="V9" i="5"/>
  <c r="U9" i="5"/>
  <c r="T9" i="5"/>
  <c r="S9" i="5"/>
  <c r="R9" i="5"/>
  <c r="Q9" i="5"/>
  <c r="P9" i="5"/>
  <c r="N9" i="5"/>
  <c r="M9" i="5"/>
  <c r="L9" i="5"/>
  <c r="K9" i="5"/>
  <c r="J9" i="5"/>
  <c r="I9" i="5"/>
  <c r="H9" i="5"/>
  <c r="G9" i="5"/>
  <c r="F9" i="5"/>
  <c r="E9" i="5"/>
  <c r="D9" i="5"/>
  <c r="AA8" i="5"/>
  <c r="Z8" i="5"/>
  <c r="Y8" i="5"/>
  <c r="X8" i="5"/>
  <c r="W8" i="5"/>
  <c r="V8" i="5"/>
  <c r="U8" i="5"/>
  <c r="T8" i="5"/>
  <c r="S8" i="5"/>
  <c r="R8" i="5"/>
  <c r="Q8" i="5"/>
  <c r="P8" i="5"/>
  <c r="N8" i="5"/>
  <c r="M8" i="5"/>
  <c r="L8" i="5"/>
  <c r="K8" i="5"/>
  <c r="J8" i="5"/>
  <c r="I8" i="5"/>
  <c r="H8" i="5"/>
  <c r="G8" i="5"/>
  <c r="F8" i="5"/>
  <c r="E8" i="5"/>
  <c r="D8" i="5"/>
  <c r="Z7" i="5"/>
  <c r="AA6" i="5"/>
  <c r="AA7" i="5" s="1"/>
  <c r="Z6" i="5"/>
  <c r="AA5" i="5"/>
  <c r="Z5" i="5"/>
  <c r="J5" i="5"/>
  <c r="AA4" i="5"/>
  <c r="Z4" i="5"/>
  <c r="W4" i="5"/>
  <c r="K4" i="5"/>
  <c r="Y154" i="4"/>
  <c r="X154" i="4"/>
  <c r="W154" i="4"/>
  <c r="V154" i="4"/>
  <c r="U154" i="4"/>
  <c r="T154" i="4"/>
  <c r="S154" i="4"/>
  <c r="R154" i="4"/>
  <c r="Q154" i="4"/>
  <c r="P154" i="4"/>
  <c r="O154" i="4"/>
  <c r="N154" i="4"/>
  <c r="M154" i="4"/>
  <c r="L154" i="4"/>
  <c r="K154" i="4"/>
  <c r="J154" i="4"/>
  <c r="I154" i="4"/>
  <c r="H154" i="4"/>
  <c r="G154" i="4"/>
  <c r="F154" i="4"/>
  <c r="E154" i="4"/>
  <c r="D154" i="4"/>
  <c r="C154" i="4"/>
  <c r="Y153" i="4"/>
  <c r="X153" i="4"/>
  <c r="W153" i="4"/>
  <c r="V153" i="4"/>
  <c r="U153" i="4"/>
  <c r="U9" i="4" s="1"/>
  <c r="T153" i="4"/>
  <c r="S153" i="4"/>
  <c r="R153" i="4"/>
  <c r="Q153" i="4"/>
  <c r="P153" i="4"/>
  <c r="O153" i="4"/>
  <c r="N153" i="4"/>
  <c r="M153" i="4"/>
  <c r="L153" i="4"/>
  <c r="K153" i="4"/>
  <c r="J153" i="4"/>
  <c r="I153" i="4"/>
  <c r="I9" i="4" s="1"/>
  <c r="H153" i="4"/>
  <c r="G153" i="4"/>
  <c r="F153" i="4"/>
  <c r="E153" i="4"/>
  <c r="D153" i="4"/>
  <c r="C153" i="4"/>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Y4" i="4" s="1"/>
  <c r="X63" i="4"/>
  <c r="W63" i="4"/>
  <c r="V63" i="4"/>
  <c r="U63" i="4"/>
  <c r="T63" i="4"/>
  <c r="S63" i="4"/>
  <c r="R63" i="4"/>
  <c r="Q63" i="4"/>
  <c r="P63" i="4"/>
  <c r="O63" i="4"/>
  <c r="N63" i="4"/>
  <c r="M63" i="4"/>
  <c r="M6" i="4" s="1"/>
  <c r="M7" i="4" s="1"/>
  <c r="L63" i="4"/>
  <c r="K63" i="4"/>
  <c r="J63" i="4"/>
  <c r="I63" i="4"/>
  <c r="H63" i="4"/>
  <c r="G63" i="4"/>
  <c r="F63" i="4"/>
  <c r="E63" i="4"/>
  <c r="D63" i="4"/>
  <c r="C63" i="4"/>
  <c r="AA62" i="4"/>
  <c r="Z62" i="4"/>
  <c r="Y62" i="4"/>
  <c r="X62" i="4"/>
  <c r="W62" i="4"/>
  <c r="V62" i="4"/>
  <c r="U62" i="4"/>
  <c r="T62" i="4"/>
  <c r="S62" i="4"/>
  <c r="R62" i="4"/>
  <c r="Q62" i="4"/>
  <c r="P62" i="4"/>
  <c r="O62" i="4"/>
  <c r="N62" i="4"/>
  <c r="N6" i="4" s="1"/>
  <c r="N7" i="4" s="1"/>
  <c r="M62" i="4"/>
  <c r="L62" i="4"/>
  <c r="K62" i="4"/>
  <c r="J62" i="4"/>
  <c r="I62" i="4"/>
  <c r="H62" i="4"/>
  <c r="G62" i="4"/>
  <c r="F62" i="4"/>
  <c r="E62" i="4"/>
  <c r="D62" i="4"/>
  <c r="C62" i="4"/>
  <c r="AA61" i="4"/>
  <c r="Z61" i="4"/>
  <c r="Y61" i="4"/>
  <c r="X61" i="4"/>
  <c r="W61" i="4"/>
  <c r="V61" i="4"/>
  <c r="U61" i="4"/>
  <c r="U6" i="4" s="1"/>
  <c r="U7" i="4" s="1"/>
  <c r="T61" i="4"/>
  <c r="S61" i="4"/>
  <c r="R61" i="4"/>
  <c r="Q61" i="4"/>
  <c r="P61" i="4"/>
  <c r="O61" i="4"/>
  <c r="O5" i="4" s="1"/>
  <c r="N61" i="4"/>
  <c r="M61" i="4"/>
  <c r="L61" i="4"/>
  <c r="K61" i="4"/>
  <c r="J61" i="4"/>
  <c r="I61" i="4"/>
  <c r="I6" i="4" s="1"/>
  <c r="I7" i="4" s="1"/>
  <c r="H61" i="4"/>
  <c r="G61" i="4"/>
  <c r="F61" i="4"/>
  <c r="E61" i="4"/>
  <c r="D61" i="4"/>
  <c r="C61" i="4"/>
  <c r="C5" i="4" s="1"/>
  <c r="AA60" i="4"/>
  <c r="Z60" i="4"/>
  <c r="Y60" i="4"/>
  <c r="X60" i="4"/>
  <c r="W60" i="4"/>
  <c r="V60" i="4"/>
  <c r="V5" i="4" s="1"/>
  <c r="U60" i="4"/>
  <c r="T60" i="4"/>
  <c r="S60" i="4"/>
  <c r="R60" i="4"/>
  <c r="Q60" i="4"/>
  <c r="P60" i="4"/>
  <c r="P4" i="4" s="1"/>
  <c r="O60" i="4"/>
  <c r="N60" i="4"/>
  <c r="M60" i="4"/>
  <c r="L60" i="4"/>
  <c r="K60" i="4"/>
  <c r="J60" i="4"/>
  <c r="J6" i="4" s="1"/>
  <c r="J7" i="4" s="1"/>
  <c r="I60" i="4"/>
  <c r="H60" i="4"/>
  <c r="G60" i="4"/>
  <c r="F60" i="4"/>
  <c r="E60" i="4"/>
  <c r="D60" i="4"/>
  <c r="D4" i="4" s="1"/>
  <c r="C60" i="4"/>
  <c r="AA59" i="4"/>
  <c r="Z59" i="4"/>
  <c r="Y59" i="4"/>
  <c r="X59" i="4"/>
  <c r="W59" i="4"/>
  <c r="V59" i="4"/>
  <c r="V4" i="4" s="1"/>
  <c r="U59" i="4"/>
  <c r="U5" i="4" s="1"/>
  <c r="T59" i="4"/>
  <c r="T6" i="4" s="1"/>
  <c r="T7" i="4" s="1"/>
  <c r="S59" i="4"/>
  <c r="S6" i="4" s="1"/>
  <c r="S7" i="4" s="1"/>
  <c r="R59" i="4"/>
  <c r="R6" i="4" s="1"/>
  <c r="R7" i="4" s="1"/>
  <c r="Q59" i="4"/>
  <c r="Q6" i="4" s="1"/>
  <c r="Q7" i="4" s="1"/>
  <c r="P59" i="4"/>
  <c r="O59" i="4"/>
  <c r="N59" i="4"/>
  <c r="M59" i="4"/>
  <c r="L59" i="4"/>
  <c r="K59" i="4"/>
  <c r="J59" i="4"/>
  <c r="J4" i="4" s="1"/>
  <c r="I59" i="4"/>
  <c r="I5" i="4" s="1"/>
  <c r="H59" i="4"/>
  <c r="H6" i="4" s="1"/>
  <c r="H7" i="4" s="1"/>
  <c r="G59" i="4"/>
  <c r="G6" i="4" s="1"/>
  <c r="G7" i="4" s="1"/>
  <c r="F59" i="4"/>
  <c r="F6" i="4" s="1"/>
  <c r="F7" i="4" s="1"/>
  <c r="E59" i="4"/>
  <c r="E5" i="4" s="1"/>
  <c r="D59" i="4"/>
  <c r="C59" i="4"/>
  <c r="AA9" i="4"/>
  <c r="Z9" i="4"/>
  <c r="Y9" i="4"/>
  <c r="X9" i="4"/>
  <c r="W9" i="4"/>
  <c r="V9" i="4"/>
  <c r="T9" i="4"/>
  <c r="S9" i="4"/>
  <c r="R9" i="4"/>
  <c r="Q9" i="4"/>
  <c r="P9" i="4"/>
  <c r="O9" i="4"/>
  <c r="N9" i="4"/>
  <c r="M9" i="4"/>
  <c r="L9" i="4"/>
  <c r="K9" i="4"/>
  <c r="J9" i="4"/>
  <c r="H9" i="4"/>
  <c r="G9" i="4"/>
  <c r="F9" i="4"/>
  <c r="E9" i="4"/>
  <c r="D9" i="4"/>
  <c r="C9" i="4"/>
  <c r="AA8" i="4"/>
  <c r="Z8" i="4"/>
  <c r="Y8" i="4"/>
  <c r="X8" i="4"/>
  <c r="W8" i="4"/>
  <c r="V8" i="4"/>
  <c r="T8" i="4"/>
  <c r="S8" i="4"/>
  <c r="R8" i="4"/>
  <c r="Q8" i="4"/>
  <c r="P8" i="4"/>
  <c r="O8" i="4"/>
  <c r="N8" i="4"/>
  <c r="M8" i="4"/>
  <c r="L8" i="4"/>
  <c r="K8" i="4"/>
  <c r="J8" i="4"/>
  <c r="H8" i="4"/>
  <c r="G8" i="4"/>
  <c r="F8" i="4"/>
  <c r="E8" i="4"/>
  <c r="D8" i="4"/>
  <c r="C8" i="4"/>
  <c r="Z7" i="4"/>
  <c r="AA6" i="4"/>
  <c r="AA7" i="4" s="1"/>
  <c r="Z6" i="4"/>
  <c r="O6" i="4"/>
  <c r="O7" i="4" s="1"/>
  <c r="C6" i="4"/>
  <c r="C7" i="4" s="1"/>
  <c r="AA5" i="4"/>
  <c r="Z5" i="4"/>
  <c r="P5" i="4"/>
  <c r="D5" i="4"/>
  <c r="AA4" i="4"/>
  <c r="Z4" i="4"/>
  <c r="Q4" i="4"/>
  <c r="E4" i="4"/>
  <c r="I162" i="6" l="1"/>
  <c r="G308" i="6"/>
  <c r="H308" i="6" s="1"/>
  <c r="I403" i="6"/>
  <c r="I423" i="6"/>
  <c r="I623" i="6"/>
  <c r="I791" i="6"/>
  <c r="G820" i="6"/>
  <c r="H820" i="6" s="1"/>
  <c r="I849" i="6"/>
  <c r="I115" i="6"/>
  <c r="I166" i="6"/>
  <c r="I247" i="6"/>
  <c r="G262" i="6"/>
  <c r="H262" i="6" s="1"/>
  <c r="G268" i="6"/>
  <c r="H268" i="6" s="1"/>
  <c r="G375" i="6"/>
  <c r="H375" i="6" s="1"/>
  <c r="I440" i="6"/>
  <c r="G438" i="6"/>
  <c r="H438" i="6" s="1"/>
  <c r="I562" i="6"/>
  <c r="I694" i="6"/>
  <c r="G792" i="6"/>
  <c r="H792" i="6" s="1"/>
  <c r="I813" i="6"/>
  <c r="I64" i="6"/>
  <c r="I149" i="6"/>
  <c r="G148" i="6"/>
  <c r="H148" i="6" s="1"/>
  <c r="G319" i="6"/>
  <c r="H319" i="6" s="1"/>
  <c r="I663" i="6"/>
  <c r="I688" i="6"/>
  <c r="I708" i="6"/>
  <c r="I814" i="6"/>
  <c r="I147" i="6"/>
  <c r="I236" i="6"/>
  <c r="I272" i="6"/>
  <c r="I335" i="6"/>
  <c r="I459" i="6"/>
  <c r="I492" i="6"/>
  <c r="G702" i="6"/>
  <c r="H702" i="6" s="1"/>
  <c r="I704" i="6"/>
  <c r="G728" i="6"/>
  <c r="H728" i="6" s="1"/>
  <c r="I806" i="6"/>
  <c r="I80" i="6"/>
  <c r="I255" i="6"/>
  <c r="I311" i="6"/>
  <c r="G620" i="6"/>
  <c r="H620" i="6" s="1"/>
  <c r="I36" i="6"/>
  <c r="G477" i="6"/>
  <c r="H477" i="6" s="1"/>
  <c r="G669" i="6"/>
  <c r="H669" i="6" s="1"/>
  <c r="I746" i="6"/>
  <c r="G775" i="6"/>
  <c r="H775" i="6" s="1"/>
  <c r="I295" i="6"/>
  <c r="I676" i="6"/>
  <c r="I783" i="6"/>
  <c r="I817" i="6"/>
  <c r="G836" i="6"/>
  <c r="H836" i="6" s="1"/>
  <c r="I52" i="6"/>
  <c r="I60" i="6"/>
  <c r="I111" i="6"/>
  <c r="I198" i="6"/>
  <c r="G447" i="6"/>
  <c r="H447" i="6" s="1"/>
  <c r="G495" i="6"/>
  <c r="H495" i="6" s="1"/>
  <c r="G523" i="6"/>
  <c r="H523" i="6" s="1"/>
  <c r="I570" i="6"/>
  <c r="G592" i="6"/>
  <c r="H592" i="6" s="1"/>
  <c r="I729" i="6"/>
  <c r="I837" i="6"/>
  <c r="G852" i="6"/>
  <c r="H852" i="6" s="1"/>
  <c r="I442" i="6"/>
  <c r="I508" i="6"/>
  <c r="G710" i="6"/>
  <c r="H710" i="6" s="1"/>
  <c r="I737" i="6"/>
  <c r="G730" i="6"/>
  <c r="H730" i="6" s="1"/>
  <c r="I146" i="6"/>
  <c r="G139" i="6"/>
  <c r="H139" i="6" s="1"/>
  <c r="G164" i="6"/>
  <c r="H164" i="6" s="1"/>
  <c r="G235" i="6"/>
  <c r="H235" i="6" s="1"/>
  <c r="G240" i="6"/>
  <c r="H240" i="6" s="1"/>
  <c r="G267" i="6"/>
  <c r="H267" i="6" s="1"/>
  <c r="G382" i="6"/>
  <c r="H382" i="6" s="1"/>
  <c r="G462" i="6"/>
  <c r="H462" i="6" s="1"/>
  <c r="I716" i="6"/>
  <c r="G784" i="6"/>
  <c r="H784" i="6" s="1"/>
  <c r="G296" i="6"/>
  <c r="H296" i="6" s="1"/>
  <c r="G508" i="6"/>
  <c r="H508" i="6" s="1"/>
  <c r="G556" i="6"/>
  <c r="H556" i="6" s="1"/>
  <c r="I175" i="6"/>
  <c r="G356" i="6"/>
  <c r="H356" i="6" s="1"/>
  <c r="G494" i="6"/>
  <c r="H494" i="6" s="1"/>
  <c r="I506" i="6"/>
  <c r="G550" i="6"/>
  <c r="H550" i="6" s="1"/>
  <c r="I560" i="6"/>
  <c r="G134" i="6"/>
  <c r="H134" i="6" s="1"/>
  <c r="I178" i="6"/>
  <c r="G216" i="6"/>
  <c r="H216" i="6" s="1"/>
  <c r="G115" i="6"/>
  <c r="H115" i="6" s="1"/>
  <c r="G119" i="6"/>
  <c r="H119" i="6" s="1"/>
  <c r="G163" i="6"/>
  <c r="H163" i="6" s="1"/>
  <c r="I202" i="6"/>
  <c r="I216" i="6"/>
  <c r="G244" i="6"/>
  <c r="H244" i="6" s="1"/>
  <c r="G248" i="6"/>
  <c r="H248" i="6" s="1"/>
  <c r="I283" i="6"/>
  <c r="I287" i="6"/>
  <c r="I307" i="6"/>
  <c r="I313" i="6"/>
  <c r="G315" i="6"/>
  <c r="H315" i="6" s="1"/>
  <c r="I346" i="6"/>
  <c r="G395" i="6"/>
  <c r="H395" i="6" s="1"/>
  <c r="I419" i="6"/>
  <c r="I495" i="6"/>
  <c r="G551" i="6"/>
  <c r="H551" i="6" s="1"/>
  <c r="I706" i="6"/>
  <c r="G717" i="6"/>
  <c r="H717" i="6" s="1"/>
  <c r="G13" i="6"/>
  <c r="H13" i="6" s="1"/>
  <c r="G88" i="6"/>
  <c r="H88" i="6" s="1"/>
  <c r="G131" i="6"/>
  <c r="H131" i="6" s="1"/>
  <c r="G167" i="6"/>
  <c r="H167" i="6" s="1"/>
  <c r="I232" i="6"/>
  <c r="I240" i="6"/>
  <c r="I248" i="6"/>
  <c r="I271" i="6"/>
  <c r="I303" i="6"/>
  <c r="I301" i="6"/>
  <c r="I342" i="6"/>
  <c r="I407" i="6"/>
  <c r="G535" i="6"/>
  <c r="H535" i="6" s="1"/>
  <c r="I658" i="6"/>
  <c r="G694" i="6"/>
  <c r="H694" i="6" s="1"/>
  <c r="I49" i="6"/>
  <c r="I37" i="6"/>
  <c r="I117" i="6"/>
  <c r="I163" i="6"/>
  <c r="I167" i="6"/>
  <c r="G179" i="6"/>
  <c r="H179" i="6" s="1"/>
  <c r="G347" i="6"/>
  <c r="H347" i="6" s="1"/>
  <c r="I363" i="6"/>
  <c r="G381" i="6"/>
  <c r="H381" i="6" s="1"/>
  <c r="I396" i="6"/>
  <c r="I415" i="6"/>
  <c r="I535" i="6"/>
  <c r="I762" i="6"/>
  <c r="I767" i="6"/>
  <c r="I760" i="6"/>
  <c r="I834" i="6"/>
  <c r="I845" i="6"/>
  <c r="I40" i="6"/>
  <c r="I174" i="6"/>
  <c r="G392" i="6"/>
  <c r="H392" i="6" s="1"/>
  <c r="I524" i="6"/>
  <c r="G623" i="6"/>
  <c r="H623" i="6" s="1"/>
  <c r="I779" i="6"/>
  <c r="I796" i="6"/>
  <c r="I447" i="6"/>
  <c r="I634" i="6"/>
  <c r="I20" i="6"/>
  <c r="I211" i="6"/>
  <c r="I95" i="6"/>
  <c r="G92" i="6"/>
  <c r="H92" i="6" s="1"/>
  <c r="I195" i="6"/>
  <c r="G211" i="6"/>
  <c r="H211" i="6" s="1"/>
  <c r="I214" i="6"/>
  <c r="I435" i="6"/>
  <c r="G519" i="6"/>
  <c r="H519" i="6" s="1"/>
  <c r="I668" i="6"/>
  <c r="I677" i="6"/>
  <c r="G758" i="6"/>
  <c r="H758" i="6" s="1"/>
  <c r="G779" i="6"/>
  <c r="H779" i="6" s="1"/>
  <c r="I828" i="6"/>
  <c r="I854" i="6"/>
  <c r="I15" i="6"/>
  <c r="G107" i="6"/>
  <c r="H107" i="6" s="1"/>
  <c r="G122" i="6"/>
  <c r="H122" i="6" s="1"/>
  <c r="G151" i="6"/>
  <c r="H151" i="6" s="1"/>
  <c r="G263" i="6"/>
  <c r="H263" i="6" s="1"/>
  <c r="I279" i="6"/>
  <c r="G274" i="6"/>
  <c r="H274" i="6" s="1"/>
  <c r="G309" i="6"/>
  <c r="H309" i="6" s="1"/>
  <c r="I452" i="6"/>
  <c r="G549" i="6"/>
  <c r="H549" i="6" s="1"/>
  <c r="G665" i="6"/>
  <c r="H665" i="6" s="1"/>
  <c r="I825" i="6"/>
  <c r="G855" i="6"/>
  <c r="H855" i="6" s="1"/>
  <c r="I61" i="6"/>
  <c r="G101" i="6"/>
  <c r="H101" i="6" s="1"/>
  <c r="I183" i="6"/>
  <c r="I466" i="6"/>
  <c r="G619" i="6"/>
  <c r="H619" i="6" s="1"/>
  <c r="G651" i="6"/>
  <c r="H651" i="6" s="1"/>
  <c r="I689" i="6"/>
  <c r="I775" i="6"/>
  <c r="I231" i="6"/>
  <c r="I276" i="6"/>
  <c r="G386" i="6"/>
  <c r="H386" i="6" s="1"/>
  <c r="I454" i="6"/>
  <c r="I532" i="6"/>
  <c r="G693" i="6"/>
  <c r="H693" i="6" s="1"/>
  <c r="I709" i="6"/>
  <c r="G734" i="6"/>
  <c r="H734" i="6" s="1"/>
  <c r="K5" i="5"/>
  <c r="W5" i="5"/>
  <c r="J6" i="5"/>
  <c r="J7" i="5" s="1"/>
  <c r="V6" i="5"/>
  <c r="V7" i="5" s="1"/>
  <c r="I4" i="5"/>
  <c r="U4" i="5"/>
  <c r="L6" i="5"/>
  <c r="L7" i="5" s="1"/>
  <c r="X6" i="5"/>
  <c r="X7" i="5" s="1"/>
  <c r="M6" i="5"/>
  <c r="M7" i="5" s="1"/>
  <c r="Y6" i="5"/>
  <c r="Y7" i="5" s="1"/>
  <c r="N6" i="5"/>
  <c r="N7" i="5" s="1"/>
  <c r="L6" i="4"/>
  <c r="L7" i="4" s="1"/>
  <c r="K4" i="4"/>
  <c r="X6" i="4"/>
  <c r="X7" i="4" s="1"/>
  <c r="W6" i="4"/>
  <c r="W7" i="4" s="1"/>
  <c r="I41" i="6"/>
  <c r="G29" i="6"/>
  <c r="H29" i="6" s="1"/>
  <c r="G77" i="6"/>
  <c r="H77" i="6" s="1"/>
  <c r="I105" i="6"/>
  <c r="G93" i="6"/>
  <c r="H93" i="6" s="1"/>
  <c r="G85" i="6"/>
  <c r="H85" i="6" s="1"/>
  <c r="C57" i="6"/>
  <c r="E69" i="6"/>
  <c r="I77" i="6"/>
  <c r="G65" i="6"/>
  <c r="H65" i="6" s="1"/>
  <c r="I29" i="6"/>
  <c r="G17" i="6"/>
  <c r="H17" i="6" s="1"/>
  <c r="C45" i="6"/>
  <c r="D57" i="6"/>
  <c r="E57" i="6"/>
  <c r="I65" i="6"/>
  <c r="G53" i="6"/>
  <c r="H53" i="6" s="1"/>
  <c r="E109" i="6"/>
  <c r="E97" i="6"/>
  <c r="E101" i="6"/>
  <c r="E89" i="6"/>
  <c r="C33" i="6"/>
  <c r="D45" i="6"/>
  <c r="E45" i="6"/>
  <c r="C81" i="6"/>
  <c r="D81" i="6" s="1"/>
  <c r="E93" i="6"/>
  <c r="N2" i="6"/>
  <c r="M2" i="6"/>
  <c r="I53" i="6"/>
  <c r="G41" i="6"/>
  <c r="H41" i="6" s="1"/>
  <c r="C21" i="6"/>
  <c r="D33" i="6"/>
  <c r="E33" i="6"/>
  <c r="E21" i="6"/>
  <c r="C69" i="6"/>
  <c r="D69" i="6" s="1"/>
  <c r="E81" i="6"/>
  <c r="L4" i="5"/>
  <c r="X4" i="5"/>
  <c r="G14" i="6"/>
  <c r="H14" i="6" s="1"/>
  <c r="F21" i="6"/>
  <c r="I21" i="6" s="1"/>
  <c r="F33" i="6"/>
  <c r="F45" i="6"/>
  <c r="F57" i="6"/>
  <c r="F69" i="6"/>
  <c r="F81" i="6"/>
  <c r="B84" i="6"/>
  <c r="E99" i="6"/>
  <c r="F89" i="6"/>
  <c r="B92" i="6"/>
  <c r="E107" i="6"/>
  <c r="F97" i="6"/>
  <c r="B100" i="6"/>
  <c r="F113" i="6"/>
  <c r="G114" i="6" s="1"/>
  <c r="H114" i="6" s="1"/>
  <c r="B113" i="6"/>
  <c r="E118" i="6"/>
  <c r="C131" i="6"/>
  <c r="D131" i="6" s="1"/>
  <c r="E146" i="6"/>
  <c r="E184" i="6"/>
  <c r="R4" i="4"/>
  <c r="Q5" i="4"/>
  <c r="P6" i="4"/>
  <c r="P7" i="4" s="1"/>
  <c r="G4" i="4"/>
  <c r="F5" i="4"/>
  <c r="R5" i="4"/>
  <c r="E6" i="4"/>
  <c r="E7" i="4" s="1"/>
  <c r="I4" i="6"/>
  <c r="F6" i="6"/>
  <c r="G10" i="6"/>
  <c r="H10" i="6" s="1"/>
  <c r="I12" i="6"/>
  <c r="I14" i="6"/>
  <c r="F19" i="6"/>
  <c r="E36" i="6"/>
  <c r="C24" i="6"/>
  <c r="F31" i="6"/>
  <c r="G32" i="6" s="1"/>
  <c r="H32" i="6" s="1"/>
  <c r="E48" i="6"/>
  <c r="C36" i="6"/>
  <c r="F43" i="6"/>
  <c r="G44" i="6" s="1"/>
  <c r="H44" i="6" s="1"/>
  <c r="E60" i="6"/>
  <c r="C48" i="6"/>
  <c r="F55" i="6"/>
  <c r="E72" i="6"/>
  <c r="C60" i="6"/>
  <c r="D60" i="6" s="1"/>
  <c r="F67" i="6"/>
  <c r="G68" i="6" s="1"/>
  <c r="H68" i="6" s="1"/>
  <c r="E84" i="6"/>
  <c r="C72" i="6"/>
  <c r="D72" i="6" s="1"/>
  <c r="F79" i="6"/>
  <c r="G80" i="6" s="1"/>
  <c r="H80" i="6" s="1"/>
  <c r="I84" i="6"/>
  <c r="I92" i="6"/>
  <c r="I100" i="6"/>
  <c r="B125" i="6"/>
  <c r="F125" i="6"/>
  <c r="G126" i="6" s="1"/>
  <c r="H126" i="6" s="1"/>
  <c r="G140" i="6"/>
  <c r="H140" i="6" s="1"/>
  <c r="C155" i="6"/>
  <c r="D155" i="6" s="1"/>
  <c r="F165" i="6"/>
  <c r="B165" i="6"/>
  <c r="C192" i="6"/>
  <c r="D192" i="6" s="1"/>
  <c r="E203" i="6"/>
  <c r="E191" i="6"/>
  <c r="C191" i="6"/>
  <c r="D191" i="6" s="1"/>
  <c r="C219" i="6"/>
  <c r="D219" i="6" s="1"/>
  <c r="C218" i="6"/>
  <c r="D218" i="6" s="1"/>
  <c r="E31" i="6"/>
  <c r="E55" i="6"/>
  <c r="E67" i="6"/>
  <c r="E91" i="6"/>
  <c r="C79" i="6"/>
  <c r="D79" i="6" s="1"/>
  <c r="E115" i="6"/>
  <c r="E202" i="6"/>
  <c r="F4" i="4"/>
  <c r="D6" i="4"/>
  <c r="D7" i="4" s="1"/>
  <c r="N4" i="5"/>
  <c r="M5" i="5"/>
  <c r="Y5" i="5"/>
  <c r="E3" i="6"/>
  <c r="E27" i="6"/>
  <c r="C15" i="6"/>
  <c r="D17" i="6"/>
  <c r="B22" i="6"/>
  <c r="F22" i="6"/>
  <c r="I22" i="6" s="1"/>
  <c r="D29" i="6"/>
  <c r="B34" i="6"/>
  <c r="F34" i="6"/>
  <c r="D36" i="6"/>
  <c r="D41" i="6"/>
  <c r="B46" i="6"/>
  <c r="F46" i="6"/>
  <c r="D48" i="6"/>
  <c r="D53" i="6"/>
  <c r="B58" i="6"/>
  <c r="F58" i="6"/>
  <c r="B70" i="6"/>
  <c r="F70" i="6"/>
  <c r="B82" i="6"/>
  <c r="F82" i="6"/>
  <c r="I99" i="6"/>
  <c r="B90" i="6"/>
  <c r="F90" i="6"/>
  <c r="B98" i="6"/>
  <c r="F98" i="6"/>
  <c r="E119" i="6"/>
  <c r="C107" i="6"/>
  <c r="D107" i="6" s="1"/>
  <c r="I113" i="6"/>
  <c r="B141" i="6"/>
  <c r="F141" i="6"/>
  <c r="C222" i="6"/>
  <c r="D222" i="6" s="1"/>
  <c r="E234" i="6"/>
  <c r="C233" i="6"/>
  <c r="D233" i="6" s="1"/>
  <c r="C262" i="6"/>
  <c r="D262" i="6" s="1"/>
  <c r="G284" i="6"/>
  <c r="H284" i="6" s="1"/>
  <c r="I296" i="6"/>
  <c r="G343" i="6"/>
  <c r="H343" i="6" s="1"/>
  <c r="I355" i="6"/>
  <c r="E627" i="6"/>
  <c r="C615" i="6"/>
  <c r="D615" i="6" s="1"/>
  <c r="E43" i="6"/>
  <c r="E79" i="6"/>
  <c r="C67" i="6"/>
  <c r="D67" i="6" s="1"/>
  <c r="G100" i="6"/>
  <c r="H100" i="6" s="1"/>
  <c r="G221" i="6"/>
  <c r="H221" i="6" s="1"/>
  <c r="S4" i="4"/>
  <c r="H4" i="4"/>
  <c r="T4" i="4"/>
  <c r="G5" i="4"/>
  <c r="S5" i="4"/>
  <c r="I4" i="4"/>
  <c r="U4" i="4"/>
  <c r="H5" i="4"/>
  <c r="T5" i="4"/>
  <c r="N5" i="5"/>
  <c r="E23" i="6"/>
  <c r="D11" i="6"/>
  <c r="C13" i="6"/>
  <c r="E17" i="6"/>
  <c r="E39" i="6"/>
  <c r="E51" i="6"/>
  <c r="E63" i="6"/>
  <c r="E75" i="6"/>
  <c r="E87" i="6"/>
  <c r="C85" i="6"/>
  <c r="D85" i="6" s="1"/>
  <c r="E105" i="6"/>
  <c r="C93" i="6"/>
  <c r="D93" i="6" s="1"/>
  <c r="E113" i="6"/>
  <c r="C101" i="6"/>
  <c r="D101" i="6" s="1"/>
  <c r="I116" i="6"/>
  <c r="G104" i="6"/>
  <c r="H104" i="6" s="1"/>
  <c r="C119" i="6"/>
  <c r="D119" i="6" s="1"/>
  <c r="I134" i="6"/>
  <c r="I154" i="6"/>
  <c r="I151" i="6"/>
  <c r="C166" i="6"/>
  <c r="D166" i="6" s="1"/>
  <c r="C167" i="6"/>
  <c r="D167" i="6" s="1"/>
  <c r="E178" i="6"/>
  <c r="C187" i="6"/>
  <c r="D187" i="6" s="1"/>
  <c r="C261" i="6"/>
  <c r="D261" i="6" s="1"/>
  <c r="D4" i="5"/>
  <c r="P4" i="5"/>
  <c r="G3" i="6"/>
  <c r="H3" i="6" s="1"/>
  <c r="C5" i="6"/>
  <c r="E9" i="6"/>
  <c r="E11" i="6"/>
  <c r="D13" i="6"/>
  <c r="G20" i="6"/>
  <c r="H20" i="6" s="1"/>
  <c r="D27" i="6"/>
  <c r="D39" i="6"/>
  <c r="D51" i="6"/>
  <c r="G56" i="6"/>
  <c r="H56" i="6" s="1"/>
  <c r="B104" i="6"/>
  <c r="C111" i="6"/>
  <c r="D111" i="6" s="1"/>
  <c r="E122" i="6"/>
  <c r="G138" i="6"/>
  <c r="H138" i="6" s="1"/>
  <c r="C142" i="6"/>
  <c r="D142" i="6" s="1"/>
  <c r="C143" i="6"/>
  <c r="D143" i="6" s="1"/>
  <c r="G147" i="6"/>
  <c r="H147" i="6" s="1"/>
  <c r="E161" i="6"/>
  <c r="F187" i="6"/>
  <c r="I187" i="6" s="1"/>
  <c r="E213" i="6"/>
  <c r="B212" i="6"/>
  <c r="F212" i="6"/>
  <c r="G213" i="6" s="1"/>
  <c r="H213" i="6" s="1"/>
  <c r="E318" i="6"/>
  <c r="C307" i="6"/>
  <c r="D307" i="6" s="1"/>
  <c r="E4" i="5"/>
  <c r="Q4" i="5"/>
  <c r="D5" i="6"/>
  <c r="E19" i="6"/>
  <c r="C7" i="6"/>
  <c r="E7" i="6"/>
  <c r="F11" i="6"/>
  <c r="G12" i="6" s="1"/>
  <c r="H12" i="6" s="1"/>
  <c r="E13" i="6"/>
  <c r="E32" i="6"/>
  <c r="C20" i="6"/>
  <c r="F27" i="6"/>
  <c r="I27" i="6" s="1"/>
  <c r="E44" i="6"/>
  <c r="C32" i="6"/>
  <c r="F39" i="6"/>
  <c r="G40" i="6" s="1"/>
  <c r="H40" i="6" s="1"/>
  <c r="E56" i="6"/>
  <c r="C44" i="6"/>
  <c r="F51" i="6"/>
  <c r="G52" i="6" s="1"/>
  <c r="H52" i="6" s="1"/>
  <c r="E68" i="6"/>
  <c r="C56" i="6"/>
  <c r="F63" i="6"/>
  <c r="G64" i="6" s="1"/>
  <c r="H64" i="6" s="1"/>
  <c r="E80" i="6"/>
  <c r="C68" i="6"/>
  <c r="D68" i="6" s="1"/>
  <c r="F75" i="6"/>
  <c r="G76" i="6" s="1"/>
  <c r="H76" i="6" s="1"/>
  <c r="E92" i="6"/>
  <c r="C80" i="6"/>
  <c r="D80" i="6" s="1"/>
  <c r="E85" i="6"/>
  <c r="G96" i="6"/>
  <c r="H96" i="6" s="1"/>
  <c r="I104" i="6"/>
  <c r="I107" i="6"/>
  <c r="I119" i="6"/>
  <c r="E142" i="6"/>
  <c r="C181" i="6"/>
  <c r="D181" i="6" s="1"/>
  <c r="B184" i="6"/>
  <c r="F184" i="6"/>
  <c r="G185" i="6" s="1"/>
  <c r="H185" i="6" s="1"/>
  <c r="F197" i="6"/>
  <c r="G198" i="6" s="1"/>
  <c r="H198" i="6" s="1"/>
  <c r="B197" i="6"/>
  <c r="J5" i="4"/>
  <c r="L4" i="4"/>
  <c r="X4" i="4"/>
  <c r="K5" i="4"/>
  <c r="W5" i="4"/>
  <c r="V6" i="4"/>
  <c r="V7" i="4" s="1"/>
  <c r="F4" i="5"/>
  <c r="R4" i="5"/>
  <c r="E5" i="5"/>
  <c r="Q5" i="5"/>
  <c r="I3" i="6"/>
  <c r="D7" i="6"/>
  <c r="I9" i="6"/>
  <c r="I25" i="6"/>
  <c r="I13" i="6"/>
  <c r="G15" i="6"/>
  <c r="H15" i="6" s="1"/>
  <c r="B18" i="6"/>
  <c r="C19" i="6" s="1"/>
  <c r="F18" i="6"/>
  <c r="D25" i="6"/>
  <c r="B30" i="6"/>
  <c r="F30" i="6"/>
  <c r="D32" i="6"/>
  <c r="D37" i="6"/>
  <c r="B42" i="6"/>
  <c r="C43" i="6" s="1"/>
  <c r="F42" i="6"/>
  <c r="D44" i="6"/>
  <c r="D49" i="6"/>
  <c r="B54" i="6"/>
  <c r="F54" i="6"/>
  <c r="D56" i="6"/>
  <c r="B66" i="6"/>
  <c r="F66" i="6"/>
  <c r="B78" i="6"/>
  <c r="F78" i="6"/>
  <c r="E95" i="6"/>
  <c r="C83" i="6"/>
  <c r="D83" i="6" s="1"/>
  <c r="B88" i="6"/>
  <c r="E103" i="6"/>
  <c r="C91" i="6"/>
  <c r="D91" i="6" s="1"/>
  <c r="B96" i="6"/>
  <c r="C97" i="6" s="1"/>
  <c r="D97" i="6" s="1"/>
  <c r="E111" i="6"/>
  <c r="E117" i="6"/>
  <c r="C105" i="6"/>
  <c r="D105" i="6" s="1"/>
  <c r="B108" i="6"/>
  <c r="F108" i="6"/>
  <c r="I108" i="6" s="1"/>
  <c r="G117" i="6"/>
  <c r="H117" i="6" s="1"/>
  <c r="G118" i="6"/>
  <c r="H118" i="6" s="1"/>
  <c r="B120" i="6"/>
  <c r="F120" i="6"/>
  <c r="I122" i="6"/>
  <c r="I126" i="6"/>
  <c r="I142" i="6"/>
  <c r="B153" i="6"/>
  <c r="C154" i="6" s="1"/>
  <c r="D154" i="6" s="1"/>
  <c r="F153" i="6"/>
  <c r="G154" i="6" s="1"/>
  <c r="H154" i="6" s="1"/>
  <c r="G156" i="6"/>
  <c r="H156" i="6" s="1"/>
  <c r="F209" i="6"/>
  <c r="G210" i="6" s="1"/>
  <c r="H210" i="6" s="1"/>
  <c r="B209" i="6"/>
  <c r="I304" i="6"/>
  <c r="G292" i="6"/>
  <c r="H292" i="6" s="1"/>
  <c r="W4" i="4"/>
  <c r="L5" i="4"/>
  <c r="K6" i="4"/>
  <c r="K7" i="4" s="1"/>
  <c r="I8" i="4"/>
  <c r="U8" i="4"/>
  <c r="G4" i="5"/>
  <c r="S4" i="5"/>
  <c r="F5" i="5"/>
  <c r="R5" i="5"/>
  <c r="C8" i="5"/>
  <c r="O8" i="5"/>
  <c r="I17" i="6"/>
  <c r="I5" i="6"/>
  <c r="F7" i="6"/>
  <c r="G8" i="6" s="1"/>
  <c r="H8" i="6" s="1"/>
  <c r="E35" i="6"/>
  <c r="C23" i="6"/>
  <c r="E25" i="6"/>
  <c r="E47" i="6"/>
  <c r="C35" i="6"/>
  <c r="E37" i="6"/>
  <c r="E59" i="6"/>
  <c r="C47" i="6"/>
  <c r="E49" i="6"/>
  <c r="E71" i="6"/>
  <c r="C59" i="6"/>
  <c r="D59" i="6" s="1"/>
  <c r="E61" i="6"/>
  <c r="E83" i="6"/>
  <c r="C71" i="6"/>
  <c r="D71" i="6" s="1"/>
  <c r="E73" i="6"/>
  <c r="I88" i="6"/>
  <c r="I96" i="6"/>
  <c r="B102" i="6"/>
  <c r="F102" i="6"/>
  <c r="E129" i="6"/>
  <c r="C117" i="6"/>
  <c r="D117" i="6" s="1"/>
  <c r="F123" i="6"/>
  <c r="B123" i="6"/>
  <c r="B136" i="6"/>
  <c r="F136" i="6"/>
  <c r="I136" i="6" s="1"/>
  <c r="E214" i="6"/>
  <c r="C202" i="6"/>
  <c r="D202" i="6" s="1"/>
  <c r="C203" i="6"/>
  <c r="D203" i="6" s="1"/>
  <c r="H4" i="5"/>
  <c r="T4" i="5"/>
  <c r="G5" i="5"/>
  <c r="S5" i="5"/>
  <c r="E4" i="6"/>
  <c r="G16" i="6"/>
  <c r="H16" i="6" s="1"/>
  <c r="D23" i="6"/>
  <c r="G28" i="6"/>
  <c r="H28" i="6" s="1"/>
  <c r="D35" i="6"/>
  <c r="D47" i="6"/>
  <c r="I85" i="6"/>
  <c r="B86" i="6"/>
  <c r="F86" i="6"/>
  <c r="B94" i="6"/>
  <c r="F94" i="6"/>
  <c r="G105" i="6"/>
  <c r="H105" i="6" s="1"/>
  <c r="B109" i="6"/>
  <c r="C110" i="6" s="1"/>
  <c r="D110" i="6" s="1"/>
  <c r="F109" i="6"/>
  <c r="G110" i="6" s="1"/>
  <c r="H110" i="6" s="1"/>
  <c r="I197" i="6"/>
  <c r="I206" i="6"/>
  <c r="I218" i="6"/>
  <c r="M4" i="4"/>
  <c r="X5" i="4"/>
  <c r="N4" i="4"/>
  <c r="M5" i="4"/>
  <c r="Y5" i="4"/>
  <c r="C4" i="4"/>
  <c r="O4" i="4"/>
  <c r="N5" i="4"/>
  <c r="Y6" i="4"/>
  <c r="Y7" i="4" s="1"/>
  <c r="H5" i="5"/>
  <c r="T5" i="5"/>
  <c r="C4" i="6"/>
  <c r="D18" i="6"/>
  <c r="B10" i="6"/>
  <c r="C11" i="6" s="1"/>
  <c r="B12" i="6"/>
  <c r="B14" i="6"/>
  <c r="B16" i="6"/>
  <c r="C17" i="6" s="1"/>
  <c r="F23" i="6"/>
  <c r="G25" i="6"/>
  <c r="H25" i="6" s="1"/>
  <c r="B28" i="6"/>
  <c r="C29" i="6" s="1"/>
  <c r="F35" i="6"/>
  <c r="G37" i="6"/>
  <c r="H37" i="6" s="1"/>
  <c r="B40" i="6"/>
  <c r="F47" i="6"/>
  <c r="G48" i="6" s="1"/>
  <c r="H48" i="6" s="1"/>
  <c r="G49" i="6"/>
  <c r="H49" i="6" s="1"/>
  <c r="B52" i="6"/>
  <c r="C53" i="6" s="1"/>
  <c r="F59" i="6"/>
  <c r="G60" i="6" s="1"/>
  <c r="H60" i="6" s="1"/>
  <c r="G61" i="6"/>
  <c r="H61" i="6" s="1"/>
  <c r="B64" i="6"/>
  <c r="C65" i="6" s="1"/>
  <c r="D65" i="6" s="1"/>
  <c r="F71" i="6"/>
  <c r="G72" i="6" s="1"/>
  <c r="H72" i="6" s="1"/>
  <c r="G73" i="6"/>
  <c r="H73" i="6" s="1"/>
  <c r="B76" i="6"/>
  <c r="G83" i="6"/>
  <c r="H83" i="6" s="1"/>
  <c r="G91" i="6"/>
  <c r="H91" i="6" s="1"/>
  <c r="E149" i="6"/>
  <c r="C137" i="6"/>
  <c r="D137" i="6" s="1"/>
  <c r="I139" i="6"/>
  <c r="G143" i="6"/>
  <c r="H143" i="6" s="1"/>
  <c r="I155" i="6"/>
  <c r="C147" i="6"/>
  <c r="D147" i="6" s="1"/>
  <c r="E154" i="6"/>
  <c r="F158" i="6"/>
  <c r="G159" i="6" s="1"/>
  <c r="H159" i="6" s="1"/>
  <c r="B158" i="6"/>
  <c r="E158" i="6" s="1"/>
  <c r="G171" i="6"/>
  <c r="H171" i="6" s="1"/>
  <c r="G172" i="6"/>
  <c r="H172" i="6" s="1"/>
  <c r="C195" i="6"/>
  <c r="D195" i="6" s="1"/>
  <c r="E206" i="6"/>
  <c r="C194" i="6"/>
  <c r="D194" i="6" s="1"/>
  <c r="I222" i="6"/>
  <c r="D4" i="6"/>
  <c r="C6" i="6"/>
  <c r="B8" i="6"/>
  <c r="C9" i="6" s="1"/>
  <c r="D21" i="6"/>
  <c r="B26" i="6"/>
  <c r="F26" i="6"/>
  <c r="B38" i="6"/>
  <c r="F38" i="6"/>
  <c r="B50" i="6"/>
  <c r="F50" i="6"/>
  <c r="B62" i="6"/>
  <c r="C63" i="6" s="1"/>
  <c r="D63" i="6" s="1"/>
  <c r="F62" i="6"/>
  <c r="B74" i="6"/>
  <c r="C75" i="6" s="1"/>
  <c r="D75" i="6" s="1"/>
  <c r="F74" i="6"/>
  <c r="E130" i="6"/>
  <c r="I150" i="6"/>
  <c r="G150" i="6"/>
  <c r="H150" i="6" s="1"/>
  <c r="B171" i="6"/>
  <c r="E171" i="6" s="1"/>
  <c r="C176" i="6"/>
  <c r="D176" i="6" s="1"/>
  <c r="E187" i="6"/>
  <c r="E175" i="6"/>
  <c r="C175" i="6"/>
  <c r="D175" i="6" s="1"/>
  <c r="G182" i="6"/>
  <c r="H182" i="6" s="1"/>
  <c r="I194" i="6"/>
  <c r="G175" i="6"/>
  <c r="H175" i="6" s="1"/>
  <c r="G186" i="6"/>
  <c r="H186" i="6" s="1"/>
  <c r="C214" i="6"/>
  <c r="D214" i="6" s="1"/>
  <c r="C319" i="6"/>
  <c r="D319" i="6" s="1"/>
  <c r="E331" i="6"/>
  <c r="G149" i="6"/>
  <c r="H149" i="6" s="1"/>
  <c r="C160" i="6"/>
  <c r="D160" i="6" s="1"/>
  <c r="F161" i="6"/>
  <c r="I161" i="6" s="1"/>
  <c r="B161" i="6"/>
  <c r="B168" i="6"/>
  <c r="E168" i="6" s="1"/>
  <c r="F168" i="6"/>
  <c r="B173" i="6"/>
  <c r="F173" i="6"/>
  <c r="G174" i="6" s="1"/>
  <c r="H174" i="6" s="1"/>
  <c r="G181" i="6"/>
  <c r="H181" i="6" s="1"/>
  <c r="G183" i="6"/>
  <c r="H183" i="6" s="1"/>
  <c r="F193" i="6"/>
  <c r="G194" i="6" s="1"/>
  <c r="H194" i="6" s="1"/>
  <c r="B193" i="6"/>
  <c r="B205" i="6"/>
  <c r="F205" i="6"/>
  <c r="G206" i="6" s="1"/>
  <c r="H206" i="6" s="1"/>
  <c r="B226" i="6"/>
  <c r="E226" i="6" s="1"/>
  <c r="F226" i="6"/>
  <c r="I226" i="6" s="1"/>
  <c r="C234" i="6"/>
  <c r="D234" i="6" s="1"/>
  <c r="E246" i="6"/>
  <c r="C235" i="6"/>
  <c r="D235" i="6" s="1"/>
  <c r="C256" i="6"/>
  <c r="D256" i="6" s="1"/>
  <c r="E268" i="6"/>
  <c r="E275" i="6"/>
  <c r="C263" i="6"/>
  <c r="D263" i="6" s="1"/>
  <c r="G132" i="6"/>
  <c r="H132" i="6" s="1"/>
  <c r="C144" i="6"/>
  <c r="D144" i="6" s="1"/>
  <c r="E155" i="6"/>
  <c r="F145" i="6"/>
  <c r="G146" i="6" s="1"/>
  <c r="H146" i="6" s="1"/>
  <c r="B145" i="6"/>
  <c r="B152" i="6"/>
  <c r="E152" i="6" s="1"/>
  <c r="F152" i="6"/>
  <c r="I152" i="6" s="1"/>
  <c r="B157" i="6"/>
  <c r="F157" i="6"/>
  <c r="E181" i="6"/>
  <c r="E218" i="6"/>
  <c r="C206" i="6"/>
  <c r="D206" i="6" s="1"/>
  <c r="C215" i="6"/>
  <c r="D215" i="6" s="1"/>
  <c r="I263" i="6"/>
  <c r="G251" i="6"/>
  <c r="H251" i="6" s="1"/>
  <c r="C121" i="6"/>
  <c r="D121" i="6" s="1"/>
  <c r="G133" i="6"/>
  <c r="H133" i="6" s="1"/>
  <c r="I145" i="6"/>
  <c r="C135" i="6"/>
  <c r="D135" i="6" s="1"/>
  <c r="E186" i="6"/>
  <c r="C174" i="6"/>
  <c r="D174" i="6" s="1"/>
  <c r="C182" i="6"/>
  <c r="D182" i="6" s="1"/>
  <c r="E197" i="6"/>
  <c r="C185" i="6"/>
  <c r="D185" i="6" s="1"/>
  <c r="E194" i="6"/>
  <c r="B200" i="6"/>
  <c r="C201" i="6" s="1"/>
  <c r="D201" i="6" s="1"/>
  <c r="F200" i="6"/>
  <c r="I200" i="6" s="1"/>
  <c r="C211" i="6"/>
  <c r="D211" i="6" s="1"/>
  <c r="E222" i="6"/>
  <c r="I230" i="6"/>
  <c r="G218" i="6"/>
  <c r="H218" i="6" s="1"/>
  <c r="C224" i="6"/>
  <c r="D224" i="6" s="1"/>
  <c r="I290" i="6"/>
  <c r="G278" i="6"/>
  <c r="H278" i="6" s="1"/>
  <c r="G279" i="6"/>
  <c r="H279" i="6" s="1"/>
  <c r="I324" i="6"/>
  <c r="G312" i="6"/>
  <c r="H312" i="6" s="1"/>
  <c r="G106" i="6"/>
  <c r="H106" i="6" s="1"/>
  <c r="E123" i="6"/>
  <c r="I118" i="6"/>
  <c r="B126" i="6"/>
  <c r="B133" i="6"/>
  <c r="G135" i="6"/>
  <c r="H135" i="6" s="1"/>
  <c r="C138" i="6"/>
  <c r="D138" i="6" s="1"/>
  <c r="C150" i="6"/>
  <c r="D150" i="6" s="1"/>
  <c r="F169" i="6"/>
  <c r="G170" i="6" s="1"/>
  <c r="H170" i="6" s="1"/>
  <c r="I171" i="6"/>
  <c r="F177" i="6"/>
  <c r="G178" i="6" s="1"/>
  <c r="H178" i="6" s="1"/>
  <c r="B177" i="6"/>
  <c r="E182" i="6"/>
  <c r="I203" i="6"/>
  <c r="G191" i="6"/>
  <c r="H191" i="6" s="1"/>
  <c r="I215" i="6"/>
  <c r="G203" i="6"/>
  <c r="H203" i="6" s="1"/>
  <c r="E219" i="6"/>
  <c r="C208" i="6"/>
  <c r="D208" i="6" s="1"/>
  <c r="E207" i="6"/>
  <c r="I227" i="6"/>
  <c r="E290" i="6"/>
  <c r="C278" i="6"/>
  <c r="D278" i="6" s="1"/>
  <c r="C312" i="6"/>
  <c r="D312" i="6" s="1"/>
  <c r="E324" i="6"/>
  <c r="E312" i="6"/>
  <c r="C128" i="6"/>
  <c r="D128" i="6" s="1"/>
  <c r="E139" i="6"/>
  <c r="F129" i="6"/>
  <c r="B129" i="6"/>
  <c r="I138" i="6"/>
  <c r="I143" i="6"/>
  <c r="I190" i="6"/>
  <c r="B189" i="6"/>
  <c r="C190" i="6" s="1"/>
  <c r="D190" i="6" s="1"/>
  <c r="F189" i="6"/>
  <c r="G190" i="6" s="1"/>
  <c r="H190" i="6" s="1"/>
  <c r="G207" i="6"/>
  <c r="H207" i="6" s="1"/>
  <c r="I225" i="6"/>
  <c r="I219" i="6"/>
  <c r="G222" i="6"/>
  <c r="H222" i="6" s="1"/>
  <c r="I234" i="6"/>
  <c r="G223" i="6"/>
  <c r="H223" i="6" s="1"/>
  <c r="C225" i="6"/>
  <c r="D225" i="6" s="1"/>
  <c r="E321" i="6"/>
  <c r="C309" i="6"/>
  <c r="D309" i="6" s="1"/>
  <c r="G111" i="6"/>
  <c r="H111" i="6" s="1"/>
  <c r="I184" i="6"/>
  <c r="C186" i="6"/>
  <c r="D186" i="6" s="1"/>
  <c r="G195" i="6"/>
  <c r="H195" i="6" s="1"/>
  <c r="I210" i="6"/>
  <c r="I213" i="6"/>
  <c r="I207" i="6"/>
  <c r="F229" i="6"/>
  <c r="I229" i="6" s="1"/>
  <c r="B229" i="6"/>
  <c r="I239" i="6"/>
  <c r="I266" i="6"/>
  <c r="G254" i="6"/>
  <c r="H254" i="6" s="1"/>
  <c r="C198" i="6"/>
  <c r="D198" i="6" s="1"/>
  <c r="G199" i="6"/>
  <c r="H199" i="6" s="1"/>
  <c r="G214" i="6"/>
  <c r="H214" i="6" s="1"/>
  <c r="B216" i="6"/>
  <c r="C223" i="6"/>
  <c r="D223" i="6" s="1"/>
  <c r="B228" i="6"/>
  <c r="E242" i="6"/>
  <c r="F233" i="6"/>
  <c r="I233" i="6" s="1"/>
  <c r="I251" i="6"/>
  <c r="I258" i="6"/>
  <c r="I260" i="6"/>
  <c r="E271" i="6"/>
  <c r="G287" i="6"/>
  <c r="H287" i="6" s="1"/>
  <c r="G295" i="6"/>
  <c r="H295" i="6" s="1"/>
  <c r="G305" i="6"/>
  <c r="H305" i="6" s="1"/>
  <c r="I317" i="6"/>
  <c r="E342" i="6"/>
  <c r="E330" i="6"/>
  <c r="C330" i="6"/>
  <c r="D330" i="6" s="1"/>
  <c r="C349" i="6"/>
  <c r="D349" i="6" s="1"/>
  <c r="C348" i="6"/>
  <c r="D348" i="6" s="1"/>
  <c r="I365" i="6"/>
  <c r="F112" i="6"/>
  <c r="I112" i="6" s="1"/>
  <c r="C124" i="6"/>
  <c r="D124" i="6" s="1"/>
  <c r="F128" i="6"/>
  <c r="C140" i="6"/>
  <c r="D140" i="6" s="1"/>
  <c r="F144" i="6"/>
  <c r="C156" i="6"/>
  <c r="D156" i="6" s="1"/>
  <c r="F160" i="6"/>
  <c r="C172" i="6"/>
  <c r="D172" i="6" s="1"/>
  <c r="F176" i="6"/>
  <c r="E179" i="6"/>
  <c r="C188" i="6"/>
  <c r="D188" i="6" s="1"/>
  <c r="F192" i="6"/>
  <c r="E195" i="6"/>
  <c r="F208" i="6"/>
  <c r="E225" i="6"/>
  <c r="G219" i="6"/>
  <c r="H219" i="6" s="1"/>
  <c r="C230" i="6"/>
  <c r="D230" i="6" s="1"/>
  <c r="I254" i="6"/>
  <c r="G242" i="6"/>
  <c r="H242" i="6" s="1"/>
  <c r="I256" i="6"/>
  <c r="G246" i="6"/>
  <c r="H246" i="6" s="1"/>
  <c r="F249" i="6"/>
  <c r="G250" i="6" s="1"/>
  <c r="H250" i="6" s="1"/>
  <c r="B249" i="6"/>
  <c r="C254" i="6"/>
  <c r="D254" i="6" s="1"/>
  <c r="C255" i="6"/>
  <c r="D255" i="6" s="1"/>
  <c r="E277" i="6"/>
  <c r="C277" i="6"/>
  <c r="D277" i="6" s="1"/>
  <c r="E289" i="6"/>
  <c r="B305" i="6"/>
  <c r="I308" i="6"/>
  <c r="G358" i="6"/>
  <c r="H358" i="6" s="1"/>
  <c r="I242" i="6"/>
  <c r="G230" i="6"/>
  <c r="H230" i="6" s="1"/>
  <c r="B252" i="6"/>
  <c r="F252" i="6"/>
  <c r="I252" i="6" s="1"/>
  <c r="F285" i="6"/>
  <c r="I285" i="6" s="1"/>
  <c r="B285" i="6"/>
  <c r="I314" i="6"/>
  <c r="G302" i="6"/>
  <c r="H302" i="6" s="1"/>
  <c r="C345" i="6"/>
  <c r="D345" i="6" s="1"/>
  <c r="E357" i="6"/>
  <c r="F350" i="6"/>
  <c r="I350" i="6" s="1"/>
  <c r="B350" i="6"/>
  <c r="G378" i="6"/>
  <c r="H378" i="6" s="1"/>
  <c r="G379" i="6"/>
  <c r="H379" i="6" s="1"/>
  <c r="C238" i="6"/>
  <c r="D238" i="6" s="1"/>
  <c r="G245" i="6"/>
  <c r="H245" i="6" s="1"/>
  <c r="C257" i="6"/>
  <c r="D257" i="6" s="1"/>
  <c r="G259" i="6"/>
  <c r="H259" i="6" s="1"/>
  <c r="I278" i="6"/>
  <c r="G266" i="6"/>
  <c r="H266" i="6" s="1"/>
  <c r="C270" i="6"/>
  <c r="D270" i="6" s="1"/>
  <c r="I284" i="6"/>
  <c r="E278" i="6"/>
  <c r="G299" i="6"/>
  <c r="H299" i="6" s="1"/>
  <c r="E352" i="6"/>
  <c r="C340" i="6"/>
  <c r="D340" i="6" s="1"/>
  <c r="E376" i="6"/>
  <c r="C365" i="6"/>
  <c r="D365" i="6" s="1"/>
  <c r="C364" i="6"/>
  <c r="D364" i="6" s="1"/>
  <c r="C378" i="6"/>
  <c r="D378" i="6" s="1"/>
  <c r="G225" i="6"/>
  <c r="H225" i="6" s="1"/>
  <c r="I237" i="6"/>
  <c r="G232" i="6"/>
  <c r="H232" i="6" s="1"/>
  <c r="I246" i="6"/>
  <c r="B236" i="6"/>
  <c r="B245" i="6"/>
  <c r="B282" i="6"/>
  <c r="F282" i="6"/>
  <c r="C290" i="6"/>
  <c r="D290" i="6" s="1"/>
  <c r="I299" i="6"/>
  <c r="E319" i="6"/>
  <c r="G327" i="6"/>
  <c r="H327" i="6" s="1"/>
  <c r="F336" i="6"/>
  <c r="I336" i="6" s="1"/>
  <c r="B336" i="6"/>
  <c r="C341" i="6"/>
  <c r="D341" i="6" s="1"/>
  <c r="C346" i="6"/>
  <c r="D346" i="6" s="1"/>
  <c r="E364" i="6"/>
  <c r="G234" i="6"/>
  <c r="H234" i="6" s="1"/>
  <c r="C243" i="6"/>
  <c r="D243" i="6" s="1"/>
  <c r="G247" i="6"/>
  <c r="H247" i="6" s="1"/>
  <c r="I257" i="6"/>
  <c r="C264" i="6"/>
  <c r="D264" i="6" s="1"/>
  <c r="E298" i="6"/>
  <c r="C296" i="6"/>
  <c r="D296" i="6" s="1"/>
  <c r="E308" i="6"/>
  <c r="C313" i="6"/>
  <c r="D313" i="6" s="1"/>
  <c r="E325" i="6"/>
  <c r="I372" i="6"/>
  <c r="G360" i="6"/>
  <c r="H360" i="6" s="1"/>
  <c r="C368" i="6"/>
  <c r="D368" i="6" s="1"/>
  <c r="E380" i="6"/>
  <c r="G236" i="6"/>
  <c r="H236" i="6" s="1"/>
  <c r="I262" i="6"/>
  <c r="I265" i="6"/>
  <c r="I270" i="6"/>
  <c r="G258" i="6"/>
  <c r="H258" i="6" s="1"/>
  <c r="G273" i="6"/>
  <c r="H273" i="6" s="1"/>
  <c r="C276" i="6"/>
  <c r="D276" i="6" s="1"/>
  <c r="I322" i="6"/>
  <c r="G310" i="6"/>
  <c r="H310" i="6" s="1"/>
  <c r="I326" i="6"/>
  <c r="G314" i="6"/>
  <c r="H314" i="6" s="1"/>
  <c r="G324" i="6"/>
  <c r="H324" i="6" s="1"/>
  <c r="C328" i="6"/>
  <c r="D328" i="6" s="1"/>
  <c r="E340" i="6"/>
  <c r="G361" i="6"/>
  <c r="H361" i="6" s="1"/>
  <c r="I361" i="6"/>
  <c r="I373" i="6"/>
  <c r="C247" i="6"/>
  <c r="D247" i="6" s="1"/>
  <c r="E258" i="6"/>
  <c r="B253" i="6"/>
  <c r="B258" i="6"/>
  <c r="E266" i="6"/>
  <c r="B273" i="6"/>
  <c r="E276" i="6"/>
  <c r="I302" i="6"/>
  <c r="G291" i="6"/>
  <c r="H291" i="6" s="1"/>
  <c r="F297" i="6"/>
  <c r="B297" i="6"/>
  <c r="C298" i="6" s="1"/>
  <c r="D298" i="6" s="1"/>
  <c r="G300" i="6"/>
  <c r="H300" i="6" s="1"/>
  <c r="I312" i="6"/>
  <c r="G303" i="6"/>
  <c r="H303" i="6" s="1"/>
  <c r="I315" i="6"/>
  <c r="B314" i="6"/>
  <c r="E314" i="6" s="1"/>
  <c r="G328" i="6"/>
  <c r="H328" i="6" s="1"/>
  <c r="I340" i="6"/>
  <c r="E345" i="6"/>
  <c r="C333" i="6"/>
  <c r="D333" i="6" s="1"/>
  <c r="I388" i="6"/>
  <c r="G376" i="6"/>
  <c r="H376" i="6" s="1"/>
  <c r="G217" i="6"/>
  <c r="H217" i="6" s="1"/>
  <c r="C248" i="6"/>
  <c r="D248" i="6" s="1"/>
  <c r="E260" i="6"/>
  <c r="C287" i="6"/>
  <c r="D287" i="6" s="1"/>
  <c r="E299" i="6"/>
  <c r="E306" i="6"/>
  <c r="I310" i="6"/>
  <c r="G304" i="6"/>
  <c r="H304" i="6" s="1"/>
  <c r="I316" i="6"/>
  <c r="C308" i="6"/>
  <c r="D308" i="6" s="1"/>
  <c r="E320" i="6"/>
  <c r="C329" i="6"/>
  <c r="D329" i="6" s="1"/>
  <c r="E341" i="6"/>
  <c r="E350" i="6"/>
  <c r="C221" i="6"/>
  <c r="D221" i="6" s="1"/>
  <c r="E233" i="6"/>
  <c r="G231" i="6"/>
  <c r="H231" i="6" s="1"/>
  <c r="E263" i="6"/>
  <c r="I253" i="6"/>
  <c r="C267" i="6"/>
  <c r="D267" i="6" s="1"/>
  <c r="E279" i="6"/>
  <c r="E267" i="6"/>
  <c r="F280" i="6"/>
  <c r="B280" i="6"/>
  <c r="C299" i="6"/>
  <c r="D299" i="6" s="1"/>
  <c r="G357" i="6"/>
  <c r="H357" i="6" s="1"/>
  <c r="I369" i="6"/>
  <c r="E386" i="6"/>
  <c r="E374" i="6"/>
  <c r="C380" i="6"/>
  <c r="D380" i="6" s="1"/>
  <c r="E392" i="6"/>
  <c r="G406" i="6"/>
  <c r="H406" i="6" s="1"/>
  <c r="G407" i="6"/>
  <c r="H407" i="6" s="1"/>
  <c r="I418" i="6"/>
  <c r="I406" i="6"/>
  <c r="C489" i="6"/>
  <c r="D489" i="6" s="1"/>
  <c r="E501" i="6"/>
  <c r="G539" i="6"/>
  <c r="H539" i="6" s="1"/>
  <c r="G538" i="6"/>
  <c r="H538" i="6" s="1"/>
  <c r="I550" i="6"/>
  <c r="G237" i="6"/>
  <c r="H237" i="6" s="1"/>
  <c r="F238" i="6"/>
  <c r="G261" i="6"/>
  <c r="H261" i="6" s="1"/>
  <c r="I274" i="6"/>
  <c r="G269" i="6"/>
  <c r="H269" i="6" s="1"/>
  <c r="G270" i="6"/>
  <c r="H270" i="6" s="1"/>
  <c r="E272" i="6"/>
  <c r="B274" i="6"/>
  <c r="I275" i="6"/>
  <c r="C281" i="6"/>
  <c r="D281" i="6" s="1"/>
  <c r="F286" i="6"/>
  <c r="B301" i="6"/>
  <c r="F306" i="6"/>
  <c r="G307" i="6" s="1"/>
  <c r="H307" i="6" s="1"/>
  <c r="C310" i="6"/>
  <c r="D310" i="6" s="1"/>
  <c r="E315" i="6"/>
  <c r="B317" i="6"/>
  <c r="G320" i="6"/>
  <c r="H320" i="6" s="1"/>
  <c r="C324" i="6"/>
  <c r="D324" i="6" s="1"/>
  <c r="B326" i="6"/>
  <c r="C327" i="6" s="1"/>
  <c r="D327" i="6" s="1"/>
  <c r="F329" i="6"/>
  <c r="I343" i="6"/>
  <c r="E347" i="6"/>
  <c r="C335" i="6"/>
  <c r="D335" i="6" s="1"/>
  <c r="F345" i="6"/>
  <c r="E378" i="6"/>
  <c r="C367" i="6"/>
  <c r="D367" i="6" s="1"/>
  <c r="F368" i="6"/>
  <c r="G377" i="6"/>
  <c r="H377" i="6" s="1"/>
  <c r="I379" i="6"/>
  <c r="E382" i="6"/>
  <c r="G384" i="6"/>
  <c r="H384" i="6" s="1"/>
  <c r="I389" i="6"/>
  <c r="C395" i="6"/>
  <c r="D395" i="6" s="1"/>
  <c r="I400" i="6"/>
  <c r="I405" i="6"/>
  <c r="G408" i="6"/>
  <c r="H408" i="6" s="1"/>
  <c r="C424" i="6"/>
  <c r="D424" i="6" s="1"/>
  <c r="E436" i="6"/>
  <c r="E518" i="6"/>
  <c r="C506" i="6"/>
  <c r="D506" i="6" s="1"/>
  <c r="I320" i="6"/>
  <c r="G322" i="6"/>
  <c r="H322" i="6" s="1"/>
  <c r="G331" i="6"/>
  <c r="H331" i="6" s="1"/>
  <c r="F333" i="6"/>
  <c r="G339" i="6"/>
  <c r="H339" i="6" s="1"/>
  <c r="G341" i="6"/>
  <c r="H341" i="6" s="1"/>
  <c r="I353" i="6"/>
  <c r="I347" i="6"/>
  <c r="E353" i="6"/>
  <c r="I371" i="6"/>
  <c r="I359" i="6"/>
  <c r="G359" i="6"/>
  <c r="H359" i="6" s="1"/>
  <c r="C362" i="6"/>
  <c r="D362" i="6" s="1"/>
  <c r="F390" i="6"/>
  <c r="I390" i="6" s="1"/>
  <c r="B390" i="6"/>
  <c r="F409" i="6"/>
  <c r="B409" i="6"/>
  <c r="B412" i="6"/>
  <c r="F412" i="6"/>
  <c r="I412" i="6" s="1"/>
  <c r="I432" i="6"/>
  <c r="G420" i="6"/>
  <c r="H420" i="6" s="1"/>
  <c r="I436" i="6"/>
  <c r="G424" i="6"/>
  <c r="H424" i="6" s="1"/>
  <c r="I439" i="6"/>
  <c r="G427" i="6"/>
  <c r="H427" i="6" s="1"/>
  <c r="C431" i="6"/>
  <c r="D431" i="6" s="1"/>
  <c r="E443" i="6"/>
  <c r="E550" i="6"/>
  <c r="C538" i="6"/>
  <c r="D538" i="6" s="1"/>
  <c r="B354" i="6"/>
  <c r="E354" i="6" s="1"/>
  <c r="F354" i="6"/>
  <c r="I376" i="6"/>
  <c r="I383" i="6"/>
  <c r="G385" i="6"/>
  <c r="H385" i="6" s="1"/>
  <c r="I397" i="6"/>
  <c r="E408" i="6"/>
  <c r="C396" i="6"/>
  <c r="D396" i="6" s="1"/>
  <c r="C421" i="6"/>
  <c r="D421" i="6" s="1"/>
  <c r="E437" i="6"/>
  <c r="C425" i="6"/>
  <c r="D425" i="6" s="1"/>
  <c r="C321" i="6"/>
  <c r="D321" i="6" s="1"/>
  <c r="C334" i="6"/>
  <c r="D334" i="6" s="1"/>
  <c r="I351" i="6"/>
  <c r="C358" i="6"/>
  <c r="D358" i="6" s="1"/>
  <c r="B360" i="6"/>
  <c r="E360" i="6" s="1"/>
  <c r="G362" i="6"/>
  <c r="H362" i="6" s="1"/>
  <c r="G364" i="6"/>
  <c r="H364" i="6" s="1"/>
  <c r="E395" i="6"/>
  <c r="I385" i="6"/>
  <c r="B393" i="6"/>
  <c r="C394" i="6" s="1"/>
  <c r="D394" i="6" s="1"/>
  <c r="E411" i="6"/>
  <c r="E425" i="6"/>
  <c r="E413" i="6"/>
  <c r="E418" i="6"/>
  <c r="E480" i="6"/>
  <c r="C468" i="6"/>
  <c r="D468" i="6" s="1"/>
  <c r="G573" i="6"/>
  <c r="H573" i="6" s="1"/>
  <c r="I585" i="6"/>
  <c r="F344" i="6"/>
  <c r="G346" i="6"/>
  <c r="H346" i="6" s="1"/>
  <c r="I360" i="6"/>
  <c r="I381" i="6"/>
  <c r="C381" i="6"/>
  <c r="D381" i="6" s="1"/>
  <c r="I393" i="6"/>
  <c r="F404" i="6"/>
  <c r="G405" i="6" s="1"/>
  <c r="H405" i="6" s="1"/>
  <c r="B404" i="6"/>
  <c r="E444" i="6"/>
  <c r="E432" i="6"/>
  <c r="C432" i="6"/>
  <c r="D432" i="6" s="1"/>
  <c r="I456" i="6"/>
  <c r="G444" i="6"/>
  <c r="H444" i="6" s="1"/>
  <c r="I444" i="6"/>
  <c r="C452" i="6"/>
  <c r="D452" i="6" s="1"/>
  <c r="I472" i="6"/>
  <c r="G460" i="6"/>
  <c r="H460" i="6" s="1"/>
  <c r="F474" i="6"/>
  <c r="G475" i="6" s="1"/>
  <c r="H475" i="6" s="1"/>
  <c r="B474" i="6"/>
  <c r="C475" i="6" s="1"/>
  <c r="D475" i="6" s="1"/>
  <c r="G478" i="6"/>
  <c r="H478" i="6" s="1"/>
  <c r="C268" i="6"/>
  <c r="D268" i="6" s="1"/>
  <c r="E328" i="6"/>
  <c r="C316" i="6"/>
  <c r="D316" i="6" s="1"/>
  <c r="G325" i="6"/>
  <c r="H325" i="6" s="1"/>
  <c r="G342" i="6"/>
  <c r="H342" i="6" s="1"/>
  <c r="G348" i="6"/>
  <c r="H348" i="6" s="1"/>
  <c r="F352" i="6"/>
  <c r="G353" i="6" s="1"/>
  <c r="H353" i="6" s="1"/>
  <c r="E368" i="6"/>
  <c r="C356" i="6"/>
  <c r="D356" i="6" s="1"/>
  <c r="I386" i="6"/>
  <c r="I395" i="6"/>
  <c r="G383" i="6"/>
  <c r="H383" i="6" s="1"/>
  <c r="E388" i="6"/>
  <c r="E414" i="6"/>
  <c r="C407" i="6"/>
  <c r="D407" i="6" s="1"/>
  <c r="C416" i="6"/>
  <c r="D416" i="6" s="1"/>
  <c r="F445" i="6"/>
  <c r="I445" i="6" s="1"/>
  <c r="B445" i="6"/>
  <c r="C590" i="6"/>
  <c r="D590" i="6" s="1"/>
  <c r="G241" i="6"/>
  <c r="H241" i="6" s="1"/>
  <c r="G271" i="6"/>
  <c r="H271" i="6" s="1"/>
  <c r="E282" i="6"/>
  <c r="F293" i="6"/>
  <c r="B293" i="6"/>
  <c r="I328" i="6"/>
  <c r="I319" i="6"/>
  <c r="E323" i="6"/>
  <c r="I330" i="6"/>
  <c r="G340" i="6"/>
  <c r="H340" i="6" s="1"/>
  <c r="E356" i="6"/>
  <c r="I384" i="6"/>
  <c r="E381" i="6"/>
  <c r="G397" i="6"/>
  <c r="H397" i="6" s="1"/>
  <c r="G398" i="6"/>
  <c r="H398" i="6" s="1"/>
  <c r="C426" i="6"/>
  <c r="D426" i="6" s="1"/>
  <c r="E429" i="6"/>
  <c r="G433" i="6"/>
  <c r="H433" i="6" s="1"/>
  <c r="I602" i="6"/>
  <c r="G591" i="6"/>
  <c r="H591" i="6" s="1"/>
  <c r="I654" i="6"/>
  <c r="G642" i="6"/>
  <c r="H642" i="6" s="1"/>
  <c r="B241" i="6"/>
  <c r="B244" i="6"/>
  <c r="G257" i="6"/>
  <c r="H257" i="6" s="1"/>
  <c r="G277" i="6"/>
  <c r="H277" i="6" s="1"/>
  <c r="I289" i="6"/>
  <c r="B284" i="6"/>
  <c r="B304" i="6"/>
  <c r="I321" i="6"/>
  <c r="E359" i="6"/>
  <c r="C370" i="6"/>
  <c r="D370" i="6" s="1"/>
  <c r="G372" i="6"/>
  <c r="H372" i="6" s="1"/>
  <c r="E396" i="6"/>
  <c r="G394" i="6"/>
  <c r="H394" i="6" s="1"/>
  <c r="B397" i="6"/>
  <c r="E397" i="6" s="1"/>
  <c r="I438" i="6"/>
  <c r="G426" i="6"/>
  <c r="H426" i="6" s="1"/>
  <c r="F465" i="6"/>
  <c r="B465" i="6"/>
  <c r="I491" i="6"/>
  <c r="G479" i="6"/>
  <c r="H479" i="6" s="1"/>
  <c r="E695" i="6"/>
  <c r="C683" i="6"/>
  <c r="D683" i="6" s="1"/>
  <c r="C320" i="6"/>
  <c r="D320" i="6" s="1"/>
  <c r="G323" i="6"/>
  <c r="H323" i="6" s="1"/>
  <c r="C331" i="6"/>
  <c r="D331" i="6" s="1"/>
  <c r="E373" i="6"/>
  <c r="E423" i="6"/>
  <c r="C411" i="6"/>
  <c r="D411" i="6" s="1"/>
  <c r="C466" i="6"/>
  <c r="D466" i="6" s="1"/>
  <c r="E478" i="6"/>
  <c r="G255" i="6"/>
  <c r="H255" i="6" s="1"/>
  <c r="I273" i="6"/>
  <c r="C279" i="6"/>
  <c r="D279" i="6" s="1"/>
  <c r="G281" i="6"/>
  <c r="H281" i="6" s="1"/>
  <c r="E302" i="6"/>
  <c r="G311" i="6"/>
  <c r="H311" i="6" s="1"/>
  <c r="C315" i="6"/>
  <c r="D315" i="6" s="1"/>
  <c r="B322" i="6"/>
  <c r="E322" i="6" s="1"/>
  <c r="I323" i="6"/>
  <c r="F337" i="6"/>
  <c r="G338" i="6" s="1"/>
  <c r="H338" i="6" s="1"/>
  <c r="B337" i="6"/>
  <c r="C339" i="6"/>
  <c r="D339" i="6" s="1"/>
  <c r="E361" i="6"/>
  <c r="E363" i="6"/>
  <c r="C351" i="6"/>
  <c r="D351" i="6" s="1"/>
  <c r="C355" i="6"/>
  <c r="D355" i="6" s="1"/>
  <c r="C361" i="6"/>
  <c r="D361" i="6" s="1"/>
  <c r="G363" i="6"/>
  <c r="H363" i="6" s="1"/>
  <c r="F370" i="6"/>
  <c r="G371" i="6" s="1"/>
  <c r="H371" i="6" s="1"/>
  <c r="E394" i="6"/>
  <c r="C382" i="6"/>
  <c r="D382" i="6" s="1"/>
  <c r="C389" i="6"/>
  <c r="D389" i="6" s="1"/>
  <c r="E389" i="6"/>
  <c r="E401" i="6"/>
  <c r="B400" i="6"/>
  <c r="E400" i="6" s="1"/>
  <c r="G417" i="6"/>
  <c r="H417" i="6" s="1"/>
  <c r="I446" i="6"/>
  <c r="G434" i="6"/>
  <c r="H434" i="6" s="1"/>
  <c r="I462" i="6"/>
  <c r="G450" i="6"/>
  <c r="H450" i="6" s="1"/>
  <c r="E525" i="6"/>
  <c r="B561" i="6"/>
  <c r="F561" i="6"/>
  <c r="G562" i="6" s="1"/>
  <c r="H562" i="6" s="1"/>
  <c r="C272" i="6"/>
  <c r="D272" i="6" s="1"/>
  <c r="I286" i="6"/>
  <c r="G275" i="6"/>
  <c r="H275" i="6" s="1"/>
  <c r="F288" i="6"/>
  <c r="B288" i="6"/>
  <c r="C289" i="6" s="1"/>
  <c r="D289" i="6" s="1"/>
  <c r="G301" i="6"/>
  <c r="H301" i="6" s="1"/>
  <c r="G317" i="6"/>
  <c r="H317" i="6" s="1"/>
  <c r="G318" i="6"/>
  <c r="H318" i="6" s="1"/>
  <c r="C343" i="6"/>
  <c r="D343" i="6" s="1"/>
  <c r="C353" i="6"/>
  <c r="D353" i="6" s="1"/>
  <c r="C357" i="6"/>
  <c r="D357" i="6" s="1"/>
  <c r="E369" i="6"/>
  <c r="I378" i="6"/>
  <c r="C471" i="6"/>
  <c r="D471" i="6" s="1"/>
  <c r="E483" i="6"/>
  <c r="I588" i="6"/>
  <c r="G576" i="6"/>
  <c r="H576" i="6" s="1"/>
  <c r="B661" i="6"/>
  <c r="F661" i="6"/>
  <c r="G662" i="6" s="1"/>
  <c r="H662" i="6" s="1"/>
  <c r="I391" i="6"/>
  <c r="E406" i="6"/>
  <c r="I410" i="6"/>
  <c r="G399" i="6"/>
  <c r="H399" i="6" s="1"/>
  <c r="C410" i="6"/>
  <c r="D410" i="6" s="1"/>
  <c r="G418" i="6"/>
  <c r="H418" i="6" s="1"/>
  <c r="I430" i="6"/>
  <c r="C423" i="6"/>
  <c r="D423" i="6" s="1"/>
  <c r="G425" i="6"/>
  <c r="H425" i="6" s="1"/>
  <c r="I437" i="6"/>
  <c r="G428" i="6"/>
  <c r="H428" i="6" s="1"/>
  <c r="C434" i="6"/>
  <c r="D434" i="6" s="1"/>
  <c r="E446" i="6"/>
  <c r="E455" i="6"/>
  <c r="C443" i="6"/>
  <c r="D443" i="6" s="1"/>
  <c r="C444" i="6"/>
  <c r="D444" i="6" s="1"/>
  <c r="E449" i="6"/>
  <c r="E465" i="6"/>
  <c r="C453" i="6"/>
  <c r="D453" i="6" s="1"/>
  <c r="G470" i="6"/>
  <c r="H470" i="6" s="1"/>
  <c r="I482" i="6"/>
  <c r="C388" i="6"/>
  <c r="D388" i="6" s="1"/>
  <c r="I408" i="6"/>
  <c r="G421" i="6"/>
  <c r="H421" i="6" s="1"/>
  <c r="I433" i="6"/>
  <c r="E468" i="6"/>
  <c r="E456" i="6"/>
  <c r="C456" i="6"/>
  <c r="D456" i="6" s="1"/>
  <c r="G471" i="6"/>
  <c r="H471" i="6" s="1"/>
  <c r="I483" i="6"/>
  <c r="G472" i="6"/>
  <c r="H472" i="6" s="1"/>
  <c r="F487" i="6"/>
  <c r="B487" i="6"/>
  <c r="C503" i="6"/>
  <c r="D503" i="6" s="1"/>
  <c r="E515" i="6"/>
  <c r="B521" i="6"/>
  <c r="F521" i="6"/>
  <c r="G522" i="6" s="1"/>
  <c r="H522" i="6" s="1"/>
  <c r="I537" i="6"/>
  <c r="G525" i="6"/>
  <c r="H525" i="6" s="1"/>
  <c r="B565" i="6"/>
  <c r="F565" i="6"/>
  <c r="E582" i="6"/>
  <c r="C571" i="6"/>
  <c r="D571" i="6" s="1"/>
  <c r="I611" i="6"/>
  <c r="G599" i="6"/>
  <c r="H599" i="6" s="1"/>
  <c r="E431" i="6"/>
  <c r="C419" i="6"/>
  <c r="D419" i="6" s="1"/>
  <c r="I443" i="6"/>
  <c r="G431" i="6"/>
  <c r="H431" i="6" s="1"/>
  <c r="G453" i="6"/>
  <c r="H453" i="6" s="1"/>
  <c r="B457" i="6"/>
  <c r="C458" i="6" s="1"/>
  <c r="D458" i="6" s="1"/>
  <c r="F457" i="6"/>
  <c r="I479" i="6"/>
  <c r="I487" i="6"/>
  <c r="G570" i="6"/>
  <c r="H570" i="6" s="1"/>
  <c r="I582" i="6"/>
  <c r="E417" i="6"/>
  <c r="C422" i="6"/>
  <c r="D422" i="6" s="1"/>
  <c r="B441" i="6"/>
  <c r="F441" i="6"/>
  <c r="G442" i="6" s="1"/>
  <c r="H442" i="6" s="1"/>
  <c r="E466" i="6"/>
  <c r="E473" i="6"/>
  <c r="C461" i="6"/>
  <c r="D461" i="6" s="1"/>
  <c r="C462" i="6"/>
  <c r="D462" i="6" s="1"/>
  <c r="F464" i="6"/>
  <c r="B464" i="6"/>
  <c r="E464" i="6" s="1"/>
  <c r="I480" i="6"/>
  <c r="G468" i="6"/>
  <c r="H468" i="6" s="1"/>
  <c r="I468" i="6"/>
  <c r="F490" i="6"/>
  <c r="B490" i="6"/>
  <c r="C491" i="6" s="1"/>
  <c r="D491" i="6" s="1"/>
  <c r="G513" i="6"/>
  <c r="H513" i="6" s="1"/>
  <c r="I525" i="6"/>
  <c r="F528" i="6"/>
  <c r="B528" i="6"/>
  <c r="F756" i="6"/>
  <c r="I756" i="6" s="1"/>
  <c r="B756" i="6"/>
  <c r="C766" i="6"/>
  <c r="D766" i="6" s="1"/>
  <c r="F846" i="6"/>
  <c r="I846" i="6" s="1"/>
  <c r="B846" i="6"/>
  <c r="G673" i="6"/>
  <c r="H673" i="6" s="1"/>
  <c r="G674" i="6"/>
  <c r="H674" i="6" s="1"/>
  <c r="I685" i="6"/>
  <c r="G265" i="6"/>
  <c r="H265" i="6" s="1"/>
  <c r="G313" i="6"/>
  <c r="H313" i="6" s="1"/>
  <c r="E383" i="6"/>
  <c r="E399" i="6"/>
  <c r="C387" i="6"/>
  <c r="D387" i="6" s="1"/>
  <c r="F422" i="6"/>
  <c r="B448" i="6"/>
  <c r="F448" i="6"/>
  <c r="I448" i="6" s="1"/>
  <c r="F458" i="6"/>
  <c r="G459" i="6" s="1"/>
  <c r="H459" i="6" s="1"/>
  <c r="G480" i="6"/>
  <c r="H480" i="6" s="1"/>
  <c r="B553" i="6"/>
  <c r="E553" i="6" s="1"/>
  <c r="F553" i="6"/>
  <c r="I553" i="6" s="1"/>
  <c r="C576" i="6"/>
  <c r="D576" i="6" s="1"/>
  <c r="E588" i="6"/>
  <c r="C577" i="6"/>
  <c r="D577" i="6" s="1"/>
  <c r="C369" i="6"/>
  <c r="D369" i="6" s="1"/>
  <c r="G373" i="6"/>
  <c r="H373" i="6" s="1"/>
  <c r="G401" i="6"/>
  <c r="H401" i="6" s="1"/>
  <c r="I413" i="6"/>
  <c r="I417" i="6"/>
  <c r="G411" i="6"/>
  <c r="H411" i="6" s="1"/>
  <c r="I427" i="6"/>
  <c r="E442" i="6"/>
  <c r="G476" i="6"/>
  <c r="H476" i="6" s="1"/>
  <c r="I522" i="6"/>
  <c r="G511" i="6"/>
  <c r="H511" i="6" s="1"/>
  <c r="I542" i="6"/>
  <c r="C543" i="6"/>
  <c r="D543" i="6" s="1"/>
  <c r="E555" i="6"/>
  <c r="E543" i="6"/>
  <c r="G627" i="6"/>
  <c r="H627" i="6" s="1"/>
  <c r="I639" i="6"/>
  <c r="G321" i="6"/>
  <c r="H321" i="6" s="1"/>
  <c r="G332" i="6"/>
  <c r="H332" i="6" s="1"/>
  <c r="G365" i="6"/>
  <c r="H365" i="6" s="1"/>
  <c r="I377" i="6"/>
  <c r="B373" i="6"/>
  <c r="E387" i="6"/>
  <c r="C375" i="6"/>
  <c r="D375" i="6" s="1"/>
  <c r="C379" i="6"/>
  <c r="D379" i="6" s="1"/>
  <c r="C385" i="6"/>
  <c r="D385" i="6" s="1"/>
  <c r="G387" i="6"/>
  <c r="H387" i="6" s="1"/>
  <c r="G389" i="6"/>
  <c r="H389" i="6" s="1"/>
  <c r="I401" i="6"/>
  <c r="C398" i="6"/>
  <c r="D398" i="6" s="1"/>
  <c r="E410" i="6"/>
  <c r="G403" i="6"/>
  <c r="H403" i="6" s="1"/>
  <c r="F414" i="6"/>
  <c r="G415" i="6" s="1"/>
  <c r="H415" i="6" s="1"/>
  <c r="B414" i="6"/>
  <c r="I428" i="6"/>
  <c r="C420" i="6"/>
  <c r="D420" i="6" s="1"/>
  <c r="E461" i="6"/>
  <c r="C455" i="6"/>
  <c r="D455" i="6" s="1"/>
  <c r="E467" i="6"/>
  <c r="C459" i="6"/>
  <c r="D459" i="6" s="1"/>
  <c r="I481" i="6"/>
  <c r="G469" i="6"/>
  <c r="H469" i="6" s="1"/>
  <c r="F485" i="6"/>
  <c r="G486" i="6" s="1"/>
  <c r="H486" i="6" s="1"/>
  <c r="B485" i="6"/>
  <c r="B497" i="6"/>
  <c r="F497" i="6"/>
  <c r="E519" i="6"/>
  <c r="C507" i="6"/>
  <c r="D507" i="6" s="1"/>
  <c r="E507" i="6"/>
  <c r="C508" i="6"/>
  <c r="D508" i="6" s="1"/>
  <c r="I526" i="6"/>
  <c r="G514" i="6"/>
  <c r="H514" i="6" s="1"/>
  <c r="B530" i="6"/>
  <c r="F568" i="6"/>
  <c r="G569" i="6" s="1"/>
  <c r="H569" i="6" s="1"/>
  <c r="B568" i="6"/>
  <c r="F587" i="6"/>
  <c r="I587" i="6" s="1"/>
  <c r="B587" i="6"/>
  <c r="F628" i="6"/>
  <c r="B628" i="6"/>
  <c r="E654" i="6"/>
  <c r="C642" i="6"/>
  <c r="D642" i="6" s="1"/>
  <c r="I641" i="6"/>
  <c r="I458" i="6"/>
  <c r="C467" i="6"/>
  <c r="D467" i="6" s="1"/>
  <c r="E479" i="6"/>
  <c r="E513" i="6"/>
  <c r="E544" i="6"/>
  <c r="C533" i="6"/>
  <c r="D533" i="6" s="1"/>
  <c r="I576" i="6"/>
  <c r="G564" i="6"/>
  <c r="H564" i="6" s="1"/>
  <c r="E714" i="6"/>
  <c r="E702" i="6"/>
  <c r="C702" i="6"/>
  <c r="D702" i="6" s="1"/>
  <c r="C436" i="6"/>
  <c r="D436" i="6" s="1"/>
  <c r="B438" i="6"/>
  <c r="B440" i="6"/>
  <c r="E440" i="6" s="1"/>
  <c r="C460" i="6"/>
  <c r="D460" i="6" s="1"/>
  <c r="E472" i="6"/>
  <c r="E485" i="6"/>
  <c r="C498" i="6"/>
  <c r="D498" i="6" s="1"/>
  <c r="F509" i="6"/>
  <c r="G510" i="6" s="1"/>
  <c r="H510" i="6" s="1"/>
  <c r="B509" i="6"/>
  <c r="C510" i="6" s="1"/>
  <c r="D510" i="6" s="1"/>
  <c r="B517" i="6"/>
  <c r="F517" i="6"/>
  <c r="G518" i="6" s="1"/>
  <c r="H518" i="6" s="1"/>
  <c r="I555" i="6"/>
  <c r="G544" i="6"/>
  <c r="H544" i="6" s="1"/>
  <c r="G543" i="6"/>
  <c r="H543" i="6" s="1"/>
  <c r="C564" i="6"/>
  <c r="D564" i="6" s="1"/>
  <c r="E576" i="6"/>
  <c r="G581" i="6"/>
  <c r="H581" i="6" s="1"/>
  <c r="G582" i="6"/>
  <c r="H582" i="6" s="1"/>
  <c r="E606" i="6"/>
  <c r="C594" i="6"/>
  <c r="D594" i="6" s="1"/>
  <c r="E611" i="6"/>
  <c r="C599" i="6"/>
  <c r="D599" i="6" s="1"/>
  <c r="G432" i="6"/>
  <c r="H432" i="6" s="1"/>
  <c r="E447" i="6"/>
  <c r="I463" i="6"/>
  <c r="G451" i="6"/>
  <c r="H451" i="6" s="1"/>
  <c r="E471" i="6"/>
  <c r="I498" i="6"/>
  <c r="C496" i="6"/>
  <c r="D496" i="6" s="1"/>
  <c r="E508" i="6"/>
  <c r="E534" i="6"/>
  <c r="B554" i="6"/>
  <c r="C555" i="6" s="1"/>
  <c r="D555" i="6" s="1"/>
  <c r="F554" i="6"/>
  <c r="I554" i="6" s="1"/>
  <c r="B579" i="6"/>
  <c r="F579" i="6"/>
  <c r="I579" i="6" s="1"/>
  <c r="E618" i="6"/>
  <c r="C606" i="6"/>
  <c r="D606" i="6" s="1"/>
  <c r="C607" i="6"/>
  <c r="D607" i="6" s="1"/>
  <c r="I627" i="6"/>
  <c r="G615" i="6"/>
  <c r="H615" i="6" s="1"/>
  <c r="F638" i="6"/>
  <c r="G639" i="6" s="1"/>
  <c r="H639" i="6" s="1"/>
  <c r="B638" i="6"/>
  <c r="I665" i="6"/>
  <c r="I678" i="6"/>
  <c r="G666" i="6"/>
  <c r="H666" i="6" s="1"/>
  <c r="C429" i="6"/>
  <c r="D429" i="6" s="1"/>
  <c r="C435" i="6"/>
  <c r="D435" i="6" s="1"/>
  <c r="I455" i="6"/>
  <c r="I451" i="6"/>
  <c r="C454" i="6"/>
  <c r="D454" i="6" s="1"/>
  <c r="C469" i="6"/>
  <c r="D469" i="6" s="1"/>
  <c r="B480" i="6"/>
  <c r="G482" i="6"/>
  <c r="H482" i="6" s="1"/>
  <c r="E503" i="6"/>
  <c r="C492" i="6"/>
  <c r="D492" i="6" s="1"/>
  <c r="I571" i="6"/>
  <c r="G559" i="6"/>
  <c r="H559" i="6" s="1"/>
  <c r="G560" i="6"/>
  <c r="H560" i="6" s="1"/>
  <c r="E579" i="6"/>
  <c r="C567" i="6"/>
  <c r="D567" i="6" s="1"/>
  <c r="I618" i="6"/>
  <c r="G606" i="6"/>
  <c r="H606" i="6" s="1"/>
  <c r="I651" i="6"/>
  <c r="G380" i="6"/>
  <c r="H380" i="6" s="1"/>
  <c r="I431" i="6"/>
  <c r="C427" i="6"/>
  <c r="D427" i="6" s="1"/>
  <c r="B433" i="6"/>
  <c r="G443" i="6"/>
  <c r="H443" i="6" s="1"/>
  <c r="C446" i="6"/>
  <c r="D446" i="6" s="1"/>
  <c r="B450" i="6"/>
  <c r="G452" i="6"/>
  <c r="H452" i="6" s="1"/>
  <c r="G456" i="6"/>
  <c r="H456" i="6" s="1"/>
  <c r="I475" i="6"/>
  <c r="G463" i="6"/>
  <c r="H463" i="6" s="1"/>
  <c r="I478" i="6"/>
  <c r="I503" i="6"/>
  <c r="B519" i="6"/>
  <c r="I543" i="6"/>
  <c r="G621" i="6"/>
  <c r="H621" i="6" s="1"/>
  <c r="G622" i="6"/>
  <c r="H622" i="6" s="1"/>
  <c r="G624" i="6"/>
  <c r="H624" i="6" s="1"/>
  <c r="I636" i="6"/>
  <c r="E651" i="6"/>
  <c r="C711" i="6"/>
  <c r="D711" i="6" s="1"/>
  <c r="E723" i="6"/>
  <c r="G349" i="6"/>
  <c r="H349" i="6" s="1"/>
  <c r="I367" i="6"/>
  <c r="C403" i="6"/>
  <c r="D403" i="6" s="1"/>
  <c r="F429" i="6"/>
  <c r="I429" i="6" s="1"/>
  <c r="G439" i="6"/>
  <c r="H439" i="6" s="1"/>
  <c r="E454" i="6"/>
  <c r="C481" i="6"/>
  <c r="D481" i="6" s="1"/>
  <c r="G483" i="6"/>
  <c r="H483" i="6" s="1"/>
  <c r="F488" i="6"/>
  <c r="B488" i="6"/>
  <c r="I513" i="6"/>
  <c r="G501" i="6"/>
  <c r="H501" i="6" s="1"/>
  <c r="F516" i="6"/>
  <c r="B516" i="6"/>
  <c r="C523" i="6"/>
  <c r="D523" i="6" s="1"/>
  <c r="G532" i="6"/>
  <c r="H532" i="6" s="1"/>
  <c r="I544" i="6"/>
  <c r="B536" i="6"/>
  <c r="F536" i="6"/>
  <c r="G537" i="6" s="1"/>
  <c r="H537" i="6" s="1"/>
  <c r="C584" i="6"/>
  <c r="D584" i="6" s="1"/>
  <c r="C664" i="6"/>
  <c r="D664" i="6" s="1"/>
  <c r="E676" i="6"/>
  <c r="G413" i="6"/>
  <c r="H413" i="6" s="1"/>
  <c r="G437" i="6"/>
  <c r="H437" i="6" s="1"/>
  <c r="G461" i="6"/>
  <c r="H461" i="6" s="1"/>
  <c r="G467" i="6"/>
  <c r="H467" i="6" s="1"/>
  <c r="G484" i="6"/>
  <c r="H484" i="6" s="1"/>
  <c r="I496" i="6"/>
  <c r="C486" i="6"/>
  <c r="D486" i="6" s="1"/>
  <c r="E506" i="6"/>
  <c r="B500" i="6"/>
  <c r="C501" i="6" s="1"/>
  <c r="D501" i="6" s="1"/>
  <c r="C514" i="6"/>
  <c r="D514" i="6" s="1"/>
  <c r="I530" i="6"/>
  <c r="I539" i="6"/>
  <c r="G527" i="6"/>
  <c r="H527" i="6" s="1"/>
  <c r="C529" i="6"/>
  <c r="D529" i="6" s="1"/>
  <c r="E541" i="6"/>
  <c r="B535" i="6"/>
  <c r="I552" i="6"/>
  <c r="G540" i="6"/>
  <c r="H540" i="6" s="1"/>
  <c r="B542" i="6"/>
  <c r="F547" i="6"/>
  <c r="G548" i="6" s="1"/>
  <c r="H548" i="6" s="1"/>
  <c r="G563" i="6"/>
  <c r="H563" i="6" s="1"/>
  <c r="I575" i="6"/>
  <c r="G575" i="6"/>
  <c r="H575" i="6" s="1"/>
  <c r="E590" i="6"/>
  <c r="F583" i="6"/>
  <c r="B583" i="6"/>
  <c r="C620" i="6"/>
  <c r="D620" i="6" s="1"/>
  <c r="G454" i="6"/>
  <c r="H454" i="6" s="1"/>
  <c r="E490" i="6"/>
  <c r="B484" i="6"/>
  <c r="F502" i="6"/>
  <c r="B512" i="6"/>
  <c r="G520" i="6"/>
  <c r="H520" i="6" s="1"/>
  <c r="E537" i="6"/>
  <c r="B527" i="6"/>
  <c r="F529" i="6"/>
  <c r="G530" i="6" s="1"/>
  <c r="H530" i="6" s="1"/>
  <c r="G531" i="6"/>
  <c r="H531" i="6" s="1"/>
  <c r="G533" i="6"/>
  <c r="H533" i="6" s="1"/>
  <c r="B545" i="6"/>
  <c r="F545" i="6"/>
  <c r="I545" i="6" s="1"/>
  <c r="I563" i="6"/>
  <c r="G572" i="6"/>
  <c r="H572" i="6" s="1"/>
  <c r="F586" i="6"/>
  <c r="B586" i="6"/>
  <c r="E630" i="6"/>
  <c r="E668" i="6"/>
  <c r="C656" i="6"/>
  <c r="D656" i="6" s="1"/>
  <c r="C657" i="6"/>
  <c r="D657" i="6" s="1"/>
  <c r="E678" i="6"/>
  <c r="C666" i="6"/>
  <c r="D666" i="6" s="1"/>
  <c r="G715" i="6"/>
  <c r="H715" i="6" s="1"/>
  <c r="I727" i="6"/>
  <c r="F719" i="6"/>
  <c r="I719" i="6" s="1"/>
  <c r="B719" i="6"/>
  <c r="C511" i="6"/>
  <c r="D511" i="6" s="1"/>
  <c r="E523" i="6"/>
  <c r="C515" i="6"/>
  <c r="D515" i="6" s="1"/>
  <c r="E558" i="6"/>
  <c r="C546" i="6"/>
  <c r="D546" i="6" s="1"/>
  <c r="E569" i="6"/>
  <c r="C558" i="6"/>
  <c r="D558" i="6" s="1"/>
  <c r="E559" i="6"/>
  <c r="I596" i="6"/>
  <c r="I615" i="6"/>
  <c r="E622" i="6"/>
  <c r="C610" i="6"/>
  <c r="D610" i="6" s="1"/>
  <c r="C614" i="6"/>
  <c r="D614" i="6" s="1"/>
  <c r="C619" i="6"/>
  <c r="D619" i="6" s="1"/>
  <c r="E634" i="6"/>
  <c r="C622" i="6"/>
  <c r="D622" i="6" s="1"/>
  <c r="B625" i="6"/>
  <c r="F625" i="6"/>
  <c r="E659" i="6"/>
  <c r="C647" i="6"/>
  <c r="D647" i="6" s="1"/>
  <c r="E687" i="6"/>
  <c r="C676" i="6"/>
  <c r="D676" i="6" s="1"/>
  <c r="I471" i="6"/>
  <c r="B493" i="6"/>
  <c r="C494" i="6" s="1"/>
  <c r="D494" i="6" s="1"/>
  <c r="C495" i="6"/>
  <c r="D495" i="6" s="1"/>
  <c r="C499" i="6"/>
  <c r="D499" i="6" s="1"/>
  <c r="E511" i="6"/>
  <c r="I519" i="6"/>
  <c r="F515" i="6"/>
  <c r="G524" i="6"/>
  <c r="H524" i="6" s="1"/>
  <c r="F546" i="6"/>
  <c r="B551" i="6"/>
  <c r="C557" i="6"/>
  <c r="D557" i="6" s="1"/>
  <c r="G600" i="6"/>
  <c r="H600" i="6" s="1"/>
  <c r="G603" i="6"/>
  <c r="H603" i="6" s="1"/>
  <c r="F610" i="6"/>
  <c r="B616" i="6"/>
  <c r="F616" i="6"/>
  <c r="E625" i="6"/>
  <c r="B643" i="6"/>
  <c r="F643" i="6"/>
  <c r="I643" i="6" s="1"/>
  <c r="E680" i="6"/>
  <c r="C668" i="6"/>
  <c r="D668" i="6" s="1"/>
  <c r="C675" i="6"/>
  <c r="D675" i="6" s="1"/>
  <c r="F684" i="6"/>
  <c r="I684" i="6" s="1"/>
  <c r="B684" i="6"/>
  <c r="I425" i="6"/>
  <c r="I449" i="6"/>
  <c r="I484" i="6"/>
  <c r="B477" i="6"/>
  <c r="C479" i="6"/>
  <c r="D479" i="6" s="1"/>
  <c r="C483" i="6"/>
  <c r="D483" i="6" s="1"/>
  <c r="E495" i="6"/>
  <c r="E487" i="6"/>
  <c r="F499" i="6"/>
  <c r="G500" i="6" s="1"/>
  <c r="H500" i="6" s="1"/>
  <c r="G507" i="6"/>
  <c r="H507" i="6" s="1"/>
  <c r="I523" i="6"/>
  <c r="B524" i="6"/>
  <c r="E538" i="6"/>
  <c r="C526" i="6"/>
  <c r="D526" i="6" s="1"/>
  <c r="G534" i="6"/>
  <c r="H534" i="6" s="1"/>
  <c r="G541" i="6"/>
  <c r="H541" i="6" s="1"/>
  <c r="E564" i="6"/>
  <c r="F557" i="6"/>
  <c r="C588" i="6"/>
  <c r="D588" i="6" s="1"/>
  <c r="I603" i="6"/>
  <c r="B601" i="6"/>
  <c r="F601" i="6"/>
  <c r="F613" i="6"/>
  <c r="B617" i="6"/>
  <c r="C618" i="6" s="1"/>
  <c r="D618" i="6" s="1"/>
  <c r="F617" i="6"/>
  <c r="I617" i="6" s="1"/>
  <c r="B633" i="6"/>
  <c r="F633" i="6"/>
  <c r="I633" i="6" s="1"/>
  <c r="F640" i="6"/>
  <c r="B640" i="6"/>
  <c r="C641" i="6" s="1"/>
  <c r="D641" i="6" s="1"/>
  <c r="G647" i="6"/>
  <c r="H647" i="6" s="1"/>
  <c r="G658" i="6"/>
  <c r="H658" i="6" s="1"/>
  <c r="E675" i="6"/>
  <c r="F504" i="6"/>
  <c r="B504" i="6"/>
  <c r="C505" i="6" s="1"/>
  <c r="D505" i="6" s="1"/>
  <c r="E532" i="6"/>
  <c r="E567" i="6"/>
  <c r="G571" i="6"/>
  <c r="H571" i="6" s="1"/>
  <c r="I606" i="6"/>
  <c r="I594" i="6"/>
  <c r="E667" i="6"/>
  <c r="C655" i="6"/>
  <c r="D655" i="6" s="1"/>
  <c r="G675" i="6"/>
  <c r="H675" i="6" s="1"/>
  <c r="I538" i="6"/>
  <c r="G526" i="6"/>
  <c r="H526" i="6" s="1"/>
  <c r="I534" i="6"/>
  <c r="I549" i="6"/>
  <c r="E578" i="6"/>
  <c r="C566" i="6"/>
  <c r="D566" i="6" s="1"/>
  <c r="G574" i="6"/>
  <c r="H574" i="6" s="1"/>
  <c r="I586" i="6"/>
  <c r="G585" i="6"/>
  <c r="H585" i="6" s="1"/>
  <c r="I597" i="6"/>
  <c r="E610" i="6"/>
  <c r="I620" i="6"/>
  <c r="G608" i="6"/>
  <c r="H608" i="6" s="1"/>
  <c r="I646" i="6"/>
  <c r="G634" i="6"/>
  <c r="H634" i="6" s="1"/>
  <c r="C669" i="6"/>
  <c r="D669" i="6" s="1"/>
  <c r="E681" i="6"/>
  <c r="E669" i="6"/>
  <c r="C672" i="6"/>
  <c r="D672" i="6" s="1"/>
  <c r="C673" i="6"/>
  <c r="D673" i="6" s="1"/>
  <c r="E684" i="6"/>
  <c r="I493" i="6"/>
  <c r="G481" i="6"/>
  <c r="H481" i="6" s="1"/>
  <c r="I512" i="6"/>
  <c r="C502" i="6"/>
  <c r="D502" i="6" s="1"/>
  <c r="E522" i="6"/>
  <c r="E520" i="6"/>
  <c r="G542" i="6"/>
  <c r="H542" i="6" s="1"/>
  <c r="I564" i="6"/>
  <c r="B572" i="6"/>
  <c r="I574" i="6"/>
  <c r="I590" i="6"/>
  <c r="B589" i="6"/>
  <c r="F589" i="6"/>
  <c r="I589" i="6" s="1"/>
  <c r="C592" i="6"/>
  <c r="D592" i="6" s="1"/>
  <c r="E604" i="6"/>
  <c r="C593" i="6"/>
  <c r="D593" i="6" s="1"/>
  <c r="B595" i="6"/>
  <c r="F595" i="6"/>
  <c r="C608" i="6"/>
  <c r="D608" i="6" s="1"/>
  <c r="E620" i="6"/>
  <c r="E639" i="6"/>
  <c r="B645" i="6"/>
  <c r="F645" i="6"/>
  <c r="G672" i="6"/>
  <c r="H672" i="6" s="1"/>
  <c r="I672" i="6"/>
  <c r="E739" i="6"/>
  <c r="C727" i="6"/>
  <c r="D727" i="6" s="1"/>
  <c r="F473" i="6"/>
  <c r="I473" i="6" s="1"/>
  <c r="F489" i="6"/>
  <c r="F505" i="6"/>
  <c r="G506" i="6" s="1"/>
  <c r="H506" i="6" s="1"/>
  <c r="I551" i="6"/>
  <c r="C563" i="6"/>
  <c r="D563" i="6" s="1"/>
  <c r="E575" i="6"/>
  <c r="E586" i="6"/>
  <c r="C585" i="6"/>
  <c r="D585" i="6" s="1"/>
  <c r="C596" i="6"/>
  <c r="D596" i="6" s="1"/>
  <c r="E615" i="6"/>
  <c r="C624" i="6"/>
  <c r="D624" i="6" s="1"/>
  <c r="E636" i="6"/>
  <c r="I648" i="6"/>
  <c r="G636" i="6"/>
  <c r="H636" i="6" s="1"/>
  <c r="I662" i="6"/>
  <c r="I734" i="6"/>
  <c r="I722" i="6"/>
  <c r="G722" i="6"/>
  <c r="H722" i="6" s="1"/>
  <c r="C739" i="6"/>
  <c r="D739" i="6" s="1"/>
  <c r="F743" i="6"/>
  <c r="I743" i="6" s="1"/>
  <c r="B743" i="6"/>
  <c r="E734" i="6"/>
  <c r="C722" i="6"/>
  <c r="D722" i="6" s="1"/>
  <c r="C723" i="6"/>
  <c r="D723" i="6" s="1"/>
  <c r="I751" i="6"/>
  <c r="G739" i="6"/>
  <c r="H739" i="6" s="1"/>
  <c r="B597" i="6"/>
  <c r="E597" i="6" s="1"/>
  <c r="F597" i="6"/>
  <c r="G598" i="6" s="1"/>
  <c r="H598" i="6" s="1"/>
  <c r="F604" i="6"/>
  <c r="I604" i="6" s="1"/>
  <c r="B604" i="6"/>
  <c r="E623" i="6"/>
  <c r="E642" i="6"/>
  <c r="C630" i="6"/>
  <c r="D630" i="6" s="1"/>
  <c r="E663" i="6"/>
  <c r="C651" i="6"/>
  <c r="D651" i="6" s="1"/>
  <c r="G667" i="6"/>
  <c r="H667" i="6" s="1"/>
  <c r="I679" i="6"/>
  <c r="G683" i="6"/>
  <c r="H683" i="6" s="1"/>
  <c r="G711" i="6"/>
  <c r="H711" i="6" s="1"/>
  <c r="I723" i="6"/>
  <c r="C720" i="6"/>
  <c r="D720" i="6" s="1"/>
  <c r="E740" i="6"/>
  <c r="C728" i="6"/>
  <c r="D728" i="6" s="1"/>
  <c r="E764" i="6"/>
  <c r="E530" i="6"/>
  <c r="C544" i="6"/>
  <c r="D544" i="6" s="1"/>
  <c r="E556" i="6"/>
  <c r="I567" i="6"/>
  <c r="E574" i="6"/>
  <c r="G577" i="6"/>
  <c r="H577" i="6" s="1"/>
  <c r="I600" i="6"/>
  <c r="I614" i="6"/>
  <c r="G611" i="6"/>
  <c r="H611" i="6" s="1"/>
  <c r="G630" i="6"/>
  <c r="H630" i="6" s="1"/>
  <c r="I642" i="6"/>
  <c r="I647" i="6"/>
  <c r="G635" i="6"/>
  <c r="H635" i="6" s="1"/>
  <c r="I660" i="6"/>
  <c r="G648" i="6"/>
  <c r="H648" i="6" s="1"/>
  <c r="C654" i="6"/>
  <c r="D654" i="6" s="1"/>
  <c r="E666" i="6"/>
  <c r="I671" i="6"/>
  <c r="G659" i="6"/>
  <c r="H659" i="6" s="1"/>
  <c r="E674" i="6"/>
  <c r="I690" i="6"/>
  <c r="G678" i="6"/>
  <c r="H678" i="6" s="1"/>
  <c r="C697" i="6"/>
  <c r="D697" i="6" s="1"/>
  <c r="E709" i="6"/>
  <c r="C709" i="6"/>
  <c r="D709" i="6" s="1"/>
  <c r="E721" i="6"/>
  <c r="C710" i="6"/>
  <c r="D710" i="6" s="1"/>
  <c r="G745" i="6"/>
  <c r="H745" i="6" s="1"/>
  <c r="I757" i="6"/>
  <c r="G746" i="6"/>
  <c r="H746" i="6" s="1"/>
  <c r="I520" i="6"/>
  <c r="C518" i="6"/>
  <c r="D518" i="6" s="1"/>
  <c r="B548" i="6"/>
  <c r="E570" i="6"/>
  <c r="C560" i="6"/>
  <c r="D560" i="6" s="1"/>
  <c r="C562" i="6"/>
  <c r="D562" i="6" s="1"/>
  <c r="G566" i="6"/>
  <c r="H566" i="6" s="1"/>
  <c r="E583" i="6"/>
  <c r="F580" i="6"/>
  <c r="B580" i="6"/>
  <c r="E594" i="6"/>
  <c r="G588" i="6"/>
  <c r="H588" i="6" s="1"/>
  <c r="C591" i="6"/>
  <c r="D591" i="6" s="1"/>
  <c r="B602" i="6"/>
  <c r="E602" i="6" s="1"/>
  <c r="I619" i="6"/>
  <c r="G607" i="6"/>
  <c r="H607" i="6" s="1"/>
  <c r="C609" i="6"/>
  <c r="D609" i="6" s="1"/>
  <c r="E626" i="6"/>
  <c r="I635" i="6"/>
  <c r="G631" i="6"/>
  <c r="H631" i="6" s="1"/>
  <c r="F644" i="6"/>
  <c r="B644" i="6"/>
  <c r="G646" i="6"/>
  <c r="H646" i="6" s="1"/>
  <c r="B649" i="6"/>
  <c r="C650" i="6" s="1"/>
  <c r="D650" i="6" s="1"/>
  <c r="F649" i="6"/>
  <c r="G650" i="6" s="1"/>
  <c r="H650" i="6" s="1"/>
  <c r="C662" i="6"/>
  <c r="D662" i="6" s="1"/>
  <c r="E677" i="6"/>
  <c r="C665" i="6"/>
  <c r="D665" i="6" s="1"/>
  <c r="I693" i="6"/>
  <c r="G682" i="6"/>
  <c r="H682" i="6" s="1"/>
  <c r="E697" i="6"/>
  <c r="C717" i="6"/>
  <c r="D717" i="6" s="1"/>
  <c r="E717" i="6"/>
  <c r="E729" i="6"/>
  <c r="I745" i="6"/>
  <c r="E535" i="6"/>
  <c r="E546" i="6"/>
  <c r="C539" i="6"/>
  <c r="D539" i="6" s="1"/>
  <c r="C569" i="6"/>
  <c r="D569" i="6" s="1"/>
  <c r="G578" i="6"/>
  <c r="H578" i="6" s="1"/>
  <c r="G609" i="6"/>
  <c r="H609" i="6" s="1"/>
  <c r="I621" i="6"/>
  <c r="F612" i="6"/>
  <c r="B612" i="6"/>
  <c r="E633" i="6"/>
  <c r="C621" i="6"/>
  <c r="D621" i="6" s="1"/>
  <c r="I638" i="6"/>
  <c r="I626" i="6"/>
  <c r="G626" i="6"/>
  <c r="H626" i="6" s="1"/>
  <c r="F652" i="6"/>
  <c r="B652" i="6"/>
  <c r="I666" i="6"/>
  <c r="G654" i="6"/>
  <c r="H654" i="6" s="1"/>
  <c r="G668" i="6"/>
  <c r="H668" i="6" s="1"/>
  <c r="I680" i="6"/>
  <c r="E683" i="6"/>
  <c r="C671" i="6"/>
  <c r="D671" i="6" s="1"/>
  <c r="C679" i="6"/>
  <c r="D679" i="6" s="1"/>
  <c r="E691" i="6"/>
  <c r="E700" i="6"/>
  <c r="E688" i="6"/>
  <c r="I725" i="6"/>
  <c r="I713" i="6"/>
  <c r="E737" i="6"/>
  <c r="E725" i="6"/>
  <c r="E638" i="6"/>
  <c r="C626" i="6"/>
  <c r="D626" i="6" s="1"/>
  <c r="C631" i="6"/>
  <c r="D631" i="6" s="1"/>
  <c r="E646" i="6"/>
  <c r="C634" i="6"/>
  <c r="D634" i="6" s="1"/>
  <c r="G641" i="6"/>
  <c r="H641" i="6" s="1"/>
  <c r="I653" i="6"/>
  <c r="I667" i="6"/>
  <c r="G655" i="6"/>
  <c r="H655" i="6" s="1"/>
  <c r="I669" i="6"/>
  <c r="G657" i="6"/>
  <c r="H657" i="6" s="1"/>
  <c r="G671" i="6"/>
  <c r="H671" i="6" s="1"/>
  <c r="I683" i="6"/>
  <c r="E686" i="6"/>
  <c r="C674" i="6"/>
  <c r="D674" i="6" s="1"/>
  <c r="G679" i="6"/>
  <c r="H679" i="6" s="1"/>
  <c r="I691" i="6"/>
  <c r="C688" i="6"/>
  <c r="D688" i="6" s="1"/>
  <c r="G714" i="6"/>
  <c r="H714" i="6" s="1"/>
  <c r="I714" i="6"/>
  <c r="I726" i="6"/>
  <c r="I742" i="6"/>
  <c r="F637" i="6"/>
  <c r="E658" i="6"/>
  <c r="C667" i="6"/>
  <c r="D667" i="6" s="1"/>
  <c r="E679" i="6"/>
  <c r="C685" i="6"/>
  <c r="D685" i="6" s="1"/>
  <c r="C694" i="6"/>
  <c r="D694" i="6" s="1"/>
  <c r="G699" i="6"/>
  <c r="H699" i="6" s="1"/>
  <c r="I711" i="6"/>
  <c r="G708" i="6"/>
  <c r="H708" i="6" s="1"/>
  <c r="I720" i="6"/>
  <c r="C716" i="6"/>
  <c r="D716" i="6" s="1"/>
  <c r="C721" i="6"/>
  <c r="D721" i="6" s="1"/>
  <c r="E733" i="6"/>
  <c r="F735" i="6"/>
  <c r="I735" i="6" s="1"/>
  <c r="I763" i="6"/>
  <c r="G751" i="6"/>
  <c r="H751" i="6" s="1"/>
  <c r="F759" i="6"/>
  <c r="B759" i="6"/>
  <c r="E759" i="6" s="1"/>
  <c r="B764" i="6"/>
  <c r="F764" i="6"/>
  <c r="E802" i="6"/>
  <c r="C790" i="6"/>
  <c r="D790" i="6" s="1"/>
  <c r="F593" i="6"/>
  <c r="I593" i="6" s="1"/>
  <c r="F632" i="6"/>
  <c r="E665" i="6"/>
  <c r="B660" i="6"/>
  <c r="C681" i="6"/>
  <c r="D681" i="6" s="1"/>
  <c r="F687" i="6"/>
  <c r="G689" i="6"/>
  <c r="H689" i="6" s="1"/>
  <c r="G692" i="6"/>
  <c r="H692" i="6" s="1"/>
  <c r="B699" i="6"/>
  <c r="E716" i="6"/>
  <c r="G716" i="6"/>
  <c r="H716" i="6" s="1"/>
  <c r="I733" i="6"/>
  <c r="I721" i="6"/>
  <c r="F724" i="6"/>
  <c r="B724" i="6"/>
  <c r="C725" i="6" s="1"/>
  <c r="D725" i="6" s="1"/>
  <c r="E732" i="6"/>
  <c r="I754" i="6"/>
  <c r="G742" i="6"/>
  <c r="H742" i="6" s="1"/>
  <c r="B751" i="6"/>
  <c r="E751" i="6" s="1"/>
  <c r="I798" i="6"/>
  <c r="G787" i="6"/>
  <c r="H787" i="6" s="1"/>
  <c r="E671" i="6"/>
  <c r="C700" i="6"/>
  <c r="D700" i="6" s="1"/>
  <c r="G707" i="6"/>
  <c r="H707" i="6" s="1"/>
  <c r="F712" i="6"/>
  <c r="G713" i="6" s="1"/>
  <c r="H713" i="6" s="1"/>
  <c r="B712" i="6"/>
  <c r="E765" i="6"/>
  <c r="C753" i="6"/>
  <c r="D753" i="6" s="1"/>
  <c r="G761" i="6"/>
  <c r="H761" i="6" s="1"/>
  <c r="B776" i="6"/>
  <c r="F776" i="6"/>
  <c r="I852" i="6"/>
  <c r="I840" i="6"/>
  <c r="C859" i="6"/>
  <c r="D859" i="6" s="1"/>
  <c r="C550" i="6"/>
  <c r="D550" i="6" s="1"/>
  <c r="C611" i="6"/>
  <c r="D611" i="6" s="1"/>
  <c r="G614" i="6"/>
  <c r="H614" i="6" s="1"/>
  <c r="E647" i="6"/>
  <c r="C659" i="6"/>
  <c r="D659" i="6" s="1"/>
  <c r="I674" i="6"/>
  <c r="G664" i="6"/>
  <c r="H664" i="6" s="1"/>
  <c r="C670" i="6"/>
  <c r="D670" i="6" s="1"/>
  <c r="E692" i="6"/>
  <c r="C682" i="6"/>
  <c r="D682" i="6" s="1"/>
  <c r="E698" i="6"/>
  <c r="C686" i="6"/>
  <c r="D686" i="6" s="1"/>
  <c r="G690" i="6"/>
  <c r="H690" i="6" s="1"/>
  <c r="C693" i="6"/>
  <c r="D693" i="6" s="1"/>
  <c r="F695" i="6"/>
  <c r="I695" i="6" s="1"/>
  <c r="B707" i="6"/>
  <c r="G709" i="6"/>
  <c r="H709" i="6" s="1"/>
  <c r="G738" i="6"/>
  <c r="H738" i="6" s="1"/>
  <c r="I749" i="6"/>
  <c r="F753" i="6"/>
  <c r="G754" i="6" s="1"/>
  <c r="H754" i="6" s="1"/>
  <c r="C819" i="6"/>
  <c r="D819" i="6" s="1"/>
  <c r="G840" i="6"/>
  <c r="H840" i="6" s="1"/>
  <c r="I698" i="6"/>
  <c r="G686" i="6"/>
  <c r="H686" i="6" s="1"/>
  <c r="E693" i="6"/>
  <c r="G696" i="6"/>
  <c r="H696" i="6" s="1"/>
  <c r="G700" i="6"/>
  <c r="H700" i="6" s="1"/>
  <c r="G701" i="6"/>
  <c r="H701" i="6" s="1"/>
  <c r="E707" i="6"/>
  <c r="E735" i="6"/>
  <c r="E728" i="6"/>
  <c r="E743" i="6"/>
  <c r="C731" i="6"/>
  <c r="D731" i="6" s="1"/>
  <c r="G737" i="6"/>
  <c r="H737" i="6" s="1"/>
  <c r="E753" i="6"/>
  <c r="I759" i="6"/>
  <c r="G747" i="6"/>
  <c r="H747" i="6" s="1"/>
  <c r="C767" i="6"/>
  <c r="D767" i="6" s="1"/>
  <c r="E779" i="6"/>
  <c r="I682" i="6"/>
  <c r="G670" i="6"/>
  <c r="H670" i="6" s="1"/>
  <c r="E690" i="6"/>
  <c r="C678" i="6"/>
  <c r="D678" i="6" s="1"/>
  <c r="E703" i="6"/>
  <c r="C691" i="6"/>
  <c r="D691" i="6" s="1"/>
  <c r="C703" i="6"/>
  <c r="D703" i="6" s="1"/>
  <c r="E722" i="6"/>
  <c r="E727" i="6"/>
  <c r="C715" i="6"/>
  <c r="D715" i="6" s="1"/>
  <c r="I738" i="6"/>
  <c r="G726" i="6"/>
  <c r="H726" i="6" s="1"/>
  <c r="G731" i="6"/>
  <c r="H731" i="6" s="1"/>
  <c r="C747" i="6"/>
  <c r="D747" i="6" s="1"/>
  <c r="E766" i="6"/>
  <c r="C754" i="6"/>
  <c r="D754" i="6" s="1"/>
  <c r="G663" i="6"/>
  <c r="H663" i="6" s="1"/>
  <c r="I675" i="6"/>
  <c r="G680" i="6"/>
  <c r="H680" i="6" s="1"/>
  <c r="I692" i="6"/>
  <c r="G691" i="6"/>
  <c r="H691" i="6" s="1"/>
  <c r="I703" i="6"/>
  <c r="C698" i="6"/>
  <c r="D698" i="6" s="1"/>
  <c r="G703" i="6"/>
  <c r="H703" i="6" s="1"/>
  <c r="I715" i="6"/>
  <c r="C708" i="6"/>
  <c r="D708" i="6" s="1"/>
  <c r="E715" i="6"/>
  <c r="E730" i="6"/>
  <c r="C718" i="6"/>
  <c r="D718" i="6" s="1"/>
  <c r="F732" i="6"/>
  <c r="I732" i="6" s="1"/>
  <c r="B732" i="6"/>
  <c r="E775" i="6"/>
  <c r="I784" i="6"/>
  <c r="G772" i="6"/>
  <c r="H772" i="6" s="1"/>
  <c r="E701" i="6"/>
  <c r="C689" i="6"/>
  <c r="D689" i="6" s="1"/>
  <c r="G698" i="6"/>
  <c r="H698" i="6" s="1"/>
  <c r="I710" i="6"/>
  <c r="C701" i="6"/>
  <c r="D701" i="6" s="1"/>
  <c r="E710" i="6"/>
  <c r="E718" i="6"/>
  <c r="G723" i="6"/>
  <c r="H723" i="6" s="1"/>
  <c r="C735" i="6"/>
  <c r="D735" i="6" s="1"/>
  <c r="I802" i="6"/>
  <c r="G791" i="6"/>
  <c r="H791" i="6" s="1"/>
  <c r="C832" i="6"/>
  <c r="D832" i="6" s="1"/>
  <c r="E844" i="6"/>
  <c r="B844" i="6"/>
  <c r="F844" i="6"/>
  <c r="I681" i="6"/>
  <c r="G676" i="6"/>
  <c r="H676" i="6" s="1"/>
  <c r="G704" i="6"/>
  <c r="H704" i="6" s="1"/>
  <c r="G720" i="6"/>
  <c r="H720" i="6" s="1"/>
  <c r="G729" i="6"/>
  <c r="H729" i="6" s="1"/>
  <c r="F740" i="6"/>
  <c r="B740" i="6"/>
  <c r="E760" i="6"/>
  <c r="C748" i="6"/>
  <c r="D748" i="6" s="1"/>
  <c r="C761" i="6"/>
  <c r="D761" i="6" s="1"/>
  <c r="I782" i="6"/>
  <c r="G771" i="6"/>
  <c r="H771" i="6" s="1"/>
  <c r="C827" i="6"/>
  <c r="D827" i="6" s="1"/>
  <c r="F832" i="6"/>
  <c r="G833" i="6" s="1"/>
  <c r="H833" i="6" s="1"/>
  <c r="E756" i="6"/>
  <c r="F797" i="6"/>
  <c r="B797" i="6"/>
  <c r="C798" i="6" s="1"/>
  <c r="D798" i="6" s="1"/>
  <c r="E827" i="6"/>
  <c r="E815" i="6"/>
  <c r="I700" i="6"/>
  <c r="B736" i="6"/>
  <c r="I753" i="6"/>
  <c r="C744" i="6"/>
  <c r="D744" i="6" s="1"/>
  <c r="G752" i="6"/>
  <c r="H752" i="6" s="1"/>
  <c r="G763" i="6"/>
  <c r="H763" i="6" s="1"/>
  <c r="C768" i="6"/>
  <c r="D768" i="6" s="1"/>
  <c r="C815" i="6"/>
  <c r="D815" i="6" s="1"/>
  <c r="I822" i="6"/>
  <c r="G810" i="6"/>
  <c r="H810" i="6" s="1"/>
  <c r="E822" i="6"/>
  <c r="G706" i="6"/>
  <c r="H706" i="6" s="1"/>
  <c r="I717" i="6"/>
  <c r="I730" i="6"/>
  <c r="G727" i="6"/>
  <c r="H727" i="6" s="1"/>
  <c r="I739" i="6"/>
  <c r="I766" i="6"/>
  <c r="C811" i="6"/>
  <c r="D811" i="6" s="1"/>
  <c r="I843" i="6"/>
  <c r="C737" i="6"/>
  <c r="D737" i="6" s="1"/>
  <c r="G748" i="6"/>
  <c r="H748" i="6" s="1"/>
  <c r="G755" i="6"/>
  <c r="H755" i="6" s="1"/>
  <c r="I772" i="6"/>
  <c r="I778" i="6"/>
  <c r="I794" i="6"/>
  <c r="C792" i="6"/>
  <c r="D792" i="6" s="1"/>
  <c r="E804" i="6"/>
  <c r="F804" i="6"/>
  <c r="I804" i="6" s="1"/>
  <c r="I821" i="6"/>
  <c r="G821" i="6"/>
  <c r="H821" i="6" s="1"/>
  <c r="G822" i="6"/>
  <c r="H822" i="6" s="1"/>
  <c r="I833" i="6"/>
  <c r="F830" i="6"/>
  <c r="I830" i="6" s="1"/>
  <c r="B830" i="6"/>
  <c r="B782" i="6"/>
  <c r="I855" i="6"/>
  <c r="G843" i="6"/>
  <c r="H843" i="6" s="1"/>
  <c r="I861" i="6"/>
  <c r="C729" i="6"/>
  <c r="D729" i="6" s="1"/>
  <c r="G750" i="6"/>
  <c r="H750" i="6" s="1"/>
  <c r="I761" i="6"/>
  <c r="C780" i="6"/>
  <c r="D780" i="6" s="1"/>
  <c r="E792" i="6"/>
  <c r="I741" i="6"/>
  <c r="G749" i="6"/>
  <c r="H749" i="6" s="1"/>
  <c r="C752" i="6"/>
  <c r="D752" i="6" s="1"/>
  <c r="B762" i="6"/>
  <c r="G767" i="6"/>
  <c r="H767" i="6" s="1"/>
  <c r="I786" i="6"/>
  <c r="G783" i="6"/>
  <c r="H783" i="6" s="1"/>
  <c r="C787" i="6"/>
  <c r="D787" i="6" s="1"/>
  <c r="C812" i="6"/>
  <c r="D812" i="6" s="1"/>
  <c r="E824" i="6"/>
  <c r="I835" i="6"/>
  <c r="G823" i="6"/>
  <c r="H823" i="6" s="1"/>
  <c r="G841" i="6"/>
  <c r="H841" i="6" s="1"/>
  <c r="I853" i="6"/>
  <c r="E786" i="6"/>
  <c r="E780" i="6"/>
  <c r="C784" i="6"/>
  <c r="D784" i="6" s="1"/>
  <c r="E796" i="6"/>
  <c r="B799" i="6"/>
  <c r="F799" i="6"/>
  <c r="I799" i="6" s="1"/>
  <c r="I827" i="6"/>
  <c r="G815" i="6"/>
  <c r="H815" i="6" s="1"/>
  <c r="G816" i="6"/>
  <c r="H816" i="6" s="1"/>
  <c r="C824" i="6"/>
  <c r="D824" i="6" s="1"/>
  <c r="E836" i="6"/>
  <c r="C847" i="6"/>
  <c r="D847" i="6" s="1"/>
  <c r="E859" i="6"/>
  <c r="C733" i="6"/>
  <c r="D733" i="6" s="1"/>
  <c r="C771" i="6"/>
  <c r="D771" i="6" s="1"/>
  <c r="I792" i="6"/>
  <c r="G780" i="6"/>
  <c r="H780" i="6" s="1"/>
  <c r="C791" i="6"/>
  <c r="D791" i="6" s="1"/>
  <c r="G812" i="6"/>
  <c r="H812" i="6" s="1"/>
  <c r="G824" i="6"/>
  <c r="H824" i="6" s="1"/>
  <c r="I836" i="6"/>
  <c r="G829" i="6"/>
  <c r="H829" i="6" s="1"/>
  <c r="I841" i="6"/>
  <c r="I850" i="6"/>
  <c r="G838" i="6"/>
  <c r="H838" i="6" s="1"/>
  <c r="E855" i="6"/>
  <c r="C705" i="6"/>
  <c r="D705" i="6" s="1"/>
  <c r="C726" i="6"/>
  <c r="D726" i="6" s="1"/>
  <c r="C755" i="6"/>
  <c r="D755" i="6" s="1"/>
  <c r="E767" i="6"/>
  <c r="G762" i="6"/>
  <c r="H762" i="6" s="1"/>
  <c r="I790" i="6"/>
  <c r="E784" i="6"/>
  <c r="C788" i="6"/>
  <c r="D788" i="6" s="1"/>
  <c r="E800" i="6"/>
  <c r="B795" i="6"/>
  <c r="F795" i="6"/>
  <c r="G796" i="6" s="1"/>
  <c r="H796" i="6" s="1"/>
  <c r="I815" i="6"/>
  <c r="G803" i="6"/>
  <c r="H803" i="6" s="1"/>
  <c r="B838" i="6"/>
  <c r="I780" i="6"/>
  <c r="G768" i="6"/>
  <c r="H768" i="6" s="1"/>
  <c r="E790" i="6"/>
  <c r="C804" i="6"/>
  <c r="D804" i="6" s="1"/>
  <c r="E816" i="6"/>
  <c r="C741" i="6"/>
  <c r="D741" i="6" s="1"/>
  <c r="C749" i="6"/>
  <c r="D749" i="6" s="1"/>
  <c r="C757" i="6"/>
  <c r="D757" i="6" s="1"/>
  <c r="E783" i="6"/>
  <c r="E787" i="6"/>
  <c r="E791" i="6"/>
  <c r="C796" i="6"/>
  <c r="D796" i="6" s="1"/>
  <c r="E808" i="6"/>
  <c r="I818" i="6"/>
  <c r="G817" i="6"/>
  <c r="H817" i="6" s="1"/>
  <c r="C820" i="6"/>
  <c r="D820" i="6" s="1"/>
  <c r="E832" i="6"/>
  <c r="B834" i="6"/>
  <c r="I851" i="6"/>
  <c r="G839" i="6"/>
  <c r="H839" i="6" s="1"/>
  <c r="G842" i="6"/>
  <c r="H842" i="6" s="1"/>
  <c r="F848" i="6"/>
  <c r="I803" i="6"/>
  <c r="E818" i="6"/>
  <c r="I823" i="6"/>
  <c r="G811" i="6"/>
  <c r="H811" i="6" s="1"/>
  <c r="I838" i="6"/>
  <c r="G837" i="6"/>
  <c r="H837" i="6" s="1"/>
  <c r="C840" i="6"/>
  <c r="D840" i="6" s="1"/>
  <c r="E852" i="6"/>
  <c r="G859" i="6"/>
  <c r="H859" i="6" s="1"/>
  <c r="I770" i="6"/>
  <c r="G813" i="6"/>
  <c r="H813" i="6" s="1"/>
  <c r="C816" i="6"/>
  <c r="D816" i="6" s="1"/>
  <c r="E828" i="6"/>
  <c r="I847" i="6"/>
  <c r="G835" i="6"/>
  <c r="H835" i="6" s="1"/>
  <c r="G861" i="6"/>
  <c r="H861" i="6" s="1"/>
  <c r="E754" i="6"/>
  <c r="E762" i="6"/>
  <c r="E770" i="6"/>
  <c r="I819" i="6"/>
  <c r="G807" i="6"/>
  <c r="H807" i="6" s="1"/>
  <c r="C836" i="6"/>
  <c r="D836" i="6" s="1"/>
  <c r="E848" i="6"/>
  <c r="F793" i="6"/>
  <c r="B793" i="6"/>
  <c r="E795" i="6"/>
  <c r="C800" i="6"/>
  <c r="D800" i="6" s="1"/>
  <c r="E812" i="6"/>
  <c r="G805" i="6"/>
  <c r="H805" i="6" s="1"/>
  <c r="C808" i="6"/>
  <c r="D808" i="6" s="1"/>
  <c r="E820" i="6"/>
  <c r="E834" i="6"/>
  <c r="I839" i="6"/>
  <c r="G827" i="6"/>
  <c r="H827" i="6" s="1"/>
  <c r="G853" i="6"/>
  <c r="H853" i="6" s="1"/>
  <c r="C856" i="6"/>
  <c r="D856" i="6" s="1"/>
  <c r="G862" i="6"/>
  <c r="H862" i="6" s="1"/>
  <c r="F765" i="6"/>
  <c r="B765" i="6"/>
  <c r="F769" i="6"/>
  <c r="B769" i="6"/>
  <c r="F773" i="6"/>
  <c r="I773" i="6" s="1"/>
  <c r="B773" i="6"/>
  <c r="C774" i="6" s="1"/>
  <c r="D774" i="6" s="1"/>
  <c r="F777" i="6"/>
  <c r="B777" i="6"/>
  <c r="C778" i="6" s="1"/>
  <c r="D778" i="6" s="1"/>
  <c r="F781" i="6"/>
  <c r="G782" i="6" s="1"/>
  <c r="H782" i="6" s="1"/>
  <c r="B781" i="6"/>
  <c r="F785" i="6"/>
  <c r="G786" i="6" s="1"/>
  <c r="H786" i="6" s="1"/>
  <c r="B785" i="6"/>
  <c r="F789" i="6"/>
  <c r="B789" i="6"/>
  <c r="I810" i="6"/>
  <c r="G802" i="6"/>
  <c r="H802" i="6" s="1"/>
  <c r="F808" i="6"/>
  <c r="G809" i="6" s="1"/>
  <c r="H809" i="6" s="1"/>
  <c r="I826" i="6"/>
  <c r="G825" i="6"/>
  <c r="H825" i="6" s="1"/>
  <c r="C828" i="6"/>
  <c r="D828" i="6" s="1"/>
  <c r="E840" i="6"/>
  <c r="B842" i="6"/>
  <c r="I859" i="6"/>
  <c r="G850" i="6"/>
  <c r="H850" i="6" s="1"/>
  <c r="F856" i="6"/>
  <c r="G856" i="6" s="1"/>
  <c r="H856" i="6" s="1"/>
  <c r="B862" i="6"/>
  <c r="C862" i="6" s="1"/>
  <c r="D862" i="6" s="1"/>
  <c r="E810" i="6"/>
  <c r="F800" i="6"/>
  <c r="E826" i="6"/>
  <c r="I831" i="6"/>
  <c r="G819" i="6"/>
  <c r="H819" i="6" s="1"/>
  <c r="G845" i="6"/>
  <c r="H845" i="6" s="1"/>
  <c r="C848" i="6"/>
  <c r="D848" i="6" s="1"/>
  <c r="E860" i="6"/>
  <c r="B801" i="6"/>
  <c r="B805" i="6"/>
  <c r="B809" i="6"/>
  <c r="B813" i="6"/>
  <c r="B817" i="6"/>
  <c r="C818" i="6" s="1"/>
  <c r="D818" i="6" s="1"/>
  <c r="B821" i="6"/>
  <c r="B825" i="6"/>
  <c r="B829" i="6"/>
  <c r="B833" i="6"/>
  <c r="B837" i="6"/>
  <c r="B841" i="6"/>
  <c r="B845" i="6"/>
  <c r="B849" i="6"/>
  <c r="B853" i="6"/>
  <c r="B857" i="6"/>
  <c r="C857" i="6" s="1"/>
  <c r="D857" i="6" s="1"/>
  <c r="B861" i="6"/>
  <c r="C861" i="6" s="1"/>
  <c r="D861" i="6" s="1"/>
  <c r="G201" i="6" l="1"/>
  <c r="H201" i="6" s="1"/>
  <c r="I568" i="6"/>
  <c r="G162" i="6"/>
  <c r="H162" i="6" s="1"/>
  <c r="I193" i="6"/>
  <c r="G590" i="6"/>
  <c r="H590" i="6" s="1"/>
  <c r="G831" i="6"/>
  <c r="H831" i="6" s="1"/>
  <c r="I795" i="6"/>
  <c r="G227" i="6"/>
  <c r="H227" i="6" s="1"/>
  <c r="G555" i="6"/>
  <c r="H555" i="6" s="1"/>
  <c r="G449" i="6"/>
  <c r="H449" i="6" s="1"/>
  <c r="I536" i="6"/>
  <c r="E712" i="6"/>
  <c r="C712" i="6"/>
  <c r="D712" i="6" s="1"/>
  <c r="E724" i="6"/>
  <c r="I501" i="6"/>
  <c r="G489" i="6"/>
  <c r="H489" i="6" s="1"/>
  <c r="C601" i="6"/>
  <c r="D601" i="6" s="1"/>
  <c r="E613" i="6"/>
  <c r="C551" i="6"/>
  <c r="D551" i="6" s="1"/>
  <c r="E563" i="6"/>
  <c r="C552" i="6"/>
  <c r="D552" i="6" s="1"/>
  <c r="C536" i="6"/>
  <c r="D536" i="6" s="1"/>
  <c r="E548" i="6"/>
  <c r="C441" i="6"/>
  <c r="D441" i="6" s="1"/>
  <c r="C442" i="6"/>
  <c r="D442" i="6" s="1"/>
  <c r="E453" i="6"/>
  <c r="G293" i="6"/>
  <c r="H293" i="6" s="1"/>
  <c r="I305" i="6"/>
  <c r="I356" i="6"/>
  <c r="I344" i="6"/>
  <c r="G344" i="6"/>
  <c r="H344" i="6" s="1"/>
  <c r="E424" i="6"/>
  <c r="C412" i="6"/>
  <c r="D412" i="6" s="1"/>
  <c r="E313" i="6"/>
  <c r="C301" i="6"/>
  <c r="D301" i="6" s="1"/>
  <c r="E301" i="6"/>
  <c r="I294" i="6"/>
  <c r="G282" i="6"/>
  <c r="H282" i="6" s="1"/>
  <c r="G283" i="6"/>
  <c r="H283" i="6" s="1"/>
  <c r="E297" i="6"/>
  <c r="C286" i="6"/>
  <c r="D286" i="6" s="1"/>
  <c r="C285" i="6"/>
  <c r="D285" i="6" s="1"/>
  <c r="E228" i="6"/>
  <c r="C216" i="6"/>
  <c r="D216" i="6" s="1"/>
  <c r="E216" i="6"/>
  <c r="G129" i="6"/>
  <c r="H129" i="6" s="1"/>
  <c r="I141" i="6"/>
  <c r="I185" i="6"/>
  <c r="G173" i="6"/>
  <c r="H173" i="6" s="1"/>
  <c r="E62" i="6"/>
  <c r="C50" i="6"/>
  <c r="E106" i="6"/>
  <c r="C94" i="6"/>
  <c r="D94" i="6" s="1"/>
  <c r="E148" i="6"/>
  <c r="C136" i="6"/>
  <c r="D136" i="6" s="1"/>
  <c r="E66" i="6"/>
  <c r="C54" i="6"/>
  <c r="E825" i="6"/>
  <c r="C813" i="6"/>
  <c r="D813" i="6" s="1"/>
  <c r="G808" i="6"/>
  <c r="H808" i="6" s="1"/>
  <c r="I820" i="6"/>
  <c r="G773" i="6"/>
  <c r="H773" i="6" s="1"/>
  <c r="I785" i="6"/>
  <c r="E850" i="6"/>
  <c r="C839" i="6"/>
  <c r="D839" i="6" s="1"/>
  <c r="C838" i="6"/>
  <c r="D838" i="6" s="1"/>
  <c r="I808" i="6"/>
  <c r="E773" i="6"/>
  <c r="C844" i="6"/>
  <c r="D844" i="6" s="1"/>
  <c r="E856" i="6"/>
  <c r="G724" i="6"/>
  <c r="H724" i="6" s="1"/>
  <c r="I736" i="6"/>
  <c r="I644" i="6"/>
  <c r="G632" i="6"/>
  <c r="H632" i="6" s="1"/>
  <c r="E612" i="6"/>
  <c r="C612" i="6"/>
  <c r="D612" i="6" s="1"/>
  <c r="E624" i="6"/>
  <c r="E656" i="6"/>
  <c r="C644" i="6"/>
  <c r="D644" i="6" s="1"/>
  <c r="E755" i="6"/>
  <c r="C743" i="6"/>
  <c r="D743" i="6" s="1"/>
  <c r="C595" i="6"/>
  <c r="D595" i="6" s="1"/>
  <c r="E607" i="6"/>
  <c r="G643" i="6"/>
  <c r="H643" i="6" s="1"/>
  <c r="I655" i="6"/>
  <c r="G529" i="6"/>
  <c r="H529" i="6" s="1"/>
  <c r="I541" i="6"/>
  <c r="C583" i="6"/>
  <c r="D583" i="6" s="1"/>
  <c r="E595" i="6"/>
  <c r="E462" i="6"/>
  <c r="C450" i="6"/>
  <c r="D450" i="6" s="1"/>
  <c r="G458" i="6"/>
  <c r="H458" i="6" s="1"/>
  <c r="I470" i="6"/>
  <c r="E858" i="6"/>
  <c r="C846" i="6"/>
  <c r="D846" i="6" s="1"/>
  <c r="I533" i="6"/>
  <c r="G521" i="6"/>
  <c r="H521" i="6" s="1"/>
  <c r="I300" i="6"/>
  <c r="G288" i="6"/>
  <c r="H288" i="6" s="1"/>
  <c r="I288" i="6"/>
  <c r="C451" i="6"/>
  <c r="D451" i="6" s="1"/>
  <c r="G409" i="6"/>
  <c r="H409" i="6" s="1"/>
  <c r="I421" i="6"/>
  <c r="G410" i="6"/>
  <c r="H410" i="6" s="1"/>
  <c r="I409" i="6"/>
  <c r="G333" i="6"/>
  <c r="H333" i="6" s="1"/>
  <c r="I345" i="6"/>
  <c r="G334" i="6"/>
  <c r="H334" i="6" s="1"/>
  <c r="I333" i="6"/>
  <c r="C246" i="6"/>
  <c r="D246" i="6" s="1"/>
  <c r="C245" i="6"/>
  <c r="D245" i="6" s="1"/>
  <c r="E257" i="6"/>
  <c r="G252" i="6"/>
  <c r="H252" i="6" s="1"/>
  <c r="I264" i="6"/>
  <c r="I204" i="6"/>
  <c r="I192" i="6"/>
  <c r="G192" i="6"/>
  <c r="H192" i="6" s="1"/>
  <c r="I306" i="6"/>
  <c r="E200" i="6"/>
  <c r="I238" i="6"/>
  <c r="G226" i="6"/>
  <c r="H226" i="6" s="1"/>
  <c r="D50" i="6"/>
  <c r="C38" i="6"/>
  <c r="E50" i="6"/>
  <c r="E136" i="6"/>
  <c r="E52" i="6"/>
  <c r="C40" i="6"/>
  <c r="D52" i="6"/>
  <c r="E98" i="6"/>
  <c r="C86" i="6"/>
  <c r="D86" i="6" s="1"/>
  <c r="E16" i="6"/>
  <c r="G123" i="6"/>
  <c r="H123" i="6" s="1"/>
  <c r="I123" i="6"/>
  <c r="I135" i="6"/>
  <c r="E132" i="6"/>
  <c r="C120" i="6"/>
  <c r="D120" i="6" s="1"/>
  <c r="G82" i="6"/>
  <c r="H82" i="6" s="1"/>
  <c r="I94" i="6"/>
  <c r="G34" i="6"/>
  <c r="H34" i="6" s="1"/>
  <c r="I46" i="6"/>
  <c r="I79" i="6"/>
  <c r="G67" i="6"/>
  <c r="H67" i="6" s="1"/>
  <c r="I43" i="6"/>
  <c r="G31" i="6"/>
  <c r="H31" i="6" s="1"/>
  <c r="E125" i="6"/>
  <c r="C113" i="6"/>
  <c r="D113" i="6" s="1"/>
  <c r="C114" i="6"/>
  <c r="D114" i="6" s="1"/>
  <c r="I93" i="6"/>
  <c r="G81" i="6"/>
  <c r="H81" i="6" s="1"/>
  <c r="E100" i="6"/>
  <c r="C88" i="6"/>
  <c r="D88" i="6" s="1"/>
  <c r="G42" i="6"/>
  <c r="H42" i="6" s="1"/>
  <c r="I54" i="6"/>
  <c r="I75" i="6"/>
  <c r="G63" i="6"/>
  <c r="H63" i="6" s="1"/>
  <c r="G212" i="6"/>
  <c r="H212" i="6" s="1"/>
  <c r="I224" i="6"/>
  <c r="E94" i="6"/>
  <c r="C82" i="6"/>
  <c r="D82" i="6" s="1"/>
  <c r="D46" i="6"/>
  <c r="E46" i="6"/>
  <c r="C34" i="6"/>
  <c r="G113" i="6"/>
  <c r="H113" i="6" s="1"/>
  <c r="I125" i="6"/>
  <c r="G777" i="6"/>
  <c r="H777" i="6" s="1"/>
  <c r="I789" i="6"/>
  <c r="E672" i="6"/>
  <c r="C660" i="6"/>
  <c r="D660" i="6" s="1"/>
  <c r="E660" i="6"/>
  <c r="E794" i="6"/>
  <c r="C782" i="6"/>
  <c r="D782" i="6" s="1"/>
  <c r="G644" i="6"/>
  <c r="H644" i="6" s="1"/>
  <c r="I656" i="6"/>
  <c r="I595" i="6"/>
  <c r="G583" i="6"/>
  <c r="H583" i="6" s="1"/>
  <c r="I583" i="6"/>
  <c r="C628" i="6"/>
  <c r="D628" i="6" s="1"/>
  <c r="E640" i="6"/>
  <c r="E486" i="6"/>
  <c r="C474" i="6"/>
  <c r="D474" i="6" s="1"/>
  <c r="G329" i="6"/>
  <c r="H329" i="6" s="1"/>
  <c r="I341" i="6"/>
  <c r="G330" i="6"/>
  <c r="H330" i="6" s="1"/>
  <c r="E261" i="6"/>
  <c r="C249" i="6"/>
  <c r="D249" i="6" s="1"/>
  <c r="E249" i="6"/>
  <c r="E145" i="6"/>
  <c r="C133" i="6"/>
  <c r="D133" i="6" s="1"/>
  <c r="G26" i="6"/>
  <c r="H26" i="6" s="1"/>
  <c r="I38" i="6"/>
  <c r="C783" i="6"/>
  <c r="D783" i="6" s="1"/>
  <c r="G580" i="6"/>
  <c r="H580" i="6" s="1"/>
  <c r="I592" i="6"/>
  <c r="C448" i="6"/>
  <c r="D448" i="6" s="1"/>
  <c r="E460" i="6"/>
  <c r="C449" i="6"/>
  <c r="D449" i="6" s="1"/>
  <c r="G404" i="6"/>
  <c r="H404" i="6" s="1"/>
  <c r="I416" i="6"/>
  <c r="I404" i="6"/>
  <c r="C273" i="6"/>
  <c r="D273" i="6" s="1"/>
  <c r="E285" i="6"/>
  <c r="C126" i="6"/>
  <c r="D126" i="6" s="1"/>
  <c r="E126" i="6"/>
  <c r="E138" i="6"/>
  <c r="D38" i="6"/>
  <c r="E38" i="6"/>
  <c r="C26" i="6"/>
  <c r="I47" i="6"/>
  <c r="G35" i="6"/>
  <c r="H35" i="6" s="1"/>
  <c r="I153" i="6"/>
  <c r="G141" i="6"/>
  <c r="H141" i="6" s="1"/>
  <c r="I81" i="6"/>
  <c r="G69" i="6"/>
  <c r="H69" i="6" s="1"/>
  <c r="E813" i="6"/>
  <c r="C801" i="6"/>
  <c r="D801" i="6" s="1"/>
  <c r="C802" i="6"/>
  <c r="D802" i="6" s="1"/>
  <c r="E801" i="6"/>
  <c r="C789" i="6"/>
  <c r="D789" i="6" s="1"/>
  <c r="E777" i="6"/>
  <c r="C765" i="6"/>
  <c r="D765" i="6" s="1"/>
  <c r="I807" i="6"/>
  <c r="G795" i="6"/>
  <c r="H795" i="6" s="1"/>
  <c r="C713" i="6"/>
  <c r="D713" i="6" s="1"/>
  <c r="I811" i="6"/>
  <c r="G799" i="6"/>
  <c r="H799" i="6" s="1"/>
  <c r="E842" i="6"/>
  <c r="C831" i="6"/>
  <c r="D831" i="6" s="1"/>
  <c r="C830" i="6"/>
  <c r="D830" i="6" s="1"/>
  <c r="G797" i="6"/>
  <c r="H797" i="6" s="1"/>
  <c r="G798" i="6"/>
  <c r="H798" i="6" s="1"/>
  <c r="I809" i="6"/>
  <c r="C740" i="6"/>
  <c r="D740" i="6" s="1"/>
  <c r="E752" i="6"/>
  <c r="E830" i="6"/>
  <c r="C604" i="6"/>
  <c r="D604" i="6" s="1"/>
  <c r="E616" i="6"/>
  <c r="C605" i="6"/>
  <c r="D605" i="6" s="1"/>
  <c r="I652" i="6"/>
  <c r="G640" i="6"/>
  <c r="H640" i="6" s="1"/>
  <c r="E489" i="6"/>
  <c r="C478" i="6"/>
  <c r="D478" i="6" s="1"/>
  <c r="C477" i="6"/>
  <c r="D477" i="6" s="1"/>
  <c r="I628" i="6"/>
  <c r="G616" i="6"/>
  <c r="H616" i="6" s="1"/>
  <c r="I527" i="6"/>
  <c r="G515" i="6"/>
  <c r="H515" i="6" s="1"/>
  <c r="G625" i="6"/>
  <c r="H625" i="6" s="1"/>
  <c r="I637" i="6"/>
  <c r="G719" i="6"/>
  <c r="H719" i="6" s="1"/>
  <c r="I731" i="6"/>
  <c r="E598" i="6"/>
  <c r="C586" i="6"/>
  <c r="D586" i="6" s="1"/>
  <c r="G516" i="6"/>
  <c r="H516" i="6" s="1"/>
  <c r="I528" i="6"/>
  <c r="E445" i="6"/>
  <c r="C433" i="6"/>
  <c r="D433" i="6" s="1"/>
  <c r="I591" i="6"/>
  <c r="G579" i="6"/>
  <c r="H579" i="6" s="1"/>
  <c r="E599" i="6"/>
  <c r="C587" i="6"/>
  <c r="D587" i="6" s="1"/>
  <c r="E587" i="6"/>
  <c r="I509" i="6"/>
  <c r="G497" i="6"/>
  <c r="H497" i="6" s="1"/>
  <c r="G498" i="6"/>
  <c r="H498" i="6" s="1"/>
  <c r="I434" i="6"/>
  <c r="G423" i="6"/>
  <c r="H423" i="6" s="1"/>
  <c r="G422" i="6"/>
  <c r="H422" i="6" s="1"/>
  <c r="E768" i="6"/>
  <c r="C756" i="6"/>
  <c r="D756" i="6" s="1"/>
  <c r="I476" i="6"/>
  <c r="G464" i="6"/>
  <c r="H464" i="6" s="1"/>
  <c r="I464" i="6"/>
  <c r="I422" i="6"/>
  <c r="C629" i="6"/>
  <c r="D629" i="6" s="1"/>
  <c r="G253" i="6"/>
  <c r="H253" i="6" s="1"/>
  <c r="E336" i="6"/>
  <c r="C336" i="6"/>
  <c r="D336" i="6" s="1"/>
  <c r="E348" i="6"/>
  <c r="C350" i="6"/>
  <c r="D350" i="6" s="1"/>
  <c r="E362" i="6"/>
  <c r="I188" i="6"/>
  <c r="I176" i="6"/>
  <c r="G176" i="6"/>
  <c r="H176" i="6" s="1"/>
  <c r="C127" i="6"/>
  <c r="D127" i="6" s="1"/>
  <c r="I201" i="6"/>
  <c r="G189" i="6"/>
  <c r="H189" i="6" s="1"/>
  <c r="C205" i="6"/>
  <c r="D205" i="6" s="1"/>
  <c r="E217" i="6"/>
  <c r="E173" i="6"/>
  <c r="C161" i="6"/>
  <c r="D161" i="6" s="1"/>
  <c r="C162" i="6"/>
  <c r="D162" i="6" s="1"/>
  <c r="C158" i="6"/>
  <c r="D158" i="6" s="1"/>
  <c r="E170" i="6"/>
  <c r="C159" i="6"/>
  <c r="D159" i="6" s="1"/>
  <c r="E88" i="6"/>
  <c r="C76" i="6"/>
  <c r="D76" i="6" s="1"/>
  <c r="E40" i="6"/>
  <c r="C28" i="6"/>
  <c r="D40" i="6"/>
  <c r="G102" i="6"/>
  <c r="H102" i="6" s="1"/>
  <c r="I114" i="6"/>
  <c r="G103" i="6"/>
  <c r="H103" i="6" s="1"/>
  <c r="G209" i="6"/>
  <c r="H209" i="6" s="1"/>
  <c r="I221" i="6"/>
  <c r="I23" i="6"/>
  <c r="I11" i="6"/>
  <c r="G11" i="6"/>
  <c r="H11" i="6" s="1"/>
  <c r="E116" i="6"/>
  <c r="C104" i="6"/>
  <c r="D104" i="6" s="1"/>
  <c r="E153" i="6"/>
  <c r="C141" i="6"/>
  <c r="D141" i="6" s="1"/>
  <c r="E82" i="6"/>
  <c r="C70" i="6"/>
  <c r="D70" i="6" s="1"/>
  <c r="G22" i="6"/>
  <c r="H22" i="6" s="1"/>
  <c r="I34" i="6"/>
  <c r="E137" i="6"/>
  <c r="C125" i="6"/>
  <c r="D125" i="6" s="1"/>
  <c r="C100" i="6"/>
  <c r="D100" i="6" s="1"/>
  <c r="E112" i="6"/>
  <c r="E221" i="6"/>
  <c r="C209" i="6"/>
  <c r="D209" i="6" s="1"/>
  <c r="D54" i="6"/>
  <c r="E54" i="6"/>
  <c r="C42" i="6"/>
  <c r="G70" i="6"/>
  <c r="H70" i="6" s="1"/>
  <c r="I82" i="6"/>
  <c r="E861" i="6"/>
  <c r="C849" i="6"/>
  <c r="D849" i="6" s="1"/>
  <c r="C850" i="6"/>
  <c r="D850" i="6" s="1"/>
  <c r="E857" i="6"/>
  <c r="C845" i="6"/>
  <c r="D845" i="6" s="1"/>
  <c r="G847" i="6"/>
  <c r="H847" i="6" s="1"/>
  <c r="G789" i="6"/>
  <c r="H789" i="6" s="1"/>
  <c r="I801" i="6"/>
  <c r="G765" i="6"/>
  <c r="H765" i="6" s="1"/>
  <c r="I777" i="6"/>
  <c r="E807" i="6"/>
  <c r="C795" i="6"/>
  <c r="D795" i="6" s="1"/>
  <c r="E811" i="6"/>
  <c r="E799" i="6"/>
  <c r="C799" i="6"/>
  <c r="D799" i="6" s="1"/>
  <c r="I842" i="6"/>
  <c r="G830" i="6"/>
  <c r="H830" i="6" s="1"/>
  <c r="G740" i="6"/>
  <c r="H740" i="6" s="1"/>
  <c r="I752" i="6"/>
  <c r="I740" i="6"/>
  <c r="G741" i="6"/>
  <c r="H741" i="6" s="1"/>
  <c r="G790" i="6"/>
  <c r="H790" i="6" s="1"/>
  <c r="C814" i="6"/>
  <c r="D814" i="6" s="1"/>
  <c r="G725" i="6"/>
  <c r="H725" i="6" s="1"/>
  <c r="G753" i="6"/>
  <c r="H753" i="6" s="1"/>
  <c r="I765" i="6"/>
  <c r="I788" i="6"/>
  <c r="G776" i="6"/>
  <c r="H776" i="6" s="1"/>
  <c r="I776" i="6"/>
  <c r="G764" i="6"/>
  <c r="H764" i="6" s="1"/>
  <c r="I764" i="6"/>
  <c r="I616" i="6"/>
  <c r="G604" i="6"/>
  <c r="H604" i="6" s="1"/>
  <c r="G605" i="6"/>
  <c r="H605" i="6" s="1"/>
  <c r="G589" i="6"/>
  <c r="H589" i="6" s="1"/>
  <c r="I601" i="6"/>
  <c r="I632" i="6"/>
  <c r="G633" i="6"/>
  <c r="H633" i="6" s="1"/>
  <c r="I645" i="6"/>
  <c r="C616" i="6"/>
  <c r="D616" i="6" s="1"/>
  <c r="E628" i="6"/>
  <c r="C625" i="6"/>
  <c r="D625" i="6" s="1"/>
  <c r="E637" i="6"/>
  <c r="G586" i="6"/>
  <c r="H586" i="6" s="1"/>
  <c r="I598" i="6"/>
  <c r="E591" i="6"/>
  <c r="C579" i="6"/>
  <c r="D579" i="6" s="1"/>
  <c r="E452" i="6"/>
  <c r="C440" i="6"/>
  <c r="D440" i="6" s="1"/>
  <c r="I599" i="6"/>
  <c r="G587" i="6"/>
  <c r="H587" i="6" s="1"/>
  <c r="E509" i="6"/>
  <c r="C497" i="6"/>
  <c r="D497" i="6" s="1"/>
  <c r="E426" i="6"/>
  <c r="C415" i="6"/>
  <c r="D415" i="6" s="1"/>
  <c r="C414" i="6"/>
  <c r="D414" i="6" s="1"/>
  <c r="E385" i="6"/>
  <c r="C373" i="6"/>
  <c r="D373" i="6" s="1"/>
  <c r="G757" i="6"/>
  <c r="H757" i="6" s="1"/>
  <c r="I768" i="6"/>
  <c r="G756" i="6"/>
  <c r="H756" i="6" s="1"/>
  <c r="C487" i="6"/>
  <c r="D487" i="6" s="1"/>
  <c r="E499" i="6"/>
  <c r="G561" i="6"/>
  <c r="H561" i="6" s="1"/>
  <c r="I573" i="6"/>
  <c r="I561" i="6"/>
  <c r="E349" i="6"/>
  <c r="C337" i="6"/>
  <c r="D337" i="6" s="1"/>
  <c r="E337" i="6"/>
  <c r="E457" i="6"/>
  <c r="C445" i="6"/>
  <c r="D445" i="6" s="1"/>
  <c r="G352" i="6"/>
  <c r="H352" i="6" s="1"/>
  <c r="I364" i="6"/>
  <c r="E393" i="6"/>
  <c r="C280" i="6"/>
  <c r="D280" i="6" s="1"/>
  <c r="E280" i="6"/>
  <c r="E292" i="6"/>
  <c r="C338" i="6"/>
  <c r="D338" i="6" s="1"/>
  <c r="C314" i="6"/>
  <c r="D314" i="6" s="1"/>
  <c r="E326" i="6"/>
  <c r="E270" i="6"/>
  <c r="C258" i="6"/>
  <c r="D258" i="6" s="1"/>
  <c r="C259" i="6"/>
  <c r="D259" i="6" s="1"/>
  <c r="I282" i="6"/>
  <c r="G336" i="6"/>
  <c r="H336" i="6" s="1"/>
  <c r="I348" i="6"/>
  <c r="G350" i="6"/>
  <c r="H350" i="6" s="1"/>
  <c r="I362" i="6"/>
  <c r="G351" i="6"/>
  <c r="H351" i="6" s="1"/>
  <c r="E201" i="6"/>
  <c r="C189" i="6"/>
  <c r="D189" i="6" s="1"/>
  <c r="E205" i="6"/>
  <c r="C193" i="6"/>
  <c r="D193" i="6" s="1"/>
  <c r="G161" i="6"/>
  <c r="H161" i="6" s="1"/>
  <c r="I173" i="6"/>
  <c r="D16" i="6"/>
  <c r="G158" i="6"/>
  <c r="H158" i="6" s="1"/>
  <c r="I170" i="6"/>
  <c r="E114" i="6"/>
  <c r="C102" i="6"/>
  <c r="D102" i="6" s="1"/>
  <c r="I120" i="6"/>
  <c r="G108" i="6"/>
  <c r="H108" i="6" s="1"/>
  <c r="G78" i="6"/>
  <c r="H78" i="6" s="1"/>
  <c r="I90" i="6"/>
  <c r="E209" i="6"/>
  <c r="C197" i="6"/>
  <c r="D197" i="6" s="1"/>
  <c r="I63" i="6"/>
  <c r="G51" i="6"/>
  <c r="H51" i="6" s="1"/>
  <c r="G142" i="6"/>
  <c r="H142" i="6" s="1"/>
  <c r="G58" i="6"/>
  <c r="H58" i="6" s="1"/>
  <c r="I70" i="6"/>
  <c r="D34" i="6"/>
  <c r="E34" i="6"/>
  <c r="C22" i="6"/>
  <c r="I67" i="6"/>
  <c r="G55" i="6"/>
  <c r="H55" i="6" s="1"/>
  <c r="I31" i="6"/>
  <c r="G19" i="6"/>
  <c r="H19" i="6" s="1"/>
  <c r="I109" i="6"/>
  <c r="G97" i="6"/>
  <c r="H97" i="6" s="1"/>
  <c r="I69" i="6"/>
  <c r="G57" i="6"/>
  <c r="H57" i="6" s="1"/>
  <c r="E833" i="6"/>
  <c r="C821" i="6"/>
  <c r="D821" i="6" s="1"/>
  <c r="G848" i="6"/>
  <c r="H848" i="6" s="1"/>
  <c r="I860" i="6"/>
  <c r="I848" i="6"/>
  <c r="E781" i="6"/>
  <c r="C769" i="6"/>
  <c r="D769" i="6" s="1"/>
  <c r="E769" i="6"/>
  <c r="C580" i="6"/>
  <c r="D580" i="6" s="1"/>
  <c r="E592" i="6"/>
  <c r="C581" i="6"/>
  <c r="D581" i="6" s="1"/>
  <c r="E533" i="6"/>
  <c r="C521" i="6"/>
  <c r="D521" i="6" s="1"/>
  <c r="C252" i="6"/>
  <c r="D252" i="6" s="1"/>
  <c r="E264" i="6"/>
  <c r="C226" i="6"/>
  <c r="D226" i="6" s="1"/>
  <c r="E238" i="6"/>
  <c r="C227" i="6"/>
  <c r="D227" i="6" s="1"/>
  <c r="C853" i="6"/>
  <c r="D853" i="6" s="1"/>
  <c r="C854" i="6"/>
  <c r="D854" i="6" s="1"/>
  <c r="G429" i="6"/>
  <c r="H429" i="6" s="1"/>
  <c r="I441" i="6"/>
  <c r="E372" i="6"/>
  <c r="C360" i="6"/>
  <c r="D360" i="6" s="1"/>
  <c r="E286" i="6"/>
  <c r="C275" i="6"/>
  <c r="D275" i="6" s="1"/>
  <c r="C274" i="6"/>
  <c r="D274" i="6" s="1"/>
  <c r="E274" i="6"/>
  <c r="G249" i="6"/>
  <c r="H249" i="6" s="1"/>
  <c r="I261" i="6"/>
  <c r="I249" i="6"/>
  <c r="G205" i="6"/>
  <c r="H205" i="6" s="1"/>
  <c r="I217" i="6"/>
  <c r="I129" i="6"/>
  <c r="C212" i="6"/>
  <c r="D212" i="6" s="1"/>
  <c r="E224" i="6"/>
  <c r="C213" i="6"/>
  <c r="D213" i="6" s="1"/>
  <c r="I137" i="6"/>
  <c r="G125" i="6"/>
  <c r="H125" i="6" s="1"/>
  <c r="E853" i="6"/>
  <c r="C841" i="6"/>
  <c r="D841" i="6" s="1"/>
  <c r="E797" i="6"/>
  <c r="C785" i="6"/>
  <c r="D785" i="6" s="1"/>
  <c r="C786" i="6"/>
  <c r="D786" i="6" s="1"/>
  <c r="E805" i="6"/>
  <c r="C793" i="6"/>
  <c r="D793" i="6" s="1"/>
  <c r="C794" i="6"/>
  <c r="D794" i="6" s="1"/>
  <c r="G774" i="6"/>
  <c r="H774" i="6" s="1"/>
  <c r="E838" i="6"/>
  <c r="G766" i="6"/>
  <c r="H766" i="6" s="1"/>
  <c r="G736" i="6"/>
  <c r="H736" i="6" s="1"/>
  <c r="C776" i="6"/>
  <c r="D776" i="6" s="1"/>
  <c r="E788" i="6"/>
  <c r="E711" i="6"/>
  <c r="C699" i="6"/>
  <c r="D699" i="6" s="1"/>
  <c r="C764" i="6"/>
  <c r="D764" i="6" s="1"/>
  <c r="E776" i="6"/>
  <c r="C652" i="6"/>
  <c r="D652" i="6" s="1"/>
  <c r="E664" i="6"/>
  <c r="C653" i="6"/>
  <c r="D653" i="6" s="1"/>
  <c r="E699" i="6"/>
  <c r="G597" i="6"/>
  <c r="H597" i="6" s="1"/>
  <c r="I609" i="6"/>
  <c r="G645" i="6"/>
  <c r="H645" i="6" s="1"/>
  <c r="I657" i="6"/>
  <c r="E589" i="6"/>
  <c r="E601" i="6"/>
  <c r="C589" i="6"/>
  <c r="D589" i="6" s="1"/>
  <c r="E645" i="6"/>
  <c r="C633" i="6"/>
  <c r="D633" i="6" s="1"/>
  <c r="I622" i="6"/>
  <c r="I610" i="6"/>
  <c r="G610" i="6"/>
  <c r="H610" i="6" s="1"/>
  <c r="E524" i="6"/>
  <c r="C512" i="6"/>
  <c r="D512" i="6" s="1"/>
  <c r="E531" i="6"/>
  <c r="C520" i="6"/>
  <c r="D520" i="6" s="1"/>
  <c r="C519" i="6"/>
  <c r="D519" i="6" s="1"/>
  <c r="I566" i="6"/>
  <c r="G554" i="6"/>
  <c r="H554" i="6" s="1"/>
  <c r="E450" i="6"/>
  <c r="C439" i="6"/>
  <c r="D439" i="6" s="1"/>
  <c r="C438" i="6"/>
  <c r="D438" i="6" s="1"/>
  <c r="E580" i="6"/>
  <c r="E568" i="6"/>
  <c r="C568" i="6"/>
  <c r="D568" i="6" s="1"/>
  <c r="C485" i="6"/>
  <c r="D485" i="6" s="1"/>
  <c r="E497" i="6"/>
  <c r="I426" i="6"/>
  <c r="G414" i="6"/>
  <c r="H414" i="6" s="1"/>
  <c r="I414" i="6"/>
  <c r="C528" i="6"/>
  <c r="D528" i="6" s="1"/>
  <c r="E540" i="6"/>
  <c r="G487" i="6"/>
  <c r="H487" i="6" s="1"/>
  <c r="I499" i="6"/>
  <c r="C561" i="6"/>
  <c r="D561" i="6" s="1"/>
  <c r="E573" i="6"/>
  <c r="E561" i="6"/>
  <c r="G337" i="6"/>
  <c r="H337" i="6" s="1"/>
  <c r="I337" i="6"/>
  <c r="I349" i="6"/>
  <c r="E477" i="6"/>
  <c r="C465" i="6"/>
  <c r="D465" i="6" s="1"/>
  <c r="C304" i="6"/>
  <c r="D304" i="6" s="1"/>
  <c r="E316" i="6"/>
  <c r="E304" i="6"/>
  <c r="G445" i="6"/>
  <c r="H445" i="6" s="1"/>
  <c r="G446" i="6"/>
  <c r="H446" i="6" s="1"/>
  <c r="I457" i="6"/>
  <c r="C413" i="6"/>
  <c r="D413" i="6" s="1"/>
  <c r="I292" i="6"/>
  <c r="G280" i="6"/>
  <c r="H280" i="6" s="1"/>
  <c r="I280" i="6"/>
  <c r="E265" i="6"/>
  <c r="C253" i="6"/>
  <c r="D253" i="6" s="1"/>
  <c r="I172" i="6"/>
  <c r="G160" i="6"/>
  <c r="H160" i="6" s="1"/>
  <c r="I160" i="6"/>
  <c r="C229" i="6"/>
  <c r="D229" i="6" s="1"/>
  <c r="E241" i="6"/>
  <c r="E229" i="6"/>
  <c r="E189" i="6"/>
  <c r="C177" i="6"/>
  <c r="D177" i="6" s="1"/>
  <c r="C178" i="6"/>
  <c r="D178" i="6" s="1"/>
  <c r="I212" i="6"/>
  <c r="G200" i="6"/>
  <c r="H200" i="6" s="1"/>
  <c r="I169" i="6"/>
  <c r="G157" i="6"/>
  <c r="H157" i="6" s="1"/>
  <c r="G193" i="6"/>
  <c r="H193" i="6" s="1"/>
  <c r="I205" i="6"/>
  <c r="G74" i="6"/>
  <c r="H74" i="6" s="1"/>
  <c r="I86" i="6"/>
  <c r="E20" i="6"/>
  <c r="E8" i="6"/>
  <c r="D20" i="6"/>
  <c r="C8" i="6"/>
  <c r="D8" i="6"/>
  <c r="I83" i="6"/>
  <c r="G71" i="6"/>
  <c r="H71" i="6" s="1"/>
  <c r="I35" i="6"/>
  <c r="G23" i="6"/>
  <c r="H23" i="6" s="1"/>
  <c r="I165" i="6"/>
  <c r="G153" i="6"/>
  <c r="H153" i="6" s="1"/>
  <c r="E120" i="6"/>
  <c r="C108" i="6"/>
  <c r="D108" i="6" s="1"/>
  <c r="E90" i="6"/>
  <c r="C78" i="6"/>
  <c r="D78" i="6" s="1"/>
  <c r="G30" i="6"/>
  <c r="H30" i="6" s="1"/>
  <c r="I42" i="6"/>
  <c r="I209" i="6"/>
  <c r="G197" i="6"/>
  <c r="H197" i="6" s="1"/>
  <c r="G187" i="6"/>
  <c r="H187" i="6" s="1"/>
  <c r="I199" i="6"/>
  <c r="G188" i="6"/>
  <c r="H188" i="6" s="1"/>
  <c r="E70" i="6"/>
  <c r="C58" i="6"/>
  <c r="C95" i="6"/>
  <c r="D95" i="6" s="1"/>
  <c r="I97" i="6"/>
  <c r="C822" i="6"/>
  <c r="D822" i="6" s="1"/>
  <c r="G593" i="6"/>
  <c r="H593" i="6" s="1"/>
  <c r="I605" i="6"/>
  <c r="I755" i="6"/>
  <c r="G743" i="6"/>
  <c r="H743" i="6" s="1"/>
  <c r="C643" i="6"/>
  <c r="D643" i="6" s="1"/>
  <c r="E655" i="6"/>
  <c r="E402" i="6"/>
  <c r="C391" i="6"/>
  <c r="D391" i="6" s="1"/>
  <c r="C390" i="6"/>
  <c r="D390" i="6" s="1"/>
  <c r="G769" i="6"/>
  <c r="H769" i="6" s="1"/>
  <c r="I781" i="6"/>
  <c r="I769" i="6"/>
  <c r="E809" i="6"/>
  <c r="C797" i="6"/>
  <c r="D797" i="6" s="1"/>
  <c r="E782" i="6"/>
  <c r="G584" i="6"/>
  <c r="H584" i="6" s="1"/>
  <c r="G628" i="6"/>
  <c r="H628" i="6" s="1"/>
  <c r="I640" i="6"/>
  <c r="E338" i="6"/>
  <c r="C326" i="6"/>
  <c r="D326" i="6" s="1"/>
  <c r="I805" i="6"/>
  <c r="G793" i="6"/>
  <c r="H793" i="6" s="1"/>
  <c r="G794" i="6"/>
  <c r="H794" i="6" s="1"/>
  <c r="E771" i="6"/>
  <c r="C759" i="6"/>
  <c r="D759" i="6" s="1"/>
  <c r="I664" i="6"/>
  <c r="G652" i="6"/>
  <c r="H652" i="6" s="1"/>
  <c r="E609" i="6"/>
  <c r="C597" i="6"/>
  <c r="D597" i="6" s="1"/>
  <c r="C645" i="6"/>
  <c r="D645" i="6" s="1"/>
  <c r="E657" i="6"/>
  <c r="C646" i="6"/>
  <c r="D646" i="6" s="1"/>
  <c r="C537" i="6"/>
  <c r="D537" i="6" s="1"/>
  <c r="I629" i="6"/>
  <c r="G617" i="6"/>
  <c r="H617" i="6" s="1"/>
  <c r="G618" i="6"/>
  <c r="H618" i="6" s="1"/>
  <c r="G502" i="6"/>
  <c r="H502" i="6" s="1"/>
  <c r="I514" i="6"/>
  <c r="E566" i="6"/>
  <c r="C554" i="6"/>
  <c r="D554" i="6" s="1"/>
  <c r="E644" i="6"/>
  <c r="G568" i="6"/>
  <c r="H568" i="6" s="1"/>
  <c r="I580" i="6"/>
  <c r="I497" i="6"/>
  <c r="G485" i="6"/>
  <c r="H485" i="6" s="1"/>
  <c r="I540" i="6"/>
  <c r="G528" i="6"/>
  <c r="H528" i="6" s="1"/>
  <c r="I477" i="6"/>
  <c r="G465" i="6"/>
  <c r="H465" i="6" s="1"/>
  <c r="G466" i="6"/>
  <c r="H466" i="6" s="1"/>
  <c r="C284" i="6"/>
  <c r="D284" i="6" s="1"/>
  <c r="E296" i="6"/>
  <c r="E284" i="6"/>
  <c r="G368" i="6"/>
  <c r="H368" i="6" s="1"/>
  <c r="I380" i="6"/>
  <c r="I368" i="6"/>
  <c r="E329" i="6"/>
  <c r="C318" i="6"/>
  <c r="D318" i="6" s="1"/>
  <c r="C317" i="6"/>
  <c r="D317" i="6" s="1"/>
  <c r="C305" i="6"/>
  <c r="D305" i="6" s="1"/>
  <c r="E317" i="6"/>
  <c r="G233" i="6"/>
  <c r="H233" i="6" s="1"/>
  <c r="I245" i="6"/>
  <c r="G229" i="6"/>
  <c r="H229" i="6" s="1"/>
  <c r="I241" i="6"/>
  <c r="G177" i="6"/>
  <c r="H177" i="6" s="1"/>
  <c r="I189" i="6"/>
  <c r="E212" i="6"/>
  <c r="C200" i="6"/>
  <c r="D200" i="6" s="1"/>
  <c r="E133" i="6"/>
  <c r="E169" i="6"/>
  <c r="C157" i="6"/>
  <c r="D157" i="6" s="1"/>
  <c r="E86" i="6"/>
  <c r="C74" i="6"/>
  <c r="D74" i="6" s="1"/>
  <c r="E76" i="6"/>
  <c r="C64" i="6"/>
  <c r="D64" i="6" s="1"/>
  <c r="E28" i="6"/>
  <c r="C16" i="6"/>
  <c r="D28" i="6"/>
  <c r="I121" i="6"/>
  <c r="G109" i="6"/>
  <c r="H109" i="6" s="1"/>
  <c r="E165" i="6"/>
  <c r="C153" i="6"/>
  <c r="D153" i="6" s="1"/>
  <c r="G66" i="6"/>
  <c r="H66" i="6" s="1"/>
  <c r="I78" i="6"/>
  <c r="D42" i="6"/>
  <c r="E42" i="6"/>
  <c r="C30" i="6"/>
  <c r="I196" i="6"/>
  <c r="G184" i="6"/>
  <c r="H184" i="6" s="1"/>
  <c r="I57" i="6"/>
  <c r="G45" i="6"/>
  <c r="H45" i="6" s="1"/>
  <c r="I624" i="6"/>
  <c r="G612" i="6"/>
  <c r="H612" i="6" s="1"/>
  <c r="E539" i="6"/>
  <c r="C527" i="6"/>
  <c r="D527" i="6" s="1"/>
  <c r="E527" i="6"/>
  <c r="C236" i="6"/>
  <c r="D236" i="6" s="1"/>
  <c r="E248" i="6"/>
  <c r="E846" i="6"/>
  <c r="C834" i="6"/>
  <c r="D834" i="6" s="1"/>
  <c r="C640" i="6"/>
  <c r="D640" i="6" s="1"/>
  <c r="E652" i="6"/>
  <c r="E528" i="6"/>
  <c r="C516" i="6"/>
  <c r="D516" i="6" s="1"/>
  <c r="I402" i="6"/>
  <c r="G391" i="6"/>
  <c r="H391" i="6" s="1"/>
  <c r="G390" i="6"/>
  <c r="H390" i="6" s="1"/>
  <c r="E180" i="6"/>
  <c r="C168" i="6"/>
  <c r="D168" i="6" s="1"/>
  <c r="I797" i="6"/>
  <c r="G785" i="6"/>
  <c r="H785" i="6" s="1"/>
  <c r="I844" i="6"/>
  <c r="G832" i="6"/>
  <c r="H832" i="6" s="1"/>
  <c r="E845" i="6"/>
  <c r="C833" i="6"/>
  <c r="D833" i="6" s="1"/>
  <c r="E793" i="6"/>
  <c r="C781" i="6"/>
  <c r="D781" i="6" s="1"/>
  <c r="E862" i="6"/>
  <c r="G849" i="6"/>
  <c r="H849" i="6" s="1"/>
  <c r="E763" i="6"/>
  <c r="C751" i="6"/>
  <c r="D751" i="6" s="1"/>
  <c r="I771" i="6"/>
  <c r="G759" i="6"/>
  <c r="H759" i="6" s="1"/>
  <c r="G760" i="6"/>
  <c r="H760" i="6" s="1"/>
  <c r="C598" i="6"/>
  <c r="D598" i="6" s="1"/>
  <c r="C617" i="6"/>
  <c r="D617" i="6" s="1"/>
  <c r="E629" i="6"/>
  <c r="E617" i="6"/>
  <c r="C524" i="6"/>
  <c r="D524" i="6" s="1"/>
  <c r="E536" i="6"/>
  <c r="C525" i="6"/>
  <c r="D525" i="6" s="1"/>
  <c r="C684" i="6"/>
  <c r="D684" i="6" s="1"/>
  <c r="E696" i="6"/>
  <c r="I559" i="6"/>
  <c r="G547" i="6"/>
  <c r="H547" i="6" s="1"/>
  <c r="I547" i="6"/>
  <c r="E512" i="6"/>
  <c r="C500" i="6"/>
  <c r="D500" i="6" s="1"/>
  <c r="C488" i="6"/>
  <c r="D488" i="6" s="1"/>
  <c r="E488" i="6"/>
  <c r="E500" i="6"/>
  <c r="G653" i="6"/>
  <c r="H653" i="6" s="1"/>
  <c r="C522" i="6"/>
  <c r="D522" i="6" s="1"/>
  <c r="E448" i="6"/>
  <c r="E474" i="6"/>
  <c r="E542" i="6"/>
  <c r="C531" i="6"/>
  <c r="D531" i="6" s="1"/>
  <c r="C530" i="6"/>
  <c r="D530" i="6" s="1"/>
  <c r="I515" i="6"/>
  <c r="G430" i="6"/>
  <c r="H430" i="6" s="1"/>
  <c r="C513" i="6"/>
  <c r="D513" i="6" s="1"/>
  <c r="C322" i="6"/>
  <c r="D322" i="6" s="1"/>
  <c r="E334" i="6"/>
  <c r="C323" i="6"/>
  <c r="D323" i="6" s="1"/>
  <c r="G369" i="6"/>
  <c r="H369" i="6" s="1"/>
  <c r="G289" i="6"/>
  <c r="H289" i="6" s="1"/>
  <c r="C250" i="6"/>
  <c r="D250" i="6" s="1"/>
  <c r="E390" i="6"/>
  <c r="I352" i="6"/>
  <c r="I293" i="6"/>
  <c r="I156" i="6"/>
  <c r="I144" i="6"/>
  <c r="G144" i="6"/>
  <c r="H144" i="6" s="1"/>
  <c r="G62" i="6"/>
  <c r="H62" i="6" s="1"/>
  <c r="I74" i="6"/>
  <c r="D26" i="6"/>
  <c r="E14" i="6"/>
  <c r="C14" i="6"/>
  <c r="D14" i="6"/>
  <c r="E26" i="6"/>
  <c r="E121" i="6"/>
  <c r="C109" i="6"/>
  <c r="D109" i="6" s="1"/>
  <c r="E78" i="6"/>
  <c r="C66" i="6"/>
  <c r="D66" i="6" s="1"/>
  <c r="E196" i="6"/>
  <c r="C184" i="6"/>
  <c r="D184" i="6" s="1"/>
  <c r="I51" i="6"/>
  <c r="G39" i="6"/>
  <c r="H39" i="6" s="1"/>
  <c r="I158" i="6"/>
  <c r="C51" i="6"/>
  <c r="G98" i="6"/>
  <c r="H98" i="6" s="1"/>
  <c r="I110" i="6"/>
  <c r="C103" i="6"/>
  <c r="D103" i="6" s="1"/>
  <c r="E104" i="6"/>
  <c r="C92" i="6"/>
  <c r="D92" i="6" s="1"/>
  <c r="G36" i="6"/>
  <c r="H36" i="6" s="1"/>
  <c r="G732" i="6"/>
  <c r="H732" i="6" s="1"/>
  <c r="I744" i="6"/>
  <c r="G733" i="6"/>
  <c r="H733" i="6" s="1"/>
  <c r="I569" i="6"/>
  <c r="G557" i="6"/>
  <c r="H557" i="6" s="1"/>
  <c r="G558" i="6"/>
  <c r="H558" i="6" s="1"/>
  <c r="I858" i="6"/>
  <c r="G846" i="6"/>
  <c r="H846" i="6" s="1"/>
  <c r="E416" i="6"/>
  <c r="C404" i="6"/>
  <c r="D404" i="6" s="1"/>
  <c r="E404" i="6"/>
  <c r="E731" i="6"/>
  <c r="C719" i="6"/>
  <c r="D719" i="6" s="1"/>
  <c r="C400" i="6"/>
  <c r="D400" i="6" s="1"/>
  <c r="E412" i="6"/>
  <c r="C401" i="6"/>
  <c r="D401" i="6" s="1"/>
  <c r="I486" i="6"/>
  <c r="I474" i="6"/>
  <c r="G474" i="6"/>
  <c r="H474" i="6" s="1"/>
  <c r="C169" i="6"/>
  <c r="D169" i="6" s="1"/>
  <c r="E854" i="6"/>
  <c r="C842" i="6"/>
  <c r="D842" i="6" s="1"/>
  <c r="C843" i="6"/>
  <c r="D843" i="6" s="1"/>
  <c r="I793" i="6"/>
  <c r="G781" i="6"/>
  <c r="H781" i="6" s="1"/>
  <c r="G778" i="6"/>
  <c r="H778" i="6" s="1"/>
  <c r="E774" i="6"/>
  <c r="C762" i="6"/>
  <c r="D762" i="6" s="1"/>
  <c r="C763" i="6"/>
  <c r="D763" i="6" s="1"/>
  <c r="C707" i="6"/>
  <c r="D707" i="6" s="1"/>
  <c r="E719" i="6"/>
  <c r="G687" i="6"/>
  <c r="H687" i="6" s="1"/>
  <c r="I699" i="6"/>
  <c r="E551" i="6"/>
  <c r="C572" i="6"/>
  <c r="D572" i="6" s="1"/>
  <c r="C573" i="6"/>
  <c r="D573" i="6" s="1"/>
  <c r="E572" i="6"/>
  <c r="E584" i="6"/>
  <c r="I687" i="6"/>
  <c r="I625" i="6"/>
  <c r="G613" i="6"/>
  <c r="H613" i="6" s="1"/>
  <c r="G684" i="6"/>
  <c r="H684" i="6" s="1"/>
  <c r="I696" i="6"/>
  <c r="G685" i="6"/>
  <c r="H685" i="6" s="1"/>
  <c r="I612" i="6"/>
  <c r="C493" i="6"/>
  <c r="D493" i="6" s="1"/>
  <c r="E505" i="6"/>
  <c r="G545" i="6"/>
  <c r="H545" i="6" s="1"/>
  <c r="I557" i="6"/>
  <c r="E496" i="6"/>
  <c r="C484" i="6"/>
  <c r="D484" i="6" s="1"/>
  <c r="E484" i="6"/>
  <c r="E554" i="6"/>
  <c r="C542" i="6"/>
  <c r="D542" i="6" s="1"/>
  <c r="I500" i="6"/>
  <c r="G488" i="6"/>
  <c r="H488" i="6" s="1"/>
  <c r="I488" i="6"/>
  <c r="E650" i="6"/>
  <c r="C638" i="6"/>
  <c r="D638" i="6" s="1"/>
  <c r="I529" i="6"/>
  <c r="G517" i="6"/>
  <c r="H517" i="6" s="1"/>
  <c r="I469" i="6"/>
  <c r="G457" i="6"/>
  <c r="H457" i="6" s="1"/>
  <c r="I577" i="6"/>
  <c r="G565" i="6"/>
  <c r="H565" i="6" s="1"/>
  <c r="G503" i="6"/>
  <c r="H503" i="6" s="1"/>
  <c r="I673" i="6"/>
  <c r="G661" i="6"/>
  <c r="H661" i="6" s="1"/>
  <c r="G370" i="6"/>
  <c r="H370" i="6" s="1"/>
  <c r="I382" i="6"/>
  <c r="I370" i="6"/>
  <c r="C405" i="6"/>
  <c r="D405" i="6" s="1"/>
  <c r="C302" i="6"/>
  <c r="D302" i="6" s="1"/>
  <c r="I354" i="6"/>
  <c r="G354" i="6"/>
  <c r="H354" i="6" s="1"/>
  <c r="I366" i="6"/>
  <c r="G355" i="6"/>
  <c r="H355" i="6" s="1"/>
  <c r="I250" i="6"/>
  <c r="G238" i="6"/>
  <c r="H238" i="6" s="1"/>
  <c r="G239" i="6"/>
  <c r="H239" i="6" s="1"/>
  <c r="E288" i="6"/>
  <c r="C228" i="6"/>
  <c r="D228" i="6" s="1"/>
  <c r="E240" i="6"/>
  <c r="C210" i="6"/>
  <c r="D210" i="6" s="1"/>
  <c r="I181" i="6"/>
  <c r="G169" i="6"/>
  <c r="H169" i="6" s="1"/>
  <c r="I164" i="6"/>
  <c r="G152" i="6"/>
  <c r="H152" i="6" s="1"/>
  <c r="E74" i="6"/>
  <c r="C62" i="6"/>
  <c r="D62" i="6" s="1"/>
  <c r="I71" i="6"/>
  <c r="G59" i="6"/>
  <c r="H59" i="6" s="1"/>
  <c r="E24" i="6"/>
  <c r="E12" i="6"/>
  <c r="C12" i="6"/>
  <c r="D24" i="6"/>
  <c r="D12" i="6"/>
  <c r="G130" i="6"/>
  <c r="H130" i="6" s="1"/>
  <c r="E273" i="6"/>
  <c r="C98" i="6"/>
  <c r="D98" i="6" s="1"/>
  <c r="E110" i="6"/>
  <c r="G46" i="6"/>
  <c r="H46" i="6" s="1"/>
  <c r="I58" i="6"/>
  <c r="I91" i="6"/>
  <c r="G79" i="6"/>
  <c r="H79" i="6" s="1"/>
  <c r="I55" i="6"/>
  <c r="G43" i="6"/>
  <c r="H43" i="6" s="1"/>
  <c r="C134" i="6"/>
  <c r="D134" i="6" s="1"/>
  <c r="I101" i="6"/>
  <c r="G89" i="6"/>
  <c r="H89" i="6" s="1"/>
  <c r="I45" i="6"/>
  <c r="G33" i="6"/>
  <c r="H33" i="6" s="1"/>
  <c r="G124" i="6"/>
  <c r="H124" i="6" s="1"/>
  <c r="E821" i="6"/>
  <c r="C809" i="6"/>
  <c r="D809" i="6" s="1"/>
  <c r="C770" i="6"/>
  <c r="D770" i="6" s="1"/>
  <c r="I460" i="6"/>
  <c r="G448" i="6"/>
  <c r="H448" i="6" s="1"/>
  <c r="I180" i="6"/>
  <c r="G168" i="6"/>
  <c r="H168" i="6" s="1"/>
  <c r="E817" i="6"/>
  <c r="C805" i="6"/>
  <c r="D805" i="6" s="1"/>
  <c r="C806" i="6"/>
  <c r="D806" i="6" s="1"/>
  <c r="C835" i="6"/>
  <c r="D835" i="6" s="1"/>
  <c r="G594" i="6"/>
  <c r="H594" i="6" s="1"/>
  <c r="E476" i="6"/>
  <c r="C464" i="6"/>
  <c r="D464" i="6" s="1"/>
  <c r="E849" i="6"/>
  <c r="C837" i="6"/>
  <c r="D837" i="6" s="1"/>
  <c r="E841" i="6"/>
  <c r="C829" i="6"/>
  <c r="D829" i="6" s="1"/>
  <c r="E837" i="6"/>
  <c r="C825" i="6"/>
  <c r="D825" i="6" s="1"/>
  <c r="C826" i="6"/>
  <c r="D826" i="6" s="1"/>
  <c r="E789" i="6"/>
  <c r="C777" i="6"/>
  <c r="D777" i="6" s="1"/>
  <c r="G744" i="6"/>
  <c r="H744" i="6" s="1"/>
  <c r="E748" i="6"/>
  <c r="C736" i="6"/>
  <c r="D736" i="6" s="1"/>
  <c r="G770" i="6"/>
  <c r="H770" i="6" s="1"/>
  <c r="E744" i="6"/>
  <c r="C732" i="6"/>
  <c r="D732" i="6" s="1"/>
  <c r="G695" i="6"/>
  <c r="H695" i="6" s="1"/>
  <c r="I707" i="6"/>
  <c r="G649" i="6"/>
  <c r="H649" i="6" s="1"/>
  <c r="I661" i="6"/>
  <c r="E614" i="6"/>
  <c r="C602" i="6"/>
  <c r="D602" i="6" s="1"/>
  <c r="C603" i="6"/>
  <c r="D603" i="6" s="1"/>
  <c r="C548" i="6"/>
  <c r="D548" i="6" s="1"/>
  <c r="E560" i="6"/>
  <c r="C549" i="6"/>
  <c r="D549" i="6" s="1"/>
  <c r="I517" i="6"/>
  <c r="G505" i="6"/>
  <c r="H505" i="6" s="1"/>
  <c r="E504" i="6"/>
  <c r="C504" i="6"/>
  <c r="D504" i="6" s="1"/>
  <c r="E516" i="6"/>
  <c r="G601" i="6"/>
  <c r="H601" i="6" s="1"/>
  <c r="I613" i="6"/>
  <c r="I489" i="6"/>
  <c r="C613" i="6"/>
  <c r="D613" i="6" s="1"/>
  <c r="E557" i="6"/>
  <c r="E545" i="6"/>
  <c r="C545" i="6"/>
  <c r="D545" i="6" s="1"/>
  <c r="G536" i="6"/>
  <c r="H536" i="6" s="1"/>
  <c r="I548" i="6"/>
  <c r="C639" i="6"/>
  <c r="D639" i="6" s="1"/>
  <c r="C480" i="6"/>
  <c r="D480" i="6" s="1"/>
  <c r="E492" i="6"/>
  <c r="I650" i="6"/>
  <c r="G638" i="6"/>
  <c r="H638" i="6" s="1"/>
  <c r="E529" i="6"/>
  <c r="C517" i="6"/>
  <c r="D517" i="6" s="1"/>
  <c r="E517" i="6"/>
  <c r="G629" i="6"/>
  <c r="H629" i="6" s="1"/>
  <c r="G553" i="6"/>
  <c r="H553" i="6" s="1"/>
  <c r="I565" i="6"/>
  <c r="E502" i="6"/>
  <c r="C490" i="6"/>
  <c r="D490" i="6" s="1"/>
  <c r="G441" i="6"/>
  <c r="H441" i="6" s="1"/>
  <c r="I453" i="6"/>
  <c r="C457" i="6"/>
  <c r="D457" i="6" s="1"/>
  <c r="E469" i="6"/>
  <c r="E577" i="6"/>
  <c r="C565" i="6"/>
  <c r="D565" i="6" s="1"/>
  <c r="C661" i="6"/>
  <c r="D661" i="6" s="1"/>
  <c r="E673" i="6"/>
  <c r="I329" i="6"/>
  <c r="E409" i="6"/>
  <c r="C397" i="6"/>
  <c r="D397" i="6" s="1"/>
  <c r="E438" i="6"/>
  <c r="E305" i="6"/>
  <c r="C293" i="6"/>
  <c r="D293" i="6" s="1"/>
  <c r="C294" i="6"/>
  <c r="D294" i="6" s="1"/>
  <c r="C393" i="6"/>
  <c r="D393" i="6" s="1"/>
  <c r="E405" i="6"/>
  <c r="E366" i="6"/>
  <c r="C354" i="6"/>
  <c r="D354" i="6" s="1"/>
  <c r="I424" i="6"/>
  <c r="G412" i="6"/>
  <c r="H412" i="6" s="1"/>
  <c r="G345" i="6"/>
  <c r="H345" i="6" s="1"/>
  <c r="I357" i="6"/>
  <c r="I318" i="6"/>
  <c r="G306" i="6"/>
  <c r="H306" i="6" s="1"/>
  <c r="C374" i="6"/>
  <c r="D374" i="6" s="1"/>
  <c r="C297" i="6"/>
  <c r="D297" i="6" s="1"/>
  <c r="E309" i="6"/>
  <c r="E252" i="6"/>
  <c r="I140" i="6"/>
  <c r="G128" i="6"/>
  <c r="H128" i="6" s="1"/>
  <c r="I128" i="6"/>
  <c r="E141" i="6"/>
  <c r="C129" i="6"/>
  <c r="D129" i="6" s="1"/>
  <c r="E164" i="6"/>
  <c r="C152" i="6"/>
  <c r="D152" i="6" s="1"/>
  <c r="G50" i="6"/>
  <c r="H50" i="6" s="1"/>
  <c r="I62" i="6"/>
  <c r="E64" i="6"/>
  <c r="C52" i="6"/>
  <c r="D22" i="6"/>
  <c r="C10" i="6"/>
  <c r="E22" i="6"/>
  <c r="D10" i="6"/>
  <c r="E10" i="6"/>
  <c r="G94" i="6"/>
  <c r="H94" i="6" s="1"/>
  <c r="G95" i="6"/>
  <c r="H95" i="6" s="1"/>
  <c r="I106" i="6"/>
  <c r="I148" i="6"/>
  <c r="G136" i="6"/>
  <c r="H136" i="6" s="1"/>
  <c r="C99" i="6"/>
  <c r="D99" i="6" s="1"/>
  <c r="G54" i="6"/>
  <c r="H54" i="6" s="1"/>
  <c r="I66" i="6"/>
  <c r="G18" i="6"/>
  <c r="H18" i="6" s="1"/>
  <c r="I30" i="6"/>
  <c r="E193" i="6"/>
  <c r="C39" i="6"/>
  <c r="C237" i="6"/>
  <c r="D237" i="6" s="1"/>
  <c r="G90" i="6"/>
  <c r="H90" i="6" s="1"/>
  <c r="I102" i="6"/>
  <c r="D58" i="6"/>
  <c r="E58" i="6"/>
  <c r="C46" i="6"/>
  <c r="C77" i="6"/>
  <c r="D77" i="6" s="1"/>
  <c r="C41" i="6"/>
  <c r="I18" i="6"/>
  <c r="I6" i="6"/>
  <c r="G6" i="6"/>
  <c r="H6" i="6" s="1"/>
  <c r="G137" i="6"/>
  <c r="H137" i="6" s="1"/>
  <c r="C87" i="6"/>
  <c r="D87" i="6" s="1"/>
  <c r="G24" i="6"/>
  <c r="H24" i="6" s="1"/>
  <c r="I26" i="6"/>
  <c r="I89" i="6"/>
  <c r="I168" i="6"/>
  <c r="I87" i="6"/>
  <c r="G75" i="6"/>
  <c r="H75" i="6" s="1"/>
  <c r="I39" i="6"/>
  <c r="G27" i="6"/>
  <c r="H27" i="6" s="1"/>
  <c r="C306" i="6"/>
  <c r="D306" i="6" s="1"/>
  <c r="C31" i="6"/>
  <c r="E102" i="6"/>
  <c r="C90" i="6"/>
  <c r="D90" i="6" s="1"/>
  <c r="C55" i="6"/>
  <c r="E177" i="6"/>
  <c r="C165" i="6"/>
  <c r="D165" i="6" s="1"/>
  <c r="I33" i="6"/>
  <c r="G21" i="6"/>
  <c r="H21" i="6" s="1"/>
  <c r="G735" i="6"/>
  <c r="H735" i="6" s="1"/>
  <c r="I747" i="6"/>
  <c r="C649" i="6"/>
  <c r="D649" i="6" s="1"/>
  <c r="E649" i="6"/>
  <c r="E661" i="6"/>
  <c r="I516" i="6"/>
  <c r="G504" i="6"/>
  <c r="H504" i="6" s="1"/>
  <c r="I504" i="6"/>
  <c r="I511" i="6"/>
  <c r="G499" i="6"/>
  <c r="H499" i="6" s="1"/>
  <c r="E521" i="6"/>
  <c r="C509" i="6"/>
  <c r="D509" i="6" s="1"/>
  <c r="E565" i="6"/>
  <c r="C553" i="6"/>
  <c r="D553" i="6" s="1"/>
  <c r="G490" i="6"/>
  <c r="H490" i="6" s="1"/>
  <c r="G491" i="6"/>
  <c r="H491" i="6" s="1"/>
  <c r="I502" i="6"/>
  <c r="C244" i="6"/>
  <c r="D244" i="6" s="1"/>
  <c r="E256" i="6"/>
  <c r="E244" i="6"/>
  <c r="G297" i="6"/>
  <c r="H297" i="6" s="1"/>
  <c r="I309" i="6"/>
  <c r="I220" i="6"/>
  <c r="I208" i="6"/>
  <c r="G208" i="6"/>
  <c r="H208" i="6" s="1"/>
  <c r="E157" i="6"/>
  <c r="C145" i="6"/>
  <c r="D145" i="6" s="1"/>
  <c r="I19" i="6"/>
  <c r="I7" i="6"/>
  <c r="G7" i="6"/>
  <c r="H7" i="6" s="1"/>
  <c r="E108" i="6"/>
  <c r="C96" i="6"/>
  <c r="D96" i="6" s="1"/>
  <c r="D30" i="6"/>
  <c r="E30" i="6"/>
  <c r="E18" i="6"/>
  <c r="C18" i="6"/>
  <c r="E829" i="6"/>
  <c r="C817" i="6"/>
  <c r="D817" i="6" s="1"/>
  <c r="G800" i="6"/>
  <c r="H800" i="6" s="1"/>
  <c r="I812" i="6"/>
  <c r="G801" i="6"/>
  <c r="H801" i="6" s="1"/>
  <c r="E785" i="6"/>
  <c r="C773" i="6"/>
  <c r="D773" i="6" s="1"/>
  <c r="G857" i="6"/>
  <c r="H857" i="6" s="1"/>
  <c r="C760" i="6"/>
  <c r="D760" i="6" s="1"/>
  <c r="I832" i="6"/>
  <c r="I800" i="6"/>
  <c r="I816" i="6"/>
  <c r="G804" i="6"/>
  <c r="H804" i="6" s="1"/>
  <c r="C810" i="6"/>
  <c r="D810" i="6" s="1"/>
  <c r="G688" i="6"/>
  <c r="H688" i="6" s="1"/>
  <c r="G844" i="6"/>
  <c r="H844" i="6" s="1"/>
  <c r="I856" i="6"/>
  <c r="G712" i="6"/>
  <c r="H712" i="6" s="1"/>
  <c r="I712" i="6"/>
  <c r="I724" i="6"/>
  <c r="C724" i="6"/>
  <c r="D724" i="6" s="1"/>
  <c r="E736" i="6"/>
  <c r="G637" i="6"/>
  <c r="H637" i="6" s="1"/>
  <c r="I649" i="6"/>
  <c r="G602" i="6"/>
  <c r="H602" i="6" s="1"/>
  <c r="C858" i="6"/>
  <c r="D858" i="6" s="1"/>
  <c r="I485" i="6"/>
  <c r="G473" i="6"/>
  <c r="H473" i="6" s="1"/>
  <c r="I607" i="6"/>
  <c r="G595" i="6"/>
  <c r="H595" i="6" s="1"/>
  <c r="G596" i="6"/>
  <c r="H596" i="6" s="1"/>
  <c r="I558" i="6"/>
  <c r="I546" i="6"/>
  <c r="G546" i="6"/>
  <c r="H546" i="6" s="1"/>
  <c r="I505" i="6"/>
  <c r="E643" i="6"/>
  <c r="E547" i="6"/>
  <c r="C535" i="6"/>
  <c r="D535" i="6" s="1"/>
  <c r="E493" i="6"/>
  <c r="I521" i="6"/>
  <c r="G509" i="6"/>
  <c r="H509" i="6" s="1"/>
  <c r="E441" i="6"/>
  <c r="I465" i="6"/>
  <c r="C288" i="6"/>
  <c r="D288" i="6" s="1"/>
  <c r="E300" i="6"/>
  <c r="E253" i="6"/>
  <c r="C241" i="6"/>
  <c r="D241" i="6" s="1"/>
  <c r="C242" i="6"/>
  <c r="D242" i="6" s="1"/>
  <c r="I490" i="6"/>
  <c r="E433" i="6"/>
  <c r="E421" i="6"/>
  <c r="C409" i="6"/>
  <c r="D409" i="6" s="1"/>
  <c r="I298" i="6"/>
  <c r="G286" i="6"/>
  <c r="H286" i="6" s="1"/>
  <c r="G298" i="6"/>
  <c r="H298" i="6" s="1"/>
  <c r="C217" i="6"/>
  <c r="D217" i="6" s="1"/>
  <c r="E294" i="6"/>
  <c r="C282" i="6"/>
  <c r="D282" i="6" s="1"/>
  <c r="C283" i="6"/>
  <c r="D283" i="6" s="1"/>
  <c r="G285" i="6"/>
  <c r="H285" i="6" s="1"/>
  <c r="I297" i="6"/>
  <c r="I124" i="6"/>
  <c r="G112" i="6"/>
  <c r="H112" i="6" s="1"/>
  <c r="G294" i="6"/>
  <c r="H294" i="6" s="1"/>
  <c r="E236" i="6"/>
  <c r="G145" i="6"/>
  <c r="H145" i="6" s="1"/>
  <c r="I157" i="6"/>
  <c r="E293" i="6"/>
  <c r="E185" i="6"/>
  <c r="C173" i="6"/>
  <c r="D173" i="6" s="1"/>
  <c r="E183" i="6"/>
  <c r="C171" i="6"/>
  <c r="D171" i="6" s="1"/>
  <c r="G38" i="6"/>
  <c r="H38" i="6" s="1"/>
  <c r="I50" i="6"/>
  <c r="I59" i="6"/>
  <c r="G47" i="6"/>
  <c r="H47" i="6" s="1"/>
  <c r="G86" i="6"/>
  <c r="H86" i="6" s="1"/>
  <c r="I98" i="6"/>
  <c r="G87" i="6"/>
  <c r="H87" i="6" s="1"/>
  <c r="E135" i="6"/>
  <c r="C123" i="6"/>
  <c r="D123" i="6" s="1"/>
  <c r="I132" i="6"/>
  <c r="G120" i="6"/>
  <c r="H120" i="6" s="1"/>
  <c r="G121" i="6"/>
  <c r="H121" i="6" s="1"/>
  <c r="C146" i="6"/>
  <c r="D146" i="6" s="1"/>
  <c r="C27" i="6"/>
  <c r="E245" i="6"/>
  <c r="G165" i="6"/>
  <c r="H165" i="6" s="1"/>
  <c r="I177" i="6"/>
  <c r="G166" i="6"/>
  <c r="H166" i="6" s="1"/>
  <c r="E96" i="6"/>
  <c r="C84" i="6"/>
  <c r="D84" i="6" s="1"/>
  <c r="G99" i="6"/>
  <c r="H99" i="6" s="1"/>
  <c r="C89" i="6"/>
  <c r="D89" i="6" s="1"/>
  <c r="C130" i="6"/>
  <c r="D130"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<sst xmlns="http://schemas.openxmlformats.org/spreadsheetml/2006/main" count="792" uniqueCount="563">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</sst>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pt idx="144">
                  <c:v>4.8402710551790899E-2</c:v>
                </c:pt>
                <c:pt idx="145">
                  <c:v>5.7059961315280378E-2</c:v>
                </c:pt>
                <c:pt idx="146">
                  <c:v>6.4609450337512087E-2</c:v>
                </c:pt>
                <c:pt idx="147">
                  <c:v>5.9558117195004832E-2</c:v>
                </c:pt>
                <c:pt idx="148">
                  <c:v>6.8203650336215269E-2</c:v>
                </c:pt>
                <c:pt idx="149">
                  <c:v>7.9654510556621858E-2</c:v>
                </c:pt>
                <c:pt idx="150">
                  <c:v>7.9274116523400162E-2</c:v>
                </c:pt>
                <c:pt idx="151">
                  <c:v>8.3729781160799349E-2</c:v>
                </c:pt>
                <c:pt idx="152">
                  <c:v>8.8655862726406062E-2</c:v>
                </c:pt>
                <c:pt idx="153">
                  <c:v>0.11837121212121213</c:v>
                </c:pt>
                <c:pt idx="154">
                  <c:v>0.11770244821092278</c:v>
                </c:pt>
                <c:pt idx="155">
                  <c:v>0.11632270168855541</c:v>
                </c:pt>
              </c:numCache>
            </c:numRef>
          </c:val>
          <c:extLst>
            <c:ext xmlns:c16="http://schemas.microsoft.com/office/drawing/2014/chart" uri="{C3380CC4-5D6E-409C-BE32-E72D297353CC}">
              <c16:uniqueId val="{00000000-14A3-4E5F-8867-5145E4FD9977}"/>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Country!$I$707:$I$950</c:f>
              <c:numCache>
                <c:formatCode>0.00%</c:formatCode>
                <c:ptCount val="244"/>
                <c:pt idx="0">
                  <c:v>1.5879345942332739E-2</c:v>
                </c:pt>
                <c:pt idx="1">
                  <c:v>1.4643302413344272E-2</c:v>
                </c:pt>
                <c:pt idx="2">
                  <c:v>1.5922949617188664E-2</c:v>
                </c:pt>
                <c:pt idx="3">
                  <c:v>1.6026079935344547E-2</c:v>
                </c:pt>
                <c:pt idx="4">
                  <c:v>1.3732541287143981E-2</c:v>
                </c:pt>
                <c:pt idx="5">
                  <c:v>1.5063942711973102E-2</c:v>
                </c:pt>
                <c:pt idx="6">
                  <c:v>1.7104509742074593E-2</c:v>
                </c:pt>
                <c:pt idx="7">
                  <c:v>1.6650406595093585E-2</c:v>
                </c:pt>
                <c:pt idx="8">
                  <c:v>1.5737976492850352E-2</c:v>
                </c:pt>
                <c:pt idx="9">
                  <c:v>1.592052766186566E-2</c:v>
                </c:pt>
                <c:pt idx="10">
                  <c:v>1.6359512471001151E-2</c:v>
                </c:pt>
                <c:pt idx="11">
                  <c:v>1.5716862367412997E-2</c:v>
                </c:pt>
                <c:pt idx="12">
                  <c:v>1.5907944931542337E-2</c:v>
                </c:pt>
                <c:pt idx="13">
                  <c:v>1.7342184756049248E-2</c:v>
                </c:pt>
                <c:pt idx="14">
                  <c:v>1.7541701528346776E-2</c:v>
                </c:pt>
                <c:pt idx="15">
                  <c:v>1.8720310819587308E-2</c:v>
                </c:pt>
                <c:pt idx="16">
                  <c:v>1.8469103139506275E-2</c:v>
                </c:pt>
                <c:pt idx="17">
                  <c:v>2.0181199515532561E-2</c:v>
                </c:pt>
                <c:pt idx="18">
                  <c:v>1.9426868185887205E-2</c:v>
                </c:pt>
                <c:pt idx="19">
                  <c:v>1.9634742701700264E-2</c:v>
                </c:pt>
                <c:pt idx="20">
                  <c:v>2.2353166647260874E-2</c:v>
                </c:pt>
                <c:pt idx="21">
                  <c:v>2.4881249833052257E-2</c:v>
                </c:pt>
                <c:pt idx="22">
                  <c:v>2.2218615114735205E-2</c:v>
                </c:pt>
                <c:pt idx="23">
                  <c:v>2.2833283189793711E-2</c:v>
                </c:pt>
                <c:pt idx="24">
                  <c:v>2.0060536738790845E-2</c:v>
                </c:pt>
                <c:pt idx="25">
                  <c:v>2.0079288631903534E-2</c:v>
                </c:pt>
                <c:pt idx="26">
                  <c:v>2.1696104292642165E-2</c:v>
                </c:pt>
                <c:pt idx="27">
                  <c:v>2.1060178207954198E-2</c:v>
                </c:pt>
                <c:pt idx="28">
                  <c:v>2.1058295249925443E-2</c:v>
                </c:pt>
                <c:pt idx="29">
                  <c:v>2.1896136446455064E-2</c:v>
                </c:pt>
                <c:pt idx="30">
                  <c:v>2.2130600494482257E-2</c:v>
                </c:pt>
                <c:pt idx="31">
                  <c:v>2.1549066398218533E-2</c:v>
                </c:pt>
                <c:pt idx="32">
                  <c:v>1.8209168199909403E-2</c:v>
                </c:pt>
                <c:pt idx="33">
                  <c:v>1.29748974642626E-2</c:v>
                </c:pt>
                <c:pt idx="34">
                  <c:v>1.4718538070155666E-2</c:v>
                </c:pt>
                <c:pt idx="35">
                  <c:v>1.4000181887727706E-2</c:v>
                </c:pt>
                <c:pt idx="36">
                  <c:v>1.6019832637769522E-2</c:v>
                </c:pt>
                <c:pt idx="37">
                  <c:v>1.4150516173377306E-2</c:v>
                </c:pt>
                <c:pt idx="38">
                  <c:v>1.2230318808222803E-2</c:v>
                </c:pt>
                <c:pt idx="39">
                  <c:v>1.0687770337433641E-2</c:v>
                </c:pt>
                <c:pt idx="40">
                  <c:v>1.1624346312669884E-2</c:v>
                </c:pt>
                <c:pt idx="41">
                  <c:v>1.0954249411977542E-2</c:v>
                </c:pt>
                <c:pt idx="42">
                  <c:v>9.7551490918596356E-3</c:v>
                </c:pt>
                <c:pt idx="43">
                  <c:v>1.1920701622969742E-2</c:v>
                </c:pt>
                <c:pt idx="44">
                  <c:v>1.1826553676698536E-2</c:v>
                </c:pt>
                <c:pt idx="45">
                  <c:v>1.1655685422791778E-2</c:v>
                </c:pt>
                <c:pt idx="46">
                  <c:v>1.0126437532838307E-2</c:v>
                </c:pt>
                <c:pt idx="47">
                  <c:v>8.0487773272279045E-3</c:v>
                </c:pt>
                <c:pt idx="48">
                  <c:v>8.7923724924463161E-3</c:v>
                </c:pt>
                <c:pt idx="49">
                  <c:v>8.4018372468740946E-3</c:v>
                </c:pt>
                <c:pt idx="50">
                  <c:v>8.4630619281956393E-3</c:v>
                </c:pt>
                <c:pt idx="51">
                  <c:v>1.0030872499844216E-2</c:v>
                </c:pt>
                <c:pt idx="52">
                  <c:v>7.836886929148669E-3</c:v>
                </c:pt>
                <c:pt idx="53">
                  <c:v>6.5900362821426171E-3</c:v>
                </c:pt>
                <c:pt idx="54">
                  <c:v>6.0303792902788953E-3</c:v>
                </c:pt>
                <c:pt idx="55">
                  <c:v>4.0413244894719116E-3</c:v>
                </c:pt>
                <c:pt idx="56">
                  <c:v>3.0547141402420559E-3</c:v>
                </c:pt>
                <c:pt idx="57">
                  <c:v>3.8541908989663705E-3</c:v>
                </c:pt>
                <c:pt idx="58">
                  <c:v>4.7360857861939495E-3</c:v>
                </c:pt>
                <c:pt idx="59">
                  <c:v>6.4367616910246386E-3</c:v>
                </c:pt>
                <c:pt idx="60">
                  <c:v>3.3354266098987728E-3</c:v>
                </c:pt>
                <c:pt idx="61">
                  <c:v>6.7860189932100919E-3</c:v>
                </c:pt>
                <c:pt idx="62">
                  <c:v>3.9241405463350696E-3</c:v>
                </c:pt>
                <c:pt idx="63">
                  <c:v>4.2935367307835419E-3</c:v>
                </c:pt>
                <c:pt idx="64">
                  <c:v>5.8647732337337426E-3</c:v>
                </c:pt>
                <c:pt idx="65">
                  <c:v>7.1706114431146547E-3</c:v>
                </c:pt>
                <c:pt idx="66">
                  <c:v>7.240111028083732E-3</c:v>
                </c:pt>
                <c:pt idx="67">
                  <c:v>8.2727573372878872E-3</c:v>
                </c:pt>
                <c:pt idx="68">
                  <c:v>8.6881603829459027E-3</c:v>
                </c:pt>
                <c:pt idx="69">
                  <c:v>9.1816077495237985E-3</c:v>
                </c:pt>
                <c:pt idx="70">
                  <c:v>6.2605929619901704E-3</c:v>
                </c:pt>
                <c:pt idx="71">
                  <c:v>5.3636222286543821E-3</c:v>
                </c:pt>
                <c:pt idx="72">
                  <c:v>7.6209710002497454E-3</c:v>
                </c:pt>
                <c:pt idx="73">
                  <c:v>3.0715959616165176E-3</c:v>
                </c:pt>
                <c:pt idx="74">
                  <c:v>6.560191056784433E-3</c:v>
                </c:pt>
                <c:pt idx="75">
                  <c:v>3.5057445556788132E-3</c:v>
                </c:pt>
                <c:pt idx="76">
                  <c:v>5.9188354053427679E-3</c:v>
                </c:pt>
                <c:pt idx="77">
                  <c:v>3.5741062987134625E-3</c:v>
                </c:pt>
                <c:pt idx="78">
                  <c:v>6.0097375485531962E-3</c:v>
                </c:pt>
                <c:pt idx="79">
                  <c:v>4.7279165409593801E-3</c:v>
                </c:pt>
                <c:pt idx="80">
                  <c:v>4.9924236382486459E-3</c:v>
                </c:pt>
                <c:pt idx="81">
                  <c:v>2.1538262294592088E-3</c:v>
                </c:pt>
                <c:pt idx="82">
                  <c:v>4.6214390907948211E-3</c:v>
                </c:pt>
                <c:pt idx="83">
                  <c:v>7.033014302613088E-3</c:v>
                </c:pt>
                <c:pt idx="84">
                  <c:v>5.2966716063603172E-3</c:v>
                </c:pt>
                <c:pt idx="85">
                  <c:v>7.7296575038224603E-3</c:v>
                </c:pt>
                <c:pt idx="86">
                  <c:v>7.3777013718130885E-3</c:v>
                </c:pt>
                <c:pt idx="87">
                  <c:v>1.2380260987668481E-2</c:v>
                </c:pt>
                <c:pt idx="88">
                  <c:v>7.4159402427414079E-3</c:v>
                </c:pt>
                <c:pt idx="89">
                  <c:v>8.7054790500471942E-3</c:v>
                </c:pt>
                <c:pt idx="90">
                  <c:v>8.6512165092231391E-3</c:v>
                </c:pt>
                <c:pt idx="91">
                  <c:v>9.0636470313988533E-3</c:v>
                </c:pt>
                <c:pt idx="92">
                  <c:v>7.6825561833418305E-3</c:v>
                </c:pt>
                <c:pt idx="93">
                  <c:v>4.1433182531659821E-3</c:v>
                </c:pt>
                <c:pt idx="94">
                  <c:v>2.8680716928202602E-3</c:v>
                </c:pt>
                <c:pt idx="95">
                  <c:v>4.1026231954169497E-3</c:v>
                </c:pt>
                <c:pt idx="96">
                  <c:v>3.9388914805557097E-3</c:v>
                </c:pt>
                <c:pt idx="97">
                  <c:v>4.09590965355143E-3</c:v>
                </c:pt>
                <c:pt idx="98">
                  <c:v>5.8985765918080496E-3</c:v>
                </c:pt>
                <c:pt idx="99">
                  <c:v>3.1421729849954111E-3</c:v>
                </c:pt>
                <c:pt idx="100">
                  <c:v>6.6464439401929176E-3</c:v>
                </c:pt>
                <c:pt idx="101">
                  <c:v>7.1806150022682676E-3</c:v>
                </c:pt>
                <c:pt idx="102">
                  <c:v>5.4973814277283865E-3</c:v>
                </c:pt>
                <c:pt idx="103">
                  <c:v>7.5628541111149973E-3</c:v>
                </c:pt>
                <c:pt idx="104">
                  <c:v>6.5244376019443799E-3</c:v>
                </c:pt>
                <c:pt idx="105">
                  <c:v>7.8039846553643599E-3</c:v>
                </c:pt>
                <c:pt idx="106">
                  <c:v>8.3499835982463952E-3</c:v>
                </c:pt>
                <c:pt idx="107">
                  <c:v>5.0672584074246624E-3</c:v>
                </c:pt>
                <c:pt idx="108">
                  <c:v>5.8167933032074754E-3</c:v>
                </c:pt>
                <c:pt idx="109">
                  <c:v>4.4343879762984827E-3</c:v>
                </c:pt>
                <c:pt idx="110">
                  <c:v>4.3211439504476697E-3</c:v>
                </c:pt>
                <c:pt idx="111">
                  <c:v>7.5578523798348635E-3</c:v>
                </c:pt>
                <c:pt idx="112">
                  <c:v>4.226776516425907E-3</c:v>
                </c:pt>
                <c:pt idx="113">
                  <c:v>5.1926001286645741E-3</c:v>
                </c:pt>
                <c:pt idx="114">
                  <c:v>5.4194692650948607E-3</c:v>
                </c:pt>
                <c:pt idx="115">
                  <c:v>5.3201308075989922E-3</c:v>
                </c:pt>
                <c:pt idx="116">
                  <c:v>5.5550067921693747E-3</c:v>
                </c:pt>
                <c:pt idx="117">
                  <c:v>6.7052518251330823E-3</c:v>
                </c:pt>
                <c:pt idx="118">
                  <c:v>6.6956496022240828E-3</c:v>
                </c:pt>
                <c:pt idx="119">
                  <c:v>7.4670866451755913E-3</c:v>
                </c:pt>
                <c:pt idx="120">
                  <c:v>7.7611087579664232E-3</c:v>
                </c:pt>
                <c:pt idx="121">
                  <c:v>7.2486823040152012E-3</c:v>
                </c:pt>
                <c:pt idx="122">
                  <c:v>5.7210404210340949E-3</c:v>
                </c:pt>
                <c:pt idx="123">
                  <c:v>5.3425175517587669E-3</c:v>
                </c:pt>
                <c:pt idx="124">
                  <c:v>6.9225073796449514E-3</c:v>
                </c:pt>
                <c:pt idx="125">
                  <c:v>6.4243437330745497E-3</c:v>
                </c:pt>
                <c:pt idx="126">
                  <c:v>3.5358686677352405E-3</c:v>
                </c:pt>
                <c:pt idx="127">
                  <c:v>2.7358630966760893E-3</c:v>
                </c:pt>
                <c:pt idx="128">
                  <c:v>1.0387276170245577E-3</c:v>
                </c:pt>
                <c:pt idx="129">
                  <c:v>3.2746766793451372E-3</c:v>
                </c:pt>
                <c:pt idx="130">
                  <c:v>4.4272225714906991E-3</c:v>
                </c:pt>
                <c:pt idx="131">
                  <c:v>4.7210044640457844E-3</c:v>
                </c:pt>
                <c:pt idx="132">
                  <c:v>9.1616498984917697E-3</c:v>
                </c:pt>
                <c:pt idx="133">
                  <c:v>1.0408007995478124E-2</c:v>
                </c:pt>
                <c:pt idx="134">
                  <c:v>9.3803616174758693E-3</c:v>
                </c:pt>
                <c:pt idx="135">
                  <c:v>4.4203608022566022E-3</c:v>
                </c:pt>
                <c:pt idx="136">
                  <c:v>3.4903269052983781E-3</c:v>
                </c:pt>
                <c:pt idx="137">
                  <c:v>3.1060078845559554E-3</c:v>
                </c:pt>
                <c:pt idx="138">
                  <c:v>6.2705088617642582E-3</c:v>
                </c:pt>
                <c:pt idx="139">
                  <c:v>4.8342095498769815E-3</c:v>
                </c:pt>
                <c:pt idx="140">
                  <c:v>9.9247120959068524E-3</c:v>
                </c:pt>
                <c:pt idx="141">
                  <c:v>1.0189750921522207E-2</c:v>
                </c:pt>
                <c:pt idx="142">
                  <c:v>1.1872832584091076E-2</c:v>
                </c:pt>
                <c:pt idx="143">
                  <c:v>1.2653365657178532E-2</c:v>
                </c:pt>
                <c:pt idx="144">
                  <c:v>1.3420608615302327E-2</c:v>
                </c:pt>
                <c:pt idx="145">
                  <c:v>1.4115082833198293E-2</c:v>
                </c:pt>
                <c:pt idx="146">
                  <c:v>1.6185048181175211E-2</c:v>
                </c:pt>
                <c:pt idx="147">
                  <c:v>1.9658350624909549E-2</c:v>
                </c:pt>
                <c:pt idx="148">
                  <c:v>2.5425178863682708E-2</c:v>
                </c:pt>
                <c:pt idx="149">
                  <c:v>2.9963294891389929E-2</c:v>
                </c:pt>
                <c:pt idx="150">
                  <c:v>3.2472142274483196E-2</c:v>
                </c:pt>
                <c:pt idx="151">
                  <c:v>3.4813225515311887E-2</c:v>
                </c:pt>
                <c:pt idx="152">
                  <c:v>3.8833475714406727E-2</c:v>
                </c:pt>
                <c:pt idx="153">
                  <c:v>4.0634775149301985E-2</c:v>
                </c:pt>
                <c:pt idx="154">
                  <c:v>4.1408408093028065E-2</c:v>
                </c:pt>
                <c:pt idx="155">
                  <c:v>4.4694652640069971E-2</c:v>
                </c:pt>
              </c:numCache>
            </c:numRef>
          </c:val>
          <c:smooth val="0"/>
          <c:extLst>
            <c:ext xmlns:c16="http://schemas.microsoft.com/office/drawing/2014/chart" uri="{C3380CC4-5D6E-409C-BE32-E72D297353CC}">
              <c16:uniqueId val="{00000000-333C-43C1-9148-D8458DB6D83D}"/>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2" totalsRowShown="0" headerRowDxfId="11" dataDxfId="9" headerRowBorderDxfId="10">
  <autoFilter ref="A2:I862"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zoomScale="80" zoomScaleNormal="80" workbookViewId="0">
      <selection activeCell="T26" sqref="T26"/>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43" width="9.1796875" style="72" customWidth="1"/>
    <col min="44" max="16384" width="9.1796875" style="72"/>
  </cols>
  <sheetData>
    <row r="1" spans="2:16" x14ac:dyDescent="0.35">
      <c r="B1" s="80"/>
      <c r="C1" s="76"/>
      <c r="D1" s="76"/>
      <c r="E1" s="76"/>
      <c r="F1" s="76"/>
      <c r="G1" s="76"/>
      <c r="H1" s="76"/>
      <c r="I1" s="76"/>
      <c r="J1" s="76"/>
    </row>
    <row r="2" spans="2:16" ht="16" customHeight="1" thickBot="1" x14ac:dyDescent="0.4">
      <c r="B2" s="81"/>
      <c r="C2" s="81"/>
      <c r="D2" s="81"/>
      <c r="E2" s="81"/>
      <c r="F2" s="81"/>
      <c r="G2" s="81"/>
      <c r="H2" s="81"/>
      <c r="I2" s="81"/>
      <c r="J2" s="81"/>
    </row>
    <row r="3" spans="2:16" ht="16" customHeight="1" thickBot="1" x14ac:dyDescent="0.4">
      <c r="B3" s="82" t="s">
        <v>0</v>
      </c>
      <c r="C3" s="83"/>
      <c r="D3" s="83"/>
      <c r="E3" s="83"/>
      <c r="F3" s="83"/>
      <c r="G3" s="83"/>
      <c r="H3" s="83"/>
      <c r="I3" s="83"/>
      <c r="J3" s="84"/>
    </row>
    <row r="5" spans="2:16" x14ac:dyDescent="0.35">
      <c r="B5" s="85" t="s">
        <v>1</v>
      </c>
      <c r="C5" s="86"/>
      <c r="D5" s="86"/>
      <c r="E5" s="86"/>
      <c r="F5" s="86"/>
      <c r="G5" s="86"/>
      <c r="H5" s="86"/>
      <c r="I5" s="86"/>
      <c r="J5" s="87"/>
    </row>
    <row r="7" spans="2:16" ht="139.5" customHeight="1" x14ac:dyDescent="0.35">
      <c r="B7" s="88" t="s">
        <v>2</v>
      </c>
      <c r="C7" s="76"/>
      <c r="D7" s="76"/>
      <c r="E7" s="76"/>
      <c r="F7" s="76"/>
      <c r="G7" s="76"/>
      <c r="H7" s="76"/>
      <c r="I7" s="76"/>
      <c r="J7" s="76"/>
    </row>
    <row r="8" spans="2:16" ht="33.75" customHeight="1" x14ac:dyDescent="0.35">
      <c r="B8" s="89" t="s">
        <v>3</v>
      </c>
      <c r="C8" s="76"/>
      <c r="D8" s="76"/>
      <c r="E8" s="76"/>
      <c r="F8" s="76"/>
      <c r="G8" s="76"/>
      <c r="H8" s="76"/>
      <c r="I8" s="76"/>
      <c r="J8" s="76"/>
    </row>
    <row r="9" spans="2:16" x14ac:dyDescent="0.35">
      <c r="B9" s="66"/>
      <c r="C9" s="66"/>
      <c r="D9" s="66"/>
      <c r="E9" s="66"/>
    </row>
    <row r="10" spans="2:16" x14ac:dyDescent="0.35">
      <c r="B10" s="85" t="s">
        <v>4</v>
      </c>
      <c r="C10" s="86"/>
      <c r="D10" s="86"/>
      <c r="E10" s="86"/>
      <c r="F10" s="86"/>
      <c r="G10" s="86"/>
      <c r="H10" s="86"/>
      <c r="I10" s="86"/>
      <c r="J10" s="87"/>
    </row>
    <row r="12" spans="2:16" x14ac:dyDescent="0.35">
      <c r="B12" s="85" t="s">
        <v>5</v>
      </c>
      <c r="C12" s="86"/>
      <c r="D12" s="86"/>
      <c r="E12" s="86"/>
      <c r="F12" s="87"/>
      <c r="G12" s="85" t="s">
        <v>6</v>
      </c>
      <c r="H12" s="86"/>
      <c r="I12" s="86"/>
      <c r="J12" s="87"/>
      <c r="O12" s="73" t="s">
        <v>7</v>
      </c>
      <c r="P12" s="73" t="s">
        <v>8</v>
      </c>
    </row>
    <row r="13" spans="2:16" x14ac:dyDescent="0.35">
      <c r="O13" s="69" t="s">
        <v>9</v>
      </c>
      <c r="P13" s="69" t="s">
        <v>10</v>
      </c>
    </row>
    <row r="14" spans="2:16" x14ac:dyDescent="0.35">
      <c r="B14" s="74" t="s">
        <v>3</v>
      </c>
      <c r="G14" s="76" t="s">
        <v>11</v>
      </c>
      <c r="H14" s="76"/>
      <c r="I14" s="76"/>
      <c r="J14" s="76"/>
      <c r="O14" s="69" t="s">
        <v>12</v>
      </c>
      <c r="P14" s="69" t="s">
        <v>13</v>
      </c>
    </row>
    <row r="15" spans="2:16" x14ac:dyDescent="0.35">
      <c r="B15" s="72" t="s">
        <v>14</v>
      </c>
      <c r="G15" s="76" t="s">
        <v>15</v>
      </c>
      <c r="H15" s="76"/>
      <c r="I15" s="76"/>
      <c r="J15" s="76"/>
      <c r="O15" s="69" t="s">
        <v>16</v>
      </c>
      <c r="P15" s="69" t="s">
        <v>17</v>
      </c>
    </row>
    <row r="16" spans="2:16" ht="15.75" customHeight="1" x14ac:dyDescent="0.35">
      <c r="B16" s="72" t="s">
        <v>18</v>
      </c>
      <c r="G16" s="77" t="s">
        <v>19</v>
      </c>
      <c r="H16" s="76"/>
      <c r="I16" s="76"/>
      <c r="J16" s="76"/>
      <c r="O16" s="69" t="s">
        <v>20</v>
      </c>
      <c r="P16" s="69" t="s">
        <v>21</v>
      </c>
    </row>
    <row r="17" spans="2:16" ht="15.75" customHeight="1" x14ac:dyDescent="0.35">
      <c r="B17" s="72" t="s">
        <v>22</v>
      </c>
      <c r="G17" s="77"/>
      <c r="H17" s="76"/>
      <c r="I17" s="76"/>
      <c r="J17" s="76"/>
      <c r="O17" s="69" t="s">
        <v>23</v>
      </c>
      <c r="P17" s="69" t="s">
        <v>24</v>
      </c>
    </row>
    <row r="18" spans="2:16" ht="15.75" customHeight="1" x14ac:dyDescent="0.35">
      <c r="B18" s="72" t="s">
        <v>25</v>
      </c>
      <c r="G18" s="79"/>
      <c r="H18" s="76"/>
      <c r="I18" s="76"/>
      <c r="J18" s="76"/>
      <c r="O18" s="69" t="s">
        <v>26</v>
      </c>
      <c r="P18" s="69" t="s">
        <v>27</v>
      </c>
    </row>
    <row r="19" spans="2:16" ht="15.75" customHeight="1" x14ac:dyDescent="0.35">
      <c r="B19" s="72" t="s">
        <v>28</v>
      </c>
      <c r="G19" s="77"/>
      <c r="H19" s="76"/>
      <c r="I19" s="76"/>
      <c r="J19" s="76"/>
      <c r="O19" s="69" t="s">
        <v>29</v>
      </c>
      <c r="P19" s="69" t="s">
        <v>30</v>
      </c>
    </row>
    <row r="20" spans="2:16" ht="15.75" customHeight="1" x14ac:dyDescent="0.35">
      <c r="G20" s="77"/>
      <c r="H20" s="76"/>
      <c r="I20" s="76"/>
      <c r="J20" s="76"/>
      <c r="O20" s="69" t="s">
        <v>31</v>
      </c>
      <c r="P20" s="69" t="s">
        <v>32</v>
      </c>
    </row>
    <row r="21" spans="2:16" ht="15.75" customHeight="1" x14ac:dyDescent="0.35">
      <c r="B21" s="74" t="s">
        <v>3</v>
      </c>
      <c r="G21" s="77" t="s">
        <v>33</v>
      </c>
      <c r="H21" s="76"/>
      <c r="I21" s="76"/>
      <c r="J21" s="76"/>
      <c r="O21" s="69" t="s">
        <v>34</v>
      </c>
      <c r="P21" s="69" t="s">
        <v>35</v>
      </c>
    </row>
    <row r="22" spans="2:16" ht="15.75" customHeight="1" x14ac:dyDescent="0.35">
      <c r="B22" s="72" t="s">
        <v>36</v>
      </c>
      <c r="G22" s="77" t="s">
        <v>37</v>
      </c>
      <c r="H22" s="76"/>
      <c r="I22" s="76"/>
      <c r="J22" s="76"/>
      <c r="O22" s="69" t="s">
        <v>38</v>
      </c>
      <c r="P22" s="69" t="s">
        <v>39</v>
      </c>
    </row>
    <row r="23" spans="2:16" ht="15.75" customHeight="1" x14ac:dyDescent="0.35">
      <c r="B23" s="72" t="s">
        <v>18</v>
      </c>
      <c r="G23" s="77" t="s">
        <v>19</v>
      </c>
      <c r="H23" s="76"/>
      <c r="I23" s="76"/>
      <c r="J23" s="76"/>
      <c r="O23" s="69" t="s">
        <v>40</v>
      </c>
      <c r="P23" s="69" t="s">
        <v>41</v>
      </c>
    </row>
    <row r="24" spans="2:16" ht="15.75" customHeight="1" x14ac:dyDescent="0.35">
      <c r="B24" s="72" t="s">
        <v>22</v>
      </c>
      <c r="G24" s="77"/>
      <c r="H24" s="76"/>
      <c r="I24" s="76"/>
      <c r="J24" s="76"/>
      <c r="O24" s="69" t="s">
        <v>42</v>
      </c>
      <c r="P24" s="69" t="s">
        <v>43</v>
      </c>
    </row>
    <row r="25" spans="2:16" ht="15.75" customHeight="1" x14ac:dyDescent="0.35">
      <c r="B25" s="72" t="s">
        <v>25</v>
      </c>
      <c r="G25" s="77"/>
      <c r="H25" s="76"/>
      <c r="I25" s="76"/>
      <c r="J25" s="76"/>
      <c r="O25" s="69" t="s">
        <v>44</v>
      </c>
      <c r="P25" s="69" t="s">
        <v>45</v>
      </c>
    </row>
    <row r="26" spans="2:16" ht="15.75" customHeight="1" x14ac:dyDescent="0.35">
      <c r="B26" s="72" t="s">
        <v>46</v>
      </c>
      <c r="G26" s="77"/>
      <c r="H26" s="76"/>
      <c r="I26" s="76"/>
      <c r="J26" s="76"/>
      <c r="O26" s="69" t="s">
        <v>47</v>
      </c>
      <c r="P26" s="69" t="s">
        <v>48</v>
      </c>
    </row>
    <row r="27" spans="2:16" ht="15.75" customHeight="1" x14ac:dyDescent="0.35">
      <c r="B27" s="76"/>
      <c r="C27" s="76"/>
      <c r="D27" s="76"/>
      <c r="E27" s="76"/>
      <c r="F27" s="76"/>
      <c r="G27" s="77"/>
      <c r="H27" s="76"/>
      <c r="I27" s="76"/>
      <c r="J27" s="76"/>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78"/>
      <c r="C31" s="76"/>
      <c r="D31" s="76"/>
      <c r="E31" s="76"/>
      <c r="F31" s="76"/>
      <c r="G31" s="76"/>
      <c r="H31" s="76"/>
      <c r="I31" s="76"/>
      <c r="J31" s="76"/>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zoomScale="80" zoomScaleNormal="80" workbookViewId="0">
      <pane xSplit="1" ySplit="1" topLeftCell="B87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32" width="9.1796875" style="72" customWidth="1"/>
    <col min="33"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47.221719999999998</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47.500140000000002</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47.828629999999997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48.223210000000002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48.482979999999998</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48.598289999999999</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48.718440000000001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48.9176</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49.198950000000004</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49.421030000000002</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49.606470000000002</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49.834580000000003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50.165680000000002</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50.672319999999999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50.972850000000001</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51.292279999999998</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51.431319999999999</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51.567500000000003</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51.680439999999997</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51.923990000000003</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52.26014</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52.534770000000002</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52.675170000000001</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52.918170000000003</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53.345730000000003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53.719029999999997</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53.951149999999998</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54.239669999999997</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54.50065</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54.657089999999997</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54.912120000000002</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55.195979999999999</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56.133620000000001</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56.55321</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56.794559999999997</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57.08596</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57.287849999999999</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57.461739999999999</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57.717030000000001</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58.080199999999998</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58.207970000000003</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58.250639999999997</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58.41836</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58.641150000000003</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59.02167</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59.315530000000003</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59.443359999999998</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59.591999999999999</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59.84863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60.130139999999997</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60.423969999999997</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60.573439999999998</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60.705829999999999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60.929400000000001</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61.13935</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61.262909999999998</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61.636569999999999</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61.850340000000003</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62.021120000000003</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62.163879999999999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62.385170000000002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62.577959999999997</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62.863579999999999</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63.314790000000002</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63.661499999999997</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63.842889999999997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63.845219999999998</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63.966560000000001</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64.274870000000007</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64.419169999999994</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64.513570000000001</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64.615939999999995</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64.867919999999998</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65.072620000000001</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65.339650000000006</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65.654200000000003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65.782139999999998</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65.821309999999997</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65.906930000000003</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66.117649999999998</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66.348730000000003</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66.566850000000002</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66.770650000000003</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66.903800000000004</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67.187169999999995</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67.574680000000001</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67.936890000000005</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68.045559999999995</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68.035139999999998</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68.035749999999993</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68.055310000000006</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68.215909999999994</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68.493219999999994</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68.63158</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68.68535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68.811000000000007</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69.050399999999996</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69.267009999999999</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69.601730000000003</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69.846819999999994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70.130489999999995</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70.267979999999994</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70.29074</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70.473269999999999</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70.671480000000003</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71.012439999999998</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71.072590000000005</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71.074839999999995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71.201620000000005</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71.521469999999994</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71.897670000000005</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72.238529999999997</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72.279660000000007</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72.281450000000007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72.509150000000005</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72.734440000000006</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73.247749999999996</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73.619060000000005</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73.487269999999995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73.496750000000006</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73.812730000000002</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73.997060000000005</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74.235079999999996</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74.688370000000006</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74.972539999999995</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75.109250000000003</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75.235810000000001</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75.402659999999997</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75.422330000000002</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75.439639999999997</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75.469560000000001</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75.747730000000004</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75.873239999999996</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76.220209999999994</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76.586070000000007</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76.970659999999995</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77.278210000000001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77.448490000000007</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77.597430000000003</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77.767709999999994</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78.023089999999996</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78.37473</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78.766689999999997</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79.009990000000002</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79.340059999999994</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79.816119999999998</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80.393900000000002</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80.817530000000005</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81.35651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81.863910000000004</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82.260140000000007</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82.297460000000001</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82.447199999999995</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82.361630000000005</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81.780360000000002</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81.449740000000006</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81.621480000000005</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81.939639999999997</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82.183729999999997</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82.4422</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82.606859999999998</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82.944959999999995</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83.159030000000001</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83.436170000000004</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83.585369999999998</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83.761610000000005</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84.018910000000005</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84.204390000000004</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84.539869999999993</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84.757819999999995</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85.074780000000004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85.281869999999998</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85.430660000000003</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85.454899999999995</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85.642009999999999</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85.837670000000003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86.119669999999999</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86.469909999999999</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86.717179999999999</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87.141270000000006</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87.588040000000007</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87.925809999999998</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88.483279999999993</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88.90128</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89.162890000000004</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89.221130000000002</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89.392150000000001</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89.635130000000004</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90.015659999999997</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90.194029999999998</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90.289630000000002</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90.346980000000002</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90.64761</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90.972229999999996</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91.562160000000006</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91.965100000000007</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91.93141</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91.901750000000007</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92.021569999999997</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92.475520000000003</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92.899019999999993</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93.120859999999993</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93.065460000000002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93.260959999999997</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93.526989999999998</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94.129679999999993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94.418580000000006</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94.554109999999994</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94.667770000000004</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94.916340000000005</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95.177440000000004</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95.445689999999999</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95.76379</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95.914730000000006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95.984750000000005</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96.051469999999995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96.181179999999998</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96.555850000000007</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96.994919999999993</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97.406589999999994</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97.654629999999997</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97.846959999999996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98.022829999999999</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98.130960000000002</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98.366420000000005</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98.401439999999994</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98.296880000000002</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98.395570000000006</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98.306619999999995</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98.818600000000004</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99.314970000000002</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99.622749999999996</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99.952160000000006</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100.1974</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100.3301</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100.4511</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100.5941</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100.7855</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100.7801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100.8466</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100.8627</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101.1801</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101.5324</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101.8481</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102.1819</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102.4119</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102.5235</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102.5265</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102.7792</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103.0235</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102.9747</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103.13290000000001</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103.4725</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103.70659999999999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103.92440000000001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104.2794</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104.4088</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104.52330000000001</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104.6354</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104.88200000000001</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105.24979999999999</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105.4427</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105.5639</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105.70480000000001</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106.0686</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106.5219</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106.65730000000001</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106.97620000000001</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107.33159999999999</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107.6849</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108.18810000000001</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108.52809999999999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109.0526</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109.4678</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109.2604</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109.2379</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109.5197</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110.0124</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110.52760000000001</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111.1533</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111.4515</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111.5964</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111.87739999999999</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112.1799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112.5895</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113.126</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113.39230000000001</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113.699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114.04340000000001</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114.3503</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114.155</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113.9239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113.8681</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114.2831</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114.6816</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115.3685</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115.70820000000001</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115.7264</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116.05500000000001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116.5847</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117.1833</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117.75</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118.27200000000001</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118.8121</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119.3702</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114.1339</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119.9097</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114.65600000000001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120.2458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116.3018</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120.6938</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121.7602</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116.2353</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122.5046</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123.1845</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124.1442</v>
      </c>
      <c r="U878">
        <v>114.4406</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119.1401</v>
      </c>
      <c r="AN878">
        <v>122.75230000000001</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125.1491</v>
      </c>
      <c r="U879">
        <v>115.40779999999999</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120.2795</v>
      </c>
      <c r="AN879">
        <v>124.22629999999999</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127.0491</v>
      </c>
      <c r="U880">
        <v>116.9212</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122.1224</v>
      </c>
      <c r="AN880">
        <v>127.006</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128.3372</v>
      </c>
      <c r="U881">
        <v>117.65560000000001</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123.32129999999999</v>
      </c>
      <c r="AN881">
        <v>129.06280000000001</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129.32550000000001</v>
      </c>
      <c r="U882">
        <v>118.774</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124.5329</v>
      </c>
      <c r="AN882">
        <v>130.49090000000001</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130.40209999999999</v>
      </c>
      <c r="U883">
        <v>119.9769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125.99120000000001</v>
      </c>
      <c r="AN883">
        <v>132.27610000000001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130.95179999999999</v>
      </c>
      <c r="U884">
        <v>120.21040000000001</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126.5305</v>
      </c>
      <c r="AN884">
        <v>133.3158</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131.29640000000001</v>
      </c>
      <c r="U885">
        <v>120.3703</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126.8973</v>
      </c>
      <c r="AN885">
        <v>134.1944</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132.17019999999999</v>
      </c>
      <c r="U886">
        <v>120.7816</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127.6264</v>
      </c>
      <c r="AN886">
        <v>135.68039999999999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133.2595</v>
      </c>
      <c r="U887">
        <v>121.69799999999999</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128.77690000000001</v>
      </c>
      <c r="AN887">
        <v>137.8458</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T888">
        <v>133.52979999999999</v>
      </c>
      <c r="U888">
        <v>121.69</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129.01439999999999</v>
      </c>
      <c r="AN888">
        <v>138.4853</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B889">
        <v>125.54089999999999</v>
      </c>
      <c r="C889">
        <v>126.5776</v>
      </c>
      <c r="D889">
        <v>150.20679999999999</v>
      </c>
      <c r="E889">
        <v>120.9639</v>
      </c>
      <c r="F889">
        <v>104.6662</v>
      </c>
      <c r="G889">
        <v>140.57400000000001</v>
      </c>
      <c r="H889">
        <v>115.1156</v>
      </c>
      <c r="I889">
        <v>147.29750000000001</v>
      </c>
      <c r="K889">
        <v>138.1</v>
      </c>
      <c r="L889">
        <v>120.62009999999999</v>
      </c>
      <c r="M889">
        <v>115.9</v>
      </c>
      <c r="N889">
        <v>120.52</v>
      </c>
      <c r="O889">
        <v>117.6503</v>
      </c>
      <c r="P889">
        <v>143.71170000000001</v>
      </c>
      <c r="Q889">
        <v>123.18</v>
      </c>
      <c r="R889">
        <v>117.32</v>
      </c>
      <c r="S889">
        <v>114.16</v>
      </c>
      <c r="T889">
        <v>133.6456</v>
      </c>
      <c r="U889">
        <v>121.4169</v>
      </c>
      <c r="V889">
        <v>125.3</v>
      </c>
      <c r="W889">
        <v>112.4277</v>
      </c>
      <c r="X889">
        <v>152.03550000000001</v>
      </c>
      <c r="Y889">
        <v>126.09910000000001</v>
      </c>
      <c r="Z889">
        <v>145.7628</v>
      </c>
      <c r="AA889">
        <v>115.42489999999999</v>
      </c>
      <c r="AB889">
        <v>131.90119999999999</v>
      </c>
      <c r="AC889">
        <v>108.871</v>
      </c>
      <c r="AD889">
        <v>119</v>
      </c>
      <c r="AF889">
        <v>115.2002</v>
      </c>
      <c r="AG889">
        <v>149.78790000000001</v>
      </c>
      <c r="AH889">
        <v>117.06</v>
      </c>
      <c r="AI889">
        <v>141.18219999999999</v>
      </c>
      <c r="AJ889">
        <v>144.29140000000001</v>
      </c>
      <c r="AK889">
        <v>124.94</v>
      </c>
      <c r="AL889">
        <v>125.9</v>
      </c>
      <c r="AM889">
        <v>128.9761</v>
      </c>
      <c r="AN889">
        <v>138.7165</v>
      </c>
      <c r="AO889">
        <v>139.11269999999999</v>
      </c>
      <c r="AP889">
        <v>116.37739999999999</v>
      </c>
      <c r="AR889">
        <v>112.547</v>
      </c>
      <c r="AS889">
        <v>132.20490000000001</v>
      </c>
      <c r="AT889">
        <v>120.51</v>
      </c>
      <c r="AU889">
        <v>126.3652</v>
      </c>
      <c r="AV889">
        <v>433.04489999999998</v>
      </c>
      <c r="AW889">
        <v>125.2218</v>
      </c>
      <c r="AX889">
        <v>145.1558</v>
      </c>
    </row>
    <row r="890" spans="1:50" x14ac:dyDescent="0.35">
      <c r="A890" s="75">
        <v>44927</v>
      </c>
      <c r="C890">
        <v>126.6966</v>
      </c>
      <c r="D890">
        <v>151.00280000000001</v>
      </c>
      <c r="F890">
        <v>105.2963</v>
      </c>
      <c r="G890">
        <v>141.69630000000001</v>
      </c>
      <c r="H890">
        <v>116.00790000000001</v>
      </c>
      <c r="I890">
        <v>149.92250000000001</v>
      </c>
      <c r="K890">
        <v>146.4</v>
      </c>
      <c r="M890">
        <v>116.4</v>
      </c>
      <c r="O890">
        <v>117.40300000000001</v>
      </c>
      <c r="P890">
        <v>144.78829999999999</v>
      </c>
      <c r="V890">
        <v>124.8</v>
      </c>
      <c r="W890">
        <v>111.8879</v>
      </c>
      <c r="X890">
        <v>155.58850000000001</v>
      </c>
      <c r="Y890">
        <v>126.5304</v>
      </c>
      <c r="AA890">
        <v>114.5278</v>
      </c>
      <c r="AB890">
        <v>133.01830000000001</v>
      </c>
      <c r="AD890">
        <v>119.2</v>
      </c>
      <c r="AF890">
        <v>116.0647</v>
      </c>
      <c r="AG890">
        <v>150.88030000000001</v>
      </c>
      <c r="AH890">
        <v>116.59</v>
      </c>
      <c r="AI890">
        <v>141.93010000000001</v>
      </c>
      <c r="AJ890">
        <v>145.27019999999999</v>
      </c>
      <c r="AK890">
        <v>123.22</v>
      </c>
      <c r="AL890">
        <v>126.1</v>
      </c>
      <c r="AP890">
        <v>115.3892</v>
      </c>
      <c r="AR890">
        <v>112.77509999999999</v>
      </c>
      <c r="AT890">
        <v>120.74</v>
      </c>
      <c r="AV890">
        <v>461.83780000000002</v>
      </c>
      <c r="AW890">
        <v>126.223</v>
      </c>
      <c r="AX890">
        <v>145.02080000000001</v>
      </c>
    </row>
    <row r="891" spans="1:50" x14ac:dyDescent="0.35">
      <c r="A891" s="75">
        <v>44958</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zoomScaleNormal="10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defaultColWidth="9.1796875" defaultRowHeight="14.5" x14ac:dyDescent="0.35"/>
  <cols>
    <col min="1" max="1" width="11.1796875" style="72" customWidth="1"/>
    <col min="2" max="4" width="9.1796875" style="72" customWidth="1"/>
    <col min="5" max="5" width="10.6328125" style="72" bestFit="1" customWidth="1"/>
    <col min="6" max="32" width="9.1796875" style="72" customWidth="1"/>
    <col min="33"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1.417584</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1.417584</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1.443022</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1.4653780000000001</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1.4544109999999999</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1.4465269999999999</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1.4368570000000001</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1.4145019999999999</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1.443022</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1.4653780000000001</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1.47018</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1.479849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1.484432</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1.4512510000000001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1.479849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1.494513</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1.509177</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1.4805790000000001</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1.481314</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1.4512510000000001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1.479849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1.4767319999999999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1.5099119999999999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1.5245759999999999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1.5214620000000001</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1.488299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1.5168919999999999</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1.572419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1.5585059999999999</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1.5585059999999999</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1.556081</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1.533717</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1.5623100000000001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1.5846739999999999</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1.5661910000000001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1.617148</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1.6031569999999999</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1.5878129999999999</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1.6465320000000001</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1.658064</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1.6982790000000001</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1.7276629999999999</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1.708655</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1.732826</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1.985193</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2.0746470000000001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2.0131770000000002</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2.0739480000000001</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2.1225869999999998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2.0768300000000002</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2.1703969999999999</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2.1865350000000001</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2.2202609999999998</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2.239506</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2.2504840000000002</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2.1741079999999999</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2.273889</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2.2900269999999998</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2.3378369999999999</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2.3429980000000001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2.397872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2.370406</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2.4862289999999998</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2.49234</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2.489303</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2.5289540000000001</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2.536178</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2.4741740000000001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2.614331</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2.6681859999999999</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2.702725</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2.733171</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2.7198020000000001</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2.6908940000000001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2.8142689999999999</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2.8201830000000001</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2.8425349999999998</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2.8903110000000001</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2.851261</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2.8024</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2.9319160000000002</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2.9632529999999999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3.000731</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3.0491790000000001</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3.0326740000000001</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3.0109759999999999</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3.0873059999999999</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3.1543619999999999</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3.2032080000000001</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3.2152370000000001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3.2228659999999998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3.1678380000000002</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3.2503489999999999</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3.3428490000000002</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3.3669069999999999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3.3899140000000001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3.4346000000000001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3.36165</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3.479997</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3.530157</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3.5326040000000001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3.6264500000000002</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3.578182</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3.5326279999999999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3.6609229999999999</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3.7318470000000001</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3.7665839999999999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3.8227980000000001</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3.9556260000000001</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3.8839630000000001</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4.0579409999999996</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4.1157690000000002</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4.1430490000000004</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4.3108909999999998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4.3387690000000001</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4.2838450000000003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4.3987959999999999</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4.5533330000000003</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4.6150630000000001</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4.7233140000000002</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4.8382750000000003</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4.7890579999999998</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4.9463419999999996</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5.1233529999999998</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5.1710909999999997</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5.3466779999999998</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5.3383960000000004</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5.2782929999999997</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5.4538989999999998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5.6340009999999996</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5.7722319999999998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5.8904909999999999</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5.9881120000000001</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6.0297099999999997</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6.1858209999999998</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6.3262159999999996</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6.377421</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6.5326839999999997</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6.4941899999999997</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6.4010590000000001</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6.7080080000000004</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6.8742470000000004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6.9814749999999997</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7.0983099999999997</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7.2533430000000001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7.2198659999999997</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7.4722530000000003</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7.6700980000000003</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7.7355429999999998</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7.9672809999999998</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7.9205110000000003</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7.8119940000000003</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8.0631799999999991</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8.2759900000000002</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8.3890969999999996</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8.4981369999999998</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8.6698970000000006</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8.7845460000000006</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9.1705900000000007</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9.2272049999999997</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9.3988320000000005</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9.504569</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9.5088919999999995</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9.4320579999999996</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9.7758240000000001</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10.050090000000001</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10.143549999999999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10.295999999999999</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10.44252</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10.48429</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10.84911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10.99541</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11.092980000000001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11.26586</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11.279109999999999</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11.143980000000001</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11.54388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11.853429999999999</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11.95213</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12.13814</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12.443479999999999</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12.365360000000001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12.750439999999999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12.87871</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13.013809999999999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13.26235</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13.19726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13.142110000000001</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13.84726</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14.34013</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14.70632</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15.22101</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15.634589999999999</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15.4217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16.044630000000002</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16.176960000000001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16.284389999999998</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16.631589999999999</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16.478940000000001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16.432870000000001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17.111450000000001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17.643709999999999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17.74484</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17.908429999999999</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18.11403</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18.17839</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18.756239999999998</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19.16103</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19.292940000000002</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19.738209999999999</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19.56767</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19.433769999999999</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19.887969999999999</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20.705719999999999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20.78989</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21.01098</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20.942789999999999</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20.790430000000001</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21.581949999999999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21.913350000000001</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22.003430000000002</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22.49757</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22.343589999999999</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22.119430000000001</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22.833559999999999</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23.550529999999998</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23.648810000000001</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23.882660000000001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23.632860000000001</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23.408550000000002</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24.308910000000001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24.771879999999999</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24.875309999999999</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25.183489999999999</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25.128889999999998</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24.797499999999999</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25.844090000000001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26.461459999999999</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26.650980000000001</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27.344580000000001</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27.1937</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27.154669999999999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28.338239999999999</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28.879259999999999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29.403649999999999</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30.06664</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29.836739999999999</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29.579499999999999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30.8414</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31.763310000000001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32.280140000000003</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32.97372</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32.730930000000001</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32.437890000000003</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33.236919999999998</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34.413170000000001</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34.595309999999998</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35.148539999999997</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35.162010000000002</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35.095500000000001</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36.582070000000002</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37.433839999999996</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38.030589999999997</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38.65493</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38.438409999999998</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38.524479999999997</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39.618209999999998</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40.338050000000003</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40.442410000000002</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41.116520000000001</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40.893230000000003</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40.690800000000003</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42.086170000000003</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43.532510000000002</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44.126170000000002</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44.839500000000001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44.373919999999998</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44.525260000000003</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46.755479999999999</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47.350360000000002</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47.685490000000001</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48.355910000000002</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47.619480000000003</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47.556759999999997</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48.969119999999997</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49.832470000000001</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50.062910000000002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50.74174</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50.45675</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50.298549999999999</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51.908140000000003</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52.585889999999999</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52.491619999999998</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53.050669999999997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52.546550000000003</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52.760240000000003</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54.417960000000001</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55.212350000000001</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55.463290000000001</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56.084180000000003</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55.881630000000001</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55.526380000000003</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57.36927</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57.91263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57.631390000000003</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58.32246</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57.486809999999998</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57.678049999999999</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59.24004</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60.100430000000003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60.355080000000001</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61.119959999999999</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61.035910000000001</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60.66601</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62.386569999999999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62.934179999999998</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62.667180000000002</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63.2697</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62.391170000000002</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62.428669999999997</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64.035769999999999</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65.110280000000003</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65.316590000000005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66.129959999999997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65.583879999999994</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65.317970000000003</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67.377529999999993</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67.932879999999997</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67.882559999999998</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68.09836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66.938270000000003</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66.985389999999995</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68.771450000000002</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69.332070000000002</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69.40634</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70.123949999999994</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69.009919999999994</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68.630949999999999</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70.970060000000004</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72.147199999999998</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72.013779999999997</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72.539590000000004</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71.286799999999999</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71.369420000000005</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73.06953</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73.632000000000005</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73.626729999999995</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74.094729999999998</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72.921490000000006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72.420109999999994</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74.396940000000001</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75.107219999999998</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74.882919999999999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75.088880000000003</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73.685249999999996</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73.71651</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75.067589999999996</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75.228179999999995</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75.247870000000006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75.735579999999999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74.413640000000001</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73.661540000000002</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75.63297</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76.196420000000003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76.39188</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76.392799999999994</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74.917519999999996</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75.072890000000001</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76.945049999999995</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77.439869999999999</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77.528239999999997</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78.2226</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76.962109999999996</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76.344920000000002</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78.219279999999998</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78.812539999999998</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78.718329999999995</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79.048640000000006</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77.690290000000005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77.719920000000002</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79.478679999999997</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79.911370000000005</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80.072109999999995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80.39716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79.312139999999999</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78.63588</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80.983220000000003</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81.424180000000007</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81.919820000000001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81.867689999999996</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80.288380000000004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80.356290000000001</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82.276820000000001</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82.634829999999994</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82.79759</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83.139179999999996</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82.139830000000003</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81.403919999999999</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83.511870000000002</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83.954149999999998</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84.179479999999998</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84.275909999999996</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82.607159999999993</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82.726969999999994</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84.831469999999996</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85.295810000000003</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85.426599999999993</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85.970640000000003</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84.764610000000005</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83.859710000000007</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86.248819999999995</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86.639870000000002</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86.835759999999993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87.096639999999994</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85.783000000000001</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85.297650000000004</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87.60454</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87.873130000000003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87.920789999999997</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88.382670000000005</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88.579229999999995</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86.559539999999998</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88.741259999999997</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89.28416</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89.662379999999999</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89.693470000000005</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88.740650000000002</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87.771119999999996</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89.991510000000005</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90.45702</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90.611930000000001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90.977630000000005</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90.438450000000003</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88.601939999999999</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91.126800000000003</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91.318179999999998</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91.54392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91.800690000000003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90.820880000000002</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89.845029999999994</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92.262910000000005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92.948890000000006</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93.100750000000005</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93.501000000000005</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93.171620000000004</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91.538669999999996</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93.903220000000005</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94.183980000000005</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94.334729999999993</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94.507090000000005</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93.645859999999999</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92.621399999999994</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94.790030000000002</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95.187250000000006</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95.357370000000003</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95.748599999999996</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94.923910000000006</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93.658959999999993</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96.250569999999996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96.658640000000005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97.328249999999997</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97.45026</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96.544300000000007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95.519670000000005</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97.943160000000006</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98.266900000000007</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98.448809999999995</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98.843990000000005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97.87621</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96.406819999999996</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99.00676</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99.050060000000002</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99.191220000000001</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99.167990000000003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98.222710000000006</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97.265110000000007</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99.776020000000003</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100.1733</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100.5659</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101.05929999999999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99.597170000000006</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98.126509999999996</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101.3839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102.3737</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103.1362</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103.17659999999999</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102.4404</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101.2899</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103.8006</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104.1217</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104.249</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104.34820000000001</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102.762</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100.62730000000001</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104.62130000000001</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105.0496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105.21129999999999</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105.2012</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103.26260000000001</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101.3747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105.8275</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105.7948</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105.8036</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105.557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103.762</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101.3468</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104.8877</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105.8783</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105.63200000000001</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105.5401</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103.7439</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101.8364</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105.2948</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105.55370000000001</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105.22669999999999</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104.9509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102.55029999999999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100.0209</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103.44929999999999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104.2039</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103.8974</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103.5856</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101.49850000000001</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99.234909999999999</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102.9496</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102.9915</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101.3934</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102.5346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100.5142</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98.606470000000002</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101.9472</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102.4131</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101.4689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102.4709</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100.69710000000001</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99.060069999999996</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102.1298</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101.8231</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100.73779999999999</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101.12909999999999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99.308400000000006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97.619110000000006</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100.5057</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100.98699999999999</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100.0526</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100.8815</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99.223500000000001</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97.948589999999996</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100.95099999999999</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101.3173</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100.2694</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100.93600000000001</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98.392579999999995</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98.151579999999996</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100.05710000000001</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101.0219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100.09690000000001</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101.15940000000001</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98.509590000000003</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97.984700000000004</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100.8565</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100.8837</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99.398250000000004</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100.4777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97.948880000000003</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97.481899999999996</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100.3095</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101.22069999999999</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100.5577</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101.9551</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99.508189999999999</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98.576480000000004</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101.1857</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101.5039</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100.0637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100.76</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98.015069999999994</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97.97054</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100.31399999999999</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101.50620000000001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100.702</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102.0112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99.14434</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98.604179999999999</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101.3807</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101.8229</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100.26730000000001</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101.40470000000001</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98.298770000000005</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98.209450000000004</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100.7735</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102.0184</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100.9357</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102.3677</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100.07210000000001</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99.320419999999999</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102.0968</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102.1827</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101.23090000000001</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102.054</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98.914850000000001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98.471980000000002</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101.81950000000001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101.95699999999999</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101.28749999999999</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101.01439999999999</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98.852099999999993</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97.971040000000002</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100.6037</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100.88639999999999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99.491590000000002</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100.1326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97.699740000000006</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97.577029999999993</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99.057609999999997</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100.44110000000001</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99.591419999999999</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100.53870000000001</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114.5491</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98.347489999999993</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113.78570000000001</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97.649609999999996</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100.70699999999999</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101.08329999999999</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100.0984</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101.10939999999999</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113.14400000000001</v>
      </c>
      <c r="V878">
        <v>114.2</v>
      </c>
      <c r="W878">
        <v>98.875649999999993</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116.8289</v>
      </c>
      <c r="AN878">
        <v>119.069</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113.8199</v>
      </c>
      <c r="V879">
        <v>114.9</v>
      </c>
      <c r="W879">
        <v>98.720039999999997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117.63679999999999</v>
      </c>
      <c r="AN879">
        <v>120.0684</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114.3741</v>
      </c>
      <c r="V880">
        <v>115.8</v>
      </c>
      <c r="W880">
        <v>100.78449999999999</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118.4246</v>
      </c>
      <c r="AN880">
        <v>121.40260000000001</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115.0421</v>
      </c>
      <c r="V881">
        <v>116.6</v>
      </c>
      <c r="W881">
        <v>102.1987</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119.4267</v>
      </c>
      <c r="AN881">
        <v>123.02930000000001</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115.6207</v>
      </c>
      <c r="V882">
        <v>117.1</v>
      </c>
      <c r="W882">
        <v>102.0275</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120.1964</v>
      </c>
      <c r="AN882">
        <v>124.13800000000001</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116.2135</v>
      </c>
      <c r="V883">
        <v>117.6</v>
      </c>
      <c r="W883">
        <v>104.0458</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120.959</v>
      </c>
      <c r="AN883">
        <v>125.0386</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116.6939</v>
      </c>
      <c r="V884">
        <v>117.9</v>
      </c>
      <c r="W884">
        <v>101.8218</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121.66249999999999</v>
      </c>
      <c r="AN884">
        <v>126.0682</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117.2439</v>
      </c>
      <c r="V885">
        <v>118.7</v>
      </c>
      <c r="W885">
        <v>101.65179999999999</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122.35899999999999</v>
      </c>
      <c r="AN885">
        <v>127.0579</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117.6875</v>
      </c>
      <c r="V886">
        <v>119.3</v>
      </c>
      <c r="W886">
        <v>105.45740000000001</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122.995</v>
      </c>
      <c r="AN886">
        <v>128.06620000000001</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102.916</v>
      </c>
      <c r="G887">
        <v>131.5489</v>
      </c>
      <c r="H887"/>
      <c r="I887">
        <v>135.3749</v>
      </c>
      <c r="J887"/>
      <c r="K887">
        <v>137.4</v>
      </c>
      <c r="L887">
        <v>115.2902</v>
      </c>
      <c r="M887">
        <v>111.434</v>
      </c>
      <c r="N887">
        <v>112.6</v>
      </c>
      <c r="O887">
        <v>110.58969999999999</v>
      </c>
      <c r="P887">
        <v>127.41630000000001</v>
      </c>
      <c r="Q887"/>
      <c r="R887">
        <v>111.79</v>
      </c>
      <c r="S887">
        <v>108.4706</v>
      </c>
      <c r="T887"/>
      <c r="U887">
        <v>118.0621</v>
      </c>
      <c r="V887">
        <v>120</v>
      </c>
      <c r="W887">
        <v>106.1489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123.6956</v>
      </c>
      <c r="AN887">
        <v>129.21440000000001</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118.1131</v>
      </c>
      <c r="V888">
        <v>120.4</v>
      </c>
      <c r="W888">
        <v>105.8073</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123.9584</v>
      </c>
      <c r="AN888">
        <v>129.68450000000001</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v>122.4205</v>
      </c>
      <c r="C889">
        <v>118.38200000000001</v>
      </c>
      <c r="D889"/>
      <c r="E889">
        <v>119.54470000000001</v>
      </c>
      <c r="F889">
        <v>103.1352</v>
      </c>
      <c r="G889">
        <v>132.67740000000001</v>
      </c>
      <c r="H889"/>
      <c r="I889">
        <v>137.38579999999999</v>
      </c>
      <c r="J889"/>
      <c r="K889">
        <v>138</v>
      </c>
      <c r="L889">
        <v>115.60899999999999</v>
      </c>
      <c r="M889">
        <v>111.78230000000001</v>
      </c>
      <c r="N889">
        <v>113.26</v>
      </c>
      <c r="O889">
        <v>111.6365</v>
      </c>
      <c r="P889">
        <v>128.04060000000001</v>
      </c>
      <c r="Q889"/>
      <c r="R889">
        <v>113.24</v>
      </c>
      <c r="S889">
        <v>108.97280000000001</v>
      </c>
      <c r="T889"/>
      <c r="U889">
        <v>118.425</v>
      </c>
      <c r="V889">
        <v>121</v>
      </c>
      <c r="W889">
        <v>106.2195</v>
      </c>
      <c r="X889">
        <v>138.31710000000001</v>
      </c>
      <c r="Y889"/>
      <c r="Z889"/>
      <c r="AA889">
        <v>111.9736</v>
      </c>
      <c r="AB889">
        <v>132.32040000000001</v>
      </c>
      <c r="AC889">
        <v>108.9209</v>
      </c>
      <c r="AD889">
        <v>108.7898</v>
      </c>
      <c r="AE889"/>
      <c r="AF889">
        <v>112.8699</v>
      </c>
      <c r="AG889">
        <v>138.00790000000001</v>
      </c>
      <c r="AH889">
        <v>113.76</v>
      </c>
      <c r="AI889">
        <v>124.6524</v>
      </c>
      <c r="AJ889">
        <v>134.55189999999999</v>
      </c>
      <c r="AK889">
        <v>117.2368</v>
      </c>
      <c r="AL889">
        <v>121.1621</v>
      </c>
      <c r="AM889">
        <v>124.4601</v>
      </c>
      <c r="AN889">
        <v>130.7089</v>
      </c>
      <c r="AO889">
        <v>127.27670000000001</v>
      </c>
      <c r="AP889">
        <v>112.6523</v>
      </c>
      <c r="AQ889"/>
      <c r="AR889"/>
      <c r="AS889">
        <v>128.98169999999999</v>
      </c>
      <c r="AT889">
        <v>115.42189999999999</v>
      </c>
      <c r="AU889">
        <v>119.2145</v>
      </c>
      <c r="AV889">
        <v>387.91910000000001</v>
      </c>
      <c r="AW889">
        <v>123.8874</v>
      </c>
      <c r="AX889">
        <v>136.28790000000001</v>
      </c>
    </row>
    <row r="890" spans="1:50" x14ac:dyDescent="0.35">
      <c r="A890" s="75">
        <v>44927</v>
      </c>
      <c r="B890"/>
      <c r="C890">
        <v>119.74169999999999</v>
      </c>
      <c r="D890"/>
      <c r="E890"/>
      <c r="F890">
        <v>103.149</v>
      </c>
      <c r="G890">
        <v>134.1532</v>
      </c>
      <c r="H890"/>
      <c r="I890">
        <v>139.5951</v>
      </c>
      <c r="J890"/>
      <c r="K890">
        <v>140.30000000000001</v>
      </c>
      <c r="L890"/>
      <c r="M890"/>
      <c r="N890"/>
      <c r="O890">
        <v>111.11409999999999</v>
      </c>
      <c r="P890">
        <v>128.49459999999999</v>
      </c>
      <c r="Q890"/>
      <c r="R890"/>
      <c r="S890"/>
      <c r="T890"/>
      <c r="U890"/>
      <c r="V890">
        <v>120.3</v>
      </c>
      <c r="W890">
        <v>104.6425</v>
      </c>
      <c r="X890">
        <v>140.8715</v>
      </c>
      <c r="Y890"/>
      <c r="Z890"/>
      <c r="AA890">
        <v>110.7731</v>
      </c>
      <c r="AB890">
        <v>132.92099999999999</v>
      </c>
      <c r="AC890"/>
      <c r="AD890"/>
      <c r="AE890"/>
      <c r="AF890">
        <v>113.55759999999999</v>
      </c>
      <c r="AG890">
        <v>138.9228</v>
      </c>
      <c r="AH890">
        <v>112.79</v>
      </c>
      <c r="AI890">
        <v>125.5795</v>
      </c>
      <c r="AJ890">
        <v>135.41810000000001</v>
      </c>
      <c r="AK890">
        <v>117.14449999999999</v>
      </c>
      <c r="AL890">
        <v>121.5835</v>
      </c>
      <c r="AM890"/>
      <c r="AN890"/>
      <c r="AO890"/>
      <c r="AP890">
        <v>112.3254</v>
      </c>
      <c r="AQ890"/>
      <c r="AR890"/>
      <c r="AS890"/>
      <c r="AT890">
        <v>115.8019</v>
      </c>
      <c r="AU890"/>
      <c r="AV890">
        <v>418.75729999999999</v>
      </c>
      <c r="AW890">
        <v>124.6507</v>
      </c>
      <c r="AX890">
        <v>136.56970000000001</v>
      </c>
    </row>
    <row r="891" spans="1:50" x14ac:dyDescent="0.35">
      <c r="A891" s="75">
        <v>44958</v>
      </c>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Normal="100" workbookViewId="0">
      <pane xSplit="1" ySplit="9" topLeftCell="B142" activePane="bottomRight" state="frozen"/>
      <selection activeCell="T26" sqref="T26"/>
      <selection pane="topRight" activeCell="T26" sqref="T26"/>
      <selection pane="bottomLeft" activeCell="T26" sqref="T26"/>
      <selection pane="bottomRight" activeCell="I159" sqref="I159"/>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t="e">
        <f t="shared" ca="1" si="0"/>
        <v>#N/A</v>
      </c>
      <c r="F4" s="22" t="e">
        <f t="shared" ca="1" si="0"/>
        <v>#N/A</v>
      </c>
      <c r="G4" s="22" t="e">
        <f t="shared" ca="1" si="0"/>
        <v>#N/A</v>
      </c>
      <c r="H4" s="22" t="e">
        <f t="shared" ca="1" si="0"/>
        <v>#N/A</v>
      </c>
      <c r="I4" s="22">
        <f t="shared" ca="1" si="0"/>
        <v>9.6119929453262712E-2</v>
      </c>
      <c r="J4" s="22">
        <f t="shared" ca="1" si="0"/>
        <v>0.11837121212121213</v>
      </c>
      <c r="K4" s="22">
        <f t="shared" ca="1" si="0"/>
        <v>0.10770194703053385</v>
      </c>
      <c r="L4" s="22" t="e">
        <f t="shared" ca="1" si="0"/>
        <v>#N/A</v>
      </c>
      <c r="M4" s="22">
        <f t="shared" ca="1" si="0"/>
        <v>8.6997558542958028E-2</v>
      </c>
      <c r="N4" s="22">
        <f t="shared" ca="1" si="0"/>
        <v>0.16698412994105594</v>
      </c>
      <c r="O4" s="22" t="e">
        <f t="shared" ca="1" si="0"/>
        <v>#N/A</v>
      </c>
      <c r="P4" s="22" t="e">
        <f t="shared" ca="1" si="0"/>
        <v>#N/A</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t="e">
        <f t="shared" ca="1" si="0"/>
        <v>#N/A</v>
      </c>
      <c r="Z4" s="49" t="e">
        <f>MAX(Z94:Z106)</f>
        <v>#N/A</v>
      </c>
      <c r="AA4" s="22" t="e">
        <f>MAX(AA94:AA106)</f>
        <v>#N/A</v>
      </c>
      <c r="AB4" s="71"/>
    </row>
    <row r="5" spans="2:31" x14ac:dyDescent="0.35">
      <c r="B5" s="61" t="s">
        <v>514</v>
      </c>
      <c r="C5" s="22">
        <f t="shared" ref="C5:Y5" ca="1" si="1">MIN(OFFSET(C$59,COUNT(C$59:C$250),0,-13,1))</f>
        <v>6.4101710261315017E-2</v>
      </c>
      <c r="D5" s="22">
        <f t="shared" ca="1" si="1"/>
        <v>9.8516772317086745E-3</v>
      </c>
      <c r="E5" s="22" t="e">
        <f t="shared" ca="1" si="1"/>
        <v>#N/A</v>
      </c>
      <c r="F5" s="22" t="e">
        <f t="shared" ca="1" si="1"/>
        <v>#N/A</v>
      </c>
      <c r="G5" s="22" t="e">
        <f t="shared" ca="1" si="1"/>
        <v>#N/A</v>
      </c>
      <c r="H5" s="22" t="e">
        <f t="shared" ca="1" si="1"/>
        <v>#N/A</v>
      </c>
      <c r="I5" s="22">
        <f t="shared" ca="1" si="1"/>
        <v>5.4844606946983544E-2</v>
      </c>
      <c r="J5" s="22">
        <f t="shared" ca="1" si="1"/>
        <v>5.7059961315280378E-2</v>
      </c>
      <c r="K5" s="22">
        <f t="shared" ca="1" si="1"/>
        <v>5.7076599896853368E-2</v>
      </c>
      <c r="L5" s="22" t="e">
        <f t="shared" ca="1" si="1"/>
        <v>#N/A</v>
      </c>
      <c r="M5" s="22">
        <f t="shared" ca="1" si="1"/>
        <v>7.2800099267114615E-2</v>
      </c>
      <c r="N5" s="22">
        <f t="shared" ca="1" si="1"/>
        <v>-1</v>
      </c>
      <c r="O5" s="22" t="e">
        <f t="shared" ca="1" si="1"/>
        <v>#N/A</v>
      </c>
      <c r="P5" s="22" t="e">
        <f t="shared" ca="1" si="1"/>
        <v>#N/A</v>
      </c>
      <c r="Q5" s="22" t="e">
        <f t="shared" ca="1" si="1"/>
        <v>#N/A</v>
      </c>
      <c r="R5" s="22">
        <f t="shared" ca="1" si="1"/>
        <v>2.1508844228108368E-2</v>
      </c>
      <c r="S5" s="22">
        <f t="shared" ca="1" si="1"/>
        <v>3.662109147008253E-2</v>
      </c>
      <c r="T5" s="22">
        <f t="shared" ca="1" si="1"/>
        <v>5.7744789827906116E-2</v>
      </c>
      <c r="U5" s="22">
        <f t="shared" ca="1" si="1"/>
        <v>6.9891861344614198E-2</v>
      </c>
      <c r="V5" s="22">
        <f t="shared" ca="1" si="1"/>
        <v>5.5936847432162477E-2</v>
      </c>
      <c r="W5" s="22">
        <f t="shared" ca="1" si="1"/>
        <v>0.54438536949069305</v>
      </c>
      <c r="X5" s="22">
        <f t="shared" ca="1" si="1"/>
        <v>0.11091549295774655</v>
      </c>
      <c r="Y5" s="62" t="e">
        <f t="shared" ca="1" si="1"/>
        <v>#N/A</v>
      </c>
      <c r="Z5" s="49" t="e">
        <f>MIN(Z94:Z106)</f>
        <v>#N/A</v>
      </c>
      <c r="AA5" s="22" t="e">
        <f>MIN(AA94:AA106)</f>
        <v>#N/A</v>
      </c>
      <c r="AB5" s="71"/>
    </row>
    <row r="6" spans="2:31" x14ac:dyDescent="0.35">
      <c r="B6" s="61" t="s">
        <v>515</v>
      </c>
      <c r="C6" s="22">
        <f t="shared" ref="C6:Y6" ca="1" si="2">AVERAGE(OFFSET(C$59,COUNT(C$59:C$250),0,-13,1))</f>
        <v>7.9185977028957272E-2</v>
      </c>
      <c r="D6" s="22">
        <f t="shared" ca="1" si="2"/>
        <v>2.0644444641191771E-2</v>
      </c>
      <c r="E6" s="22" t="e">
        <f t="shared" ca="1" si="2"/>
        <v>#N/A</v>
      </c>
      <c r="F6" s="22" t="e">
        <f t="shared" ca="1" si="2"/>
        <v>#N/A</v>
      </c>
      <c r="G6" s="22" t="e">
        <f t="shared" ca="1" si="2"/>
        <v>#N/A</v>
      </c>
      <c r="H6" s="22" t="e">
        <f t="shared" ca="1" si="2"/>
        <v>#N/A</v>
      </c>
      <c r="I6" s="22">
        <f t="shared" ca="1" si="2"/>
        <v>8.2391115472067913E-2</v>
      </c>
      <c r="J6" s="22">
        <f t="shared" ca="1" si="2"/>
        <v>8.614901374132046E-2</v>
      </c>
      <c r="K6" s="22">
        <f t="shared" ca="1" si="2"/>
        <v>8.3828477067496701E-2</v>
      </c>
      <c r="L6" s="22" t="e">
        <f t="shared" ca="1" si="2"/>
        <v>#N/A</v>
      </c>
      <c r="M6" s="22">
        <f t="shared" ca="1" si="2"/>
        <v>7.9609577683808955E-2</v>
      </c>
      <c r="N6" s="22">
        <f t="shared" ca="1" si="2"/>
        <v>-0.81178601819490626</v>
      </c>
      <c r="O6" s="22" t="e">
        <f t="shared" ca="1" si="2"/>
        <v>#N/A</v>
      </c>
      <c r="P6" s="22" t="e">
        <f t="shared" ca="1" si="2"/>
        <v>#N/A</v>
      </c>
      <c r="Q6" s="22" t="e">
        <f t="shared" ca="1" si="2"/>
        <v>#N/A</v>
      </c>
      <c r="R6" s="22">
        <f t="shared" ca="1" si="2"/>
        <v>2.9691180292112179E-2</v>
      </c>
      <c r="S6" s="22">
        <f t="shared" ca="1" si="2"/>
        <v>5.2140543002982383E-2</v>
      </c>
      <c r="T6" s="22">
        <f t="shared" ca="1" si="2"/>
        <v>8.957413976456613E-2</v>
      </c>
      <c r="U6" s="22">
        <f t="shared" ca="1" si="2"/>
        <v>9.7079981519825179E-2</v>
      </c>
      <c r="V6" s="22">
        <f t="shared" ca="1" si="2"/>
        <v>8.0207358029730183E-2</v>
      </c>
      <c r="W6" s="22">
        <f t="shared" ca="1" si="2"/>
        <v>0.72732231362996702</v>
      </c>
      <c r="X6" s="22">
        <f t="shared" ca="1" si="2"/>
        <v>0.15706438052226265</v>
      </c>
      <c r="Y6" s="62" t="e">
        <f t="shared" ca="1" si="2"/>
        <v>#N/A</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e">
        <f t="shared" ca="1" si="3"/>
        <v>#N/A</v>
      </c>
      <c r="F7" s="64" t="e">
        <f t="shared" ca="1" si="3"/>
        <v>#N/A</v>
      </c>
      <c r="G7" s="64" t="e">
        <f t="shared" ca="1" si="3"/>
        <v>#N/A</v>
      </c>
      <c r="H7" s="64" t="e">
        <f t="shared" ca="1" si="3"/>
        <v>#N/A</v>
      </c>
      <c r="I7" s="64" t="str">
        <f t="shared" ca="1" si="3"/>
        <v>above</v>
      </c>
      <c r="J7" s="64" t="str">
        <f t="shared" ca="1" si="3"/>
        <v>above</v>
      </c>
      <c r="K7" s="64" t="str">
        <f t="shared" ca="1" si="3"/>
        <v>below</v>
      </c>
      <c r="L7" s="64" t="e">
        <f t="shared" ca="1" si="3"/>
        <v>#N/A</v>
      </c>
      <c r="M7" s="64" t="str">
        <f t="shared" ca="1" si="3"/>
        <v>below</v>
      </c>
      <c r="N7" s="64" t="str">
        <f t="shared" ca="1" si="3"/>
        <v>below</v>
      </c>
      <c r="O7" s="64" t="e">
        <f t="shared" ca="1" si="3"/>
        <v>#N/A</v>
      </c>
      <c r="P7" s="64" t="e">
        <f t="shared" ca="1" si="3"/>
        <v>#N/A</v>
      </c>
      <c r="Q7" s="64" t="e">
        <f t="shared" ca="1" si="3"/>
        <v>#N/A</v>
      </c>
      <c r="R7" s="64" t="str">
        <f t="shared" ca="1" si="3"/>
        <v>below</v>
      </c>
      <c r="S7" s="64" t="str">
        <f t="shared" ca="1" si="3"/>
        <v>below</v>
      </c>
      <c r="T7" s="64" t="str">
        <f t="shared" ca="1" si="3"/>
        <v>below</v>
      </c>
      <c r="U7" s="64" t="str">
        <f t="shared" ca="1" si="3"/>
        <v>below</v>
      </c>
      <c r="V7" s="64" t="str">
        <f t="shared" ca="1" si="3"/>
        <v>above</v>
      </c>
      <c r="W7" s="64" t="str">
        <f t="shared" ca="1" si="3"/>
        <v>above</v>
      </c>
      <c r="X7" s="64" t="str">
        <f t="shared" ca="1" si="3"/>
        <v>above</v>
      </c>
      <c r="Y7" s="65" t="e">
        <f t="shared" ca="1" si="3"/>
        <v>#N/A</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c r="B154" s="15">
        <v>44896</v>
      </c>
      <c r="C154" s="20">
        <f>IF(VLOOKUP(B154,Data!$A:$AX,MATCH($C$1,Data!$A$1:$AX$1,))=0,#N/A,(VLOOKUP(B154,Data!$A:$AX,MATCH($C$1,Data!$A$1:$AX$1,),)-VLOOKUP(EDATE(B154,-12),Data!$A:$AX,MATCH($C$1,Data!$A$1:$AX$1,),))/VLOOKUP(EDATE(B154,-12),Data!$A:$AX,MATCH($C$1,Data!$A$1:$AX$1,),))</f>
        <v>6.4544183219345561E-2</v>
      </c>
      <c r="D154" s="20">
        <f>IF(VLOOKUP(B154,Data!$A:$AX,MATCH($D$1,Data!$A$1:$AX$1,))=0,#N/A,(VLOOKUP(B154,Data!$A:$AX,MATCH($D$1,Data!$A$1:$AX$1,),)-VLOOKUP(EDATE(B154,-12),Data!$A:$AX,MATCH($D$1,Data!$A$1:$AX$1,),))/VLOOKUP(EDATE(B154,-12),Data!$A:$AX,MATCH($D$1,Data!$A$1:$AX$1,),))</f>
        <v>1.7752107062560786E-2</v>
      </c>
      <c r="E154" s="20">
        <f>IF(VLOOKUP(B154,Data!$A:$AX,MATCH($E$1,Data!$A$1:$AX$1,))=0,#N/A,(VLOOKUP(B154,Data!$A:$AX,MATCH($E$1,Data!$A$1:$AX$1,),)-VLOOKUP(EDATE(B154,-12),Data!$A:$AX,MATCH($E$1,Data!$A$1:$AX$1,),))/VLOOKUP(EDATE(B154,-12),Data!$A:$AX,MATCH($E$1,Data!$A$1:$AX$1,),))</f>
        <v>9.1963395850321566E-2</v>
      </c>
      <c r="F154" s="20" t="e">
        <f>IF(VLOOKUP(B154,Data!$A:$AX,MATCH($F$1,Data!$A$1:$AX$1,))=0,#N/A,(VLOOKUP(B154,Data!$A:$AX,MATCH($F$1,Data!$A$1:$AX$1,),)-VLOOKUP(EDATE(B154,-12),Data!$A:$AX,MATCH($F$1,Data!$A$1:$AX$1,),))/VLOOKUP(EDATE(B154,-12),Data!$A:$AX,MATCH($F$1,Data!$A$1:$AX$1,),))</f>
        <v>#N/A</v>
      </c>
      <c r="G154" s="20">
        <f>IF(VLOOKUP(B154,Data!$A:$AX,MATCH($G$1,Data!$A$1:$AX$1,))=0,#N/A,(VLOOKUP(B154,Data!$A:$AX,MATCH($G$1,Data!$A$1:$AX$1,),)-VLOOKUP(EDATE(B154,-12),Data!$A:$AX,MATCH($G$1,Data!$A$1:$AX$1,),))/VLOOKUP(EDATE(B154,-12),Data!$A:$AX,MATCH($G$1,Data!$A$1:$AX$1,),))</f>
        <v>8.5508713670540873E-2</v>
      </c>
      <c r="H154" s="20">
        <f>IF(VLOOKUP(B154,Data!$A:$AX,MATCH($H$1,Data!$A$1:$AX$1,))=0,#N/A,(VLOOKUP(B154,Data!$A:$AX,MATCH($H$1,Data!$A$1:$AX$1,),)-VLOOKUP(EDATE(B154,-12),Data!$A:$AX,MATCH($H$1,Data!$A$1:$AX$1,),))/VLOOKUP(EDATE(B154,-12),Data!$A:$AX,MATCH($H$1,Data!$A$1:$AX$1,),))</f>
        <v>5.8507185906351442E-2</v>
      </c>
      <c r="I154" s="20">
        <f>IF(VLOOKUP(B154,Data!$A:$AX,MATCH($I$1,Data!$A$1:$AX$1,))=0,#N/A,(VLOOKUP(B154,Data!$A:$AX,MATCH($I$1,Data!$A$1:$AX$1,),)-VLOOKUP(EDATE(B154,-12),Data!$A:$AX,MATCH($I$1,Data!$A$1:$AX$1,),))/VLOOKUP(EDATE(B154,-12),Data!$A:$AX,MATCH($I$1,Data!$A$1:$AX$1,),))</f>
        <v>9.2414995640802036E-2</v>
      </c>
      <c r="J154" s="20">
        <f>IF(VLOOKUP(B154,Data!$A:$AX,MATCH($J$1,Data!$A$1:$AX$1,))=0,#N/A,(VLOOKUP(B154,Data!$A:$AX,MATCH($J$1,Data!$A$1:$AX$1,),)-VLOOKUP(EDATE(B154,-12),Data!$A:$AX,MATCH($J$1,Data!$A$1:$AX$1,),))/VLOOKUP(EDATE(B154,-12),Data!$A:$AX,MATCH($J$1,Data!$A$1:$AX$1,),))</f>
        <v>0.11632270168855541</v>
      </c>
      <c r="K154" s="20">
        <f>IF(VLOOKUP(B154,Data!$A:$AX,MATCH($K$1,Data!$A$1:$AX$1,))=0,#N/A,(VLOOKUP(B154,Data!$A:$AX,MATCH($K$1,Data!$A$1:$AX$1,),)-VLOOKUP(EDATE(B154,-12),Data!$A:$AX,MATCH($K$1,Data!$A$1:$AX$1,),))/VLOOKUP(EDATE(B154,-12),Data!$A:$AX,MATCH($K$1,Data!$A$1:$AX$1,),))</f>
        <v>5.7076599896853368E-2</v>
      </c>
      <c r="L154" s="20">
        <f>IF(VLOOKUP(B154,Data!$A:$AX,MATCH($L$1,Data!$A$1:$AX$1,))=0,#N/A,(VLOOKUP(B154,Data!$A:$AX,MATCH($L$1,Data!$A$1:$AX$1,),)-VLOOKUP(EDATE(B154,-12),Data!$A:$AX,MATCH($L$1,Data!$A$1:$AX$1,),))/VLOOKUP(EDATE(B154,-12),Data!$A:$AX,MATCH($L$1,Data!$A$1:$AX$1,),))</f>
        <v>0.12338702006207</v>
      </c>
      <c r="M154" s="20">
        <f>IF(VLOOKUP(B154,Data!$A:$AX,MATCH($M$1,Data!$A$1:$AX$1,))=0,#N/A,(VLOOKUP(B154,Data!$A:$AX,MATCH($M$1,Data!$A$1:$AX$1,),)-VLOOKUP(EDATE(B154,-12),Data!$A:$AX,MATCH($M$1,Data!$A$1:$AX$1,),))/VLOOKUP(EDATE(B154,-12),Data!$A:$AX,MATCH($M$1,Data!$A$1:$AX$1,),))</f>
        <v>7.8170124912295386E-2</v>
      </c>
      <c r="N154" s="20">
        <f>(VLOOKUP(B154,Data!$A:$AX,MATCH($N$1,Data!$A$1:$AX$1,),)-VLOOKUP(EDATE(B154,-12),Data!$A:$AX,MATCH($N$1,Data!$A$1:$AX$1,),))/VLOOKUP(EDATE(B154,-12),Data!$A:$AX,MATCH($N$1,Data!$A$1:$AX$1,),)</f>
        <v>-1</v>
      </c>
      <c r="O154" s="20">
        <f>IF(VLOOKUP(B154,Data!$A:$AX,MATCH($O$1,Data!$A$1:$AX$1,))=0,#N/A,(VLOOKUP(B154,Data!$A:$AX,MATCH($O$1,Data!$A$1:$AX$1,),)-VLOOKUP(EDATE(B154,-12),Data!$A:$AX,MATCH($O$1,Data!$A$1:$AX$1,),))/VLOOKUP(EDATE(B154,-12),Data!$A:$AX,MATCH($O$1,Data!$A$1:$AX$1,),))</f>
        <v>5.5023606568293353E-2</v>
      </c>
      <c r="P154" s="20">
        <f>IF(VLOOKUP(B154,Data!$A:$AX,MATCH($P$1,Data!$A$1:$AX$1,))=0,#N/A,(VLOOKUP(B154,Data!$A:$AX,MATCH($P$1,Data!$A$1:$AX$1,),)-VLOOKUP(EDATE(B154,-12),Data!$A:$AX,MATCH($P$1,Data!$A$1:$AX$1,),))/VLOOKUP(EDATE(B154,-12),Data!$A:$AX,MATCH($P$1,Data!$A$1:$AX$1,),))</f>
        <v>6.3194578726246717E-2</v>
      </c>
      <c r="Q154" s="20" t="e">
        <f>(VLOOKUP(B154,Data!$A:$AX,MATCH($Q$1,Data!$A$1:$AX$1,),)-VLOOKUP(EDATE(B154,-12),Data!$A:$AX,MATCH($Q$1,Data!$A$1:$AX$1,),))/VLOOKUP(EDATE(B154,-12),Data!$A:$AX,MATCH($Q$1,Data!$A$1:$AX$1,),)</f>
        <v>#N/A</v>
      </c>
      <c r="R154" s="20">
        <f>IF(VLOOKUP(B154,Data!$A:$AX,MATCH($R$1,Data!$A$1:$AX$1,))=0,#N/A,(VLOOKUP(B154,Data!$A:$AX,MATCH($R$1,Data!$A$1:$AX$1,),)-VLOOKUP(EDATE(B154,-12),Data!$A:$AX,MATCH($R$1,Data!$A$1:$AX$1,),))/VLOOKUP(EDATE(B154,-12),Data!$A:$AX,MATCH($R$1,Data!$A$1:$AX$1,),))</f>
        <v>2.8402709885974618E-2</v>
      </c>
      <c r="S154" s="20">
        <f>IF(VLOOKUP(B154,Data!$A:$AX,MATCH($S$1,Data!$A$1:$AX$1,))=0,#N/A,(VLOOKUP(B154,Data!$A:$AX,MATCH($S$1,Data!$A$1:$AX$1,),)-VLOOKUP(EDATE(B154,-12),Data!$A:$AX,MATCH($S$1,Data!$A$1:$AX$1,),))/VLOOKUP(EDATE(B154,-12),Data!$A:$AX,MATCH($S$1,Data!$A$1:$AX$1,),))</f>
        <v>5.0364526917367765E-2</v>
      </c>
      <c r="T154" s="20">
        <f>IF(VLOOKUP(B154,Data!$A:$AX,MATCH($T$1,Data!$A$1:$AX$1,))=0,#N/A,(VLOOKUP(B154,Data!$A:$AX,MATCH($T$1,Data!$A$1:$AX$1,),)-VLOOKUP(EDATE(B154,-12),Data!$A:$AX,MATCH($T$1,Data!$A$1:$AX$1,),))/VLOOKUP(EDATE(B154,-12),Data!$A:$AX,MATCH($T$1,Data!$A$1:$AX$1,),))</f>
        <v>5.7850983573768618E-2</v>
      </c>
      <c r="U154" s="20">
        <f>IF(VLOOKUP(B154,Data!$A:$AX,MATCH($U$1,Data!$A$1:$AX$1,))=0,#N/A,(VLOOKUP(B154,Data!$A:$AX,MATCH($U$1,Data!$A$1:$AX$1,),)-VLOOKUP(EDATE(B154,-12),Data!$A:$AX,MATCH($U$1,Data!$A$1:$AX$1,),))/VLOOKUP(EDATE(B154,-12),Data!$A:$AX,MATCH($U$1,Data!$A$1:$AX$1,),))</f>
        <v>7.2240114979910022E-2</v>
      </c>
      <c r="V154" s="20">
        <f>(VLOOKUP(B154,Data!$A:$AX,MATCH($V$1,Data!$A$1:$AX$1,),)-VLOOKUP(EDATE(B154,-12),Data!$A:$AX,MATCH($V$1,Data!$A$1:$AX$1,),))/VLOOKUP(EDATE(B154,-12),Data!$A:$AX,MATCH($V$1,Data!$A$1:$AX$1,),)</f>
        <v>8.2243041478283749E-2</v>
      </c>
      <c r="W154" s="20">
        <f>IF(VLOOKUP(B154,Data!$A:$AX,MATCH($W$1,Data!$A$1:$AX$1,))=0,#N/A,(VLOOKUP(B154,Data!$A:$AX,MATCH($W$1,Data!$A$1:$AX$1,),)-VLOOKUP(EDATE(B154,-12),Data!$A:$AX,MATCH($W$1,Data!$A$1:$AX$1,),))/VLOOKUP(EDATE(B154,-12),Data!$A:$AX,MATCH($W$1,Data!$A$1:$AX$1,),))</f>
        <v>0.64269603335730729</v>
      </c>
      <c r="X154" s="20">
        <f>IF(VLOOKUP(B154,Data!$A:$AX,MATCH($X$1,Data!$A$1:$AX$1,))=0,#N/A,(VLOOKUP(B154,Data!$A:$AX,MATCH($X$1,Data!$A$1:$AX$1,),)-VLOOKUP(EDATE(B154,-12),Data!$A:$AX,MATCH($X$1,Data!$A$1:$AX$1,),))/VLOOKUP(EDATE(B154,-12),Data!$A:$AX,MATCH($X$1,Data!$A$1:$AX$1,),))</f>
        <v>0.15758591785414919</v>
      </c>
      <c r="Y154" s="20">
        <f>IF(VLOOKUP(B154,Data!$A:$AX,MATCH($Y$1,Data!$A$1:$AX$1,))=0,#N/A,(VLOOKUP(B154,Data!$A:$AX,MATCH($Y$1,Data!$A$1:$AX$1,),)-VLOOKUP(EDATE(B154,-12),Data!$A:$AX,MATCH($Y$1,Data!$A$1:$AX$1,),))/VLOOKUP(EDATE(B154,-12),Data!$A:$AX,MATCH($Y$1,Data!$A$1:$AX$1,),))</f>
        <v>0.16814750063608253</v>
      </c>
    </row>
    <row r="155" spans="2:25" s="72" customFormat="1" x14ac:dyDescent="0.35">
      <c r="B155" s="15">
        <v>44927</v>
      </c>
      <c r="C155" s="20">
        <f>IF(VLOOKUP(B155,Data!$A:$AX,MATCH($C$1,Data!$A$1:$AX$1,))=0,#N/A,(VLOOKUP(B155,Data!$A:$AX,MATCH($C$1,Data!$A$1:$AX$1,),)-VLOOKUP(EDATE(B155,-12),Data!$A:$AX,MATCH($C$1,Data!$A$1:$AX$1,),))/VLOOKUP(EDATE(B155,-12),Data!$A:$AX,MATCH($C$1,Data!$A$1:$AX$1,),))</f>
        <v>6.4101710261315017E-2</v>
      </c>
      <c r="D155" s="20">
        <f>IF(VLOOKUP(B155,Data!$A:$AX,MATCH($D$1,Data!$A$1:$AX$1,))=0,#N/A,(VLOOKUP(B155,Data!$A:$AX,MATCH($D$1,Data!$A$1:$AX$1,),)-VLOOKUP(EDATE(B155,-12),Data!$A:$AX,MATCH($D$1,Data!$A$1:$AX$1,),))/VLOOKUP(EDATE(B155,-12),Data!$A:$AX,MATCH($D$1,Data!$A$1:$AX$1,),))</f>
        <v>2.0607836150811038E-2</v>
      </c>
      <c r="E155" s="20" t="e">
        <f>IF(VLOOKUP(B155,Data!$A:$AX,MATCH($E$1,Data!$A$1:$AX$1,))=0,#N/A,(VLOOKUP(B155,Data!$A:$AX,MATCH($E$1,Data!$A$1:$AX$1,),)-VLOOKUP(EDATE(B155,-12),Data!$A:$AX,MATCH($E$1,Data!$A$1:$AX$1,),))/VLOOKUP(EDATE(B155,-12),Data!$A:$AX,MATCH($E$1,Data!$A$1:$AX$1,),))</f>
        <v>#N/A</v>
      </c>
      <c r="F155" s="20" t="e">
        <f>IF(VLOOKUP(B155,Data!$A:$AX,MATCH($F$1,Data!$A$1:$AX$1,))=0,#N/A,(VLOOKUP(B155,Data!$A:$AX,MATCH($F$1,Data!$A$1:$AX$1,),)-VLOOKUP(EDATE(B155,-12),Data!$A:$AX,MATCH($F$1,Data!$A$1:$AX$1,),))/VLOOKUP(EDATE(B155,-12),Data!$A:$AX,MATCH($F$1,Data!$A$1:$AX$1,),))</f>
        <v>#N/A</v>
      </c>
      <c r="G155" s="20" t="e">
        <f>IF(VLOOKUP(B155,Data!$A:$AX,MATCH($G$1,Data!$A$1:$AX$1,))=0,#N/A,(VLOOKUP(B155,Data!$A:$AX,MATCH($G$1,Data!$A$1:$AX$1,),)-VLOOKUP(EDATE(B155,-12),Data!$A:$AX,MATCH($G$1,Data!$A$1:$AX$1,),))/VLOOKUP(EDATE(B155,-12),Data!$A:$AX,MATCH($G$1,Data!$A$1:$AX$1,),))</f>
        <v>#N/A</v>
      </c>
      <c r="H155" s="20" t="e">
        <f>IF(VLOOKUP(B155,Data!$A:$AX,MATCH($H$1,Data!$A$1:$AX$1,))=0,#N/A,(VLOOKUP(B155,Data!$A:$AX,MATCH($H$1,Data!$A$1:$AX$1,),)-VLOOKUP(EDATE(B155,-12),Data!$A:$AX,MATCH($H$1,Data!$A$1:$AX$1,),))/VLOOKUP(EDATE(B155,-12),Data!$A:$AX,MATCH($H$1,Data!$A$1:$AX$1,),))</f>
        <v>#N/A</v>
      </c>
      <c r="I155" s="20">
        <f>IF(VLOOKUP(B155,Data!$A:$AX,MATCH($I$1,Data!$A$1:$AX$1,))=0,#N/A,(VLOOKUP(B155,Data!$A:$AX,MATCH($I$1,Data!$A$1:$AX$1,),)-VLOOKUP(EDATE(B155,-12),Data!$A:$AX,MATCH($I$1,Data!$A$1:$AX$1,),))/VLOOKUP(EDATE(B155,-12),Data!$A:$AX,MATCH($I$1,Data!$A$1:$AX$1,),))</f>
        <v>8.9005235602094265E-2</v>
      </c>
      <c r="J155" s="20">
        <f>IF(VLOOKUP(B155,Data!$A:$AX,MATCH($J$1,Data!$A$1:$AX$1,))=0,#N/A,(VLOOKUP(B155,Data!$A:$AX,MATCH($J$1,Data!$A$1:$AX$1,),)-VLOOKUP(EDATE(B155,-12),Data!$A:$AX,MATCH($J$1,Data!$A$1:$AX$1,),))/VLOOKUP(EDATE(B155,-12),Data!$A:$AX,MATCH($J$1,Data!$A$1:$AX$1,),))</f>
        <v>0.1006463527239151</v>
      </c>
      <c r="K155" s="20">
        <f>IF(VLOOKUP(B155,Data!$A:$AX,MATCH($K$1,Data!$A$1:$AX$1,))=0,#N/A,(VLOOKUP(B155,Data!$A:$AX,MATCH($K$1,Data!$A$1:$AX$1,),)-VLOOKUP(EDATE(B155,-12),Data!$A:$AX,MATCH($K$1,Data!$A$1:$AX$1,),))/VLOOKUP(EDATE(B155,-12),Data!$A:$AX,MATCH($K$1,Data!$A$1:$AX$1,),))</f>
        <v>5.8908630425978867E-2</v>
      </c>
      <c r="L155" s="20" t="e">
        <f>IF(VLOOKUP(B155,Data!$A:$AX,MATCH($L$1,Data!$A$1:$AX$1,))=0,#N/A,(VLOOKUP(B155,Data!$A:$AX,MATCH($L$1,Data!$A$1:$AX$1,),)-VLOOKUP(EDATE(B155,-12),Data!$A:$AX,MATCH($L$1,Data!$A$1:$AX$1,),))/VLOOKUP(EDATE(B155,-12),Data!$A:$AX,MATCH($L$1,Data!$A$1:$AX$1,),))</f>
        <v>#N/A</v>
      </c>
      <c r="M155" s="20">
        <f>IF(VLOOKUP(B155,Data!$A:$AX,MATCH($M$1,Data!$A$1:$AX$1,))=0,#N/A,(VLOOKUP(B155,Data!$A:$AX,MATCH($M$1,Data!$A$1:$AX$1,),)-VLOOKUP(EDATE(B155,-12),Data!$A:$AX,MATCH($M$1,Data!$A$1:$AX$1,),))/VLOOKUP(EDATE(B155,-12),Data!$A:$AX,MATCH($M$1,Data!$A$1:$AX$1,),))</f>
        <v>7.9100233543502582E-2</v>
      </c>
      <c r="N155" s="20">
        <f>(VLOOKUP(B155,Data!$A:$AX,MATCH($N$1,Data!$A$1:$AX$1,),)-VLOOKUP(EDATE(B155,-12),Data!$A:$AX,MATCH($N$1,Data!$A$1:$AX$1,),))/VLOOKUP(EDATE(B155,-12),Data!$A:$AX,MATCH($N$1,Data!$A$1:$AX$1,),)</f>
        <v>-1</v>
      </c>
      <c r="O155" s="20" t="e">
        <f>IF(VLOOKUP(B155,Data!$A:$AX,MATCH($O$1,Data!$A$1:$AX$1,))=0,#N/A,(VLOOKUP(B155,Data!$A:$AX,MATCH($O$1,Data!$A$1:$AX$1,),)-VLOOKUP(EDATE(B155,-12),Data!$A:$AX,MATCH($O$1,Data!$A$1:$AX$1,),))/VLOOKUP(EDATE(B155,-12),Data!$A:$AX,MATCH($O$1,Data!$A$1:$AX$1,),))</f>
        <v>#N/A</v>
      </c>
      <c r="P155" s="20" t="e">
        <f>IF(VLOOKUP(B155,Data!$A:$AX,MATCH($P$1,Data!$A$1:$AX$1,))=0,#N/A,(VLOOKUP(B155,Data!$A:$AX,MATCH($P$1,Data!$A$1:$AX$1,),)-VLOOKUP(EDATE(B155,-12),Data!$A:$AX,MATCH($P$1,Data!$A$1:$AX$1,),))/VLOOKUP(EDATE(B155,-12),Data!$A:$AX,MATCH($P$1,Data!$A$1:$AX$1,),))</f>
        <v>#N/A</v>
      </c>
      <c r="Q155" s="20" t="e">
        <f>(VLOOKUP(B155,Data!$A:$AX,MATCH($Q$1,Data!$A$1:$AX$1,),)-VLOOKUP(EDATE(B155,-12),Data!$A:$AX,MATCH($Q$1,Data!$A$1:$AX$1,),))/VLOOKUP(EDATE(B155,-12),Data!$A:$AX,MATCH($Q$1,Data!$A$1:$AX$1,),)</f>
        <v>#N/A</v>
      </c>
      <c r="R155" s="20">
        <f>IF(VLOOKUP(B155,Data!$A:$AX,MATCH($R$1,Data!$A$1:$AX$1,))=0,#N/A,(VLOOKUP(B155,Data!$A:$AX,MATCH($R$1,Data!$A$1:$AX$1,),)-VLOOKUP(EDATE(B155,-12),Data!$A:$AX,MATCH($R$1,Data!$A$1:$AX$1,),))/VLOOKUP(EDATE(B155,-12),Data!$A:$AX,MATCH($R$1,Data!$A$1:$AX$1,),))</f>
        <v>3.2824978567883467E-2</v>
      </c>
      <c r="S155" s="20">
        <f>IF(VLOOKUP(B155,Data!$A:$AX,MATCH($S$1,Data!$A$1:$AX$1,))=0,#N/A,(VLOOKUP(B155,Data!$A:$AX,MATCH($S$1,Data!$A$1:$AX$1,),)-VLOOKUP(EDATE(B155,-12),Data!$A:$AX,MATCH($S$1,Data!$A$1:$AX$1,),))/VLOOKUP(EDATE(B155,-12),Data!$A:$AX,MATCH($S$1,Data!$A$1:$AX$1,),))</f>
        <v>5.1676488923683657E-2</v>
      </c>
      <c r="T155" s="20">
        <f>IF(VLOOKUP(B155,Data!$A:$AX,MATCH($T$1,Data!$A$1:$AX$1,))=0,#N/A,(VLOOKUP(B155,Data!$A:$AX,MATCH($T$1,Data!$A$1:$AX$1,),)-VLOOKUP(EDATE(B155,-12),Data!$A:$AX,MATCH($T$1,Data!$A$1:$AX$1,),))/VLOOKUP(EDATE(B155,-12),Data!$A:$AX,MATCH($T$1,Data!$A$1:$AX$1,),))</f>
        <v>5.7744789827906116E-2</v>
      </c>
      <c r="U155" s="20">
        <f>IF(VLOOKUP(B155,Data!$A:$AX,MATCH($U$1,Data!$A$1:$AX$1,))=0,#N/A,(VLOOKUP(B155,Data!$A:$AX,MATCH($U$1,Data!$A$1:$AX$1,),)-VLOOKUP(EDATE(B155,-12),Data!$A:$AX,MATCH($U$1,Data!$A$1:$AX$1,),))/VLOOKUP(EDATE(B155,-12),Data!$A:$AX,MATCH($U$1,Data!$A$1:$AX$1,),))</f>
        <v>6.9891861344614198E-2</v>
      </c>
      <c r="V155" s="20">
        <f>(VLOOKUP(B155,Data!$A:$AX,MATCH($V$1,Data!$A$1:$AX$1,),)-VLOOKUP(EDATE(B155,-12),Data!$A:$AX,MATCH($V$1,Data!$A$1:$AX$1,),))/VLOOKUP(EDATE(B155,-12),Data!$A:$AX,MATCH($V$1,Data!$A$1:$AX$1,),)</f>
        <v>7.7861026382832946E-2</v>
      </c>
      <c r="W155" s="20">
        <f>IF(VLOOKUP(B155,Data!$A:$AX,MATCH($W$1,Data!$A$1:$AX$1,))=0,#N/A,(VLOOKUP(B155,Data!$A:$AX,MATCH($W$1,Data!$A$1:$AX$1,),)-VLOOKUP(EDATE(B155,-12),Data!$A:$AX,MATCH($W$1,Data!$A$1:$AX$1,),))/VLOOKUP(EDATE(B155,-12),Data!$A:$AX,MATCH($W$1,Data!$A$1:$AX$1,),))</f>
        <v>0.57682482561772119</v>
      </c>
      <c r="X155" s="20">
        <f>IF(VLOOKUP(B155,Data!$A:$AX,MATCH($X$1,Data!$A$1:$AX$1,))=0,#N/A,(VLOOKUP(B155,Data!$A:$AX,MATCH($X$1,Data!$A$1:$AX$1,),)-VLOOKUP(EDATE(B155,-12),Data!$A:$AX,MATCH($X$1,Data!$A$1:$AX$1,),))/VLOOKUP(EDATE(B155,-12),Data!$A:$AX,MATCH($X$1,Data!$A$1:$AX$1,),))</f>
        <v>0.17495987158908516</v>
      </c>
      <c r="Y155" s="20" t="e">
        <f>IF(VLOOKUP(B155,Data!$A:$AX,MATCH($Y$1,Data!$A$1:$AX$1,))=0,#N/A,(VLOOKUP(B155,Data!$A:$AX,MATCH($Y$1,Data!$A$1:$AX$1,),)-VLOOKUP(EDATE(B155,-12),Data!$A:$AX,MATCH($Y$1,Data!$A$1:$AX$1,),))/VLOOKUP(EDATE(B155,-12),Data!$A:$AX,MATCH($Y$1,Data!$A$1:$AX$1,),))</f>
        <v>#N/A</v>
      </c>
    </row>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5">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5">
    <cfRule type="colorScale" priority="1">
      <colorScale>
        <cfvo type="min"/>
        <cfvo type="percentile" val="50"/>
        <cfvo type="max"/>
        <color rgb="FFF8696B"/>
        <color rgb="FFFFEB84"/>
        <color rgb="FF63BE7B"/>
      </colorScale>
    </cfRule>
  </conditionalFormatting>
  <conditionalFormatting sqref="E59:AA59 Z60:AA106 E60:Y155">
    <cfRule type="colorScale" priority="24">
      <colorScale>
        <cfvo type="min"/>
        <cfvo type="percentile" val="50"/>
        <cfvo type="max"/>
        <color rgb="FFF8696B"/>
        <color rgb="FFFFEB84"/>
        <color rgb="FF63BE7B"/>
      </colorScale>
    </cfRule>
  </conditionalFormatting>
  <conditionalFormatting sqref="O15:O155">
    <cfRule type="colorScale" priority="23">
      <colorScale>
        <cfvo type="min"/>
        <cfvo type="percentile" val="50"/>
        <cfvo type="max"/>
        <color rgb="FFF8696B"/>
        <color rgb="FFFFEB84"/>
        <color rgb="FF63BE7B"/>
      </colorScale>
    </cfRule>
  </conditionalFormatting>
  <conditionalFormatting sqref="O59:O155">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5">
    <cfRule type="colorScale" priority="21">
      <colorScale>
        <cfvo type="min"/>
        <cfvo type="percentile" val="50"/>
        <cfvo type="max"/>
        <color rgb="FFF8696B"/>
        <color rgb="FFFFEB84"/>
        <color rgb="FF63BE7B"/>
      </colorScale>
    </cfRule>
  </conditionalFormatting>
  <conditionalFormatting sqref="F59:F155">
    <cfRule type="colorScale" priority="19">
      <colorScale>
        <cfvo type="min"/>
        <cfvo type="percentile" val="50"/>
        <cfvo type="max"/>
        <color rgb="FFF8696B"/>
        <color rgb="FFFFEB84"/>
        <color rgb="FF63BE7B"/>
      </colorScale>
    </cfRule>
  </conditionalFormatting>
  <conditionalFormatting sqref="G59:G155">
    <cfRule type="colorScale" priority="18">
      <colorScale>
        <cfvo type="min"/>
        <cfvo type="percentile" val="50"/>
        <cfvo type="max"/>
        <color rgb="FFF8696B"/>
        <color rgb="FFFFEB84"/>
        <color rgb="FF63BE7B"/>
      </colorScale>
    </cfRule>
  </conditionalFormatting>
  <conditionalFormatting sqref="H59:H155">
    <cfRule type="colorScale" priority="17">
      <colorScale>
        <cfvo type="min"/>
        <cfvo type="percentile" val="50"/>
        <cfvo type="max"/>
        <color rgb="FFF8696B"/>
        <color rgb="FFFFEB84"/>
        <color rgb="FF63BE7B"/>
      </colorScale>
    </cfRule>
  </conditionalFormatting>
  <conditionalFormatting sqref="I59:I155">
    <cfRule type="colorScale" priority="16">
      <colorScale>
        <cfvo type="min"/>
        <cfvo type="percentile" val="50"/>
        <cfvo type="max"/>
        <color rgb="FFF8696B"/>
        <color rgb="FFFFEB84"/>
        <color rgb="FF63BE7B"/>
      </colorScale>
    </cfRule>
  </conditionalFormatting>
  <conditionalFormatting sqref="J59:J155">
    <cfRule type="colorScale" priority="15">
      <colorScale>
        <cfvo type="min"/>
        <cfvo type="percentile" val="50"/>
        <cfvo type="max"/>
        <color rgb="FFF8696B"/>
        <color rgb="FFFFEB84"/>
        <color rgb="FF63BE7B"/>
      </colorScale>
    </cfRule>
  </conditionalFormatting>
  <conditionalFormatting sqref="K59:K155">
    <cfRule type="colorScale" priority="14">
      <colorScale>
        <cfvo type="min"/>
        <cfvo type="percentile" val="50"/>
        <cfvo type="max"/>
        <color rgb="FFF8696B"/>
        <color rgb="FFFFEB84"/>
        <color rgb="FF63BE7B"/>
      </colorScale>
    </cfRule>
  </conditionalFormatting>
  <conditionalFormatting sqref="L59:L155">
    <cfRule type="colorScale" priority="13">
      <colorScale>
        <cfvo type="min"/>
        <cfvo type="percentile" val="50"/>
        <cfvo type="max"/>
        <color rgb="FFF8696B"/>
        <color rgb="FFFFEB84"/>
        <color rgb="FF63BE7B"/>
      </colorScale>
    </cfRule>
  </conditionalFormatting>
  <conditionalFormatting sqref="M59:M155">
    <cfRule type="colorScale" priority="12">
      <colorScale>
        <cfvo type="min"/>
        <cfvo type="percentile" val="50"/>
        <cfvo type="max"/>
        <color rgb="FFF8696B"/>
        <color rgb="FFFFEB84"/>
        <color rgb="FF63BE7B"/>
      </colorScale>
    </cfRule>
  </conditionalFormatting>
  <conditionalFormatting sqref="P59:P155">
    <cfRule type="colorScale" priority="11">
      <colorScale>
        <cfvo type="min"/>
        <cfvo type="percentile" val="50"/>
        <cfvo type="max"/>
        <color rgb="FFF8696B"/>
        <color rgb="FFFFEB84"/>
        <color rgb="FF63BE7B"/>
      </colorScale>
    </cfRule>
  </conditionalFormatting>
  <conditionalFormatting sqref="R59:R155">
    <cfRule type="colorScale" priority="10">
      <colorScale>
        <cfvo type="min"/>
        <cfvo type="percentile" val="50"/>
        <cfvo type="max"/>
        <color rgb="FFF8696B"/>
        <color rgb="FFFFEB84"/>
        <color rgb="FF63BE7B"/>
      </colorScale>
    </cfRule>
  </conditionalFormatting>
  <conditionalFormatting sqref="S59:S155">
    <cfRule type="colorScale" priority="9">
      <colorScale>
        <cfvo type="min"/>
        <cfvo type="percentile" val="50"/>
        <cfvo type="max"/>
        <color rgb="FFF8696B"/>
        <color rgb="FFFFEB84"/>
        <color rgb="FF63BE7B"/>
      </colorScale>
    </cfRule>
  </conditionalFormatting>
  <conditionalFormatting sqref="T59:T155">
    <cfRule type="colorScale" priority="8">
      <colorScale>
        <cfvo type="min"/>
        <cfvo type="percentile" val="50"/>
        <cfvo type="max"/>
        <color rgb="FFF8696B"/>
        <color rgb="FFFFEB84"/>
        <color rgb="FF63BE7B"/>
      </colorScale>
    </cfRule>
  </conditionalFormatting>
  <conditionalFormatting sqref="U59:U155">
    <cfRule type="colorScale" priority="7">
      <colorScale>
        <cfvo type="min"/>
        <cfvo type="percentile" val="50"/>
        <cfvo type="max"/>
        <color rgb="FFF8696B"/>
        <color rgb="FFFFEB84"/>
        <color rgb="FF63BE7B"/>
      </colorScale>
    </cfRule>
  </conditionalFormatting>
  <conditionalFormatting sqref="W59:W155">
    <cfRule type="colorScale" priority="6">
      <colorScale>
        <cfvo type="min"/>
        <cfvo type="percentile" val="50"/>
        <cfvo type="max"/>
        <color rgb="FFF8696B"/>
        <color rgb="FFFFEB84"/>
        <color rgb="FF63BE7B"/>
      </colorScale>
    </cfRule>
  </conditionalFormatting>
  <conditionalFormatting sqref="X59:X155">
    <cfRule type="colorScale" priority="5">
      <colorScale>
        <cfvo type="min"/>
        <cfvo type="percentile" val="50"/>
        <cfvo type="max"/>
        <color rgb="FFF8696B"/>
        <color rgb="FFFFEB84"/>
        <color rgb="FF63BE7B"/>
      </colorScale>
    </cfRule>
  </conditionalFormatting>
  <conditionalFormatting sqref="Y59:Y155">
    <cfRule type="colorScale" priority="4">
      <colorScale>
        <cfvo type="min"/>
        <cfvo type="percentile" val="50"/>
        <cfvo type="max"/>
        <color rgb="FFF8696B"/>
        <color rgb="FFFFEB84"/>
        <color rgb="FF63BE7B"/>
      </colorScale>
    </cfRule>
  </conditionalFormatting>
  <conditionalFormatting sqref="C59:C155">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20" zoomScaleNormal="120" workbookViewId="0">
      <pane xSplit="2" ySplit="9" topLeftCell="C144" activePane="bottomRight" state="frozen"/>
      <selection activeCell="M12" sqref="M12"/>
      <selection pane="topRight" activeCell="M12" sqref="M12"/>
      <selection pane="bottomLeft" activeCell="M12" sqref="M12"/>
      <selection pane="bottomRight" activeCell="X158" sqref="X158"/>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t="e">
        <f t="shared" ca="1" si="0"/>
        <v>#N/A</v>
      </c>
      <c r="F4" s="22" t="e">
        <f t="shared" ca="1" si="0"/>
        <v>#N/A</v>
      </c>
      <c r="G4" s="22" t="e">
        <f t="shared" ca="1" si="0"/>
        <v>#N/A</v>
      </c>
      <c r="H4" s="22" t="e">
        <f t="shared" ca="1" si="0"/>
        <v>#N/A</v>
      </c>
      <c r="I4" s="22">
        <f t="shared" ca="1" si="0"/>
        <v>5.8201058201058149E-2</v>
      </c>
      <c r="J4" s="22" t="e">
        <f t="shared" ca="1" si="0"/>
        <v>#N/A</v>
      </c>
      <c r="K4" s="22">
        <f t="shared" ca="1" si="0"/>
        <v>5.1215414103609622E-2</v>
      </c>
      <c r="L4" s="22" t="e">
        <f t="shared" ca="1" si="0"/>
        <v>#N/A</v>
      </c>
      <c r="M4" s="22">
        <f t="shared" ca="1" si="0"/>
        <v>6.6332856309621296E-2</v>
      </c>
      <c r="N4" s="22" t="e">
        <f t="shared" ca="1" si="0"/>
        <v>#DIV/0!</v>
      </c>
      <c r="O4" s="22" t="e">
        <f t="shared" ca="1" si="0"/>
        <v>#DIV/0!</v>
      </c>
      <c r="P4" s="22" t="e">
        <f t="shared" ca="1" si="0"/>
        <v>#N/A</v>
      </c>
      <c r="Q4" s="22" t="e">
        <f t="shared" ca="1" si="0"/>
        <v>#N/A</v>
      </c>
      <c r="R4" s="22">
        <f t="shared" ca="1" si="0"/>
        <v>2.0456025799891919E-2</v>
      </c>
      <c r="S4" s="22">
        <f t="shared" ca="1" si="0"/>
        <v>4.2524105853663577E-2</v>
      </c>
      <c r="T4" s="22" t="e">
        <f t="shared" ca="1" si="0"/>
        <v>#DIV/0!</v>
      </c>
      <c r="U4" s="22">
        <f t="shared" ca="1" si="0"/>
        <v>5.8324268917574806E-2</v>
      </c>
      <c r="V4" s="22">
        <f t="shared" ca="1" si="0"/>
        <v>5.6115717427105374E-2</v>
      </c>
      <c r="W4" s="22">
        <f t="shared" ca="1" si="0"/>
        <v>0.71718986218556846</v>
      </c>
      <c r="X4" s="22">
        <f t="shared" ca="1" si="0"/>
        <v>0.13502109704641349</v>
      </c>
      <c r="Y4" s="22" t="e">
        <f t="shared" ca="1" si="0"/>
        <v>#N/A</v>
      </c>
      <c r="Z4" s="22" t="e">
        <f>MAX(Z94:Z106)</f>
        <v>#N/A</v>
      </c>
      <c r="AA4" s="22" t="e">
        <f>MAX(AA94:AA106)</f>
        <v>#N/A</v>
      </c>
      <c r="AB4" s="12"/>
    </row>
    <row r="5" spans="2:34" x14ac:dyDescent="0.35">
      <c r="B5" s="3" t="s">
        <v>514</v>
      </c>
      <c r="C5" s="22">
        <f t="shared" ref="C5:Y5" ca="1" si="1">MIN(OFFSET(C$59,COUNT(C$59:C$250),0,-13,1))</f>
        <v>5.582589854810991E-2</v>
      </c>
      <c r="D5" s="22" t="e">
        <f t="shared" ca="1" si="1"/>
        <v>#DIV/0!</v>
      </c>
      <c r="E5" s="22" t="e">
        <f t="shared" ca="1" si="1"/>
        <v>#N/A</v>
      </c>
      <c r="F5" s="22" t="e">
        <f t="shared" ca="1" si="1"/>
        <v>#N/A</v>
      </c>
      <c r="G5" s="22" t="e">
        <f t="shared" ca="1" si="1"/>
        <v>#N/A</v>
      </c>
      <c r="H5" s="22" t="e">
        <f t="shared" ca="1" si="1"/>
        <v>#N/A</v>
      </c>
      <c r="I5" s="22">
        <f t="shared" ca="1" si="1"/>
        <v>4.5495905368516831E-2</v>
      </c>
      <c r="J5" s="22" t="e">
        <f t="shared" ca="1" si="1"/>
        <v>#N/A</v>
      </c>
      <c r="K5" s="22">
        <f t="shared" ca="1" si="1"/>
        <v>2.4243220095957144E-2</v>
      </c>
      <c r="L5" s="22" t="e">
        <f t="shared" ca="1" si="1"/>
        <v>#N/A</v>
      </c>
      <c r="M5" s="22">
        <f t="shared" ca="1" si="1"/>
        <v>5.3894682377057676E-2</v>
      </c>
      <c r="N5" s="22" t="e">
        <f t="shared" ca="1" si="1"/>
        <v>#DIV/0!</v>
      </c>
      <c r="O5" s="22" t="e">
        <f t="shared" ca="1" si="1"/>
        <v>#DIV/0!</v>
      </c>
      <c r="P5" s="22" t="e">
        <f t="shared" ca="1" si="1"/>
        <v>#N/A</v>
      </c>
      <c r="Q5" s="22" t="e">
        <f t="shared" ca="1" si="1"/>
        <v>#N/A</v>
      </c>
      <c r="R5" s="22">
        <f t="shared" ca="1" si="1"/>
        <v>1.5425409704809623E-2</v>
      </c>
      <c r="S5" s="22">
        <f t="shared" ca="1" si="1"/>
        <v>2.8699115484512309E-2</v>
      </c>
      <c r="T5" s="22" t="e">
        <f t="shared" ca="1" si="1"/>
        <v>#DIV/0!</v>
      </c>
      <c r="U5" s="22">
        <f t="shared" ca="1" si="1"/>
        <v>1.1713924885805645E-2</v>
      </c>
      <c r="V5" s="22">
        <f t="shared" ca="1" si="1"/>
        <v>3.7159136013695152E-2</v>
      </c>
      <c r="W5" s="22">
        <f t="shared" ca="1" si="1"/>
        <v>0.44100954139735293</v>
      </c>
      <c r="X5" s="22">
        <f t="shared" ca="1" si="1"/>
        <v>9.792027729636045E-2</v>
      </c>
      <c r="Y5" s="22" t="e">
        <f t="shared" ca="1" si="1"/>
        <v>#N/A</v>
      </c>
      <c r="Z5" s="22" t="e">
        <f>MIN(Z94:Z106)</f>
        <v>#N/A</v>
      </c>
      <c r="AA5" s="22" t="e">
        <f>MIN(AA94:AA106)</f>
        <v>#N/A</v>
      </c>
      <c r="AB5" s="12"/>
    </row>
    <row r="6" spans="2:34" x14ac:dyDescent="0.35">
      <c r="B6" s="3" t="s">
        <v>515</v>
      </c>
      <c r="C6" s="22">
        <f t="shared" ref="C6:Y6" ca="1" si="2">AVERAGE(OFFSET(C$59,COUNT(C$59:C$250),0,-13,1))</f>
        <v>6.1153540884180485E-2</v>
      </c>
      <c r="D6" s="22" t="e">
        <f t="shared" ca="1" si="2"/>
        <v>#DIV/0!</v>
      </c>
      <c r="E6" s="22" t="e">
        <f t="shared" ca="1" si="2"/>
        <v>#N/A</v>
      </c>
      <c r="F6" s="22" t="e">
        <f t="shared" ca="1" si="2"/>
        <v>#N/A</v>
      </c>
      <c r="G6" s="22" t="e">
        <f t="shared" ca="1" si="2"/>
        <v>#N/A</v>
      </c>
      <c r="H6" s="22" t="e">
        <f t="shared" ca="1" si="2"/>
        <v>#N/A</v>
      </c>
      <c r="I6" s="22">
        <f t="shared" ca="1" si="2"/>
        <v>5.4096966520934819E-2</v>
      </c>
      <c r="J6" s="22" t="e">
        <f t="shared" ca="1" si="2"/>
        <v>#N/A</v>
      </c>
      <c r="K6" s="22">
        <f t="shared" ca="1" si="2"/>
        <v>3.9450207939914224E-2</v>
      </c>
      <c r="L6" s="22" t="e">
        <f t="shared" ca="1" si="2"/>
        <v>#N/A</v>
      </c>
      <c r="M6" s="22">
        <f t="shared" ca="1" si="2"/>
        <v>6.1188570208574371E-2</v>
      </c>
      <c r="N6" s="22" t="e">
        <f t="shared" ca="1" si="2"/>
        <v>#DIV/0!</v>
      </c>
      <c r="O6" s="22" t="e">
        <f t="shared" ca="1" si="2"/>
        <v>#DIV/0!</v>
      </c>
      <c r="P6" s="22" t="e">
        <f t="shared" ca="1" si="2"/>
        <v>#N/A</v>
      </c>
      <c r="Q6" s="22" t="e">
        <f t="shared" ca="1" si="2"/>
        <v>#N/A</v>
      </c>
      <c r="R6" s="22">
        <f t="shared" ca="1" si="2"/>
        <v>1.7757688839360464E-2</v>
      </c>
      <c r="S6" s="22">
        <f t="shared" ca="1" si="2"/>
        <v>3.7216112833365032E-2</v>
      </c>
      <c r="T6" s="22" t="e">
        <f t="shared" ca="1" si="2"/>
        <v>#DIV/0!</v>
      </c>
      <c r="U6" s="22">
        <f t="shared" ca="1" si="2"/>
        <v>3.7123577399679267E-2</v>
      </c>
      <c r="V6" s="22">
        <f t="shared" ca="1" si="2"/>
        <v>4.791073392006117E-2</v>
      </c>
      <c r="W6" s="22">
        <f t="shared" ca="1" si="2"/>
        <v>0.5950089863945669</v>
      </c>
      <c r="X6" s="22">
        <f t="shared" ca="1" si="2"/>
        <v>0.12383788986005649</v>
      </c>
      <c r="Y6" s="22" t="e">
        <f t="shared" ca="1" si="2"/>
        <v>#N/A</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e">
        <f t="shared" ca="1" si="3"/>
        <v>#N/A</v>
      </c>
      <c r="F7" s="23" t="e">
        <f t="shared" ca="1" si="3"/>
        <v>#N/A</v>
      </c>
      <c r="G7" s="23" t="e">
        <f t="shared" ca="1" si="3"/>
        <v>#N/A</v>
      </c>
      <c r="H7" s="23" t="e">
        <f t="shared" ca="1" si="3"/>
        <v>#N/A</v>
      </c>
      <c r="I7" s="23" t="str">
        <f t="shared" ca="1" si="3"/>
        <v>above</v>
      </c>
      <c r="J7" s="23" t="e">
        <f t="shared" ca="1" si="3"/>
        <v>#N/A</v>
      </c>
      <c r="K7" s="23" t="str">
        <f t="shared" ca="1" si="3"/>
        <v>above</v>
      </c>
      <c r="L7" s="23" t="e">
        <f t="shared" ca="1" si="3"/>
        <v>#N/A</v>
      </c>
      <c r="M7" s="23" t="str">
        <f t="shared" ca="1" si="3"/>
        <v>above</v>
      </c>
      <c r="N7" s="23" t="e">
        <f t="shared" ca="1" si="3"/>
        <v>#DIV/0!</v>
      </c>
      <c r="O7" s="23" t="e">
        <f t="shared" ca="1" si="3"/>
        <v>#DIV/0!</v>
      </c>
      <c r="P7" s="23" t="e">
        <f t="shared" ca="1" si="3"/>
        <v>#N/A</v>
      </c>
      <c r="Q7" s="23" t="e">
        <f t="shared" ca="1" si="3"/>
        <v>#N/A</v>
      </c>
      <c r="R7" s="23" t="str">
        <f t="shared" ca="1" si="3"/>
        <v>below</v>
      </c>
      <c r="S7" s="23" t="str">
        <f t="shared" ca="1" si="3"/>
        <v>above</v>
      </c>
      <c r="T7" s="23" t="e">
        <f t="shared" ca="1" si="3"/>
        <v>#DIV/0!</v>
      </c>
      <c r="U7" s="23" t="str">
        <f t="shared" ca="1" si="3"/>
        <v>above</v>
      </c>
      <c r="V7" s="23" t="str">
        <f t="shared" ca="1" si="3"/>
        <v>above</v>
      </c>
      <c r="W7" s="23" t="str">
        <f t="shared" ca="1" si="3"/>
        <v>above</v>
      </c>
      <c r="X7" s="23" t="str">
        <f t="shared" ca="1" si="3"/>
        <v>above</v>
      </c>
      <c r="Y7" s="23" t="e">
        <f t="shared" ca="1" si="3"/>
        <v>#N/A</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-1.1996314948534599E-2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-1.0013136054865318E-2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-1.4139672300955699E-2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-1.3924976394621442E-2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-1.3957971358711947E-2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-1.5510745001751694E-2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-1.4633986480246249E-2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-1.1220262614391453E-2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-1.1542174761920709E-2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-4.9674386264020008E-3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-4.6496945535835447E-3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-1.9094405072327052E-3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-9.221979208204046E-3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5.4545672461056988E-3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-4.4634284423669401E-3</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3.4558903621265591E-4</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4.4276710450310029E-4</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2.7547171681626707E-3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-7.1949689337707148E-3</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3.6866278524282851E-4</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-9.3609771077053704E-4</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-4.2796245063774739E-3</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-8.6880942740257747E-3</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-4.5405009114687358E-3</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-4.5094863860668426E-3</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-6.8229161466376769E-3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2.5225596184578047E-3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1.967890130753742E-3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4.6035391705436619E-3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7.865803869931973E-3</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1.0137084115363754E-2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6.0395143323396403E-3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3.2640434676991584E-3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6.1476730135789723E-3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6.6947858739967022E-3</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2.8095786428232977E-3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6.7576066209222357E-4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5.0126228561405122E-3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4.4861154726053512E-5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2.8205693104277406E-3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1.4349970216104904E-3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5.502422144650018E-4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-3.6564829487904398E-3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2.8100009251695574E-4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1.9271497849993368E-3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3.1427363874688818E-3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2.034703893619851E-3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6.3983723699880925E-3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2.8944528632179754E-3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2.4385902129354822E-3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4.5806168630500785E-3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5.0459971903193384E-3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2.320708625449335E-3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3.4947143058801085E-3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9.3576698377336159E-3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7.2637894255598405E-3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7.0634746061133654E-3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3.5335862561368097E-3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9.6103116369943096E-3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6.4030562685950124E-3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6.267423285153991E-3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2.6731643441644175E-3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1.0379712920559538E-2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-6.0185221489462797E-4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3.4853872316732062E-3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-1.321999028990594E-2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-1.2191210137490999E-2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-1.3586128612827014E-2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-1.4624356493053634E-2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-1.2686100484720039E-2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-1.7181611543510954E-2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-1.8827287514453186E-2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-1.2284404212309837E-2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-9.0883721440353747E-3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-2.712535418068256E-2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-1.4868032601979147E-2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-1.6745205479452005E-2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-4.7092295751891729E-3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-5.1046968147363545E-3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-3.2808674890049809E-3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1.0268012011485678E-3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1.9517001300472553E-3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6.0991084774099586E-3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9.7550647840962609E-3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1.2035958335201173E-2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1.1713924885805645E-2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1.743318862629532E-2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1.7498812737016981E-2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2.4460741698431491E-2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3.4883084822063481E-2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3.5326880228463413E-2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4.0985212332133217E-2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4.7170504532952164E-2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1.6062948592640812E-2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5.0113124522052639E-2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5.7032879646427913E-2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c r="B154" s="15">
        <v>44896</v>
      </c>
      <c r="C154" s="20">
        <f>IF(VLOOKUP(B154,'Data Core CPI'!$A:$AX,MATCH($C$1,'Data Core CPI'!$A$1:$AX$1,),)=0,#N/A,(VLOOKUP(B154,'Data Core CPI'!$A:$AX,MATCH($C$1,'Data Core CPI'!$A$1:$AX$1,),)-VLOOKUP(EDATE(B154,-12),'Data Core CPI'!$A:$AX,MATCH($C$1,'Data Core CPI'!$A$1:$AX$1,),))/VLOOKUP(EDATE(B154,-12),'Data Core CPI'!$A:$AX,MATCH($C$1,'Data Core CPI'!$A$1:$AX$1,),))</f>
        <v>5.7077765832181493E-2</v>
      </c>
      <c r="D154" s="20" t="e">
        <f>(VLOOKUP(B154,'Data Core CPI'!$A:$AX,MATCH($D$1,'Data Core CPI'!$A$1:$AX$1,),)-VLOOKUP(EDATE(B154,-12),'Data Core CPI'!$A:$AX,MATCH($D$1,'Data Core CPI'!$A$1:$AX$1,),))/VLOOKUP(EDATE(B154,-12),'Data Core CPI'!$A:$AX,MATCH($D$1,'Data Core CPI'!$A$1:$AX$1,),)</f>
        <v>#DIV/0!</v>
      </c>
      <c r="E154" s="20">
        <f>IF(VLOOKUP(B154,'Data Core CPI'!$A:$AX,MATCH($E$1,'Data Core CPI'!$A$1:$AX$1,),)=0,#N/A,(VLOOKUP(B154,'Data Core CPI'!$A:$AX,MATCH($E$1,'Data Core CPI'!$A$1:$AX$1,),)-VLOOKUP(EDATE(B154,-12),'Data Core CPI'!$A:$AX,MATCH($E$1,'Data Core CPI'!$A$1:$AX$1,),))/VLOOKUP(EDATE(B154,-12),'Data Core CPI'!$A:$AX,MATCH($E$1,'Data Core CPI'!$A$1:$AX$1,),))</f>
        <v>5.1820208023774128E-2</v>
      </c>
      <c r="F154" s="20" t="e">
        <f>IF(VLOOKUP(B154,'Data Core CPI'!$A:$AX,MATCH($F$1,'Data Core CPI'!$A$1:$AX$1,),)=0,#N/A,(VLOOKUP(B154,'Data Core CPI'!$A:$AX,MATCH($F$1,'Data Core CPI'!$A$1:$AX$1,),)-VLOOKUP(EDATE(B154,-12),'Data Core CPI'!$A:$AX,MATCH($F$1,'Data Core CPI'!$A$1:$AX$1,),))/VLOOKUP(EDATE(B154,-12),'Data Core CPI'!$A:$AX,MATCH($F$1,'Data Core CPI'!$A$1:$AX$1,),))</f>
        <v>#N/A</v>
      </c>
      <c r="G154" s="20">
        <f>IF(VLOOKUP(B154,'Data Core CPI'!$A:$AX,MATCH($G$1,'Data Core CPI'!$A$1:$AX$1,),)=0,#N/A,(VLOOKUP(B154,'Data Core CPI'!$A:$AX,MATCH($G$1,'Data Core CPI'!$A$1:$AX$1,),)-VLOOKUP(EDATE(B154,-12),'Data Core CPI'!$A:$AX,MATCH($G$1,'Data Core CPI'!$A$1:$AX$1,),))/VLOOKUP(EDATE(B154,-12),'Data Core CPI'!$A:$AX,MATCH($G$1,'Data Core CPI'!$A$1:$AX$1,),))</f>
        <v>5.0550632871133094E-2</v>
      </c>
      <c r="H154" s="20">
        <f>IF(VLOOKUP(B154,'Data Core CPI'!$A:$AX,MATCH($H$1,'Data Core CPI'!$A$1:$AX$1,),)=0,#N/A,(VLOOKUP(B154,'Data Core CPI'!$A:$AX,MATCH($H$1,'Data Core CPI'!$A$1:$AX$1,),)-VLOOKUP(EDATE(B154,-12),'Data Core CPI'!$A:$AX,MATCH($H$1,'Data Core CPI'!$A$1:$AX$1,),))/VLOOKUP(EDATE(B154,-12),'Data Core CPI'!$A:$AX,MATCH($H$1,'Data Core CPI'!$A$1:$AX$1,),))</f>
        <v>3.3600397608657129E-2</v>
      </c>
      <c r="I154" s="20">
        <f>IF(VLOOKUP(B154,'Data Core CPI'!$A:$AX,MATCH($I$1,'Data Core CPI'!$A$1:$AX$1,),)=0,#N/A,(VLOOKUP(B154,'Data Core CPI'!$A:$AX,MATCH($I$1,'Data Core CPI'!$A$1:$AX$1,),)-VLOOKUP(EDATE(B154,-12),'Data Core CPI'!$A:$AX,MATCH($I$1,'Data Core CPI'!$A$1:$AX$1,),))/VLOOKUP(EDATE(B154,-12),'Data Core CPI'!$A:$AX,MATCH($I$1,'Data Core CPI'!$A$1:$AX$1,),))</f>
        <v>5.769230769230764E-2</v>
      </c>
      <c r="J154" s="20">
        <f>IF(VLOOKUP(B154,'Data Core CPI'!$A:$AX,MATCH($J$1,'Data Core CPI'!$A$1:$AX$1,),)=0,#N/A,(VLOOKUP(B154,'Data Core CPI'!$A:$AX,MATCH($J$1,'Data Core CPI'!$A$1:$AX$1,),)-VLOOKUP(EDATE(B154,-12),'Data Core CPI'!$A:$AX,MATCH($J$1,'Data Core CPI'!$A$1:$AX$1,),))/VLOOKUP(EDATE(B154,-12),'Data Core CPI'!$A:$AX,MATCH($J$1,'Data Core CPI'!$A$1:$AX$1,),))</f>
        <v>4.4694652640069971E-2</v>
      </c>
      <c r="K154" s="20">
        <f>IF(VLOOKUP(B154,'Data Core CPI'!$A:$AX,MATCH($K$1,'Data Core CPI'!$A$1:$AX$1,),)=0,#N/A,(VLOOKUP(B154,'Data Core CPI'!$A:$AX,MATCH($K$1,'Data Core CPI'!$A$1:$AX$1,),)-VLOOKUP(EDATE(B154,-12),'Data Core CPI'!$A:$AX,MATCH($K$1,'Data Core CPI'!$A$1:$AX$1,),))/VLOOKUP(EDATE(B154,-12),'Data Core CPI'!$A:$AX,MATCH($K$1,'Data Core CPI'!$A$1:$AX$1,),))</f>
        <v>4.4423051375175188E-2</v>
      </c>
      <c r="L154" s="20">
        <f>IF(VLOOKUP(B154,'Data Core CPI'!$A:$AX,MATCH($L$1,'Data Core CPI'!$A$1:$AX$1,),)=0,#N/A,(VLOOKUP(B154,'Data Core CPI'!$A:$AX,MATCH($L$1,'Data Core CPI'!$A$1:$AX$1,),)-VLOOKUP(EDATE(B154,-12),'Data Core CPI'!$A:$AX,MATCH($L$1,'Data Core CPI'!$A$1:$AX$1,),))/VLOOKUP(EDATE(B154,-12),'Data Core CPI'!$A:$AX,MATCH($L$1,'Data Core CPI'!$A$1:$AX$1,),))</f>
        <v>9.4480157615351709E-2</v>
      </c>
      <c r="M154" s="20">
        <f>IF(VLOOKUP(B154,'Data Core CPI'!$A:$AX,MATCH($M$1,'Data Core CPI'!$A$1:$AX$1,),)=0,#N/A,(VLOOKUP(B154,'Data Core CPI'!$A:$AX,MATCH($M$1,'Data Core CPI'!$A$1:$AX$1,),)-VLOOKUP(EDATE(B154,-12),'Data Core CPI'!$A:$AX,MATCH($M$1,'Data Core CPI'!$A$1:$AX$1,),))/VLOOKUP(EDATE(B154,-12),'Data Core CPI'!$A:$AX,MATCH($M$1,'Data Core CPI'!$A$1:$AX$1,),))</f>
        <v>6.4120774222937826E-2</v>
      </c>
      <c r="N154" s="20" t="e">
        <f>(VLOOKUP(B154,'Data Core CPI'!$A:$AX,MATCH($N$1,'Data Core CPI'!$A$1:$AX$1,),)-VLOOKUP(EDATE(B154,-12),'Data Core CPI'!$A:$AX,MATCH($N$1,'Data Core CPI'!$A$1:$AX$1,),))/VLOOKUP(EDATE(B154,-12),'Data Core CPI'!$A:$AX,MATCH($N$1,'Data Core CPI'!$A$1:$AX$1,),)</f>
        <v>#DIV/0!</v>
      </c>
      <c r="O154" s="20" t="e">
        <f>(VLOOKUP(B154,'Data Core CPI'!$A:$AX,MATCH($O$1,'Data Core CPI'!$A$1:$AX$1,),)-VLOOKUP(EDATE(B154,-12),'Data Core CPI'!$A:$AX,MATCH($O$1,'Data Core CPI'!$A$1:$AX$1,),))/VLOOKUP(EDATE(B154,-12),'Data Core CPI'!$A:$AX,MATCH($O$1,'Data Core CPI'!$A$1:$AX$1,),)</f>
        <v>#DIV/0!</v>
      </c>
      <c r="P154" s="20">
        <f>IF(VLOOKUP(B154,'Data Core CPI'!$A:$AX,MATCH($P$1,'Data Core CPI'!$A$1:$AX$1,),)=0,#N/A,(VLOOKUP(B154,'Data Core CPI'!$A:$AX,MATCH($P$1,'Data Core CPI'!$A$1:$AX$1,),)-VLOOKUP(EDATE(B154,-12),'Data Core CPI'!$A:$AX,MATCH($P$1,'Data Core CPI'!$A$1:$AX$1,),))/VLOOKUP(EDATE(B154,-12),'Data Core CPI'!$A:$AX,MATCH($P$1,'Data Core CPI'!$A$1:$AX$1,),))</f>
        <v>5.5827534341308514E-2</v>
      </c>
      <c r="Q154" s="20" t="e">
        <f>(VLOOKUP(B154,'Data Core CPI'!$A:$AX,MATCH($Q$1,'Data Core CPI'!$A$1:$AX$1,),)-VLOOKUP(EDATE(B154,-12),'Data Core CPI'!$A:$AX,MATCH($Q$1,'Data Core CPI'!$A$1:$AX$1,),))/VLOOKUP(EDATE(B154,-12),'Data Core CPI'!$A:$AX,MATCH($Q$1,'Data Core CPI'!$A$1:$AX$1,),)</f>
        <v>#N/A</v>
      </c>
      <c r="R154" s="20">
        <f>IF(VLOOKUP(B154,'Data Core CPI'!$A:$AX,MATCH($R$1,'Data Core CPI'!$A$1:$AX$1,),)=0,#N/A,(VLOOKUP(B154,'Data Core CPI'!$A:$AX,MATCH($R$1,'Data Core CPI'!$A$1:$AX$1,),)-VLOOKUP(EDATE(B154,-12),'Data Core CPI'!$A:$AX,MATCH($R$1,'Data Core CPI'!$A$1:$AX$1,),))/VLOOKUP(EDATE(B154,-12),'Data Core CPI'!$A:$AX,MATCH($R$1,'Data Core CPI'!$A$1:$AX$1,),))</f>
        <v>1.7640314403724263E-2</v>
      </c>
      <c r="S154" s="20">
        <f>(VLOOKUP(B154,'Data Core CPI'!$A:$AX,MATCH($S$1,'Data Core CPI'!$A$1:$AX$1,),)-VLOOKUP(EDATE(B154,-12),'Data Core CPI'!$A:$AX,MATCH($S$1,'Data Core CPI'!$A$1:$AX$1,),))/VLOOKUP(EDATE(B154,-12),'Data Core CPI'!$A:$AX,MATCH($S$1,'Data Core CPI'!$A$1:$AX$1,),)</f>
        <v>4.0776299749741354E-2</v>
      </c>
      <c r="T154" s="20" t="e">
        <f>(VLOOKUP(B154,'Data Core CPI'!$A:$AX,MATCH($T$1,'Data Core CPI'!$A$1:$AX$1,),)-VLOOKUP(EDATE(B154,-12),'Data Core CPI'!$A:$AX,MATCH($T$1,'Data Core CPI'!$A$1:$AX$1,),))/VLOOKUP(EDATE(B154,-12),'Data Core CPI'!$A:$AX,MATCH($T$1,'Data Core CPI'!$A$1:$AX$1,),)</f>
        <v>#DIV/0!</v>
      </c>
      <c r="U154" s="20">
        <f>IF(VLOOKUP(B154,'Data Core CPI'!$A:$AX,MATCH($U$1,'Data Core CPI'!$A$1:$AX$1,),)=0,#N/A,(VLOOKUP(B154,'Data Core CPI'!$A:$AX,MATCH($U$1,'Data Core CPI'!$A$1:$AX$1,),)-VLOOKUP(EDATE(B154,-12),'Data Core CPI'!$A:$AX,MATCH($U$1,'Data Core CPI'!$A$1:$AX$1,),))/VLOOKUP(EDATE(B154,-12),'Data Core CPI'!$A:$AX,MATCH($U$1,'Data Core CPI'!$A$1:$AX$1,),))</f>
        <v>5.0540305846934142E-2</v>
      </c>
      <c r="V154" s="20">
        <f>(VLOOKUP(B154,'Data Core CPI'!$A:$AX,MATCH($V$1,'Data Core CPI'!$A$1:$AX$1,),)-VLOOKUP(EDATE(B154,-12),'Data Core CPI'!$A:$AX,MATCH($V$1,'Data Core CPI'!$A$1:$AX$1,),))/VLOOKUP(EDATE(B154,-12),'Data Core CPI'!$A:$AX,MATCH($V$1,'Data Core CPI'!$A$1:$AX$1,),)</f>
        <v>4.9997280616043624E-2</v>
      </c>
      <c r="W154" s="20">
        <f>IF(VLOOKUP(B154,'Data Core CPI'!$A:$AX,MATCH($W$1,'Data Core CPI'!$A$1:$AX$1,),)=0,#N/A,(VLOOKUP(B154,'Data Core CPI'!$A:$AX,MATCH($W$1,'Data Core CPI'!$A$1:$AX$1,),)-VLOOKUP(EDATE(B154,-12),'Data Core CPI'!$A:$AX,MATCH($W$1,'Data Core CPI'!$A$1:$AX$1,),))/VLOOKUP(EDATE(B154,-12),'Data Core CPI'!$A:$AX,MATCH($W$1,'Data Core CPI'!$A$1:$AX$1,),))</f>
        <v>0.54278563494295085</v>
      </c>
      <c r="X154" s="20">
        <f>IF(VLOOKUP(B154,'Data Core CPI'!$A:$AX,MATCH($X$1,'Data Core CPI'!$A$1:$AX$1,),)=0,#N/A,(VLOOKUP(B154,'Data Core CPI'!$A:$AX,MATCH($X$1,'Data Core CPI'!$A$1:$AX$1,),)-VLOOKUP(EDATE(B154,-12),'Data Core CPI'!$A:$AX,MATCH($X$1,'Data Core CPI'!$A$1:$AX$1,),))/VLOOKUP(EDATE(B154,-12),'Data Core CPI'!$A:$AX,MATCH($X$1,'Data Core CPI'!$A$1:$AX$1,),))</f>
        <v>0.1210398050365557</v>
      </c>
      <c r="Y154" s="20">
        <f>IF(VLOOKUP(B154,'Data Core CPI'!$A:$AX,MATCH($Y$1,'Data Core CPI'!$A$1:$AX$1,),)=0,#N/A,(VLOOKUP(B154,'Data Core CPI'!$A:$AX,MATCH($Y$1,'Data Core CPI'!$A$1:$AX$1,),)-VLOOKUP(EDATE(B154,-12),'Data Core CPI'!$A:$AX,MATCH($Y$1,'Data Core CPI'!$A$1:$AX$1,),))/VLOOKUP(EDATE(B154,-12),'Data Core CPI'!$A:$AX,MATCH($Y$1,'Data Core CPI'!$A$1:$AX$1,),))</f>
        <v>0.11500397287407435</v>
      </c>
    </row>
    <row r="155" spans="2:25" s="72" customFormat="1" x14ac:dyDescent="0.35">
      <c r="B155" s="15">
        <v>44927</v>
      </c>
      <c r="C155" s="20">
        <f>IF(VLOOKUP(B155,'Data Core CPI'!$A:$AX,MATCH($C$1,'Data Core CPI'!$A$1:$AX$1,),)=0,#N/A,(VLOOKUP(B155,'Data Core CPI'!$A:$AX,MATCH($C$1,'Data Core CPI'!$A$1:$AX$1,),)-VLOOKUP(EDATE(B155,-12),'Data Core CPI'!$A:$AX,MATCH($C$1,'Data Core CPI'!$A$1:$AX$1,),))/VLOOKUP(EDATE(B155,-12),'Data Core CPI'!$A:$AX,MATCH($C$1,'Data Core CPI'!$A$1:$AX$1,),))</f>
        <v>5.582589854810991E-2</v>
      </c>
      <c r="D155" s="20" t="e">
        <f>(VLOOKUP(B155,'Data Core CPI'!$A:$AX,MATCH($D$1,'Data Core CPI'!$A$1:$AX$1,),)-VLOOKUP(EDATE(B155,-12),'Data Core CPI'!$A:$AX,MATCH($D$1,'Data Core CPI'!$A$1:$AX$1,),))/VLOOKUP(EDATE(B155,-12),'Data Core CPI'!$A:$AX,MATCH($D$1,'Data Core CPI'!$A$1:$AX$1,),)</f>
        <v>#DIV/0!</v>
      </c>
      <c r="E155" s="20" t="e">
        <f>IF(VLOOKUP(B155,'Data Core CPI'!$A:$AX,MATCH($E$1,'Data Core CPI'!$A$1:$AX$1,),)=0,#N/A,(VLOOKUP(B155,'Data Core CPI'!$A:$AX,MATCH($E$1,'Data Core CPI'!$A$1:$AX$1,),)-VLOOKUP(EDATE(B155,-12),'Data Core CPI'!$A:$AX,MATCH($E$1,'Data Core CPI'!$A$1:$AX$1,),))/VLOOKUP(EDATE(B155,-12),'Data Core CPI'!$A:$AX,MATCH($E$1,'Data Core CPI'!$A$1:$AX$1,),))</f>
        <v>#N/A</v>
      </c>
      <c r="F155" s="20" t="e">
        <f>IF(VLOOKUP(B155,'Data Core CPI'!$A:$AX,MATCH($F$1,'Data Core CPI'!$A$1:$AX$1,),)=0,#N/A,(VLOOKUP(B155,'Data Core CPI'!$A:$AX,MATCH($F$1,'Data Core CPI'!$A$1:$AX$1,),)-VLOOKUP(EDATE(B155,-12),'Data Core CPI'!$A:$AX,MATCH($F$1,'Data Core CPI'!$A$1:$AX$1,),))/VLOOKUP(EDATE(B155,-12),'Data Core CPI'!$A:$AX,MATCH($F$1,'Data Core CPI'!$A$1:$AX$1,),))</f>
        <v>#N/A</v>
      </c>
      <c r="G155" s="20" t="e">
        <f>IF(VLOOKUP(B155,'Data Core CPI'!$A:$AX,MATCH($G$1,'Data Core CPI'!$A$1:$AX$1,),)=0,#N/A,(VLOOKUP(B155,'Data Core CPI'!$A:$AX,MATCH($G$1,'Data Core CPI'!$A$1:$AX$1,),)-VLOOKUP(EDATE(B155,-12),'Data Core CPI'!$A:$AX,MATCH($G$1,'Data Core CPI'!$A$1:$AX$1,),))/VLOOKUP(EDATE(B155,-12),'Data Core CPI'!$A:$AX,MATCH($G$1,'Data Core CPI'!$A$1:$AX$1,),))</f>
        <v>#N/A</v>
      </c>
      <c r="H155" s="20" t="e">
        <f>IF(VLOOKUP(B155,'Data Core CPI'!$A:$AX,MATCH($H$1,'Data Core CPI'!$A$1:$AX$1,),)=0,#N/A,(VLOOKUP(B155,'Data Core CPI'!$A:$AX,MATCH($H$1,'Data Core CPI'!$A$1:$AX$1,),)-VLOOKUP(EDATE(B155,-12),'Data Core CPI'!$A:$AX,MATCH($H$1,'Data Core CPI'!$A$1:$AX$1,),))/VLOOKUP(EDATE(B155,-12),'Data Core CPI'!$A:$AX,MATCH($H$1,'Data Core CPI'!$A$1:$AX$1,),))</f>
        <v>#N/A</v>
      </c>
      <c r="I155" s="20">
        <f>IF(VLOOKUP(B155,'Data Core CPI'!$A:$AX,MATCH($I$1,'Data Core CPI'!$A$1:$AX$1,),)=0,#N/A,(VLOOKUP(B155,'Data Core CPI'!$A:$AX,MATCH($I$1,'Data Core CPI'!$A$1:$AX$1,),)-VLOOKUP(EDATE(B155,-12),'Data Core CPI'!$A:$AX,MATCH($I$1,'Data Core CPI'!$A$1:$AX$1,),))/VLOOKUP(EDATE(B155,-12),'Data Core CPI'!$A:$AX,MATCH($I$1,'Data Core CPI'!$A$1:$AX$1,),))</f>
        <v>5.3415061295971927E-2</v>
      </c>
      <c r="J155" s="20" t="e">
        <f>IF(VLOOKUP(B155,'Data Core CPI'!$A:$AX,MATCH($J$1,'Data Core CPI'!$A$1:$AX$1,),)=0,#N/A,(VLOOKUP(B155,'Data Core CPI'!$A:$AX,MATCH($J$1,'Data Core CPI'!$A$1:$AX$1,),)-VLOOKUP(EDATE(B155,-12),'Data Core CPI'!$A:$AX,MATCH($J$1,'Data Core CPI'!$A$1:$AX$1,),))/VLOOKUP(EDATE(B155,-12),'Data Core CPI'!$A:$AX,MATCH($J$1,'Data Core CPI'!$A$1:$AX$1,),))</f>
        <v>#N/A</v>
      </c>
      <c r="K155" s="20">
        <f>IF(VLOOKUP(B155,'Data Core CPI'!$A:$AX,MATCH($K$1,'Data Core CPI'!$A$1:$AX$1,),)=0,#N/A,(VLOOKUP(B155,'Data Core CPI'!$A:$AX,MATCH($K$1,'Data Core CPI'!$A$1:$AX$1,),)-VLOOKUP(EDATE(B155,-12),'Data Core CPI'!$A:$AX,MATCH($K$1,'Data Core CPI'!$A$1:$AX$1,),))/VLOOKUP(EDATE(B155,-12),'Data Core CPI'!$A:$AX,MATCH($K$1,'Data Core CPI'!$A$1:$AX$1,),))</f>
        <v>5.1215414103609622E-2</v>
      </c>
      <c r="L155" s="20" t="e">
        <f>IF(VLOOKUP(B155,'Data Core CPI'!$A:$AX,MATCH($L$1,'Data Core CPI'!$A$1:$AX$1,),)=0,#N/A,(VLOOKUP(B155,'Data Core CPI'!$A:$AX,MATCH($L$1,'Data Core CPI'!$A$1:$AX$1,),)-VLOOKUP(EDATE(B155,-12),'Data Core CPI'!$A:$AX,MATCH($L$1,'Data Core CPI'!$A$1:$AX$1,),))/VLOOKUP(EDATE(B155,-12),'Data Core CPI'!$A:$AX,MATCH($L$1,'Data Core CPI'!$A$1:$AX$1,),))</f>
        <v>#N/A</v>
      </c>
      <c r="M155" s="20">
        <f>IF(VLOOKUP(B155,'Data Core CPI'!$A:$AX,MATCH($M$1,'Data Core CPI'!$A$1:$AX$1,),)=0,#N/A,(VLOOKUP(B155,'Data Core CPI'!$A:$AX,MATCH($M$1,'Data Core CPI'!$A$1:$AX$1,),)-VLOOKUP(EDATE(B155,-12),'Data Core CPI'!$A:$AX,MATCH($M$1,'Data Core CPI'!$A$1:$AX$1,),))/VLOOKUP(EDATE(B155,-12),'Data Core CPI'!$A:$AX,MATCH($M$1,'Data Core CPI'!$A$1:$AX$1,),))</f>
        <v>6.5904890542893516E-2</v>
      </c>
      <c r="N155" s="20" t="e">
        <f>(VLOOKUP(B155,'Data Core CPI'!$A:$AX,MATCH($N$1,'Data Core CPI'!$A$1:$AX$1,),)-VLOOKUP(EDATE(B155,-12),'Data Core CPI'!$A:$AX,MATCH($N$1,'Data Core CPI'!$A$1:$AX$1,),))/VLOOKUP(EDATE(B155,-12),'Data Core CPI'!$A:$AX,MATCH($N$1,'Data Core CPI'!$A$1:$AX$1,),)</f>
        <v>#DIV/0!</v>
      </c>
      <c r="O155" s="20" t="e">
        <f>(VLOOKUP(B155,'Data Core CPI'!$A:$AX,MATCH($O$1,'Data Core CPI'!$A$1:$AX$1,),)-VLOOKUP(EDATE(B155,-12),'Data Core CPI'!$A:$AX,MATCH($O$1,'Data Core CPI'!$A$1:$AX$1,),))/VLOOKUP(EDATE(B155,-12),'Data Core CPI'!$A:$AX,MATCH($O$1,'Data Core CPI'!$A$1:$AX$1,),)</f>
        <v>#DIV/0!</v>
      </c>
      <c r="P155" s="20" t="e">
        <f>IF(VLOOKUP(B155,'Data Core CPI'!$A:$AX,MATCH($P$1,'Data Core CPI'!$A$1:$AX$1,),)=0,#N/A,(VLOOKUP(B155,'Data Core CPI'!$A:$AX,MATCH($P$1,'Data Core CPI'!$A$1:$AX$1,),)-VLOOKUP(EDATE(B155,-12),'Data Core CPI'!$A:$AX,MATCH($P$1,'Data Core CPI'!$A$1:$AX$1,),))/VLOOKUP(EDATE(B155,-12),'Data Core CPI'!$A:$AX,MATCH($P$1,'Data Core CPI'!$A$1:$AX$1,),))</f>
        <v>#N/A</v>
      </c>
      <c r="Q155" s="20" t="e">
        <f>(VLOOKUP(B155,'Data Core CPI'!$A:$AX,MATCH($Q$1,'Data Core CPI'!$A$1:$AX$1,),)-VLOOKUP(EDATE(B155,-12),'Data Core CPI'!$A:$AX,MATCH($Q$1,'Data Core CPI'!$A$1:$AX$1,),))/VLOOKUP(EDATE(B155,-12),'Data Core CPI'!$A:$AX,MATCH($Q$1,'Data Core CPI'!$A$1:$AX$1,),)</f>
        <v>#N/A</v>
      </c>
      <c r="R155" s="20">
        <f>IF(VLOOKUP(B155,'Data Core CPI'!$A:$AX,MATCH($R$1,'Data Core CPI'!$A$1:$AX$1,),)=0,#N/A,(VLOOKUP(B155,'Data Core CPI'!$A:$AX,MATCH($R$1,'Data Core CPI'!$A$1:$AX$1,),)-VLOOKUP(EDATE(B155,-12),'Data Core CPI'!$A:$AX,MATCH($R$1,'Data Core CPI'!$A$1:$AX$1,),))/VLOOKUP(EDATE(B155,-12),'Data Core CPI'!$A:$AX,MATCH($R$1,'Data Core CPI'!$A$1:$AX$1,),))</f>
        <v>1.837335123607934E-2</v>
      </c>
      <c r="S155" s="20">
        <f>(VLOOKUP(B155,'Data Core CPI'!$A:$AX,MATCH($S$1,'Data Core CPI'!$A$1:$AX$1,),)-VLOOKUP(EDATE(B155,-12),'Data Core CPI'!$A:$AX,MATCH($S$1,'Data Core CPI'!$A$1:$AX$1,),))/VLOOKUP(EDATE(B155,-12),'Data Core CPI'!$A:$AX,MATCH($S$1,'Data Core CPI'!$A$1:$AX$1,),)</f>
        <v>4.0520307801135004E-2</v>
      </c>
      <c r="T155" s="20" t="e">
        <f>(VLOOKUP(B155,'Data Core CPI'!$A:$AX,MATCH($T$1,'Data Core CPI'!$A$1:$AX$1,),)-VLOOKUP(EDATE(B155,-12),'Data Core CPI'!$A:$AX,MATCH($T$1,'Data Core CPI'!$A$1:$AX$1,),))/VLOOKUP(EDATE(B155,-12),'Data Core CPI'!$A:$AX,MATCH($T$1,'Data Core CPI'!$A$1:$AX$1,),)</f>
        <v>#DIV/0!</v>
      </c>
      <c r="U155" s="20">
        <f>IF(VLOOKUP(B155,'Data Core CPI'!$A:$AX,MATCH($U$1,'Data Core CPI'!$A$1:$AX$1,),)=0,#N/A,(VLOOKUP(B155,'Data Core CPI'!$A:$AX,MATCH($U$1,'Data Core CPI'!$A$1:$AX$1,),)-VLOOKUP(EDATE(B155,-12),'Data Core CPI'!$A:$AX,MATCH($U$1,'Data Core CPI'!$A$1:$AX$1,),))/VLOOKUP(EDATE(B155,-12),'Data Core CPI'!$A:$AX,MATCH($U$1,'Data Core CPI'!$A$1:$AX$1,),))</f>
        <v>5.8324268917574806E-2</v>
      </c>
      <c r="V155" s="20">
        <f>(VLOOKUP(B155,'Data Core CPI'!$A:$AX,MATCH($V$1,'Data Core CPI'!$A$1:$AX$1,),)-VLOOKUP(EDATE(B155,-12),'Data Core CPI'!$A:$AX,MATCH($V$1,'Data Core CPI'!$A$1:$AX$1,),))/VLOOKUP(EDATE(B155,-12),'Data Core CPI'!$A:$AX,MATCH($V$1,'Data Core CPI'!$A$1:$AX$1,),)</f>
        <v>4.4281500321939241E-2</v>
      </c>
      <c r="W155" s="20">
        <f>IF(VLOOKUP(B155,'Data Core CPI'!$A:$AX,MATCH($W$1,'Data Core CPI'!$A$1:$AX$1,),)=0,#N/A,(VLOOKUP(B155,'Data Core CPI'!$A:$AX,MATCH($W$1,'Data Core CPI'!$A$1:$AX$1,),)-VLOOKUP(EDATE(B155,-12),'Data Core CPI'!$A:$AX,MATCH($W$1,'Data Core CPI'!$A$1:$AX$1,),))/VLOOKUP(EDATE(B155,-12),'Data Core CPI'!$A:$AX,MATCH($W$1,'Data Core CPI'!$A$1:$AX$1,),))</f>
        <v>0.54246313162994331</v>
      </c>
      <c r="X155" s="20">
        <f>IF(VLOOKUP(B155,'Data Core CPI'!$A:$AX,MATCH($X$1,'Data Core CPI'!$A$1:$AX$1,),)=0,#N/A,(VLOOKUP(B155,'Data Core CPI'!$A:$AX,MATCH($X$1,'Data Core CPI'!$A$1:$AX$1,),)-VLOOKUP(EDATE(B155,-12),'Data Core CPI'!$A:$AX,MATCH($X$1,'Data Core CPI'!$A$1:$AX$1,),))/VLOOKUP(EDATE(B155,-12),'Data Core CPI'!$A:$AX,MATCH($X$1,'Data Core CPI'!$A$1:$AX$1,),))</f>
        <v>0.11614956245027851</v>
      </c>
      <c r="Y155" s="20" t="e">
        <f>IF(VLOOKUP(B155,'Data Core CPI'!$A:$AX,MATCH($Y$1,'Data Core CPI'!$A$1:$AX$1,),)=0,#N/A,(VLOOKUP(B155,'Data Core CPI'!$A:$AX,MATCH($Y$1,'Data Core CPI'!$A$1:$AX$1,),)-VLOOKUP(EDATE(B155,-12),'Data Core CPI'!$A:$AX,MATCH($Y$1,'Data Core CPI'!$A$1:$AX$1,),))/VLOOKUP(EDATE(B155,-12),'Data Core CPI'!$A:$AX,MATCH($Y$1,'Data Core CPI'!$A$1:$AX$1,),))</f>
        <v>#N/A</v>
      </c>
    </row>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5">
    <cfRule type="colorScale" priority="44">
      <colorScale>
        <cfvo type="min"/>
        <cfvo type="percentile" val="50"/>
        <cfvo type="max"/>
        <color rgb="FFF8696B"/>
        <color rgb="FFFFEB84"/>
        <color rgb="FF63BE7B"/>
      </colorScale>
    </cfRule>
  </conditionalFormatting>
  <conditionalFormatting sqref="D59:D155">
    <cfRule type="colorScale" priority="45">
      <colorScale>
        <cfvo type="min"/>
        <cfvo type="percentile" val="50"/>
        <cfvo type="max"/>
        <color rgb="FFF8696B"/>
        <color rgb="FFFFEB84"/>
        <color rgb="FF63BE7B"/>
      </colorScale>
    </cfRule>
  </conditionalFormatting>
  <conditionalFormatting sqref="E59:AA59 Z60:AA106 E60:Y155">
    <cfRule type="colorScale" priority="46">
      <colorScale>
        <cfvo type="min"/>
        <cfvo type="percentile" val="50"/>
        <cfvo type="max"/>
        <color rgb="FFF8696B"/>
        <color rgb="FFFFEB84"/>
        <color rgb="FF63BE7B"/>
      </colorScale>
    </cfRule>
  </conditionalFormatting>
  <conditionalFormatting sqref="C59:C155">
    <cfRule type="colorScale" priority="16">
      <colorScale>
        <cfvo type="min"/>
        <cfvo type="percentile" val="50"/>
        <cfvo type="max"/>
        <color rgb="FFF8696B"/>
        <color rgb="FFFFEB84"/>
        <color rgb="FF63BE7B"/>
      </colorScale>
    </cfRule>
  </conditionalFormatting>
  <conditionalFormatting sqref="E59:E155">
    <cfRule type="colorScale" priority="15">
      <colorScale>
        <cfvo type="min"/>
        <cfvo type="percentile" val="50"/>
        <cfvo type="max"/>
        <color rgb="FFF8696B"/>
        <color rgb="FFFFEB84"/>
        <color rgb="FF63BE7B"/>
      </colorScale>
    </cfRule>
  </conditionalFormatting>
  <conditionalFormatting sqref="F59:F155">
    <cfRule type="colorScale" priority="14">
      <colorScale>
        <cfvo type="min"/>
        <cfvo type="percentile" val="50"/>
        <cfvo type="max"/>
        <color rgb="FFF8696B"/>
        <color rgb="FFFFEB84"/>
        <color rgb="FF63BE7B"/>
      </colorScale>
    </cfRule>
  </conditionalFormatting>
  <conditionalFormatting sqref="G59:G155">
    <cfRule type="colorScale" priority="13">
      <colorScale>
        <cfvo type="min"/>
        <cfvo type="percentile" val="50"/>
        <cfvo type="max"/>
        <color rgb="FFF8696B"/>
        <color rgb="FFFFEB84"/>
        <color rgb="FF63BE7B"/>
      </colorScale>
    </cfRule>
  </conditionalFormatting>
  <conditionalFormatting sqref="H59:H155">
    <cfRule type="colorScale" priority="12">
      <colorScale>
        <cfvo type="min"/>
        <cfvo type="percentile" val="50"/>
        <cfvo type="max"/>
        <color rgb="FFF8696B"/>
        <color rgb="FFFFEB84"/>
        <color rgb="FF63BE7B"/>
      </colorScale>
    </cfRule>
  </conditionalFormatting>
  <conditionalFormatting sqref="I59:I155">
    <cfRule type="colorScale" priority="11">
      <colorScale>
        <cfvo type="min"/>
        <cfvo type="percentile" val="50"/>
        <cfvo type="max"/>
        <color rgb="FFF8696B"/>
        <color rgb="FFFFEB84"/>
        <color rgb="FF63BE7B"/>
      </colorScale>
    </cfRule>
  </conditionalFormatting>
  <conditionalFormatting sqref="J59:J155">
    <cfRule type="colorScale" priority="10">
      <colorScale>
        <cfvo type="min"/>
        <cfvo type="percentile" val="50"/>
        <cfvo type="max"/>
        <color rgb="FFF8696B"/>
        <color rgb="FFFFEB84"/>
        <color rgb="FF63BE7B"/>
      </colorScale>
    </cfRule>
  </conditionalFormatting>
  <conditionalFormatting sqref="K59:K155">
    <cfRule type="colorScale" priority="9">
      <colorScale>
        <cfvo type="min"/>
        <cfvo type="percentile" val="50"/>
        <cfvo type="max"/>
        <color rgb="FFF8696B"/>
        <color rgb="FFFFEB84"/>
        <color rgb="FF63BE7B"/>
      </colorScale>
    </cfRule>
  </conditionalFormatting>
  <conditionalFormatting sqref="L59:L155">
    <cfRule type="colorScale" priority="8">
      <colorScale>
        <cfvo type="min"/>
        <cfvo type="percentile" val="50"/>
        <cfvo type="max"/>
        <color rgb="FFF8696B"/>
        <color rgb="FFFFEB84"/>
        <color rgb="FF63BE7B"/>
      </colorScale>
    </cfRule>
  </conditionalFormatting>
  <conditionalFormatting sqref="M59:M155">
    <cfRule type="colorScale" priority="7">
      <colorScale>
        <cfvo type="min"/>
        <cfvo type="percentile" val="50"/>
        <cfvo type="max"/>
        <color rgb="FFF8696B"/>
        <color rgb="FFFFEB84"/>
        <color rgb="FF63BE7B"/>
      </colorScale>
    </cfRule>
  </conditionalFormatting>
  <conditionalFormatting sqref="P59:P155">
    <cfRule type="colorScale" priority="6">
      <colorScale>
        <cfvo type="min"/>
        <cfvo type="percentile" val="50"/>
        <cfvo type="max"/>
        <color rgb="FFF8696B"/>
        <color rgb="FFFFEB84"/>
        <color rgb="FF63BE7B"/>
      </colorScale>
    </cfRule>
  </conditionalFormatting>
  <conditionalFormatting sqref="R59:R155">
    <cfRule type="colorScale" priority="5">
      <colorScale>
        <cfvo type="min"/>
        <cfvo type="percentile" val="50"/>
        <cfvo type="max"/>
        <color rgb="FFF8696B"/>
        <color rgb="FFFFEB84"/>
        <color rgb="FF63BE7B"/>
      </colorScale>
    </cfRule>
  </conditionalFormatting>
  <conditionalFormatting sqref="U59:U155">
    <cfRule type="colorScale" priority="4">
      <colorScale>
        <cfvo type="min"/>
        <cfvo type="percentile" val="50"/>
        <cfvo type="max"/>
        <color rgb="FFF8696B"/>
        <color rgb="FFFFEB84"/>
        <color rgb="FF63BE7B"/>
      </colorScale>
    </cfRule>
  </conditionalFormatting>
  <conditionalFormatting sqref="W59:W155">
    <cfRule type="colorScale" priority="3">
      <colorScale>
        <cfvo type="min"/>
        <cfvo type="percentile" val="50"/>
        <cfvo type="max"/>
        <color rgb="FFF8696B"/>
        <color rgb="FFFFEB84"/>
        <color rgb="FF63BE7B"/>
      </colorScale>
    </cfRule>
  </conditionalFormatting>
  <conditionalFormatting sqref="X59:X155">
    <cfRule type="colorScale" priority="2">
      <colorScale>
        <cfvo type="min"/>
        <cfvo type="percentile" val="50"/>
        <cfvo type="max"/>
        <color rgb="FFF8696B"/>
        <color rgb="FFFFEB84"/>
        <color rgb="FF63BE7B"/>
      </colorScale>
    </cfRule>
  </conditionalFormatting>
  <conditionalFormatting sqref="Y59:Y15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90" zoomScaleNormal="90" workbookViewId="0">
      <pane ySplit="2" topLeftCell="A844" activePane="bottomLeft" state="frozen"/>
      <selection activeCell="T26" sqref="T26"/>
      <selection pane="bottomLeft" activeCell="H872" sqref="H872"/>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35">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3.6834289999999998</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3.681524</v>
      </c>
      <c r="G108" s="35">
        <f t="shared" si="4"/>
        <v>-5.1718113746723748E-4</v>
      </c>
      <c r="H108" s="35">
        <f t="shared" si="5"/>
        <v>-6.1885506099278453E-3</v>
      </c>
      <c r="I108" s="35" t="e">
        <f>(Table143454[[#This Row],[Core CPI]]-F96)/F96</f>
        <v>#DIV/0!</v>
      </c>
    </row>
    <row r="109" spans="1:9" x14ac:dyDescent="0.35">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3.6773549999999999</v>
      </c>
      <c r="G109" s="35">
        <f t="shared" si="4"/>
        <v>-1.1324114687287778E-3</v>
      </c>
      <c r="H109" s="35">
        <f t="shared" si="5"/>
        <v>-1.3504620807699985E-2</v>
      </c>
      <c r="I109" s="35" t="e">
        <f>(Table143454[[#This Row],[Core CPI]]-F97)/F97</f>
        <v>#DIV/0!</v>
      </c>
    </row>
    <row r="110" spans="1:9" x14ac:dyDescent="0.35">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3.6759360000000001</v>
      </c>
      <c r="G110" s="35">
        <f t="shared" si="4"/>
        <v>-3.8587517386812209E-4</v>
      </c>
      <c r="H110" s="35">
        <f t="shared" si="5"/>
        <v>-4.6206873390312042E-3</v>
      </c>
      <c r="I110" s="35" t="e">
        <f>(Table143454[[#This Row],[Core CPI]]-F98)/F98</f>
        <v>#DIV/0!</v>
      </c>
    </row>
    <row r="111" spans="1:9" x14ac:dyDescent="0.35">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3.679967</v>
      </c>
      <c r="G111" s="35">
        <f t="shared" si="4"/>
        <v>1.0965914531699816E-3</v>
      </c>
      <c r="H111" s="35">
        <f t="shared" si="5"/>
        <v>1.3238754107246509E-2</v>
      </c>
      <c r="I111" s="35" t="e">
        <f>(Table143454[[#This Row],[Core CPI]]-F99)/F99</f>
        <v>#DIV/0!</v>
      </c>
    </row>
    <row r="112" spans="1:9" x14ac:dyDescent="0.35">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3.6754359999999999</v>
      </c>
      <c r="G112" s="35">
        <f t="shared" si="4"/>
        <v>-1.2312610411995273E-3</v>
      </c>
      <c r="H112" s="35">
        <f t="shared" si="5"/>
        <v>-1.4675485762584928E-2</v>
      </c>
      <c r="I112" s="35" t="e">
        <f>(Table143454[[#This Row],[Core CPI]]-F100)/F100</f>
        <v>#DIV/0!</v>
      </c>
    </row>
    <row r="113" spans="1:9" x14ac:dyDescent="0.35">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3.6921119999999998</v>
      </c>
      <c r="G113" s="35">
        <f t="shared" si="4"/>
        <v>4.537148789966583E-3</v>
      </c>
      <c r="H113" s="35">
        <f t="shared" si="5"/>
        <v>5.5825202344483182E-2</v>
      </c>
      <c r="I113" s="35" t="e">
        <f>(Table143454[[#This Row],[Core CPI]]-F101)/F101</f>
        <v>#DIV/0!</v>
      </c>
    </row>
    <row r="114" spans="1:9" x14ac:dyDescent="0.35">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3.706</v>
      </c>
      <c r="G114" s="35">
        <f t="shared" si="4"/>
        <v>3.7615326945661387E-3</v>
      </c>
      <c r="H114" s="35">
        <f t="shared" si="5"/>
        <v>4.6084043423612941E-2</v>
      </c>
      <c r="I114" s="35" t="e">
        <f>(Table143454[[#This Row],[Core CPI]]-F102)/F102</f>
        <v>#DIV/0!</v>
      </c>
    </row>
    <row r="115" spans="1:9" x14ac:dyDescent="0.35">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3.707106</v>
      </c>
      <c r="G115" s="35">
        <f t="shared" si="4"/>
        <v>2.9843497031833977E-4</v>
      </c>
      <c r="H115" s="35">
        <f t="shared" si="5"/>
        <v>3.5871036817494151E-3</v>
      </c>
      <c r="I115" s="35" t="e">
        <f>(Table143454[[#This Row],[Core CPI]]-F103)/F103</f>
        <v>#DIV/0!</v>
      </c>
    </row>
    <row r="116" spans="1:9" x14ac:dyDescent="0.35">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3.708437</v>
      </c>
      <c r="G116" s="35">
        <f t="shared" si="4"/>
        <v>3.5904017851118297E-4</v>
      </c>
      <c r="H116" s="35">
        <f t="shared" si="5"/>
        <v>4.3170003828894021E-3</v>
      </c>
      <c r="I116" s="35" t="e">
        <f>(Table143454[[#This Row],[Core CPI]]-F104)/F104</f>
        <v>#DIV/0!</v>
      </c>
    </row>
    <row r="117" spans="1:9" x14ac:dyDescent="0.35">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3.7207210000000002</v>
      </c>
      <c r="G117" s="35">
        <f t="shared" si="4"/>
        <v>3.3124467262084512E-3</v>
      </c>
      <c r="H117" s="35">
        <f t="shared" si="5"/>
        <v>4.0481588581493533E-2</v>
      </c>
      <c r="I117" s="35" t="e">
        <f>(Table143454[[#This Row],[Core CPI]]-F105)/F105</f>
        <v>#DIV/0!</v>
      </c>
    </row>
    <row r="118" spans="1:9" x14ac:dyDescent="0.35">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3.7287469999999998</v>
      </c>
      <c r="G118" s="35">
        <f t="shared" si="4"/>
        <v>2.1571087969238789E-3</v>
      </c>
      <c r="H118" s="35">
        <f t="shared" si="5"/>
        <v>2.6194630331705104E-2</v>
      </c>
      <c r="I118" s="35" t="e">
        <f>(Table143454[[#This Row],[Core CPI]]-F106)/F106</f>
        <v>#DIV/0!</v>
      </c>
    </row>
    <row r="119" spans="1:9" x14ac:dyDescent="0.35">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3.752478</v>
      </c>
      <c r="G119" s="35">
        <f t="shared" si="4"/>
        <v>6.3643363306762346E-3</v>
      </c>
      <c r="H119" s="35">
        <f t="shared" si="5"/>
        <v>7.9102884617388236E-2</v>
      </c>
      <c r="I119" s="35">
        <f>(Table143454[[#This Row],[Core CPI]]-F107)/F107</f>
        <v>1.8745847958519125E-2</v>
      </c>
    </row>
    <row r="120" spans="1:9" x14ac:dyDescent="0.35">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3.7543449999999998</v>
      </c>
      <c r="G120" s="35">
        <f t="shared" si="4"/>
        <v>4.9753789362649847E-4</v>
      </c>
      <c r="H120" s="35">
        <f t="shared" si="5"/>
        <v>5.9868197506933729E-3</v>
      </c>
      <c r="I120" s="35">
        <f>(Table143454[[#This Row],[Core CPI]]-F108)/F108</f>
        <v>1.9780123666177322E-2</v>
      </c>
    </row>
    <row r="121" spans="1:9" x14ac:dyDescent="0.35">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3.7570960000000002</v>
      </c>
      <c r="G121" s="35">
        <f t="shared" si="4"/>
        <v>7.3275098585789955E-4</v>
      </c>
      <c r="H121" s="35">
        <f t="shared" si="5"/>
        <v>8.8285355125954368E-3</v>
      </c>
      <c r="I121" s="35">
        <f>(Table143454[[#This Row],[Core CPI]]-F109)/F109</f>
        <v>2.1684335616224237E-2</v>
      </c>
    </row>
    <row r="122" spans="1:9" x14ac:dyDescent="0.35">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3.7641879999999999</v>
      </c>
      <c r="G122" s="35">
        <f t="shared" si="4"/>
        <v>1.8876281042592424E-3</v>
      </c>
      <c r="H122" s="35">
        <f t="shared" si="5"/>
        <v>2.2888190479642745E-2</v>
      </c>
      <c r="I122" s="35">
        <f>(Table143454[[#This Row],[Core CPI]]-F110)/F110</f>
        <v>2.4008034960347452E-2</v>
      </c>
    </row>
    <row r="123" spans="1:9" x14ac:dyDescent="0.35">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3.7753619999999999</v>
      </c>
      <c r="G123" s="35">
        <f t="shared" si="4"/>
        <v>2.9685021045706694E-3</v>
      </c>
      <c r="H123" s="35">
        <f t="shared" si="5"/>
        <v>3.620941104867903E-2</v>
      </c>
      <c r="I123" s="35">
        <f>(Table143454[[#This Row],[Core CPI]]-F111)/F111</f>
        <v>2.592278680759906E-2</v>
      </c>
    </row>
    <row r="124" spans="1:9" x14ac:dyDescent="0.35">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3.7723019999999998</v>
      </c>
      <c r="G124" s="35">
        <f t="shared" si="4"/>
        <v>-8.105183026158036E-4</v>
      </c>
      <c r="H124" s="35">
        <f t="shared" si="5"/>
        <v>-9.6829785249953337E-3</v>
      </c>
      <c r="I124" s="35">
        <f>(Table143454[[#This Row],[Core CPI]]-F112)/F112</f>
        <v>2.6354968498975333E-2</v>
      </c>
    </row>
    <row r="125" spans="1:9" x14ac:dyDescent="0.35">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3.7927970000000002</v>
      </c>
      <c r="G125" s="35">
        <f t="shared" si="4"/>
        <v>5.4330220645113503E-3</v>
      </c>
      <c r="H125" s="35">
        <f t="shared" si="5"/>
        <v>6.7180151440316083E-2</v>
      </c>
      <c r="I125" s="35">
        <f>(Table143454[[#This Row],[Core CPI]]-F113)/F113</f>
        <v>2.7270299492539868E-2</v>
      </c>
    </row>
    <row r="126" spans="1:9" x14ac:dyDescent="0.35">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3.7977620000000001</v>
      </c>
      <c r="G126" s="35">
        <f t="shared" si="4"/>
        <v>1.3090603056267192E-3</v>
      </c>
      <c r="H126" s="35">
        <f t="shared" si="5"/>
        <v>1.5822318806955504E-2</v>
      </c>
      <c r="I126" s="35">
        <f>(Table143454[[#This Row],[Core CPI]]-F114)/F114</f>
        <v>2.4760388559093394E-2</v>
      </c>
    </row>
    <row r="127" spans="1:9" x14ac:dyDescent="0.35">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3.8044560000000001</v>
      </c>
      <c r="G127" s="35">
        <f t="shared" si="4"/>
        <v>1.7626170360334203E-3</v>
      </c>
      <c r="H127" s="35">
        <f t="shared" si="5"/>
        <v>2.1357664014630684E-2</v>
      </c>
      <c r="I127" s="35">
        <f>(Table143454[[#This Row],[Core CPI]]-F115)/F115</f>
        <v>2.6260376692762506E-2</v>
      </c>
    </row>
    <row r="128" spans="1:9" x14ac:dyDescent="0.35">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3.815769</v>
      </c>
      <c r="G128" s="35">
        <f t="shared" si="4"/>
        <v>2.9736183044304365E-3</v>
      </c>
      <c r="H128" s="35">
        <f t="shared" si="5"/>
        <v>3.6272841991982441E-2</v>
      </c>
      <c r="I128" s="35">
        <f>(Table143454[[#This Row],[Core CPI]]-F116)/F116</f>
        <v>2.8942651580706368E-2</v>
      </c>
    </row>
    <row r="129" spans="1:9" x14ac:dyDescent="0.35">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3.836166</v>
      </c>
      <c r="G129" s="35">
        <f t="shared" si="4"/>
        <v>5.3454493707558726E-3</v>
      </c>
      <c r="H129" s="35">
        <f t="shared" si="5"/>
        <v>6.6065275579552996E-2</v>
      </c>
      <c r="I129" s="35">
        <f>(Table143454[[#This Row],[Core CPI]]-F117)/F117</f>
        <v>3.1027588470084102E-2</v>
      </c>
    </row>
    <row r="130" spans="1:9" x14ac:dyDescent="0.35">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3.8443670000000001</v>
      </c>
      <c r="G130" s="35">
        <f t="shared" si="4"/>
        <v>2.1378115545573895E-3</v>
      </c>
      <c r="H130" s="35">
        <f t="shared" si="5"/>
        <v>2.5957534221056511E-2</v>
      </c>
      <c r="I130" s="35">
        <f>(Table143454[[#This Row],[Core CPI]]-F118)/F118</f>
        <v>3.1007735306257111E-2</v>
      </c>
    </row>
    <row r="131" spans="1:9" x14ac:dyDescent="0.35">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3.8680979999999998</v>
      </c>
      <c r="G131" s="35">
        <f t="shared" ref="G131:G194" si="8">(F131/F130)-1</f>
        <v>6.1729278188060732E-3</v>
      </c>
      <c r="H131" s="35">
        <f t="shared" ref="H131:H194" si="9">((1+G131)^12)-1</f>
        <v>7.6642540533908399E-2</v>
      </c>
      <c r="I131" s="35">
        <f>(Table143454[[#This Row],[Core CPI]]-F119)/F119</f>
        <v>3.0811639668507005E-2</v>
      </c>
    </row>
    <row r="132" spans="1:9" x14ac:dyDescent="0.35">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3.8974690000000001</v>
      </c>
      <c r="G132" s="35">
        <f t="shared" si="8"/>
        <v>7.5931375058233552E-3</v>
      </c>
      <c r="H132" s="35">
        <f t="shared" si="9"/>
        <v>9.5020907711014457E-2</v>
      </c>
      <c r="I132" s="35">
        <f>(Table143454[[#This Row],[Core CPI]]-F120)/F120</f>
        <v>3.8122229043947811E-2</v>
      </c>
    </row>
    <row r="133" spans="1:9" x14ac:dyDescent="0.35">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3.9204409999999998</v>
      </c>
      <c r="G133" s="35">
        <f t="shared" si="8"/>
        <v>5.89408151803128E-3</v>
      </c>
      <c r="H133" s="35">
        <f t="shared" si="9"/>
        <v>7.3067481835123793E-2</v>
      </c>
      <c r="I133" s="35">
        <f>(Table143454[[#This Row],[Core CPI]]-F121)/F121</f>
        <v>4.3476397728458259E-2</v>
      </c>
    </row>
    <row r="134" spans="1:9" x14ac:dyDescent="0.35">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3.9488639999999999</v>
      </c>
      <c r="G134" s="35">
        <f t="shared" si="8"/>
        <v>7.2499496867826085E-3</v>
      </c>
      <c r="H134" s="35">
        <f t="shared" si="9"/>
        <v>9.0553692088609417E-2</v>
      </c>
      <c r="I134" s="35">
        <f>(Table143454[[#This Row],[Core CPI]]-F122)/F122</f>
        <v>4.9061311496662777E-2</v>
      </c>
    </row>
    <row r="135" spans="1:9" x14ac:dyDescent="0.35">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3.952461</v>
      </c>
      <c r="G135" s="35">
        <f t="shared" si="8"/>
        <v>9.108948801477279E-4</v>
      </c>
      <c r="H135" s="35">
        <f t="shared" si="9"/>
        <v>1.098566732410422E-2</v>
      </c>
      <c r="I135" s="35">
        <f>(Table143454[[#This Row],[Core CPI]]-F123)/F123</f>
        <v>4.6909144076779957E-2</v>
      </c>
    </row>
    <row r="136" spans="1:9" x14ac:dyDescent="0.35">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3.9623919999999999</v>
      </c>
      <c r="G136" s="35">
        <f t="shared" si="8"/>
        <v>2.5126117626461664E-3</v>
      </c>
      <c r="H136" s="35">
        <f t="shared" si="9"/>
        <v>3.0571523126189604E-2</v>
      </c>
      <c r="I136" s="35">
        <f>(Table143454[[#This Row],[Core CPI]]-F124)/F124</f>
        <v>5.0390981421954049E-2</v>
      </c>
    </row>
    <row r="137" spans="1:9" x14ac:dyDescent="0.35">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3.986783</v>
      </c>
      <c r="G137" s="35">
        <f t="shared" si="8"/>
        <v>6.1556251880177104E-3</v>
      </c>
      <c r="H137" s="35">
        <f t="shared" si="9"/>
        <v>7.642038802667539E-2</v>
      </c>
      <c r="I137" s="35">
        <f>(Table143454[[#This Row],[Core CPI]]-F125)/F125</f>
        <v>5.1145895759778272E-2</v>
      </c>
    </row>
    <row r="138" spans="1:9" x14ac:dyDescent="0.35">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3.992197</v>
      </c>
      <c r="G138" s="35">
        <f t="shared" si="8"/>
        <v>1.357987128970839E-3</v>
      </c>
      <c r="H138" s="35">
        <f t="shared" si="9"/>
        <v>1.6418110698287691E-2</v>
      </c>
      <c r="I138" s="35">
        <f>(Table143454[[#This Row],[Core CPI]]-F126)/F126</f>
        <v>5.1197257753382103E-2</v>
      </c>
    </row>
    <row r="139" spans="1:9" x14ac:dyDescent="0.35">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4.0035970000000001</v>
      </c>
      <c r="G139" s="35">
        <f t="shared" si="8"/>
        <v>2.8555705041610757E-3</v>
      </c>
      <c r="H139" s="35">
        <f t="shared" si="9"/>
        <v>3.4810184514741271E-2</v>
      </c>
      <c r="I139" s="35">
        <f>(Table143454[[#This Row],[Core CPI]]-F127)/F127</f>
        <v>5.2344145917313803E-2</v>
      </c>
    </row>
    <row r="140" spans="1:9" x14ac:dyDescent="0.35">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4.0213450000000002</v>
      </c>
      <c r="G140" s="35">
        <f t="shared" si="8"/>
        <v>4.4330136125090291E-3</v>
      </c>
      <c r="H140" s="35">
        <f t="shared" si="9"/>
        <v>5.4512527602147864E-2</v>
      </c>
      <c r="I140" s="35">
        <f>(Table143454[[#This Row],[Core CPI]]-F128)/F128</f>
        <v>5.3875378724445901E-2</v>
      </c>
    </row>
    <row r="141" spans="1:9" x14ac:dyDescent="0.35">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4.043609</v>
      </c>
      <c r="G141" s="35">
        <f t="shared" si="8"/>
        <v>5.5364560862098955E-3</v>
      </c>
      <c r="H141" s="35">
        <f t="shared" si="9"/>
        <v>6.8498332282959318E-2</v>
      </c>
      <c r="I141" s="35">
        <f>(Table143454[[#This Row],[Core CPI]]-F129)/F129</f>
        <v>5.407560569589534E-2</v>
      </c>
    </row>
    <row r="142" spans="1:9" x14ac:dyDescent="0.35">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4.103307</v>
      </c>
      <c r="G142" s="35">
        <f t="shared" si="8"/>
        <v>1.4763544150782071E-2</v>
      </c>
      <c r="H142" s="35">
        <f t="shared" si="9"/>
        <v>0.19228005571186535</v>
      </c>
      <c r="I142" s="35">
        <f>(Table143454[[#This Row],[Core CPI]]-F130)/F130</f>
        <v>6.7355692107439261E-2</v>
      </c>
    </row>
    <row r="143" spans="1:9" x14ac:dyDescent="0.35">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4.1481969999999997</v>
      </c>
      <c r="G143" s="35">
        <f t="shared" si="8"/>
        <v>1.0939956479005808E-2</v>
      </c>
      <c r="H143" s="35">
        <f t="shared" si="9"/>
        <v>0.13947379960748196</v>
      </c>
      <c r="I143" s="35">
        <f>(Table143454[[#This Row],[Core CPI]]-F131)/F131</f>
        <v>7.2412591407973612E-2</v>
      </c>
    </row>
    <row r="144" spans="1:9" x14ac:dyDescent="0.35">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4.1966200000000002</v>
      </c>
      <c r="G144" s="35">
        <f t="shared" si="8"/>
        <v>1.1673264312181963E-2</v>
      </c>
      <c r="H144" s="35">
        <f t="shared" si="9"/>
        <v>0.14943197847835532</v>
      </c>
      <c r="I144" s="35">
        <f>(Table143454[[#This Row],[Core CPI]]-F132)/F132</f>
        <v>7.6755196770006417E-2</v>
      </c>
    </row>
    <row r="145" spans="1:9" x14ac:dyDescent="0.35">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4.209352</v>
      </c>
      <c r="G145" s="35">
        <f t="shared" si="8"/>
        <v>3.0338701145207203E-3</v>
      </c>
      <c r="H145" s="35">
        <f t="shared" si="9"/>
        <v>3.7020115263123543E-2</v>
      </c>
      <c r="I145" s="35">
        <f>(Table143454[[#This Row],[Core CPI]]-F133)/F133</f>
        <v>7.3693495196076195E-2</v>
      </c>
    </row>
    <row r="146" spans="1:9" x14ac:dyDescent="0.35">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4.2352129999999999</v>
      </c>
      <c r="G146" s="35">
        <f t="shared" si="8"/>
        <v>6.1437009782028262E-3</v>
      </c>
      <c r="H146" s="35">
        <f t="shared" si="9"/>
        <v>7.6267314776840456E-2</v>
      </c>
      <c r="I146" s="35">
        <f>(Table143454[[#This Row],[Core CPI]]-F134)/F134</f>
        <v>7.2514272459117346E-2</v>
      </c>
    </row>
    <row r="147" spans="1:9" x14ac:dyDescent="0.35">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4.2380139999999997</v>
      </c>
      <c r="G147" s="35">
        <f t="shared" si="8"/>
        <v>6.6135988910120957E-4</v>
      </c>
      <c r="H147" s="35">
        <f t="shared" si="9"/>
        <v>7.9652506004970203E-3</v>
      </c>
      <c r="I147" s="35">
        <f>(Table143454[[#This Row],[Core CPI]]-F135)/F135</f>
        <v>7.2246886180534028E-2</v>
      </c>
    </row>
    <row r="148" spans="1:9" x14ac:dyDescent="0.35">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4.2480460000000004</v>
      </c>
      <c r="G148" s="35">
        <f t="shared" si="8"/>
        <v>2.3671464983363588E-3</v>
      </c>
      <c r="H148" s="35">
        <f t="shared" si="9"/>
        <v>2.8778514914986397E-2</v>
      </c>
      <c r="I148" s="35">
        <f>(Table143454[[#This Row],[Core CPI]]-F136)/F136</f>
        <v>7.2091302425403778E-2</v>
      </c>
    </row>
    <row r="149" spans="1:9" x14ac:dyDescent="0.35">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4.2511570000000001</v>
      </c>
      <c r="G149" s="35">
        <f t="shared" si="8"/>
        <v>7.3233670256867001E-4</v>
      </c>
      <c r="H149" s="35">
        <f t="shared" si="9"/>
        <v>8.8235239066263293E-3</v>
      </c>
      <c r="I149" s="35">
        <f>(Table143454[[#This Row],[Core CPI]]-F137)/F137</f>
        <v>6.6312613453002114E-2</v>
      </c>
    </row>
    <row r="150" spans="1:9" x14ac:dyDescent="0.35">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4.2697010000000004</v>
      </c>
      <c r="G150" s="35">
        <f t="shared" si="8"/>
        <v>4.3621065982744067E-3</v>
      </c>
      <c r="H150" s="35">
        <f t="shared" si="9"/>
        <v>5.3619566391627016E-2</v>
      </c>
      <c r="I150" s="35">
        <f>(Table143454[[#This Row],[Core CPI]]-F138)/F138</f>
        <v>6.9511599753218689E-2</v>
      </c>
    </row>
    <row r="151" spans="1:9" x14ac:dyDescent="0.35">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4.2947160000000002</v>
      </c>
      <c r="G151" s="35">
        <f t="shared" si="8"/>
        <v>5.8587240652214767E-3</v>
      </c>
      <c r="H151" s="35">
        <f t="shared" si="9"/>
        <v>7.2614945933951347E-2</v>
      </c>
      <c r="I151" s="35">
        <f>(Table143454[[#This Row],[Core CPI]]-F139)/F139</f>
        <v>7.2714361610321951E-2</v>
      </c>
    </row>
    <row r="152" spans="1:9" x14ac:dyDescent="0.35">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4.3331739999999996</v>
      </c>
      <c r="G152" s="35">
        <f t="shared" si="8"/>
        <v>8.9547248293018189E-3</v>
      </c>
      <c r="H152" s="35">
        <f t="shared" si="9"/>
        <v>0.11291024700110519</v>
      </c>
      <c r="I152" s="35">
        <f>(Table143454[[#This Row],[Core CPI]]-F140)/F140</f>
        <v>7.7543458718413727E-2</v>
      </c>
    </row>
    <row r="153" spans="1:9" x14ac:dyDescent="0.35">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4.3527889999999996</v>
      </c>
      <c r="G153" s="35">
        <f t="shared" si="8"/>
        <v>4.5267049049957375E-3</v>
      </c>
      <c r="H153" s="35">
        <f t="shared" si="9"/>
        <v>5.5693484530475512E-2</v>
      </c>
      <c r="I153" s="35">
        <f>(Table143454[[#This Row],[Core CPI]]-F141)/F141</f>
        <v>7.6461398715850018E-2</v>
      </c>
    </row>
    <row r="154" spans="1:9" x14ac:dyDescent="0.35">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4.3778050000000004</v>
      </c>
      <c r="G154" s="35">
        <f t="shared" si="8"/>
        <v>5.7471198351219943E-3</v>
      </c>
      <c r="H154" s="35">
        <f t="shared" si="9"/>
        <v>7.1187683783586753E-2</v>
      </c>
      <c r="I154" s="35">
        <f>(Table143454[[#This Row],[Core CPI]]-F142)/F142</f>
        <v>6.6896773748588725E-2</v>
      </c>
    </row>
    <row r="155" spans="1:9" x14ac:dyDescent="0.35">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4.4176919999999997</v>
      </c>
      <c r="G155" s="35">
        <f t="shared" si="8"/>
        <v>9.1111869989639604E-3</v>
      </c>
      <c r="H155" s="35">
        <f t="shared" si="9"/>
        <v>0.11498300930725636</v>
      </c>
      <c r="I155" s="35">
        <f>(Table143454[[#This Row],[Core CPI]]-F143)/F143</f>
        <v>6.4966779543015926E-2</v>
      </c>
    </row>
    <row r="156" spans="1:9" x14ac:dyDescent="0.35">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4.4281220000000001</v>
      </c>
      <c r="G156" s="35">
        <f t="shared" si="8"/>
        <v>2.3609613345612068E-3</v>
      </c>
      <c r="H156" s="35">
        <f t="shared" si="9"/>
        <v>2.870233986064985E-2</v>
      </c>
      <c r="I156" s="35">
        <f>(Table143454[[#This Row],[Core CPI]]-F144)/F144</f>
        <v>5.5163917628948976E-2</v>
      </c>
    </row>
    <row r="157" spans="1:9" x14ac:dyDescent="0.35">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4.44618</v>
      </c>
      <c r="G157" s="35">
        <f t="shared" si="8"/>
        <v>4.0780267571669526E-3</v>
      </c>
      <c r="H157" s="35">
        <f t="shared" si="9"/>
        <v>5.0048978971334313E-2</v>
      </c>
      <c r="I157" s="35">
        <f>(Table143454[[#This Row],[Core CPI]]-F145)/F145</f>
        <v>5.6262341567063064E-2</v>
      </c>
    </row>
    <row r="158" spans="1:9" x14ac:dyDescent="0.35">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4.4564709999999996</v>
      </c>
      <c r="G158" s="35">
        <f t="shared" si="8"/>
        <v>2.3145711599619201E-3</v>
      </c>
      <c r="H158" s="35">
        <f t="shared" si="9"/>
        <v>2.8131173932731901E-2</v>
      </c>
      <c r="I158" s="35">
        <f>(Table143454[[#This Row],[Core CPI]]-F146)/F146</f>
        <v>5.2242472810694468E-2</v>
      </c>
    </row>
    <row r="159" spans="1:9" x14ac:dyDescent="0.35">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4.5017050000000003</v>
      </c>
      <c r="G159" s="35">
        <f t="shared" si="8"/>
        <v>1.015018385623967E-2</v>
      </c>
      <c r="H159" s="35">
        <f t="shared" si="9"/>
        <v>0.12883733982986922</v>
      </c>
      <c r="I159" s="35">
        <f>(Table143454[[#This Row],[Core CPI]]-F147)/F147</f>
        <v>6.2220417393618943E-2</v>
      </c>
    </row>
    <row r="160" spans="1:9" x14ac:dyDescent="0.35">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4.5224489999999999</v>
      </c>
      <c r="G160" s="35">
        <f t="shared" si="8"/>
        <v>4.6080318457117908E-3</v>
      </c>
      <c r="H160" s="35">
        <f t="shared" si="9"/>
        <v>5.6719574468935274E-2</v>
      </c>
      <c r="I160" s="35">
        <f>(Table143454[[#This Row],[Core CPI]]-F148)/F148</f>
        <v>6.4595110316601909E-2</v>
      </c>
    </row>
    <row r="161" spans="1:9" x14ac:dyDescent="0.35">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4.5471000000000004</v>
      </c>
      <c r="G161" s="35">
        <f t="shared" si="8"/>
        <v>5.4508077371353547E-3</v>
      </c>
      <c r="H161" s="35">
        <f t="shared" si="9"/>
        <v>6.7406708911502689E-2</v>
      </c>
      <c r="I161" s="35">
        <f>(Table143454[[#This Row],[Core CPI]]-F149)/F149</f>
        <v>6.961469548172422E-2</v>
      </c>
    </row>
    <row r="162" spans="1:9" x14ac:dyDescent="0.35">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4.5668870000000004</v>
      </c>
      <c r="G162" s="35">
        <f t="shared" si="8"/>
        <v>4.3515647335663488E-3</v>
      </c>
      <c r="H162" s="35">
        <f t="shared" si="9"/>
        <v>5.3486867553121042E-2</v>
      </c>
      <c r="I162" s="35">
        <f>(Table143454[[#This Row],[Core CPI]]-F150)/F150</f>
        <v>6.9603468720643422E-2</v>
      </c>
    </row>
    <row r="163" spans="1:9" x14ac:dyDescent="0.35">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4.5859160000000001</v>
      </c>
      <c r="G163" s="35">
        <f t="shared" si="8"/>
        <v>4.1667332692925108E-3</v>
      </c>
      <c r="H163" s="35">
        <f t="shared" si="9"/>
        <v>5.1162734517767428E-2</v>
      </c>
      <c r="I163" s="35">
        <f>(Table143454[[#This Row],[Core CPI]]-F151)/F151</f>
        <v>6.7804250618667197E-2</v>
      </c>
    </row>
    <row r="164" spans="1:9" x14ac:dyDescent="0.35">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4.6049439999999997</v>
      </c>
      <c r="G164" s="35">
        <f t="shared" si="8"/>
        <v>4.1492255854662652E-3</v>
      </c>
      <c r="H164" s="35">
        <f t="shared" si="9"/>
        <v>5.0942830875736478E-2</v>
      </c>
      <c r="I164" s="35">
        <f>(Table143454[[#This Row],[Core CPI]]-F152)/F152</f>
        <v>6.2718459955681469E-2</v>
      </c>
    </row>
    <row r="165" spans="1:9" x14ac:dyDescent="0.35">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4.6335050000000004</v>
      </c>
      <c r="G165" s="35">
        <f t="shared" si="8"/>
        <v>6.2022469762934573E-3</v>
      </c>
      <c r="H165" s="35">
        <f t="shared" si="9"/>
        <v>7.701907197283786E-2</v>
      </c>
      <c r="I165" s="35">
        <f>(Table143454[[#This Row],[Core CPI]]-F153)/F153</f>
        <v>6.4491065383596793E-2</v>
      </c>
    </row>
    <row r="166" spans="1:9" x14ac:dyDescent="0.35">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4.6480040000000002</v>
      </c>
      <c r="G166" s="35">
        <f t="shared" si="8"/>
        <v>3.1291646388640348E-3</v>
      </c>
      <c r="H166" s="35">
        <f t="shared" si="9"/>
        <v>3.8203014417503622E-2</v>
      </c>
      <c r="I166" s="35">
        <f>(Table143454[[#This Row],[Core CPI]]-F154)/F154</f>
        <v>6.1720199963223539E-2</v>
      </c>
    </row>
    <row r="167" spans="1:9" x14ac:dyDescent="0.35">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4.6740370000000002</v>
      </c>
      <c r="G167" s="35">
        <f t="shared" si="8"/>
        <v>5.600898794407172E-3</v>
      </c>
      <c r="H167" s="35">
        <f t="shared" si="9"/>
        <v>6.9320355615015927E-2</v>
      </c>
      <c r="I167" s="35">
        <f>(Table143454[[#This Row],[Core CPI]]-F155)/F155</f>
        <v>5.8026906357437437E-2</v>
      </c>
    </row>
    <row r="168" spans="1:9" x14ac:dyDescent="0.35">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4.6861449999999998</v>
      </c>
      <c r="G168" s="35">
        <f t="shared" si="8"/>
        <v>2.5904801352663043E-3</v>
      </c>
      <c r="H168" s="35">
        <f t="shared" si="9"/>
        <v>3.1532507172055579E-2</v>
      </c>
      <c r="I168" s="35">
        <f>(Table143454[[#This Row],[Core CPI]]-F156)/F156</f>
        <v>5.8269171445592433E-2</v>
      </c>
    </row>
    <row r="169" spans="1:9" x14ac:dyDescent="0.35">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4.6963850000000003</v>
      </c>
      <c r="G169" s="35">
        <f t="shared" si="8"/>
        <v>2.1851649916937443E-3</v>
      </c>
      <c r="H169" s="35">
        <f t="shared" si="9"/>
        <v>2.6539433154524117E-2</v>
      </c>
      <c r="I169" s="35">
        <f>(Table143454[[#This Row],[Core CPI]]-F157)/F157</f>
        <v>5.6274149944446746E-2</v>
      </c>
    </row>
    <row r="170" spans="1:9" x14ac:dyDescent="0.35">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4.7026820000000003</v>
      </c>
      <c r="G170" s="35">
        <f t="shared" si="8"/>
        <v>1.3408185231833514E-3</v>
      </c>
      <c r="H170" s="35">
        <f t="shared" si="9"/>
        <v>1.6209008619610277E-2</v>
      </c>
      <c r="I170" s="35">
        <f>(Table143454[[#This Row],[Core CPI]]-F158)/F158</f>
        <v>5.5247975359875703E-2</v>
      </c>
    </row>
    <row r="171" spans="1:9" x14ac:dyDescent="0.35">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4.7113319999999996</v>
      </c>
      <c r="G171" s="35">
        <f t="shared" si="8"/>
        <v>1.8393759135741927E-3</v>
      </c>
      <c r="H171" s="35">
        <f t="shared" si="9"/>
        <v>2.2297183790169095E-2</v>
      </c>
      <c r="I171" s="35">
        <f>(Table143454[[#This Row],[Core CPI]]-F159)/F159</f>
        <v>4.6566134386859942E-2</v>
      </c>
    </row>
    <row r="172" spans="1:9" x14ac:dyDescent="0.35">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4.7191349999999996</v>
      </c>
      <c r="G172" s="35">
        <f t="shared" si="8"/>
        <v>1.6562195149907311E-3</v>
      </c>
      <c r="H172" s="35">
        <f t="shared" si="9"/>
        <v>2.0056679562968194E-2</v>
      </c>
      <c r="I172" s="35">
        <f>(Table143454[[#This Row],[Core CPI]]-F160)/F160</f>
        <v>4.3491037709877924E-2</v>
      </c>
    </row>
    <row r="173" spans="1:9" x14ac:dyDescent="0.35">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4.7361950000000004</v>
      </c>
      <c r="G173" s="35">
        <f t="shared" si="8"/>
        <v>3.6150692870622336E-3</v>
      </c>
      <c r="H173" s="35">
        <f t="shared" si="9"/>
        <v>4.42538461473303E-2</v>
      </c>
      <c r="I173" s="35">
        <f>(Table143454[[#This Row],[Core CPI]]-F161)/F161</f>
        <v>4.1585845923775594E-2</v>
      </c>
    </row>
    <row r="174" spans="1:9" x14ac:dyDescent="0.35">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4.7443590000000002</v>
      </c>
      <c r="G174" s="35">
        <f t="shared" si="8"/>
        <v>1.7237465940485031E-3</v>
      </c>
      <c r="H174" s="35">
        <f t="shared" si="9"/>
        <v>2.0882196253883212E-2</v>
      </c>
      <c r="I174" s="35">
        <f>(Table143454[[#This Row],[Core CPI]]-F162)/F162</f>
        <v>3.8860606798460269E-2</v>
      </c>
    </row>
    <row r="175" spans="1:9" x14ac:dyDescent="0.35">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4.7584229999999996</v>
      </c>
      <c r="G175" s="35">
        <f t="shared" si="8"/>
        <v>2.9643625197839363E-3</v>
      </c>
      <c r="H175" s="35">
        <f t="shared" si="9"/>
        <v>3.615809084071242E-2</v>
      </c>
      <c r="I175" s="35">
        <f>(Table143454[[#This Row],[Core CPI]]-F163)/F163</f>
        <v>3.7616694243854339E-2</v>
      </c>
    </row>
    <row r="176" spans="1:9" x14ac:dyDescent="0.35">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4.7608259999999998</v>
      </c>
      <c r="G176" s="35">
        <f t="shared" si="8"/>
        <v>5.04999240294568E-4</v>
      </c>
      <c r="H176" s="35">
        <f t="shared" si="9"/>
        <v>6.0768508482613726E-3</v>
      </c>
      <c r="I176" s="35">
        <f>(Table143454[[#This Row],[Core CPI]]-F164)/F164</f>
        <v>3.3851008828771879E-2</v>
      </c>
    </row>
    <row r="177" spans="1:9" x14ac:dyDescent="0.35">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4.7792310000000002</v>
      </c>
      <c r="G177" s="35">
        <f t="shared" si="8"/>
        <v>3.8659257868278729E-3</v>
      </c>
      <c r="H177" s="35">
        <f t="shared" si="9"/>
        <v>4.7390327021269885E-2</v>
      </c>
      <c r="I177" s="35">
        <f>(Table143454[[#This Row],[Core CPI]]-F165)/F165</f>
        <v>3.1450489424312653E-2</v>
      </c>
    </row>
    <row r="178" spans="1:9" x14ac:dyDescent="0.35">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4.7968770000000003</v>
      </c>
      <c r="G178" s="35">
        <f t="shared" si="8"/>
        <v>3.6922257995062324E-3</v>
      </c>
      <c r="H178" s="35">
        <f t="shared" si="9"/>
        <v>4.5217622767482535E-2</v>
      </c>
      <c r="I178" s="35">
        <f>(Table143454[[#This Row],[Core CPI]]-F166)/F166</f>
        <v>3.2029447478960867E-2</v>
      </c>
    </row>
    <row r="179" spans="1:9" x14ac:dyDescent="0.35">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4.809609</v>
      </c>
      <c r="G179" s="35">
        <f t="shared" si="8"/>
        <v>2.654226906380952E-3</v>
      </c>
      <c r="H179" s="35">
        <f t="shared" si="9"/>
        <v>3.2319826039423294E-2</v>
      </c>
      <c r="I179" s="35">
        <f>(Table143454[[#This Row],[Core CPI]]-F167)/F167</f>
        <v>2.9005333077166441E-2</v>
      </c>
    </row>
    <row r="180" spans="1:9" x14ac:dyDescent="0.35">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4.8129470000000003</v>
      </c>
      <c r="G180" s="35">
        <f t="shared" si="8"/>
        <v>6.9402731074408308E-4</v>
      </c>
      <c r="H180" s="35">
        <f t="shared" si="9"/>
        <v>8.3601918667000064E-3</v>
      </c>
      <c r="I180" s="35">
        <f>(Table143454[[#This Row],[Core CPI]]-F168)/F168</f>
        <v>2.7058915163743445E-2</v>
      </c>
    </row>
    <row r="181" spans="1:9" x14ac:dyDescent="0.35">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4.8116659999999998</v>
      </c>
      <c r="G181" s="35">
        <f t="shared" si="8"/>
        <v>-2.6615709668120768E-4</v>
      </c>
      <c r="H181" s="35">
        <f t="shared" si="9"/>
        <v>-3.1892138920659452E-3</v>
      </c>
      <c r="I181" s="35">
        <f>(Table143454[[#This Row],[Core CPI]]-F169)/F169</f>
        <v>2.454675244895798E-2</v>
      </c>
    </row>
    <row r="182" spans="1:9" x14ac:dyDescent="0.35">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4.8257289999999999</v>
      </c>
      <c r="G182" s="35">
        <f t="shared" si="8"/>
        <v>2.9226883162714046E-3</v>
      </c>
      <c r="H182" s="35">
        <f t="shared" si="9"/>
        <v>3.5641567646891081E-2</v>
      </c>
      <c r="I182" s="35">
        <f>(Table143454[[#This Row],[Core CPI]]-F170)/F170</f>
        <v>2.6165281854056831E-2</v>
      </c>
    </row>
    <row r="183" spans="1:9" x14ac:dyDescent="0.35">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4.8320259999999999</v>
      </c>
      <c r="G183" s="35">
        <f t="shared" si="8"/>
        <v>1.3048805683038012E-3</v>
      </c>
      <c r="H183" s="35">
        <f t="shared" si="9"/>
        <v>1.5771436139652373E-2</v>
      </c>
      <c r="I183" s="35">
        <f>(Table143454[[#This Row],[Core CPI]]-F171)/F171</f>
        <v>2.5617808297101606E-2</v>
      </c>
    </row>
    <row r="184" spans="1:9" x14ac:dyDescent="0.35">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4.8341529999999997</v>
      </c>
      <c r="G184" s="35">
        <f t="shared" si="8"/>
        <v>4.4018802878942331E-4</v>
      </c>
      <c r="H184" s="35">
        <f t="shared" si="9"/>
        <v>5.295063651632903E-3</v>
      </c>
      <c r="I184" s="35">
        <f>(Table143454[[#This Row],[Core CPI]]-F172)/F172</f>
        <v>2.4372686943687789E-2</v>
      </c>
    </row>
    <row r="185" spans="1:9" x14ac:dyDescent="0.35">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4.8376989999999997</v>
      </c>
      <c r="G185" s="35">
        <f t="shared" si="8"/>
        <v>7.3353077571192138E-4</v>
      </c>
      <c r="H185" s="35">
        <f t="shared" si="9"/>
        <v>8.8379687319295464E-3</v>
      </c>
      <c r="I185" s="35">
        <f>(Table143454[[#This Row],[Core CPI]]-F173)/F173</f>
        <v>2.1431550010081797E-2</v>
      </c>
    </row>
    <row r="186" spans="1:9" x14ac:dyDescent="0.35">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4.851985</v>
      </c>
      <c r="G186" s="35">
        <f t="shared" si="8"/>
        <v>2.9530568148203873E-3</v>
      </c>
      <c r="H186" s="35">
        <f t="shared" si="9"/>
        <v>3.6017941038407164E-2</v>
      </c>
      <c r="I186" s="35">
        <f>(Table143454[[#This Row],[Core CPI]]-F174)/F174</f>
        <v>2.2685045545667977E-2</v>
      </c>
    </row>
    <row r="187" spans="1:9" x14ac:dyDescent="0.35">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4.8593869999999999</v>
      </c>
      <c r="G187" s="35">
        <f t="shared" si="8"/>
        <v>1.5255611878437492E-3</v>
      </c>
      <c r="H187" s="35">
        <f t="shared" si="9"/>
        <v>1.8461122288624177E-2</v>
      </c>
      <c r="I187" s="35">
        <f>(Table143454[[#This Row],[Core CPI]]-F175)/F175</f>
        <v>2.1217953931376064E-2</v>
      </c>
    </row>
    <row r="188" spans="1:9" x14ac:dyDescent="0.35">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4.8727390000000002</v>
      </c>
      <c r="G188" s="35">
        <f t="shared" si="8"/>
        <v>2.7476716713445981E-3</v>
      </c>
      <c r="H188" s="35">
        <f t="shared" si="9"/>
        <v>3.3474932270119773E-2</v>
      </c>
      <c r="I188" s="35">
        <f>(Table143454[[#This Row],[Core CPI]]-F176)/F176</f>
        <v>2.3507055288305091E-2</v>
      </c>
    </row>
    <row r="189" spans="1:9" x14ac:dyDescent="0.35">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4.8980139999999999</v>
      </c>
      <c r="G189" s="35">
        <f t="shared" si="8"/>
        <v>5.1870210984006349E-3</v>
      </c>
      <c r="H189" s="35">
        <f t="shared" si="9"/>
        <v>6.405105960857238E-2</v>
      </c>
      <c r="I189" s="35">
        <f>(Table143454[[#This Row],[Core CPI]]-F177)/F177</f>
        <v>2.4853998477997744E-2</v>
      </c>
    </row>
    <row r="190" spans="1:9" x14ac:dyDescent="0.35">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4.9402379999999999</v>
      </c>
      <c r="G190" s="35">
        <f t="shared" si="8"/>
        <v>8.620636854039132E-3</v>
      </c>
      <c r="H190" s="35">
        <f t="shared" si="9"/>
        <v>0.10849617127460909</v>
      </c>
      <c r="I190" s="35">
        <f>(Table143454[[#This Row],[Core CPI]]-F178)/F178</f>
        <v>2.9886319786811215E-2</v>
      </c>
    </row>
    <row r="191" spans="1:9" x14ac:dyDescent="0.35">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5.003762</v>
      </c>
      <c r="G191" s="35">
        <f t="shared" si="8"/>
        <v>1.2858489813648788E-2</v>
      </c>
      <c r="H191" s="35">
        <f t="shared" si="9"/>
        <v>0.16569590981107218</v>
      </c>
      <c r="I191" s="35">
        <f>(Table143454[[#This Row],[Core CPI]]-F179)/F179</f>
        <v>4.036773051613967E-2</v>
      </c>
    </row>
    <row r="192" spans="1:9" x14ac:dyDescent="0.35">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5.026599</v>
      </c>
      <c r="G192" s="35">
        <f t="shared" si="8"/>
        <v>4.5639660719274389E-3</v>
      </c>
      <c r="H192" s="35">
        <f t="shared" si="9"/>
        <v>5.616348972297458E-2</v>
      </c>
      <c r="I192" s="35">
        <f>(Table143454[[#This Row],[Core CPI]]-F180)/F180</f>
        <v>4.439109759571417E-2</v>
      </c>
    </row>
    <row r="193" spans="1:9" x14ac:dyDescent="0.35">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5.0382689999999997</v>
      </c>
      <c r="G193" s="35">
        <f t="shared" si="8"/>
        <v>2.3216492901063646E-3</v>
      </c>
      <c r="H193" s="35">
        <f t="shared" si="9"/>
        <v>2.8218302614097412E-2</v>
      </c>
      <c r="I193" s="35">
        <f>(Table143454[[#This Row],[Core CPI]]-F181)/F181</f>
        <v>4.7094499077866149E-2</v>
      </c>
    </row>
    <row r="194" spans="1:9" x14ac:dyDescent="0.35">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5.0445460000000004</v>
      </c>
      <c r="G194" s="35">
        <f t="shared" si="8"/>
        <v>1.2458644030322041E-3</v>
      </c>
      <c r="H194" s="35">
        <f t="shared" si="9"/>
        <v>1.5053243223418278E-2</v>
      </c>
      <c r="I194" s="35">
        <f>(Table143454[[#This Row],[Core CPI]]-F182)/F182</f>
        <v>4.534382266389192E-2</v>
      </c>
    </row>
    <row r="195" spans="1:9" x14ac:dyDescent="0.35">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5.0585040000000001</v>
      </c>
      <c r="G195" s="35">
        <f t="shared" ref="G195:G258" si="12">(F195/F194)-1</f>
        <v>2.766948700636318E-3</v>
      </c>
      <c r="H195" s="35">
        <f t="shared" ref="H195:H258" si="13">((1+G195)^12)-1</f>
        <v>3.3713370318171121E-2</v>
      </c>
      <c r="I195" s="35">
        <f>(Table143454[[#This Row],[Core CPI]]-F183)/F183</f>
        <v>4.6870194820971614E-2</v>
      </c>
    </row>
    <row r="196" spans="1:9" x14ac:dyDescent="0.35">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5.0706889999999998</v>
      </c>
      <c r="G196" s="35">
        <f t="shared" si="12"/>
        <v>2.4088149381713553E-3</v>
      </c>
      <c r="H196" s="35">
        <f t="shared" si="13"/>
        <v>2.9291828602911352E-2</v>
      </c>
      <c r="I196" s="35">
        <f>(Table143454[[#This Row],[Core CPI]]-F184)/F184</f>
        <v>4.8930184874165152E-2</v>
      </c>
    </row>
    <row r="197" spans="1:9" x14ac:dyDescent="0.35">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5.0765909999999996</v>
      </c>
      <c r="G197" s="35">
        <f t="shared" si="12"/>
        <v>1.163944387044813E-3</v>
      </c>
      <c r="H197" s="35">
        <f t="shared" si="13"/>
        <v>1.4057095058174651E-2</v>
      </c>
      <c r="I197" s="35">
        <f>(Table143454[[#This Row],[Core CPI]]-F185)/F185</f>
        <v>4.938132777587028E-2</v>
      </c>
    </row>
    <row r="198" spans="1:9" x14ac:dyDescent="0.35">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5.0825060000000004</v>
      </c>
      <c r="G198" s="35">
        <f t="shared" si="12"/>
        <v>1.1651519691069367E-3</v>
      </c>
      <c r="H198" s="35">
        <f t="shared" si="13"/>
        <v>1.4071772757529688E-2</v>
      </c>
      <c r="I198" s="35">
        <f>(Table143454[[#This Row],[Core CPI]]-F186)/F186</f>
        <v>4.7510658009041744E-2</v>
      </c>
    </row>
    <row r="199" spans="1:9" x14ac:dyDescent="0.35">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5.1112580000000003</v>
      </c>
      <c r="G199" s="35">
        <f t="shared" si="12"/>
        <v>5.6570518559151406E-3</v>
      </c>
      <c r="H199" s="35">
        <f t="shared" si="13"/>
        <v>7.003710982454181E-2</v>
      </c>
      <c r="I199" s="35">
        <f>(Table143454[[#This Row],[Core CPI]]-F187)/F187</f>
        <v>5.1831846280199621E-2</v>
      </c>
    </row>
    <row r="200" spans="1:9" x14ac:dyDescent="0.35">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5.1111899999999997</v>
      </c>
      <c r="G200" s="35">
        <f t="shared" si="12"/>
        <v>-1.3303965481825664E-5</v>
      </c>
      <c r="H200" s="35">
        <f t="shared" si="13"/>
        <v>-1.5963590459699972E-4</v>
      </c>
      <c r="I200" s="35">
        <f>(Table143454[[#This Row],[Core CPI]]-F188)/F188</f>
        <v>4.8935721777833681E-2</v>
      </c>
    </row>
    <row r="201" spans="1:9" x14ac:dyDescent="0.35">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5.1210269999999998</v>
      </c>
      <c r="G201" s="35">
        <f t="shared" si="12"/>
        <v>1.9246007289888123E-3</v>
      </c>
      <c r="H201" s="35">
        <f t="shared" si="13"/>
        <v>2.3341253722004796E-2</v>
      </c>
      <c r="I201" s="35">
        <f>(Table143454[[#This Row],[Core CPI]]-F189)/F189</f>
        <v>4.5531311262074776E-2</v>
      </c>
    </row>
    <row r="202" spans="1:9" x14ac:dyDescent="0.35">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5.1232410000000002</v>
      </c>
      <c r="G202" s="35">
        <f t="shared" si="12"/>
        <v>4.3233515464780048E-4</v>
      </c>
      <c r="H202" s="35">
        <f t="shared" si="13"/>
        <v>5.2003759544099193E-3</v>
      </c>
      <c r="I202" s="35">
        <f>(Table143454[[#This Row],[Core CPI]]-F190)/F190</f>
        <v>3.7043357020451292E-2</v>
      </c>
    </row>
    <row r="203" spans="1:9" x14ac:dyDescent="0.35">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5.1349169999999997</v>
      </c>
      <c r="G203" s="35">
        <f t="shared" si="12"/>
        <v>2.2790261086682584E-3</v>
      </c>
      <c r="H203" s="35">
        <f t="shared" si="13"/>
        <v>2.7693732244331359E-2</v>
      </c>
      <c r="I203" s="35">
        <f>(Table143454[[#This Row],[Core CPI]]-F191)/F191</f>
        <v>2.621127863395575E-2</v>
      </c>
    </row>
    <row r="204" spans="1:9" x14ac:dyDescent="0.35">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5.1371390000000003</v>
      </c>
      <c r="G204" s="35">
        <f t="shared" si="12"/>
        <v>4.32723644802957E-4</v>
      </c>
      <c r="H204" s="35">
        <f t="shared" si="13"/>
        <v>5.2050600647137735E-3</v>
      </c>
      <c r="I204" s="35">
        <f>(Table143454[[#This Row],[Core CPI]]-F192)/F192</f>
        <v>2.199101221322813E-2</v>
      </c>
    </row>
    <row r="205" spans="1:9" x14ac:dyDescent="0.35">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5.1434220000000002</v>
      </c>
      <c r="G205" s="35">
        <f t="shared" si="12"/>
        <v>1.2230543109694736E-3</v>
      </c>
      <c r="H205" s="35">
        <f t="shared" si="13"/>
        <v>1.4775782217819389E-2</v>
      </c>
      <c r="I205" s="35">
        <f>(Table143454[[#This Row],[Core CPI]]-F193)/F193</f>
        <v>2.0870858622276917E-2</v>
      </c>
    </row>
    <row r="206" spans="1:9" x14ac:dyDescent="0.35">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5.1559749999999998</v>
      </c>
      <c r="G206" s="35">
        <f t="shared" si="12"/>
        <v>2.4405930526407715E-3</v>
      </c>
      <c r="H206" s="35">
        <f t="shared" si="13"/>
        <v>2.9683461119960342E-2</v>
      </c>
      <c r="I206" s="35">
        <f>(Table143454[[#This Row],[Core CPI]]-F194)/F194</f>
        <v>2.2089004639862402E-2</v>
      </c>
    </row>
    <row r="207" spans="1:9" x14ac:dyDescent="0.35">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5.162687</v>
      </c>
      <c r="G207" s="35">
        <f t="shared" si="12"/>
        <v>1.3017906409553692E-3</v>
      </c>
      <c r="H207" s="35">
        <f t="shared" si="13"/>
        <v>1.573382194164763E-2</v>
      </c>
      <c r="I207" s="35">
        <f>(Table143454[[#This Row],[Core CPI]]-F195)/F195</f>
        <v>2.0595614829997153E-2</v>
      </c>
    </row>
    <row r="208" spans="1:9" x14ac:dyDescent="0.35">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5.1577349999999997</v>
      </c>
      <c r="G208" s="35">
        <f t="shared" si="12"/>
        <v>-9.5919043707282103E-4</v>
      </c>
      <c r="H208" s="35">
        <f t="shared" si="13"/>
        <v>-1.1449755920977966E-2</v>
      </c>
      <c r="I208" s="35">
        <f>(Table143454[[#This Row],[Core CPI]]-F196)/F196</f>
        <v>1.7166503408116721E-2</v>
      </c>
    </row>
    <row r="209" spans="1:9" x14ac:dyDescent="0.35">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5.1518269999999999</v>
      </c>
      <c r="G209" s="35">
        <f t="shared" si="12"/>
        <v>-1.1454640457487786E-3</v>
      </c>
      <c r="H209" s="35">
        <f t="shared" si="13"/>
        <v>-1.3659300547166686E-2</v>
      </c>
      <c r="I209" s="35">
        <f>(Table143454[[#This Row],[Core CPI]]-F197)/F197</f>
        <v>1.482018149581093E-2</v>
      </c>
    </row>
    <row r="210" spans="1:9" x14ac:dyDescent="0.35">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5.1531580000000003</v>
      </c>
      <c r="G210" s="35">
        <f t="shared" si="12"/>
        <v>2.5835494864256958E-4</v>
      </c>
      <c r="H210" s="35">
        <f t="shared" si="13"/>
        <v>3.1046685001510088E-3</v>
      </c>
      <c r="I210" s="35">
        <f>(Table143454[[#This Row],[Core CPI]]-F198)/F198</f>
        <v>1.3901016545774846E-2</v>
      </c>
    </row>
    <row r="211" spans="1:9" x14ac:dyDescent="0.35">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5.1607789999999998</v>
      </c>
      <c r="G211" s="35">
        <f t="shared" si="12"/>
        <v>1.4788989586578261E-3</v>
      </c>
      <c r="H211" s="35">
        <f t="shared" si="13"/>
        <v>1.7891852861646074E-2</v>
      </c>
      <c r="I211" s="35">
        <f>(Table143454[[#This Row],[Core CPI]]-F199)/F199</f>
        <v>9.6886128620389499E-3</v>
      </c>
    </row>
    <row r="212" spans="1:9" x14ac:dyDescent="0.35">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5.1643990000000004</v>
      </c>
      <c r="G212" s="35">
        <f t="shared" si="12"/>
        <v>7.0144449122899744E-4</v>
      </c>
      <c r="H212" s="35">
        <f t="shared" si="13"/>
        <v>8.4498835515316451E-3</v>
      </c>
      <c r="I212" s="35">
        <f>(Table143454[[#This Row],[Core CPI]]-F200)/F200</f>
        <v>1.0410295841086074E-2</v>
      </c>
    </row>
    <row r="213" spans="1:9" x14ac:dyDescent="0.35">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5.1707489999999998</v>
      </c>
      <c r="G213" s="35">
        <f t="shared" si="12"/>
        <v>1.2295719211470324E-3</v>
      </c>
      <c r="H213" s="35">
        <f t="shared" si="13"/>
        <v>1.4855055060064126E-2</v>
      </c>
      <c r="I213" s="35">
        <f>(Table143454[[#This Row],[Core CPI]]-F201)/F201</f>
        <v>9.7093805597978783E-3</v>
      </c>
    </row>
    <row r="214" spans="1:9" x14ac:dyDescent="0.35">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5.1811610000000003</v>
      </c>
      <c r="G214" s="35">
        <f t="shared" si="12"/>
        <v>2.0136347751555927E-3</v>
      </c>
      <c r="H214" s="35">
        <f t="shared" si="13"/>
        <v>2.4433033558612705E-2</v>
      </c>
      <c r="I214" s="35">
        <f>(Table143454[[#This Row],[Core CPI]]-F202)/F202</f>
        <v>1.1305343629159782E-2</v>
      </c>
    </row>
    <row r="215" spans="1:9" x14ac:dyDescent="0.35">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5.1946839999999996</v>
      </c>
      <c r="G215" s="35">
        <f t="shared" si="12"/>
        <v>2.6100327706473081E-3</v>
      </c>
      <c r="H215" s="35">
        <f t="shared" si="13"/>
        <v>3.1773937860847035E-2</v>
      </c>
      <c r="I215" s="35">
        <f>(Table143454[[#This Row],[Core CPI]]-F203)/F203</f>
        <v>1.163933126864561E-2</v>
      </c>
    </row>
    <row r="216" spans="1:9" x14ac:dyDescent="0.35">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5.2063670000000002</v>
      </c>
      <c r="G216" s="35">
        <f t="shared" si="12"/>
        <v>2.2490299698691985E-3</v>
      </c>
      <c r="H216" s="35">
        <f t="shared" si="13"/>
        <v>2.7324712009505925E-2</v>
      </c>
      <c r="I216" s="35">
        <f>(Table143454[[#This Row],[Core CPI]]-F204)/F204</f>
        <v>1.3475983421900758E-2</v>
      </c>
    </row>
    <row r="217" spans="1:9" x14ac:dyDescent="0.35">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5.2314920000000003</v>
      </c>
      <c r="G217" s="35">
        <f t="shared" si="12"/>
        <v>4.8258219215049358E-3</v>
      </c>
      <c r="H217" s="35">
        <f t="shared" si="13"/>
        <v>5.9471903400338588E-2</v>
      </c>
      <c r="I217" s="35">
        <f>(Table143454[[#This Row],[Core CPI]]-F205)/F205</f>
        <v>1.7122841563457187E-2</v>
      </c>
    </row>
    <row r="218" spans="1:9" x14ac:dyDescent="0.35">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5.2477450000000001</v>
      </c>
      <c r="G218" s="35">
        <f t="shared" si="12"/>
        <v>3.1067618950768594E-3</v>
      </c>
      <c r="H218" s="35">
        <f t="shared" si="13"/>
        <v>3.7924816072249179E-2</v>
      </c>
      <c r="I218" s="35">
        <f>(Table143454[[#This Row],[Core CPI]]-F206)/F206</f>
        <v>1.7798767449415553E-2</v>
      </c>
    </row>
    <row r="219" spans="1:9" x14ac:dyDescent="0.35">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5.2555069999999997</v>
      </c>
      <c r="G219" s="35">
        <f t="shared" si="12"/>
        <v>1.4791115040839742E-3</v>
      </c>
      <c r="H219" s="35">
        <f t="shared" si="13"/>
        <v>1.7894445209948318E-2</v>
      </c>
      <c r="I219" s="35">
        <f>(Table143454[[#This Row],[Core CPI]]-F207)/F207</f>
        <v>1.7979009767588018E-2</v>
      </c>
    </row>
    <row r="220" spans="1:9" x14ac:dyDescent="0.35">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5.2633419999999997</v>
      </c>
      <c r="G220" s="35">
        <f t="shared" si="12"/>
        <v>1.4908171561753836E-3</v>
      </c>
      <c r="H220" s="35">
        <f t="shared" si="13"/>
        <v>1.8037224634217086E-2</v>
      </c>
      <c r="I220" s="35">
        <f>(Table143454[[#This Row],[Core CPI]]-F208)/F208</f>
        <v>2.0475460643092368E-2</v>
      </c>
    </row>
    <row r="221" spans="1:9" x14ac:dyDescent="0.35">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5.2921680000000002</v>
      </c>
      <c r="G221" s="35">
        <f t="shared" si="12"/>
        <v>5.4767484233402275E-3</v>
      </c>
      <c r="H221" s="35">
        <f t="shared" si="13"/>
        <v>6.7737225631704812E-2</v>
      </c>
      <c r="I221" s="35">
        <f>(Table143454[[#This Row],[Core CPI]]-F209)/F209</f>
        <v>2.7241015662987183E-2</v>
      </c>
    </row>
    <row r="222" spans="1:9" x14ac:dyDescent="0.35">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5.3074770000000004</v>
      </c>
      <c r="G222" s="35">
        <f t="shared" si="12"/>
        <v>2.8927653090378147E-3</v>
      </c>
      <c r="H222" s="35">
        <f t="shared" si="13"/>
        <v>3.5270838069789034E-2</v>
      </c>
      <c r="I222" s="35">
        <f>(Table143454[[#This Row],[Core CPI]]-F210)/F210</f>
        <v>2.9946491064314365E-2</v>
      </c>
    </row>
    <row r="223" spans="1:9" x14ac:dyDescent="0.35">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5.3209390000000001</v>
      </c>
      <c r="G223" s="35">
        <f t="shared" si="12"/>
        <v>2.5364217310785975E-3</v>
      </c>
      <c r="H223" s="35">
        <f t="shared" si="13"/>
        <v>3.0865278006058317E-2</v>
      </c>
      <c r="I223" s="35">
        <f>(Table143454[[#This Row],[Core CPI]]-F211)/F211</f>
        <v>3.1034074506968871E-2</v>
      </c>
    </row>
    <row r="224" spans="1:9" x14ac:dyDescent="0.35">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5.3384689999999999</v>
      </c>
      <c r="G224" s="35">
        <f t="shared" si="12"/>
        <v>3.2945312847976194E-3</v>
      </c>
      <c r="H224" s="35">
        <f t="shared" si="13"/>
        <v>4.0258660741844254E-2</v>
      </c>
      <c r="I224" s="35">
        <f>(Table143454[[#This Row],[Core CPI]]-F212)/F212</f>
        <v>3.37057613093023E-2</v>
      </c>
    </row>
    <row r="225" spans="1:9" x14ac:dyDescent="0.35">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5.3717309999999996</v>
      </c>
      <c r="G225" s="35">
        <f t="shared" si="12"/>
        <v>6.2306252972528231E-3</v>
      </c>
      <c r="H225" s="35">
        <f t="shared" si="13"/>
        <v>7.738363567148987E-2</v>
      </c>
      <c r="I225" s="35">
        <f>(Table143454[[#This Row],[Core CPI]]-F213)/F213</f>
        <v>3.8869030386120031E-2</v>
      </c>
    </row>
    <row r="226" spans="1:9" x14ac:dyDescent="0.35">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5.3844440000000002</v>
      </c>
      <c r="G226" s="35">
        <f t="shared" si="12"/>
        <v>2.3666486650206764E-3</v>
      </c>
      <c r="H226" s="35">
        <f t="shared" si="13"/>
        <v>2.877238352304734E-2</v>
      </c>
      <c r="I226" s="35">
        <f>(Table143454[[#This Row],[Core CPI]]-F214)/F214</f>
        <v>3.9235028596872376E-2</v>
      </c>
    </row>
    <row r="227" spans="1:9" x14ac:dyDescent="0.35">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5.4034529999999998</v>
      </c>
      <c r="G227" s="35">
        <f t="shared" si="12"/>
        <v>3.5303552233061364E-3</v>
      </c>
      <c r="H227" s="35">
        <f t="shared" si="13"/>
        <v>4.3196604992221888E-2</v>
      </c>
      <c r="I227" s="35">
        <f>(Table143454[[#This Row],[Core CPI]]-F215)/F215</f>
        <v>4.0188970108672679E-2</v>
      </c>
    </row>
    <row r="228" spans="1:9" x14ac:dyDescent="0.35">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5.4559990000000003</v>
      </c>
      <c r="G228" s="35">
        <f t="shared" si="12"/>
        <v>9.7245224488859972E-3</v>
      </c>
      <c r="H228" s="35">
        <f t="shared" si="13"/>
        <v>0.12314245870760199</v>
      </c>
      <c r="I228" s="35">
        <f>(Table143454[[#This Row],[Core CPI]]-F216)/F216</f>
        <v>4.7947445886930382E-2</v>
      </c>
    </row>
    <row r="229" spans="1:9" x14ac:dyDescent="0.35">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5.4700439999999997</v>
      </c>
      <c r="G229" s="35">
        <f t="shared" si="12"/>
        <v>2.5742306770950574E-3</v>
      </c>
      <c r="H229" s="35">
        <f t="shared" si="13"/>
        <v>3.1331902631266395E-2</v>
      </c>
      <c r="I229" s="35">
        <f>(Table143454[[#This Row],[Core CPI]]-F217)/F217</f>
        <v>4.5599228671285248E-2</v>
      </c>
    </row>
    <row r="230" spans="1:9" x14ac:dyDescent="0.35">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5.4899170000000002</v>
      </c>
      <c r="G230" s="35">
        <f t="shared" si="12"/>
        <v>3.6330603556389285E-3</v>
      </c>
      <c r="H230" s="35">
        <f t="shared" si="13"/>
        <v>4.4478503136581748E-2</v>
      </c>
      <c r="I230" s="35">
        <f>(Table143454[[#This Row],[Core CPI]]-F218)/F218</f>
        <v>4.6147821588129766E-2</v>
      </c>
    </row>
    <row r="231" spans="1:9" x14ac:dyDescent="0.35">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5.5128950000000003</v>
      </c>
      <c r="G231" s="35">
        <f t="shared" si="12"/>
        <v>4.1854913289216533E-3</v>
      </c>
      <c r="H231" s="35">
        <f t="shared" si="13"/>
        <v>5.1398390193923449E-2</v>
      </c>
      <c r="I231" s="35">
        <f>(Table143454[[#This Row],[Core CPI]]-F219)/F219</f>
        <v>4.8974913362307505E-2</v>
      </c>
    </row>
    <row r="232" spans="1:9" x14ac:dyDescent="0.35">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5.5245709999999999</v>
      </c>
      <c r="G232" s="35">
        <f t="shared" si="12"/>
        <v>2.1179434761589011E-3</v>
      </c>
      <c r="H232" s="35">
        <f t="shared" si="13"/>
        <v>2.5713476983121097E-2</v>
      </c>
      <c r="I232" s="35">
        <f>(Table143454[[#This Row],[Core CPI]]-F220)/F220</f>
        <v>4.9631773880549693E-2</v>
      </c>
    </row>
    <row r="233" spans="1:9" x14ac:dyDescent="0.35">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5.5291480000000002</v>
      </c>
      <c r="G233" s="35">
        <f t="shared" si="12"/>
        <v>8.2848061867624168E-4</v>
      </c>
      <c r="H233" s="35">
        <f t="shared" si="13"/>
        <v>9.9871938501530089E-3</v>
      </c>
      <c r="I233" s="35">
        <f>(Table143454[[#This Row],[Core CPI]]-F221)/F221</f>
        <v>4.4779379641764955E-2</v>
      </c>
    </row>
    <row r="234" spans="1:9" x14ac:dyDescent="0.35">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5.5403950000000002</v>
      </c>
      <c r="G234" s="35">
        <f t="shared" si="12"/>
        <v>2.0341289471723645E-3</v>
      </c>
      <c r="H234" s="35">
        <f t="shared" si="13"/>
        <v>2.4684494432862136E-2</v>
      </c>
      <c r="I234" s="35">
        <f>(Table143454[[#This Row],[Core CPI]]-F222)/F222</f>
        <v>4.3884881649039593E-2</v>
      </c>
    </row>
    <row r="235" spans="1:9" x14ac:dyDescent="0.35">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5.5834859999999997</v>
      </c>
      <c r="G235" s="35">
        <f t="shared" si="12"/>
        <v>7.777604304386232E-3</v>
      </c>
      <c r="H235" s="35">
        <f t="shared" si="13"/>
        <v>9.7429004920105644E-2</v>
      </c>
      <c r="I235" s="35">
        <f>(Table143454[[#This Row],[Core CPI]]-F223)/F223</f>
        <v>4.9342230760397676E-2</v>
      </c>
    </row>
    <row r="236" spans="1:9" x14ac:dyDescent="0.35">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5.6131279999999997</v>
      </c>
      <c r="G236" s="35">
        <f t="shared" si="12"/>
        <v>5.3088697634415816E-3</v>
      </c>
      <c r="H236" s="35">
        <f t="shared" si="13"/>
        <v>6.5599901856318033E-2</v>
      </c>
      <c r="I236" s="35">
        <f>(Table143454[[#This Row],[Core CPI]]-F224)/F224</f>
        <v>5.1449020309006152E-2</v>
      </c>
    </row>
    <row r="237" spans="1:9" x14ac:dyDescent="0.35">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5.6616790000000004</v>
      </c>
      <c r="G237" s="35">
        <f t="shared" si="12"/>
        <v>8.6495444251406539E-3</v>
      </c>
      <c r="H237" s="35">
        <f t="shared" si="13"/>
        <v>0.10887747202184461</v>
      </c>
      <c r="I237" s="35">
        <f>(Table143454[[#This Row],[Core CPI]]-F225)/F225</f>
        <v>5.3976641793865104E-2</v>
      </c>
    </row>
    <row r="238" spans="1:9" x14ac:dyDescent="0.35">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5.6774849999999999</v>
      </c>
      <c r="G238" s="35">
        <f t="shared" si="12"/>
        <v>2.7917513514983394E-3</v>
      </c>
      <c r="H238" s="35">
        <f t="shared" si="13"/>
        <v>3.4020229095230281E-2</v>
      </c>
      <c r="I238" s="35">
        <f>(Table143454[[#This Row],[Core CPI]]-F226)/F226</f>
        <v>5.4423632226465658E-2</v>
      </c>
    </row>
    <row r="239" spans="1:9" x14ac:dyDescent="0.35">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5.7362900000000003</v>
      </c>
      <c r="G239" s="35">
        <f t="shared" si="12"/>
        <v>1.0357579104128156E-2</v>
      </c>
      <c r="H239" s="35">
        <f t="shared" si="13"/>
        <v>0.13162163924286241</v>
      </c>
      <c r="I239" s="35">
        <f>(Table143454[[#This Row],[Core CPI]]-F227)/F227</f>
        <v>6.1597093562209299E-2</v>
      </c>
    </row>
    <row r="240" spans="1:9" x14ac:dyDescent="0.35">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5.7633070000000002</v>
      </c>
      <c r="G240" s="35">
        <f t="shared" si="12"/>
        <v>4.7098385890531613E-3</v>
      </c>
      <c r="H240" s="35">
        <f t="shared" si="13"/>
        <v>5.8005343537859133E-2</v>
      </c>
      <c r="I240" s="35">
        <f>(Table143454[[#This Row],[Core CPI]]-F228)/F228</f>
        <v>5.6324790382109656E-2</v>
      </c>
    </row>
    <row r="241" spans="1:9" x14ac:dyDescent="0.35">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5.788176</v>
      </c>
      <c r="G241" s="35">
        <f t="shared" si="12"/>
        <v>4.3150573099783873E-3</v>
      </c>
      <c r="H241" s="35">
        <f t="shared" si="13"/>
        <v>5.3027437951472578E-2</v>
      </c>
      <c r="I241" s="35">
        <f>(Table143454[[#This Row],[Core CPI]]-F229)/F229</f>
        <v>5.8158947167518273E-2</v>
      </c>
    </row>
    <row r="242" spans="1:9" x14ac:dyDescent="0.35">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5.8022539999999996</v>
      </c>
      <c r="G242" s="35">
        <f t="shared" si="12"/>
        <v>2.4321997119645111E-3</v>
      </c>
      <c r="H242" s="35">
        <f t="shared" si="13"/>
        <v>2.9580008572399619E-2</v>
      </c>
      <c r="I242" s="35">
        <f>(Table143454[[#This Row],[Core CPI]]-F230)/F230</f>
        <v>5.6892845556681351E-2</v>
      </c>
    </row>
    <row r="243" spans="1:9" x14ac:dyDescent="0.35">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5.8417880000000002</v>
      </c>
      <c r="G243" s="35">
        <f t="shared" si="12"/>
        <v>6.8135590065516727E-3</v>
      </c>
      <c r="H243" s="35">
        <f t="shared" si="13"/>
        <v>8.4897399009926877E-2</v>
      </c>
      <c r="I243" s="35">
        <f>(Table143454[[#This Row],[Core CPI]]-F231)/F231</f>
        <v>5.9658854376874557E-2</v>
      </c>
    </row>
    <row r="244" spans="1:9" x14ac:dyDescent="0.35">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5.8443779999999999</v>
      </c>
      <c r="G244" s="35">
        <f t="shared" si="12"/>
        <v>4.4335741043655119E-4</v>
      </c>
      <c r="H244" s="35">
        <f t="shared" si="13"/>
        <v>5.3332814594997391E-3</v>
      </c>
      <c r="I244" s="35">
        <f>(Table143454[[#This Row],[Core CPI]]-F232)/F232</f>
        <v>5.7888114751353539E-2</v>
      </c>
    </row>
    <row r="245" spans="1:9" x14ac:dyDescent="0.35">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5.8661880000000002</v>
      </c>
      <c r="G245" s="35">
        <f t="shared" si="12"/>
        <v>3.7317914755001791E-3</v>
      </c>
      <c r="H245" s="35">
        <f t="shared" si="13"/>
        <v>4.5712161329061418E-2</v>
      </c>
      <c r="I245" s="35">
        <f>(Table143454[[#This Row],[Core CPI]]-F233)/F233</f>
        <v>6.0956950329417843E-2</v>
      </c>
    </row>
    <row r="246" spans="1:9" x14ac:dyDescent="0.35">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5.8734710000000003</v>
      </c>
      <c r="G246" s="35">
        <f t="shared" si="12"/>
        <v>1.2415217514338828E-3</v>
      </c>
      <c r="H246" s="35">
        <f t="shared" si="13"/>
        <v>1.5000414032173559E-2</v>
      </c>
      <c r="I246" s="35">
        <f>(Table143454[[#This Row],[Core CPI]]-F234)/F234</f>
        <v>6.0117735287826976E-2</v>
      </c>
    </row>
    <row r="247" spans="1:9" x14ac:dyDescent="0.35">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5.9083769999999998</v>
      </c>
      <c r="G247" s="35">
        <f t="shared" si="12"/>
        <v>5.9429935041817039E-3</v>
      </c>
      <c r="H247" s="35">
        <f t="shared" si="13"/>
        <v>7.3693789139424704E-2</v>
      </c>
      <c r="I247" s="35">
        <f>(Table143454[[#This Row],[Core CPI]]-F235)/F235</f>
        <v>5.8187841789161837E-2</v>
      </c>
    </row>
    <row r="248" spans="1:9" x14ac:dyDescent="0.35">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5.935276</v>
      </c>
      <c r="G248" s="35">
        <f t="shared" si="12"/>
        <v>4.5526884963502656E-3</v>
      </c>
      <c r="H248" s="35">
        <f t="shared" si="13"/>
        <v>5.6021216316008982E-2</v>
      </c>
      <c r="I248" s="35">
        <f>(Table143454[[#This Row],[Core CPI]]-F236)/F236</f>
        <v>5.73918855939149E-2</v>
      </c>
    </row>
    <row r="249" spans="1:9" x14ac:dyDescent="0.35">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5.9656079999999996</v>
      </c>
      <c r="G249" s="35">
        <f t="shared" si="12"/>
        <v>5.1104615859480784E-3</v>
      </c>
      <c r="H249" s="35">
        <f t="shared" si="13"/>
        <v>6.3078952583811576E-2</v>
      </c>
      <c r="I249" s="35">
        <f>(Table143454[[#This Row],[Core CPI]]-F237)/F237</f>
        <v>5.3681778850408014E-2</v>
      </c>
    </row>
    <row r="250" spans="1:9" x14ac:dyDescent="0.35">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5.9918079999999998</v>
      </c>
      <c r="G250" s="35">
        <f t="shared" si="12"/>
        <v>4.3918406975449464E-3</v>
      </c>
      <c r="H250" s="35">
        <f t="shared" si="13"/>
        <v>5.3993935717598918E-2</v>
      </c>
      <c r="I250" s="35">
        <f>(Table143454[[#This Row],[Core CPI]]-F238)/F238</f>
        <v>5.5363070091774776E-2</v>
      </c>
    </row>
    <row r="251" spans="1:9" x14ac:dyDescent="0.35">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6.0167229999999998</v>
      </c>
      <c r="G251" s="35">
        <f t="shared" si="12"/>
        <v>4.1581772980709975E-3</v>
      </c>
      <c r="H251" s="35">
        <f t="shared" si="13"/>
        <v>5.1055262764112097E-2</v>
      </c>
      <c r="I251" s="35">
        <f>(Table143454[[#This Row],[Core CPI]]-F239)/F239</f>
        <v>4.8887521377057201E-2</v>
      </c>
    </row>
    <row r="252" spans="1:9" x14ac:dyDescent="0.35">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6.0552279999999996</v>
      </c>
      <c r="G252" s="35">
        <f t="shared" si="12"/>
        <v>6.3996630724065806E-3</v>
      </c>
      <c r="H252" s="35">
        <f t="shared" si="13"/>
        <v>7.9557533675002512E-2</v>
      </c>
      <c r="I252" s="35">
        <f>(Table143454[[#This Row],[Core CPI]]-F240)/F240</f>
        <v>5.0651648437259965E-2</v>
      </c>
    </row>
    <row r="253" spans="1:9" x14ac:dyDescent="0.35">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6.0693060000000001</v>
      </c>
      <c r="G253" s="35">
        <f t="shared" si="12"/>
        <v>2.3249330991335082E-3</v>
      </c>
      <c r="H253" s="35">
        <f t="shared" si="13"/>
        <v>2.825872716309985E-2</v>
      </c>
      <c r="I253" s="35">
        <f>(Table143454[[#This Row],[Core CPI]]-F241)/F241</f>
        <v>4.856970486039127E-2</v>
      </c>
    </row>
    <row r="254" spans="1:9" x14ac:dyDescent="0.35">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6.0797660000000002</v>
      </c>
      <c r="G254" s="35">
        <f t="shared" si="12"/>
        <v>1.7234260391549849E-3</v>
      </c>
      <c r="H254" s="35">
        <f t="shared" si="13"/>
        <v>2.0878276032858967E-2</v>
      </c>
      <c r="I254" s="35">
        <f>(Table143454[[#This Row],[Core CPI]]-F242)/F242</f>
        <v>4.7828309481108666E-2</v>
      </c>
    </row>
    <row r="255" spans="1:9" x14ac:dyDescent="0.35">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6.1319280000000003</v>
      </c>
      <c r="G255" s="35">
        <f t="shared" si="12"/>
        <v>8.5796065177508041E-3</v>
      </c>
      <c r="H255" s="35">
        <f t="shared" si="13"/>
        <v>0.10795517346808747</v>
      </c>
      <c r="I255" s="35">
        <f>(Table143454[[#This Row],[Core CPI]]-F243)/F243</f>
        <v>4.9666300796947796E-2</v>
      </c>
    </row>
    <row r="256" spans="1:9" x14ac:dyDescent="0.35">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6.1587079999999998</v>
      </c>
      <c r="G256" s="35">
        <f t="shared" si="12"/>
        <v>4.3673050303263405E-3</v>
      </c>
      <c r="H256" s="35">
        <f t="shared" si="13"/>
        <v>5.3685008832485615E-2</v>
      </c>
      <c r="I256" s="35">
        <f>(Table143454[[#This Row],[Core CPI]]-F244)/F244</f>
        <v>5.3783311072623984E-2</v>
      </c>
    </row>
    <row r="257" spans="1:9" x14ac:dyDescent="0.35">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6.1777360000000003</v>
      </c>
      <c r="G257" s="35">
        <f t="shared" si="12"/>
        <v>3.0896090543666155E-3</v>
      </c>
      <c r="H257" s="35">
        <f t="shared" si="13"/>
        <v>3.7711857466848464E-2</v>
      </c>
      <c r="I257" s="35">
        <f>(Table143454[[#This Row],[Core CPI]]-F245)/F245</f>
        <v>5.3109105947508013E-2</v>
      </c>
    </row>
    <row r="258" spans="1:9" x14ac:dyDescent="0.35">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6.209511</v>
      </c>
      <c r="G258" s="35">
        <f t="shared" si="12"/>
        <v>5.1434700349770601E-3</v>
      </c>
      <c r="H258" s="35">
        <f t="shared" si="13"/>
        <v>6.3497974304946636E-2</v>
      </c>
      <c r="I258" s="35">
        <f>(Table143454[[#This Row],[Core CPI]]-F246)/F246</f>
        <v>5.7213187908819102E-2</v>
      </c>
    </row>
    <row r="259" spans="1:9" x14ac:dyDescent="0.35">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6.2579079999999996</v>
      </c>
      <c r="G259" s="35">
        <f t="shared" ref="G259:G322" si="16">(F259/F258)-1</f>
        <v>7.7940114769101676E-3</v>
      </c>
      <c r="H259" s="35">
        <f t="shared" ref="H259:H322" si="17">((1+G259)^12)-1</f>
        <v>9.7643425077638568E-2</v>
      </c>
      <c r="I259" s="35">
        <f>(Table143454[[#This Row],[Core CPI]]-F247)/F247</f>
        <v>5.9158547262640797E-2</v>
      </c>
    </row>
    <row r="260" spans="1:9" x14ac:dyDescent="0.35">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6.3317420000000002</v>
      </c>
      <c r="G260" s="35">
        <f t="shared" si="16"/>
        <v>1.1798511579269144E-2</v>
      </c>
      <c r="H260" s="35">
        <f t="shared" si="17"/>
        <v>0.15114076670984078</v>
      </c>
      <c r="I260" s="35">
        <f>(Table143454[[#This Row],[Core CPI]]-F248)/F248</f>
        <v>6.6798241564503522E-2</v>
      </c>
    </row>
    <row r="261" spans="1:9" x14ac:dyDescent="0.35">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6.389138</v>
      </c>
      <c r="G261" s="35">
        <f t="shared" si="16"/>
        <v>9.0648039670599978E-3</v>
      </c>
      <c r="H261" s="35">
        <f t="shared" si="17"/>
        <v>0.11436817255454712</v>
      </c>
      <c r="I261" s="35">
        <f>(Table143454[[#This Row],[Core CPI]]-F249)/F249</f>
        <v>7.0995278268367684E-2</v>
      </c>
    </row>
    <row r="262" spans="1:9" x14ac:dyDescent="0.35">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6.4137219999999999</v>
      </c>
      <c r="G262" s="35">
        <f t="shared" si="16"/>
        <v>3.8477804048058228E-3</v>
      </c>
      <c r="H262" s="35">
        <f t="shared" si="17"/>
        <v>4.7163164315747519E-2</v>
      </c>
      <c r="I262" s="35">
        <f>(Table143454[[#This Row],[Core CPI]]-F250)/F250</f>
        <v>7.0415140138001778E-2</v>
      </c>
    </row>
    <row r="263" spans="1:9" x14ac:dyDescent="0.35">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6.4870419999999998</v>
      </c>
      <c r="G263" s="35">
        <f t="shared" si="16"/>
        <v>1.1431739635737292E-2</v>
      </c>
      <c r="H263" s="35">
        <f t="shared" si="17"/>
        <v>0.14614334417032948</v>
      </c>
      <c r="I263" s="35">
        <f>(Table143454[[#This Row],[Core CPI]]-F251)/F251</f>
        <v>7.8168630997305338E-2</v>
      </c>
    </row>
    <row r="264" spans="1:9" x14ac:dyDescent="0.35">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6.5678089999999996</v>
      </c>
      <c r="G264" s="35">
        <f t="shared" si="16"/>
        <v>1.2450512883992459E-2</v>
      </c>
      <c r="H264" s="35">
        <f t="shared" si="17"/>
        <v>0.16007390196727544</v>
      </c>
      <c r="I264" s="35">
        <f>(Table143454[[#This Row],[Core CPI]]-F252)/F252</f>
        <v>8.4650982588929766E-2</v>
      </c>
    </row>
    <row r="265" spans="1:9" x14ac:dyDescent="0.35">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6.6386960000000004</v>
      </c>
      <c r="G265" s="35">
        <f t="shared" si="16"/>
        <v>1.0793097058699574E-2</v>
      </c>
      <c r="H265" s="35">
        <f t="shared" si="17"/>
        <v>0.13748900728376179</v>
      </c>
      <c r="I265" s="35">
        <f>(Table143454[[#This Row],[Core CPI]]-F253)/F253</f>
        <v>9.3814679965057005E-2</v>
      </c>
    </row>
    <row r="266" spans="1:9" x14ac:dyDescent="0.35">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6.6942380000000004</v>
      </c>
      <c r="G266" s="35">
        <f t="shared" si="16"/>
        <v>8.3664020765523706E-3</v>
      </c>
      <c r="H266" s="35">
        <f t="shared" si="17"/>
        <v>0.10514790058585555</v>
      </c>
      <c r="I266" s="35">
        <f>(Table143454[[#This Row],[Core CPI]]-F254)/F254</f>
        <v>0.10106836348635788</v>
      </c>
    </row>
    <row r="267" spans="1:9" x14ac:dyDescent="0.35">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6.7942169999999997</v>
      </c>
      <c r="G267" s="35">
        <f t="shared" si="16"/>
        <v>1.4935082977330483E-2</v>
      </c>
      <c r="H267" s="35">
        <f t="shared" si="17"/>
        <v>0.19470086692934996</v>
      </c>
      <c r="I267" s="35">
        <f>(Table143454[[#This Row],[Core CPI]]-F255)/F255</f>
        <v>0.1080066497845375</v>
      </c>
    </row>
    <row r="268" spans="1:9" x14ac:dyDescent="0.35">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6.8534959999999998</v>
      </c>
      <c r="G268" s="35">
        <f t="shared" si="16"/>
        <v>8.7249200312560227E-3</v>
      </c>
      <c r="H268" s="35">
        <f t="shared" si="17"/>
        <v>0.10987226757373425</v>
      </c>
      <c r="I268" s="35">
        <f>(Table143454[[#This Row],[Core CPI]]-F256)/F256</f>
        <v>0.1128139213614284</v>
      </c>
    </row>
    <row r="269" spans="1:9" x14ac:dyDescent="0.35">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6.8887239999999998</v>
      </c>
      <c r="G269" s="35">
        <f t="shared" si="16"/>
        <v>5.1401503699717299E-3</v>
      </c>
      <c r="H269" s="35">
        <f t="shared" si="17"/>
        <v>6.3455826376996649E-2</v>
      </c>
      <c r="I269" s="35">
        <f>(Table143454[[#This Row],[Core CPI]]-F257)/F257</f>
        <v>0.11508876390962636</v>
      </c>
    </row>
    <row r="270" spans="1:9" x14ac:dyDescent="0.35">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6.9306089999999996</v>
      </c>
      <c r="G270" s="35">
        <f t="shared" si="16"/>
        <v>6.0802261783168277E-3</v>
      </c>
      <c r="H270" s="35">
        <f t="shared" si="17"/>
        <v>7.5452812993816121E-2</v>
      </c>
      <c r="I270" s="35">
        <f>(Table143454[[#This Row],[Core CPI]]-F258)/F258</f>
        <v>0.11612798495726952</v>
      </c>
    </row>
    <row r="271" spans="1:9" x14ac:dyDescent="0.35">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6.9709329999999996</v>
      </c>
      <c r="G271" s="35">
        <f t="shared" si="16"/>
        <v>5.818247718202052E-3</v>
      </c>
      <c r="H271" s="35">
        <f t="shared" si="17"/>
        <v>7.2097108673268906E-2</v>
      </c>
      <c r="I271" s="35">
        <f>(Table143454[[#This Row],[Core CPI]]-F259)/F259</f>
        <v>0.11393983420657512</v>
      </c>
    </row>
    <row r="272" spans="1:9" x14ac:dyDescent="0.35">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7.0022060000000002</v>
      </c>
      <c r="G272" s="35">
        <f t="shared" si="16"/>
        <v>4.4862000538523628E-3</v>
      </c>
      <c r="H272" s="35">
        <f t="shared" si="17"/>
        <v>5.5182781625132904E-2</v>
      </c>
      <c r="I272" s="35">
        <f>(Table143454[[#This Row],[Core CPI]]-F260)/F260</f>
        <v>0.10588934293279795</v>
      </c>
    </row>
    <row r="273" spans="1:9" x14ac:dyDescent="0.35">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7.0921019999999997</v>
      </c>
      <c r="G273" s="35">
        <f t="shared" si="16"/>
        <v>1.2838239834703558E-2</v>
      </c>
      <c r="H273" s="35">
        <f t="shared" si="17"/>
        <v>0.16541627285435245</v>
      </c>
      <c r="I273" s="35">
        <f>(Table143454[[#This Row],[Core CPI]]-F261)/F261</f>
        <v>0.11002485781337008</v>
      </c>
    </row>
    <row r="274" spans="1:9" x14ac:dyDescent="0.35">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7.1596880000000001</v>
      </c>
      <c r="G274" s="35">
        <f t="shared" si="16"/>
        <v>9.5297557762141771E-3</v>
      </c>
      <c r="H274" s="35">
        <f t="shared" si="17"/>
        <v>0.1205454874591112</v>
      </c>
      <c r="I274" s="35">
        <f>(Table143454[[#This Row],[Core CPI]]-F262)/F262</f>
        <v>0.11630781627267289</v>
      </c>
    </row>
    <row r="275" spans="1:9" x14ac:dyDescent="0.35">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7.254416</v>
      </c>
      <c r="G275" s="35">
        <f t="shared" si="16"/>
        <v>1.323074413298464E-2</v>
      </c>
      <c r="H275" s="35">
        <f t="shared" si="17"/>
        <v>0.17084743188898788</v>
      </c>
      <c r="I275" s="35">
        <f>(Table143454[[#This Row],[Core CPI]]-F263)/F263</f>
        <v>0.11829336082608996</v>
      </c>
    </row>
    <row r="276" spans="1:9" x14ac:dyDescent="0.35">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7.4033889999999998</v>
      </c>
      <c r="G276" s="35">
        <f t="shared" si="16"/>
        <v>2.053549176115621E-2</v>
      </c>
      <c r="H276" s="35">
        <f t="shared" si="17"/>
        <v>0.27625470555428011</v>
      </c>
      <c r="I276" s="35">
        <f>(Table143454[[#This Row],[Core CPI]]-F264)/F264</f>
        <v>0.12722355354730935</v>
      </c>
    </row>
    <row r="277" spans="1:9" x14ac:dyDescent="0.35">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7.5192490000000003</v>
      </c>
      <c r="G277" s="35">
        <f t="shared" si="16"/>
        <v>1.5649589667650954E-2</v>
      </c>
      <c r="H277" s="35">
        <f t="shared" si="17"/>
        <v>0.20483276285121543</v>
      </c>
      <c r="I277" s="35">
        <f>(Table143454[[#This Row],[Core CPI]]-F265)/F265</f>
        <v>0.1326394520851685</v>
      </c>
    </row>
    <row r="278" spans="1:9" x14ac:dyDescent="0.35">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7.599558</v>
      </c>
      <c r="G278" s="35">
        <f t="shared" si="16"/>
        <v>1.0680454923091443E-2</v>
      </c>
      <c r="H278" s="35">
        <f t="shared" si="17"/>
        <v>0.13596880670396905</v>
      </c>
      <c r="I278" s="35">
        <f>(Table143454[[#This Row],[Core CPI]]-F266)/F266</f>
        <v>0.13523869333597038</v>
      </c>
    </row>
    <row r="279" spans="1:9" x14ac:dyDescent="0.35">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7.7263529999999996</v>
      </c>
      <c r="G279" s="35">
        <f t="shared" si="16"/>
        <v>1.6684522968309468E-2</v>
      </c>
      <c r="H279" s="35">
        <f t="shared" si="17"/>
        <v>0.21964811213997448</v>
      </c>
      <c r="I279" s="35">
        <f>(Table143454[[#This Row],[Core CPI]]-F267)/F267</f>
        <v>0.13719550023203556</v>
      </c>
    </row>
    <row r="280" spans="1:9" x14ac:dyDescent="0.35">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7.8438439999999998</v>
      </c>
      <c r="G280" s="35">
        <f t="shared" si="16"/>
        <v>1.520652758164176E-2</v>
      </c>
      <c r="H280" s="35">
        <f t="shared" si="17"/>
        <v>0.19854078810784892</v>
      </c>
      <c r="I280" s="35">
        <f>(Table143454[[#This Row],[Core CPI]]-F268)/F268</f>
        <v>0.14450260130012479</v>
      </c>
    </row>
    <row r="281" spans="1:9" x14ac:dyDescent="0.35">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7.9442870000000001</v>
      </c>
      <c r="G281" s="35">
        <f t="shared" si="16"/>
        <v>1.2805328611838807E-2</v>
      </c>
      <c r="H281" s="35">
        <f t="shared" si="17"/>
        <v>0.16496192483506777</v>
      </c>
      <c r="I281" s="35">
        <f>(Table143454[[#This Row],[Core CPI]]-F269)/F269</f>
        <v>0.15323055474424585</v>
      </c>
    </row>
    <row r="282" spans="1:9" x14ac:dyDescent="0.35">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8.1134000000000004</v>
      </c>
      <c r="G282" s="35">
        <f t="shared" si="16"/>
        <v>2.1287372925978154E-2</v>
      </c>
      <c r="H282" s="35">
        <f t="shared" si="17"/>
        <v>0.28758393232471313</v>
      </c>
      <c r="I282" s="35">
        <f>(Table143454[[#This Row],[Core CPI]]-F270)/F270</f>
        <v>0.17066191441473627</v>
      </c>
    </row>
    <row r="283" spans="1:9" x14ac:dyDescent="0.35">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8.3397889999999997</v>
      </c>
      <c r="G283" s="35">
        <f t="shared" si="16"/>
        <v>2.79030985776616E-2</v>
      </c>
      <c r="H283" s="35">
        <f t="shared" si="17"/>
        <v>0.3913170354691462</v>
      </c>
      <c r="I283" s="35">
        <f>(Table143454[[#This Row],[Core CPI]]-F271)/F271</f>
        <v>0.19636625398637458</v>
      </c>
    </row>
    <row r="284" spans="1:9" x14ac:dyDescent="0.35">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8.4936109999999996</v>
      </c>
      <c r="G284" s="35">
        <f t="shared" si="16"/>
        <v>1.8444351529756986E-2</v>
      </c>
      <c r="H284" s="35">
        <f t="shared" si="17"/>
        <v>0.24522446921686436</v>
      </c>
      <c r="I284" s="35">
        <f>(Table143454[[#This Row],[Core CPI]]-F272)/F272</f>
        <v>0.21299073463419949</v>
      </c>
    </row>
    <row r="285" spans="1:9" x14ac:dyDescent="0.35">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8.6764709999999994</v>
      </c>
      <c r="G285" s="35">
        <f t="shared" si="16"/>
        <v>2.1529123478812418E-2</v>
      </c>
      <c r="H285" s="35">
        <f t="shared" si="17"/>
        <v>0.29124613014729195</v>
      </c>
      <c r="I285" s="35">
        <f>(Table143454[[#This Row],[Core CPI]]-F273)/F273</f>
        <v>0.22339907124855224</v>
      </c>
    </row>
    <row r="286" spans="1:9" x14ac:dyDescent="0.35">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8.7432250000000007</v>
      </c>
      <c r="G286" s="35">
        <f t="shared" si="16"/>
        <v>7.6936809908085824E-3</v>
      </c>
      <c r="H286" s="35">
        <f t="shared" si="17"/>
        <v>9.6332837988721165E-2</v>
      </c>
      <c r="I286" s="35">
        <f>(Table143454[[#This Row],[Core CPI]]-F274)/F274</f>
        <v>0.22117402322559315</v>
      </c>
    </row>
    <row r="287" spans="1:9" x14ac:dyDescent="0.35">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8.8644820000000006</v>
      </c>
      <c r="G287" s="35">
        <f t="shared" si="16"/>
        <v>1.3868681178855535E-2</v>
      </c>
      <c r="H287" s="35">
        <f t="shared" si="17"/>
        <v>0.17972421197930277</v>
      </c>
      <c r="I287" s="35">
        <f>(Table143454[[#This Row],[Core CPI]]-F275)/F275</f>
        <v>0.22194288279028948</v>
      </c>
    </row>
    <row r="288" spans="1:9" x14ac:dyDescent="0.35">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9.0211220000000001</v>
      </c>
      <c r="G288" s="35">
        <f t="shared" si="16"/>
        <v>1.767051927004859E-2</v>
      </c>
      <c r="H288" s="35">
        <f t="shared" si="17"/>
        <v>0.23391807019641542</v>
      </c>
      <c r="I288" s="35">
        <f>(Table143454[[#This Row],[Core CPI]]-F276)/F276</f>
        <v>0.21851249475071488</v>
      </c>
    </row>
    <row r="289" spans="1:9" x14ac:dyDescent="0.35">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9.0134100000000004</v>
      </c>
      <c r="G289" s="35">
        <f t="shared" si="16"/>
        <v>-8.5488257447352556E-4</v>
      </c>
      <c r="H289" s="35">
        <f t="shared" si="17"/>
        <v>-1.0210493680552157E-2</v>
      </c>
      <c r="I289" s="35">
        <f>(Table143454[[#This Row],[Core CPI]]-F277)/F277</f>
        <v>0.1987114670627346</v>
      </c>
    </row>
    <row r="290" spans="1:9" x14ac:dyDescent="0.35">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9.1412510000000005</v>
      </c>
      <c r="G290" s="35">
        <f t="shared" si="16"/>
        <v>1.4183422256393463E-2</v>
      </c>
      <c r="H290" s="35">
        <f t="shared" si="17"/>
        <v>0.18412646606813743</v>
      </c>
      <c r="I290" s="35">
        <f>(Table143454[[#This Row],[Core CPI]]-F278)/F278</f>
        <v>0.20286614037290068</v>
      </c>
    </row>
    <row r="291" spans="1:9" x14ac:dyDescent="0.35">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9.2274650000000005</v>
      </c>
      <c r="G291" s="35">
        <f t="shared" si="16"/>
        <v>9.4313130664500644E-3</v>
      </c>
      <c r="H291" s="35">
        <f t="shared" si="17"/>
        <v>0.1192349716532104</v>
      </c>
      <c r="I291" s="35">
        <f>(Table143454[[#This Row],[Core CPI]]-F279)/F279</f>
        <v>0.19428467738919009</v>
      </c>
    </row>
    <row r="292" spans="1:9" x14ac:dyDescent="0.35">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9.3008310000000005</v>
      </c>
      <c r="G292" s="35">
        <f t="shared" si="16"/>
        <v>7.9508293989736245E-3</v>
      </c>
      <c r="H292" s="35">
        <f t="shared" si="17"/>
        <v>9.9694767507700899E-2</v>
      </c>
      <c r="I292" s="35">
        <f>(Table143454[[#This Row],[Core CPI]]-F280)/F280</f>
        <v>0.18574910464818026</v>
      </c>
    </row>
    <row r="293" spans="1:9" x14ac:dyDescent="0.35">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9.3374179999999996</v>
      </c>
      <c r="G293" s="35">
        <f t="shared" si="16"/>
        <v>3.9337345232914878E-3</v>
      </c>
      <c r="H293" s="35">
        <f t="shared" si="17"/>
        <v>4.8239626965034921E-2</v>
      </c>
      <c r="I293" s="35">
        <f>(Table143454[[#This Row],[Core CPI]]-F281)/F281</f>
        <v>0.17536262222147808</v>
      </c>
    </row>
    <row r="294" spans="1:9" x14ac:dyDescent="0.35">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9.3999469999999992</v>
      </c>
      <c r="G294" s="35">
        <f t="shared" si="16"/>
        <v>6.6966049929433336E-3</v>
      </c>
      <c r="H294" s="35">
        <f t="shared" si="17"/>
        <v>8.3386071667527428E-2</v>
      </c>
      <c r="I294" s="35">
        <f>(Table143454[[#This Row],[Core CPI]]-F282)/F282</f>
        <v>0.15857063623141948</v>
      </c>
    </row>
    <row r="295" spans="1:9" x14ac:dyDescent="0.35">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9.4678400000000007</v>
      </c>
      <c r="G295" s="35">
        <f t="shared" si="16"/>
        <v>7.2227002982039323E-3</v>
      </c>
      <c r="H295" s="35">
        <f t="shared" si="17"/>
        <v>9.019970845152514E-2</v>
      </c>
      <c r="I295" s="35">
        <f>(Table143454[[#This Row],[Core CPI]]-F283)/F283</f>
        <v>0.13526133574842253</v>
      </c>
    </row>
    <row r="296" spans="1:9" x14ac:dyDescent="0.35">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9.5777009999999994</v>
      </c>
      <c r="G296" s="35">
        <f t="shared" si="16"/>
        <v>1.1603597018960965E-2</v>
      </c>
      <c r="H296" s="35">
        <f t="shared" si="17"/>
        <v>0.14848249217579634</v>
      </c>
      <c r="I296" s="35">
        <f>(Table143454[[#This Row],[Core CPI]]-F284)/F284</f>
        <v>0.1276359371767791</v>
      </c>
    </row>
    <row r="297" spans="1:9" x14ac:dyDescent="0.35">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9.6970209999999994</v>
      </c>
      <c r="G297" s="35">
        <f t="shared" si="16"/>
        <v>1.2458104507543144E-2</v>
      </c>
      <c r="H297" s="35">
        <f t="shared" si="17"/>
        <v>0.16017828878855789</v>
      </c>
      <c r="I297" s="35">
        <f>(Table143454[[#This Row],[Core CPI]]-F285)/F285</f>
        <v>0.11762270628231226</v>
      </c>
    </row>
    <row r="298" spans="1:9" x14ac:dyDescent="0.35">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9.7480340000000005</v>
      </c>
      <c r="G298" s="35">
        <f t="shared" si="16"/>
        <v>5.2606877926737461E-3</v>
      </c>
      <c r="H298" s="35">
        <f t="shared" si="17"/>
        <v>6.4987204528943465E-2</v>
      </c>
      <c r="I298" s="35">
        <f>(Table143454[[#This Row],[Core CPI]]-F286)/F286</f>
        <v>0.11492429852828902</v>
      </c>
    </row>
    <row r="299" spans="1:9" x14ac:dyDescent="0.35">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9.9501830000000009</v>
      </c>
      <c r="G299" s="35">
        <f t="shared" si="16"/>
        <v>2.0737412282312517E-2</v>
      </c>
      <c r="H299" s="35">
        <f t="shared" si="17"/>
        <v>0.27928820282471256</v>
      </c>
      <c r="I299" s="35">
        <f>(Table143454[[#This Row],[Core CPI]]-F287)/F287</f>
        <v>0.12247765859302327</v>
      </c>
    </row>
    <row r="300" spans="1:9" x14ac:dyDescent="0.35">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10.174340000000001</v>
      </c>
      <c r="G300" s="35">
        <f t="shared" si="16"/>
        <v>2.252792737580811E-2</v>
      </c>
      <c r="H300" s="35">
        <f t="shared" si="17"/>
        <v>0.30647811736280817</v>
      </c>
      <c r="I300" s="35">
        <f>(Table143454[[#This Row],[Core CPI]]-F288)/F288</f>
        <v>0.12783531804580414</v>
      </c>
    </row>
    <row r="301" spans="1:9" x14ac:dyDescent="0.35">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10.3269</v>
      </c>
      <c r="G301" s="35">
        <f t="shared" si="16"/>
        <v>1.4994584415303436E-2</v>
      </c>
      <c r="H301" s="35">
        <f t="shared" si="17"/>
        <v>0.19554162232107197</v>
      </c>
      <c r="I301" s="35">
        <f>(Table143454[[#This Row],[Core CPI]]-F289)/F289</f>
        <v>0.14572620129340613</v>
      </c>
    </row>
    <row r="302" spans="1:9" x14ac:dyDescent="0.35">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10.52971</v>
      </c>
      <c r="G302" s="35">
        <f t="shared" si="16"/>
        <v>1.9639001055495875E-2</v>
      </c>
      <c r="H302" s="35">
        <f t="shared" si="17"/>
        <v>0.26286598518415771</v>
      </c>
      <c r="I302" s="35">
        <f>(Table143454[[#This Row],[Core CPI]]-F290)/F290</f>
        <v>0.15188938581819919</v>
      </c>
    </row>
    <row r="303" spans="1:9" x14ac:dyDescent="0.35">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10.758179999999999</v>
      </c>
      <c r="G303" s="35">
        <f t="shared" si="16"/>
        <v>2.1697653591599364E-2</v>
      </c>
      <c r="H303" s="35">
        <f t="shared" si="17"/>
        <v>0.29380478169987567</v>
      </c>
      <c r="I303" s="35">
        <f>(Table143454[[#This Row],[Core CPI]]-F291)/F291</f>
        <v>0.16588683890971126</v>
      </c>
    </row>
    <row r="304" spans="1:9" x14ac:dyDescent="0.35">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10.81775</v>
      </c>
      <c r="G304" s="35">
        <f t="shared" si="16"/>
        <v>5.5371819396961008E-3</v>
      </c>
      <c r="H304" s="35">
        <f t="shared" si="17"/>
        <v>6.8507587955160876E-2</v>
      </c>
      <c r="I304" s="35">
        <f>(Table143454[[#This Row],[Core CPI]]-F292)/F292</f>
        <v>0.16309499656536061</v>
      </c>
    </row>
    <row r="305" spans="1:9" x14ac:dyDescent="0.35">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10.882400000000001</v>
      </c>
      <c r="G305" s="35">
        <f t="shared" si="16"/>
        <v>5.9762889695176291E-3</v>
      </c>
      <c r="H305" s="35">
        <f t="shared" si="17"/>
        <v>7.4120321972867886E-2</v>
      </c>
      <c r="I305" s="35">
        <f>(Table143454[[#This Row],[Core CPI]]-F293)/F293</f>
        <v>0.16546137272637906</v>
      </c>
    </row>
    <row r="306" spans="1:9" x14ac:dyDescent="0.35">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11.00733</v>
      </c>
      <c r="G306" s="35">
        <f t="shared" si="16"/>
        <v>1.1480004410791667E-2</v>
      </c>
      <c r="H306" s="35">
        <f t="shared" si="17"/>
        <v>0.14679983381118822</v>
      </c>
      <c r="I306" s="35">
        <f>(Table143454[[#This Row],[Core CPI]]-F294)/F294</f>
        <v>0.17099915563353715</v>
      </c>
    </row>
    <row r="307" spans="1:9" x14ac:dyDescent="0.35">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11.170389999999999</v>
      </c>
      <c r="G307" s="35">
        <f t="shared" si="16"/>
        <v>1.4813765009316526E-2</v>
      </c>
      <c r="H307" s="35">
        <f t="shared" si="17"/>
        <v>0.19298832272941802</v>
      </c>
      <c r="I307" s="35">
        <f>(Table143454[[#This Row],[Core CPI]]-F295)/F295</f>
        <v>0.17982454287355917</v>
      </c>
    </row>
    <row r="308" spans="1:9" x14ac:dyDescent="0.35">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11.370620000000001</v>
      </c>
      <c r="G308" s="35">
        <f t="shared" si="16"/>
        <v>1.7925067969874142E-2</v>
      </c>
      <c r="H308" s="35">
        <f t="shared" si="17"/>
        <v>0.2376268308724736</v>
      </c>
      <c r="I308" s="35">
        <f>(Table143454[[#This Row],[Core CPI]]-F296)/F296</f>
        <v>0.18719721987562582</v>
      </c>
    </row>
    <row r="309" spans="1:9" x14ac:dyDescent="0.35">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11.60929</v>
      </c>
      <c r="G309" s="35">
        <f t="shared" si="16"/>
        <v>2.099006034851203E-2</v>
      </c>
      <c r="H309" s="35">
        <f t="shared" si="17"/>
        <v>0.28309309971004049</v>
      </c>
      <c r="I309" s="35">
        <f>(Table143454[[#This Row],[Core CPI]]-F297)/F297</f>
        <v>0.19720169730477022</v>
      </c>
    </row>
    <row r="310" spans="1:9" x14ac:dyDescent="0.35">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11.552960000000001</v>
      </c>
      <c r="G310" s="35">
        <f t="shared" si="16"/>
        <v>-4.8521485810070208E-3</v>
      </c>
      <c r="H310" s="35">
        <f t="shared" si="17"/>
        <v>-5.6696781769467353E-2</v>
      </c>
      <c r="I310" s="35">
        <f>(Table143454[[#This Row],[Core CPI]]-F298)/F298</f>
        <v>0.18515795082372508</v>
      </c>
    </row>
    <row r="311" spans="1:9" x14ac:dyDescent="0.35">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11.833360000000001</v>
      </c>
      <c r="G311" s="35">
        <f t="shared" si="16"/>
        <v>2.4270836218596825E-2</v>
      </c>
      <c r="H311" s="35">
        <f t="shared" si="17"/>
        <v>0.33345292435187157</v>
      </c>
      <c r="I311" s="35">
        <f>(Table143454[[#This Row],[Core CPI]]-F299)/F299</f>
        <v>0.18926053922827346</v>
      </c>
    </row>
    <row r="312" spans="1:9" x14ac:dyDescent="0.35">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12.077260000000001</v>
      </c>
      <c r="G312" s="35">
        <f t="shared" si="16"/>
        <v>2.0611221157811555E-2</v>
      </c>
      <c r="H312" s="35">
        <f t="shared" si="17"/>
        <v>0.27739163167023007</v>
      </c>
      <c r="I312" s="35">
        <f>(Table143454[[#This Row],[Core CPI]]-F300)/F300</f>
        <v>0.18703129637892971</v>
      </c>
    </row>
    <row r="313" spans="1:9" x14ac:dyDescent="0.35">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12.237130000000001</v>
      </c>
      <c r="G313" s="35">
        <f t="shared" si="16"/>
        <v>1.3237274017450895E-2</v>
      </c>
      <c r="H313" s="35">
        <f t="shared" si="17"/>
        <v>0.17093798306310815</v>
      </c>
      <c r="I313" s="35">
        <f>(Table143454[[#This Row],[Core CPI]]-F301)/F301</f>
        <v>0.18497613030047741</v>
      </c>
    </row>
    <row r="314" spans="1:9" x14ac:dyDescent="0.35">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12.396990000000001</v>
      </c>
      <c r="G314" s="35">
        <f t="shared" si="16"/>
        <v>1.3063520613084911E-2</v>
      </c>
      <c r="H314" s="35">
        <f t="shared" si="17"/>
        <v>0.16853069680348853</v>
      </c>
      <c r="I314" s="35">
        <f>(Table143454[[#This Row],[Core CPI]]-F302)/F302</f>
        <v>0.17733441851674936</v>
      </c>
    </row>
    <row r="315" spans="1:9" x14ac:dyDescent="0.35">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12.56199</v>
      </c>
      <c r="G315" s="35">
        <f t="shared" si="16"/>
        <v>1.3309682430977077E-2</v>
      </c>
      <c r="H315" s="35">
        <f t="shared" si="17"/>
        <v>0.1719425149289675</v>
      </c>
      <c r="I315" s="35">
        <f>(Table143454[[#This Row],[Core CPI]]-F303)/F303</f>
        <v>0.16766869489077152</v>
      </c>
    </row>
    <row r="316" spans="1:9" x14ac:dyDescent="0.35">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12.62811</v>
      </c>
      <c r="G316" s="35">
        <f t="shared" si="16"/>
        <v>5.26349726436659E-3</v>
      </c>
      <c r="H316" s="35">
        <f t="shared" si="17"/>
        <v>6.502292180028646E-2</v>
      </c>
      <c r="I316" s="35">
        <f>(Table143454[[#This Row],[Core CPI]]-F304)/F304</f>
        <v>0.16735088165283901</v>
      </c>
    </row>
    <row r="317" spans="1:9" x14ac:dyDescent="0.35">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12.70623</v>
      </c>
      <c r="G317" s="35">
        <f t="shared" si="16"/>
        <v>6.186198884868821E-3</v>
      </c>
      <c r="H317" s="35">
        <f t="shared" si="17"/>
        <v>7.6812959321072016E-2</v>
      </c>
      <c r="I317" s="35">
        <f>(Table143454[[#This Row],[Core CPI]]-F305)/F305</f>
        <v>0.16759446445636983</v>
      </c>
    </row>
    <row r="318" spans="1:9" x14ac:dyDescent="0.35">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12.812860000000001</v>
      </c>
      <c r="G318" s="35">
        <f t="shared" si="16"/>
        <v>8.3919463129504823E-3</v>
      </c>
      <c r="H318" s="35">
        <f t="shared" si="17"/>
        <v>0.1054838986049409</v>
      </c>
      <c r="I318" s="35">
        <f>(Table143454[[#This Row],[Core CPI]]-F306)/F306</f>
        <v>0.16402978742347155</v>
      </c>
    </row>
    <row r="319" spans="1:9" x14ac:dyDescent="0.35">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12.96626</v>
      </c>
      <c r="G319" s="35">
        <f t="shared" si="16"/>
        <v>1.1972346533092537E-2</v>
      </c>
      <c r="H319" s="35">
        <f t="shared" si="17"/>
        <v>0.15351631123881826</v>
      </c>
      <c r="I319" s="35">
        <f>(Table143454[[#This Row],[Core CPI]]-F307)/F307</f>
        <v>0.16077057291643362</v>
      </c>
    </row>
    <row r="320" spans="1:9" x14ac:dyDescent="0.35">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13.161659999999999</v>
      </c>
      <c r="G320" s="35">
        <f t="shared" si="16"/>
        <v>1.506988136902998E-2</v>
      </c>
      <c r="H320" s="35">
        <f t="shared" si="17"/>
        <v>0.19660634580795922</v>
      </c>
      <c r="I320" s="35">
        <f>(Table143454[[#This Row],[Core CPI]]-F308)/F308</f>
        <v>0.15751471775505635</v>
      </c>
    </row>
    <row r="321" spans="1:9" x14ac:dyDescent="0.35">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13.31049</v>
      </c>
      <c r="G321" s="35">
        <f t="shared" si="16"/>
        <v>1.1307844147318891E-2</v>
      </c>
      <c r="H321" s="35">
        <f t="shared" si="17"/>
        <v>0.1444597146832336</v>
      </c>
      <c r="I321" s="35">
        <f>(Table143454[[#This Row],[Core CPI]]-F309)/F309</f>
        <v>0.14653781583542147</v>
      </c>
    </row>
    <row r="322" spans="1:9" x14ac:dyDescent="0.35">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13.367509999999999</v>
      </c>
      <c r="G322" s="35">
        <f t="shared" si="16"/>
        <v>4.2838392876596298E-3</v>
      </c>
      <c r="H322" s="35">
        <f t="shared" si="17"/>
        <v>5.2634718782549106E-2</v>
      </c>
      <c r="I322" s="35">
        <f>(Table143454[[#This Row],[Core CPI]]-F310)/F310</f>
        <v>0.1570636442954878</v>
      </c>
    </row>
    <row r="323" spans="1:9" x14ac:dyDescent="0.35">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13.480259999999999</v>
      </c>
      <c r="G323" s="35">
        <f t="shared" ref="G323:G386" si="20">(F323/F322)-1</f>
        <v>8.4346299348196929E-3</v>
      </c>
      <c r="H323" s="35">
        <f t="shared" ref="H323:H386" si="21">((1+G323)^12)-1</f>
        <v>0.10604554978005187</v>
      </c>
      <c r="I323" s="35">
        <f>(Table143454[[#This Row],[Core CPI]]-F311)/F311</f>
        <v>0.13917433425502126</v>
      </c>
    </row>
    <row r="324" spans="1:9" x14ac:dyDescent="0.35">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13.63137</v>
      </c>
      <c r="G324" s="35">
        <f t="shared" si="20"/>
        <v>1.12097244415168E-2</v>
      </c>
      <c r="H324" s="35">
        <f t="shared" si="21"/>
        <v>0.1431279641460943</v>
      </c>
      <c r="I324" s="35">
        <f>(Table143454[[#This Row],[Core CPI]]-F312)/F312</f>
        <v>0.12868067757090595</v>
      </c>
    </row>
    <row r="325" spans="1:9" x14ac:dyDescent="0.35">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13.826779999999999</v>
      </c>
      <c r="G325" s="35">
        <f t="shared" si="20"/>
        <v>1.4335316259480813E-2</v>
      </c>
      <c r="H325" s="35">
        <f t="shared" si="21"/>
        <v>0.18625637595160494</v>
      </c>
      <c r="I325" s="35">
        <f>(Table143454[[#This Row],[Core CPI]]-F313)/F313</f>
        <v>0.12990382548849272</v>
      </c>
    </row>
    <row r="326" spans="1:9" x14ac:dyDescent="0.35">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13.963279999999999</v>
      </c>
      <c r="G326" s="35">
        <f t="shared" si="20"/>
        <v>9.8721466603215458E-3</v>
      </c>
      <c r="H326" s="35">
        <f t="shared" si="21"/>
        <v>0.12511451828096454</v>
      </c>
      <c r="I326" s="35">
        <f>(Table143454[[#This Row],[Core CPI]]-F314)/F314</f>
        <v>0.1263443787564561</v>
      </c>
    </row>
    <row r="327" spans="1:9" x14ac:dyDescent="0.35">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14.08684</v>
      </c>
      <c r="G327" s="35">
        <f t="shared" si="20"/>
        <v>8.8489237485749328E-3</v>
      </c>
      <c r="H327" s="35">
        <f t="shared" si="21"/>
        <v>0.11151062953850577</v>
      </c>
      <c r="I327" s="35">
        <f>(Table143454[[#This Row],[Core CPI]]-F315)/F315</f>
        <v>0.12138602243752787</v>
      </c>
    </row>
    <row r="328" spans="1:9" x14ac:dyDescent="0.35">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14.198790000000001</v>
      </c>
      <c r="G328" s="35">
        <f t="shared" si="20"/>
        <v>7.9471336367844536E-3</v>
      </c>
      <c r="H328" s="35">
        <f t="shared" si="21"/>
        <v>9.9646382666732425E-2</v>
      </c>
      <c r="I328" s="35">
        <f>(Table143454[[#This Row],[Core CPI]]-F316)/F316</f>
        <v>0.12437965776351341</v>
      </c>
    </row>
    <row r="329" spans="1:9" x14ac:dyDescent="0.35">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14.26322</v>
      </c>
      <c r="G329" s="35">
        <f t="shared" si="20"/>
        <v>4.5377106077348905E-3</v>
      </c>
      <c r="H329" s="35">
        <f t="shared" si="21"/>
        <v>5.5832288392233309E-2</v>
      </c>
      <c r="I329" s="35">
        <f>(Table143454[[#This Row],[Core CPI]]-F317)/F317</f>
        <v>0.12253752686674181</v>
      </c>
    </row>
    <row r="330" spans="1:9" x14ac:dyDescent="0.35">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14.34895</v>
      </c>
      <c r="G330" s="35">
        <f t="shared" si="20"/>
        <v>6.0105642344434607E-3</v>
      </c>
      <c r="H330" s="35">
        <f t="shared" si="21"/>
        <v>7.4559568808071131E-2</v>
      </c>
      <c r="I330" s="35">
        <f>(Table143454[[#This Row],[Core CPI]]-F318)/F318</f>
        <v>0.11988658269894463</v>
      </c>
    </row>
    <row r="331" spans="1:9" x14ac:dyDescent="0.35">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14.606339999999999</v>
      </c>
      <c r="G331" s="35">
        <f t="shared" si="20"/>
        <v>1.7937897894967803E-2</v>
      </c>
      <c r="H331" s="35">
        <f t="shared" si="21"/>
        <v>0.23781403239628074</v>
      </c>
      <c r="I331" s="35">
        <f>(Table143454[[#This Row],[Core CPI]]-F319)/F319</f>
        <v>0.1264882857508641</v>
      </c>
    </row>
    <row r="332" spans="1:9" x14ac:dyDescent="0.35">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14.74169</v>
      </c>
      <c r="G332" s="35">
        <f t="shared" si="20"/>
        <v>9.2665239888980455E-3</v>
      </c>
      <c r="H332" s="35">
        <f t="shared" si="21"/>
        <v>0.1170443656972342</v>
      </c>
      <c r="I332" s="35">
        <f>(Table143454[[#This Row],[Core CPI]]-F320)/F320</f>
        <v>0.12004792708518536</v>
      </c>
    </row>
    <row r="333" spans="1:9" x14ac:dyDescent="0.35">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14.92019</v>
      </c>
      <c r="G333" s="35">
        <f t="shared" si="20"/>
        <v>1.2108516730442664E-2</v>
      </c>
      <c r="H333" s="35">
        <f t="shared" si="21"/>
        <v>0.15538028521186287</v>
      </c>
      <c r="I333" s="35">
        <f>(Table143454[[#This Row],[Core CPI]]-F321)/F321</f>
        <v>0.12093469135997248</v>
      </c>
    </row>
    <row r="334" spans="1:9" x14ac:dyDescent="0.35">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14.98465</v>
      </c>
      <c r="G334" s="35">
        <f t="shared" si="20"/>
        <v>4.3203203176367388E-3</v>
      </c>
      <c r="H334" s="35">
        <f t="shared" si="21"/>
        <v>5.3093659217414713E-2</v>
      </c>
      <c r="I334" s="35">
        <f>(Table143454[[#This Row],[Core CPI]]-F322)/F322</f>
        <v>0.12097540978087924</v>
      </c>
    </row>
    <row r="335" spans="1:9" x14ac:dyDescent="0.35">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15.260120000000001</v>
      </c>
      <c r="G335" s="35">
        <f t="shared" si="20"/>
        <v>1.8383479093605715E-2</v>
      </c>
      <c r="H335" s="35">
        <f t="shared" si="21"/>
        <v>0.24433163770837885</v>
      </c>
      <c r="I335" s="35">
        <f>(Table143454[[#This Row],[Core CPI]]-F323)/F323</f>
        <v>0.13203454532776082</v>
      </c>
    </row>
    <row r="336" spans="1:9" x14ac:dyDescent="0.35">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15.48654</v>
      </c>
      <c r="G336" s="35">
        <f t="shared" si="20"/>
        <v>1.483736694075799E-2</v>
      </c>
      <c r="H336" s="35">
        <f t="shared" si="21"/>
        <v>0.19332131502677785</v>
      </c>
      <c r="I336" s="35">
        <f>(Table143454[[#This Row],[Core CPI]]-F324)/F324</f>
        <v>0.13609563822271711</v>
      </c>
    </row>
    <row r="337" spans="1:9" x14ac:dyDescent="0.35">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15.686909999999999</v>
      </c>
      <c r="G337" s="35">
        <f t="shared" si="20"/>
        <v>1.2938332254977425E-2</v>
      </c>
      <c r="H337" s="35">
        <f t="shared" si="21"/>
        <v>0.16679907323604226</v>
      </c>
      <c r="I337" s="35">
        <f>(Table143454[[#This Row],[Core CPI]]-F325)/F325</f>
        <v>0.13453096093233566</v>
      </c>
    </row>
    <row r="338" spans="1:9" x14ac:dyDescent="0.35">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15.889010000000001</v>
      </c>
      <c r="G338" s="35">
        <f t="shared" si="20"/>
        <v>1.2883353063159131E-2</v>
      </c>
      <c r="H338" s="35">
        <f t="shared" si="21"/>
        <v>0.16603933667968174</v>
      </c>
      <c r="I338" s="35">
        <f>(Table143454[[#This Row],[Core CPI]]-F326)/F326</f>
        <v>0.13791387123942236</v>
      </c>
    </row>
    <row r="339" spans="1:9" x14ac:dyDescent="0.35">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16.060130000000001</v>
      </c>
      <c r="G339" s="35">
        <f t="shared" si="20"/>
        <v>1.0769708119008126E-2</v>
      </c>
      <c r="H339" s="35">
        <f t="shared" si="21"/>
        <v>0.13717320050266713</v>
      </c>
      <c r="I339" s="35">
        <f>(Table143454[[#This Row],[Core CPI]]-F327)/F327</f>
        <v>0.14008038708468332</v>
      </c>
    </row>
    <row r="340" spans="1:9" x14ac:dyDescent="0.35">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16.183509999999998</v>
      </c>
      <c r="G340" s="35">
        <f t="shared" si="20"/>
        <v>7.6823786606956546E-3</v>
      </c>
      <c r="H340" s="35">
        <f t="shared" si="21"/>
        <v>9.6185288968318128E-2</v>
      </c>
      <c r="I340" s="35">
        <f>(Table143454[[#This Row],[Core CPI]]-F328)/F328</f>
        <v>0.13978092499431272</v>
      </c>
    </row>
    <row r="341" spans="1:9" x14ac:dyDescent="0.35">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16.337510000000002</v>
      </c>
      <c r="G341" s="35">
        <f t="shared" si="20"/>
        <v>9.515859044175512E-3</v>
      </c>
      <c r="H341" s="35">
        <f t="shared" si="21"/>
        <v>0.12036040237707502</v>
      </c>
      <c r="I341" s="35">
        <f>(Table143454[[#This Row],[Core CPI]]-F329)/F329</f>
        <v>0.14542929296470231</v>
      </c>
    </row>
    <row r="342" spans="1:9" x14ac:dyDescent="0.35">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16.51754</v>
      </c>
      <c r="G342" s="35">
        <f t="shared" si="20"/>
        <v>1.1019427073036159E-2</v>
      </c>
      <c r="H342" s="35">
        <f t="shared" si="21"/>
        <v>0.14054916106460591</v>
      </c>
      <c r="I342" s="35">
        <f>(Table143454[[#This Row],[Core CPI]]-F330)/F330</f>
        <v>0.15113231281731415</v>
      </c>
    </row>
    <row r="343" spans="1:9" x14ac:dyDescent="0.35">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16.956610000000001</v>
      </c>
      <c r="G343" s="35">
        <f t="shared" si="20"/>
        <v>2.6582045510409102E-2</v>
      </c>
      <c r="H343" s="35">
        <f t="shared" si="21"/>
        <v>0.37001074187637384</v>
      </c>
      <c r="I343" s="35">
        <f>(Table143454[[#This Row],[Core CPI]]-F331)/F331</f>
        <v>0.16090752371915223</v>
      </c>
    </row>
    <row r="344" spans="1:9" x14ac:dyDescent="0.35">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17.322990000000001</v>
      </c>
      <c r="G344" s="35">
        <f t="shared" si="20"/>
        <v>2.1606913174272435E-2</v>
      </c>
      <c r="H344" s="35">
        <f t="shared" si="21"/>
        <v>0.29242656901152508</v>
      </c>
      <c r="I344" s="35">
        <f>(Table143454[[#This Row],[Core CPI]]-F332)/F332</f>
        <v>0.17510204053944972</v>
      </c>
    </row>
    <row r="345" spans="1:9" x14ac:dyDescent="0.35">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17.59122</v>
      </c>
      <c r="G345" s="35">
        <f t="shared" si="20"/>
        <v>1.5484047499882969E-2</v>
      </c>
      <c r="H345" s="35">
        <f t="shared" si="21"/>
        <v>0.20247834540150245</v>
      </c>
      <c r="I345" s="35">
        <f>(Table143454[[#This Row],[Core CPI]]-F333)/F333</f>
        <v>0.17902117868472184</v>
      </c>
    </row>
    <row r="346" spans="1:9" x14ac:dyDescent="0.35">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17.940650000000002</v>
      </c>
      <c r="G346" s="35">
        <f t="shared" si="20"/>
        <v>1.9863886643450623E-2</v>
      </c>
      <c r="H346" s="35">
        <f t="shared" si="21"/>
        <v>0.26621240624500242</v>
      </c>
      <c r="I346" s="35">
        <f>(Table143454[[#This Row],[Core CPI]]-F334)/F334</f>
        <v>0.19726853813736064</v>
      </c>
    </row>
    <row r="347" spans="1:9" x14ac:dyDescent="0.35">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18.514009999999999</v>
      </c>
      <c r="G347" s="35">
        <f t="shared" si="20"/>
        <v>3.1958708296522031E-2</v>
      </c>
      <c r="H347" s="35">
        <f t="shared" si="21"/>
        <v>0.45863907270052628</v>
      </c>
      <c r="I347" s="35">
        <f>(Table143454[[#This Row],[Core CPI]]-F335)/F335</f>
        <v>0.21322833634335761</v>
      </c>
    </row>
    <row r="348" spans="1:9" x14ac:dyDescent="0.35">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18.839300000000001</v>
      </c>
      <c r="G348" s="35">
        <f t="shared" si="20"/>
        <v>1.7569937577002648E-2</v>
      </c>
      <c r="H348" s="35">
        <f t="shared" si="21"/>
        <v>0.23245541064281761</v>
      </c>
      <c r="I348" s="35">
        <f>(Table143454[[#This Row],[Core CPI]]-F336)/F336</f>
        <v>0.21649509832409317</v>
      </c>
    </row>
    <row r="349" spans="1:9" x14ac:dyDescent="0.35">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19.056999999999999</v>
      </c>
      <c r="G349" s="35">
        <f t="shared" si="20"/>
        <v>1.1555631047862613E-2</v>
      </c>
      <c r="H349" s="35">
        <f t="shared" si="21"/>
        <v>0.14782918828225133</v>
      </c>
      <c r="I349" s="35">
        <f>(Table143454[[#This Row],[Core CPI]]-F337)/F337</f>
        <v>0.21483453401594066</v>
      </c>
    </row>
    <row r="350" spans="1:9" x14ac:dyDescent="0.35">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19.404140000000002</v>
      </c>
      <c r="G350" s="35">
        <f t="shared" si="20"/>
        <v>1.8215878679750386E-2</v>
      </c>
      <c r="H350" s="35">
        <f t="shared" si="21"/>
        <v>0.2418764310023036</v>
      </c>
      <c r="I350" s="35">
        <f>(Table143454[[#This Row],[Core CPI]]-F338)/F338</f>
        <v>0.22123027174128537</v>
      </c>
    </row>
    <row r="351" spans="1:9" x14ac:dyDescent="0.35">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19.638169999999999</v>
      </c>
      <c r="G351" s="35">
        <f t="shared" si="20"/>
        <v>1.2060828256237999E-2</v>
      </c>
      <c r="H351" s="35">
        <f t="shared" si="21"/>
        <v>0.15472718473181502</v>
      </c>
      <c r="I351" s="35">
        <f>(Table143454[[#This Row],[Core CPI]]-F339)/F339</f>
        <v>0.22279022648010929</v>
      </c>
    </row>
    <row r="352" spans="1:9" x14ac:dyDescent="0.35">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19.796869999999998</v>
      </c>
      <c r="G352" s="35">
        <f t="shared" si="20"/>
        <v>8.0812010487738561E-3</v>
      </c>
      <c r="H352" s="35">
        <f t="shared" si="21"/>
        <v>0.10140283959112062</v>
      </c>
      <c r="I352" s="35">
        <f>(Table143454[[#This Row],[Core CPI]]-F340)/F340</f>
        <v>0.22327418464844775</v>
      </c>
    </row>
    <row r="353" spans="1:9" x14ac:dyDescent="0.35">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20.148589999999999</v>
      </c>
      <c r="G353" s="35">
        <f t="shared" si="20"/>
        <v>1.7766444897602485E-2</v>
      </c>
      <c r="H353" s="35">
        <f t="shared" si="21"/>
        <v>0.23531450347319582</v>
      </c>
      <c r="I353" s="35">
        <f>(Table143454[[#This Row],[Core CPI]]-F341)/F341</f>
        <v>0.23327177764543044</v>
      </c>
    </row>
    <row r="354" spans="1:9" x14ac:dyDescent="0.35">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20.413959999999999</v>
      </c>
      <c r="G354" s="35">
        <f t="shared" si="20"/>
        <v>1.3170648665737916E-2</v>
      </c>
      <c r="H354" s="35">
        <f t="shared" si="21"/>
        <v>0.17001437771436612</v>
      </c>
      <c r="I354" s="35">
        <f>(Table143454[[#This Row],[Core CPI]]-F342)/F342</f>
        <v>0.23589590217429465</v>
      </c>
    </row>
    <row r="355" spans="1:9" x14ac:dyDescent="0.35">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20.86543</v>
      </c>
      <c r="G355" s="35">
        <f t="shared" si="20"/>
        <v>2.2115748242869104E-2</v>
      </c>
      <c r="H355" s="35">
        <f t="shared" si="21"/>
        <v>0.30017244230083606</v>
      </c>
      <c r="I355" s="35">
        <f>(Table143454[[#This Row],[Core CPI]]-F343)/F343</f>
        <v>0.23051895396544464</v>
      </c>
    </row>
    <row r="356" spans="1:9" x14ac:dyDescent="0.35">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21.314520000000002</v>
      </c>
      <c r="G356" s="35">
        <f t="shared" si="20"/>
        <v>2.1523160557918031E-2</v>
      </c>
      <c r="H356" s="35">
        <f t="shared" si="21"/>
        <v>0.29115568513309809</v>
      </c>
      <c r="I356" s="35">
        <f>(Table143454[[#This Row],[Core CPI]]-F344)/F344</f>
        <v>0.23041807447790483</v>
      </c>
    </row>
    <row r="357" spans="1:9" x14ac:dyDescent="0.35">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21.750419999999998</v>
      </c>
      <c r="G357" s="35">
        <f t="shared" si="20"/>
        <v>2.045084759121929E-2</v>
      </c>
      <c r="H357" s="35">
        <f t="shared" si="21"/>
        <v>0.27498503971469734</v>
      </c>
      <c r="I357" s="35">
        <f>(Table143454[[#This Row],[Core CPI]]-F345)/F345</f>
        <v>0.23643613120636309</v>
      </c>
    </row>
    <row r="358" spans="1:9" x14ac:dyDescent="0.35">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21.51728</v>
      </c>
      <c r="G358" s="35">
        <f t="shared" si="20"/>
        <v>-1.0718873474627078E-2</v>
      </c>
      <c r="H358" s="35">
        <f t="shared" si="21"/>
        <v>-0.12130797574703778</v>
      </c>
      <c r="I358" s="35">
        <f>(Table143454[[#This Row],[Core CPI]]-F346)/F346</f>
        <v>0.19935899758369946</v>
      </c>
    </row>
    <row r="359" spans="1:9" x14ac:dyDescent="0.35">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22.062609999999999</v>
      </c>
      <c r="G359" s="35">
        <f t="shared" si="20"/>
        <v>2.5343816690585497E-2</v>
      </c>
      <c r="H359" s="35">
        <f t="shared" si="21"/>
        <v>0.35031222996398981</v>
      </c>
      <c r="I359" s="35">
        <f>(Table143454[[#This Row],[Core CPI]]-F347)/F347</f>
        <v>0.19167106423729924</v>
      </c>
    </row>
    <row r="360" spans="1:9" x14ac:dyDescent="0.35">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22.501259999999998</v>
      </c>
      <c r="G360" s="35">
        <f t="shared" si="20"/>
        <v>1.98820538458504E-2</v>
      </c>
      <c r="H360" s="35">
        <f t="shared" si="21"/>
        <v>0.26648309873136578</v>
      </c>
      <c r="I360" s="35">
        <f>(Table143454[[#This Row],[Core CPI]]-F348)/F348</f>
        <v>0.19437877203505421</v>
      </c>
    </row>
    <row r="361" spans="1:9" x14ac:dyDescent="0.35">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22.794709999999998</v>
      </c>
      <c r="G361" s="35">
        <f t="shared" si="20"/>
        <v>1.3041491898675872E-2</v>
      </c>
      <c r="H361" s="35">
        <f t="shared" si="21"/>
        <v>0.16822582173699896</v>
      </c>
      <c r="I361" s="35">
        <f>(Table143454[[#This Row],[Core CPI]]-F349)/F349</f>
        <v>0.19613317940914102</v>
      </c>
    </row>
    <row r="362" spans="1:9" x14ac:dyDescent="0.35">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23.079059999999998</v>
      </c>
      <c r="G362" s="35">
        <f t="shared" si="20"/>
        <v>1.2474385504356089E-2</v>
      </c>
      <c r="H362" s="35">
        <f t="shared" si="21"/>
        <v>0.16040218581256793</v>
      </c>
      <c r="I362" s="35">
        <f>(Table143454[[#This Row],[Core CPI]]-F350)/F350</f>
        <v>0.18938845009363961</v>
      </c>
    </row>
    <row r="363" spans="1:9" x14ac:dyDescent="0.35">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23.42258</v>
      </c>
      <c r="G363" s="35">
        <f t="shared" si="20"/>
        <v>1.4884488363044346E-2</v>
      </c>
      <c r="H363" s="35">
        <f t="shared" si="21"/>
        <v>0.19398639136544737</v>
      </c>
      <c r="I363" s="35">
        <f>(Table143454[[#This Row],[Core CPI]]-F351)/F351</f>
        <v>0.19270685608689614</v>
      </c>
    </row>
    <row r="364" spans="1:9" x14ac:dyDescent="0.35">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23.646409999999999</v>
      </c>
      <c r="G364" s="35">
        <f t="shared" si="20"/>
        <v>9.5561633261578294E-3</v>
      </c>
      <c r="H364" s="35">
        <f t="shared" si="21"/>
        <v>0.12089727641879944</v>
      </c>
      <c r="I364" s="35">
        <f>(Table143454[[#This Row],[Core CPI]]-F352)/F352</f>
        <v>0.19445195124279754</v>
      </c>
    </row>
    <row r="365" spans="1:9" x14ac:dyDescent="0.35">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23.77882</v>
      </c>
      <c r="G365" s="35">
        <f t="shared" si="20"/>
        <v>5.5995815009550753E-3</v>
      </c>
      <c r="H365" s="35">
        <f t="shared" si="21"/>
        <v>6.9303546578083353E-2</v>
      </c>
      <c r="I365" s="35">
        <f>(Table143454[[#This Row],[Core CPI]]-F353)/F353</f>
        <v>0.1801729053993357</v>
      </c>
    </row>
    <row r="366" spans="1:9" x14ac:dyDescent="0.35">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24.000820000000001</v>
      </c>
      <c r="G366" s="35">
        <f t="shared" si="20"/>
        <v>9.3360393829466926E-3</v>
      </c>
      <c r="H366" s="35">
        <f t="shared" si="21"/>
        <v>0.11796798141862408</v>
      </c>
      <c r="I366" s="35">
        <f>(Table143454[[#This Row],[Core CPI]]-F354)/F354</f>
        <v>0.17570623240174868</v>
      </c>
    </row>
    <row r="367" spans="1:9" x14ac:dyDescent="0.35">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24.32846</v>
      </c>
      <c r="G367" s="35">
        <f t="shared" si="20"/>
        <v>1.3651200250658135E-2</v>
      </c>
      <c r="H367" s="35">
        <f t="shared" si="21"/>
        <v>0.17669109681899542</v>
      </c>
      <c r="I367" s="35">
        <f>(Table143454[[#This Row],[Core CPI]]-F355)/F355</f>
        <v>0.16596974037918222</v>
      </c>
    </row>
    <row r="368" spans="1:9" x14ac:dyDescent="0.35">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24.812930000000001</v>
      </c>
      <c r="G368" s="35">
        <f t="shared" si="20"/>
        <v>1.9913714226054591E-2</v>
      </c>
      <c r="H368" s="35">
        <f t="shared" si="21"/>
        <v>0.26695496721580558</v>
      </c>
      <c r="I368" s="35">
        <f>(Table143454[[#This Row],[Core CPI]]-F356)/F356</f>
        <v>0.16413271328652954</v>
      </c>
    </row>
    <row r="369" spans="1:9" x14ac:dyDescent="0.35">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25.256730000000001</v>
      </c>
      <c r="G369" s="35">
        <f t="shared" si="20"/>
        <v>1.788583613462813E-2</v>
      </c>
      <c r="H369" s="35">
        <f t="shared" si="21"/>
        <v>0.23705455989763125</v>
      </c>
      <c r="I369" s="35">
        <f>(Table143454[[#This Row],[Core CPI]]-F357)/F357</f>
        <v>0.16120654221849523</v>
      </c>
    </row>
    <row r="370" spans="1:9" x14ac:dyDescent="0.35">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25.512270000000001</v>
      </c>
      <c r="G370" s="35">
        <f t="shared" si="20"/>
        <v>1.0117699322121254E-2</v>
      </c>
      <c r="H370" s="35">
        <f t="shared" si="21"/>
        <v>0.12840180138507384</v>
      </c>
      <c r="I370" s="35">
        <f>(Table143454[[#This Row],[Core CPI]]-F358)/F358</f>
        <v>0.18566426611541986</v>
      </c>
    </row>
    <row r="371" spans="1:9" x14ac:dyDescent="0.35">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25.901340000000001</v>
      </c>
      <c r="G371" s="35">
        <f t="shared" si="20"/>
        <v>1.5250308968978388E-2</v>
      </c>
      <c r="H371" s="35">
        <f t="shared" si="21"/>
        <v>0.19916118868813948</v>
      </c>
      <c r="I371" s="35">
        <f>(Table143454[[#This Row],[Core CPI]]-F359)/F359</f>
        <v>0.17399256026372228</v>
      </c>
    </row>
    <row r="372" spans="1:9" x14ac:dyDescent="0.35">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26.3687</v>
      </c>
      <c r="G372" s="35">
        <f t="shared" si="20"/>
        <v>1.8043854101756907E-2</v>
      </c>
      <c r="H372" s="35">
        <f t="shared" si="21"/>
        <v>0.23936103274230658</v>
      </c>
      <c r="I372" s="35">
        <f>(Table143454[[#This Row],[Core CPI]]-F360)/F360</f>
        <v>0.17187659713278289</v>
      </c>
    </row>
    <row r="373" spans="1:9" x14ac:dyDescent="0.35">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26.62255</v>
      </c>
      <c r="G373" s="35">
        <f t="shared" si="20"/>
        <v>9.6269440662604122E-3</v>
      </c>
      <c r="H373" s="35">
        <f t="shared" si="21"/>
        <v>0.12184068353893429</v>
      </c>
      <c r="I373" s="35">
        <f>(Table143454[[#This Row],[Core CPI]]-F361)/F361</f>
        <v>0.16792668123437421</v>
      </c>
    </row>
    <row r="374" spans="1:9" x14ac:dyDescent="0.35">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26.86159</v>
      </c>
      <c r="G374" s="35">
        <f t="shared" si="20"/>
        <v>8.9788543922351138E-3</v>
      </c>
      <c r="H374" s="35">
        <f t="shared" si="21"/>
        <v>0.11322967743385193</v>
      </c>
      <c r="I374" s="35">
        <f>(Table143454[[#This Row],[Core CPI]]-F362)/F362</f>
        <v>0.16389445670664238</v>
      </c>
    </row>
    <row r="375" spans="1:9" x14ac:dyDescent="0.35">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27.202100000000002</v>
      </c>
      <c r="G375" s="35">
        <f t="shared" si="20"/>
        <v>1.2676464796015585E-2</v>
      </c>
      <c r="H375" s="35">
        <f t="shared" si="21"/>
        <v>0.16318448833365995</v>
      </c>
      <c r="I375" s="35">
        <f>(Table143454[[#This Row],[Core CPI]]-F363)/F363</f>
        <v>0.16136224105115668</v>
      </c>
    </row>
    <row r="376" spans="1:9" x14ac:dyDescent="0.35">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27.436070000000001</v>
      </c>
      <c r="G376" s="35">
        <f t="shared" si="20"/>
        <v>8.6011741740528169E-3</v>
      </c>
      <c r="H376" s="35">
        <f t="shared" si="21"/>
        <v>0.10823951957509914</v>
      </c>
      <c r="I376" s="35">
        <f>(Table143454[[#This Row],[Core CPI]]-F364)/F364</f>
        <v>0.16026365101510129</v>
      </c>
    </row>
    <row r="377" spans="1:9" x14ac:dyDescent="0.35">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27.765560000000001</v>
      </c>
      <c r="G377" s="35">
        <f t="shared" si="20"/>
        <v>1.2009373062541462E-2</v>
      </c>
      <c r="H377" s="35">
        <f t="shared" si="21"/>
        <v>0.15402287806532877</v>
      </c>
      <c r="I377" s="35">
        <f>(Table143454[[#This Row],[Core CPI]]-F365)/F365</f>
        <v>0.16765928670976948</v>
      </c>
    </row>
    <row r="378" spans="1:9" x14ac:dyDescent="0.35">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28.222270000000002</v>
      </c>
      <c r="G378" s="35">
        <f t="shared" si="20"/>
        <v>1.6448794837921499E-2</v>
      </c>
      <c r="H378" s="35">
        <f t="shared" si="21"/>
        <v>0.2162589898194216</v>
      </c>
      <c r="I378" s="35">
        <f>(Table143454[[#This Row],[Core CPI]]-F366)/F366</f>
        <v>0.17588774050219955</v>
      </c>
    </row>
    <row r="379" spans="1:9" x14ac:dyDescent="0.35">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28.64856</v>
      </c>
      <c r="G379" s="35">
        <f t="shared" si="20"/>
        <v>1.5104738208513879E-2</v>
      </c>
      <c r="H379" s="35">
        <f t="shared" si="21"/>
        <v>0.19709952714955503</v>
      </c>
      <c r="I379" s="35">
        <f>(Table143454[[#This Row],[Core CPI]]-F367)/F367</f>
        <v>0.17757391959869223</v>
      </c>
    </row>
    <row r="380" spans="1:9" x14ac:dyDescent="0.35">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29.166270000000001</v>
      </c>
      <c r="G380" s="35">
        <f t="shared" si="20"/>
        <v>1.8071065351975779E-2</v>
      </c>
      <c r="H380" s="35">
        <f t="shared" si="21"/>
        <v>0.2397586131172873</v>
      </c>
      <c r="I380" s="35">
        <f>(Table143454[[#This Row],[Core CPI]]-F368)/F368</f>
        <v>0.17544643055052342</v>
      </c>
    </row>
    <row r="381" spans="1:9" x14ac:dyDescent="0.35">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29.615069999999999</v>
      </c>
      <c r="G381" s="35">
        <f t="shared" si="20"/>
        <v>1.5387637843303104E-2</v>
      </c>
      <c r="H381" s="35">
        <f t="shared" si="21"/>
        <v>0.20110910665977721</v>
      </c>
      <c r="I381" s="35">
        <f>(Table143454[[#This Row],[Core CPI]]-F369)/F369</f>
        <v>0.17256153112457542</v>
      </c>
    </row>
    <row r="382" spans="1:9" x14ac:dyDescent="0.35">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29.902329999999999</v>
      </c>
      <c r="G382" s="35">
        <f t="shared" si="20"/>
        <v>9.6997913562251181E-3</v>
      </c>
      <c r="H382" s="35">
        <f t="shared" si="21"/>
        <v>0.12281239483651896</v>
      </c>
      <c r="I382" s="35">
        <f>(Table143454[[#This Row],[Core CPI]]-F370)/F370</f>
        <v>0.17207641656348094</v>
      </c>
    </row>
    <row r="383" spans="1:9" x14ac:dyDescent="0.35">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29.995989999999999</v>
      </c>
      <c r="G383" s="35">
        <f t="shared" si="20"/>
        <v>3.1321973906381917E-3</v>
      </c>
      <c r="H383" s="35">
        <f t="shared" si="21"/>
        <v>3.8240680526725468E-2</v>
      </c>
      <c r="I383" s="35">
        <f>(Table143454[[#This Row],[Core CPI]]-F371)/F371</f>
        <v>0.15808641560629674</v>
      </c>
    </row>
    <row r="384" spans="1:9" x14ac:dyDescent="0.35">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30.48357</v>
      </c>
      <c r="G384" s="35">
        <f t="shared" si="20"/>
        <v>1.6254839396866005E-2</v>
      </c>
      <c r="H384" s="35">
        <f t="shared" si="21"/>
        <v>0.2134769199441775</v>
      </c>
      <c r="I384" s="35">
        <f>(Table143454[[#This Row],[Core CPI]]-F372)/F372</f>
        <v>0.15605130324968616</v>
      </c>
    </row>
    <row r="385" spans="1:9" x14ac:dyDescent="0.35">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30.812999999999999</v>
      </c>
      <c r="G385" s="35">
        <f t="shared" si="20"/>
        <v>1.0806805108456663E-2</v>
      </c>
      <c r="H385" s="35">
        <f t="shared" si="21"/>
        <v>0.13767413619759616</v>
      </c>
      <c r="I385" s="35">
        <f>(Table143454[[#This Row],[Core CPI]]-F373)/F373</f>
        <v>0.15740227739266141</v>
      </c>
    </row>
    <row r="386" spans="1:9" x14ac:dyDescent="0.35">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31.169280000000001</v>
      </c>
      <c r="G386" s="35">
        <f t="shared" si="20"/>
        <v>1.156265212734886E-2</v>
      </c>
      <c r="H386" s="35">
        <f t="shared" si="21"/>
        <v>0.1479247951757694</v>
      </c>
      <c r="I386" s="35">
        <f>(Table143454[[#This Row],[Core CPI]]-F374)/F374</f>
        <v>0.16036615851853897</v>
      </c>
    </row>
    <row r="387" spans="1:9" x14ac:dyDescent="0.35">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31.4621</v>
      </c>
      <c r="G387" s="35">
        <f t="shared" ref="G387:G450" si="24">(F387/F386)-1</f>
        <v>9.3945063857747702E-3</v>
      </c>
      <c r="H387" s="35">
        <f t="shared" ref="H387:H450" si="25">((1+G387)^12)-1</f>
        <v>0.1187453447140463</v>
      </c>
      <c r="I387" s="35">
        <f>(Table143454[[#This Row],[Core CPI]]-F375)/F375</f>
        <v>0.15660555618867653</v>
      </c>
    </row>
    <row r="388" spans="1:9" x14ac:dyDescent="0.35">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31.62997</v>
      </c>
      <c r="G388" s="35">
        <f t="shared" si="24"/>
        <v>5.3356260389485488E-3</v>
      </c>
      <c r="H388" s="35">
        <f t="shared" si="25"/>
        <v>6.5940282720685195E-2</v>
      </c>
      <c r="I388" s="35">
        <f>(Table143454[[#This Row],[Core CPI]]-F376)/F376</f>
        <v>0.15286081424927109</v>
      </c>
    </row>
    <row r="389" spans="1:9" x14ac:dyDescent="0.35">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31.941210000000002</v>
      </c>
      <c r="G389" s="35">
        <f t="shared" si="24"/>
        <v>9.8400346253886273E-3</v>
      </c>
      <c r="H389" s="35">
        <f t="shared" si="25"/>
        <v>0.12468527504905635</v>
      </c>
      <c r="I389" s="35">
        <f>(Table143454[[#This Row],[Core CPI]]-F377)/F377</f>
        <v>0.15038954733850141</v>
      </c>
    </row>
    <row r="390" spans="1:9" x14ac:dyDescent="0.35">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32.16442</v>
      </c>
      <c r="G390" s="35">
        <f t="shared" si="24"/>
        <v>6.9881510437457273E-3</v>
      </c>
      <c r="H390" s="35">
        <f t="shared" si="25"/>
        <v>8.7157144584078639E-2</v>
      </c>
      <c r="I390" s="35">
        <f>(Table143454[[#This Row],[Core CPI]]-F378)/F378</f>
        <v>0.13968224384502018</v>
      </c>
    </row>
    <row r="391" spans="1:9" x14ac:dyDescent="0.35">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32.572330000000001</v>
      </c>
      <c r="G391" s="35">
        <f t="shared" si="24"/>
        <v>1.2682025666870489E-2</v>
      </c>
      <c r="H391" s="35">
        <f t="shared" si="25"/>
        <v>0.16326113884510196</v>
      </c>
      <c r="I391" s="35">
        <f>(Table143454[[#This Row],[Core CPI]]-F379)/F379</f>
        <v>0.13696220682645135</v>
      </c>
    </row>
    <row r="392" spans="1:9" x14ac:dyDescent="0.35">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33.11768</v>
      </c>
      <c r="G392" s="35">
        <f t="shared" si="24"/>
        <v>1.674273839175755E-2</v>
      </c>
      <c r="H392" s="35">
        <f t="shared" si="25"/>
        <v>0.22048642170121946</v>
      </c>
      <c r="I392" s="35">
        <f>(Table143454[[#This Row],[Core CPI]]-F380)/F380</f>
        <v>0.13547875679680668</v>
      </c>
    </row>
    <row r="393" spans="1:9" x14ac:dyDescent="0.35">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33.491320000000002</v>
      </c>
      <c r="G393" s="35">
        <f t="shared" si="24"/>
        <v>1.1282191264605501E-2</v>
      </c>
      <c r="H393" s="35">
        <f t="shared" si="25"/>
        <v>0.14411139824818897</v>
      </c>
      <c r="I393" s="35">
        <f>(Table143454[[#This Row],[Core CPI]]-F381)/F381</f>
        <v>0.13088775410627099</v>
      </c>
    </row>
    <row r="394" spans="1:9" x14ac:dyDescent="0.35">
      <c r="A394" s="33">
        <f>IF(Data!A421="",#N/A,Data!A421)</f>
        <v>30651</v>
      </c>
      <c r="B394" s="34">
        <f>VLOOKUP(A394,Data!A:AX,MATCH($B$2,Data!$B$1:$AX$1,0),FALSE)</f>
        <v>34.249389999999998</v>
      </c>
      <c r="C394" s="35">
        <f t="shared" si="26"/>
        <v>4.2504742052571487E-3</v>
      </c>
      <c r="D394" s="35">
        <f t="shared" si="23"/>
        <v>5.2215138270350847E-2</v>
      </c>
      <c r="E394" s="35">
        <f>(Table143454[[#This Row],[JPN]]-B382)/B382</f>
        <v>0.12287854139249907</v>
      </c>
      <c r="F394" s="34">
        <f>VLOOKUP(Table143454[[#This Row],[Date]],'Data Core CPI'!$A:$AX,MATCH($B$2,'Data Core CPI'!$B$1:$AX$1,0),FALSE)</f>
        <v>33.618870000000001</v>
      </c>
      <c r="G394" s="35">
        <f t="shared" si="24"/>
        <v>3.8084494728782836E-3</v>
      </c>
      <c r="H394" s="35">
        <f t="shared" si="25"/>
        <v>4.6670933960839767E-2</v>
      </c>
      <c r="I394" s="35">
        <f>(Table143454[[#This Row],[Core CPI]]-F382)/F382</f>
        <v>0.12428931123427513</v>
      </c>
    </row>
    <row r="395" spans="1:9" x14ac:dyDescent="0.35">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33.943420000000003</v>
      </c>
      <c r="G395" s="35">
        <f t="shared" si="24"/>
        <v>9.6538045448881782E-3</v>
      </c>
      <c r="H395" s="35">
        <f t="shared" si="25"/>
        <v>0.12219888618966834</v>
      </c>
      <c r="I395" s="35">
        <f>(Table143454[[#This Row],[Core CPI]]-F383)/F383</f>
        <v>0.13159859034490959</v>
      </c>
    </row>
    <row r="396" spans="1:9" x14ac:dyDescent="0.35">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34.375390000000003</v>
      </c>
      <c r="G396" s="35">
        <f t="shared" si="24"/>
        <v>1.2726177857151688E-2</v>
      </c>
      <c r="H396" s="35">
        <f t="shared" si="25"/>
        <v>0.16386989275225106</v>
      </c>
      <c r="I396" s="35">
        <f>(Table143454[[#This Row],[Core CPI]]-F384)/F384</f>
        <v>0.12766942979447626</v>
      </c>
    </row>
    <row r="397" spans="1:9" x14ac:dyDescent="0.35">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34.604680000000002</v>
      </c>
      <c r="G397" s="35">
        <f t="shared" si="24"/>
        <v>6.6701788692433706E-3</v>
      </c>
      <c r="H397" s="35">
        <f t="shared" si="25"/>
        <v>8.3044849959622358E-2</v>
      </c>
      <c r="I397" s="35">
        <f>(Table143454[[#This Row],[Core CPI]]-F385)/F385</f>
        <v>0.12305455489566103</v>
      </c>
    </row>
    <row r="398" spans="1:9" x14ac:dyDescent="0.35">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34.904310000000002</v>
      </c>
      <c r="G398" s="35">
        <f t="shared" si="24"/>
        <v>8.6586554188623488E-3</v>
      </c>
      <c r="H398" s="35">
        <f t="shared" si="25"/>
        <v>0.10899767406046124</v>
      </c>
      <c r="I398" s="35">
        <f>(Table143454[[#This Row],[Core CPI]]-F386)/F386</f>
        <v>0.11983048694098811</v>
      </c>
    </row>
    <row r="399" spans="1:9" x14ac:dyDescent="0.35">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35.152749999999997</v>
      </c>
      <c r="G399" s="35">
        <f t="shared" si="24"/>
        <v>7.117745630840222E-3</v>
      </c>
      <c r="H399" s="35">
        <f t="shared" si="25"/>
        <v>8.8837276954840672E-2</v>
      </c>
      <c r="I399" s="35">
        <f>(Table143454[[#This Row],[Core CPI]]-F387)/F387</f>
        <v>0.11730463001516103</v>
      </c>
    </row>
    <row r="400" spans="1:9" x14ac:dyDescent="0.35">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35.365760000000002</v>
      </c>
      <c r="G400" s="35">
        <f t="shared" si="24"/>
        <v>6.0595543734132118E-3</v>
      </c>
      <c r="H400" s="35">
        <f t="shared" si="25"/>
        <v>7.5187676620140254E-2</v>
      </c>
      <c r="I400" s="35">
        <f>(Table143454[[#This Row],[Core CPI]]-F388)/F388</f>
        <v>0.11810918568686601</v>
      </c>
    </row>
    <row r="401" spans="1:9" x14ac:dyDescent="0.35">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35.467059999999996</v>
      </c>
      <c r="G401" s="35">
        <f t="shared" si="24"/>
        <v>2.8643524131815035E-3</v>
      </c>
      <c r="H401" s="35">
        <f t="shared" si="25"/>
        <v>3.4918930541907534E-2</v>
      </c>
      <c r="I401" s="35">
        <f>(Table143454[[#This Row],[Core CPI]]-F389)/F389</f>
        <v>0.11038561156574828</v>
      </c>
    </row>
    <row r="402" spans="1:9" x14ac:dyDescent="0.35">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35.702129999999997</v>
      </c>
      <c r="G402" s="35">
        <f t="shared" si="24"/>
        <v>6.6278400295936013E-3</v>
      </c>
      <c r="H402" s="35">
        <f t="shared" si="25"/>
        <v>8.2498364039910621E-2</v>
      </c>
      <c r="I402" s="35">
        <f>(Table143454[[#This Row],[Core CPI]]-F390)/F390</f>
        <v>0.10998830384629964</v>
      </c>
    </row>
    <row r="403" spans="1:9" x14ac:dyDescent="0.35">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36.018250000000002</v>
      </c>
      <c r="G403" s="35">
        <f t="shared" si="24"/>
        <v>8.8543736746240498E-3</v>
      </c>
      <c r="H403" s="35">
        <f t="shared" si="25"/>
        <v>0.11158268588602094</v>
      </c>
      <c r="I403" s="35">
        <f>(Table143454[[#This Row],[Core CPI]]-F391)/F391</f>
        <v>0.10579286160983881</v>
      </c>
    </row>
    <row r="404" spans="1:9" x14ac:dyDescent="0.35">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36.354430000000001</v>
      </c>
      <c r="G404" s="35">
        <f t="shared" si="24"/>
        <v>9.3336017157967799E-3</v>
      </c>
      <c r="H404" s="35">
        <f t="shared" si="25"/>
        <v>0.11793558153374306</v>
      </c>
      <c r="I404" s="35">
        <f>(Table143454[[#This Row],[Core CPI]]-F392)/F392</f>
        <v>9.7734805095042912E-2</v>
      </c>
    </row>
    <row r="405" spans="1:9" x14ac:dyDescent="0.35">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36.692010000000003</v>
      </c>
      <c r="G405" s="35">
        <f t="shared" si="24"/>
        <v>9.2858009326513002E-3</v>
      </c>
      <c r="H405" s="35">
        <f t="shared" si="25"/>
        <v>0.11730041854072382</v>
      </c>
      <c r="I405" s="35">
        <f>(Table143454[[#This Row],[Core CPI]]-F393)/F393</f>
        <v>9.5567747105817308E-2</v>
      </c>
    </row>
    <row r="406" spans="1:9" x14ac:dyDescent="0.35">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36.951569999999997</v>
      </c>
      <c r="G406" s="35">
        <f t="shared" si="24"/>
        <v>7.0740196571403846E-3</v>
      </c>
      <c r="H406" s="35">
        <f t="shared" si="25"/>
        <v>8.8270124568561981E-2</v>
      </c>
      <c r="I406" s="35">
        <f>(Table143454[[#This Row],[Core CPI]]-F394)/F394</f>
        <v>9.9131826857951966E-2</v>
      </c>
    </row>
    <row r="407" spans="1:9" x14ac:dyDescent="0.35">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37.340150000000001</v>
      </c>
      <c r="G407" s="35">
        <f t="shared" si="24"/>
        <v>1.051592665751433E-2</v>
      </c>
      <c r="H407" s="35">
        <f t="shared" si="25"/>
        <v>0.13375170559679117</v>
      </c>
      <c r="I407" s="35">
        <f>(Table143454[[#This Row],[Core CPI]]-F395)/F395</f>
        <v>0.1000703523687359</v>
      </c>
    </row>
    <row r="408" spans="1:9" x14ac:dyDescent="0.35">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37.808280000000003</v>
      </c>
      <c r="G408" s="35">
        <f t="shared" si="24"/>
        <v>1.2536907323618118E-2</v>
      </c>
      <c r="H408" s="35">
        <f t="shared" si="25"/>
        <v>0.16126235692280311</v>
      </c>
      <c r="I408" s="35">
        <f>(Table143454[[#This Row],[Core CPI]]-F396)/F396</f>
        <v>9.9864757898019491E-2</v>
      </c>
    </row>
    <row r="409" spans="1:9" x14ac:dyDescent="0.35">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38.066249999999997</v>
      </c>
      <c r="G409" s="35">
        <f t="shared" si="24"/>
        <v>6.8231085889121079E-3</v>
      </c>
      <c r="H409" s="35">
        <f t="shared" si="25"/>
        <v>8.5020887901686937E-2</v>
      </c>
      <c r="I409" s="35">
        <f>(Table143454[[#This Row],[Core CPI]]-F397)/F397</f>
        <v>0.10003184540356953</v>
      </c>
    </row>
    <row r="410" spans="1:9" x14ac:dyDescent="0.35">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38.302230000000002</v>
      </c>
      <c r="G410" s="35">
        <f t="shared" si="24"/>
        <v>6.1991921978130637E-3</v>
      </c>
      <c r="H410" s="35">
        <f t="shared" si="25"/>
        <v>7.6979835331201674E-2</v>
      </c>
      <c r="I410" s="35">
        <f>(Table143454[[#This Row],[Core CPI]]-F398)/F398</f>
        <v>9.7349582329517445E-2</v>
      </c>
    </row>
    <row r="411" spans="1:9" x14ac:dyDescent="0.35">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38.586959999999998</v>
      </c>
      <c r="G411" s="35">
        <f t="shared" si="24"/>
        <v>7.4337708274425651E-3</v>
      </c>
      <c r="H411" s="35">
        <f t="shared" si="25"/>
        <v>9.2944377688275237E-2</v>
      </c>
      <c r="I411" s="35">
        <f>(Table143454[[#This Row],[Core CPI]]-F399)/F399</f>
        <v>9.7693921528187705E-2</v>
      </c>
    </row>
    <row r="412" spans="1:9" x14ac:dyDescent="0.35">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38.794150000000002</v>
      </c>
      <c r="G412" s="35">
        <f t="shared" si="24"/>
        <v>5.3694305019105215E-3</v>
      </c>
      <c r="H412" s="35">
        <f t="shared" si="25"/>
        <v>6.6370469845264513E-2</v>
      </c>
      <c r="I412" s="35">
        <f>(Table143454[[#This Row],[Core CPI]]-F400)/F400</f>
        <v>9.6940939484970776E-2</v>
      </c>
    </row>
    <row r="413" spans="1:9" x14ac:dyDescent="0.35">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38.915410000000001</v>
      </c>
      <c r="G413" s="35">
        <f t="shared" si="24"/>
        <v>3.1257290081108113E-3</v>
      </c>
      <c r="H413" s="35">
        <f t="shared" si="25"/>
        <v>3.8160346153338631E-2</v>
      </c>
      <c r="I413" s="35">
        <f>(Table143454[[#This Row],[Core CPI]]-F401)/F401</f>
        <v>9.7226835266300771E-2</v>
      </c>
    </row>
    <row r="414" spans="1:9" x14ac:dyDescent="0.35">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39.038519999999998</v>
      </c>
      <c r="G414" s="35">
        <f t="shared" si="24"/>
        <v>3.1635282783863961E-3</v>
      </c>
      <c r="H414" s="35">
        <f t="shared" si="25"/>
        <v>3.8629876576160571E-2</v>
      </c>
      <c r="I414" s="35">
        <f>(Table143454[[#This Row],[Core CPI]]-F402)/F402</f>
        <v>9.3450726889404132E-2</v>
      </c>
    </row>
    <row r="415" spans="1:9" x14ac:dyDescent="0.35">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39.311770000000003</v>
      </c>
      <c r="G415" s="35">
        <f t="shared" si="24"/>
        <v>6.9994969071573987E-3</v>
      </c>
      <c r="H415" s="35">
        <f t="shared" si="25"/>
        <v>8.7304143344997254E-2</v>
      </c>
      <c r="I415" s="35">
        <f>(Table143454[[#This Row],[Core CPI]]-F403)/F403</f>
        <v>9.1440311508749053E-2</v>
      </c>
    </row>
    <row r="416" spans="1:9" x14ac:dyDescent="0.35">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39.746189999999999</v>
      </c>
      <c r="G416" s="35">
        <f t="shared" si="24"/>
        <v>1.105063445375265E-2</v>
      </c>
      <c r="H416" s="35">
        <f t="shared" si="25"/>
        <v>0.14097170006959292</v>
      </c>
      <c r="I416" s="35">
        <f>(Table143454[[#This Row],[Core CPI]]-F404)/F404</f>
        <v>9.3297020473158229E-2</v>
      </c>
    </row>
    <row r="417" spans="1:9" x14ac:dyDescent="0.35">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40.116160000000001</v>
      </c>
      <c r="G417" s="35">
        <f t="shared" si="24"/>
        <v>9.3083135767226821E-3</v>
      </c>
      <c r="H417" s="35">
        <f t="shared" si="25"/>
        <v>0.11759951882739395</v>
      </c>
      <c r="I417" s="35">
        <f>(Table143454[[#This Row],[Core CPI]]-F405)/F405</f>
        <v>9.3321407031121947E-2</v>
      </c>
    </row>
    <row r="418" spans="1:9" x14ac:dyDescent="0.35">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40.266550000000002</v>
      </c>
      <c r="G418" s="35">
        <f t="shared" si="24"/>
        <v>3.7488633009739036E-3</v>
      </c>
      <c r="H418" s="35">
        <f t="shared" si="25"/>
        <v>4.5925611405218669E-2</v>
      </c>
      <c r="I418" s="35">
        <f>(Table143454[[#This Row],[Core CPI]]-F406)/F406</f>
        <v>8.9711479106300646E-2</v>
      </c>
    </row>
    <row r="419" spans="1:9" x14ac:dyDescent="0.35">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40.515410000000003</v>
      </c>
      <c r="G419" s="35">
        <f t="shared" si="24"/>
        <v>6.1803159197895141E-3</v>
      </c>
      <c r="H419" s="35">
        <f t="shared" si="25"/>
        <v>7.6737410886771329E-2</v>
      </c>
      <c r="I419" s="35">
        <f>(Table143454[[#This Row],[Core CPI]]-F407)/F407</f>
        <v>8.5036080465665007E-2</v>
      </c>
    </row>
    <row r="420" spans="1:9" x14ac:dyDescent="0.35">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40.837580000000003</v>
      </c>
      <c r="G420" s="35">
        <f t="shared" si="24"/>
        <v>7.9517892081062413E-3</v>
      </c>
      <c r="H420" s="35">
        <f t="shared" si="25"/>
        <v>9.9707333627930383E-2</v>
      </c>
      <c r="I420" s="35">
        <f>(Table143454[[#This Row],[Core CPI]]-F408)/F408</f>
        <v>8.0122660962096109E-2</v>
      </c>
    </row>
    <row r="421" spans="1:9" x14ac:dyDescent="0.35">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41.088189999999997</v>
      </c>
      <c r="G421" s="35">
        <f t="shared" si="24"/>
        <v>6.1367495331503541E-3</v>
      </c>
      <c r="H421" s="35">
        <f t="shared" si="25"/>
        <v>7.6178087019785234E-2</v>
      </c>
      <c r="I421" s="35">
        <f>(Table143454[[#This Row],[Core CPI]]-F409)/F409</f>
        <v>7.9386333037795978E-2</v>
      </c>
    </row>
    <row r="422" spans="1:9" x14ac:dyDescent="0.35">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41.220379999999999</v>
      </c>
      <c r="G422" s="35">
        <f t="shared" si="24"/>
        <v>3.2172261664482615E-3</v>
      </c>
      <c r="H422" s="35">
        <f t="shared" si="25"/>
        <v>3.9297229229368513E-2</v>
      </c>
      <c r="I422" s="35">
        <f>(Table143454[[#This Row],[Core CPI]]-F410)/F410</f>
        <v>7.6187470024591183E-2</v>
      </c>
    </row>
    <row r="423" spans="1:9" x14ac:dyDescent="0.35">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41.43441</v>
      </c>
      <c r="G423" s="35">
        <f t="shared" si="24"/>
        <v>5.192334471443516E-3</v>
      </c>
      <c r="H423" s="35">
        <f t="shared" si="25"/>
        <v>6.4118555879048245E-2</v>
      </c>
      <c r="I423" s="35">
        <f>(Table143454[[#This Row],[Core CPI]]-F411)/F411</f>
        <v>7.3793063770766137E-2</v>
      </c>
    </row>
    <row r="424" spans="1:9" x14ac:dyDescent="0.35">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41.512529999999998</v>
      </c>
      <c r="G424" s="35">
        <f t="shared" si="24"/>
        <v>1.8853894625263656E-3</v>
      </c>
      <c r="H424" s="35">
        <f t="shared" si="25"/>
        <v>2.2860764025982139E-2</v>
      </c>
      <c r="I424" s="35">
        <f>(Table143454[[#This Row],[Core CPI]]-F412)/F412</f>
        <v>7.007190517126928E-2</v>
      </c>
    </row>
    <row r="425" spans="1:9" x14ac:dyDescent="0.35">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41.594839999999998</v>
      </c>
      <c r="G425" s="35">
        <f t="shared" si="24"/>
        <v>1.9827748393075328E-3</v>
      </c>
      <c r="H425" s="35">
        <f t="shared" si="25"/>
        <v>2.4054492802963567E-2</v>
      </c>
      <c r="I425" s="35">
        <f>(Table143454[[#This Row],[Core CPI]]-F413)/F413</f>
        <v>6.8852673015651025E-2</v>
      </c>
    </row>
    <row r="426" spans="1:9" x14ac:dyDescent="0.35">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41.756889999999999</v>
      </c>
      <c r="G426" s="35">
        <f t="shared" si="24"/>
        <v>3.8959159357265793E-3</v>
      </c>
      <c r="H426" s="35">
        <f t="shared" si="25"/>
        <v>4.7765873828400585E-2</v>
      </c>
      <c r="I426" s="35">
        <f>(Table143454[[#This Row],[Core CPI]]-F414)/F414</f>
        <v>6.963301887469095E-2</v>
      </c>
    </row>
    <row r="427" spans="1:9" x14ac:dyDescent="0.35">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41.855849999999997</v>
      </c>
      <c r="G427" s="35">
        <f t="shared" si="24"/>
        <v>2.3699082953734241E-3</v>
      </c>
      <c r="H427" s="35">
        <f t="shared" si="25"/>
        <v>2.8812530241860479E-2</v>
      </c>
      <c r="I427" s="35">
        <f>(Table143454[[#This Row],[Core CPI]]-F415)/F415</f>
        <v>6.4715478341473648E-2</v>
      </c>
    </row>
    <row r="428" spans="1:9" x14ac:dyDescent="0.35">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42.1083</v>
      </c>
      <c r="G428" s="35">
        <f t="shared" si="24"/>
        <v>6.0314149634999037E-3</v>
      </c>
      <c r="H428" s="35">
        <f t="shared" si="25"/>
        <v>7.4826857110631639E-2</v>
      </c>
      <c r="I428" s="35">
        <f>(Table143454[[#This Row],[Core CPI]]-F416)/F416</f>
        <v>5.9429847238188144E-2</v>
      </c>
    </row>
    <row r="429" spans="1:9" x14ac:dyDescent="0.35">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42.354199999999999</v>
      </c>
      <c r="G429" s="35">
        <f t="shared" si="24"/>
        <v>5.8397038113626731E-3</v>
      </c>
      <c r="H429" s="35">
        <f t="shared" si="25"/>
        <v>7.237158030311841E-2</v>
      </c>
      <c r="I429" s="35">
        <f>(Table143454[[#This Row],[Core CPI]]-F417)/F417</f>
        <v>5.5788988776592725E-2</v>
      </c>
    </row>
    <row r="430" spans="1:9" x14ac:dyDescent="0.35">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42.529020000000003</v>
      </c>
      <c r="G430" s="35">
        <f t="shared" si="24"/>
        <v>4.1275717638393772E-3</v>
      </c>
      <c r="H430" s="35">
        <f t="shared" si="25"/>
        <v>5.0670908386686309E-2</v>
      </c>
      <c r="I430" s="35">
        <f>(Table143454[[#This Row],[Core CPI]]-F418)/F418</f>
        <v>5.6187331668593417E-2</v>
      </c>
    </row>
    <row r="431" spans="1:9" x14ac:dyDescent="0.35">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42.745959999999997</v>
      </c>
      <c r="G431" s="35">
        <f t="shared" si="24"/>
        <v>5.1009875139373939E-3</v>
      </c>
      <c r="H431" s="35">
        <f t="shared" si="25"/>
        <v>6.29587130900231E-2</v>
      </c>
      <c r="I431" s="35">
        <f>(Table143454[[#This Row],[Core CPI]]-F419)/F419</f>
        <v>5.5054360797533425E-2</v>
      </c>
    </row>
    <row r="432" spans="1:9" x14ac:dyDescent="0.35">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43.010629999999999</v>
      </c>
      <c r="G432" s="35">
        <f t="shared" si="24"/>
        <v>6.1916962445105472E-3</v>
      </c>
      <c r="H432" s="35">
        <f t="shared" si="25"/>
        <v>7.688356024161358E-2</v>
      </c>
      <c r="I432" s="35">
        <f>(Table143454[[#This Row],[Core CPI]]-F420)/F420</f>
        <v>5.3212016970643122E-2</v>
      </c>
    </row>
    <row r="433" spans="1:9" x14ac:dyDescent="0.35">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43.147089999999999</v>
      </c>
      <c r="G433" s="35">
        <f t="shared" si="24"/>
        <v>3.1727040501383641E-3</v>
      </c>
      <c r="H433" s="35">
        <f t="shared" si="25"/>
        <v>3.8743884430766817E-2</v>
      </c>
      <c r="I433" s="35">
        <f>(Table143454[[#This Row],[Core CPI]]-F421)/F421</f>
        <v>5.0109289311600275E-2</v>
      </c>
    </row>
    <row r="434" spans="1:9" x14ac:dyDescent="0.35">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43.320360000000001</v>
      </c>
      <c r="G434" s="35">
        <f t="shared" si="24"/>
        <v>4.0157980526613901E-3</v>
      </c>
      <c r="H434" s="35">
        <f t="shared" si="25"/>
        <v>4.9268311527971287E-2</v>
      </c>
      <c r="I434" s="35">
        <f>(Table143454[[#This Row],[Core CPI]]-F422)/F422</f>
        <v>5.0945187793028646E-2</v>
      </c>
    </row>
    <row r="435" spans="1:9" x14ac:dyDescent="0.35">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43.531730000000003</v>
      </c>
      <c r="G435" s="35">
        <f t="shared" si="24"/>
        <v>4.8792299971653907E-3</v>
      </c>
      <c r="H435" s="35">
        <f t="shared" si="25"/>
        <v>6.0147852192082851E-2</v>
      </c>
      <c r="I435" s="35">
        <f>(Table143454[[#This Row],[Core CPI]]-F423)/F423</f>
        <v>5.0617831893829388E-2</v>
      </c>
    </row>
    <row r="436" spans="1:9" x14ac:dyDescent="0.35">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43.688720000000004</v>
      </c>
      <c r="G436" s="35">
        <f t="shared" si="24"/>
        <v>3.6063349653230325E-3</v>
      </c>
      <c r="H436" s="35">
        <f t="shared" si="25"/>
        <v>4.4144795423179284E-2</v>
      </c>
      <c r="I436" s="35">
        <f>(Table143454[[#This Row],[Core CPI]]-F424)/F424</f>
        <v>5.2422485451982942E-2</v>
      </c>
    </row>
    <row r="437" spans="1:9" x14ac:dyDescent="0.35">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43.79936</v>
      </c>
      <c r="G437" s="35">
        <f t="shared" si="24"/>
        <v>2.5324614683148727E-3</v>
      </c>
      <c r="H437" s="35">
        <f t="shared" si="25"/>
        <v>3.0816413044069568E-2</v>
      </c>
      <c r="I437" s="35">
        <f>(Table143454[[#This Row],[Core CPI]]-F425)/F425</f>
        <v>5.2999843249787772E-2</v>
      </c>
    </row>
    <row r="438" spans="1:9" x14ac:dyDescent="0.35">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43.977119999999999</v>
      </c>
      <c r="G438" s="35">
        <f t="shared" si="24"/>
        <v>4.0585067909668648E-3</v>
      </c>
      <c r="H438" s="35">
        <f t="shared" si="25"/>
        <v>4.9804041085245165E-2</v>
      </c>
      <c r="I438" s="35">
        <f>(Table143454[[#This Row],[Core CPI]]-F426)/F426</f>
        <v>5.3170386970868781E-2</v>
      </c>
    </row>
    <row r="439" spans="1:9" x14ac:dyDescent="0.35">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44.197360000000003</v>
      </c>
      <c r="G439" s="35">
        <f t="shared" si="24"/>
        <v>5.0080587359973006E-3</v>
      </c>
      <c r="H439" s="35">
        <f t="shared" si="25"/>
        <v>6.1779974951565286E-2</v>
      </c>
      <c r="I439" s="35">
        <f>(Table143454[[#This Row],[Core CPI]]-F427)/F427</f>
        <v>5.5942239854166305E-2</v>
      </c>
    </row>
    <row r="440" spans="1:9" x14ac:dyDescent="0.35">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44.589579999999998</v>
      </c>
      <c r="G440" s="35">
        <f t="shared" si="24"/>
        <v>8.8742857039423306E-3</v>
      </c>
      <c r="H440" s="35">
        <f t="shared" si="25"/>
        <v>0.11184598973452187</v>
      </c>
      <c r="I440" s="35">
        <f>(Table143454[[#This Row],[Core CPI]]-F428)/F428</f>
        <v>5.8926149951434706E-2</v>
      </c>
    </row>
    <row r="441" spans="1:9" x14ac:dyDescent="0.35">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44.778930000000003</v>
      </c>
      <c r="G441" s="35">
        <f t="shared" si="24"/>
        <v>4.2465078164002357E-3</v>
      </c>
      <c r="H441" s="35">
        <f t="shared" si="25"/>
        <v>5.2165269391845515E-2</v>
      </c>
      <c r="I441" s="35">
        <f>(Table143454[[#This Row],[Core CPI]]-F429)/F429</f>
        <v>5.7248867880871412E-2</v>
      </c>
    </row>
    <row r="442" spans="1:9" x14ac:dyDescent="0.35">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44.877510000000001</v>
      </c>
      <c r="G442" s="35">
        <f t="shared" si="24"/>
        <v>2.2014818129865166E-3</v>
      </c>
      <c r="H442" s="35">
        <f t="shared" si="25"/>
        <v>2.674001118394731E-2</v>
      </c>
      <c r="I442" s="35">
        <f>(Table143454[[#This Row],[Core CPI]]-F430)/F430</f>
        <v>5.5220882117669255E-2</v>
      </c>
    </row>
    <row r="443" spans="1:9" x14ac:dyDescent="0.35">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45.17624</v>
      </c>
      <c r="G443" s="35">
        <f t="shared" si="24"/>
        <v>6.6565636105924142E-3</v>
      </c>
      <c r="H443" s="35">
        <f t="shared" si="25"/>
        <v>8.2869084281391059E-2</v>
      </c>
      <c r="I443" s="35">
        <f>(Table143454[[#This Row],[Core CPI]]-F431)/F431</f>
        <v>5.6854027842631293E-2</v>
      </c>
    </row>
    <row r="444" spans="1:9" x14ac:dyDescent="0.35">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45.392389999999999</v>
      </c>
      <c r="G444" s="35">
        <f t="shared" si="24"/>
        <v>4.784594733868941E-3</v>
      </c>
      <c r="H444" s="35">
        <f t="shared" si="25"/>
        <v>5.895038983194123E-2</v>
      </c>
      <c r="I444" s="35">
        <f>(Table143454[[#This Row],[Core CPI]]-F432)/F432</f>
        <v>5.5376077960262379E-2</v>
      </c>
    </row>
    <row r="445" spans="1:9" x14ac:dyDescent="0.35">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45.644620000000003</v>
      </c>
      <c r="G445" s="35">
        <f t="shared" si="24"/>
        <v>5.5566582856731994E-3</v>
      </c>
      <c r="H445" s="35">
        <f t="shared" si="25"/>
        <v>6.8755966723469619E-2</v>
      </c>
      <c r="I445" s="35">
        <f>(Table143454[[#This Row],[Core CPI]]-F433)/F433</f>
        <v>5.7884089054441555E-2</v>
      </c>
    </row>
    <row r="446" spans="1:9" x14ac:dyDescent="0.35">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45.75853</v>
      </c>
      <c r="G446" s="35">
        <f t="shared" si="24"/>
        <v>2.495584364597514E-3</v>
      </c>
      <c r="H446" s="35">
        <f t="shared" si="25"/>
        <v>3.0361495096578484E-2</v>
      </c>
      <c r="I446" s="35">
        <f>(Table143454[[#This Row],[Core CPI]]-F434)/F434</f>
        <v>5.6282311596671852E-2</v>
      </c>
    </row>
    <row r="447" spans="1:9" x14ac:dyDescent="0.35">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45.945329999999998</v>
      </c>
      <c r="G447" s="35">
        <f t="shared" si="24"/>
        <v>4.0822989724538239E-3</v>
      </c>
      <c r="H447" s="35">
        <f t="shared" si="25"/>
        <v>5.010259401115702E-2</v>
      </c>
      <c r="I447" s="35">
        <f>(Table143454[[#This Row],[Core CPI]]-F435)/F435</f>
        <v>5.5444614767205323E-2</v>
      </c>
    </row>
    <row r="448" spans="1:9" x14ac:dyDescent="0.35">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46.083080000000002</v>
      </c>
      <c r="G448" s="35">
        <f t="shared" si="24"/>
        <v>2.9981284278512987E-3</v>
      </c>
      <c r="H448" s="35">
        <f t="shared" si="25"/>
        <v>3.6576769300193046E-2</v>
      </c>
      <c r="I448" s="35">
        <f>(Table143454[[#This Row],[Core CPI]]-F436)/F436</f>
        <v>5.480499314239462E-2</v>
      </c>
    </row>
    <row r="449" spans="1:9" x14ac:dyDescent="0.35">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46.178080000000001</v>
      </c>
      <c r="G449" s="35">
        <f t="shared" si="24"/>
        <v>2.0614941536025722E-3</v>
      </c>
      <c r="H449" s="35">
        <f t="shared" si="25"/>
        <v>2.5020350237647593E-2</v>
      </c>
      <c r="I449" s="35">
        <f>(Table143454[[#This Row],[Core CPI]]-F437)/F437</f>
        <v>5.4309469362109432E-2</v>
      </c>
    </row>
    <row r="450" spans="1:9" x14ac:dyDescent="0.35">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46.348700000000001</v>
      </c>
      <c r="G450" s="35">
        <f t="shared" si="24"/>
        <v>3.6948266363607818E-3</v>
      </c>
      <c r="H450" s="35">
        <f t="shared" si="25"/>
        <v>4.525012451478605E-2</v>
      </c>
      <c r="I450" s="35">
        <f>(Table143454[[#This Row],[Core CPI]]-F438)/F438</f>
        <v>5.3927587800201598E-2</v>
      </c>
    </row>
    <row r="451" spans="1:9" x14ac:dyDescent="0.35">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46.538110000000003</v>
      </c>
      <c r="G451" s="35">
        <f t="shared" ref="G451:G514" si="28">(F451/F450)-1</f>
        <v>4.0866302614743777E-3</v>
      </c>
      <c r="H451" s="35">
        <f t="shared" ref="H451:H514" si="29">((1+G451)^12)-1</f>
        <v>5.0156952970595858E-2</v>
      </c>
      <c r="I451" s="35">
        <f>(Table143454[[#This Row],[Core CPI]]-F439)/F439</f>
        <v>5.2961308096230175E-2</v>
      </c>
    </row>
    <row r="452" spans="1:9" x14ac:dyDescent="0.35">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46.907020000000003</v>
      </c>
      <c r="G452" s="35">
        <f t="shared" si="28"/>
        <v>7.927051614257552E-3</v>
      </c>
      <c r="H452" s="35">
        <f t="shared" si="29"/>
        <v>9.9383503359148362E-2</v>
      </c>
      <c r="I452" s="35">
        <f>(Table143454[[#This Row],[Core CPI]]-F440)/F440</f>
        <v>5.1972680612824902E-2</v>
      </c>
    </row>
    <row r="453" spans="1:9" x14ac:dyDescent="0.35">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47.309919999999998</v>
      </c>
      <c r="G453" s="35">
        <f t="shared" si="28"/>
        <v>8.5893326841055551E-3</v>
      </c>
      <c r="H453" s="35">
        <f t="shared" si="29"/>
        <v>0.1080833941201953</v>
      </c>
      <c r="I453" s="35">
        <f>(Table143454[[#This Row],[Core CPI]]-F441)/F441</f>
        <v>5.6521895453955591E-2</v>
      </c>
    </row>
    <row r="454" spans="1:9" x14ac:dyDescent="0.35">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47.480899999999998</v>
      </c>
      <c r="G454" s="35">
        <f t="shared" si="28"/>
        <v>3.6140411989704635E-3</v>
      </c>
      <c r="H454" s="35">
        <f t="shared" si="29"/>
        <v>4.4241009605574311E-2</v>
      </c>
      <c r="I454" s="35">
        <f>(Table143454[[#This Row],[Core CPI]]-F442)/F442</f>
        <v>5.8011017099656316E-2</v>
      </c>
    </row>
    <row r="455" spans="1:9" x14ac:dyDescent="0.35">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47.792450000000002</v>
      </c>
      <c r="G455" s="35">
        <f t="shared" si="28"/>
        <v>6.5615858166125918E-3</v>
      </c>
      <c r="H455" s="35">
        <f t="shared" si="29"/>
        <v>8.1643699178663764E-2</v>
      </c>
      <c r="I455" s="35">
        <f>(Table143454[[#This Row],[Core CPI]]-F443)/F443</f>
        <v>5.7911194025886223E-2</v>
      </c>
    </row>
    <row r="456" spans="1:9" x14ac:dyDescent="0.35">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48.226950000000002</v>
      </c>
      <c r="G456" s="35">
        <f t="shared" si="28"/>
        <v>9.0913941427988032E-3</v>
      </c>
      <c r="H456" s="35">
        <f t="shared" si="29"/>
        <v>0.11472060431505815</v>
      </c>
      <c r="I456" s="35">
        <f>(Table143454[[#This Row],[Core CPI]]-F444)/F444</f>
        <v>6.2445709512101114E-2</v>
      </c>
    </row>
    <row r="457" spans="1:9" x14ac:dyDescent="0.35">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48.506160000000001</v>
      </c>
      <c r="G457" s="35">
        <f t="shared" si="28"/>
        <v>5.7895015131581573E-3</v>
      </c>
      <c r="H457" s="35">
        <f t="shared" si="29"/>
        <v>7.1729481069025214E-2</v>
      </c>
      <c r="I457" s="35">
        <f>(Table143454[[#This Row],[Core CPI]]-F445)/F445</f>
        <v>6.2691725771843385E-2</v>
      </c>
    </row>
    <row r="458" spans="1:9" x14ac:dyDescent="0.35">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48.752000000000002</v>
      </c>
      <c r="G458" s="35">
        <f t="shared" si="28"/>
        <v>5.0682222629043761E-3</v>
      </c>
      <c r="H458" s="35">
        <f t="shared" si="29"/>
        <v>6.254297139996412E-2</v>
      </c>
      <c r="I458" s="35">
        <f>(Table143454[[#This Row],[Core CPI]]-F446)/F446</f>
        <v>6.5418841033573455E-2</v>
      </c>
    </row>
    <row r="459" spans="1:9" x14ac:dyDescent="0.35">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49.010759999999998</v>
      </c>
      <c r="G459" s="35">
        <f t="shared" si="28"/>
        <v>5.3076796849358399E-3</v>
      </c>
      <c r="H459" s="35">
        <f t="shared" si="29"/>
        <v>6.558476454693607E-2</v>
      </c>
      <c r="I459" s="35">
        <f>(Table143454[[#This Row],[Core CPI]]-F447)/F447</f>
        <v>6.6719076781035183E-2</v>
      </c>
    </row>
    <row r="460" spans="1:9" x14ac:dyDescent="0.35">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49.169049999999999</v>
      </c>
      <c r="G460" s="35">
        <f t="shared" si="28"/>
        <v>3.2296989477413884E-3</v>
      </c>
      <c r="H460" s="35">
        <f t="shared" si="29"/>
        <v>3.94522961059669E-2</v>
      </c>
      <c r="I460" s="35">
        <f>(Table143454[[#This Row],[Core CPI]]-F448)/F448</f>
        <v>6.6965359086241544E-2</v>
      </c>
    </row>
    <row r="461" spans="1:9" x14ac:dyDescent="0.35">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49.262900000000002</v>
      </c>
      <c r="G461" s="35">
        <f t="shared" si="28"/>
        <v>1.9087210348787131E-3</v>
      </c>
      <c r="H461" s="35">
        <f t="shared" si="29"/>
        <v>2.3146641118331868E-2</v>
      </c>
      <c r="I461" s="35">
        <f>(Table143454[[#This Row],[Core CPI]]-F449)/F449</f>
        <v>6.6802690800483705E-2</v>
      </c>
    </row>
    <row r="462" spans="1:9" x14ac:dyDescent="0.35">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49.409790000000001</v>
      </c>
      <c r="G462" s="35">
        <f t="shared" si="28"/>
        <v>2.981757062617163E-3</v>
      </c>
      <c r="H462" s="35">
        <f t="shared" si="29"/>
        <v>3.6373754123805169E-2</v>
      </c>
      <c r="I462" s="35">
        <f>(Table143454[[#This Row],[Core CPI]]-F450)/F450</f>
        <v>6.6044786585168519E-2</v>
      </c>
    </row>
    <row r="463" spans="1:9" x14ac:dyDescent="0.35">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49.604419999999998</v>
      </c>
      <c r="G463" s="35">
        <f t="shared" si="28"/>
        <v>3.9390978994242598E-3</v>
      </c>
      <c r="H463" s="35">
        <f t="shared" si="29"/>
        <v>4.8306829829930953E-2</v>
      </c>
      <c r="I463" s="35">
        <f>(Table143454[[#This Row],[Core CPI]]-F451)/F451</f>
        <v>6.5888150593137407E-2</v>
      </c>
    </row>
    <row r="464" spans="1:9" x14ac:dyDescent="0.35">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49.925820000000002</v>
      </c>
      <c r="G464" s="35">
        <f t="shared" si="28"/>
        <v>6.4792613238902064E-3</v>
      </c>
      <c r="H464" s="35">
        <f t="shared" si="29"/>
        <v>8.0582593029411731E-2</v>
      </c>
      <c r="I464" s="35">
        <f>(Table143454[[#This Row],[Core CPI]]-F452)/F452</f>
        <v>6.4357104757454181E-2</v>
      </c>
    </row>
    <row r="465" spans="1:9" x14ac:dyDescent="0.35">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50.199269999999999</v>
      </c>
      <c r="G465" s="35">
        <f t="shared" si="28"/>
        <v>5.4771258639316756E-3</v>
      </c>
      <c r="H465" s="35">
        <f t="shared" si="29"/>
        <v>6.7742035388301591E-2</v>
      </c>
      <c r="I465" s="35">
        <f>(Table143454[[#This Row],[Core CPI]]-F453)/F453</f>
        <v>6.1072815172800977E-2</v>
      </c>
    </row>
    <row r="466" spans="1:9" x14ac:dyDescent="0.35">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50.316940000000002</v>
      </c>
      <c r="G466" s="35">
        <f t="shared" si="28"/>
        <v>2.3440579912816784E-3</v>
      </c>
      <c r="H466" s="35">
        <f t="shared" si="29"/>
        <v>2.849418854466057E-2</v>
      </c>
      <c r="I466" s="35">
        <f>(Table143454[[#This Row],[Core CPI]]-F454)/F454</f>
        <v>5.973012306000948E-2</v>
      </c>
    </row>
    <row r="467" spans="1:9" x14ac:dyDescent="0.35">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50.822629999999997</v>
      </c>
      <c r="G467" s="35">
        <f t="shared" si="28"/>
        <v>1.0050094461228953E-2</v>
      </c>
      <c r="H467" s="35">
        <f t="shared" si="29"/>
        <v>0.12749587877102786</v>
      </c>
      <c r="I467" s="35">
        <f>(Table143454[[#This Row],[Core CPI]]-F455)/F455</f>
        <v>6.3402901504316989E-2</v>
      </c>
    </row>
    <row r="468" spans="1:9" x14ac:dyDescent="0.35">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51.206150000000001</v>
      </c>
      <c r="G468" s="35">
        <f t="shared" si="28"/>
        <v>7.5462446551861628E-3</v>
      </c>
      <c r="H468" s="35">
        <f t="shared" si="29"/>
        <v>9.4409523908171034E-2</v>
      </c>
      <c r="I468" s="35">
        <f>(Table143454[[#This Row],[Core CPI]]-F456)/F456</f>
        <v>6.1774588689519003E-2</v>
      </c>
    </row>
    <row r="469" spans="1:9" x14ac:dyDescent="0.35">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51.517569999999999</v>
      </c>
      <c r="G469" s="35">
        <f t="shared" si="28"/>
        <v>6.0816913593386701E-3</v>
      </c>
      <c r="H469" s="35">
        <f t="shared" si="29"/>
        <v>7.5471607666032892E-2</v>
      </c>
      <c r="I469" s="35">
        <f>(Table143454[[#This Row],[Core CPI]]-F457)/F457</f>
        <v>6.2083042648603759E-2</v>
      </c>
    </row>
    <row r="470" spans="1:9" x14ac:dyDescent="0.35">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51.697470000000003</v>
      </c>
      <c r="G470" s="35">
        <f t="shared" si="28"/>
        <v>3.492012530870614E-3</v>
      </c>
      <c r="H470" s="35">
        <f t="shared" si="29"/>
        <v>4.2718406457171287E-2</v>
      </c>
      <c r="I470" s="35">
        <f>(Table143454[[#This Row],[Core CPI]]-F458)/F458</f>
        <v>6.0417418772563181E-2</v>
      </c>
    </row>
    <row r="471" spans="1:9" x14ac:dyDescent="0.35">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51.849870000000003</v>
      </c>
      <c r="G471" s="35">
        <f t="shared" si="28"/>
        <v>2.9479198885360436E-3</v>
      </c>
      <c r="H471" s="35">
        <f t="shared" si="29"/>
        <v>3.5954267495482473E-2</v>
      </c>
      <c r="I471" s="35">
        <f>(Table143454[[#This Row],[Core CPI]]-F459)/F459</f>
        <v>5.7928299826405572E-2</v>
      </c>
    </row>
    <row r="472" spans="1:9" x14ac:dyDescent="0.35">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52.063459999999999</v>
      </c>
      <c r="G472" s="35">
        <f t="shared" si="28"/>
        <v>4.1193931633771719E-3</v>
      </c>
      <c r="H472" s="35">
        <f t="shared" si="29"/>
        <v>5.0568220645994755E-2</v>
      </c>
      <c r="I472" s="35">
        <f>(Table143454[[#This Row],[Core CPI]]-F460)/F460</f>
        <v>5.8866502403442829E-2</v>
      </c>
    </row>
    <row r="473" spans="1:9" x14ac:dyDescent="0.35">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52.244529999999997</v>
      </c>
      <c r="G473" s="35">
        <f t="shared" si="28"/>
        <v>3.4778710442986416E-3</v>
      </c>
      <c r="H473" s="35">
        <f t="shared" si="29"/>
        <v>4.2542088814553347E-2</v>
      </c>
      <c r="I473" s="35">
        <f>(Table143454[[#This Row],[Core CPI]]-F461)/F461</f>
        <v>6.0524857448505782E-2</v>
      </c>
    </row>
    <row r="474" spans="1:9" x14ac:dyDescent="0.35">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52.494109999999999</v>
      </c>
      <c r="G474" s="35">
        <f t="shared" si="28"/>
        <v>4.7771508328240397E-3</v>
      </c>
      <c r="H474" s="35">
        <f t="shared" si="29"/>
        <v>5.8856251437271911E-2</v>
      </c>
      <c r="I474" s="35">
        <f>(Table143454[[#This Row],[Core CPI]]-F462)/F462</f>
        <v>6.2423256605624068E-2</v>
      </c>
    </row>
    <row r="475" spans="1:9" x14ac:dyDescent="0.35">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52.706040000000002</v>
      </c>
      <c r="G475" s="35">
        <f t="shared" si="28"/>
        <v>4.0372148418175158E-3</v>
      </c>
      <c r="H475" s="35">
        <f t="shared" si="29"/>
        <v>4.9536927956489674E-2</v>
      </c>
      <c r="I475" s="35">
        <f>(Table143454[[#This Row],[Core CPI]]-F463)/F463</f>
        <v>6.2527089319863116E-2</v>
      </c>
    </row>
    <row r="476" spans="1:9" x14ac:dyDescent="0.35">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53.055630000000001</v>
      </c>
      <c r="G476" s="35">
        <f t="shared" si="28"/>
        <v>6.6328261428860724E-3</v>
      </c>
      <c r="H476" s="35">
        <f t="shared" si="29"/>
        <v>8.2562708851128486E-2</v>
      </c>
      <c r="I476" s="35">
        <f>(Table143454[[#This Row],[Core CPI]]-F464)/F464</f>
        <v>6.2689205705584783E-2</v>
      </c>
    </row>
    <row r="477" spans="1:9" x14ac:dyDescent="0.35">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53.436860000000003</v>
      </c>
      <c r="G477" s="35">
        <f t="shared" si="28"/>
        <v>7.185476828755144E-3</v>
      </c>
      <c r="H477" s="35">
        <f t="shared" si="29"/>
        <v>8.9716326557839565E-2</v>
      </c>
      <c r="I477" s="35">
        <f>(Table143454[[#This Row],[Core CPI]]-F465)/F465</f>
        <v>6.4494762573240702E-2</v>
      </c>
    </row>
    <row r="478" spans="1:9" x14ac:dyDescent="0.35">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53.562069999999999</v>
      </c>
      <c r="G478" s="35">
        <f t="shared" si="28"/>
        <v>2.3431391739707763E-3</v>
      </c>
      <c r="H478" s="35">
        <f t="shared" si="29"/>
        <v>2.8482875141929709E-2</v>
      </c>
      <c r="I478" s="35">
        <f>(Table143454[[#This Row],[Core CPI]]-F466)/F466</f>
        <v>6.4493786784331403E-2</v>
      </c>
    </row>
    <row r="479" spans="1:9" x14ac:dyDescent="0.35">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53.637439999999998</v>
      </c>
      <c r="G479" s="35">
        <f t="shared" si="28"/>
        <v>1.4071524868251029E-3</v>
      </c>
      <c r="H479" s="35">
        <f t="shared" si="29"/>
        <v>1.7017129922834773E-2</v>
      </c>
      <c r="I479" s="35">
        <f>(Table143454[[#This Row],[Core CPI]]-F467)/F467</f>
        <v>5.5384973190092709E-2</v>
      </c>
    </row>
    <row r="480" spans="1:9" x14ac:dyDescent="0.35">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54.065579999999997</v>
      </c>
      <c r="G480" s="35">
        <f t="shared" si="28"/>
        <v>7.9821110030604547E-3</v>
      </c>
      <c r="H480" s="35">
        <f t="shared" si="29"/>
        <v>0.10010438378383157</v>
      </c>
      <c r="I480" s="35">
        <f>(Table143454[[#This Row],[Core CPI]]-F468)/F468</f>
        <v>5.5841534659410955E-2</v>
      </c>
    </row>
    <row r="481" spans="1:9" x14ac:dyDescent="0.35">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54.39517</v>
      </c>
      <c r="G481" s="35">
        <f t="shared" si="28"/>
        <v>6.0961151253717816E-3</v>
      </c>
      <c r="H481" s="35">
        <f t="shared" si="29"/>
        <v>7.565664521361426E-2</v>
      </c>
      <c r="I481" s="35">
        <f>(Table143454[[#This Row],[Core CPI]]-F469)/F469</f>
        <v>5.5856671811189876E-2</v>
      </c>
    </row>
    <row r="482" spans="1:9" x14ac:dyDescent="0.35">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54.605879999999999</v>
      </c>
      <c r="G482" s="35">
        <f t="shared" si="28"/>
        <v>3.8736895205953026E-3</v>
      </c>
      <c r="H482" s="35">
        <f t="shared" si="29"/>
        <v>4.7487535287895843E-2</v>
      </c>
      <c r="I482" s="35">
        <f>(Table143454[[#This Row],[Core CPI]]-F470)/F470</f>
        <v>5.6258265636596846E-2</v>
      </c>
    </row>
    <row r="483" spans="1:9" x14ac:dyDescent="0.35">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55.047199999999997</v>
      </c>
      <c r="G483" s="35">
        <f t="shared" si="28"/>
        <v>8.0819135228660244E-3</v>
      </c>
      <c r="H483" s="35">
        <f t="shared" si="29"/>
        <v>0.10141218079146563</v>
      </c>
      <c r="I483" s="35">
        <f>(Table143454[[#This Row],[Core CPI]]-F471)/F471</f>
        <v>6.1665149787260676E-2</v>
      </c>
    </row>
    <row r="484" spans="1:9" x14ac:dyDescent="0.35">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55.296810000000001</v>
      </c>
      <c r="G484" s="35">
        <f t="shared" si="28"/>
        <v>4.5344722347369082E-3</v>
      </c>
      <c r="H484" s="35">
        <f t="shared" si="29"/>
        <v>5.5791444313049166E-2</v>
      </c>
      <c r="I484" s="35">
        <f>(Table143454[[#This Row],[Core CPI]]-F472)/F472</f>
        <v>6.2104016905522634E-2</v>
      </c>
    </row>
    <row r="485" spans="1:9" x14ac:dyDescent="0.35">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55.494630000000001</v>
      </c>
      <c r="G485" s="35">
        <f t="shared" si="28"/>
        <v>3.5774215546973132E-3</v>
      </c>
      <c r="H485" s="35">
        <f t="shared" si="29"/>
        <v>4.3783876967544266E-2</v>
      </c>
      <c r="I485" s="35">
        <f>(Table143454[[#This Row],[Core CPI]]-F473)/F473</f>
        <v>6.2209383451243667E-2</v>
      </c>
    </row>
    <row r="486" spans="1:9" x14ac:dyDescent="0.35">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55.637970000000003</v>
      </c>
      <c r="G486" s="35">
        <f t="shared" si="28"/>
        <v>2.5829526208211995E-3</v>
      </c>
      <c r="H486" s="35">
        <f t="shared" si="29"/>
        <v>3.1439573252998398E-2</v>
      </c>
      <c r="I486" s="35">
        <f>(Table143454[[#This Row],[Core CPI]]-F474)/F474</f>
        <v>5.9889766680490508E-2</v>
      </c>
    </row>
    <row r="487" spans="1:9" x14ac:dyDescent="0.35">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55.870620000000002</v>
      </c>
      <c r="G487" s="35">
        <f t="shared" si="28"/>
        <v>4.1814969165840932E-3</v>
      </c>
      <c r="H487" s="35">
        <f t="shared" si="29"/>
        <v>5.1348204722906798E-2</v>
      </c>
      <c r="I487" s="35">
        <f>(Table143454[[#This Row],[Core CPI]]-F475)/F475</f>
        <v>6.0042074874151058E-2</v>
      </c>
    </row>
    <row r="488" spans="1:9" x14ac:dyDescent="0.35">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56.115470000000002</v>
      </c>
      <c r="G488" s="35">
        <f t="shared" si="28"/>
        <v>4.3824464450188394E-3</v>
      </c>
      <c r="H488" s="35">
        <f t="shared" si="29"/>
        <v>5.38756435278267E-2</v>
      </c>
      <c r="I488" s="35">
        <f>(Table143454[[#This Row],[Core CPI]]-F476)/F476</f>
        <v>5.7672296040966832E-2</v>
      </c>
    </row>
    <row r="489" spans="1:9" x14ac:dyDescent="0.35">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56.46181</v>
      </c>
      <c r="G489" s="35">
        <f t="shared" si="28"/>
        <v>6.1719165855689262E-3</v>
      </c>
      <c r="H489" s="35">
        <f t="shared" si="29"/>
        <v>7.6629555918561909E-2</v>
      </c>
      <c r="I489" s="35">
        <f>(Table143454[[#This Row],[Core CPI]]-F477)/F477</f>
        <v>5.6607929432979348E-2</v>
      </c>
    </row>
    <row r="490" spans="1:9" x14ac:dyDescent="0.35">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56.598860000000002</v>
      </c>
      <c r="G490" s="35">
        <f t="shared" si="28"/>
        <v>2.4273044027458557E-3</v>
      </c>
      <c r="H490" s="35">
        <f t="shared" si="29"/>
        <v>2.9519675588613126E-2</v>
      </c>
      <c r="I490" s="35">
        <f>(Table143454[[#This Row],[Core CPI]]-F478)/F478</f>
        <v>5.6696651193652588E-2</v>
      </c>
    </row>
    <row r="491" spans="1:9" x14ac:dyDescent="0.35">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56.947029999999998</v>
      </c>
      <c r="G491" s="35">
        <f t="shared" si="28"/>
        <v>6.1515373277836183E-3</v>
      </c>
      <c r="H491" s="35">
        <f t="shared" si="29"/>
        <v>7.6367909173537418E-2</v>
      </c>
      <c r="I491" s="35">
        <f>(Table143454[[#This Row],[Core CPI]]-F479)/F479</f>
        <v>6.1702982096088106E-2</v>
      </c>
    </row>
    <row r="492" spans="1:9" x14ac:dyDescent="0.35">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57.292180000000002</v>
      </c>
      <c r="G492" s="35">
        <f t="shared" si="28"/>
        <v>6.0608955374845674E-3</v>
      </c>
      <c r="H492" s="35">
        <f t="shared" si="29"/>
        <v>7.5204876560024836E-2</v>
      </c>
      <c r="I492" s="35">
        <f>(Table143454[[#This Row],[Core CPI]]-F480)/F480</f>
        <v>5.967937456696118E-2</v>
      </c>
    </row>
    <row r="493" spans="1:9" x14ac:dyDescent="0.35">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57.619450000000001</v>
      </c>
      <c r="G493" s="35">
        <f t="shared" si="28"/>
        <v>5.7122979087198544E-3</v>
      </c>
      <c r="H493" s="35">
        <f t="shared" si="29"/>
        <v>7.0742716466626776E-2</v>
      </c>
      <c r="I493" s="35">
        <f>(Table143454[[#This Row],[Core CPI]]-F481)/F481</f>
        <v>5.9275115786934764E-2</v>
      </c>
    </row>
    <row r="494" spans="1:9" x14ac:dyDescent="0.35">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57.835340000000002</v>
      </c>
      <c r="G494" s="35">
        <f t="shared" si="28"/>
        <v>3.7468250738248443E-3</v>
      </c>
      <c r="H494" s="35">
        <f t="shared" si="29"/>
        <v>4.5900125227398281E-2</v>
      </c>
      <c r="I494" s="35">
        <f>(Table143454[[#This Row],[Core CPI]]-F482)/F482</f>
        <v>5.9141249989927883E-2</v>
      </c>
    </row>
    <row r="495" spans="1:9" x14ac:dyDescent="0.35">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58.151539999999997</v>
      </c>
      <c r="G495" s="35">
        <f t="shared" si="28"/>
        <v>5.4672454592641362E-3</v>
      </c>
      <c r="H495" s="35">
        <f t="shared" si="29"/>
        <v>6.7616135121077114E-2</v>
      </c>
      <c r="I495" s="35">
        <f>(Table143454[[#This Row],[Core CPI]]-F483)/F483</f>
        <v>5.6394149021203634E-2</v>
      </c>
    </row>
    <row r="496" spans="1:9" x14ac:dyDescent="0.35">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58.301900000000003</v>
      </c>
      <c r="G496" s="35">
        <f t="shared" si="28"/>
        <v>2.5856580926317818E-3</v>
      </c>
      <c r="H496" s="35">
        <f t="shared" si="29"/>
        <v>3.1472973846126573E-2</v>
      </c>
      <c r="I496" s="35">
        <f>(Table143454[[#This Row],[Core CPI]]-F484)/F484</f>
        <v>5.4344726214767228E-2</v>
      </c>
    </row>
    <row r="497" spans="1:9" x14ac:dyDescent="0.35">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58.48104</v>
      </c>
      <c r="G497" s="35">
        <f t="shared" si="28"/>
        <v>3.0726271356507073E-3</v>
      </c>
      <c r="H497" s="35">
        <f t="shared" si="29"/>
        <v>3.7501060375769057E-2</v>
      </c>
      <c r="I497" s="35">
        <f>(Table143454[[#This Row],[Core CPI]]-F485)/F485</f>
        <v>5.3814396095622212E-2</v>
      </c>
    </row>
    <row r="498" spans="1:9" x14ac:dyDescent="0.35">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58.72054</v>
      </c>
      <c r="G498" s="35">
        <f t="shared" si="28"/>
        <v>4.0953444056397448E-3</v>
      </c>
      <c r="H498" s="35">
        <f t="shared" si="29"/>
        <v>5.026632587489166E-2</v>
      </c>
      <c r="I498" s="35">
        <f>(Table143454[[#This Row],[Core CPI]]-F486)/F486</f>
        <v>5.5404070277905483E-2</v>
      </c>
    </row>
    <row r="499" spans="1:9" x14ac:dyDescent="0.35">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58.823869999999999</v>
      </c>
      <c r="G499" s="35">
        <f t="shared" si="28"/>
        <v>1.7596909020249907E-3</v>
      </c>
      <c r="H499" s="35">
        <f t="shared" si="29"/>
        <v>2.1321864139512758E-2</v>
      </c>
      <c r="I499" s="35">
        <f>(Table143454[[#This Row],[Core CPI]]-F487)/F487</f>
        <v>5.2858729686550768E-2</v>
      </c>
    </row>
    <row r="500" spans="1:9" x14ac:dyDescent="0.35">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59.084980000000002</v>
      </c>
      <c r="G500" s="35">
        <f t="shared" si="28"/>
        <v>4.4388442990914712E-3</v>
      </c>
      <c r="H500" s="35">
        <f t="shared" si="29"/>
        <v>5.4585986697241129E-2</v>
      </c>
      <c r="I500" s="35">
        <f>(Table143454[[#This Row],[Core CPI]]-F488)/F488</f>
        <v>5.2917849569824496E-2</v>
      </c>
    </row>
    <row r="501" spans="1:9" x14ac:dyDescent="0.35">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59.617400000000004</v>
      </c>
      <c r="G501" s="35">
        <f t="shared" si="28"/>
        <v>9.0110887741690071E-3</v>
      </c>
      <c r="H501" s="35">
        <f t="shared" si="29"/>
        <v>0.11365653169023759</v>
      </c>
      <c r="I501" s="35">
        <f>(Table143454[[#This Row],[Core CPI]]-F489)/F489</f>
        <v>5.5888927400662564E-2</v>
      </c>
    </row>
    <row r="502" spans="1:9" x14ac:dyDescent="0.35">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59.822139999999997</v>
      </c>
      <c r="G502" s="35">
        <f t="shared" si="28"/>
        <v>3.434232287889083E-3</v>
      </c>
      <c r="H502" s="35">
        <f t="shared" si="29"/>
        <v>4.1998168177673767E-2</v>
      </c>
      <c r="I502" s="35">
        <f>(Table143454[[#This Row],[Core CPI]]-F490)/F490</f>
        <v>5.6949556934538882E-2</v>
      </c>
    </row>
    <row r="503" spans="1:9" x14ac:dyDescent="0.35">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60.17765</v>
      </c>
      <c r="G503" s="35">
        <f t="shared" si="28"/>
        <v>5.9427830565741413E-3</v>
      </c>
      <c r="H503" s="35">
        <f t="shared" si="29"/>
        <v>7.3691093686134801E-2</v>
      </c>
      <c r="I503" s="35">
        <f>(Table143454[[#This Row],[Core CPI]]-F491)/F491</f>
        <v>5.6730263193708295E-2</v>
      </c>
    </row>
    <row r="504" spans="1:9" x14ac:dyDescent="0.35">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60.443860000000001</v>
      </c>
      <c r="G504" s="35">
        <f t="shared" si="28"/>
        <v>4.4237353901324106E-3</v>
      </c>
      <c r="H504" s="35">
        <f t="shared" si="29"/>
        <v>5.4395643694074902E-2</v>
      </c>
      <c r="I504" s="35">
        <f>(Table143454[[#This Row],[Core CPI]]-F492)/F492</f>
        <v>5.5010648922767448E-2</v>
      </c>
    </row>
    <row r="505" spans="1:9" x14ac:dyDescent="0.35">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60.680500000000002</v>
      </c>
      <c r="G505" s="35">
        <f t="shared" si="28"/>
        <v>3.9150378549617226E-3</v>
      </c>
      <c r="H505" s="35">
        <f t="shared" si="29"/>
        <v>4.8005389417747901E-2</v>
      </c>
      <c r="I505" s="35">
        <f>(Table143454[[#This Row],[Core CPI]]-F493)/F493</f>
        <v>5.3125290158097686E-2</v>
      </c>
    </row>
    <row r="506" spans="1:9" x14ac:dyDescent="0.35">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60.900950000000002</v>
      </c>
      <c r="G506" s="35">
        <f t="shared" si="28"/>
        <v>3.6329628134244007E-3</v>
      </c>
      <c r="H506" s="35">
        <f t="shared" si="29"/>
        <v>4.4477284993865496E-2</v>
      </c>
      <c r="I506" s="35">
        <f>(Table143454[[#This Row],[Core CPI]]-F494)/F494</f>
        <v>5.3005826541349964E-2</v>
      </c>
    </row>
    <row r="507" spans="1:9" x14ac:dyDescent="0.35">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61.135350000000003</v>
      </c>
      <c r="G507" s="35">
        <f t="shared" si="28"/>
        <v>3.8488726366336934E-3</v>
      </c>
      <c r="H507" s="35">
        <f t="shared" si="29"/>
        <v>4.7176836728683558E-2</v>
      </c>
      <c r="I507" s="35">
        <f>(Table143454[[#This Row],[Core CPI]]-F495)/F495</f>
        <v>5.1310936907259991E-2</v>
      </c>
    </row>
    <row r="508" spans="1:9" x14ac:dyDescent="0.35">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61.450290000000003</v>
      </c>
      <c r="G508" s="35">
        <f t="shared" si="28"/>
        <v>5.1515203560623668E-3</v>
      </c>
      <c r="H508" s="35">
        <f t="shared" si="29"/>
        <v>6.3600191083756918E-2</v>
      </c>
      <c r="I508" s="35">
        <f>(Table143454[[#This Row],[Core CPI]]-F496)/F496</f>
        <v>5.4001499093511512E-2</v>
      </c>
    </row>
    <row r="509" spans="1:9" x14ac:dyDescent="0.35">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61.715380000000003</v>
      </c>
      <c r="G509" s="35">
        <f t="shared" si="28"/>
        <v>4.3138933925290779E-3</v>
      </c>
      <c r="H509" s="35">
        <f t="shared" si="29"/>
        <v>5.3012793592352114E-2</v>
      </c>
      <c r="I509" s="35">
        <f>(Table143454[[#This Row],[Core CPI]]-F497)/F497</f>
        <v>5.5305787995562378E-2</v>
      </c>
    </row>
    <row r="510" spans="1:9" x14ac:dyDescent="0.35">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61.854089999999999</v>
      </c>
      <c r="G510" s="35">
        <f t="shared" si="28"/>
        <v>2.247575887890374E-3</v>
      </c>
      <c r="H510" s="35">
        <f t="shared" si="29"/>
        <v>2.7306826605152601E-2</v>
      </c>
      <c r="I510" s="35">
        <f>(Table143454[[#This Row],[Core CPI]]-F498)/F498</f>
        <v>5.3363780373954318E-2</v>
      </c>
    </row>
    <row r="511" spans="1:9" x14ac:dyDescent="0.35">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62.000390000000003</v>
      </c>
      <c r="G511" s="35">
        <f t="shared" si="28"/>
        <v>2.3652437534851245E-3</v>
      </c>
      <c r="H511" s="35">
        <f t="shared" si="29"/>
        <v>2.8755080596426952E-2</v>
      </c>
      <c r="I511" s="35">
        <f>(Table143454[[#This Row],[Core CPI]]-F499)/F499</f>
        <v>5.4000527336946783E-2</v>
      </c>
    </row>
    <row r="512" spans="1:9" x14ac:dyDescent="0.35">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62.344410000000003</v>
      </c>
      <c r="G512" s="35">
        <f t="shared" si="28"/>
        <v>5.5486747744650788E-3</v>
      </c>
      <c r="H512" s="35">
        <f t="shared" si="29"/>
        <v>6.865414786408186E-2</v>
      </c>
      <c r="I512" s="35">
        <f>(Table143454[[#This Row],[Core CPI]]-F500)/F500</f>
        <v>5.5165119798635823E-2</v>
      </c>
    </row>
    <row r="513" spans="1:9" x14ac:dyDescent="0.35">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62.575859999999999</v>
      </c>
      <c r="G513" s="35">
        <f t="shared" si="28"/>
        <v>3.7124419013667698E-3</v>
      </c>
      <c r="H513" s="35">
        <f t="shared" si="29"/>
        <v>4.5470280699930754E-2</v>
      </c>
      <c r="I513" s="35">
        <f>(Table143454[[#This Row],[Core CPI]]-F501)/F501</f>
        <v>4.9624103030323281E-2</v>
      </c>
    </row>
    <row r="514" spans="1:9" x14ac:dyDescent="0.35">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62.671050000000001</v>
      </c>
      <c r="G514" s="35">
        <f t="shared" si="28"/>
        <v>1.5211936360124412E-3</v>
      </c>
      <c r="H514" s="35">
        <f t="shared" si="29"/>
        <v>1.8407826693692231E-2</v>
      </c>
      <c r="I514" s="35">
        <f>(Table143454[[#This Row],[Core CPI]]-F502)/F502</f>
        <v>4.7623003790904235E-2</v>
      </c>
    </row>
    <row r="515" spans="1:9" x14ac:dyDescent="0.35">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62.896070000000002</v>
      </c>
      <c r="G515" s="35">
        <f t="shared" ref="G515:G578" si="32">(F515/F514)-1</f>
        <v>3.5904935372872426E-3</v>
      </c>
      <c r="H515" s="35">
        <f t="shared" ref="H515:H578" si="33">((1+G515)^12)-1</f>
        <v>4.3947036901886616E-2</v>
      </c>
      <c r="I515" s="35">
        <f>(Table143454[[#This Row],[Core CPI]]-F503)/F503</f>
        <v>4.5173249536995912E-2</v>
      </c>
    </row>
    <row r="516" spans="1:9" x14ac:dyDescent="0.35">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63.200069999999997</v>
      </c>
      <c r="G516" s="35">
        <f t="shared" si="32"/>
        <v>4.8333703520744287E-3</v>
      </c>
      <c r="H516" s="35">
        <f t="shared" si="33"/>
        <v>5.9567414646525929E-2</v>
      </c>
      <c r="I516" s="35">
        <f>(Table143454[[#This Row],[Core CPI]]-F504)/F504</f>
        <v>4.5599503406963018E-2</v>
      </c>
    </row>
    <row r="517" spans="1:9" x14ac:dyDescent="0.35">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63.382240000000003</v>
      </c>
      <c r="G517" s="35">
        <f t="shared" si="32"/>
        <v>2.8824335162920267E-3</v>
      </c>
      <c r="H517" s="35">
        <f t="shared" si="33"/>
        <v>3.5142861104733081E-2</v>
      </c>
      <c r="I517" s="35">
        <f>(Table143454[[#This Row],[Core CPI]]-F505)/F505</f>
        <v>4.4524023368297902E-2</v>
      </c>
    </row>
    <row r="518" spans="1:9" x14ac:dyDescent="0.35">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63.485570000000003</v>
      </c>
      <c r="G518" s="35">
        <f t="shared" si="32"/>
        <v>1.6302674061376976E-3</v>
      </c>
      <c r="H518" s="35">
        <f t="shared" si="33"/>
        <v>1.9739578552498971E-2</v>
      </c>
      <c r="I518" s="35">
        <f>(Table143454[[#This Row],[Core CPI]]-F506)/F506</f>
        <v>4.243973205672491E-2</v>
      </c>
    </row>
    <row r="519" spans="1:9" x14ac:dyDescent="0.35">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63.950209999999998</v>
      </c>
      <c r="G519" s="35">
        <f t="shared" si="32"/>
        <v>7.3188285148892973E-3</v>
      </c>
      <c r="H519" s="35">
        <f t="shared" si="33"/>
        <v>9.1448933454551407E-2</v>
      </c>
      <c r="I519" s="35">
        <f>(Table143454[[#This Row],[Core CPI]]-F507)/F507</f>
        <v>4.6043083093496577E-2</v>
      </c>
    </row>
    <row r="520" spans="1:9" x14ac:dyDescent="0.35">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63.992150000000002</v>
      </c>
      <c r="G520" s="35">
        <f t="shared" si="32"/>
        <v>6.5582270957365019E-4</v>
      </c>
      <c r="H520" s="35">
        <f t="shared" si="33"/>
        <v>7.8983214884427166E-3</v>
      </c>
      <c r="I520" s="35">
        <f>(Table143454[[#This Row],[Core CPI]]-F508)/F508</f>
        <v>4.1364491526402883E-2</v>
      </c>
    </row>
    <row r="521" spans="1:9" x14ac:dyDescent="0.35">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64.161000000000001</v>
      </c>
      <c r="G521" s="35">
        <f t="shared" si="32"/>
        <v>2.6386048913811244E-3</v>
      </c>
      <c r="H521" s="35">
        <f t="shared" si="33"/>
        <v>3.2126831882849372E-2</v>
      </c>
      <c r="I521" s="35">
        <f>(Table143454[[#This Row],[Core CPI]]-F509)/F509</f>
        <v>3.9627399199356754E-2</v>
      </c>
    </row>
    <row r="522" spans="1:9" x14ac:dyDescent="0.35">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64.282830000000004</v>
      </c>
      <c r="G522" s="35">
        <f t="shared" si="32"/>
        <v>1.89881703838779E-3</v>
      </c>
      <c r="H522" s="35">
        <f t="shared" si="33"/>
        <v>2.3025280483903288E-2</v>
      </c>
      <c r="I522" s="35">
        <f>(Table143454[[#This Row],[Core CPI]]-F510)/F510</f>
        <v>3.9265633040596097E-2</v>
      </c>
    </row>
    <row r="523" spans="1:9" x14ac:dyDescent="0.35">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64.450649999999996</v>
      </c>
      <c r="G523" s="35">
        <f t="shared" si="32"/>
        <v>2.6106504645173612E-3</v>
      </c>
      <c r="H523" s="35">
        <f t="shared" si="33"/>
        <v>3.1781565822770697E-2</v>
      </c>
      <c r="I523" s="35">
        <f>(Table143454[[#This Row],[Core CPI]]-F511)/F511</f>
        <v>3.9520073986631259E-2</v>
      </c>
    </row>
    <row r="524" spans="1:9" x14ac:dyDescent="0.35">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64.761740000000003</v>
      </c>
      <c r="G524" s="35">
        <f t="shared" si="32"/>
        <v>4.8267938337318572E-3</v>
      </c>
      <c r="H524" s="35">
        <f t="shared" si="33"/>
        <v>5.9484200685927746E-2</v>
      </c>
      <c r="I524" s="35">
        <f>(Table143454[[#This Row],[Core CPI]]-F512)/F512</f>
        <v>3.8773805061271725E-2</v>
      </c>
    </row>
    <row r="525" spans="1:9" x14ac:dyDescent="0.35">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65.026920000000004</v>
      </c>
      <c r="G525" s="35">
        <f t="shared" si="32"/>
        <v>4.0947015938732623E-3</v>
      </c>
      <c r="H525" s="35">
        <f t="shared" si="33"/>
        <v>5.025825746371293E-2</v>
      </c>
      <c r="I525" s="35">
        <f>(Table143454[[#This Row],[Core CPI]]-F513)/F513</f>
        <v>3.916941772753911E-2</v>
      </c>
    </row>
    <row r="526" spans="1:9" x14ac:dyDescent="0.35">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65.138450000000006</v>
      </c>
      <c r="G526" s="35">
        <f t="shared" si="32"/>
        <v>1.7151358237481595E-3</v>
      </c>
      <c r="H526" s="35">
        <f t="shared" si="33"/>
        <v>2.0776895767135262E-2</v>
      </c>
      <c r="I526" s="35">
        <f>(Table143454[[#This Row],[Core CPI]]-F514)/F514</f>
        <v>3.9370650403974479E-2</v>
      </c>
    </row>
    <row r="527" spans="1:9" x14ac:dyDescent="0.35">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65.363680000000002</v>
      </c>
      <c r="G527" s="35">
        <f t="shared" si="32"/>
        <v>3.4577119965242264E-3</v>
      </c>
      <c r="H527" s="35">
        <f t="shared" si="33"/>
        <v>4.2290790791191579E-2</v>
      </c>
      <c r="I527" s="35">
        <f>(Table143454[[#This Row],[Core CPI]]-F515)/F515</f>
        <v>3.9233134916060737E-2</v>
      </c>
    </row>
    <row r="528" spans="1:9" x14ac:dyDescent="0.35">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65.853999999999999</v>
      </c>
      <c r="G528" s="35">
        <f t="shared" si="32"/>
        <v>7.5014136290978417E-3</v>
      </c>
      <c r="H528" s="35">
        <f t="shared" si="33"/>
        <v>9.3825314534791149E-2</v>
      </c>
      <c r="I528" s="35">
        <f>(Table143454[[#This Row],[Core CPI]]-F516)/F516</f>
        <v>4.1992516780440317E-2</v>
      </c>
    </row>
    <row r="529" spans="1:9" x14ac:dyDescent="0.35">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66.34348</v>
      </c>
      <c r="G529" s="35">
        <f t="shared" si="32"/>
        <v>7.4328059039694416E-3</v>
      </c>
      <c r="H529" s="35">
        <f t="shared" si="33"/>
        <v>9.2931815844591315E-2</v>
      </c>
      <c r="I529" s="35">
        <f>(Table143454[[#This Row],[Core CPI]]-F517)/F517</f>
        <v>4.6720343111887434E-2</v>
      </c>
    </row>
    <row r="530" spans="1:9" x14ac:dyDescent="0.35">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66.576840000000004</v>
      </c>
      <c r="G530" s="35">
        <f t="shared" si="32"/>
        <v>3.5174519033369656E-3</v>
      </c>
      <c r="H530" s="35">
        <f t="shared" si="33"/>
        <v>4.3035656226090291E-2</v>
      </c>
      <c r="I530" s="35">
        <f>(Table143454[[#This Row],[Core CPI]]-F518)/F518</f>
        <v>4.8692482401906469E-2</v>
      </c>
    </row>
    <row r="531" spans="1:9" x14ac:dyDescent="0.35">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66.955780000000004</v>
      </c>
      <c r="G531" s="35">
        <f t="shared" si="32"/>
        <v>5.6917690896713946E-3</v>
      </c>
      <c r="H531" s="35">
        <f t="shared" si="33"/>
        <v>7.0480471099644504E-2</v>
      </c>
      <c r="I531" s="35">
        <f>(Table143454[[#This Row],[Core CPI]]-F519)/F519</f>
        <v>4.6998594687961241E-2</v>
      </c>
    </row>
    <row r="532" spans="1:9" x14ac:dyDescent="0.35">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67.402010000000004</v>
      </c>
      <c r="G532" s="35">
        <f t="shared" si="32"/>
        <v>6.6645478553157833E-3</v>
      </c>
      <c r="H532" s="35">
        <f t="shared" si="33"/>
        <v>8.2972153422399053E-2</v>
      </c>
      <c r="I532" s="35">
        <f>(Table143454[[#This Row],[Core CPI]]-F520)/F520</f>
        <v>5.3285598311667945E-2</v>
      </c>
    </row>
    <row r="533" spans="1:9" x14ac:dyDescent="0.35">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67.545270000000002</v>
      </c>
      <c r="G533" s="35">
        <f t="shared" si="32"/>
        <v>2.1254559025760678E-3</v>
      </c>
      <c r="H533" s="35">
        <f t="shared" si="33"/>
        <v>2.580575252559969E-2</v>
      </c>
      <c r="I533" s="35">
        <f>(Table143454[[#This Row],[Core CPI]]-F521)/F521</f>
        <v>5.2746528264833788E-2</v>
      </c>
    </row>
    <row r="534" spans="1:9" x14ac:dyDescent="0.35">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67.810370000000006</v>
      </c>
      <c r="G534" s="35">
        <f t="shared" si="32"/>
        <v>3.924775191512353E-3</v>
      </c>
      <c r="H534" s="35">
        <f t="shared" si="33"/>
        <v>4.8127375743749923E-2</v>
      </c>
      <c r="I534" s="35">
        <f>(Table143454[[#This Row],[Core CPI]]-F522)/F522</f>
        <v>5.4875306516530178E-2</v>
      </c>
    </row>
    <row r="535" spans="1:9" x14ac:dyDescent="0.35">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67.963679999999997</v>
      </c>
      <c r="G535" s="35">
        <f t="shared" si="32"/>
        <v>2.2608636407674965E-3</v>
      </c>
      <c r="H535" s="35">
        <f t="shared" si="33"/>
        <v>2.747027837093996E-2</v>
      </c>
      <c r="I535" s="35">
        <f>(Table143454[[#This Row],[Core CPI]]-F523)/F523</f>
        <v>5.450728580704773E-2</v>
      </c>
    </row>
    <row r="536" spans="1:9" x14ac:dyDescent="0.35">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68.245109999999997</v>
      </c>
      <c r="G536" s="35">
        <f t="shared" si="32"/>
        <v>4.140888192046166E-3</v>
      </c>
      <c r="H536" s="35">
        <f t="shared" si="33"/>
        <v>5.0838124640868898E-2</v>
      </c>
      <c r="I536" s="35">
        <f>(Table143454[[#This Row],[Core CPI]]-F524)/F524</f>
        <v>5.3787467723998665E-2</v>
      </c>
    </row>
    <row r="537" spans="1:9" x14ac:dyDescent="0.35">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68.701620000000005</v>
      </c>
      <c r="G537" s="35">
        <f t="shared" si="32"/>
        <v>6.6892704839951467E-3</v>
      </c>
      <c r="H537" s="35">
        <f t="shared" si="33"/>
        <v>8.3291356500395208E-2</v>
      </c>
      <c r="I537" s="35">
        <f>(Table143454[[#This Row],[Core CPI]]-F525)/F525</f>
        <v>5.6510442136887329E-2</v>
      </c>
    </row>
    <row r="538" spans="1:9" x14ac:dyDescent="0.35">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68.780559999999994</v>
      </c>
      <c r="G538" s="35">
        <f t="shared" si="32"/>
        <v>1.1490267623963657E-3</v>
      </c>
      <c r="H538" s="35">
        <f t="shared" si="33"/>
        <v>1.3875793081950416E-2</v>
      </c>
      <c r="I538" s="35">
        <f>(Table143454[[#This Row],[Core CPI]]-F526)/F526</f>
        <v>5.5913366068734947E-2</v>
      </c>
    </row>
    <row r="539" spans="1:9" x14ac:dyDescent="0.35">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69.040040000000005</v>
      </c>
      <c r="G539" s="35">
        <f t="shared" si="32"/>
        <v>3.7725776004151612E-3</v>
      </c>
      <c r="H539" s="35">
        <f t="shared" si="33"/>
        <v>4.6222179010444897E-2</v>
      </c>
      <c r="I539" s="35">
        <f>(Table143454[[#This Row],[Core CPI]]-F527)/F527</f>
        <v>5.6244691241374455E-2</v>
      </c>
    </row>
    <row r="540" spans="1:9" x14ac:dyDescent="0.35">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69.334130000000002</v>
      </c>
      <c r="G540" s="35">
        <f t="shared" si="32"/>
        <v>4.2597020511574435E-3</v>
      </c>
      <c r="H540" s="35">
        <f t="shared" si="33"/>
        <v>5.2331167131183687E-2</v>
      </c>
      <c r="I540" s="35">
        <f>(Table143454[[#This Row],[Core CPI]]-F528)/F528</f>
        <v>5.2846144501472993E-2</v>
      </c>
    </row>
    <row r="541" spans="1:9" x14ac:dyDescent="0.35">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69.606499999999997</v>
      </c>
      <c r="G541" s="35">
        <f t="shared" si="32"/>
        <v>3.9283683230755262E-3</v>
      </c>
      <c r="H541" s="35">
        <f t="shared" si="33"/>
        <v>4.8172392666746555E-2</v>
      </c>
      <c r="I541" s="35">
        <f>(Table143454[[#This Row],[Core CPI]]-F529)/F529</f>
        <v>4.9183732900354299E-2</v>
      </c>
    </row>
    <row r="542" spans="1:9" x14ac:dyDescent="0.35">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69.762789999999995</v>
      </c>
      <c r="G542" s="35">
        <f t="shared" si="32"/>
        <v>2.2453362832492996E-3</v>
      </c>
      <c r="H542" s="35">
        <f t="shared" si="33"/>
        <v>2.7279279724536032E-2</v>
      </c>
      <c r="I542" s="35">
        <f>(Table143454[[#This Row],[Core CPI]]-F530)/F530</f>
        <v>4.7853728113259671E-2</v>
      </c>
    </row>
    <row r="543" spans="1:9" x14ac:dyDescent="0.35">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70.007850000000005</v>
      </c>
      <c r="G543" s="35">
        <f t="shared" si="32"/>
        <v>3.5127608858533943E-3</v>
      </c>
      <c r="H543" s="35">
        <f t="shared" si="33"/>
        <v>4.2977148750872107E-2</v>
      </c>
      <c r="I543" s="35">
        <f>(Table143454[[#This Row],[Core CPI]]-F531)/F531</f>
        <v>4.5583368605369101E-2</v>
      </c>
    </row>
    <row r="544" spans="1:9" x14ac:dyDescent="0.35">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70.154830000000004</v>
      </c>
      <c r="G544" s="35">
        <f t="shared" si="32"/>
        <v>2.0994788441581758E-3</v>
      </c>
      <c r="H544" s="35">
        <f t="shared" si="33"/>
        <v>2.5486707236565875E-2</v>
      </c>
      <c r="I544" s="35">
        <f>(Table143454[[#This Row],[Core CPI]]-F532)/F532</f>
        <v>4.0841808723508385E-2</v>
      </c>
    </row>
    <row r="545" spans="1:9" x14ac:dyDescent="0.35">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70.280789999999996</v>
      </c>
      <c r="G545" s="35">
        <f t="shared" si="32"/>
        <v>1.7954572764269372E-3</v>
      </c>
      <c r="H545" s="35">
        <f t="shared" si="33"/>
        <v>2.1759527837198256E-2</v>
      </c>
      <c r="I545" s="35">
        <f>(Table143454[[#This Row],[Core CPI]]-F533)/F533</f>
        <v>4.0499060852077336E-2</v>
      </c>
    </row>
    <row r="546" spans="1:9" x14ac:dyDescent="0.35">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70.409739999999999</v>
      </c>
      <c r="G546" s="35">
        <f t="shared" si="32"/>
        <v>1.8347830182330327E-3</v>
      </c>
      <c r="H546" s="35">
        <f t="shared" si="33"/>
        <v>2.2240945007417023E-2</v>
      </c>
      <c r="I546" s="35">
        <f>(Table143454[[#This Row],[Core CPI]]-F534)/F534</f>
        <v>3.833292754485771E-2</v>
      </c>
    </row>
    <row r="547" spans="1:9" x14ac:dyDescent="0.35">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70.489710000000002</v>
      </c>
      <c r="G547" s="35">
        <f t="shared" si="32"/>
        <v>1.1357803622056295E-3</v>
      </c>
      <c r="H547" s="35">
        <f t="shared" si="33"/>
        <v>1.3714827309474487E-2</v>
      </c>
      <c r="I547" s="35">
        <f>(Table143454[[#This Row],[Core CPI]]-F535)/F535</f>
        <v>3.7167351738458039E-2</v>
      </c>
    </row>
    <row r="548" spans="1:9" x14ac:dyDescent="0.35">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70.556049999999999</v>
      </c>
      <c r="G548" s="35">
        <f t="shared" si="32"/>
        <v>9.4113027277309413E-4</v>
      </c>
      <c r="H548" s="35">
        <f t="shared" si="33"/>
        <v>1.1352204979178548E-2</v>
      </c>
      <c r="I548" s="35">
        <f>(Table143454[[#This Row],[Core CPI]]-F536)/F536</f>
        <v>3.3862352921696551E-2</v>
      </c>
    </row>
    <row r="549" spans="1:9" x14ac:dyDescent="0.35">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70.84308</v>
      </c>
      <c r="G549" s="35">
        <f t="shared" si="32"/>
        <v>4.0681132234585693E-3</v>
      </c>
      <c r="H549" s="35">
        <f t="shared" si="33"/>
        <v>4.9924576718774594E-2</v>
      </c>
      <c r="I549" s="35">
        <f>(Table143454[[#This Row],[Core CPI]]-F537)/F537</f>
        <v>3.1170444015730558E-2</v>
      </c>
    </row>
    <row r="550" spans="1:9" x14ac:dyDescent="0.35">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70.925420000000003</v>
      </c>
      <c r="G550" s="35">
        <f t="shared" si="32"/>
        <v>1.1622871281147251E-3</v>
      </c>
      <c r="H550" s="35">
        <f t="shared" si="33"/>
        <v>1.4036952025030969E-2</v>
      </c>
      <c r="I550" s="35">
        <f>(Table143454[[#This Row],[Core CPI]]-F538)/F538</f>
        <v>3.1184102019524245E-2</v>
      </c>
    </row>
    <row r="551" spans="1:9" x14ac:dyDescent="0.35">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71.145529999999994</v>
      </c>
      <c r="G551" s="35">
        <f t="shared" si="32"/>
        <v>3.1034007271297792E-3</v>
      </c>
      <c r="H551" s="35">
        <f t="shared" si="33"/>
        <v>3.7883082823539915E-2</v>
      </c>
      <c r="I551" s="35">
        <f>(Table143454[[#This Row],[Core CPI]]-F539)/F539</f>
        <v>3.0496650928939044E-2</v>
      </c>
    </row>
    <row r="552" spans="1:9" x14ac:dyDescent="0.35">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71.253479999999996</v>
      </c>
      <c r="G552" s="35">
        <f t="shared" si="32"/>
        <v>1.5173124720555542E-3</v>
      </c>
      <c r="H552" s="35">
        <f t="shared" si="33"/>
        <v>1.8360468452679024E-2</v>
      </c>
      <c r="I552" s="35">
        <f>(Table143454[[#This Row],[Core CPI]]-F540)/F540</f>
        <v>2.7682614608418601E-2</v>
      </c>
    </row>
    <row r="553" spans="1:9" x14ac:dyDescent="0.35">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71.504620000000003</v>
      </c>
      <c r="G553" s="35">
        <f t="shared" si="32"/>
        <v>3.5245997809512097E-3</v>
      </c>
      <c r="H553" s="35">
        <f t="shared" si="33"/>
        <v>4.3124812024430748E-2</v>
      </c>
      <c r="I553" s="35">
        <f>(Table143454[[#This Row],[Core CPI]]-F541)/F541</f>
        <v>2.7269292379303742E-2</v>
      </c>
    </row>
    <row r="554" spans="1:9" x14ac:dyDescent="0.35">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71.606049999999996</v>
      </c>
      <c r="G554" s="35">
        <f t="shared" si="32"/>
        <v>1.4185097410488456E-3</v>
      </c>
      <c r="H554" s="35">
        <f t="shared" si="33"/>
        <v>1.7155550055919289E-2</v>
      </c>
      <c r="I554" s="35">
        <f>(Table143454[[#This Row],[Core CPI]]-F542)/F542</f>
        <v>2.6421821718999497E-2</v>
      </c>
    </row>
    <row r="555" spans="1:9" x14ac:dyDescent="0.35">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71.879840000000002</v>
      </c>
      <c r="G555" s="35">
        <f t="shared" si="32"/>
        <v>3.823559601458415E-3</v>
      </c>
      <c r="H555" s="35">
        <f t="shared" si="33"/>
        <v>4.6860013562531666E-2</v>
      </c>
      <c r="I555" s="35">
        <f>(Table143454[[#This Row],[Core CPI]]-F543)/F543</f>
        <v>2.673971561760569E-2</v>
      </c>
    </row>
    <row r="556" spans="1:9" x14ac:dyDescent="0.35">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71.902860000000004</v>
      </c>
      <c r="G556" s="35">
        <f t="shared" si="32"/>
        <v>3.2025669506219323E-4</v>
      </c>
      <c r="H556" s="35">
        <f t="shared" si="33"/>
        <v>3.8498568194271776E-3</v>
      </c>
      <c r="I556" s="35">
        <f>(Table143454[[#This Row],[Core CPI]]-F544)/F544</f>
        <v>2.4916744862755705E-2</v>
      </c>
    </row>
    <row r="557" spans="1:9" x14ac:dyDescent="0.35">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71.974559999999997</v>
      </c>
      <c r="G557" s="35">
        <f t="shared" si="32"/>
        <v>9.9717869358739719E-4</v>
      </c>
      <c r="H557" s="35">
        <f t="shared" si="33"/>
        <v>1.203199106935271E-2</v>
      </c>
      <c r="I557" s="35">
        <f>(Table143454[[#This Row],[Core CPI]]-F545)/F545</f>
        <v>2.4100042131000532E-2</v>
      </c>
    </row>
    <row r="558" spans="1:9" x14ac:dyDescent="0.35">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72.096850000000003</v>
      </c>
      <c r="G558" s="35">
        <f t="shared" si="32"/>
        <v>1.6990725611938373E-3</v>
      </c>
      <c r="H558" s="35">
        <f t="shared" si="33"/>
        <v>2.0580485902306656E-2</v>
      </c>
      <c r="I558" s="35">
        <f>(Table143454[[#This Row],[Core CPI]]-F546)/F546</f>
        <v>2.3961315579350301E-2</v>
      </c>
    </row>
    <row r="559" spans="1:9" x14ac:dyDescent="0.35">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72.193020000000004</v>
      </c>
      <c r="G559" s="35">
        <f t="shared" si="32"/>
        <v>1.3339001634606884E-3</v>
      </c>
      <c r="H559" s="35">
        <f t="shared" si="33"/>
        <v>1.6124758795470706E-2</v>
      </c>
      <c r="I559" s="35">
        <f>(Table143454[[#This Row],[Core CPI]]-F547)/F547</f>
        <v>2.4163952440717968E-2</v>
      </c>
    </row>
    <row r="560" spans="1:9" x14ac:dyDescent="0.35">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72.397419999999997</v>
      </c>
      <c r="G560" s="35">
        <f t="shared" si="32"/>
        <v>2.8312986490937053E-3</v>
      </c>
      <c r="H560" s="35">
        <f t="shared" si="33"/>
        <v>3.45096815859951E-2</v>
      </c>
      <c r="I560" s="35">
        <f>(Table143454[[#This Row],[Core CPI]]-F548)/F548</f>
        <v>2.6097974588996944E-2</v>
      </c>
    </row>
    <row r="561" spans="1:9" x14ac:dyDescent="0.35">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72.698869999999999</v>
      </c>
      <c r="G561" s="35">
        <f t="shared" si="32"/>
        <v>4.163822412456275E-3</v>
      </c>
      <c r="H561" s="35">
        <f t="shared" si="33"/>
        <v>5.1126170046773778E-2</v>
      </c>
      <c r="I561" s="35">
        <f>(Table143454[[#This Row],[Core CPI]]-F549)/F549</f>
        <v>2.6195783695457608E-2</v>
      </c>
    </row>
    <row r="562" spans="1:9" x14ac:dyDescent="0.35">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72.665170000000003</v>
      </c>
      <c r="G562" s="35">
        <f t="shared" si="32"/>
        <v>-4.6355603601533346E-4</v>
      </c>
      <c r="H562" s="35">
        <f t="shared" si="33"/>
        <v>-5.5485119666323079E-3</v>
      </c>
      <c r="I562" s="35">
        <f>(Table143454[[#This Row],[Core CPI]]-F550)/F550</f>
        <v>2.4529287242853137E-2</v>
      </c>
    </row>
    <row r="563" spans="1:9" x14ac:dyDescent="0.35">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72.863259999999997</v>
      </c>
      <c r="G563" s="35">
        <f t="shared" si="32"/>
        <v>2.7260653212535235E-3</v>
      </c>
      <c r="H563" s="35">
        <f t="shared" si="33"/>
        <v>3.320774271785254E-2</v>
      </c>
      <c r="I563" s="35">
        <f>(Table143454[[#This Row],[Core CPI]]-F551)/F551</f>
        <v>2.414389210397341E-2</v>
      </c>
    </row>
    <row r="564" spans="1:9" x14ac:dyDescent="0.35">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73.132279999999994</v>
      </c>
      <c r="G564" s="35">
        <f t="shared" si="32"/>
        <v>3.6921213791423213E-3</v>
      </c>
      <c r="H564" s="35">
        <f t="shared" si="33"/>
        <v>4.5216317882109669E-2</v>
      </c>
      <c r="I564" s="35">
        <f>(Table143454[[#This Row],[Core CPI]]-F552)/F552</f>
        <v>2.6367834946447503E-2</v>
      </c>
    </row>
    <row r="565" spans="1:9" x14ac:dyDescent="0.35">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73.440309999999997</v>
      </c>
      <c r="G565" s="35">
        <f t="shared" si="32"/>
        <v>4.2119567446823325E-3</v>
      </c>
      <c r="H565" s="35">
        <f t="shared" si="33"/>
        <v>5.173095499843483E-2</v>
      </c>
      <c r="I565" s="35">
        <f>(Table143454[[#This Row],[Core CPI]]-F553)/F553</f>
        <v>2.7070838219963884E-2</v>
      </c>
    </row>
    <row r="566" spans="1:9" x14ac:dyDescent="0.35">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73.490210000000005</v>
      </c>
      <c r="G566" s="35">
        <f t="shared" si="32"/>
        <v>6.794633628317559E-4</v>
      </c>
      <c r="H566" s="35">
        <f t="shared" si="33"/>
        <v>8.1840997214506217E-3</v>
      </c>
      <c r="I566" s="35">
        <f>(Table143454[[#This Row],[Core CPI]]-F554)/F554</f>
        <v>2.6312860435675597E-2</v>
      </c>
    </row>
    <row r="567" spans="1:9" x14ac:dyDescent="0.35">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73.675060000000002</v>
      </c>
      <c r="G567" s="35">
        <f t="shared" si="32"/>
        <v>2.5153010176457435E-3</v>
      </c>
      <c r="H567" s="35">
        <f t="shared" si="33"/>
        <v>3.0604697897004263E-2</v>
      </c>
      <c r="I567" s="35">
        <f>(Table143454[[#This Row],[Core CPI]]-F555)/F555</f>
        <v>2.4975292098591211E-2</v>
      </c>
    </row>
    <row r="568" spans="1:9" x14ac:dyDescent="0.35">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73.755009999999999</v>
      </c>
      <c r="G568" s="35">
        <f t="shared" si="32"/>
        <v>1.085170476956554E-3</v>
      </c>
      <c r="H568" s="35">
        <f t="shared" si="33"/>
        <v>1.3100048814814524E-2</v>
      </c>
      <c r="I568" s="35">
        <f>(Table143454[[#This Row],[Core CPI]]-F556)/F556</f>
        <v>2.5759058819078886E-2</v>
      </c>
    </row>
    <row r="569" spans="1:9" x14ac:dyDescent="0.35">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73.835369999999998</v>
      </c>
      <c r="G569" s="35">
        <f t="shared" si="32"/>
        <v>1.0895531029011529E-3</v>
      </c>
      <c r="H569" s="35">
        <f t="shared" si="33"/>
        <v>1.3153272803337002E-2</v>
      </c>
      <c r="I569" s="35">
        <f>(Table143454[[#This Row],[Core CPI]]-F557)/F557</f>
        <v>2.5853718313804223E-2</v>
      </c>
    </row>
    <row r="570" spans="1:9" x14ac:dyDescent="0.35">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73.952370000000002</v>
      </c>
      <c r="G570" s="35">
        <f t="shared" si="32"/>
        <v>1.5846064020537121E-3</v>
      </c>
      <c r="H570" s="35">
        <f t="shared" si="33"/>
        <v>1.918187982562114E-2</v>
      </c>
      <c r="I570" s="35">
        <f>(Table143454[[#This Row],[Core CPI]]-F558)/F558</f>
        <v>2.5736491954918953E-2</v>
      </c>
    </row>
    <row r="571" spans="1:9" x14ac:dyDescent="0.35">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73.974530000000001</v>
      </c>
      <c r="G571" s="35">
        <f t="shared" si="32"/>
        <v>2.9965233027695604E-4</v>
      </c>
      <c r="H571" s="35">
        <f t="shared" si="33"/>
        <v>3.6017601269457966E-3</v>
      </c>
      <c r="I571" s="35">
        <f>(Table143454[[#This Row],[Core CPI]]-F559)/F559</f>
        <v>2.4677039414613727E-2</v>
      </c>
    </row>
    <row r="572" spans="1:9" x14ac:dyDescent="0.35">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74.12397</v>
      </c>
      <c r="G572" s="35">
        <f t="shared" si="32"/>
        <v>2.0201547748934789E-3</v>
      </c>
      <c r="H572" s="35">
        <f t="shared" si="33"/>
        <v>2.4513026986911157E-2</v>
      </c>
      <c r="I572" s="35">
        <f>(Table143454[[#This Row],[Core CPI]]-F560)/F560</f>
        <v>2.3848225530688844E-2</v>
      </c>
    </row>
    <row r="573" spans="1:9" x14ac:dyDescent="0.35">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74.221050000000005</v>
      </c>
      <c r="G573" s="35">
        <f t="shared" si="32"/>
        <v>1.3096977941144949E-3</v>
      </c>
      <c r="H573" s="35">
        <f t="shared" si="33"/>
        <v>1.5830079575258393E-2</v>
      </c>
      <c r="I573" s="35">
        <f>(Table143454[[#This Row],[Core CPI]]-F561)/F561</f>
        <v>2.0938152133588954E-2</v>
      </c>
    </row>
    <row r="574" spans="1:9" x14ac:dyDescent="0.35">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74.28398</v>
      </c>
      <c r="G574" s="35">
        <f t="shared" si="32"/>
        <v>8.4787267224051277E-4</v>
      </c>
      <c r="H574" s="35">
        <f t="shared" si="33"/>
        <v>1.0222053031180289E-2</v>
      </c>
      <c r="I574" s="35">
        <f>(Table143454[[#This Row],[Core CPI]]-F562)/F562</f>
        <v>2.2277660672919312E-2</v>
      </c>
    </row>
    <row r="575" spans="1:9" x14ac:dyDescent="0.35">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74.397850000000005</v>
      </c>
      <c r="G575" s="35">
        <f t="shared" si="32"/>
        <v>1.5329011719620311E-3</v>
      </c>
      <c r="H575" s="35">
        <f t="shared" si="33"/>
        <v>1.8550695117336202E-2</v>
      </c>
      <c r="I575" s="35">
        <f>(Table143454[[#This Row],[Core CPI]]-F563)/F563</f>
        <v>2.1061231682469445E-2</v>
      </c>
    </row>
    <row r="576" spans="1:9" x14ac:dyDescent="0.35">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74.536510000000007</v>
      </c>
      <c r="G576" s="35">
        <f t="shared" si="32"/>
        <v>1.8637635361775651E-3</v>
      </c>
      <c r="H576" s="35">
        <f t="shared" si="33"/>
        <v>2.2595851262025235E-2</v>
      </c>
      <c r="I576" s="35">
        <f>(Table143454[[#This Row],[Core CPI]]-F564)/F564</f>
        <v>1.9201233709656155E-2</v>
      </c>
    </row>
    <row r="577" spans="1:9" x14ac:dyDescent="0.35">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74.665940000000006</v>
      </c>
      <c r="G577" s="35">
        <f t="shared" si="32"/>
        <v>1.7364644521187245E-3</v>
      </c>
      <c r="H577" s="35">
        <f t="shared" si="33"/>
        <v>2.1037740233744051E-2</v>
      </c>
      <c r="I577" s="35">
        <f>(Table143454[[#This Row],[Core CPI]]-F565)/F565</f>
        <v>1.6688791210167954E-2</v>
      </c>
    </row>
    <row r="578" spans="1:9" x14ac:dyDescent="0.35">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74.806129999999996</v>
      </c>
      <c r="G578" s="35">
        <f t="shared" si="32"/>
        <v>1.877562915567621E-3</v>
      </c>
      <c r="H578" s="35">
        <f t="shared" si="33"/>
        <v>2.2764883312198503E-2</v>
      </c>
      <c r="I578" s="35">
        <f>(Table143454[[#This Row],[Core CPI]]-F566)/F566</f>
        <v>1.7906058507656888E-2</v>
      </c>
    </row>
    <row r="579" spans="1:9" x14ac:dyDescent="0.35">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74.942629999999994</v>
      </c>
      <c r="G579" s="35">
        <f t="shared" ref="G579:G642" si="36">(F579/F578)-1</f>
        <v>1.8247167712057699E-3</v>
      </c>
      <c r="H579" s="35">
        <f t="shared" ref="H579:H642" si="37">((1+G579)^12)-1</f>
        <v>2.2117696407097931E-2</v>
      </c>
      <c r="I579" s="35">
        <f>(Table143454[[#This Row],[Core CPI]]-F567)/F567</f>
        <v>1.7204872313643069E-2</v>
      </c>
    </row>
    <row r="580" spans="1:9" x14ac:dyDescent="0.35">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74.980080000000001</v>
      </c>
      <c r="G580" s="35">
        <f t="shared" si="36"/>
        <v>4.9971558243955272E-4</v>
      </c>
      <c r="H580" s="35">
        <f t="shared" si="37"/>
        <v>6.0130957070434476E-3</v>
      </c>
      <c r="I580" s="35">
        <f>(Table143454[[#This Row],[Core CPI]]-F568)/F568</f>
        <v>1.6609990290829088E-2</v>
      </c>
    </row>
    <row r="581" spans="1:9" x14ac:dyDescent="0.35">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75.233649999999997</v>
      </c>
      <c r="G581" s="35">
        <f t="shared" si="36"/>
        <v>3.3818315477924799E-3</v>
      </c>
      <c r="H581" s="35">
        <f t="shared" si="37"/>
        <v>4.134538045740288E-2</v>
      </c>
      <c r="I581" s="35">
        <f>(Table143454[[#This Row],[Core CPI]]-F569)/F569</f>
        <v>1.8937807178321175E-2</v>
      </c>
    </row>
    <row r="582" spans="1:9" x14ac:dyDescent="0.35">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75.322819999999993</v>
      </c>
      <c r="G582" s="35">
        <f t="shared" si="36"/>
        <v>1.185240912809471E-3</v>
      </c>
      <c r="H582" s="35">
        <f t="shared" si="37"/>
        <v>1.431597477461688E-2</v>
      </c>
      <c r="I582" s="35">
        <f>(Table143454[[#This Row],[Core CPI]]-F570)/F570</f>
        <v>1.8531522383934296E-2</v>
      </c>
    </row>
    <row r="583" spans="1:9" x14ac:dyDescent="0.35">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75.371729999999999</v>
      </c>
      <c r="G583" s="35">
        <f t="shared" si="36"/>
        <v>6.4933840767000817E-4</v>
      </c>
      <c r="H583" s="35">
        <f t="shared" si="37"/>
        <v>7.8199494776027834E-3</v>
      </c>
      <c r="I583" s="35">
        <f>(Table143454[[#This Row],[Core CPI]]-F571)/F571</f>
        <v>1.8887581982609394E-2</v>
      </c>
    </row>
    <row r="584" spans="1:9" x14ac:dyDescent="0.35">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75.672250000000005</v>
      </c>
      <c r="G584" s="35">
        <f t="shared" si="36"/>
        <v>3.9871713174157719E-3</v>
      </c>
      <c r="H584" s="35">
        <f t="shared" si="37"/>
        <v>4.8909363993630661E-2</v>
      </c>
      <c r="I584" s="35">
        <f>(Table143454[[#This Row],[Core CPI]]-F572)/F572</f>
        <v>2.0887710142886377E-2</v>
      </c>
    </row>
    <row r="585" spans="1:9" x14ac:dyDescent="0.35">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75.793970000000002</v>
      </c>
      <c r="G585" s="35">
        <f t="shared" si="36"/>
        <v>1.6085156712004611E-3</v>
      </c>
      <c r="H585" s="35">
        <f t="shared" si="37"/>
        <v>1.9473870257246562E-2</v>
      </c>
      <c r="I585" s="35">
        <f>(Table143454[[#This Row],[Core CPI]]-F573)/F573</f>
        <v>2.1192370628009119E-2</v>
      </c>
    </row>
    <row r="586" spans="1:9" x14ac:dyDescent="0.35">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75.751149999999996</v>
      </c>
      <c r="G586" s="35">
        <f t="shared" si="36"/>
        <v>-5.6495259451383451E-4</v>
      </c>
      <c r="H586" s="35">
        <f t="shared" si="37"/>
        <v>-6.758405438819115E-3</v>
      </c>
      <c r="I586" s="35">
        <f>(Table143454[[#This Row],[Core CPI]]-F574)/F574</f>
        <v>1.9750826490449163E-2</v>
      </c>
    </row>
    <row r="587" spans="1:9" x14ac:dyDescent="0.35">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75.879090000000005</v>
      </c>
      <c r="G587" s="35">
        <f t="shared" si="36"/>
        <v>1.68895125684565E-3</v>
      </c>
      <c r="H587" s="35">
        <f t="shared" si="37"/>
        <v>2.045674776217421E-2</v>
      </c>
      <c r="I587" s="35">
        <f>(Table143454[[#This Row],[Core CPI]]-F575)/F575</f>
        <v>1.990971513289698E-2</v>
      </c>
    </row>
    <row r="588" spans="1:9" x14ac:dyDescent="0.35">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76.135540000000006</v>
      </c>
      <c r="G588" s="35">
        <f t="shared" si="36"/>
        <v>3.3797189713267173E-3</v>
      </c>
      <c r="H588" s="35">
        <f t="shared" si="37"/>
        <v>4.1319070677424463E-2</v>
      </c>
      <c r="I588" s="35">
        <f>(Table143454[[#This Row],[Core CPI]]-F576)/F576</f>
        <v>2.1452976534586859E-2</v>
      </c>
    </row>
    <row r="589" spans="1:9" x14ac:dyDescent="0.35">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76.157160000000005</v>
      </c>
      <c r="G589" s="35">
        <f t="shared" si="36"/>
        <v>2.8396725103685405E-4</v>
      </c>
      <c r="H589" s="35">
        <f t="shared" si="37"/>
        <v>3.4129341216837528E-3</v>
      </c>
      <c r="I589" s="35">
        <f>(Table143454[[#This Row],[Core CPI]]-F577)/F577</f>
        <v>1.9971890797865779E-2</v>
      </c>
    </row>
    <row r="590" spans="1:9" x14ac:dyDescent="0.35">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76.246679999999998</v>
      </c>
      <c r="G590" s="35">
        <f t="shared" si="36"/>
        <v>1.175464001020865E-3</v>
      </c>
      <c r="H590" s="35">
        <f t="shared" si="37"/>
        <v>1.4197119504354649E-2</v>
      </c>
      <c r="I590" s="35">
        <f>(Table143454[[#This Row],[Core CPI]]-F578)/F578</f>
        <v>1.9257111683227055E-2</v>
      </c>
    </row>
    <row r="591" spans="1:9" x14ac:dyDescent="0.35">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76.438580000000002</v>
      </c>
      <c r="G591" s="35">
        <f t="shared" si="36"/>
        <v>2.5168308967682407E-3</v>
      </c>
      <c r="H591" s="35">
        <f t="shared" si="37"/>
        <v>3.0623570991624716E-2</v>
      </c>
      <c r="I591" s="35">
        <f>(Table143454[[#This Row],[Core CPI]]-F579)/F579</f>
        <v>1.9961269040064483E-2</v>
      </c>
    </row>
    <row r="592" spans="1:9" x14ac:dyDescent="0.35">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76.580659999999995</v>
      </c>
      <c r="G592" s="35">
        <f t="shared" si="36"/>
        <v>1.8587472451736531E-3</v>
      </c>
      <c r="H592" s="35">
        <f t="shared" si="37"/>
        <v>2.2534411805322119E-2</v>
      </c>
      <c r="I592" s="35">
        <f>(Table143454[[#This Row],[Core CPI]]-F580)/F580</f>
        <v>2.1346736359843757E-2</v>
      </c>
    </row>
    <row r="593" spans="1:9" x14ac:dyDescent="0.35">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76.69041</v>
      </c>
      <c r="G593" s="35">
        <f t="shared" si="36"/>
        <v>1.4331294611460432E-3</v>
      </c>
      <c r="H593" s="35">
        <f t="shared" si="37"/>
        <v>1.7333757948503559E-2</v>
      </c>
      <c r="I593" s="35">
        <f>(Table143454[[#This Row],[Core CPI]]-F581)/F581</f>
        <v>1.9363144018667216E-2</v>
      </c>
    </row>
    <row r="594" spans="1:9" x14ac:dyDescent="0.35">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76.820719999999994</v>
      </c>
      <c r="G594" s="35">
        <f t="shared" si="36"/>
        <v>1.6991694267900481E-3</v>
      </c>
      <c r="H594" s="35">
        <f t="shared" si="37"/>
        <v>2.0581670200377378E-2</v>
      </c>
      <c r="I594" s="35">
        <f>(Table143454[[#This Row],[Core CPI]]-F582)/F582</f>
        <v>1.9886403615796668E-2</v>
      </c>
    </row>
    <row r="595" spans="1:9" x14ac:dyDescent="0.35">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76.780060000000006</v>
      </c>
      <c r="G595" s="35">
        <f t="shared" si="36"/>
        <v>-5.292842868432901E-4</v>
      </c>
      <c r="H595" s="35">
        <f t="shared" si="37"/>
        <v>-6.3329546612195253E-3</v>
      </c>
      <c r="I595" s="35">
        <f>(Table143454[[#This Row],[Core CPI]]-F583)/F583</f>
        <v>1.868512239270621E-2</v>
      </c>
    </row>
    <row r="596" spans="1:9" x14ac:dyDescent="0.35">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77.107039999999998</v>
      </c>
      <c r="G596" s="35">
        <f t="shared" si="36"/>
        <v>4.2586577817207427E-3</v>
      </c>
      <c r="H596" s="35">
        <f t="shared" si="37"/>
        <v>5.2318036133438328E-2</v>
      </c>
      <c r="I596" s="35">
        <f>(Table143454[[#This Row],[Core CPI]]-F584)/F584</f>
        <v>1.8960583304976294E-2</v>
      </c>
    </row>
    <row r="597" spans="1:9" x14ac:dyDescent="0.35">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77.248069999999998</v>
      </c>
      <c r="G597" s="35">
        <f t="shared" si="36"/>
        <v>1.8290158719618255E-3</v>
      </c>
      <c r="H597" s="35">
        <f t="shared" si="37"/>
        <v>2.2170331850415392E-2</v>
      </c>
      <c r="I597" s="35">
        <f>(Table143454[[#This Row],[Core CPI]]-F585)/F585</f>
        <v>1.9184903495621047E-2</v>
      </c>
    </row>
    <row r="598" spans="1:9" x14ac:dyDescent="0.35">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77.270759999999996</v>
      </c>
      <c r="G598" s="35">
        <f t="shared" si="36"/>
        <v>2.9372902132052126E-4</v>
      </c>
      <c r="H598" s="35">
        <f t="shared" si="37"/>
        <v>3.530448099474448E-3</v>
      </c>
      <c r="I598" s="35">
        <f>(Table143454[[#This Row],[Core CPI]]-F586)/F586</f>
        <v>2.0060553536150938E-2</v>
      </c>
    </row>
    <row r="599" spans="1:9" x14ac:dyDescent="0.35">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77.719920000000002</v>
      </c>
      <c r="G599" s="35">
        <f t="shared" si="36"/>
        <v>5.8128068107523578E-3</v>
      </c>
      <c r="H599" s="35">
        <f t="shared" si="37"/>
        <v>7.2027517480861114E-2</v>
      </c>
      <c r="I599" s="35">
        <f>(Table143454[[#This Row],[Core CPI]]-F587)/F587</f>
        <v>2.4260043181856778E-2</v>
      </c>
    </row>
    <row r="600" spans="1:9" x14ac:dyDescent="0.35">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77.949190000000002</v>
      </c>
      <c r="G600" s="35">
        <f t="shared" si="36"/>
        <v>2.9499515696875811E-3</v>
      </c>
      <c r="H600" s="35">
        <f t="shared" si="37"/>
        <v>3.5979450285143155E-2</v>
      </c>
      <c r="I600" s="35">
        <f>(Table143454[[#This Row],[Core CPI]]-F588)/F588</f>
        <v>2.3821332323905438E-2</v>
      </c>
    </row>
    <row r="601" spans="1:9" x14ac:dyDescent="0.35">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77.985569999999996</v>
      </c>
      <c r="G601" s="35">
        <f t="shared" si="36"/>
        <v>4.6671427887834405E-4</v>
      </c>
      <c r="H601" s="35">
        <f t="shared" si="37"/>
        <v>5.6149700018013338E-3</v>
      </c>
      <c r="I601" s="35">
        <f>(Table143454[[#This Row],[Core CPI]]-F589)/F589</f>
        <v>2.4008379514151933E-2</v>
      </c>
    </row>
    <row r="602" spans="1:9" x14ac:dyDescent="0.35">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78.311070000000001</v>
      </c>
      <c r="G602" s="35">
        <f t="shared" si="36"/>
        <v>4.1738490851577215E-3</v>
      </c>
      <c r="H602" s="35">
        <f t="shared" si="37"/>
        <v>5.1252124119085307E-2</v>
      </c>
      <c r="I602" s="35">
        <f>(Table143454[[#This Row],[Core CPI]]-F590)/F590</f>
        <v>2.7075146091606914E-2</v>
      </c>
    </row>
    <row r="603" spans="1:9" x14ac:dyDescent="0.35">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78.473740000000006</v>
      </c>
      <c r="G603" s="35">
        <f t="shared" si="36"/>
        <v>2.0772286727790412E-3</v>
      </c>
      <c r="H603" s="35">
        <f t="shared" si="37"/>
        <v>2.5213507189212114E-2</v>
      </c>
      <c r="I603" s="35">
        <f>(Table143454[[#This Row],[Core CPI]]-F591)/F591</f>
        <v>2.6624775080855829E-2</v>
      </c>
    </row>
    <row r="604" spans="1:9" x14ac:dyDescent="0.35">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78.623009999999994</v>
      </c>
      <c r="G604" s="35">
        <f t="shared" si="36"/>
        <v>1.9021649790107453E-3</v>
      </c>
      <c r="H604" s="35">
        <f t="shared" si="37"/>
        <v>2.3066303678483724E-2</v>
      </c>
      <c r="I604" s="35">
        <f>(Table143454[[#This Row],[Core CPI]]-F592)/F592</f>
        <v>2.6669266104522985E-2</v>
      </c>
    </row>
    <row r="605" spans="1:9" x14ac:dyDescent="0.35">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78.826059999999998</v>
      </c>
      <c r="G605" s="35">
        <f t="shared" si="36"/>
        <v>2.5825772887606568E-3</v>
      </c>
      <c r="H605" s="35">
        <f t="shared" si="37"/>
        <v>3.1434939642873916E-2</v>
      </c>
      <c r="I605" s="35">
        <f>(Table143454[[#This Row],[Core CPI]]-F593)/F593</f>
        <v>2.7847680042393803E-2</v>
      </c>
    </row>
    <row r="606" spans="1:9" x14ac:dyDescent="0.35">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78.928889999999996</v>
      </c>
      <c r="G606" s="35">
        <f t="shared" si="36"/>
        <v>1.3045178206292363E-3</v>
      </c>
      <c r="H606" s="35">
        <f t="shared" si="37"/>
        <v>1.5767020285908817E-2</v>
      </c>
      <c r="I606" s="35">
        <f>(Table143454[[#This Row],[Core CPI]]-F594)/F594</f>
        <v>2.7442726389442867E-2</v>
      </c>
    </row>
    <row r="607" spans="1:9" x14ac:dyDescent="0.35">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78.913790000000006</v>
      </c>
      <c r="G607" s="35">
        <f t="shared" si="36"/>
        <v>-1.9131144502337882E-4</v>
      </c>
      <c r="H607" s="35">
        <f t="shared" si="37"/>
        <v>-2.2933232755065758E-3</v>
      </c>
      <c r="I607" s="35">
        <f>(Table143454[[#This Row],[Core CPI]]-F595)/F595</f>
        <v>2.779015801758946E-2</v>
      </c>
    </row>
    <row r="608" spans="1:9" x14ac:dyDescent="0.35">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79.111840000000001</v>
      </c>
      <c r="G608" s="35">
        <f t="shared" si="36"/>
        <v>2.5097007759986578E-3</v>
      </c>
      <c r="H608" s="35">
        <f t="shared" si="37"/>
        <v>3.0535614167065628E-2</v>
      </c>
      <c r="I608" s="35">
        <f>(Table143454[[#This Row],[Core CPI]]-F596)/F596</f>
        <v>2.6000219953975709E-2</v>
      </c>
    </row>
    <row r="609" spans="1:9" x14ac:dyDescent="0.35">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79.27422</v>
      </c>
      <c r="G609" s="35">
        <f t="shared" si="36"/>
        <v>2.0525372687576482E-3</v>
      </c>
      <c r="H609" s="35">
        <f t="shared" si="37"/>
        <v>2.4910410423098384E-2</v>
      </c>
      <c r="I609" s="35">
        <f>(Table143454[[#This Row],[Core CPI]]-F597)/F597</f>
        <v>2.622913426833837E-2</v>
      </c>
    </row>
    <row r="610" spans="1:9" x14ac:dyDescent="0.35">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79.317869999999999</v>
      </c>
      <c r="G610" s="35">
        <f t="shared" si="36"/>
        <v>5.5062036561182026E-4</v>
      </c>
      <c r="H610" s="35">
        <f t="shared" si="37"/>
        <v>6.6274912233219574E-3</v>
      </c>
      <c r="I610" s="35">
        <f>(Table143454[[#This Row],[Core CPI]]-F598)/F598</f>
        <v>2.6492686237329664E-2</v>
      </c>
    </row>
    <row r="611" spans="1:9" x14ac:dyDescent="0.35">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79.671459999999996</v>
      </c>
      <c r="G611" s="35">
        <f t="shared" si="36"/>
        <v>4.4578857198258603E-3</v>
      </c>
      <c r="H611" s="35">
        <f t="shared" si="37"/>
        <v>5.4825916597752711E-2</v>
      </c>
      <c r="I611" s="35">
        <f>(Table143454[[#This Row],[Core CPI]]-F599)/F599</f>
        <v>2.5109907472884611E-2</v>
      </c>
    </row>
    <row r="612" spans="1:9" x14ac:dyDescent="0.35">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79.957890000000006</v>
      </c>
      <c r="G612" s="35">
        <f t="shared" si="36"/>
        <v>3.5951393384783259E-3</v>
      </c>
      <c r="H612" s="35">
        <f t="shared" si="37"/>
        <v>4.4005029805205487E-2</v>
      </c>
      <c r="I612" s="35">
        <f>(Table143454[[#This Row],[Core CPI]]-F600)/F600</f>
        <v>2.576935052179509E-2</v>
      </c>
    </row>
    <row r="613" spans="1:9" x14ac:dyDescent="0.35">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80.189170000000004</v>
      </c>
      <c r="G613" s="35">
        <f t="shared" si="36"/>
        <v>2.892522551558141E-3</v>
      </c>
      <c r="H613" s="35">
        <f t="shared" si="37"/>
        <v>3.5267830935863387E-2</v>
      </c>
      <c r="I613" s="35">
        <f>(Table143454[[#This Row],[Core CPI]]-F601)/F601</f>
        <v>2.8256509505540688E-2</v>
      </c>
    </row>
    <row r="614" spans="1:9" x14ac:dyDescent="0.35">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80.273319999999998</v>
      </c>
      <c r="G614" s="35">
        <f t="shared" si="36"/>
        <v>1.0493935777111663E-3</v>
      </c>
      <c r="H614" s="35">
        <f t="shared" si="37"/>
        <v>1.2665658744464237E-2</v>
      </c>
      <c r="I614" s="35">
        <f>(Table143454[[#This Row],[Core CPI]]-F602)/F602</f>
        <v>2.5057121553823711E-2</v>
      </c>
    </row>
    <row r="615" spans="1:9" x14ac:dyDescent="0.35">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80.467479999999995</v>
      </c>
      <c r="G615" s="35">
        <f t="shared" si="36"/>
        <v>2.4187363871333023E-3</v>
      </c>
      <c r="H615" s="35">
        <f t="shared" si="37"/>
        <v>2.9414085575794724E-2</v>
      </c>
      <c r="I615" s="35">
        <f>(Table143454[[#This Row],[Core CPI]]-F603)/F603</f>
        <v>2.5406460810966678E-2</v>
      </c>
    </row>
    <row r="616" spans="1:9" x14ac:dyDescent="0.35">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80.618859999999998</v>
      </c>
      <c r="G616" s="35">
        <f t="shared" si="36"/>
        <v>1.8812568754482673E-3</v>
      </c>
      <c r="H616" s="35">
        <f t="shared" si="37"/>
        <v>2.2810135896359274E-2</v>
      </c>
      <c r="I616" s="35">
        <f>(Table143454[[#This Row],[Core CPI]]-F604)/F604</f>
        <v>2.5385062210159653E-2</v>
      </c>
    </row>
    <row r="617" spans="1:9" x14ac:dyDescent="0.35">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80.816839999999999</v>
      </c>
      <c r="G617" s="35">
        <f t="shared" si="36"/>
        <v>2.4557529094308972E-3</v>
      </c>
      <c r="H617" s="35">
        <f t="shared" si="37"/>
        <v>2.9870338854384393E-2</v>
      </c>
      <c r="I617" s="35">
        <f>(Table143454[[#This Row],[Core CPI]]-F605)/F605</f>
        <v>2.5255353369177665E-2</v>
      </c>
    </row>
    <row r="618" spans="1:9" x14ac:dyDescent="0.35">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81.027889999999999</v>
      </c>
      <c r="G618" s="35">
        <f t="shared" si="36"/>
        <v>2.6114606807194907E-3</v>
      </c>
      <c r="H618" s="35">
        <f t="shared" si="37"/>
        <v>3.1791571340148872E-2</v>
      </c>
      <c r="I618" s="35">
        <f>(Table143454[[#This Row],[Core CPI]]-F606)/F606</f>
        <v>2.6593557821477078E-2</v>
      </c>
    </row>
    <row r="619" spans="1:9" x14ac:dyDescent="0.35">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81.102419999999995</v>
      </c>
      <c r="G619" s="35">
        <f t="shared" si="36"/>
        <v>9.198067480220562E-4</v>
      </c>
      <c r="H619" s="35">
        <f t="shared" si="37"/>
        <v>1.1093691468474498E-2</v>
      </c>
      <c r="I619" s="35">
        <f>(Table143454[[#This Row],[Core CPI]]-F607)/F607</f>
        <v>2.7734442864802072E-2</v>
      </c>
    </row>
    <row r="620" spans="1:9" x14ac:dyDescent="0.35">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81.270070000000004</v>
      </c>
      <c r="G620" s="35">
        <f t="shared" si="36"/>
        <v>2.0671393036115759E-3</v>
      </c>
      <c r="H620" s="35">
        <f t="shared" si="37"/>
        <v>2.508964625947474E-2</v>
      </c>
      <c r="I620" s="35">
        <f>(Table143454[[#This Row],[Core CPI]]-F608)/F608</f>
        <v>2.7280745840319264E-2</v>
      </c>
    </row>
    <row r="621" spans="1:9" x14ac:dyDescent="0.35">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81.584800000000001</v>
      </c>
      <c r="G621" s="35">
        <f t="shared" si="36"/>
        <v>3.8726433975015961E-3</v>
      </c>
      <c r="H621" s="35">
        <f t="shared" si="37"/>
        <v>4.7474436493114114E-2</v>
      </c>
      <c r="I621" s="35">
        <f>(Table143454[[#This Row],[Core CPI]]-F609)/F609</f>
        <v>2.9146675930712428E-2</v>
      </c>
    </row>
    <row r="622" spans="1:9" x14ac:dyDescent="0.35">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81.622169999999997</v>
      </c>
      <c r="G622" s="35">
        <f t="shared" si="36"/>
        <v>4.5805100950180311E-4</v>
      </c>
      <c r="H622" s="35">
        <f t="shared" si="37"/>
        <v>5.5104807867134564E-3</v>
      </c>
      <c r="I622" s="35">
        <f>(Table143454[[#This Row],[Core CPI]]-F610)/F610</f>
        <v>2.9051460912906484E-2</v>
      </c>
    </row>
    <row r="623" spans="1:9" x14ac:dyDescent="0.35">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81.867519999999999</v>
      </c>
      <c r="G623" s="35">
        <f t="shared" si="36"/>
        <v>3.00592351318274E-3</v>
      </c>
      <c r="H623" s="35">
        <f t="shared" si="37"/>
        <v>3.6673446048067104E-2</v>
      </c>
      <c r="I623" s="35">
        <f>(Table143454[[#This Row],[Core CPI]]-F611)/F611</f>
        <v>2.7563948244452942E-2</v>
      </c>
    </row>
    <row r="624" spans="1:9" x14ac:dyDescent="0.35">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81.955060000000003</v>
      </c>
      <c r="G624" s="35">
        <f t="shared" si="36"/>
        <v>1.0692885285887854E-3</v>
      </c>
      <c r="H624" s="35">
        <f t="shared" si="37"/>
        <v>1.2907194908686082E-2</v>
      </c>
      <c r="I624" s="35">
        <f>(Table143454[[#This Row],[Core CPI]]-F612)/F612</f>
        <v>2.4977772675091811E-2</v>
      </c>
    </row>
    <row r="625" spans="1:9" x14ac:dyDescent="0.35">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82.184070000000006</v>
      </c>
      <c r="G625" s="35">
        <f t="shared" si="36"/>
        <v>2.7943363106561758E-3</v>
      </c>
      <c r="H625" s="35">
        <f t="shared" si="37"/>
        <v>3.4052215053864687E-2</v>
      </c>
      <c r="I625" s="35">
        <f>(Table143454[[#This Row],[Core CPI]]-F613)/F613</f>
        <v>2.487742422075202E-2</v>
      </c>
    </row>
    <row r="626" spans="1:9" x14ac:dyDescent="0.35">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82.414169999999999</v>
      </c>
      <c r="G626" s="35">
        <f t="shared" si="36"/>
        <v>2.7998126644250831E-3</v>
      </c>
      <c r="H626" s="35">
        <f t="shared" si="37"/>
        <v>3.411998176094122E-2</v>
      </c>
      <c r="I626" s="35">
        <f>(Table143454[[#This Row],[Core CPI]]-F614)/F614</f>
        <v>2.6669508623786836E-2</v>
      </c>
    </row>
    <row r="627" spans="1:9" x14ac:dyDescent="0.35">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82.700869999999995</v>
      </c>
      <c r="G627" s="35">
        <f t="shared" si="36"/>
        <v>3.4787707016887826E-3</v>
      </c>
      <c r="H627" s="35">
        <f t="shared" si="37"/>
        <v>4.2553305029839672E-2</v>
      </c>
      <c r="I627" s="35">
        <f>(Table143454[[#This Row],[Core CPI]]-F615)/F615</f>
        <v>2.7755187561484467E-2</v>
      </c>
    </row>
    <row r="628" spans="1:9" x14ac:dyDescent="0.35">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82.778300000000002</v>
      </c>
      <c r="G628" s="35">
        <f t="shared" si="36"/>
        <v>9.3626584581274486E-4</v>
      </c>
      <c r="H628" s="35">
        <f t="shared" si="37"/>
        <v>1.1293226276586354E-2</v>
      </c>
      <c r="I628" s="35">
        <f>(Table143454[[#This Row],[Core CPI]]-F616)/F616</f>
        <v>2.6785791810998116E-2</v>
      </c>
    </row>
    <row r="629" spans="1:9" x14ac:dyDescent="0.35">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82.931830000000005</v>
      </c>
      <c r="G629" s="35">
        <f t="shared" si="36"/>
        <v>1.8547131313400023E-3</v>
      </c>
      <c r="H629" s="35">
        <f t="shared" si="37"/>
        <v>2.2485004494672278E-2</v>
      </c>
      <c r="I629" s="35">
        <f>(Table143454[[#This Row],[Core CPI]]-F617)/F617</f>
        <v>2.6170164535015302E-2</v>
      </c>
    </row>
    <row r="630" spans="1:9" x14ac:dyDescent="0.35">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83.126009999999994</v>
      </c>
      <c r="G630" s="35">
        <f t="shared" si="36"/>
        <v>2.3414411571527349E-3</v>
      </c>
      <c r="H630" s="35">
        <f t="shared" si="37"/>
        <v>2.8461967751483463E-2</v>
      </c>
      <c r="I630" s="35">
        <f>(Table143454[[#This Row],[Core CPI]]-F618)/F618</f>
        <v>2.5893800270499385E-2</v>
      </c>
    </row>
    <row r="631" spans="1:9" x14ac:dyDescent="0.35">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83.135120000000001</v>
      </c>
      <c r="G631" s="35">
        <f t="shared" si="36"/>
        <v>1.0959265337051605E-4</v>
      </c>
      <c r="H631" s="35">
        <f t="shared" si="37"/>
        <v>1.3159048263753359E-3</v>
      </c>
      <c r="I631" s="35">
        <f>(Table143454[[#This Row],[Core CPI]]-F619)/F619</f>
        <v>2.5063370488821488E-2</v>
      </c>
    </row>
    <row r="632" spans="1:9" x14ac:dyDescent="0.35">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83.198679999999996</v>
      </c>
      <c r="G632" s="35">
        <f t="shared" si="36"/>
        <v>7.6453850069624352E-4</v>
      </c>
      <c r="H632" s="35">
        <f t="shared" si="37"/>
        <v>9.2131387547640387E-3</v>
      </c>
      <c r="I632" s="35">
        <f>(Table143454[[#This Row],[Core CPI]]-F620)/F620</f>
        <v>2.3730876569935177E-2</v>
      </c>
    </row>
    <row r="633" spans="1:9" x14ac:dyDescent="0.35">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83.412670000000006</v>
      </c>
      <c r="G633" s="35">
        <f t="shared" si="36"/>
        <v>2.5720359986480812E-3</v>
      </c>
      <c r="H633" s="35">
        <f t="shared" si="37"/>
        <v>3.1304811394589738E-2</v>
      </c>
      <c r="I633" s="35">
        <f>(Table143454[[#This Row],[Core CPI]]-F621)/F621</f>
        <v>2.240454104195885E-2</v>
      </c>
    </row>
    <row r="634" spans="1:9" x14ac:dyDescent="0.35">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83.463470000000001</v>
      </c>
      <c r="G634" s="35">
        <f t="shared" si="36"/>
        <v>6.0902018841968442E-4</v>
      </c>
      <c r="H634" s="35">
        <f t="shared" si="37"/>
        <v>7.3327717937115011E-3</v>
      </c>
      <c r="I634" s="35">
        <f>(Table143454[[#This Row],[Core CPI]]-F622)/F622</f>
        <v>2.2558821947517495E-2</v>
      </c>
    </row>
    <row r="635" spans="1:9" x14ac:dyDescent="0.35">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83.556010000000001</v>
      </c>
      <c r="G635" s="35">
        <f t="shared" si="36"/>
        <v>1.1087485339393854E-3</v>
      </c>
      <c r="H635" s="35">
        <f t="shared" si="37"/>
        <v>1.3386418357515417E-2</v>
      </c>
      <c r="I635" s="35">
        <f>(Table143454[[#This Row],[Core CPI]]-F623)/F623</f>
        <v>2.0624662869963589E-2</v>
      </c>
    </row>
    <row r="636" spans="1:9" x14ac:dyDescent="0.35">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83.788960000000003</v>
      </c>
      <c r="G636" s="35">
        <f t="shared" si="36"/>
        <v>2.7879502623449071E-3</v>
      </c>
      <c r="H636" s="35">
        <f t="shared" si="37"/>
        <v>3.397319654475961E-2</v>
      </c>
      <c r="I636" s="35">
        <f>(Table143454[[#This Row],[Core CPI]]-F624)/F624</f>
        <v>2.2376897777879729E-2</v>
      </c>
    </row>
    <row r="637" spans="1:9" x14ac:dyDescent="0.35">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84.099299999999999</v>
      </c>
      <c r="G637" s="35">
        <f t="shared" si="36"/>
        <v>3.7038292395561445E-3</v>
      </c>
      <c r="H637" s="35">
        <f t="shared" si="37"/>
        <v>4.5362634047623418E-2</v>
      </c>
      <c r="I637" s="35">
        <f>(Table143454[[#This Row],[Core CPI]]-F625)/F625</f>
        <v>2.3304151278952159E-2</v>
      </c>
    </row>
    <row r="638" spans="1:9" x14ac:dyDescent="0.35">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84.338279999999997</v>
      </c>
      <c r="G638" s="35">
        <f t="shared" si="36"/>
        <v>2.8416407746556516E-3</v>
      </c>
      <c r="H638" s="35">
        <f t="shared" si="37"/>
        <v>3.4637714716806434E-2</v>
      </c>
      <c r="I638" s="35">
        <f>(Table143454[[#This Row],[Core CPI]]-F626)/F626</f>
        <v>2.3346834652341931E-2</v>
      </c>
    </row>
    <row r="639" spans="1:9" x14ac:dyDescent="0.35">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84.50224</v>
      </c>
      <c r="G639" s="35">
        <f t="shared" si="36"/>
        <v>1.9440756913704504E-3</v>
      </c>
      <c r="H639" s="35">
        <f t="shared" si="37"/>
        <v>2.3579974238188139E-2</v>
      </c>
      <c r="I639" s="35">
        <f>(Table143454[[#This Row],[Core CPI]]-F627)/F627</f>
        <v>2.1781753928344475E-2</v>
      </c>
    </row>
    <row r="640" spans="1:9" x14ac:dyDescent="0.35">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84.607960000000006</v>
      </c>
      <c r="G640" s="35">
        <f t="shared" si="36"/>
        <v>1.2510910953367205E-3</v>
      </c>
      <c r="H640" s="35">
        <f t="shared" si="37"/>
        <v>1.5116830282170479E-2</v>
      </c>
      <c r="I640" s="35">
        <f>(Table143454[[#This Row],[Core CPI]]-F628)/F628</f>
        <v>2.2103135725184065E-2</v>
      </c>
    </row>
    <row r="641" spans="1:9" x14ac:dyDescent="0.35">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84.760900000000007</v>
      </c>
      <c r="G641" s="35">
        <f t="shared" si="36"/>
        <v>1.8076313387060949E-3</v>
      </c>
      <c r="H641" s="35">
        <f t="shared" si="37"/>
        <v>2.1908537842664888E-2</v>
      </c>
      <c r="I641" s="35">
        <f>(Table143454[[#This Row],[Core CPI]]-F629)/F629</f>
        <v>2.2055102365400613E-2</v>
      </c>
    </row>
    <row r="642" spans="1:9" x14ac:dyDescent="0.35">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85.017910000000001</v>
      </c>
      <c r="G642" s="35">
        <f t="shared" si="36"/>
        <v>3.0321763926526302E-3</v>
      </c>
      <c r="H642" s="35">
        <f t="shared" si="37"/>
        <v>3.6999102126236805E-2</v>
      </c>
      <c r="I642" s="35">
        <f>(Table143454[[#This Row],[Core CPI]]-F630)/F630</f>
        <v>2.2759422712578251E-2</v>
      </c>
    </row>
    <row r="643" spans="1:9" x14ac:dyDescent="0.35">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85.026820000000001</v>
      </c>
      <c r="G643" s="35">
        <f t="shared" ref="G643:G706" si="40">(F643/F642)-1</f>
        <v>1.0480144713032047E-4</v>
      </c>
      <c r="H643" s="35">
        <f t="shared" ref="H643:H706" si="41">((1+G643)^12)-1</f>
        <v>1.2583425195182851E-3</v>
      </c>
      <c r="I643" s="35">
        <f>(Table143454[[#This Row],[Core CPI]]-F631)/F631</f>
        <v>2.2754522998222653E-2</v>
      </c>
    </row>
    <row r="644" spans="1:9" x14ac:dyDescent="0.35">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84.964820000000003</v>
      </c>
      <c r="G644" s="35">
        <f t="shared" si="40"/>
        <v>-7.2918168643720804E-4</v>
      </c>
      <c r="H644" s="35">
        <f t="shared" si="41"/>
        <v>-8.7151728022166752E-3</v>
      </c>
      <c r="I644" s="35">
        <f>(Table143454[[#This Row],[Core CPI]]-F632)/F632</f>
        <v>2.1227981020852823E-2</v>
      </c>
    </row>
    <row r="645" spans="1:9" x14ac:dyDescent="0.35">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85.075289999999995</v>
      </c>
      <c r="G645" s="35">
        <f t="shared" si="40"/>
        <v>1.3001851825260591E-3</v>
      </c>
      <c r="H645" s="35">
        <f t="shared" si="41"/>
        <v>1.5714278934001458E-2</v>
      </c>
      <c r="I645" s="35">
        <f>(Table143454[[#This Row],[Core CPI]]-F633)/F633</f>
        <v>1.9932463497451761E-2</v>
      </c>
    </row>
    <row r="646" spans="1:9" x14ac:dyDescent="0.35">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85.357759999999999</v>
      </c>
      <c r="G646" s="35">
        <f t="shared" si="40"/>
        <v>3.3202355231467529E-3</v>
      </c>
      <c r="H646" s="35">
        <f t="shared" si="41"/>
        <v>4.0578520848614019E-2</v>
      </c>
      <c r="I646" s="35">
        <f>(Table143454[[#This Row],[Core CPI]]-F634)/F634</f>
        <v>2.2696036960840448E-2</v>
      </c>
    </row>
    <row r="647" spans="1:9" x14ac:dyDescent="0.35">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85.359160000000003</v>
      </c>
      <c r="G647" s="35">
        <f t="shared" si="40"/>
        <v>1.6401555055001182E-5</v>
      </c>
      <c r="H647" s="35">
        <f t="shared" si="41"/>
        <v>1.9683641635759308E-4</v>
      </c>
      <c r="I647" s="35">
        <f>(Table143454[[#This Row],[Core CPI]]-F635)/F635</f>
        <v>2.1580135288891873E-2</v>
      </c>
    </row>
    <row r="648" spans="1:9" x14ac:dyDescent="0.35">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85.586240000000004</v>
      </c>
      <c r="G648" s="35">
        <f t="shared" si="40"/>
        <v>2.66028859702927E-3</v>
      </c>
      <c r="H648" s="35">
        <f t="shared" si="41"/>
        <v>3.2394720989372017E-2</v>
      </c>
      <c r="I648" s="35">
        <f>(Table143454[[#This Row],[Core CPI]]-F636)/F636</f>
        <v>2.1450081251754415E-2</v>
      </c>
    </row>
    <row r="649" spans="1:9" x14ac:dyDescent="0.35">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85.801389999999998</v>
      </c>
      <c r="G649" s="35">
        <f t="shared" si="40"/>
        <v>2.5138386731324847E-3</v>
      </c>
      <c r="H649" s="35">
        <f t="shared" si="41"/>
        <v>3.0586658227789609E-2</v>
      </c>
      <c r="I649" s="35">
        <f>(Table143454[[#This Row],[Core CPI]]-F637)/F637</f>
        <v>2.0239050741207101E-2</v>
      </c>
    </row>
    <row r="650" spans="1:9" x14ac:dyDescent="0.35">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85.768169999999998</v>
      </c>
      <c r="G650" s="35">
        <f t="shared" si="40"/>
        <v>-3.8717321479286859E-4</v>
      </c>
      <c r="H650" s="35">
        <f t="shared" si="41"/>
        <v>-4.6361977303754909E-3</v>
      </c>
      <c r="I650" s="35">
        <f>(Table143454[[#This Row],[Core CPI]]-F638)/F638</f>
        <v>1.6954222922260218E-2</v>
      </c>
    </row>
    <row r="651" spans="1:9" x14ac:dyDescent="0.35">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86.101460000000003</v>
      </c>
      <c r="G651" s="35">
        <f t="shared" si="40"/>
        <v>3.8859404368778439E-3</v>
      </c>
      <c r="H651" s="35">
        <f t="shared" si="41"/>
        <v>4.7640943553510118E-2</v>
      </c>
      <c r="I651" s="35">
        <f>(Table143454[[#This Row],[Core CPI]]-F639)/F639</f>
        <v>1.8925178788159965E-2</v>
      </c>
    </row>
    <row r="652" spans="1:9" x14ac:dyDescent="0.35">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86.113560000000007</v>
      </c>
      <c r="G652" s="35">
        <f t="shared" si="40"/>
        <v>1.4053187948270818E-4</v>
      </c>
      <c r="H652" s="35">
        <f t="shared" si="41"/>
        <v>1.6876866123765044E-3</v>
      </c>
      <c r="I652" s="35">
        <f>(Table143454[[#This Row],[Core CPI]]-F640)/F640</f>
        <v>1.7795015977220122E-2</v>
      </c>
    </row>
    <row r="653" spans="1:9" x14ac:dyDescent="0.35">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86.428849999999997</v>
      </c>
      <c r="G653" s="35">
        <f t="shared" si="40"/>
        <v>3.6613281346165039E-3</v>
      </c>
      <c r="H653" s="35">
        <f t="shared" si="41"/>
        <v>4.4831576339928958E-2</v>
      </c>
      <c r="I653" s="35">
        <f>(Table143454[[#This Row],[Core CPI]]-F641)/F641</f>
        <v>1.9678295062935745E-2</v>
      </c>
    </row>
    <row r="654" spans="1:9" x14ac:dyDescent="0.35">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86.586179999999999</v>
      </c>
      <c r="G654" s="35">
        <f t="shared" si="40"/>
        <v>1.8203412402224561E-3</v>
      </c>
      <c r="H654" s="35">
        <f t="shared" si="41"/>
        <v>2.2064127752094764E-2</v>
      </c>
      <c r="I654" s="35">
        <f>(Table143454[[#This Row],[Core CPI]]-F642)/F642</f>
        <v>1.8446348539972322E-2</v>
      </c>
    </row>
    <row r="655" spans="1:9" x14ac:dyDescent="0.35">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86.449420000000003</v>
      </c>
      <c r="G655" s="35">
        <f t="shared" si="40"/>
        <v>-1.5794668387033584E-3</v>
      </c>
      <c r="H655" s="35">
        <f t="shared" si="41"/>
        <v>-1.8789814639372793E-2</v>
      </c>
      <c r="I655" s="35">
        <f>(Table143454[[#This Row],[Core CPI]]-F643)/F643</f>
        <v>1.6731191405253105E-2</v>
      </c>
    </row>
    <row r="656" spans="1:9" x14ac:dyDescent="0.35">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86.532880000000006</v>
      </c>
      <c r="G656" s="35">
        <f t="shared" si="40"/>
        <v>9.6542001091504126E-4</v>
      </c>
      <c r="H656" s="35">
        <f t="shared" si="41"/>
        <v>1.164675288160244E-2</v>
      </c>
      <c r="I656" s="35">
        <f>(Table143454[[#This Row],[Core CPI]]-F644)/F644</f>
        <v>1.8455403071530107E-2</v>
      </c>
    </row>
    <row r="657" spans="1:9" x14ac:dyDescent="0.35">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86.768199999999993</v>
      </c>
      <c r="G657" s="35">
        <f t="shared" si="40"/>
        <v>2.7194287304430631E-3</v>
      </c>
      <c r="H657" s="35">
        <f t="shared" si="41"/>
        <v>3.3125685681794081E-2</v>
      </c>
      <c r="I657" s="35">
        <f>(Table143454[[#This Row],[Core CPI]]-F645)/F645</f>
        <v>1.9898962436683997E-2</v>
      </c>
    </row>
    <row r="658" spans="1:9" x14ac:dyDescent="0.35">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86.779610000000005</v>
      </c>
      <c r="G658" s="35">
        <f t="shared" si="40"/>
        <v>1.314997890933256E-4</v>
      </c>
      <c r="H658" s="35">
        <f t="shared" si="41"/>
        <v>1.5791392543695881E-3</v>
      </c>
      <c r="I658" s="35">
        <f>(Table143454[[#This Row],[Core CPI]]-F646)/F646</f>
        <v>1.6657536467686199E-2</v>
      </c>
    </row>
    <row r="659" spans="1:9" x14ac:dyDescent="0.35">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86.893510000000006</v>
      </c>
      <c r="G659" s="35">
        <f t="shared" si="40"/>
        <v>1.3125203028683252E-3</v>
      </c>
      <c r="H659" s="35">
        <f t="shared" si="41"/>
        <v>1.586444137661025E-2</v>
      </c>
      <c r="I659" s="35">
        <f>(Table143454[[#This Row],[Core CPI]]-F647)/F647</f>
        <v>1.797522374868735E-2</v>
      </c>
    </row>
    <row r="660" spans="1:9" x14ac:dyDescent="0.35">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87.053430000000006</v>
      </c>
      <c r="G660" s="35">
        <f t="shared" si="40"/>
        <v>1.840413628129367E-3</v>
      </c>
      <c r="H660" s="35">
        <f t="shared" si="41"/>
        <v>2.2309890721876613E-2</v>
      </c>
      <c r="I660" s="35">
        <f>(Table143454[[#This Row],[Core CPI]]-F648)/F648</f>
        <v>1.7142825762645982E-2</v>
      </c>
    </row>
    <row r="661" spans="1:9" x14ac:dyDescent="0.35">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87.238680000000002</v>
      </c>
      <c r="G661" s="35">
        <f t="shared" si="40"/>
        <v>2.1280034571871109E-3</v>
      </c>
      <c r="H661" s="35">
        <f t="shared" si="41"/>
        <v>2.5837046005254383E-2</v>
      </c>
      <c r="I661" s="35">
        <f>(Table143454[[#This Row],[Core CPI]]-F649)/F649</f>
        <v>1.675136032178505E-2</v>
      </c>
    </row>
    <row r="662" spans="1:9" x14ac:dyDescent="0.35">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87.402990000000003</v>
      </c>
      <c r="G662" s="35">
        <f t="shared" si="40"/>
        <v>1.8834535323093426E-3</v>
      </c>
      <c r="H662" s="35">
        <f t="shared" si="41"/>
        <v>2.2837046750087131E-2</v>
      </c>
      <c r="I662" s="35">
        <f>(Table143454[[#This Row],[Core CPI]]-F650)/F650</f>
        <v>1.9060917354305273E-2</v>
      </c>
    </row>
    <row r="663" spans="1:9" x14ac:dyDescent="0.35">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87.636340000000004</v>
      </c>
      <c r="G663" s="35">
        <f t="shared" si="40"/>
        <v>2.6698171309700314E-3</v>
      </c>
      <c r="H663" s="35">
        <f t="shared" si="41"/>
        <v>3.2512460436370016E-2</v>
      </c>
      <c r="I663" s="35">
        <f>(Table143454[[#This Row],[Core CPI]]-F651)/F651</f>
        <v>1.7826410841349276E-2</v>
      </c>
    </row>
    <row r="664" spans="1:9" x14ac:dyDescent="0.35">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87.683329999999998</v>
      </c>
      <c r="G664" s="35">
        <f t="shared" si="40"/>
        <v>5.3619309067443055E-4</v>
      </c>
      <c r="H664" s="35">
        <f t="shared" si="41"/>
        <v>6.4533262436266003E-3</v>
      </c>
      <c r="I664" s="35">
        <f>(Table143454[[#This Row],[Core CPI]]-F652)/F652</f>
        <v>1.8229068685582051E-2</v>
      </c>
    </row>
    <row r="665" spans="1:9" x14ac:dyDescent="0.35">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87.828699999999998</v>
      </c>
      <c r="G665" s="35">
        <f t="shared" si="40"/>
        <v>1.6578978010985956E-3</v>
      </c>
      <c r="H665" s="35">
        <f t="shared" si="41"/>
        <v>2.0077189147362784E-2</v>
      </c>
      <c r="I665" s="35">
        <f>(Table143454[[#This Row],[Core CPI]]-F653)/F653</f>
        <v>1.6196559366461555E-2</v>
      </c>
    </row>
    <row r="666" spans="1:9" x14ac:dyDescent="0.35">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87.911069999999995</v>
      </c>
      <c r="G666" s="35">
        <f t="shared" si="40"/>
        <v>9.3784833431431736E-4</v>
      </c>
      <c r="H666" s="35">
        <f t="shared" si="41"/>
        <v>1.1312412798721194E-2</v>
      </c>
      <c r="I666" s="35">
        <f>(Table143454[[#This Row],[Core CPI]]-F654)/F654</f>
        <v>1.5301402602586191E-2</v>
      </c>
    </row>
    <row r="667" spans="1:9" x14ac:dyDescent="0.35">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87.94708</v>
      </c>
      <c r="G667" s="35">
        <f t="shared" si="40"/>
        <v>4.0961849287013408E-4</v>
      </c>
      <c r="H667" s="35">
        <f t="shared" si="41"/>
        <v>4.9265110111582633E-3</v>
      </c>
      <c r="I667" s="35">
        <f>(Table143454[[#This Row],[Core CPI]]-F655)/F655</f>
        <v>1.7324118542379998E-2</v>
      </c>
    </row>
    <row r="668" spans="1:9" x14ac:dyDescent="0.35">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87.954319999999996</v>
      </c>
      <c r="G668" s="35">
        <f t="shared" si="40"/>
        <v>8.2322232870080114E-5</v>
      </c>
      <c r="H668" s="35">
        <f t="shared" si="41"/>
        <v>9.883141959026176E-4</v>
      </c>
      <c r="I668" s="35">
        <f>(Table143454[[#This Row],[Core CPI]]-F656)/F656</f>
        <v>1.6426588367334932E-2</v>
      </c>
    </row>
    <row r="669" spans="1:9" x14ac:dyDescent="0.35">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88.028480000000002</v>
      </c>
      <c r="G669" s="35">
        <f t="shared" si="40"/>
        <v>8.4316495198888397E-4</v>
      </c>
      <c r="H669" s="35">
        <f t="shared" si="41"/>
        <v>1.0165032739725133E-2</v>
      </c>
      <c r="I669" s="35">
        <f>(Table143454[[#This Row],[Core CPI]]-F657)/F657</f>
        <v>1.4524676091010403E-2</v>
      </c>
    </row>
    <row r="670" spans="1:9" x14ac:dyDescent="0.35">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88.089070000000007</v>
      </c>
      <c r="G670" s="35">
        <f t="shared" si="40"/>
        <v>6.8829996837393992E-4</v>
      </c>
      <c r="H670" s="35">
        <f t="shared" si="41"/>
        <v>8.2909394226777788E-3</v>
      </c>
      <c r="I670" s="35">
        <f>(Table143454[[#This Row],[Core CPI]]-F658)/F658</f>
        <v>1.5089489339719334E-2</v>
      </c>
    </row>
    <row r="671" spans="1:9" x14ac:dyDescent="0.35">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88.135120000000001</v>
      </c>
      <c r="G671" s="35">
        <f t="shared" si="40"/>
        <v>5.2276633185011079E-4</v>
      </c>
      <c r="H671" s="35">
        <f t="shared" si="41"/>
        <v>6.2912642353727399E-3</v>
      </c>
      <c r="I671" s="35">
        <f>(Table143454[[#This Row],[Core CPI]]-F659)/F659</f>
        <v>1.4288869214743359E-2</v>
      </c>
    </row>
    <row r="672" spans="1:9" x14ac:dyDescent="0.35">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88.540080000000003</v>
      </c>
      <c r="G672" s="35">
        <f t="shared" si="40"/>
        <v>4.594763131882118E-3</v>
      </c>
      <c r="H672" s="35">
        <f t="shared" si="41"/>
        <v>5.655210269073363E-2</v>
      </c>
      <c r="I672" s="35">
        <f>(Table143454[[#This Row],[Core CPI]]-F660)/F660</f>
        <v>1.707744312889219E-2</v>
      </c>
    </row>
    <row r="673" spans="1:9" x14ac:dyDescent="0.35">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88.624020000000002</v>
      </c>
      <c r="G673" s="35">
        <f t="shared" si="40"/>
        <v>9.4804522426450433E-4</v>
      </c>
      <c r="H673" s="35">
        <f t="shared" si="41"/>
        <v>1.1436050675504461E-2</v>
      </c>
      <c r="I673" s="35">
        <f>(Table143454[[#This Row],[Core CPI]]-F661)/F661</f>
        <v>1.5879882639214617E-2</v>
      </c>
    </row>
    <row r="674" spans="1:9" x14ac:dyDescent="0.35">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88.686210000000003</v>
      </c>
      <c r="G674" s="35">
        <f t="shared" si="40"/>
        <v>7.017284930201928E-4</v>
      </c>
      <c r="H674" s="35">
        <f t="shared" si="41"/>
        <v>8.4533179667225511E-3</v>
      </c>
      <c r="I674" s="35">
        <f>(Table143454[[#This Row],[Core CPI]]-F662)/F662</f>
        <v>1.4681648762816924E-2</v>
      </c>
    </row>
    <row r="675" spans="1:9" x14ac:dyDescent="0.35">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88.905739999999994</v>
      </c>
      <c r="G675" s="35">
        <f t="shared" si="40"/>
        <v>2.4753566535316018E-3</v>
      </c>
      <c r="H675" s="35">
        <f t="shared" si="41"/>
        <v>3.0112043122975551E-2</v>
      </c>
      <c r="I675" s="35">
        <f>(Table143454[[#This Row],[Core CPI]]-F663)/F663</f>
        <v>1.4484858678488744E-2</v>
      </c>
    </row>
    <row r="676" spans="1:9" x14ac:dyDescent="0.35">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89.016080000000002</v>
      </c>
      <c r="G676" s="35">
        <f t="shared" si="40"/>
        <v>1.2410897204162552E-3</v>
      </c>
      <c r="H676" s="35">
        <f t="shared" si="41"/>
        <v>1.49951584296657E-2</v>
      </c>
      <c r="I676" s="35">
        <f>(Table143454[[#This Row],[Core CPI]]-F664)/F664</f>
        <v>1.5199582406370793E-2</v>
      </c>
    </row>
    <row r="677" spans="1:9" x14ac:dyDescent="0.35">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89.25609</v>
      </c>
      <c r="G677" s="35">
        <f t="shared" si="40"/>
        <v>2.6962544295368041E-3</v>
      </c>
      <c r="H677" s="35">
        <f t="shared" si="41"/>
        <v>3.2839197696485245E-2</v>
      </c>
      <c r="I677" s="35">
        <f>(Table143454[[#This Row],[Core CPI]]-F665)/F665</f>
        <v>1.6251976859500399E-2</v>
      </c>
    </row>
    <row r="678" spans="1:9" x14ac:dyDescent="0.35">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89.448629999999994</v>
      </c>
      <c r="G678" s="35">
        <f t="shared" si="40"/>
        <v>2.1571637296682322E-3</v>
      </c>
      <c r="H678" s="35">
        <f t="shared" si="41"/>
        <v>2.619530533609904E-2</v>
      </c>
      <c r="I678" s="35">
        <f>(Table143454[[#This Row],[Core CPI]]-F666)/F666</f>
        <v>1.7489947511729744E-2</v>
      </c>
    </row>
    <row r="679" spans="1:9" x14ac:dyDescent="0.35">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89.330699999999993</v>
      </c>
      <c r="G679" s="35">
        <f t="shared" si="40"/>
        <v>-1.3184103546359793E-3</v>
      </c>
      <c r="H679" s="35">
        <f t="shared" si="41"/>
        <v>-1.5706705343330407E-2</v>
      </c>
      <c r="I679" s="35">
        <f>(Table143454[[#This Row],[Core CPI]]-F667)/F667</f>
        <v>1.5732415448017074E-2</v>
      </c>
    </row>
    <row r="680" spans="1:9" x14ac:dyDescent="0.35">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89.419169999999994</v>
      </c>
      <c r="G680" s="35">
        <f t="shared" si="40"/>
        <v>9.9036501449112357E-4</v>
      </c>
      <c r="H680" s="35">
        <f t="shared" si="41"/>
        <v>1.1949328661714498E-2</v>
      </c>
      <c r="I680" s="35">
        <f>(Table143454[[#This Row],[Core CPI]]-F668)/F668</f>
        <v>1.665466801403272E-2</v>
      </c>
    </row>
    <row r="681" spans="1:9" x14ac:dyDescent="0.35">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89.585369999999998</v>
      </c>
      <c r="G681" s="35">
        <f t="shared" si="40"/>
        <v>1.858661850697052E-3</v>
      </c>
      <c r="H681" s="35">
        <f t="shared" si="41"/>
        <v>2.253336592435029E-2</v>
      </c>
      <c r="I681" s="35">
        <f>(Table143454[[#This Row],[Core CPI]]-F669)/F669</f>
        <v>1.7686207918164616E-2</v>
      </c>
    </row>
    <row r="682" spans="1:9" x14ac:dyDescent="0.35">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89.721739999999997</v>
      </c>
      <c r="G682" s="35">
        <f t="shared" si="40"/>
        <v>1.5222351596024808E-3</v>
      </c>
      <c r="H682" s="35">
        <f t="shared" si="41"/>
        <v>1.8420535782818215E-2</v>
      </c>
      <c r="I682" s="35">
        <f>(Table143454[[#This Row],[Core CPI]]-F670)/F670</f>
        <v>1.853430851296296E-2</v>
      </c>
    </row>
    <row r="683" spans="1:9" x14ac:dyDescent="0.35">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89.97578</v>
      </c>
      <c r="G683" s="35">
        <f t="shared" si="40"/>
        <v>2.831420790546435E-3</v>
      </c>
      <c r="H683" s="35">
        <f t="shared" si="41"/>
        <v>3.4511193584275901E-2</v>
      </c>
      <c r="I683" s="35">
        <f>(Table143454[[#This Row],[Core CPI]]-F671)/F671</f>
        <v>2.0884523672288637E-2</v>
      </c>
    </row>
    <row r="684" spans="1:9" x14ac:dyDescent="0.35">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90.158389999999997</v>
      </c>
      <c r="G684" s="35">
        <f t="shared" si="40"/>
        <v>2.0295461734256559E-3</v>
      </c>
      <c r="H684" s="35">
        <f t="shared" si="41"/>
        <v>2.4628259473055136E-2</v>
      </c>
      <c r="I684" s="35">
        <f>(Table143454[[#This Row],[Core CPI]]-F672)/F672</f>
        <v>1.8277711065993997E-2</v>
      </c>
    </row>
    <row r="685" spans="1:9" x14ac:dyDescent="0.35">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90.505790000000005</v>
      </c>
      <c r="G685" s="35">
        <f t="shared" si="40"/>
        <v>3.8532187631123982E-3</v>
      </c>
      <c r="H685" s="35">
        <f t="shared" si="41"/>
        <v>4.7231242583701594E-2</v>
      </c>
      <c r="I685" s="35">
        <f>(Table143454[[#This Row],[Core CPI]]-F673)/F673</f>
        <v>2.1233182606701918E-2</v>
      </c>
    </row>
    <row r="686" spans="1:9" x14ac:dyDescent="0.35">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90.55753</v>
      </c>
      <c r="G686" s="35">
        <f t="shared" si="40"/>
        <v>5.7167613254360816E-4</v>
      </c>
      <c r="H686" s="35">
        <f t="shared" si="41"/>
        <v>6.8817244440140257E-3</v>
      </c>
      <c r="I686" s="35">
        <f>(Table143454[[#This Row],[Core CPI]]-F674)/F674</f>
        <v>2.1100461954569907E-2</v>
      </c>
    </row>
    <row r="687" spans="1:9" x14ac:dyDescent="0.35">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90.770390000000006</v>
      </c>
      <c r="G687" s="35">
        <f t="shared" si="40"/>
        <v>2.3505499763520898E-3</v>
      </c>
      <c r="H687" s="35">
        <f t="shared" si="41"/>
        <v>2.8574127644039438E-2</v>
      </c>
      <c r="I687" s="35">
        <f>(Table143454[[#This Row],[Core CPI]]-F675)/F675</f>
        <v>2.0973336479736985E-2</v>
      </c>
    </row>
    <row r="688" spans="1:9" x14ac:dyDescent="0.35">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90.933890000000005</v>
      </c>
      <c r="G688" s="35">
        <f t="shared" si="40"/>
        <v>1.8012481823643789E-3</v>
      </c>
      <c r="H688" s="35">
        <f t="shared" si="41"/>
        <v>2.1830405796080754E-2</v>
      </c>
      <c r="I688" s="35">
        <f>(Table143454[[#This Row],[Core CPI]]-F676)/F676</f>
        <v>2.1544534425690313E-2</v>
      </c>
    </row>
    <row r="689" spans="1:9" x14ac:dyDescent="0.35">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91.324029999999993</v>
      </c>
      <c r="G689" s="35">
        <f t="shared" si="40"/>
        <v>4.290369630068458E-3</v>
      </c>
      <c r="H689" s="35">
        <f t="shared" si="41"/>
        <v>5.2716858640504238E-2</v>
      </c>
      <c r="I689" s="35">
        <f>(Table143454[[#This Row],[Core CPI]]-F677)/F677</f>
        <v>2.3168615161161473E-2</v>
      </c>
    </row>
    <row r="690" spans="1:9" x14ac:dyDescent="0.35">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91.702749999999995</v>
      </c>
      <c r="G690" s="35">
        <f t="shared" si="40"/>
        <v>4.1469917610950091E-3</v>
      </c>
      <c r="H690" s="35">
        <f t="shared" si="41"/>
        <v>5.091477616524176E-2</v>
      </c>
      <c r="I690" s="35">
        <f>(Table143454[[#This Row],[Core CPI]]-F678)/F678</f>
        <v>2.5200162372526001E-2</v>
      </c>
    </row>
    <row r="691" spans="1:9" x14ac:dyDescent="0.35">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91.408479999999997</v>
      </c>
      <c r="G691" s="35">
        <f t="shared" si="40"/>
        <v>-3.2089550204328354E-3</v>
      </c>
      <c r="H691" s="35">
        <f t="shared" si="41"/>
        <v>-3.7835049783521368E-2</v>
      </c>
      <c r="I691" s="35">
        <f>(Table143454[[#This Row],[Core CPI]]-F679)/F679</f>
        <v>2.3259416975351187E-2</v>
      </c>
    </row>
    <row r="692" spans="1:9" x14ac:dyDescent="0.35">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91.525120000000001</v>
      </c>
      <c r="G692" s="35">
        <f t="shared" si="40"/>
        <v>1.2760304076822049E-3</v>
      </c>
      <c r="H692" s="35">
        <f t="shared" si="41"/>
        <v>1.5420288039149854E-2</v>
      </c>
      <c r="I692" s="35">
        <f>(Table143454[[#This Row],[Core CPI]]-F680)/F680</f>
        <v>2.355143757205538E-2</v>
      </c>
    </row>
    <row r="693" spans="1:9" x14ac:dyDescent="0.35">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91.542479999999998</v>
      </c>
      <c r="G693" s="35">
        <f t="shared" si="40"/>
        <v>1.8967470351305415E-4</v>
      </c>
      <c r="H693" s="35">
        <f t="shared" si="41"/>
        <v>2.2784723925883821E-3</v>
      </c>
      <c r="I693" s="35">
        <f>(Table143454[[#This Row],[Core CPI]]-F681)/F681</f>
        <v>2.1846312628948233E-2</v>
      </c>
    </row>
    <row r="694" spans="1:9" x14ac:dyDescent="0.35">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91.656970000000001</v>
      </c>
      <c r="G694" s="35">
        <f t="shared" si="40"/>
        <v>1.2506761888033679E-3</v>
      </c>
      <c r="H694" s="35">
        <f t="shared" si="41"/>
        <v>1.5111782465707213E-2</v>
      </c>
      <c r="I694" s="35">
        <f>(Table143454[[#This Row],[Core CPI]]-F682)/F682</f>
        <v>2.1569242861317717E-2</v>
      </c>
    </row>
    <row r="695" spans="1:9" x14ac:dyDescent="0.35">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91.676320000000004</v>
      </c>
      <c r="G695" s="35">
        <f t="shared" si="40"/>
        <v>2.1111324103340046E-4</v>
      </c>
      <c r="H695" s="35">
        <f t="shared" si="41"/>
        <v>2.5363025042151044E-3</v>
      </c>
      <c r="I695" s="35">
        <f>(Table143454[[#This Row],[Core CPI]]-F683)/F683</f>
        <v>1.889997508218327E-2</v>
      </c>
    </row>
    <row r="696" spans="1:9" x14ac:dyDescent="0.35">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91.854280000000003</v>
      </c>
      <c r="G696" s="35">
        <f t="shared" si="40"/>
        <v>1.9411773945550159E-3</v>
      </c>
      <c r="H696" s="35">
        <f t="shared" si="41"/>
        <v>2.3544444214661508E-2</v>
      </c>
      <c r="I696" s="35">
        <f>(Table143454[[#This Row],[Core CPI]]-F684)/F684</f>
        <v>1.8810118503668996E-2</v>
      </c>
    </row>
    <row r="697" spans="1:9" x14ac:dyDescent="0.35">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91.940880000000007</v>
      </c>
      <c r="G697" s="35">
        <f t="shared" si="40"/>
        <v>9.4279765733285004E-4</v>
      </c>
      <c r="H697" s="35">
        <f t="shared" si="41"/>
        <v>1.137242189444132E-2</v>
      </c>
      <c r="I697" s="35">
        <f>(Table143454[[#This Row],[Core CPI]]-F685)/F685</f>
        <v>1.5856333611363453E-2</v>
      </c>
    </row>
    <row r="698" spans="1:9" x14ac:dyDescent="0.35">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92.230289999999997</v>
      </c>
      <c r="G698" s="35">
        <f t="shared" si="40"/>
        <v>3.1477836627187283E-3</v>
      </c>
      <c r="H698" s="35">
        <f t="shared" si="41"/>
        <v>3.8434278356407559E-2</v>
      </c>
      <c r="I698" s="35">
        <f>(Table143454[[#This Row],[Core CPI]]-F686)/F686</f>
        <v>1.8471793565924301E-2</v>
      </c>
    </row>
    <row r="699" spans="1:9" x14ac:dyDescent="0.35">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92.437370000000001</v>
      </c>
      <c r="G699" s="35">
        <f t="shared" si="40"/>
        <v>2.2452493643900784E-3</v>
      </c>
      <c r="H699" s="35">
        <f t="shared" si="41"/>
        <v>2.7278210646171308E-2</v>
      </c>
      <c r="I699" s="35">
        <f>(Table143454[[#This Row],[Core CPI]]-F687)/F687</f>
        <v>1.8364799358028483E-2</v>
      </c>
    </row>
    <row r="700" spans="1:9" x14ac:dyDescent="0.35">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92.352980000000002</v>
      </c>
      <c r="G700" s="35">
        <f t="shared" si="40"/>
        <v>-9.1294246039230753E-4</v>
      </c>
      <c r="H700" s="35">
        <f t="shared" si="41"/>
        <v>-1.0900467960592297E-2</v>
      </c>
      <c r="I700" s="35">
        <f>(Table143454[[#This Row],[Core CPI]]-F688)/F688</f>
        <v>1.5605732912118871E-2</v>
      </c>
    </row>
    <row r="701" spans="1:9" x14ac:dyDescent="0.35">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92.543430000000001</v>
      </c>
      <c r="G701" s="35">
        <f t="shared" si="40"/>
        <v>2.0621965853186985E-3</v>
      </c>
      <c r="H701" s="35">
        <f t="shared" si="41"/>
        <v>2.5028972577699315E-2</v>
      </c>
      <c r="I701" s="35">
        <f>(Table143454[[#This Row],[Core CPI]]-F689)/F689</f>
        <v>1.3352454989119593E-2</v>
      </c>
    </row>
    <row r="702" spans="1:9" x14ac:dyDescent="0.35">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92.886020000000002</v>
      </c>
      <c r="G702" s="35">
        <f t="shared" si="40"/>
        <v>3.7019375659623766E-3</v>
      </c>
      <c r="H702" s="35">
        <f t="shared" si="41"/>
        <v>4.5338992040867554E-2</v>
      </c>
      <c r="I702" s="35">
        <f>(Table143454[[#This Row],[Core CPI]]-F690)/F690</f>
        <v>1.2903320783727941E-2</v>
      </c>
    </row>
    <row r="703" spans="1:9" x14ac:dyDescent="0.35">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92.671379999999999</v>
      </c>
      <c r="G703" s="35">
        <f t="shared" si="40"/>
        <v>-2.3107890724567426E-3</v>
      </c>
      <c r="H703" s="35">
        <f t="shared" si="41"/>
        <v>-2.7379746148521122E-2</v>
      </c>
      <c r="I703" s="35">
        <f>(Table143454[[#This Row],[Core CPI]]-F691)/F691</f>
        <v>1.381600481705857E-2</v>
      </c>
    </row>
    <row r="704" spans="1:9" x14ac:dyDescent="0.35">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92.862499999999997</v>
      </c>
      <c r="G704" s="35">
        <f t="shared" si="40"/>
        <v>2.0623411456697216E-3</v>
      </c>
      <c r="H704" s="35">
        <f t="shared" si="41"/>
        <v>2.5030747062350533E-2</v>
      </c>
      <c r="I704" s="35">
        <f>(Table143454[[#This Row],[Core CPI]]-F692)/F692</f>
        <v>1.4612163305549297E-2</v>
      </c>
    </row>
    <row r="705" spans="1:9" x14ac:dyDescent="0.35">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92.741150000000005</v>
      </c>
      <c r="G705" s="35">
        <f t="shared" si="40"/>
        <v>-1.3067707632251624E-3</v>
      </c>
      <c r="H705" s="35">
        <f t="shared" si="41"/>
        <v>-1.556903376114982E-2</v>
      </c>
      <c r="I705" s="35">
        <f>(Table143454[[#This Row],[Core CPI]]-F693)/F693</f>
        <v>1.3094139463995371E-2</v>
      </c>
    </row>
    <row r="706" spans="1:9" x14ac:dyDescent="0.35">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93.033199999999994</v>
      </c>
      <c r="G706" s="35">
        <f t="shared" si="40"/>
        <v>3.1490875409674324E-3</v>
      </c>
      <c r="H706" s="35">
        <f t="shared" si="41"/>
        <v>3.8450475390221506E-2</v>
      </c>
      <c r="I706" s="35">
        <f>(Table143454[[#This Row],[Core CPI]]-F694)/F694</f>
        <v>1.5015006496505312E-2</v>
      </c>
    </row>
    <row r="707" spans="1:9" x14ac:dyDescent="0.35">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93.132080000000002</v>
      </c>
      <c r="G707" s="35">
        <f t="shared" ref="G707:G770" si="44">(F707/F706)-1</f>
        <v>1.062846381721938E-3</v>
      </c>
      <c r="H707" s="35">
        <f t="shared" ref="H707:H770" si="45">((1+G707)^12)-1</f>
        <v>1.282897775386127E-2</v>
      </c>
      <c r="I707" s="35">
        <f>(Table143454[[#This Row],[Core CPI]]-F695)/F695</f>
        <v>1.5879345942332739E-2</v>
      </c>
    </row>
    <row r="708" spans="1:9" x14ac:dyDescent="0.35">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93.199330000000003</v>
      </c>
      <c r="G708" s="35">
        <f t="shared" si="44"/>
        <v>7.220927525724008E-4</v>
      </c>
      <c r="H708" s="35">
        <f t="shared" si="45"/>
        <v>8.6996095825282449E-3</v>
      </c>
      <c r="I708" s="35">
        <f>(Table143454[[#This Row],[Core CPI]]-F696)/F696</f>
        <v>1.4643302413344272E-2</v>
      </c>
    </row>
    <row r="709" spans="1:9" x14ac:dyDescent="0.35">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93.404849999999996</v>
      </c>
      <c r="G709" s="35">
        <f t="shared" si="44"/>
        <v>2.2051660671809081E-3</v>
      </c>
      <c r="H709" s="35">
        <f t="shared" si="45"/>
        <v>2.6785305641149115E-2</v>
      </c>
      <c r="I709" s="35">
        <f>(Table143454[[#This Row],[Core CPI]]-F697)/F697</f>
        <v>1.5922949617188664E-2</v>
      </c>
    </row>
    <row r="710" spans="1:9" x14ac:dyDescent="0.35">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93.708380000000005</v>
      </c>
      <c r="G710" s="35">
        <f t="shared" si="44"/>
        <v>3.2496171237361704E-3</v>
      </c>
      <c r="H710" s="35">
        <f t="shared" si="45"/>
        <v>3.969997124672564E-2</v>
      </c>
      <c r="I710" s="35">
        <f>(Table143454[[#This Row],[Core CPI]]-F698)/F698</f>
        <v>1.6026079935344547E-2</v>
      </c>
    </row>
    <row r="711" spans="1:9" x14ac:dyDescent="0.35">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93.706770000000006</v>
      </c>
      <c r="G711" s="35">
        <f t="shared" si="44"/>
        <v>-1.718096076364084E-5</v>
      </c>
      <c r="H711" s="35">
        <f t="shared" si="45"/>
        <v>-2.0615204804186327E-4</v>
      </c>
      <c r="I711" s="35">
        <f>(Table143454[[#This Row],[Core CPI]]-F699)/F699</f>
        <v>1.3732541287143981E-2</v>
      </c>
    </row>
    <row r="712" spans="1:9" x14ac:dyDescent="0.35">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93.74418</v>
      </c>
      <c r="G712" s="35">
        <f t="shared" si="44"/>
        <v>3.9922409021242444E-4</v>
      </c>
      <c r="H712" s="35">
        <f t="shared" si="45"/>
        <v>4.8012221650515219E-3</v>
      </c>
      <c r="I712" s="35">
        <f>(Table143454[[#This Row],[Core CPI]]-F700)/F700</f>
        <v>1.5063942711973102E-2</v>
      </c>
    </row>
    <row r="713" spans="1:9" x14ac:dyDescent="0.35">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94.126339999999999</v>
      </c>
      <c r="G713" s="35">
        <f t="shared" si="44"/>
        <v>4.076626410300932E-3</v>
      </c>
      <c r="H713" s="35">
        <f t="shared" si="45"/>
        <v>5.0031405577889432E-2</v>
      </c>
      <c r="I713" s="35">
        <f>(Table143454[[#This Row],[Core CPI]]-F701)/F701</f>
        <v>1.7104509742074593E-2</v>
      </c>
    </row>
    <row r="714" spans="1:9" x14ac:dyDescent="0.35">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94.432609999999997</v>
      </c>
      <c r="G714" s="35">
        <f t="shared" si="44"/>
        <v>3.2538182192147769E-3</v>
      </c>
      <c r="H714" s="35">
        <f t="shared" si="45"/>
        <v>3.9752217220679453E-2</v>
      </c>
      <c r="I714" s="35">
        <f>(Table143454[[#This Row],[Core CPI]]-F702)/F702</f>
        <v>1.6650406595093585E-2</v>
      </c>
    </row>
    <row r="715" spans="1:9" x14ac:dyDescent="0.35">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94.129840000000002</v>
      </c>
      <c r="G715" s="35">
        <f t="shared" si="44"/>
        <v>-3.2062017559399969E-3</v>
      </c>
      <c r="H715" s="35">
        <f t="shared" si="45"/>
        <v>-3.7803157825602951E-2</v>
      </c>
      <c r="I715" s="35">
        <f>(Table143454[[#This Row],[Core CPI]]-F703)/F703</f>
        <v>1.5737976492850352E-2</v>
      </c>
    </row>
    <row r="716" spans="1:9" x14ac:dyDescent="0.35">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94.340919999999997</v>
      </c>
      <c r="G716" s="35">
        <f t="shared" si="44"/>
        <v>2.2424344926115225E-3</v>
      </c>
      <c r="H716" s="35">
        <f t="shared" si="45"/>
        <v>2.7243589038995042E-2</v>
      </c>
      <c r="I716" s="35">
        <f>(Table143454[[#This Row],[Core CPI]]-F704)/F704</f>
        <v>1.592052766186566E-2</v>
      </c>
    </row>
    <row r="717" spans="1:9" x14ac:dyDescent="0.35">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94.258349999999993</v>
      </c>
      <c r="G717" s="35">
        <f t="shared" si="44"/>
        <v>-8.7522996383759821E-4</v>
      </c>
      <c r="H717" s="35">
        <f t="shared" si="45"/>
        <v>-1.0452348960725777E-2</v>
      </c>
      <c r="I717" s="35">
        <f>(Table143454[[#This Row],[Core CPI]]-F705)/F705</f>
        <v>1.6359512471001151E-2</v>
      </c>
    </row>
    <row r="718" spans="1:9" x14ac:dyDescent="0.35">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94.49539</v>
      </c>
      <c r="G718" s="35">
        <f t="shared" si="44"/>
        <v>2.514790466839445E-3</v>
      </c>
      <c r="H718" s="35">
        <f t="shared" si="45"/>
        <v>3.0598399643978036E-2</v>
      </c>
      <c r="I718" s="35">
        <f>(Table143454[[#This Row],[Core CPI]]-F706)/F706</f>
        <v>1.5716862367412997E-2</v>
      </c>
    </row>
    <row r="719" spans="1:9" x14ac:dyDescent="0.35">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94.613619999999997</v>
      </c>
      <c r="G719" s="35">
        <f t="shared" si="44"/>
        <v>1.2511721471279991E-3</v>
      </c>
      <c r="H719" s="35">
        <f t="shared" si="45"/>
        <v>1.5117816373369841E-2</v>
      </c>
      <c r="I719" s="35">
        <f>(Table143454[[#This Row],[Core CPI]]-F707)/F707</f>
        <v>1.5907944931542337E-2</v>
      </c>
    </row>
    <row r="720" spans="1:9" x14ac:dyDescent="0.35">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94.815610000000007</v>
      </c>
      <c r="G720" s="35">
        <f t="shared" si="44"/>
        <v>2.1348934751679316E-3</v>
      </c>
      <c r="H720" s="35">
        <f t="shared" si="45"/>
        <v>2.5921685527742655E-2</v>
      </c>
      <c r="I720" s="35">
        <f>(Table143454[[#This Row],[Core CPI]]-F708)/F708</f>
        <v>1.7342184756049248E-2</v>
      </c>
    </row>
    <row r="721" spans="1:9" x14ac:dyDescent="0.35">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95.043329999999997</v>
      </c>
      <c r="G721" s="35">
        <f t="shared" si="44"/>
        <v>2.4017142324981311E-3</v>
      </c>
      <c r="H721" s="35">
        <f t="shared" si="45"/>
        <v>2.9204338387613715E-2</v>
      </c>
      <c r="I721" s="35">
        <f>(Table143454[[#This Row],[Core CPI]]-F709)/F709</f>
        <v>1.7541701528346776E-2</v>
      </c>
    </row>
    <row r="722" spans="1:9" x14ac:dyDescent="0.35">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95.462630000000004</v>
      </c>
      <c r="G722" s="35">
        <f t="shared" si="44"/>
        <v>4.4116720236970774E-3</v>
      </c>
      <c r="H722" s="35">
        <f t="shared" si="45"/>
        <v>5.4243691241387282E-2</v>
      </c>
      <c r="I722" s="35">
        <f>(Table143454[[#This Row],[Core CPI]]-F710)/F710</f>
        <v>1.8720310819587308E-2</v>
      </c>
    </row>
    <row r="723" spans="1:9" x14ac:dyDescent="0.35">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95.437449999999998</v>
      </c>
      <c r="G723" s="35">
        <f t="shared" si="44"/>
        <v>-2.6376813628548046E-4</v>
      </c>
      <c r="H723" s="35">
        <f t="shared" si="45"/>
        <v>-3.1606298107565989E-3</v>
      </c>
      <c r="I723" s="35">
        <f>(Table143454[[#This Row],[Core CPI]]-F711)/F711</f>
        <v>1.8469103139506275E-2</v>
      </c>
    </row>
    <row r="724" spans="1:9" x14ac:dyDescent="0.35">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95.636049999999997</v>
      </c>
      <c r="G724" s="35">
        <f t="shared" si="44"/>
        <v>2.0809441157532138E-3</v>
      </c>
      <c r="H724" s="35">
        <f t="shared" si="45"/>
        <v>2.5259122835097569E-2</v>
      </c>
      <c r="I724" s="35">
        <f>(Table143454[[#This Row],[Core CPI]]-F712)/F712</f>
        <v>2.0181199515532561E-2</v>
      </c>
    </row>
    <row r="725" spans="1:9" x14ac:dyDescent="0.35">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95.954920000000001</v>
      </c>
      <c r="G725" s="35">
        <f t="shared" si="44"/>
        <v>3.3342029496199466E-3</v>
      </c>
      <c r="H725" s="35">
        <f t="shared" si="45"/>
        <v>4.0752367439380821E-2</v>
      </c>
      <c r="I725" s="35">
        <f>(Table143454[[#This Row],[Core CPI]]-F713)/F713</f>
        <v>1.9426868185887205E-2</v>
      </c>
    </row>
    <row r="726" spans="1:9" x14ac:dyDescent="0.35">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96.286770000000004</v>
      </c>
      <c r="G726" s="35">
        <f t="shared" si="44"/>
        <v>3.4583948379094398E-3</v>
      </c>
      <c r="H726" s="35">
        <f t="shared" si="45"/>
        <v>4.2299302025209373E-2</v>
      </c>
      <c r="I726" s="35">
        <f>(Table143454[[#This Row],[Core CPI]]-F714)/F714</f>
        <v>1.9634742701700264E-2</v>
      </c>
    </row>
    <row r="727" spans="1:9" x14ac:dyDescent="0.35">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96.233940000000004</v>
      </c>
      <c r="G727" s="35">
        <f t="shared" si="44"/>
        <v>-5.486735093512829E-4</v>
      </c>
      <c r="H727" s="35">
        <f t="shared" si="45"/>
        <v>-6.5642495927881184E-3</v>
      </c>
      <c r="I727" s="35">
        <f>(Table143454[[#This Row],[Core CPI]]-F715)/F715</f>
        <v>2.2353166647260874E-2</v>
      </c>
    </row>
    <row r="728" spans="1:9" x14ac:dyDescent="0.35">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96.688239999999993</v>
      </c>
      <c r="G728" s="35">
        <f t="shared" si="44"/>
        <v>4.7207876971471219E-3</v>
      </c>
      <c r="H728" s="35">
        <f t="shared" si="45"/>
        <v>5.8143710761306089E-2</v>
      </c>
      <c r="I728" s="35">
        <f>(Table143454[[#This Row],[Core CPI]]-F716)/F716</f>
        <v>2.4881249833052257E-2</v>
      </c>
    </row>
    <row r="729" spans="1:9" x14ac:dyDescent="0.35">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96.352639999999994</v>
      </c>
      <c r="G729" s="35">
        <f t="shared" si="44"/>
        <v>-3.4709495177489558E-3</v>
      </c>
      <c r="H729" s="35">
        <f t="shared" si="45"/>
        <v>-4.0865387959389321E-2</v>
      </c>
      <c r="I729" s="35">
        <f>(Table143454[[#This Row],[Core CPI]]-F717)/F717</f>
        <v>2.2218615114735205E-2</v>
      </c>
    </row>
    <row r="730" spans="1:9" x14ac:dyDescent="0.35">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96.653030000000001</v>
      </c>
      <c r="G730" s="35">
        <f t="shared" si="44"/>
        <v>3.1176104775125779E-3</v>
      </c>
      <c r="H730" s="35">
        <f t="shared" si="45"/>
        <v>3.8059525754054357E-2</v>
      </c>
      <c r="I730" s="35">
        <f>(Table143454[[#This Row],[Core CPI]]-F718)/F718</f>
        <v>2.2833283189793711E-2</v>
      </c>
    </row>
    <row r="731" spans="1:9" x14ac:dyDescent="0.35">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96.511619999999994</v>
      </c>
      <c r="G731" s="35">
        <f t="shared" si="44"/>
        <v>-1.4630684625200896E-3</v>
      </c>
      <c r="H731" s="35">
        <f t="shared" si="45"/>
        <v>-1.741623070779974E-2</v>
      </c>
      <c r="I731" s="35">
        <f>(Table143454[[#This Row],[Core CPI]]-F719)/F719</f>
        <v>2.0060536738790845E-2</v>
      </c>
    </row>
    <row r="732" spans="1:9" x14ac:dyDescent="0.35">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96.719440000000006</v>
      </c>
      <c r="G732" s="35">
        <f t="shared" si="44"/>
        <v>2.1533158390669715E-3</v>
      </c>
      <c r="H732" s="35">
        <f t="shared" si="45"/>
        <v>2.6148024082897736E-2</v>
      </c>
      <c r="I732" s="35">
        <f>(Table143454[[#This Row],[Core CPI]]-F720)/F720</f>
        <v>2.0079288631903534E-2</v>
      </c>
    </row>
    <row r="733" spans="1:9" x14ac:dyDescent="0.35">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97.105400000000003</v>
      </c>
      <c r="G733" s="35">
        <f t="shared" si="44"/>
        <v>3.9905111113132108E-3</v>
      </c>
      <c r="H733" s="35">
        <f t="shared" si="45"/>
        <v>4.8951235506974555E-2</v>
      </c>
      <c r="I733" s="35">
        <f>(Table143454[[#This Row],[Core CPI]]-F721)/F721</f>
        <v>2.1696104292642165E-2</v>
      </c>
    </row>
    <row r="734" spans="1:9" x14ac:dyDescent="0.35">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97.473089999999999</v>
      </c>
      <c r="G734" s="35">
        <f t="shared" si="44"/>
        <v>3.7865041490998674E-3</v>
      </c>
      <c r="H734" s="35">
        <f t="shared" si="45"/>
        <v>4.6396378341855504E-2</v>
      </c>
      <c r="I734" s="35">
        <f>(Table143454[[#This Row],[Core CPI]]-F722)/F722</f>
        <v>2.1060178207954198E-2</v>
      </c>
    </row>
    <row r="735" spans="1:9" x14ac:dyDescent="0.35">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97.447199999999995</v>
      </c>
      <c r="G735" s="35">
        <f t="shared" si="44"/>
        <v>-2.6561177038708639E-4</v>
      </c>
      <c r="H735" s="35">
        <f t="shared" si="45"/>
        <v>-3.1826890902904026E-3</v>
      </c>
      <c r="I735" s="35">
        <f>(Table143454[[#This Row],[Core CPI]]-F723)/F723</f>
        <v>2.1058295249925443E-2</v>
      </c>
    </row>
    <row r="736" spans="1:9" x14ac:dyDescent="0.35">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97.730109999999996</v>
      </c>
      <c r="G736" s="35">
        <f t="shared" si="44"/>
        <v>2.9032132272657218E-3</v>
      </c>
      <c r="H736" s="35">
        <f t="shared" si="45"/>
        <v>3.5400268196872808E-2</v>
      </c>
      <c r="I736" s="35">
        <f>(Table143454[[#This Row],[Core CPI]]-F724)/F724</f>
        <v>2.1896136446455064E-2</v>
      </c>
    </row>
    <row r="737" spans="1:9" x14ac:dyDescent="0.35">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98.078460000000007</v>
      </c>
      <c r="G737" s="35">
        <f t="shared" si="44"/>
        <v>3.5644081440204811E-3</v>
      </c>
      <c r="H737" s="35">
        <f t="shared" si="45"/>
        <v>4.3621471326307892E-2</v>
      </c>
      <c r="I737" s="35">
        <f>(Table143454[[#This Row],[Core CPI]]-F725)/F725</f>
        <v>2.2130600494482257E-2</v>
      </c>
    </row>
    <row r="738" spans="1:9" x14ac:dyDescent="0.35">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98.361660000000001</v>
      </c>
      <c r="G738" s="35">
        <f t="shared" si="44"/>
        <v>2.8874841631891801E-3</v>
      </c>
      <c r="H738" s="35">
        <f t="shared" si="45"/>
        <v>3.5205420212999661E-2</v>
      </c>
      <c r="I738" s="35">
        <f>(Table143454[[#This Row],[Core CPI]]-F726)/F726</f>
        <v>2.1549066398218533E-2</v>
      </c>
    </row>
    <row r="739" spans="1:9" x14ac:dyDescent="0.35">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97.986279999999994</v>
      </c>
      <c r="G739" s="35">
        <f t="shared" si="44"/>
        <v>-3.8163243686616388E-3</v>
      </c>
      <c r="H739" s="35">
        <f t="shared" si="45"/>
        <v>-4.4846770258685442E-2</v>
      </c>
      <c r="I739" s="35">
        <f>(Table143454[[#This Row],[Core CPI]]-F727)/F727</f>
        <v>1.8209168199909403E-2</v>
      </c>
    </row>
    <row r="740" spans="1:9" x14ac:dyDescent="0.35">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97.942760000000007</v>
      </c>
      <c r="G740" s="35">
        <f t="shared" si="44"/>
        <v>-4.4414381278667925E-4</v>
      </c>
      <c r="H740" s="35">
        <f t="shared" si="45"/>
        <v>-5.3167256032088384E-3</v>
      </c>
      <c r="I740" s="35">
        <f>(Table143454[[#This Row],[Core CPI]]-F728)/F728</f>
        <v>1.29748974642626E-2</v>
      </c>
    </row>
    <row r="741" spans="1:9" x14ac:dyDescent="0.35">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97.770809999999997</v>
      </c>
      <c r="G741" s="35">
        <f t="shared" si="44"/>
        <v>-1.7556172605306397E-3</v>
      </c>
      <c r="H741" s="35">
        <f t="shared" si="45"/>
        <v>-2.0865168220245978E-2</v>
      </c>
      <c r="I741" s="35">
        <f>(Table143454[[#This Row],[Core CPI]]-F729)/F729</f>
        <v>1.4718538070155666E-2</v>
      </c>
    </row>
    <row r="742" spans="1:9" x14ac:dyDescent="0.35">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98.006190000000004</v>
      </c>
      <c r="G742" s="35">
        <f t="shared" si="44"/>
        <v>2.4074670139277998E-3</v>
      </c>
      <c r="H742" s="35">
        <f t="shared" si="45"/>
        <v>2.9275219844554057E-2</v>
      </c>
      <c r="I742" s="35">
        <f>(Table143454[[#This Row],[Core CPI]]-F730)/F730</f>
        <v>1.4000181887727706E-2</v>
      </c>
    </row>
    <row r="743" spans="1:9" x14ac:dyDescent="0.35">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98.057720000000003</v>
      </c>
      <c r="G743" s="35">
        <f t="shared" si="44"/>
        <v>5.2578311635209651E-4</v>
      </c>
      <c r="H743" s="35">
        <f t="shared" si="45"/>
        <v>6.3276749718848002E-3</v>
      </c>
      <c r="I743" s="35">
        <f>(Table143454[[#This Row],[Core CPI]]-F731)/F731</f>
        <v>1.6019832637769522E-2</v>
      </c>
    </row>
    <row r="744" spans="1:9" x14ac:dyDescent="0.35">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98.088070000000002</v>
      </c>
      <c r="G744" s="35">
        <f t="shared" si="44"/>
        <v>3.0951158154612912E-4</v>
      </c>
      <c r="H744" s="35">
        <f t="shared" si="45"/>
        <v>3.7204681358502523E-3</v>
      </c>
      <c r="I744" s="35">
        <f>(Table143454[[#This Row],[Core CPI]]-F732)/F732</f>
        <v>1.4150516173377306E-2</v>
      </c>
    </row>
    <row r="745" spans="1:9" x14ac:dyDescent="0.35">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98.293030000000002</v>
      </c>
      <c r="G745" s="35">
        <f t="shared" si="44"/>
        <v>2.0895507476088593E-3</v>
      </c>
      <c r="H745" s="35">
        <f t="shared" si="45"/>
        <v>2.5364796270620493E-2</v>
      </c>
      <c r="I745" s="35">
        <f>(Table143454[[#This Row],[Core CPI]]-F733)/F733</f>
        <v>1.2230318808222803E-2</v>
      </c>
    </row>
    <row r="746" spans="1:9" x14ac:dyDescent="0.35">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98.514859999999999</v>
      </c>
      <c r="G746" s="35">
        <f t="shared" si="44"/>
        <v>2.2568232966264645E-3</v>
      </c>
      <c r="H746" s="35">
        <f t="shared" si="45"/>
        <v>2.7420575843838613E-2</v>
      </c>
      <c r="I746" s="35">
        <f>(Table143454[[#This Row],[Core CPI]]-F734)/F734</f>
        <v>1.0687770337433641E-2</v>
      </c>
    </row>
    <row r="747" spans="1:9" x14ac:dyDescent="0.35">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98.57996</v>
      </c>
      <c r="G747" s="35">
        <f t="shared" si="44"/>
        <v>6.6081401323625499E-4</v>
      </c>
      <c r="H747" s="35">
        <f t="shared" si="45"/>
        <v>7.9586522973242868E-3</v>
      </c>
      <c r="I747" s="35">
        <f>(Table143454[[#This Row],[Core CPI]]-F735)/F735</f>
        <v>1.1624346312669884E-2</v>
      </c>
    </row>
    <row r="748" spans="1:9" x14ac:dyDescent="0.35">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98.800669999999997</v>
      </c>
      <c r="G748" s="35">
        <f t="shared" si="44"/>
        <v>2.2388931786947452E-3</v>
      </c>
      <c r="H748" s="35">
        <f t="shared" si="45"/>
        <v>2.7200034052322408E-2</v>
      </c>
      <c r="I748" s="35">
        <f>(Table143454[[#This Row],[Core CPI]]-F736)/F736</f>
        <v>1.0954249411977542E-2</v>
      </c>
    </row>
    <row r="749" spans="1:9" x14ac:dyDescent="0.35">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99.035229999999999</v>
      </c>
      <c r="G749" s="35">
        <f t="shared" si="44"/>
        <v>2.3740729693433327E-3</v>
      </c>
      <c r="H749" s="35">
        <f t="shared" si="45"/>
        <v>2.8863825876040083E-2</v>
      </c>
      <c r="I749" s="35">
        <f>(Table143454[[#This Row],[Core CPI]]-F737)/F737</f>
        <v>9.7551490918596356E-3</v>
      </c>
    </row>
    <row r="750" spans="1:9" x14ac:dyDescent="0.35">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99.534199999999998</v>
      </c>
      <c r="G750" s="35">
        <f t="shared" si="44"/>
        <v>5.038308084910792E-3</v>
      </c>
      <c r="H750" s="35">
        <f t="shared" si="45"/>
        <v>6.216353570136568E-2</v>
      </c>
      <c r="I750" s="35">
        <f>(Table143454[[#This Row],[Core CPI]]-F738)/F738</f>
        <v>1.1920701622969742E-2</v>
      </c>
    </row>
    <row r="751" spans="1:9" x14ac:dyDescent="0.35">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99.145120000000006</v>
      </c>
      <c r="G751" s="35">
        <f t="shared" si="44"/>
        <v>-3.9090081600092752E-3</v>
      </c>
      <c r="H751" s="35">
        <f t="shared" si="45"/>
        <v>-4.5912621124544972E-2</v>
      </c>
      <c r="I751" s="35">
        <f>(Table143454[[#This Row],[Core CPI]]-F739)/F739</f>
        <v>1.1826553676698536E-2</v>
      </c>
    </row>
    <row r="752" spans="1:9" x14ac:dyDescent="0.35">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99.084350000000001</v>
      </c>
      <c r="G752" s="35">
        <f t="shared" si="44"/>
        <v>-6.1293990062250003E-4</v>
      </c>
      <c r="H752" s="35">
        <f t="shared" si="45"/>
        <v>-7.3305335077373801E-3</v>
      </c>
      <c r="I752" s="35">
        <f>(Table143454[[#This Row],[Core CPI]]-F740)/F740</f>
        <v>1.1655685422791778E-2</v>
      </c>
    </row>
    <row r="753" spans="1:9" x14ac:dyDescent="0.35">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98.76088</v>
      </c>
      <c r="G753" s="35">
        <f t="shared" si="44"/>
        <v>-3.2645922388349069E-3</v>
      </c>
      <c r="H753" s="35">
        <f t="shared" si="45"/>
        <v>-3.8479306181683604E-2</v>
      </c>
      <c r="I753" s="35">
        <f>(Table143454[[#This Row],[Core CPI]]-F741)/F741</f>
        <v>1.0126437532838307E-2</v>
      </c>
    </row>
    <row r="754" spans="1:9" x14ac:dyDescent="0.35">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98.795019999999994</v>
      </c>
      <c r="G754" s="35">
        <f t="shared" si="44"/>
        <v>3.4568343254925971E-4</v>
      </c>
      <c r="H754" s="35">
        <f t="shared" si="45"/>
        <v>4.1560970898015803E-3</v>
      </c>
      <c r="I754" s="35">
        <f>(Table143454[[#This Row],[Core CPI]]-F742)/F742</f>
        <v>8.0487773272279045E-3</v>
      </c>
    </row>
    <row r="755" spans="1:9" x14ac:dyDescent="0.35">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98.919880000000006</v>
      </c>
      <c r="G755" s="35">
        <f t="shared" si="44"/>
        <v>1.2638288853021873E-3</v>
      </c>
      <c r="H755" s="35">
        <f t="shared" si="45"/>
        <v>1.5271811383731126E-2</v>
      </c>
      <c r="I755" s="35">
        <f>(Table143454[[#This Row],[Core CPI]]-F743)/F743</f>
        <v>8.7923724924463161E-3</v>
      </c>
    </row>
    <row r="756" spans="1:9" x14ac:dyDescent="0.35">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98.912189999999995</v>
      </c>
      <c r="G756" s="35">
        <f t="shared" si="44"/>
        <v>-7.7739681851762832E-5</v>
      </c>
      <c r="H756" s="35">
        <f t="shared" si="45"/>
        <v>-9.3247741732549461E-4</v>
      </c>
      <c r="I756" s="35">
        <f>(Table143454[[#This Row],[Core CPI]]-F744)/F744</f>
        <v>8.4018372468740946E-3</v>
      </c>
    </row>
    <row r="757" spans="1:9" x14ac:dyDescent="0.35">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99.124889999999994</v>
      </c>
      <c r="G757" s="35">
        <f t="shared" si="44"/>
        <v>2.1503921811860671E-3</v>
      </c>
      <c r="H757" s="35">
        <f t="shared" si="45"/>
        <v>2.611210074575232E-2</v>
      </c>
      <c r="I757" s="35">
        <f>(Table143454[[#This Row],[Core CPI]]-F745)/F745</f>
        <v>8.4630619281956393E-3</v>
      </c>
    </row>
    <row r="758" spans="1:9" x14ac:dyDescent="0.35">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99.503050000000002</v>
      </c>
      <c r="G758" s="35">
        <f t="shared" si="44"/>
        <v>3.814985318016495E-3</v>
      </c>
      <c r="H758" s="35">
        <f t="shared" si="45"/>
        <v>4.67527159875325E-2</v>
      </c>
      <c r="I758" s="35">
        <f>(Table143454[[#This Row],[Core CPI]]-F746)/F746</f>
        <v>1.0030872499844216E-2</v>
      </c>
    </row>
    <row r="759" spans="1:9" x14ac:dyDescent="0.35">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99.352519999999998</v>
      </c>
      <c r="G759" s="35">
        <f t="shared" si="44"/>
        <v>-1.512817948796541E-3</v>
      </c>
      <c r="H759" s="35">
        <f t="shared" si="45"/>
        <v>-1.8003525699250233E-2</v>
      </c>
      <c r="I759" s="35">
        <f>(Table143454[[#This Row],[Core CPI]]-F747)/F747</f>
        <v>7.836886929148669E-3</v>
      </c>
    </row>
    <row r="760" spans="1:9" x14ac:dyDescent="0.35">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99.451769999999996</v>
      </c>
      <c r="G760" s="35">
        <f t="shared" si="44"/>
        <v>9.9896811877542291E-4</v>
      </c>
      <c r="H760" s="35">
        <f t="shared" si="45"/>
        <v>1.2053701100669167E-2</v>
      </c>
      <c r="I760" s="35">
        <f>(Table143454[[#This Row],[Core CPI]]-F748)/F748</f>
        <v>6.5900362821426171E-3</v>
      </c>
    </row>
    <row r="761" spans="1:9" x14ac:dyDescent="0.35">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99.632450000000006</v>
      </c>
      <c r="G761" s="35">
        <f t="shared" si="44"/>
        <v>1.8167600234768599E-3</v>
      </c>
      <c r="H761" s="35">
        <f t="shared" si="45"/>
        <v>2.2020285625245162E-2</v>
      </c>
      <c r="I761" s="35">
        <f>(Table143454[[#This Row],[Core CPI]]-F749)/F749</f>
        <v>6.0303792902788953E-3</v>
      </c>
    </row>
    <row r="762" spans="1:9" x14ac:dyDescent="0.35">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99.936449999999994</v>
      </c>
      <c r="G762" s="35">
        <f t="shared" si="44"/>
        <v>3.051214739775876E-3</v>
      </c>
      <c r="H762" s="35">
        <f t="shared" si="45"/>
        <v>3.7235323581536139E-2</v>
      </c>
      <c r="I762" s="35">
        <f>(Table143454[[#This Row],[Core CPI]]-F750)/F750</f>
        <v>4.0413244894719116E-3</v>
      </c>
    </row>
    <row r="763" spans="1:9" x14ac:dyDescent="0.35">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99.447980000000001</v>
      </c>
      <c r="G763" s="35">
        <f t="shared" si="44"/>
        <v>-4.8878062008405054E-3</v>
      </c>
      <c r="H763" s="35">
        <f t="shared" si="45"/>
        <v>-5.7102301245337106E-2</v>
      </c>
      <c r="I763" s="35">
        <f>(Table143454[[#This Row],[Core CPI]]-F751)/F751</f>
        <v>3.0547141402420559E-3</v>
      </c>
    </row>
    <row r="764" spans="1:9" x14ac:dyDescent="0.35">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99.466239999999999</v>
      </c>
      <c r="G764" s="35">
        <f t="shared" si="44"/>
        <v>1.8361358370477809E-4</v>
      </c>
      <c r="H764" s="35">
        <f t="shared" si="45"/>
        <v>2.2055894874704052E-3</v>
      </c>
      <c r="I764" s="35">
        <f>(Table143454[[#This Row],[Core CPI]]-F752)/F752</f>
        <v>3.8541908989663705E-3</v>
      </c>
    </row>
    <row r="765" spans="1:9" x14ac:dyDescent="0.35">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99.228620000000006</v>
      </c>
      <c r="G765" s="35">
        <f t="shared" si="44"/>
        <v>-2.3889512662788048E-3</v>
      </c>
      <c r="H765" s="35">
        <f t="shared" si="45"/>
        <v>-2.8293730786354887E-2</v>
      </c>
      <c r="I765" s="35">
        <f>(Table143454[[#This Row],[Core CPI]]-F753)/F753</f>
        <v>4.7360857861939495E-3</v>
      </c>
    </row>
    <row r="766" spans="1:9" x14ac:dyDescent="0.35">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99.430940000000007</v>
      </c>
      <c r="G766" s="35">
        <f t="shared" si="44"/>
        <v>2.0389278818953027E-3</v>
      </c>
      <c r="H766" s="35">
        <f t="shared" si="45"/>
        <v>2.4743384924361012E-2</v>
      </c>
      <c r="I766" s="35">
        <f>(Table143454[[#This Row],[Core CPI]]-F754)/F754</f>
        <v>6.4367616910246386E-3</v>
      </c>
    </row>
    <row r="767" spans="1:9" x14ac:dyDescent="0.35">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99.24982</v>
      </c>
      <c r="G767" s="35">
        <f t="shared" si="44"/>
        <v>-1.8215658023549297E-3</v>
      </c>
      <c r="H767" s="35">
        <f t="shared" si="45"/>
        <v>-2.1641119175123347E-2</v>
      </c>
      <c r="I767" s="35">
        <f>(Table143454[[#This Row],[Core CPI]]-F755)/F755</f>
        <v>3.3354266098987728E-3</v>
      </c>
    </row>
    <row r="768" spans="1:9" x14ac:dyDescent="0.35">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99.583410000000001</v>
      </c>
      <c r="G768" s="35">
        <f t="shared" si="44"/>
        <v>3.3611144080665234E-3</v>
      </c>
      <c r="H768" s="35">
        <f t="shared" si="45"/>
        <v>4.1087397934782777E-2</v>
      </c>
      <c r="I768" s="35">
        <f>(Table143454[[#This Row],[Core CPI]]-F756)/F756</f>
        <v>6.7860189932100919E-3</v>
      </c>
    </row>
    <row r="769" spans="1:9" x14ac:dyDescent="0.35">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99.513869999999997</v>
      </c>
      <c r="G769" s="35">
        <f t="shared" si="44"/>
        <v>-6.9830908582069195E-4</v>
      </c>
      <c r="H769" s="35">
        <f t="shared" si="45"/>
        <v>-8.3475998785161876E-3</v>
      </c>
      <c r="I769" s="35">
        <f>(Table143454[[#This Row],[Core CPI]]-F757)/F757</f>
        <v>3.9241405463350696E-3</v>
      </c>
    </row>
    <row r="770" spans="1:9" x14ac:dyDescent="0.35">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99.930269999999993</v>
      </c>
      <c r="G770" s="35">
        <f t="shared" si="44"/>
        <v>4.184341338548947E-3</v>
      </c>
      <c r="H770" s="35">
        <f t="shared" si="45"/>
        <v>5.1383941583524217E-2</v>
      </c>
      <c r="I770" s="35">
        <f>(Table143454[[#This Row],[Core CPI]]-F758)/F758</f>
        <v>4.2935367307835419E-3</v>
      </c>
    </row>
    <row r="771" spans="1:9" x14ac:dyDescent="0.35">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99.935199999999995</v>
      </c>
      <c r="G771" s="35">
        <f t="shared" ref="G771:G834" si="48">(F771/F770)-1</f>
        <v>4.933440087784291E-5</v>
      </c>
      <c r="H771" s="35">
        <f t="shared" ref="H771:H834" si="49">((1+G771)^12)-1</f>
        <v>5.9217347323836655E-4</v>
      </c>
      <c r="I771" s="35">
        <f>(Table143454[[#This Row],[Core CPI]]-F759)/F759</f>
        <v>5.8647732337337426E-3</v>
      </c>
    </row>
    <row r="772" spans="1:9" x14ac:dyDescent="0.35">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100.1649</v>
      </c>
      <c r="G772" s="35">
        <f t="shared" si="48"/>
        <v>2.2984894211450779E-3</v>
      </c>
      <c r="H772" s="35">
        <f t="shared" si="49"/>
        <v>2.793323992874952E-2</v>
      </c>
      <c r="I772" s="35">
        <f>(Table143454[[#This Row],[Core CPI]]-F760)/F760</f>
        <v>7.1706114431146547E-3</v>
      </c>
    </row>
    <row r="773" spans="1:9" x14ac:dyDescent="0.35">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100.35380000000001</v>
      </c>
      <c r="G773" s="35">
        <f t="shared" si="48"/>
        <v>1.8858901671143791E-3</v>
      </c>
      <c r="H773" s="35">
        <f t="shared" si="49"/>
        <v>2.2866898290327731E-2</v>
      </c>
      <c r="I773" s="35">
        <f>(Table143454[[#This Row],[Core CPI]]-F761)/F761</f>
        <v>7.240111028083732E-3</v>
      </c>
    </row>
    <row r="774" spans="1:9" x14ac:dyDescent="0.35">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100.7632</v>
      </c>
      <c r="G774" s="35">
        <f t="shared" si="48"/>
        <v>4.0795664937449683E-3</v>
      </c>
      <c r="H774" s="35">
        <f t="shared" si="49"/>
        <v>5.0068301921323055E-2</v>
      </c>
      <c r="I774" s="35">
        <f>(Table143454[[#This Row],[Core CPI]]-F762)/F762</f>
        <v>8.2727573372878872E-3</v>
      </c>
    </row>
    <row r="775" spans="1:9" x14ac:dyDescent="0.35">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100.312</v>
      </c>
      <c r="G775" s="35">
        <f t="shared" si="48"/>
        <v>-4.4778252377851713E-3</v>
      </c>
      <c r="H775" s="35">
        <f t="shared" si="49"/>
        <v>-5.2430097209875681E-2</v>
      </c>
      <c r="I775" s="35">
        <f>(Table143454[[#This Row],[Core CPI]]-F763)/F763</f>
        <v>8.6881603829459027E-3</v>
      </c>
    </row>
    <row r="776" spans="1:9" x14ac:dyDescent="0.35">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100.37949999999999</v>
      </c>
      <c r="G776" s="35">
        <f t="shared" si="48"/>
        <v>6.7290055028301765E-4</v>
      </c>
      <c r="H776" s="35">
        <f t="shared" si="49"/>
        <v>8.1047582158728648E-3</v>
      </c>
      <c r="I776" s="35">
        <f>(Table143454[[#This Row],[Core CPI]]-F764)/F764</f>
        <v>9.1816077495237985E-3</v>
      </c>
    </row>
    <row r="777" spans="1:9" x14ac:dyDescent="0.35">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99.849850000000004</v>
      </c>
      <c r="G777" s="35">
        <f t="shared" si="48"/>
        <v>-5.276475774435907E-3</v>
      </c>
      <c r="H777" s="35">
        <f t="shared" si="49"/>
        <v>-6.1512128594563231E-2</v>
      </c>
      <c r="I777" s="35">
        <f>(Table143454[[#This Row],[Core CPI]]-F765)/F765</f>
        <v>6.2605929619901704E-3</v>
      </c>
    </row>
    <row r="778" spans="1:9" x14ac:dyDescent="0.35">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99.964250000000007</v>
      </c>
      <c r="G778" s="35">
        <f t="shared" si="48"/>
        <v>1.1457202990290405E-3</v>
      </c>
      <c r="H778" s="35">
        <f t="shared" si="49"/>
        <v>1.3835611863942221E-2</v>
      </c>
      <c r="I778" s="35">
        <f>(Table143454[[#This Row],[Core CPI]]-F766)/F766</f>
        <v>5.3636222286543821E-3</v>
      </c>
    </row>
    <row r="779" spans="1:9" x14ac:dyDescent="0.35">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100.00620000000001</v>
      </c>
      <c r="G779" s="35">
        <f t="shared" si="48"/>
        <v>4.1965002488386638E-4</v>
      </c>
      <c r="H779" s="35">
        <f t="shared" si="49"/>
        <v>5.0474395780806258E-3</v>
      </c>
      <c r="I779" s="35">
        <f>(Table143454[[#This Row],[Core CPI]]-F767)/F767</f>
        <v>7.6209710002497454E-3</v>
      </c>
    </row>
    <row r="780" spans="1:9" x14ac:dyDescent="0.35">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99.889290000000003</v>
      </c>
      <c r="G780" s="35">
        <f t="shared" si="48"/>
        <v>-1.1690275202937972E-3</v>
      </c>
      <c r="H780" s="35">
        <f t="shared" si="49"/>
        <v>-1.3938483525086642E-2</v>
      </c>
      <c r="I780" s="35">
        <f>(Table143454[[#This Row],[Core CPI]]-F768)/F768</f>
        <v>3.0715959616165176E-3</v>
      </c>
    </row>
    <row r="781" spans="1:9" x14ac:dyDescent="0.35">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100.16670000000001</v>
      </c>
      <c r="G781" s="35">
        <f t="shared" si="48"/>
        <v>2.777174610010702E-3</v>
      </c>
      <c r="H781" s="35">
        <f t="shared" si="49"/>
        <v>3.3839875311073797E-2</v>
      </c>
      <c r="I781" s="35">
        <f>(Table143454[[#This Row],[Core CPI]]-F769)/F769</f>
        <v>6.560191056784433E-3</v>
      </c>
    </row>
    <row r="782" spans="1:9" x14ac:dyDescent="0.35">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100.28060000000001</v>
      </c>
      <c r="G782" s="35">
        <f t="shared" si="48"/>
        <v>1.1371044468870828E-3</v>
      </c>
      <c r="H782" s="35">
        <f t="shared" si="49"/>
        <v>1.3730916084616185E-2</v>
      </c>
      <c r="I782" s="35">
        <f>(Table143454[[#This Row],[Core CPI]]-F770)/F770</f>
        <v>3.5057445556788132E-3</v>
      </c>
    </row>
    <row r="783" spans="1:9" x14ac:dyDescent="0.35">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100.52670000000001</v>
      </c>
      <c r="G783" s="35">
        <f t="shared" si="48"/>
        <v>2.4541137567983817E-3</v>
      </c>
      <c r="H783" s="35">
        <f t="shared" si="49"/>
        <v>2.985013128523506E-2</v>
      </c>
      <c r="I783" s="35">
        <f>(Table143454[[#This Row],[Core CPI]]-F771)/F771</f>
        <v>5.9188354053427679E-3</v>
      </c>
    </row>
    <row r="784" spans="1:9" x14ac:dyDescent="0.35">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100.52290000000001</v>
      </c>
      <c r="G784" s="35">
        <f t="shared" si="48"/>
        <v>-3.7800902645712675E-5</v>
      </c>
      <c r="H784" s="35">
        <f t="shared" si="49"/>
        <v>-4.535165356869264E-4</v>
      </c>
      <c r="I784" s="35">
        <f>(Table143454[[#This Row],[Core CPI]]-F772)/F772</f>
        <v>3.5741062987134625E-3</v>
      </c>
    </row>
    <row r="785" spans="1:9" x14ac:dyDescent="0.35">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100.9569</v>
      </c>
      <c r="G785" s="35">
        <f t="shared" si="48"/>
        <v>4.3174241889161191E-3</v>
      </c>
      <c r="H785" s="35">
        <f t="shared" si="49"/>
        <v>5.3057218495958125E-2</v>
      </c>
      <c r="I785" s="35">
        <f>(Table143454[[#This Row],[Core CPI]]-F773)/F773</f>
        <v>6.0097375485531962E-3</v>
      </c>
    </row>
    <row r="786" spans="1:9" x14ac:dyDescent="0.35">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101.2396</v>
      </c>
      <c r="G786" s="35">
        <f t="shared" si="48"/>
        <v>2.8002048398869661E-3</v>
      </c>
      <c r="H786" s="35">
        <f t="shared" si="49"/>
        <v>3.4124834861415598E-2</v>
      </c>
      <c r="I786" s="35">
        <f>(Table143454[[#This Row],[Core CPI]]-F774)/F774</f>
        <v>4.7279165409593801E-3</v>
      </c>
    </row>
    <row r="787" spans="1:9" x14ac:dyDescent="0.35">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100.8128</v>
      </c>
      <c r="G787" s="35">
        <f t="shared" si="48"/>
        <v>-4.2157416663044511E-3</v>
      </c>
      <c r="H787" s="35">
        <f t="shared" si="49"/>
        <v>-4.943224447785699E-2</v>
      </c>
      <c r="I787" s="35">
        <f>(Table143454[[#This Row],[Core CPI]]-F775)/F775</f>
        <v>4.9924236382486459E-3</v>
      </c>
    </row>
    <row r="788" spans="1:9" x14ac:dyDescent="0.35">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100.59569999999999</v>
      </c>
      <c r="G788" s="35">
        <f t="shared" si="48"/>
        <v>-2.1534963814119346E-3</v>
      </c>
      <c r="H788" s="35">
        <f t="shared" si="49"/>
        <v>-2.5538065014564792E-2</v>
      </c>
      <c r="I788" s="35">
        <f>(Table143454[[#This Row],[Core CPI]]-F776)/F776</f>
        <v>2.1538262294592088E-3</v>
      </c>
    </row>
    <row r="789" spans="1:9" x14ac:dyDescent="0.35">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100.3113</v>
      </c>
      <c r="G789" s="35">
        <f t="shared" si="48"/>
        <v>-2.8271586161237039E-3</v>
      </c>
      <c r="H789" s="35">
        <f t="shared" si="49"/>
        <v>-3.3403316744383349E-2</v>
      </c>
      <c r="I789" s="35">
        <f>(Table143454[[#This Row],[Core CPI]]-F777)/F777</f>
        <v>4.6214390907948211E-3</v>
      </c>
    </row>
    <row r="790" spans="1:9" x14ac:dyDescent="0.35">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100.6673</v>
      </c>
      <c r="G790" s="35">
        <f t="shared" si="48"/>
        <v>3.5489521120750656E-3</v>
      </c>
      <c r="H790" s="35">
        <f t="shared" si="49"/>
        <v>4.3428612188543658E-2</v>
      </c>
      <c r="I790" s="35">
        <f>(Table143454[[#This Row],[Core CPI]]-F778)/F778</f>
        <v>7.033014302613088E-3</v>
      </c>
    </row>
    <row r="791" spans="1:9" x14ac:dyDescent="0.35">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100.5359</v>
      </c>
      <c r="G791" s="35">
        <f t="shared" si="48"/>
        <v>-1.3052898011568503E-3</v>
      </c>
      <c r="H791" s="35">
        <f t="shared" si="49"/>
        <v>-1.5551515867552324E-2</v>
      </c>
      <c r="I791" s="35">
        <f>(Table143454[[#This Row],[Core CPI]]-F779)/F779</f>
        <v>5.2966716063603172E-3</v>
      </c>
    </row>
    <row r="792" spans="1:9" x14ac:dyDescent="0.35">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100.6614</v>
      </c>
      <c r="G792" s="35">
        <f t="shared" si="48"/>
        <v>1.2483103050751065E-3</v>
      </c>
      <c r="H792" s="35">
        <f t="shared" si="49"/>
        <v>1.5082999201408764E-2</v>
      </c>
      <c r="I792" s="35">
        <f>(Table143454[[#This Row],[Core CPI]]-F780)/F780</f>
        <v>7.7296575038224603E-3</v>
      </c>
    </row>
    <row r="793" spans="1:9" x14ac:dyDescent="0.35">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100.9057</v>
      </c>
      <c r="G793" s="35">
        <f t="shared" si="48"/>
        <v>2.4269481648377944E-3</v>
      </c>
      <c r="H793" s="35">
        <f t="shared" si="49"/>
        <v>2.9515285206780595E-2</v>
      </c>
      <c r="I793" s="35">
        <f>(Table143454[[#This Row],[Core CPI]]-F781)/F781</f>
        <v>7.3777013718130885E-3</v>
      </c>
    </row>
    <row r="794" spans="1:9" x14ac:dyDescent="0.35">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101.52209999999999</v>
      </c>
      <c r="G794" s="35">
        <f t="shared" si="48"/>
        <v>6.1086737419193682E-3</v>
      </c>
      <c r="H794" s="35">
        <f t="shared" si="49"/>
        <v>7.5817779164235599E-2</v>
      </c>
      <c r="I794" s="35">
        <f>(Table143454[[#This Row],[Core CPI]]-F782)/F782</f>
        <v>1.2380260987668481E-2</v>
      </c>
    </row>
    <row r="795" spans="1:9" x14ac:dyDescent="0.35">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101.2722</v>
      </c>
      <c r="G795" s="35">
        <f t="shared" si="48"/>
        <v>-2.4615330061139584E-3</v>
      </c>
      <c r="H795" s="35">
        <f t="shared" si="49"/>
        <v>-2.9141755671481251E-2</v>
      </c>
      <c r="I795" s="35">
        <f>(Table143454[[#This Row],[Core CPI]]-F783)/F783</f>
        <v>7.4159402427414079E-3</v>
      </c>
    </row>
    <row r="796" spans="1:9" x14ac:dyDescent="0.35">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101.398</v>
      </c>
      <c r="G796" s="35">
        <f t="shared" si="48"/>
        <v>1.2421967726581329E-3</v>
      </c>
      <c r="H796" s="35">
        <f t="shared" si="49"/>
        <v>1.500862562964822E-2</v>
      </c>
      <c r="I796" s="35">
        <f>(Table143454[[#This Row],[Core CPI]]-F784)/F784</f>
        <v>8.7054790500471942E-3</v>
      </c>
    </row>
    <row r="797" spans="1:9" x14ac:dyDescent="0.35">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101.83029999999999</v>
      </c>
      <c r="G797" s="35">
        <f t="shared" si="48"/>
        <v>4.2633977001518275E-3</v>
      </c>
      <c r="H797" s="35">
        <f t="shared" si="49"/>
        <v>5.2377638680242367E-2</v>
      </c>
      <c r="I797" s="35">
        <f>(Table143454[[#This Row],[Core CPI]]-F785)/F785</f>
        <v>8.6512165092231391E-3</v>
      </c>
    </row>
    <row r="798" spans="1:9" x14ac:dyDescent="0.35">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102.1572</v>
      </c>
      <c r="G798" s="35">
        <f t="shared" si="48"/>
        <v>3.210242923766371E-3</v>
      </c>
      <c r="H798" s="35">
        <f t="shared" si="49"/>
        <v>3.9210419871670732E-2</v>
      </c>
      <c r="I798" s="35">
        <f>(Table143454[[#This Row],[Core CPI]]-F786)/F786</f>
        <v>9.0636470313988533E-3</v>
      </c>
    </row>
    <row r="799" spans="1:9" x14ac:dyDescent="0.35">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101.5873</v>
      </c>
      <c r="G799" s="35">
        <f t="shared" si="48"/>
        <v>-5.5786572067363371E-3</v>
      </c>
      <c r="H799" s="35">
        <f t="shared" si="49"/>
        <v>-6.4927593289512142E-2</v>
      </c>
      <c r="I799" s="35">
        <f>(Table143454[[#This Row],[Core CPI]]-F787)/F787</f>
        <v>7.6825561833418305E-3</v>
      </c>
    </row>
    <row r="800" spans="1:9" x14ac:dyDescent="0.35">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101.0125</v>
      </c>
      <c r="G800" s="35">
        <f t="shared" si="48"/>
        <v>-5.6581875884091914E-3</v>
      </c>
      <c r="H800" s="35">
        <f t="shared" si="49"/>
        <v>-6.5824604958658384E-2</v>
      </c>
      <c r="I800" s="35">
        <f>(Table143454[[#This Row],[Core CPI]]-F788)/F788</f>
        <v>4.1433182531659821E-3</v>
      </c>
    </row>
    <row r="801" spans="1:9" x14ac:dyDescent="0.35">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100.599</v>
      </c>
      <c r="G801" s="35">
        <f t="shared" si="48"/>
        <v>-4.093552778121512E-3</v>
      </c>
      <c r="H801" s="35">
        <f t="shared" si="49"/>
        <v>-4.8031612942236346E-2</v>
      </c>
      <c r="I801" s="35">
        <f>(Table143454[[#This Row],[Core CPI]]-F789)/F789</f>
        <v>2.8680716928202602E-3</v>
      </c>
    </row>
    <row r="802" spans="1:9" x14ac:dyDescent="0.35">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101.08029999999999</v>
      </c>
      <c r="G802" s="35">
        <f t="shared" si="48"/>
        <v>4.7843417926618503E-3</v>
      </c>
      <c r="H802" s="35">
        <f t="shared" si="49"/>
        <v>5.8947190915630943E-2</v>
      </c>
      <c r="I802" s="35">
        <f>(Table143454[[#This Row],[Core CPI]]-F790)/F790</f>
        <v>4.1026231954169497E-3</v>
      </c>
    </row>
    <row r="803" spans="1:9" x14ac:dyDescent="0.35">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100.9319</v>
      </c>
      <c r="G803" s="35">
        <f t="shared" si="48"/>
        <v>-1.4681396869616892E-3</v>
      </c>
      <c r="H803" s="35">
        <f t="shared" si="49"/>
        <v>-1.74761114811951E-2</v>
      </c>
      <c r="I803" s="35">
        <f>(Table143454[[#This Row],[Core CPI]]-F791)/F791</f>
        <v>3.9388914805557097E-3</v>
      </c>
    </row>
    <row r="804" spans="1:9" x14ac:dyDescent="0.35">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101.0737</v>
      </c>
      <c r="G804" s="35">
        <f t="shared" si="48"/>
        <v>1.4049076654656378E-3</v>
      </c>
      <c r="H804" s="35">
        <f t="shared" si="49"/>
        <v>1.6989772495362931E-2</v>
      </c>
      <c r="I804" s="35">
        <f>(Table143454[[#This Row],[Core CPI]]-F792)/F792</f>
        <v>4.09590965355143E-3</v>
      </c>
    </row>
    <row r="805" spans="1:9" x14ac:dyDescent="0.35">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101.5009</v>
      </c>
      <c r="G805" s="35">
        <f t="shared" si="48"/>
        <v>4.2266187940087629E-3</v>
      </c>
      <c r="H805" s="35">
        <f t="shared" si="49"/>
        <v>5.1915240032037513E-2</v>
      </c>
      <c r="I805" s="35">
        <f>(Table143454[[#This Row],[Core CPI]]-F793)/F793</f>
        <v>5.8985765918080496E-3</v>
      </c>
    </row>
    <row r="806" spans="1:9" x14ac:dyDescent="0.35">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101.8411</v>
      </c>
      <c r="G806" s="35">
        <f t="shared" si="48"/>
        <v>3.3516944184730502E-3</v>
      </c>
      <c r="H806" s="35">
        <f t="shared" si="49"/>
        <v>4.0970113827239363E-2</v>
      </c>
      <c r="I806" s="35">
        <f>(Table143454[[#This Row],[Core CPI]]-F794)/F794</f>
        <v>3.1421729849954111E-3</v>
      </c>
    </row>
    <row r="807" spans="1:9" x14ac:dyDescent="0.35">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101.9453</v>
      </c>
      <c r="G807" s="35">
        <f t="shared" si="48"/>
        <v>1.0231625542143075E-3</v>
      </c>
      <c r="H807" s="35">
        <f t="shared" si="49"/>
        <v>1.2347279704467695E-2</v>
      </c>
      <c r="I807" s="35">
        <f>(Table143454[[#This Row],[Core CPI]]-F795)/F795</f>
        <v>6.6464439401929176E-3</v>
      </c>
    </row>
    <row r="808" spans="1:9" x14ac:dyDescent="0.35">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102.12609999999999</v>
      </c>
      <c r="G808" s="35">
        <f t="shared" si="48"/>
        <v>1.7735001025058761E-3</v>
      </c>
      <c r="H808" s="35">
        <f t="shared" si="49"/>
        <v>2.1490823316284047E-2</v>
      </c>
      <c r="I808" s="35">
        <f>(Table143454[[#This Row],[Core CPI]]-F796)/F796</f>
        <v>7.1806150022682676E-3</v>
      </c>
    </row>
    <row r="809" spans="1:9" x14ac:dyDescent="0.35">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102.3901</v>
      </c>
      <c r="G809" s="35">
        <f t="shared" si="48"/>
        <v>2.585039475706985E-3</v>
      </c>
      <c r="H809" s="35">
        <f t="shared" si="49"/>
        <v>3.1465336579801439E-2</v>
      </c>
      <c r="I809" s="35">
        <f>(Table143454[[#This Row],[Core CPI]]-F797)/F797</f>
        <v>5.4973814277283865E-3</v>
      </c>
    </row>
    <row r="810" spans="1:9" x14ac:dyDescent="0.35">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102.9298</v>
      </c>
      <c r="G810" s="35">
        <f t="shared" si="48"/>
        <v>5.2710174128163256E-3</v>
      </c>
      <c r="H810" s="35">
        <f t="shared" si="49"/>
        <v>6.5118532076007485E-2</v>
      </c>
      <c r="I810" s="35">
        <f>(Table143454[[#This Row],[Core CPI]]-F798)/F798</f>
        <v>7.5628541111149973E-3</v>
      </c>
    </row>
    <row r="811" spans="1:9" x14ac:dyDescent="0.35">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102.2501</v>
      </c>
      <c r="G811" s="35">
        <f t="shared" si="48"/>
        <v>-6.6035297843772822E-3</v>
      </c>
      <c r="H811" s="35">
        <f t="shared" si="49"/>
        <v>-7.6426740704723439E-2</v>
      </c>
      <c r="I811" s="35">
        <f>(Table143454[[#This Row],[Core CPI]]-F799)/F799</f>
        <v>6.5244376019443799E-3</v>
      </c>
    </row>
    <row r="812" spans="1:9" x14ac:dyDescent="0.35">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101.8008</v>
      </c>
      <c r="G812" s="35">
        <f t="shared" si="48"/>
        <v>-4.3941277319045069E-3</v>
      </c>
      <c r="H812" s="35">
        <f t="shared" si="49"/>
        <v>-5.1473663415380511E-2</v>
      </c>
      <c r="I812" s="35">
        <f>(Table143454[[#This Row],[Core CPI]]-F800)/F800</f>
        <v>7.8039846553643599E-3</v>
      </c>
    </row>
    <row r="813" spans="1:9" x14ac:dyDescent="0.35">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101.43899999999999</v>
      </c>
      <c r="G813" s="35">
        <f t="shared" si="48"/>
        <v>-3.5539995756418419E-3</v>
      </c>
      <c r="H813" s="35">
        <f t="shared" si="49"/>
        <v>-4.1824151982775115E-2</v>
      </c>
      <c r="I813" s="35">
        <f>(Table143454[[#This Row],[Core CPI]]-F801)/F801</f>
        <v>8.3499835982463952E-3</v>
      </c>
    </row>
    <row r="814" spans="1:9" x14ac:dyDescent="0.35">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101.5925</v>
      </c>
      <c r="G814" s="35">
        <f t="shared" si="48"/>
        <v>1.5132246966158558E-3</v>
      </c>
      <c r="H814" s="35">
        <f t="shared" si="49"/>
        <v>1.8310591306341273E-2</v>
      </c>
      <c r="I814" s="35">
        <f>(Table143454[[#This Row],[Core CPI]]-F802)/F802</f>
        <v>5.0672584074246624E-3</v>
      </c>
    </row>
    <row r="815" spans="1:9" x14ac:dyDescent="0.35">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101.51900000000001</v>
      </c>
      <c r="G815" s="35">
        <f t="shared" si="48"/>
        <v>-7.2347860324328828E-4</v>
      </c>
      <c r="H815" s="35">
        <f t="shared" si="49"/>
        <v>-8.6472806088672138E-3</v>
      </c>
      <c r="I815" s="35">
        <f>(Table143454[[#This Row],[Core CPI]]-F803)/F803</f>
        <v>5.8167933032074754E-3</v>
      </c>
    </row>
    <row r="816" spans="1:9" x14ac:dyDescent="0.35">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101.5219</v>
      </c>
      <c r="G816" s="35">
        <f t="shared" si="48"/>
        <v>2.8566081226033546E-5</v>
      </c>
      <c r="H816" s="35">
        <f t="shared" si="49"/>
        <v>3.4284683722685116E-4</v>
      </c>
      <c r="I816" s="35">
        <f>(Table143454[[#This Row],[Core CPI]]-F804)/F804</f>
        <v>4.4343879762984827E-3</v>
      </c>
    </row>
    <row r="817" spans="1:9" x14ac:dyDescent="0.35">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101.9395</v>
      </c>
      <c r="G817" s="35">
        <f t="shared" si="48"/>
        <v>4.1133981929022401E-3</v>
      </c>
      <c r="H817" s="35">
        <f t="shared" si="49"/>
        <v>5.0492955668148154E-2</v>
      </c>
      <c r="I817" s="35">
        <f>(Table143454[[#This Row],[Core CPI]]-F805)/F805</f>
        <v>4.3211439504476697E-3</v>
      </c>
    </row>
    <row r="818" spans="1:9" x14ac:dyDescent="0.35">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102.6108</v>
      </c>
      <c r="G818" s="35">
        <f t="shared" si="48"/>
        <v>6.585278523045579E-3</v>
      </c>
      <c r="H818" s="35">
        <f t="shared" si="49"/>
        <v>8.1949258837710204E-2</v>
      </c>
      <c r="I818" s="35">
        <f>(Table143454[[#This Row],[Core CPI]]-F806)/F806</f>
        <v>7.5578523798348635E-3</v>
      </c>
    </row>
    <row r="819" spans="1:9" x14ac:dyDescent="0.35">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102.3762</v>
      </c>
      <c r="G819" s="35">
        <f t="shared" si="48"/>
        <v>-2.2863090434924738E-3</v>
      </c>
      <c r="H819" s="35">
        <f t="shared" si="49"/>
        <v>-2.7093328472587608E-2</v>
      </c>
      <c r="I819" s="35">
        <f>(Table143454[[#This Row],[Core CPI]]-F807)/F807</f>
        <v>4.226776516425907E-3</v>
      </c>
    </row>
    <row r="820" spans="1:9" x14ac:dyDescent="0.35">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102.6564</v>
      </c>
      <c r="G820" s="35">
        <f t="shared" si="48"/>
        <v>2.7369642553640716E-3</v>
      </c>
      <c r="H820" s="35">
        <f t="shared" si="49"/>
        <v>3.3342513759060166E-2</v>
      </c>
      <c r="I820" s="35">
        <f>(Table143454[[#This Row],[Core CPI]]-F808)/F808</f>
        <v>5.1926001286645741E-3</v>
      </c>
    </row>
    <row r="821" spans="1:9" s="26" customFormat="1" x14ac:dyDescent="0.35">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102.94499999999999</v>
      </c>
      <c r="G821" s="35">
        <f t="shared" si="48"/>
        <v>2.8113200930481863E-3</v>
      </c>
      <c r="H821" s="35">
        <f t="shared" si="49"/>
        <v>3.4262392792357765E-2</v>
      </c>
      <c r="I821" s="35">
        <f>(Table143454[[#This Row],[Core CPI]]-F809)/F809</f>
        <v>5.4194692650948607E-3</v>
      </c>
    </row>
    <row r="822" spans="1:9" s="26" customFormat="1" x14ac:dyDescent="0.35">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103.4774</v>
      </c>
      <c r="G822" s="35">
        <f t="shared" si="48"/>
        <v>5.1716936228083377E-3</v>
      </c>
      <c r="H822" s="35">
        <f t="shared" si="49"/>
        <v>6.385637525333987E-2</v>
      </c>
      <c r="I822" s="35">
        <f>(Table143454[[#This Row],[Core CPI]]-F810)/F810</f>
        <v>5.3201308075989922E-3</v>
      </c>
    </row>
    <row r="823" spans="1:9" s="26" customFormat="1" x14ac:dyDescent="0.35">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102.8181</v>
      </c>
      <c r="G823" s="35">
        <f t="shared" si="48"/>
        <v>-6.3714395607157304E-3</v>
      </c>
      <c r="H823" s="35">
        <f t="shared" si="49"/>
        <v>-7.3834084287998314E-2</v>
      </c>
      <c r="I823" s="35">
        <f>(Table143454[[#This Row],[Core CPI]]-F811)/F811</f>
        <v>5.5550067921693747E-3</v>
      </c>
    </row>
    <row r="824" spans="1:9" s="26" customFormat="1" x14ac:dyDescent="0.35">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102.4834</v>
      </c>
      <c r="G824" s="35">
        <f t="shared" si="48"/>
        <v>-3.2552634215181619E-3</v>
      </c>
      <c r="H824" s="35">
        <f t="shared" si="49"/>
        <v>-3.8371309865946168E-2</v>
      </c>
      <c r="I824" s="35">
        <f>(Table143454[[#This Row],[Core CPI]]-F812)/F812</f>
        <v>6.7052518251330823E-3</v>
      </c>
    </row>
    <row r="825" spans="1:9" s="26" customFormat="1" x14ac:dyDescent="0.35">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102.1182</v>
      </c>
      <c r="G825" s="35">
        <f t="shared" si="48"/>
        <v>-3.5635039430775839E-3</v>
      </c>
      <c r="H825" s="35">
        <f t="shared" si="49"/>
        <v>-4.19338182678205E-2</v>
      </c>
      <c r="I825" s="35">
        <f>(Table143454[[#This Row],[Core CPI]]-F813)/F813</f>
        <v>6.6956496022240828E-3</v>
      </c>
    </row>
    <row r="826" spans="1:9" s="26" customFormat="1" x14ac:dyDescent="0.35">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102.3511</v>
      </c>
      <c r="G826" s="35">
        <f t="shared" si="48"/>
        <v>2.2806904156165153E-3</v>
      </c>
      <c r="H826" s="35">
        <f t="shared" si="49"/>
        <v>2.7714210535053629E-2</v>
      </c>
      <c r="I826" s="35">
        <f>(Table143454[[#This Row],[Core CPI]]-F814)/F814</f>
        <v>7.4670866451755913E-3</v>
      </c>
    </row>
    <row r="827" spans="1:9" s="26" customFormat="1" x14ac:dyDescent="0.35">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102.3069</v>
      </c>
      <c r="G827" s="35">
        <f t="shared" si="48"/>
        <v>-4.3184684873931456E-4</v>
      </c>
      <c r="H827" s="35">
        <f t="shared" si="49"/>
        <v>-5.1698714333052731E-3</v>
      </c>
      <c r="I827" s="35">
        <f>(Table143454[[#This Row],[Core CPI]]-F815)/F815</f>
        <v>7.7611087579664232E-3</v>
      </c>
    </row>
    <row r="828" spans="1:9" s="26" customFormat="1" x14ac:dyDescent="0.35">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102.2578</v>
      </c>
      <c r="G828" s="35">
        <f t="shared" si="48"/>
        <v>-4.7992852876976855E-4</v>
      </c>
      <c r="H828" s="35">
        <f t="shared" si="49"/>
        <v>-5.7439647664498938E-3</v>
      </c>
      <c r="I828" s="35">
        <f>(Table143454[[#This Row],[Core CPI]]-F816)/F816</f>
        <v>7.2486823040152012E-3</v>
      </c>
    </row>
    <row r="829" spans="1:9" s="26" customFormat="1" x14ac:dyDescent="0.35">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102.5227</v>
      </c>
      <c r="G829" s="35">
        <f t="shared" si="48"/>
        <v>2.5905114328685919E-3</v>
      </c>
      <c r="H829" s="35">
        <f t="shared" si="49"/>
        <v>3.153289358505762E-2</v>
      </c>
      <c r="I829" s="35">
        <f>(Table143454[[#This Row],[Core CPI]]-F817)/F817</f>
        <v>5.7210404210340949E-3</v>
      </c>
    </row>
    <row r="830" spans="1:9" s="26" customFormat="1" x14ac:dyDescent="0.35">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103.15900000000001</v>
      </c>
      <c r="G830" s="35">
        <f t="shared" si="48"/>
        <v>6.206430380784056E-3</v>
      </c>
      <c r="H830" s="35">
        <f t="shared" si="49"/>
        <v>7.7072807207077654E-2</v>
      </c>
      <c r="I830" s="35">
        <f>(Table143454[[#This Row],[Core CPI]]-F818)/F818</f>
        <v>5.3425175517587669E-3</v>
      </c>
    </row>
    <row r="831" spans="1:9" s="26" customFormat="1" x14ac:dyDescent="0.35">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103.0849</v>
      </c>
      <c r="G831" s="35">
        <f t="shared" si="48"/>
        <v>-7.1830863036670412E-4</v>
      </c>
      <c r="H831" s="35">
        <f t="shared" si="49"/>
        <v>-8.5857311289599947E-3</v>
      </c>
      <c r="I831" s="35">
        <f>(Table143454[[#This Row],[Core CPI]]-F819)/F819</f>
        <v>6.9225073796449514E-3</v>
      </c>
    </row>
    <row r="832" spans="1:9" s="26" customFormat="1" x14ac:dyDescent="0.35">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103.3159</v>
      </c>
      <c r="G832" s="35">
        <f t="shared" si="48"/>
        <v>2.24087135943285E-3</v>
      </c>
      <c r="H832" s="35">
        <f t="shared" si="49"/>
        <v>2.7224363693418407E-2</v>
      </c>
      <c r="I832" s="35">
        <f>(Table143454[[#This Row],[Core CPI]]-F820)/F820</f>
        <v>6.4243437330745497E-3</v>
      </c>
    </row>
    <row r="833" spans="1:9" s="26" customFormat="1" x14ac:dyDescent="0.35">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103.309</v>
      </c>
      <c r="G833" s="35">
        <f t="shared" si="48"/>
        <v>-6.6785460901996885E-5</v>
      </c>
      <c r="H833" s="35">
        <f t="shared" si="49"/>
        <v>-8.0113121669456167E-4</v>
      </c>
      <c r="I833" s="35">
        <f>(Table143454[[#This Row],[Core CPI]]-F821)/F821</f>
        <v>3.5358686677352405E-3</v>
      </c>
    </row>
    <row r="834" spans="1:9" s="26" customFormat="1" x14ac:dyDescent="0.35">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103.76049999999999</v>
      </c>
      <c r="G834" s="35">
        <f t="shared" si="48"/>
        <v>4.3703839936499733E-3</v>
      </c>
      <c r="H834" s="35">
        <f t="shared" si="49"/>
        <v>5.3723771291377176E-2</v>
      </c>
      <c r="I834" s="35">
        <f>(Table143454[[#This Row],[Core CPI]]-F822)/F822</f>
        <v>2.7358630966760893E-3</v>
      </c>
    </row>
    <row r="835" spans="1:9" s="26" customFormat="1" x14ac:dyDescent="0.35">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102.92489999999999</v>
      </c>
      <c r="G835" s="35">
        <f t="shared" ref="G835:G898" si="52">(F835/F834)-1</f>
        <v>-8.0531608849224723E-3</v>
      </c>
      <c r="H835" s="35">
        <f t="shared" ref="H835:H898" si="53">((1+G835)^12)-1</f>
        <v>-9.2470451297681722E-2</v>
      </c>
      <c r="I835" s="35">
        <f>(Table143454[[#This Row],[Core CPI]]-F823)/F823</f>
        <v>1.0387276170245577E-3</v>
      </c>
    </row>
    <row r="836" spans="1:9" s="26" customFormat="1" x14ac:dyDescent="0.35">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102.819</v>
      </c>
      <c r="G836" s="35">
        <f t="shared" si="52"/>
        <v>-1.0289055418075677E-3</v>
      </c>
      <c r="H836" s="35">
        <f t="shared" si="53"/>
        <v>-1.2277234905739842E-2</v>
      </c>
      <c r="I836" s="35">
        <f>(Table143454[[#This Row],[Core CPI]]-F824)/F824</f>
        <v>3.2746766793451372E-3</v>
      </c>
    </row>
    <row r="837" spans="1:9" s="26" customFormat="1" x14ac:dyDescent="0.35">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102.5703</v>
      </c>
      <c r="G837" s="35">
        <f t="shared" si="52"/>
        <v>-2.4188136433928031E-3</v>
      </c>
      <c r="H837" s="35">
        <f t="shared" si="53"/>
        <v>-2.8642716683083713E-2</v>
      </c>
      <c r="I837" s="35">
        <f>(Table143454[[#This Row],[Core CPI]]-F825)/F825</f>
        <v>4.4272225714906991E-3</v>
      </c>
    </row>
    <row r="838" spans="1:9" s="26" customFormat="1" x14ac:dyDescent="0.35">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102.8343</v>
      </c>
      <c r="G838" s="35">
        <f t="shared" si="52"/>
        <v>2.5738444754475065E-3</v>
      </c>
      <c r="H838" s="35">
        <f t="shared" si="53"/>
        <v>3.1327135288672148E-2</v>
      </c>
      <c r="I838" s="35">
        <f>(Table143454[[#This Row],[Core CPI]]-F826)/F826</f>
        <v>4.7210044640457844E-3</v>
      </c>
    </row>
    <row r="839" spans="1:9" s="26" customFormat="1" x14ac:dyDescent="0.35">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103.24420000000001</v>
      </c>
      <c r="G839" s="35">
        <f t="shared" si="52"/>
        <v>3.9860241184119793E-3</v>
      </c>
      <c r="H839" s="35">
        <f t="shared" si="53"/>
        <v>4.8894981735575715E-2</v>
      </c>
      <c r="I839" s="35">
        <f>(Table143454[[#This Row],[Core CPI]]-F827)/F827</f>
        <v>9.1616498984917697E-3</v>
      </c>
    </row>
    <row r="840" spans="1:9" s="26" customFormat="1" x14ac:dyDescent="0.35">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103.32210000000001</v>
      </c>
      <c r="G840" s="35">
        <f t="shared" si="52"/>
        <v>7.5452180364621313E-4</v>
      </c>
      <c r="H840" s="35">
        <f t="shared" si="53"/>
        <v>9.0919303137855234E-3</v>
      </c>
      <c r="I840" s="35">
        <f>(Table143454[[#This Row],[Core CPI]]-F828)/F828</f>
        <v>1.0408007995478124E-2</v>
      </c>
    </row>
    <row r="841" spans="1:9" s="26" customFormat="1" x14ac:dyDescent="0.35">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103.48439999999999</v>
      </c>
      <c r="G841" s="35">
        <f t="shared" si="52"/>
        <v>1.5708159241825115E-3</v>
      </c>
      <c r="H841" s="35">
        <f t="shared" si="53"/>
        <v>1.9013499352112495E-2</v>
      </c>
      <c r="I841" s="35">
        <f>(Table143454[[#This Row],[Core CPI]]-F829)/F829</f>
        <v>9.3803616174758693E-3</v>
      </c>
    </row>
    <row r="842" spans="1:9" s="26" customFormat="1" x14ac:dyDescent="0.35">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103.61499999999999</v>
      </c>
      <c r="G842" s="35">
        <f t="shared" si="52"/>
        <v>1.262025967198932E-3</v>
      </c>
      <c r="H842" s="35">
        <f t="shared" si="53"/>
        <v>1.5249873903344868E-2</v>
      </c>
      <c r="I842" s="35">
        <f>(Table143454[[#This Row],[Core CPI]]-F830)/F830</f>
        <v>4.4203608022566022E-3</v>
      </c>
    </row>
    <row r="843" spans="1:9" s="26" customFormat="1" x14ac:dyDescent="0.35">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103.4447</v>
      </c>
      <c r="G843" s="35">
        <f t="shared" si="52"/>
        <v>-1.6435844231047492E-3</v>
      </c>
      <c r="H843" s="35">
        <f t="shared" si="53"/>
        <v>-1.9545695855073375E-2</v>
      </c>
      <c r="I843" s="35">
        <f>(Table143454[[#This Row],[Core CPI]]-F831)/F831</f>
        <v>3.4903269052983781E-3</v>
      </c>
    </row>
    <row r="844" spans="1:9" s="26" customFormat="1" x14ac:dyDescent="0.35">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103.63679999999999</v>
      </c>
      <c r="G844" s="35">
        <f t="shared" si="52"/>
        <v>1.8570308580332373E-3</v>
      </c>
      <c r="H844" s="35">
        <f t="shared" si="53"/>
        <v>2.2513390298456448E-2</v>
      </c>
      <c r="I844" s="35">
        <f>(Table143454[[#This Row],[Core CPI]]-F832)/F832</f>
        <v>3.1060078845559554E-3</v>
      </c>
    </row>
    <row r="845" spans="1:9" s="26" customFormat="1" x14ac:dyDescent="0.35">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103.9568</v>
      </c>
      <c r="G845" s="35">
        <f t="shared" si="52"/>
        <v>3.0877062973770908E-3</v>
      </c>
      <c r="H845" s="35">
        <f t="shared" si="53"/>
        <v>3.7688236531624453E-2</v>
      </c>
      <c r="I845" s="35">
        <f>(Table143454[[#This Row],[Core CPI]]-F833)/F833</f>
        <v>6.2705088617642582E-3</v>
      </c>
    </row>
    <row r="846" spans="1:9" s="26" customFormat="1" x14ac:dyDescent="0.35">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104.2621</v>
      </c>
      <c r="G846" s="35">
        <f t="shared" si="52"/>
        <v>2.9367968232958397E-3</v>
      </c>
      <c r="H846" s="35">
        <f t="shared" si="53"/>
        <v>3.5816406489949992E-2</v>
      </c>
      <c r="I846" s="35">
        <f>(Table143454[[#This Row],[Core CPI]]-F834)/F834</f>
        <v>4.8342095498769815E-3</v>
      </c>
    </row>
    <row r="847" spans="1:9" s="26" customFormat="1" x14ac:dyDescent="0.35">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103.9464</v>
      </c>
      <c r="G847" s="35">
        <f t="shared" si="52"/>
        <v>-3.0279459170686751E-3</v>
      </c>
      <c r="H847" s="35">
        <f t="shared" si="53"/>
        <v>-3.5736299018124251E-2</v>
      </c>
      <c r="I847" s="35">
        <f>(Table143454[[#This Row],[Core CPI]]-F835)/F835</f>
        <v>9.9247120959068524E-3</v>
      </c>
    </row>
    <row r="848" spans="1:9" s="26" customFormat="1" x14ac:dyDescent="0.35">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103.86669999999999</v>
      </c>
      <c r="G848" s="35">
        <f t="shared" si="52"/>
        <v>-7.6674132052678701E-4</v>
      </c>
      <c r="H848" s="35">
        <f t="shared" si="53"/>
        <v>-9.1621939542605446E-3</v>
      </c>
      <c r="I848" s="35">
        <f>(Table143454[[#This Row],[Core CPI]]-F836)/F836</f>
        <v>1.0189750921522207E-2</v>
      </c>
    </row>
    <row r="849" spans="1:9" s="26" customFormat="1" x14ac:dyDescent="0.35">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103.7881</v>
      </c>
      <c r="G849" s="35">
        <f t="shared" si="52"/>
        <v>-7.5673916664331653E-4</v>
      </c>
      <c r="H849" s="35">
        <f t="shared" si="53"/>
        <v>-9.0431699995757731E-3</v>
      </c>
      <c r="I849" s="35">
        <f>(Table143454[[#This Row],[Core CPI]]-F837)/F837</f>
        <v>1.1872832584091076E-2</v>
      </c>
    </row>
    <row r="850" spans="1:9" s="26" customFormat="1" x14ac:dyDescent="0.35">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104.13549999999999</v>
      </c>
      <c r="G850" s="35">
        <f t="shared" si="52"/>
        <v>3.3472045446443222E-3</v>
      </c>
      <c r="H850" s="35">
        <f t="shared" si="53"/>
        <v>4.0914216664156733E-2</v>
      </c>
      <c r="I850" s="35">
        <f>(Table143454[[#This Row],[Core CPI]]-F838)/F838</f>
        <v>1.2653365657178532E-2</v>
      </c>
    </row>
    <row r="851" spans="1:9" s="26" customFormat="1" x14ac:dyDescent="0.35">
      <c r="A851" s="33">
        <f>IF(Data!A878="",#N/A,Data!A878)</f>
        <v>44562</v>
      </c>
      <c r="B851" s="34">
        <f>VLOOKUP(A851,Data!A:AX,MATCH($B$2,Data!$B$1:$AX$1,0),FALSE)</f>
        <v>108.3</v>
      </c>
      <c r="C851" s="35">
        <f t="shared" si="54"/>
        <v>1.5947467166979479E-2</v>
      </c>
      <c r="D851" s="35">
        <f t="shared" si="51"/>
        <v>0.20907996066883006</v>
      </c>
      <c r="E851" s="35">
        <f>(Table143454[[#This Row],[JPN]]-B839)/B839</f>
        <v>4.8402710551790899E-2</v>
      </c>
      <c r="F851" s="34">
        <f>VLOOKUP(Table143454[[#This Row],[Date]],'Data Core CPI'!$A:$AX,MATCH($B$2,'Data Core CPI'!$B$1:$AX$1,0),FALSE)</f>
        <v>104.6298</v>
      </c>
      <c r="G851" s="35">
        <f t="shared" si="52"/>
        <v>4.7467002127037361E-3</v>
      </c>
      <c r="H851" s="35">
        <f t="shared" si="53"/>
        <v>5.8471241220588777E-2</v>
      </c>
      <c r="I851" s="35">
        <f>(Table143454[[#This Row],[Core CPI]]-F839)/F839</f>
        <v>1.3420608615302327E-2</v>
      </c>
    </row>
    <row r="852" spans="1:9" s="26" customFormat="1" x14ac:dyDescent="0.35">
      <c r="A852" s="33">
        <f>IF(Data!A879="",#N/A,Data!A879)</f>
        <v>44593</v>
      </c>
      <c r="B852" s="34">
        <f>VLOOKUP(A852,Data!A:AX,MATCH($B$2,Data!$B$1:$AX$1,0),FALSE)</f>
        <v>109.3</v>
      </c>
      <c r="C852" s="35">
        <f t="shared" si="54"/>
        <v>9.2336103416434945E-3</v>
      </c>
      <c r="D852" s="35">
        <f t="shared" si="51"/>
        <v>0.11660730282510379</v>
      </c>
      <c r="E852" s="35">
        <f>(Table143454[[#This Row],[JPN]]-B840)/B840</f>
        <v>5.7059961315280378E-2</v>
      </c>
      <c r="F852" s="34">
        <f>VLOOKUP(Table143454[[#This Row],[Date]],'Data Core CPI'!$A:$AX,MATCH($B$2,'Data Core CPI'!$B$1:$AX$1,0),FALSE)</f>
        <v>104.7805</v>
      </c>
      <c r="G852" s="35">
        <f t="shared" si="52"/>
        <v>1.4403162387770507E-3</v>
      </c>
      <c r="H852" s="35">
        <f t="shared" si="53"/>
        <v>1.7421372067161434E-2</v>
      </c>
      <c r="I852" s="35">
        <f>(Table143454[[#This Row],[Core CPI]]-F840)/F840</f>
        <v>1.4115082833198293E-2</v>
      </c>
    </row>
    <row r="853" spans="1:9" s="26" customFormat="1" x14ac:dyDescent="0.35">
      <c r="A853" s="33">
        <f>IF(Data!A880="",#N/A,Data!A880)</f>
        <v>44621</v>
      </c>
      <c r="B853" s="34">
        <f>VLOOKUP(A853,Data!A:AX,MATCH($B$2,Data!$B$1:$AX$1,0),FALSE)</f>
        <v>110.4</v>
      </c>
      <c r="C853" s="35">
        <f t="shared" si="54"/>
        <v>1.0064043915828158E-2</v>
      </c>
      <c r="D853" s="35">
        <f t="shared" si="51"/>
        <v>0.12768275046049893</v>
      </c>
      <c r="E853" s="35">
        <f>(Table143454[[#This Row],[JPN]]-B841)/B841</f>
        <v>6.4609450337512087E-2</v>
      </c>
      <c r="F853" s="34">
        <f>VLOOKUP(Table143454[[#This Row],[Date]],'Data Core CPI'!$A:$AX,MATCH($B$2,'Data Core CPI'!$B$1:$AX$1,0),FALSE)</f>
        <v>105.1593</v>
      </c>
      <c r="G853" s="35">
        <f t="shared" si="52"/>
        <v>3.6151764879914783E-3</v>
      </c>
      <c r="H853" s="35">
        <f t="shared" si="53"/>
        <v>4.4255184649135026E-2</v>
      </c>
      <c r="I853" s="35">
        <f>(Table143454[[#This Row],[Core CPI]]-F841)/F841</f>
        <v>1.6185048181175211E-2</v>
      </c>
    </row>
    <row r="854" spans="1:9" s="26" customFormat="1" x14ac:dyDescent="0.35">
      <c r="A854" s="33">
        <f>IF(Data!A881="",#N/A,Data!A881)</f>
        <v>44652</v>
      </c>
      <c r="B854" s="34">
        <f>VLOOKUP(A854,Data!A:AX,MATCH($B$2,Data!$B$1:$AX$1,0),FALSE)</f>
        <v>110.3</v>
      </c>
      <c r="C854" s="35">
        <f t="shared" si="54"/>
        <v>-9.057971014493349E-4</v>
      </c>
      <c r="D854" s="35">
        <f t="shared" si="51"/>
        <v>-1.0815577470117743E-2</v>
      </c>
      <c r="E854" s="35">
        <f>(Table143454[[#This Row],[JPN]]-B842)/B842</f>
        <v>5.9558117195004832E-2</v>
      </c>
      <c r="F854" s="34">
        <f>VLOOKUP(Table143454[[#This Row],[Date]],'Data Core CPI'!$A:$AX,MATCH($B$2,'Data Core CPI'!$B$1:$AX$1,0),FALSE)</f>
        <v>105.6519</v>
      </c>
      <c r="G854" s="35">
        <f t="shared" si="52"/>
        <v>4.6843217860901287E-3</v>
      </c>
      <c r="H854" s="35">
        <f t="shared" si="53"/>
        <v>5.7682944268541814E-2</v>
      </c>
      <c r="I854" s="35">
        <f>(Table143454[[#This Row],[Core CPI]]-F842)/F842</f>
        <v>1.9658350624909549E-2</v>
      </c>
    </row>
    <row r="855" spans="1:9" s="26" customFormat="1" x14ac:dyDescent="0.35">
      <c r="A855" s="33">
        <f>IF(Data!A882="",#N/A,Data!A882)</f>
        <v>44682</v>
      </c>
      <c r="B855" s="34">
        <f>VLOOKUP(A855,Data!A:AX,MATCH($B$2,Data!$B$1:$AX$1,0),FALSE)</f>
        <v>111.2</v>
      </c>
      <c r="C855" s="35">
        <f t="shared" si="54"/>
        <v>8.1595648232095641E-3</v>
      </c>
      <c r="D855" s="35">
        <f t="shared" si="51"/>
        <v>0.10243069720411513</v>
      </c>
      <c r="E855" s="35">
        <f>(Table143454[[#This Row],[JPN]]-B843)/B843</f>
        <v>6.8203650336215269E-2</v>
      </c>
      <c r="F855" s="34">
        <f>VLOOKUP(Table143454[[#This Row],[Date]],'Data Core CPI'!$A:$AX,MATCH($B$2,'Data Core CPI'!$B$1:$AX$1,0),FALSE)</f>
        <v>106.0748</v>
      </c>
      <c r="G855" s="35">
        <f t="shared" si="52"/>
        <v>4.0027675791916018E-3</v>
      </c>
      <c r="H855" s="35">
        <f t="shared" si="53"/>
        <v>4.9104909872203617E-2</v>
      </c>
      <c r="I855" s="35">
        <f>(Table143454[[#This Row],[Core CPI]]-F843)/F843</f>
        <v>2.5425178863682708E-2</v>
      </c>
    </row>
    <row r="856" spans="1:9" s="26" customFormat="1" x14ac:dyDescent="0.35">
      <c r="A856" s="33">
        <f>IF(Data!A883="",#N/A,Data!A883)</f>
        <v>44713</v>
      </c>
      <c r="B856" s="34">
        <f>VLOOKUP(A856,Data!A:AX,MATCH($B$2,Data!$B$1:$AX$1,0),FALSE)</f>
        <v>112.5</v>
      </c>
      <c r="C856" s="35">
        <f t="shared" si="54"/>
        <v>1.1690647482014427E-2</v>
      </c>
      <c r="D856" s="35">
        <f t="shared" si="51"/>
        <v>0.14966900353820933</v>
      </c>
      <c r="E856" s="35">
        <f>(Table143454[[#This Row],[JPN]]-B844)/B844</f>
        <v>7.9654510556621858E-2</v>
      </c>
      <c r="F856" s="34">
        <f>VLOOKUP(Table143454[[#This Row],[Date]],'Data Core CPI'!$A:$AX,MATCH($B$2,'Data Core CPI'!$B$1:$AX$1,0),FALSE)</f>
        <v>106.74209999999999</v>
      </c>
      <c r="G856" s="35">
        <f t="shared" si="52"/>
        <v>6.2908438196442873E-3</v>
      </c>
      <c r="H856" s="35">
        <f t="shared" si="53"/>
        <v>7.8157611036918651E-2</v>
      </c>
      <c r="I856" s="35">
        <f>(Table143454[[#This Row],[Core CPI]]-F844)/F844</f>
        <v>2.9963294891389929E-2</v>
      </c>
    </row>
    <row r="857" spans="1:9" s="26" customFormat="1" x14ac:dyDescent="0.35">
      <c r="A857" s="33">
        <f>IF(Data!A884="",#N/A,Data!A884)</f>
        <v>44743</v>
      </c>
      <c r="B857" s="34">
        <f>VLOOKUP(A857,Data!A:AX,MATCH($B$2,Data!$B$1:$AX$1,0),FALSE)</f>
        <v>113</v>
      </c>
      <c r="C857" s="35">
        <f t="shared" si="54"/>
        <v>4.4444444444444731E-3</v>
      </c>
      <c r="D857" s="35">
        <f t="shared" si="51"/>
        <v>5.4656545687867819E-2</v>
      </c>
      <c r="E857" s="35">
        <f>(Table143454[[#This Row],[JPN]]-B845)/B845</f>
        <v>7.9274116523400162E-2</v>
      </c>
      <c r="F857" s="34">
        <f>VLOOKUP(Table143454[[#This Row],[Date]],'Data Core CPI'!$A:$AX,MATCH($B$2,'Data Core CPI'!$B$1:$AX$1,0),FALSE)</f>
        <v>107.3325</v>
      </c>
      <c r="G857" s="35">
        <f t="shared" si="52"/>
        <v>5.5310884833632556E-3</v>
      </c>
      <c r="H857" s="35">
        <f t="shared" si="53"/>
        <v>6.8429889935296861E-2</v>
      </c>
      <c r="I857" s="35">
        <f>(Table143454[[#This Row],[Core CPI]]-F845)/F845</f>
        <v>3.2472142274483196E-2</v>
      </c>
    </row>
    <row r="858" spans="1:9" s="26" customFormat="1" x14ac:dyDescent="0.35">
      <c r="A858" s="33">
        <f>IF(Data!A885="",#N/A,Data!A885)</f>
        <v>44774</v>
      </c>
      <c r="B858" s="34">
        <f>VLOOKUP(A858,Data!A:AX,MATCH($B$2,Data!$B$1:$AX$1,0),FALSE)</f>
        <v>113.9</v>
      </c>
      <c r="C858" s="35">
        <f t="shared" si="54"/>
        <v>7.964601769911539E-3</v>
      </c>
      <c r="D858" s="35">
        <f t="shared" si="51"/>
        <v>9.9875092286075384E-2</v>
      </c>
      <c r="E858" s="35">
        <f>(Table143454[[#This Row],[JPN]]-B846)/B846</f>
        <v>8.3729781160799349E-2</v>
      </c>
      <c r="F858" s="34">
        <f>VLOOKUP(Table143454[[#This Row],[Date]],'Data Core CPI'!$A:$AX,MATCH($B$2,'Data Core CPI'!$B$1:$AX$1,0),FALSE)</f>
        <v>107.8918</v>
      </c>
      <c r="G858" s="35">
        <f t="shared" si="52"/>
        <v>5.2109100225934402E-3</v>
      </c>
      <c r="H858" s="35">
        <f t="shared" si="53"/>
        <v>6.4354553673412696E-2</v>
      </c>
      <c r="I858" s="35">
        <f>(Table143454[[#This Row],[Core CPI]]-F846)/F846</f>
        <v>3.4813225515311887E-2</v>
      </c>
    </row>
    <row r="859" spans="1:9" s="26" customFormat="1" x14ac:dyDescent="0.35">
      <c r="A859" s="33">
        <f>IF(Data!A886="",#N/A,Data!A886)</f>
        <v>44805</v>
      </c>
      <c r="B859" s="34">
        <f>VLOOKUP(A859,Data!A:AX,MATCH($B$2,Data!$B$1:$AX$1,0),FALSE)</f>
        <v>114.2</v>
      </c>
      <c r="C859" s="35">
        <f t="shared" si="54"/>
        <v>2.6338893766462146E-3</v>
      </c>
      <c r="D859" s="35">
        <f t="shared" si="51"/>
        <v>3.2068582978005411E-2</v>
      </c>
      <c r="E859" s="35">
        <f>(Table143454[[#This Row],[JPN]]-B847)/B847</f>
        <v>8.8655862726406062E-2</v>
      </c>
      <c r="F859" s="34">
        <f>VLOOKUP(Table143454[[#This Row],[Date]],'Data Core CPI'!$A:$AX,MATCH($B$2,'Data Core CPI'!$B$1:$AX$1,0),FALSE)</f>
        <v>107.983</v>
      </c>
      <c r="G859" s="35">
        <f t="shared" si="52"/>
        <v>8.4529130109989303E-4</v>
      </c>
      <c r="H859" s="35">
        <f t="shared" si="53"/>
        <v>1.0190786888153447E-2</v>
      </c>
      <c r="I859" s="35">
        <f>(Table143454[[#This Row],[Core CPI]]-F847)/F847</f>
        <v>3.8833475714406727E-2</v>
      </c>
    </row>
    <row r="860" spans="1:9" s="26" customFormat="1" x14ac:dyDescent="0.35">
      <c r="A860" s="33">
        <f>IF(Data!A887="",#N/A,Data!A887)</f>
        <v>44835</v>
      </c>
      <c r="B860" s="34">
        <f>VLOOKUP(A860,Data!A:AX,MATCH($B$2,Data!$B$1:$AX$1,0),FALSE)</f>
        <v>118.1</v>
      </c>
      <c r="C860" s="35">
        <f t="shared" si="54"/>
        <v>3.4150612959719773E-2</v>
      </c>
      <c r="D860" s="35">
        <f t="shared" si="51"/>
        <v>0.49625468908552461</v>
      </c>
      <c r="E860" s="35">
        <f>(Table143454[[#This Row],[JPN]]-B848)/B848</f>
        <v>0.11837121212121213</v>
      </c>
      <c r="F860" s="34">
        <f>VLOOKUP(Table143454[[#This Row],[Date]],'Data Core CPI'!$A:$AX,MATCH($B$2,'Data Core CPI'!$B$1:$AX$1,0),FALSE)</f>
        <v>108.0873</v>
      </c>
      <c r="G860" s="35">
        <f t="shared" si="52"/>
        <v>9.6589277941894203E-4</v>
      </c>
      <c r="H860" s="35">
        <f t="shared" si="53"/>
        <v>1.1652486657671268E-2</v>
      </c>
      <c r="I860" s="35">
        <f>(Table143454[[#This Row],[Core CPI]]-F848)/F848</f>
        <v>4.0634775149301985E-2</v>
      </c>
    </row>
    <row r="861" spans="1:9" s="26" customFormat="1" x14ac:dyDescent="0.35">
      <c r="A861" s="33">
        <f>IF(Data!A888="",#N/A,Data!A888)</f>
        <v>44866</v>
      </c>
      <c r="B861" s="34">
        <f>VLOOKUP(A861,Data!A:AX,MATCH($B$2,Data!$B$1:$AX$1,0),FALSE)</f>
        <v>118.7</v>
      </c>
      <c r="C861" s="35">
        <f t="shared" si="54"/>
        <v>5.0804403048265723E-3</v>
      </c>
      <c r="D861" s="35">
        <f t="shared" si="51"/>
        <v>6.2697982520330431E-2</v>
      </c>
      <c r="E861" s="35">
        <f>(Table143454[[#This Row],[JPN]]-B849)/B849</f>
        <v>0.11770244821092278</v>
      </c>
      <c r="F861" s="34">
        <f>VLOOKUP(Table143454[[#This Row],[Date]],'Data Core CPI'!$A:$AX,MATCH($B$2,'Data Core CPI'!$B$1:$AX$1,0),FALSE)</f>
        <v>108.08580000000001</v>
      </c>
      <c r="G861" s="35">
        <f t="shared" si="52"/>
        <v>-1.3877671104722822E-5</v>
      </c>
      <c r="H861" s="35">
        <f t="shared" si="53"/>
        <v>-1.6651934292100101E-4</v>
      </c>
      <c r="I861" s="35">
        <f>(Table143454[[#This Row],[Core CPI]]-F849)/F849</f>
        <v>4.1408408093028065E-2</v>
      </c>
    </row>
    <row r="862" spans="1:9" s="26" customFormat="1" x14ac:dyDescent="0.35">
      <c r="A862" s="33">
        <f>IF(Data!A889="",#N/A,Data!A889)</f>
        <v>44896</v>
      </c>
      <c r="B862" s="34">
        <f>VLOOKUP(A862,Data!A:AX,MATCH($B$2,Data!$B$1:$AX$1,0),FALSE)</f>
        <v>119</v>
      </c>
      <c r="C862" s="35">
        <f t="shared" si="54"/>
        <v>2.5273799494522908E-3</v>
      </c>
      <c r="D862" s="35">
        <f t="shared" si="51"/>
        <v>3.075371621709988E-2</v>
      </c>
      <c r="E862" s="35">
        <f>(Table143454[[#This Row],[JPN]]-B850)/B850</f>
        <v>0.11632270168855541</v>
      </c>
      <c r="F862" s="34">
        <f>VLOOKUP(Table143454[[#This Row],[Date]],'Data Core CPI'!$A:$AX,MATCH($B$2,'Data Core CPI'!$B$1:$AX$1,0),FALSE)</f>
        <v>108.7898</v>
      </c>
      <c r="G862" s="35">
        <f t="shared" si="52"/>
        <v>6.5133440285403132E-3</v>
      </c>
      <c r="H862" s="35">
        <f t="shared" si="53"/>
        <v>8.1021779873174937E-2</v>
      </c>
      <c r="I862" s="35">
        <f>(Table143454[[#This Row],[Core CPI]]-F850)/F850</f>
        <v>4.4694652640069971E-2</v>
      </c>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2">
    <cfRule type="colorScale" priority="2">
      <colorScale>
        <cfvo type="min"/>
        <cfvo type="percentile" val="50"/>
        <cfvo type="max"/>
        <color rgb="FFF8696B"/>
        <color rgb="FFFFEB84"/>
        <color rgb="FF63BE7B"/>
      </colorScale>
    </cfRule>
  </conditionalFormatting>
  <conditionalFormatting sqref="I707:I86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2023-02-18T02:56:09Z</dcterms:modified>
</cp:coreProperties>
</file>