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8800" yWindow="1060" windowWidth="55360" windowHeight="2558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Orders'!$B$6:$B$370</f>
              <numCache>
                <formatCode>#,##0</formatCode>
                <ptCount val="365"/>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267582</v>
                </pt>
                <pt idx="364">
                  <v>272596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Orders'!$C$6:$C$370</f>
              <numCache>
                <formatCode>0.0%</formatCode>
                <ptCount val="365"/>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0.008312733630772942</v>
                </pt>
                <pt idx="364">
                  <v>0.01873818119305484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numCache>
            </numRef>
          </cat>
          <val>
            <numRef>
              <f>'New Orders'!$C$251:$C$369</f>
              <numCache>
                <formatCode>0.0%</formatCode>
                <ptCount val="119"/>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0.008312733630772942</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Orders'!$B$6:$B$370</f>
              <numCache>
                <formatCode>#,##0</formatCode>
                <ptCount val="365"/>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267582</v>
                </pt>
                <pt idx="364">
                  <v>272596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 ex Aircraft'!$B$6:$B$370</f>
              <numCache>
                <formatCode>#,##0</formatCode>
                <ptCount val="365"/>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73478</v>
                </pt>
                <pt idx="364">
                  <v>73878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73478</v>
                </pt>
                <pt idx="161">
                  <v>73878</v>
                </pt>
              </numCache>
            </numRef>
          </val>
          <smooth val="0"/>
        </ser>
        <dLbls>
          <showLegendKey val="0"/>
          <showVal val="0"/>
          <showCatName val="0"/>
          <showSerName val="0"/>
          <showPercent val="0"/>
          <showBubbleSize val="0"/>
        </dLbls>
        <smooth val="0"/>
        <axId val="504146408"/>
        <axId val="504146800"/>
      </lineChart>
      <dateAx>
        <axId val="504146408"/>
        <scaling>
          <orientation val="minMax"/>
          <max val="4468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 ex Aircraft'!$C$6:$C$370</f>
              <numCache>
                <formatCode>0.0%</formatCode>
                <ptCount val="365"/>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0.00496478150858237</v>
                </pt>
                <pt idx="364">
                  <v>0.005443806309371513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numCache>
            </numRef>
          </cat>
          <val>
            <numRef>
              <f>'New Orders ex Aircraft'!$C$251:$C$368</f>
              <numCache>
                <formatCode>0.0%</formatCode>
                <ptCount val="11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179327</v>
                </pt>
                <pt idx="364">
                  <v>179866</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 ex Transport'!$C$6:$C$370</f>
              <numCache>
                <formatCode>0.0%</formatCode>
                <ptCount val="365"/>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0.004818818044792595</v>
                </pt>
                <pt idx="364">
                  <v>0.003005682356811858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0.004818818044792595</v>
                </pt>
                <pt idx="119">
                  <v>0.003005682356811858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'New Orders ex Transport'!$B$6:$B$370</f>
              <numCache>
                <formatCode>#,##0</formatCode>
                <ptCount val="365"/>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179327</v>
                </pt>
                <pt idx="364">
                  <v>179866</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189283</v>
                </pt>
                <pt idx="364">
                  <v>193217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Other!$A$6:$A$370</f>
              <numCache>
                <formatCode>m/d/yy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Other!$C$6:$C$370</f>
              <numCache>
                <formatCode>0.0%</formatCode>
                <ptCount val="365"/>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0.005385910585385805</v>
                </pt>
                <pt idx="364">
                  <v>0.02078369425674783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Other!$A$251:$A$372</f>
              <numCache>
                <formatCode>m/d/yy</formatCode>
                <ptCount val="12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Other!$C$251:$C$372</f>
              <numCache>
                <formatCode>0.0%</formatCode>
                <ptCount val="122"/>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0.005385910585385805</v>
                </pt>
                <pt idx="119">
                  <v>0.02078369425674783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189283</v>
                </pt>
                <pt idx="364">
                  <v>193217</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0" headerRowCount="1" totalsRowShown="0" headerRowDxfId="23" dataDxfId="21" headerRowBorderDxfId="22">
  <autoFilter ref="A5:C370"/>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0" headerRowCount="1" totalsRowShown="0" headerRowDxfId="17" dataDxfId="15" headerRowBorderDxfId="16">
  <autoFilter ref="A5:C370"/>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0" headerRowCount="1" totalsRowShown="0" headerRowDxfId="11" dataDxfId="9" headerRowBorderDxfId="10">
  <autoFilter ref="A5:C370"/>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0" headerRowCount="1" totalsRowShown="0" headerRowDxfId="5" dataDxfId="3" headerRowBorderDxfId="4">
  <autoFilter ref="A5:C370"/>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zoomScale="150" zoomScaleNormal="150" workbookViewId="0">
      <selection activeCell="AA7" sqref="AA7"/>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4"/>
    <col width="9.1640625" customWidth="1" style="129" min="25"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44713</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4"/>
  <sheetViews>
    <sheetView zoomScale="160" zoomScaleNormal="160" workbookViewId="0">
      <pane ySplit="1" topLeftCell="A748"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21146</v>
      </c>
      <c r="C774" t="n">
        <v>36920</v>
      </c>
      <c r="D774" t="n">
        <v>38282</v>
      </c>
      <c r="E774" t="n">
        <v>24184</v>
      </c>
      <c r="F774" t="n">
        <v>13723</v>
      </c>
      <c r="G774" t="n">
        <v>92878</v>
      </c>
      <c r="H774" t="n">
        <v/>
      </c>
      <c r="I774" t="n">
        <v>180005</v>
      </c>
      <c r="J774" t="n">
        <v>193580</v>
      </c>
      <c r="K774" t="n">
        <v/>
      </c>
      <c r="L774" t="n">
        <v>272883</v>
      </c>
      <c r="M774" t="n">
        <v>74016</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4"/>
  <sheetViews>
    <sheetView zoomScale="150" zoomScaleNormal="150" workbookViewId="0">
      <pane xSplit="2" ySplit="6" topLeftCell="C56" activePane="bottomRight" state="frozen"/>
      <selection activeCell="Q21" sqref="Q21"/>
      <selection pane="topRight" activeCell="Q21" sqref="Q21"/>
      <selection pane="bottomLeft" activeCell="Q21" sqref="Q21"/>
      <selection pane="bottomRight" activeCell="Y85" sqref="Y85"/>
    </sheetView>
  </sheetViews>
  <sheetFormatPr baseColWidth="10" defaultColWidth="9.1640625" defaultRowHeight="15"/>
  <cols>
    <col width="9.1640625" customWidth="1" style="129" min="1" max="1"/>
    <col width="10.6640625" bestFit="1" customWidth="1" style="129" min="2" max="2"/>
    <col width="9.1640625" customWidth="1" style="129" min="3" max="7"/>
    <col width="9.1640625" customWidth="1" style="129" min="8"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sheetData>
  <mergeCells count="10">
    <mergeCell ref="C4:D4"/>
    <mergeCell ref="E4:F4"/>
    <mergeCell ref="G4:H4"/>
    <mergeCell ref="I4:J4"/>
    <mergeCell ref="K4:L4"/>
    <mergeCell ref="M4:N4"/>
    <mergeCell ref="O4:P4"/>
    <mergeCell ref="Q4:R4"/>
    <mergeCell ref="S4:T4"/>
    <mergeCell ref="U4:V4"/>
  </mergeCells>
  <conditionalFormatting sqref="D8:D84">
    <cfRule type="colorScale" priority="11">
      <colorScale>
        <cfvo type="min"/>
        <cfvo type="percentile" val="50"/>
        <cfvo type="max"/>
        <color rgb="FFF8696B"/>
        <color rgb="FFFFEB84"/>
        <color rgb="FF63BE7B"/>
      </colorScale>
    </cfRule>
  </conditionalFormatting>
  <conditionalFormatting sqref="F8:F84">
    <cfRule type="colorScale" priority="12">
      <colorScale>
        <cfvo type="min"/>
        <cfvo type="percentile" val="50"/>
        <cfvo type="max"/>
        <color rgb="FFF8696B"/>
        <color rgb="FFFFEB84"/>
        <color rgb="FF63BE7B"/>
      </colorScale>
    </cfRule>
  </conditionalFormatting>
  <conditionalFormatting sqref="H8:H84">
    <cfRule type="colorScale" priority="13">
      <colorScale>
        <cfvo type="min"/>
        <cfvo type="percentile" val="50"/>
        <cfvo type="max"/>
        <color rgb="FFF8696B"/>
        <color rgb="FFFFEB84"/>
        <color rgb="FF63BE7B"/>
      </colorScale>
    </cfRule>
  </conditionalFormatting>
  <conditionalFormatting sqref="J8:J84">
    <cfRule type="colorScale" priority="14">
      <colorScale>
        <cfvo type="min"/>
        <cfvo type="percentile" val="50"/>
        <cfvo type="max"/>
        <color rgb="FFF8696B"/>
        <color rgb="FFFFEB84"/>
        <color rgb="FF63BE7B"/>
      </colorScale>
    </cfRule>
  </conditionalFormatting>
  <conditionalFormatting sqref="L8:L84">
    <cfRule type="colorScale" priority="15">
      <colorScale>
        <cfvo type="min"/>
        <cfvo type="percentile" val="50"/>
        <cfvo type="max"/>
        <color rgb="FFF8696B"/>
        <color rgb="FFFFEB84"/>
        <color rgb="FF63BE7B"/>
      </colorScale>
    </cfRule>
  </conditionalFormatting>
  <conditionalFormatting sqref="N8:N84">
    <cfRule type="colorScale" priority="16">
      <colorScale>
        <cfvo type="min"/>
        <cfvo type="percentile" val="50"/>
        <cfvo type="max"/>
        <color rgb="FFF8696B"/>
        <color rgb="FFFFEB84"/>
        <color rgb="FF63BE7B"/>
      </colorScale>
    </cfRule>
  </conditionalFormatting>
  <conditionalFormatting sqref="P8:P84">
    <cfRule type="colorScale" priority="17">
      <colorScale>
        <cfvo type="min"/>
        <cfvo type="percentile" val="50"/>
        <cfvo type="max"/>
        <color rgb="FFF8696B"/>
        <color rgb="FFFFEB84"/>
        <color rgb="FF63BE7B"/>
      </colorScale>
    </cfRule>
  </conditionalFormatting>
  <conditionalFormatting sqref="R8:R84">
    <cfRule type="colorScale" priority="18">
      <colorScale>
        <cfvo type="min"/>
        <cfvo type="percentile" val="50"/>
        <cfvo type="max"/>
        <color rgb="FFF8696B"/>
        <color rgb="FFFFEB84"/>
        <color rgb="FF63BE7B"/>
      </colorScale>
    </cfRule>
  </conditionalFormatting>
  <conditionalFormatting sqref="T8:T84">
    <cfRule type="colorScale" priority="19">
      <colorScale>
        <cfvo type="min"/>
        <cfvo type="percentile" val="50"/>
        <cfvo type="max"/>
        <color rgb="FFF8696B"/>
        <color rgb="FFFFEB84"/>
        <color rgb="FF63BE7B"/>
      </colorScale>
    </cfRule>
  </conditionalFormatting>
  <conditionalFormatting sqref="V8:V84">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0"/>
  <sheetViews>
    <sheetView zoomScale="160" zoomScaleNormal="160" workbookViewId="0">
      <pane ySplit="5" topLeftCell="A342" activePane="bottomLeft" state="frozen"/>
      <selection pane="bottomLeft" activeCell="A361" sqref="A361:C37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0"/>
  <sheetViews>
    <sheetView zoomScale="150" zoomScaleNormal="150" workbookViewId="0">
      <pane ySplit="5" topLeftCell="A341" activePane="bottomLeft" state="frozen"/>
      <selection pane="bottomLeft" activeCell="A362" sqref="A362:C37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0"/>
  <sheetViews>
    <sheetView zoomScale="160" zoomScaleNormal="160" workbookViewId="0">
      <pane ySplit="5" topLeftCell="A327" activePane="bottomLeft" state="frozen"/>
      <selection pane="bottomLeft" activeCell="F30" sqref="F3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0"/>
  <sheetViews>
    <sheetView zoomScale="150" zoomScaleNormal="150" workbookViewId="0">
      <pane ySplit="5" topLeftCell="A325" activePane="bottomLeft" state="frozen"/>
      <selection activeCell="Q21" sqref="Q21"/>
      <selection pane="bottomLeft" activeCell="AB349" sqref="AB349"/>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2022-08-01T14:16:34Z</dcterms:modified>
  <cp:lastModifiedBy>Mark Mukherjee</cp:lastModifiedBy>
</cp:coreProperties>
</file>