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5520" yWindow="500" windowWidth="55000" windowHeight="2372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sheetId="5" state="visible" r:id="rId5"/>
    <sheet xmlns:r="http://schemas.openxmlformats.org/officeDocument/2006/relationships" name="New Orders ex Aircraft"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20" fillId="3" borderId="0" pivotButton="0" quotePrefix="0" xfId="5"/>
    <xf numFmtId="0" fontId="0" fillId="3" borderId="0" pivotButton="0" quotePrefix="0" xfId="0"/>
    <xf numFmtId="0" fontId="0" fillId="3" borderId="0" applyAlignment="1" pivotButton="0" quotePrefix="0" xfId="0">
      <alignment wrapText="1"/>
    </xf>
    <xf numFmtId="0" fontId="23" fillId="3" borderId="0" applyAlignment="1" pivotButton="0" quotePrefix="0" xfId="0">
      <alignment wrapText="1"/>
    </xf>
    <xf numFmtId="0" fontId="1" fillId="6" borderId="1" applyAlignment="1" pivotButton="0" quotePrefix="0" xfId="0">
      <alignment horizontal="center"/>
    </xf>
    <xf numFmtId="0" fontId="0" fillId="0" borderId="15" pivotButton="0" quotePrefix="0" xfId="0"/>
    <xf numFmtId="0" fontId="0" fillId="0" borderId="16" pivotButton="0" quotePrefix="0" xfId="0"/>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0" fillId="3" borderId="0" applyAlignment="1" pivotButton="0" quotePrefix="0" xfId="0">
      <alignment vertical="center" wrapText="1"/>
    </xf>
    <xf numFmtId="0" fontId="25" fillId="3" borderId="29" applyAlignment="1" pivotButton="0" quotePrefix="0" xfId="0">
      <alignment wrapText="1"/>
    </xf>
    <xf numFmtId="0" fontId="1" fillId="3" borderId="29" applyAlignment="1" pivotButton="0" quotePrefix="0" xfId="0">
      <alignment wrapText="1"/>
    </xf>
    <xf numFmtId="0" fontId="1" fillId="3" borderId="30" applyAlignment="1" pivotButton="0" quotePrefix="0" xfId="0">
      <alignment wrapText="1"/>
    </xf>
    <xf numFmtId="0" fontId="0" fillId="0" borderId="27" pivotButton="0" quotePrefix="0" xfId="0"/>
    <xf numFmtId="0" fontId="1" fillId="3" borderId="31" applyAlignment="1" pivotButton="0" quotePrefix="0" xfId="0">
      <alignment wrapText="1"/>
    </xf>
    <xf numFmtId="0" fontId="0" fillId="0" borderId="26" pivotButton="0" quotePrefix="0" xfId="0"/>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Orders'!$B$6:$B$372</f>
              <numCache>
                <formatCode>#,##0</formatCode>
                <ptCount val="367"/>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273294</v>
                </pt>
                <pt idx="366">
                  <v>272659</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2.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Orders'!$C$6:$C$372</f>
              <numCache>
                <formatCode>0.0%</formatCode>
                <ptCount val="367"/>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0.006017825630486743</v>
                </pt>
                <pt idx="240">
                  <v>0.01072465827641641</v>
                </pt>
                <pt idx="241">
                  <v>-0.03355492383467269</v>
                </pt>
                <pt idx="242">
                  <v>-0.007028550645571922</v>
                </pt>
                <pt idx="243">
                  <v>0.003030941240030401</v>
                </pt>
                <pt idx="244">
                  <v>-0.001465244937829794</v>
                </pt>
                <pt idx="245">
                  <v>0.02956732417544742</v>
                </pt>
                <pt idx="246">
                  <v>-0.1101130879173086</v>
                </pt>
                <pt idx="247">
                  <v>0.08391252500960468</v>
                </pt>
                <pt idx="248">
                  <v>0.008175252369488264</v>
                </pt>
                <pt idx="249">
                  <v>-0.01976102311692699</v>
                </pt>
                <pt idx="250">
                  <v>0.07593775181774567</v>
                </pt>
                <pt idx="251">
                  <v>-0.03547741913139849</v>
                </pt>
                <pt idx="252">
                  <v>0.05904478067478467</v>
                </pt>
                <pt idx="253">
                  <v>-0.08800094934562962</v>
                </pt>
                <pt idx="254">
                  <v>0.05275851813298139</v>
                </pt>
                <pt idx="255">
                  <v>0.03847868597737275</v>
                </pt>
                <pt idx="256">
                  <v>0.05420432036317575</v>
                </pt>
                <pt idx="257">
                  <v>-0.09769767348090803</v>
                </pt>
                <pt idx="258">
                  <v>0.005496469747073018</v>
                </pt>
                <pt idx="259">
                  <v>0.06053953157637439</v>
                </pt>
                <pt idx="260">
                  <v>-0.02795098729424386</v>
                </pt>
                <pt idx="261">
                  <v>0.04064027728679698</v>
                </pt>
                <pt idx="262">
                  <v>-0.01247778482035221</v>
                </pt>
                <pt idx="263">
                  <v>-0.06390297721676168</v>
                </pt>
                <pt idx="264">
                  <v>0.04287366005807909</v>
                </pt>
                <pt idx="265">
                  <v>0.001899351556222095</v>
                </pt>
                <pt idx="266">
                  <v>0.01809541374119141</v>
                </pt>
                <pt idx="267">
                  <v>-0.01859107224103938</v>
                </pt>
                <pt idx="268">
                  <v>0.0310011632948287</v>
                </pt>
                <pt idx="269">
                  <v>0.2622230734321199</v>
                </pt>
                <pt idx="270">
                  <v>-0.2193414741953147</v>
                </pt>
                <pt idx="271">
                  <v>0.003667615965115395</v>
                </pt>
                <pt idx="272">
                  <v>-0.02292303417616004</v>
                </pt>
                <pt idx="273">
                  <v>-0.02556777787831392</v>
                </pt>
                <pt idx="274">
                  <v>-0.001414958767217174</v>
                </pt>
                <pt idx="275">
                  <v>-0.007855292580866561</v>
                </pt>
                <pt idx="276">
                  <v>-0.02273934330383244</v>
                </pt>
                <pt idx="277">
                  <v>0.03930747239297425</v>
                </pt>
                <pt idx="278">
                  <v>-0.01421082465846124</v>
                </pt>
                <pt idx="279">
                  <v>-0.03123398071668324</v>
                </pt>
                <pt idx="280">
                  <v>0.07101577310290247</v>
                </pt>
                <pt idx="281">
                  <v>-0.01107120455736663</v>
                </pt>
                <pt idx="282">
                  <v>-0.03276438057422379</v>
                </pt>
                <pt idx="283">
                  <v>-0.01755693990936325</v>
                </pt>
                <pt idx="284">
                  <v>0.03334582925691924</v>
                </pt>
                <pt idx="285">
                  <v>-0.01242744390174843</v>
                </pt>
                <pt idx="286">
                  <v>-0.02575451454375221</v>
                </pt>
                <pt idx="287">
                  <v>0.04336610353421558</v>
                </pt>
                <pt idx="288">
                  <v>-0.04201758445164275</v>
                </pt>
                <pt idx="289">
                  <v>-0.002171402809022363</v>
                </pt>
                <pt idx="290">
                  <v>0.05387761123841051</v>
                </pt>
                <pt idx="291">
                  <v>-0.02884703720716583</v>
                </pt>
                <pt idx="292">
                  <v>-0.05691672184908397</v>
                </pt>
                <pt idx="293">
                  <v>0.0412741932402224</v>
                </pt>
                <pt idx="294">
                  <v>0.005243191420065413</v>
                </pt>
                <pt idx="295">
                  <v>-0.0140640686319248</v>
                </pt>
                <pt idx="296">
                  <v>0.0840468763017338</v>
                </pt>
                <pt idx="297">
                  <v>-0.07477680953987115</v>
                </pt>
                <pt idx="298">
                  <v>0.008061725033802024</v>
                </pt>
                <pt idx="299">
                  <v>-0.002009613183794919</v>
                </pt>
                <pt idx="300">
                  <v>0.01744866084738843</v>
                </pt>
                <pt idx="301">
                  <v>0.0006762392083493001</v>
                </pt>
                <pt idx="302">
                  <v>0.0002703128871668957</v>
                </pt>
                <pt idx="303">
                  <v>0.001679990992005405</v>
                </pt>
                <pt idx="304">
                  <v>0.07171377440444608</v>
                </pt>
                <pt idx="305">
                  <v>-0.08126387158218899</v>
                </pt>
                <pt idx="306">
                  <v>0.02111627652092904</v>
                </pt>
                <pt idx="307">
                  <v>0.02055437786781871</v>
                </pt>
                <pt idx="308">
                  <v>0.00683178643108178</v>
                </pt>
                <pt idx="309">
                  <v>-0.0004831191215066353</v>
                </pt>
                <pt idx="310">
                  <v>0.04466439650592651</v>
                </pt>
                <pt idx="311">
                  <v>-0.05834441420073946</v>
                </pt>
                <pt idx="312">
                  <v>0.03644878843412747</v>
                </pt>
                <pt idx="313">
                  <v>0.03637994362347314</v>
                </pt>
                <pt idx="314">
                  <v>-0.01304716926703426</v>
                </pt>
                <pt idx="315">
                  <v>0.004659863377482337</v>
                </pt>
                <pt idx="316">
                  <v>0.01108026333289001</v>
                </pt>
                <pt idx="317">
                  <v>-0.03571692823729622</v>
                </pt>
                <pt idx="318">
                  <v>0.04059509346292389</v>
                </pt>
                <pt idx="319">
                  <v>0.00297409343405378</v>
                </pt>
                <pt idx="320">
                  <v>-0.02087536861710384</v>
                </pt>
                <pt idx="321">
                  <v>-0.03366385369780955</v>
                </pt>
                <pt idx="322">
                  <v>0.0293326656680466</v>
                </pt>
                <pt idx="323">
                  <v>-0.03950546869757767</v>
                </pt>
                <pt idx="324">
                  <v>-0.02433326929458407</v>
                </pt>
                <pt idx="325">
                  <v>0.04291244322123022</v>
                </pt>
                <pt idx="326">
                  <v>-0.03911278556839052</v>
                </pt>
                <pt idx="327">
                  <v>-0.02880377262435862</v>
                </pt>
                <pt idx="328">
                  <v>0.00953655295453814</v>
                </pt>
                <pt idx="329">
                  <v>0.02589807472455398</v>
                </pt>
                <pt idx="330">
                  <v>-0.003076731827081455</v>
                </pt>
                <pt idx="331">
                  <v>-0.01156555895005923</v>
                </pt>
                <pt idx="332">
                  <v>0.004622683589473257</v>
                </pt>
                <pt idx="333">
                  <v>-0.04572709945061106</v>
                </pt>
                <pt idx="334">
                  <v>0.01196076680499485</v>
                </pt>
                <pt idx="335">
                  <v>0.04749586669391243</v>
                </pt>
                <pt idx="336">
                  <v>0.02632220650761912</v>
                </pt>
                <pt idx="337">
                  <v>-0.1355102640309649</v>
                </pt>
                <pt idx="338">
                  <v>-0.2048231302375087</v>
                </pt>
                <pt idx="339">
                  <v>0.1272795827311003</v>
                </pt>
                <pt idx="340">
                  <v>0.10809213753735</v>
                </pt>
                <pt idx="341">
                  <v>0.09692917584794793</v>
                </pt>
                <pt idx="342">
                  <v>0.01396526341376163</v>
                </pt>
                <pt idx="343">
                  <v>0.02038573224898908</v>
                </pt>
                <pt idx="344">
                  <v>0.0183604987743414</v>
                </pt>
                <pt idx="345">
                  <v>-0.005506344266219775</v>
                </pt>
                <pt idx="346">
                  <v>0.01308705738171314</v>
                </pt>
                <pt idx="347">
                  <v>0.02516201503499525</v>
                </pt>
                <pt idx="348">
                  <v>0.0008218000370863607</v>
                </pt>
                <pt idx="349">
                  <v>0.01647724640915618</v>
                </pt>
                <pt idx="350">
                  <v>-0.01999237754358056</v>
                </pt>
                <pt idx="351">
                  <v>0.02104698054665505</v>
                </pt>
                <pt idx="352">
                  <v>0.01772340557660063</v>
                </pt>
                <pt idx="353">
                  <v>0.003722144931781016</v>
                </pt>
                <pt idx="354">
                  <v>0.01554666634244005</v>
                </pt>
                <pt idx="355">
                  <v>-0.01487766235528401</v>
                </pt>
                <pt idx="356">
                  <v>0.01480257161260528</v>
                </pt>
                <pt idx="357">
                  <v>0.01425531829958124</v>
                </pt>
                <pt idx="358">
                  <v>0.009406708281839149</v>
                </pt>
                <pt idx="359">
                  <v>0.03077235011541581</v>
                </pt>
                <pt idx="360">
                  <v>-0.007043532206569929</v>
                </pt>
                <pt idx="361">
                  <v>0.006720153603510938</v>
                </pt>
                <pt idx="362">
                  <v>0.004230713923514142</v>
                </pt>
                <pt idx="363">
                  <v>0.008128089955384058</v>
                </pt>
                <pt idx="364">
                  <v>0.02256917838173235</v>
                </pt>
                <pt idx="365">
                  <v>-0.001012534223291212</v>
                </pt>
                <pt idx="366">
                  <v>-0.002323505089756819</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Orders'!$A$251:$A$376</f>
              <numCache>
                <formatCode>m/d/yy</formatCode>
                <ptCount val="12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'New Orders'!$C$251:$C$376</f>
              <numCache>
                <formatCode>0.0%</formatCode>
                <ptCount val="126"/>
                <pt idx="0">
                  <v>0.02956732417544742</v>
                </pt>
                <pt idx="1">
                  <v>-0.1101130879173086</v>
                </pt>
                <pt idx="2">
                  <v>0.08391252500960468</v>
                </pt>
                <pt idx="3">
                  <v>0.008175252369488264</v>
                </pt>
                <pt idx="4">
                  <v>-0.01976102311692699</v>
                </pt>
                <pt idx="5">
                  <v>0.07593775181774567</v>
                </pt>
                <pt idx="6">
                  <v>-0.03547741913139849</v>
                </pt>
                <pt idx="7">
                  <v>0.05904478067478467</v>
                </pt>
                <pt idx="8">
                  <v>-0.08800094934562962</v>
                </pt>
                <pt idx="9">
                  <v>0.05275851813298139</v>
                </pt>
                <pt idx="10">
                  <v>0.03847868597737275</v>
                </pt>
                <pt idx="11">
                  <v>0.05420432036317575</v>
                </pt>
                <pt idx="12">
                  <v>-0.09769767348090803</v>
                </pt>
                <pt idx="13">
                  <v>0.005496469747073018</v>
                </pt>
                <pt idx="14">
                  <v>0.06053953157637439</v>
                </pt>
                <pt idx="15">
                  <v>-0.02795098729424386</v>
                </pt>
                <pt idx="16">
                  <v>0.04064027728679698</v>
                </pt>
                <pt idx="17">
                  <v>-0.01247778482035221</v>
                </pt>
                <pt idx="18">
                  <v>-0.06390297721676168</v>
                </pt>
                <pt idx="19">
                  <v>0.04287366005807909</v>
                </pt>
                <pt idx="20">
                  <v>0.001899351556222095</v>
                </pt>
                <pt idx="21">
                  <v>0.01809541374119141</v>
                </pt>
                <pt idx="22">
                  <v>-0.01859107224103938</v>
                </pt>
                <pt idx="23">
                  <v>0.0310011632948287</v>
                </pt>
                <pt idx="24">
                  <v>0.2622230734321199</v>
                </pt>
                <pt idx="25">
                  <v>-0.2193414741953147</v>
                </pt>
                <pt idx="26">
                  <v>0.003667615965115395</v>
                </pt>
                <pt idx="27">
                  <v>-0.02292303417616004</v>
                </pt>
                <pt idx="28">
                  <v>-0.02556777787831392</v>
                </pt>
                <pt idx="29">
                  <v>-0.001414958767217174</v>
                </pt>
                <pt idx="30">
                  <v>-0.007855292580866561</v>
                </pt>
                <pt idx="31">
                  <v>-0.02273934330383244</v>
                </pt>
                <pt idx="32">
                  <v>0.03930747239297425</v>
                </pt>
                <pt idx="33">
                  <v>-0.01421082465846124</v>
                </pt>
                <pt idx="34">
                  <v>-0.03123398071668324</v>
                </pt>
                <pt idx="35">
                  <v>0.07101577310290247</v>
                </pt>
                <pt idx="36">
                  <v>-0.01107120455736663</v>
                </pt>
                <pt idx="37">
                  <v>-0.03276438057422379</v>
                </pt>
                <pt idx="38">
                  <v>-0.01755693990936325</v>
                </pt>
                <pt idx="39">
                  <v>0.03334582925691924</v>
                </pt>
                <pt idx="40">
                  <v>-0.01242744390174843</v>
                </pt>
                <pt idx="41">
                  <v>-0.02575451454375221</v>
                </pt>
                <pt idx="42">
                  <v>0.04336610353421558</v>
                </pt>
                <pt idx="43">
                  <v>-0.04201758445164275</v>
                </pt>
                <pt idx="44">
                  <v>-0.002171402809022363</v>
                </pt>
                <pt idx="45">
                  <v>0.05387761123841051</v>
                </pt>
                <pt idx="46">
                  <v>-0.02884703720716583</v>
                </pt>
                <pt idx="47">
                  <v>-0.05691672184908397</v>
                </pt>
                <pt idx="48">
                  <v>0.0412741932402224</v>
                </pt>
                <pt idx="49">
                  <v>0.005243191420065413</v>
                </pt>
                <pt idx="50">
                  <v>-0.0140640686319248</v>
                </pt>
                <pt idx="51">
                  <v>0.0840468763017338</v>
                </pt>
                <pt idx="52">
                  <v>-0.07477680953987115</v>
                </pt>
                <pt idx="53">
                  <v>0.008061725033802024</v>
                </pt>
                <pt idx="54">
                  <v>-0.002009613183794919</v>
                </pt>
                <pt idx="55">
                  <v>0.01744866084738843</v>
                </pt>
                <pt idx="56">
                  <v>0.0006762392083493001</v>
                </pt>
                <pt idx="57">
                  <v>0.0002703128871668957</v>
                </pt>
                <pt idx="58">
                  <v>0.001679990992005405</v>
                </pt>
                <pt idx="59">
                  <v>0.07171377440444608</v>
                </pt>
                <pt idx="60">
                  <v>-0.08126387158218899</v>
                </pt>
                <pt idx="61">
                  <v>0.02111627652092904</v>
                </pt>
                <pt idx="62">
                  <v>0.02055437786781871</v>
                </pt>
                <pt idx="63">
                  <v>0.00683178643108178</v>
                </pt>
                <pt idx="64">
                  <v>-0.0004831191215066353</v>
                </pt>
                <pt idx="65">
                  <v>0.04466439650592651</v>
                </pt>
                <pt idx="66">
                  <v>-0.05834441420073946</v>
                </pt>
                <pt idx="67">
                  <v>0.03644878843412747</v>
                </pt>
                <pt idx="68">
                  <v>0.03637994362347314</v>
                </pt>
                <pt idx="69">
                  <v>-0.01304716926703426</v>
                </pt>
                <pt idx="70">
                  <v>0.004659863377482337</v>
                </pt>
                <pt idx="71">
                  <v>0.01108026333289001</v>
                </pt>
                <pt idx="72">
                  <v>-0.03571692823729622</v>
                </pt>
                <pt idx="73">
                  <v>0.04059509346292389</v>
                </pt>
                <pt idx="74">
                  <v>0.00297409343405378</v>
                </pt>
                <pt idx="75">
                  <v>-0.02087536861710384</v>
                </pt>
                <pt idx="76">
                  <v>-0.03366385369780955</v>
                </pt>
                <pt idx="77">
                  <v>0.0293326656680466</v>
                </pt>
                <pt idx="78">
                  <v>-0.03950546869757767</v>
                </pt>
                <pt idx="79">
                  <v>-0.02433326929458407</v>
                </pt>
                <pt idx="80">
                  <v>0.04291244322123022</v>
                </pt>
                <pt idx="81">
                  <v>-0.03911278556839052</v>
                </pt>
                <pt idx="82">
                  <v>-0.02880377262435862</v>
                </pt>
                <pt idx="83">
                  <v>0.00953655295453814</v>
                </pt>
                <pt idx="84">
                  <v>0.02589807472455398</v>
                </pt>
                <pt idx="85">
                  <v>-0.003076731827081455</v>
                </pt>
                <pt idx="86">
                  <v>-0.01156555895005923</v>
                </pt>
                <pt idx="87">
                  <v>0.004622683589473257</v>
                </pt>
                <pt idx="88">
                  <v>-0.04572709945061106</v>
                </pt>
                <pt idx="89">
                  <v>0.01196076680499485</v>
                </pt>
                <pt idx="90">
                  <v>0.04749586669391243</v>
                </pt>
                <pt idx="91">
                  <v>0.02632220650761912</v>
                </pt>
                <pt idx="92">
                  <v>-0.1355102640309649</v>
                </pt>
                <pt idx="93">
                  <v>-0.2048231302375087</v>
                </pt>
                <pt idx="94">
                  <v>0.1272795827311003</v>
                </pt>
                <pt idx="95">
                  <v>0.10809213753735</v>
                </pt>
                <pt idx="96">
                  <v>0.09692917584794793</v>
                </pt>
                <pt idx="97">
                  <v>0.01396526341376163</v>
                </pt>
                <pt idx="98">
                  <v>0.02038573224898908</v>
                </pt>
                <pt idx="99">
                  <v>0.0183604987743414</v>
                </pt>
                <pt idx="100">
                  <v>-0.005506344266219775</v>
                </pt>
                <pt idx="101">
                  <v>0.01308705738171314</v>
                </pt>
                <pt idx="102">
                  <v>0.02516201503499525</v>
                </pt>
                <pt idx="103">
                  <v>0.0008218000370863607</v>
                </pt>
                <pt idx="104">
                  <v>0.01647724640915618</v>
                </pt>
                <pt idx="105">
                  <v>-0.01999237754358056</v>
                </pt>
                <pt idx="106">
                  <v>0.02104698054665505</v>
                </pt>
                <pt idx="107">
                  <v>0.01772340557660063</v>
                </pt>
                <pt idx="108">
                  <v>0.003722144931781016</v>
                </pt>
                <pt idx="109">
                  <v>0.01554666634244005</v>
                </pt>
                <pt idx="110">
                  <v>-0.01487766235528401</v>
                </pt>
                <pt idx="111">
                  <v>0.01480257161260528</v>
                </pt>
                <pt idx="112">
                  <v>0.01425531829958124</v>
                </pt>
                <pt idx="113">
                  <v>0.009406708281839149</v>
                </pt>
                <pt idx="114">
                  <v>0.03077235011541581</v>
                </pt>
                <pt idx="115">
                  <v>-0.007043532206569929</v>
                </pt>
                <pt idx="116">
                  <v>0.006720153603510938</v>
                </pt>
                <pt idx="117">
                  <v>0.004230713923514142</v>
                </pt>
                <pt idx="118">
                  <v>0.008128089955384058</v>
                </pt>
                <pt idx="119">
                  <v>0.02256917838173235</v>
                </pt>
                <pt idx="120">
                  <v>-0.001012534223291212</v>
                </pt>
                <pt idx="121">
                  <v>-0.002323505089756819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Orders'!$B$6:$B$372</f>
              <numCache>
                <formatCode>#,##0</formatCode>
                <ptCount val="367"/>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225182</v>
                </pt>
                <pt idx="240">
                  <v>227597</v>
                </pt>
                <pt idx="241">
                  <v>219960</v>
                </pt>
                <pt idx="242">
                  <v>218414</v>
                </pt>
                <pt idx="243">
                  <v>219076</v>
                </pt>
                <pt idx="244">
                  <v>218755</v>
                </pt>
                <pt idx="245">
                  <v>225223</v>
                </pt>
                <pt idx="246">
                  <v>200423</v>
                </pt>
                <pt idx="247">
                  <v>217241</v>
                </pt>
                <pt idx="248">
                  <v>219017</v>
                </pt>
                <pt idx="249">
                  <v>214689</v>
                </pt>
                <pt idx="250">
                  <v>230992</v>
                </pt>
                <pt idx="251">
                  <v>222797</v>
                </pt>
                <pt idx="252">
                  <v>235952</v>
                </pt>
                <pt idx="253">
                  <v>215188</v>
                </pt>
                <pt idx="254">
                  <v>226541</v>
                </pt>
                <pt idx="255">
                  <v>235258</v>
                </pt>
                <pt idx="256">
                  <v>248010</v>
                </pt>
                <pt idx="257">
                  <v>223780</v>
                </pt>
                <pt idx="258">
                  <v>225010</v>
                </pt>
                <pt idx="259">
                  <v>238632</v>
                </pt>
                <pt idx="260">
                  <v>231962</v>
                </pt>
                <pt idx="261">
                  <v>241389</v>
                </pt>
                <pt idx="262">
                  <v>238377</v>
                </pt>
                <pt idx="263">
                  <v>223144</v>
                </pt>
                <pt idx="264">
                  <v>232711</v>
                </pt>
                <pt idx="265">
                  <v>233153</v>
                </pt>
                <pt idx="266">
                  <v>237372</v>
                </pt>
                <pt idx="267">
                  <v>232959</v>
                </pt>
                <pt idx="268">
                  <v>240181</v>
                </pt>
                <pt idx="269">
                  <v>303162</v>
                </pt>
                <pt idx="270">
                  <v>236666</v>
                </pt>
                <pt idx="271">
                  <v>237534</v>
                </pt>
                <pt idx="272">
                  <v>232089</v>
                </pt>
                <pt idx="273">
                  <v>226155</v>
                </pt>
                <pt idx="274">
                  <v>225835</v>
                </pt>
                <pt idx="275">
                  <v>224061</v>
                </pt>
                <pt idx="276">
                  <v>218966</v>
                </pt>
                <pt idx="277">
                  <v>227573</v>
                </pt>
                <pt idx="278">
                  <v>224339</v>
                </pt>
                <pt idx="279">
                  <v>217332</v>
                </pt>
                <pt idx="280">
                  <v>232766</v>
                </pt>
                <pt idx="281">
                  <v>230189</v>
                </pt>
                <pt idx="282">
                  <v>222647</v>
                </pt>
                <pt idx="283">
                  <v>218738</v>
                </pt>
                <pt idx="284">
                  <v>226032</v>
                </pt>
                <pt idx="285">
                  <v>223223</v>
                </pt>
                <pt idx="286">
                  <v>217474</v>
                </pt>
                <pt idx="287">
                  <v>226905</v>
                </pt>
                <pt idx="288">
                  <v>217371</v>
                </pt>
                <pt idx="289">
                  <v>216899</v>
                </pt>
                <pt idx="290">
                  <v>228585</v>
                </pt>
                <pt idx="291">
                  <v>221991</v>
                </pt>
                <pt idx="292">
                  <v>209356</v>
                </pt>
                <pt idx="293">
                  <v>217997</v>
                </pt>
                <pt idx="294">
                  <v>219140</v>
                </pt>
                <pt idx="295">
                  <v>216058</v>
                </pt>
                <pt idx="296">
                  <v>234217</v>
                </pt>
                <pt idx="297">
                  <v>216703</v>
                </pt>
                <pt idx="298">
                  <v>218450</v>
                </pt>
                <pt idx="299">
                  <v>218011</v>
                </pt>
                <pt idx="300">
                  <v>221815</v>
                </pt>
                <pt idx="301">
                  <v>221965</v>
                </pt>
                <pt idx="302">
                  <v>222025</v>
                </pt>
                <pt idx="303">
                  <v>222398</v>
                </pt>
                <pt idx="304">
                  <v>238347</v>
                </pt>
                <pt idx="305">
                  <v>218978</v>
                </pt>
                <pt idx="306">
                  <v>223602</v>
                </pt>
                <pt idx="307">
                  <v>228198</v>
                </pt>
                <pt idx="308">
                  <v>229757</v>
                </pt>
                <pt idx="309">
                  <v>229646</v>
                </pt>
                <pt idx="310">
                  <v>239903</v>
                </pt>
                <pt idx="311">
                  <v>225906</v>
                </pt>
                <pt idx="312">
                  <v>234140</v>
                </pt>
                <pt idx="313">
                  <v>242658</v>
                </pt>
                <pt idx="314">
                  <v>239492</v>
                </pt>
                <pt idx="315">
                  <v>240608</v>
                </pt>
                <pt idx="316">
                  <v>243274</v>
                </pt>
                <pt idx="317">
                  <v>234585</v>
                </pt>
                <pt idx="318">
                  <v>244108</v>
                </pt>
                <pt idx="319">
                  <v>244834</v>
                </pt>
                <pt idx="320">
                  <v>239723</v>
                </pt>
                <pt idx="321">
                  <v>231653</v>
                </pt>
                <pt idx="322">
                  <v>238448</v>
                </pt>
                <pt idx="323">
                  <v>229028</v>
                </pt>
                <pt idx="324">
                  <v>223455</v>
                </pt>
                <pt idx="325">
                  <v>233044</v>
                </pt>
                <pt idx="326">
                  <v>223929</v>
                </pt>
                <pt idx="327">
                  <v>217479</v>
                </pt>
                <pt idx="328">
                  <v>219553</v>
                </pt>
                <pt idx="329">
                  <v>225239</v>
                </pt>
                <pt idx="330">
                  <v>224546</v>
                </pt>
                <pt idx="331">
                  <v>221949</v>
                </pt>
                <pt idx="332">
                  <v>222975</v>
                </pt>
                <pt idx="333">
                  <v>212779</v>
                </pt>
                <pt idx="334">
                  <v>215324</v>
                </pt>
                <pt idx="335">
                  <v>225551</v>
                </pt>
                <pt idx="336">
                  <v>231488</v>
                </pt>
                <pt idx="337">
                  <v>200119</v>
                </pt>
                <pt idx="338">
                  <v>159130</v>
                </pt>
                <pt idx="339">
                  <v>179384</v>
                </pt>
                <pt idx="340">
                  <v>198774</v>
                </pt>
                <pt idx="341">
                  <v>218041</v>
                </pt>
                <pt idx="342">
                  <v>221086</v>
                </pt>
                <pt idx="343">
                  <v>225593</v>
                </pt>
                <pt idx="344">
                  <v>229735</v>
                </pt>
                <pt idx="345">
                  <v>228470</v>
                </pt>
                <pt idx="346">
                  <v>231460</v>
                </pt>
                <pt idx="347">
                  <v>237284</v>
                </pt>
                <pt idx="348">
                  <v>237479</v>
                </pt>
                <pt idx="349">
                  <v>241392</v>
                </pt>
                <pt idx="350">
                  <v>236566</v>
                </pt>
                <pt idx="351">
                  <v>241545</v>
                </pt>
                <pt idx="352">
                  <v>245826</v>
                </pt>
                <pt idx="353">
                  <v>246741</v>
                </pt>
                <pt idx="354">
                  <v>250577</v>
                </pt>
                <pt idx="355">
                  <v>246849</v>
                </pt>
                <pt idx="356">
                  <v>250503</v>
                </pt>
                <pt idx="357">
                  <v>254074</v>
                </pt>
                <pt idx="358">
                  <v>256464</v>
                </pt>
                <pt idx="359">
                  <v>264356</v>
                </pt>
                <pt idx="360">
                  <v>262494</v>
                </pt>
                <pt idx="361">
                  <v>264258</v>
                </pt>
                <pt idx="362">
                  <v>265376</v>
                </pt>
                <pt idx="363">
                  <v>267533</v>
                </pt>
                <pt idx="364">
                  <v>273571</v>
                </pt>
                <pt idx="365">
                  <v>273294</v>
                </pt>
                <pt idx="366">
                  <v>272659</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 ex Aircraft'!$B$6:$B$372</f>
              <numCache>
                <formatCode>#,##0</formatCode>
                <ptCount val="367"/>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67658</v>
                </pt>
                <pt idx="240">
                  <v>69902</v>
                </pt>
                <pt idx="241">
                  <v>69522</v>
                </pt>
                <pt idx="242">
                  <v>67518</v>
                </pt>
                <pt idx="243">
                  <v>69183</v>
                </pt>
                <pt idx="244">
                  <v>67129</v>
                </pt>
                <pt idx="245">
                  <v>65294</v>
                </pt>
                <pt idx="246">
                  <v>63721</v>
                </pt>
                <pt idx="247">
                  <v>63976</v>
                </pt>
                <pt idx="248">
                  <v>65937</v>
                </pt>
                <pt idx="249">
                  <v>66473</v>
                </pt>
                <pt idx="250">
                  <v>66630</v>
                </pt>
                <pt idx="251">
                  <v>69758</v>
                </pt>
                <pt idx="252">
                  <v>66190</v>
                </pt>
                <pt idx="253">
                  <v>66275</v>
                </pt>
                <pt idx="254">
                  <v>67553</v>
                </pt>
                <pt idx="255">
                  <v>69186</v>
                </pt>
                <pt idx="256">
                  <v>69443</v>
                </pt>
                <pt idx="257">
                  <v>66557</v>
                </pt>
                <pt idx="258">
                  <v>65935</v>
                </pt>
                <pt idx="259">
                  <v>66636</v>
                </pt>
                <pt idx="260">
                  <v>64799</v>
                </pt>
                <pt idx="261">
                  <v>68592</v>
                </pt>
                <pt idx="262">
                  <v>67496</v>
                </pt>
                <pt idx="263">
                  <v>68106</v>
                </pt>
                <pt idx="264">
                  <v>67227</v>
                </pt>
                <pt idx="265">
                  <v>68502</v>
                </pt>
                <pt idx="266">
                  <v>66341</v>
                </pt>
                <pt idx="267">
                  <v>65817</v>
                </pt>
                <pt idx="268">
                  <v>69872</v>
                </pt>
                <pt idx="269">
                  <v>67931</v>
                </pt>
                <pt idx="270">
                  <v>68554</v>
                </pt>
                <pt idx="271">
                  <v>69426</v>
                </pt>
                <pt idx="272">
                  <v>65645</v>
                </pt>
                <pt idx="273">
                  <v>63854</v>
                </pt>
                <pt idx="274">
                  <v>65875</v>
                </pt>
                <pt idx="275">
                  <v>64666</v>
                </pt>
                <pt idx="276">
                  <v>64257</v>
                </pt>
                <pt idx="277">
                  <v>64721</v>
                </pt>
                <pt idx="278">
                  <v>64152</v>
                </pt>
                <pt idx="279">
                  <v>62533</v>
                </pt>
                <pt idx="280">
                  <v>63930</v>
                </pt>
                <pt idx="281">
                  <v>63774</v>
                </pt>
                <pt idx="282">
                  <v>63370</v>
                </pt>
                <pt idx="283">
                  <v>63318</v>
                </pt>
                <pt idx="284">
                  <v>63051</v>
                </pt>
                <pt idx="285">
                  <v>62049</v>
                </pt>
                <pt idx="286">
                  <v>60165</v>
                </pt>
                <pt idx="287">
                  <v>61709</v>
                </pt>
                <pt idx="288">
                  <v>61077</v>
                </pt>
                <pt idx="289">
                  <v>60564</v>
                </pt>
                <pt idx="290">
                  <v>60970</v>
                </pt>
                <pt idx="291">
                  <v>59565</v>
                </pt>
                <pt idx="292">
                  <v>59505</v>
                </pt>
                <pt idx="293">
                  <v>59899</v>
                </pt>
                <pt idx="294">
                  <v>61743</v>
                </pt>
                <pt idx="295">
                  <v>59290</v>
                </pt>
                <pt idx="296">
                  <v>59413</v>
                </pt>
                <pt idx="297">
                  <v>59262</v>
                </pt>
                <pt idx="298">
                  <v>59355</v>
                </pt>
                <pt idx="299">
                  <v>60689</v>
                </pt>
                <pt idx="300">
                  <v>60752</v>
                </pt>
                <pt idx="301">
                  <v>61176</v>
                </pt>
                <pt idx="302">
                  <v>61339</v>
                </pt>
                <pt idx="303">
                  <v>61398</v>
                </pt>
                <pt idx="304">
                  <v>60227</v>
                </pt>
                <pt idx="305">
                  <v>61403</v>
                </pt>
                <pt idx="306">
                  <v>61643</v>
                </pt>
                <pt idx="307">
                  <v>63497</v>
                </pt>
                <pt idx="308">
                  <v>63980</v>
                </pt>
                <pt idx="309">
                  <v>63558</v>
                </pt>
                <pt idx="310">
                  <v>63745</v>
                </pt>
                <pt idx="311">
                  <v>63816</v>
                </pt>
                <pt idx="312">
                  <v>65257</v>
                </pt>
                <pt idx="313">
                  <v>64073</v>
                </pt>
                <pt idx="314">
                  <v>65444</v>
                </pt>
                <pt idx="315">
                  <v>66748</v>
                </pt>
                <pt idx="316">
                  <v>67678</v>
                </pt>
                <pt idx="317">
                  <v>68406</v>
                </pt>
                <pt idx="318">
                  <v>67270</v>
                </pt>
                <pt idx="319">
                  <v>67127</v>
                </pt>
                <pt idx="320">
                  <v>67931</v>
                </pt>
                <pt idx="321">
                  <v>65255</v>
                </pt>
                <pt idx="322">
                  <v>65773</v>
                </pt>
                <pt idx="323">
                  <v>67110</v>
                </pt>
                <pt idx="324">
                  <v>66772</v>
                </pt>
                <pt idx="325">
                  <v>67615</v>
                </pt>
                <pt idx="326">
                  <v>67038</v>
                </pt>
                <pt idx="327">
                  <v>66680</v>
                </pt>
                <pt idx="328">
                  <v>66243</v>
                </pt>
                <pt idx="329">
                  <v>65872</v>
                </pt>
                <pt idx="330">
                  <v>65829</v>
                </pt>
                <pt idx="331">
                  <v>65203</v>
                </pt>
                <pt idx="332">
                  <v>65207</v>
                </pt>
                <pt idx="333">
                  <v>63805</v>
                </pt>
                <pt idx="334">
                  <v>62950</v>
                </pt>
                <pt idx="335">
                  <v>62298</v>
                </pt>
                <pt idx="336">
                  <v>61245</v>
                </pt>
                <pt idx="337">
                  <v>60715</v>
                </pt>
                <pt idx="338">
                  <v>55545</v>
                </pt>
                <pt idx="339">
                  <v>56463</v>
                </pt>
                <pt idx="340">
                  <v>58548</v>
                </pt>
                <pt idx="341">
                  <v>60095</v>
                </pt>
                <pt idx="342">
                  <v>60687</v>
                </pt>
                <pt idx="343">
                  <v>62159</v>
                </pt>
                <pt idx="344">
                  <v>62801</v>
                </pt>
                <pt idx="345">
                  <v>62967</v>
                </pt>
                <pt idx="346">
                  <v>63944</v>
                </pt>
                <pt idx="347">
                  <v>64750</v>
                </pt>
                <pt idx="348">
                  <v>64562</v>
                </pt>
                <pt idx="349">
                  <v>65886</v>
                </pt>
                <pt idx="350">
                  <v>67955</v>
                </pt>
                <pt idx="351">
                  <v>66882</v>
                </pt>
                <pt idx="352">
                  <v>68158</v>
                </pt>
                <pt idx="353">
                  <v>68660</v>
                </pt>
                <pt idx="354">
                  <v>69530</v>
                </pt>
                <pt idx="355">
                  <v>69298</v>
                </pt>
                <pt idx="356">
                  <v>70632</v>
                </pt>
                <pt idx="357">
                  <v>71135</v>
                </pt>
                <pt idx="358">
                  <v>71199</v>
                </pt>
                <pt idx="359">
                  <v>72217</v>
                </pt>
                <pt idx="360">
                  <v>72038</v>
                </pt>
                <pt idx="361">
                  <v>72857</v>
                </pt>
                <pt idx="362">
                  <v>73115</v>
                </pt>
                <pt idx="363">
                  <v>73477</v>
                </pt>
                <pt idx="364">
                  <v>74190</v>
                </pt>
                <pt idx="365">
                  <v>74699</v>
                </pt>
                <pt idx="366">
                  <v>75647</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Aircraft'!$A$209:$A$377</f>
              <numCache>
                <formatCode>m/d/yy</formatCode>
                <ptCount val="169"/>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pt idx="158">
                  <v>44621</v>
                </pt>
                <pt idx="159">
                  <v>44652</v>
                </pt>
                <pt idx="160">
                  <v>44682</v>
                </pt>
                <pt idx="161">
                  <v>44713</v>
                </pt>
                <pt idx="162">
                  <v>44743</v>
                </pt>
                <pt idx="163">
                  <v>44774</v>
                </pt>
              </numCache>
            </numRef>
          </cat>
          <val>
            <numRef>
              <f>'New Orders ex Aircraft'!$B$209:$B$377</f>
              <numCache>
                <formatCode>#,##0</formatCode>
                <ptCount val="169"/>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67658</v>
                </pt>
                <pt idx="37">
                  <v>69902</v>
                </pt>
                <pt idx="38">
                  <v>69522</v>
                </pt>
                <pt idx="39">
                  <v>67518</v>
                </pt>
                <pt idx="40">
                  <v>69183</v>
                </pt>
                <pt idx="41">
                  <v>67129</v>
                </pt>
                <pt idx="42">
                  <v>65294</v>
                </pt>
                <pt idx="43">
                  <v>63721</v>
                </pt>
                <pt idx="44">
                  <v>63976</v>
                </pt>
                <pt idx="45">
                  <v>65937</v>
                </pt>
                <pt idx="46">
                  <v>66473</v>
                </pt>
                <pt idx="47">
                  <v>66630</v>
                </pt>
                <pt idx="48">
                  <v>69758</v>
                </pt>
                <pt idx="49">
                  <v>66190</v>
                </pt>
                <pt idx="50">
                  <v>66275</v>
                </pt>
                <pt idx="51">
                  <v>67553</v>
                </pt>
                <pt idx="52">
                  <v>69186</v>
                </pt>
                <pt idx="53">
                  <v>69443</v>
                </pt>
                <pt idx="54">
                  <v>66557</v>
                </pt>
                <pt idx="55">
                  <v>65935</v>
                </pt>
                <pt idx="56">
                  <v>66636</v>
                </pt>
                <pt idx="57">
                  <v>64799</v>
                </pt>
                <pt idx="58">
                  <v>68592</v>
                </pt>
                <pt idx="59">
                  <v>67496</v>
                </pt>
                <pt idx="60">
                  <v>68106</v>
                </pt>
                <pt idx="61">
                  <v>67227</v>
                </pt>
                <pt idx="62">
                  <v>68502</v>
                </pt>
                <pt idx="63">
                  <v>66341</v>
                </pt>
                <pt idx="64">
                  <v>65817</v>
                </pt>
                <pt idx="65">
                  <v>69872</v>
                </pt>
                <pt idx="66">
                  <v>67931</v>
                </pt>
                <pt idx="67">
                  <v>68554</v>
                </pt>
                <pt idx="68">
                  <v>69426</v>
                </pt>
                <pt idx="69">
                  <v>65645</v>
                </pt>
                <pt idx="70">
                  <v>63854</v>
                </pt>
                <pt idx="71">
                  <v>65875</v>
                </pt>
                <pt idx="72">
                  <v>64666</v>
                </pt>
                <pt idx="73">
                  <v>64257</v>
                </pt>
                <pt idx="74">
                  <v>64721</v>
                </pt>
                <pt idx="75">
                  <v>64152</v>
                </pt>
                <pt idx="76">
                  <v>62533</v>
                </pt>
                <pt idx="77">
                  <v>63930</v>
                </pt>
                <pt idx="78">
                  <v>63774</v>
                </pt>
                <pt idx="79">
                  <v>63370</v>
                </pt>
                <pt idx="80">
                  <v>63318</v>
                </pt>
                <pt idx="81">
                  <v>63051</v>
                </pt>
                <pt idx="82">
                  <v>62049</v>
                </pt>
                <pt idx="83">
                  <v>60165</v>
                </pt>
                <pt idx="84">
                  <v>61709</v>
                </pt>
                <pt idx="85">
                  <v>61077</v>
                </pt>
                <pt idx="86">
                  <v>60564</v>
                </pt>
                <pt idx="87">
                  <v>60970</v>
                </pt>
                <pt idx="88">
                  <v>59565</v>
                </pt>
                <pt idx="89">
                  <v>59505</v>
                </pt>
                <pt idx="90">
                  <v>59899</v>
                </pt>
                <pt idx="91">
                  <v>61743</v>
                </pt>
                <pt idx="92">
                  <v>59290</v>
                </pt>
                <pt idx="93">
                  <v>59413</v>
                </pt>
                <pt idx="94">
                  <v>59262</v>
                </pt>
                <pt idx="95">
                  <v>59355</v>
                </pt>
                <pt idx="96">
                  <v>60689</v>
                </pt>
                <pt idx="97">
                  <v>60752</v>
                </pt>
                <pt idx="98">
                  <v>61176</v>
                </pt>
                <pt idx="99">
                  <v>61339</v>
                </pt>
                <pt idx="100">
                  <v>61398</v>
                </pt>
                <pt idx="101">
                  <v>60227</v>
                </pt>
                <pt idx="102">
                  <v>61403</v>
                </pt>
                <pt idx="103">
                  <v>61643</v>
                </pt>
                <pt idx="104">
                  <v>63497</v>
                </pt>
                <pt idx="105">
                  <v>63980</v>
                </pt>
                <pt idx="106">
                  <v>63558</v>
                </pt>
                <pt idx="107">
                  <v>63745</v>
                </pt>
                <pt idx="108">
                  <v>63816</v>
                </pt>
                <pt idx="109">
                  <v>65257</v>
                </pt>
                <pt idx="110">
                  <v>64073</v>
                </pt>
                <pt idx="111">
                  <v>65444</v>
                </pt>
                <pt idx="112">
                  <v>66748</v>
                </pt>
                <pt idx="113">
                  <v>67678</v>
                </pt>
                <pt idx="114">
                  <v>68406</v>
                </pt>
                <pt idx="115">
                  <v>67270</v>
                </pt>
                <pt idx="116">
                  <v>67127</v>
                </pt>
                <pt idx="117">
                  <v>67931</v>
                </pt>
                <pt idx="118">
                  <v>65255</v>
                </pt>
                <pt idx="119">
                  <v>65773</v>
                </pt>
                <pt idx="120">
                  <v>67110</v>
                </pt>
                <pt idx="121">
                  <v>66772</v>
                </pt>
                <pt idx="122">
                  <v>67615</v>
                </pt>
                <pt idx="123">
                  <v>67038</v>
                </pt>
                <pt idx="124">
                  <v>66680</v>
                </pt>
                <pt idx="125">
                  <v>66243</v>
                </pt>
                <pt idx="126">
                  <v>65872</v>
                </pt>
                <pt idx="127">
                  <v>65829</v>
                </pt>
                <pt idx="128">
                  <v>65203</v>
                </pt>
                <pt idx="129">
                  <v>65207</v>
                </pt>
                <pt idx="130">
                  <v>63805</v>
                </pt>
                <pt idx="131">
                  <v>62950</v>
                </pt>
                <pt idx="132">
                  <v>62298</v>
                </pt>
                <pt idx="133">
                  <v>61245</v>
                </pt>
                <pt idx="134">
                  <v>60715</v>
                </pt>
                <pt idx="135">
                  <v>55545</v>
                </pt>
                <pt idx="136">
                  <v>56463</v>
                </pt>
                <pt idx="137">
                  <v>58548</v>
                </pt>
                <pt idx="138">
                  <v>60095</v>
                </pt>
                <pt idx="139">
                  <v>60687</v>
                </pt>
                <pt idx="140">
                  <v>62159</v>
                </pt>
                <pt idx="141">
                  <v>62801</v>
                </pt>
                <pt idx="142">
                  <v>62967</v>
                </pt>
                <pt idx="143">
                  <v>63944</v>
                </pt>
                <pt idx="144">
                  <v>64750</v>
                </pt>
                <pt idx="145">
                  <v>64562</v>
                </pt>
                <pt idx="146">
                  <v>65886</v>
                </pt>
                <pt idx="147">
                  <v>67955</v>
                </pt>
                <pt idx="148">
                  <v>66882</v>
                </pt>
                <pt idx="149">
                  <v>68158</v>
                </pt>
                <pt idx="150">
                  <v>68660</v>
                </pt>
                <pt idx="151">
                  <v>69530</v>
                </pt>
                <pt idx="152">
                  <v>69298</v>
                </pt>
                <pt idx="153">
                  <v>70632</v>
                </pt>
                <pt idx="154">
                  <v>71135</v>
                </pt>
                <pt idx="155">
                  <v>71199</v>
                </pt>
                <pt idx="156">
                  <v>72217</v>
                </pt>
                <pt idx="157">
                  <v>72038</v>
                </pt>
                <pt idx="158">
                  <v>72857</v>
                </pt>
                <pt idx="159">
                  <v>73115</v>
                </pt>
                <pt idx="160">
                  <v>73477</v>
                </pt>
                <pt idx="161">
                  <v>74190</v>
                </pt>
                <pt idx="162">
                  <v>74699</v>
                </pt>
                <pt idx="163">
                  <v>75647</v>
                </pt>
              </numCache>
            </numRef>
          </val>
          <smooth val="0"/>
        </ser>
        <dLbls>
          <showLegendKey val="0"/>
          <showVal val="0"/>
          <showCatName val="0"/>
          <showSerName val="0"/>
          <showPercent val="0"/>
          <showBubbleSize val="0"/>
        </dLbls>
        <smooth val="0"/>
        <axId val="504146408"/>
        <axId val="504146800"/>
      </lineChart>
      <dateAx>
        <axId val="504146408"/>
        <scaling>
          <orientation val="minMax"/>
          <max val="4468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 ex Aircraft'!$C$6:$C$372</f>
              <numCache>
                <formatCode>0.0%</formatCode>
                <ptCount val="367"/>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-0.01775525906999027</v>
                </pt>
                <pt idx="240">
                  <v>0.03316680954210884</v>
                </pt>
                <pt idx="241">
                  <v>-0.005436182083488312</v>
                </pt>
                <pt idx="242">
                  <v>-0.02882540778458617</v>
                </pt>
                <pt idx="243">
                  <v>0.02466009064249533</v>
                </pt>
                <pt idx="244">
                  <v>-0.02968937455733345</v>
                </pt>
                <pt idx="245">
                  <v>-0.02733542880126324</v>
                </pt>
                <pt idx="246">
                  <v>-0.02409103439826018</v>
                </pt>
                <pt idx="247">
                  <v>0.004001820435963027</v>
                </pt>
                <pt idx="248">
                  <v>0.03065211954482931</v>
                </pt>
                <pt idx="249">
                  <v>0.008128971594097397</v>
                </pt>
                <pt idx="250">
                  <v>0.002361861206805771</v>
                </pt>
                <pt idx="251">
                  <v>0.04694582020111061</v>
                </pt>
                <pt idx="252">
                  <v>-0.05114825539723043</v>
                </pt>
                <pt idx="253">
                  <v>0.001284181900589213</v>
                </pt>
                <pt idx="254">
                  <v>0.0192832893247831</v>
                </pt>
                <pt idx="255">
                  <v>0.0241736118307107</v>
                </pt>
                <pt idx="256">
                  <v>0.003714624345965947</v>
                </pt>
                <pt idx="257">
                  <v>-0.0415592644327002</v>
                </pt>
                <pt idx="258">
                  <v>-0.009345373138813349</v>
                </pt>
                <pt idx="259">
                  <v>0.01063168271782816</v>
                </pt>
                <pt idx="260">
                  <v>-0.02756768113332133</v>
                </pt>
                <pt idx="261">
                  <v>0.05853485393293106</v>
                </pt>
                <pt idx="262">
                  <v>-0.01597853977140191</v>
                </pt>
                <pt idx="263">
                  <v>0.009037572596894632</v>
                </pt>
                <pt idx="264">
                  <v>-0.01290635186327196</v>
                </pt>
                <pt idx="265">
                  <v>0.01896559418090946</v>
                </pt>
                <pt idx="266">
                  <v>-0.03154652418907477</v>
                </pt>
                <pt idx="267">
                  <v>-0.007898584585701151</v>
                </pt>
                <pt idx="268">
                  <v>0.06161022228299679</v>
                </pt>
                <pt idx="269">
                  <v>-0.02777936798717655</v>
                </pt>
                <pt idx="270">
                  <v>0.009171070645213525</v>
                </pt>
                <pt idx="271">
                  <v>0.01271989964115879</v>
                </pt>
                <pt idx="272">
                  <v>-0.05446086480569239</v>
                </pt>
                <pt idx="273">
                  <v>-0.02728311371772412</v>
                </pt>
                <pt idx="274">
                  <v>0.03165032730917405</v>
                </pt>
                <pt idx="275">
                  <v>-0.01835294117647059</v>
                </pt>
                <pt idx="276">
                  <v>-0.006324807472241982</v>
                </pt>
                <pt idx="277">
                  <v>0.007221003159188882</v>
                </pt>
                <pt idx="278">
                  <v>-0.0087915823303101</v>
                </pt>
                <pt idx="279">
                  <v>-0.02523693727397431</v>
                </pt>
                <pt idx="280">
                  <v>0.02234020437209154</v>
                </pt>
                <pt idx="281">
                  <v>-0.002440168934772407</v>
                </pt>
                <pt idx="282">
                  <v>-0.00633487000972183</v>
                </pt>
                <pt idx="283">
                  <v>-0.0008205775603597917</v>
                </pt>
                <pt idx="284">
                  <v>-0.004216810385672321</v>
                </pt>
                <pt idx="285">
                  <v>-0.01589189703573298</v>
                </pt>
                <pt idx="286">
                  <v>-0.03036310013054199</v>
                </pt>
                <pt idx="287">
                  <v>0.02566276074129477</v>
                </pt>
                <pt idx="288">
                  <v>-0.01024161791634932</v>
                </pt>
                <pt idx="289">
                  <v>-0.008399233754113659</v>
                </pt>
                <pt idx="290">
                  <v>0.006703652334720296</v>
                </pt>
                <pt idx="291">
                  <v>-0.02304412005904543</v>
                </pt>
                <pt idx="292">
                  <v>-0.001007302946361118</v>
                </pt>
                <pt idx="293">
                  <v>0.006621292328375767</v>
                </pt>
                <pt idx="294">
                  <v>0.03078515501093507</v>
                </pt>
                <pt idx="295">
                  <v>-0.03972920007126314</v>
                </pt>
                <pt idx="296">
                  <v>0.002074548827795581</v>
                </pt>
                <pt idx="297">
                  <v>-0.002541531314695437</v>
                </pt>
                <pt idx="298">
                  <v>0.001569302419763086</v>
                </pt>
                <pt idx="299">
                  <v>0.02247493892679639</v>
                </pt>
                <pt idx="300">
                  <v>0.001038079388357033</v>
                </pt>
                <pt idx="301">
                  <v>0.006979194100605741</v>
                </pt>
                <pt idx="302">
                  <v>0.002664443572642867</v>
                </pt>
                <pt idx="303">
                  <v>0.0009618676535320107</v>
                </pt>
                <pt idx="304">
                  <v>-0.01907228248477149</v>
                </pt>
                <pt idx="305">
                  <v>0.01952612615604297</v>
                </pt>
                <pt idx="306">
                  <v>0.003908603814145889</v>
                </pt>
                <pt idx="307">
                  <v>0.03007640770241552</v>
                </pt>
                <pt idx="308">
                  <v>0.007606658582295226</v>
                </pt>
                <pt idx="309">
                  <v>-0.006595811190997187</v>
                </pt>
                <pt idx="310">
                  <v>0.002942194530979578</v>
                </pt>
                <pt idx="311">
                  <v>0.001113812848066515</v>
                </pt>
                <pt idx="312">
                  <v>0.02258054406418453</v>
                </pt>
                <pt idx="313">
                  <v>-0.01814364742479734</v>
                </pt>
                <pt idx="314">
                  <v>0.02139746851247796</v>
                </pt>
                <pt idx="315">
                  <v>0.01992543243078052</v>
                </pt>
                <pt idx="316">
                  <v>0.01393300173787979</v>
                </pt>
                <pt idx="317">
                  <v>0.01075681905493661</v>
                </pt>
                <pt idx="318">
                  <v>-0.01660673040376575</v>
                </pt>
                <pt idx="319">
                  <v>-0.002125761855210346</v>
                </pt>
                <pt idx="320">
                  <v>0.01197729676583193</v>
                </pt>
                <pt idx="321">
                  <v>-0.03939291339741797</v>
                </pt>
                <pt idx="322">
                  <v>0.007938089035322964</v>
                </pt>
                <pt idx="323">
                  <v>0.02032749000349688</v>
                </pt>
                <pt idx="324">
                  <v>-0.005036507226940844</v>
                </pt>
                <pt idx="325">
                  <v>0.01262505241718085</v>
                </pt>
                <pt idx="326">
                  <v>-0.00853360940619685</v>
                </pt>
                <pt idx="327">
                  <v>-0.005340254780870551</v>
                </pt>
                <pt idx="328">
                  <v>-0.006553689262147571</v>
                </pt>
                <pt idx="329">
                  <v>-0.00560059176063886</v>
                </pt>
                <pt idx="330">
                  <v>-0.0006527811513237794</v>
                </pt>
                <pt idx="331">
                  <v>-0.009509486700390405</v>
                </pt>
                <pt idx="332">
                  <v>6.134687054276643e-05</v>
                </pt>
                <pt idx="333">
                  <v>-0.02150075912095327</v>
                </pt>
                <pt idx="334">
                  <v>-0.01340020374578795</v>
                </pt>
                <pt idx="335">
                  <v>-0.01035742652899126</v>
                </pt>
                <pt idx="336">
                  <v>-0.01690262929789078</v>
                </pt>
                <pt idx="337">
                  <v>-0.008653767654502409</v>
                </pt>
                <pt idx="338">
                  <v>-0.08515193938894837</v>
                </pt>
                <pt idx="339">
                  <v>0.01652714015662976</v>
                </pt>
                <pt idx="340">
                  <v>0.03692683704372775</v>
                </pt>
                <pt idx="341">
                  <v>0.02642276422764228</v>
                </pt>
                <pt idx="342">
                  <v>0.009851069140527498</v>
                </pt>
                <pt idx="343">
                  <v>0.02425560663733584</v>
                </pt>
                <pt idx="344">
                  <v>0.01032835148570601</v>
                </pt>
                <pt idx="345">
                  <v>0.002643270011624019</v>
                </pt>
                <pt idx="346">
                  <v>0.01551606397001604</v>
                </pt>
                <pt idx="347">
                  <v>0.01260477918178406</v>
                </pt>
                <pt idx="348">
                  <v>-0.002903474903474903</v>
                </pt>
                <pt idx="349">
                  <v>0.02050741922493107</v>
                </pt>
                <pt idx="350">
                  <v>0.0314027259205294</v>
                </pt>
                <pt idx="351">
                  <v>-0.01578986093738503</v>
                </pt>
                <pt idx="352">
                  <v>0.01907837684279776</v>
                </pt>
                <pt idx="353">
                  <v>0.007365239590363567</v>
                </pt>
                <pt idx="354">
                  <v>0.01267113311972036</v>
                </pt>
                <pt idx="355">
                  <v>-0.003336689198906947</v>
                </pt>
                <pt idx="356">
                  <v>0.01925019481081705</v>
                </pt>
                <pt idx="357">
                  <v>0.007121418054139766</v>
                </pt>
                <pt idx="358">
                  <v>0.0008996977577844943</v>
                </pt>
                <pt idx="359">
                  <v>0.01429795362294414</v>
                </pt>
                <pt idx="360">
                  <v>-0.002478640763255189</v>
                </pt>
                <pt idx="361">
                  <v>0.01136899969460562</v>
                </pt>
                <pt idx="362">
                  <v>0.003541183414085126</v>
                </pt>
                <pt idx="363">
                  <v>0.004951104424536688</v>
                </pt>
                <pt idx="364">
                  <v>0.009703716809341699</v>
                </pt>
                <pt idx="365">
                  <v>0.006860762906052029</v>
                </pt>
                <pt idx="366">
                  <v>0.01269093294421612</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Aircraft'!$A$251:$A$378</f>
              <numCache>
                <formatCode>m/d/yy</formatCode>
                <ptCount val="12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'New Orders ex Aircraft'!$C$251:$C$378</f>
              <numCache>
                <formatCode>0.0%</formatCode>
                <ptCount val="128"/>
                <pt idx="0">
                  <v>-0.02733542880126324</v>
                </pt>
                <pt idx="1">
                  <v>-0.02409103439826018</v>
                </pt>
                <pt idx="2">
                  <v>0.004001820435963027</v>
                </pt>
                <pt idx="3">
                  <v>0.03065211954482931</v>
                </pt>
                <pt idx="4">
                  <v>0.008128971594097397</v>
                </pt>
                <pt idx="5">
                  <v>0.002361861206805771</v>
                </pt>
                <pt idx="6">
                  <v>0.04694582020111061</v>
                </pt>
                <pt idx="7">
                  <v>-0.05114825539723043</v>
                </pt>
                <pt idx="8">
                  <v>0.001284181900589213</v>
                </pt>
                <pt idx="9">
                  <v>0.0192832893247831</v>
                </pt>
                <pt idx="10">
                  <v>0.0241736118307107</v>
                </pt>
                <pt idx="11">
                  <v>0.003714624345965947</v>
                </pt>
                <pt idx="12">
                  <v>-0.0415592644327002</v>
                </pt>
                <pt idx="13">
                  <v>-0.009345373138813349</v>
                </pt>
                <pt idx="14">
                  <v>0.01063168271782816</v>
                </pt>
                <pt idx="15">
                  <v>-0.02756768113332133</v>
                </pt>
                <pt idx="16">
                  <v>0.05853485393293106</v>
                </pt>
                <pt idx="17">
                  <v>-0.01597853977140191</v>
                </pt>
                <pt idx="18">
                  <v>0.009037572596894632</v>
                </pt>
                <pt idx="19">
                  <v>-0.01290635186327196</v>
                </pt>
                <pt idx="20">
                  <v>0.01896559418090946</v>
                </pt>
                <pt idx="21">
                  <v>-0.03154652418907477</v>
                </pt>
                <pt idx="22">
                  <v>-0.007898584585701151</v>
                </pt>
                <pt idx="23">
                  <v>0.06161022228299679</v>
                </pt>
                <pt idx="24">
                  <v>-0.02777936798717655</v>
                </pt>
                <pt idx="25">
                  <v>0.009171070645213525</v>
                </pt>
                <pt idx="26">
                  <v>0.01271989964115879</v>
                </pt>
                <pt idx="27">
                  <v>-0.05446086480569239</v>
                </pt>
                <pt idx="28">
                  <v>-0.02728311371772412</v>
                </pt>
                <pt idx="29">
                  <v>0.03165032730917405</v>
                </pt>
                <pt idx="30">
                  <v>-0.01835294117647059</v>
                </pt>
                <pt idx="31">
                  <v>-0.006324807472241982</v>
                </pt>
                <pt idx="32">
                  <v>0.007221003159188882</v>
                </pt>
                <pt idx="33">
                  <v>-0.0087915823303101</v>
                </pt>
                <pt idx="34">
                  <v>-0.02523693727397431</v>
                </pt>
                <pt idx="35">
                  <v>0.02234020437209154</v>
                </pt>
                <pt idx="36">
                  <v>-0.002440168934772407</v>
                </pt>
                <pt idx="37">
                  <v>-0.00633487000972183</v>
                </pt>
                <pt idx="38">
                  <v>-0.0008205775603597917</v>
                </pt>
                <pt idx="39">
                  <v>-0.004216810385672321</v>
                </pt>
                <pt idx="40">
                  <v>-0.01589189703573298</v>
                </pt>
                <pt idx="41">
                  <v>-0.03036310013054199</v>
                </pt>
                <pt idx="42">
                  <v>0.02566276074129477</v>
                </pt>
                <pt idx="43">
                  <v>-0.01024161791634932</v>
                </pt>
                <pt idx="44">
                  <v>-0.008399233754113659</v>
                </pt>
                <pt idx="45">
                  <v>0.006703652334720296</v>
                </pt>
                <pt idx="46">
                  <v>-0.02304412005904543</v>
                </pt>
                <pt idx="47">
                  <v>-0.001007302946361118</v>
                </pt>
                <pt idx="48">
                  <v>0.006621292328375767</v>
                </pt>
                <pt idx="49">
                  <v>0.03078515501093507</v>
                </pt>
                <pt idx="50">
                  <v>-0.03972920007126314</v>
                </pt>
                <pt idx="51">
                  <v>0.002074548827795581</v>
                </pt>
                <pt idx="52">
                  <v>-0.002541531314695437</v>
                </pt>
                <pt idx="53">
                  <v>0.001569302419763086</v>
                </pt>
                <pt idx="54">
                  <v>0.02247493892679639</v>
                </pt>
                <pt idx="55">
                  <v>0.001038079388357033</v>
                </pt>
                <pt idx="56">
                  <v>0.006979194100605741</v>
                </pt>
                <pt idx="57">
                  <v>0.002664443572642867</v>
                </pt>
                <pt idx="58">
                  <v>0.0009618676535320107</v>
                </pt>
                <pt idx="59">
                  <v>-0.01907228248477149</v>
                </pt>
                <pt idx="60">
                  <v>0.01952612615604297</v>
                </pt>
                <pt idx="61">
                  <v>0.003908603814145889</v>
                </pt>
                <pt idx="62">
                  <v>0.03007640770241552</v>
                </pt>
                <pt idx="63">
                  <v>0.007606658582295226</v>
                </pt>
                <pt idx="64">
                  <v>-0.006595811190997187</v>
                </pt>
                <pt idx="65">
                  <v>0.002942194530979578</v>
                </pt>
                <pt idx="66">
                  <v>0.001113812848066515</v>
                </pt>
                <pt idx="67">
                  <v>0.02258054406418453</v>
                </pt>
                <pt idx="68">
                  <v>-0.01814364742479734</v>
                </pt>
                <pt idx="69">
                  <v>0.02139746851247796</v>
                </pt>
                <pt idx="70">
                  <v>0.01992543243078052</v>
                </pt>
                <pt idx="71">
                  <v>0.01393300173787979</v>
                </pt>
                <pt idx="72">
                  <v>0.01075681905493661</v>
                </pt>
                <pt idx="73">
                  <v>-0.01660673040376575</v>
                </pt>
                <pt idx="74">
                  <v>-0.002125761855210346</v>
                </pt>
                <pt idx="75">
                  <v>0.01197729676583193</v>
                </pt>
                <pt idx="76">
                  <v>-0.03939291339741797</v>
                </pt>
                <pt idx="77">
                  <v>0.007938089035322964</v>
                </pt>
                <pt idx="78">
                  <v>0.02032749000349688</v>
                </pt>
                <pt idx="79">
                  <v>-0.005036507226940844</v>
                </pt>
                <pt idx="80">
                  <v>0.01262505241718085</v>
                </pt>
                <pt idx="81">
                  <v>-0.00853360940619685</v>
                </pt>
                <pt idx="82">
                  <v>-0.005340254780870551</v>
                </pt>
                <pt idx="83">
                  <v>-0.006553689262147571</v>
                </pt>
                <pt idx="84">
                  <v>-0.00560059176063886</v>
                </pt>
                <pt idx="85">
                  <v>-0.0006527811513237794</v>
                </pt>
                <pt idx="86">
                  <v>-0.009509486700390405</v>
                </pt>
                <pt idx="87">
                  <v>6.134687054276643e-05</v>
                </pt>
                <pt idx="88">
                  <v>-0.02150075912095327</v>
                </pt>
                <pt idx="89">
                  <v>-0.01340020374578795</v>
                </pt>
                <pt idx="90">
                  <v>-0.01035742652899126</v>
                </pt>
                <pt idx="91">
                  <v>-0.01690262929789078</v>
                </pt>
                <pt idx="92">
                  <v>-0.008653767654502409</v>
                </pt>
                <pt idx="93">
                  <v>-0.08515193938894837</v>
                </pt>
                <pt idx="94">
                  <v>0.01652714015662976</v>
                </pt>
                <pt idx="95">
                  <v>0.03692683704372775</v>
                </pt>
                <pt idx="96">
                  <v>0.02642276422764228</v>
                </pt>
                <pt idx="97">
                  <v>0.009851069140527498</v>
                </pt>
                <pt idx="98">
                  <v>0.02425560663733584</v>
                </pt>
                <pt idx="99">
                  <v>0.01032835148570601</v>
                </pt>
                <pt idx="100">
                  <v>0.002643270011624019</v>
                </pt>
                <pt idx="101">
                  <v>0.01551606397001604</v>
                </pt>
                <pt idx="102">
                  <v>0.01260477918178406</v>
                </pt>
                <pt idx="103">
                  <v>-0.002903474903474903</v>
                </pt>
                <pt idx="104">
                  <v>0.02050741922493107</v>
                </pt>
                <pt idx="105">
                  <v>0.0314027259205294</v>
                </pt>
                <pt idx="106">
                  <v>-0.01578986093738503</v>
                </pt>
                <pt idx="107">
                  <v>0.01907837684279776</v>
                </pt>
                <pt idx="108">
                  <v>0.007365239590363567</v>
                </pt>
                <pt idx="109">
                  <v>0.01267113311972036</v>
                </pt>
                <pt idx="110">
                  <v>-0.003336689198906947</v>
                </pt>
                <pt idx="111">
                  <v>0.01925019481081705</v>
                </pt>
                <pt idx="112">
                  <v>0.007121418054139766</v>
                </pt>
                <pt idx="113">
                  <v>0.0008996977577844943</v>
                </pt>
                <pt idx="114">
                  <v>0.01429795362294414</v>
                </pt>
                <pt idx="115">
                  <v>-0.002478640763255189</v>
                </pt>
                <pt idx="116">
                  <v>0.01136899969460562</v>
                </pt>
                <pt idx="117">
                  <v>0.003541183414085126</v>
                </pt>
                <pt idx="118">
                  <v>0.004951104424536688</v>
                </pt>
                <pt idx="119">
                  <v>0.009703716809341699</v>
                </pt>
                <pt idx="120">
                  <v>0.006860762906052029</v>
                </pt>
                <pt idx="121">
                  <v>0.01269093294421612</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68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Transport'!$A$6:$A$374</f>
              <numCache>
                <formatCode>m/d/yy</formatCode>
                <ptCount val="36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 ex Transport'!$B$6:$B$374</f>
              <numCache>
                <formatCode>#,##0</formatCode>
                <ptCount val="36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180300</v>
                </pt>
                <pt idx="366">
                  <v>180693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0.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 ex Transport'!$C$6:$C$372</f>
              <numCache>
                <formatCode>0.0%</formatCode>
                <ptCount val="367"/>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-0.0181264978908405</v>
                </pt>
                <pt idx="240">
                  <v>0.01214513635316951</v>
                </pt>
                <pt idx="241">
                  <v>-0.002814594288908678</v>
                </pt>
                <pt idx="242">
                  <v>-0.01320009386733417</v>
                </pt>
                <pt idx="243">
                  <v>-0.003719043749958714</v>
                </pt>
                <pt idx="244">
                  <v>-0.02524864076382443</v>
                </pt>
                <pt idx="245">
                  <v>-0.004366990449759203</v>
                </pt>
                <pt idx="246">
                  <v>-0.02432875589260094</v>
                </pt>
                <pt idx="247">
                  <v>0.01112674971465384</v>
                </pt>
                <pt idx="248">
                  <v>0.02187010900427984</v>
                </pt>
                <pt idx="249">
                  <v>0.0001287646723955651</v>
                </pt>
                <pt idx="250">
                  <v>-0.01006945620870744</v>
                </pt>
                <pt idx="251">
                  <v>0.03881195709464778</v>
                </pt>
                <pt idx="252">
                  <v>-0.01570911774589975</v>
                </pt>
                <pt idx="253">
                  <v>-0.02294225941422594</v>
                </pt>
                <pt idx="254">
                  <v>0.02467317126647847</v>
                </pt>
                <pt idx="255">
                  <v>0.005269175989140683</v>
                </pt>
                <pt idx="256">
                  <v>0.001982213294132516</v>
                </pt>
                <pt idx="257">
                  <v>-0.01241411358582003</v>
                </pt>
                <pt idx="258">
                  <v>-0.008079857493362014</v>
                </pt>
                <pt idx="259">
                  <v>0.005760251553573728</v>
                </pt>
                <pt idx="260">
                  <v>0.003934965265845984</v>
                </pt>
                <pt idx="261">
                  <v>0.01512782136553085</v>
                </pt>
                <pt idx="262">
                  <v>-0.02218828305267403</v>
                </pt>
                <pt idx="263">
                  <v>0.02077825484296291</v>
                </pt>
                <pt idx="264">
                  <v>0.0008014943564199036</v>
                </pt>
                <pt idx="265">
                  <v>0.01484555460688733</v>
                </pt>
                <pt idx="266">
                  <v>-0.00895442569065818</v>
                </pt>
                <pt idx="267">
                  <v>0.001105561368527037</v>
                </pt>
                <pt idx="268">
                  <v>0.02930446271864955</v>
                </pt>
                <pt idx="269">
                  <v>-0.01841172526104033</v>
                </pt>
                <pt idx="270">
                  <v>0.009817699184135536</v>
                </pt>
                <pt idx="271">
                  <v>0.01141027375637036</v>
                </pt>
                <pt idx="272">
                  <v>-0.02688843306875948</v>
                </pt>
                <pt idx="273">
                  <v>-0.0228461452857732</v>
                </pt>
                <pt idx="274">
                  <v>0.006364263654695152</v>
                </pt>
                <pt idx="275">
                  <v>-0.017873666131899</v>
                </pt>
                <pt idx="276">
                  <v>-0.007428695369265806</v>
                </pt>
                <pt idx="277">
                  <v>0.004588910133843212</v>
                </pt>
                <pt idx="278">
                  <v>-0.00352792430257219</v>
                </pt>
                <pt idx="279">
                  <v>-0.01240850518101137</v>
                </pt>
                <pt idx="280">
                  <v>0.02100515285893876</v>
                </pt>
                <pt idx="281">
                  <v>-0.01162940161688597</v>
                </pt>
                <pt idx="282">
                  <v>0.0006639469937575293</v>
                </pt>
                <pt idx="283">
                  <v>-0.001805832016580821</v>
                </pt>
                <pt idx="284">
                  <v>-0.01035435040327831</v>
                </pt>
                <pt idx="285">
                  <v>-0.004514672686230248</v>
                </pt>
                <pt idx="286">
                  <v>-0.01315331858714856</v>
                </pt>
                <pt idx="287">
                  <v>0.01628898678414097</v>
                </pt>
                <pt idx="288">
                  <v>-0.01102048742596369</v>
                </pt>
                <pt idx="289">
                  <v>-0.009432175992482311</v>
                </pt>
                <pt idx="290">
                  <v>0.008821114037323365</v>
                </pt>
                <pt idx="291">
                  <v>-0.006407107468174992</v>
                </pt>
                <pt idx="292">
                  <v>-0.007507857470777272</v>
                </pt>
                <pt idx="293">
                  <v>0.009094661334168315</v>
                </pt>
                <pt idx="294">
                  <v>0.001678420310296192</v>
                </pt>
                <pt idx="295">
                  <v>-0.007857052338106704</v>
                </pt>
                <pt idx="296">
                  <v>0.008061196974212686</v>
                </pt>
                <pt idx="297">
                  <v>0.002506018668431204</v>
                </pt>
                <pt idx="298">
                  <v>0.0008355920064038648</v>
                </pt>
                <pt idx="299">
                  <v>0.01855710607368118</v>
                </pt>
                <pt idx="300">
                  <v>0.000247971455730207</v>
                </pt>
                <pt idx="301">
                  <v>0.01108708526726073</v>
                </pt>
                <pt idx="302">
                  <v>-0.004386203890372147</v>
                </pt>
                <pt idx="303">
                  <v>0.008181693802161719</v>
                </pt>
                <pt idx="304">
                  <v>-0.01046981869503854</v>
                </pt>
                <pt idx="305">
                  <v>0.01378288864660262</v>
                </pt>
                <pt idx="306">
                  <v>0.006838335261053956</v>
                </pt>
                <pt idx="307">
                  <v>0.01019119405592057</v>
                </pt>
                <pt idx="308">
                  <v>0.01845435622560201</v>
                </pt>
                <pt idx="309">
                  <v>0.0009925169446149426</v>
                </pt>
                <pt idx="310">
                  <v>0.00679721848947801</v>
                </pt>
                <pt idx="311">
                  <v>0.001263444343656862</v>
                </pt>
                <pt idx="312">
                  <v>0.01649464522600058</v>
                </pt>
                <pt idx="313">
                  <v>0.002540042270377632</v>
                </pt>
                <pt idx="314">
                  <v>0.01592552846973959</v>
                </pt>
                <pt idx="315">
                  <v>0.01010056815695883</v>
                </pt>
                <pt idx="316">
                  <v>0.0020048636507082</v>
                </pt>
                <pt idx="317">
                  <v>0.005940801946508081</v>
                </pt>
                <pt idx="318">
                  <v>-0.01271386738533884</v>
                </pt>
                <pt idx="319">
                  <v>-0.004365074430115283</v>
                </pt>
                <pt idx="320">
                  <v>0.01170372220834374</v>
                </pt>
                <pt idx="321">
                  <v>-0.02232798745632554</v>
                </pt>
                <pt idx="322">
                  <v>0.007652626328317875</v>
                </pt>
                <pt idx="323">
                  <v>-0.00132214626321363</v>
                </pt>
                <pt idx="324">
                  <v>-0.0003701891101657695</v>
                </pt>
                <pt idx="325">
                  <v>-0.003339212523302305</v>
                </pt>
                <pt idx="326">
                  <v>0.005661672555058034</v>
                </pt>
                <pt idx="327">
                  <v>-0.005886552359004546</v>
                </pt>
                <pt idx="328">
                  <v>0.006715129830042962</v>
                </pt>
                <pt idx="329">
                  <v>-0.01240832978750031</v>
                </pt>
                <pt idx="330">
                  <v>-0.001387577694846955</v>
                </pt>
                <pt idx="331">
                  <v>-0.009047649260833703</v>
                </pt>
                <pt idx="332">
                  <v>-0.00272755211801465</v>
                </pt>
                <pt idx="333">
                  <v>-0.006458737271921827</v>
                </pt>
                <pt idx="334">
                  <v>-0.01450062034739454</v>
                </pt>
                <pt idx="335">
                  <v>-0.009966690271985731</v>
                </pt>
                <pt idx="336">
                  <v>-0.00587463904416245</v>
                </pt>
                <pt idx="337">
                  <v>-0.02732826563447279</v>
                </pt>
                <pt idx="338">
                  <v>-0.09722669333351598</v>
                </pt>
                <pt idx="339">
                  <v>0.03529483171982641</v>
                </pt>
                <pt idx="340">
                  <v>0.05167233393914522</v>
                </pt>
                <pt idx="341">
                  <v>0.02838885908004488</v>
                </pt>
                <pt idx="342">
                  <v>0.01076696864772566</v>
                </pt>
                <pt idx="343">
                  <v>0.02382516591808004</v>
                </pt>
                <pt idx="344">
                  <v>0.009664492810560227</v>
                </pt>
                <pt idx="345">
                  <v>0.006271076523994812</v>
                </pt>
                <pt idx="346">
                  <v>0.02529532697029652</v>
                </pt>
                <pt idx="347">
                  <v>0.01150906393784728</v>
                </pt>
                <pt idx="348">
                  <v>0.0007208416447617805</v>
                </pt>
                <pt idx="349">
                  <v>0.01454306099764653</v>
                </pt>
                <pt idx="350">
                  <v>0.01629320422815382</v>
                </pt>
                <pt idx="351">
                  <v>0.00100576356726872</v>
                </pt>
                <pt idx="352">
                  <v>0.009782804885385958</v>
                </pt>
                <pt idx="353">
                  <v>0.004123072523177387</v>
                </pt>
                <pt idx="354">
                  <v>0.01085279597455616</v>
                </pt>
                <pt idx="355">
                  <v>0.001579036963553009</v>
                </pt>
                <pt idx="356">
                  <v>0.003024158100172307</v>
                </pt>
                <pt idx="357">
                  <v>0.01336317210269834</v>
                </pt>
                <pt idx="358">
                  <v>0.009554342122713042</v>
                </pt>
                <pt idx="359">
                  <v>0.008601487269113464</v>
                </pt>
                <pt idx="360">
                  <v>-0.003267418682613029</v>
                </pt>
                <pt idx="361">
                  <v>0.01149333863591171</v>
                </pt>
                <pt idx="362">
                  <v>0.002409597950999225</v>
                </pt>
                <pt idx="363">
                  <v>0.004432191945849933</v>
                </pt>
                <pt idx="364">
                  <v>0.003832464938803289</v>
                </pt>
                <pt idx="365">
                  <v>0.001972825029870238</v>
                </pt>
                <pt idx="366">
                  <v>0.002179700499168053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'New Orders ex Transport'!$C$251:$C$463</f>
              <numCache>
                <formatCode>0.0%</formatCode>
                <ptCount val="213"/>
                <pt idx="0">
                  <v>-0.004366990449759203</v>
                </pt>
                <pt idx="1">
                  <v>-0.02432875589260094</v>
                </pt>
                <pt idx="2">
                  <v>0.01112674971465384</v>
                </pt>
                <pt idx="3">
                  <v>0.02187010900427984</v>
                </pt>
                <pt idx="4">
                  <v>0.0001287646723955651</v>
                </pt>
                <pt idx="5">
                  <v>-0.01006945620870744</v>
                </pt>
                <pt idx="6">
                  <v>0.03881195709464778</v>
                </pt>
                <pt idx="7">
                  <v>-0.01570911774589975</v>
                </pt>
                <pt idx="8">
                  <v>-0.02294225941422594</v>
                </pt>
                <pt idx="9">
                  <v>0.02467317126647847</v>
                </pt>
                <pt idx="10">
                  <v>0.005269175989140683</v>
                </pt>
                <pt idx="11">
                  <v>0.001982213294132516</v>
                </pt>
                <pt idx="12">
                  <v>-0.01241411358582003</v>
                </pt>
                <pt idx="13">
                  <v>-0.008079857493362014</v>
                </pt>
                <pt idx="14">
                  <v>0.005760251553573728</v>
                </pt>
                <pt idx="15">
                  <v>0.003934965265845984</v>
                </pt>
                <pt idx="16">
                  <v>0.01512782136553085</v>
                </pt>
                <pt idx="17">
                  <v>-0.02218828305267403</v>
                </pt>
                <pt idx="18">
                  <v>0.02077825484296291</v>
                </pt>
                <pt idx="19">
                  <v>0.0008014943564199036</v>
                </pt>
                <pt idx="20">
                  <v>0.01484555460688733</v>
                </pt>
                <pt idx="21">
                  <v>-0.00895442569065818</v>
                </pt>
                <pt idx="22">
                  <v>0.001105561368527037</v>
                </pt>
                <pt idx="23">
                  <v>0.02930446271864955</v>
                </pt>
                <pt idx="24">
                  <v>-0.01841172526104033</v>
                </pt>
                <pt idx="25">
                  <v>0.009817699184135536</v>
                </pt>
                <pt idx="26">
                  <v>0.01141027375637036</v>
                </pt>
                <pt idx="27">
                  <v>-0.02688843306875948</v>
                </pt>
                <pt idx="28">
                  <v>-0.0228461452857732</v>
                </pt>
                <pt idx="29">
                  <v>0.006364263654695152</v>
                </pt>
                <pt idx="30">
                  <v>-0.017873666131899</v>
                </pt>
                <pt idx="31">
                  <v>-0.007428695369265806</v>
                </pt>
                <pt idx="32">
                  <v>0.004588910133843212</v>
                </pt>
                <pt idx="33">
                  <v>-0.00352792430257219</v>
                </pt>
                <pt idx="34">
                  <v>-0.01240850518101137</v>
                </pt>
                <pt idx="35">
                  <v>0.02100515285893876</v>
                </pt>
                <pt idx="36">
                  <v>-0.01162940161688597</v>
                </pt>
                <pt idx="37">
                  <v>0.0006639469937575293</v>
                </pt>
                <pt idx="38">
                  <v>-0.001805832016580821</v>
                </pt>
                <pt idx="39">
                  <v>-0.01035435040327831</v>
                </pt>
                <pt idx="40">
                  <v>-0.004514672686230248</v>
                </pt>
                <pt idx="41">
                  <v>-0.01315331858714856</v>
                </pt>
                <pt idx="42">
                  <v>0.01628898678414097</v>
                </pt>
                <pt idx="43">
                  <v>-0.01102048742596369</v>
                </pt>
                <pt idx="44">
                  <v>-0.009432175992482311</v>
                </pt>
                <pt idx="45">
                  <v>0.008821114037323365</v>
                </pt>
                <pt idx="46">
                  <v>-0.006407107468174992</v>
                </pt>
                <pt idx="47">
                  <v>-0.007507857470777272</v>
                </pt>
                <pt idx="48">
                  <v>0.009094661334168315</v>
                </pt>
                <pt idx="49">
                  <v>0.001678420310296192</v>
                </pt>
                <pt idx="50">
                  <v>-0.007857052338106704</v>
                </pt>
                <pt idx="51">
                  <v>0.008061196974212686</v>
                </pt>
                <pt idx="52">
                  <v>0.002506018668431204</v>
                </pt>
                <pt idx="53">
                  <v>0.0008355920064038648</v>
                </pt>
                <pt idx="54">
                  <v>0.01855710607368118</v>
                </pt>
                <pt idx="55">
                  <v>0.000247971455730207</v>
                </pt>
                <pt idx="56">
                  <v>0.01108708526726073</v>
                </pt>
                <pt idx="57">
                  <v>-0.004386203890372147</v>
                </pt>
                <pt idx="58">
                  <v>0.008181693802161719</v>
                </pt>
                <pt idx="59">
                  <v>-0.01046981869503854</v>
                </pt>
                <pt idx="60">
                  <v>0.01378288864660262</v>
                </pt>
                <pt idx="61">
                  <v>0.006838335261053956</v>
                </pt>
                <pt idx="62">
                  <v>0.01019119405592057</v>
                </pt>
                <pt idx="63">
                  <v>0.01845435622560201</v>
                </pt>
                <pt idx="64">
                  <v>0.0009925169446149426</v>
                </pt>
                <pt idx="65">
                  <v>0.00679721848947801</v>
                </pt>
                <pt idx="66">
                  <v>0.001263444343656862</v>
                </pt>
                <pt idx="67">
                  <v>0.01649464522600058</v>
                </pt>
                <pt idx="68">
                  <v>0.002540042270377632</v>
                </pt>
                <pt idx="69">
                  <v>0.01592552846973959</v>
                </pt>
                <pt idx="70">
                  <v>0.01010056815695883</v>
                </pt>
                <pt idx="71">
                  <v>0.0020048636507082</v>
                </pt>
                <pt idx="72">
                  <v>0.005940801946508081</v>
                </pt>
                <pt idx="73">
                  <v>-0.01271386738533884</v>
                </pt>
                <pt idx="74">
                  <v>-0.004365074430115283</v>
                </pt>
                <pt idx="75">
                  <v>0.01170372220834374</v>
                </pt>
                <pt idx="76">
                  <v>-0.02232798745632554</v>
                </pt>
                <pt idx="77">
                  <v>0.007652626328317875</v>
                </pt>
                <pt idx="78">
                  <v>-0.00132214626321363</v>
                </pt>
                <pt idx="79">
                  <v>-0.0003701891101657695</v>
                </pt>
                <pt idx="80">
                  <v>-0.003339212523302305</v>
                </pt>
                <pt idx="81">
                  <v>0.005661672555058034</v>
                </pt>
                <pt idx="82">
                  <v>-0.005886552359004546</v>
                </pt>
                <pt idx="83">
                  <v>0.006715129830042962</v>
                </pt>
                <pt idx="84">
                  <v>-0.01240832978750031</v>
                </pt>
                <pt idx="85">
                  <v>-0.001387577694846955</v>
                </pt>
                <pt idx="86">
                  <v>-0.009047649260833703</v>
                </pt>
                <pt idx="87">
                  <v>-0.00272755211801465</v>
                </pt>
                <pt idx="88">
                  <v>-0.006458737271921827</v>
                </pt>
                <pt idx="89">
                  <v>-0.01450062034739454</v>
                </pt>
                <pt idx="90">
                  <v>-0.009966690271985731</v>
                </pt>
                <pt idx="91">
                  <v>-0.00587463904416245</v>
                </pt>
                <pt idx="92">
                  <v>-0.02732826563447279</v>
                </pt>
                <pt idx="93">
                  <v>-0.09722669333351598</v>
                </pt>
                <pt idx="94">
                  <v>0.03529483171982641</v>
                </pt>
                <pt idx="95">
                  <v>0.05167233393914522</v>
                </pt>
                <pt idx="96">
                  <v>0.02838885908004488</v>
                </pt>
                <pt idx="97">
                  <v>0.01076696864772566</v>
                </pt>
                <pt idx="98">
                  <v>0.02382516591808004</v>
                </pt>
                <pt idx="99">
                  <v>0.009664492810560227</v>
                </pt>
                <pt idx="100">
                  <v>0.006271076523994812</v>
                </pt>
                <pt idx="101">
                  <v>0.02529532697029652</v>
                </pt>
                <pt idx="102">
                  <v>0.01150906393784728</v>
                </pt>
                <pt idx="103">
                  <v>0.0007208416447617805</v>
                </pt>
                <pt idx="104">
                  <v>0.01454306099764653</v>
                </pt>
                <pt idx="105">
                  <v>0.01629320422815382</v>
                </pt>
                <pt idx="106">
                  <v>0.00100576356726872</v>
                </pt>
                <pt idx="107">
                  <v>0.009782804885385958</v>
                </pt>
                <pt idx="108">
                  <v>0.004123072523177387</v>
                </pt>
                <pt idx="109">
                  <v>0.01085279597455616</v>
                </pt>
                <pt idx="110">
                  <v>0.001579036963553009</v>
                </pt>
                <pt idx="111">
                  <v>0.003024158100172307</v>
                </pt>
                <pt idx="112">
                  <v>0.01336317210269834</v>
                </pt>
                <pt idx="113">
                  <v>0.009554342122713042</v>
                </pt>
                <pt idx="114">
                  <v>0.008601487269113464</v>
                </pt>
                <pt idx="115">
                  <v>-0.003267418682613029</v>
                </pt>
                <pt idx="116">
                  <v>0.01149333863591171</v>
                </pt>
                <pt idx="117">
                  <v>0.002409597950999225</v>
                </pt>
                <pt idx="118">
                  <v>0.004432191945849933</v>
                </pt>
                <pt idx="119">
                  <v>0.003832464938803289</v>
                </pt>
                <pt idx="120">
                  <v>0.001972825029870238</v>
                </pt>
                <pt idx="121">
                  <v>0.002179700499168053</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'New Orders ex Transport'!$B$6:$B$372</f>
              <numCache>
                <formatCode>#,##0</formatCode>
                <ptCount val="367"/>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151995</v>
                </pt>
                <pt idx="240">
                  <v>153841</v>
                </pt>
                <pt idx="241">
                  <v>153408</v>
                </pt>
                <pt idx="242">
                  <v>151383</v>
                </pt>
                <pt idx="243">
                  <v>150820</v>
                </pt>
                <pt idx="244">
                  <v>147012</v>
                </pt>
                <pt idx="245">
                  <v>146370</v>
                </pt>
                <pt idx="246">
                  <v>142809</v>
                </pt>
                <pt idx="247">
                  <v>144398</v>
                </pt>
                <pt idx="248">
                  <v>147556</v>
                </pt>
                <pt idx="249">
                  <v>147575</v>
                </pt>
                <pt idx="250">
                  <v>146089</v>
                </pt>
                <pt idx="251">
                  <v>151759</v>
                </pt>
                <pt idx="252">
                  <v>149375</v>
                </pt>
                <pt idx="253">
                  <v>145948</v>
                </pt>
                <pt idx="254">
                  <v>149549</v>
                </pt>
                <pt idx="255">
                  <v>150337</v>
                </pt>
                <pt idx="256">
                  <v>150635</v>
                </pt>
                <pt idx="257">
                  <v>148765</v>
                </pt>
                <pt idx="258">
                  <v>147563</v>
                </pt>
                <pt idx="259">
                  <v>148413</v>
                </pt>
                <pt idx="260">
                  <v>148997</v>
                </pt>
                <pt idx="261">
                  <v>151251</v>
                </pt>
                <pt idx="262">
                  <v>147895</v>
                </pt>
                <pt idx="263">
                  <v>150968</v>
                </pt>
                <pt idx="264">
                  <v>151089</v>
                </pt>
                <pt idx="265">
                  <v>153332</v>
                </pt>
                <pt idx="266">
                  <v>151959</v>
                </pt>
                <pt idx="267">
                  <v>152127</v>
                </pt>
                <pt idx="268">
                  <v>156585</v>
                </pt>
                <pt idx="269">
                  <v>153702</v>
                </pt>
                <pt idx="270">
                  <v>155211</v>
                </pt>
                <pt idx="271">
                  <v>156982</v>
                </pt>
                <pt idx="272">
                  <v>152761</v>
                </pt>
                <pt idx="273">
                  <v>149271</v>
                </pt>
                <pt idx="274">
                  <v>150221</v>
                </pt>
                <pt idx="275">
                  <v>147536</v>
                </pt>
                <pt idx="276">
                  <v>146440</v>
                </pt>
                <pt idx="277">
                  <v>147112</v>
                </pt>
                <pt idx="278">
                  <v>146593</v>
                </pt>
                <pt idx="279">
                  <v>144774</v>
                </pt>
                <pt idx="280">
                  <v>147815</v>
                </pt>
                <pt idx="281">
                  <v>146096</v>
                </pt>
                <pt idx="282">
                  <v>146193</v>
                </pt>
                <pt idx="283">
                  <v>145929</v>
                </pt>
                <pt idx="284">
                  <v>144418</v>
                </pt>
                <pt idx="285">
                  <v>143766</v>
                </pt>
                <pt idx="286">
                  <v>141875</v>
                </pt>
                <pt idx="287">
                  <v>144186</v>
                </pt>
                <pt idx="288">
                  <v>142597</v>
                </pt>
                <pt idx="289">
                  <v>141252</v>
                </pt>
                <pt idx="290">
                  <v>142498</v>
                </pt>
                <pt idx="291">
                  <v>141585</v>
                </pt>
                <pt idx="292">
                  <v>140522</v>
                </pt>
                <pt idx="293">
                  <v>141800</v>
                </pt>
                <pt idx="294">
                  <v>142038</v>
                </pt>
                <pt idx="295">
                  <v>140922</v>
                </pt>
                <pt idx="296">
                  <v>142058</v>
                </pt>
                <pt idx="297">
                  <v>142414</v>
                </pt>
                <pt idx="298">
                  <v>142533</v>
                </pt>
                <pt idx="299">
                  <v>145178</v>
                </pt>
                <pt idx="300">
                  <v>145214</v>
                </pt>
                <pt idx="301">
                  <v>146824</v>
                </pt>
                <pt idx="302">
                  <v>146180</v>
                </pt>
                <pt idx="303">
                  <v>147376</v>
                </pt>
                <pt idx="304">
                  <v>145833</v>
                </pt>
                <pt idx="305">
                  <v>147843</v>
                </pt>
                <pt idx="306">
                  <v>148854</v>
                </pt>
                <pt idx="307">
                  <v>150371</v>
                </pt>
                <pt idx="308">
                  <v>153146</v>
                </pt>
                <pt idx="309">
                  <v>153298</v>
                </pt>
                <pt idx="310">
                  <v>154340</v>
                </pt>
                <pt idx="311">
                  <v>154535</v>
                </pt>
                <pt idx="312">
                  <v>157084</v>
                </pt>
                <pt idx="313">
                  <v>157483</v>
                </pt>
                <pt idx="314">
                  <v>159991</v>
                </pt>
                <pt idx="315">
                  <v>161607</v>
                </pt>
                <pt idx="316">
                  <v>161931</v>
                </pt>
                <pt idx="317">
                  <v>162893</v>
                </pt>
                <pt idx="318">
                  <v>160822</v>
                </pt>
                <pt idx="319">
                  <v>160120</v>
                </pt>
                <pt idx="320">
                  <v>161994</v>
                </pt>
                <pt idx="321">
                  <v>158377</v>
                </pt>
                <pt idx="322">
                  <v>159589</v>
                </pt>
                <pt idx="323">
                  <v>159378</v>
                </pt>
                <pt idx="324">
                  <v>159319</v>
                </pt>
                <pt idx="325">
                  <v>158787</v>
                </pt>
                <pt idx="326">
                  <v>159686</v>
                </pt>
                <pt idx="327">
                  <v>158746</v>
                </pt>
                <pt idx="328">
                  <v>159812</v>
                </pt>
                <pt idx="329">
                  <v>157829</v>
                </pt>
                <pt idx="330">
                  <v>157610</v>
                </pt>
                <pt idx="331">
                  <v>156184</v>
                </pt>
                <pt idx="332">
                  <v>155758</v>
                </pt>
                <pt idx="333">
                  <v>154752</v>
                </pt>
                <pt idx="334">
                  <v>152508</v>
                </pt>
                <pt idx="335">
                  <v>150988</v>
                </pt>
                <pt idx="336">
                  <v>150101</v>
                </pt>
                <pt idx="337">
                  <v>145999</v>
                </pt>
                <pt idx="338">
                  <v>131804</v>
                </pt>
                <pt idx="339">
                  <v>136456</v>
                </pt>
                <pt idx="340">
                  <v>143507</v>
                </pt>
                <pt idx="341">
                  <v>147581</v>
                </pt>
                <pt idx="342">
                  <v>149170</v>
                </pt>
                <pt idx="343">
                  <v>152724</v>
                </pt>
                <pt idx="344">
                  <v>154200</v>
                </pt>
                <pt idx="345">
                  <v>155167</v>
                </pt>
                <pt idx="346">
                  <v>159092</v>
                </pt>
                <pt idx="347">
                  <v>160923</v>
                </pt>
                <pt idx="348">
                  <v>161039</v>
                </pt>
                <pt idx="349">
                  <v>163381</v>
                </pt>
                <pt idx="350">
                  <v>166043</v>
                </pt>
                <pt idx="351">
                  <v>166210</v>
                </pt>
                <pt idx="352">
                  <v>167836</v>
                </pt>
                <pt idx="353">
                  <v>168528</v>
                </pt>
                <pt idx="354">
                  <v>170357</v>
                </pt>
                <pt idx="355">
                  <v>170626</v>
                </pt>
                <pt idx="356">
                  <v>171142</v>
                </pt>
                <pt idx="357">
                  <v>173429</v>
                </pt>
                <pt idx="358">
                  <v>175086</v>
                </pt>
                <pt idx="359">
                  <v>176592</v>
                </pt>
                <pt idx="360">
                  <v>176015</v>
                </pt>
                <pt idx="361">
                  <v>178038</v>
                </pt>
                <pt idx="362">
                  <v>178467</v>
                </pt>
                <pt idx="363">
                  <v>179258</v>
                </pt>
                <pt idx="364">
                  <v>179945</v>
                </pt>
                <pt idx="365">
                  <v>180300</v>
                </pt>
                <pt idx="366">
                  <v>180693</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3.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Other!$A$6:$A$377</f>
              <numCache>
                <formatCode>m/d/yy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Other!$B$6:$B$377</f>
              <numCache>
                <formatCode>#,##0</formatCode>
                <ptCount val="372"/>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194425</v>
                </pt>
                <pt idx="366">
                  <v>193520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4.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Other!$C$6:$C$378</f>
              <numCache>
                <formatCode>0.0%</formatCode>
                <ptCount val="373"/>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0.0003460694719801039</v>
                </pt>
                <pt idx="240">
                  <v>0.012577325632531</v>
                </pt>
                <pt idx="241">
                  <v>-0.04601308703457062</v>
                </pt>
                <pt idx="242">
                  <v>-0.02040134997329189</v>
                </pt>
                <pt idx="243">
                  <v>0.003847988945551886</v>
                </pt>
                <pt idx="244">
                  <v>0.001740697760549122</v>
                </pt>
                <pt idx="245">
                  <v>0.03646648509421638</v>
                </pt>
                <pt idx="246">
                  <v>-0.138112054410121</v>
                </pt>
                <pt idx="247">
                  <v>0.114676525973802</v>
                </pt>
                <pt idx="248">
                  <v>0.01388012227874107</v>
                </pt>
                <pt idx="249">
                  <v>-0.03637062762068102</v>
                </pt>
                <pt idx="250">
                  <v>0.09932734573922296</v>
                </pt>
                <pt idx="251">
                  <v>-0.05508630822059874</v>
                </pt>
                <pt idx="252">
                  <v>0.0693158051986854</v>
                </pt>
                <pt idx="253">
                  <v>-0.1109989679023328</v>
                </pt>
                <pt idx="254">
                  <v>0.06877906417369552</v>
                </pt>
                <pt idx="255">
                  <v>0.05095182082243081</v>
                </pt>
                <pt idx="256">
                  <v>0.07269955115978941</v>
                </pt>
                <pt idx="257">
                  <v>-0.1227847899110456</v>
                </pt>
                <pt idx="258">
                  <v>0.0006675405379163025</v>
                </pt>
                <pt idx="259">
                  <v>0.08161000400257135</v>
                </pt>
                <pt idx="260">
                  <v>-0.04117722917168953</v>
                </pt>
                <pt idx="261">
                  <v>0.03150748214985351</v>
                </pt>
                <pt idx="262">
                  <v>0.001014767992290031</v>
                </pt>
                <pt idx="263">
                  <v>-0.07526023083806223</v>
                </pt>
                <pt idx="264">
                  <v>0.04784272897081789</v>
                </pt>
                <pt idx="265">
                  <v>-0.0008766956755524644</v>
                </pt>
                <pt idx="266">
                  <v>0.02930147940589773</v>
                </pt>
                <pt idx="267">
                  <v>-0.03584418831980722</v>
                </pt>
                <pt idx="268">
                  <v>0.04786352999428231</v>
                </pt>
                <pt idx="269">
                  <v>0.340194297093419</v>
                </pt>
                <pt idx="270">
                  <v>-0.2771055006400974</v>
                </pt>
                <pt idx="271">
                  <v>0.002856711530198692</v>
                </pt>
                <pt idx="272">
                  <v>-0.03250385020669531</v>
                </pt>
                <pt idx="273">
                  <v>-0.02536145155112984</v>
                </pt>
                <pt idx="274">
                  <v>-0.01381503812950524</v>
                </pt>
                <pt idx="275">
                  <v>0.00277058325447029</v>
                </pt>
                <pt idx="276">
                  <v>-0.03223623347675725</v>
                </pt>
                <pt idx="277">
                  <v>0.03717865643585318</v>
                </pt>
                <pt idx="278">
                  <v>-0.01225999604117181</v>
                </pt>
                <pt idx="279">
                  <v>-0.04419408574541902</v>
                </pt>
                <pt idx="280">
                  <v>0.09193775593775594</v>
                </pt>
                <pt idx="281">
                  <v>-0.02171525948505013</v>
                </pt>
                <pt idx="282">
                  <v>-0.04028508691225358</v>
                </pt>
                <pt idx="283">
                  <v>-0.03015274493513134</v>
                </pt>
                <pt idx="284">
                  <v>0.0580025304444093</v>
                </pt>
                <pt idx="285">
                  <v>-0.02351233852784733</v>
                </pt>
                <pt idx="286">
                  <v>-0.03277862468825544</v>
                </pt>
                <pt idx="287">
                  <v>0.0586322869955157</v>
                </pt>
                <pt idx="288">
                  <v>-0.06309684733789735</v>
                </pt>
                <pt idx="289">
                  <v>0.006163481868592173</v>
                </pt>
                <pt idx="290">
                  <v>0.07652862306629926</v>
                </pt>
                <pt idx="291">
                  <v>-0.03166779203241053</v>
                </pt>
                <pt idx="292">
                  <v>-0.08541308771418248</v>
                </pt>
                <pt idx="293">
                  <v>0.06572080095926586</v>
                </pt>
                <pt idx="294">
                  <v>0.005989893274540027</v>
                </pt>
                <pt idx="295">
                  <v>-0.0202288595810706</v>
                </pt>
                <pt idx="296">
                  <v>0.1229157181410878</v>
                </pt>
                <pt idx="297">
                  <v>-0.1004648047056335</v>
                </pt>
                <pt idx="298">
                  <v>0.005206359990070682</v>
                </pt>
                <pt idx="299">
                  <v>-0.003398774361673783</v>
                </pt>
                <pt idx="300">
                  <v>0.02964996478781397</v>
                </pt>
                <pt idx="301">
                  <v>0.001564251470839693</v>
                </pt>
                <pt idx="302">
                  <v>0.006380018969332912</v>
                </pt>
                <pt idx="303">
                  <v>-0.008582612356197263</v>
                </pt>
                <pt idx="304">
                  <v>0.105391240422579</v>
                </pt>
                <pt idx="305">
                  <v>-0.1039828462989399</v>
                </pt>
                <pt idx="306">
                  <v>0.01908680240072687</v>
                </pt>
                <pt idx="307">
                  <v>0.03146249427069926</v>
                </pt>
                <pt idx="308">
                  <v>-0.0006026296566837107</v>
                </pt>
                <pt idx="309">
                  <v>-0.005847205218630657</v>
                </pt>
                <pt idx="310">
                  <v>0.06734427555277814</v>
                </pt>
                <pt idx="311">
                  <v>-0.08527492207814572</v>
                </pt>
                <pt idx="312">
                  <v>0.04664369936683045</v>
                </pt>
                <pt idx="313">
                  <v>0.05224533844954733</v>
                </pt>
                <pt idx="314">
                  <v>-0.02902497948764701</v>
                </pt>
                <pt idx="315">
                  <v>0.0248283551434775</v>
                </pt>
                <pt idx="316">
                  <v>0.00542255255066107</v>
                </pt>
                <pt idx="317">
                  <v>-0.05657562020183612</v>
                </pt>
                <pt idx="318">
                  <v>0.06046941214821254</v>
                </pt>
                <pt idx="319">
                  <v>0.00221436662852719</v>
                </pt>
                <pt idx="320">
                  <v>-0.03196637509939793</v>
                </pt>
                <pt idx="321">
                  <v>-0.04188767367630492</v>
                </pt>
                <pt idx="322">
                  <v>0.03942606235417317</v>
                </pt>
                <pt idx="323">
                  <v>-0.0542917911283148</v>
                </pt>
                <pt idx="324">
                  <v>-0.03624560791447581</v>
                </pt>
                <pt idx="325">
                  <v>0.06347205523019044</v>
                </pt>
                <pt idx="326">
                  <v>-0.04437839250654948</v>
                </pt>
                <pt idx="327">
                  <v>-0.04727890291064522</v>
                </pt>
                <pt idx="328">
                  <v>0.003945708124419994</v>
                </pt>
                <pt idx="329">
                  <v>0.04708925745142113</v>
                </pt>
                <pt idx="330">
                  <v>-0.004985551427391953</v>
                </pt>
                <pt idx="331">
                  <v>-0.01431033382268462</v>
                </pt>
                <pt idx="332">
                  <v>0.01423317015049084</v>
                </pt>
                <pt idx="333">
                  <v>-0.06001557851186904</v>
                </pt>
                <pt idx="334">
                  <v>0.02335864589135071</v>
                </pt>
                <pt idx="335">
                  <v>0.0700228984833903</v>
                </pt>
                <pt idx="336">
                  <v>0.02511552895202059</v>
                </pt>
                <pt idx="337">
                  <v>-0.1341792525897957</v>
                </pt>
                <pt idx="338">
                  <v>-0.1556933097582623</v>
                </pt>
                <pt idx="339">
                  <v>0.127852596203988</v>
                </pt>
                <pt idx="340">
                  <v>-0.005849240772951114</v>
                </pt>
                <pt idx="341">
                  <v>0.07588217924110438</v>
                </pt>
                <pt idx="342">
                  <v>0.02499674074887298</v>
                </pt>
                <pt idx="343">
                  <v>0.02365077452437375</v>
                </pt>
                <pt idx="344">
                  <v>0.03312297681718602</v>
                </pt>
                <pt idx="345">
                  <v>-0.01398278263071275</v>
                </pt>
                <pt idx="346">
                  <v>0.01679388332873256</v>
                </pt>
                <pt idx="347">
                  <v>0.03213016219765511</v>
                </pt>
                <pt idx="348">
                  <v>0.02718441850791553</v>
                </pt>
                <pt idx="349">
                  <v>0.01498332539304431</v>
                </pt>
                <pt idx="350">
                  <v>-0.007856321434438734</v>
                </pt>
                <pt idx="351">
                  <v>0.01714400610300597</v>
                </pt>
                <pt idx="352">
                  <v>0.02555873392404474</v>
                </pt>
                <pt idx="353">
                  <v>-0.01027824391128849</v>
                </pt>
                <pt idx="354">
                  <v>0.03055350299864245</v>
                </pt>
                <pt idx="355">
                  <v>-0.01470710843574394</v>
                </pt>
                <pt idx="356">
                  <v>0.007130486779829297</v>
                </pt>
                <pt idx="357">
                  <v>0.01221636578521377</v>
                </pt>
                <pt idx="358">
                  <v>0.003076718756917084</v>
                </pt>
                <pt idx="359">
                  <v>0.04523688681951585</v>
                </pt>
                <pt idx="360">
                  <v>-0.009801127367154348</v>
                </pt>
                <pt idx="361">
                  <v>-0.003752445219096961</v>
                </pt>
                <pt idx="362">
                  <v>0.00728704649906103</v>
                </pt>
                <pt idx="363">
                  <v>0.005454960721095878</v>
                </pt>
                <pt idx="364">
                  <v>0.02742794353816246</v>
                </pt>
                <pt idx="365">
                  <v>-0.0003239274402533832</v>
                </pt>
                <pt idx="366">
                  <v>-0.004654751189404655</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5.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Other!$A$251:$A$379</f>
              <numCache>
                <formatCode>m/d/yy</formatCode>
                <ptCount val="12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Other!$C$251:$C$379</f>
              <numCache>
                <formatCode>0.0%</formatCode>
                <ptCount val="129"/>
                <pt idx="0">
                  <v>0.03646648509421638</v>
                </pt>
                <pt idx="1">
                  <v>-0.138112054410121</v>
                </pt>
                <pt idx="2">
                  <v>0.114676525973802</v>
                </pt>
                <pt idx="3">
                  <v>0.01388012227874107</v>
                </pt>
                <pt idx="4">
                  <v>-0.03637062762068102</v>
                </pt>
                <pt idx="5">
                  <v>0.09932734573922296</v>
                </pt>
                <pt idx="6">
                  <v>-0.05508630822059874</v>
                </pt>
                <pt idx="7">
                  <v>0.0693158051986854</v>
                </pt>
                <pt idx="8">
                  <v>-0.1109989679023328</v>
                </pt>
                <pt idx="9">
                  <v>0.06877906417369552</v>
                </pt>
                <pt idx="10">
                  <v>0.05095182082243081</v>
                </pt>
                <pt idx="11">
                  <v>0.07269955115978941</v>
                </pt>
                <pt idx="12">
                  <v>-0.1227847899110456</v>
                </pt>
                <pt idx="13">
                  <v>0.0006675405379163025</v>
                </pt>
                <pt idx="14">
                  <v>0.08161000400257135</v>
                </pt>
                <pt idx="15">
                  <v>-0.04117722917168953</v>
                </pt>
                <pt idx="16">
                  <v>0.03150748214985351</v>
                </pt>
                <pt idx="17">
                  <v>0.001014767992290031</v>
                </pt>
                <pt idx="18">
                  <v>-0.07526023083806223</v>
                </pt>
                <pt idx="19">
                  <v>0.04784272897081789</v>
                </pt>
                <pt idx="20">
                  <v>-0.0008766956755524644</v>
                </pt>
                <pt idx="21">
                  <v>0.02930147940589773</v>
                </pt>
                <pt idx="22">
                  <v>-0.03584418831980722</v>
                </pt>
                <pt idx="23">
                  <v>0.04786352999428231</v>
                </pt>
                <pt idx="24">
                  <v>0.340194297093419</v>
                </pt>
                <pt idx="25">
                  <v>-0.2771055006400974</v>
                </pt>
                <pt idx="26">
                  <v>0.002856711530198692</v>
                </pt>
                <pt idx="27">
                  <v>-0.03250385020669531</v>
                </pt>
                <pt idx="28">
                  <v>-0.02536145155112984</v>
                </pt>
                <pt idx="29">
                  <v>-0.01381503812950524</v>
                </pt>
                <pt idx="30">
                  <v>0.00277058325447029</v>
                </pt>
                <pt idx="31">
                  <v>-0.03223623347675725</v>
                </pt>
                <pt idx="32">
                  <v>0.03717865643585318</v>
                </pt>
                <pt idx="33">
                  <v>-0.01225999604117181</v>
                </pt>
                <pt idx="34">
                  <v>-0.04419408574541902</v>
                </pt>
                <pt idx="35">
                  <v>0.09193775593775594</v>
                </pt>
                <pt idx="36">
                  <v>-0.02171525948505013</v>
                </pt>
                <pt idx="37">
                  <v>-0.04028508691225358</v>
                </pt>
                <pt idx="38">
                  <v>-0.03015274493513134</v>
                </pt>
                <pt idx="39">
                  <v>0.0580025304444093</v>
                </pt>
                <pt idx="40">
                  <v>-0.02351233852784733</v>
                </pt>
                <pt idx="41">
                  <v>-0.03277862468825544</v>
                </pt>
                <pt idx="42">
                  <v>0.0586322869955157</v>
                </pt>
                <pt idx="43">
                  <v>-0.06309684733789735</v>
                </pt>
                <pt idx="44">
                  <v>0.006163481868592173</v>
                </pt>
                <pt idx="45">
                  <v>0.07652862306629926</v>
                </pt>
                <pt idx="46">
                  <v>-0.03166779203241053</v>
                </pt>
                <pt idx="47">
                  <v>-0.08541308771418248</v>
                </pt>
                <pt idx="48">
                  <v>0.06572080095926586</v>
                </pt>
                <pt idx="49">
                  <v>0.005989893274540027</v>
                </pt>
                <pt idx="50">
                  <v>-0.0202288595810706</v>
                </pt>
                <pt idx="51">
                  <v>0.1229157181410878</v>
                </pt>
                <pt idx="52">
                  <v>-0.1004648047056335</v>
                </pt>
                <pt idx="53">
                  <v>0.005206359990070682</v>
                </pt>
                <pt idx="54">
                  <v>-0.003398774361673783</v>
                </pt>
                <pt idx="55">
                  <v>0.02964996478781397</v>
                </pt>
                <pt idx="56">
                  <v>0.001564251470839693</v>
                </pt>
                <pt idx="57">
                  <v>0.006380018969332912</v>
                </pt>
                <pt idx="58">
                  <v>-0.008582612356197263</v>
                </pt>
                <pt idx="59">
                  <v>0.105391240422579</v>
                </pt>
                <pt idx="60">
                  <v>-0.1039828462989399</v>
                </pt>
                <pt idx="61">
                  <v>0.01908680240072687</v>
                </pt>
                <pt idx="62">
                  <v>0.03146249427069926</v>
                </pt>
                <pt idx="63">
                  <v>-0.0006026296566837107</v>
                </pt>
                <pt idx="64">
                  <v>-0.005847205218630657</v>
                </pt>
                <pt idx="65">
                  <v>0.06734427555277814</v>
                </pt>
                <pt idx="66">
                  <v>-0.08527492207814572</v>
                </pt>
                <pt idx="67">
                  <v>0.04664369936683045</v>
                </pt>
                <pt idx="68">
                  <v>0.05224533844954733</v>
                </pt>
                <pt idx="69">
                  <v>-0.02902497948764701</v>
                </pt>
                <pt idx="70">
                  <v>0.0248283551434775</v>
                </pt>
                <pt idx="71">
                  <v>0.00542255255066107</v>
                </pt>
                <pt idx="72">
                  <v>-0.05657562020183612</v>
                </pt>
                <pt idx="73">
                  <v>0.06046941214821254</v>
                </pt>
                <pt idx="74">
                  <v>0.00221436662852719</v>
                </pt>
                <pt idx="75">
                  <v>-0.03196637509939793</v>
                </pt>
                <pt idx="76">
                  <v>-0.04188767367630492</v>
                </pt>
                <pt idx="77">
                  <v>0.03942606235417317</v>
                </pt>
                <pt idx="78">
                  <v>-0.0542917911283148</v>
                </pt>
                <pt idx="79">
                  <v>-0.03624560791447581</v>
                </pt>
                <pt idx="80">
                  <v>0.06347205523019044</v>
                </pt>
                <pt idx="81">
                  <v>-0.04437839250654948</v>
                </pt>
                <pt idx="82">
                  <v>-0.04727890291064522</v>
                </pt>
                <pt idx="83">
                  <v>0.003945708124419994</v>
                </pt>
                <pt idx="84">
                  <v>0.04708925745142113</v>
                </pt>
                <pt idx="85">
                  <v>-0.004985551427391953</v>
                </pt>
                <pt idx="86">
                  <v>-0.01431033382268462</v>
                </pt>
                <pt idx="87">
                  <v>0.01423317015049084</v>
                </pt>
                <pt idx="88">
                  <v>-0.06001557851186904</v>
                </pt>
                <pt idx="89">
                  <v>0.02335864589135071</v>
                </pt>
                <pt idx="90">
                  <v>0.0700228984833903</v>
                </pt>
                <pt idx="91">
                  <v>0.02511552895202059</v>
                </pt>
                <pt idx="92">
                  <v>-0.1341792525897957</v>
                </pt>
                <pt idx="93">
                  <v>-0.1556933097582623</v>
                </pt>
                <pt idx="94">
                  <v>0.127852596203988</v>
                </pt>
                <pt idx="95">
                  <v>-0.005849240772951114</v>
                </pt>
                <pt idx="96">
                  <v>0.07588217924110438</v>
                </pt>
                <pt idx="97">
                  <v>0.02499674074887298</v>
                </pt>
                <pt idx="98">
                  <v>0.02365077452437375</v>
                </pt>
                <pt idx="99">
                  <v>0.03312297681718602</v>
                </pt>
                <pt idx="100">
                  <v>-0.01398278263071275</v>
                </pt>
                <pt idx="101">
                  <v>0.01679388332873256</v>
                </pt>
                <pt idx="102">
                  <v>0.03213016219765511</v>
                </pt>
                <pt idx="103">
                  <v>0.02718441850791553</v>
                </pt>
                <pt idx="104">
                  <v>0.01498332539304431</v>
                </pt>
                <pt idx="105">
                  <v>-0.007856321434438734</v>
                </pt>
                <pt idx="106">
                  <v>0.01714400610300597</v>
                </pt>
                <pt idx="107">
                  <v>0.02555873392404474</v>
                </pt>
                <pt idx="108">
                  <v>-0.01027824391128849</v>
                </pt>
                <pt idx="109">
                  <v>0.03055350299864245</v>
                </pt>
                <pt idx="110">
                  <v>-0.01470710843574394</v>
                </pt>
                <pt idx="111">
                  <v>0.007130486779829297</v>
                </pt>
                <pt idx="112">
                  <v>0.01221636578521377</v>
                </pt>
                <pt idx="113">
                  <v>0.003076718756917084</v>
                </pt>
                <pt idx="114">
                  <v>0.04523688681951585</v>
                </pt>
                <pt idx="115">
                  <v>-0.009801127367154348</v>
                </pt>
                <pt idx="116">
                  <v>-0.003752445219096961</v>
                </pt>
                <pt idx="117">
                  <v>0.00728704649906103</v>
                </pt>
                <pt idx="118">
                  <v>0.005454960721095878</v>
                </pt>
                <pt idx="119">
                  <v>0.02742794353816246</v>
                </pt>
                <pt idx="120">
                  <v>-0.0003239274402533832</v>
                </pt>
                <pt idx="121">
                  <v>-0.004654751189404655</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Other!$A$6:$A$378</f>
              <numCache>
                <formatCode>m/d/yy</formatCode>
                <ptCount val="37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numCache>
            </numRef>
          </cat>
          <val>
            <numRef>
              <f>Other!$B$6:$B$378</f>
              <numCache>
                <formatCode>#,##0</formatCode>
                <ptCount val="373"/>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170545</v>
                </pt>
                <pt idx="240">
                  <v>172690</v>
                </pt>
                <pt idx="241">
                  <v>164744</v>
                </pt>
                <pt idx="242">
                  <v>161383</v>
                </pt>
                <pt idx="243">
                  <v>162004</v>
                </pt>
                <pt idx="244">
                  <v>162286</v>
                </pt>
                <pt idx="245">
                  <v>168204</v>
                </pt>
                <pt idx="246">
                  <v>144973</v>
                </pt>
                <pt idx="247">
                  <v>161598</v>
                </pt>
                <pt idx="248">
                  <v>163841</v>
                </pt>
                <pt idx="249">
                  <v>157882</v>
                </pt>
                <pt idx="250">
                  <v>173564</v>
                </pt>
                <pt idx="251">
                  <v>164003</v>
                </pt>
                <pt idx="252">
                  <v>175371</v>
                </pt>
                <pt idx="253">
                  <v>155905</v>
                </pt>
                <pt idx="254">
                  <v>166628</v>
                </pt>
                <pt idx="255">
                  <v>175118</v>
                </pt>
                <pt idx="256">
                  <v>187849</v>
                </pt>
                <pt idx="257">
                  <v>164784</v>
                </pt>
                <pt idx="258">
                  <v>164894</v>
                </pt>
                <pt idx="259">
                  <v>178351</v>
                </pt>
                <pt idx="260">
                  <v>171007</v>
                </pt>
                <pt idx="261">
                  <v>176395</v>
                </pt>
                <pt idx="262">
                  <v>176574</v>
                </pt>
                <pt idx="263">
                  <v>163285</v>
                </pt>
                <pt idx="264">
                  <v>171097</v>
                </pt>
                <pt idx="265">
                  <v>170947</v>
                </pt>
                <pt idx="266">
                  <v>175956</v>
                </pt>
                <pt idx="267">
                  <v>169649</v>
                </pt>
                <pt idx="268">
                  <v>177769</v>
                </pt>
                <pt idx="269">
                  <v>238245</v>
                </pt>
                <pt idx="270">
                  <v>172226</v>
                </pt>
                <pt idx="271">
                  <v>172718</v>
                </pt>
                <pt idx="272">
                  <v>167104</v>
                </pt>
                <pt idx="273">
                  <v>162866</v>
                </pt>
                <pt idx="274">
                  <v>160616</v>
                </pt>
                <pt idx="275">
                  <v>161061</v>
                </pt>
                <pt idx="276">
                  <v>155869</v>
                </pt>
                <pt idx="277">
                  <v>161664</v>
                </pt>
                <pt idx="278">
                  <v>159682</v>
                </pt>
                <pt idx="279">
                  <v>152625</v>
                </pt>
                <pt idx="280">
                  <v>166657</v>
                </pt>
                <pt idx="281">
                  <v>163038</v>
                </pt>
                <pt idx="282">
                  <v>156470</v>
                </pt>
                <pt idx="283">
                  <v>151752</v>
                </pt>
                <pt idx="284">
                  <v>160554</v>
                </pt>
                <pt idx="285">
                  <v>156779</v>
                </pt>
                <pt idx="286">
                  <v>151640</v>
                </pt>
                <pt idx="287">
                  <v>160531</v>
                </pt>
                <pt idx="288">
                  <v>150402</v>
                </pt>
                <pt idx="289">
                  <v>151329</v>
                </pt>
                <pt idx="290">
                  <v>162910</v>
                </pt>
                <pt idx="291">
                  <v>157751</v>
                </pt>
                <pt idx="292">
                  <v>144277</v>
                </pt>
                <pt idx="293">
                  <v>153759</v>
                </pt>
                <pt idx="294">
                  <v>154680</v>
                </pt>
                <pt idx="295">
                  <v>151551</v>
                </pt>
                <pt idx="296">
                  <v>170179</v>
                </pt>
                <pt idx="297">
                  <v>153082</v>
                </pt>
                <pt idx="298">
                  <v>153879</v>
                </pt>
                <pt idx="299">
                  <v>153356</v>
                </pt>
                <pt idx="300">
                  <v>157903</v>
                </pt>
                <pt idx="301">
                  <v>158150</v>
                </pt>
                <pt idx="302">
                  <v>159159</v>
                </pt>
                <pt idx="303">
                  <v>157793</v>
                </pt>
                <pt idx="304">
                  <v>174423</v>
                </pt>
                <pt idx="305">
                  <v>156286</v>
                </pt>
                <pt idx="306">
                  <v>159269</v>
                </pt>
                <pt idx="307">
                  <v>164280</v>
                </pt>
                <pt idx="308">
                  <v>164181</v>
                </pt>
                <pt idx="309">
                  <v>163221</v>
                </pt>
                <pt idx="310">
                  <v>174213</v>
                </pt>
                <pt idx="311">
                  <v>159357</v>
                </pt>
                <pt idx="312">
                  <v>166790</v>
                </pt>
                <pt idx="313">
                  <v>175504</v>
                </pt>
                <pt idx="314">
                  <v>170410</v>
                </pt>
                <pt idx="315">
                  <v>174641</v>
                </pt>
                <pt idx="316">
                  <v>175588</v>
                </pt>
                <pt idx="317">
                  <v>165654</v>
                </pt>
                <pt idx="318">
                  <v>175671</v>
                </pt>
                <pt idx="319">
                  <v>176060</v>
                </pt>
                <pt idx="320">
                  <v>170432</v>
                </pt>
                <pt idx="321">
                  <v>163293</v>
                </pt>
                <pt idx="322">
                  <v>169731</v>
                </pt>
                <pt idx="323">
                  <v>160516</v>
                </pt>
                <pt idx="324">
                  <v>154698</v>
                </pt>
                <pt idx="325">
                  <v>164517</v>
                </pt>
                <pt idx="326">
                  <v>157216</v>
                </pt>
                <pt idx="327">
                  <v>149783</v>
                </pt>
                <pt idx="328">
                  <v>150374</v>
                </pt>
                <pt idx="329">
                  <v>157455</v>
                </pt>
                <pt idx="330">
                  <v>156670</v>
                </pt>
                <pt idx="331">
                  <v>154428</v>
                </pt>
                <pt idx="332">
                  <v>156626</v>
                </pt>
                <pt idx="333">
                  <v>147226</v>
                </pt>
                <pt idx="334">
                  <v>150665</v>
                </pt>
                <pt idx="335">
                  <v>161215</v>
                </pt>
                <pt idx="336">
                  <v>165264</v>
                </pt>
                <pt idx="337">
                  <v>143089</v>
                </pt>
                <pt idx="338">
                  <v>120811</v>
                </pt>
                <pt idx="339">
                  <v>136257</v>
                </pt>
                <pt idx="340">
                  <v>135460</v>
                </pt>
                <pt idx="341">
                  <v>145739</v>
                </pt>
                <pt idx="342">
                  <v>149382</v>
                </pt>
                <pt idx="343">
                  <v>152915</v>
                </pt>
                <pt idx="344">
                  <v>157980</v>
                </pt>
                <pt idx="345">
                  <v>155771</v>
                </pt>
                <pt idx="346">
                  <v>158387</v>
                </pt>
                <pt idx="347">
                  <v>163476</v>
                </pt>
                <pt idx="348">
                  <v>167920</v>
                </pt>
                <pt idx="349">
                  <v>170436</v>
                </pt>
                <pt idx="350">
                  <v>169097</v>
                </pt>
                <pt idx="351">
                  <v>171996</v>
                </pt>
                <pt idx="352">
                  <v>176392</v>
                </pt>
                <pt idx="353">
                  <v>174579</v>
                </pt>
                <pt idx="354">
                  <v>179913</v>
                </pt>
                <pt idx="355">
                  <v>177267</v>
                </pt>
                <pt idx="356">
                  <v>178531</v>
                </pt>
                <pt idx="357">
                  <v>180712</v>
                </pt>
                <pt idx="358">
                  <v>181268</v>
                </pt>
                <pt idx="359">
                  <v>189468</v>
                </pt>
                <pt idx="360">
                  <v>187611</v>
                </pt>
                <pt idx="361">
                  <v>186907</v>
                </pt>
                <pt idx="362">
                  <v>188269</v>
                </pt>
                <pt idx="363">
                  <v>189296</v>
                </pt>
                <pt idx="364">
                  <v>194488</v>
                </pt>
                <pt idx="365">
                  <v>194425</v>
                </pt>
                <pt idx="366">
                  <v>193520</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s>
</file>

<file path=xl/drawings/_rels/drawing2.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s>
</file>

<file path=xl/drawings/_rels/drawing3.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 Type="http://schemas.openxmlformats.org/officeDocument/2006/relationships/chart" Target="/xl/charts/chart11.xml" Id="rId3"/><Relationship Type="http://schemas.openxmlformats.org/officeDocument/2006/relationships/chart" Target="/xl/charts/chart12.xml" Id="rId4"/></Relationships>
</file>

<file path=xl/drawings/_rels/drawing4.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s>
</file>

<file path=xl/drawings/drawing1.xml><?xml version="1.0" encoding="utf-8"?>
<wsDr xmlns="http://schemas.openxmlformats.org/drawingml/2006/spreadsheetDrawing">
  <twoCellAnchor>
    <from>
      <col>3</col>
      <colOff>230187</colOff>
      <row>328</row>
      <rowOff>79375</rowOff>
    </from>
    <to>
      <col>12</col>
      <colOff>642938</colOff>
      <row>349</row>
      <rowOff>34925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230186</colOff>
      <row>328</row>
      <rowOff>63500</rowOff>
    </from>
    <to>
      <col>23</col>
      <colOff>507999</colOff>
      <row>348</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217487</colOff>
      <row>349</row>
      <rowOff>133350</rowOff>
    </from>
    <to>
      <col>23</col>
      <colOff>420687</colOff>
      <row>370</row>
      <rowOff>174625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225424</colOff>
      <row>349</row>
      <rowOff>157163</rowOff>
    </from>
    <to>
      <col>12</col>
      <colOff>627061</colOff>
      <row>370</row>
      <rowOff>166687</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2.xml><?xml version="1.0" encoding="utf-8"?>
<wsDr xmlns="http://schemas.openxmlformats.org/drawingml/2006/spreadsheetDrawing">
  <twoCellAnchor>
    <from>
      <col>3</col>
      <colOff>660400</colOff>
      <row>327</row>
      <rowOff>84668</rowOff>
    </from>
    <to>
      <col>14</col>
      <colOff>601133</colOff>
      <row>349</row>
      <rowOff>93134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652991</colOff>
      <row>350</row>
      <rowOff>64029</rowOff>
    </from>
    <to>
      <col>14</col>
      <colOff>592666</colOff>
      <row>373</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118533</colOff>
      <row>327</row>
      <rowOff>87312</rowOff>
    </from>
    <to>
      <col>26</col>
      <colOff>364065</colOff>
      <row>349</row>
      <rowOff>135466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186267</colOff>
      <row>350</row>
      <rowOff>29632</rowOff>
    </from>
    <to>
      <col>26</col>
      <colOff>389466</colOff>
      <row>373</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142875</colOff>
      <row>326</row>
      <rowOff>87312</rowOff>
    </from>
    <to>
      <col>12</col>
      <colOff>660400</colOff>
      <row>346</row>
      <rowOff>115887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155574</colOff>
      <row>326</row>
      <rowOff>63498</rowOff>
    </from>
    <to>
      <col>23</col>
      <colOff>666749</colOff>
      <row>346</row>
      <rowOff>119061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13</col>
      <colOff>123824</colOff>
      <row>347</row>
      <rowOff>31749</rowOff>
    </from>
    <to>
      <col>23</col>
      <colOff>666750</colOff>
      <row>369</row>
      <rowOff>87312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115887</colOff>
      <row>347</row>
      <rowOff>39686</rowOff>
    </from>
    <to>
      <col>12</col>
      <colOff>658812</colOff>
      <row>369</row>
      <rowOff>55561</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397933</colOff>
      <row>325</row>
      <rowOff>135467</rowOff>
    </from>
    <to>
      <col>14</col>
      <colOff>225425</colOff>
      <row>346</row>
      <rowOff>176213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397933</colOff>
      <row>325</row>
      <rowOff>152401</rowOff>
    </from>
    <to>
      <col>25</col>
      <colOff>389467</colOff>
      <row>347</row>
      <rowOff>6880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381001</colOff>
      <row>347</row>
      <rowOff>122766</rowOff>
    </from>
    <to>
      <col>25</col>
      <colOff>287867</colOff>
      <row>370</row>
      <rowOff>118533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389467</colOff>
      <row>347</row>
      <rowOff>118533</rowOff>
    </from>
    <to>
      <col>14</col>
      <colOff>220133</colOff>
      <row>370</row>
      <rowOff>33866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14" displayName="Table53514" ref="A5:C372" headerRowCount="1" totalsRowShown="0" headerRowDxfId="23" dataDxfId="21" headerRowBorderDxfId="22">
  <autoFilter ref="A5:C372"/>
  <tableColumns count="3">
    <tableColumn id="1" name="Date" dataDxfId="20"/>
    <tableColumn id="2" name="Manufacturers' New Orders: Durable Goods"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 displayName="Table535" ref="A5:C372" headerRowCount="1" totalsRowShown="0" headerRowDxfId="17" dataDxfId="15" headerRowBorderDxfId="16">
  <autoFilter ref="A5:C372"/>
  <tableColumns count="3">
    <tableColumn id="1" name="Date" dataDxfId="14"/>
    <tableColumn id="2" name="New Orders - Nondefense Capital Goods Excluding Aircraft"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72" headerRowCount="1" totalsRowShown="0" headerRowDxfId="11" dataDxfId="9" headerRowBorderDxfId="10">
  <autoFilter ref="A5:C372"/>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72" headerRowCount="1" totalsRowShown="0" headerRowDxfId="5" dataDxfId="3" headerRowBorderDxfId="4">
  <autoFilter ref="A5:C372"/>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s>
</file>

<file path=xl/worksheets/_rels/sheet5.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A7" zoomScale="150" zoomScaleNormal="150" workbookViewId="0">
      <selection activeCell="R7" sqref="R7"/>
    </sheetView>
  </sheetViews>
  <sheetFormatPr baseColWidth="10" defaultColWidth="9.1640625" defaultRowHeight="15"/>
  <cols>
    <col width="9.1640625" customWidth="1" style="123" min="1" max="1"/>
    <col width="12.83203125" customWidth="1" style="123" min="2" max="10"/>
    <col width="3.5" customWidth="1" style="123" min="11" max="13"/>
    <col width="21.33203125" customWidth="1" style="123" min="14" max="14"/>
    <col width="15.6640625" customWidth="1" style="123" min="15" max="15"/>
    <col width="10.6640625" bestFit="1" customWidth="1" style="123" min="16" max="17"/>
    <col width="9.1640625" customWidth="1" style="123" min="18" max="18"/>
    <col width="11.5" customWidth="1" style="123" min="19" max="19"/>
    <col width="9.1640625" customWidth="1" style="123" min="20" max="26"/>
    <col width="9.1640625" customWidth="1" style="123" min="27" max="16384"/>
  </cols>
  <sheetData>
    <row r="1">
      <c r="B1" s="129" t="n"/>
    </row>
    <row r="2" ht="16" customHeight="1" s="142" thickBot="1">
      <c r="B2" s="130" t="n"/>
      <c r="C2" s="130" t="n"/>
      <c r="D2" s="130" t="n"/>
      <c r="E2" s="130" t="n"/>
      <c r="F2" s="130" t="n"/>
      <c r="G2" s="130" t="n"/>
      <c r="H2" s="130" t="n"/>
      <c r="I2" s="130" t="n"/>
      <c r="J2" s="130" t="n"/>
    </row>
    <row r="3" ht="16" customHeight="1" s="142" thickBot="1">
      <c r="B3" s="131" t="inlineStr">
        <is>
          <t>Durable Good Orders</t>
        </is>
      </c>
      <c r="C3" s="132" t="n"/>
      <c r="D3" s="132" t="n"/>
      <c r="E3" s="132" t="n"/>
      <c r="F3" s="132" t="n"/>
      <c r="G3" s="132" t="n"/>
      <c r="H3" s="132" t="n"/>
      <c r="I3" s="132" t="n"/>
      <c r="J3" s="133" t="n"/>
    </row>
    <row r="5">
      <c r="B5" s="126" t="inlineStr">
        <is>
          <t>Definition</t>
        </is>
      </c>
      <c r="C5" s="127" t="n"/>
      <c r="D5" s="127" t="n"/>
      <c r="E5" s="127" t="n"/>
      <c r="F5" s="127" t="n"/>
      <c r="G5" s="127" t="n"/>
      <c r="H5" s="127" t="n"/>
      <c r="I5" s="127" t="n"/>
      <c r="J5" s="128" t="n"/>
    </row>
    <row r="7" ht="129" customHeight="1" s="142">
      <c r="B7" s="134"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2" t="inlineStr">
        <is>
          <t>https://www.census.gov/manufacturing/m3/definitions/index.html</t>
        </is>
      </c>
    </row>
    <row r="9">
      <c r="B9" s="61" t="n"/>
      <c r="C9" s="61" t="n"/>
      <c r="D9" s="61" t="n"/>
      <c r="E9" s="61" t="n"/>
    </row>
    <row r="10">
      <c r="B10" s="126" t="inlineStr">
        <is>
          <t>Process / TO DO LIST</t>
        </is>
      </c>
      <c r="C10" s="127" t="n"/>
      <c r="D10" s="127" t="n"/>
      <c r="E10" s="127" t="n"/>
      <c r="F10" s="127" t="n"/>
      <c r="G10" s="127" t="n"/>
      <c r="H10" s="127" t="n"/>
      <c r="I10" s="127" t="n"/>
      <c r="J10" s="128" t="n"/>
      <c r="N10" s="126" t="inlineStr">
        <is>
          <t>Summary</t>
        </is>
      </c>
      <c r="O10" s="127" t="n"/>
      <c r="P10" s="127" t="n"/>
      <c r="Q10" s="127" t="n"/>
      <c r="R10" s="127" t="n"/>
      <c r="S10" s="128" t="n"/>
    </row>
    <row r="12">
      <c r="B12" s="126" t="inlineStr">
        <is>
          <t>TO DO LIST</t>
        </is>
      </c>
      <c r="C12" s="127" t="n"/>
      <c r="D12" s="127" t="n"/>
      <c r="E12" s="127" t="n"/>
      <c r="F12" s="128" t="n"/>
      <c r="G12" s="126" t="inlineStr">
        <is>
          <t>Comments</t>
        </is>
      </c>
      <c r="H12" s="127" t="n"/>
      <c r="I12" s="127" t="n"/>
      <c r="J12" s="128" t="n"/>
    </row>
    <row r="13" ht="16" customHeight="1" s="142" thickBot="1"/>
    <row r="14" ht="19.5" customHeight="1" s="142">
      <c r="B14" s="122" t="n"/>
      <c r="G14" s="123" t="n"/>
      <c r="P14" s="62" t="n">
        <v>44774</v>
      </c>
      <c r="Q14" s="83">
        <f>DATE(YEAR(P14),MONTH(P14)-1,DAY(P14))</f>
        <v/>
      </c>
      <c r="R14" s="63" t="n"/>
    </row>
    <row r="15" ht="18" customHeight="1" s="142" thickBot="1">
      <c r="B15" s="122" t="inlineStr">
        <is>
          <t>https://fred.stlouisfed.org/series/DGORDER</t>
        </is>
      </c>
      <c r="G15" s="124" t="inlineStr">
        <is>
          <t>Durable Goods New Orders</t>
        </is>
      </c>
      <c r="P15" s="76" t="inlineStr">
        <is>
          <t>Last</t>
        </is>
      </c>
      <c r="Q15" s="64" t="inlineStr">
        <is>
          <t>Last</t>
        </is>
      </c>
      <c r="R15" s="65" t="inlineStr">
        <is>
          <t>Var.</t>
        </is>
      </c>
    </row>
    <row r="16" ht="18" customHeight="1" s="142">
      <c r="B16" s="122" t="inlineStr">
        <is>
          <t>https://fred.stlouisfed.org/series/ADXTNO</t>
        </is>
      </c>
      <c r="G16" s="124" t="inlineStr">
        <is>
          <t>New Orders ex Transport</t>
        </is>
      </c>
      <c r="N16" s="139" t="inlineStr">
        <is>
          <t>Durable Goods New Orders</t>
        </is>
      </c>
      <c r="O16" s="140" t="n"/>
      <c r="P16" s="77">
        <f>VLOOKUP($P$14,Database!$A:$M,MATCH(Note!S16,Database!$A$1:$M$1,),)</f>
        <v/>
      </c>
      <c r="Q16" s="77">
        <f>VLOOKUP($Q$14,Database!$A:$M,MATCH(Note!S16,Database!$A$1:$M$1,),)</f>
        <v/>
      </c>
      <c r="R16" s="97">
        <f>(P16-Q16)/Q16</f>
        <v/>
      </c>
      <c r="S16" s="78" t="inlineStr">
        <is>
          <t>DGORDER</t>
        </is>
      </c>
      <c r="U16" s="78" t="inlineStr">
        <is>
          <t>DGORDER</t>
        </is>
      </c>
      <c r="V16" s="123" t="inlineStr">
        <is>
          <t>Durable Goods New Orders</t>
        </is>
      </c>
    </row>
    <row r="17" ht="18" customHeight="1" s="142">
      <c r="B17" s="122" t="inlineStr">
        <is>
          <t>https://fred.stlouisfed.org/series/NEWORDER</t>
        </is>
      </c>
      <c r="G17" s="125" t="inlineStr">
        <is>
          <t>New Orders Nondefense Ex Aircraft &amp; Parts= Core</t>
        </is>
      </c>
      <c r="N17" s="136" t="inlineStr">
        <is>
          <t>New Orders ex Transport</t>
        </is>
      </c>
      <c r="O17" s="128" t="n"/>
      <c r="P17" s="94">
        <f>VLOOKUP($P$14,Database!$A:$M,MATCH(Note!S17,Database!$A$1:$M$1,),)</f>
        <v/>
      </c>
      <c r="Q17" s="94">
        <f>VLOOKUP($Q$14,Database!$A:$M,MATCH(Note!S17,Database!$A$1:$M$1,),)</f>
        <v/>
      </c>
      <c r="R17" s="98">
        <f>(P17-Q17)/Q17</f>
        <v/>
      </c>
      <c r="S17" s="79" t="inlineStr">
        <is>
          <t>ADXTNO</t>
        </is>
      </c>
      <c r="U17" s="79" t="inlineStr">
        <is>
          <t>ADXTNO</t>
        </is>
      </c>
      <c r="V17" s="123" t="inlineStr">
        <is>
          <t>New Orders ex Transport</t>
        </is>
      </c>
    </row>
    <row r="18" ht="33.75" customHeight="1" s="142">
      <c r="B18" s="122" t="inlineStr">
        <is>
          <t>https://fred.stlouisfed.org/series/AMTUNO</t>
        </is>
      </c>
      <c r="G18" s="125" t="inlineStr">
        <is>
          <t>New Orders - Manufacturing</t>
        </is>
      </c>
      <c r="N18" s="135" t="inlineStr">
        <is>
          <t>New Orders Nondefense Ex Aircraft &amp; Parts = Core</t>
        </is>
      </c>
      <c r="O18" s="128" t="n"/>
      <c r="P18" s="94">
        <f>VLOOKUP($P$14,Database!$A:$M,MATCH(Note!S18,Database!$A$1:$M$1,),)</f>
        <v/>
      </c>
      <c r="Q18" s="94">
        <f>VLOOKUP($Q$14,Database!$A:$M,MATCH(Note!S18,Database!$A$1:$M$1,),)</f>
        <v/>
      </c>
      <c r="R18" s="98">
        <f>(P18-Q18)/Q18</f>
        <v/>
      </c>
      <c r="S18" s="80" t="inlineStr">
        <is>
          <t>NEWORDER</t>
        </is>
      </c>
      <c r="U18" s="80" t="inlineStr">
        <is>
          <t>NEWORDER</t>
        </is>
      </c>
      <c r="V18" s="123" t="inlineStr">
        <is>
          <t>New Orders Nondefense Ex Aircraft &amp; Parts = Core</t>
        </is>
      </c>
    </row>
    <row r="19" ht="18" customHeight="1" s="142">
      <c r="B19" s="122" t="inlineStr">
        <is>
          <t>https://fred.stlouisfed.org/series/A36SNO</t>
        </is>
      </c>
      <c r="G19" s="125" t="inlineStr">
        <is>
          <t>New Orders - Transportation Equipment</t>
        </is>
      </c>
      <c r="N19" s="136" t="inlineStr">
        <is>
          <t>New Orders - Manufacturing</t>
        </is>
      </c>
      <c r="O19" s="128" t="n"/>
      <c r="P19" s="94">
        <f>VLOOKUP($P$14,Database!$A:$M,MATCH(Note!S19,Database!$A$1:$M$1,),)</f>
        <v/>
      </c>
      <c r="Q19" s="94">
        <f>VLOOKUP($Q$14,Database!$A:$M,MATCH(Note!S19,Database!$A$1:$M$1,),)</f>
        <v/>
      </c>
      <c r="R19" s="98">
        <f>(P19-Q19)/Q19</f>
        <v/>
      </c>
      <c r="S19" s="79" t="inlineStr">
        <is>
          <t>AMTUNO</t>
        </is>
      </c>
      <c r="U19" s="79" t="inlineStr">
        <is>
          <t>AMTUNO</t>
        </is>
      </c>
      <c r="V19" s="123" t="inlineStr">
        <is>
          <t>New Orders - Manufacturing</t>
        </is>
      </c>
    </row>
    <row r="20" ht="18" customHeight="1" s="142">
      <c r="B20" s="122" t="inlineStr">
        <is>
          <t>https://fred.stlouisfed.org/series/A32SNO</t>
        </is>
      </c>
      <c r="G20" s="125" t="inlineStr">
        <is>
          <t>New Orders - Fabricated Metal Products</t>
        </is>
      </c>
      <c r="N20" s="136" t="inlineStr">
        <is>
          <t>New Orders - Transportation Equipment</t>
        </is>
      </c>
      <c r="O20" s="128" t="n"/>
      <c r="P20" s="94">
        <f>VLOOKUP($P$14,Database!$A:$M,MATCH(Note!S20,Database!$A$1:$M$1,),)</f>
        <v/>
      </c>
      <c r="Q20" s="94">
        <f>VLOOKUP($Q$14,Database!$A:$M,MATCH(Note!S20,Database!$A$1:$M$1,),)</f>
        <v/>
      </c>
      <c r="R20" s="98">
        <f>(P20-Q20)/Q20</f>
        <v/>
      </c>
      <c r="S20" s="80" t="inlineStr">
        <is>
          <t>A36SNO</t>
        </is>
      </c>
      <c r="U20" s="80" t="inlineStr">
        <is>
          <t>A36SNO</t>
        </is>
      </c>
      <c r="V20" s="123" t="inlineStr">
        <is>
          <t>New Orders - Transportation Equipment</t>
        </is>
      </c>
    </row>
    <row r="21" ht="18" customHeight="1" s="142">
      <c r="B21" s="122" t="inlineStr">
        <is>
          <t>https://fred.stlouisfed.org/series/A33SNO</t>
        </is>
      </c>
      <c r="G21" s="125" t="inlineStr">
        <is>
          <t>New Orders - Machinery</t>
        </is>
      </c>
      <c r="N21" s="136" t="inlineStr">
        <is>
          <t>New Orders - Fabricated Metal Products</t>
        </is>
      </c>
      <c r="O21" s="128" t="n"/>
      <c r="P21" s="94">
        <f>VLOOKUP($P$14,Database!$A:$M,MATCH(Note!S21,Database!$A$1:$M$1,),)</f>
        <v/>
      </c>
      <c r="Q21" s="94">
        <f>VLOOKUP($Q$14,Database!$A:$M,MATCH(Note!S21,Database!$A$1:$M$1,),)</f>
        <v/>
      </c>
      <c r="R21" s="98">
        <f>(P21-Q21)/Q21</f>
        <v/>
      </c>
      <c r="S21" s="80" t="inlineStr">
        <is>
          <t>A32SNO</t>
        </is>
      </c>
      <c r="U21" s="80" t="inlineStr">
        <is>
          <t>A32SNO</t>
        </is>
      </c>
      <c r="V21" s="123" t="inlineStr">
        <is>
          <t>New Orders - Fabricated Metal Products</t>
        </is>
      </c>
    </row>
    <row r="22" ht="18" customHeight="1" s="142">
      <c r="B22" s="122" t="inlineStr">
        <is>
          <t>https://fred.stlouisfed.org/series/A34SNO</t>
        </is>
      </c>
      <c r="G22" s="125" t="inlineStr">
        <is>
          <t>New Orders - Computers</t>
        </is>
      </c>
      <c r="N22" s="136" t="inlineStr">
        <is>
          <t>New Orders - Machinery</t>
        </is>
      </c>
      <c r="O22" s="128" t="n"/>
      <c r="P22" s="94">
        <f>VLOOKUP($P$14,Database!$A:$M,MATCH(Note!S22,Database!$A$1:$M$1,),)</f>
        <v/>
      </c>
      <c r="Q22" s="94">
        <f>VLOOKUP($Q$14,Database!$A:$M,MATCH(Note!S22,Database!$A$1:$M$1,),)</f>
        <v/>
      </c>
      <c r="R22" s="98">
        <f>(P22-Q22)/Q22</f>
        <v/>
      </c>
      <c r="S22" s="80" t="inlineStr">
        <is>
          <t>A33SNO</t>
        </is>
      </c>
      <c r="U22" s="80" t="inlineStr">
        <is>
          <t>A33SNO</t>
        </is>
      </c>
      <c r="V22" s="123" t="inlineStr">
        <is>
          <t>New Orders - Machinery</t>
        </is>
      </c>
    </row>
    <row r="23" ht="18" customHeight="1" s="142">
      <c r="B23" s="122" t="inlineStr">
        <is>
          <t>https://fred.stlouisfed.org/series/A31SNO</t>
        </is>
      </c>
      <c r="G23" s="125" t="inlineStr">
        <is>
          <t>New Orders - Primary Metals</t>
        </is>
      </c>
      <c r="N23" s="136" t="inlineStr">
        <is>
          <t>New Orders - Computers</t>
        </is>
      </c>
      <c r="O23" s="128" t="n"/>
      <c r="P23" s="94">
        <f>VLOOKUP($P$14,Database!$A:$M,MATCH(Note!S23,Database!$A$1:$M$1,),)</f>
        <v/>
      </c>
      <c r="Q23" s="94">
        <f>VLOOKUP($Q$14,Database!$A:$M,MATCH(Note!S23,Database!$A$1:$M$1,),)</f>
        <v/>
      </c>
      <c r="R23" s="98">
        <f>(P23-Q23)/Q23</f>
        <v/>
      </c>
      <c r="S23" s="80" t="inlineStr">
        <is>
          <t>A34SNO</t>
        </is>
      </c>
      <c r="U23" s="80" t="inlineStr">
        <is>
          <t>A34SNO</t>
        </is>
      </c>
      <c r="V23" s="123" t="inlineStr">
        <is>
          <t>New Orders - Computers</t>
        </is>
      </c>
    </row>
    <row r="24" ht="18" customHeight="1" s="142">
      <c r="B24" s="122" t="inlineStr">
        <is>
          <t>https://fred.stlouisfed.org/series/A35SNO</t>
        </is>
      </c>
      <c r="G24" s="125" t="inlineStr">
        <is>
          <t>New Orders - Electrical Equipment</t>
        </is>
      </c>
      <c r="N24" s="136" t="inlineStr">
        <is>
          <t>New Orders - Primary Metals</t>
        </is>
      </c>
      <c r="O24" s="128" t="n"/>
      <c r="P24" s="94">
        <f>VLOOKUP($P$14,Database!$A:$M,MATCH(Note!S24,Database!$A$1:$M$1,),)</f>
        <v/>
      </c>
      <c r="Q24" s="94">
        <f>VLOOKUP($Q$14,Database!$A:$M,MATCH(Note!S24,Database!$A$1:$M$1,),)</f>
        <v/>
      </c>
      <c r="R24" s="98">
        <f>(P24-Q24)/Q24</f>
        <v/>
      </c>
      <c r="S24" s="80" t="inlineStr">
        <is>
          <t>A31SNO</t>
        </is>
      </c>
      <c r="U24" s="80" t="inlineStr">
        <is>
          <t>A31SNO</t>
        </is>
      </c>
      <c r="V24" s="123" t="inlineStr">
        <is>
          <t>New Orders - Primary Metals</t>
        </is>
      </c>
    </row>
    <row r="25" ht="16" customHeight="1" s="142" thickBot="1">
      <c r="N25" s="137" t="inlineStr">
        <is>
          <t>New Orders - Electrical Equipment</t>
        </is>
      </c>
      <c r="O25" s="138" t="n"/>
      <c r="P25" s="81">
        <f>VLOOKUP($P$14,Database!$A:$M,MATCH(Note!S25,Database!$A$1:$M$1,),)</f>
        <v/>
      </c>
      <c r="Q25" s="81">
        <f>VLOOKUP($Q$14,Database!$A:$M,MATCH(Note!S25,Database!$A$1:$M$1,),)</f>
        <v/>
      </c>
      <c r="R25" s="99">
        <f>(P25-Q25)/Q25</f>
        <v/>
      </c>
      <c r="S25" s="82" t="inlineStr">
        <is>
          <t>A35SNO</t>
        </is>
      </c>
      <c r="U25" s="82" t="inlineStr">
        <is>
          <t>A35SNO</t>
        </is>
      </c>
      <c r="V25" s="123" t="inlineStr">
        <is>
          <t>New Orders - Electrical Equipment</t>
        </is>
      </c>
    </row>
    <row r="26">
      <c r="B26" s="66" t="n"/>
      <c r="G26" s="124" t="inlineStr">
        <is>
          <t>*Compare with ISM Manufacturing (Leading Indicator) for confirmation</t>
        </is>
      </c>
    </row>
    <row r="27">
      <c r="N27" s="84" t="inlineStr">
        <is>
          <t>* Month to modify after having downloaded data in Database</t>
        </is>
      </c>
    </row>
    <row r="28">
      <c r="B28" s="67" t="n"/>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worksheet>
</file>

<file path=xl/worksheets/sheet2.xml><?xml version="1.0" encoding="utf-8"?>
<worksheet xmlns="http://schemas.openxmlformats.org/spreadsheetml/2006/main">
  <sheetPr>
    <tabColor theme="1" tint="0.499984740745262"/>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7"/>
  <sheetViews>
    <sheetView zoomScale="160" zoomScaleNormal="160" workbookViewId="0">
      <pane ySplit="1" topLeftCell="A771"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24176</v>
      </c>
      <c r="C649" t="n">
        <v>29123</v>
      </c>
      <c r="D649" t="n">
        <v>32837</v>
      </c>
      <c r="E649" t="n">
        <v>23017</v>
      </c>
      <c r="F649" t="n">
        <v>10625</v>
      </c>
      <c r="G649" t="n">
        <v>73187</v>
      </c>
      <c r="H649" t="n">
        <v>213798</v>
      </c>
      <c r="I649" t="n">
        <v>151995</v>
      </c>
      <c r="J649" t="n">
        <v>170545</v>
      </c>
      <c r="K649" t="n">
        <v>64937</v>
      </c>
      <c r="L649" t="n">
        <v>225182</v>
      </c>
      <c r="M649" t="n">
        <v>67658</v>
      </c>
    </row>
    <row r="650">
      <c r="A650" s="149" t="n">
        <v>40940</v>
      </c>
      <c r="B650" t="n">
        <v>23289</v>
      </c>
      <c r="C650" t="n">
        <v>29473</v>
      </c>
      <c r="D650" t="n">
        <v>34704</v>
      </c>
      <c r="E650" t="n">
        <v>23903</v>
      </c>
      <c r="F650" t="n">
        <v>10467</v>
      </c>
      <c r="G650" t="n">
        <v>73756</v>
      </c>
      <c r="H650" t="n">
        <v>215027</v>
      </c>
      <c r="I650" t="n">
        <v>153841</v>
      </c>
      <c r="J650" t="n">
        <v>172690</v>
      </c>
      <c r="K650" t="n">
        <v>66132</v>
      </c>
      <c r="L650" t="n">
        <v>227597</v>
      </c>
      <c r="M650" t="n">
        <v>69902</v>
      </c>
    </row>
    <row r="651">
      <c r="A651" s="149" t="n">
        <v>40969</v>
      </c>
      <c r="B651" t="n">
        <v>22901</v>
      </c>
      <c r="C651" t="n">
        <v>30000</v>
      </c>
      <c r="D651" t="n">
        <v>34893</v>
      </c>
      <c r="E651" t="n">
        <v>22737</v>
      </c>
      <c r="F651" t="n">
        <v>10589</v>
      </c>
      <c r="G651" t="n">
        <v>66552</v>
      </c>
      <c r="H651" t="n">
        <v>207437</v>
      </c>
      <c r="I651" t="n">
        <v>153408</v>
      </c>
      <c r="J651" t="n">
        <v>164744</v>
      </c>
      <c r="K651" t="n">
        <v>67944</v>
      </c>
      <c r="L651" t="n">
        <v>219960</v>
      </c>
      <c r="M651" t="n">
        <v>69522</v>
      </c>
    </row>
    <row r="652">
      <c r="A652" s="149" t="n">
        <v>41000</v>
      </c>
      <c r="B652" t="n">
        <v>23215</v>
      </c>
      <c r="C652" t="n">
        <v>29052</v>
      </c>
      <c r="D652" t="n">
        <v>33076</v>
      </c>
      <c r="E652" t="n">
        <v>23232</v>
      </c>
      <c r="F652" t="n">
        <v>10468</v>
      </c>
      <c r="G652" t="n">
        <v>67031</v>
      </c>
      <c r="H652" t="n">
        <v>208556</v>
      </c>
      <c r="I652" t="n">
        <v>151383</v>
      </c>
      <c r="J652" t="n">
        <v>161383</v>
      </c>
      <c r="K652" t="n">
        <v>66849</v>
      </c>
      <c r="L652" t="n">
        <v>218414</v>
      </c>
      <c r="M652" t="n">
        <v>67518</v>
      </c>
    </row>
    <row r="653">
      <c r="A653" s="149" t="n">
        <v>41030</v>
      </c>
      <c r="B653" t="n">
        <v>21368</v>
      </c>
      <c r="C653" t="n">
        <v>28379</v>
      </c>
      <c r="D653" t="n">
        <v>34189</v>
      </c>
      <c r="E653" t="n">
        <v>23445</v>
      </c>
      <c r="F653" t="n">
        <v>10789</v>
      </c>
      <c r="G653" t="n">
        <v>68256</v>
      </c>
      <c r="H653" t="n">
        <v>209652</v>
      </c>
      <c r="I653" t="n">
        <v>150820</v>
      </c>
      <c r="J653" t="n">
        <v>162004</v>
      </c>
      <c r="K653" t="n">
        <v>67240</v>
      </c>
      <c r="L653" t="n">
        <v>219076</v>
      </c>
      <c r="M653" t="n">
        <v>69183</v>
      </c>
    </row>
    <row r="654">
      <c r="A654" s="149" t="n">
        <v>41061</v>
      </c>
      <c r="B654" t="n">
        <v>20823</v>
      </c>
      <c r="C654" t="n">
        <v>28480</v>
      </c>
      <c r="D654" t="n">
        <v>33738</v>
      </c>
      <c r="E654" t="n">
        <v>21345</v>
      </c>
      <c r="F654" t="n">
        <v>10147</v>
      </c>
      <c r="G654" t="n">
        <v>71743</v>
      </c>
      <c r="H654" t="n">
        <v>201871</v>
      </c>
      <c r="I654" t="n">
        <v>147012</v>
      </c>
      <c r="J654" t="n">
        <v>162286</v>
      </c>
      <c r="K654" t="n">
        <v>67691</v>
      </c>
      <c r="L654" t="n">
        <v>218755</v>
      </c>
      <c r="M654" t="n">
        <v>67129</v>
      </c>
    </row>
    <row r="655">
      <c r="A655" s="149" t="n">
        <v>41091</v>
      </c>
      <c r="B655" t="n">
        <v>20921</v>
      </c>
      <c r="C655" t="n">
        <v>28529</v>
      </c>
      <c r="D655" t="n">
        <v>32536</v>
      </c>
      <c r="E655" t="n">
        <v>21585</v>
      </c>
      <c r="F655" t="n">
        <v>10258</v>
      </c>
      <c r="G655" t="n">
        <v>78853</v>
      </c>
      <c r="H655" t="n">
        <v>210138</v>
      </c>
      <c r="I655" t="n">
        <v>146370</v>
      </c>
      <c r="J655" t="n">
        <v>168204</v>
      </c>
      <c r="K655" t="n">
        <v>66900</v>
      </c>
      <c r="L655" t="n">
        <v>225223</v>
      </c>
      <c r="M655" t="n">
        <v>65294</v>
      </c>
    </row>
    <row r="656">
      <c r="A656" s="149" t="n">
        <v>41122</v>
      </c>
      <c r="B656" t="n">
        <v>20565</v>
      </c>
      <c r="C656" t="n">
        <v>28324</v>
      </c>
      <c r="D656" t="n">
        <v>29903</v>
      </c>
      <c r="E656" t="n">
        <v>21016</v>
      </c>
      <c r="F656" t="n">
        <v>10312</v>
      </c>
      <c r="G656" t="n">
        <v>57614</v>
      </c>
      <c r="H656" t="n">
        <v>192404</v>
      </c>
      <c r="I656" t="n">
        <v>142809</v>
      </c>
      <c r="J656" t="n">
        <v>144973</v>
      </c>
      <c r="K656" t="n">
        <v>65497</v>
      </c>
      <c r="L656" t="n">
        <v>200423</v>
      </c>
      <c r="M656" t="n">
        <v>63721</v>
      </c>
    </row>
    <row r="657">
      <c r="A657" s="149" t="n">
        <v>41153</v>
      </c>
      <c r="B657" t="n">
        <v>20959</v>
      </c>
      <c r="C657" t="n">
        <v>28211</v>
      </c>
      <c r="D657" t="n">
        <v>31354</v>
      </c>
      <c r="E657" t="n">
        <v>20898</v>
      </c>
      <c r="F657" t="n">
        <v>9944</v>
      </c>
      <c r="G657" t="n">
        <v>72843</v>
      </c>
      <c r="H657" t="n">
        <v>205808</v>
      </c>
      <c r="I657" t="n">
        <v>144398</v>
      </c>
      <c r="J657" t="n">
        <v>161598</v>
      </c>
      <c r="K657" t="n">
        <v>65411</v>
      </c>
      <c r="L657" t="n">
        <v>217241</v>
      </c>
      <c r="M657" t="n">
        <v>63976</v>
      </c>
    </row>
    <row r="658">
      <c r="A658" s="149" t="n">
        <v>41183</v>
      </c>
      <c r="B658" t="n">
        <v>21510</v>
      </c>
      <c r="C658" t="n">
        <v>28260</v>
      </c>
      <c r="D658" t="n">
        <v>32889</v>
      </c>
      <c r="E658" t="n">
        <v>21154</v>
      </c>
      <c r="F658" t="n">
        <v>10451</v>
      </c>
      <c r="G658" t="n">
        <v>71461</v>
      </c>
      <c r="H658" t="n">
        <v>206576</v>
      </c>
      <c r="I658" t="n">
        <v>147556</v>
      </c>
      <c r="J658" t="n">
        <v>163841</v>
      </c>
      <c r="K658" t="n">
        <v>65637</v>
      </c>
      <c r="L658" t="n">
        <v>219017</v>
      </c>
      <c r="M658" t="n">
        <v>65937</v>
      </c>
    </row>
    <row r="659">
      <c r="A659" s="149" t="n">
        <v>41214</v>
      </c>
      <c r="B659" t="n">
        <v>21301</v>
      </c>
      <c r="C659" t="n">
        <v>28582</v>
      </c>
      <c r="D659" t="n">
        <v>32635</v>
      </c>
      <c r="E659" t="n">
        <v>21097</v>
      </c>
      <c r="F659" t="n">
        <v>10795</v>
      </c>
      <c r="G659" t="n">
        <v>67114</v>
      </c>
      <c r="H659" t="n">
        <v>203305</v>
      </c>
      <c r="I659" t="n">
        <v>147575</v>
      </c>
      <c r="J659" t="n">
        <v>157882</v>
      </c>
      <c r="K659" t="n">
        <v>67449</v>
      </c>
      <c r="L659" t="n">
        <v>214689</v>
      </c>
      <c r="M659" t="n">
        <v>66473</v>
      </c>
    </row>
    <row r="660">
      <c r="A660" s="149" t="n">
        <v>41244</v>
      </c>
      <c r="B660" t="n">
        <v>21865</v>
      </c>
      <c r="C660" t="n">
        <v>26972</v>
      </c>
      <c r="D660" t="n">
        <v>31683</v>
      </c>
      <c r="E660" t="n">
        <v>21992</v>
      </c>
      <c r="F660" t="n">
        <v>10058</v>
      </c>
      <c r="G660" t="n">
        <v>84903</v>
      </c>
      <c r="H660" t="n">
        <v>211264</v>
      </c>
      <c r="I660" t="n">
        <v>146089</v>
      </c>
      <c r="J660" t="n">
        <v>173564</v>
      </c>
      <c r="K660" t="n">
        <v>67154</v>
      </c>
      <c r="L660" t="n">
        <v>230992</v>
      </c>
      <c r="M660" t="n">
        <v>66630</v>
      </c>
    </row>
    <row r="661">
      <c r="A661" s="149" t="n">
        <v>41275</v>
      </c>
      <c r="B661" t="n">
        <v>22119</v>
      </c>
      <c r="C661" t="n">
        <v>30191</v>
      </c>
      <c r="D661" t="n">
        <v>34079</v>
      </c>
      <c r="E661" t="n">
        <v>21143</v>
      </c>
      <c r="F661" t="n">
        <v>10028</v>
      </c>
      <c r="G661" t="n">
        <v>71038</v>
      </c>
      <c r="H661" t="n">
        <v>213298</v>
      </c>
      <c r="I661" t="n">
        <v>151759</v>
      </c>
      <c r="J661" t="n">
        <v>164003</v>
      </c>
      <c r="K661" t="n">
        <v>66841</v>
      </c>
      <c r="L661" t="n">
        <v>222797</v>
      </c>
      <c r="M661" t="n">
        <v>69758</v>
      </c>
    </row>
    <row r="662">
      <c r="A662" s="149" t="n">
        <v>41306</v>
      </c>
      <c r="B662" t="n">
        <v>22358</v>
      </c>
      <c r="C662" t="n">
        <v>29128</v>
      </c>
      <c r="D662" t="n">
        <v>32520</v>
      </c>
      <c r="E662" t="n">
        <v>20277</v>
      </c>
      <c r="F662" t="n">
        <v>10363</v>
      </c>
      <c r="G662" t="n">
        <v>86577</v>
      </c>
      <c r="H662" t="n">
        <v>220700</v>
      </c>
      <c r="I662" t="n">
        <v>149375</v>
      </c>
      <c r="J662" t="n">
        <v>175371</v>
      </c>
      <c r="K662" t="n">
        <v>67781</v>
      </c>
      <c r="L662" t="n">
        <v>235952</v>
      </c>
      <c r="M662" t="n">
        <v>66190</v>
      </c>
    </row>
    <row r="663">
      <c r="A663" s="149" t="n">
        <v>41334</v>
      </c>
      <c r="B663" t="n">
        <v>21083</v>
      </c>
      <c r="C663" t="n">
        <v>29704</v>
      </c>
      <c r="D663" t="n">
        <v>31260</v>
      </c>
      <c r="E663" t="n">
        <v>19532</v>
      </c>
      <c r="F663" t="n">
        <v>10084</v>
      </c>
      <c r="G663" t="n">
        <v>69240</v>
      </c>
      <c r="H663" t="n">
        <v>210080</v>
      </c>
      <c r="I663" t="n">
        <v>145948</v>
      </c>
      <c r="J663" t="n">
        <v>155905</v>
      </c>
      <c r="K663" t="n">
        <v>67952</v>
      </c>
      <c r="L663" t="n">
        <v>215188</v>
      </c>
      <c r="M663" t="n">
        <v>66275</v>
      </c>
    </row>
    <row r="664">
      <c r="A664" s="149" t="n">
        <v>41365</v>
      </c>
      <c r="B664" t="n">
        <v>22030</v>
      </c>
      <c r="C664" t="n">
        <v>29325</v>
      </c>
      <c r="D664" t="n">
        <v>31928</v>
      </c>
      <c r="E664" t="n">
        <v>21385</v>
      </c>
      <c r="F664" t="n">
        <v>10130</v>
      </c>
      <c r="G664" t="n">
        <v>76992</v>
      </c>
      <c r="H664" t="n">
        <v>216982</v>
      </c>
      <c r="I664" t="n">
        <v>149549</v>
      </c>
      <c r="J664" t="n">
        <v>166628</v>
      </c>
      <c r="K664" t="n">
        <v>66418</v>
      </c>
      <c r="L664" t="n">
        <v>226541</v>
      </c>
      <c r="M664" t="n">
        <v>67553</v>
      </c>
    </row>
    <row r="665">
      <c r="A665" s="149" t="n">
        <v>41395</v>
      </c>
      <c r="B665" t="n">
        <v>21548</v>
      </c>
      <c r="C665" t="n">
        <v>28923</v>
      </c>
      <c r="D665" t="n">
        <v>32205</v>
      </c>
      <c r="E665" t="n">
        <v>21808</v>
      </c>
      <c r="F665" t="n">
        <v>10804</v>
      </c>
      <c r="G665" t="n">
        <v>84921</v>
      </c>
      <c r="H665" t="n">
        <v>224465</v>
      </c>
      <c r="I665" t="n">
        <v>150337</v>
      </c>
      <c r="J665" t="n">
        <v>175118</v>
      </c>
      <c r="K665" t="n">
        <v>67597</v>
      </c>
      <c r="L665" t="n">
        <v>235258</v>
      </c>
      <c r="M665" t="n">
        <v>69186</v>
      </c>
    </row>
    <row r="666">
      <c r="A666" s="149" t="n">
        <v>41426</v>
      </c>
      <c r="B666" t="n">
        <v>22140</v>
      </c>
      <c r="C666" t="n">
        <v>28953</v>
      </c>
      <c r="D666" t="n">
        <v>32202</v>
      </c>
      <c r="E666" t="n">
        <v>21642</v>
      </c>
      <c r="F666" t="n">
        <v>10349</v>
      </c>
      <c r="G666" t="n">
        <v>97375</v>
      </c>
      <c r="H666" t="n">
        <v>235211</v>
      </c>
      <c r="I666" t="n">
        <v>150635</v>
      </c>
      <c r="J666" t="n">
        <v>187849</v>
      </c>
      <c r="K666" t="n">
        <v>66735</v>
      </c>
      <c r="L666" t="n">
        <v>248010</v>
      </c>
      <c r="M666" t="n">
        <v>69443</v>
      </c>
    </row>
    <row r="667">
      <c r="A667" s="149" t="n">
        <v>41456</v>
      </c>
      <c r="B667" t="n">
        <v>21401</v>
      </c>
      <c r="C667" t="n">
        <v>28800</v>
      </c>
      <c r="D667" t="n">
        <v>32495</v>
      </c>
      <c r="E667" t="n">
        <v>21054</v>
      </c>
      <c r="F667" t="n">
        <v>9957</v>
      </c>
      <c r="G667" t="n">
        <v>75015</v>
      </c>
      <c r="H667" t="n">
        <v>209913</v>
      </c>
      <c r="I667" t="n">
        <v>148765</v>
      </c>
      <c r="J667" t="n">
        <v>164784</v>
      </c>
      <c r="K667" t="n">
        <v>65819</v>
      </c>
      <c r="L667" t="n">
        <v>223780</v>
      </c>
      <c r="M667" t="n">
        <v>66557</v>
      </c>
    </row>
    <row r="668">
      <c r="A668" s="149" t="n">
        <v>41487</v>
      </c>
      <c r="B668" t="n">
        <v>21572</v>
      </c>
      <c r="C668" t="n">
        <v>29075</v>
      </c>
      <c r="D668" t="n">
        <v>30890</v>
      </c>
      <c r="E668" t="n">
        <v>20137</v>
      </c>
      <c r="F668" t="n">
        <v>10077</v>
      </c>
      <c r="G668" t="n">
        <v>77447</v>
      </c>
      <c r="H668" t="n">
        <v>211847</v>
      </c>
      <c r="I668" t="n">
        <v>147563</v>
      </c>
      <c r="J668" t="n">
        <v>164894</v>
      </c>
      <c r="K668" t="n">
        <v>66036</v>
      </c>
      <c r="L668" t="n">
        <v>225010</v>
      </c>
      <c r="M668" t="n">
        <v>65935</v>
      </c>
    </row>
    <row r="669">
      <c r="A669" s="149" t="n">
        <v>41518</v>
      </c>
      <c r="B669" t="n">
        <v>21690</v>
      </c>
      <c r="C669" t="n">
        <v>28873</v>
      </c>
      <c r="D669" t="n">
        <v>31453</v>
      </c>
      <c r="E669" t="n">
        <v>20975</v>
      </c>
      <c r="F669" t="n">
        <v>10228</v>
      </c>
      <c r="G669" t="n">
        <v>90219</v>
      </c>
      <c r="H669" t="n">
        <v>225775</v>
      </c>
      <c r="I669" t="n">
        <v>148413</v>
      </c>
      <c r="J669" t="n">
        <v>178351</v>
      </c>
      <c r="K669" t="n">
        <v>65417</v>
      </c>
      <c r="L669" t="n">
        <v>238632</v>
      </c>
      <c r="M669" t="n">
        <v>66636</v>
      </c>
    </row>
    <row r="670">
      <c r="A670" s="149" t="n">
        <v>41548</v>
      </c>
      <c r="B670" t="n">
        <v>22296</v>
      </c>
      <c r="C670" t="n">
        <v>28460</v>
      </c>
      <c r="D670" t="n">
        <v>31358</v>
      </c>
      <c r="E670" t="n">
        <v>21461</v>
      </c>
      <c r="F670" t="n">
        <v>10332</v>
      </c>
      <c r="G670" t="n">
        <v>82965</v>
      </c>
      <c r="H670" t="n">
        <v>223139</v>
      </c>
      <c r="I670" t="n">
        <v>148997</v>
      </c>
      <c r="J670" t="n">
        <v>171007</v>
      </c>
      <c r="K670" t="n">
        <v>65186</v>
      </c>
      <c r="L670" t="n">
        <v>231962</v>
      </c>
      <c r="M670" t="n">
        <v>64799</v>
      </c>
    </row>
    <row r="671">
      <c r="A671" s="149" t="n">
        <v>41579</v>
      </c>
      <c r="B671" t="n">
        <v>21935</v>
      </c>
      <c r="C671" t="n">
        <v>28851</v>
      </c>
      <c r="D671" t="n">
        <v>33588</v>
      </c>
      <c r="E671" t="n">
        <v>21633</v>
      </c>
      <c r="F671" t="n">
        <v>9447</v>
      </c>
      <c r="G671" t="n">
        <v>90138</v>
      </c>
      <c r="H671" t="n">
        <v>232225</v>
      </c>
      <c r="I671" t="n">
        <v>151251</v>
      </c>
      <c r="J671" t="n">
        <v>176395</v>
      </c>
      <c r="K671" t="n">
        <v>68009</v>
      </c>
      <c r="L671" t="n">
        <v>241389</v>
      </c>
      <c r="M671" t="n">
        <v>68592</v>
      </c>
    </row>
    <row r="672">
      <c r="A672" s="149" t="n">
        <v>41609</v>
      </c>
      <c r="B672" t="n">
        <v>21042</v>
      </c>
      <c r="C672" t="n">
        <v>26863</v>
      </c>
      <c r="D672" t="n">
        <v>34380</v>
      </c>
      <c r="E672" t="n">
        <v>20173</v>
      </c>
      <c r="F672" t="n">
        <v>10126</v>
      </c>
      <c r="G672" t="n">
        <v>90482</v>
      </c>
      <c r="H672" t="n">
        <v>227537</v>
      </c>
      <c r="I672" t="n">
        <v>147895</v>
      </c>
      <c r="J672" t="n">
        <v>176574</v>
      </c>
      <c r="K672" t="n">
        <v>67503</v>
      </c>
      <c r="L672" t="n">
        <v>238377</v>
      </c>
      <c r="M672" t="n">
        <v>67496</v>
      </c>
    </row>
    <row r="673">
      <c r="A673" s="149" t="n">
        <v>41640</v>
      </c>
      <c r="B673" t="n">
        <v>21464</v>
      </c>
      <c r="C673" t="n">
        <v>29145</v>
      </c>
      <c r="D673" t="n">
        <v>33899</v>
      </c>
      <c r="E673" t="n">
        <v>21527</v>
      </c>
      <c r="F673" t="n">
        <v>10451</v>
      </c>
      <c r="G673" t="n">
        <v>72176</v>
      </c>
      <c r="H673" t="n">
        <v>216655</v>
      </c>
      <c r="I673" t="n">
        <v>150968</v>
      </c>
      <c r="J673" t="n">
        <v>163285</v>
      </c>
      <c r="K673" t="n">
        <v>66205</v>
      </c>
      <c r="L673" t="n">
        <v>223144</v>
      </c>
      <c r="M673" t="n">
        <v>68106</v>
      </c>
    </row>
    <row r="674">
      <c r="A674" s="149" t="n">
        <v>41671</v>
      </c>
      <c r="B674" t="n">
        <v>21626</v>
      </c>
      <c r="C674" t="n">
        <v>29156</v>
      </c>
      <c r="D674" t="n">
        <v>34151</v>
      </c>
      <c r="E674" t="n">
        <v>21232</v>
      </c>
      <c r="F674" t="n">
        <v>10257</v>
      </c>
      <c r="G674" t="n">
        <v>81622</v>
      </c>
      <c r="H674" t="n">
        <v>219545</v>
      </c>
      <c r="I674" t="n">
        <v>151089</v>
      </c>
      <c r="J674" t="n">
        <v>171097</v>
      </c>
      <c r="K674" t="n">
        <v>67120</v>
      </c>
      <c r="L674" t="n">
        <v>232711</v>
      </c>
      <c r="M674" t="n">
        <v>67227</v>
      </c>
    </row>
    <row r="675">
      <c r="A675" s="149" t="n">
        <v>41699</v>
      </c>
      <c r="B675" t="n">
        <v>22190</v>
      </c>
      <c r="C675" t="n">
        <v>29456</v>
      </c>
      <c r="D675" t="n">
        <v>34226</v>
      </c>
      <c r="E675" t="n">
        <v>21491</v>
      </c>
      <c r="F675" t="n">
        <v>10665</v>
      </c>
      <c r="G675" t="n">
        <v>79821</v>
      </c>
      <c r="H675" t="n">
        <v>223009</v>
      </c>
      <c r="I675" t="n">
        <v>153332</v>
      </c>
      <c r="J675" t="n">
        <v>170947</v>
      </c>
      <c r="K675" t="n">
        <v>68135</v>
      </c>
      <c r="L675" t="n">
        <v>233153</v>
      </c>
      <c r="M675" t="n">
        <v>68502</v>
      </c>
    </row>
    <row r="676">
      <c r="A676" s="149" t="n">
        <v>41730</v>
      </c>
      <c r="B676" t="n">
        <v>21864</v>
      </c>
      <c r="C676" t="n">
        <v>29180</v>
      </c>
      <c r="D676" t="n">
        <v>32905</v>
      </c>
      <c r="E676" t="n">
        <v>21631</v>
      </c>
      <c r="F676" t="n">
        <v>10676</v>
      </c>
      <c r="G676" t="n">
        <v>85413</v>
      </c>
      <c r="H676" t="n">
        <v>216304</v>
      </c>
      <c r="I676" t="n">
        <v>151959</v>
      </c>
      <c r="J676" t="n">
        <v>175956</v>
      </c>
      <c r="K676" t="n">
        <v>66704</v>
      </c>
      <c r="L676" t="n">
        <v>237372</v>
      </c>
      <c r="M676" t="n">
        <v>66341</v>
      </c>
    </row>
    <row r="677">
      <c r="A677" s="149" t="n">
        <v>41760</v>
      </c>
      <c r="B677" t="n">
        <v>22063</v>
      </c>
      <c r="C677" t="n">
        <v>30175</v>
      </c>
      <c r="D677" t="n">
        <v>32699</v>
      </c>
      <c r="E677" t="n">
        <v>20753</v>
      </c>
      <c r="F677" t="n">
        <v>10467</v>
      </c>
      <c r="G677" t="n">
        <v>80832</v>
      </c>
      <c r="H677" t="n">
        <v>217466</v>
      </c>
      <c r="I677" t="n">
        <v>152127</v>
      </c>
      <c r="J677" t="n">
        <v>169649</v>
      </c>
      <c r="K677" t="n">
        <v>67233</v>
      </c>
      <c r="L677" t="n">
        <v>232959</v>
      </c>
      <c r="M677" t="n">
        <v>65817</v>
      </c>
    </row>
    <row r="678">
      <c r="A678" s="149" t="n">
        <v>41791</v>
      </c>
      <c r="B678" t="n">
        <v>22511</v>
      </c>
      <c r="C678" t="n">
        <v>29874</v>
      </c>
      <c r="D678" t="n">
        <v>35026</v>
      </c>
      <c r="E678" t="n">
        <v>21947</v>
      </c>
      <c r="F678" t="n">
        <v>10944</v>
      </c>
      <c r="G678" t="n">
        <v>83596</v>
      </c>
      <c r="H678" t="n">
        <v>226627</v>
      </c>
      <c r="I678" t="n">
        <v>156585</v>
      </c>
      <c r="J678" t="n">
        <v>177769</v>
      </c>
      <c r="K678" t="n">
        <v>67210</v>
      </c>
      <c r="L678" t="n">
        <v>240181</v>
      </c>
      <c r="M678" t="n">
        <v>69872</v>
      </c>
    </row>
    <row r="679">
      <c r="A679" s="149" t="n">
        <v>41821</v>
      </c>
      <c r="B679" t="n">
        <v>22759</v>
      </c>
      <c r="C679" t="n">
        <v>29982</v>
      </c>
      <c r="D679" t="n">
        <v>32975</v>
      </c>
      <c r="E679" t="n">
        <v>21247</v>
      </c>
      <c r="F679" t="n">
        <v>10701</v>
      </c>
      <c r="G679" t="n">
        <v>149460</v>
      </c>
      <c r="H679" t="n">
        <v>293790</v>
      </c>
      <c r="I679" t="n">
        <v>153702</v>
      </c>
      <c r="J679" t="n">
        <v>238245</v>
      </c>
      <c r="K679" t="n">
        <v>67196</v>
      </c>
      <c r="L679" t="n">
        <v>303162</v>
      </c>
      <c r="M679" t="n">
        <v>67931</v>
      </c>
    </row>
    <row r="680">
      <c r="A680" s="149" t="n">
        <v>41852</v>
      </c>
      <c r="B680" t="n">
        <v>22044</v>
      </c>
      <c r="C680" t="n">
        <v>30248</v>
      </c>
      <c r="D680" t="n">
        <v>34336</v>
      </c>
      <c r="E680" t="n">
        <v>21650</v>
      </c>
      <c r="F680" t="n">
        <v>10721</v>
      </c>
      <c r="G680" t="n">
        <v>81455</v>
      </c>
      <c r="H680" t="n">
        <v>224569</v>
      </c>
      <c r="I680" t="n">
        <v>155211</v>
      </c>
      <c r="J680" t="n">
        <v>172226</v>
      </c>
      <c r="K680" t="n">
        <v>69173</v>
      </c>
      <c r="L680" t="n">
        <v>236666</v>
      </c>
      <c r="M680" t="n">
        <v>68554</v>
      </c>
    </row>
    <row r="681">
      <c r="A681" s="149" t="n">
        <v>41883</v>
      </c>
      <c r="B681" t="n">
        <v>22866</v>
      </c>
      <c r="C681" t="n">
        <v>30230</v>
      </c>
      <c r="D681" t="n">
        <v>34716</v>
      </c>
      <c r="E681" t="n">
        <v>21281</v>
      </c>
      <c r="F681" t="n">
        <v>11088</v>
      </c>
      <c r="G681" t="n">
        <v>80552</v>
      </c>
      <c r="H681" t="n">
        <v>229338</v>
      </c>
      <c r="I681" t="n">
        <v>156982</v>
      </c>
      <c r="J681" t="n">
        <v>172718</v>
      </c>
      <c r="K681" t="n">
        <v>69236</v>
      </c>
      <c r="L681" t="n">
        <v>237534</v>
      </c>
      <c r="M681" t="n">
        <v>69426</v>
      </c>
    </row>
    <row r="682">
      <c r="A682" s="149" t="n">
        <v>41913</v>
      </c>
      <c r="B682" t="n">
        <v>21973</v>
      </c>
      <c r="C682" t="n">
        <v>30380</v>
      </c>
      <c r="D682" t="n">
        <v>32346</v>
      </c>
      <c r="E682" t="n">
        <v>20681</v>
      </c>
      <c r="F682" t="n">
        <v>10888</v>
      </c>
      <c r="G682" t="n">
        <v>79328</v>
      </c>
      <c r="H682" t="n">
        <v>219533</v>
      </c>
      <c r="I682" t="n">
        <v>152761</v>
      </c>
      <c r="J682" t="n">
        <v>167104</v>
      </c>
      <c r="K682" t="n">
        <v>66959</v>
      </c>
      <c r="L682" t="n">
        <v>232089</v>
      </c>
      <c r="M682" t="n">
        <v>65645</v>
      </c>
    </row>
    <row r="683">
      <c r="A683" s="149" t="n">
        <v>41944</v>
      </c>
      <c r="B683" t="n">
        <v>21289</v>
      </c>
      <c r="C683" t="n">
        <v>29980</v>
      </c>
      <c r="D683" t="n">
        <v>31136</v>
      </c>
      <c r="E683" t="n">
        <v>19745</v>
      </c>
      <c r="F683" t="n">
        <v>10773</v>
      </c>
      <c r="G683" t="n">
        <v>76884</v>
      </c>
      <c r="H683" t="n">
        <v>221162</v>
      </c>
      <c r="I683" t="n">
        <v>149271</v>
      </c>
      <c r="J683" t="n">
        <v>162866</v>
      </c>
      <c r="K683" t="n">
        <v>65797</v>
      </c>
      <c r="L683" t="n">
        <v>226155</v>
      </c>
      <c r="M683" t="n">
        <v>63854</v>
      </c>
    </row>
    <row r="684">
      <c r="A684" s="149" t="n">
        <v>41974</v>
      </c>
      <c r="B684" t="n">
        <v>21320</v>
      </c>
      <c r="C684" t="n">
        <v>30051</v>
      </c>
      <c r="D684" t="n">
        <v>30990</v>
      </c>
      <c r="E684" t="n">
        <v>19890</v>
      </c>
      <c r="F684" t="n">
        <v>11055</v>
      </c>
      <c r="G684" t="n">
        <v>75614</v>
      </c>
      <c r="H684" t="n">
        <v>213860</v>
      </c>
      <c r="I684" t="n">
        <v>150221</v>
      </c>
      <c r="J684" t="n">
        <v>160616</v>
      </c>
      <c r="K684" t="n">
        <v>67092</v>
      </c>
      <c r="L684" t="n">
        <v>225835</v>
      </c>
      <c r="M684" t="n">
        <v>65875</v>
      </c>
    </row>
    <row r="685">
      <c r="A685" s="149" t="n">
        <v>42005</v>
      </c>
      <c r="B685" t="n">
        <v>20643</v>
      </c>
      <c r="C685" t="n">
        <v>28236</v>
      </c>
      <c r="D685" t="n">
        <v>31714</v>
      </c>
      <c r="E685" t="n">
        <v>19611</v>
      </c>
      <c r="F685" t="n">
        <v>10496</v>
      </c>
      <c r="G685" t="n">
        <v>76525</v>
      </c>
      <c r="H685" t="n">
        <v>211466</v>
      </c>
      <c r="I685" t="n">
        <v>147536</v>
      </c>
      <c r="J685" t="n">
        <v>161061</v>
      </c>
      <c r="K685" t="n">
        <v>65491</v>
      </c>
      <c r="L685" t="n">
        <v>224061</v>
      </c>
      <c r="M685" t="n">
        <v>64666</v>
      </c>
    </row>
    <row r="686">
      <c r="A686" s="149" t="n">
        <v>42036</v>
      </c>
      <c r="B686" t="n">
        <v>20216</v>
      </c>
      <c r="C686" t="n">
        <v>28254</v>
      </c>
      <c r="D686" t="n">
        <v>31395</v>
      </c>
      <c r="E686" t="n">
        <v>19500</v>
      </c>
      <c r="F686" t="n">
        <v>10690</v>
      </c>
      <c r="G686" t="n">
        <v>72526</v>
      </c>
      <c r="H686" t="n">
        <v>209406</v>
      </c>
      <c r="I686" t="n">
        <v>146440</v>
      </c>
      <c r="J686" t="n">
        <v>155869</v>
      </c>
      <c r="K686" t="n">
        <v>65735</v>
      </c>
      <c r="L686" t="n">
        <v>218966</v>
      </c>
      <c r="M686" t="n">
        <v>64257</v>
      </c>
    </row>
    <row r="687">
      <c r="A687" s="149" t="n">
        <v>42064</v>
      </c>
      <c r="B687" t="n">
        <v>19079</v>
      </c>
      <c r="C687" t="n">
        <v>28358</v>
      </c>
      <c r="D687" t="n">
        <v>31197</v>
      </c>
      <c r="E687" t="n">
        <v>21158</v>
      </c>
      <c r="F687" t="n">
        <v>10856</v>
      </c>
      <c r="G687" t="n">
        <v>80461</v>
      </c>
      <c r="H687" t="n">
        <v>217526</v>
      </c>
      <c r="I687" t="n">
        <v>147112</v>
      </c>
      <c r="J687" t="n">
        <v>161664</v>
      </c>
      <c r="K687" t="n">
        <v>66307</v>
      </c>
      <c r="L687" t="n">
        <v>227573</v>
      </c>
      <c r="M687" t="n">
        <v>64721</v>
      </c>
    </row>
    <row r="688">
      <c r="A688" s="149" t="n">
        <v>42095</v>
      </c>
      <c r="B688" t="n">
        <v>19341</v>
      </c>
      <c r="C688" t="n">
        <v>28043</v>
      </c>
      <c r="D688" t="n">
        <v>31040</v>
      </c>
      <c r="E688" t="n">
        <v>20550</v>
      </c>
      <c r="F688" t="n">
        <v>10775</v>
      </c>
      <c r="G688" t="n">
        <v>77746</v>
      </c>
      <c r="H688" t="n">
        <v>215883</v>
      </c>
      <c r="I688" t="n">
        <v>146593</v>
      </c>
      <c r="J688" t="n">
        <v>159682</v>
      </c>
      <c r="K688" t="n">
        <v>65722</v>
      </c>
      <c r="L688" t="n">
        <v>224339</v>
      </c>
      <c r="M688" t="n">
        <v>64152</v>
      </c>
    </row>
    <row r="689">
      <c r="A689" s="149" t="n">
        <v>42125</v>
      </c>
      <c r="B689" t="n">
        <v>19271</v>
      </c>
      <c r="C689" t="n">
        <v>28082</v>
      </c>
      <c r="D689" t="n">
        <v>30714</v>
      </c>
      <c r="E689" t="n">
        <v>20094</v>
      </c>
      <c r="F689" t="n">
        <v>10299</v>
      </c>
      <c r="G689" t="n">
        <v>72558</v>
      </c>
      <c r="H689" t="n">
        <v>204127</v>
      </c>
      <c r="I689" t="n">
        <v>144774</v>
      </c>
      <c r="J689" t="n">
        <v>152625</v>
      </c>
      <c r="K689" t="n">
        <v>64884</v>
      </c>
      <c r="L689" t="n">
        <v>217332</v>
      </c>
      <c r="M689" t="n">
        <v>62533</v>
      </c>
    </row>
    <row r="690">
      <c r="A690" s="149" t="n">
        <v>42156</v>
      </c>
      <c r="B690" t="n">
        <v>19256</v>
      </c>
      <c r="C690" t="n">
        <v>28774</v>
      </c>
      <c r="D690" t="n">
        <v>31321</v>
      </c>
      <c r="E690" t="n">
        <v>20834</v>
      </c>
      <c r="F690" t="n">
        <v>10653</v>
      </c>
      <c r="G690" t="n">
        <v>84951</v>
      </c>
      <c r="H690" t="n">
        <v>222452</v>
      </c>
      <c r="I690" t="n">
        <v>147815</v>
      </c>
      <c r="J690" t="n">
        <v>166657</v>
      </c>
      <c r="K690" t="n">
        <v>65496</v>
      </c>
      <c r="L690" t="n">
        <v>232766</v>
      </c>
      <c r="M690" t="n">
        <v>63930</v>
      </c>
    </row>
    <row r="691">
      <c r="A691" s="149" t="n">
        <v>42186</v>
      </c>
      <c r="B691" t="n">
        <v>17847</v>
      </c>
      <c r="C691" t="n">
        <v>28632</v>
      </c>
      <c r="D691" t="n">
        <v>30953</v>
      </c>
      <c r="E691" t="n">
        <v>20857</v>
      </c>
      <c r="F691" t="n">
        <v>10615</v>
      </c>
      <c r="G691" t="n">
        <v>84093</v>
      </c>
      <c r="H691" t="n">
        <v>216416</v>
      </c>
      <c r="I691" t="n">
        <v>146096</v>
      </c>
      <c r="J691" t="n">
        <v>163038</v>
      </c>
      <c r="K691" t="n">
        <v>64938</v>
      </c>
      <c r="L691" t="n">
        <v>230189</v>
      </c>
      <c r="M691" t="n">
        <v>63774</v>
      </c>
    </row>
    <row r="692">
      <c r="A692" s="149" t="n">
        <v>42217</v>
      </c>
      <c r="B692" t="n">
        <v>18300</v>
      </c>
      <c r="C692" t="n">
        <v>27775</v>
      </c>
      <c r="D692" t="n">
        <v>31791</v>
      </c>
      <c r="E692" t="n">
        <v>20550</v>
      </c>
      <c r="F692" t="n">
        <v>10552</v>
      </c>
      <c r="G692" t="n">
        <v>76454</v>
      </c>
      <c r="H692" t="n">
        <v>215447</v>
      </c>
      <c r="I692" t="n">
        <v>146193</v>
      </c>
      <c r="J692" t="n">
        <v>156470</v>
      </c>
      <c r="K692" t="n">
        <v>64879</v>
      </c>
      <c r="L692" t="n">
        <v>222647</v>
      </c>
      <c r="M692" t="n">
        <v>63370</v>
      </c>
    </row>
    <row r="693">
      <c r="A693" s="149" t="n">
        <v>42248</v>
      </c>
      <c r="B693" t="n">
        <v>18084</v>
      </c>
      <c r="C693" t="n">
        <v>28353</v>
      </c>
      <c r="D693" t="n">
        <v>31251</v>
      </c>
      <c r="E693" t="n">
        <v>20457</v>
      </c>
      <c r="F693" t="n">
        <v>10459</v>
      </c>
      <c r="G693" t="n">
        <v>72809</v>
      </c>
      <c r="H693" t="n">
        <v>209174</v>
      </c>
      <c r="I693" t="n">
        <v>145929</v>
      </c>
      <c r="J693" t="n">
        <v>151752</v>
      </c>
      <c r="K693" t="n">
        <v>64821</v>
      </c>
      <c r="L693" t="n">
        <v>218738</v>
      </c>
      <c r="M693" t="n">
        <v>63318</v>
      </c>
    </row>
    <row r="694">
      <c r="A694" s="149" t="n">
        <v>42278</v>
      </c>
      <c r="B694" t="n">
        <v>17862</v>
      </c>
      <c r="C694" t="n">
        <v>27557</v>
      </c>
      <c r="D694" t="n">
        <v>31235</v>
      </c>
      <c r="E694" t="n">
        <v>20227</v>
      </c>
      <c r="F694" t="n">
        <v>10206</v>
      </c>
      <c r="G694" t="n">
        <v>81614</v>
      </c>
      <c r="H694" t="n">
        <v>210661</v>
      </c>
      <c r="I694" t="n">
        <v>144418</v>
      </c>
      <c r="J694" t="n">
        <v>160554</v>
      </c>
      <c r="K694" t="n">
        <v>64110</v>
      </c>
      <c r="L694" t="n">
        <v>226032</v>
      </c>
      <c r="M694" t="n">
        <v>63051</v>
      </c>
    </row>
    <row r="695">
      <c r="A695" s="149" t="n">
        <v>42309</v>
      </c>
      <c r="B695" t="n">
        <v>17588</v>
      </c>
      <c r="C695" t="n">
        <v>27724</v>
      </c>
      <c r="D695" t="n">
        <v>30575</v>
      </c>
      <c r="E695" t="n">
        <v>20043</v>
      </c>
      <c r="F695" t="n">
        <v>10378</v>
      </c>
      <c r="G695" t="n">
        <v>79457</v>
      </c>
      <c r="H695" t="n">
        <v>212466</v>
      </c>
      <c r="I695" t="n">
        <v>143766</v>
      </c>
      <c r="J695" t="n">
        <v>156779</v>
      </c>
      <c r="K695" t="n">
        <v>63224</v>
      </c>
      <c r="L695" t="n">
        <v>223223</v>
      </c>
      <c r="M695" t="n">
        <v>62049</v>
      </c>
    </row>
    <row r="696">
      <c r="A696" s="149" t="n">
        <v>42339</v>
      </c>
      <c r="B696" t="n">
        <v>17240</v>
      </c>
      <c r="C696" t="n">
        <v>27858</v>
      </c>
      <c r="D696" t="n">
        <v>28354</v>
      </c>
      <c r="E696" t="n">
        <v>20481</v>
      </c>
      <c r="F696" t="n">
        <v>10539</v>
      </c>
      <c r="G696" t="n">
        <v>75599</v>
      </c>
      <c r="H696" t="n">
        <v>209769</v>
      </c>
      <c r="I696" t="n">
        <v>141875</v>
      </c>
      <c r="J696" t="n">
        <v>151640</v>
      </c>
      <c r="K696" t="n">
        <v>63244</v>
      </c>
      <c r="L696" t="n">
        <v>217474</v>
      </c>
      <c r="M696" t="n">
        <v>60165</v>
      </c>
    </row>
    <row r="697">
      <c r="A697" s="149" t="n">
        <v>42370</v>
      </c>
      <c r="B697" t="n">
        <v>17011</v>
      </c>
      <c r="C697" t="n">
        <v>28435</v>
      </c>
      <c r="D697" t="n">
        <v>29997</v>
      </c>
      <c r="E697" t="n">
        <v>20923</v>
      </c>
      <c r="F697" t="n">
        <v>10606</v>
      </c>
      <c r="G697" t="n">
        <v>82719</v>
      </c>
      <c r="H697" t="n">
        <v>212421</v>
      </c>
      <c r="I697" t="n">
        <v>144186</v>
      </c>
      <c r="J697" t="n">
        <v>160531</v>
      </c>
      <c r="K697" t="n">
        <v>62116</v>
      </c>
      <c r="L697" t="n">
        <v>226905</v>
      </c>
      <c r="M697" t="n">
        <v>61709</v>
      </c>
    </row>
    <row r="698">
      <c r="A698" s="149" t="n">
        <v>42401</v>
      </c>
      <c r="B698" t="n">
        <v>16639</v>
      </c>
      <c r="C698" t="n">
        <v>28134</v>
      </c>
      <c r="D698" t="n">
        <v>29290</v>
      </c>
      <c r="E698" t="n">
        <v>21269</v>
      </c>
      <c r="F698" t="n">
        <v>10196</v>
      </c>
      <c r="G698" t="n">
        <v>74774</v>
      </c>
      <c r="H698" t="n">
        <v>208470</v>
      </c>
      <c r="I698" t="n">
        <v>142597</v>
      </c>
      <c r="J698" t="n">
        <v>150402</v>
      </c>
      <c r="K698" t="n">
        <v>61521</v>
      </c>
      <c r="L698" t="n">
        <v>217371</v>
      </c>
      <c r="M698" t="n">
        <v>61077</v>
      </c>
    </row>
    <row r="699">
      <c r="A699" s="149" t="n">
        <v>42430</v>
      </c>
      <c r="B699" t="n">
        <v>16511</v>
      </c>
      <c r="C699" t="n">
        <v>27255</v>
      </c>
      <c r="D699" t="n">
        <v>28934</v>
      </c>
      <c r="E699" t="n">
        <v>21052</v>
      </c>
      <c r="F699" t="n">
        <v>9828</v>
      </c>
      <c r="G699" t="n">
        <v>75647</v>
      </c>
      <c r="H699" t="n">
        <v>201996</v>
      </c>
      <c r="I699" t="n">
        <v>141252</v>
      </c>
      <c r="J699" t="n">
        <v>151329</v>
      </c>
      <c r="K699" t="n">
        <v>61133</v>
      </c>
      <c r="L699" t="n">
        <v>216899</v>
      </c>
      <c r="M699" t="n">
        <v>60564</v>
      </c>
    </row>
    <row r="700">
      <c r="A700" s="149" t="n">
        <v>42461</v>
      </c>
      <c r="B700" t="n">
        <v>16638</v>
      </c>
      <c r="C700" t="n">
        <v>28268</v>
      </c>
      <c r="D700" t="n">
        <v>28675</v>
      </c>
      <c r="E700" t="n">
        <v>21719</v>
      </c>
      <c r="F700" t="n">
        <v>9959</v>
      </c>
      <c r="G700" t="n">
        <v>86087</v>
      </c>
      <c r="H700" t="n">
        <v>211258</v>
      </c>
      <c r="I700" t="n">
        <v>142498</v>
      </c>
      <c r="J700" t="n">
        <v>162910</v>
      </c>
      <c r="K700" t="n">
        <v>61671</v>
      </c>
      <c r="L700" t="n">
        <v>228585</v>
      </c>
      <c r="M700" t="n">
        <v>60970</v>
      </c>
    </row>
    <row r="701">
      <c r="A701" s="149" t="n">
        <v>42491</v>
      </c>
      <c r="B701" t="n">
        <v>16645</v>
      </c>
      <c r="C701" t="n">
        <v>28052</v>
      </c>
      <c r="D701" t="n">
        <v>28160</v>
      </c>
      <c r="E701" t="n">
        <v>21631</v>
      </c>
      <c r="F701" t="n">
        <v>9890</v>
      </c>
      <c r="G701" t="n">
        <v>80406</v>
      </c>
      <c r="H701" t="n">
        <v>211188</v>
      </c>
      <c r="I701" t="n">
        <v>141585</v>
      </c>
      <c r="J701" t="n">
        <v>157751</v>
      </c>
      <c r="K701" t="n">
        <v>61126</v>
      </c>
      <c r="L701" t="n">
        <v>221991</v>
      </c>
      <c r="M701" t="n">
        <v>59565</v>
      </c>
    </row>
    <row r="702">
      <c r="A702" s="149" t="n">
        <v>42522</v>
      </c>
      <c r="B702" t="n">
        <v>16323</v>
      </c>
      <c r="C702" t="n">
        <v>27601</v>
      </c>
      <c r="D702" t="n">
        <v>28238</v>
      </c>
      <c r="E702" t="n">
        <v>21515</v>
      </c>
      <c r="F702" t="n">
        <v>9890</v>
      </c>
      <c r="G702" t="n">
        <v>68834</v>
      </c>
      <c r="H702" t="n">
        <v>202807</v>
      </c>
      <c r="I702" t="n">
        <v>140522</v>
      </c>
      <c r="J702" t="n">
        <v>144277</v>
      </c>
      <c r="K702" t="n">
        <v>60609</v>
      </c>
      <c r="L702" t="n">
        <v>209356</v>
      </c>
      <c r="M702" t="n">
        <v>59505</v>
      </c>
    </row>
    <row r="703">
      <c r="A703" s="149" t="n">
        <v>42552</v>
      </c>
      <c r="B703" t="n">
        <v>16746</v>
      </c>
      <c r="C703" t="n">
        <v>27758</v>
      </c>
      <c r="D703" t="n">
        <v>28904</v>
      </c>
      <c r="E703" t="n">
        <v>21556</v>
      </c>
      <c r="F703" t="n">
        <v>10246</v>
      </c>
      <c r="G703" t="n">
        <v>76197</v>
      </c>
      <c r="H703" t="n">
        <v>204914</v>
      </c>
      <c r="I703" t="n">
        <v>141800</v>
      </c>
      <c r="J703" t="n">
        <v>153759</v>
      </c>
      <c r="K703" t="n">
        <v>59441</v>
      </c>
      <c r="L703" t="n">
        <v>217997</v>
      </c>
      <c r="M703" t="n">
        <v>59899</v>
      </c>
    </row>
    <row r="704">
      <c r="A704" s="149" t="n">
        <v>42583</v>
      </c>
      <c r="B704" t="n">
        <v>16654</v>
      </c>
      <c r="C704" t="n">
        <v>27540</v>
      </c>
      <c r="D704" t="n">
        <v>29462</v>
      </c>
      <c r="E704" t="n">
        <v>21449</v>
      </c>
      <c r="F704" t="n">
        <v>10082</v>
      </c>
      <c r="G704" t="n">
        <v>77102</v>
      </c>
      <c r="H704" t="n">
        <v>209179</v>
      </c>
      <c r="I704" t="n">
        <v>142038</v>
      </c>
      <c r="J704" t="n">
        <v>154680</v>
      </c>
      <c r="K704" t="n">
        <v>59905</v>
      </c>
      <c r="L704" t="n">
        <v>219140</v>
      </c>
      <c r="M704" t="n">
        <v>61743</v>
      </c>
    </row>
    <row r="705">
      <c r="A705" s="149" t="n">
        <v>42614</v>
      </c>
      <c r="B705" t="n">
        <v>16647</v>
      </c>
      <c r="C705" t="n">
        <v>27262</v>
      </c>
      <c r="D705" t="n">
        <v>28943</v>
      </c>
      <c r="E705" t="n">
        <v>21152</v>
      </c>
      <c r="F705" t="n">
        <v>10144</v>
      </c>
      <c r="G705" t="n">
        <v>75136</v>
      </c>
      <c r="H705" t="n">
        <v>201229</v>
      </c>
      <c r="I705" t="n">
        <v>140922</v>
      </c>
      <c r="J705" t="n">
        <v>151551</v>
      </c>
      <c r="K705" t="n">
        <v>59991</v>
      </c>
      <c r="L705" t="n">
        <v>216058</v>
      </c>
      <c r="M705" t="n">
        <v>59290</v>
      </c>
    </row>
    <row r="706">
      <c r="A706" s="149" t="n">
        <v>42644</v>
      </c>
      <c r="B706" t="n">
        <v>16783</v>
      </c>
      <c r="C706" t="n">
        <v>28280</v>
      </c>
      <c r="D706" t="n">
        <v>28991</v>
      </c>
      <c r="E706" t="n">
        <v>20980</v>
      </c>
      <c r="F706" t="n">
        <v>10113</v>
      </c>
      <c r="G706" t="n">
        <v>92159</v>
      </c>
      <c r="H706" t="n">
        <v>225358</v>
      </c>
      <c r="I706" t="n">
        <v>142058</v>
      </c>
      <c r="J706" t="n">
        <v>170179</v>
      </c>
      <c r="K706" t="n">
        <v>59411</v>
      </c>
      <c r="L706" t="n">
        <v>234217</v>
      </c>
      <c r="M706" t="n">
        <v>59413</v>
      </c>
    </row>
    <row r="707">
      <c r="A707" s="149" t="n">
        <v>42675</v>
      </c>
      <c r="B707" t="n">
        <v>17302</v>
      </c>
      <c r="C707" t="n">
        <v>28236</v>
      </c>
      <c r="D707" t="n">
        <v>28877</v>
      </c>
      <c r="E707" t="n">
        <v>20797</v>
      </c>
      <c r="F707" t="n">
        <v>10277</v>
      </c>
      <c r="G707" t="n">
        <v>74289</v>
      </c>
      <c r="H707" t="n">
        <v>202565</v>
      </c>
      <c r="I707" t="n">
        <v>142414</v>
      </c>
      <c r="J707" t="n">
        <v>153082</v>
      </c>
      <c r="K707" t="n">
        <v>59487</v>
      </c>
      <c r="L707" t="n">
        <v>216703</v>
      </c>
      <c r="M707" t="n">
        <v>59262</v>
      </c>
    </row>
    <row r="708">
      <c r="A708" s="149" t="n">
        <v>42705</v>
      </c>
      <c r="B708" t="n">
        <v>17445</v>
      </c>
      <c r="C708" t="n">
        <v>27438</v>
      </c>
      <c r="D708" t="n">
        <v>28893</v>
      </c>
      <c r="E708" t="n">
        <v>21338</v>
      </c>
      <c r="F708" t="n">
        <v>10577</v>
      </c>
      <c r="G708" t="n">
        <v>75917</v>
      </c>
      <c r="H708" t="n">
        <v>201103</v>
      </c>
      <c r="I708" t="n">
        <v>142533</v>
      </c>
      <c r="J708" t="n">
        <v>153879</v>
      </c>
      <c r="K708" t="n">
        <v>60013</v>
      </c>
      <c r="L708" t="n">
        <v>218450</v>
      </c>
      <c r="M708" t="n">
        <v>59355</v>
      </c>
    </row>
    <row r="709">
      <c r="A709" s="149" t="n">
        <v>42736</v>
      </c>
      <c r="B709" t="n">
        <v>17785</v>
      </c>
      <c r="C709" t="n">
        <v>28057</v>
      </c>
      <c r="D709" t="n">
        <v>29753</v>
      </c>
      <c r="E709" t="n">
        <v>21297</v>
      </c>
      <c r="F709" t="n">
        <v>10584</v>
      </c>
      <c r="G709" t="n">
        <v>72833</v>
      </c>
      <c r="H709" t="n">
        <v>206243</v>
      </c>
      <c r="I709" t="n">
        <v>145178</v>
      </c>
      <c r="J709" t="n">
        <v>153356</v>
      </c>
      <c r="K709" t="n">
        <v>59778</v>
      </c>
      <c r="L709" t="n">
        <v>218011</v>
      </c>
      <c r="M709" t="n">
        <v>60689</v>
      </c>
    </row>
    <row r="710">
      <c r="A710" s="149" t="n">
        <v>42767</v>
      </c>
      <c r="B710" t="n">
        <v>18209</v>
      </c>
      <c r="C710" t="n">
        <v>27454</v>
      </c>
      <c r="D710" t="n">
        <v>29511</v>
      </c>
      <c r="E710" t="n">
        <v>21660</v>
      </c>
      <c r="F710" t="n">
        <v>10550</v>
      </c>
      <c r="G710" t="n">
        <v>76601</v>
      </c>
      <c r="H710" t="n">
        <v>210003</v>
      </c>
      <c r="I710" t="n">
        <v>145214</v>
      </c>
      <c r="J710" t="n">
        <v>157903</v>
      </c>
      <c r="K710" t="n">
        <v>59987</v>
      </c>
      <c r="L710" t="n">
        <v>221815</v>
      </c>
      <c r="M710" t="n">
        <v>60752</v>
      </c>
    </row>
    <row r="711">
      <c r="A711" s="149" t="n">
        <v>42795</v>
      </c>
      <c r="B711" t="n">
        <v>18314</v>
      </c>
      <c r="C711" t="n">
        <v>29044</v>
      </c>
      <c r="D711" t="n">
        <v>30307</v>
      </c>
      <c r="E711" t="n">
        <v>21015</v>
      </c>
      <c r="F711" t="n">
        <v>10590</v>
      </c>
      <c r="G711" t="n">
        <v>75141</v>
      </c>
      <c r="H711" t="n">
        <v>210478</v>
      </c>
      <c r="I711" t="n">
        <v>146824</v>
      </c>
      <c r="J711" t="n">
        <v>158150</v>
      </c>
      <c r="K711" t="n">
        <v>60681</v>
      </c>
      <c r="L711" t="n">
        <v>221965</v>
      </c>
      <c r="M711" t="n">
        <v>61176</v>
      </c>
    </row>
    <row r="712">
      <c r="A712" s="149" t="n">
        <v>42826</v>
      </c>
      <c r="B712" t="n">
        <v>18370</v>
      </c>
      <c r="C712" t="n">
        <v>28180</v>
      </c>
      <c r="D712" t="n">
        <v>30463</v>
      </c>
      <c r="E712" t="n">
        <v>21311</v>
      </c>
      <c r="F712" t="n">
        <v>10322</v>
      </c>
      <c r="G712" t="n">
        <v>75845</v>
      </c>
      <c r="H712" t="n">
        <v>211179</v>
      </c>
      <c r="I712" t="n">
        <v>146180</v>
      </c>
      <c r="J712" t="n">
        <v>159159</v>
      </c>
      <c r="K712" t="n">
        <v>60445</v>
      </c>
      <c r="L712" t="n">
        <v>222025</v>
      </c>
      <c r="M712" t="n">
        <v>61339</v>
      </c>
    </row>
    <row r="713">
      <c r="A713" s="149" t="n">
        <v>42856</v>
      </c>
      <c r="B713" t="n">
        <v>18455</v>
      </c>
      <c r="C713" t="n">
        <v>28710</v>
      </c>
      <c r="D713" t="n">
        <v>30809</v>
      </c>
      <c r="E713" t="n">
        <v>21260</v>
      </c>
      <c r="F713" t="n">
        <v>10524</v>
      </c>
      <c r="G713" t="n">
        <v>75022</v>
      </c>
      <c r="H713" t="n">
        <v>209836</v>
      </c>
      <c r="I713" t="n">
        <v>147376</v>
      </c>
      <c r="J713" t="n">
        <v>157793</v>
      </c>
      <c r="K713" t="n">
        <v>61109</v>
      </c>
      <c r="L713" t="n">
        <v>222398</v>
      </c>
      <c r="M713" t="n">
        <v>61398</v>
      </c>
    </row>
    <row r="714">
      <c r="A714" s="149" t="n">
        <v>42887</v>
      </c>
      <c r="B714" t="n">
        <v>18416</v>
      </c>
      <c r="C714" t="n">
        <v>28506</v>
      </c>
      <c r="D714" t="n">
        <v>30402</v>
      </c>
      <c r="E714" t="n">
        <v>20951</v>
      </c>
      <c r="F714" t="n">
        <v>10039</v>
      </c>
      <c r="G714" t="n">
        <v>92514</v>
      </c>
      <c r="H714" t="n">
        <v>226112</v>
      </c>
      <c r="I714" t="n">
        <v>145833</v>
      </c>
      <c r="J714" t="n">
        <v>174423</v>
      </c>
      <c r="K714" t="n">
        <v>60720</v>
      </c>
      <c r="L714" t="n">
        <v>238347</v>
      </c>
      <c r="M714" t="n">
        <v>60227</v>
      </c>
    </row>
    <row r="715">
      <c r="A715" s="149" t="n">
        <v>42917</v>
      </c>
      <c r="B715" t="n">
        <v>18833</v>
      </c>
      <c r="C715" t="n">
        <v>28800</v>
      </c>
      <c r="D715" t="n">
        <v>30500</v>
      </c>
      <c r="E715" t="n">
        <v>21871</v>
      </c>
      <c r="F715" t="n">
        <v>10014</v>
      </c>
      <c r="G715" t="n">
        <v>71135</v>
      </c>
      <c r="H715" t="n">
        <v>208934</v>
      </c>
      <c r="I715" t="n">
        <v>147843</v>
      </c>
      <c r="J715" t="n">
        <v>156286</v>
      </c>
      <c r="K715" t="n">
        <v>60854</v>
      </c>
      <c r="L715" t="n">
        <v>218978</v>
      </c>
      <c r="M715" t="n">
        <v>61403</v>
      </c>
    </row>
    <row r="716">
      <c r="A716" s="149" t="n">
        <v>42948</v>
      </c>
      <c r="B716" t="n">
        <v>19416</v>
      </c>
      <c r="C716" t="n">
        <v>29060</v>
      </c>
      <c r="D716" t="n">
        <v>30449</v>
      </c>
      <c r="E716" t="n">
        <v>21755</v>
      </c>
      <c r="F716" t="n">
        <v>10290</v>
      </c>
      <c r="G716" t="n">
        <v>74748</v>
      </c>
      <c r="H716" t="n">
        <v>211561</v>
      </c>
      <c r="I716" t="n">
        <v>148854</v>
      </c>
      <c r="J716" t="n">
        <v>159269</v>
      </c>
      <c r="K716" t="n">
        <v>61707</v>
      </c>
      <c r="L716" t="n">
        <v>223602</v>
      </c>
      <c r="M716" t="n">
        <v>61643</v>
      </c>
    </row>
    <row r="717">
      <c r="A717" s="149" t="n">
        <v>42979</v>
      </c>
      <c r="B717" t="n">
        <v>18611</v>
      </c>
      <c r="C717" t="n">
        <v>29718</v>
      </c>
      <c r="D717" t="n">
        <v>30739</v>
      </c>
      <c r="E717" t="n">
        <v>22538</v>
      </c>
      <c r="F717" t="n">
        <v>10615</v>
      </c>
      <c r="G717" t="n">
        <v>77827</v>
      </c>
      <c r="H717" t="n">
        <v>214530</v>
      </c>
      <c r="I717" t="n">
        <v>150371</v>
      </c>
      <c r="J717" t="n">
        <v>164280</v>
      </c>
      <c r="K717" t="n">
        <v>62405</v>
      </c>
      <c r="L717" t="n">
        <v>228198</v>
      </c>
      <c r="M717" t="n">
        <v>63497</v>
      </c>
    </row>
    <row r="718">
      <c r="A718" s="149" t="n">
        <v>43009</v>
      </c>
      <c r="B718" t="n">
        <v>19797</v>
      </c>
      <c r="C718" t="n">
        <v>29627</v>
      </c>
      <c r="D718" t="n">
        <v>32125</v>
      </c>
      <c r="E718" t="n">
        <v>22284</v>
      </c>
      <c r="F718" t="n">
        <v>10630</v>
      </c>
      <c r="G718" t="n">
        <v>76611</v>
      </c>
      <c r="H718" t="n">
        <v>218187</v>
      </c>
      <c r="I718" t="n">
        <v>153146</v>
      </c>
      <c r="J718" t="n">
        <v>164181</v>
      </c>
      <c r="K718" t="n">
        <v>62741</v>
      </c>
      <c r="L718" t="n">
        <v>229757</v>
      </c>
      <c r="M718" t="n">
        <v>63980</v>
      </c>
    </row>
    <row r="719">
      <c r="A719" s="149" t="n">
        <v>43040</v>
      </c>
      <c r="B719" t="n">
        <v>19666</v>
      </c>
      <c r="C719" t="n">
        <v>30050</v>
      </c>
      <c r="D719" t="n">
        <v>30879</v>
      </c>
      <c r="E719" t="n">
        <v>22679</v>
      </c>
      <c r="F719" t="n">
        <v>10708</v>
      </c>
      <c r="G719" t="n">
        <v>76348</v>
      </c>
      <c r="H719" t="n">
        <v>223365</v>
      </c>
      <c r="I719" t="n">
        <v>153298</v>
      </c>
      <c r="J719" t="n">
        <v>163221</v>
      </c>
      <c r="K719" t="n">
        <v>63498</v>
      </c>
      <c r="L719" t="n">
        <v>229646</v>
      </c>
      <c r="M719" t="n">
        <v>63558</v>
      </c>
    </row>
    <row r="720">
      <c r="A720" s="149" t="n">
        <v>43070</v>
      </c>
      <c r="B720" t="n">
        <v>19760</v>
      </c>
      <c r="C720" t="n">
        <v>30336</v>
      </c>
      <c r="D720" t="n">
        <v>31951</v>
      </c>
      <c r="E720" t="n">
        <v>21932</v>
      </c>
      <c r="F720" t="n">
        <v>10759</v>
      </c>
      <c r="G720" t="n">
        <v>85563</v>
      </c>
      <c r="H720" t="n">
        <v>226348</v>
      </c>
      <c r="I720" t="n">
        <v>154340</v>
      </c>
      <c r="J720" t="n">
        <v>174213</v>
      </c>
      <c r="K720" t="n">
        <v>63977</v>
      </c>
      <c r="L720" t="n">
        <v>239903</v>
      </c>
      <c r="M720" t="n">
        <v>63745</v>
      </c>
    </row>
    <row r="721">
      <c r="A721" s="149" t="n">
        <v>43101</v>
      </c>
      <c r="B721" t="n">
        <v>19773</v>
      </c>
      <c r="C721" t="n">
        <v>31125</v>
      </c>
      <c r="D721" t="n">
        <v>32097</v>
      </c>
      <c r="E721" t="n">
        <v>21754</v>
      </c>
      <c r="F721" t="n">
        <v>10527</v>
      </c>
      <c r="G721" t="n">
        <v>71371</v>
      </c>
      <c r="H721" t="n">
        <v>215201</v>
      </c>
      <c r="I721" t="n">
        <v>154535</v>
      </c>
      <c r="J721" t="n">
        <v>159357</v>
      </c>
      <c r="K721" t="n">
        <v>63556</v>
      </c>
      <c r="L721" t="n">
        <v>225906</v>
      </c>
      <c r="M721" t="n">
        <v>63816</v>
      </c>
    </row>
    <row r="722">
      <c r="A722" s="149" t="n">
        <v>43132</v>
      </c>
      <c r="B722" t="n">
        <v>20456</v>
      </c>
      <c r="C722" t="n">
        <v>31427</v>
      </c>
      <c r="D722" t="n">
        <v>32983</v>
      </c>
      <c r="E722" t="n">
        <v>21881</v>
      </c>
      <c r="F722" t="n">
        <v>10779</v>
      </c>
      <c r="G722" t="n">
        <v>77056</v>
      </c>
      <c r="H722" t="n">
        <v>216508</v>
      </c>
      <c r="I722" t="n">
        <v>157084</v>
      </c>
      <c r="J722" t="n">
        <v>166790</v>
      </c>
      <c r="K722" t="n">
        <v>64012</v>
      </c>
      <c r="L722" t="n">
        <v>234140</v>
      </c>
      <c r="M722" t="n">
        <v>65257</v>
      </c>
    </row>
    <row r="723">
      <c r="A723" s="149" t="n">
        <v>43160</v>
      </c>
      <c r="B723" t="n">
        <v>20883</v>
      </c>
      <c r="C723" t="n">
        <v>32302</v>
      </c>
      <c r="D723" t="n">
        <v>32138</v>
      </c>
      <c r="E723" t="n">
        <v>21657</v>
      </c>
      <c r="F723" t="n">
        <v>10820</v>
      </c>
      <c r="G723" t="n">
        <v>85175</v>
      </c>
      <c r="H723" t="n">
        <v>228341</v>
      </c>
      <c r="I723" t="n">
        <v>157483</v>
      </c>
      <c r="J723" t="n">
        <v>175504</v>
      </c>
      <c r="K723" t="n">
        <v>63867</v>
      </c>
      <c r="L723" t="n">
        <v>242658</v>
      </c>
      <c r="M723" t="n">
        <v>64073</v>
      </c>
    </row>
    <row r="724">
      <c r="A724" s="149" t="n">
        <v>43191</v>
      </c>
      <c r="B724" t="n">
        <v>21693</v>
      </c>
      <c r="C724" t="n">
        <v>32525</v>
      </c>
      <c r="D724" t="n">
        <v>32717</v>
      </c>
      <c r="E724" t="n">
        <v>22149</v>
      </c>
      <c r="F724" t="n">
        <v>10909</v>
      </c>
      <c r="G724" t="n">
        <v>79501</v>
      </c>
      <c r="H724" t="n">
        <v>228749</v>
      </c>
      <c r="I724" t="n">
        <v>159991</v>
      </c>
      <c r="J724" t="n">
        <v>170410</v>
      </c>
      <c r="K724" t="n">
        <v>65011</v>
      </c>
      <c r="L724" t="n">
        <v>239492</v>
      </c>
      <c r="M724" t="n">
        <v>65444</v>
      </c>
    </row>
    <row r="725">
      <c r="A725" s="149" t="n">
        <v>43221</v>
      </c>
      <c r="B725" t="n">
        <v>21731</v>
      </c>
      <c r="C725" t="n">
        <v>32636</v>
      </c>
      <c r="D725" t="n">
        <v>33745</v>
      </c>
      <c r="E725" t="n">
        <v>22405</v>
      </c>
      <c r="F725" t="n">
        <v>10979</v>
      </c>
      <c r="G725" t="n">
        <v>79001</v>
      </c>
      <c r="H725" t="n">
        <v>226554</v>
      </c>
      <c r="I725" t="n">
        <v>161607</v>
      </c>
      <c r="J725" t="n">
        <v>174641</v>
      </c>
      <c r="K725" t="n">
        <v>65092</v>
      </c>
      <c r="L725" t="n">
        <v>240608</v>
      </c>
      <c r="M725" t="n">
        <v>66748</v>
      </c>
    </row>
    <row r="726">
      <c r="A726" s="149" t="n">
        <v>43252</v>
      </c>
      <c r="B726" t="n">
        <v>21585</v>
      </c>
      <c r="C726" t="n">
        <v>32698</v>
      </c>
      <c r="D726" t="n">
        <v>34015</v>
      </c>
      <c r="E726" t="n">
        <v>22443</v>
      </c>
      <c r="F726" t="n">
        <v>11076</v>
      </c>
      <c r="G726" t="n">
        <v>81343</v>
      </c>
      <c r="H726" t="n">
        <v>226427</v>
      </c>
      <c r="I726" t="n">
        <v>161931</v>
      </c>
      <c r="J726" t="n">
        <v>175588</v>
      </c>
      <c r="K726" t="n">
        <v>65980</v>
      </c>
      <c r="L726" t="n">
        <v>243274</v>
      </c>
      <c r="M726" t="n">
        <v>67678</v>
      </c>
    </row>
    <row r="727">
      <c r="A727" s="149" t="n">
        <v>43282</v>
      </c>
      <c r="B727" t="n">
        <v>21843</v>
      </c>
      <c r="C727" t="n">
        <v>32643</v>
      </c>
      <c r="D727" t="n">
        <v>34593</v>
      </c>
      <c r="E727" t="n">
        <v>22670</v>
      </c>
      <c r="F727" t="n">
        <v>11078</v>
      </c>
      <c r="G727" t="n">
        <v>71692</v>
      </c>
      <c r="H727" t="n">
        <v>222741</v>
      </c>
      <c r="I727" t="n">
        <v>162893</v>
      </c>
      <c r="J727" t="n">
        <v>165654</v>
      </c>
      <c r="K727" t="n">
        <v>66517</v>
      </c>
      <c r="L727" t="n">
        <v>234585</v>
      </c>
      <c r="M727" t="n">
        <v>68406</v>
      </c>
    </row>
    <row r="728">
      <c r="A728" s="149" t="n">
        <v>43313</v>
      </c>
      <c r="B728" t="n">
        <v>21486</v>
      </c>
      <c r="C728" t="n">
        <v>32294</v>
      </c>
      <c r="D728" t="n">
        <v>33695</v>
      </c>
      <c r="E728" t="n">
        <v>22403</v>
      </c>
      <c r="F728" t="n">
        <v>11178</v>
      </c>
      <c r="G728" t="n">
        <v>83286</v>
      </c>
      <c r="H728" t="n">
        <v>230514</v>
      </c>
      <c r="I728" t="n">
        <v>160822</v>
      </c>
      <c r="J728" t="n">
        <v>175671</v>
      </c>
      <c r="K728" t="n">
        <v>66126</v>
      </c>
      <c r="L728" t="n">
        <v>244108</v>
      </c>
      <c r="M728" t="n">
        <v>67270</v>
      </c>
    </row>
    <row r="729">
      <c r="A729" s="149" t="n">
        <v>43344</v>
      </c>
      <c r="B729" t="n">
        <v>21522</v>
      </c>
      <c r="C729" t="n">
        <v>31651</v>
      </c>
      <c r="D729" t="n">
        <v>34056</v>
      </c>
      <c r="E729" t="n">
        <v>22058</v>
      </c>
      <c r="F729" t="n">
        <v>10971</v>
      </c>
      <c r="G729" t="n">
        <v>84714</v>
      </c>
      <c r="H729" t="n">
        <v>225632</v>
      </c>
      <c r="I729" t="n">
        <v>160120</v>
      </c>
      <c r="J729" t="n">
        <v>176060</v>
      </c>
      <c r="K729" t="n">
        <v>65978</v>
      </c>
      <c r="L729" t="n">
        <v>244834</v>
      </c>
      <c r="M729" t="n">
        <v>67127</v>
      </c>
    </row>
    <row r="730">
      <c r="A730" s="149" t="n">
        <v>43374</v>
      </c>
      <c r="B730" t="n">
        <v>21524</v>
      </c>
      <c r="C730" t="n">
        <v>32024</v>
      </c>
      <c r="D730" t="n">
        <v>34780</v>
      </c>
      <c r="E730" t="n">
        <v>22841</v>
      </c>
      <c r="F730" t="n">
        <v>11184</v>
      </c>
      <c r="G730" t="n">
        <v>77729</v>
      </c>
      <c r="H730" t="n">
        <v>224668</v>
      </c>
      <c r="I730" t="n">
        <v>161994</v>
      </c>
      <c r="J730" t="n">
        <v>170432</v>
      </c>
      <c r="K730" t="n">
        <v>66450</v>
      </c>
      <c r="L730" t="n">
        <v>239723</v>
      </c>
      <c r="M730" t="n">
        <v>67931</v>
      </c>
    </row>
    <row r="731">
      <c r="A731" s="149" t="n">
        <v>43405</v>
      </c>
      <c r="B731" t="n">
        <v>21029</v>
      </c>
      <c r="C731" t="n">
        <v>32563</v>
      </c>
      <c r="D731" t="n">
        <v>31989</v>
      </c>
      <c r="E731" t="n">
        <v>22799</v>
      </c>
      <c r="F731" t="n">
        <v>10882</v>
      </c>
      <c r="G731" t="n">
        <v>73276</v>
      </c>
      <c r="H731" t="n">
        <v>214673</v>
      </c>
      <c r="I731" t="n">
        <v>158377</v>
      </c>
      <c r="J731" t="n">
        <v>163293</v>
      </c>
      <c r="K731" t="n">
        <v>65739</v>
      </c>
      <c r="L731" t="n">
        <v>231653</v>
      </c>
      <c r="M731" t="n">
        <v>65255</v>
      </c>
    </row>
    <row r="732">
      <c r="A732" s="149" t="n">
        <v>43435</v>
      </c>
      <c r="B732" t="n">
        <v>21491</v>
      </c>
      <c r="C732" t="n">
        <v>32491</v>
      </c>
      <c r="D732" t="n">
        <v>32879</v>
      </c>
      <c r="E732" t="n">
        <v>22696</v>
      </c>
      <c r="F732" t="n">
        <v>10761</v>
      </c>
      <c r="G732" t="n">
        <v>78859</v>
      </c>
      <c r="H732" t="n">
        <v>230978</v>
      </c>
      <c r="I732" t="n">
        <v>159589</v>
      </c>
      <c r="J732" t="n">
        <v>169731</v>
      </c>
      <c r="K732" t="n">
        <v>66066</v>
      </c>
      <c r="L732" t="n">
        <v>238448</v>
      </c>
      <c r="M732" t="n">
        <v>65773</v>
      </c>
    </row>
    <row r="733">
      <c r="A733" s="149" t="n">
        <v>43466</v>
      </c>
      <c r="B733" t="n">
        <v>19959</v>
      </c>
      <c r="C733" t="n">
        <v>32335</v>
      </c>
      <c r="D733" t="n">
        <v>34032</v>
      </c>
      <c r="E733" t="n">
        <v>22888</v>
      </c>
      <c r="F733" t="n">
        <v>11039</v>
      </c>
      <c r="G733" t="n">
        <v>69650</v>
      </c>
      <c r="H733" t="n">
        <v>239654</v>
      </c>
      <c r="I733" t="n">
        <v>159378</v>
      </c>
      <c r="J733" t="n">
        <v>160516</v>
      </c>
      <c r="K733" t="n">
        <v>65825</v>
      </c>
      <c r="L733" t="n">
        <v>229028</v>
      </c>
      <c r="M733" t="n">
        <v>67110</v>
      </c>
    </row>
    <row r="734">
      <c r="A734" s="149" t="n">
        <v>43497</v>
      </c>
      <c r="B734" t="n">
        <v>20725</v>
      </c>
      <c r="C734" t="n">
        <v>32420</v>
      </c>
      <c r="D734" t="n">
        <v>33242</v>
      </c>
      <c r="E734" t="n">
        <v>22732</v>
      </c>
      <c r="F734" t="n">
        <v>11011</v>
      </c>
      <c r="G734" t="n">
        <v>64136</v>
      </c>
      <c r="H734" t="n">
        <v>230943</v>
      </c>
      <c r="I734" t="n">
        <v>159319</v>
      </c>
      <c r="J734" t="n">
        <v>154698</v>
      </c>
      <c r="K734" t="n">
        <v>65952</v>
      </c>
      <c r="L734" t="n">
        <v>223455</v>
      </c>
      <c r="M734" t="n">
        <v>66772</v>
      </c>
    </row>
    <row r="735">
      <c r="A735" s="149" t="n">
        <v>43525</v>
      </c>
      <c r="B735" t="n">
        <v>20269</v>
      </c>
      <c r="C735" t="n">
        <v>31790</v>
      </c>
      <c r="D735" t="n">
        <v>33165</v>
      </c>
      <c r="E735" t="n">
        <v>23076</v>
      </c>
      <c r="F735" t="n">
        <v>11244</v>
      </c>
      <c r="G735" t="n">
        <v>74257</v>
      </c>
      <c r="H735" t="n">
        <v>239381</v>
      </c>
      <c r="I735" t="n">
        <v>158787</v>
      </c>
      <c r="J735" t="n">
        <v>164517</v>
      </c>
      <c r="K735" t="n">
        <v>65892</v>
      </c>
      <c r="L735" t="n">
        <v>233044</v>
      </c>
      <c r="M735" t="n">
        <v>67615</v>
      </c>
    </row>
    <row r="736">
      <c r="A736" s="149" t="n">
        <v>43556</v>
      </c>
      <c r="B736" t="n">
        <v>20308</v>
      </c>
      <c r="C736" t="n">
        <v>32339</v>
      </c>
      <c r="D736" t="n">
        <v>33273</v>
      </c>
      <c r="E736" t="n">
        <v>23425</v>
      </c>
      <c r="F736" t="n">
        <v>11249</v>
      </c>
      <c r="G736" t="n">
        <v>64243</v>
      </c>
      <c r="H736" t="n">
        <v>237159</v>
      </c>
      <c r="I736" t="n">
        <v>159686</v>
      </c>
      <c r="J736" t="n">
        <v>157216</v>
      </c>
      <c r="K736" t="n">
        <v>66315</v>
      </c>
      <c r="L736" t="n">
        <v>223929</v>
      </c>
      <c r="M736" t="n">
        <v>67038</v>
      </c>
    </row>
    <row r="737">
      <c r="A737" s="149" t="n">
        <v>43586</v>
      </c>
      <c r="B737" t="n">
        <v>19556</v>
      </c>
      <c r="C737" t="n">
        <v>32218</v>
      </c>
      <c r="D737" t="n">
        <v>33097</v>
      </c>
      <c r="E737" t="n">
        <v>23172</v>
      </c>
      <c r="F737" t="n">
        <v>11327</v>
      </c>
      <c r="G737" t="n">
        <v>58733</v>
      </c>
      <c r="H737" t="n">
        <v>225087</v>
      </c>
      <c r="I737" t="n">
        <v>158746</v>
      </c>
      <c r="J737" t="n">
        <v>149783</v>
      </c>
      <c r="K737" t="n">
        <v>66597</v>
      </c>
      <c r="L737" t="n">
        <v>217479</v>
      </c>
      <c r="M737" t="n">
        <v>66680</v>
      </c>
    </row>
    <row r="738">
      <c r="A738" s="149" t="n">
        <v>43617</v>
      </c>
      <c r="B738" t="n">
        <v>20157</v>
      </c>
      <c r="C738" t="n">
        <v>32670</v>
      </c>
      <c r="D738" t="n">
        <v>33181</v>
      </c>
      <c r="E738" t="n">
        <v>22952</v>
      </c>
      <c r="F738" t="n">
        <v>11444</v>
      </c>
      <c r="G738" t="n">
        <v>59741</v>
      </c>
      <c r="H738" t="n">
        <v>236096</v>
      </c>
      <c r="I738" t="n">
        <v>159812</v>
      </c>
      <c r="J738" t="n">
        <v>150374</v>
      </c>
      <c r="K738" t="n">
        <v>66297</v>
      </c>
      <c r="L738" t="n">
        <v>219553</v>
      </c>
      <c r="M738" t="n">
        <v>66243</v>
      </c>
    </row>
    <row r="739">
      <c r="A739" s="149" t="n">
        <v>43647</v>
      </c>
      <c r="B739" t="n">
        <v>19434</v>
      </c>
      <c r="C739" t="n">
        <v>32458</v>
      </c>
      <c r="D739" t="n">
        <v>32324</v>
      </c>
      <c r="E739" t="n">
        <v>22899</v>
      </c>
      <c r="F739" t="n">
        <v>11583</v>
      </c>
      <c r="G739" t="n">
        <v>67410</v>
      </c>
      <c r="H739" t="n">
        <v>236007</v>
      </c>
      <c r="I739" t="n">
        <v>157829</v>
      </c>
      <c r="J739" t="n">
        <v>157455</v>
      </c>
      <c r="K739" t="n">
        <v>65881</v>
      </c>
      <c r="L739" t="n">
        <v>225239</v>
      </c>
      <c r="M739" t="n">
        <v>65872</v>
      </c>
    </row>
    <row r="740">
      <c r="A740" s="149" t="n">
        <v>43678</v>
      </c>
      <c r="B740" t="n">
        <v>19402</v>
      </c>
      <c r="C740" t="n">
        <v>32597</v>
      </c>
      <c r="D740" t="n">
        <v>32661</v>
      </c>
      <c r="E740" t="n">
        <v>22607</v>
      </c>
      <c r="F740" t="n">
        <v>11297</v>
      </c>
      <c r="G740" t="n">
        <v>66936</v>
      </c>
      <c r="H740" t="n">
        <v>230663</v>
      </c>
      <c r="I740" t="n">
        <v>157610</v>
      </c>
      <c r="J740" t="n">
        <v>156670</v>
      </c>
      <c r="K740" t="n">
        <v>65847</v>
      </c>
      <c r="L740" t="n">
        <v>224546</v>
      </c>
      <c r="M740" t="n">
        <v>65829</v>
      </c>
    </row>
    <row r="741">
      <c r="A741" s="149" t="n">
        <v>43709</v>
      </c>
      <c r="B741" t="n">
        <v>19000</v>
      </c>
      <c r="C741" t="n">
        <v>31528</v>
      </c>
      <c r="D741" t="n">
        <v>32881</v>
      </c>
      <c r="E741" t="n">
        <v>22561</v>
      </c>
      <c r="F741" t="n">
        <v>11306</v>
      </c>
      <c r="G741" t="n">
        <v>65765</v>
      </c>
      <c r="H741" t="n">
        <v>228583</v>
      </c>
      <c r="I741" t="n">
        <v>156184</v>
      </c>
      <c r="J741" t="n">
        <v>154428</v>
      </c>
      <c r="K741" t="n">
        <v>65250</v>
      </c>
      <c r="L741" t="n">
        <v>221949</v>
      </c>
      <c r="M741" t="n">
        <v>65203</v>
      </c>
    </row>
    <row r="742">
      <c r="A742" s="149" t="n">
        <v>43739</v>
      </c>
      <c r="B742" t="n">
        <v>18609</v>
      </c>
      <c r="C742" t="n">
        <v>31956</v>
      </c>
      <c r="D742" t="n">
        <v>33049</v>
      </c>
      <c r="E742" t="n">
        <v>22249</v>
      </c>
      <c r="F742" t="n">
        <v>11091</v>
      </c>
      <c r="G742" t="n">
        <v>67217</v>
      </c>
      <c r="H742" t="n">
        <v>231646</v>
      </c>
      <c r="I742" t="n">
        <v>155758</v>
      </c>
      <c r="J742" t="n">
        <v>156626</v>
      </c>
      <c r="K742" t="n">
        <v>65403</v>
      </c>
      <c r="L742" t="n">
        <v>222975</v>
      </c>
      <c r="M742" t="n">
        <v>65207</v>
      </c>
    </row>
    <row r="743">
      <c r="A743" s="149" t="n">
        <v>43770</v>
      </c>
      <c r="B743" t="n">
        <v>18878</v>
      </c>
      <c r="C743" t="n">
        <v>32043</v>
      </c>
      <c r="D743" t="n">
        <v>32028</v>
      </c>
      <c r="E743" t="n">
        <v>21985</v>
      </c>
      <c r="F743" t="n">
        <v>11350</v>
      </c>
      <c r="G743" t="n">
        <v>58027</v>
      </c>
      <c r="H743" t="n">
        <v>223422</v>
      </c>
      <c r="I743" t="n">
        <v>154752</v>
      </c>
      <c r="J743" t="n">
        <v>147226</v>
      </c>
      <c r="K743" t="n">
        <v>65034</v>
      </c>
      <c r="L743" t="n">
        <v>212779</v>
      </c>
      <c r="M743" t="n">
        <v>63805</v>
      </c>
    </row>
    <row r="744">
      <c r="A744" s="149" t="n">
        <v>43800</v>
      </c>
      <c r="B744" t="n">
        <v>18382</v>
      </c>
      <c r="C744" t="n">
        <v>31281</v>
      </c>
      <c r="D744" t="n">
        <v>31161</v>
      </c>
      <c r="E744" t="n">
        <v>22114</v>
      </c>
      <c r="F744" t="n">
        <v>11331</v>
      </c>
      <c r="G744" t="n">
        <v>62816</v>
      </c>
      <c r="H744" t="n">
        <v>220138</v>
      </c>
      <c r="I744" t="n">
        <v>152508</v>
      </c>
      <c r="J744" t="n">
        <v>150665</v>
      </c>
      <c r="K744" t="n">
        <v>65223</v>
      </c>
      <c r="L744" t="n">
        <v>215324</v>
      </c>
      <c r="M744" t="n">
        <v>62950</v>
      </c>
    </row>
    <row r="745">
      <c r="A745" s="149" t="n">
        <v>43831</v>
      </c>
      <c r="B745" t="n">
        <v>17802</v>
      </c>
      <c r="C745" t="n">
        <v>30656</v>
      </c>
      <c r="D745" t="n">
        <v>31324</v>
      </c>
      <c r="E745" t="n">
        <v>21947</v>
      </c>
      <c r="F745" t="n">
        <v>11151</v>
      </c>
      <c r="G745" t="n">
        <v>74563</v>
      </c>
      <c r="H745" t="n">
        <v>216266</v>
      </c>
      <c r="I745" t="n">
        <v>150988</v>
      </c>
      <c r="J745" t="n">
        <v>161215</v>
      </c>
      <c r="K745" t="n">
        <v>65297</v>
      </c>
      <c r="L745" t="n">
        <v>225551</v>
      </c>
      <c r="M745" t="n">
        <v>62298</v>
      </c>
    </row>
    <row r="746">
      <c r="A746" s="149" t="n">
        <v>43862</v>
      </c>
      <c r="B746" t="n">
        <v>18239</v>
      </c>
      <c r="C746" t="n">
        <v>30209</v>
      </c>
      <c r="D746" t="n">
        <v>30624</v>
      </c>
      <c r="E746" t="n">
        <v>21817</v>
      </c>
      <c r="F746" t="n">
        <v>11238</v>
      </c>
      <c r="G746" t="n">
        <v>81387</v>
      </c>
      <c r="H746" t="n">
        <v>214429</v>
      </c>
      <c r="I746" t="n">
        <v>150101</v>
      </c>
      <c r="J746" t="n">
        <v>165264</v>
      </c>
      <c r="K746" t="n">
        <v>64967</v>
      </c>
      <c r="L746" t="n">
        <v>231488</v>
      </c>
      <c r="M746" t="n">
        <v>61245</v>
      </c>
    </row>
    <row r="747">
      <c r="A747" s="149" t="n">
        <v>43891</v>
      </c>
      <c r="B747" t="n">
        <v>16278</v>
      </c>
      <c r="C747" t="n">
        <v>28432</v>
      </c>
      <c r="D747" t="n">
        <v>30522</v>
      </c>
      <c r="E747" t="n">
        <v>21641</v>
      </c>
      <c r="F747" t="n">
        <v>11463</v>
      </c>
      <c r="G747" t="n">
        <v>54120</v>
      </c>
      <c r="H747" t="n">
        <v>166862</v>
      </c>
      <c r="I747" t="n">
        <v>145999</v>
      </c>
      <c r="J747" t="n">
        <v>143089</v>
      </c>
      <c r="K747" t="n">
        <v>64064</v>
      </c>
      <c r="L747" t="n">
        <v>200119</v>
      </c>
      <c r="M747" t="n">
        <v>60715</v>
      </c>
    </row>
    <row r="748">
      <c r="A748" s="149" t="n">
        <v>43922</v>
      </c>
      <c r="B748" t="n">
        <v>13624</v>
      </c>
      <c r="C748" t="n">
        <v>24370</v>
      </c>
      <c r="D748" t="n">
        <v>27186</v>
      </c>
      <c r="E748" t="n">
        <v>21522</v>
      </c>
      <c r="F748" t="n">
        <v>10051</v>
      </c>
      <c r="G748" t="n">
        <v>27326</v>
      </c>
      <c r="H748" t="n">
        <v>149372</v>
      </c>
      <c r="I748" t="n">
        <v>131804</v>
      </c>
      <c r="J748" t="n">
        <v>120811</v>
      </c>
      <c r="K748" t="n">
        <v>59402</v>
      </c>
      <c r="L748" t="n">
        <v>159130</v>
      </c>
      <c r="M748" t="n">
        <v>55545</v>
      </c>
    </row>
    <row r="749">
      <c r="A749" s="149" t="n">
        <v>43952</v>
      </c>
      <c r="B749" t="n">
        <v>14523</v>
      </c>
      <c r="C749" t="n">
        <v>25987</v>
      </c>
      <c r="D749" t="n">
        <v>28015</v>
      </c>
      <c r="E749" t="n">
        <v>21374</v>
      </c>
      <c r="F749" t="n">
        <v>10303</v>
      </c>
      <c r="G749" t="n">
        <v>42928</v>
      </c>
      <c r="H749" t="n">
        <v>166186</v>
      </c>
      <c r="I749" t="n">
        <v>136456</v>
      </c>
      <c r="J749" t="n">
        <v>136257</v>
      </c>
      <c r="K749" t="n">
        <v>60874</v>
      </c>
      <c r="L749" t="n">
        <v>179384</v>
      </c>
      <c r="M749" t="n">
        <v>56463</v>
      </c>
    </row>
    <row r="750">
      <c r="A750" s="149" t="n">
        <v>43983</v>
      </c>
      <c r="B750" t="n">
        <v>15668</v>
      </c>
      <c r="C750" t="n">
        <v>28472</v>
      </c>
      <c r="D750" t="n">
        <v>29131</v>
      </c>
      <c r="E750" t="n">
        <v>21599</v>
      </c>
      <c r="F750" t="n">
        <v>10430</v>
      </c>
      <c r="G750" t="n">
        <v>55267</v>
      </c>
      <c r="H750" t="n">
        <v>187472</v>
      </c>
      <c r="I750" t="n">
        <v>143507</v>
      </c>
      <c r="J750" t="n">
        <v>135460</v>
      </c>
      <c r="K750" t="n">
        <v>63672</v>
      </c>
      <c r="L750" t="n">
        <v>198774</v>
      </c>
      <c r="M750" t="n">
        <v>58548</v>
      </c>
    </row>
    <row r="751">
      <c r="A751" s="149" t="n">
        <v>44013</v>
      </c>
      <c r="B751" t="n">
        <v>15569</v>
      </c>
      <c r="C751" t="n">
        <v>29659</v>
      </c>
      <c r="D751" t="n">
        <v>29808</v>
      </c>
      <c r="E751" t="n">
        <v>21918</v>
      </c>
      <c r="F751" t="n">
        <v>11210</v>
      </c>
      <c r="G751" t="n">
        <v>70460</v>
      </c>
      <c r="H751" t="n">
        <v>205339</v>
      </c>
      <c r="I751" t="n">
        <v>147581</v>
      </c>
      <c r="J751" t="n">
        <v>145739</v>
      </c>
      <c r="K751" t="n">
        <v>65681</v>
      </c>
      <c r="L751" t="n">
        <v>218041</v>
      </c>
      <c r="M751" t="n">
        <v>60095</v>
      </c>
    </row>
    <row r="752">
      <c r="A752" s="149" t="n">
        <v>44044</v>
      </c>
      <c r="B752" t="n">
        <v>16712</v>
      </c>
      <c r="C752" t="n">
        <v>29300</v>
      </c>
      <c r="D752" t="n">
        <v>30191</v>
      </c>
      <c r="E752" t="n">
        <v>22021</v>
      </c>
      <c r="F752" t="n">
        <v>11046</v>
      </c>
      <c r="G752" t="n">
        <v>71916</v>
      </c>
      <c r="H752" t="n">
        <v>210181</v>
      </c>
      <c r="I752" t="n">
        <v>149170</v>
      </c>
      <c r="J752" t="n">
        <v>149382</v>
      </c>
      <c r="K752" t="n">
        <v>67055</v>
      </c>
      <c r="L752" t="n">
        <v>221086</v>
      </c>
      <c r="M752" t="n">
        <v>60687</v>
      </c>
    </row>
    <row r="753">
      <c r="A753" s="149" t="n">
        <v>44075</v>
      </c>
      <c r="B753" t="n">
        <v>17164</v>
      </c>
      <c r="C753" t="n">
        <v>31043</v>
      </c>
      <c r="D753" t="n">
        <v>30863</v>
      </c>
      <c r="E753" t="n">
        <v>22111</v>
      </c>
      <c r="F753" t="n">
        <v>11284</v>
      </c>
      <c r="G753" t="n">
        <v>72869</v>
      </c>
      <c r="H753" t="n">
        <v>215572</v>
      </c>
      <c r="I753" t="n">
        <v>152724</v>
      </c>
      <c r="J753" t="n">
        <v>152915</v>
      </c>
      <c r="K753" t="n">
        <v>67319</v>
      </c>
      <c r="L753" t="n">
        <v>225593</v>
      </c>
      <c r="M753" t="n">
        <v>62159</v>
      </c>
    </row>
    <row r="754">
      <c r="A754" s="149" t="n">
        <v>44105</v>
      </c>
      <c r="B754" t="n">
        <v>17354</v>
      </c>
      <c r="C754" t="n">
        <v>30927</v>
      </c>
      <c r="D754" t="n">
        <v>31082</v>
      </c>
      <c r="E754" t="n">
        <v>22950</v>
      </c>
      <c r="F754" t="n">
        <v>11227</v>
      </c>
      <c r="G754" t="n">
        <v>75535</v>
      </c>
      <c r="H754" t="n">
        <v>215790</v>
      </c>
      <c r="I754" t="n">
        <v>154200</v>
      </c>
      <c r="J754" t="n">
        <v>157980</v>
      </c>
      <c r="K754" t="n">
        <v>68790</v>
      </c>
      <c r="L754" t="n">
        <v>229735</v>
      </c>
      <c r="M754" t="n">
        <v>62801</v>
      </c>
    </row>
    <row r="755">
      <c r="A755" s="149" t="n">
        <v>44136</v>
      </c>
      <c r="B755" t="n">
        <v>17897</v>
      </c>
      <c r="C755" t="n">
        <v>30962</v>
      </c>
      <c r="D755" t="n">
        <v>31006</v>
      </c>
      <c r="E755" t="n">
        <v>22765</v>
      </c>
      <c r="F755" t="n">
        <v>11507</v>
      </c>
      <c r="G755" t="n">
        <v>73303</v>
      </c>
      <c r="H755" t="n">
        <v>220355</v>
      </c>
      <c r="I755" t="n">
        <v>155167</v>
      </c>
      <c r="J755" t="n">
        <v>155771</v>
      </c>
      <c r="K755" t="n">
        <v>69601</v>
      </c>
      <c r="L755" t="n">
        <v>228470</v>
      </c>
      <c r="M755" t="n">
        <v>62967</v>
      </c>
    </row>
    <row r="756">
      <c r="A756" s="149" t="n">
        <v>44166</v>
      </c>
      <c r="B756" t="n">
        <v>18544</v>
      </c>
      <c r="C756" t="n">
        <v>31867</v>
      </c>
      <c r="D756" t="n">
        <v>32511</v>
      </c>
      <c r="E756" t="n">
        <v>22660</v>
      </c>
      <c r="F756" t="n">
        <v>12026</v>
      </c>
      <c r="G756" t="n">
        <v>72368</v>
      </c>
      <c r="H756" t="n">
        <v>226260</v>
      </c>
      <c r="I756" t="n">
        <v>159092</v>
      </c>
      <c r="J756" t="n">
        <v>158387</v>
      </c>
      <c r="K756" t="n">
        <v>70042</v>
      </c>
      <c r="L756" t="n">
        <v>231460</v>
      </c>
      <c r="M756" t="n">
        <v>63944</v>
      </c>
    </row>
    <row r="757">
      <c r="A757" s="149" t="n">
        <v>44197</v>
      </c>
      <c r="B757" t="n">
        <v>18908</v>
      </c>
      <c r="C757" t="n">
        <v>33041</v>
      </c>
      <c r="D757" t="n">
        <v>31999</v>
      </c>
      <c r="E757" t="n">
        <v>22652</v>
      </c>
      <c r="F757" t="n">
        <v>12121</v>
      </c>
      <c r="G757" t="n">
        <v>76361</v>
      </c>
      <c r="H757" t="n">
        <v>227501</v>
      </c>
      <c r="I757" t="n">
        <v>160923</v>
      </c>
      <c r="J757" t="n">
        <v>163476</v>
      </c>
      <c r="K757" t="n">
        <v>71414</v>
      </c>
      <c r="L757" t="n">
        <v>237284</v>
      </c>
      <c r="M757" t="n">
        <v>64750</v>
      </c>
    </row>
    <row r="758">
      <c r="A758" s="149" t="n">
        <v>44228</v>
      </c>
      <c r="B758" t="n">
        <v>19094</v>
      </c>
      <c r="C758" t="n">
        <v>33479</v>
      </c>
      <c r="D758" t="n">
        <v>32339</v>
      </c>
      <c r="E758" t="n">
        <v>22483</v>
      </c>
      <c r="F758" t="n">
        <v>12367</v>
      </c>
      <c r="G758" t="n">
        <v>76440</v>
      </c>
      <c r="H758" t="n">
        <v>230452</v>
      </c>
      <c r="I758" t="n">
        <v>161039</v>
      </c>
      <c r="J758" t="n">
        <v>167920</v>
      </c>
      <c r="K758" t="n">
        <v>70785</v>
      </c>
      <c r="L758" t="n">
        <v>237479</v>
      </c>
      <c r="M758" t="n">
        <v>64562</v>
      </c>
    </row>
    <row r="759">
      <c r="A759" s="149" t="n">
        <v>44256</v>
      </c>
      <c r="B759" t="n">
        <v>17215</v>
      </c>
      <c r="C759" t="n">
        <v>35343</v>
      </c>
      <c r="D759" t="n">
        <v>33661</v>
      </c>
      <c r="E759" t="n">
        <v>22558</v>
      </c>
      <c r="F759" t="n">
        <v>11992</v>
      </c>
      <c r="G759" t="n">
        <v>78011</v>
      </c>
      <c r="H759" t="n">
        <v>235711</v>
      </c>
      <c r="I759" t="n">
        <v>163381</v>
      </c>
      <c r="J759" t="n">
        <v>170436</v>
      </c>
      <c r="K759" t="n">
        <v>71883</v>
      </c>
      <c r="L759" t="n">
        <v>241392</v>
      </c>
      <c r="M759" t="n">
        <v>65886</v>
      </c>
    </row>
    <row r="760">
      <c r="A760" s="149" t="n">
        <v>44287</v>
      </c>
      <c r="B760" t="n">
        <v>17812</v>
      </c>
      <c r="C760" t="n">
        <v>35926</v>
      </c>
      <c r="D760" t="n">
        <v>34346</v>
      </c>
      <c r="E760" t="n">
        <v>22775</v>
      </c>
      <c r="F760" t="n">
        <v>12153</v>
      </c>
      <c r="G760" t="n">
        <v>70523</v>
      </c>
      <c r="H760" t="n">
        <v>236886</v>
      </c>
      <c r="I760" t="n">
        <v>166043</v>
      </c>
      <c r="J760" t="n">
        <v>169097</v>
      </c>
      <c r="K760" t="n">
        <v>72559</v>
      </c>
      <c r="L760" t="n">
        <v>236566</v>
      </c>
      <c r="M760" t="n">
        <v>67955</v>
      </c>
    </row>
    <row r="761">
      <c r="A761" s="149" t="n">
        <v>44317</v>
      </c>
      <c r="B761" t="n">
        <v>19048</v>
      </c>
      <c r="C761" t="n">
        <v>34072</v>
      </c>
      <c r="D761" t="n">
        <v>34548</v>
      </c>
      <c r="E761" t="n">
        <v>22546</v>
      </c>
      <c r="F761" t="n">
        <v>12532</v>
      </c>
      <c r="G761" t="n">
        <v>75335</v>
      </c>
      <c r="H761" t="n">
        <v>243568</v>
      </c>
      <c r="I761" t="n">
        <v>166210</v>
      </c>
      <c r="J761" t="n">
        <v>171996</v>
      </c>
      <c r="K761" t="n">
        <v>73260</v>
      </c>
      <c r="L761" t="n">
        <v>241545</v>
      </c>
      <c r="M761" t="n">
        <v>66882</v>
      </c>
    </row>
    <row r="762">
      <c r="A762" s="149" t="n">
        <v>44348</v>
      </c>
      <c r="B762" t="n">
        <v>19083</v>
      </c>
      <c r="C762" t="n">
        <v>34768</v>
      </c>
      <c r="D762" t="n">
        <v>34954</v>
      </c>
      <c r="E762" t="n">
        <v>22791</v>
      </c>
      <c r="F762" t="n">
        <v>12751</v>
      </c>
      <c r="G762" t="n">
        <v>77990</v>
      </c>
      <c r="H762" t="n">
        <v>245971</v>
      </c>
      <c r="I762" t="n">
        <v>167836</v>
      </c>
      <c r="J762" t="n">
        <v>176392</v>
      </c>
      <c r="K762" t="n">
        <v>73732</v>
      </c>
      <c r="L762" t="n">
        <v>245826</v>
      </c>
      <c r="M762" t="n">
        <v>68158</v>
      </c>
    </row>
    <row r="763">
      <c r="A763" s="149" t="n">
        <v>44378</v>
      </c>
      <c r="B763" t="n">
        <v>19778</v>
      </c>
      <c r="C763" t="n">
        <v>34185</v>
      </c>
      <c r="D763" t="n">
        <v>36029</v>
      </c>
      <c r="E763" t="n">
        <v>22720</v>
      </c>
      <c r="F763" t="n">
        <v>12493</v>
      </c>
      <c r="G763" t="n">
        <v>78213</v>
      </c>
      <c r="H763" t="n">
        <v>244787</v>
      </c>
      <c r="I763" t="n">
        <v>168528</v>
      </c>
      <c r="J763" t="n">
        <v>174579</v>
      </c>
      <c r="K763" t="n">
        <v>74393</v>
      </c>
      <c r="L763" t="n">
        <v>246741</v>
      </c>
      <c r="M763" t="n">
        <v>68660</v>
      </c>
    </row>
    <row r="764">
      <c r="A764" s="149" t="n">
        <v>44409</v>
      </c>
      <c r="B764" t="n">
        <v>19502</v>
      </c>
      <c r="C764" t="n">
        <v>35620</v>
      </c>
      <c r="D764" t="n">
        <v>36105</v>
      </c>
      <c r="E764" t="n">
        <v>23271</v>
      </c>
      <c r="F764" t="n">
        <v>12732</v>
      </c>
      <c r="G764" t="n">
        <v>80220</v>
      </c>
      <c r="H764" t="n">
        <v>250697</v>
      </c>
      <c r="I764" t="n">
        <v>170357</v>
      </c>
      <c r="J764" t="n">
        <v>179913</v>
      </c>
      <c r="K764" t="n">
        <v>74956</v>
      </c>
      <c r="L764" t="n">
        <v>250577</v>
      </c>
      <c r="M764" t="n">
        <v>69530</v>
      </c>
    </row>
    <row r="765">
      <c r="A765" s="149" t="n">
        <v>44440</v>
      </c>
      <c r="B765" t="n">
        <v>19441</v>
      </c>
      <c r="C765" t="n">
        <v>35821</v>
      </c>
      <c r="D765" t="n">
        <v>36108</v>
      </c>
      <c r="E765" t="n">
        <v>22970</v>
      </c>
      <c r="F765" t="n">
        <v>12871</v>
      </c>
      <c r="G765" t="n">
        <v>76223</v>
      </c>
      <c r="H765" t="n">
        <v/>
      </c>
      <c r="I765" t="n">
        <v>170626</v>
      </c>
      <c r="J765" t="n">
        <v>177267</v>
      </c>
      <c r="K765" t="n">
        <v/>
      </c>
      <c r="L765" t="n">
        <v>246849</v>
      </c>
      <c r="M765" t="n">
        <v>69298</v>
      </c>
    </row>
    <row r="766">
      <c r="A766" s="149" t="n">
        <v>44470</v>
      </c>
      <c r="B766" t="n">
        <v>19823</v>
      </c>
      <c r="C766" t="n">
        <v>35491</v>
      </c>
      <c r="D766" t="n">
        <v>36711</v>
      </c>
      <c r="E766" t="n">
        <v>22931</v>
      </c>
      <c r="F766" t="n">
        <v>12931</v>
      </c>
      <c r="G766" t="n">
        <v>79361</v>
      </c>
      <c r="H766" t="n">
        <v/>
      </c>
      <c r="I766" t="n">
        <v>171142</v>
      </c>
      <c r="J766" t="n">
        <v>178531</v>
      </c>
      <c r="K766" t="n">
        <v/>
      </c>
      <c r="L766" t="n">
        <v>250503</v>
      </c>
      <c r="M766" t="n">
        <v>70632</v>
      </c>
    </row>
    <row r="767">
      <c r="A767" s="149" t="n">
        <v>44501</v>
      </c>
      <c r="B767" t="n">
        <v>19634</v>
      </c>
      <c r="C767" t="n">
        <v>35429</v>
      </c>
      <c r="D767" t="n">
        <v>37145</v>
      </c>
      <c r="E767" t="n">
        <v>23936</v>
      </c>
      <c r="F767" t="n">
        <v>13120</v>
      </c>
      <c r="G767" t="n">
        <v>80645</v>
      </c>
      <c r="H767" t="n">
        <v/>
      </c>
      <c r="I767" t="n">
        <v>173429</v>
      </c>
      <c r="J767" t="n">
        <v>180712</v>
      </c>
      <c r="K767" t="n">
        <v/>
      </c>
      <c r="L767" t="n">
        <v>254074</v>
      </c>
      <c r="M767" t="n">
        <v>71135</v>
      </c>
    </row>
    <row r="768">
      <c r="A768" s="149" t="n">
        <v>44531</v>
      </c>
      <c r="B768" t="n">
        <v>20083</v>
      </c>
      <c r="C768" t="n">
        <v>36782</v>
      </c>
      <c r="D768" t="n">
        <v>36707</v>
      </c>
      <c r="E768" t="n">
        <v>23611</v>
      </c>
      <c r="F768" t="n">
        <v>13251</v>
      </c>
      <c r="G768" t="n">
        <v>81378</v>
      </c>
      <c r="H768" t="n">
        <v/>
      </c>
      <c r="I768" t="n">
        <v>175086</v>
      </c>
      <c r="J768" t="n">
        <v>181268</v>
      </c>
      <c r="K768" t="n">
        <v/>
      </c>
      <c r="L768" t="n">
        <v>256464</v>
      </c>
      <c r="M768" t="n">
        <v>71199</v>
      </c>
    </row>
    <row r="769">
      <c r="A769" s="149" t="n">
        <v>44562</v>
      </c>
      <c r="B769" t="n">
        <v>20519</v>
      </c>
      <c r="C769" t="n">
        <v>36442</v>
      </c>
      <c r="D769" t="n">
        <v>37908</v>
      </c>
      <c r="E769" t="n">
        <v>23746</v>
      </c>
      <c r="F769" t="n">
        <v>12855</v>
      </c>
      <c r="G769" t="n">
        <v>87764</v>
      </c>
      <c r="H769" t="n">
        <v/>
      </c>
      <c r="I769" t="n">
        <v>176592</v>
      </c>
      <c r="J769" t="n">
        <v>189468</v>
      </c>
      <c r="K769" t="n">
        <v/>
      </c>
      <c r="L769" t="n">
        <v>264356</v>
      </c>
      <c r="M769" t="n">
        <v>72217</v>
      </c>
    </row>
    <row r="770">
      <c r="A770" s="149" t="n">
        <v>44593</v>
      </c>
      <c r="B770" t="n">
        <v>20120</v>
      </c>
      <c r="C770" t="n">
        <v>36534</v>
      </c>
      <c r="D770" t="n">
        <v>37155</v>
      </c>
      <c r="E770" t="n">
        <v>23325</v>
      </c>
      <c r="F770" t="n">
        <v>13250</v>
      </c>
      <c r="G770" t="n">
        <v>86479</v>
      </c>
      <c r="H770" t="n">
        <v/>
      </c>
      <c r="I770" t="n">
        <v>176015</v>
      </c>
      <c r="J770" t="n">
        <v>187611</v>
      </c>
      <c r="K770" t="n">
        <v/>
      </c>
      <c r="L770" t="n">
        <v>262494</v>
      </c>
      <c r="M770" t="n">
        <v>72038</v>
      </c>
    </row>
    <row r="771">
      <c r="A771" s="149" t="n">
        <v>44621</v>
      </c>
      <c r="B771" t="n">
        <v>20783</v>
      </c>
      <c r="C771" t="n">
        <v>36986</v>
      </c>
      <c r="D771" t="n">
        <v>37379</v>
      </c>
      <c r="E771" t="n">
        <v>23742</v>
      </c>
      <c r="F771" t="n">
        <v>13593</v>
      </c>
      <c r="G771" t="n">
        <v>86220</v>
      </c>
      <c r="H771" t="n">
        <v/>
      </c>
      <c r="I771" t="n">
        <v>178038</v>
      </c>
      <c r="J771" t="n">
        <v>186907</v>
      </c>
      <c r="K771" t="n">
        <v/>
      </c>
      <c r="L771" t="n">
        <v>264258</v>
      </c>
      <c r="M771" t="n">
        <v>72857</v>
      </c>
    </row>
    <row r="772">
      <c r="A772" s="149" t="n">
        <v>44652</v>
      </c>
      <c r="B772" t="n">
        <v>20962</v>
      </c>
      <c r="C772" t="n">
        <v>36891</v>
      </c>
      <c r="D772" t="n">
        <v>37763</v>
      </c>
      <c r="E772" t="n">
        <v>23741</v>
      </c>
      <c r="F772" t="n">
        <v>13464</v>
      </c>
      <c r="G772" t="n">
        <v>86909</v>
      </c>
      <c r="H772" t="n">
        <v/>
      </c>
      <c r="I772" t="n">
        <v>178467</v>
      </c>
      <c r="J772" t="n">
        <v>188269</v>
      </c>
      <c r="K772" t="n">
        <v/>
      </c>
      <c r="L772" t="n">
        <v>265376</v>
      </c>
      <c r="M772" t="n">
        <v>73115</v>
      </c>
    </row>
    <row r="773">
      <c r="A773" s="149" t="n">
        <v>44682</v>
      </c>
      <c r="B773" t="n">
        <v>21350</v>
      </c>
      <c r="C773" t="n">
        <v>36810</v>
      </c>
      <c r="D773" t="n">
        <v>38242</v>
      </c>
      <c r="E773" t="n">
        <v>23787</v>
      </c>
      <c r="F773" t="n">
        <v>13353</v>
      </c>
      <c r="G773" t="n">
        <v>88275</v>
      </c>
      <c r="H773" t="n">
        <v/>
      </c>
      <c r="I773" t="n">
        <v>179258</v>
      </c>
      <c r="J773" t="n">
        <v>189296</v>
      </c>
      <c r="K773" t="n">
        <v/>
      </c>
      <c r="L773" t="n">
        <v>267533</v>
      </c>
      <c r="M773" t="n">
        <v>73477</v>
      </c>
    </row>
    <row r="774">
      <c r="A774" s="149" t="n">
        <v>44713</v>
      </c>
      <c r="B774" t="n">
        <v>21050</v>
      </c>
      <c r="C774" t="n">
        <v>36922</v>
      </c>
      <c r="D774" t="n">
        <v>38434</v>
      </c>
      <c r="E774" t="n">
        <v>24211</v>
      </c>
      <c r="F774" t="n">
        <v>13717</v>
      </c>
      <c r="G774" t="n">
        <v>93626</v>
      </c>
      <c r="H774" t="n">
        <v/>
      </c>
      <c r="I774" t="n">
        <v>179945</v>
      </c>
      <c r="J774" t="n">
        <v>194488</v>
      </c>
      <c r="K774" t="n">
        <v/>
      </c>
      <c r="L774" t="n">
        <v>273571</v>
      </c>
      <c r="M774" t="n">
        <v>74190</v>
      </c>
    </row>
    <row r="775">
      <c r="A775" s="149" t="n">
        <v>44743</v>
      </c>
      <c r="B775" t="n">
        <v>20649</v>
      </c>
      <c r="C775" t="n">
        <v>37195</v>
      </c>
      <c r="D775" t="n">
        <v>38622</v>
      </c>
      <c r="E775" t="n">
        <v>24547</v>
      </c>
      <c r="F775" t="n">
        <v>13661</v>
      </c>
      <c r="G775" t="n">
        <v>92987</v>
      </c>
      <c r="H775" t="n">
        <v/>
      </c>
      <c r="I775" t="n">
        <v>180216</v>
      </c>
      <c r="J775" t="n">
        <v>194332</v>
      </c>
      <c r="K775" t="n">
        <v/>
      </c>
      <c r="L775" t="n">
        <v>273203</v>
      </c>
      <c r="M775" t="n">
        <v>74709</v>
      </c>
    </row>
    <row r="776">
      <c r="A776" s="149" t="n">
        <v>44774</v>
      </c>
      <c r="B776" t="n">
        <v>20660</v>
      </c>
      <c r="C776" t="n">
        <v>36854</v>
      </c>
      <c r="D776" t="n">
        <v>38848</v>
      </c>
      <c r="E776" t="n">
        <v>24522</v>
      </c>
      <c r="F776" t="n">
        <v>13841</v>
      </c>
      <c r="G776" t="n">
        <v>93514</v>
      </c>
      <c r="H776" t="n">
        <v/>
      </c>
      <c r="I776" t="n">
        <v>180221</v>
      </c>
      <c r="J776" t="n">
        <v>194462</v>
      </c>
      <c r="K776" t="n">
        <v/>
      </c>
      <c r="L776" t="n">
        <v>273735</v>
      </c>
      <c r="M776" t="n">
        <v>75325</v>
      </c>
    </row>
    <row r="777">
      <c r="A777" s="149" t="n">
        <v>44805</v>
      </c>
      <c r="B777" t="n">
        <v>20314</v>
      </c>
      <c r="C777" t="n">
        <v>36705</v>
      </c>
      <c r="D777" t="n">
        <v>38701</v>
      </c>
      <c r="E777" t="n">
        <v>24430</v>
      </c>
      <c r="F777" t="n">
        <v>13661</v>
      </c>
      <c r="G777" t="n">
        <v>95446</v>
      </c>
      <c r="H777" t="n">
        <v/>
      </c>
      <c r="I777" t="n">
        <v>179271</v>
      </c>
      <c r="J777" t="n">
        <v>194227</v>
      </c>
      <c r="K777" t="n">
        <v/>
      </c>
      <c r="L777" t="n">
        <v>274717</v>
      </c>
      <c r="M777" t="n">
        <v>74770</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6"/>
  <sheetViews>
    <sheetView zoomScale="150" zoomScaleNormal="150" workbookViewId="0">
      <pane xSplit="2" ySplit="6" topLeftCell="C59" activePane="bottomRight" state="frozen"/>
      <selection activeCell="Q21" sqref="Q21"/>
      <selection pane="topRight" activeCell="Q21" sqref="Q21"/>
      <selection pane="bottomLeft" activeCell="Q21" sqref="Q21"/>
      <selection pane="bottomRight" activeCell="G4" sqref="G4:H4"/>
    </sheetView>
  </sheetViews>
  <sheetFormatPr baseColWidth="10" defaultColWidth="9.1640625" defaultRowHeight="15"/>
  <cols>
    <col width="9.1640625" customWidth="1" style="123" min="1" max="1"/>
    <col width="10.6640625" bestFit="1" customWidth="1" style="123" min="2" max="2"/>
    <col width="9.1640625" customWidth="1" style="123" min="3" max="9"/>
    <col width="9.1640625" customWidth="1" style="123" min="10"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row r="81">
      <c r="B81" s="93" t="n">
        <v>44621</v>
      </c>
      <c r="C81" s="94">
        <f>VLOOKUP(B81,Database!$A:$M,MATCH(Recap!$C$5,Database!$A$1:$M$1,),)</f>
        <v/>
      </c>
      <c r="D81" s="96">
        <f>(C81-C80)/C80</f>
        <v/>
      </c>
      <c r="E81" s="94">
        <f>VLOOKUP(B81,Database!$A:$M,MATCH(Recap!$E$5,Database!$A$1:$M$1,),)</f>
        <v/>
      </c>
      <c r="F81" s="96">
        <f>(E81-E80)/E80</f>
        <v/>
      </c>
      <c r="G81" s="94">
        <f>VLOOKUP(B81,Database!$A:$M,MATCH(Recap!$G$5,Database!$A$1:$M$1,),)</f>
        <v/>
      </c>
      <c r="H81" s="96">
        <f>(G81-G80)/G80</f>
        <v/>
      </c>
      <c r="I81" s="94">
        <f>VLOOKUP(B81,Database!$A:$M,MATCH(Recap!$I$5,Database!$A$1:$M$1,),)</f>
        <v/>
      </c>
      <c r="J81" s="96">
        <f>(I81-I80)/I80</f>
        <v/>
      </c>
      <c r="K81" s="94">
        <f>VLOOKUP(B81,Database!$A:$M,MATCH(Recap!$K$5,Database!$A$1:$M$1,),)</f>
        <v/>
      </c>
      <c r="L81" s="96">
        <f>(K81-K80)/K80</f>
        <v/>
      </c>
      <c r="M81" s="94">
        <f>VLOOKUP(B81,Database!$A:$M,MATCH(Recap!$M$5,Database!$A$1:$M$1,),)</f>
        <v/>
      </c>
      <c r="N81" s="96">
        <f>(M81-M80)/M80</f>
        <v/>
      </c>
      <c r="O81" s="94">
        <f>VLOOKUP(B81,Database!$A:$M,MATCH(Recap!$O$5,Database!$A$1:$M$1,),)</f>
        <v/>
      </c>
      <c r="P81" s="96">
        <f>(O81-O80)/O80</f>
        <v/>
      </c>
      <c r="Q81" s="94">
        <f>VLOOKUP(B81,Database!$A:$M,MATCH(Recap!$Q$5,Database!$A$1:$M$1,),)</f>
        <v/>
      </c>
      <c r="R81" s="96">
        <f>(Q81-Q80)/Q80</f>
        <v/>
      </c>
      <c r="S81" s="94">
        <f>VLOOKUP(B81,Database!$A:$M,MATCH(Recap!$S$5,Database!$A$1:$M$1,),)</f>
        <v/>
      </c>
      <c r="T81" s="96">
        <f>(S81-S80)/S80</f>
        <v/>
      </c>
      <c r="U81" s="94">
        <f>VLOOKUP(B81,Database!$A:$M,MATCH(Recap!$U$5,Database!$A$1:$M$1,),)</f>
        <v/>
      </c>
      <c r="V81" s="96">
        <f>(U81-U80)/U80</f>
        <v/>
      </c>
    </row>
    <row r="82">
      <c r="B82" s="93" t="n">
        <v>44652</v>
      </c>
      <c r="C82" s="94">
        <f>VLOOKUP(B82,Database!$A:$M,MATCH(Recap!$C$5,Database!$A$1:$M$1,),)</f>
        <v/>
      </c>
      <c r="D82" s="96">
        <f>(C82-C81)/C81</f>
        <v/>
      </c>
      <c r="E82" s="94">
        <f>VLOOKUP(B82,Database!$A:$M,MATCH(Recap!$E$5,Database!$A$1:$M$1,),)</f>
        <v/>
      </c>
      <c r="F82" s="96">
        <f>(E82-E81)/E81</f>
        <v/>
      </c>
      <c r="G82" s="94">
        <f>VLOOKUP(B82,Database!$A:$M,MATCH(Recap!$G$5,Database!$A$1:$M$1,),)</f>
        <v/>
      </c>
      <c r="H82" s="96">
        <f>(G82-G81)/G81</f>
        <v/>
      </c>
      <c r="I82" s="94">
        <f>VLOOKUP(B82,Database!$A:$M,MATCH(Recap!$I$5,Database!$A$1:$M$1,),)</f>
        <v/>
      </c>
      <c r="J82" s="96">
        <f>(I82-I81)/I81</f>
        <v/>
      </c>
      <c r="K82" s="94">
        <f>VLOOKUP(B82,Database!$A:$M,MATCH(Recap!$K$5,Database!$A$1:$M$1,),)</f>
        <v/>
      </c>
      <c r="L82" s="96">
        <f>(K82-K81)/K81</f>
        <v/>
      </c>
      <c r="M82" s="94">
        <f>VLOOKUP(B82,Database!$A:$M,MATCH(Recap!$M$5,Database!$A$1:$M$1,),)</f>
        <v/>
      </c>
      <c r="N82" s="96">
        <f>(M82-M81)/M81</f>
        <v/>
      </c>
      <c r="O82" s="94">
        <f>VLOOKUP(B82,Database!$A:$M,MATCH(Recap!$O$5,Database!$A$1:$M$1,),)</f>
        <v/>
      </c>
      <c r="P82" s="96">
        <f>(O82-O81)/O81</f>
        <v/>
      </c>
      <c r="Q82" s="94">
        <f>VLOOKUP(B82,Database!$A:$M,MATCH(Recap!$Q$5,Database!$A$1:$M$1,),)</f>
        <v/>
      </c>
      <c r="R82" s="96">
        <f>(Q82-Q81)/Q81</f>
        <v/>
      </c>
      <c r="S82" s="94">
        <f>VLOOKUP(B82,Database!$A:$M,MATCH(Recap!$S$5,Database!$A$1:$M$1,),)</f>
        <v/>
      </c>
      <c r="T82" s="96">
        <f>(S82-S81)/S81</f>
        <v/>
      </c>
      <c r="U82" s="94">
        <f>VLOOKUP(B82,Database!$A:$M,MATCH(Recap!$U$5,Database!$A$1:$M$1,),)</f>
        <v/>
      </c>
      <c r="V82" s="96">
        <f>(U82-U81)/U81</f>
        <v/>
      </c>
    </row>
    <row r="83">
      <c r="B83" s="93" t="n">
        <v>44682</v>
      </c>
      <c r="C83" s="94">
        <f>VLOOKUP(B83,Database!$A:$M,MATCH(Recap!$C$5,Database!$A$1:$M$1,),)</f>
        <v/>
      </c>
      <c r="D83" s="96">
        <f>(C83-C82)/C82</f>
        <v/>
      </c>
      <c r="E83" s="94">
        <f>VLOOKUP(B83,Database!$A:$M,MATCH(Recap!$E$5,Database!$A$1:$M$1,),)</f>
        <v/>
      </c>
      <c r="F83" s="96">
        <f>(E83-E82)/E82</f>
        <v/>
      </c>
      <c r="G83" s="94">
        <f>VLOOKUP(B83,Database!$A:$M,MATCH(Recap!$G$5,Database!$A$1:$M$1,),)</f>
        <v/>
      </c>
      <c r="H83" s="96">
        <f>(G83-G82)/G82</f>
        <v/>
      </c>
      <c r="I83" s="94">
        <f>VLOOKUP(B83,Database!$A:$M,MATCH(Recap!$I$5,Database!$A$1:$M$1,),)</f>
        <v/>
      </c>
      <c r="J83" s="96">
        <f>(I83-I82)/I82</f>
        <v/>
      </c>
      <c r="K83" s="94">
        <f>VLOOKUP(B83,Database!$A:$M,MATCH(Recap!$K$5,Database!$A$1:$M$1,),)</f>
        <v/>
      </c>
      <c r="L83" s="96">
        <f>(K83-K82)/K82</f>
        <v/>
      </c>
      <c r="M83" s="94">
        <f>VLOOKUP(B83,Database!$A:$M,MATCH(Recap!$M$5,Database!$A$1:$M$1,),)</f>
        <v/>
      </c>
      <c r="N83" s="96">
        <f>(M83-M82)/M82</f>
        <v/>
      </c>
      <c r="O83" s="94">
        <f>VLOOKUP(B83,Database!$A:$M,MATCH(Recap!$O$5,Database!$A$1:$M$1,),)</f>
        <v/>
      </c>
      <c r="P83" s="96">
        <f>(O83-O82)/O82</f>
        <v/>
      </c>
      <c r="Q83" s="94">
        <f>VLOOKUP(B83,Database!$A:$M,MATCH(Recap!$Q$5,Database!$A$1:$M$1,),)</f>
        <v/>
      </c>
      <c r="R83" s="96">
        <f>(Q83-Q82)/Q82</f>
        <v/>
      </c>
      <c r="S83" s="94">
        <f>VLOOKUP(B83,Database!$A:$M,MATCH(Recap!$S$5,Database!$A$1:$M$1,),)</f>
        <v/>
      </c>
      <c r="T83" s="96">
        <f>(S83-S82)/S82</f>
        <v/>
      </c>
      <c r="U83" s="94">
        <f>VLOOKUP(B83,Database!$A:$M,MATCH(Recap!$U$5,Database!$A$1:$M$1,),)</f>
        <v/>
      </c>
      <c r="V83" s="96">
        <f>(U83-U82)/U82</f>
        <v/>
      </c>
    </row>
    <row r="84">
      <c r="B84" s="93" t="n">
        <v>44713</v>
      </c>
      <c r="C84" s="94">
        <f>VLOOKUP(B84,Database!$A:$M,MATCH(Recap!$C$5,Database!$A$1:$M$1,),)</f>
        <v/>
      </c>
      <c r="D84" s="96">
        <f>(C84-C83)/C83</f>
        <v/>
      </c>
      <c r="E84" s="94">
        <f>VLOOKUP(B84,Database!$A:$M,MATCH(Recap!$E$5,Database!$A$1:$M$1,),)</f>
        <v/>
      </c>
      <c r="F84" s="96">
        <f>(E84-E83)/E83</f>
        <v/>
      </c>
      <c r="G84" s="94">
        <f>VLOOKUP(B84,Database!$A:$M,MATCH(Recap!$G$5,Database!$A$1:$M$1,),)</f>
        <v/>
      </c>
      <c r="H84" s="96">
        <f>(G84-G83)/G83</f>
        <v/>
      </c>
      <c r="I84" s="94">
        <f>VLOOKUP(B84,Database!$A:$M,MATCH(Recap!$I$5,Database!$A$1:$M$1,),)</f>
        <v/>
      </c>
      <c r="J84" s="96">
        <f>(I84-I83)/I83</f>
        <v/>
      </c>
      <c r="K84" s="94">
        <f>VLOOKUP(B84,Database!$A:$M,MATCH(Recap!$K$5,Database!$A$1:$M$1,),)</f>
        <v/>
      </c>
      <c r="L84" s="96">
        <f>(K84-K83)/K83</f>
        <v/>
      </c>
      <c r="M84" s="94">
        <f>VLOOKUP(B84,Database!$A:$M,MATCH(Recap!$M$5,Database!$A$1:$M$1,),)</f>
        <v/>
      </c>
      <c r="N84" s="96">
        <f>(M84-M83)/M83</f>
        <v/>
      </c>
      <c r="O84" s="94">
        <f>VLOOKUP(B84,Database!$A:$M,MATCH(Recap!$O$5,Database!$A$1:$M$1,),)</f>
        <v/>
      </c>
      <c r="P84" s="96">
        <f>(O84-O83)/O83</f>
        <v/>
      </c>
      <c r="Q84" s="94">
        <f>VLOOKUP(B84,Database!$A:$M,MATCH(Recap!$Q$5,Database!$A$1:$M$1,),)</f>
        <v/>
      </c>
      <c r="R84" s="96">
        <f>(Q84-Q83)/Q83</f>
        <v/>
      </c>
      <c r="S84" s="94">
        <f>VLOOKUP(B84,Database!$A:$M,MATCH(Recap!$S$5,Database!$A$1:$M$1,),)</f>
        <v/>
      </c>
      <c r="T84" s="96">
        <f>(S84-S83)/S83</f>
        <v/>
      </c>
      <c r="U84" s="94">
        <f>VLOOKUP(B84,Database!$A:$M,MATCH(Recap!$U$5,Database!$A$1:$M$1,),)</f>
        <v/>
      </c>
      <c r="V84" s="96">
        <f>(U84-U83)/U83</f>
        <v/>
      </c>
    </row>
    <row r="85">
      <c r="B85" s="93" t="n">
        <v>44743</v>
      </c>
      <c r="C85" s="94">
        <f>VLOOKUP(B85,Database!$A:$M,MATCH(Recap!$C$5,Database!$A$1:$M$1,),)</f>
        <v/>
      </c>
      <c r="D85" s="96">
        <f>(C85-C84)/C84</f>
        <v/>
      </c>
      <c r="E85" s="94">
        <f>VLOOKUP(B85,Database!$A:$M,MATCH(Recap!$E$5,Database!$A$1:$M$1,),)</f>
        <v/>
      </c>
      <c r="F85" s="96">
        <f>(E85-E84)/E84</f>
        <v/>
      </c>
      <c r="G85" s="94">
        <f>VLOOKUP(B85,Database!$A:$M,MATCH(Recap!$G$5,Database!$A$1:$M$1,),)</f>
        <v/>
      </c>
      <c r="H85" s="96">
        <f>(G85-G84)/G84</f>
        <v/>
      </c>
      <c r="I85" s="94">
        <f>VLOOKUP(B85,Database!$A:$M,MATCH(Recap!$I$5,Database!$A$1:$M$1,),)</f>
        <v/>
      </c>
      <c r="J85" s="96">
        <f>(I85-I84)/I84</f>
        <v/>
      </c>
      <c r="K85" s="94">
        <f>VLOOKUP(B85,Database!$A:$M,MATCH(Recap!$K$5,Database!$A$1:$M$1,),)</f>
        <v/>
      </c>
      <c r="L85" s="96">
        <f>(K85-K84)/K84</f>
        <v/>
      </c>
      <c r="M85" s="94">
        <f>VLOOKUP(B85,Database!$A:$M,MATCH(Recap!$M$5,Database!$A$1:$M$1,),)</f>
        <v/>
      </c>
      <c r="N85" s="96">
        <f>(M85-M84)/M84</f>
        <v/>
      </c>
      <c r="O85" s="94">
        <f>VLOOKUP(B85,Database!$A:$M,MATCH(Recap!$O$5,Database!$A$1:$M$1,),)</f>
        <v/>
      </c>
      <c r="P85" s="96">
        <f>(O85-O84)/O84</f>
        <v/>
      </c>
      <c r="Q85" s="94">
        <f>VLOOKUP(B85,Database!$A:$M,MATCH(Recap!$Q$5,Database!$A$1:$M$1,),)</f>
        <v/>
      </c>
      <c r="R85" s="96">
        <f>(Q85-Q84)/Q84</f>
        <v/>
      </c>
      <c r="S85" s="94">
        <f>VLOOKUP(B85,Database!$A:$M,MATCH(Recap!$S$5,Database!$A$1:$M$1,),)</f>
        <v/>
      </c>
      <c r="T85" s="96">
        <f>(S85-S84)/S84</f>
        <v/>
      </c>
      <c r="U85" s="94">
        <f>VLOOKUP(B85,Database!$A:$M,MATCH(Recap!$U$5,Database!$A$1:$M$1,),)</f>
        <v/>
      </c>
      <c r="V85" s="96">
        <f>(U85-U84)/U84</f>
        <v/>
      </c>
    </row>
    <row r="86">
      <c r="B86" s="93" t="n">
        <v>44774</v>
      </c>
      <c r="C86" s="94">
        <f>VLOOKUP(B86,Database!$A:$M,MATCH(Recap!$C$5,Database!$A$1:$M$1,),)</f>
        <v/>
      </c>
      <c r="D86" s="96">
        <f>(C86-C85)/C85</f>
        <v/>
      </c>
      <c r="E86" s="94">
        <f>VLOOKUP(B86,Database!$A:$M,MATCH(Recap!$E$5,Database!$A$1:$M$1,),)</f>
        <v/>
      </c>
      <c r="F86" s="96">
        <f>(E86-E85)/E85</f>
        <v/>
      </c>
      <c r="G86" s="94">
        <f>VLOOKUP(B86,Database!$A:$M,MATCH(Recap!$G$5,Database!$A$1:$M$1,),)</f>
        <v/>
      </c>
      <c r="H86" s="96">
        <f>(G86-G85)/G85</f>
        <v/>
      </c>
      <c r="I86" s="94">
        <f>VLOOKUP(B86,Database!$A:$M,MATCH(Recap!$I$5,Database!$A$1:$M$1,),)</f>
        <v/>
      </c>
      <c r="J86" s="96">
        <f>(I86-I85)/I85</f>
        <v/>
      </c>
      <c r="K86" s="94">
        <f>VLOOKUP(B86,Database!$A:$M,MATCH(Recap!$K$5,Database!$A$1:$M$1,),)</f>
        <v/>
      </c>
      <c r="L86" s="96">
        <f>(K86-K85)/K85</f>
        <v/>
      </c>
      <c r="M86" s="94">
        <f>VLOOKUP(B86,Database!$A:$M,MATCH(Recap!$M$5,Database!$A$1:$M$1,),)</f>
        <v/>
      </c>
      <c r="N86" s="96">
        <f>(M86-M85)/M85</f>
        <v/>
      </c>
      <c r="O86" s="94">
        <f>VLOOKUP(B86,Database!$A:$M,MATCH(Recap!$O$5,Database!$A$1:$M$1,),)</f>
        <v/>
      </c>
      <c r="P86" s="96">
        <f>(O86-O85)/O85</f>
        <v/>
      </c>
      <c r="Q86" s="94">
        <f>VLOOKUP(B86,Database!$A:$M,MATCH(Recap!$Q$5,Database!$A$1:$M$1,),)</f>
        <v/>
      </c>
      <c r="R86" s="96">
        <f>(Q86-Q85)/Q85</f>
        <v/>
      </c>
      <c r="S86" s="94">
        <f>VLOOKUP(B86,Database!$A:$M,MATCH(Recap!$S$5,Database!$A$1:$M$1,),)</f>
        <v/>
      </c>
      <c r="T86" s="96">
        <f>(S86-S85)/S85</f>
        <v/>
      </c>
      <c r="U86" s="94">
        <f>VLOOKUP(B86,Database!$A:$M,MATCH(Recap!$U$5,Database!$A$1:$M$1,),)</f>
        <v/>
      </c>
      <c r="V86" s="96">
        <f>(U86-U85)/U85</f>
        <v/>
      </c>
    </row>
  </sheetData>
  <mergeCells count="10">
    <mergeCell ref="M4:N4"/>
    <mergeCell ref="O4:P4"/>
    <mergeCell ref="Q4:R4"/>
    <mergeCell ref="S4:T4"/>
    <mergeCell ref="U4:V4"/>
    <mergeCell ref="C4:D4"/>
    <mergeCell ref="E4:F4"/>
    <mergeCell ref="G4:H4"/>
    <mergeCell ref="I4:J4"/>
    <mergeCell ref="K4:L4"/>
  </mergeCells>
  <conditionalFormatting sqref="D8:D86">
    <cfRule type="colorScale" priority="11">
      <colorScale>
        <cfvo type="min"/>
        <cfvo type="percentile" val="50"/>
        <cfvo type="max"/>
        <color rgb="FFF8696B"/>
        <color rgb="FFFFEB84"/>
        <color rgb="FF63BE7B"/>
      </colorScale>
    </cfRule>
  </conditionalFormatting>
  <conditionalFormatting sqref="F8:F86">
    <cfRule type="colorScale" priority="12">
      <colorScale>
        <cfvo type="min"/>
        <cfvo type="percentile" val="50"/>
        <cfvo type="max"/>
        <color rgb="FFF8696B"/>
        <color rgb="FFFFEB84"/>
        <color rgb="FF63BE7B"/>
      </colorScale>
    </cfRule>
  </conditionalFormatting>
  <conditionalFormatting sqref="H8:H86">
    <cfRule type="colorScale" priority="13">
      <colorScale>
        <cfvo type="min"/>
        <cfvo type="percentile" val="50"/>
        <cfvo type="max"/>
        <color rgb="FFF8696B"/>
        <color rgb="FFFFEB84"/>
        <color rgb="FF63BE7B"/>
      </colorScale>
    </cfRule>
  </conditionalFormatting>
  <conditionalFormatting sqref="J8:J86">
    <cfRule type="colorScale" priority="14">
      <colorScale>
        <cfvo type="min"/>
        <cfvo type="percentile" val="50"/>
        <cfvo type="max"/>
        <color rgb="FFF8696B"/>
        <color rgb="FFFFEB84"/>
        <color rgb="FF63BE7B"/>
      </colorScale>
    </cfRule>
  </conditionalFormatting>
  <conditionalFormatting sqref="L8:L86">
    <cfRule type="colorScale" priority="15">
      <colorScale>
        <cfvo type="min"/>
        <cfvo type="percentile" val="50"/>
        <cfvo type="max"/>
        <color rgb="FFF8696B"/>
        <color rgb="FFFFEB84"/>
        <color rgb="FF63BE7B"/>
      </colorScale>
    </cfRule>
  </conditionalFormatting>
  <conditionalFormatting sqref="N8:N86">
    <cfRule type="colorScale" priority="16">
      <colorScale>
        <cfvo type="min"/>
        <cfvo type="percentile" val="50"/>
        <cfvo type="max"/>
        <color rgb="FFF8696B"/>
        <color rgb="FFFFEB84"/>
        <color rgb="FF63BE7B"/>
      </colorScale>
    </cfRule>
  </conditionalFormatting>
  <conditionalFormatting sqref="P8:P86">
    <cfRule type="colorScale" priority="17">
      <colorScale>
        <cfvo type="min"/>
        <cfvo type="percentile" val="50"/>
        <cfvo type="max"/>
        <color rgb="FFF8696B"/>
        <color rgb="FFFFEB84"/>
        <color rgb="FF63BE7B"/>
      </colorScale>
    </cfRule>
  </conditionalFormatting>
  <conditionalFormatting sqref="R8:R86">
    <cfRule type="colorScale" priority="18">
      <colorScale>
        <cfvo type="min"/>
        <cfvo type="percentile" val="50"/>
        <cfvo type="max"/>
        <color rgb="FFF8696B"/>
        <color rgb="FFFFEB84"/>
        <color rgb="FF63BE7B"/>
      </colorScale>
    </cfRule>
  </conditionalFormatting>
  <conditionalFormatting sqref="T8:T86">
    <cfRule type="colorScale" priority="19">
      <colorScale>
        <cfvo type="min"/>
        <cfvo type="percentile" val="50"/>
        <cfvo type="max"/>
        <color rgb="FFF8696B"/>
        <color rgb="FFFFEB84"/>
        <color rgb="FF63BE7B"/>
      </colorScale>
    </cfRule>
  </conditionalFormatting>
  <conditionalFormatting sqref="V8:V86">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outlinePr summaryBelow="1" summaryRight="1"/>
    <pageSetUpPr/>
  </sheetPr>
  <dimension ref="A1:C372"/>
  <sheetViews>
    <sheetView zoomScale="160" zoomScaleNormal="160" workbookViewId="0">
      <pane ySplit="5" topLeftCell="A349" activePane="bottomLeft" state="frozen"/>
      <selection pane="bottomLeft" activeCell="W351" sqref="W35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row r="367">
      <c r="A367" s="74" t="n">
        <v>44621</v>
      </c>
      <c r="B367" s="75">
        <f>VLOOKUP(A367,Database!A:M,MATCH($A$1,Database!$A$1:$M$1,),)</f>
        <v/>
      </c>
      <c r="C367" s="113">
        <f>(Table53514[[#This Row],[Manufacturers'' New Orders: Durable Goods]]-B366)/B366</f>
        <v/>
      </c>
    </row>
    <row r="368">
      <c r="A368" s="74" t="n">
        <v>44652</v>
      </c>
      <c r="B368" s="75">
        <f>VLOOKUP(A368,Database!A:M,MATCH($A$1,Database!$A$1:$M$1,),)</f>
        <v/>
      </c>
      <c r="C368" s="113">
        <f>(Table53514[[#This Row],[Manufacturers'' New Orders: Durable Goods]]-B367)/B367</f>
        <v/>
      </c>
    </row>
    <row r="369">
      <c r="A369" s="74" t="n">
        <v>44682</v>
      </c>
      <c r="B369" s="75">
        <f>VLOOKUP(A369,Database!A:M,MATCH($A$1,Database!$A$1:$M$1,),)</f>
        <v/>
      </c>
      <c r="C369" s="113">
        <f>(Table53514[[#This Row],[Manufacturers'' New Orders: Durable Goods]]-B368)/B368</f>
        <v/>
      </c>
    </row>
    <row r="370">
      <c r="A370" s="74" t="n">
        <v>44713</v>
      </c>
      <c r="B370" s="75">
        <f>VLOOKUP(A370,Database!A:M,MATCH($A$1,Database!$A$1:$M$1,),)</f>
        <v/>
      </c>
      <c r="C370" s="113">
        <f>(Table53514[[#This Row],[Manufacturers'' New Orders: Durable Goods]]-B369)/B369</f>
        <v/>
      </c>
    </row>
    <row r="371">
      <c r="A371" s="74" t="n">
        <v>44743</v>
      </c>
      <c r="B371" s="75">
        <f>VLOOKUP(A371,Database!A:M,MATCH($A$1,Database!$A$1:$M$1,),)</f>
        <v/>
      </c>
      <c r="C371" s="113">
        <f>(Table53514[[#This Row],[Manufacturers'' New Orders: Durable Goods]]-B370)/B370</f>
        <v/>
      </c>
    </row>
    <row r="372">
      <c r="A372" s="74" t="n">
        <v>44774</v>
      </c>
      <c r="B372" s="75">
        <f>VLOOKUP(A372,Database!A:M,MATCH($A$1,Database!$A$1:$M$1,),)</f>
        <v/>
      </c>
      <c r="C372" s="113">
        <f>(Table53514[[#This Row],[Manufacturers'' New Orders: Durable Goods]]-B371)/B371</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tabColor rgb="FFFF0000"/>
    <outlinePr summaryBelow="1" summaryRight="1"/>
    <pageSetUpPr/>
  </sheetPr>
  <dimension ref="A1:C372"/>
  <sheetViews>
    <sheetView zoomScale="150" zoomScaleNormal="150" workbookViewId="0">
      <pane ySplit="5" topLeftCell="A343" activePane="bottomLeft" state="frozen"/>
      <selection pane="bottomLeft" activeCell="AA352" sqref="AA352"/>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row r="367">
      <c r="A367" s="74" t="n">
        <v>44621</v>
      </c>
      <c r="B367" s="75">
        <f>VLOOKUP(A367,Database!A:M,MATCH($A$1,Database!$A$1:$M$1,),)</f>
        <v/>
      </c>
      <c r="C367" s="113">
        <f>(Table535[[#This Row],[New Orders - Nondefense Capital Goods Excluding Aircraft]]-B366)/B366</f>
        <v/>
      </c>
    </row>
    <row r="368">
      <c r="A368" s="74" t="n">
        <v>44652</v>
      </c>
      <c r="B368" s="75">
        <f>VLOOKUP(A368,Database!A:M,MATCH($A$1,Database!$A$1:$M$1,),)</f>
        <v/>
      </c>
      <c r="C368" s="113">
        <f>(Table535[[#This Row],[New Orders - Nondefense Capital Goods Excluding Aircraft]]-B367)/B367</f>
        <v/>
      </c>
    </row>
    <row r="369">
      <c r="A369" s="74" t="n">
        <v>44682</v>
      </c>
      <c r="B369" s="75">
        <f>VLOOKUP(A369,Database!A:M,MATCH($A$1,Database!$A$1:$M$1,),)</f>
        <v/>
      </c>
      <c r="C369" s="113">
        <f>(Table535[[#This Row],[New Orders - Nondefense Capital Goods Excluding Aircraft]]-B368)/B368</f>
        <v/>
      </c>
    </row>
    <row r="370">
      <c r="A370" s="74" t="n">
        <v>44713</v>
      </c>
      <c r="B370" s="75">
        <f>VLOOKUP(A370,Database!A:M,MATCH($A$1,Database!$A$1:$M$1,),)</f>
        <v/>
      </c>
      <c r="C370" s="113">
        <f>(Table535[[#This Row],[New Orders - Nondefense Capital Goods Excluding Aircraft]]-B369)/B369</f>
        <v/>
      </c>
    </row>
    <row r="371">
      <c r="A371" s="74" t="n">
        <v>44743</v>
      </c>
      <c r="B371" s="75">
        <f>VLOOKUP(A371,Database!A:M,MATCH($A$1,Database!$A$1:$M$1,),)</f>
        <v/>
      </c>
      <c r="C371" s="113">
        <f>(Table535[[#This Row],[New Orders - Nondefense Capital Goods Excluding Aircraft]]-B370)/B370</f>
        <v/>
      </c>
    </row>
    <row r="372">
      <c r="A372" s="74" t="n">
        <v>44774</v>
      </c>
      <c r="B372" s="75">
        <f>VLOOKUP(A372,Database!A:M,MATCH($A$1,Database!$A$1:$M$1,),)</f>
        <v/>
      </c>
      <c r="C372" s="113">
        <f>(Table535[[#This Row],[New Orders - Nondefense Capital Goods Excluding Aircraft]]-B371)/B371</f>
        <v/>
      </c>
    </row>
  </sheetData>
  <conditionalFormatting sqref="B4:B5 C2:C3">
    <cfRule type="colorScale" priority="2">
      <colorScale>
        <cfvo type="min"/>
        <cfvo type="percentile" val="50"/>
        <cfvo type="max"/>
        <color rgb="FFF8696B"/>
        <color rgb="FFFFEB84"/>
        <color rgb="FF63BE7B"/>
      </colorScale>
    </cfRule>
  </conditionalFormatting>
  <conditionalFormatting sqref="C221:C3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72"/>
  <sheetViews>
    <sheetView zoomScale="160" zoomScaleNormal="160" workbookViewId="0">
      <pane ySplit="5" topLeftCell="A341" activePane="bottomLeft" state="frozen"/>
      <selection pane="bottomLeft" activeCell="A357" sqref="A357:C372"/>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1" t="inlineStr">
        <is>
          <t>ADXTNO</t>
        </is>
      </c>
      <c r="B1" s="124"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row r="367">
      <c r="A367" s="74" t="n">
        <v>44621</v>
      </c>
      <c r="B367" s="75">
        <f>VLOOKUP(A367,Database!A:M,MATCH($A$1,Database!$A$1:$M$1,),)</f>
        <v/>
      </c>
      <c r="C367" s="113">
        <f>(Table5351415[[#This Row],[New Orders ex Transport]]-B366)/B366</f>
        <v/>
      </c>
    </row>
    <row r="368">
      <c r="A368" s="74" t="n">
        <v>44652</v>
      </c>
      <c r="B368" s="75">
        <f>VLOOKUP(A368,Database!A:M,MATCH($A$1,Database!$A$1:$M$1,),)</f>
        <v/>
      </c>
      <c r="C368" s="113">
        <f>(Table5351415[[#This Row],[New Orders ex Transport]]-B367)/B367</f>
        <v/>
      </c>
    </row>
    <row r="369">
      <c r="A369" s="74" t="n">
        <v>44682</v>
      </c>
      <c r="B369" s="75">
        <f>VLOOKUP(A369,Database!A:M,MATCH($A$1,Database!$A$1:$M$1,),)</f>
        <v/>
      </c>
      <c r="C369" s="113">
        <f>(Table5351415[[#This Row],[New Orders ex Transport]]-B368)/B368</f>
        <v/>
      </c>
    </row>
    <row r="370">
      <c r="A370" s="74" t="n">
        <v>44713</v>
      </c>
      <c r="B370" s="75">
        <f>VLOOKUP(A370,Database!A:M,MATCH($A$1,Database!$A$1:$M$1,),)</f>
        <v/>
      </c>
      <c r="C370" s="113">
        <f>(Table5351415[[#This Row],[New Orders ex Transport]]-B369)/B369</f>
        <v/>
      </c>
    </row>
    <row r="371">
      <c r="A371" s="74" t="n">
        <v>44743</v>
      </c>
      <c r="B371" s="75">
        <f>VLOOKUP(A371,Database!A:M,MATCH($A$1,Database!$A$1:$M$1,),)</f>
        <v/>
      </c>
      <c r="C371" s="113">
        <f>(Table5351415[[#This Row],[New Orders ex Transport]]-B370)/B370</f>
        <v/>
      </c>
    </row>
    <row r="372">
      <c r="A372" s="74" t="n">
        <v>44774</v>
      </c>
      <c r="B372" s="75">
        <f>VLOOKUP(A372,Database!A:M,MATCH($A$1,Database!$A$1:$M$1,),)</f>
        <v/>
      </c>
      <c r="C372" s="113">
        <f>(Table5351415[[#This Row],[New Orders ex Transport]]-B371)/B371</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72"/>
  <sheetViews>
    <sheetView tabSelected="1" zoomScale="150" zoomScaleNormal="150" workbookViewId="0">
      <pane ySplit="5" topLeftCell="A345" activePane="bottomLeft" state="frozen"/>
      <selection activeCell="Q21" sqref="Q21"/>
      <selection pane="bottomLeft" activeCell="AA370" sqref="AA370"/>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3" min="4" max="240"/>
    <col width="10.83203125" customWidth="1" style="123" min="241" max="241"/>
    <col width="18.1640625" customWidth="1" style="123" min="242" max="242"/>
    <col width="15" customWidth="1" style="123" min="243" max="243"/>
    <col width="13" customWidth="1" style="123" min="244" max="247"/>
    <col width="17.5" customWidth="1" style="123" min="248" max="248"/>
    <col width="9.1640625" customWidth="1" style="123" min="249" max="496"/>
    <col width="10.83203125" customWidth="1" style="123" min="497" max="497"/>
    <col width="18.1640625" customWidth="1" style="123" min="498" max="498"/>
    <col width="15" customWidth="1" style="123" min="499" max="499"/>
    <col width="13" customWidth="1" style="123" min="500" max="503"/>
    <col width="17.5" customWidth="1" style="123" min="504" max="504"/>
    <col width="9.1640625" customWidth="1" style="123" min="505" max="752"/>
    <col width="10.83203125" customWidth="1" style="123" min="753" max="753"/>
    <col width="18.1640625" customWidth="1" style="123" min="754" max="754"/>
    <col width="15" customWidth="1" style="123" min="755" max="755"/>
    <col width="13" customWidth="1" style="123" min="756" max="759"/>
    <col width="17.5" customWidth="1" style="123" min="760" max="760"/>
    <col width="9.1640625" customWidth="1" style="123" min="761" max="1008"/>
    <col width="10.83203125" customWidth="1" style="123" min="1009" max="1009"/>
    <col width="18.1640625" customWidth="1" style="123" min="1010" max="1010"/>
    <col width="15" customWidth="1" style="123" min="1011" max="1011"/>
    <col width="13" customWidth="1" style="123" min="1012" max="1015"/>
    <col width="17.5" customWidth="1" style="123" min="1016" max="1016"/>
    <col width="9.1640625" customWidth="1" style="123" min="1017" max="1264"/>
    <col width="10.83203125" customWidth="1" style="123" min="1265" max="1265"/>
    <col width="18.1640625" customWidth="1" style="123" min="1266" max="1266"/>
    <col width="15" customWidth="1" style="123" min="1267" max="1267"/>
    <col width="13" customWidth="1" style="123" min="1268" max="1271"/>
    <col width="17.5" customWidth="1" style="123" min="1272" max="1272"/>
    <col width="9.1640625" customWidth="1" style="123" min="1273" max="1520"/>
    <col width="10.83203125" customWidth="1" style="123" min="1521" max="1521"/>
    <col width="18.1640625" customWidth="1" style="123" min="1522" max="1522"/>
    <col width="15" customWidth="1" style="123" min="1523" max="1523"/>
    <col width="13" customWidth="1" style="123" min="1524" max="1527"/>
    <col width="17.5" customWidth="1" style="123" min="1528" max="1528"/>
    <col width="9.1640625" customWidth="1" style="123" min="1529" max="1776"/>
    <col width="10.83203125" customWidth="1" style="123" min="1777" max="1777"/>
    <col width="18.1640625" customWidth="1" style="123" min="1778" max="1778"/>
    <col width="15" customWidth="1" style="123" min="1779" max="1779"/>
    <col width="13" customWidth="1" style="123" min="1780" max="1783"/>
    <col width="17.5" customWidth="1" style="123" min="1784" max="1784"/>
    <col width="9.1640625" customWidth="1" style="123" min="1785" max="2032"/>
    <col width="10.83203125" customWidth="1" style="123" min="2033" max="2033"/>
    <col width="18.1640625" customWidth="1" style="123" min="2034" max="2034"/>
    <col width="15" customWidth="1" style="123" min="2035" max="2035"/>
    <col width="13" customWidth="1" style="123" min="2036" max="2039"/>
    <col width="17.5" customWidth="1" style="123" min="2040" max="2040"/>
    <col width="9.1640625" customWidth="1" style="123" min="2041" max="2288"/>
    <col width="10.83203125" customWidth="1" style="123" min="2289" max="2289"/>
    <col width="18.1640625" customWidth="1" style="123" min="2290" max="2290"/>
    <col width="15" customWidth="1" style="123" min="2291" max="2291"/>
    <col width="13" customWidth="1" style="123" min="2292" max="2295"/>
    <col width="17.5" customWidth="1" style="123" min="2296" max="2296"/>
    <col width="9.1640625" customWidth="1" style="123" min="2297" max="2544"/>
    <col width="10.83203125" customWidth="1" style="123" min="2545" max="2545"/>
    <col width="18.1640625" customWidth="1" style="123" min="2546" max="2546"/>
    <col width="15" customWidth="1" style="123" min="2547" max="2547"/>
    <col width="13" customWidth="1" style="123" min="2548" max="2551"/>
    <col width="17.5" customWidth="1" style="123" min="2552" max="2552"/>
    <col width="9.1640625" customWidth="1" style="123" min="2553" max="2800"/>
    <col width="10.83203125" customWidth="1" style="123" min="2801" max="2801"/>
    <col width="18.1640625" customWidth="1" style="123" min="2802" max="2802"/>
    <col width="15" customWidth="1" style="123" min="2803" max="2803"/>
    <col width="13" customWidth="1" style="123" min="2804" max="2807"/>
    <col width="17.5" customWidth="1" style="123" min="2808" max="2808"/>
    <col width="9.1640625" customWidth="1" style="123" min="2809" max="3056"/>
    <col width="10.83203125" customWidth="1" style="123" min="3057" max="3057"/>
    <col width="18.1640625" customWidth="1" style="123" min="3058" max="3058"/>
    <col width="15" customWidth="1" style="123" min="3059" max="3059"/>
    <col width="13" customWidth="1" style="123" min="3060" max="3063"/>
    <col width="17.5" customWidth="1" style="123" min="3064" max="3064"/>
    <col width="9.1640625" customWidth="1" style="123" min="3065" max="3312"/>
    <col width="10.83203125" customWidth="1" style="123" min="3313" max="3313"/>
    <col width="18.1640625" customWidth="1" style="123" min="3314" max="3314"/>
    <col width="15" customWidth="1" style="123" min="3315" max="3315"/>
    <col width="13" customWidth="1" style="123" min="3316" max="3319"/>
    <col width="17.5" customWidth="1" style="123" min="3320" max="3320"/>
    <col width="9.1640625" customWidth="1" style="123" min="3321" max="3568"/>
    <col width="10.83203125" customWidth="1" style="123" min="3569" max="3569"/>
    <col width="18.1640625" customWidth="1" style="123" min="3570" max="3570"/>
    <col width="15" customWidth="1" style="123" min="3571" max="3571"/>
    <col width="13" customWidth="1" style="123" min="3572" max="3575"/>
    <col width="17.5" customWidth="1" style="123" min="3576" max="3576"/>
    <col width="9.1640625" customWidth="1" style="123" min="3577" max="3824"/>
    <col width="10.83203125" customWidth="1" style="123" min="3825" max="3825"/>
    <col width="18.1640625" customWidth="1" style="123" min="3826" max="3826"/>
    <col width="15" customWidth="1" style="123" min="3827" max="3827"/>
    <col width="13" customWidth="1" style="123" min="3828" max="3831"/>
    <col width="17.5" customWidth="1" style="123" min="3832" max="3832"/>
    <col width="9.1640625" customWidth="1" style="123" min="3833" max="4080"/>
    <col width="10.83203125" customWidth="1" style="123" min="4081" max="4081"/>
    <col width="18.1640625" customWidth="1" style="123" min="4082" max="4082"/>
    <col width="15" customWidth="1" style="123" min="4083" max="4083"/>
    <col width="13" customWidth="1" style="123" min="4084" max="4087"/>
    <col width="17.5" customWidth="1" style="123" min="4088" max="4088"/>
    <col width="9.1640625" customWidth="1" style="123" min="4089" max="4336"/>
    <col width="10.83203125" customWidth="1" style="123" min="4337" max="4337"/>
    <col width="18.1640625" customWidth="1" style="123" min="4338" max="4338"/>
    <col width="15" customWidth="1" style="123" min="4339" max="4339"/>
    <col width="13" customWidth="1" style="123" min="4340" max="4343"/>
    <col width="17.5" customWidth="1" style="123" min="4344" max="4344"/>
    <col width="9.1640625" customWidth="1" style="123" min="4345" max="4592"/>
    <col width="10.83203125" customWidth="1" style="123" min="4593" max="4593"/>
    <col width="18.1640625" customWidth="1" style="123" min="4594" max="4594"/>
    <col width="15" customWidth="1" style="123" min="4595" max="4595"/>
    <col width="13" customWidth="1" style="123" min="4596" max="4599"/>
    <col width="17.5" customWidth="1" style="123" min="4600" max="4600"/>
    <col width="9.1640625" customWidth="1" style="123" min="4601" max="4848"/>
    <col width="10.83203125" customWidth="1" style="123" min="4849" max="4849"/>
    <col width="18.1640625" customWidth="1" style="123" min="4850" max="4850"/>
    <col width="15" customWidth="1" style="123" min="4851" max="4851"/>
    <col width="13" customWidth="1" style="123" min="4852" max="4855"/>
    <col width="17.5" customWidth="1" style="123" min="4856" max="4856"/>
    <col width="9.1640625" customWidth="1" style="123" min="4857" max="5104"/>
    <col width="10.83203125" customWidth="1" style="123" min="5105" max="5105"/>
    <col width="18.1640625" customWidth="1" style="123" min="5106" max="5106"/>
    <col width="15" customWidth="1" style="123" min="5107" max="5107"/>
    <col width="13" customWidth="1" style="123" min="5108" max="5111"/>
    <col width="17.5" customWidth="1" style="123" min="5112" max="5112"/>
    <col width="9.1640625" customWidth="1" style="123" min="5113" max="5360"/>
    <col width="10.83203125" customWidth="1" style="123" min="5361" max="5361"/>
    <col width="18.1640625" customWidth="1" style="123" min="5362" max="5362"/>
    <col width="15" customWidth="1" style="123" min="5363" max="5363"/>
    <col width="13" customWidth="1" style="123" min="5364" max="5367"/>
    <col width="17.5" customWidth="1" style="123" min="5368" max="5368"/>
    <col width="9.1640625" customWidth="1" style="123" min="5369" max="5616"/>
    <col width="10.83203125" customWidth="1" style="123" min="5617" max="5617"/>
    <col width="18.1640625" customWidth="1" style="123" min="5618" max="5618"/>
    <col width="15" customWidth="1" style="123" min="5619" max="5619"/>
    <col width="13" customWidth="1" style="123" min="5620" max="5623"/>
    <col width="17.5" customWidth="1" style="123" min="5624" max="5624"/>
    <col width="9.1640625" customWidth="1" style="123" min="5625" max="5872"/>
    <col width="10.83203125" customWidth="1" style="123" min="5873" max="5873"/>
    <col width="18.1640625" customWidth="1" style="123" min="5874" max="5874"/>
    <col width="15" customWidth="1" style="123" min="5875" max="5875"/>
    <col width="13" customWidth="1" style="123" min="5876" max="5879"/>
    <col width="17.5" customWidth="1" style="123" min="5880" max="5880"/>
    <col width="9.1640625" customWidth="1" style="123" min="5881" max="6128"/>
    <col width="10.83203125" customWidth="1" style="123" min="6129" max="6129"/>
    <col width="18.1640625" customWidth="1" style="123" min="6130" max="6130"/>
    <col width="15" customWidth="1" style="123" min="6131" max="6131"/>
    <col width="13" customWidth="1" style="123" min="6132" max="6135"/>
    <col width="17.5" customWidth="1" style="123" min="6136" max="6136"/>
    <col width="9.1640625" customWidth="1" style="123" min="6137" max="6384"/>
    <col width="10.83203125" customWidth="1" style="123" min="6385" max="6385"/>
    <col width="18.1640625" customWidth="1" style="123" min="6386" max="6386"/>
    <col width="15" customWidth="1" style="123" min="6387" max="6387"/>
    <col width="13" customWidth="1" style="123" min="6388" max="6391"/>
    <col width="17.5" customWidth="1" style="123" min="6392" max="6392"/>
    <col width="9.1640625" customWidth="1" style="123" min="6393" max="6640"/>
    <col width="10.83203125" customWidth="1" style="123" min="6641" max="6641"/>
    <col width="18.1640625" customWidth="1" style="123" min="6642" max="6642"/>
    <col width="15" customWidth="1" style="123" min="6643" max="6643"/>
    <col width="13" customWidth="1" style="123" min="6644" max="6647"/>
    <col width="17.5" customWidth="1" style="123" min="6648" max="6648"/>
    <col width="9.1640625" customWidth="1" style="123" min="6649" max="6896"/>
    <col width="10.83203125" customWidth="1" style="123" min="6897" max="6897"/>
    <col width="18.1640625" customWidth="1" style="123" min="6898" max="6898"/>
    <col width="15" customWidth="1" style="123" min="6899" max="6899"/>
    <col width="13" customWidth="1" style="123" min="6900" max="6903"/>
    <col width="17.5" customWidth="1" style="123" min="6904" max="6904"/>
    <col width="9.1640625" customWidth="1" style="123" min="6905" max="7152"/>
    <col width="10.83203125" customWidth="1" style="123" min="7153" max="7153"/>
    <col width="18.1640625" customWidth="1" style="123" min="7154" max="7154"/>
    <col width="15" customWidth="1" style="123" min="7155" max="7155"/>
    <col width="13" customWidth="1" style="123" min="7156" max="7159"/>
    <col width="17.5" customWidth="1" style="123" min="7160" max="7160"/>
    <col width="9.1640625" customWidth="1" style="123" min="7161" max="7408"/>
    <col width="10.83203125" customWidth="1" style="123" min="7409" max="7409"/>
    <col width="18.1640625" customWidth="1" style="123" min="7410" max="7410"/>
    <col width="15" customWidth="1" style="123" min="7411" max="7411"/>
    <col width="13" customWidth="1" style="123" min="7412" max="7415"/>
    <col width="17.5" customWidth="1" style="123" min="7416" max="7416"/>
    <col width="9.1640625" customWidth="1" style="123" min="7417" max="7664"/>
    <col width="10.83203125" customWidth="1" style="123" min="7665" max="7665"/>
    <col width="18.1640625" customWidth="1" style="123" min="7666" max="7666"/>
    <col width="15" customWidth="1" style="123" min="7667" max="7667"/>
    <col width="13" customWidth="1" style="123" min="7668" max="7671"/>
    <col width="17.5" customWidth="1" style="123" min="7672" max="7672"/>
    <col width="9.1640625" customWidth="1" style="123" min="7673" max="7920"/>
    <col width="10.83203125" customWidth="1" style="123" min="7921" max="7921"/>
    <col width="18.1640625" customWidth="1" style="123" min="7922" max="7922"/>
    <col width="15" customWidth="1" style="123" min="7923" max="7923"/>
    <col width="13" customWidth="1" style="123" min="7924" max="7927"/>
    <col width="17.5" customWidth="1" style="123" min="7928" max="7928"/>
    <col width="9.1640625" customWidth="1" style="123" min="7929" max="8176"/>
    <col width="10.83203125" customWidth="1" style="123" min="8177" max="8177"/>
    <col width="18.1640625" customWidth="1" style="123" min="8178" max="8178"/>
    <col width="15" customWidth="1" style="123" min="8179" max="8179"/>
    <col width="13" customWidth="1" style="123" min="8180" max="8183"/>
    <col width="17.5" customWidth="1" style="123" min="8184" max="8184"/>
    <col width="9.1640625" customWidth="1" style="123" min="8185" max="8432"/>
    <col width="10.83203125" customWidth="1" style="123" min="8433" max="8433"/>
    <col width="18.1640625" customWidth="1" style="123" min="8434" max="8434"/>
    <col width="15" customWidth="1" style="123" min="8435" max="8435"/>
    <col width="13" customWidth="1" style="123" min="8436" max="8439"/>
    <col width="17.5" customWidth="1" style="123" min="8440" max="8440"/>
    <col width="9.1640625" customWidth="1" style="123" min="8441" max="8688"/>
    <col width="10.83203125" customWidth="1" style="123" min="8689" max="8689"/>
    <col width="18.1640625" customWidth="1" style="123" min="8690" max="8690"/>
    <col width="15" customWidth="1" style="123" min="8691" max="8691"/>
    <col width="13" customWidth="1" style="123" min="8692" max="8695"/>
    <col width="17.5" customWidth="1" style="123" min="8696" max="8696"/>
    <col width="9.1640625" customWidth="1" style="123" min="8697" max="8944"/>
    <col width="10.83203125" customWidth="1" style="123" min="8945" max="8945"/>
    <col width="18.1640625" customWidth="1" style="123" min="8946" max="8946"/>
    <col width="15" customWidth="1" style="123" min="8947" max="8947"/>
    <col width="13" customWidth="1" style="123" min="8948" max="8951"/>
    <col width="17.5" customWidth="1" style="123" min="8952" max="8952"/>
    <col width="9.1640625" customWidth="1" style="123" min="8953" max="9200"/>
    <col width="10.83203125" customWidth="1" style="123" min="9201" max="9201"/>
    <col width="18.1640625" customWidth="1" style="123" min="9202" max="9202"/>
    <col width="15" customWidth="1" style="123" min="9203" max="9203"/>
    <col width="13" customWidth="1" style="123" min="9204" max="9207"/>
    <col width="17.5" customWidth="1" style="123" min="9208" max="9208"/>
    <col width="9.1640625" customWidth="1" style="123" min="9209" max="9456"/>
    <col width="10.83203125" customWidth="1" style="123" min="9457" max="9457"/>
    <col width="18.1640625" customWidth="1" style="123" min="9458" max="9458"/>
    <col width="15" customWidth="1" style="123" min="9459" max="9459"/>
    <col width="13" customWidth="1" style="123" min="9460" max="9463"/>
    <col width="17.5" customWidth="1" style="123" min="9464" max="9464"/>
    <col width="9.1640625" customWidth="1" style="123" min="9465" max="9712"/>
    <col width="10.83203125" customWidth="1" style="123" min="9713" max="9713"/>
    <col width="18.1640625" customWidth="1" style="123" min="9714" max="9714"/>
    <col width="15" customWidth="1" style="123" min="9715" max="9715"/>
    <col width="13" customWidth="1" style="123" min="9716" max="9719"/>
    <col width="17.5" customWidth="1" style="123" min="9720" max="9720"/>
    <col width="9.1640625" customWidth="1" style="123" min="9721" max="9968"/>
    <col width="10.83203125" customWidth="1" style="123" min="9969" max="9969"/>
    <col width="18.1640625" customWidth="1" style="123" min="9970" max="9970"/>
    <col width="15" customWidth="1" style="123" min="9971" max="9971"/>
    <col width="13" customWidth="1" style="123" min="9972" max="9975"/>
    <col width="17.5" customWidth="1" style="123" min="9976" max="9976"/>
    <col width="9.1640625" customWidth="1" style="123" min="9977" max="10224"/>
    <col width="10.83203125" customWidth="1" style="123" min="10225" max="10225"/>
    <col width="18.1640625" customWidth="1" style="123" min="10226" max="10226"/>
    <col width="15" customWidth="1" style="123" min="10227" max="10227"/>
    <col width="13" customWidth="1" style="123" min="10228" max="10231"/>
    <col width="17.5" customWidth="1" style="123" min="10232" max="10232"/>
    <col width="9.1640625" customWidth="1" style="123" min="10233" max="10480"/>
    <col width="10.83203125" customWidth="1" style="123" min="10481" max="10481"/>
    <col width="18.1640625" customWidth="1" style="123" min="10482" max="10482"/>
    <col width="15" customWidth="1" style="123" min="10483" max="10483"/>
    <col width="13" customWidth="1" style="123" min="10484" max="10487"/>
    <col width="17.5" customWidth="1" style="123" min="10488" max="10488"/>
    <col width="9.1640625" customWidth="1" style="123" min="10489" max="10736"/>
    <col width="10.83203125" customWidth="1" style="123" min="10737" max="10737"/>
    <col width="18.1640625" customWidth="1" style="123" min="10738" max="10738"/>
    <col width="15" customWidth="1" style="123" min="10739" max="10739"/>
    <col width="13" customWidth="1" style="123" min="10740" max="10743"/>
    <col width="17.5" customWidth="1" style="123" min="10744" max="10744"/>
    <col width="9.1640625" customWidth="1" style="123" min="10745" max="10992"/>
    <col width="10.83203125" customWidth="1" style="123" min="10993" max="10993"/>
    <col width="18.1640625" customWidth="1" style="123" min="10994" max="10994"/>
    <col width="15" customWidth="1" style="123" min="10995" max="10995"/>
    <col width="13" customWidth="1" style="123" min="10996" max="10999"/>
    <col width="17.5" customWidth="1" style="123" min="11000" max="11000"/>
    <col width="9.1640625" customWidth="1" style="123" min="11001" max="11248"/>
    <col width="10.83203125" customWidth="1" style="123" min="11249" max="11249"/>
    <col width="18.1640625" customWidth="1" style="123" min="11250" max="11250"/>
    <col width="15" customWidth="1" style="123" min="11251" max="11251"/>
    <col width="13" customWidth="1" style="123" min="11252" max="11255"/>
    <col width="17.5" customWidth="1" style="123" min="11256" max="11256"/>
    <col width="9.1640625" customWidth="1" style="123" min="11257" max="11504"/>
    <col width="10.83203125" customWidth="1" style="123" min="11505" max="11505"/>
    <col width="18.1640625" customWidth="1" style="123" min="11506" max="11506"/>
    <col width="15" customWidth="1" style="123" min="11507" max="11507"/>
    <col width="13" customWidth="1" style="123" min="11508" max="11511"/>
    <col width="17.5" customWidth="1" style="123" min="11512" max="11512"/>
    <col width="9.1640625" customWidth="1" style="123" min="11513" max="11760"/>
    <col width="10.83203125" customWidth="1" style="123" min="11761" max="11761"/>
    <col width="18.1640625" customWidth="1" style="123" min="11762" max="11762"/>
    <col width="15" customWidth="1" style="123" min="11763" max="11763"/>
    <col width="13" customWidth="1" style="123" min="11764" max="11767"/>
    <col width="17.5" customWidth="1" style="123" min="11768" max="11768"/>
    <col width="9.1640625" customWidth="1" style="123" min="11769" max="12016"/>
    <col width="10.83203125" customWidth="1" style="123" min="12017" max="12017"/>
    <col width="18.1640625" customWidth="1" style="123" min="12018" max="12018"/>
    <col width="15" customWidth="1" style="123" min="12019" max="12019"/>
    <col width="13" customWidth="1" style="123" min="12020" max="12023"/>
    <col width="17.5" customWidth="1" style="123" min="12024" max="12024"/>
    <col width="9.1640625" customWidth="1" style="123" min="12025" max="12272"/>
    <col width="10.83203125" customWidth="1" style="123" min="12273" max="12273"/>
    <col width="18.1640625" customWidth="1" style="123" min="12274" max="12274"/>
    <col width="15" customWidth="1" style="123" min="12275" max="12275"/>
    <col width="13" customWidth="1" style="123" min="12276" max="12279"/>
    <col width="17.5" customWidth="1" style="123" min="12280" max="12280"/>
    <col width="9.1640625" customWidth="1" style="123" min="12281" max="12528"/>
    <col width="10.83203125" customWidth="1" style="123" min="12529" max="12529"/>
    <col width="18.1640625" customWidth="1" style="123" min="12530" max="12530"/>
    <col width="15" customWidth="1" style="123" min="12531" max="12531"/>
    <col width="13" customWidth="1" style="123" min="12532" max="12535"/>
    <col width="17.5" customWidth="1" style="123" min="12536" max="12536"/>
    <col width="9.1640625" customWidth="1" style="123" min="12537" max="12784"/>
    <col width="10.83203125" customWidth="1" style="123" min="12785" max="12785"/>
    <col width="18.1640625" customWidth="1" style="123" min="12786" max="12786"/>
    <col width="15" customWidth="1" style="123" min="12787" max="12787"/>
    <col width="13" customWidth="1" style="123" min="12788" max="12791"/>
    <col width="17.5" customWidth="1" style="123" min="12792" max="12792"/>
    <col width="9.1640625" customWidth="1" style="123" min="12793" max="13040"/>
    <col width="10.83203125" customWidth="1" style="123" min="13041" max="13041"/>
    <col width="18.1640625" customWidth="1" style="123" min="13042" max="13042"/>
    <col width="15" customWidth="1" style="123" min="13043" max="13043"/>
    <col width="13" customWidth="1" style="123" min="13044" max="13047"/>
    <col width="17.5" customWidth="1" style="123" min="13048" max="13048"/>
    <col width="9.1640625" customWidth="1" style="123" min="13049" max="13296"/>
    <col width="10.83203125" customWidth="1" style="123" min="13297" max="13297"/>
    <col width="18.1640625" customWidth="1" style="123" min="13298" max="13298"/>
    <col width="15" customWidth="1" style="123" min="13299" max="13299"/>
    <col width="13" customWidth="1" style="123" min="13300" max="13303"/>
    <col width="17.5" customWidth="1" style="123" min="13304" max="13304"/>
    <col width="9.1640625" customWidth="1" style="123" min="13305" max="13552"/>
    <col width="10.83203125" customWidth="1" style="123" min="13553" max="13553"/>
    <col width="18.1640625" customWidth="1" style="123" min="13554" max="13554"/>
    <col width="15" customWidth="1" style="123" min="13555" max="13555"/>
    <col width="13" customWidth="1" style="123" min="13556" max="13559"/>
    <col width="17.5" customWidth="1" style="123" min="13560" max="13560"/>
    <col width="9.1640625" customWidth="1" style="123" min="13561" max="13808"/>
    <col width="10.83203125" customWidth="1" style="123" min="13809" max="13809"/>
    <col width="18.1640625" customWidth="1" style="123" min="13810" max="13810"/>
    <col width="15" customWidth="1" style="123" min="13811" max="13811"/>
    <col width="13" customWidth="1" style="123" min="13812" max="13815"/>
    <col width="17.5" customWidth="1" style="123" min="13816" max="13816"/>
    <col width="9.1640625" customWidth="1" style="123" min="13817" max="14064"/>
    <col width="10.83203125" customWidth="1" style="123" min="14065" max="14065"/>
    <col width="18.1640625" customWidth="1" style="123" min="14066" max="14066"/>
    <col width="15" customWidth="1" style="123" min="14067" max="14067"/>
    <col width="13" customWidth="1" style="123" min="14068" max="14071"/>
    <col width="17.5" customWidth="1" style="123" min="14072" max="14072"/>
    <col width="9.1640625" customWidth="1" style="123" min="14073" max="14320"/>
    <col width="10.83203125" customWidth="1" style="123" min="14321" max="14321"/>
    <col width="18.1640625" customWidth="1" style="123" min="14322" max="14322"/>
    <col width="15" customWidth="1" style="123" min="14323" max="14323"/>
    <col width="13" customWidth="1" style="123" min="14324" max="14327"/>
    <col width="17.5" customWidth="1" style="123" min="14328" max="14328"/>
    <col width="9.1640625" customWidth="1" style="123" min="14329" max="14576"/>
    <col width="10.83203125" customWidth="1" style="123" min="14577" max="14577"/>
    <col width="18.1640625" customWidth="1" style="123" min="14578" max="14578"/>
    <col width="15" customWidth="1" style="123" min="14579" max="14579"/>
    <col width="13" customWidth="1" style="123" min="14580" max="14583"/>
    <col width="17.5" customWidth="1" style="123" min="14584" max="14584"/>
    <col width="9.1640625" customWidth="1" style="123" min="14585" max="14832"/>
    <col width="10.83203125" customWidth="1" style="123" min="14833" max="14833"/>
    <col width="18.1640625" customWidth="1" style="123" min="14834" max="14834"/>
    <col width="15" customWidth="1" style="123" min="14835" max="14835"/>
    <col width="13" customWidth="1" style="123" min="14836" max="14839"/>
    <col width="17.5" customWidth="1" style="123" min="14840" max="14840"/>
    <col width="9.1640625" customWidth="1" style="123" min="14841" max="15088"/>
    <col width="10.83203125" customWidth="1" style="123" min="15089" max="15089"/>
    <col width="18.1640625" customWidth="1" style="123" min="15090" max="15090"/>
    <col width="15" customWidth="1" style="123" min="15091" max="15091"/>
    <col width="13" customWidth="1" style="123" min="15092" max="15095"/>
    <col width="17.5" customWidth="1" style="123" min="15096" max="15096"/>
    <col width="9.1640625" customWidth="1" style="123" min="15097" max="15344"/>
    <col width="10.83203125" customWidth="1" style="123" min="15345" max="15345"/>
    <col width="18.1640625" customWidth="1" style="123" min="15346" max="15346"/>
    <col width="15" customWidth="1" style="123" min="15347" max="15347"/>
    <col width="13" customWidth="1" style="123" min="15348" max="15351"/>
    <col width="17.5" customWidth="1" style="123" min="15352" max="15352"/>
    <col width="9.1640625" customWidth="1" style="123" min="15353" max="15600"/>
    <col width="10.83203125" customWidth="1" style="123" min="15601" max="15601"/>
    <col width="18.1640625" customWidth="1" style="123" min="15602" max="15602"/>
    <col width="15" customWidth="1" style="123" min="15603" max="15603"/>
    <col width="13" customWidth="1" style="123" min="15604" max="15607"/>
    <col width="17.5" customWidth="1" style="123" min="15608" max="15608"/>
    <col width="9.1640625" customWidth="1" style="123" min="15609" max="15856"/>
    <col width="10.83203125" customWidth="1" style="123" min="15857" max="15857"/>
    <col width="18.1640625" customWidth="1" style="123" min="15858" max="15858"/>
    <col width="15" customWidth="1" style="123" min="15859" max="15859"/>
    <col width="13" customWidth="1" style="123" min="15860" max="15863"/>
    <col width="17.5" customWidth="1" style="123" min="15864" max="15864"/>
    <col width="9.1640625" customWidth="1" style="123" min="15865" max="16112"/>
    <col width="10.83203125" customWidth="1" style="123" min="16113" max="16113"/>
    <col width="18.1640625" customWidth="1" style="123" min="16114" max="16114"/>
    <col width="15" customWidth="1" style="123" min="16115" max="16115"/>
    <col width="13" customWidth="1" style="123" min="16116" max="16119"/>
    <col width="17.5" customWidth="1" style="123" min="16120" max="16120"/>
    <col width="9.1640625" customWidth="1" style="123" min="16121" max="16384"/>
  </cols>
  <sheetData>
    <row r="1">
      <c r="A1" s="85" t="inlineStr">
        <is>
          <t>AMTUNO</t>
        </is>
      </c>
      <c r="B1" s="124">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row r="367">
      <c r="A367" s="74" t="n">
        <v>44621</v>
      </c>
      <c r="B367" s="75">
        <f>VLOOKUP(A367,Database!A:M,MATCH($A$1,Database!$A$1:$M$1,),)</f>
        <v/>
      </c>
      <c r="C367" s="113">
        <f>(Table535141516[[#This Row],[Durable Goods]]-B366)/B366</f>
        <v/>
      </c>
    </row>
    <row r="368">
      <c r="A368" s="74" t="n">
        <v>44652</v>
      </c>
      <c r="B368" s="75">
        <f>VLOOKUP(A368,Database!A:M,MATCH($A$1,Database!$A$1:$M$1,),)</f>
        <v/>
      </c>
      <c r="C368" s="113">
        <f>(Table535141516[[#This Row],[Durable Goods]]-B367)/B367</f>
        <v/>
      </c>
    </row>
    <row r="369">
      <c r="A369" s="74" t="n">
        <v>44682</v>
      </c>
      <c r="B369" s="75">
        <f>VLOOKUP(A369,Database!A:M,MATCH($A$1,Database!$A$1:$M$1,),)</f>
        <v/>
      </c>
      <c r="C369" s="113">
        <f>(Table535141516[[#This Row],[Durable Goods]]-B368)/B368</f>
        <v/>
      </c>
    </row>
    <row r="370">
      <c r="A370" s="74" t="n">
        <v>44713</v>
      </c>
      <c r="B370" s="75">
        <f>VLOOKUP(A370,Database!A:M,MATCH($A$1,Database!$A$1:$M$1,),)</f>
        <v/>
      </c>
      <c r="C370" s="113">
        <f>(Table535141516[[#This Row],[Durable Goods]]-B369)/B369</f>
        <v/>
      </c>
    </row>
    <row r="371">
      <c r="A371" s="74" t="n">
        <v>44743</v>
      </c>
      <c r="B371" s="75">
        <f>VLOOKUP(A371,Database!A:M,MATCH($A$1,Database!$A$1:$M$1,),)</f>
        <v/>
      </c>
      <c r="C371" s="113">
        <f>(Table535141516[[#This Row],[Durable Goods]]-B370)/B370</f>
        <v/>
      </c>
    </row>
    <row r="372">
      <c r="A372" s="74" t="n">
        <v>44774</v>
      </c>
      <c r="B372" s="75">
        <f>VLOOKUP(A372,Database!A:M,MATCH($A$1,Database!$A$1:$M$1,),)</f>
        <v/>
      </c>
      <c r="C372" s="113">
        <f>(Table535141516[[#This Row],[Durable Goods]]-B371)/B371</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2022-10-03T23:18:54Z</dcterms:modified>
  <cp:lastModifiedBy>Mark Mukherjee</cp:lastModifiedBy>
</cp:coreProperties>
</file>