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E5A2236E-97FE-48A6-99A2-A8F98DFD3A39}" xr6:coauthVersionLast="47" xr6:coauthVersionMax="47" xr10:uidLastSave="{00000000-0000-0000-0000-000000000000}"/>
  <bookViews>
    <workbookView xWindow="-22695" yWindow="-21720" windowWidth="51840" windowHeight="21120"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5" i="8" l="1"/>
  <c r="C375" i="8"/>
  <c r="B375" i="7"/>
  <c r="C375" i="7"/>
  <c r="B375" i="6"/>
  <c r="C375" i="6"/>
  <c r="B375" i="5"/>
  <c r="C375" i="5"/>
  <c r="C89" i="4"/>
  <c r="D89" i="4" s="1"/>
  <c r="E89" i="4"/>
  <c r="F89" i="4" s="1"/>
  <c r="G89" i="4"/>
  <c r="H89" i="4" s="1"/>
  <c r="I89" i="4"/>
  <c r="J89" i="4" s="1"/>
  <c r="K89" i="4"/>
  <c r="L89" i="4" s="1"/>
  <c r="M89" i="4"/>
  <c r="N89" i="4"/>
  <c r="O89" i="4"/>
  <c r="P89" i="4" s="1"/>
  <c r="Q89" i="4"/>
  <c r="R89" i="4" s="1"/>
  <c r="S89" i="4"/>
  <c r="T89" i="4" s="1"/>
  <c r="U89" i="4"/>
  <c r="V89" i="4" s="1"/>
  <c r="B374" i="8"/>
  <c r="B373" i="8"/>
  <c r="C374" i="8" s="1"/>
  <c r="B372" i="8"/>
  <c r="C373" i="8" s="1"/>
  <c r="B371" i="8"/>
  <c r="B370" i="8"/>
  <c r="C371" i="8" s="1"/>
  <c r="C369" i="8"/>
  <c r="B369" i="8"/>
  <c r="C370" i="8" s="1"/>
  <c r="C368" i="8"/>
  <c r="B368" i="8"/>
  <c r="C367" i="8"/>
  <c r="B367" i="8"/>
  <c r="B366" i="8"/>
  <c r="B365" i="8"/>
  <c r="B364" i="8"/>
  <c r="C365" i="8" s="1"/>
  <c r="B363" i="8"/>
  <c r="B362" i="8"/>
  <c r="C363" i="8" s="1"/>
  <c r="B361" i="8"/>
  <c r="C362" i="8" s="1"/>
  <c r="B360" i="8"/>
  <c r="B359" i="8"/>
  <c r="C360" i="8" s="1"/>
  <c r="B358" i="8"/>
  <c r="B357" i="8"/>
  <c r="C358" i="8" s="1"/>
  <c r="C356" i="8"/>
  <c r="B356" i="8"/>
  <c r="C357" i="8" s="1"/>
  <c r="B355" i="8"/>
  <c r="B354" i="8"/>
  <c r="C355" i="8" s="1"/>
  <c r="B353" i="8"/>
  <c r="B352" i="8"/>
  <c r="C353" i="8" s="1"/>
  <c r="B351" i="8"/>
  <c r="C352" i="8" s="1"/>
  <c r="B350" i="8"/>
  <c r="B349" i="8"/>
  <c r="C350" i="8" s="1"/>
  <c r="B348" i="8"/>
  <c r="C349" i="8" s="1"/>
  <c r="B347" i="8"/>
  <c r="B346" i="8"/>
  <c r="C347" i="8" s="1"/>
  <c r="C345" i="8"/>
  <c r="B345" i="8"/>
  <c r="C346" i="8" s="1"/>
  <c r="C344" i="8"/>
  <c r="B344" i="8"/>
  <c r="C343" i="8"/>
  <c r="B343" i="8"/>
  <c r="B342" i="8"/>
  <c r="B341" i="8"/>
  <c r="C342" i="8" s="1"/>
  <c r="B340" i="8"/>
  <c r="C341" i="8" s="1"/>
  <c r="B339" i="8"/>
  <c r="B338" i="8"/>
  <c r="C339" i="8" s="1"/>
  <c r="B337" i="8"/>
  <c r="C338" i="8" s="1"/>
  <c r="B336" i="8"/>
  <c r="C337" i="8" s="1"/>
  <c r="B335" i="8"/>
  <c r="C336" i="8" s="1"/>
  <c r="B334" i="8"/>
  <c r="B333" i="8"/>
  <c r="C334" i="8" s="1"/>
  <c r="C332" i="8"/>
  <c r="B332" i="8"/>
  <c r="C333" i="8" s="1"/>
  <c r="B331" i="8"/>
  <c r="B330" i="8"/>
  <c r="C331" i="8" s="1"/>
  <c r="B329" i="8"/>
  <c r="B328" i="8"/>
  <c r="C329" i="8" s="1"/>
  <c r="B327" i="8"/>
  <c r="C328" i="8" s="1"/>
  <c r="B326" i="8"/>
  <c r="C327" i="8" s="1"/>
  <c r="B325" i="8"/>
  <c r="C326" i="8" s="1"/>
  <c r="B324" i="8"/>
  <c r="C325" i="8" s="1"/>
  <c r="B323" i="8"/>
  <c r="B322" i="8"/>
  <c r="C323" i="8" s="1"/>
  <c r="C321" i="8"/>
  <c r="B321" i="8"/>
  <c r="C322" i="8" s="1"/>
  <c r="C320" i="8"/>
  <c r="B320" i="8"/>
  <c r="C319" i="8"/>
  <c r="B319" i="8"/>
  <c r="B318" i="8"/>
  <c r="B317" i="8"/>
  <c r="C318" i="8" s="1"/>
  <c r="B316" i="8"/>
  <c r="C317" i="8" s="1"/>
  <c r="B315" i="8"/>
  <c r="B314" i="8"/>
  <c r="C315" i="8" s="1"/>
  <c r="B313" i="8"/>
  <c r="C314" i="8" s="1"/>
  <c r="B312" i="8"/>
  <c r="C313" i="8" s="1"/>
  <c r="B311" i="8"/>
  <c r="C312" i="8" s="1"/>
  <c r="B310" i="8"/>
  <c r="B309" i="8"/>
  <c r="C310" i="8" s="1"/>
  <c r="C308" i="8"/>
  <c r="B308" i="8"/>
  <c r="C309" i="8" s="1"/>
  <c r="B307" i="8"/>
  <c r="B306" i="8"/>
  <c r="C307" i="8" s="1"/>
  <c r="B305" i="8"/>
  <c r="B304" i="8"/>
  <c r="C305" i="8" s="1"/>
  <c r="B303" i="8"/>
  <c r="C304" i="8" s="1"/>
  <c r="B302" i="8"/>
  <c r="B301" i="8"/>
  <c r="C302" i="8" s="1"/>
  <c r="B300" i="8"/>
  <c r="C301" i="8" s="1"/>
  <c r="B299" i="8"/>
  <c r="B298" i="8"/>
  <c r="C299" i="8" s="1"/>
  <c r="C297" i="8"/>
  <c r="B297" i="8"/>
  <c r="C296" i="8"/>
  <c r="B296" i="8"/>
  <c r="C295" i="8"/>
  <c r="B295" i="8"/>
  <c r="B294" i="8"/>
  <c r="B293" i="8"/>
  <c r="C294" i="8" s="1"/>
  <c r="B292" i="8"/>
  <c r="C293" i="8" s="1"/>
  <c r="B291" i="8"/>
  <c r="B290" i="8"/>
  <c r="C291" i="8" s="1"/>
  <c r="B289" i="8"/>
  <c r="C290" i="8" s="1"/>
  <c r="B288" i="8"/>
  <c r="B287" i="8"/>
  <c r="C288" i="8" s="1"/>
  <c r="B286" i="8"/>
  <c r="B285" i="8"/>
  <c r="C286" i="8" s="1"/>
  <c r="C284" i="8"/>
  <c r="B284" i="8"/>
  <c r="C285" i="8" s="1"/>
  <c r="B283" i="8"/>
  <c r="B282" i="8"/>
  <c r="C283" i="8" s="1"/>
  <c r="B281" i="8"/>
  <c r="B280" i="8"/>
  <c r="C281" i="8" s="1"/>
  <c r="B279" i="8"/>
  <c r="B278" i="8"/>
  <c r="B277" i="8"/>
  <c r="C278" i="8" s="1"/>
  <c r="B276" i="8"/>
  <c r="C277" i="8" s="1"/>
  <c r="B275" i="8"/>
  <c r="B274" i="8"/>
  <c r="C275" i="8" s="1"/>
  <c r="C273" i="8"/>
  <c r="B273" i="8"/>
  <c r="C274" i="8" s="1"/>
  <c r="C272" i="8"/>
  <c r="B272" i="8"/>
  <c r="C271" i="8"/>
  <c r="B271" i="8"/>
  <c r="B270" i="8"/>
  <c r="B269" i="8"/>
  <c r="C270" i="8" s="1"/>
  <c r="B268" i="8"/>
  <c r="B267" i="8"/>
  <c r="C266" i="8"/>
  <c r="B266" i="8"/>
  <c r="C267" i="8" s="1"/>
  <c r="C265" i="8"/>
  <c r="B265" i="8"/>
  <c r="C264" i="8"/>
  <c r="B264" i="8"/>
  <c r="B263" i="8"/>
  <c r="B262" i="8"/>
  <c r="C263" i="8" s="1"/>
  <c r="B261" i="8"/>
  <c r="C262" i="8" s="1"/>
  <c r="B260" i="8"/>
  <c r="C259" i="8"/>
  <c r="B259" i="8"/>
  <c r="C260" i="8" s="1"/>
  <c r="B258" i="8"/>
  <c r="B257" i="8"/>
  <c r="C258" i="8" s="1"/>
  <c r="B256" i="8"/>
  <c r="B255" i="8"/>
  <c r="C256" i="8" s="1"/>
  <c r="B254" i="8"/>
  <c r="C255" i="8" s="1"/>
  <c r="B253" i="8"/>
  <c r="B252" i="8"/>
  <c r="C253" i="8" s="1"/>
  <c r="B251" i="8"/>
  <c r="C252" i="8" s="1"/>
  <c r="B250" i="8"/>
  <c r="C249" i="8"/>
  <c r="B249" i="8"/>
  <c r="C250" i="8" s="1"/>
  <c r="B248" i="8"/>
  <c r="B247" i="8"/>
  <c r="C248" i="8" s="1"/>
  <c r="B246" i="8"/>
  <c r="B245" i="8"/>
  <c r="C246" i="8" s="1"/>
  <c r="B244" i="8"/>
  <c r="C243" i="8"/>
  <c r="B243" i="8"/>
  <c r="C244" i="8" s="1"/>
  <c r="C242" i="8"/>
  <c r="B242" i="8"/>
  <c r="B241" i="8"/>
  <c r="B240" i="8"/>
  <c r="C241" i="8" s="1"/>
  <c r="B239" i="8"/>
  <c r="B238" i="8"/>
  <c r="C239" i="8" s="1"/>
  <c r="B237" i="8"/>
  <c r="C236" i="8"/>
  <c r="B236" i="8"/>
  <c r="C237" i="8" s="1"/>
  <c r="C235" i="8"/>
  <c r="B235" i="8"/>
  <c r="B234" i="8"/>
  <c r="B233" i="8"/>
  <c r="C234" i="8" s="1"/>
  <c r="B232" i="8"/>
  <c r="C233" i="8" s="1"/>
  <c r="B231" i="8"/>
  <c r="B230" i="8"/>
  <c r="C231" i="8" s="1"/>
  <c r="C229" i="8"/>
  <c r="B229" i="8"/>
  <c r="C230" i="8" s="1"/>
  <c r="C228" i="8"/>
  <c r="B228" i="8"/>
  <c r="B227" i="8"/>
  <c r="B226" i="8"/>
  <c r="C227" i="8" s="1"/>
  <c r="B225" i="8"/>
  <c r="C226" i="8" s="1"/>
  <c r="B224" i="8"/>
  <c r="C225" i="8" s="1"/>
  <c r="B223" i="8"/>
  <c r="C224" i="8" s="1"/>
  <c r="C222" i="8"/>
  <c r="B222" i="8"/>
  <c r="C223" i="8" s="1"/>
  <c r="B221" i="8"/>
  <c r="B220" i="8"/>
  <c r="B219" i="8"/>
  <c r="C220" i="8" s="1"/>
  <c r="B218" i="8"/>
  <c r="C219" i="8" s="1"/>
  <c r="B217" i="8"/>
  <c r="C218" i="8" s="1"/>
  <c r="B216" i="8"/>
  <c r="C217" i="8" s="1"/>
  <c r="B215" i="8"/>
  <c r="C216" i="8" s="1"/>
  <c r="B214" i="8"/>
  <c r="B213" i="8"/>
  <c r="C214" i="8" s="1"/>
  <c r="B212" i="8"/>
  <c r="C213" i="8" s="1"/>
  <c r="B211" i="8"/>
  <c r="B210" i="8"/>
  <c r="B209" i="8"/>
  <c r="C210" i="8" s="1"/>
  <c r="B208" i="8"/>
  <c r="C209" i="8" s="1"/>
  <c r="C207" i="8"/>
  <c r="B207" i="8"/>
  <c r="C208" i="8" s="1"/>
  <c r="B206" i="8"/>
  <c r="B205" i="8"/>
  <c r="C206" i="8" s="1"/>
  <c r="B204" i="8"/>
  <c r="B203" i="8"/>
  <c r="B202" i="8"/>
  <c r="C203" i="8" s="1"/>
  <c r="B201" i="8"/>
  <c r="C200" i="8"/>
  <c r="B200" i="8"/>
  <c r="C201" i="8" s="1"/>
  <c r="B199" i="8"/>
  <c r="B198" i="8"/>
  <c r="C199" i="8" s="1"/>
  <c r="B197" i="8"/>
  <c r="B196" i="8"/>
  <c r="C197" i="8" s="1"/>
  <c r="B195" i="8"/>
  <c r="B194" i="8"/>
  <c r="C195" i="8" s="1"/>
  <c r="C193" i="8"/>
  <c r="B193" i="8"/>
  <c r="C194" i="8" s="1"/>
  <c r="C192" i="8"/>
  <c r="B192" i="8"/>
  <c r="B191" i="8"/>
  <c r="B190" i="8"/>
  <c r="C191" i="8" s="1"/>
  <c r="B189" i="8"/>
  <c r="C190" i="8" s="1"/>
  <c r="B188" i="8"/>
  <c r="B187" i="8"/>
  <c r="C188" i="8" s="1"/>
  <c r="B186" i="8"/>
  <c r="C187" i="8" s="1"/>
  <c r="B185" i="8"/>
  <c r="C186" i="8" s="1"/>
  <c r="B184" i="8"/>
  <c r="B183" i="8"/>
  <c r="C184" i="8" s="1"/>
  <c r="B182" i="8"/>
  <c r="B181" i="8"/>
  <c r="B180" i="8"/>
  <c r="C181" i="8" s="1"/>
  <c r="B179" i="8"/>
  <c r="C180" i="8" s="1"/>
  <c r="B178" i="8"/>
  <c r="C177" i="8"/>
  <c r="B177" i="8"/>
  <c r="C178" i="8" s="1"/>
  <c r="B176" i="8"/>
  <c r="B175" i="8"/>
  <c r="B174" i="8"/>
  <c r="C175" i="8" s="1"/>
  <c r="B173" i="8"/>
  <c r="C174" i="8" s="1"/>
  <c r="B172" i="8"/>
  <c r="C173" i="8" s="1"/>
  <c r="C171" i="8"/>
  <c r="B171" i="8"/>
  <c r="C172" i="8" s="1"/>
  <c r="B170" i="8"/>
  <c r="B169" i="8"/>
  <c r="C170" i="8" s="1"/>
  <c r="B168" i="8"/>
  <c r="B167" i="8"/>
  <c r="B166" i="8"/>
  <c r="C167" i="8" s="1"/>
  <c r="B165" i="8"/>
  <c r="B164" i="8"/>
  <c r="C165" i="8" s="1"/>
  <c r="C163" i="8"/>
  <c r="B163" i="8"/>
  <c r="C164" i="8" s="1"/>
  <c r="B162" i="8"/>
  <c r="B161" i="8"/>
  <c r="B160" i="8"/>
  <c r="C161" i="8" s="1"/>
  <c r="B159" i="8"/>
  <c r="B158" i="8"/>
  <c r="C159" i="8" s="1"/>
  <c r="B157" i="8"/>
  <c r="C158" i="8" s="1"/>
  <c r="B156" i="8"/>
  <c r="C156" i="8" s="1"/>
  <c r="B155" i="8"/>
  <c r="B154" i="8"/>
  <c r="C155" i="8" s="1"/>
  <c r="B153" i="8"/>
  <c r="B152" i="8"/>
  <c r="B151" i="8"/>
  <c r="C152" i="8" s="1"/>
  <c r="B150" i="8"/>
  <c r="C151" i="8" s="1"/>
  <c r="B149" i="8"/>
  <c r="B148" i="8"/>
  <c r="B147" i="8"/>
  <c r="C148" i="8" s="1"/>
  <c r="B146" i="8"/>
  <c r="B145" i="8"/>
  <c r="C146" i="8" s="1"/>
  <c r="B144" i="8"/>
  <c r="C145" i="8" s="1"/>
  <c r="B143" i="8"/>
  <c r="C144" i="8" s="1"/>
  <c r="B142" i="8"/>
  <c r="B141" i="8"/>
  <c r="B140" i="8"/>
  <c r="C141" i="8" s="1"/>
  <c r="B139" i="8"/>
  <c r="C140" i="8" s="1"/>
  <c r="B138" i="8"/>
  <c r="B137" i="8"/>
  <c r="C138" i="8" s="1"/>
  <c r="B136" i="8"/>
  <c r="C137" i="8" s="1"/>
  <c r="B135" i="8"/>
  <c r="C136" i="8" s="1"/>
  <c r="B134" i="8"/>
  <c r="C135" i="8" s="1"/>
  <c r="B133" i="8"/>
  <c r="C134" i="8" s="1"/>
  <c r="B132" i="8"/>
  <c r="B131" i="8"/>
  <c r="B130" i="8"/>
  <c r="C131" i="8" s="1"/>
  <c r="B129" i="8"/>
  <c r="C130" i="8" s="1"/>
  <c r="C128" i="8"/>
  <c r="B128" i="8"/>
  <c r="C129" i="8" s="1"/>
  <c r="B127" i="8"/>
  <c r="B126" i="8"/>
  <c r="C127" i="8" s="1"/>
  <c r="B125" i="8"/>
  <c r="C126" i="8" s="1"/>
  <c r="B124" i="8"/>
  <c r="C125" i="8" s="1"/>
  <c r="B123" i="8"/>
  <c r="B122" i="8"/>
  <c r="C123" i="8" s="1"/>
  <c r="B121" i="8"/>
  <c r="C122" i="8" s="1"/>
  <c r="B120" i="8"/>
  <c r="C121" i="8" s="1"/>
  <c r="B119" i="8"/>
  <c r="B118" i="8"/>
  <c r="C119" i="8" s="1"/>
  <c r="B117" i="8"/>
  <c r="B116" i="8"/>
  <c r="C117" i="8" s="1"/>
  <c r="B115" i="8"/>
  <c r="C116" i="8" s="1"/>
  <c r="C114" i="8"/>
  <c r="B114" i="8"/>
  <c r="C115" i="8" s="1"/>
  <c r="B113" i="8"/>
  <c r="B112" i="8"/>
  <c r="B111" i="8"/>
  <c r="C112" i="8" s="1"/>
  <c r="B110" i="8"/>
  <c r="C111" i="8" s="1"/>
  <c r="B109" i="8"/>
  <c r="C110" i="8" s="1"/>
  <c r="B108" i="8"/>
  <c r="C109" i="8" s="1"/>
  <c r="B107" i="8"/>
  <c r="C108" i="8" s="1"/>
  <c r="B106" i="8"/>
  <c r="B105" i="8"/>
  <c r="C106" i="8" s="1"/>
  <c r="B104" i="8"/>
  <c r="C105" i="8" s="1"/>
  <c r="B103" i="8"/>
  <c r="B102" i="8"/>
  <c r="B101" i="8"/>
  <c r="C102" i="8" s="1"/>
  <c r="B100" i="8"/>
  <c r="C101" i="8" s="1"/>
  <c r="C99" i="8"/>
  <c r="B99" i="8"/>
  <c r="C100" i="8" s="1"/>
  <c r="B98" i="8"/>
  <c r="B97" i="8"/>
  <c r="C98" i="8" s="1"/>
  <c r="B96" i="8"/>
  <c r="B95" i="8"/>
  <c r="B94" i="8"/>
  <c r="C95" i="8" s="1"/>
  <c r="B93" i="8"/>
  <c r="C94" i="8" s="1"/>
  <c r="B92" i="8"/>
  <c r="C93" i="8" s="1"/>
  <c r="B91" i="8"/>
  <c r="C92" i="8" s="1"/>
  <c r="B90" i="8"/>
  <c r="C91" i="8" s="1"/>
  <c r="B89" i="8"/>
  <c r="B88" i="8"/>
  <c r="C89" i="8" s="1"/>
  <c r="B87" i="8"/>
  <c r="B86" i="8"/>
  <c r="C87" i="8" s="1"/>
  <c r="B85" i="8"/>
  <c r="C86" i="8" s="1"/>
  <c r="C84" i="8"/>
  <c r="B84" i="8"/>
  <c r="B83" i="8"/>
  <c r="B82" i="8"/>
  <c r="C83" i="8" s="1"/>
  <c r="B81" i="8"/>
  <c r="C82" i="8" s="1"/>
  <c r="B80" i="8"/>
  <c r="C81" i="8" s="1"/>
  <c r="B79" i="8"/>
  <c r="C80" i="8" s="1"/>
  <c r="C78" i="8"/>
  <c r="B78" i="8"/>
  <c r="C79" i="8" s="1"/>
  <c r="B77" i="8"/>
  <c r="B76" i="8"/>
  <c r="C77" i="8" s="1"/>
  <c r="B75" i="8"/>
  <c r="C76" i="8" s="1"/>
  <c r="B74" i="8"/>
  <c r="B73" i="8"/>
  <c r="B72" i="8"/>
  <c r="C73" i="8" s="1"/>
  <c r="B71" i="8"/>
  <c r="C72" i="8" s="1"/>
  <c r="B70" i="8"/>
  <c r="C71" i="8" s="1"/>
  <c r="C69" i="8"/>
  <c r="B69" i="8"/>
  <c r="B68" i="8"/>
  <c r="B67" i="8"/>
  <c r="B66" i="8"/>
  <c r="C67" i="8" s="1"/>
  <c r="B65" i="8"/>
  <c r="C66" i="8" s="1"/>
  <c r="B64" i="8"/>
  <c r="C65" i="8" s="1"/>
  <c r="C63" i="8"/>
  <c r="B63" i="8"/>
  <c r="C64" i="8" s="1"/>
  <c r="B62" i="8"/>
  <c r="B61" i="8"/>
  <c r="C62" i="8" s="1"/>
  <c r="B60" i="8"/>
  <c r="B59" i="8"/>
  <c r="B58" i="8"/>
  <c r="C59" i="8" s="1"/>
  <c r="B57" i="8"/>
  <c r="C58" i="8" s="1"/>
  <c r="B56" i="8"/>
  <c r="C57" i="8" s="1"/>
  <c r="C55" i="8"/>
  <c r="B55" i="8"/>
  <c r="C56" i="8" s="1"/>
  <c r="B54" i="8"/>
  <c r="B53" i="8"/>
  <c r="B52" i="8"/>
  <c r="C53" i="8" s="1"/>
  <c r="B51" i="8"/>
  <c r="C52" i="8" s="1"/>
  <c r="B50" i="8"/>
  <c r="C51" i="8" s="1"/>
  <c r="B49" i="8"/>
  <c r="C50" i="8" s="1"/>
  <c r="B48" i="8"/>
  <c r="C48" i="8" s="1"/>
  <c r="B47" i="8"/>
  <c r="B46" i="8"/>
  <c r="C47" i="8" s="1"/>
  <c r="C45" i="8"/>
  <c r="B45" i="8"/>
  <c r="B44" i="8"/>
  <c r="B43" i="8"/>
  <c r="C44" i="8" s="1"/>
  <c r="B42" i="8"/>
  <c r="C43" i="8" s="1"/>
  <c r="B41" i="8"/>
  <c r="B40" i="8"/>
  <c r="C41" i="8" s="1"/>
  <c r="B39" i="8"/>
  <c r="B38" i="8"/>
  <c r="C39" i="8" s="1"/>
  <c r="B37" i="8"/>
  <c r="C38" i="8" s="1"/>
  <c r="B36" i="8"/>
  <c r="B35" i="8"/>
  <c r="B34" i="8"/>
  <c r="B33" i="8"/>
  <c r="C34" i="8" s="1"/>
  <c r="B32" i="8"/>
  <c r="C33" i="8" s="1"/>
  <c r="B31" i="8"/>
  <c r="B30" i="8"/>
  <c r="C31" i="8" s="1"/>
  <c r="B29" i="8"/>
  <c r="C30" i="8" s="1"/>
  <c r="B28" i="8"/>
  <c r="C29" i="8" s="1"/>
  <c r="C27" i="8"/>
  <c r="B27" i="8"/>
  <c r="C28" i="8" s="1"/>
  <c r="B26" i="8"/>
  <c r="B25" i="8"/>
  <c r="C26" i="8" s="1"/>
  <c r="C24" i="8"/>
  <c r="B24" i="8"/>
  <c r="C25" i="8" s="1"/>
  <c r="B23" i="8"/>
  <c r="B22" i="8"/>
  <c r="C23" i="8" s="1"/>
  <c r="B21" i="8"/>
  <c r="B20" i="8"/>
  <c r="C21" i="8" s="1"/>
  <c r="C19" i="8"/>
  <c r="B19" i="8"/>
  <c r="C20" i="8" s="1"/>
  <c r="B18" i="8"/>
  <c r="B17" i="8"/>
  <c r="B16" i="8"/>
  <c r="C17" i="8" s="1"/>
  <c r="B15" i="8"/>
  <c r="C16" i="8" s="1"/>
  <c r="B14" i="8"/>
  <c r="B13" i="8"/>
  <c r="B12" i="8"/>
  <c r="C12" i="8" s="1"/>
  <c r="B11" i="8"/>
  <c r="B10" i="8"/>
  <c r="C11" i="8" s="1"/>
  <c r="C9" i="8"/>
  <c r="B9" i="8"/>
  <c r="B8" i="8"/>
  <c r="B7" i="8"/>
  <c r="C8" i="8" s="1"/>
  <c r="B6" i="8"/>
  <c r="C7" i="8" s="1"/>
  <c r="B1" i="8"/>
  <c r="B374" i="7"/>
  <c r="B373" i="7"/>
  <c r="C374" i="7" s="1"/>
  <c r="B372" i="7"/>
  <c r="B371" i="7"/>
  <c r="C372" i="7" s="1"/>
  <c r="B370" i="7"/>
  <c r="C371" i="7" s="1"/>
  <c r="B369" i="7"/>
  <c r="B368" i="7"/>
  <c r="B367" i="7"/>
  <c r="B366" i="7"/>
  <c r="C365" i="7"/>
  <c r="B365" i="7"/>
  <c r="C364" i="7"/>
  <c r="B364" i="7"/>
  <c r="B363" i="7"/>
  <c r="B362" i="7"/>
  <c r="C363" i="7" s="1"/>
  <c r="B361" i="7"/>
  <c r="C362" i="7" s="1"/>
  <c r="C360" i="7"/>
  <c r="B360" i="7"/>
  <c r="B359" i="7"/>
  <c r="B358" i="7"/>
  <c r="C359" i="7" s="1"/>
  <c r="B357" i="7"/>
  <c r="C357" i="7" s="1"/>
  <c r="B356" i="7"/>
  <c r="B355" i="7"/>
  <c r="C356" i="7" s="1"/>
  <c r="B354" i="7"/>
  <c r="C355" i="7" s="1"/>
  <c r="C353" i="7"/>
  <c r="B353" i="7"/>
  <c r="B352" i="7"/>
  <c r="B351" i="7"/>
  <c r="C352" i="7" s="1"/>
  <c r="B350" i="7"/>
  <c r="B349" i="7"/>
  <c r="C350" i="7" s="1"/>
  <c r="B348" i="7"/>
  <c r="B347" i="7"/>
  <c r="C348" i="7" s="1"/>
  <c r="C346" i="7"/>
  <c r="B346" i="7"/>
  <c r="C347" i="7" s="1"/>
  <c r="B345" i="7"/>
  <c r="B344" i="7"/>
  <c r="C345" i="7" s="1"/>
  <c r="B343" i="7"/>
  <c r="C344" i="7" s="1"/>
  <c r="B342" i="7"/>
  <c r="B341" i="7"/>
  <c r="C342" i="7" s="1"/>
  <c r="B340" i="7"/>
  <c r="B339" i="7"/>
  <c r="C340" i="7" s="1"/>
  <c r="B338" i="7"/>
  <c r="C339" i="7" s="1"/>
  <c r="B337" i="7"/>
  <c r="B336" i="7"/>
  <c r="C337" i="7" s="1"/>
  <c r="B335" i="7"/>
  <c r="C336" i="7" s="1"/>
  <c r="B334" i="7"/>
  <c r="C333" i="7"/>
  <c r="B333" i="7"/>
  <c r="C334" i="7" s="1"/>
  <c r="B332" i="7"/>
  <c r="B331" i="7"/>
  <c r="C332" i="7" s="1"/>
  <c r="C330" i="7"/>
  <c r="B330" i="7"/>
  <c r="C331" i="7" s="1"/>
  <c r="B329" i="7"/>
  <c r="B328" i="7"/>
  <c r="C329" i="7" s="1"/>
  <c r="B327" i="7"/>
  <c r="B326" i="7"/>
  <c r="B325" i="7"/>
  <c r="C326" i="7" s="1"/>
  <c r="B324" i="7"/>
  <c r="B323" i="7"/>
  <c r="C324" i="7" s="1"/>
  <c r="C322" i="7"/>
  <c r="B322" i="7"/>
  <c r="B321" i="7"/>
  <c r="C321" i="7" s="1"/>
  <c r="B320" i="7"/>
  <c r="B319" i="7"/>
  <c r="C320" i="7" s="1"/>
  <c r="B318" i="7"/>
  <c r="C319" i="7" s="1"/>
  <c r="B317" i="7"/>
  <c r="C318" i="7" s="1"/>
  <c r="B316" i="7"/>
  <c r="C317" i="7" s="1"/>
  <c r="C315" i="7"/>
  <c r="B315" i="7"/>
  <c r="B314" i="7"/>
  <c r="B313" i="7"/>
  <c r="C314" i="7" s="1"/>
  <c r="B312" i="7"/>
  <c r="C313" i="7" s="1"/>
  <c r="C311" i="7"/>
  <c r="B311" i="7"/>
  <c r="C310" i="7"/>
  <c r="B310" i="7"/>
  <c r="B309" i="7"/>
  <c r="B308" i="7"/>
  <c r="C309" i="7" s="1"/>
  <c r="B307" i="7"/>
  <c r="B306" i="7"/>
  <c r="B305" i="7"/>
  <c r="C306" i="7" s="1"/>
  <c r="C304" i="7"/>
  <c r="B304" i="7"/>
  <c r="C305" i="7" s="1"/>
  <c r="B303" i="7"/>
  <c r="B302" i="7"/>
  <c r="C303" i="7" s="1"/>
  <c r="B301" i="7"/>
  <c r="C302" i="7" s="1"/>
  <c r="B300" i="7"/>
  <c r="C301" i="7" s="1"/>
  <c r="C299" i="7"/>
  <c r="B299" i="7"/>
  <c r="B298" i="7"/>
  <c r="B297" i="7"/>
  <c r="C298" i="7" s="1"/>
  <c r="B296" i="7"/>
  <c r="C297" i="7" s="1"/>
  <c r="B295" i="7"/>
  <c r="C294" i="7"/>
  <c r="B294" i="7"/>
  <c r="C295" i="7" s="1"/>
  <c r="B293" i="7"/>
  <c r="C292" i="7"/>
  <c r="B292" i="7"/>
  <c r="C293" i="7" s="1"/>
  <c r="B291" i="7"/>
  <c r="B290" i="7"/>
  <c r="B289" i="7"/>
  <c r="C290" i="7" s="1"/>
  <c r="B288" i="7"/>
  <c r="C289" i="7" s="1"/>
  <c r="B287" i="7"/>
  <c r="C288" i="7" s="1"/>
  <c r="B286" i="7"/>
  <c r="C287" i="7" s="1"/>
  <c r="B285" i="7"/>
  <c r="C286" i="7" s="1"/>
  <c r="B284" i="7"/>
  <c r="B283" i="7"/>
  <c r="C284" i="7" s="1"/>
  <c r="B282" i="7"/>
  <c r="C283" i="7" s="1"/>
  <c r="B281" i="7"/>
  <c r="C282" i="7" s="1"/>
  <c r="B280" i="7"/>
  <c r="B279" i="7"/>
  <c r="C280" i="7" s="1"/>
  <c r="B278" i="7"/>
  <c r="C279" i="7" s="1"/>
  <c r="B277" i="7"/>
  <c r="C278" i="7" s="1"/>
  <c r="B276" i="7"/>
  <c r="B275" i="7"/>
  <c r="B274" i="7"/>
  <c r="B273" i="7"/>
  <c r="B272" i="7"/>
  <c r="C273" i="7" s="1"/>
  <c r="B271" i="7"/>
  <c r="B270" i="7"/>
  <c r="C271" i="7" s="1"/>
  <c r="B269" i="7"/>
  <c r="C270" i="7" s="1"/>
  <c r="C268" i="7"/>
  <c r="B268" i="7"/>
  <c r="B267" i="7"/>
  <c r="B266" i="7"/>
  <c r="C267" i="7" s="1"/>
  <c r="B265" i="7"/>
  <c r="C266" i="7" s="1"/>
  <c r="B264" i="7"/>
  <c r="B263" i="7"/>
  <c r="B262" i="7"/>
  <c r="C263" i="7" s="1"/>
  <c r="C261" i="7"/>
  <c r="B261" i="7"/>
  <c r="C262" i="7" s="1"/>
  <c r="B260" i="7"/>
  <c r="B259" i="7"/>
  <c r="B258" i="7"/>
  <c r="C257" i="7"/>
  <c r="B257" i="7"/>
  <c r="C256" i="7"/>
  <c r="B256" i="7"/>
  <c r="B255" i="7"/>
  <c r="B254" i="7"/>
  <c r="C255" i="7" s="1"/>
  <c r="B253" i="7"/>
  <c r="C254" i="7" s="1"/>
  <c r="C252" i="7"/>
  <c r="B252" i="7"/>
  <c r="B251" i="7"/>
  <c r="B250" i="7"/>
  <c r="C251" i="7" s="1"/>
  <c r="B249" i="7"/>
  <c r="C249" i="7" s="1"/>
  <c r="B248" i="7"/>
  <c r="B247" i="7"/>
  <c r="C248" i="7" s="1"/>
  <c r="B246" i="7"/>
  <c r="C247" i="7" s="1"/>
  <c r="C245" i="7"/>
  <c r="B245" i="7"/>
  <c r="B244" i="7"/>
  <c r="B243" i="7"/>
  <c r="C244" i="7" s="1"/>
  <c r="B242" i="7"/>
  <c r="B241" i="7"/>
  <c r="C242" i="7" s="1"/>
  <c r="B240" i="7"/>
  <c r="B239" i="7"/>
  <c r="C240" i="7" s="1"/>
  <c r="C238" i="7"/>
  <c r="B238" i="7"/>
  <c r="C239" i="7" s="1"/>
  <c r="B237" i="7"/>
  <c r="B236" i="7"/>
  <c r="C237" i="7" s="1"/>
  <c r="B235" i="7"/>
  <c r="C236" i="7" s="1"/>
  <c r="B234" i="7"/>
  <c r="B233" i="7"/>
  <c r="C234" i="7" s="1"/>
  <c r="B232" i="7"/>
  <c r="B231" i="7"/>
  <c r="C232" i="7" s="1"/>
  <c r="C230" i="7"/>
  <c r="B230" i="7"/>
  <c r="B229" i="7"/>
  <c r="B228" i="7"/>
  <c r="C229" i="7" s="1"/>
  <c r="B227" i="7"/>
  <c r="C226" i="7"/>
  <c r="B226" i="7"/>
  <c r="C227" i="7" s="1"/>
  <c r="B225" i="7"/>
  <c r="C224" i="7"/>
  <c r="B224" i="7"/>
  <c r="C225" i="7" s="1"/>
  <c r="B223" i="7"/>
  <c r="B222" i="7"/>
  <c r="C223" i="7" s="1"/>
  <c r="B221" i="7"/>
  <c r="C222" i="7" s="1"/>
  <c r="B220" i="7"/>
  <c r="C221" i="7" s="1"/>
  <c r="B219" i="7"/>
  <c r="C220" i="7" s="1"/>
  <c r="B218" i="7"/>
  <c r="C219" i="7" s="1"/>
  <c r="C217" i="7"/>
  <c r="B217" i="7"/>
  <c r="B216" i="7"/>
  <c r="B215" i="7"/>
  <c r="C216" i="7" s="1"/>
  <c r="C214" i="7"/>
  <c r="B214" i="7"/>
  <c r="C213" i="7"/>
  <c r="B213" i="7"/>
  <c r="B212" i="7"/>
  <c r="C211" i="7"/>
  <c r="B211" i="7"/>
  <c r="C212" i="7" s="1"/>
  <c r="B210" i="7"/>
  <c r="B209" i="7"/>
  <c r="C210" i="7" s="1"/>
  <c r="B208" i="7"/>
  <c r="C209" i="7" s="1"/>
  <c r="B207" i="7"/>
  <c r="C208" i="7" s="1"/>
  <c r="B206" i="7"/>
  <c r="B205" i="7"/>
  <c r="C206" i="7" s="1"/>
  <c r="C204" i="7"/>
  <c r="B204" i="7"/>
  <c r="B203" i="7"/>
  <c r="B202" i="7"/>
  <c r="C201" i="7"/>
  <c r="B201" i="7"/>
  <c r="C200" i="7"/>
  <c r="B200" i="7"/>
  <c r="B199" i="7"/>
  <c r="C198" i="7"/>
  <c r="B198" i="7"/>
  <c r="C199" i="7" s="1"/>
  <c r="B197" i="7"/>
  <c r="B196" i="7"/>
  <c r="C197" i="7" s="1"/>
  <c r="B195" i="7"/>
  <c r="C196" i="7" s="1"/>
  <c r="B194" i="7"/>
  <c r="C195" i="7" s="1"/>
  <c r="B193" i="7"/>
  <c r="B192" i="7"/>
  <c r="C193" i="7" s="1"/>
  <c r="B191" i="7"/>
  <c r="C192" i="7" s="1"/>
  <c r="B190" i="7"/>
  <c r="B189" i="7"/>
  <c r="C188" i="7"/>
  <c r="B188" i="7"/>
  <c r="C187" i="7"/>
  <c r="B187" i="7"/>
  <c r="B186" i="7"/>
  <c r="B185" i="7"/>
  <c r="C186" i="7" s="1"/>
  <c r="C184" i="7"/>
  <c r="B184" i="7"/>
  <c r="B183" i="7"/>
  <c r="C182" i="7"/>
  <c r="B182" i="7"/>
  <c r="C183" i="7" s="1"/>
  <c r="B181" i="7"/>
  <c r="B180" i="7"/>
  <c r="C181" i="7" s="1"/>
  <c r="B179" i="7"/>
  <c r="C180" i="7" s="1"/>
  <c r="C178" i="7"/>
  <c r="B178" i="7"/>
  <c r="B177" i="7"/>
  <c r="B176" i="7"/>
  <c r="C175" i="7"/>
  <c r="B175" i="7"/>
  <c r="C174" i="7"/>
  <c r="B174" i="7"/>
  <c r="B173" i="7"/>
  <c r="B172" i="7"/>
  <c r="C173" i="7" s="1"/>
  <c r="C171" i="7"/>
  <c r="B171" i="7"/>
  <c r="B170" i="7"/>
  <c r="B169" i="7"/>
  <c r="C170" i="7" s="1"/>
  <c r="B168" i="7"/>
  <c r="C169" i="7" s="1"/>
  <c r="B167" i="7"/>
  <c r="B166" i="7"/>
  <c r="C167" i="7" s="1"/>
  <c r="C165" i="7"/>
  <c r="B165" i="7"/>
  <c r="C166" i="7" s="1"/>
  <c r="B164" i="7"/>
  <c r="B163" i="7"/>
  <c r="C162" i="7"/>
  <c r="B162" i="7"/>
  <c r="B161" i="7"/>
  <c r="B160" i="7"/>
  <c r="B159" i="7"/>
  <c r="C160" i="7" s="1"/>
  <c r="C158" i="7"/>
  <c r="B158" i="7"/>
  <c r="B157" i="7"/>
  <c r="C156" i="7"/>
  <c r="B156" i="7"/>
  <c r="C157" i="7" s="1"/>
  <c r="B155" i="7"/>
  <c r="C154" i="7"/>
  <c r="B154" i="7"/>
  <c r="C155" i="7" s="1"/>
  <c r="B153" i="7"/>
  <c r="C152" i="7"/>
  <c r="B152" i="7"/>
  <c r="C153" i="7" s="1"/>
  <c r="B151" i="7"/>
  <c r="B150" i="7"/>
  <c r="C151" i="7" s="1"/>
  <c r="B149" i="7"/>
  <c r="C150" i="7" s="1"/>
  <c r="B148" i="7"/>
  <c r="B147" i="7"/>
  <c r="C148" i="7" s="1"/>
  <c r="B146" i="7"/>
  <c r="C147" i="7" s="1"/>
  <c r="C145" i="7"/>
  <c r="B145" i="7"/>
  <c r="B144" i="7"/>
  <c r="B143" i="7"/>
  <c r="C144" i="7" s="1"/>
  <c r="C142" i="7"/>
  <c r="B142" i="7"/>
  <c r="C141" i="7"/>
  <c r="B141" i="7"/>
  <c r="B140" i="7"/>
  <c r="C139" i="7"/>
  <c r="B139" i="7"/>
  <c r="C140" i="7" s="1"/>
  <c r="B138" i="7"/>
  <c r="B137" i="7"/>
  <c r="C138" i="7" s="1"/>
  <c r="B136" i="7"/>
  <c r="C137" i="7" s="1"/>
  <c r="B135" i="7"/>
  <c r="C136" i="7" s="1"/>
  <c r="B134" i="7"/>
  <c r="B133" i="7"/>
  <c r="C134" i="7" s="1"/>
  <c r="C132" i="7"/>
  <c r="B132" i="7"/>
  <c r="B131" i="7"/>
  <c r="B130" i="7"/>
  <c r="C129" i="7"/>
  <c r="B129" i="7"/>
  <c r="C128" i="7"/>
  <c r="B128" i="7"/>
  <c r="B127" i="7"/>
  <c r="C126" i="7"/>
  <c r="B126" i="7"/>
  <c r="C127" i="7" s="1"/>
  <c r="B125" i="7"/>
  <c r="B124" i="7"/>
  <c r="C125" i="7" s="1"/>
  <c r="B123" i="7"/>
  <c r="C124" i="7" s="1"/>
  <c r="B122" i="7"/>
  <c r="C123" i="7" s="1"/>
  <c r="B121" i="7"/>
  <c r="C122" i="7" s="1"/>
  <c r="B120" i="7"/>
  <c r="C121" i="7" s="1"/>
  <c r="B119" i="7"/>
  <c r="C120" i="7" s="1"/>
  <c r="B118" i="7"/>
  <c r="B117" i="7"/>
  <c r="C116" i="7"/>
  <c r="B116" i="7"/>
  <c r="C115" i="7"/>
  <c r="B115" i="7"/>
  <c r="B114" i="7"/>
  <c r="B113" i="7"/>
  <c r="C114" i="7" s="1"/>
  <c r="C112" i="7"/>
  <c r="B112" i="7"/>
  <c r="B111" i="7"/>
  <c r="B110" i="7"/>
  <c r="C111" i="7" s="1"/>
  <c r="B109" i="7"/>
  <c r="C110" i="7" s="1"/>
  <c r="B108" i="7"/>
  <c r="B107" i="7"/>
  <c r="C108" i="7" s="1"/>
  <c r="C106" i="7"/>
  <c r="B106" i="7"/>
  <c r="C107" i="7" s="1"/>
  <c r="B105" i="7"/>
  <c r="B104" i="7"/>
  <c r="C103" i="7"/>
  <c r="B103" i="7"/>
  <c r="C102" i="7"/>
  <c r="B102" i="7"/>
  <c r="B101" i="7"/>
  <c r="B100" i="7"/>
  <c r="C101" i="7" s="1"/>
  <c r="C99" i="7"/>
  <c r="B99" i="7"/>
  <c r="B98" i="7"/>
  <c r="B97" i="7"/>
  <c r="C98" i="7" s="1"/>
  <c r="B96" i="7"/>
  <c r="C97" i="7" s="1"/>
  <c r="B95" i="7"/>
  <c r="B94" i="7"/>
  <c r="C95" i="7" s="1"/>
  <c r="C93" i="7"/>
  <c r="B93" i="7"/>
  <c r="C94" i="7" s="1"/>
  <c r="B92" i="7"/>
  <c r="B91" i="7"/>
  <c r="C90" i="7"/>
  <c r="B90" i="7"/>
  <c r="B89" i="7"/>
  <c r="B88" i="7"/>
  <c r="B87" i="7"/>
  <c r="C88" i="7" s="1"/>
  <c r="C86" i="7"/>
  <c r="B86" i="7"/>
  <c r="B85" i="7"/>
  <c r="C84" i="7"/>
  <c r="B84" i="7"/>
  <c r="C85" i="7" s="1"/>
  <c r="B83" i="7"/>
  <c r="C82" i="7"/>
  <c r="B82" i="7"/>
  <c r="C83" i="7" s="1"/>
  <c r="B81" i="7"/>
  <c r="C80" i="7"/>
  <c r="B80" i="7"/>
  <c r="C81" i="7" s="1"/>
  <c r="B79" i="7"/>
  <c r="B78" i="7"/>
  <c r="C79" i="7" s="1"/>
  <c r="B77" i="7"/>
  <c r="B76" i="7"/>
  <c r="C77" i="7" s="1"/>
  <c r="B75" i="7"/>
  <c r="B74" i="7"/>
  <c r="C75" i="7" s="1"/>
  <c r="C73" i="7"/>
  <c r="B73" i="7"/>
  <c r="B72" i="7"/>
  <c r="C71" i="7"/>
  <c r="B71" i="7"/>
  <c r="C72" i="7" s="1"/>
  <c r="B70" i="7"/>
  <c r="B69" i="7"/>
  <c r="C70" i="7" s="1"/>
  <c r="B68" i="7"/>
  <c r="C69" i="7" s="1"/>
  <c r="C67" i="7"/>
  <c r="B67" i="7"/>
  <c r="B66" i="7"/>
  <c r="B65" i="7"/>
  <c r="C66" i="7" s="1"/>
  <c r="B64" i="7"/>
  <c r="C65" i="7" s="1"/>
  <c r="B63" i="7"/>
  <c r="B62" i="7"/>
  <c r="C63" i="7" s="1"/>
  <c r="C61" i="7"/>
  <c r="B61" i="7"/>
  <c r="B60" i="7"/>
  <c r="B59" i="7"/>
  <c r="C60" i="7" s="1"/>
  <c r="B58" i="7"/>
  <c r="C59" i="7" s="1"/>
  <c r="B57" i="7"/>
  <c r="B56" i="7"/>
  <c r="C57" i="7" s="1"/>
  <c r="C55" i="7"/>
  <c r="B55" i="7"/>
  <c r="B54" i="7"/>
  <c r="C53" i="7"/>
  <c r="B53" i="7"/>
  <c r="C54" i="7" s="1"/>
  <c r="B52" i="7"/>
  <c r="B51" i="7"/>
  <c r="C52" i="7" s="1"/>
  <c r="B50" i="7"/>
  <c r="C51" i="7" s="1"/>
  <c r="C49" i="7"/>
  <c r="B49" i="7"/>
  <c r="B48" i="7"/>
  <c r="B47" i="7"/>
  <c r="C48" i="7" s="1"/>
  <c r="B46" i="7"/>
  <c r="C47" i="7" s="1"/>
  <c r="B45" i="7"/>
  <c r="B44" i="7"/>
  <c r="C45" i="7" s="1"/>
  <c r="C43" i="7"/>
  <c r="B43" i="7"/>
  <c r="B42" i="7"/>
  <c r="B41" i="7"/>
  <c r="C42" i="7" s="1"/>
  <c r="B40" i="7"/>
  <c r="C41" i="7" s="1"/>
  <c r="B39" i="7"/>
  <c r="B38" i="7"/>
  <c r="C39" i="7" s="1"/>
  <c r="C37" i="7"/>
  <c r="B37" i="7"/>
  <c r="B36" i="7"/>
  <c r="C35" i="7"/>
  <c r="B35" i="7"/>
  <c r="C36" i="7" s="1"/>
  <c r="B34" i="7"/>
  <c r="B33" i="7"/>
  <c r="C34" i="7" s="1"/>
  <c r="B32" i="7"/>
  <c r="C31" i="7"/>
  <c r="B31" i="7"/>
  <c r="B30" i="7"/>
  <c r="B29" i="7"/>
  <c r="C30" i="7" s="1"/>
  <c r="B28" i="7"/>
  <c r="C29" i="7" s="1"/>
  <c r="B27" i="7"/>
  <c r="B26" i="7"/>
  <c r="C25" i="7"/>
  <c r="B25" i="7"/>
  <c r="B24" i="7"/>
  <c r="B23" i="7"/>
  <c r="C24" i="7" s="1"/>
  <c r="B22" i="7"/>
  <c r="C23" i="7" s="1"/>
  <c r="B21" i="7"/>
  <c r="B20" i="7"/>
  <c r="C19" i="7"/>
  <c r="B19" i="7"/>
  <c r="B18" i="7"/>
  <c r="C17" i="7"/>
  <c r="B17" i="7"/>
  <c r="C18" i="7" s="1"/>
  <c r="B16" i="7"/>
  <c r="B15" i="7"/>
  <c r="C16" i="7" s="1"/>
  <c r="B14" i="7"/>
  <c r="C13" i="7"/>
  <c r="B13" i="7"/>
  <c r="B12" i="7"/>
  <c r="B11" i="7"/>
  <c r="C12" i="7" s="1"/>
  <c r="B10" i="7"/>
  <c r="C11" i="7" s="1"/>
  <c r="B9" i="7"/>
  <c r="C10" i="7" s="1"/>
  <c r="B8" i="7"/>
  <c r="C7" i="7"/>
  <c r="B7" i="7"/>
  <c r="B6" i="7"/>
  <c r="B374" i="6"/>
  <c r="C374" i="6" s="1"/>
  <c r="C373" i="6"/>
  <c r="B373" i="6"/>
  <c r="C372" i="6"/>
  <c r="B372" i="6"/>
  <c r="B371" i="6"/>
  <c r="C370" i="6"/>
  <c r="B370" i="6"/>
  <c r="C371" i="6" s="1"/>
  <c r="B369" i="6"/>
  <c r="B368" i="6"/>
  <c r="C367" i="6"/>
  <c r="B367" i="6"/>
  <c r="C366" i="6"/>
  <c r="B366" i="6"/>
  <c r="B365" i="6"/>
  <c r="C364" i="6"/>
  <c r="B364" i="6"/>
  <c r="C365" i="6" s="1"/>
  <c r="B363" i="6"/>
  <c r="B362" i="6"/>
  <c r="C361" i="6"/>
  <c r="B361" i="6"/>
  <c r="C360" i="6"/>
  <c r="B360" i="6"/>
  <c r="B359" i="6"/>
  <c r="C358" i="6"/>
  <c r="B358" i="6"/>
  <c r="C359" i="6" s="1"/>
  <c r="B357" i="6"/>
  <c r="B356" i="6"/>
  <c r="C355" i="6"/>
  <c r="B355" i="6"/>
  <c r="C354" i="6"/>
  <c r="B354" i="6"/>
  <c r="B353" i="6"/>
  <c r="C352" i="6"/>
  <c r="B352" i="6"/>
  <c r="C353" i="6" s="1"/>
  <c r="B351" i="6"/>
  <c r="B350" i="6"/>
  <c r="C349" i="6"/>
  <c r="B349" i="6"/>
  <c r="C348" i="6"/>
  <c r="B348" i="6"/>
  <c r="B347" i="6"/>
  <c r="C346" i="6"/>
  <c r="B346" i="6"/>
  <c r="C347" i="6" s="1"/>
  <c r="B345" i="6"/>
  <c r="B344" i="6"/>
  <c r="C343" i="6"/>
  <c r="B343" i="6"/>
  <c r="C342" i="6"/>
  <c r="B342" i="6"/>
  <c r="B341" i="6"/>
  <c r="C340" i="6"/>
  <c r="B340" i="6"/>
  <c r="C341" i="6" s="1"/>
  <c r="B339" i="6"/>
  <c r="B338" i="6"/>
  <c r="C337" i="6"/>
  <c r="B337" i="6"/>
  <c r="C336" i="6"/>
  <c r="B336" i="6"/>
  <c r="B335" i="6"/>
  <c r="C334" i="6"/>
  <c r="B334" i="6"/>
  <c r="C335" i="6" s="1"/>
  <c r="B333" i="6"/>
  <c r="B332" i="6"/>
  <c r="C331" i="6"/>
  <c r="B331" i="6"/>
  <c r="C330" i="6"/>
  <c r="B330" i="6"/>
  <c r="B329" i="6"/>
  <c r="B328" i="6"/>
  <c r="C329" i="6" s="1"/>
  <c r="B327" i="6"/>
  <c r="B326" i="6"/>
  <c r="C325" i="6"/>
  <c r="B325" i="6"/>
  <c r="C324" i="6"/>
  <c r="B324" i="6"/>
  <c r="B323" i="6"/>
  <c r="C322" i="6"/>
  <c r="B322" i="6"/>
  <c r="C323" i="6" s="1"/>
  <c r="B321" i="6"/>
  <c r="B320" i="6"/>
  <c r="C319" i="6"/>
  <c r="B319" i="6"/>
  <c r="B318" i="6"/>
  <c r="B317" i="6"/>
  <c r="C318" i="6" s="1"/>
  <c r="C316" i="6"/>
  <c r="B316" i="6"/>
  <c r="B315" i="6"/>
  <c r="B314" i="6"/>
  <c r="C313" i="6"/>
  <c r="B313" i="6"/>
  <c r="B312" i="6"/>
  <c r="B311" i="6"/>
  <c r="C312" i="6" s="1"/>
  <c r="C310" i="6"/>
  <c r="B310" i="6"/>
  <c r="C311" i="6" s="1"/>
  <c r="B309" i="6"/>
  <c r="B308" i="6"/>
  <c r="C307" i="6"/>
  <c r="B307" i="6"/>
  <c r="B306" i="6"/>
  <c r="B305" i="6"/>
  <c r="C306" i="6" s="1"/>
  <c r="B304" i="6"/>
  <c r="B303" i="6"/>
  <c r="B302" i="6"/>
  <c r="C301" i="6"/>
  <c r="B301" i="6"/>
  <c r="C300" i="6"/>
  <c r="B300" i="6"/>
  <c r="B299" i="6"/>
  <c r="C298" i="6"/>
  <c r="B298" i="6"/>
  <c r="C299" i="6" s="1"/>
  <c r="B297" i="6"/>
  <c r="B296" i="6"/>
  <c r="C295" i="6"/>
  <c r="B295" i="6"/>
  <c r="B294" i="6"/>
  <c r="B293" i="6"/>
  <c r="C294" i="6" s="1"/>
  <c r="C292" i="6"/>
  <c r="B292" i="6"/>
  <c r="B291" i="6"/>
  <c r="B290" i="6"/>
  <c r="C289" i="6"/>
  <c r="B289" i="6"/>
  <c r="B288" i="6"/>
  <c r="B287" i="6"/>
  <c r="C288" i="6" s="1"/>
  <c r="C286" i="6"/>
  <c r="B286" i="6"/>
  <c r="C287" i="6" s="1"/>
  <c r="B285" i="6"/>
  <c r="B284" i="6"/>
  <c r="C283" i="6"/>
  <c r="B283" i="6"/>
  <c r="B282" i="6"/>
  <c r="B281" i="6"/>
  <c r="C282" i="6" s="1"/>
  <c r="B280" i="6"/>
  <c r="B279" i="6"/>
  <c r="B278" i="6"/>
  <c r="C277" i="6"/>
  <c r="B277" i="6"/>
  <c r="C276" i="6"/>
  <c r="B276" i="6"/>
  <c r="B275" i="6"/>
  <c r="B274" i="6"/>
  <c r="C275" i="6" s="1"/>
  <c r="B273" i="6"/>
  <c r="B272" i="6"/>
  <c r="C271" i="6"/>
  <c r="B271" i="6"/>
  <c r="C270" i="6"/>
  <c r="B270" i="6"/>
  <c r="B269" i="6"/>
  <c r="C268" i="6"/>
  <c r="B268" i="6"/>
  <c r="B267" i="6"/>
  <c r="B266" i="6"/>
  <c r="C265" i="6"/>
  <c r="B265" i="6"/>
  <c r="B264" i="6"/>
  <c r="B263" i="6"/>
  <c r="C264" i="6" s="1"/>
  <c r="C262" i="6"/>
  <c r="B262" i="6"/>
  <c r="C263" i="6" s="1"/>
  <c r="B261" i="6"/>
  <c r="B260" i="6"/>
  <c r="C259" i="6"/>
  <c r="B259" i="6"/>
  <c r="B258" i="6"/>
  <c r="B257" i="6"/>
  <c r="C258" i="6" s="1"/>
  <c r="B256" i="6"/>
  <c r="B255" i="6"/>
  <c r="B254" i="6"/>
  <c r="C253" i="6"/>
  <c r="B253" i="6"/>
  <c r="C252" i="6"/>
  <c r="B252" i="6"/>
  <c r="B251" i="6"/>
  <c r="B250" i="6"/>
  <c r="C251" i="6" s="1"/>
  <c r="B249" i="6"/>
  <c r="B248" i="6"/>
  <c r="C247" i="6"/>
  <c r="B247" i="6"/>
  <c r="C246" i="6"/>
  <c r="B246" i="6"/>
  <c r="B245" i="6"/>
  <c r="C244" i="6"/>
  <c r="B244" i="6"/>
  <c r="B243" i="6"/>
  <c r="B242" i="6"/>
  <c r="C241" i="6"/>
  <c r="B241" i="6"/>
  <c r="B240" i="6"/>
  <c r="B239" i="6"/>
  <c r="C240" i="6" s="1"/>
  <c r="C238" i="6"/>
  <c r="B238" i="6"/>
  <c r="C239" i="6" s="1"/>
  <c r="B237" i="6"/>
  <c r="B236" i="6"/>
  <c r="C235" i="6"/>
  <c r="B235" i="6"/>
  <c r="B234" i="6"/>
  <c r="B233" i="6"/>
  <c r="C234" i="6" s="1"/>
  <c r="B232" i="6"/>
  <c r="B231" i="6"/>
  <c r="B230" i="6"/>
  <c r="C229" i="6"/>
  <c r="B229" i="6"/>
  <c r="C228" i="6"/>
  <c r="B228" i="6"/>
  <c r="B227" i="6"/>
  <c r="C226" i="6"/>
  <c r="B226" i="6"/>
  <c r="C227" i="6" s="1"/>
  <c r="B225" i="6"/>
  <c r="B224" i="6"/>
  <c r="C223" i="6"/>
  <c r="B223" i="6"/>
  <c r="C222" i="6"/>
  <c r="B222" i="6"/>
  <c r="B221" i="6"/>
  <c r="C220" i="6"/>
  <c r="B220" i="6"/>
  <c r="B219" i="6"/>
  <c r="B218" i="6"/>
  <c r="C217" i="6"/>
  <c r="B217" i="6"/>
  <c r="B216" i="6"/>
  <c r="B215" i="6"/>
  <c r="C216" i="6" s="1"/>
  <c r="C214" i="6"/>
  <c r="B214" i="6"/>
  <c r="C215" i="6" s="1"/>
  <c r="B213" i="6"/>
  <c r="B212" i="6"/>
  <c r="C211" i="6"/>
  <c r="B211" i="6"/>
  <c r="C210" i="6"/>
  <c r="B210" i="6"/>
  <c r="B209" i="6"/>
  <c r="B208" i="6"/>
  <c r="B207" i="6"/>
  <c r="B206" i="6"/>
  <c r="C207" i="6" s="1"/>
  <c r="C205" i="6"/>
  <c r="B205" i="6"/>
  <c r="C204" i="6"/>
  <c r="B204" i="6"/>
  <c r="B203" i="6"/>
  <c r="B202" i="6"/>
  <c r="C203" i="6" s="1"/>
  <c r="B201" i="6"/>
  <c r="B200" i="6"/>
  <c r="C201" i="6" s="1"/>
  <c r="C199" i="6"/>
  <c r="B199" i="6"/>
  <c r="C200" i="6" s="1"/>
  <c r="C198" i="6"/>
  <c r="B198" i="6"/>
  <c r="B197" i="6"/>
  <c r="C196" i="6"/>
  <c r="B196" i="6"/>
  <c r="B195" i="6"/>
  <c r="B194" i="6"/>
  <c r="C195" i="6" s="1"/>
  <c r="C193" i="6"/>
  <c r="B193" i="6"/>
  <c r="C194" i="6" s="1"/>
  <c r="B192" i="6"/>
  <c r="B191" i="6"/>
  <c r="C192" i="6" s="1"/>
  <c r="C190" i="6"/>
  <c r="B190" i="6"/>
  <c r="C191" i="6" s="1"/>
  <c r="B189" i="6"/>
  <c r="B188" i="6"/>
  <c r="C189" i="6" s="1"/>
  <c r="C187" i="6"/>
  <c r="B187" i="6"/>
  <c r="B186" i="6"/>
  <c r="B185" i="6"/>
  <c r="C186" i="6" s="1"/>
  <c r="B184" i="6"/>
  <c r="B183" i="6"/>
  <c r="B182" i="6"/>
  <c r="C183" i="6" s="1"/>
  <c r="C181" i="6"/>
  <c r="B181" i="6"/>
  <c r="C180" i="6"/>
  <c r="B180" i="6"/>
  <c r="B179" i="6"/>
  <c r="C178" i="6"/>
  <c r="B178" i="6"/>
  <c r="C179" i="6" s="1"/>
  <c r="B177" i="6"/>
  <c r="B176" i="6"/>
  <c r="C177" i="6" s="1"/>
  <c r="B175" i="6"/>
  <c r="C176" i="6" s="1"/>
  <c r="C174" i="6"/>
  <c r="B174" i="6"/>
  <c r="C175" i="6" s="1"/>
  <c r="B173" i="6"/>
  <c r="C172" i="6"/>
  <c r="B172" i="6"/>
  <c r="B171" i="6"/>
  <c r="B170" i="6"/>
  <c r="C171" i="6" s="1"/>
  <c r="C169" i="6"/>
  <c r="B169" i="6"/>
  <c r="B168" i="6"/>
  <c r="B167" i="6"/>
  <c r="C168" i="6" s="1"/>
  <c r="C166" i="6"/>
  <c r="B166" i="6"/>
  <c r="C167" i="6" s="1"/>
  <c r="B165" i="6"/>
  <c r="B164" i="6"/>
  <c r="C165" i="6" s="1"/>
  <c r="B163" i="6"/>
  <c r="B162" i="6"/>
  <c r="C163" i="6" s="1"/>
  <c r="B161" i="6"/>
  <c r="C162" i="6" s="1"/>
  <c r="B160" i="6"/>
  <c r="B159" i="6"/>
  <c r="B158" i="6"/>
  <c r="C159" i="6" s="1"/>
  <c r="C157" i="6"/>
  <c r="B157" i="6"/>
  <c r="C156" i="6"/>
  <c r="B156" i="6"/>
  <c r="B155" i="6"/>
  <c r="B154" i="6"/>
  <c r="C155" i="6" s="1"/>
  <c r="B153" i="6"/>
  <c r="B152" i="6"/>
  <c r="C153" i="6" s="1"/>
  <c r="B151" i="6"/>
  <c r="C152" i="6" s="1"/>
  <c r="C150" i="6"/>
  <c r="B150" i="6"/>
  <c r="C151" i="6" s="1"/>
  <c r="B149" i="6"/>
  <c r="C148" i="6"/>
  <c r="B148" i="6"/>
  <c r="B147" i="6"/>
  <c r="B146" i="6"/>
  <c r="C147" i="6" s="1"/>
  <c r="C145" i="6"/>
  <c r="B145" i="6"/>
  <c r="C146" i="6" s="1"/>
  <c r="B144" i="6"/>
  <c r="B143" i="6"/>
  <c r="C144" i="6" s="1"/>
  <c r="C142" i="6"/>
  <c r="B142" i="6"/>
  <c r="C143" i="6" s="1"/>
  <c r="B141" i="6"/>
  <c r="B140" i="6"/>
  <c r="C141" i="6" s="1"/>
  <c r="B139" i="6"/>
  <c r="B138" i="6"/>
  <c r="C139" i="6" s="1"/>
  <c r="B137" i="6"/>
  <c r="C138" i="6" s="1"/>
  <c r="B136" i="6"/>
  <c r="B135" i="6"/>
  <c r="B134" i="6"/>
  <c r="C135" i="6" s="1"/>
  <c r="C133" i="6"/>
  <c r="B133" i="6"/>
  <c r="C132" i="6"/>
  <c r="B132" i="6"/>
  <c r="B131" i="6"/>
  <c r="C130" i="6"/>
  <c r="B130" i="6"/>
  <c r="C131" i="6" s="1"/>
  <c r="B129" i="6"/>
  <c r="B128" i="6"/>
  <c r="C129" i="6" s="1"/>
  <c r="B127" i="6"/>
  <c r="C128" i="6" s="1"/>
  <c r="C126" i="6"/>
  <c r="B126" i="6"/>
  <c r="C127" i="6" s="1"/>
  <c r="B125" i="6"/>
  <c r="C124" i="6"/>
  <c r="B124" i="6"/>
  <c r="B123" i="6"/>
  <c r="B122" i="6"/>
  <c r="C123" i="6" s="1"/>
  <c r="C121" i="6"/>
  <c r="B121" i="6"/>
  <c r="B120" i="6"/>
  <c r="B119" i="6"/>
  <c r="C120" i="6" s="1"/>
  <c r="C118" i="6"/>
  <c r="B118" i="6"/>
  <c r="C119" i="6" s="1"/>
  <c r="B117" i="6"/>
  <c r="B116" i="6"/>
  <c r="C117" i="6" s="1"/>
  <c r="B115" i="6"/>
  <c r="B114" i="6"/>
  <c r="C115" i="6" s="1"/>
  <c r="B113" i="6"/>
  <c r="B112" i="6"/>
  <c r="B111" i="6"/>
  <c r="B110" i="6"/>
  <c r="C111" i="6" s="1"/>
  <c r="C109" i="6"/>
  <c r="B109" i="6"/>
  <c r="C108" i="6"/>
  <c r="B108" i="6"/>
  <c r="B107" i="6"/>
  <c r="B106" i="6"/>
  <c r="C107" i="6" s="1"/>
  <c r="B105" i="6"/>
  <c r="B104" i="6"/>
  <c r="C105" i="6" s="1"/>
  <c r="B103" i="6"/>
  <c r="C104" i="6" s="1"/>
  <c r="C102" i="6"/>
  <c r="B102" i="6"/>
  <c r="C103" i="6" s="1"/>
  <c r="B101" i="6"/>
  <c r="C100" i="6"/>
  <c r="B100" i="6"/>
  <c r="B99" i="6"/>
  <c r="B98" i="6"/>
  <c r="C99" i="6" s="1"/>
  <c r="B97" i="6"/>
  <c r="B96" i="6"/>
  <c r="B95" i="6"/>
  <c r="C96" i="6" s="1"/>
  <c r="B94" i="6"/>
  <c r="C95" i="6" s="1"/>
  <c r="B93" i="6"/>
  <c r="B92" i="6"/>
  <c r="C93" i="6" s="1"/>
  <c r="B91" i="6"/>
  <c r="B90" i="6"/>
  <c r="C91" i="6" s="1"/>
  <c r="B89" i="6"/>
  <c r="B88" i="6"/>
  <c r="B87" i="6"/>
  <c r="B86" i="6"/>
  <c r="C87" i="6" s="1"/>
  <c r="C85" i="6"/>
  <c r="B85" i="6"/>
  <c r="C84" i="6"/>
  <c r="B84" i="6"/>
  <c r="B83" i="6"/>
  <c r="C82" i="6"/>
  <c r="B82" i="6"/>
  <c r="C83" i="6" s="1"/>
  <c r="B81" i="6"/>
  <c r="B80" i="6"/>
  <c r="C81" i="6" s="1"/>
  <c r="B79" i="6"/>
  <c r="C80" i="6" s="1"/>
  <c r="B78" i="6"/>
  <c r="C78" i="6" s="1"/>
  <c r="B77" i="6"/>
  <c r="C76" i="6"/>
  <c r="B76" i="6"/>
  <c r="B75" i="6"/>
  <c r="B74" i="6"/>
  <c r="C75" i="6" s="1"/>
  <c r="B73" i="6"/>
  <c r="C74" i="6" s="1"/>
  <c r="B72" i="6"/>
  <c r="B71" i="6"/>
  <c r="C72" i="6" s="1"/>
  <c r="B70" i="6"/>
  <c r="C71" i="6" s="1"/>
  <c r="B69" i="6"/>
  <c r="B68" i="6"/>
  <c r="C69" i="6" s="1"/>
  <c r="B67" i="6"/>
  <c r="B66" i="6"/>
  <c r="C67" i="6" s="1"/>
  <c r="B65" i="6"/>
  <c r="C66" i="6" s="1"/>
  <c r="B64" i="6"/>
  <c r="B63" i="6"/>
  <c r="B62" i="6"/>
  <c r="C63" i="6" s="1"/>
  <c r="C61" i="6"/>
  <c r="B61" i="6"/>
  <c r="C60" i="6"/>
  <c r="B60" i="6"/>
  <c r="B59" i="6"/>
  <c r="B58" i="6"/>
  <c r="B57" i="6"/>
  <c r="B56" i="6"/>
  <c r="C57" i="6" s="1"/>
  <c r="B55" i="6"/>
  <c r="C56" i="6" s="1"/>
  <c r="B54" i="6"/>
  <c r="C54" i="6" s="1"/>
  <c r="B53" i="6"/>
  <c r="C52" i="6"/>
  <c r="B52" i="6"/>
  <c r="B51" i="6"/>
  <c r="B50" i="6"/>
  <c r="C51" i="6" s="1"/>
  <c r="B49" i="6"/>
  <c r="B48" i="6"/>
  <c r="B47" i="6"/>
  <c r="C48" i="6" s="1"/>
  <c r="B46" i="6"/>
  <c r="C47" i="6" s="1"/>
  <c r="B45" i="6"/>
  <c r="B44" i="6"/>
  <c r="B43" i="6"/>
  <c r="B42" i="6"/>
  <c r="C43" i="6" s="1"/>
  <c r="B41" i="6"/>
  <c r="B40" i="6"/>
  <c r="B39" i="6"/>
  <c r="C40" i="6" s="1"/>
  <c r="B38" i="6"/>
  <c r="C39" i="6" s="1"/>
  <c r="C37" i="6"/>
  <c r="B37" i="6"/>
  <c r="B36" i="6"/>
  <c r="B35" i="6"/>
  <c r="C36" i="6" s="1"/>
  <c r="B34" i="6"/>
  <c r="C35" i="6" s="1"/>
  <c r="B33" i="6"/>
  <c r="B32" i="6"/>
  <c r="C33" i="6" s="1"/>
  <c r="B31" i="6"/>
  <c r="C32" i="6" s="1"/>
  <c r="C30" i="6"/>
  <c r="B30" i="6"/>
  <c r="C31" i="6" s="1"/>
  <c r="B29" i="6"/>
  <c r="B28" i="6"/>
  <c r="C29" i="6" s="1"/>
  <c r="B27" i="6"/>
  <c r="B26" i="6"/>
  <c r="B25" i="6"/>
  <c r="B24" i="6"/>
  <c r="C25" i="6" s="1"/>
  <c r="C23" i="6"/>
  <c r="B23" i="6"/>
  <c r="C24" i="6" s="1"/>
  <c r="C22" i="6"/>
  <c r="B22" i="6"/>
  <c r="B21" i="6"/>
  <c r="B20" i="6"/>
  <c r="C21" i="6" s="1"/>
  <c r="B19" i="6"/>
  <c r="B18" i="6"/>
  <c r="B17" i="6"/>
  <c r="C18" i="6" s="1"/>
  <c r="C16" i="6"/>
  <c r="B16" i="6"/>
  <c r="C17" i="6" s="1"/>
  <c r="B15" i="6"/>
  <c r="B14" i="6"/>
  <c r="B13" i="6"/>
  <c r="C14" i="6" s="1"/>
  <c r="B12" i="6"/>
  <c r="B11" i="6"/>
  <c r="B10" i="6"/>
  <c r="C11" i="6" s="1"/>
  <c r="B9" i="6"/>
  <c r="C10" i="6" s="1"/>
  <c r="B8" i="6"/>
  <c r="C7" i="6"/>
  <c r="B7" i="6"/>
  <c r="B6" i="6"/>
  <c r="C374" i="5"/>
  <c r="B374" i="5"/>
  <c r="C373" i="5"/>
  <c r="B373" i="5"/>
  <c r="C372" i="5"/>
  <c r="B372" i="5"/>
  <c r="C371" i="5"/>
  <c r="B371" i="5"/>
  <c r="C370" i="5"/>
  <c r="B370" i="5"/>
  <c r="B369" i="5"/>
  <c r="B368" i="5"/>
  <c r="C369" i="5" s="1"/>
  <c r="C367" i="5"/>
  <c r="B367" i="5"/>
  <c r="C366" i="5"/>
  <c r="B366" i="5"/>
  <c r="C365" i="5"/>
  <c r="B365" i="5"/>
  <c r="C364" i="5"/>
  <c r="B364" i="5"/>
  <c r="B363" i="5"/>
  <c r="C362" i="5"/>
  <c r="B362" i="5"/>
  <c r="C363" i="5" s="1"/>
  <c r="C361" i="5"/>
  <c r="B361" i="5"/>
  <c r="C360" i="5"/>
  <c r="B360" i="5"/>
  <c r="C359" i="5"/>
  <c r="B359" i="5"/>
  <c r="C358" i="5"/>
  <c r="B358" i="5"/>
  <c r="B357" i="5"/>
  <c r="C356" i="5"/>
  <c r="B356" i="5"/>
  <c r="C357" i="5" s="1"/>
  <c r="C355" i="5"/>
  <c r="B355" i="5"/>
  <c r="C354" i="5"/>
  <c r="B354" i="5"/>
  <c r="C353" i="5"/>
  <c r="B353" i="5"/>
  <c r="C352" i="5"/>
  <c r="B352" i="5"/>
  <c r="B351" i="5"/>
  <c r="B350" i="5"/>
  <c r="C351" i="5" s="1"/>
  <c r="C349" i="5"/>
  <c r="B349" i="5"/>
  <c r="C348" i="5"/>
  <c r="B348" i="5"/>
  <c r="C347" i="5"/>
  <c r="B347" i="5"/>
  <c r="C346" i="5"/>
  <c r="B346" i="5"/>
  <c r="B345" i="5"/>
  <c r="B344" i="5"/>
  <c r="C345" i="5" s="1"/>
  <c r="C343" i="5"/>
  <c r="B343" i="5"/>
  <c r="C342" i="5"/>
  <c r="B342" i="5"/>
  <c r="C341" i="5"/>
  <c r="B341" i="5"/>
  <c r="C340" i="5"/>
  <c r="B340" i="5"/>
  <c r="B339" i="5"/>
  <c r="B338" i="5"/>
  <c r="C337" i="5"/>
  <c r="B337" i="5"/>
  <c r="C336" i="5"/>
  <c r="B336" i="5"/>
  <c r="C335" i="5"/>
  <c r="B335" i="5"/>
  <c r="C334" i="5"/>
  <c r="B334" i="5"/>
  <c r="B333" i="5"/>
  <c r="B332" i="5"/>
  <c r="C333" i="5" s="1"/>
  <c r="C331" i="5"/>
  <c r="B331" i="5"/>
  <c r="C330" i="5"/>
  <c r="B330" i="5"/>
  <c r="C329" i="5"/>
  <c r="B329" i="5"/>
  <c r="C328" i="5"/>
  <c r="B328" i="5"/>
  <c r="B327" i="5"/>
  <c r="C326" i="5"/>
  <c r="B326" i="5"/>
  <c r="C327" i="5" s="1"/>
  <c r="C325" i="5"/>
  <c r="B325" i="5"/>
  <c r="C324" i="5"/>
  <c r="B324" i="5"/>
  <c r="C323" i="5"/>
  <c r="B323" i="5"/>
  <c r="C322" i="5"/>
  <c r="B322" i="5"/>
  <c r="B321" i="5"/>
  <c r="B320" i="5"/>
  <c r="C321" i="5" s="1"/>
  <c r="C319" i="5"/>
  <c r="B319" i="5"/>
  <c r="C318" i="5"/>
  <c r="B318" i="5"/>
  <c r="C317" i="5"/>
  <c r="B317" i="5"/>
  <c r="C316" i="5"/>
  <c r="B316" i="5"/>
  <c r="B315" i="5"/>
  <c r="C314" i="5"/>
  <c r="B314" i="5"/>
  <c r="C315" i="5" s="1"/>
  <c r="C313" i="5"/>
  <c r="B313" i="5"/>
  <c r="C312" i="5"/>
  <c r="B312" i="5"/>
  <c r="C311" i="5"/>
  <c r="B311" i="5"/>
  <c r="C310" i="5"/>
  <c r="B310" i="5"/>
  <c r="B309" i="5"/>
  <c r="B308" i="5"/>
  <c r="C309" i="5" s="1"/>
  <c r="C307" i="5"/>
  <c r="B307" i="5"/>
  <c r="C306" i="5"/>
  <c r="B306" i="5"/>
  <c r="C305" i="5"/>
  <c r="B305" i="5"/>
  <c r="C304" i="5"/>
  <c r="B304" i="5"/>
  <c r="B303" i="5"/>
  <c r="C302" i="5"/>
  <c r="B302" i="5"/>
  <c r="C303" i="5" s="1"/>
  <c r="C301" i="5"/>
  <c r="B301" i="5"/>
  <c r="C300" i="5"/>
  <c r="B300" i="5"/>
  <c r="C299" i="5"/>
  <c r="B299" i="5"/>
  <c r="C298" i="5"/>
  <c r="B298" i="5"/>
  <c r="B297" i="5"/>
  <c r="B296" i="5"/>
  <c r="C297" i="5" s="1"/>
  <c r="C295" i="5"/>
  <c r="B295" i="5"/>
  <c r="B294" i="5"/>
  <c r="C293" i="5"/>
  <c r="B293" i="5"/>
  <c r="C294" i="5" s="1"/>
  <c r="C292" i="5"/>
  <c r="B292" i="5"/>
  <c r="B291" i="5"/>
  <c r="C290" i="5"/>
  <c r="B290" i="5"/>
  <c r="C291" i="5" s="1"/>
  <c r="C289" i="5"/>
  <c r="B289" i="5"/>
  <c r="B288" i="5"/>
  <c r="C287" i="5"/>
  <c r="B287" i="5"/>
  <c r="C288" i="5" s="1"/>
  <c r="C286" i="5"/>
  <c r="B286" i="5"/>
  <c r="B285" i="5"/>
  <c r="B284" i="5"/>
  <c r="C285" i="5" s="1"/>
  <c r="C283" i="5"/>
  <c r="B283" i="5"/>
  <c r="B282" i="5"/>
  <c r="C281" i="5"/>
  <c r="B281" i="5"/>
  <c r="C282" i="5" s="1"/>
  <c r="C280" i="5"/>
  <c r="B280" i="5"/>
  <c r="B279" i="5"/>
  <c r="B278" i="5"/>
  <c r="C279" i="5" s="1"/>
  <c r="C277" i="5"/>
  <c r="B277" i="5"/>
  <c r="B276" i="5"/>
  <c r="C275" i="5"/>
  <c r="B275" i="5"/>
  <c r="C276" i="5" s="1"/>
  <c r="C274" i="5"/>
  <c r="B274" i="5"/>
  <c r="B273" i="5"/>
  <c r="B272" i="5"/>
  <c r="C273" i="5" s="1"/>
  <c r="C271" i="5"/>
  <c r="B271" i="5"/>
  <c r="B270" i="5"/>
  <c r="C269" i="5"/>
  <c r="B269" i="5"/>
  <c r="C270" i="5" s="1"/>
  <c r="C268" i="5"/>
  <c r="B268" i="5"/>
  <c r="B267" i="5"/>
  <c r="B266" i="5"/>
  <c r="C267" i="5" s="1"/>
  <c r="C265" i="5"/>
  <c r="B265" i="5"/>
  <c r="B264" i="5"/>
  <c r="C263" i="5"/>
  <c r="B263" i="5"/>
  <c r="C264" i="5" s="1"/>
  <c r="C262" i="5"/>
  <c r="B262" i="5"/>
  <c r="B261" i="5"/>
  <c r="B260" i="5"/>
  <c r="C261" i="5" s="1"/>
  <c r="C259" i="5"/>
  <c r="B259" i="5"/>
  <c r="B258" i="5"/>
  <c r="C257" i="5"/>
  <c r="B257" i="5"/>
  <c r="C258" i="5" s="1"/>
  <c r="C256" i="5"/>
  <c r="B256" i="5"/>
  <c r="B255" i="5"/>
  <c r="C254" i="5"/>
  <c r="B254" i="5"/>
  <c r="C255" i="5" s="1"/>
  <c r="C253" i="5"/>
  <c r="B253" i="5"/>
  <c r="B252" i="5"/>
  <c r="C251" i="5"/>
  <c r="B251" i="5"/>
  <c r="C252" i="5" s="1"/>
  <c r="C250" i="5"/>
  <c r="B250" i="5"/>
  <c r="B249" i="5"/>
  <c r="C248" i="5"/>
  <c r="B248" i="5"/>
  <c r="C249" i="5" s="1"/>
  <c r="C247" i="5"/>
  <c r="B247" i="5"/>
  <c r="B246" i="5"/>
  <c r="C245" i="5"/>
  <c r="B245" i="5"/>
  <c r="C246" i="5" s="1"/>
  <c r="C244" i="5"/>
  <c r="B244" i="5"/>
  <c r="B243" i="5"/>
  <c r="B242" i="5"/>
  <c r="C243" i="5" s="1"/>
  <c r="C241" i="5"/>
  <c r="B241" i="5"/>
  <c r="B240" i="5"/>
  <c r="C239" i="5"/>
  <c r="B239" i="5"/>
  <c r="C240" i="5" s="1"/>
  <c r="C238" i="5"/>
  <c r="B238" i="5"/>
  <c r="B237" i="5"/>
  <c r="B236" i="5"/>
  <c r="C237" i="5" s="1"/>
  <c r="C235" i="5"/>
  <c r="B235" i="5"/>
  <c r="B234" i="5"/>
  <c r="C233" i="5"/>
  <c r="B233" i="5"/>
  <c r="C234" i="5" s="1"/>
  <c r="C232" i="5"/>
  <c r="B232" i="5"/>
  <c r="B231" i="5"/>
  <c r="B230" i="5"/>
  <c r="C231" i="5" s="1"/>
  <c r="C229" i="5"/>
  <c r="B229" i="5"/>
  <c r="B228" i="5"/>
  <c r="C227" i="5"/>
  <c r="B227" i="5"/>
  <c r="C228" i="5" s="1"/>
  <c r="C226" i="5"/>
  <c r="B226" i="5"/>
  <c r="B225" i="5"/>
  <c r="B224" i="5"/>
  <c r="C225" i="5" s="1"/>
  <c r="C223" i="5"/>
  <c r="B223" i="5"/>
  <c r="B222" i="5"/>
  <c r="C221" i="5"/>
  <c r="B221" i="5"/>
  <c r="C222" i="5" s="1"/>
  <c r="C220" i="5"/>
  <c r="B220" i="5"/>
  <c r="B219" i="5"/>
  <c r="C218" i="5"/>
  <c r="B218" i="5"/>
  <c r="C219" i="5" s="1"/>
  <c r="C217" i="5"/>
  <c r="B217" i="5"/>
  <c r="B216" i="5"/>
  <c r="C215" i="5"/>
  <c r="B215" i="5"/>
  <c r="C216" i="5" s="1"/>
  <c r="C214" i="5"/>
  <c r="B214" i="5"/>
  <c r="B213" i="5"/>
  <c r="C212" i="5"/>
  <c r="B212" i="5"/>
  <c r="C213" i="5" s="1"/>
  <c r="C211" i="5"/>
  <c r="B211" i="5"/>
  <c r="B210" i="5"/>
  <c r="C209" i="5"/>
  <c r="B209" i="5"/>
  <c r="C210" i="5" s="1"/>
  <c r="C208" i="5"/>
  <c r="B208" i="5"/>
  <c r="B207" i="5"/>
  <c r="B206" i="5"/>
  <c r="C207" i="5" s="1"/>
  <c r="C205" i="5"/>
  <c r="B205" i="5"/>
  <c r="B204" i="5"/>
  <c r="C203" i="5"/>
  <c r="B203" i="5"/>
  <c r="C204" i="5" s="1"/>
  <c r="C202" i="5"/>
  <c r="B202" i="5"/>
  <c r="B201" i="5"/>
  <c r="B200" i="5"/>
  <c r="C201" i="5" s="1"/>
  <c r="C199" i="5"/>
  <c r="B199" i="5"/>
  <c r="B198" i="5"/>
  <c r="C197" i="5"/>
  <c r="B197" i="5"/>
  <c r="C198" i="5" s="1"/>
  <c r="C196" i="5"/>
  <c r="B196" i="5"/>
  <c r="B195" i="5"/>
  <c r="B194" i="5"/>
  <c r="C195" i="5" s="1"/>
  <c r="C193" i="5"/>
  <c r="B193" i="5"/>
  <c r="B192" i="5"/>
  <c r="C191" i="5"/>
  <c r="B191" i="5"/>
  <c r="C192" i="5" s="1"/>
  <c r="C190" i="5"/>
  <c r="B190" i="5"/>
  <c r="B189" i="5"/>
  <c r="B188" i="5"/>
  <c r="C189" i="5" s="1"/>
  <c r="C187" i="5"/>
  <c r="B187" i="5"/>
  <c r="B186" i="5"/>
  <c r="C185" i="5"/>
  <c r="B185" i="5"/>
  <c r="C186" i="5" s="1"/>
  <c r="C184" i="5"/>
  <c r="B184" i="5"/>
  <c r="B183" i="5"/>
  <c r="C182" i="5"/>
  <c r="B182" i="5"/>
  <c r="C183" i="5" s="1"/>
  <c r="C181" i="5"/>
  <c r="B181" i="5"/>
  <c r="B180" i="5"/>
  <c r="C179" i="5"/>
  <c r="B179" i="5"/>
  <c r="C180" i="5" s="1"/>
  <c r="C178" i="5"/>
  <c r="B178" i="5"/>
  <c r="B177" i="5"/>
  <c r="B176" i="5"/>
  <c r="C177" i="5" s="1"/>
  <c r="C175" i="5"/>
  <c r="B175" i="5"/>
  <c r="B174" i="5"/>
  <c r="C173" i="5"/>
  <c r="B173" i="5"/>
  <c r="C174" i="5" s="1"/>
  <c r="C172" i="5"/>
  <c r="B172" i="5"/>
  <c r="B171" i="5"/>
  <c r="B170" i="5"/>
  <c r="C171" i="5" s="1"/>
  <c r="C169" i="5"/>
  <c r="B169" i="5"/>
  <c r="B168" i="5"/>
  <c r="C167" i="5"/>
  <c r="B167" i="5"/>
  <c r="C168" i="5" s="1"/>
  <c r="C166" i="5"/>
  <c r="B166" i="5"/>
  <c r="B165" i="5"/>
  <c r="B164" i="5"/>
  <c r="C165" i="5" s="1"/>
  <c r="C163" i="5"/>
  <c r="B163" i="5"/>
  <c r="B162" i="5"/>
  <c r="C161" i="5"/>
  <c r="B161" i="5"/>
  <c r="C162" i="5" s="1"/>
  <c r="C160" i="5"/>
  <c r="B160" i="5"/>
  <c r="B159" i="5"/>
  <c r="B158" i="5"/>
  <c r="C159" i="5" s="1"/>
  <c r="C157" i="5"/>
  <c r="B157" i="5"/>
  <c r="B156" i="5"/>
  <c r="B155" i="5"/>
  <c r="C154" i="5"/>
  <c r="B154" i="5"/>
  <c r="B153" i="5"/>
  <c r="B152" i="5"/>
  <c r="C153" i="5" s="1"/>
  <c r="C151" i="5"/>
  <c r="B151" i="5"/>
  <c r="B150" i="5"/>
  <c r="C149" i="5"/>
  <c r="B149" i="5"/>
  <c r="C150" i="5" s="1"/>
  <c r="C148" i="5"/>
  <c r="B148" i="5"/>
  <c r="B147" i="5"/>
  <c r="C146" i="5"/>
  <c r="B146" i="5"/>
  <c r="C147" i="5" s="1"/>
  <c r="C145" i="5"/>
  <c r="B145" i="5"/>
  <c r="B144" i="5"/>
  <c r="C143" i="5"/>
  <c r="B143" i="5"/>
  <c r="C144" i="5" s="1"/>
  <c r="C142" i="5"/>
  <c r="B142" i="5"/>
  <c r="B141" i="5"/>
  <c r="B140" i="5"/>
  <c r="C141" i="5" s="1"/>
  <c r="C139" i="5"/>
  <c r="B139" i="5"/>
  <c r="B138" i="5"/>
  <c r="C137" i="5"/>
  <c r="B137" i="5"/>
  <c r="C138" i="5" s="1"/>
  <c r="C136" i="5"/>
  <c r="B136" i="5"/>
  <c r="B135" i="5"/>
  <c r="B134" i="5"/>
  <c r="C135" i="5" s="1"/>
  <c r="C133" i="5"/>
  <c r="B133" i="5"/>
  <c r="B132" i="5"/>
  <c r="C131" i="5"/>
  <c r="B131" i="5"/>
  <c r="C132" i="5" s="1"/>
  <c r="C130" i="5"/>
  <c r="B130" i="5"/>
  <c r="B129" i="5"/>
  <c r="B128" i="5"/>
  <c r="C129" i="5" s="1"/>
  <c r="C127" i="5"/>
  <c r="B127" i="5"/>
  <c r="B126" i="5"/>
  <c r="B125" i="5"/>
  <c r="C126" i="5" s="1"/>
  <c r="C124" i="5"/>
  <c r="B124" i="5"/>
  <c r="B123" i="5"/>
  <c r="B122" i="5"/>
  <c r="C123" i="5" s="1"/>
  <c r="C121" i="5"/>
  <c r="B121" i="5"/>
  <c r="B120" i="5"/>
  <c r="B119" i="5"/>
  <c r="C118" i="5"/>
  <c r="B118" i="5"/>
  <c r="B117" i="5"/>
  <c r="B116" i="5"/>
  <c r="C117" i="5" s="1"/>
  <c r="C115" i="5"/>
  <c r="B115" i="5"/>
  <c r="B114" i="5"/>
  <c r="C113" i="5"/>
  <c r="B113" i="5"/>
  <c r="C114" i="5" s="1"/>
  <c r="C112" i="5"/>
  <c r="B112" i="5"/>
  <c r="B111" i="5"/>
  <c r="C110" i="5"/>
  <c r="B110" i="5"/>
  <c r="C111" i="5" s="1"/>
  <c r="C109" i="5"/>
  <c r="B109" i="5"/>
  <c r="B108" i="5"/>
  <c r="C107" i="5"/>
  <c r="B107" i="5"/>
  <c r="C108" i="5" s="1"/>
  <c r="C106" i="5"/>
  <c r="B106" i="5"/>
  <c r="B105" i="5"/>
  <c r="B104" i="5"/>
  <c r="C105" i="5" s="1"/>
  <c r="C103" i="5"/>
  <c r="B103" i="5"/>
  <c r="B102" i="5"/>
  <c r="C101" i="5"/>
  <c r="B101" i="5"/>
  <c r="C102" i="5" s="1"/>
  <c r="C100" i="5"/>
  <c r="B100" i="5"/>
  <c r="B99" i="5"/>
  <c r="B98" i="5"/>
  <c r="C99" i="5" s="1"/>
  <c r="C97" i="5"/>
  <c r="B97" i="5"/>
  <c r="B96" i="5"/>
  <c r="C95" i="5"/>
  <c r="B95" i="5"/>
  <c r="C96" i="5" s="1"/>
  <c r="B94" i="5"/>
  <c r="C94" i="5" s="1"/>
  <c r="B93" i="5"/>
  <c r="C92" i="5"/>
  <c r="B92" i="5"/>
  <c r="C93" i="5" s="1"/>
  <c r="C91" i="5"/>
  <c r="B91" i="5"/>
  <c r="B90" i="5"/>
  <c r="B89" i="5"/>
  <c r="C90" i="5" s="1"/>
  <c r="B88" i="5"/>
  <c r="C88" i="5" s="1"/>
  <c r="B87" i="5"/>
  <c r="B86" i="5"/>
  <c r="C87" i="5" s="1"/>
  <c r="C85" i="5"/>
  <c r="B85" i="5"/>
  <c r="B84" i="5"/>
  <c r="C83" i="5"/>
  <c r="B83" i="5"/>
  <c r="C84" i="5" s="1"/>
  <c r="B82" i="5"/>
  <c r="C82" i="5" s="1"/>
  <c r="B81" i="5"/>
  <c r="B80" i="5"/>
  <c r="C81" i="5" s="1"/>
  <c r="C79" i="5"/>
  <c r="B79" i="5"/>
  <c r="B78" i="5"/>
  <c r="B77" i="5"/>
  <c r="C78" i="5" s="1"/>
  <c r="B76" i="5"/>
  <c r="C76" i="5" s="1"/>
  <c r="B75" i="5"/>
  <c r="B74" i="5"/>
  <c r="C75" i="5" s="1"/>
  <c r="C73" i="5"/>
  <c r="B73" i="5"/>
  <c r="B72" i="5"/>
  <c r="C71" i="5"/>
  <c r="B71" i="5"/>
  <c r="C72" i="5" s="1"/>
  <c r="B70" i="5"/>
  <c r="C70" i="5" s="1"/>
  <c r="B69" i="5"/>
  <c r="C68" i="5"/>
  <c r="B68" i="5"/>
  <c r="C69" i="5" s="1"/>
  <c r="C67" i="5"/>
  <c r="B67" i="5"/>
  <c r="B66" i="5"/>
  <c r="B65" i="5"/>
  <c r="C66" i="5" s="1"/>
  <c r="B64" i="5"/>
  <c r="C64" i="5" s="1"/>
  <c r="B63" i="5"/>
  <c r="B62" i="5"/>
  <c r="C63" i="5" s="1"/>
  <c r="C61" i="5"/>
  <c r="B61" i="5"/>
  <c r="B60" i="5"/>
  <c r="C59" i="5"/>
  <c r="B59" i="5"/>
  <c r="C60" i="5" s="1"/>
  <c r="B58" i="5"/>
  <c r="C58" i="5" s="1"/>
  <c r="B57" i="5"/>
  <c r="B56" i="5"/>
  <c r="C57" i="5" s="1"/>
  <c r="C55" i="5"/>
  <c r="B55" i="5"/>
  <c r="B54" i="5"/>
  <c r="B53" i="5"/>
  <c r="C54" i="5" s="1"/>
  <c r="B52" i="5"/>
  <c r="C52" i="5" s="1"/>
  <c r="B51" i="5"/>
  <c r="B50" i="5"/>
  <c r="C51" i="5" s="1"/>
  <c r="C49" i="5"/>
  <c r="B49" i="5"/>
  <c r="B48" i="5"/>
  <c r="C47" i="5"/>
  <c r="B47" i="5"/>
  <c r="C48" i="5" s="1"/>
  <c r="B46" i="5"/>
  <c r="C46" i="5" s="1"/>
  <c r="B45" i="5"/>
  <c r="C44" i="5"/>
  <c r="B44" i="5"/>
  <c r="C45" i="5" s="1"/>
  <c r="C43" i="5"/>
  <c r="B43" i="5"/>
  <c r="B42" i="5"/>
  <c r="B41" i="5"/>
  <c r="C42" i="5" s="1"/>
  <c r="B40" i="5"/>
  <c r="C40" i="5" s="1"/>
  <c r="B39" i="5"/>
  <c r="B38" i="5"/>
  <c r="C39" i="5" s="1"/>
  <c r="C37" i="5"/>
  <c r="B37" i="5"/>
  <c r="B36" i="5"/>
  <c r="C35" i="5"/>
  <c r="B35" i="5"/>
  <c r="C36" i="5" s="1"/>
  <c r="B34" i="5"/>
  <c r="C34" i="5" s="1"/>
  <c r="B33" i="5"/>
  <c r="B32" i="5"/>
  <c r="C33" i="5" s="1"/>
  <c r="C31" i="5"/>
  <c r="B31" i="5"/>
  <c r="B30" i="5"/>
  <c r="B29" i="5"/>
  <c r="C30" i="5" s="1"/>
  <c r="B28" i="5"/>
  <c r="C28" i="5" s="1"/>
  <c r="B27" i="5"/>
  <c r="B26" i="5"/>
  <c r="C27" i="5" s="1"/>
  <c r="C25" i="5"/>
  <c r="B25" i="5"/>
  <c r="B24" i="5"/>
  <c r="B23" i="5"/>
  <c r="C24" i="5" s="1"/>
  <c r="B22" i="5"/>
  <c r="C22" i="5" s="1"/>
  <c r="B21" i="5"/>
  <c r="C20" i="5"/>
  <c r="B20" i="5"/>
  <c r="C21" i="5" s="1"/>
  <c r="C19" i="5"/>
  <c r="B19" i="5"/>
  <c r="B18" i="5"/>
  <c r="C17" i="5"/>
  <c r="B17" i="5"/>
  <c r="C18" i="5" s="1"/>
  <c r="B16" i="5"/>
  <c r="C16" i="5" s="1"/>
  <c r="B15" i="5"/>
  <c r="B14" i="5"/>
  <c r="C15" i="5" s="1"/>
  <c r="C13" i="5"/>
  <c r="B13" i="5"/>
  <c r="B12" i="5"/>
  <c r="C11" i="5"/>
  <c r="B11" i="5"/>
  <c r="C12" i="5" s="1"/>
  <c r="B10" i="5"/>
  <c r="C10" i="5" s="1"/>
  <c r="B9" i="5"/>
  <c r="C8" i="5"/>
  <c r="B8" i="5"/>
  <c r="C9" i="5" s="1"/>
  <c r="C7" i="5"/>
  <c r="B7" i="5"/>
  <c r="B6" i="5"/>
  <c r="U88" i="4"/>
  <c r="V88" i="4" s="1"/>
  <c r="T88" i="4"/>
  <c r="S88" i="4"/>
  <c r="Q88" i="4"/>
  <c r="O88" i="4"/>
  <c r="P88" i="4" s="1"/>
  <c r="M88" i="4"/>
  <c r="N88" i="4" s="1"/>
  <c r="L88" i="4"/>
  <c r="K88" i="4"/>
  <c r="I88" i="4"/>
  <c r="H88" i="4"/>
  <c r="G88" i="4"/>
  <c r="E88" i="4"/>
  <c r="C88" i="4"/>
  <c r="D88" i="4" s="1"/>
  <c r="U87" i="4"/>
  <c r="V87" i="4" s="1"/>
  <c r="T87" i="4"/>
  <c r="S87" i="4"/>
  <c r="Q87" i="4"/>
  <c r="P87" i="4"/>
  <c r="O87" i="4"/>
  <c r="N87" i="4"/>
  <c r="M87" i="4"/>
  <c r="K87" i="4"/>
  <c r="I87" i="4"/>
  <c r="J87" i="4" s="1"/>
  <c r="G87" i="4"/>
  <c r="E87" i="4"/>
  <c r="D87" i="4"/>
  <c r="C87" i="4"/>
  <c r="V86" i="4"/>
  <c r="U86" i="4"/>
  <c r="S86" i="4"/>
  <c r="T86" i="4" s="1"/>
  <c r="Q86" i="4"/>
  <c r="R86" i="4" s="1"/>
  <c r="O86" i="4"/>
  <c r="M86" i="4"/>
  <c r="K86" i="4"/>
  <c r="L86" i="4" s="1"/>
  <c r="J86" i="4"/>
  <c r="I86" i="4"/>
  <c r="G86" i="4"/>
  <c r="H86" i="4" s="1"/>
  <c r="E86" i="4"/>
  <c r="F86" i="4" s="1"/>
  <c r="D86" i="4"/>
  <c r="C86" i="4"/>
  <c r="U85" i="4"/>
  <c r="T85" i="4"/>
  <c r="S85" i="4"/>
  <c r="Q85" i="4"/>
  <c r="O85" i="4"/>
  <c r="N85" i="4"/>
  <c r="M85" i="4"/>
  <c r="K85" i="4"/>
  <c r="I85" i="4"/>
  <c r="J85" i="4" s="1"/>
  <c r="H85" i="4"/>
  <c r="G85" i="4"/>
  <c r="E85" i="4"/>
  <c r="C85" i="4"/>
  <c r="U84" i="4"/>
  <c r="V84" i="4" s="1"/>
  <c r="T84" i="4"/>
  <c r="S84" i="4"/>
  <c r="Q84" i="4"/>
  <c r="P84" i="4"/>
  <c r="O84" i="4"/>
  <c r="M84" i="4"/>
  <c r="K84" i="4"/>
  <c r="L85" i="4" s="1"/>
  <c r="I84" i="4"/>
  <c r="J84" i="4" s="1"/>
  <c r="H84" i="4"/>
  <c r="G84" i="4"/>
  <c r="E84" i="4"/>
  <c r="D84" i="4"/>
  <c r="C84" i="4"/>
  <c r="V83" i="4"/>
  <c r="U83" i="4"/>
  <c r="S83" i="4"/>
  <c r="Q83" i="4"/>
  <c r="R83" i="4" s="1"/>
  <c r="O83" i="4"/>
  <c r="M83" i="4"/>
  <c r="L83" i="4"/>
  <c r="K83" i="4"/>
  <c r="J83" i="4"/>
  <c r="I83" i="4"/>
  <c r="G83" i="4"/>
  <c r="H83" i="4" s="1"/>
  <c r="E83" i="4"/>
  <c r="F83" i="4" s="1"/>
  <c r="C83" i="4"/>
  <c r="U82" i="4"/>
  <c r="S82" i="4"/>
  <c r="T82" i="4" s="1"/>
  <c r="R82" i="4"/>
  <c r="Q82" i="4"/>
  <c r="O82" i="4"/>
  <c r="P82" i="4" s="1"/>
  <c r="M82" i="4"/>
  <c r="N82" i="4" s="1"/>
  <c r="L82" i="4"/>
  <c r="K82" i="4"/>
  <c r="I82" i="4"/>
  <c r="H82" i="4"/>
  <c r="G82" i="4"/>
  <c r="E82" i="4"/>
  <c r="C82" i="4"/>
  <c r="V81" i="4"/>
  <c r="U81" i="4"/>
  <c r="S81" i="4"/>
  <c r="Q81" i="4"/>
  <c r="R81" i="4" s="1"/>
  <c r="P81" i="4"/>
  <c r="O81" i="4"/>
  <c r="M81" i="4"/>
  <c r="K81" i="4"/>
  <c r="J81" i="4"/>
  <c r="I81" i="4"/>
  <c r="H81" i="4"/>
  <c r="G81" i="4"/>
  <c r="E81" i="4"/>
  <c r="D81" i="4"/>
  <c r="C81" i="4"/>
  <c r="U80" i="4"/>
  <c r="S80" i="4"/>
  <c r="T81" i="4" s="1"/>
  <c r="Q80" i="4"/>
  <c r="R80" i="4" s="1"/>
  <c r="P80" i="4"/>
  <c r="O80" i="4"/>
  <c r="M80" i="4"/>
  <c r="L80" i="4"/>
  <c r="K80" i="4"/>
  <c r="J80" i="4"/>
  <c r="I80" i="4"/>
  <c r="G80" i="4"/>
  <c r="E80" i="4"/>
  <c r="F80" i="4" s="1"/>
  <c r="C80" i="4"/>
  <c r="U79" i="4"/>
  <c r="S79" i="4"/>
  <c r="T79" i="4" s="1"/>
  <c r="R79" i="4"/>
  <c r="Q79" i="4"/>
  <c r="O79" i="4"/>
  <c r="P79" i="4" s="1"/>
  <c r="M79" i="4"/>
  <c r="N79" i="4" s="1"/>
  <c r="K79" i="4"/>
  <c r="I79" i="4"/>
  <c r="G79" i="4"/>
  <c r="H79" i="4" s="1"/>
  <c r="F79" i="4"/>
  <c r="E79" i="4"/>
  <c r="C79" i="4"/>
  <c r="D79" i="4" s="1"/>
  <c r="U78" i="4"/>
  <c r="V78" i="4" s="1"/>
  <c r="T78" i="4"/>
  <c r="S78" i="4"/>
  <c r="Q78" i="4"/>
  <c r="P78" i="4"/>
  <c r="O78" i="4"/>
  <c r="M78" i="4"/>
  <c r="K78" i="4"/>
  <c r="J78" i="4"/>
  <c r="I78" i="4"/>
  <c r="G78" i="4"/>
  <c r="E78" i="4"/>
  <c r="F78" i="4" s="1"/>
  <c r="D78" i="4"/>
  <c r="C78" i="4"/>
  <c r="U77" i="4"/>
  <c r="S77" i="4"/>
  <c r="R77" i="4"/>
  <c r="Q77" i="4"/>
  <c r="P77" i="4"/>
  <c r="O77" i="4"/>
  <c r="M77" i="4"/>
  <c r="L77" i="4"/>
  <c r="K77" i="4"/>
  <c r="I77" i="4"/>
  <c r="G77" i="4"/>
  <c r="H78" i="4" s="1"/>
  <c r="E77" i="4"/>
  <c r="F77" i="4" s="1"/>
  <c r="D77" i="4"/>
  <c r="C77" i="4"/>
  <c r="U76" i="4"/>
  <c r="T76" i="4"/>
  <c r="S76" i="4"/>
  <c r="R76" i="4"/>
  <c r="Q76" i="4"/>
  <c r="O76" i="4"/>
  <c r="M76" i="4"/>
  <c r="N76" i="4" s="1"/>
  <c r="K76" i="4"/>
  <c r="I76" i="4"/>
  <c r="G76" i="4"/>
  <c r="H76" i="4" s="1"/>
  <c r="F76" i="4"/>
  <c r="E76" i="4"/>
  <c r="C76" i="4"/>
  <c r="D76" i="4" s="1"/>
  <c r="U75" i="4"/>
  <c r="V75" i="4" s="1"/>
  <c r="S75" i="4"/>
  <c r="Q75" i="4"/>
  <c r="O75" i="4"/>
  <c r="P75" i="4" s="1"/>
  <c r="N75" i="4"/>
  <c r="M75" i="4"/>
  <c r="K75" i="4"/>
  <c r="L75" i="4" s="1"/>
  <c r="I75" i="4"/>
  <c r="J75" i="4" s="1"/>
  <c r="H75" i="4"/>
  <c r="G75" i="4"/>
  <c r="E75" i="4"/>
  <c r="D75" i="4"/>
  <c r="C75" i="4"/>
  <c r="U74" i="4"/>
  <c r="S74" i="4"/>
  <c r="R74" i="4"/>
  <c r="Q74" i="4"/>
  <c r="O74" i="4"/>
  <c r="M74" i="4"/>
  <c r="N74" i="4" s="1"/>
  <c r="L74" i="4"/>
  <c r="K74" i="4"/>
  <c r="I74" i="4"/>
  <c r="G74" i="4"/>
  <c r="E74" i="4"/>
  <c r="F74" i="4" s="1"/>
  <c r="D74" i="4"/>
  <c r="C74" i="4"/>
  <c r="U73" i="4"/>
  <c r="T73" i="4"/>
  <c r="S73" i="4"/>
  <c r="Q73" i="4"/>
  <c r="O73" i="4"/>
  <c r="P74" i="4" s="1"/>
  <c r="M73" i="4"/>
  <c r="N73" i="4" s="1"/>
  <c r="L73" i="4"/>
  <c r="K73" i="4"/>
  <c r="I73" i="4"/>
  <c r="H73" i="4"/>
  <c r="G73" i="4"/>
  <c r="F73" i="4"/>
  <c r="E73" i="4"/>
  <c r="C73" i="4"/>
  <c r="U72" i="4"/>
  <c r="V72" i="4" s="1"/>
  <c r="S72" i="4"/>
  <c r="Q72" i="4"/>
  <c r="O72" i="4"/>
  <c r="P72" i="4" s="1"/>
  <c r="N72" i="4"/>
  <c r="M72" i="4"/>
  <c r="K72" i="4"/>
  <c r="L72" i="4" s="1"/>
  <c r="I72" i="4"/>
  <c r="J72" i="4" s="1"/>
  <c r="G72" i="4"/>
  <c r="E72" i="4"/>
  <c r="C72" i="4"/>
  <c r="D72" i="4" s="1"/>
  <c r="V71" i="4"/>
  <c r="U71" i="4"/>
  <c r="S71" i="4"/>
  <c r="T71" i="4" s="1"/>
  <c r="Q71" i="4"/>
  <c r="R71" i="4" s="1"/>
  <c r="P71" i="4"/>
  <c r="O71" i="4"/>
  <c r="M71" i="4"/>
  <c r="L71" i="4"/>
  <c r="K71" i="4"/>
  <c r="I71" i="4"/>
  <c r="G71" i="4"/>
  <c r="F71" i="4"/>
  <c r="E71" i="4"/>
  <c r="C71" i="4"/>
  <c r="U70" i="4"/>
  <c r="V70" i="4" s="1"/>
  <c r="T70" i="4"/>
  <c r="S70" i="4"/>
  <c r="Q70" i="4"/>
  <c r="O70" i="4"/>
  <c r="M70" i="4"/>
  <c r="N70" i="4" s="1"/>
  <c r="L70" i="4"/>
  <c r="K70" i="4"/>
  <c r="I70" i="4"/>
  <c r="H70" i="4"/>
  <c r="G70" i="4"/>
  <c r="E70" i="4"/>
  <c r="C70" i="4"/>
  <c r="D71" i="4" s="1"/>
  <c r="U69" i="4"/>
  <c r="V69" i="4" s="1"/>
  <c r="T69" i="4"/>
  <c r="S69" i="4"/>
  <c r="Q69" i="4"/>
  <c r="O69" i="4"/>
  <c r="N69" i="4"/>
  <c r="M69" i="4"/>
  <c r="K69" i="4"/>
  <c r="I69" i="4"/>
  <c r="J69" i="4" s="1"/>
  <c r="G69" i="4"/>
  <c r="H69" i="4" s="1"/>
  <c r="E69" i="4"/>
  <c r="C69" i="4"/>
  <c r="D69" i="4" s="1"/>
  <c r="V68" i="4"/>
  <c r="U68" i="4"/>
  <c r="S68" i="4"/>
  <c r="T68" i="4" s="1"/>
  <c r="Q68" i="4"/>
  <c r="R68" i="4" s="1"/>
  <c r="O68" i="4"/>
  <c r="M68" i="4"/>
  <c r="K68" i="4"/>
  <c r="L68" i="4" s="1"/>
  <c r="J68" i="4"/>
  <c r="I68" i="4"/>
  <c r="G68" i="4"/>
  <c r="H68" i="4" s="1"/>
  <c r="E68" i="4"/>
  <c r="F68" i="4" s="1"/>
  <c r="C68" i="4"/>
  <c r="D68" i="4" s="1"/>
  <c r="U67" i="4"/>
  <c r="T67" i="4"/>
  <c r="S67" i="4"/>
  <c r="Q67" i="4"/>
  <c r="O67" i="4"/>
  <c r="P67" i="4" s="1"/>
  <c r="N67" i="4"/>
  <c r="M67" i="4"/>
  <c r="K67" i="4"/>
  <c r="L67" i="4" s="1"/>
  <c r="I67" i="4"/>
  <c r="J67" i="4" s="1"/>
  <c r="G67" i="4"/>
  <c r="E67" i="4"/>
  <c r="C67" i="4"/>
  <c r="V66" i="4"/>
  <c r="U66" i="4"/>
  <c r="T66" i="4"/>
  <c r="S66" i="4"/>
  <c r="Q66" i="4"/>
  <c r="P66" i="4"/>
  <c r="O66" i="4"/>
  <c r="M66" i="4"/>
  <c r="K66" i="4"/>
  <c r="I66" i="4"/>
  <c r="J66" i="4" s="1"/>
  <c r="G66" i="4"/>
  <c r="H67" i="4" s="1"/>
  <c r="E66" i="4"/>
  <c r="C66" i="4"/>
  <c r="V65" i="4"/>
  <c r="U65" i="4"/>
  <c r="S65" i="4"/>
  <c r="Q65" i="4"/>
  <c r="R65" i="4" s="1"/>
  <c r="O65" i="4"/>
  <c r="P65" i="4" s="1"/>
  <c r="M65" i="4"/>
  <c r="K65" i="4"/>
  <c r="L65" i="4" s="1"/>
  <c r="J65" i="4"/>
  <c r="I65" i="4"/>
  <c r="G65" i="4"/>
  <c r="H65" i="4" s="1"/>
  <c r="E65" i="4"/>
  <c r="F65" i="4" s="1"/>
  <c r="C65" i="4"/>
  <c r="U64" i="4"/>
  <c r="S64" i="4"/>
  <c r="T64" i="4" s="1"/>
  <c r="R64" i="4"/>
  <c r="Q64" i="4"/>
  <c r="O64" i="4"/>
  <c r="P64" i="4" s="1"/>
  <c r="M64" i="4"/>
  <c r="N64" i="4" s="1"/>
  <c r="K64" i="4"/>
  <c r="L64" i="4" s="1"/>
  <c r="I64" i="4"/>
  <c r="H64" i="4"/>
  <c r="G64" i="4"/>
  <c r="E64" i="4"/>
  <c r="C64" i="4"/>
  <c r="D64" i="4" s="1"/>
  <c r="V63" i="4"/>
  <c r="U63" i="4"/>
  <c r="S63" i="4"/>
  <c r="T63" i="4" s="1"/>
  <c r="Q63" i="4"/>
  <c r="R63" i="4" s="1"/>
  <c r="O63" i="4"/>
  <c r="M63" i="4"/>
  <c r="K63" i="4"/>
  <c r="I63" i="4"/>
  <c r="J63" i="4" s="1"/>
  <c r="H63" i="4"/>
  <c r="G63" i="4"/>
  <c r="E63" i="4"/>
  <c r="D63" i="4"/>
  <c r="C63" i="4"/>
  <c r="U62" i="4"/>
  <c r="S62" i="4"/>
  <c r="Q62" i="4"/>
  <c r="R62" i="4" s="1"/>
  <c r="O62" i="4"/>
  <c r="P63" i="4" s="1"/>
  <c r="M62" i="4"/>
  <c r="K62" i="4"/>
  <c r="J62" i="4"/>
  <c r="I62" i="4"/>
  <c r="G62" i="4"/>
  <c r="E62" i="4"/>
  <c r="F62" i="4" s="1"/>
  <c r="C62" i="4"/>
  <c r="D62" i="4" s="1"/>
  <c r="U61" i="4"/>
  <c r="S61" i="4"/>
  <c r="T61" i="4" s="1"/>
  <c r="R61" i="4"/>
  <c r="Q61" i="4"/>
  <c r="O61" i="4"/>
  <c r="P61" i="4" s="1"/>
  <c r="M61" i="4"/>
  <c r="N61" i="4" s="1"/>
  <c r="K61" i="4"/>
  <c r="I61" i="4"/>
  <c r="G61" i="4"/>
  <c r="H61" i="4" s="1"/>
  <c r="F61" i="4"/>
  <c r="E61" i="4"/>
  <c r="C61" i="4"/>
  <c r="D61" i="4" s="1"/>
  <c r="U60" i="4"/>
  <c r="V60" i="4" s="1"/>
  <c r="S60" i="4"/>
  <c r="T60" i="4" s="1"/>
  <c r="Q60" i="4"/>
  <c r="P60" i="4"/>
  <c r="O60" i="4"/>
  <c r="M60" i="4"/>
  <c r="K60" i="4"/>
  <c r="L60" i="4" s="1"/>
  <c r="J60" i="4"/>
  <c r="I60" i="4"/>
  <c r="G60" i="4"/>
  <c r="H60" i="4" s="1"/>
  <c r="E60" i="4"/>
  <c r="F60" i="4" s="1"/>
  <c r="C60" i="4"/>
  <c r="U59" i="4"/>
  <c r="S59" i="4"/>
  <c r="Q59" i="4"/>
  <c r="R59" i="4" s="1"/>
  <c r="P59" i="4"/>
  <c r="O59" i="4"/>
  <c r="M59" i="4"/>
  <c r="L59" i="4"/>
  <c r="K59" i="4"/>
  <c r="I59" i="4"/>
  <c r="G59" i="4"/>
  <c r="E59" i="4"/>
  <c r="F59" i="4" s="1"/>
  <c r="C59" i="4"/>
  <c r="D60" i="4" s="1"/>
  <c r="U58" i="4"/>
  <c r="S58" i="4"/>
  <c r="R58" i="4"/>
  <c r="Q58" i="4"/>
  <c r="O58" i="4"/>
  <c r="M58" i="4"/>
  <c r="K58" i="4"/>
  <c r="L58" i="4" s="1"/>
  <c r="I58" i="4"/>
  <c r="H58" i="4"/>
  <c r="G58" i="4"/>
  <c r="F58" i="4"/>
  <c r="E58" i="4"/>
  <c r="C58" i="4"/>
  <c r="D58" i="4" s="1"/>
  <c r="U57" i="4"/>
  <c r="S57" i="4"/>
  <c r="Q57" i="4"/>
  <c r="O57" i="4"/>
  <c r="P57" i="4" s="1"/>
  <c r="M57" i="4"/>
  <c r="N57" i="4" s="1"/>
  <c r="K57" i="4"/>
  <c r="L57" i="4" s="1"/>
  <c r="I57" i="4"/>
  <c r="J57" i="4" s="1"/>
  <c r="G57" i="4"/>
  <c r="H57" i="4" s="1"/>
  <c r="E57" i="4"/>
  <c r="D57" i="4"/>
  <c r="C57" i="4"/>
  <c r="U56" i="4"/>
  <c r="V56" i="4" s="1"/>
  <c r="S56" i="4"/>
  <c r="T56" i="4" s="1"/>
  <c r="R56" i="4"/>
  <c r="Q56" i="4"/>
  <c r="O56" i="4"/>
  <c r="P56" i="4" s="1"/>
  <c r="M56" i="4"/>
  <c r="N56" i="4" s="1"/>
  <c r="L56" i="4"/>
  <c r="K56" i="4"/>
  <c r="I56" i="4"/>
  <c r="G56" i="4"/>
  <c r="F56" i="4"/>
  <c r="E56" i="4"/>
  <c r="D56" i="4"/>
  <c r="C56" i="4"/>
  <c r="U55" i="4"/>
  <c r="T55" i="4"/>
  <c r="S55" i="4"/>
  <c r="Q55" i="4"/>
  <c r="O55" i="4"/>
  <c r="M55" i="4"/>
  <c r="N55" i="4" s="1"/>
  <c r="K55" i="4"/>
  <c r="L55" i="4" s="1"/>
  <c r="I55" i="4"/>
  <c r="G55" i="4"/>
  <c r="F55" i="4"/>
  <c r="E55" i="4"/>
  <c r="C55" i="4"/>
  <c r="U54" i="4"/>
  <c r="S54" i="4"/>
  <c r="T54" i="4" s="1"/>
  <c r="Q54" i="4"/>
  <c r="R54" i="4" s="1"/>
  <c r="P54" i="4"/>
  <c r="O54" i="4"/>
  <c r="N54" i="4"/>
  <c r="M54" i="4"/>
  <c r="K54" i="4"/>
  <c r="L54" i="4" s="1"/>
  <c r="I54" i="4"/>
  <c r="G54" i="4"/>
  <c r="E54" i="4"/>
  <c r="C54" i="4"/>
  <c r="D54" i="4" s="1"/>
  <c r="U53" i="4"/>
  <c r="V53" i="4" s="1"/>
  <c r="S53" i="4"/>
  <c r="T53" i="4" s="1"/>
  <c r="Q53" i="4"/>
  <c r="R53" i="4" s="1"/>
  <c r="O53" i="4"/>
  <c r="P53" i="4" s="1"/>
  <c r="M53" i="4"/>
  <c r="L53" i="4"/>
  <c r="K53" i="4"/>
  <c r="I53" i="4"/>
  <c r="J53" i="4" s="1"/>
  <c r="G53" i="4"/>
  <c r="H53" i="4" s="1"/>
  <c r="F53" i="4"/>
  <c r="E53" i="4"/>
  <c r="C53" i="4"/>
  <c r="U52" i="4"/>
  <c r="V52" i="4" s="1"/>
  <c r="T52" i="4"/>
  <c r="S52" i="4"/>
  <c r="Q52" i="4"/>
  <c r="O52" i="4"/>
  <c r="M52" i="4"/>
  <c r="N52" i="4" s="1"/>
  <c r="L52" i="4"/>
  <c r="K52" i="4"/>
  <c r="I52" i="4"/>
  <c r="H52" i="4"/>
  <c r="G52" i="4"/>
  <c r="E52" i="4"/>
  <c r="C52" i="4"/>
  <c r="D52" i="4" s="1"/>
  <c r="U51" i="4"/>
  <c r="V51" i="4" s="1"/>
  <c r="T51" i="4"/>
  <c r="S51" i="4"/>
  <c r="Q51" i="4"/>
  <c r="R51" i="4" s="1"/>
  <c r="O51" i="4"/>
  <c r="N51" i="4"/>
  <c r="M51" i="4"/>
  <c r="K51" i="4"/>
  <c r="I51" i="4"/>
  <c r="G51" i="4"/>
  <c r="H51" i="4" s="1"/>
  <c r="E51" i="4"/>
  <c r="F51" i="4" s="1"/>
  <c r="D51" i="4"/>
  <c r="C51" i="4"/>
  <c r="V50" i="4"/>
  <c r="U50" i="4"/>
  <c r="S50" i="4"/>
  <c r="T50" i="4" s="1"/>
  <c r="Q50" i="4"/>
  <c r="O50" i="4"/>
  <c r="M50" i="4"/>
  <c r="K50" i="4"/>
  <c r="L50" i="4" s="1"/>
  <c r="I50" i="4"/>
  <c r="J50" i="4" s="1"/>
  <c r="G50" i="4"/>
  <c r="H50" i="4" s="1"/>
  <c r="E50" i="4"/>
  <c r="F50" i="4" s="1"/>
  <c r="C50" i="4"/>
  <c r="D50" i="4" s="1"/>
  <c r="U49" i="4"/>
  <c r="T49" i="4"/>
  <c r="S49" i="4"/>
  <c r="Q49" i="4"/>
  <c r="R49" i="4" s="1"/>
  <c r="O49" i="4"/>
  <c r="P49" i="4" s="1"/>
  <c r="N49" i="4"/>
  <c r="M49" i="4"/>
  <c r="K49" i="4"/>
  <c r="L49" i="4" s="1"/>
  <c r="I49" i="4"/>
  <c r="J49" i="4" s="1"/>
  <c r="H49" i="4"/>
  <c r="G49" i="4"/>
  <c r="E49" i="4"/>
  <c r="C49" i="4"/>
  <c r="U48" i="4"/>
  <c r="V48" i="4" s="1"/>
  <c r="S48" i="4"/>
  <c r="Q48" i="4"/>
  <c r="P48" i="4"/>
  <c r="O48" i="4"/>
  <c r="N48" i="4"/>
  <c r="M48" i="4"/>
  <c r="K48" i="4"/>
  <c r="I48" i="4"/>
  <c r="J48" i="4" s="1"/>
  <c r="G48" i="4"/>
  <c r="H48" i="4" s="1"/>
  <c r="E48" i="4"/>
  <c r="F49" i="4" s="1"/>
  <c r="C48" i="4"/>
  <c r="V47" i="4"/>
  <c r="U47" i="4"/>
  <c r="S47" i="4"/>
  <c r="Q47" i="4"/>
  <c r="O47" i="4"/>
  <c r="P47" i="4" s="1"/>
  <c r="M47" i="4"/>
  <c r="N47" i="4" s="1"/>
  <c r="K47" i="4"/>
  <c r="L47" i="4" s="1"/>
  <c r="J47" i="4"/>
  <c r="I47" i="4"/>
  <c r="G47" i="4"/>
  <c r="H47" i="4" s="1"/>
  <c r="E47" i="4"/>
  <c r="C47" i="4"/>
  <c r="U46" i="4"/>
  <c r="S46" i="4"/>
  <c r="Q46" i="4"/>
  <c r="R46" i="4" s="1"/>
  <c r="O46" i="4"/>
  <c r="P46" i="4" s="1"/>
  <c r="M46" i="4"/>
  <c r="N46" i="4" s="1"/>
  <c r="K46" i="4"/>
  <c r="L46" i="4" s="1"/>
  <c r="I46" i="4"/>
  <c r="H46" i="4"/>
  <c r="G46" i="4"/>
  <c r="E46" i="4"/>
  <c r="F46" i="4" s="1"/>
  <c r="C46" i="4"/>
  <c r="D46" i="4" s="1"/>
  <c r="V45" i="4"/>
  <c r="U45" i="4"/>
  <c r="S45" i="4"/>
  <c r="T45" i="4" s="1"/>
  <c r="Q45" i="4"/>
  <c r="R45" i="4" s="1"/>
  <c r="O45" i="4"/>
  <c r="M45" i="4"/>
  <c r="K45" i="4"/>
  <c r="I45" i="4"/>
  <c r="J45" i="4" s="1"/>
  <c r="G45" i="4"/>
  <c r="E45" i="4"/>
  <c r="D45" i="4"/>
  <c r="C45" i="4"/>
  <c r="V44" i="4"/>
  <c r="U44" i="4"/>
  <c r="S44" i="4"/>
  <c r="T44" i="4" s="1"/>
  <c r="Q44" i="4"/>
  <c r="R44" i="4" s="1"/>
  <c r="O44" i="4"/>
  <c r="P44" i="4" s="1"/>
  <c r="M44" i="4"/>
  <c r="N44" i="4" s="1"/>
  <c r="K44" i="4"/>
  <c r="J44" i="4"/>
  <c r="I44" i="4"/>
  <c r="G44" i="4"/>
  <c r="E44" i="4"/>
  <c r="F44" i="4" s="1"/>
  <c r="C44" i="4"/>
  <c r="D44" i="4" s="1"/>
  <c r="U43" i="4"/>
  <c r="T43" i="4"/>
  <c r="S43" i="4"/>
  <c r="R43" i="4"/>
  <c r="Q43" i="4"/>
  <c r="O43" i="4"/>
  <c r="P43" i="4" s="1"/>
  <c r="M43" i="4"/>
  <c r="K43" i="4"/>
  <c r="I43" i="4"/>
  <c r="G43" i="4"/>
  <c r="F43" i="4"/>
  <c r="E43" i="4"/>
  <c r="C43" i="4"/>
  <c r="U42" i="4"/>
  <c r="V42" i="4" s="1"/>
  <c r="S42" i="4"/>
  <c r="Q42" i="4"/>
  <c r="P42" i="4"/>
  <c r="O42" i="4"/>
  <c r="M42" i="4"/>
  <c r="N42" i="4" s="1"/>
  <c r="K42" i="4"/>
  <c r="L42" i="4" s="1"/>
  <c r="J42" i="4"/>
  <c r="I42" i="4"/>
  <c r="G42" i="4"/>
  <c r="H42" i="4" s="1"/>
  <c r="E42" i="4"/>
  <c r="C42" i="4"/>
  <c r="D42" i="4" s="1"/>
  <c r="U41" i="4"/>
  <c r="V41" i="4" s="1"/>
  <c r="S41" i="4"/>
  <c r="T41" i="4" s="1"/>
  <c r="Q41" i="4"/>
  <c r="R41" i="4" s="1"/>
  <c r="P41" i="4"/>
  <c r="O41" i="4"/>
  <c r="M41" i="4"/>
  <c r="L41" i="4"/>
  <c r="K41" i="4"/>
  <c r="J41" i="4"/>
  <c r="I41" i="4"/>
  <c r="G41" i="4"/>
  <c r="E41" i="4"/>
  <c r="F41" i="4" s="1"/>
  <c r="D41" i="4"/>
  <c r="C41" i="4"/>
  <c r="U40" i="4"/>
  <c r="V40" i="4" s="1"/>
  <c r="S40" i="4"/>
  <c r="Q40" i="4"/>
  <c r="R40" i="4" s="1"/>
  <c r="O40" i="4"/>
  <c r="M40" i="4"/>
  <c r="N40" i="4" s="1"/>
  <c r="L40" i="4"/>
  <c r="K40" i="4"/>
  <c r="J40" i="4"/>
  <c r="I40" i="4"/>
  <c r="H40" i="4"/>
  <c r="G40" i="4"/>
  <c r="E40" i="4"/>
  <c r="C40" i="4"/>
  <c r="D40" i="4" s="1"/>
  <c r="U39" i="4"/>
  <c r="V39" i="4" s="1"/>
  <c r="S39" i="4"/>
  <c r="T39" i="4" s="1"/>
  <c r="Q39" i="4"/>
  <c r="O39" i="4"/>
  <c r="P39" i="4" s="1"/>
  <c r="M39" i="4"/>
  <c r="K39" i="4"/>
  <c r="I39" i="4"/>
  <c r="G39" i="4"/>
  <c r="H39" i="4" s="1"/>
  <c r="E39" i="4"/>
  <c r="F40" i="4" s="1"/>
  <c r="D39" i="4"/>
  <c r="C39" i="4"/>
  <c r="U38" i="4"/>
  <c r="S38" i="4"/>
  <c r="Q38" i="4"/>
  <c r="R38" i="4" s="1"/>
  <c r="O38" i="4"/>
  <c r="P38" i="4" s="1"/>
  <c r="M38" i="4"/>
  <c r="N38" i="4" s="1"/>
  <c r="K38" i="4"/>
  <c r="I38" i="4"/>
  <c r="J38" i="4" s="1"/>
  <c r="G38" i="4"/>
  <c r="F38" i="4"/>
  <c r="E38" i="4"/>
  <c r="D38" i="4"/>
  <c r="C38" i="4"/>
  <c r="U37" i="4"/>
  <c r="V37" i="4" s="1"/>
  <c r="S37" i="4"/>
  <c r="T37" i="4" s="1"/>
  <c r="R37" i="4"/>
  <c r="Q37" i="4"/>
  <c r="O37" i="4"/>
  <c r="M37" i="4"/>
  <c r="N37" i="4" s="1"/>
  <c r="K37" i="4"/>
  <c r="L37" i="4" s="1"/>
  <c r="I37" i="4"/>
  <c r="J37" i="4" s="1"/>
  <c r="G37" i="4"/>
  <c r="E37" i="4"/>
  <c r="C37" i="4"/>
  <c r="D37" i="4" s="1"/>
  <c r="V36" i="4"/>
  <c r="U36" i="4"/>
  <c r="S36" i="4"/>
  <c r="R36" i="4"/>
  <c r="Q36" i="4"/>
  <c r="O36" i="4"/>
  <c r="P36" i="4" s="1"/>
  <c r="N36" i="4"/>
  <c r="M36" i="4"/>
  <c r="K36" i="4"/>
  <c r="L36" i="4" s="1"/>
  <c r="I36" i="4"/>
  <c r="G36" i="4"/>
  <c r="H36" i="4" s="1"/>
  <c r="E36" i="4"/>
  <c r="F36" i="4" s="1"/>
  <c r="C36" i="4"/>
  <c r="U35" i="4"/>
  <c r="S35" i="4"/>
  <c r="T35" i="4" s="1"/>
  <c r="R35" i="4"/>
  <c r="Q35" i="4"/>
  <c r="O35" i="4"/>
  <c r="M35" i="4"/>
  <c r="L35" i="4"/>
  <c r="K35" i="4"/>
  <c r="I35" i="4"/>
  <c r="J35" i="4" s="1"/>
  <c r="G35" i="4"/>
  <c r="H35" i="4" s="1"/>
  <c r="F35" i="4"/>
  <c r="E35" i="4"/>
  <c r="C35" i="4"/>
  <c r="D35" i="4" s="1"/>
  <c r="U34" i="4"/>
  <c r="V34" i="4" s="1"/>
  <c r="S34" i="4"/>
  <c r="T34" i="4" s="1"/>
  <c r="Q34" i="4"/>
  <c r="O34" i="4"/>
  <c r="P34" i="4" s="1"/>
  <c r="M34" i="4"/>
  <c r="N35" i="4" s="1"/>
  <c r="L34" i="4"/>
  <c r="K34" i="4"/>
  <c r="I34" i="4"/>
  <c r="H34" i="4"/>
  <c r="G34" i="4"/>
  <c r="F34" i="4"/>
  <c r="E34" i="4"/>
  <c r="C34" i="4"/>
  <c r="V33" i="4"/>
  <c r="U33" i="4"/>
  <c r="T33" i="4"/>
  <c r="S33" i="4"/>
  <c r="Q33" i="4"/>
  <c r="R33" i="4" s="1"/>
  <c r="O33" i="4"/>
  <c r="M33" i="4"/>
  <c r="K33" i="4"/>
  <c r="I33" i="4"/>
  <c r="J33" i="4" s="1"/>
  <c r="H33" i="4"/>
  <c r="G33" i="4"/>
  <c r="F33" i="4"/>
  <c r="E33" i="4"/>
  <c r="C33" i="4"/>
  <c r="V32" i="4"/>
  <c r="U32" i="4"/>
  <c r="S32" i="4"/>
  <c r="T32" i="4" s="1"/>
  <c r="Q32" i="4"/>
  <c r="R32" i="4" s="1"/>
  <c r="O32" i="4"/>
  <c r="P32" i="4" s="1"/>
  <c r="N32" i="4"/>
  <c r="M32" i="4"/>
  <c r="K32" i="4"/>
  <c r="L32" i="4" s="1"/>
  <c r="I32" i="4"/>
  <c r="G32" i="4"/>
  <c r="F32" i="4"/>
  <c r="E32" i="4"/>
  <c r="C32" i="4"/>
  <c r="D32" i="4" s="1"/>
  <c r="V31" i="4"/>
  <c r="U31" i="4"/>
  <c r="T31" i="4"/>
  <c r="S31" i="4"/>
  <c r="R31" i="4"/>
  <c r="Q31" i="4"/>
  <c r="O31" i="4"/>
  <c r="M31" i="4"/>
  <c r="N31" i="4" s="1"/>
  <c r="K31" i="4"/>
  <c r="L31" i="4" s="1"/>
  <c r="I31" i="4"/>
  <c r="J31" i="4" s="1"/>
  <c r="G31" i="4"/>
  <c r="E31" i="4"/>
  <c r="F31" i="4" s="1"/>
  <c r="C31" i="4"/>
  <c r="V30" i="4"/>
  <c r="U30" i="4"/>
  <c r="T30" i="4"/>
  <c r="S30" i="4"/>
  <c r="Q30" i="4"/>
  <c r="R30" i="4" s="1"/>
  <c r="O30" i="4"/>
  <c r="P30" i="4" s="1"/>
  <c r="N30" i="4"/>
  <c r="M30" i="4"/>
  <c r="K30" i="4"/>
  <c r="I30" i="4"/>
  <c r="G30" i="4"/>
  <c r="H30" i="4" s="1"/>
  <c r="E30" i="4"/>
  <c r="F30" i="4" s="1"/>
  <c r="D30" i="4"/>
  <c r="C30" i="4"/>
  <c r="U29" i="4"/>
  <c r="V29" i="4" s="1"/>
  <c r="S29" i="4"/>
  <c r="T29" i="4" s="1"/>
  <c r="R29" i="4"/>
  <c r="Q29" i="4"/>
  <c r="O29" i="4"/>
  <c r="N29" i="4"/>
  <c r="M29" i="4"/>
  <c r="K29" i="4"/>
  <c r="L29" i="4" s="1"/>
  <c r="J29" i="4"/>
  <c r="I29" i="4"/>
  <c r="G29" i="4"/>
  <c r="H29" i="4" s="1"/>
  <c r="E29" i="4"/>
  <c r="C29" i="4"/>
  <c r="D29" i="4" s="1"/>
  <c r="U28" i="4"/>
  <c r="S28" i="4"/>
  <c r="Q28" i="4"/>
  <c r="O28" i="4"/>
  <c r="P28" i="4" s="1"/>
  <c r="N28" i="4"/>
  <c r="M28" i="4"/>
  <c r="K28" i="4"/>
  <c r="I28" i="4"/>
  <c r="H28" i="4"/>
  <c r="G28" i="4"/>
  <c r="E28" i="4"/>
  <c r="C28" i="4"/>
  <c r="D28" i="4" s="1"/>
  <c r="U27" i="4"/>
  <c r="V27" i="4" s="1"/>
  <c r="S27" i="4"/>
  <c r="T27" i="4" s="1"/>
  <c r="R27" i="4"/>
  <c r="Q27" i="4"/>
  <c r="R28" i="4" s="1"/>
  <c r="O27" i="4"/>
  <c r="M27" i="4"/>
  <c r="N27" i="4" s="1"/>
  <c r="K27" i="4"/>
  <c r="L28" i="4" s="1"/>
  <c r="I27" i="4"/>
  <c r="J28" i="4" s="1"/>
  <c r="H27" i="4"/>
  <c r="G27" i="4"/>
  <c r="E27" i="4"/>
  <c r="F27" i="4" s="1"/>
  <c r="D27" i="4"/>
  <c r="C27" i="4"/>
  <c r="V26" i="4"/>
  <c r="U26" i="4"/>
  <c r="S26" i="4"/>
  <c r="Q26" i="4"/>
  <c r="R26" i="4" s="1"/>
  <c r="O26" i="4"/>
  <c r="P26" i="4" s="1"/>
  <c r="M26" i="4"/>
  <c r="N26" i="4" s="1"/>
  <c r="K26" i="4"/>
  <c r="L26" i="4" s="1"/>
  <c r="I26" i="4"/>
  <c r="J26" i="4" s="1"/>
  <c r="G26" i="4"/>
  <c r="E26" i="4"/>
  <c r="C26" i="4"/>
  <c r="D26" i="4" s="1"/>
  <c r="V25" i="4"/>
  <c r="U25" i="4"/>
  <c r="S25" i="4"/>
  <c r="T25" i="4" s="1"/>
  <c r="Q25" i="4"/>
  <c r="O25" i="4"/>
  <c r="P25" i="4" s="1"/>
  <c r="M25" i="4"/>
  <c r="N25" i="4" s="1"/>
  <c r="L25" i="4"/>
  <c r="K25" i="4"/>
  <c r="I25" i="4"/>
  <c r="J25" i="4" s="1"/>
  <c r="G25" i="4"/>
  <c r="H25" i="4" s="1"/>
  <c r="E25" i="4"/>
  <c r="F25" i="4" s="1"/>
  <c r="C25" i="4"/>
  <c r="U24" i="4"/>
  <c r="S24" i="4"/>
  <c r="T24" i="4" s="1"/>
  <c r="Q24" i="4"/>
  <c r="R25" i="4" s="1"/>
  <c r="P24" i="4"/>
  <c r="O24" i="4"/>
  <c r="M24" i="4"/>
  <c r="K24" i="4"/>
  <c r="L24" i="4" s="1"/>
  <c r="I24" i="4"/>
  <c r="J24" i="4" s="1"/>
  <c r="G24" i="4"/>
  <c r="E24" i="4"/>
  <c r="C24" i="4"/>
  <c r="D24" i="4" s="1"/>
  <c r="U23" i="4"/>
  <c r="V23" i="4" s="1"/>
  <c r="S23" i="4"/>
  <c r="Q23" i="4"/>
  <c r="P23" i="4"/>
  <c r="O23" i="4"/>
  <c r="M23" i="4"/>
  <c r="L23" i="4"/>
  <c r="K23" i="4"/>
  <c r="J23" i="4"/>
  <c r="I23" i="4"/>
  <c r="G23" i="4"/>
  <c r="H23" i="4" s="1"/>
  <c r="F23" i="4"/>
  <c r="E23" i="4"/>
  <c r="F24" i="4" s="1"/>
  <c r="C23" i="4"/>
  <c r="U22" i="4"/>
  <c r="S22" i="4"/>
  <c r="T22" i="4" s="1"/>
  <c r="Q22" i="4"/>
  <c r="R22" i="4" s="1"/>
  <c r="O22" i="4"/>
  <c r="P22" i="4" s="1"/>
  <c r="M22" i="4"/>
  <c r="N22" i="4" s="1"/>
  <c r="L22" i="4"/>
  <c r="K22" i="4"/>
  <c r="J22" i="4"/>
  <c r="I22" i="4"/>
  <c r="G22" i="4"/>
  <c r="E22" i="4"/>
  <c r="F22" i="4" s="1"/>
  <c r="C22" i="4"/>
  <c r="D22" i="4" s="1"/>
  <c r="U21" i="4"/>
  <c r="S21" i="4"/>
  <c r="Q21" i="4"/>
  <c r="R21" i="4" s="1"/>
  <c r="O21" i="4"/>
  <c r="P21" i="4" s="1"/>
  <c r="N21" i="4"/>
  <c r="M21" i="4"/>
  <c r="K21" i="4"/>
  <c r="J21" i="4"/>
  <c r="I21" i="4"/>
  <c r="G21" i="4"/>
  <c r="H21" i="4" s="1"/>
  <c r="E21" i="4"/>
  <c r="D21" i="4"/>
  <c r="C21" i="4"/>
  <c r="U20" i="4"/>
  <c r="V20" i="4" s="1"/>
  <c r="S20" i="4"/>
  <c r="T20" i="4" s="1"/>
  <c r="R20" i="4"/>
  <c r="Q20" i="4"/>
  <c r="O20" i="4"/>
  <c r="P20" i="4" s="1"/>
  <c r="M20" i="4"/>
  <c r="N20" i="4" s="1"/>
  <c r="K20" i="4"/>
  <c r="I20" i="4"/>
  <c r="G20" i="4"/>
  <c r="E20" i="4"/>
  <c r="F21" i="4" s="1"/>
  <c r="D20" i="4"/>
  <c r="C20" i="4"/>
  <c r="U19" i="4"/>
  <c r="T19" i="4"/>
  <c r="S19" i="4"/>
  <c r="R19" i="4"/>
  <c r="Q19" i="4"/>
  <c r="O19" i="4"/>
  <c r="M19" i="4"/>
  <c r="K19" i="4"/>
  <c r="L19" i="4" s="1"/>
  <c r="I19" i="4"/>
  <c r="J19" i="4" s="1"/>
  <c r="G19" i="4"/>
  <c r="F19" i="4"/>
  <c r="E19" i="4"/>
  <c r="C19" i="4"/>
  <c r="U18" i="4"/>
  <c r="V19" i="4" s="1"/>
  <c r="T18" i="4"/>
  <c r="S18" i="4"/>
  <c r="R18" i="4"/>
  <c r="Q18" i="4"/>
  <c r="O18" i="4"/>
  <c r="P18" i="4" s="1"/>
  <c r="M18" i="4"/>
  <c r="N19" i="4" s="1"/>
  <c r="K18" i="4"/>
  <c r="I18" i="4"/>
  <c r="J18" i="4" s="1"/>
  <c r="G18" i="4"/>
  <c r="H18" i="4" s="1"/>
  <c r="F18" i="4"/>
  <c r="E18" i="4"/>
  <c r="C18" i="4"/>
  <c r="U17" i="4"/>
  <c r="V17" i="4" s="1"/>
  <c r="T17" i="4"/>
  <c r="S17" i="4"/>
  <c r="Q17" i="4"/>
  <c r="P17" i="4"/>
  <c r="O17" i="4"/>
  <c r="M17" i="4"/>
  <c r="N17" i="4" s="1"/>
  <c r="K17" i="4"/>
  <c r="I17" i="4"/>
  <c r="G17" i="4"/>
  <c r="H17" i="4" s="1"/>
  <c r="E17" i="4"/>
  <c r="F17" i="4" s="1"/>
  <c r="C17" i="4"/>
  <c r="V16" i="4"/>
  <c r="U16" i="4"/>
  <c r="S16" i="4"/>
  <c r="Q16" i="4"/>
  <c r="R16" i="4" s="1"/>
  <c r="O16" i="4"/>
  <c r="M16" i="4"/>
  <c r="N16" i="4" s="1"/>
  <c r="K16" i="4"/>
  <c r="L16" i="4" s="1"/>
  <c r="J16" i="4"/>
  <c r="I16" i="4"/>
  <c r="J17" i="4" s="1"/>
  <c r="G16" i="4"/>
  <c r="H16" i="4" s="1"/>
  <c r="E16" i="4"/>
  <c r="F16" i="4" s="1"/>
  <c r="C16" i="4"/>
  <c r="D16" i="4" s="1"/>
  <c r="U15" i="4"/>
  <c r="S15" i="4"/>
  <c r="T15" i="4" s="1"/>
  <c r="Q15" i="4"/>
  <c r="R15" i="4" s="1"/>
  <c r="O15" i="4"/>
  <c r="M15" i="4"/>
  <c r="N15" i="4" s="1"/>
  <c r="K15" i="4"/>
  <c r="L15" i="4" s="1"/>
  <c r="I15" i="4"/>
  <c r="H15" i="4"/>
  <c r="G15" i="4"/>
  <c r="E15" i="4"/>
  <c r="F15" i="4" s="1"/>
  <c r="C15" i="4"/>
  <c r="D15" i="4" s="1"/>
  <c r="V14" i="4"/>
  <c r="U14" i="4"/>
  <c r="S14" i="4"/>
  <c r="T14" i="4" s="1"/>
  <c r="Q14" i="4"/>
  <c r="R14" i="4" s="1"/>
  <c r="O14" i="4"/>
  <c r="P14" i="4" s="1"/>
  <c r="N14" i="4"/>
  <c r="M14" i="4"/>
  <c r="K14" i="4"/>
  <c r="I14" i="4"/>
  <c r="J14" i="4" s="1"/>
  <c r="H14" i="4"/>
  <c r="G14" i="4"/>
  <c r="E14" i="4"/>
  <c r="D14" i="4"/>
  <c r="C14" i="4"/>
  <c r="U13" i="4"/>
  <c r="V13" i="4" s="1"/>
  <c r="S13" i="4"/>
  <c r="Q13" i="4"/>
  <c r="O13" i="4"/>
  <c r="P13" i="4" s="1"/>
  <c r="M13" i="4"/>
  <c r="N13" i="4" s="1"/>
  <c r="K13" i="4"/>
  <c r="J13" i="4"/>
  <c r="I13" i="4"/>
  <c r="G13" i="4"/>
  <c r="E13" i="4"/>
  <c r="F13" i="4" s="1"/>
  <c r="C13" i="4"/>
  <c r="U12" i="4"/>
  <c r="V12" i="4" s="1"/>
  <c r="S12" i="4"/>
  <c r="T12" i="4" s="1"/>
  <c r="R12" i="4"/>
  <c r="Q12" i="4"/>
  <c r="R13" i="4" s="1"/>
  <c r="O12" i="4"/>
  <c r="P12" i="4" s="1"/>
  <c r="M12" i="4"/>
  <c r="N12" i="4" s="1"/>
  <c r="K12" i="4"/>
  <c r="L13" i="4" s="1"/>
  <c r="I12" i="4"/>
  <c r="G12" i="4"/>
  <c r="H12" i="4" s="1"/>
  <c r="E12" i="4"/>
  <c r="F12" i="4" s="1"/>
  <c r="C12" i="4"/>
  <c r="U11" i="4"/>
  <c r="V11" i="4" s="1"/>
  <c r="S11" i="4"/>
  <c r="T11" i="4" s="1"/>
  <c r="Q11" i="4"/>
  <c r="P11" i="4"/>
  <c r="O11" i="4"/>
  <c r="M11" i="4"/>
  <c r="N11" i="4" s="1"/>
  <c r="K11" i="4"/>
  <c r="L11" i="4" s="1"/>
  <c r="J11" i="4"/>
  <c r="I11" i="4"/>
  <c r="G11" i="4"/>
  <c r="H11" i="4" s="1"/>
  <c r="E11" i="4"/>
  <c r="F11" i="4" s="1"/>
  <c r="C11" i="4"/>
  <c r="D11" i="4" s="1"/>
  <c r="V10" i="4"/>
  <c r="U10" i="4"/>
  <c r="S10" i="4"/>
  <c r="Q10" i="4"/>
  <c r="R10" i="4" s="1"/>
  <c r="P10" i="4"/>
  <c r="O10" i="4"/>
  <c r="M10" i="4"/>
  <c r="L10" i="4"/>
  <c r="K10" i="4"/>
  <c r="I10" i="4"/>
  <c r="J10" i="4" s="1"/>
  <c r="G10" i="4"/>
  <c r="E10" i="4"/>
  <c r="C10" i="4"/>
  <c r="D10" i="4" s="1"/>
  <c r="U9" i="4"/>
  <c r="V9" i="4" s="1"/>
  <c r="T9" i="4"/>
  <c r="S9" i="4"/>
  <c r="R9" i="4"/>
  <c r="Q9" i="4"/>
  <c r="O9" i="4"/>
  <c r="M9" i="4"/>
  <c r="N9" i="4" s="1"/>
  <c r="K9" i="4"/>
  <c r="I9" i="4"/>
  <c r="J9" i="4" s="1"/>
  <c r="G9" i="4"/>
  <c r="H9" i="4" s="1"/>
  <c r="F9" i="4"/>
  <c r="E9" i="4"/>
  <c r="F10" i="4" s="1"/>
  <c r="C9" i="4"/>
  <c r="U8" i="4"/>
  <c r="V8" i="4" s="1"/>
  <c r="S8" i="4"/>
  <c r="Q8" i="4"/>
  <c r="O8" i="4"/>
  <c r="P8" i="4" s="1"/>
  <c r="N8" i="4"/>
  <c r="M8" i="4"/>
  <c r="K8" i="4"/>
  <c r="L9" i="4" s="1"/>
  <c r="I8" i="4"/>
  <c r="J8" i="4" s="1"/>
  <c r="G8" i="4"/>
  <c r="H8" i="4" s="1"/>
  <c r="E8" i="4"/>
  <c r="F8" i="4" s="1"/>
  <c r="C8" i="4"/>
  <c r="D8" i="4" s="1"/>
  <c r="U7" i="4"/>
  <c r="S7" i="4"/>
  <c r="T8" i="4" s="1"/>
  <c r="Q7" i="4"/>
  <c r="O7" i="4"/>
  <c r="M7" i="4"/>
  <c r="K7" i="4"/>
  <c r="I7" i="4"/>
  <c r="G7" i="4"/>
  <c r="E7" i="4"/>
  <c r="C7" i="4"/>
  <c r="R32" i="2"/>
  <c r="P25" i="1"/>
  <c r="P24" i="1"/>
  <c r="P23" i="1"/>
  <c r="P22" i="1"/>
  <c r="P21" i="1"/>
  <c r="P20" i="1"/>
  <c r="P19" i="1"/>
  <c r="P18" i="1"/>
  <c r="P17" i="1"/>
  <c r="P16" i="1"/>
  <c r="Q14" i="1"/>
  <c r="Q17" i="1" s="1"/>
  <c r="R17" i="1" s="1"/>
  <c r="R47" i="4" l="1"/>
  <c r="V21" i="4"/>
  <c r="R11" i="4"/>
  <c r="Q19" i="1"/>
  <c r="R19" i="1" s="1"/>
  <c r="D9" i="4"/>
  <c r="Q24" i="1"/>
  <c r="R24" i="1" s="1"/>
  <c r="L8" i="4"/>
  <c r="N10" i="4"/>
  <c r="F14" i="4"/>
  <c r="R17" i="4"/>
  <c r="L21" i="4"/>
  <c r="D23" i="4"/>
  <c r="R23" i="4"/>
  <c r="P27" i="4"/>
  <c r="P31" i="4"/>
  <c r="R34" i="4"/>
  <c r="V43" i="4"/>
  <c r="L48" i="4"/>
  <c r="D59" i="4"/>
  <c r="N83" i="4"/>
  <c r="N84" i="4"/>
  <c r="C56" i="5"/>
  <c r="C65" i="5"/>
  <c r="C27" i="6"/>
  <c r="Q20" i="1"/>
  <c r="R20" i="1" s="1"/>
  <c r="P68" i="4"/>
  <c r="T74" i="4"/>
  <c r="T75" i="4"/>
  <c r="R24" i="4"/>
  <c r="H44" i="4"/>
  <c r="Q16" i="1"/>
  <c r="R16" i="1" s="1"/>
  <c r="L12" i="4"/>
  <c r="L20" i="4"/>
  <c r="Q23" i="1"/>
  <c r="R23" i="1" s="1"/>
  <c r="D12" i="4"/>
  <c r="P15" i="4"/>
  <c r="D17" i="4"/>
  <c r="N18" i="4"/>
  <c r="H19" i="4"/>
  <c r="T23" i="4"/>
  <c r="F26" i="4"/>
  <c r="P35" i="4"/>
  <c r="H37" i="4"/>
  <c r="V38" i="4"/>
  <c r="R39" i="4"/>
  <c r="F42" i="4"/>
  <c r="P45" i="4"/>
  <c r="R52" i="4"/>
  <c r="V61" i="4"/>
  <c r="V62" i="4"/>
  <c r="H71" i="4"/>
  <c r="H72" i="4"/>
  <c r="F87" i="4"/>
  <c r="F88" i="4"/>
  <c r="C28" i="6"/>
  <c r="C202" i="6"/>
  <c r="C156" i="5"/>
  <c r="C155" i="5"/>
  <c r="F52" i="4"/>
  <c r="C140" i="5"/>
  <c r="T47" i="4"/>
  <c r="J51" i="4"/>
  <c r="D65" i="4"/>
  <c r="R69" i="4"/>
  <c r="R70" i="4"/>
  <c r="D82" i="4"/>
  <c r="D83" i="4"/>
  <c r="C125" i="5"/>
  <c r="C350" i="5"/>
  <c r="C42" i="8"/>
  <c r="Q21" i="1"/>
  <c r="R21" i="1" s="1"/>
  <c r="R8" i="4"/>
  <c r="T10" i="4"/>
  <c r="L14" i="4"/>
  <c r="D18" i="4"/>
  <c r="F20" i="4"/>
  <c r="J30" i="4"/>
  <c r="N33" i="4"/>
  <c r="P37" i="4"/>
  <c r="F39" i="4"/>
  <c r="T40" i="4"/>
  <c r="N41" i="4"/>
  <c r="L43" i="4"/>
  <c r="L44" i="4"/>
  <c r="L51" i="4"/>
  <c r="D53" i="4"/>
  <c r="V54" i="4"/>
  <c r="N58" i="4"/>
  <c r="J73" i="4"/>
  <c r="J74" i="4"/>
  <c r="P85" i="4"/>
  <c r="P86" i="4"/>
  <c r="C344" i="5"/>
  <c r="C114" i="6"/>
  <c r="T46" i="4"/>
  <c r="R55" i="4"/>
  <c r="J12" i="4"/>
  <c r="D13" i="4"/>
  <c r="V15" i="4"/>
  <c r="P16" i="4"/>
  <c r="H20" i="4"/>
  <c r="T21" i="4"/>
  <c r="V24" i="4"/>
  <c r="L30" i="4"/>
  <c r="P33" i="4"/>
  <c r="J34" i="4"/>
  <c r="V35" i="4"/>
  <c r="T36" i="4"/>
  <c r="L38" i="4"/>
  <c r="N43" i="4"/>
  <c r="H45" i="4"/>
  <c r="D47" i="4"/>
  <c r="D48" i="4"/>
  <c r="D55" i="4"/>
  <c r="L61" i="4"/>
  <c r="F66" i="4"/>
  <c r="F67" i="4"/>
  <c r="V76" i="4"/>
  <c r="V77" i="4"/>
  <c r="C339" i="5"/>
  <c r="C338" i="5"/>
  <c r="C339" i="6"/>
  <c r="C338" i="6"/>
  <c r="C363" i="6"/>
  <c r="C362" i="6"/>
  <c r="C135" i="7"/>
  <c r="Q25" i="1"/>
  <c r="R25" i="1" s="1"/>
  <c r="H43" i="4"/>
  <c r="C32" i="5"/>
  <c r="H24" i="4"/>
  <c r="F28" i="4"/>
  <c r="T28" i="4"/>
  <c r="P29" i="4"/>
  <c r="H31" i="4"/>
  <c r="D36" i="4"/>
  <c r="F47" i="4"/>
  <c r="T48" i="4"/>
  <c r="P50" i="4"/>
  <c r="P51" i="4"/>
  <c r="N80" i="4"/>
  <c r="N81" i="4"/>
  <c r="C120" i="5"/>
  <c r="C119" i="5"/>
  <c r="Q22" i="1"/>
  <c r="R22" i="1" s="1"/>
  <c r="Q18" i="1"/>
  <c r="R18" i="1" s="1"/>
  <c r="J58" i="4"/>
  <c r="J59" i="4"/>
  <c r="C41" i="5"/>
  <c r="L17" i="4"/>
  <c r="V18" i="4"/>
  <c r="N23" i="4"/>
  <c r="V28" i="4"/>
  <c r="J39" i="4"/>
  <c r="F48" i="4"/>
  <c r="R50" i="4"/>
  <c r="H54" i="4"/>
  <c r="T57" i="4"/>
  <c r="N62" i="4"/>
  <c r="N63" i="4"/>
  <c r="H66" i="4"/>
  <c r="F84" i="4"/>
  <c r="F85" i="4"/>
  <c r="C104" i="5"/>
  <c r="T13" i="4"/>
  <c r="H13" i="4"/>
  <c r="T16" i="4"/>
  <c r="J27" i="4"/>
  <c r="J54" i="4"/>
  <c r="V57" i="4"/>
  <c r="F69" i="4"/>
  <c r="F70" i="4"/>
  <c r="R72" i="4"/>
  <c r="R73" i="4"/>
  <c r="R87" i="4"/>
  <c r="R88" i="4"/>
  <c r="C80" i="5"/>
  <c r="C89" i="5"/>
  <c r="P9" i="4"/>
  <c r="L27" i="4"/>
  <c r="D33" i="4"/>
  <c r="N34" i="4"/>
  <c r="J36" i="4"/>
  <c r="N39" i="4"/>
  <c r="T42" i="4"/>
  <c r="J55" i="4"/>
  <c r="J56" i="4"/>
  <c r="V58" i="4"/>
  <c r="V59" i="4"/>
  <c r="P62" i="4"/>
  <c r="J76" i="4"/>
  <c r="J77" i="4"/>
  <c r="C176" i="5"/>
  <c r="C284" i="5"/>
  <c r="L78" i="4"/>
  <c r="L79" i="4"/>
  <c r="C20" i="6"/>
  <c r="C19" i="6"/>
  <c r="H10" i="4"/>
  <c r="J20" i="4"/>
  <c r="J15" i="4"/>
  <c r="L18" i="4"/>
  <c r="H22" i="4"/>
  <c r="V22" i="4"/>
  <c r="N24" i="4"/>
  <c r="F29" i="4"/>
  <c r="J32" i="4"/>
  <c r="F37" i="4"/>
  <c r="T38" i="4"/>
  <c r="N45" i="4"/>
  <c r="N65" i="4"/>
  <c r="N66" i="4"/>
  <c r="V79" i="4"/>
  <c r="V80" i="4"/>
  <c r="C59" i="6"/>
  <c r="C58" i="6"/>
  <c r="C219" i="6"/>
  <c r="C218" i="6"/>
  <c r="F45" i="4"/>
  <c r="R48" i="4"/>
  <c r="J52" i="4"/>
  <c r="V55" i="4"/>
  <c r="N59" i="4"/>
  <c r="F63" i="4"/>
  <c r="R66" i="4"/>
  <c r="J70" i="4"/>
  <c r="V73" i="4"/>
  <c r="N77" i="4"/>
  <c r="F81" i="4"/>
  <c r="R84" i="4"/>
  <c r="J88" i="4"/>
  <c r="C14" i="5"/>
  <c r="C38" i="5"/>
  <c r="C62" i="5"/>
  <c r="C86" i="5"/>
  <c r="C116" i="5"/>
  <c r="C152" i="5"/>
  <c r="C188" i="5"/>
  <c r="C224" i="5"/>
  <c r="C260" i="5"/>
  <c r="C296" i="5"/>
  <c r="C368" i="5"/>
  <c r="C34" i="6"/>
  <c r="C73" i="6"/>
  <c r="C243" i="6"/>
  <c r="C242" i="6"/>
  <c r="C250" i="6"/>
  <c r="C28" i="7"/>
  <c r="D43" i="4"/>
  <c r="H55" i="4"/>
  <c r="T58" i="4"/>
  <c r="L62" i="4"/>
  <c r="D66" i="4"/>
  <c r="P69" i="4"/>
  <c r="C23" i="5"/>
  <c r="C122" i="6"/>
  <c r="C9" i="7"/>
  <c r="C8" i="7"/>
  <c r="C207" i="7"/>
  <c r="P19" i="4"/>
  <c r="T26" i="4"/>
  <c r="D34" i="4"/>
  <c r="H41" i="4"/>
  <c r="L45" i="4"/>
  <c r="D49" i="4"/>
  <c r="P52" i="4"/>
  <c r="H56" i="4"/>
  <c r="T59" i="4"/>
  <c r="N60" i="4"/>
  <c r="L63" i="4"/>
  <c r="F64" i="4"/>
  <c r="D67" i="4"/>
  <c r="R67" i="4"/>
  <c r="P70" i="4"/>
  <c r="J71" i="4"/>
  <c r="H74" i="4"/>
  <c r="V74" i="4"/>
  <c r="T77" i="4"/>
  <c r="N78" i="4"/>
  <c r="L81" i="4"/>
  <c r="F82" i="4"/>
  <c r="D85" i="4"/>
  <c r="R85" i="4"/>
  <c r="C50" i="6"/>
  <c r="C98" i="6"/>
  <c r="C170" i="6"/>
  <c r="C315" i="6"/>
  <c r="C314" i="6"/>
  <c r="D19" i="4"/>
  <c r="H26" i="4"/>
  <c r="L33" i="4"/>
  <c r="P40" i="4"/>
  <c r="J43" i="4"/>
  <c r="V46" i="4"/>
  <c r="N50" i="4"/>
  <c r="F54" i="4"/>
  <c r="R57" i="4"/>
  <c r="J61" i="4"/>
  <c r="V64" i="4"/>
  <c r="N68" i="4"/>
  <c r="F72" i="4"/>
  <c r="T72" i="4"/>
  <c r="R75" i="4"/>
  <c r="L76" i="4"/>
  <c r="J79" i="4"/>
  <c r="D80" i="4"/>
  <c r="V82" i="4"/>
  <c r="P83" i="4"/>
  <c r="N86" i="4"/>
  <c r="H87" i="4"/>
  <c r="C26" i="5"/>
  <c r="C50" i="5"/>
  <c r="C74" i="5"/>
  <c r="C98" i="5"/>
  <c r="C134" i="5"/>
  <c r="C170" i="5"/>
  <c r="C206" i="5"/>
  <c r="C242" i="5"/>
  <c r="C278" i="5"/>
  <c r="C332" i="5"/>
  <c r="C49" i="6"/>
  <c r="C97" i="6"/>
  <c r="C106" i="6"/>
  <c r="C109" i="7"/>
  <c r="C118" i="7"/>
  <c r="C117" i="7"/>
  <c r="C351" i="7"/>
  <c r="P55" i="4"/>
  <c r="H59" i="4"/>
  <c r="T62" i="4"/>
  <c r="L66" i="4"/>
  <c r="D70" i="4"/>
  <c r="P73" i="4"/>
  <c r="H77" i="4"/>
  <c r="T80" i="4"/>
  <c r="L84" i="4"/>
  <c r="C13" i="6"/>
  <c r="D25" i="4"/>
  <c r="H32" i="4"/>
  <c r="L39" i="4"/>
  <c r="R42" i="4"/>
  <c r="J46" i="4"/>
  <c r="V49" i="4"/>
  <c r="N53" i="4"/>
  <c r="F57" i="4"/>
  <c r="R60" i="4"/>
  <c r="J64" i="4"/>
  <c r="V67" i="4"/>
  <c r="N71" i="4"/>
  <c r="F75" i="4"/>
  <c r="R78" i="4"/>
  <c r="J82" i="4"/>
  <c r="V85" i="4"/>
  <c r="C128" i="5"/>
  <c r="C164" i="5"/>
  <c r="C200" i="5"/>
  <c r="C236" i="5"/>
  <c r="C272" i="5"/>
  <c r="C320" i="5"/>
  <c r="C12" i="6"/>
  <c r="C291" i="6"/>
  <c r="C290" i="6"/>
  <c r="C64" i="7"/>
  <c r="C92" i="7"/>
  <c r="C91" i="7"/>
  <c r="C281" i="7"/>
  <c r="P58" i="4"/>
  <c r="H62" i="4"/>
  <c r="T65" i="4"/>
  <c r="L69" i="4"/>
  <c r="D73" i="4"/>
  <c r="P76" i="4"/>
  <c r="H80" i="4"/>
  <c r="T83" i="4"/>
  <c r="L87" i="4"/>
  <c r="D31" i="4"/>
  <c r="H38" i="4"/>
  <c r="C29" i="5"/>
  <c r="C53" i="5"/>
  <c r="C77" i="5"/>
  <c r="C122" i="5"/>
  <c r="C158" i="5"/>
  <c r="C194" i="5"/>
  <c r="C230" i="5"/>
  <c r="C266" i="5"/>
  <c r="C308" i="5"/>
  <c r="C42" i="6"/>
  <c r="C90" i="6"/>
  <c r="C154" i="6"/>
  <c r="C267" i="6"/>
  <c r="C266" i="6"/>
  <c r="C274" i="6"/>
  <c r="C46" i="7"/>
  <c r="C27" i="7"/>
  <c r="C26" i="7"/>
  <c r="C243" i="7"/>
  <c r="C26" i="6"/>
  <c r="C41" i="6"/>
  <c r="C55" i="6"/>
  <c r="C65" i="6"/>
  <c r="C79" i="6"/>
  <c r="C89" i="6"/>
  <c r="C113" i="6"/>
  <c r="C137" i="6"/>
  <c r="C161" i="6"/>
  <c r="C185" i="6"/>
  <c r="C209" i="6"/>
  <c r="C233" i="6"/>
  <c r="C257" i="6"/>
  <c r="C281" i="6"/>
  <c r="C305" i="6"/>
  <c r="C259" i="7"/>
  <c r="C258" i="7"/>
  <c r="C367" i="7"/>
  <c r="C366" i="7"/>
  <c r="C150" i="8"/>
  <c r="C64" i="6"/>
  <c r="C88" i="6"/>
  <c r="C112" i="6"/>
  <c r="C136" i="6"/>
  <c r="C160" i="6"/>
  <c r="C184" i="6"/>
  <c r="C208" i="6"/>
  <c r="C225" i="6"/>
  <c r="C224" i="6"/>
  <c r="C232" i="6"/>
  <c r="C249" i="6"/>
  <c r="C248" i="6"/>
  <c r="C256" i="6"/>
  <c r="C273" i="6"/>
  <c r="C272" i="6"/>
  <c r="C280" i="6"/>
  <c r="C297" i="6"/>
  <c r="C296" i="6"/>
  <c r="C304" i="6"/>
  <c r="C321" i="6"/>
  <c r="C320" i="6"/>
  <c r="C328" i="6"/>
  <c r="C345" i="6"/>
  <c r="C344" i="6"/>
  <c r="C369" i="6"/>
  <c r="C368" i="6"/>
  <c r="C250" i="7"/>
  <c r="C358" i="7"/>
  <c r="C139" i="8"/>
  <c r="C44" i="6"/>
  <c r="C68" i="6"/>
  <c r="C92" i="6"/>
  <c r="C116" i="6"/>
  <c r="C140" i="6"/>
  <c r="C164" i="6"/>
  <c r="C188" i="6"/>
  <c r="C164" i="7"/>
  <c r="C163" i="7"/>
  <c r="C190" i="7"/>
  <c r="C189" i="7"/>
  <c r="C8" i="6"/>
  <c r="C15" i="6"/>
  <c r="C53" i="6"/>
  <c r="C77" i="6"/>
  <c r="C101" i="6"/>
  <c r="C125" i="6"/>
  <c r="C149" i="6"/>
  <c r="C173" i="6"/>
  <c r="C197" i="6"/>
  <c r="C221" i="6"/>
  <c r="C245" i="6"/>
  <c r="C269" i="6"/>
  <c r="C293" i="6"/>
  <c r="C317" i="6"/>
  <c r="C21" i="7"/>
  <c r="C20" i="7"/>
  <c r="C264" i="7"/>
  <c r="C120" i="8"/>
  <c r="C189" i="8"/>
  <c r="C45" i="6"/>
  <c r="C213" i="6"/>
  <c r="C212" i="6"/>
  <c r="C237" i="6"/>
  <c r="C236" i="6"/>
  <c r="C261" i="6"/>
  <c r="C260" i="6"/>
  <c r="C285" i="6"/>
  <c r="C284" i="6"/>
  <c r="C309" i="6"/>
  <c r="C308" i="6"/>
  <c r="C333" i="6"/>
  <c r="C332" i="6"/>
  <c r="C357" i="6"/>
  <c r="C356" i="6"/>
  <c r="C22" i="7"/>
  <c r="C40" i="7"/>
  <c r="C58" i="7"/>
  <c r="C76" i="7"/>
  <c r="C265" i="7"/>
  <c r="C275" i="7"/>
  <c r="C274" i="7"/>
  <c r="C15" i="8"/>
  <c r="C9" i="6"/>
  <c r="C38" i="6"/>
  <c r="C62" i="6"/>
  <c r="C86" i="6"/>
  <c r="C110" i="6"/>
  <c r="C134" i="6"/>
  <c r="C158" i="6"/>
  <c r="C182" i="6"/>
  <c r="C206" i="6"/>
  <c r="C169" i="8"/>
  <c r="C168" i="8"/>
  <c r="C78" i="7"/>
  <c r="C96" i="7"/>
  <c r="C131" i="7"/>
  <c r="C130" i="7"/>
  <c r="C149" i="7"/>
  <c r="C194" i="7"/>
  <c r="C228" i="7"/>
  <c r="C335" i="7"/>
  <c r="C46" i="6"/>
  <c r="C70" i="6"/>
  <c r="C94" i="6"/>
  <c r="C231" i="6"/>
  <c r="C230" i="6"/>
  <c r="C255" i="6"/>
  <c r="C254" i="6"/>
  <c r="C279" i="6"/>
  <c r="C278" i="6"/>
  <c r="C303" i="6"/>
  <c r="C302" i="6"/>
  <c r="C327" i="6"/>
  <c r="C326" i="6"/>
  <c r="C351" i="6"/>
  <c r="C350" i="6"/>
  <c r="C15" i="7"/>
  <c r="C14" i="7"/>
  <c r="C33" i="7"/>
  <c r="C32" i="7"/>
  <c r="C105" i="7"/>
  <c r="C104" i="7"/>
  <c r="C168" i="7"/>
  <c r="C203" i="7"/>
  <c r="C202" i="7"/>
  <c r="C328" i="7"/>
  <c r="C177" i="7"/>
  <c r="C176" i="7"/>
  <c r="C61" i="8"/>
  <c r="C60" i="8"/>
  <c r="C14" i="8"/>
  <c r="C32" i="8"/>
  <c r="C143" i="7"/>
  <c r="C215" i="7"/>
  <c r="C235" i="7"/>
  <c r="C296" i="7"/>
  <c r="C312" i="7"/>
  <c r="C327" i="7"/>
  <c r="C343" i="7"/>
  <c r="C13" i="8"/>
  <c r="C49" i="8"/>
  <c r="C70" i="8"/>
  <c r="C90" i="8"/>
  <c r="C149" i="8"/>
  <c r="C157" i="8"/>
  <c r="C198" i="8"/>
  <c r="C119" i="7"/>
  <c r="C191" i="7"/>
  <c r="C260" i="7"/>
  <c r="C276" i="7"/>
  <c r="C291" i="7"/>
  <c r="C307" i="7"/>
  <c r="C368" i="7"/>
  <c r="C18" i="8"/>
  <c r="C35" i="8"/>
  <c r="C54" i="8"/>
  <c r="C113" i="8"/>
  <c r="C142" i="8"/>
  <c r="C162" i="8"/>
  <c r="C113" i="7"/>
  <c r="C185" i="7"/>
  <c r="C253" i="7"/>
  <c r="C269" i="7"/>
  <c r="C338" i="7"/>
  <c r="C361" i="7"/>
  <c r="C369" i="7"/>
  <c r="C10" i="8"/>
  <c r="C36" i="8"/>
  <c r="C46" i="8"/>
  <c r="C74" i="8"/>
  <c r="C103" i="8"/>
  <c r="C133" i="8"/>
  <c r="C132" i="8"/>
  <c r="C153" i="8"/>
  <c r="C182" i="8"/>
  <c r="C211" i="8"/>
  <c r="C289" i="8"/>
  <c r="C361" i="8"/>
  <c r="C179" i="7"/>
  <c r="C277" i="7"/>
  <c r="C308" i="7"/>
  <c r="C370" i="7"/>
  <c r="C37" i="8"/>
  <c r="C75" i="8"/>
  <c r="C104" i="8"/>
  <c r="C143" i="8"/>
  <c r="C154" i="8"/>
  <c r="C183" i="8"/>
  <c r="C212" i="8"/>
  <c r="C279" i="8"/>
  <c r="C351" i="8"/>
  <c r="C280" i="8"/>
  <c r="C38" i="7"/>
  <c r="C44" i="7"/>
  <c r="C50" i="7"/>
  <c r="C56" i="7"/>
  <c r="C62" i="7"/>
  <c r="C68" i="7"/>
  <c r="C74" i="7"/>
  <c r="C87" i="7"/>
  <c r="C100" i="7"/>
  <c r="C133" i="7"/>
  <c r="C146" i="7"/>
  <c r="C159" i="7"/>
  <c r="C172" i="7"/>
  <c r="C205" i="7"/>
  <c r="C218" i="7"/>
  <c r="C231" i="7"/>
  <c r="C246" i="7"/>
  <c r="C285" i="7"/>
  <c r="C300" i="7"/>
  <c r="C316" i="7"/>
  <c r="C323" i="7"/>
  <c r="C354" i="7"/>
  <c r="C85" i="8"/>
  <c r="C89" i="7"/>
  <c r="C161" i="7"/>
  <c r="C233" i="7"/>
  <c r="C325" i="7"/>
  <c r="C341" i="7"/>
  <c r="C97" i="8"/>
  <c r="C96" i="8"/>
  <c r="C205" i="8"/>
  <c r="C204" i="8"/>
  <c r="C241" i="7"/>
  <c r="C272" i="7"/>
  <c r="C349" i="7"/>
  <c r="C373" i="7"/>
  <c r="C22" i="8"/>
  <c r="C40" i="8"/>
  <c r="C68" i="8"/>
  <c r="C107" i="8"/>
  <c r="C118" i="8"/>
  <c r="C147" i="8"/>
  <c r="C176" i="8"/>
  <c r="C303" i="8"/>
  <c r="C179" i="8"/>
  <c r="C215" i="8"/>
  <c r="C251" i="8"/>
  <c r="C166" i="8"/>
  <c r="C202" i="8"/>
  <c r="C238" i="8"/>
  <c r="C245" i="8"/>
  <c r="C282" i="8"/>
  <c r="C298" i="8"/>
  <c r="C306" i="8"/>
  <c r="C330" i="8"/>
  <c r="C354" i="8"/>
  <c r="C88" i="8"/>
  <c r="C124" i="8"/>
  <c r="C160" i="8"/>
  <c r="C196" i="8"/>
  <c r="C232" i="8"/>
  <c r="C268" i="8"/>
  <c r="C276" i="8"/>
  <c r="C292" i="8"/>
  <c r="C300" i="8"/>
  <c r="C316" i="8"/>
  <c r="C324" i="8"/>
  <c r="C340" i="8"/>
  <c r="C348" i="8"/>
  <c r="C364" i="8"/>
  <c r="C372" i="8"/>
  <c r="C269" i="8"/>
  <c r="C240" i="8"/>
  <c r="C247" i="8"/>
  <c r="C254" i="8"/>
  <c r="C261" i="8"/>
  <c r="C366" i="8"/>
  <c r="C185" i="8"/>
  <c r="C221" i="8"/>
  <c r="C257" i="8"/>
  <c r="C287" i="8"/>
  <c r="C311" i="8"/>
  <c r="C335" i="8"/>
  <c r="C359"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<sst xmlns="http://schemas.openxmlformats.org/spreadsheetml/2006/main" count="252" uniqueCount="117">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</sst>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1" fillId="3" borderId="30" xfId="0" applyFont="1" applyFill="1" applyBorder="1" applyAlignment="1">
      <alignment wrapText="1"/>
    </xf>
    <xf numFmtId="0" fontId="0" fillId="0" borderId="27" xfId="0" applyBorder="1"/>
    <xf numFmtId="0" fontId="1" fillId="3" borderId="29" xfId="0" applyFont="1" applyFill="1" applyBorder="1" applyAlignment="1">
      <alignment wrapText="1"/>
    </xf>
    <xf numFmtId="0" fontId="0" fillId="0" borderId="16" xfId="0" applyBorder="1"/>
    <xf numFmtId="0" fontId="1" fillId="3" borderId="31" xfId="0" applyFont="1" applyFill="1" applyBorder="1" applyAlignment="1">
      <alignment wrapText="1"/>
    </xf>
    <xf numFmtId="0" fontId="0" fillId="0" borderId="26" xfId="0" applyBorder="1"/>
    <xf numFmtId="0" fontId="20" fillId="3" borderId="0" xfId="5" applyFill="1"/>
    <xf numFmtId="0" fontId="0" fillId="3" borderId="0" xfId="0" applyFill="1"/>
    <xf numFmtId="0" fontId="23" fillId="3" borderId="0" xfId="0" applyFont="1" applyFill="1" applyAlignment="1">
      <alignment wrapText="1"/>
    </xf>
    <xf numFmtId="0" fontId="25" fillId="3" borderId="29" xfId="0" applyFont="1" applyFill="1" applyBorder="1" applyAlignment="1">
      <alignment wrapText="1"/>
    </xf>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1" fillId="6" borderId="1" xfId="0" applyFont="1" applyFill="1" applyBorder="1" applyAlignment="1">
      <alignment horizontal="center"/>
    </xf>
    <xf numFmtId="0" fontId="0" fillId="0" borderId="15" xfId="0" applyBorder="1"/>
    <xf numFmtId="0" fontId="0" fillId="3" borderId="0" xfId="0" applyFill="1" applyAlignment="1">
      <alignment vertical="center" wrapText="1"/>
    </xf>
    <xf numFmtId="0" fontId="0" fillId="3" borderId="0" xfId="0" applyFill="1" applyAlignment="1">
      <alignment wrapText="1"/>
    </xf>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276419</c:v>
                </c:pt>
                <c:pt idx="369">
                  <c:v>270644</c:v>
                </c:pt>
              </c:numCache>
            </c:numRef>
          </c:val>
          <c:smooth val="0"/>
          <c:extLst>
            <c:ext xmlns:c16="http://schemas.microsoft.com/office/drawing/2014/chart" uri="{C3380CC4-5D6E-409C-BE32-E72D297353CC}">
              <c16:uniqueId val="{00000000-F7D2-4275-9170-177931A76BD5}"/>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Orders'!$C$6:$C$375</c:f>
              <c:numCache>
                <c:formatCode>0.0%</c:formatCode>
                <c:ptCount val="370"/>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7.3615428627655348E-3</c:v>
                </c:pt>
                <c:pt idx="369">
                  <c:v>-2.0892196267260934E-2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061-4901-B03B-A9906FE96556}"/>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7.3615428627655348E-3</c:v>
                </c:pt>
                <c:pt idx="124">
                  <c:v>-2.0892196267260934E-2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FD17-4FE7-8934-4A2546EE3E9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276419</c:v>
                </c:pt>
                <c:pt idx="369">
                  <c:v>270644</c:v>
                </c:pt>
              </c:numCache>
            </c:numRef>
          </c:val>
          <c:smooth val="0"/>
          <c:extLst>
            <c:ext xmlns:c16="http://schemas.microsoft.com/office/drawing/2014/chart" uri="{C3380CC4-5D6E-409C-BE32-E72D297353CC}">
              <c16:uniqueId val="{00000000-7BAA-465E-BC6A-D74ECEA52474}"/>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Aircraft'!$B$6:$B$375</c:f>
              <c:numCache>
                <c:formatCode>#,##0</c:formatCode>
                <c:ptCount val="370"/>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75010</c:v>
                </c:pt>
                <c:pt idx="369">
                  <c:v>75159</c:v>
                </c:pt>
              </c:numCache>
            </c:numRef>
          </c:val>
          <c:smooth val="0"/>
          <c:extLst>
            <c:ext xmlns:c16="http://schemas.microsoft.com/office/drawing/2014/chart" uri="{C3380CC4-5D6E-409C-BE32-E72D297353CC}">
              <c16:uniqueId val="{00000000-2DE0-4087-A951-EF3F331A9286}"/>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75010</c:v>
                </c:pt>
                <c:pt idx="166">
                  <c:v>75159</c:v>
                </c:pt>
              </c:numCache>
            </c:numRef>
          </c:val>
          <c:smooth val="0"/>
          <c:extLst>
            <c:ext xmlns:c16="http://schemas.microsoft.com/office/drawing/2014/chart" uri="{C3380CC4-5D6E-409C-BE32-E72D297353CC}">
              <c16:uniqueId val="{00000000-7741-4A9B-B2D6-D99933582BEC}"/>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Aircraft'!$C$6:$C$375</c:f>
              <c:numCache>
                <c:formatCode>0.0%</c:formatCode>
                <c:ptCount val="370"/>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2.552827490343362E-3</c:v>
                </c:pt>
                <c:pt idx="369">
                  <c:v>1.9864018130915876E-3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7AF-4D71-9657-7F3F056B0F7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2.552827490343362E-3</c:v>
                </c:pt>
                <c:pt idx="124">
                  <c:v>1.9864018130915876E-3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28BC-44FD-A017-48C77747707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178970</c:v>
                </c:pt>
                <c:pt idx="369">
                  <c:v>179328</c:v>
                </c:pt>
              </c:numCache>
            </c:numRef>
          </c:val>
          <c:smooth val="0"/>
          <c:extLst>
            <c:ext xmlns:c16="http://schemas.microsoft.com/office/drawing/2014/chart" uri="{C3380CC4-5D6E-409C-BE32-E72D297353CC}">
              <c16:uniqueId val="{00000000-782D-41D0-B9E5-651647F413F8}"/>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Transport'!$C$6:$C$375</c:f>
              <c:numCache>
                <c:formatCode>0.0%</c:formatCode>
                <c:ptCount val="370"/>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1.382026935537116E-3</c:v>
                </c:pt>
                <c:pt idx="369">
                  <c:v>2.0003352517181652E-3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0F0-4DDC-A76D-995A4C0F18E6}"/>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1.382026935537116E-3</c:v>
                </c:pt>
                <c:pt idx="124">
                  <c:v>2.0003352517181652E-3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058-40E5-974D-1A16CC2928E4}"/>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178970</c:v>
                </c:pt>
                <c:pt idx="369">
                  <c:v>179328</c:v>
                </c:pt>
              </c:numCache>
            </c:numRef>
          </c:val>
          <c:smooth val="0"/>
          <c:extLst>
            <c:ext xmlns:c16="http://schemas.microsoft.com/office/drawing/2014/chart" uri="{C3380CC4-5D6E-409C-BE32-E72D297353CC}">
              <c16:uniqueId val="{00000000-573F-4B88-879E-5CC6F0435CF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195664</c:v>
                </c:pt>
                <c:pt idx="369">
                  <c:v>189845</c:v>
                </c:pt>
              </c:numCache>
            </c:numRef>
          </c:val>
          <c:smooth val="0"/>
          <c:extLst>
            <c:ext xmlns:c16="http://schemas.microsoft.com/office/drawing/2014/chart" uri="{C3380CC4-5D6E-409C-BE32-E72D297353CC}">
              <c16:uniqueId val="{00000000-E407-4212-A7C6-F818E064D50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1.0118531367447239E-2</c:v>
                </c:pt>
                <c:pt idx="369">
                  <c:v>-2.973975795240821E-2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40C-4F34-B147-DD867CAA1C3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1.0118531367447239E-2</c:v>
                </c:pt>
                <c:pt idx="124">
                  <c:v>-2.973975795240821E-2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78E6-48F5-8B60-264BBD19219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195664</c:v>
                </c:pt>
                <c:pt idx="369">
                  <c:v>189845</c:v>
                </c:pt>
              </c:numCache>
            </c:numRef>
          </c:val>
          <c:smooth val="0"/>
          <c:extLst>
            <c:ext xmlns:c16="http://schemas.microsoft.com/office/drawing/2014/chart" uri="{C3380CC4-5D6E-409C-BE32-E72D297353CC}">
              <c16:uniqueId val="{00000000-38F5-4241-80E2-79B0F99A8080}"/>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5" totalsRowShown="0" headerRowDxfId="23" dataDxfId="21" headerRowBorderDxfId="22">
  <autoFilter ref="A5:C375"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5" totalsRowShown="0" headerRowDxfId="17" dataDxfId="15" headerRowBorderDxfId="16">
  <autoFilter ref="A5:C375"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5" totalsRowShown="0" headerRowDxfId="11" dataDxfId="9" headerRowBorderDxfId="10">
  <autoFilter ref="A5:C375"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5" totalsRowShown="0" headerRowDxfId="5" dataDxfId="3" headerRowBorderDxfId="4">
  <autoFilter ref="A5:C375"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C7" zoomScale="150" zoomScaleNormal="150" workbookViewId="0">
      <selection activeCell="P15" sqref="P15"/>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29" width="9.1796875" style="117" customWidth="1"/>
    <col min="30" max="16384" width="9.1796875" style="117"/>
  </cols>
  <sheetData>
    <row r="1" spans="2:22" x14ac:dyDescent="0.35">
      <c r="B1" s="131"/>
      <c r="C1" s="128"/>
      <c r="D1" s="128"/>
      <c r="E1" s="128"/>
      <c r="F1" s="128"/>
      <c r="G1" s="128"/>
      <c r="H1" s="128"/>
      <c r="I1" s="128"/>
      <c r="J1" s="128"/>
    </row>
    <row r="2" spans="2:22" ht="16" customHeight="1" thickBot="1" x14ac:dyDescent="0.4">
      <c r="B2" s="132"/>
      <c r="C2" s="132"/>
      <c r="D2" s="132"/>
      <c r="E2" s="132"/>
      <c r="F2" s="132"/>
      <c r="G2" s="132"/>
      <c r="H2" s="132"/>
      <c r="I2" s="132"/>
      <c r="J2" s="132"/>
    </row>
    <row r="3" spans="2:22" ht="16" customHeight="1" thickBot="1" x14ac:dyDescent="0.4">
      <c r="B3" s="133" t="s">
        <v>0</v>
      </c>
      <c r="C3" s="134"/>
      <c r="D3" s="134"/>
      <c r="E3" s="134"/>
      <c r="F3" s="134"/>
      <c r="G3" s="134"/>
      <c r="H3" s="134"/>
      <c r="I3" s="134"/>
      <c r="J3" s="135"/>
    </row>
    <row r="5" spans="2:22" x14ac:dyDescent="0.35">
      <c r="B5" s="136" t="s">
        <v>1</v>
      </c>
      <c r="C5" s="137"/>
      <c r="D5" s="137"/>
      <c r="E5" s="137"/>
      <c r="F5" s="137"/>
      <c r="G5" s="137"/>
      <c r="H5" s="137"/>
      <c r="I5" s="137"/>
      <c r="J5" s="124"/>
    </row>
    <row r="7" spans="2:22" ht="129" customHeight="1" x14ac:dyDescent="0.35">
      <c r="B7" s="138" t="s">
        <v>2</v>
      </c>
      <c r="C7" s="128"/>
      <c r="D7" s="128"/>
      <c r="E7" s="128"/>
      <c r="F7" s="128"/>
      <c r="G7" s="128"/>
      <c r="H7" s="128"/>
      <c r="I7" s="128"/>
      <c r="J7" s="128"/>
      <c r="P7" s="2"/>
    </row>
    <row r="8" spans="2:22" ht="33.75" customHeight="1" x14ac:dyDescent="0.35">
      <c r="B8" s="127" t="s">
        <v>3</v>
      </c>
      <c r="C8" s="128"/>
      <c r="D8" s="128"/>
      <c r="E8" s="128"/>
      <c r="F8" s="128"/>
      <c r="G8" s="128"/>
      <c r="H8" s="128"/>
      <c r="I8" s="128"/>
      <c r="J8" s="128"/>
    </row>
    <row r="9" spans="2:22" x14ac:dyDescent="0.35">
      <c r="B9" s="61"/>
      <c r="C9" s="61"/>
      <c r="D9" s="61"/>
      <c r="E9" s="61"/>
    </row>
    <row r="10" spans="2:22" x14ac:dyDescent="0.35">
      <c r="B10" s="136" t="s">
        <v>4</v>
      </c>
      <c r="C10" s="137"/>
      <c r="D10" s="137"/>
      <c r="E10" s="137"/>
      <c r="F10" s="137"/>
      <c r="G10" s="137"/>
      <c r="H10" s="137"/>
      <c r="I10" s="137"/>
      <c r="J10" s="124"/>
      <c r="N10" s="136" t="s">
        <v>5</v>
      </c>
      <c r="O10" s="137"/>
      <c r="P10" s="137"/>
      <c r="Q10" s="137"/>
      <c r="R10" s="137"/>
      <c r="S10" s="124"/>
    </row>
    <row r="12" spans="2:22" x14ac:dyDescent="0.35">
      <c r="B12" s="136" t="s">
        <v>6</v>
      </c>
      <c r="C12" s="137"/>
      <c r="D12" s="137"/>
      <c r="E12" s="137"/>
      <c r="F12" s="124"/>
      <c r="G12" s="136" t="s">
        <v>7</v>
      </c>
      <c r="H12" s="137"/>
      <c r="I12" s="137"/>
      <c r="J12" s="124"/>
    </row>
    <row r="13" spans="2:22" ht="16" customHeight="1" thickBot="1" x14ac:dyDescent="0.4"/>
    <row r="14" spans="2:22" ht="19.5" customHeight="1" x14ac:dyDescent="0.35">
      <c r="B14" s="116"/>
      <c r="G14" s="128"/>
      <c r="H14" s="128"/>
      <c r="I14" s="128"/>
      <c r="J14" s="128"/>
      <c r="P14" s="62">
        <v>44866</v>
      </c>
      <c r="Q14" s="83">
        <f>DATE(YEAR(P14),MONTH(P14)-1,DAY(P14))</f>
        <v>44835</v>
      </c>
      <c r="R14" s="63"/>
    </row>
    <row r="15" spans="2:22" ht="18" customHeight="1" thickBot="1" x14ac:dyDescent="0.4">
      <c r="B15" s="127" t="s">
        <v>8</v>
      </c>
      <c r="C15" s="128"/>
      <c r="D15" s="128"/>
      <c r="E15" s="128"/>
      <c r="F15" s="128"/>
      <c r="G15" s="139" t="s">
        <v>9</v>
      </c>
      <c r="H15" s="128"/>
      <c r="I15" s="128"/>
      <c r="J15" s="128"/>
      <c r="P15" s="76" t="s">
        <v>10</v>
      </c>
      <c r="Q15" s="64" t="s">
        <v>10</v>
      </c>
      <c r="R15" s="65" t="s">
        <v>11</v>
      </c>
    </row>
    <row r="16" spans="2:22" ht="18" customHeight="1" x14ac:dyDescent="0.35">
      <c r="B16" s="127" t="s">
        <v>12</v>
      </c>
      <c r="C16" s="128"/>
      <c r="D16" s="128"/>
      <c r="E16" s="128"/>
      <c r="F16" s="128"/>
      <c r="G16" s="139" t="s">
        <v>13</v>
      </c>
      <c r="H16" s="128"/>
      <c r="I16" s="128"/>
      <c r="J16" s="128"/>
      <c r="N16" s="125" t="s">
        <v>9</v>
      </c>
      <c r="O16" s="126"/>
      <c r="P16" s="77">
        <f>VLOOKUP($P$14,Database!$A:$M,MATCH(Note!S16,Database!$A$1:$M$1,),)</f>
        <v>270644</v>
      </c>
      <c r="Q16" s="77">
        <f>VLOOKUP($Q$14,Database!$A:$M,MATCH(Note!S16,Database!$A$1:$M$1,),)</f>
        <v>276419</v>
      </c>
      <c r="R16" s="97">
        <f t="shared" ref="R16:R25" si="0">(P16-Q16)/Q16</f>
        <v>-2.0892196267260934E-2</v>
      </c>
      <c r="S16" s="78" t="s">
        <v>14</v>
      </c>
      <c r="U16" s="78" t="s">
        <v>14</v>
      </c>
      <c r="V16" s="117" t="s">
        <v>9</v>
      </c>
    </row>
    <row r="17" spans="2:22" ht="18" customHeight="1" x14ac:dyDescent="0.35">
      <c r="B17" s="127" t="s">
        <v>15</v>
      </c>
      <c r="C17" s="128"/>
      <c r="D17" s="128"/>
      <c r="E17" s="128"/>
      <c r="F17" s="128"/>
      <c r="G17" s="129" t="s">
        <v>16</v>
      </c>
      <c r="H17" s="128"/>
      <c r="I17" s="128"/>
      <c r="J17" s="128"/>
      <c r="N17" s="123" t="s">
        <v>13</v>
      </c>
      <c r="O17" s="124"/>
      <c r="P17" s="94">
        <f>VLOOKUP($P$14,Database!$A:$M,MATCH(Note!S17,Database!$A$1:$M$1,),)</f>
        <v>179328</v>
      </c>
      <c r="Q17" s="94">
        <f>VLOOKUP($Q$14,Database!$A:$M,MATCH(Note!S17,Database!$A$1:$M$1,),)</f>
        <v>178970</v>
      </c>
      <c r="R17" s="98">
        <f t="shared" si="0"/>
        <v>2.0003352517181652E-3</v>
      </c>
      <c r="S17" s="79" t="s">
        <v>17</v>
      </c>
      <c r="U17" s="79" t="s">
        <v>17</v>
      </c>
      <c r="V17" s="117" t="s">
        <v>13</v>
      </c>
    </row>
    <row r="18" spans="2:22" ht="33.75" customHeight="1" x14ac:dyDescent="0.35">
      <c r="B18" s="127" t="s">
        <v>18</v>
      </c>
      <c r="C18" s="128"/>
      <c r="D18" s="128"/>
      <c r="E18" s="128"/>
      <c r="F18" s="128"/>
      <c r="G18" s="129" t="s">
        <v>19</v>
      </c>
      <c r="H18" s="128"/>
      <c r="I18" s="128"/>
      <c r="J18" s="128"/>
      <c r="N18" s="130" t="s">
        <v>20</v>
      </c>
      <c r="O18" s="124"/>
      <c r="P18" s="94">
        <f>VLOOKUP($P$14,Database!$A:$M,MATCH(Note!S18,Database!$A$1:$M$1,),)</f>
        <v>75159</v>
      </c>
      <c r="Q18" s="94">
        <f>VLOOKUP($Q$14,Database!$A:$M,MATCH(Note!S18,Database!$A$1:$M$1,),)</f>
        <v>75010</v>
      </c>
      <c r="R18" s="98">
        <f t="shared" si="0"/>
        <v>1.9864018130915876E-3</v>
      </c>
      <c r="S18" s="80" t="s">
        <v>21</v>
      </c>
      <c r="U18" s="80" t="s">
        <v>21</v>
      </c>
      <c r="V18" s="117" t="s">
        <v>20</v>
      </c>
    </row>
    <row r="19" spans="2:22" ht="18" customHeight="1" x14ac:dyDescent="0.35">
      <c r="B19" s="127" t="s">
        <v>22</v>
      </c>
      <c r="C19" s="128"/>
      <c r="D19" s="128"/>
      <c r="E19" s="128"/>
      <c r="F19" s="128"/>
      <c r="G19" s="129" t="s">
        <v>23</v>
      </c>
      <c r="H19" s="128"/>
      <c r="I19" s="128"/>
      <c r="J19" s="128"/>
      <c r="N19" s="123" t="s">
        <v>19</v>
      </c>
      <c r="O19" s="124"/>
      <c r="P19" s="94">
        <f>VLOOKUP($P$14,Database!$A:$M,MATCH(Note!S19,Database!$A$1:$M$1,),)</f>
        <v>189845</v>
      </c>
      <c r="Q19" s="94">
        <f>VLOOKUP($Q$14,Database!$A:$M,MATCH(Note!S19,Database!$A$1:$M$1,),)</f>
        <v>195664</v>
      </c>
      <c r="R19" s="98">
        <f t="shared" si="0"/>
        <v>-2.973975795240821E-2</v>
      </c>
      <c r="S19" s="79" t="s">
        <v>24</v>
      </c>
      <c r="U19" s="79" t="s">
        <v>24</v>
      </c>
      <c r="V19" s="117" t="s">
        <v>19</v>
      </c>
    </row>
    <row r="20" spans="2:22" ht="18" customHeight="1" x14ac:dyDescent="0.35">
      <c r="B20" s="127" t="s">
        <v>25</v>
      </c>
      <c r="C20" s="128"/>
      <c r="D20" s="128"/>
      <c r="E20" s="128"/>
      <c r="F20" s="128"/>
      <c r="G20" s="129" t="s">
        <v>26</v>
      </c>
      <c r="H20" s="128"/>
      <c r="I20" s="128"/>
      <c r="J20" s="128"/>
      <c r="N20" s="123" t="s">
        <v>23</v>
      </c>
      <c r="O20" s="124"/>
      <c r="P20" s="94">
        <f>VLOOKUP($P$14,Database!$A:$M,MATCH(Note!S20,Database!$A$1:$M$1,),)</f>
        <v>91316</v>
      </c>
      <c r="Q20" s="94">
        <f>VLOOKUP($Q$14,Database!$A:$M,MATCH(Note!S20,Database!$A$1:$M$1,),)</f>
        <v>97449</v>
      </c>
      <c r="R20" s="98">
        <f t="shared" si="0"/>
        <v>-6.2935484201992839E-2</v>
      </c>
      <c r="S20" s="80" t="s">
        <v>27</v>
      </c>
      <c r="U20" s="80" t="s">
        <v>27</v>
      </c>
      <c r="V20" s="117" t="s">
        <v>23</v>
      </c>
    </row>
    <row r="21" spans="2:22" ht="18" customHeight="1" x14ac:dyDescent="0.35">
      <c r="B21" s="127" t="s">
        <v>28</v>
      </c>
      <c r="C21" s="128"/>
      <c r="D21" s="128"/>
      <c r="E21" s="128"/>
      <c r="F21" s="128"/>
      <c r="G21" s="129" t="s">
        <v>29</v>
      </c>
      <c r="H21" s="128"/>
      <c r="I21" s="128"/>
      <c r="J21" s="128"/>
      <c r="N21" s="123" t="s">
        <v>26</v>
      </c>
      <c r="O21" s="124"/>
      <c r="P21" s="94">
        <f>VLOOKUP($P$14,Database!$A:$M,MATCH(Note!S21,Database!$A$1:$M$1,),)</f>
        <v>36487</v>
      </c>
      <c r="Q21" s="94">
        <f>VLOOKUP($Q$14,Database!$A:$M,MATCH(Note!S21,Database!$A$1:$M$1,),)</f>
        <v>36446</v>
      </c>
      <c r="R21" s="98">
        <f t="shared" si="0"/>
        <v>1.1249519837567908E-3</v>
      </c>
      <c r="S21" s="80" t="s">
        <v>30</v>
      </c>
      <c r="U21" s="80" t="s">
        <v>30</v>
      </c>
      <c r="V21" s="117" t="s">
        <v>26</v>
      </c>
    </row>
    <row r="22" spans="2:22" ht="18" customHeight="1" x14ac:dyDescent="0.35">
      <c r="B22" s="127" t="s">
        <v>31</v>
      </c>
      <c r="C22" s="128"/>
      <c r="D22" s="128"/>
      <c r="E22" s="128"/>
      <c r="F22" s="128"/>
      <c r="G22" s="129" t="s">
        <v>32</v>
      </c>
      <c r="H22" s="128"/>
      <c r="I22" s="128"/>
      <c r="J22" s="128"/>
      <c r="N22" s="123" t="s">
        <v>29</v>
      </c>
      <c r="O22" s="124"/>
      <c r="P22" s="94">
        <f>VLOOKUP($P$14,Database!$A:$M,MATCH(Note!S22,Database!$A$1:$M$1,),)</f>
        <v>39294</v>
      </c>
      <c r="Q22" s="94">
        <f>VLOOKUP($Q$14,Database!$A:$M,MATCH(Note!S22,Database!$A$1:$M$1,),)</f>
        <v>39181</v>
      </c>
      <c r="R22" s="98">
        <f t="shared" si="0"/>
        <v>2.884050943059136E-3</v>
      </c>
      <c r="S22" s="80" t="s">
        <v>33</v>
      </c>
      <c r="U22" s="80" t="s">
        <v>33</v>
      </c>
      <c r="V22" s="117" t="s">
        <v>29</v>
      </c>
    </row>
    <row r="23" spans="2:22" ht="18" customHeight="1" x14ac:dyDescent="0.35">
      <c r="B23" s="127" t="s">
        <v>34</v>
      </c>
      <c r="C23" s="128"/>
      <c r="D23" s="128"/>
      <c r="E23" s="128"/>
      <c r="F23" s="128"/>
      <c r="G23" s="129" t="s">
        <v>35</v>
      </c>
      <c r="H23" s="128"/>
      <c r="I23" s="128"/>
      <c r="J23" s="128"/>
      <c r="N23" s="123" t="s">
        <v>32</v>
      </c>
      <c r="O23" s="124"/>
      <c r="P23" s="94">
        <f>VLOOKUP($P$14,Database!$A:$M,MATCH(Note!S23,Database!$A$1:$M$1,),)</f>
        <v>24336</v>
      </c>
      <c r="Q23" s="94">
        <f>VLOOKUP($Q$14,Database!$A:$M,MATCH(Note!S23,Database!$A$1:$M$1,),)</f>
        <v>24187</v>
      </c>
      <c r="R23" s="98">
        <f t="shared" si="0"/>
        <v>6.1603340637532561E-3</v>
      </c>
      <c r="S23" s="80" t="s">
        <v>36</v>
      </c>
      <c r="U23" s="80" t="s">
        <v>36</v>
      </c>
      <c r="V23" s="117" t="s">
        <v>32</v>
      </c>
    </row>
    <row r="24" spans="2:22" ht="18" customHeight="1" x14ac:dyDescent="0.35">
      <c r="B24" s="127" t="s">
        <v>37</v>
      </c>
      <c r="C24" s="128"/>
      <c r="D24" s="128"/>
      <c r="E24" s="128"/>
      <c r="F24" s="128"/>
      <c r="G24" s="129" t="s">
        <v>38</v>
      </c>
      <c r="H24" s="128"/>
      <c r="I24" s="128"/>
      <c r="J24" s="128"/>
      <c r="N24" s="123" t="s">
        <v>35</v>
      </c>
      <c r="O24" s="124"/>
      <c r="P24" s="94">
        <f>VLOOKUP($P$14,Database!$A:$M,MATCH(Note!S24,Database!$A$1:$M$1,),)</f>
        <v>20015</v>
      </c>
      <c r="Q24" s="94">
        <f>VLOOKUP($Q$14,Database!$A:$M,MATCH(Note!S24,Database!$A$1:$M$1,),)</f>
        <v>20099</v>
      </c>
      <c r="R24" s="98">
        <f t="shared" si="0"/>
        <v>-4.1793124036021692E-3</v>
      </c>
      <c r="S24" s="80" t="s">
        <v>39</v>
      </c>
      <c r="U24" s="80" t="s">
        <v>39</v>
      </c>
      <c r="V24" s="117" t="s">
        <v>35</v>
      </c>
    </row>
    <row r="25" spans="2:22" ht="16" customHeight="1" thickBot="1" x14ac:dyDescent="0.4">
      <c r="N25" s="121" t="s">
        <v>38</v>
      </c>
      <c r="O25" s="122"/>
      <c r="P25" s="81">
        <f>VLOOKUP($P$14,Database!$A:$M,MATCH(Note!S25,Database!$A$1:$M$1,),)</f>
        <v>13713</v>
      </c>
      <c r="Q25" s="81">
        <f>VLOOKUP($Q$14,Database!$A:$M,MATCH(Note!S25,Database!$A$1:$M$1,),)</f>
        <v>13681</v>
      </c>
      <c r="R25" s="99">
        <f t="shared" si="0"/>
        <v>2.3390103062641619E-3</v>
      </c>
      <c r="S25" s="82" t="s">
        <v>40</v>
      </c>
      <c r="U25" s="82" t="s">
        <v>40</v>
      </c>
      <c r="V25" s="117" t="s">
        <v>38</v>
      </c>
    </row>
    <row r="26" spans="2:22" x14ac:dyDescent="0.35">
      <c r="B26" s="66"/>
      <c r="G26" s="139" t="s">
        <v>41</v>
      </c>
      <c r="H26" s="128"/>
      <c r="I26" s="128"/>
      <c r="J26" s="128"/>
      <c r="K26" s="128"/>
      <c r="L26" s="128"/>
      <c r="M26" s="128"/>
      <c r="N26" s="128"/>
      <c r="O26" s="128"/>
    </row>
    <row r="27" spans="2:22" x14ac:dyDescent="0.35">
      <c r="N27" s="84" t="s">
        <v>42</v>
      </c>
    </row>
    <row r="28" spans="2:22" x14ac:dyDescent="0.35">
      <c r="B28" s="67"/>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9"/>
  <sheetViews>
    <sheetView zoomScale="160" zoomScaleNormal="160" workbookViewId="0">
      <pane ySplit="1" topLeftCell="A771" activePane="bottomLeft" state="frozen"/>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20099</v>
      </c>
      <c r="C778">
        <v>36446</v>
      </c>
      <c r="D778">
        <v>39181</v>
      </c>
      <c r="E778">
        <v>24187</v>
      </c>
      <c r="F778">
        <v>13681</v>
      </c>
      <c r="G778">
        <v>97449</v>
      </c>
      <c r="I778">
        <v>178970</v>
      </c>
      <c r="J778">
        <v>195664</v>
      </c>
      <c r="L778">
        <v>276419</v>
      </c>
      <c r="M778">
        <v>75010</v>
      </c>
    </row>
    <row r="779" spans="1:13" x14ac:dyDescent="0.35">
      <c r="A779" s="120">
        <v>44866</v>
      </c>
      <c r="B779">
        <v>20015</v>
      </c>
      <c r="C779">
        <v>36487</v>
      </c>
      <c r="D779">
        <v>39294</v>
      </c>
      <c r="E779">
        <v>24336</v>
      </c>
      <c r="F779">
        <v>13713</v>
      </c>
      <c r="G779">
        <v>91316</v>
      </c>
      <c r="I779">
        <v>179328</v>
      </c>
      <c r="J779">
        <v>189845</v>
      </c>
      <c r="L779">
        <v>270644</v>
      </c>
      <c r="M779">
        <v>75159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9"/>
  <sheetViews>
    <sheetView zoomScale="120" zoomScaleNormal="120" workbookViewId="0">
      <pane xSplit="2" ySplit="6" topLeftCell="C55" activePane="bottomRight" state="frozen"/>
      <selection activeCell="Q21" sqref="Q21"/>
      <selection pane="topRight" activeCell="Q21" sqref="Q21"/>
      <selection pane="bottomLeft" activeCell="Q21" sqref="Q21"/>
      <selection pane="bottomRight" activeCell="AB85" sqref="AB85"/>
    </sheetView>
  </sheetViews>
  <sheetFormatPr defaultColWidth="9.1796875" defaultRowHeight="14.5" x14ac:dyDescent="0.35"/>
  <cols>
    <col min="1" max="1" width="9.1796875" style="117" customWidth="1"/>
    <col min="2" max="2" width="10.6328125" style="117" bestFit="1" customWidth="1"/>
    <col min="3" max="12" width="9.1796875" style="117" customWidth="1"/>
    <col min="13"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276419</v>
      </c>
      <c r="D88" s="96">
        <f t="shared" si="20"/>
        <v>7.3615428627655348E-3</v>
      </c>
      <c r="E88" s="94">
        <f>VLOOKUP(B88,Database!$A:$M,MATCH(Recap!$E$5,Database!$A$1:$M$1,),)</f>
        <v>178970</v>
      </c>
      <c r="F88" s="96">
        <f t="shared" si="21"/>
        <v>1.382026935537116E-3</v>
      </c>
      <c r="G88" s="94">
        <f>VLOOKUP(B88,Database!$A:$M,MATCH(Recap!$G$5,Database!$A$1:$M$1,),)</f>
        <v>75010</v>
      </c>
      <c r="H88" s="96">
        <f t="shared" si="22"/>
        <v>2.552827490343362E-3</v>
      </c>
      <c r="I88" s="94">
        <f>VLOOKUP(B88,Database!$A:$M,MATCH(Recap!$I$5,Database!$A$1:$M$1,),)</f>
        <v>195664</v>
      </c>
      <c r="J88" s="96">
        <f t="shared" si="23"/>
        <v>1.0118531367447239E-2</v>
      </c>
      <c r="K88" s="94">
        <f>VLOOKUP(B88,Database!$A:$M,MATCH(Recap!$K$5,Database!$A$1:$M$1,),)</f>
        <v>97449</v>
      </c>
      <c r="L88" s="96">
        <f t="shared" si="24"/>
        <v>1.853129311426063E-2</v>
      </c>
      <c r="M88" s="94">
        <f>VLOOKUP(B88,Database!$A:$M,MATCH(Recap!$M$5,Database!$A$1:$M$1,),)</f>
        <v>36446</v>
      </c>
      <c r="N88" s="96">
        <f t="shared" si="25"/>
        <v>5.4878718033146747E-5</v>
      </c>
      <c r="O88" s="94">
        <f>VLOOKUP(B88,Database!$A:$M,MATCH(Recap!$O$5,Database!$A$1:$M$1,),)</f>
        <v>39181</v>
      </c>
      <c r="P88" s="96">
        <f t="shared" si="26"/>
        <v>1.4184764320658504E-2</v>
      </c>
      <c r="Q88" s="94">
        <f>VLOOKUP(B88,Database!$A:$M,MATCH(Recap!$Q$5,Database!$A$1:$M$1,),)</f>
        <v>24187</v>
      </c>
      <c r="R88" s="96">
        <f t="shared" si="27"/>
        <v>-2.1453030240521473E-3</v>
      </c>
      <c r="S88" s="94">
        <f>VLOOKUP(B88,Database!$A:$M,MATCH(Recap!$S$5,Database!$A$1:$M$1,),)</f>
        <v>20099</v>
      </c>
      <c r="T88" s="96">
        <f t="shared" si="28"/>
        <v>-7.0154636628625066E-3</v>
      </c>
      <c r="U88" s="94">
        <f>VLOOKUP(B88,Database!$A:$M,MATCH(Recap!$U$5,Database!$A$1:$M$1,),)</f>
        <v>13681</v>
      </c>
      <c r="V88" s="96">
        <f t="shared" si="29"/>
        <v>-1.4597474636887818E-3</v>
      </c>
    </row>
    <row r="89" spans="2:22" x14ac:dyDescent="0.35">
      <c r="B89" s="93">
        <v>44866</v>
      </c>
      <c r="C89" s="94">
        <f>VLOOKUP(B89,Database!$A:$M,MATCH(Recap!$C$5,Database!$A$1:$M$1,),)</f>
        <v>270644</v>
      </c>
      <c r="D89" s="96">
        <f t="shared" si="20"/>
        <v>-2.0892196267260934E-2</v>
      </c>
      <c r="E89" s="94">
        <f>VLOOKUP(B89,Database!$A:$M,MATCH(Recap!$E$5,Database!$A$1:$M$1,),)</f>
        <v>179328</v>
      </c>
      <c r="F89" s="96">
        <f t="shared" si="21"/>
        <v>2.0003352517181652E-3</v>
      </c>
      <c r="G89" s="94">
        <f>VLOOKUP(B89,Database!$A:$M,MATCH(Recap!$G$5,Database!$A$1:$M$1,),)</f>
        <v>75159</v>
      </c>
      <c r="H89" s="96">
        <f t="shared" si="22"/>
        <v>1.9864018130915876E-3</v>
      </c>
      <c r="I89" s="94">
        <f>VLOOKUP(B89,Database!$A:$M,MATCH(Recap!$I$5,Database!$A$1:$M$1,),)</f>
        <v>189845</v>
      </c>
      <c r="J89" s="96">
        <f t="shared" si="23"/>
        <v>-2.973975795240821E-2</v>
      </c>
      <c r="K89" s="94">
        <f>VLOOKUP(B89,Database!$A:$M,MATCH(Recap!$K$5,Database!$A$1:$M$1,),)</f>
        <v>91316</v>
      </c>
      <c r="L89" s="96">
        <f t="shared" si="24"/>
        <v>-6.2935484201992839E-2</v>
      </c>
      <c r="M89" s="94">
        <f>VLOOKUP(B89,Database!$A:$M,MATCH(Recap!$M$5,Database!$A$1:$M$1,),)</f>
        <v>36487</v>
      </c>
      <c r="N89" s="96">
        <f t="shared" si="25"/>
        <v>1.1249519837567908E-3</v>
      </c>
      <c r="O89" s="94">
        <f>VLOOKUP(B89,Database!$A:$M,MATCH(Recap!$O$5,Database!$A$1:$M$1,),)</f>
        <v>39294</v>
      </c>
      <c r="P89" s="96">
        <f t="shared" si="26"/>
        <v>2.884050943059136E-3</v>
      </c>
      <c r="Q89" s="94">
        <f>VLOOKUP(B89,Database!$A:$M,MATCH(Recap!$Q$5,Database!$A$1:$M$1,),)</f>
        <v>24336</v>
      </c>
      <c r="R89" s="96">
        <f t="shared" si="27"/>
        <v>6.1603340637532561E-3</v>
      </c>
      <c r="S89" s="94">
        <f>VLOOKUP(B89,Database!$A:$M,MATCH(Recap!$S$5,Database!$A$1:$M$1,),)</f>
        <v>20015</v>
      </c>
      <c r="T89" s="96">
        <f t="shared" si="28"/>
        <v>-4.1793124036021692E-3</v>
      </c>
      <c r="U89" s="94">
        <f>VLOOKUP(B89,Database!$A:$M,MATCH(Recap!$U$5,Database!$A$1:$M$1,),)</f>
        <v>13713</v>
      </c>
      <c r="V89" s="96">
        <f t="shared" si="29"/>
        <v>2.3390103062641619E-3</v>
      </c>
    </row>
  </sheetData>
  <mergeCells count="10">
    <mergeCell ref="C4:D4"/>
    <mergeCell ref="E4:F4"/>
    <mergeCell ref="G4:H4"/>
    <mergeCell ref="I4:J4"/>
    <mergeCell ref="K4:L4"/>
    <mergeCell ref="M4:N4"/>
    <mergeCell ref="O4:P4"/>
    <mergeCell ref="Q4:R4"/>
    <mergeCell ref="S4:T4"/>
    <mergeCell ref="U4:V4"/>
  </mergeCells>
  <conditionalFormatting sqref="D8:D89">
    <cfRule type="colorScale" priority="11">
      <colorScale>
        <cfvo type="min"/>
        <cfvo type="percentile" val="50"/>
        <cfvo type="max"/>
        <color rgb="FFF8696B"/>
        <color rgb="FFFFEB84"/>
        <color rgb="FF63BE7B"/>
      </colorScale>
    </cfRule>
  </conditionalFormatting>
  <conditionalFormatting sqref="F8:F89">
    <cfRule type="colorScale" priority="12">
      <colorScale>
        <cfvo type="min"/>
        <cfvo type="percentile" val="50"/>
        <cfvo type="max"/>
        <color rgb="FFF8696B"/>
        <color rgb="FFFFEB84"/>
        <color rgb="FF63BE7B"/>
      </colorScale>
    </cfRule>
  </conditionalFormatting>
  <conditionalFormatting sqref="H8:H89">
    <cfRule type="colorScale" priority="13">
      <colorScale>
        <cfvo type="min"/>
        <cfvo type="percentile" val="50"/>
        <cfvo type="max"/>
        <color rgb="FFF8696B"/>
        <color rgb="FFFFEB84"/>
        <color rgb="FF63BE7B"/>
      </colorScale>
    </cfRule>
  </conditionalFormatting>
  <conditionalFormatting sqref="J8:J89">
    <cfRule type="colorScale" priority="14">
      <colorScale>
        <cfvo type="min"/>
        <cfvo type="percentile" val="50"/>
        <cfvo type="max"/>
        <color rgb="FFF8696B"/>
        <color rgb="FFFFEB84"/>
        <color rgb="FF63BE7B"/>
      </colorScale>
    </cfRule>
  </conditionalFormatting>
  <conditionalFormatting sqref="L8:L89">
    <cfRule type="colorScale" priority="15">
      <colorScale>
        <cfvo type="min"/>
        <cfvo type="percentile" val="50"/>
        <cfvo type="max"/>
        <color rgb="FFF8696B"/>
        <color rgb="FFFFEB84"/>
        <color rgb="FF63BE7B"/>
      </colorScale>
    </cfRule>
  </conditionalFormatting>
  <conditionalFormatting sqref="N8:N89">
    <cfRule type="colorScale" priority="16">
      <colorScale>
        <cfvo type="min"/>
        <cfvo type="percentile" val="50"/>
        <cfvo type="max"/>
        <color rgb="FFF8696B"/>
        <color rgb="FFFFEB84"/>
        <color rgb="FF63BE7B"/>
      </colorScale>
    </cfRule>
  </conditionalFormatting>
  <conditionalFormatting sqref="P8:P89">
    <cfRule type="colorScale" priority="17">
      <colorScale>
        <cfvo type="min"/>
        <cfvo type="percentile" val="50"/>
        <cfvo type="max"/>
        <color rgb="FFF8696B"/>
        <color rgb="FFFFEB84"/>
        <color rgb="FF63BE7B"/>
      </colorScale>
    </cfRule>
  </conditionalFormatting>
  <conditionalFormatting sqref="R8:R89">
    <cfRule type="colorScale" priority="18">
      <colorScale>
        <cfvo type="min"/>
        <cfvo type="percentile" val="50"/>
        <cfvo type="max"/>
        <color rgb="FFF8696B"/>
        <color rgb="FFFFEB84"/>
        <color rgb="FF63BE7B"/>
      </colorScale>
    </cfRule>
  </conditionalFormatting>
  <conditionalFormatting sqref="T8:T89">
    <cfRule type="colorScale" priority="19">
      <colorScale>
        <cfvo type="min"/>
        <cfvo type="percentile" val="50"/>
        <cfvo type="max"/>
        <color rgb="FFF8696B"/>
        <color rgb="FFFFEB84"/>
        <color rgb="FF63BE7B"/>
      </colorScale>
    </cfRule>
  </conditionalFormatting>
  <conditionalFormatting sqref="V8:V8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5"/>
  <sheetViews>
    <sheetView zoomScale="130" zoomScaleNormal="130" workbookViewId="0">
      <pane ySplit="5" topLeftCell="A345" activePane="bottomLeft" state="frozen"/>
      <selection pane="bottomLeft" activeCell="AA361" sqref="AA361"/>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276419</v>
      </c>
      <c r="C374" s="113">
        <f>(Table53514[[#This Row],[Manufacturers'' New Orders: Durable Goods]]-B373)/B373</f>
        <v>7.3615428627655348E-3</v>
      </c>
    </row>
    <row r="375" spans="1:3" x14ac:dyDescent="0.35">
      <c r="A375" s="74">
        <v>44866</v>
      </c>
      <c r="B375" s="75">
        <f>VLOOKUP(A375,Database!A:M,MATCH($A$1,Database!$A$1:$M$1,),)</f>
        <v>270644</v>
      </c>
      <c r="C375" s="113">
        <f>(Table53514[[#This Row],[Manufacturers'' New Orders: Durable Goods]]-B374)/B374</f>
        <v>-2.0892196267260934E-2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5"/>
  <sheetViews>
    <sheetView zoomScale="150" zoomScaleNormal="150" workbookViewId="0">
      <pane ySplit="5" topLeftCell="A356" activePane="bottomLeft" state="frozen"/>
      <selection pane="bottomLeft" activeCell="AC347" sqref="AC347"/>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75010</v>
      </c>
      <c r="C374" s="113">
        <f>(Table535[[#This Row],[New Orders - Nondefense Capital Goods Excluding Aircraft]]-B373)/B373</f>
        <v>2.552827490343362E-3</v>
      </c>
    </row>
    <row r="375" spans="1:3" x14ac:dyDescent="0.35">
      <c r="A375" s="74">
        <v>44866</v>
      </c>
      <c r="B375" s="75">
        <f>VLOOKUP(A375,Database!A:M,MATCH($A$1,Database!$A$1:$M$1,),)</f>
        <v>75159</v>
      </c>
      <c r="C375" s="113">
        <f>(Table535[[#This Row],[New Orders - Nondefense Capital Goods Excluding Aircraft]]-B374)/B374</f>
        <v>1.9864018130915876E-3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5"/>
  <sheetViews>
    <sheetView zoomScale="130" zoomScaleNormal="130" workbookViewId="0">
      <pane ySplit="5" topLeftCell="A346" activePane="bottomLeft" state="frozen"/>
      <selection pane="bottomLeft" activeCell="AF366" sqref="AF36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39" t="s">
        <v>13</v>
      </c>
      <c r="C1" s="146"/>
      <c r="D1" s="128"/>
      <c r="E1" s="128"/>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178970</v>
      </c>
      <c r="C374" s="113">
        <f>(Table5351415[[#This Row],[New Orders ex Transport]]-B373)/B373</f>
        <v>1.382026935537116E-3</v>
      </c>
    </row>
    <row r="375" spans="1:3" x14ac:dyDescent="0.35">
      <c r="A375" s="74">
        <v>44866</v>
      </c>
      <c r="B375" s="75">
        <f>VLOOKUP(A375,Database!A:M,MATCH($A$1,Database!$A$1:$M$1,),)</f>
        <v>179328</v>
      </c>
      <c r="C375" s="113">
        <f>(Table5351415[[#This Row],[New Orders ex Transport]]-B374)/B374</f>
        <v>2.0003352517181652E-3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5"/>
  <sheetViews>
    <sheetView zoomScale="140" zoomScaleNormal="140" workbookViewId="0">
      <pane ySplit="5" topLeftCell="A353" activePane="bottomLeft" state="frozen"/>
      <selection activeCell="Q21" sqref="Q21"/>
      <selection pane="bottomLeft" activeCell="AD350" sqref="AD350"/>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39" t="str">
        <f>VLOOKUP(A1,Note!U16:V25,2,)</f>
        <v>New Orders - Manufacturing</v>
      </c>
      <c r="C1" s="146"/>
      <c r="D1" s="128"/>
      <c r="E1" s="128"/>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195664</v>
      </c>
      <c r="C374" s="113">
        <f>(Table535141516[[#This Row],[Durable Goods]]-B373)/B373</f>
        <v>1.0118531367447239E-2</v>
      </c>
    </row>
    <row r="375" spans="1:3" x14ac:dyDescent="0.35">
      <c r="A375" s="74">
        <v>44866</v>
      </c>
      <c r="B375" s="75">
        <f>VLOOKUP(A375,Database!A:M,MATCH($A$1,Database!$A$1:$M$1,),)</f>
        <v>189845</v>
      </c>
      <c r="C375" s="113">
        <f>(Table535141516[[#This Row],[Durable Goods]]-B374)/B374</f>
        <v>-2.973975795240821E-2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2022-12-27T05:43:26Z</dcterms:modified>
</cp:coreProperties>
</file>