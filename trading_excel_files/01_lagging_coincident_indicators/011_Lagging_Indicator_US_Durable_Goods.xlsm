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5520" yWindow="500" windowWidth="55000" windowHeight="2372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Orders'!$B$6:$B$372</f>
              <numCache>
                <formatCode>#,##0</formatCode>
                <ptCount val="367"/>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273294</v>
                </pt>
                <pt idx="366">
                  <v>272659</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Orders'!$C$6:$C$372</f>
              <numCache>
                <formatCode>0.0%</formatCode>
                <ptCount val="367"/>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-0.001012534223291212</v>
                </pt>
                <pt idx="366">
                  <v>-0.002323505089756819</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-0.001012534223291212</v>
                </pt>
                <pt idx="121">
                  <v>-0.002323505089756819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68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Orders'!$B$6:$B$372</f>
              <numCache>
                <formatCode>#,##0</formatCode>
                <ptCount val="367"/>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273294</v>
                </pt>
                <pt idx="366">
                  <v>272659</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 ex Aircraft'!$B$6:$B$372</f>
              <numCache>
                <formatCode>#,##0</formatCode>
                <ptCount val="367"/>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74699</v>
                </pt>
                <pt idx="366">
                  <v>75647</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74699</v>
                </pt>
                <pt idx="163">
                  <v>75647</v>
                </pt>
              </numCache>
            </numRef>
          </val>
          <smooth val="0"/>
        </ser>
        <dLbls>
          <showLegendKey val="0"/>
          <showVal val="0"/>
          <showCatName val="0"/>
          <showSerName val="0"/>
          <showPercent val="0"/>
          <showBubbleSize val="0"/>
        </dLbls>
        <smooth val="0"/>
        <axId val="504146408"/>
        <axId val="504146800"/>
      </lineChart>
      <dateAx>
        <axId val="504146408"/>
        <scaling>
          <orientation val="minMax"/>
          <max val="4468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 ex Aircraft'!$C$6:$C$372</f>
              <numCache>
                <formatCode>0.0%</formatCode>
                <ptCount val="367"/>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0.006860762906052029</v>
                </pt>
                <pt idx="366">
                  <v>0.01269093294421612</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0.006860762906052029</v>
                </pt>
                <pt idx="121">
                  <v>0.01269093294421612</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68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180300</v>
                </pt>
                <pt idx="366">
                  <v>180693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 ex Transport'!$C$6:$C$372</f>
              <numCache>
                <formatCode>0.0%</formatCode>
                <ptCount val="367"/>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0.001972825029870238</v>
                </pt>
                <pt idx="366">
                  <v>0.002179700499168053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0.001972825029870238</v>
                </pt>
                <pt idx="121">
                  <v>0.002179700499168053</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 ex Transport'!$B$6:$B$372</f>
              <numCache>
                <formatCode>#,##0</formatCode>
                <ptCount val="367"/>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180300</v>
                </pt>
                <pt idx="366">
                  <v>180693</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194425</v>
                </pt>
                <pt idx="366">
                  <v>193520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-0.0003239274402533832</v>
                </pt>
                <pt idx="366">
                  <v>-0.004654751189404655</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-0.0003239274402533832</v>
                </pt>
                <pt idx="121">
                  <v>-0.004654751189404655</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194425</v>
                </pt>
                <pt idx="366">
                  <v>193520</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660400</colOff>
      <row>327</row>
      <rowOff>84668</rowOff>
    </from>
    <to>
      <col>14</col>
      <colOff>601133</colOff>
      <row>349</row>
      <rowOff>93134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652991</colOff>
      <row>350</row>
      <rowOff>64029</rowOff>
    </from>
    <to>
      <col>14</col>
      <colOff>592666</colOff>
      <row>373</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118533</colOff>
      <row>327</row>
      <rowOff>87312</rowOff>
    </from>
    <to>
      <col>26</col>
      <colOff>364065</colOff>
      <row>349</row>
      <rowOff>135466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186267</colOff>
      <row>350</row>
      <rowOff>29632</rowOff>
    </from>
    <to>
      <col>26</col>
      <colOff>389466</colOff>
      <row>373</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142875</colOff>
      <row>326</row>
      <rowOff>87312</rowOff>
    </from>
    <to>
      <col>12</col>
      <colOff>660400</colOff>
      <row>346</row>
      <rowOff>115887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155574</colOff>
      <row>326</row>
      <rowOff>63498</rowOff>
    </from>
    <to>
      <col>23</col>
      <colOff>666749</colOff>
      <row>346</row>
      <rowOff>119061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123824</colOff>
      <row>347</row>
      <rowOff>31749</rowOff>
    </from>
    <to>
      <col>23</col>
      <colOff>666750</colOff>
      <row>369</row>
      <rowOff>87312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115887</colOff>
      <row>347</row>
      <rowOff>39686</rowOff>
    </from>
    <to>
      <col>12</col>
      <colOff>658812</colOff>
      <row>369</row>
      <rowOff>55561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397933</colOff>
      <row>325</row>
      <rowOff>135467</rowOff>
    </from>
    <to>
      <col>14</col>
      <colOff>225425</colOff>
      <row>346</row>
      <rowOff>176213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397933</colOff>
      <row>325</row>
      <rowOff>152401</rowOff>
    </from>
    <to>
      <col>25</col>
      <colOff>389467</colOff>
      <row>347</row>
      <rowOff>6880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381001</colOff>
      <row>347</row>
      <rowOff>122766</rowOff>
    </from>
    <to>
      <col>25</col>
      <colOff>287867</colOff>
      <row>370</row>
      <rowOff>118533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389467</colOff>
      <row>347</row>
      <rowOff>118533</rowOff>
    </from>
    <to>
      <col>14</col>
      <colOff>220133</colOff>
      <row>370</row>
      <rowOff>33866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2" headerRowCount="1" totalsRowShown="0" headerRowDxfId="23" dataDxfId="21" headerRowBorderDxfId="22">
  <autoFilter ref="A5:C372"/>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2" headerRowCount="1" totalsRowShown="0" headerRowDxfId="17" dataDxfId="15" headerRowBorderDxfId="16">
  <autoFilter ref="A5:C372"/>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2" headerRowCount="1" totalsRowShown="0" headerRowDxfId="11" dataDxfId="9" headerRowBorderDxfId="10">
  <autoFilter ref="A5:C372"/>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2" headerRowCount="1" totalsRowShown="0" headerRowDxfId="5" dataDxfId="3" headerRowBorderDxfId="4">
  <autoFilter ref="A5:C372"/>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A7" zoomScale="150" zoomScaleNormal="150" workbookViewId="0">
      <selection activeCell="R7" sqref="R7"/>
    </sheetView>
  </sheetViews>
  <sheetFormatPr baseColWidth="10" defaultColWidth="9.1640625" defaultRowHeight="15"/>
  <cols>
    <col width="9.1640625" customWidth="1" style="123" min="1" max="1"/>
    <col width="12.83203125" customWidth="1" style="123" min="2" max="10"/>
    <col width="3.5" customWidth="1" style="123" min="11" max="13"/>
    <col width="21.33203125" customWidth="1" style="123" min="14" max="14"/>
    <col width="15.6640625" customWidth="1" style="123" min="15" max="15"/>
    <col width="10.6640625" bestFit="1" customWidth="1" style="123" min="16" max="17"/>
    <col width="9.1640625" customWidth="1" style="123" min="18" max="18"/>
    <col width="11.5" customWidth="1" style="123" min="19" max="19"/>
    <col width="9.1640625" customWidth="1" style="123" min="20" max="26"/>
    <col width="9.1640625" customWidth="1" style="123" min="27" max="16384"/>
  </cols>
  <sheetData>
    <row r="1">
      <c r="B1" s="129" t="n"/>
    </row>
    <row r="2" ht="16" customHeight="1" s="142" thickBot="1">
      <c r="B2" s="130" t="n"/>
      <c r="C2" s="130" t="n"/>
      <c r="D2" s="130" t="n"/>
      <c r="E2" s="130" t="n"/>
      <c r="F2" s="130" t="n"/>
      <c r="G2" s="130" t="n"/>
      <c r="H2" s="130" t="n"/>
      <c r="I2" s="130" t="n"/>
      <c r="J2" s="130" t="n"/>
    </row>
    <row r="3" ht="16" customHeight="1" s="142" thickBot="1">
      <c r="B3" s="131" t="inlineStr">
        <is>
          <t>Durable Good Orders</t>
        </is>
      </c>
      <c r="C3" s="132" t="n"/>
      <c r="D3" s="132" t="n"/>
      <c r="E3" s="132" t="n"/>
      <c r="F3" s="132" t="n"/>
      <c r="G3" s="132" t="n"/>
      <c r="H3" s="132" t="n"/>
      <c r="I3" s="132" t="n"/>
      <c r="J3" s="133" t="n"/>
    </row>
    <row r="5">
      <c r="B5" s="126" t="inlineStr">
        <is>
          <t>Definition</t>
        </is>
      </c>
      <c r="C5" s="127" t="n"/>
      <c r="D5" s="127" t="n"/>
      <c r="E5" s="127" t="n"/>
      <c r="F5" s="127" t="n"/>
      <c r="G5" s="127" t="n"/>
      <c r="H5" s="127" t="n"/>
      <c r="I5" s="127" t="n"/>
      <c r="J5" s="128" t="n"/>
    </row>
    <row r="7" ht="129" customHeight="1" s="142">
      <c r="B7" s="134"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2" t="inlineStr">
        <is>
          <t>https://www.census.gov/manufacturing/m3/definitions/index.html</t>
        </is>
      </c>
    </row>
    <row r="9">
      <c r="B9" s="61" t="n"/>
      <c r="C9" s="61" t="n"/>
      <c r="D9" s="61" t="n"/>
      <c r="E9" s="61" t="n"/>
    </row>
    <row r="10">
      <c r="B10" s="126" t="inlineStr">
        <is>
          <t>Process / TO DO LIST</t>
        </is>
      </c>
      <c r="C10" s="127" t="n"/>
      <c r="D10" s="127" t="n"/>
      <c r="E10" s="127" t="n"/>
      <c r="F10" s="127" t="n"/>
      <c r="G10" s="127" t="n"/>
      <c r="H10" s="127" t="n"/>
      <c r="I10" s="127" t="n"/>
      <c r="J10" s="128" t="n"/>
      <c r="N10" s="126" t="inlineStr">
        <is>
          <t>Summary</t>
        </is>
      </c>
      <c r="O10" s="127" t="n"/>
      <c r="P10" s="127" t="n"/>
      <c r="Q10" s="127" t="n"/>
      <c r="R10" s="127" t="n"/>
      <c r="S10" s="128" t="n"/>
    </row>
    <row r="12">
      <c r="B12" s="126" t="inlineStr">
        <is>
          <t>TO DO LIST</t>
        </is>
      </c>
      <c r="C12" s="127" t="n"/>
      <c r="D12" s="127" t="n"/>
      <c r="E12" s="127" t="n"/>
      <c r="F12" s="128" t="n"/>
      <c r="G12" s="126" t="inlineStr">
        <is>
          <t>Comments</t>
        </is>
      </c>
      <c r="H12" s="127" t="n"/>
      <c r="I12" s="127" t="n"/>
      <c r="J12" s="128" t="n"/>
    </row>
    <row r="13" ht="16" customHeight="1" s="142" thickBot="1"/>
    <row r="14" ht="19.5" customHeight="1" s="142">
      <c r="B14" s="122" t="n"/>
      <c r="G14" s="123" t="n"/>
      <c r="P14" s="62" t="n">
        <v>44774</v>
      </c>
      <c r="Q14" s="83">
        <f>DATE(YEAR(P14),MONTH(P14)-1,DAY(P14))</f>
        <v/>
      </c>
      <c r="R14" s="63" t="n"/>
    </row>
    <row r="15" ht="18" customHeight="1" s="142" thickBot="1">
      <c r="B15" s="122" t="inlineStr">
        <is>
          <t>https://fred.stlouisfed.org/series/DGORDER</t>
        </is>
      </c>
      <c r="G15" s="124" t="inlineStr">
        <is>
          <t>Durable Goods New Orders</t>
        </is>
      </c>
      <c r="P15" s="76" t="inlineStr">
        <is>
          <t>Last</t>
        </is>
      </c>
      <c r="Q15" s="64" t="inlineStr">
        <is>
          <t>Last</t>
        </is>
      </c>
      <c r="R15" s="65" t="inlineStr">
        <is>
          <t>Var.</t>
        </is>
      </c>
    </row>
    <row r="16" ht="18" customHeight="1" s="142">
      <c r="B16" s="122" t="inlineStr">
        <is>
          <t>https://fred.stlouisfed.org/series/ADXTNO</t>
        </is>
      </c>
      <c r="G16" s="124" t="inlineStr">
        <is>
          <t>New Orders ex Transport</t>
        </is>
      </c>
      <c r="N16" s="139" t="inlineStr">
        <is>
          <t>Durable Goods New Orders</t>
        </is>
      </c>
      <c r="O16" s="140" t="n"/>
      <c r="P16" s="77">
        <f>VLOOKUP($P$14,Database!$A:$M,MATCH(Note!S16,Database!$A$1:$M$1,),)</f>
        <v/>
      </c>
      <c r="Q16" s="77">
        <f>VLOOKUP($Q$14,Database!$A:$M,MATCH(Note!S16,Database!$A$1:$M$1,),)</f>
        <v/>
      </c>
      <c r="R16" s="97">
        <f>(P16-Q16)/Q16</f>
        <v/>
      </c>
      <c r="S16" s="78" t="inlineStr">
        <is>
          <t>DGORDER</t>
        </is>
      </c>
      <c r="U16" s="78" t="inlineStr">
        <is>
          <t>DGORDER</t>
        </is>
      </c>
      <c r="V16" s="123" t="inlineStr">
        <is>
          <t>Durable Goods New Orders</t>
        </is>
      </c>
    </row>
    <row r="17" ht="18" customHeight="1" s="142">
      <c r="B17" s="122" t="inlineStr">
        <is>
          <t>https://fred.stlouisfed.org/series/NEWORDER</t>
        </is>
      </c>
      <c r="G17" s="125" t="inlineStr">
        <is>
          <t>New Orders Nondefense Ex Aircraft &amp; Parts= Core</t>
        </is>
      </c>
      <c r="N17" s="136" t="inlineStr">
        <is>
          <t>New Orders ex Transport</t>
        </is>
      </c>
      <c r="O17" s="128" t="n"/>
      <c r="P17" s="94">
        <f>VLOOKUP($P$14,Database!$A:$M,MATCH(Note!S17,Database!$A$1:$M$1,),)</f>
        <v/>
      </c>
      <c r="Q17" s="94">
        <f>VLOOKUP($Q$14,Database!$A:$M,MATCH(Note!S17,Database!$A$1:$M$1,),)</f>
        <v/>
      </c>
      <c r="R17" s="98">
        <f>(P17-Q17)/Q17</f>
        <v/>
      </c>
      <c r="S17" s="79" t="inlineStr">
        <is>
          <t>ADXTNO</t>
        </is>
      </c>
      <c r="U17" s="79" t="inlineStr">
        <is>
          <t>ADXTNO</t>
        </is>
      </c>
      <c r="V17" s="123" t="inlineStr">
        <is>
          <t>New Orders ex Transport</t>
        </is>
      </c>
    </row>
    <row r="18" ht="33.75" customHeight="1" s="142">
      <c r="B18" s="122" t="inlineStr">
        <is>
          <t>https://fred.stlouisfed.org/series/AMTUNO</t>
        </is>
      </c>
      <c r="G18" s="125" t="inlineStr">
        <is>
          <t>New Orders - Manufacturing</t>
        </is>
      </c>
      <c r="N18" s="135" t="inlineStr">
        <is>
          <t>New Orders Nondefense Ex Aircraft &amp; Parts = Core</t>
        </is>
      </c>
      <c r="O18" s="128" t="n"/>
      <c r="P18" s="94">
        <f>VLOOKUP($P$14,Database!$A:$M,MATCH(Note!S18,Database!$A$1:$M$1,),)</f>
        <v/>
      </c>
      <c r="Q18" s="94">
        <f>VLOOKUP($Q$14,Database!$A:$M,MATCH(Note!S18,Database!$A$1:$M$1,),)</f>
        <v/>
      </c>
      <c r="R18" s="98">
        <f>(P18-Q18)/Q18</f>
        <v/>
      </c>
      <c r="S18" s="80" t="inlineStr">
        <is>
          <t>NEWORDER</t>
        </is>
      </c>
      <c r="U18" s="80" t="inlineStr">
        <is>
          <t>NEWORDER</t>
        </is>
      </c>
      <c r="V18" s="123" t="inlineStr">
        <is>
          <t>New Orders Nondefense Ex Aircraft &amp; Parts = Core</t>
        </is>
      </c>
    </row>
    <row r="19" ht="18" customHeight="1" s="142">
      <c r="B19" s="122" t="inlineStr">
        <is>
          <t>https://fred.stlouisfed.org/series/A36SNO</t>
        </is>
      </c>
      <c r="G19" s="125" t="inlineStr">
        <is>
          <t>New Orders - Transportation Equipment</t>
        </is>
      </c>
      <c r="N19" s="136" t="inlineStr">
        <is>
          <t>New Orders - Manufacturing</t>
        </is>
      </c>
      <c r="O19" s="128" t="n"/>
      <c r="P19" s="94">
        <f>VLOOKUP($P$14,Database!$A:$M,MATCH(Note!S19,Database!$A$1:$M$1,),)</f>
        <v/>
      </c>
      <c r="Q19" s="94">
        <f>VLOOKUP($Q$14,Database!$A:$M,MATCH(Note!S19,Database!$A$1:$M$1,),)</f>
        <v/>
      </c>
      <c r="R19" s="98">
        <f>(P19-Q19)/Q19</f>
        <v/>
      </c>
      <c r="S19" s="79" t="inlineStr">
        <is>
          <t>AMTUNO</t>
        </is>
      </c>
      <c r="U19" s="79" t="inlineStr">
        <is>
          <t>AMTUNO</t>
        </is>
      </c>
      <c r="V19" s="123" t="inlineStr">
        <is>
          <t>New Orders - Manufacturing</t>
        </is>
      </c>
    </row>
    <row r="20" ht="18" customHeight="1" s="142">
      <c r="B20" s="122" t="inlineStr">
        <is>
          <t>https://fred.stlouisfed.org/series/A32SNO</t>
        </is>
      </c>
      <c r="G20" s="125" t="inlineStr">
        <is>
          <t>New Orders - Fabricated Metal Products</t>
        </is>
      </c>
      <c r="N20" s="136" t="inlineStr">
        <is>
          <t>New Orders - Transportation Equipment</t>
        </is>
      </c>
      <c r="O20" s="128" t="n"/>
      <c r="P20" s="94">
        <f>VLOOKUP($P$14,Database!$A:$M,MATCH(Note!S20,Database!$A$1:$M$1,),)</f>
        <v/>
      </c>
      <c r="Q20" s="94">
        <f>VLOOKUP($Q$14,Database!$A:$M,MATCH(Note!S20,Database!$A$1:$M$1,),)</f>
        <v/>
      </c>
      <c r="R20" s="98">
        <f>(P20-Q20)/Q20</f>
        <v/>
      </c>
      <c r="S20" s="80" t="inlineStr">
        <is>
          <t>A36SNO</t>
        </is>
      </c>
      <c r="U20" s="80" t="inlineStr">
        <is>
          <t>A36SNO</t>
        </is>
      </c>
      <c r="V20" s="123" t="inlineStr">
        <is>
          <t>New Orders - Transportation Equipment</t>
        </is>
      </c>
    </row>
    <row r="21" ht="18" customHeight="1" s="142">
      <c r="B21" s="122" t="inlineStr">
        <is>
          <t>https://fred.stlouisfed.org/series/A33SNO</t>
        </is>
      </c>
      <c r="G21" s="125" t="inlineStr">
        <is>
          <t>New Orders - Machinery</t>
        </is>
      </c>
      <c r="N21" s="136" t="inlineStr">
        <is>
          <t>New Orders - Fabricated Metal Products</t>
        </is>
      </c>
      <c r="O21" s="128" t="n"/>
      <c r="P21" s="94">
        <f>VLOOKUP($P$14,Database!$A:$M,MATCH(Note!S21,Database!$A$1:$M$1,),)</f>
        <v/>
      </c>
      <c r="Q21" s="94">
        <f>VLOOKUP($Q$14,Database!$A:$M,MATCH(Note!S21,Database!$A$1:$M$1,),)</f>
        <v/>
      </c>
      <c r="R21" s="98">
        <f>(P21-Q21)/Q21</f>
        <v/>
      </c>
      <c r="S21" s="80" t="inlineStr">
        <is>
          <t>A32SNO</t>
        </is>
      </c>
      <c r="U21" s="80" t="inlineStr">
        <is>
          <t>A32SNO</t>
        </is>
      </c>
      <c r="V21" s="123" t="inlineStr">
        <is>
          <t>New Orders - Fabricated Metal Products</t>
        </is>
      </c>
    </row>
    <row r="22" ht="18" customHeight="1" s="142">
      <c r="B22" s="122" t="inlineStr">
        <is>
          <t>https://fred.stlouisfed.org/series/A34SNO</t>
        </is>
      </c>
      <c r="G22" s="125" t="inlineStr">
        <is>
          <t>New Orders - Computers</t>
        </is>
      </c>
      <c r="N22" s="136" t="inlineStr">
        <is>
          <t>New Orders - Machinery</t>
        </is>
      </c>
      <c r="O22" s="128" t="n"/>
      <c r="P22" s="94">
        <f>VLOOKUP($P$14,Database!$A:$M,MATCH(Note!S22,Database!$A$1:$M$1,),)</f>
        <v/>
      </c>
      <c r="Q22" s="94">
        <f>VLOOKUP($Q$14,Database!$A:$M,MATCH(Note!S22,Database!$A$1:$M$1,),)</f>
        <v/>
      </c>
      <c r="R22" s="98">
        <f>(P22-Q22)/Q22</f>
        <v/>
      </c>
      <c r="S22" s="80" t="inlineStr">
        <is>
          <t>A33SNO</t>
        </is>
      </c>
      <c r="U22" s="80" t="inlineStr">
        <is>
          <t>A33SNO</t>
        </is>
      </c>
      <c r="V22" s="123" t="inlineStr">
        <is>
          <t>New Orders - Machinery</t>
        </is>
      </c>
    </row>
    <row r="23" ht="18" customHeight="1" s="142">
      <c r="B23" s="122" t="inlineStr">
        <is>
          <t>https://fred.stlouisfed.org/series/A31SNO</t>
        </is>
      </c>
      <c r="G23" s="125" t="inlineStr">
        <is>
          <t>New Orders - Primary Metals</t>
        </is>
      </c>
      <c r="N23" s="136" t="inlineStr">
        <is>
          <t>New Orders - Computers</t>
        </is>
      </c>
      <c r="O23" s="128" t="n"/>
      <c r="P23" s="94">
        <f>VLOOKUP($P$14,Database!$A:$M,MATCH(Note!S23,Database!$A$1:$M$1,),)</f>
        <v/>
      </c>
      <c r="Q23" s="94">
        <f>VLOOKUP($Q$14,Database!$A:$M,MATCH(Note!S23,Database!$A$1:$M$1,),)</f>
        <v/>
      </c>
      <c r="R23" s="98">
        <f>(P23-Q23)/Q23</f>
        <v/>
      </c>
      <c r="S23" s="80" t="inlineStr">
        <is>
          <t>A34SNO</t>
        </is>
      </c>
      <c r="U23" s="80" t="inlineStr">
        <is>
          <t>A34SNO</t>
        </is>
      </c>
      <c r="V23" s="123" t="inlineStr">
        <is>
          <t>New Orders - Computers</t>
        </is>
      </c>
    </row>
    <row r="24" ht="18" customHeight="1" s="142">
      <c r="B24" s="122" t="inlineStr">
        <is>
          <t>https://fred.stlouisfed.org/series/A35SNO</t>
        </is>
      </c>
      <c r="G24" s="125" t="inlineStr">
        <is>
          <t>New Orders - Electrical Equipment</t>
        </is>
      </c>
      <c r="N24" s="136" t="inlineStr">
        <is>
          <t>New Orders - Primary Metals</t>
        </is>
      </c>
      <c r="O24" s="128" t="n"/>
      <c r="P24" s="94">
        <f>VLOOKUP($P$14,Database!$A:$M,MATCH(Note!S24,Database!$A$1:$M$1,),)</f>
        <v/>
      </c>
      <c r="Q24" s="94">
        <f>VLOOKUP($Q$14,Database!$A:$M,MATCH(Note!S24,Database!$A$1:$M$1,),)</f>
        <v/>
      </c>
      <c r="R24" s="98">
        <f>(P24-Q24)/Q24</f>
        <v/>
      </c>
      <c r="S24" s="80" t="inlineStr">
        <is>
          <t>A31SNO</t>
        </is>
      </c>
      <c r="U24" s="80" t="inlineStr">
        <is>
          <t>A31SNO</t>
        </is>
      </c>
      <c r="V24" s="123" t="inlineStr">
        <is>
          <t>New Orders - Primary Metals</t>
        </is>
      </c>
    </row>
    <row r="25" ht="16" customHeight="1" s="142" thickBot="1">
      <c r="N25" s="137" t="inlineStr">
        <is>
          <t>New Orders - Electrical Equipment</t>
        </is>
      </c>
      <c r="O25" s="138" t="n"/>
      <c r="P25" s="81">
        <f>VLOOKUP($P$14,Database!$A:$M,MATCH(Note!S25,Database!$A$1:$M$1,),)</f>
        <v/>
      </c>
      <c r="Q25" s="81">
        <f>VLOOKUP($Q$14,Database!$A:$M,MATCH(Note!S25,Database!$A$1:$M$1,),)</f>
        <v/>
      </c>
      <c r="R25" s="99">
        <f>(P25-Q25)/Q25</f>
        <v/>
      </c>
      <c r="S25" s="82" t="inlineStr">
        <is>
          <t>A35SNO</t>
        </is>
      </c>
      <c r="U25" s="82" t="inlineStr">
        <is>
          <t>A35SNO</t>
        </is>
      </c>
      <c r="V25" s="123" t="inlineStr">
        <is>
          <t>New Orders - Electrical Equipment</t>
        </is>
      </c>
    </row>
    <row r="26">
      <c r="B26" s="66" t="n"/>
      <c r="G26" s="124"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6"/>
  <sheetViews>
    <sheetView zoomScale="160" zoomScaleNormal="160" workbookViewId="0">
      <pane ySplit="1" topLeftCell="A771"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9"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9"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9"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9"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9"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9"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9"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9"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9"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9"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9"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9"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9"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9"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9"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9"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9"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9"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9"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9"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9"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9"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9"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9"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9"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9"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9"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9"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9"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9"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9"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9"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9"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9"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9"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9"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9"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9"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9"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9"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9"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9"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9"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9"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9"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9"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9"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9"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9"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9"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9"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9"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9"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9"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9"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9"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9"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9"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9"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9"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9"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9"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9"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9"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9"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9"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9"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9"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9"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9"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9"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9"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9"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9"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9"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9"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9"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9"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9"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9"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9"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9"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9"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9"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9"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9"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9"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9"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9"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9"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9"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9"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9"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9"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9"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9"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9"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9"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9"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9"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9"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9"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9"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9"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9"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9"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9"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9"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9"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9"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9"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9"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9"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9"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9"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9"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9"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9"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9"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9"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9"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9"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9"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9"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9"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9"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9" t="n">
        <v>44774</v>
      </c>
      <c r="B776" t="n">
        <v>20769</v>
      </c>
      <c r="C776" t="n">
        <v>36934</v>
      </c>
      <c r="D776" t="n">
        <v>38757</v>
      </c>
      <c r="E776" t="n">
        <v>24712</v>
      </c>
      <c r="F776" t="n">
        <v>13885</v>
      </c>
      <c r="G776" t="n">
        <v>91987</v>
      </c>
      <c r="H776" t="n">
        <v/>
      </c>
      <c r="I776" t="n">
        <v>180712</v>
      </c>
      <c r="J776" t="n">
        <v>193542</v>
      </c>
      <c r="K776" t="n">
        <v/>
      </c>
      <c r="L776" t="n">
        <v>272699</v>
      </c>
      <c r="M776" t="n">
        <v>75723</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6"/>
  <sheetViews>
    <sheetView zoomScale="150" zoomScaleNormal="150" workbookViewId="0">
      <pane xSplit="2" ySplit="6" topLeftCell="C59" activePane="bottomRight" state="frozen"/>
      <selection activeCell="Q21" sqref="Q21"/>
      <selection pane="topRight" activeCell="Q21" sqref="Q21"/>
      <selection pane="bottomLeft" activeCell="Q21" sqref="Q21"/>
      <selection pane="bottomRight" activeCell="G4" sqref="G4:H4"/>
    </sheetView>
  </sheetViews>
  <sheetFormatPr baseColWidth="10" defaultColWidth="9.1640625" defaultRowHeight="15"/>
  <cols>
    <col width="9.1640625" customWidth="1" style="123" min="1" max="1"/>
    <col width="10.6640625" bestFit="1" customWidth="1" style="123" min="2" max="2"/>
    <col width="9.1640625" customWidth="1" style="123" min="3" max="9"/>
    <col width="9.1640625" customWidth="1" style="123" min="10"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sheetData>
  <mergeCells count="10">
    <mergeCell ref="M4:N4"/>
    <mergeCell ref="O4:P4"/>
    <mergeCell ref="Q4:R4"/>
    <mergeCell ref="S4:T4"/>
    <mergeCell ref="U4:V4"/>
    <mergeCell ref="C4:D4"/>
    <mergeCell ref="E4:F4"/>
    <mergeCell ref="G4:H4"/>
    <mergeCell ref="I4:J4"/>
    <mergeCell ref="K4:L4"/>
  </mergeCells>
  <conditionalFormatting sqref="D8:D86">
    <cfRule type="colorScale" priority="11">
      <colorScale>
        <cfvo type="min"/>
        <cfvo type="percentile" val="50"/>
        <cfvo type="max"/>
        <color rgb="FFF8696B"/>
        <color rgb="FFFFEB84"/>
        <color rgb="FF63BE7B"/>
      </colorScale>
    </cfRule>
  </conditionalFormatting>
  <conditionalFormatting sqref="F8:F86">
    <cfRule type="colorScale" priority="12">
      <colorScale>
        <cfvo type="min"/>
        <cfvo type="percentile" val="50"/>
        <cfvo type="max"/>
        <color rgb="FFF8696B"/>
        <color rgb="FFFFEB84"/>
        <color rgb="FF63BE7B"/>
      </colorScale>
    </cfRule>
  </conditionalFormatting>
  <conditionalFormatting sqref="H8:H86">
    <cfRule type="colorScale" priority="13">
      <colorScale>
        <cfvo type="min"/>
        <cfvo type="percentile" val="50"/>
        <cfvo type="max"/>
        <color rgb="FFF8696B"/>
        <color rgb="FFFFEB84"/>
        <color rgb="FF63BE7B"/>
      </colorScale>
    </cfRule>
  </conditionalFormatting>
  <conditionalFormatting sqref="J8:J86">
    <cfRule type="colorScale" priority="14">
      <colorScale>
        <cfvo type="min"/>
        <cfvo type="percentile" val="50"/>
        <cfvo type="max"/>
        <color rgb="FFF8696B"/>
        <color rgb="FFFFEB84"/>
        <color rgb="FF63BE7B"/>
      </colorScale>
    </cfRule>
  </conditionalFormatting>
  <conditionalFormatting sqref="L8:L86">
    <cfRule type="colorScale" priority="15">
      <colorScale>
        <cfvo type="min"/>
        <cfvo type="percentile" val="50"/>
        <cfvo type="max"/>
        <color rgb="FFF8696B"/>
        <color rgb="FFFFEB84"/>
        <color rgb="FF63BE7B"/>
      </colorScale>
    </cfRule>
  </conditionalFormatting>
  <conditionalFormatting sqref="N8:N86">
    <cfRule type="colorScale" priority="16">
      <colorScale>
        <cfvo type="min"/>
        <cfvo type="percentile" val="50"/>
        <cfvo type="max"/>
        <color rgb="FFF8696B"/>
        <color rgb="FFFFEB84"/>
        <color rgb="FF63BE7B"/>
      </colorScale>
    </cfRule>
  </conditionalFormatting>
  <conditionalFormatting sqref="P8:P86">
    <cfRule type="colorScale" priority="17">
      <colorScale>
        <cfvo type="min"/>
        <cfvo type="percentile" val="50"/>
        <cfvo type="max"/>
        <color rgb="FFF8696B"/>
        <color rgb="FFFFEB84"/>
        <color rgb="FF63BE7B"/>
      </colorScale>
    </cfRule>
  </conditionalFormatting>
  <conditionalFormatting sqref="R8:R86">
    <cfRule type="colorScale" priority="18">
      <colorScale>
        <cfvo type="min"/>
        <cfvo type="percentile" val="50"/>
        <cfvo type="max"/>
        <color rgb="FFF8696B"/>
        <color rgb="FFFFEB84"/>
        <color rgb="FF63BE7B"/>
      </colorScale>
    </cfRule>
  </conditionalFormatting>
  <conditionalFormatting sqref="T8:T86">
    <cfRule type="colorScale" priority="19">
      <colorScale>
        <cfvo type="min"/>
        <cfvo type="percentile" val="50"/>
        <cfvo type="max"/>
        <color rgb="FFF8696B"/>
        <color rgb="FFFFEB84"/>
        <color rgb="FF63BE7B"/>
      </colorScale>
    </cfRule>
  </conditionalFormatting>
  <conditionalFormatting sqref="V8:V86">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2"/>
  <sheetViews>
    <sheetView zoomScale="160" zoomScaleNormal="160" workbookViewId="0">
      <pane ySplit="5" topLeftCell="A349" activePane="bottomLeft" state="frozen"/>
      <selection pane="bottomLeft" activeCell="W351" sqref="W35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2"/>
  <sheetViews>
    <sheetView zoomScale="150" zoomScaleNormal="150" workbookViewId="0">
      <pane ySplit="5" topLeftCell="A343" activePane="bottomLeft" state="frozen"/>
      <selection pane="bottomLeft" activeCell="AA352" sqref="AA352"/>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2"/>
  <sheetViews>
    <sheetView zoomScale="160" zoomScaleNormal="160" workbookViewId="0">
      <pane ySplit="5" topLeftCell="A341" activePane="bottomLeft" state="frozen"/>
      <selection pane="bottomLeft" activeCell="A357" sqref="A357:C372"/>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ADXTNO</t>
        </is>
      </c>
      <c r="B1" s="124"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2"/>
  <sheetViews>
    <sheetView tabSelected="1" zoomScale="150" zoomScaleNormal="150" workbookViewId="0">
      <pane ySplit="5" topLeftCell="A345" activePane="bottomLeft" state="frozen"/>
      <selection activeCell="Q21" sqref="Q21"/>
      <selection pane="bottomLeft" activeCell="AA370" sqref="AA370"/>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85" t="inlineStr">
        <is>
          <t>AMTUNO</t>
        </is>
      </c>
      <c r="B1" s="124">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2022-10-03T23:18:54Z</dcterms:modified>
  <cp:lastModifiedBy>Mark Mukherjee</cp:lastModifiedBy>
</cp:coreProperties>
</file>